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1000" firstSheet="1" activeTab="15" autoFilterDateGrouping="1"/>
  </bookViews>
  <sheets>
    <sheet name="_TGK_HIDDEN" sheetId="1" state="veryHidden" r:id="rId1"/>
    <sheet name="cad" sheetId="2" state="visible" r:id="rId2"/>
    <sheet name="JHIQUVVUZKKUISDTLQZDPVYPPXYLNP" sheetId="3" state="veryHidden" r:id="rId3"/>
    <sheet name="Pilotage" sheetId="4" state="visible" r:id="rId4"/>
    <sheet name="RINAZBBJTMGEDJDKCBFMXBZLDOQLCA" sheetId="5" state="veryHidden" r:id="rId5"/>
    <sheet name="Socle" sheetId="6" state="visible" r:id="rId6"/>
    <sheet name="UEXJZQKBAYGWRTORDEWWVSJGFNJSAW" sheetId="7" state="veryHidden" r:id="rId7"/>
    <sheet name="Campagne" sheetId="8" state="visible" r:id="rId8"/>
    <sheet name="WJGJPFWZTNJJQAXSDEBYTTPRUBVRDL" sheetId="9" state="veryHidden" r:id="rId9"/>
    <sheet name="Moteur" sheetId="10" state="visible" r:id="rId10"/>
    <sheet name="GRBDBWQIEIVELJMMCJINKERCDDUPPN" sheetId="11" state="veryHidden" r:id="rId11"/>
    <sheet name="Compta" sheetId="12" state="visible" r:id="rId12"/>
    <sheet name="KEVHGRHNZBCVASDPIGEIZLJQBBAZZY" sheetId="13" state="veryHidden" r:id="rId13"/>
    <sheet name="PNL" sheetId="14" state="visible" r:id="rId14"/>
    <sheet name="CATQYQIECUEOJHKPEZZOVOKHOYVFFE" sheetId="15" state="veryHidden" r:id="rId15"/>
    <sheet name="Allocation" sheetId="16" state="visible" r:id="rId16"/>
    <sheet name="VDYXDVBJIJNUFMHRKADDWTZTHQIBXL" sheetId="17" state="veryHidden" r:id="rId17"/>
    <sheet name="_CALC_MOTEUR" sheetId="18" state="hidden" r:id="rId18"/>
    <sheet name="_CALC_PNL" sheetId="19" state="hidden" r:id="rId19"/>
    <sheet name="_CALC_ALLOC" sheetId="20" state="hidden" r:id="rId20"/>
  </sheets>
  <definedNames>
    <definedName name="Groupe_to_Marque">Pilotage!#REF!</definedName>
    <definedName name="Groupe_to_Marque" localSheetId="4">RINAZBBJTMGEDJDKCBFMXBZLDOQLCA!#REF!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_-* #,##0.0\ [$€-40C]_-;\-* #,##0.0\ [$€-40C]_-;_-* &quot;-&quot;??\ [$€-40C]_-;_-@_-"/>
    <numFmt numFmtId="166" formatCode="#,##0&quot; €&quot;;\(#,##0\)&quot; €&quot;;&quot;-&quot;"/>
    <numFmt numFmtId="167" formatCode="_-* #,##0_-;\-* #,##0_-;_-* &quot;-&quot;??_-;_-@_-"/>
    <numFmt numFmtId="168" formatCode="# ##0"/>
    <numFmt numFmtId="169" formatCode="# ##0.0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8000"/>
      <sz val="11"/>
    </font>
    <font>
      <name val="Arial"/>
      <family val="2"/>
      <color rgb="FF000000"/>
      <sz val="11"/>
    </font>
    <font>
      <name val="Aptos Narrow"/>
      <family val="2"/>
      <b val="1"/>
      <color theme="1"/>
      <sz val="11"/>
      <scheme val="minor"/>
    </font>
    <font>
      <name val="Aptos Narrow"/>
      <family val="2"/>
      <i val="1"/>
      <color theme="1"/>
      <sz val="11"/>
      <scheme val="minor"/>
    </font>
    <font>
      <b val="1"/>
      <color rgb="00FFFFFF"/>
    </font>
    <font>
      <i val="1"/>
      <color rgb="00555555"/>
      <sz val="9"/>
    </font>
    <font>
      <b val="1"/>
    </font>
  </fonts>
  <fills count="7">
    <fill>
      <patternFill/>
    </fill>
    <fill>
      <patternFill patternType="gray125"/>
    </fill>
    <fill>
      <patternFill patternType="solid">
        <fgColor rgb="FF2E5496"/>
      </patternFill>
    </fill>
    <fill>
      <patternFill patternType="solid">
        <f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002E7D32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1" fillId="0" borderId="0"/>
    <xf numFmtId="9" fontId="1" fillId="0" borderId="0"/>
    <xf numFmtId="43" fontId="1" fillId="0" borderId="0"/>
  </cellStyleXfs>
  <cellXfs count="29">
    <xf numFmtId="0" fontId="0" fillId="0" borderId="0" pivotButton="0" quotePrefix="0" xfId="0"/>
    <xf numFmtId="0" fontId="0" fillId="0" borderId="0" pivotButton="0" quotePrefix="1" xfId="0"/>
    <xf numFmtId="164" fontId="0" fillId="0" borderId="0" pivotButton="0" quotePrefix="0" xfId="1"/>
    <xf numFmtId="165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166" fontId="4" fillId="0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center" vertical="center" wrapText="1"/>
    </xf>
    <xf numFmtId="167" fontId="0" fillId="0" borderId="0" pivotButton="0" quotePrefix="0" xfId="2"/>
    <xf numFmtId="0" fontId="6" fillId="0" borderId="0" pivotButton="0" quotePrefix="1" xfId="0"/>
    <xf numFmtId="0" fontId="5" fillId="0" borderId="0" pivotButton="0" quotePrefix="1" xfId="0"/>
    <xf numFmtId="0" fontId="2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0" fillId="4" borderId="0" pivotButton="0" quotePrefix="1" xfId="0"/>
    <xf numFmtId="0" fontId="0" fillId="4" borderId="0" pivotButton="0" quotePrefix="0" xfId="0"/>
    <xf numFmtId="164" fontId="0" fillId="4" borderId="0" pivotButton="0" quotePrefix="0" xfId="1"/>
    <xf numFmtId="165" fontId="0" fillId="4" borderId="0" pivotButton="0" quotePrefix="0" xfId="0"/>
    <xf numFmtId="164" fontId="0" fillId="4" borderId="0" pivotButton="0" quotePrefix="0" xfId="1"/>
    <xf numFmtId="165" fontId="0" fillId="4" borderId="0" pivotButton="0" quotePrefix="0" xfId="0"/>
    <xf numFmtId="167" fontId="0" fillId="0" borderId="0" pivotButton="0" quotePrefix="0" xfId="2"/>
    <xf numFmtId="164" fontId="0" fillId="0" borderId="0" pivotButton="0" quotePrefix="0" xfId="1"/>
    <xf numFmtId="166" fontId="4" fillId="0" borderId="1" applyAlignment="1" pivotButton="0" quotePrefix="0" xfId="0">
      <alignment horizontal="right" vertical="center"/>
    </xf>
    <xf numFmtId="165" fontId="0" fillId="0" borderId="0" pivotButton="0" quotePrefix="0" xfId="0"/>
    <xf numFmtId="0" fontId="8" fillId="0" borderId="0" pivotButton="0" quotePrefix="0" xfId="0"/>
    <xf numFmtId="0" fontId="7" fillId="5" borderId="0" applyAlignment="1" pivotButton="0" quotePrefix="0" xfId="0">
      <alignment horizontal="center"/>
    </xf>
    <xf numFmtId="168" fontId="0" fillId="6" borderId="0" pivotButton="0" quotePrefix="0" xfId="0"/>
    <xf numFmtId="2" fontId="0" fillId="6" borderId="0" pivotButton="0" quotePrefix="0" xfId="0"/>
    <xf numFmtId="169" fontId="0" fillId="6" borderId="0" pivotButton="0" quotePrefix="0" xfId="0"/>
    <xf numFmtId="0" fontId="9" fillId="0" borderId="0" pivotButton="0" quotePrefix="0" xfId="0"/>
  </cellXfs>
  <cellStyles count="3">
    <cellStyle name="Normal" xfId="0" builtinId="0"/>
    <cellStyle name="Pourcentage" xfId="1" builtinId="5"/>
    <cellStyle name="Milliers" xfId="2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10" defaultRowHeight="14.25"/>
  <sheetData>
    <row r="1">
      <c r="A1" t="inlineStr">
        <is>
          <t>Template00</t>
        </is>
      </c>
      <c r="B1">
        <f>cad!A65534</f>
        <v/>
      </c>
    </row>
    <row r="2">
      <c r="A2" t="inlineStr">
        <is>
          <t>Template01</t>
        </is>
      </c>
      <c r="B2">
        <f>Socle!A65709</f>
        <v/>
      </c>
    </row>
    <row r="3">
      <c r="A3" t="inlineStr">
        <is>
          <t>Template02</t>
        </is>
      </c>
      <c r="B3">
        <f>Campagne!A65549</f>
        <v/>
      </c>
    </row>
    <row r="4">
      <c r="A4" t="inlineStr">
        <is>
          <t>Template03</t>
        </is>
      </c>
      <c r="B4">
        <f>Moteur!A65709</f>
        <v/>
      </c>
    </row>
    <row r="5">
      <c r="A5" t="inlineStr">
        <is>
          <t>Template04</t>
        </is>
      </c>
      <c r="B5">
        <f>Compta!A66209</f>
        <v/>
      </c>
    </row>
    <row r="6">
      <c r="A6" t="inlineStr">
        <is>
          <t>Template05</t>
        </is>
      </c>
      <c r="B6">
        <f>PNL!A66881</f>
        <v/>
      </c>
    </row>
    <row r="8">
      <c r="A8" t="inlineStr">
        <is>
          <t>Template07</t>
        </is>
      </c>
      <c r="B8">
        <f>Pilotage!A65533</f>
        <v/>
      </c>
    </row>
    <row r="9">
      <c r="A9" t="inlineStr">
        <is>
          <t>Template08</t>
        </is>
      </c>
      <c r="B9">
        <f>Allocation!A65709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G8:K57"/>
  <sheetViews>
    <sheetView topLeftCell="A22" zoomScale="77" workbookViewId="0">
      <selection activeCell="O4" sqref="O1:O1048576"/>
    </sheetView>
  </sheetViews>
  <sheetFormatPr baseColWidth="10" defaultRowHeight="14.25"/>
  <cols>
    <col width="19.86328125" bestFit="1" customWidth="1" min="7" max="7"/>
    <col width="42.46484375" bestFit="1" customWidth="1" min="8" max="8"/>
  </cols>
  <sheetData>
    <row r="8">
      <c r="I8" s="1" t="inlineStr">
        <is>
          <t>Coefficient prix par marque (décision)</t>
        </is>
      </c>
    </row>
    <row r="9">
      <c r="H9" s="1" t="inlineStr">
        <is>
          <t>MBway</t>
        </is>
      </c>
      <c r="I9" s="14" t="n">
        <v>1.2</v>
      </c>
    </row>
    <row r="10">
      <c r="H10" s="1" t="inlineStr">
        <is>
          <t>ISCOM</t>
        </is>
      </c>
      <c r="I10" s="14" t="n">
        <v>1.15</v>
      </c>
    </row>
    <row r="11">
      <c r="H11" s="1" t="inlineStr">
        <is>
          <t>Ipac Bachelor Factory</t>
        </is>
      </c>
      <c r="I11" s="14" t="n">
        <v>0.95</v>
      </c>
    </row>
    <row r="12">
      <c r="H12" s="1" t="inlineStr">
        <is>
          <t>Pigier</t>
        </is>
      </c>
      <c r="I12" s="14" t="n">
        <v>0.9</v>
      </c>
    </row>
    <row r="13">
      <c r="H13" s="1" t="inlineStr">
        <is>
          <t>Tunon</t>
        </is>
      </c>
      <c r="I13" s="14" t="n">
        <v>1.05</v>
      </c>
    </row>
    <row r="20">
      <c r="I20" s="1" t="inlineStr">
        <is>
          <t>Cadrage</t>
        </is>
      </c>
      <c r="J20" s="1" t="inlineStr">
        <is>
          <t>Optimiste</t>
        </is>
      </c>
      <c r="K20" s="1" t="inlineStr">
        <is>
          <t>Prudent</t>
        </is>
      </c>
    </row>
    <row r="21">
      <c r="H21" s="1" t="inlineStr">
        <is>
          <t>Variation du budget d'acquisition → leads payants</t>
        </is>
      </c>
      <c r="I21" s="17" t="n">
        <v>0.08</v>
      </c>
      <c r="J21" s="17" t="n">
        <v>0.15</v>
      </c>
      <c r="K21" s="17" t="n">
        <v>-0.05</v>
      </c>
    </row>
    <row r="22">
      <c r="H22" s="1" t="inlineStr">
        <is>
          <t>Variation du budget de marque → socle organique</t>
        </is>
      </c>
      <c r="I22" s="17" t="n">
        <v>0.1</v>
      </c>
      <c r="J22" s="17" t="n">
        <v>0.2</v>
      </c>
      <c r="K22" s="17" t="n">
        <v>-0.05</v>
      </c>
    </row>
    <row r="23">
      <c r="H23" s="1" t="inlineStr">
        <is>
          <t>Hausse tarifaire (prix)</t>
        </is>
      </c>
      <c r="I23" s="17" t="n">
        <v>0.02</v>
      </c>
      <c r="J23" s="17" t="n">
        <v>0.035</v>
      </c>
      <c r="K23" s="17" t="n">
        <v>0.02</v>
      </c>
    </row>
    <row r="24">
      <c r="H24" s="1" t="inlineStr">
        <is>
          <t>Gain du taux de conversion Lead → Candidature</t>
        </is>
      </c>
      <c r="I24" s="17" t="n">
        <v>0.01</v>
      </c>
      <c r="J24" s="17" t="n">
        <v>0.03</v>
      </c>
      <c r="K24" s="17" t="n"/>
    </row>
    <row r="25">
      <c r="H25" s="1" t="inlineStr">
        <is>
          <t>Gain du taux de conversion Admis → Inscrit</t>
        </is>
      </c>
      <c r="I25" s="17" t="n">
        <v>0.01</v>
      </c>
      <c r="J25" s="17" t="n">
        <v>0.025</v>
      </c>
      <c r="K25" s="17" t="n"/>
    </row>
    <row r="26">
      <c r="H26" s="1" t="inlineStr">
        <is>
          <t>Amélioration du taux de passage</t>
        </is>
      </c>
      <c r="I26" s="17" t="n">
        <v>0.005</v>
      </c>
      <c r="J26" s="17" t="n">
        <v>0.015</v>
      </c>
      <c r="K26" s="17" t="n">
        <v>-0.01</v>
      </c>
    </row>
    <row r="27">
      <c r="H27" s="1" t="inlineStr">
        <is>
          <t>Inflation des charges externes</t>
        </is>
      </c>
      <c r="I27" s="17" t="n">
        <v>0.02</v>
      </c>
      <c r="J27" s="17" t="n">
        <v>0.015</v>
      </c>
      <c r="K27" s="17" t="n">
        <v>0.03</v>
      </c>
    </row>
    <row r="28">
      <c r="H28" s="1" t="inlineStr">
        <is>
          <t>Politique salariale sur la masse permanente</t>
        </is>
      </c>
      <c r="I28" s="17" t="n">
        <v>0.025</v>
      </c>
      <c r="J28" s="17" t="n">
        <v>0.02</v>
      </c>
      <c r="K28" s="17" t="n">
        <v>0.03</v>
      </c>
    </row>
    <row r="29">
      <c r="H29" s="1" t="inlineStr">
        <is>
          <t>Variation des effectifs permanents</t>
        </is>
      </c>
      <c r="I29" s="17" t="n">
        <v>0.04</v>
      </c>
      <c r="J29" s="17" t="n">
        <v>0.03</v>
      </c>
      <c r="K29" s="17" t="n">
        <v>0.05</v>
      </c>
    </row>
    <row r="30">
      <c r="H30" s="1" t="inlineStr">
        <is>
          <t>Effort de productivité sur les achats et la structure</t>
        </is>
      </c>
      <c r="I30" s="17" t="n">
        <v>0.01</v>
      </c>
      <c r="J30" s="17" t="n">
        <v>0.03</v>
      </c>
      <c r="K30" s="17" t="n"/>
    </row>
    <row r="31">
      <c r="H31" s="1" t="inlineStr">
        <is>
          <t>Variation des coûts de structure (loyers, IT, siège…)</t>
        </is>
      </c>
      <c r="I31" s="17" t="n"/>
      <c r="J31" s="17" t="n">
        <v>-0.03</v>
      </c>
      <c r="K31" s="17" t="n">
        <v>0.04</v>
      </c>
    </row>
    <row r="36">
      <c r="I36" s="1" t="inlineStr">
        <is>
          <t>Cadrage</t>
        </is>
      </c>
      <c r="J36" s="1" t="inlineStr">
        <is>
          <t>Optimiste</t>
        </is>
      </c>
      <c r="K36" s="1" t="inlineStr">
        <is>
          <t>Prudent</t>
        </is>
      </c>
    </row>
    <row r="37">
      <c r="H37" s="1" t="inlineStr">
        <is>
          <t>Frais de dossier par nouvel inscrit</t>
        </is>
      </c>
      <c r="I37" s="18" t="n">
        <v>90</v>
      </c>
      <c r="J37" s="18" t="n">
        <v>90</v>
      </c>
      <c r="K37" s="18" t="n">
        <v>90</v>
      </c>
    </row>
    <row r="45">
      <c r="H45" s="1" t="inlineStr">
        <is>
          <t>Référence</t>
        </is>
      </c>
    </row>
    <row r="46">
      <c r="G46" s="1" t="inlineStr">
        <is>
          <t>Chiffre d'affaires</t>
        </is>
      </c>
      <c r="H46" s="19" t="n">
        <v>22544725</v>
      </c>
    </row>
    <row r="47">
      <c r="G47" s="1" t="inlineStr">
        <is>
          <t>EBITDA</t>
        </is>
      </c>
      <c r="H47" s="19" t="n">
        <v>3291530</v>
      </c>
    </row>
    <row r="48" hidden="1">
      <c r="H48" s="1" t="inlineStr">
        <is>
          <t>2026</t>
        </is>
      </c>
    </row>
    <row r="49">
      <c r="G49" s="1" t="inlineStr">
        <is>
          <t>Effectif</t>
        </is>
      </c>
      <c r="H49" s="19" t="n">
        <v>3036</v>
      </c>
    </row>
    <row r="55" hidden="1">
      <c r="H55" s="1" t="inlineStr">
        <is>
          <t>2027</t>
        </is>
      </c>
    </row>
    <row r="56">
      <c r="G56" s="1" t="inlineStr">
        <is>
          <t>Croissance CA cible :</t>
        </is>
      </c>
      <c r="H56" s="14" t="n">
        <v>0.05</v>
      </c>
    </row>
    <row r="57">
      <c r="G57" s="1" t="inlineStr">
        <is>
          <t>Marge EBITDA cible :</t>
        </is>
      </c>
      <c r="H57" s="14" t="n">
        <v>0.15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8:R62"/>
  <sheetViews>
    <sheetView topLeftCell="A19" zoomScale="77" workbookViewId="0">
      <selection activeCell="H61" sqref="H61"/>
    </sheetView>
  </sheetViews>
  <sheetFormatPr baseColWidth="10" defaultRowHeight="14.25"/>
  <cols>
    <col width="19.86328125" bestFit="1" customWidth="1" min="7" max="7"/>
    <col width="42.46484375" bestFit="1" customWidth="1" min="8" max="8"/>
    <col width="23.6640625" customWidth="1" min="15" max="15"/>
    <col width="22.19921875" customWidth="1" min="16" max="16"/>
    <col width="19.53125" customWidth="1" min="17" max="17"/>
  </cols>
  <sheetData>
    <row r="8">
      <c r="I8" s="1" t="inlineStr">
        <is>
          <t>Coefficient prix par marque (décision)</t>
        </is>
      </c>
    </row>
    <row r="9">
      <c r="H9" s="1" t="inlineStr">
        <is>
          <t>MBway</t>
        </is>
      </c>
      <c r="I9" t="n">
        <v>1000</v>
      </c>
    </row>
    <row r="10">
      <c r="H10" s="1" t="inlineStr">
        <is>
          <t>ISCOM</t>
        </is>
      </c>
      <c r="I10" t="n">
        <v>1000</v>
      </c>
    </row>
    <row r="11">
      <c r="H11" s="1" t="inlineStr">
        <is>
          <t>Ipac Bachelor Factory</t>
        </is>
      </c>
      <c r="I11" t="n">
        <v>1000</v>
      </c>
    </row>
    <row r="12">
      <c r="H12" s="1" t="inlineStr">
        <is>
          <t>Pigier</t>
        </is>
      </c>
      <c r="I12" t="n">
        <v>1000</v>
      </c>
    </row>
    <row r="13">
      <c r="H13" s="1" t="inlineStr">
        <is>
          <t>Tunon</t>
        </is>
      </c>
      <c r="I13" t="n">
        <v>1000</v>
      </c>
    </row>
    <row r="20">
      <c r="I20" s="1" t="inlineStr">
        <is>
          <t>Cadrage</t>
        </is>
      </c>
      <c r="J20" s="1" t="inlineStr">
        <is>
          <t>Optimiste</t>
        </is>
      </c>
      <c r="K20" s="1" t="inlineStr">
        <is>
          <t>Prudent</t>
        </is>
      </c>
    </row>
    <row r="21">
      <c r="H21" s="1" t="inlineStr">
        <is>
          <t>Variation du budget d'acquisition → leads payants</t>
        </is>
      </c>
      <c r="I21" s="20" t="n">
        <v>1000</v>
      </c>
      <c r="J21" s="20" t="n">
        <v>1000</v>
      </c>
      <c r="K21" s="20" t="n">
        <v>1000</v>
      </c>
    </row>
    <row r="22">
      <c r="H22" s="1" t="inlineStr">
        <is>
          <t>Variation du budget de marque → socle organique</t>
        </is>
      </c>
      <c r="I22" s="20" t="n">
        <v>1000</v>
      </c>
      <c r="J22" s="20" t="n">
        <v>1000</v>
      </c>
      <c r="K22" s="20" t="n">
        <v>1000</v>
      </c>
      <c r="O22" s="11" t="inlineStr">
        <is>
          <t>Indice prix par ville — déduit du réalisé</t>
        </is>
      </c>
    </row>
    <row r="23" ht="27.75" customHeight="1">
      <c r="H23" s="1" t="inlineStr">
        <is>
          <t>Hausse tarifaire (prix)</t>
        </is>
      </c>
      <c r="I23" s="20" t="n">
        <v>1000</v>
      </c>
      <c r="J23" s="20" t="n">
        <v>1000</v>
      </c>
      <c r="K23" s="20" t="n">
        <v>1000</v>
      </c>
      <c r="O23" s="4" t="inlineStr">
        <is>
          <t>Ville</t>
        </is>
      </c>
      <c r="P23" s="4" t="inlineStr">
        <is>
          <t>Prix moyen</t>
        </is>
      </c>
      <c r="Q23" s="4" t="inlineStr">
        <is>
          <t>Indice /national</t>
        </is>
      </c>
    </row>
    <row r="24">
      <c r="H24" s="1" t="inlineStr">
        <is>
          <t>Gain du taux de conversion Lead → Candidature</t>
        </is>
      </c>
      <c r="I24" s="20" t="n">
        <v>1000</v>
      </c>
      <c r="J24" s="20" t="n">
        <v>1000</v>
      </c>
      <c r="K24" s="20" t="n">
        <v>1000</v>
      </c>
      <c r="O24" s="5" t="inlineStr">
        <is>
          <t>Paris</t>
        </is>
      </c>
      <c r="P24" s="21" t="n">
        <v>8126</v>
      </c>
      <c r="Q24" s="7" t="n">
        <v>1.1</v>
      </c>
    </row>
    <row r="25">
      <c r="H25" s="1" t="inlineStr">
        <is>
          <t>Gain du taux de conversion Admis → Inscrit</t>
        </is>
      </c>
      <c r="I25" s="20" t="n">
        <v>1000</v>
      </c>
      <c r="J25" s="20" t="n">
        <v>1000</v>
      </c>
      <c r="K25" s="20" t="n">
        <v>1000</v>
      </c>
      <c r="O25" s="5" t="inlineStr">
        <is>
          <t>Lyon</t>
        </is>
      </c>
      <c r="P25" s="21" t="n">
        <v>7363</v>
      </c>
      <c r="Q25" s="7" t="n">
        <v>0.996</v>
      </c>
    </row>
    <row r="26">
      <c r="H26" s="1" t="inlineStr">
        <is>
          <t>Amélioration du taux de passage</t>
        </is>
      </c>
      <c r="I26" s="20" t="n">
        <v>1000</v>
      </c>
      <c r="J26" s="20" t="n">
        <v>1000</v>
      </c>
      <c r="K26" s="20" t="n">
        <v>1000</v>
      </c>
      <c r="O26" s="5" t="inlineStr">
        <is>
          <t>Nantes</t>
        </is>
      </c>
      <c r="P26" s="21" t="n">
        <v>7204</v>
      </c>
      <c r="Q26" s="7" t="n">
        <v>0.975</v>
      </c>
    </row>
    <row r="27">
      <c r="H27" s="1" t="inlineStr">
        <is>
          <t>Inflation des charges externes</t>
        </is>
      </c>
      <c r="I27" s="20" t="n">
        <v>1000</v>
      </c>
      <c r="J27" s="20" t="n">
        <v>1000</v>
      </c>
      <c r="K27" s="20" t="n">
        <v>1000</v>
      </c>
      <c r="O27" s="5" t="inlineStr">
        <is>
          <t>Lille</t>
        </is>
      </c>
      <c r="P27" s="21" t="n">
        <v>7159</v>
      </c>
      <c r="Q27" s="7" t="n">
        <v>0.969</v>
      </c>
    </row>
    <row r="28">
      <c r="H28" s="1" t="inlineStr">
        <is>
          <t>Politique salariale sur la masse permanente</t>
        </is>
      </c>
      <c r="I28" s="20" t="n">
        <v>1000</v>
      </c>
      <c r="J28" s="20" t="n">
        <v>1000</v>
      </c>
      <c r="K28" s="20" t="n">
        <v>1000</v>
      </c>
      <c r="O28" s="5" t="inlineStr">
        <is>
          <t>Toulouse</t>
        </is>
      </c>
      <c r="P28" s="21" t="n">
        <v>7011</v>
      </c>
      <c r="Q28" s="7" t="n">
        <v>0.949</v>
      </c>
    </row>
    <row r="29">
      <c r="H29" s="1" t="inlineStr">
        <is>
          <t>Variation des effectifs permanents</t>
        </is>
      </c>
      <c r="I29" s="20" t="n">
        <v>1000</v>
      </c>
      <c r="J29" s="20" t="n">
        <v>1000</v>
      </c>
      <c r="K29" s="20" t="n">
        <v>1000</v>
      </c>
      <c r="O29" s="5" t="inlineStr">
        <is>
          <t>Bordeaux</t>
        </is>
      </c>
      <c r="P29" s="21" t="n">
        <v>6802</v>
      </c>
      <c r="Q29" s="7" t="n">
        <v>0.921</v>
      </c>
    </row>
    <row r="30">
      <c r="H30" s="1" t="inlineStr">
        <is>
          <t>Effort de productivité sur les achats et la structure</t>
        </is>
      </c>
      <c r="I30" s="20" t="n">
        <v>1000</v>
      </c>
      <c r="J30" s="20" t="n">
        <v>1000</v>
      </c>
      <c r="K30" s="20" t="n">
        <v>1000</v>
      </c>
      <c r="O30" s="5" t="inlineStr">
        <is>
          <t>Rennes</t>
        </is>
      </c>
      <c r="P30" s="21" t="n">
        <v>6650</v>
      </c>
      <c r="Q30" s="7" t="n">
        <v>0.9</v>
      </c>
    </row>
    <row r="31">
      <c r="H31" s="1" t="inlineStr">
        <is>
          <t>Variation des coûts de structure (loyers, IT, siège…)</t>
        </is>
      </c>
      <c r="I31" s="20" t="n">
        <v>1000</v>
      </c>
      <c r="J31" s="20" t="n">
        <v>1000</v>
      </c>
      <c r="K31" s="20" t="n">
        <v>1000</v>
      </c>
      <c r="O31" s="5" t="inlineStr">
        <is>
          <t>Montpellier</t>
        </is>
      </c>
      <c r="P31" s="21" t="n">
        <v>6650</v>
      </c>
      <c r="Q31" s="7" t="n">
        <v>0.9</v>
      </c>
    </row>
    <row r="36">
      <c r="I36" s="1" t="inlineStr">
        <is>
          <t>Cadrage</t>
        </is>
      </c>
      <c r="J36" s="1" t="inlineStr">
        <is>
          <t>Optimiste</t>
        </is>
      </c>
      <c r="K36" s="1" t="inlineStr">
        <is>
          <t>Prudent</t>
        </is>
      </c>
    </row>
    <row r="37">
      <c r="H37" s="1" t="inlineStr">
        <is>
          <t>Frais de dossier par nouvel inscrit</t>
        </is>
      </c>
      <c r="I37" s="22" t="n">
        <v>1000</v>
      </c>
      <c r="J37" s="22" t="n">
        <v>1000</v>
      </c>
      <c r="K37" s="22" t="n">
        <v>1000</v>
      </c>
    </row>
    <row r="42">
      <c r="H42" s="1" t="inlineStr">
        <is>
          <t>Budget 2026 - version 1</t>
        </is>
      </c>
    </row>
    <row r="43">
      <c r="G43" s="1" t="inlineStr">
        <is>
          <t>Chiffre d'affaires</t>
        </is>
      </c>
      <c r="H43" t="n">
        <v>1000</v>
      </c>
    </row>
    <row r="44">
      <c r="G44" s="1" t="inlineStr">
        <is>
          <t>Coûts directs évitables</t>
        </is>
      </c>
      <c r="H44" t="n">
        <v>1000</v>
      </c>
    </row>
    <row r="45">
      <c r="H45">
        <f>H43-H44</f>
        <v/>
      </c>
    </row>
    <row r="46">
      <c r="G46" s="1" t="inlineStr">
        <is>
          <t>Structure (non-évitable)</t>
        </is>
      </c>
      <c r="H46" t="n">
        <v>1000</v>
      </c>
    </row>
    <row r="50">
      <c r="H50" s="1" t="inlineStr">
        <is>
          <t>Référence</t>
        </is>
      </c>
    </row>
    <row r="51">
      <c r="G51" s="1" t="inlineStr">
        <is>
          <t>Chiffre d'affaires</t>
        </is>
      </c>
      <c r="H51" s="19" t="n">
        <v>1000</v>
      </c>
    </row>
    <row r="52">
      <c r="G52" s="1" t="inlineStr">
        <is>
          <t>EBITDA</t>
        </is>
      </c>
      <c r="H52" s="19" t="n">
        <v>1000</v>
      </c>
    </row>
    <row r="53" hidden="1">
      <c r="H53" s="1" t="inlineStr">
        <is>
          <t>2026</t>
        </is>
      </c>
    </row>
    <row r="54">
      <c r="G54" s="1" t="inlineStr">
        <is>
          <t>Effectif</t>
        </is>
      </c>
      <c r="H54" s="19" t="n">
        <v>1000</v>
      </c>
    </row>
    <row r="60" hidden="1">
      <c r="H60" s="1" t="inlineStr">
        <is>
          <t>2027</t>
        </is>
      </c>
    </row>
    <row r="61">
      <c r="G61" s="1" t="inlineStr">
        <is>
          <t>Croissance CA cible :</t>
        </is>
      </c>
      <c r="H61" t="n">
        <v>1000</v>
      </c>
    </row>
    <row r="62">
      <c r="G62" s="1" t="inlineStr">
        <is>
          <t>Marge EBITDA cible :</t>
        </is>
      </c>
      <c r="H62" t="n">
        <v>1000</v>
      </c>
    </row>
  </sheetData>
  <mergeCells count="1">
    <mergeCell ref="O22:R2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9"/>
  <sheetViews>
    <sheetView topLeftCell="B1" workbookViewId="0">
      <selection activeCell="E8" sqref="E8:E10"/>
    </sheetView>
  </sheetViews>
  <sheetFormatPr baseColWidth="10" defaultRowHeight="14.25"/>
  <cols>
    <col hidden="1" width="13" customWidth="1" min="1" max="1"/>
    <col width="13.265625" bestFit="1" customWidth="1" min="7" max="7"/>
    <col width="15" customWidth="1" min="17" max="17"/>
    <col width="13" customWidth="1" min="18" max="18"/>
    <col width="14" customWidth="1" min="19" max="19"/>
    <col width="14" customWidth="1" min="20" max="20"/>
    <col width="14" customWidth="1" min="21" max="21"/>
  </cols>
  <sheetData>
    <row r="1">
      <c r="A1" t="inlineStr">
        <is>
          <t>Chiffres d'affaires</t>
        </is>
      </c>
    </row>
    <row r="2">
      <c r="A2" t="inlineStr">
        <is>
          <t>Effectif</t>
        </is>
      </c>
    </row>
    <row r="3">
      <c r="A3" t="inlineStr">
        <is>
          <t>Nombre de classes</t>
        </is>
      </c>
    </row>
    <row r="7">
      <c r="D7" s="1" t="inlineStr">
        <is>
          <t>Paramètre</t>
        </is>
      </c>
      <c r="E7" s="1" t="inlineStr">
        <is>
          <t>Allocation Key</t>
        </is>
      </c>
      <c r="K7" s="1" t="n"/>
    </row>
    <row r="8">
      <c r="D8" s="1" t="inlineStr">
        <is>
          <t>ALLOC_BRAND_CAMP</t>
        </is>
      </c>
      <c r="E8" s="13" t="inlineStr">
        <is>
          <t>Effectif</t>
        </is>
      </c>
    </row>
    <row r="9">
      <c r="D9" s="1" t="inlineStr">
        <is>
          <t>ALLOC_GRP_BRAND</t>
        </is>
      </c>
      <c r="E9" s="13" t="inlineStr">
        <is>
          <t>Chiffre d'affaires</t>
        </is>
      </c>
    </row>
    <row r="10">
      <c r="D10" s="1" t="inlineStr">
        <is>
          <t>ALLOC_CAMP_CLASS</t>
        </is>
      </c>
      <c r="E10" s="13" t="inlineStr">
        <is>
          <t>Nombre de classes</t>
        </is>
      </c>
      <c r="Q10" s="23" t="inlineStr">
        <is>
          <t>Formules vivantes (à côté de Tagetik) — recalculent dès qu on bouge le CAP_RETENU (M) ; Δ=0 =&gt; Tagetik OK</t>
        </is>
      </c>
    </row>
    <row r="12">
      <c r="D12" s="1" t="inlineStr">
        <is>
          <t>SCENARIO</t>
        </is>
      </c>
      <c r="E12" s="1" t="inlineStr">
        <is>
          <t>PERIODE</t>
        </is>
      </c>
      <c r="F12" s="1" t="inlineStr">
        <is>
          <t>ENTITY</t>
        </is>
      </c>
      <c r="G12" s="1" t="inlineStr">
        <is>
          <t>CAC_MARGINAL</t>
        </is>
      </c>
      <c r="H12" s="1" t="inlineStr">
        <is>
          <t>CROISS_LEADS</t>
        </is>
      </c>
      <c r="I12" s="1" t="inlineStr">
        <is>
          <t>INTENSITE_MKT</t>
        </is>
      </c>
      <c r="J12" s="1" t="inlineStr">
        <is>
          <t>CAP_EFF</t>
        </is>
      </c>
      <c r="K12" s="1" t="inlineStr">
        <is>
          <t>CAP_MOM</t>
        </is>
      </c>
      <c r="L12" s="1" t="inlineStr">
        <is>
          <t>CAP_POT</t>
        </is>
      </c>
      <c r="M12" s="1" t="inlineStr">
        <is>
          <t>CAP_RETENU</t>
        </is>
      </c>
      <c r="N12" s="1" t="inlineStr">
        <is>
          <t>BUDGET_ACQ_REF</t>
        </is>
      </c>
      <c r="O12" s="1" t="inlineStr">
        <is>
          <t>BUDGET_ACQ_REJOUE</t>
        </is>
      </c>
      <c r="Q12" s="24" t="inlineStr">
        <is>
          <t>🟢 REJOUE (live)</t>
        </is>
      </c>
      <c r="R12" s="24" t="inlineStr">
        <is>
          <t>Δ vs Tagetik</t>
        </is>
      </c>
      <c r="S12" s="24" t="inlineStr">
        <is>
          <t>CAP_EFF (live)</t>
        </is>
      </c>
      <c r="T12" s="24" t="inlineStr">
        <is>
          <t>CAP_MOM (live)</t>
        </is>
      </c>
      <c r="U12" s="24" t="inlineStr">
        <is>
          <t>CAP_POT (live)</t>
        </is>
      </c>
    </row>
    <row r="13">
      <c r="D13" s="1" t="inlineStr">
        <is>
          <t>2027BUD_V1</t>
        </is>
      </c>
      <c r="E13" s="1" t="inlineStr">
        <is>
          <t>12</t>
        </is>
      </c>
      <c r="F13" s="1" t="inlineStr">
        <is>
          <t>MBWAY_PAR</t>
        </is>
      </c>
      <c r="G13" s="1" t="n">
        <v>1475.012479769</v>
      </c>
      <c r="H13" s="1" t="n">
        <v>0.110736369</v>
      </c>
      <c r="I13" s="1" t="n">
        <v>0.021756764</v>
      </c>
      <c r="J13" s="1" t="n">
        <v>0.814980798</v>
      </c>
      <c r="K13" s="1" t="n">
        <v>1.059705386</v>
      </c>
      <c r="L13" s="1" t="n">
        <v>0.864730652</v>
      </c>
      <c r="M13" s="13" t="n">
        <v>1</v>
      </c>
      <c r="N13" s="1" t="n">
        <v>68291</v>
      </c>
      <c r="O13" s="1" t="n">
        <v>68291</v>
      </c>
      <c r="Q13" s="25">
        <f>N13*M13*(SUM($N$13:$N$26)/SUMPRODUCT($N$13:$N$26,$M$13:$M$26))</f>
        <v/>
      </c>
      <c r="R13" s="25">
        <f>Q13-O13</f>
        <v/>
      </c>
      <c r="S13" s="26">
        <f>(1/G13)*COUNT($G$13:$G$26)/SUMPRODUCT(1/$G$13:$G$26)</f>
        <v/>
      </c>
      <c r="T13" s="26">
        <f>H13/AVERAGE($H$13:$H$26)</f>
        <v/>
      </c>
      <c r="U13" s="26">
        <f>(1/I13)*COUNT($I$13:$I$26)/SUMPRODUCT(1/$I$13:$I$26)</f>
        <v/>
      </c>
    </row>
    <row r="14">
      <c r="C14" s="1" t="n"/>
      <c r="D14" s="1" t="inlineStr">
        <is>
          <t>2027BUD_V1</t>
        </is>
      </c>
      <c r="E14" s="1" t="inlineStr">
        <is>
          <t>12</t>
        </is>
      </c>
      <c r="F14" s="1" t="inlineStr">
        <is>
          <t>MBWAY_LYO</t>
        </is>
      </c>
      <c r="G14" s="1" t="n">
        <v>1101.595038606</v>
      </c>
      <c r="H14" s="1" t="n">
        <v>0.118871726</v>
      </c>
      <c r="I14" s="1" t="n">
        <v>0.016735257</v>
      </c>
      <c r="J14" s="1" t="n">
        <v>1.091242068</v>
      </c>
      <c r="K14" s="1" t="n">
        <v>1.137557695</v>
      </c>
      <c r="L14" s="1" t="n">
        <v>1.124197873</v>
      </c>
      <c r="M14" s="13" t="n">
        <v>1</v>
      </c>
      <c r="N14" s="1" t="n">
        <v>41783</v>
      </c>
      <c r="O14" s="1" t="n">
        <v>41783</v>
      </c>
      <c r="Q14" s="25">
        <f>N14*M14*(SUM($N$13:$N$26)/SUMPRODUCT($N$13:$N$26,$M$13:$M$26))</f>
        <v/>
      </c>
      <c r="R14" s="25">
        <f>Q14-O14</f>
        <v/>
      </c>
      <c r="S14" s="26">
        <f>(1/G14)*COUNT($G$13:$G$26)/SUMPRODUCT(1/$G$13:$G$26)</f>
        <v/>
      </c>
      <c r="T14" s="26">
        <f>H14/AVERAGE($H$13:$H$26)</f>
        <v/>
      </c>
      <c r="U14" s="26">
        <f>(1/I14)*COUNT($I$13:$I$26)/SUMPRODUCT(1/$I$13:$I$26)</f>
        <v/>
      </c>
    </row>
    <row r="15">
      <c r="D15" s="1" t="inlineStr">
        <is>
          <t>2027BUD_V1</t>
        </is>
      </c>
      <c r="E15" s="1" t="inlineStr">
        <is>
          <t>12</t>
        </is>
      </c>
      <c r="F15" s="1" t="inlineStr">
        <is>
          <t>MBWAY_NAN</t>
        </is>
      </c>
      <c r="G15" s="1" t="n">
        <v>963.56901165</v>
      </c>
      <c r="H15" s="1" t="n">
        <v>0.123795404</v>
      </c>
      <c r="I15" s="1" t="n">
        <v>0.01461011</v>
      </c>
      <c r="J15" s="1" t="n">
        <v>1.247556566</v>
      </c>
      <c r="K15" s="1" t="n">
        <v>1.184675441</v>
      </c>
      <c r="L15" s="1" t="n">
        <v>1.287720671</v>
      </c>
      <c r="M15" s="13" t="n">
        <v>1</v>
      </c>
      <c r="N15" s="1" t="n">
        <v>31533</v>
      </c>
      <c r="O15" s="1" t="n">
        <v>31533</v>
      </c>
      <c r="Q15" s="25">
        <f>N15*M15*(SUM($N$13:$N$26)/SUMPRODUCT($N$13:$N$26,$M$13:$M$26))</f>
        <v/>
      </c>
      <c r="R15" s="25">
        <f>Q15-O15</f>
        <v/>
      </c>
      <c r="S15" s="26">
        <f>(1/G15)*COUNT($G$13:$G$26)/SUMPRODUCT(1/$G$13:$G$26)</f>
        <v/>
      </c>
      <c r="T15" s="26">
        <f>H15/AVERAGE($H$13:$H$26)</f>
        <v/>
      </c>
      <c r="U15" s="26">
        <f>(1/I15)*COUNT($I$13:$I$26)/SUMPRODUCT(1/$I$13:$I$26)</f>
        <v/>
      </c>
    </row>
    <row r="16">
      <c r="D16" s="1" t="inlineStr">
        <is>
          <t>2027BUD_V1</t>
        </is>
      </c>
      <c r="E16" s="1" t="inlineStr">
        <is>
          <t>12</t>
        </is>
      </c>
      <c r="F16" s="1" t="inlineStr">
        <is>
          <t>MBWAY_BOR</t>
        </is>
      </c>
      <c r="G16" s="1" t="n">
        <v>889.585343434</v>
      </c>
      <c r="H16" s="1" t="n">
        <v>0.126094571</v>
      </c>
      <c r="I16" s="1" t="n">
        <v>0.014052131</v>
      </c>
      <c r="J16" s="1" t="n">
        <v>1.351311436</v>
      </c>
      <c r="K16" s="1" t="n">
        <v>1.206677603</v>
      </c>
      <c r="L16" s="1" t="n">
        <v>1.338853192</v>
      </c>
      <c r="M16" s="13" t="n">
        <v>1</v>
      </c>
      <c r="N16" s="1" t="n">
        <v>24923</v>
      </c>
      <c r="O16" s="1" t="n">
        <v>24923</v>
      </c>
      <c r="Q16" s="25">
        <f>N16*M16*(SUM($N$13:$N$26)/SUMPRODUCT($N$13:$N$26,$M$13:$M$26))</f>
        <v/>
      </c>
      <c r="R16" s="25">
        <f>Q16-O16</f>
        <v/>
      </c>
      <c r="S16" s="26">
        <f>(1/G16)*COUNT($G$13:$G$26)/SUMPRODUCT(1/$G$13:$G$26)</f>
        <v/>
      </c>
      <c r="T16" s="26">
        <f>H16/AVERAGE($H$13:$H$26)</f>
        <v/>
      </c>
      <c r="U16" s="26">
        <f>(1/I16)*COUNT($I$13:$I$26)/SUMPRODUCT(1/$I$13:$I$26)</f>
        <v/>
      </c>
    </row>
    <row r="17">
      <c r="D17" s="1" t="inlineStr">
        <is>
          <t>2027BUD_V1</t>
        </is>
      </c>
      <c r="E17" s="1" t="inlineStr">
        <is>
          <t>12</t>
        </is>
      </c>
      <c r="F17" s="1" t="inlineStr">
        <is>
          <t>ISCOM_PAR</t>
        </is>
      </c>
      <c r="G17" s="1" t="n">
        <v>1540.321235495</v>
      </c>
      <c r="H17" s="1" t="n">
        <v>0.077744807</v>
      </c>
      <c r="I17" s="1" t="n">
        <v>0.020902665</v>
      </c>
      <c r="J17" s="1" t="n">
        <v>0.78042607</v>
      </c>
      <c r="K17" s="1" t="n">
        <v>0.743988554</v>
      </c>
      <c r="L17" s="1" t="n">
        <v>0.900064194</v>
      </c>
      <c r="M17" s="13" t="n">
        <v>1</v>
      </c>
      <c r="N17" s="1" t="n">
        <v>60800</v>
      </c>
      <c r="O17" s="1" t="n">
        <v>60800</v>
      </c>
      <c r="Q17" s="25">
        <f>N17*M17*(SUM($N$13:$N$26)/SUMPRODUCT($N$13:$N$26,$M$13:$M$26))</f>
        <v/>
      </c>
      <c r="R17" s="25">
        <f>Q17-O17</f>
        <v/>
      </c>
      <c r="S17" s="26">
        <f>(1/G17)*COUNT($G$13:$G$26)/SUMPRODUCT(1/$G$13:$G$26)</f>
        <v/>
      </c>
      <c r="T17" s="26">
        <f>H17/AVERAGE($H$13:$H$26)</f>
        <v/>
      </c>
      <c r="U17" s="26">
        <f>(1/I17)*COUNT($I$13:$I$26)/SUMPRODUCT(1/$I$13:$I$26)</f>
        <v/>
      </c>
    </row>
    <row r="18">
      <c r="D18" s="1" t="inlineStr">
        <is>
          <t>2027BUD_V1</t>
        </is>
      </c>
      <c r="E18" s="1" t="inlineStr">
        <is>
          <t>12</t>
        </is>
      </c>
      <c r="F18" s="1" t="inlineStr">
        <is>
          <t>ISCOM_LIL</t>
        </is>
      </c>
      <c r="G18" s="1" t="n">
        <v>978.582537357</v>
      </c>
      <c r="H18" s="1" t="n">
        <v>0.081545064</v>
      </c>
      <c r="I18" s="1" t="n">
        <v>0.014363414</v>
      </c>
      <c r="J18" s="1" t="n">
        <v>1.22841641</v>
      </c>
      <c r="K18" s="1" t="n">
        <v>0.780355586</v>
      </c>
      <c r="L18" s="1" t="n">
        <v>1.309837672</v>
      </c>
      <c r="M18" s="13" t="n">
        <v>1</v>
      </c>
      <c r="N18" s="1" t="n">
        <v>25220</v>
      </c>
      <c r="O18" s="1" t="n">
        <v>25220</v>
      </c>
      <c r="Q18" s="25">
        <f>N18*M18*(SUM($N$13:$N$26)/SUMPRODUCT($N$13:$N$26,$M$13:$M$26))</f>
        <v/>
      </c>
      <c r="R18" s="25">
        <f>Q18-O18</f>
        <v/>
      </c>
      <c r="S18" s="26">
        <f>(1/G18)*COUNT($G$13:$G$26)/SUMPRODUCT(1/$G$13:$G$26)</f>
        <v/>
      </c>
      <c r="T18" s="26">
        <f>H18/AVERAGE($H$13:$H$26)</f>
        <v/>
      </c>
      <c r="U18" s="26">
        <f>(1/I18)*COUNT($I$13:$I$26)/SUMPRODUCT(1/$I$13:$I$26)</f>
        <v/>
      </c>
    </row>
    <row r="19">
      <c r="D19" s="1" t="inlineStr">
        <is>
          <t>2027BUD_V1</t>
        </is>
      </c>
      <c r="E19" s="1" t="inlineStr">
        <is>
          <t>12</t>
        </is>
      </c>
      <c r="F19" s="1" t="inlineStr">
        <is>
          <t>ISCOM_TLS</t>
        </is>
      </c>
      <c r="G19" s="1" t="n">
        <v>919.034906823</v>
      </c>
      <c r="H19" s="1" t="n">
        <v>0.082116788</v>
      </c>
      <c r="I19" s="1" t="n">
        <v>0.013564663</v>
      </c>
      <c r="J19" s="1" t="n">
        <v>1.308009999</v>
      </c>
      <c r="K19" s="1" t="n">
        <v>0.785826769</v>
      </c>
      <c r="L19" s="1" t="n">
        <v>1.386967038</v>
      </c>
      <c r="M19" s="13" t="n">
        <v>1</v>
      </c>
      <c r="N19" s="1" t="n">
        <v>22083</v>
      </c>
      <c r="O19" s="1" t="n">
        <v>22083</v>
      </c>
      <c r="Q19" s="25">
        <f>N19*M19*(SUM($N$13:$N$26)/SUMPRODUCT($N$13:$N$26,$M$13:$M$26))</f>
        <v/>
      </c>
      <c r="R19" s="25">
        <f>Q19-O19</f>
        <v/>
      </c>
      <c r="S19" s="26">
        <f>(1/G19)*COUNT($G$13:$G$26)/SUMPRODUCT(1/$G$13:$G$26)</f>
        <v/>
      </c>
      <c r="T19" s="26">
        <f>H19/AVERAGE($H$13:$H$26)</f>
        <v/>
      </c>
      <c r="U19" s="26">
        <f>(1/I19)*COUNT($I$13:$I$26)/SUMPRODUCT(1/$I$13:$I$26)</f>
        <v/>
      </c>
    </row>
    <row r="20">
      <c r="D20" s="1" t="inlineStr">
        <is>
          <t>2027BUD_V1</t>
        </is>
      </c>
      <c r="E20" s="1" t="inlineStr">
        <is>
          <t>12</t>
        </is>
      </c>
      <c r="F20" s="1" t="inlineStr">
        <is>
          <t>IPAC_NAN</t>
        </is>
      </c>
      <c r="G20" s="1" t="n">
        <v>1216.282964719</v>
      </c>
      <c r="H20" s="1" t="n">
        <v>0.137884873</v>
      </c>
      <c r="I20" s="1" t="n">
        <v>0.021343796</v>
      </c>
      <c r="J20" s="1" t="n">
        <v>0.988344721</v>
      </c>
      <c r="K20" s="1" t="n">
        <v>1.319506356</v>
      </c>
      <c r="L20" s="1" t="n">
        <v>0.88146178</v>
      </c>
      <c r="M20" s="13" t="n">
        <v>1</v>
      </c>
      <c r="N20" s="1" t="n">
        <v>21760</v>
      </c>
      <c r="O20" s="1" t="n">
        <v>21760</v>
      </c>
      <c r="Q20" s="25">
        <f>N20*M20*(SUM($N$13:$N$26)/SUMPRODUCT($N$13:$N$26,$M$13:$M$26))</f>
        <v/>
      </c>
      <c r="R20" s="25">
        <f>Q20-O20</f>
        <v/>
      </c>
      <c r="S20" s="26">
        <f>(1/G20)*COUNT($G$13:$G$26)/SUMPRODUCT(1/$G$13:$G$26)</f>
        <v/>
      </c>
      <c r="T20" s="26">
        <f>H20/AVERAGE($H$13:$H$26)</f>
        <v/>
      </c>
      <c r="U20" s="26">
        <f>(1/I20)*COUNT($I$13:$I$26)/SUMPRODUCT(1/$I$13:$I$26)</f>
        <v/>
      </c>
    </row>
    <row r="21">
      <c r="D21" s="1" t="inlineStr">
        <is>
          <t>2027BUD_V1</t>
        </is>
      </c>
      <c r="E21" s="1" t="inlineStr">
        <is>
          <t>12</t>
        </is>
      </c>
      <c r="F21" s="1" t="inlineStr">
        <is>
          <t>IPAC_REN</t>
        </is>
      </c>
      <c r="G21" s="1" t="n">
        <v>1040.548379668</v>
      </c>
      <c r="H21" s="1" t="n">
        <v>0.144781145</v>
      </c>
      <c r="I21" s="1" t="n">
        <v>0.019104459</v>
      </c>
      <c r="J21" s="1" t="n">
        <v>1.155262812</v>
      </c>
      <c r="K21" s="1" t="n">
        <v>1.385501084</v>
      </c>
      <c r="L21" s="1" t="n">
        <v>0.984782708</v>
      </c>
      <c r="M21" s="13" t="n">
        <v>1</v>
      </c>
      <c r="N21" s="1" t="n">
        <v>14933</v>
      </c>
      <c r="O21" s="1" t="n">
        <v>14933</v>
      </c>
      <c r="Q21" s="25">
        <f>N21*M21*(SUM($N$13:$N$26)/SUMPRODUCT($N$13:$N$26,$M$13:$M$26))</f>
        <v/>
      </c>
      <c r="R21" s="25">
        <f>Q21-O21</f>
        <v/>
      </c>
      <c r="S21" s="26">
        <f>(1/G21)*COUNT($G$13:$G$26)/SUMPRODUCT(1/$G$13:$G$26)</f>
        <v/>
      </c>
      <c r="T21" s="26">
        <f>H21/AVERAGE($H$13:$H$26)</f>
        <v/>
      </c>
      <c r="U21" s="26">
        <f>(1/I21)*COUNT($I$13:$I$26)/SUMPRODUCT(1/$I$13:$I$26)</f>
        <v/>
      </c>
    </row>
    <row r="22">
      <c r="D22" s="1" t="inlineStr">
        <is>
          <t>2027BUD_V1</t>
        </is>
      </c>
      <c r="E22" s="1" t="inlineStr">
        <is>
          <t>12</t>
        </is>
      </c>
      <c r="F22" s="1" t="inlineStr">
        <is>
          <t>IPAC_MTP</t>
        </is>
      </c>
      <c r="G22" s="1" t="n">
        <v>1033.975700607</v>
      </c>
      <c r="H22" s="1" t="n">
        <v>0.144781145</v>
      </c>
      <c r="I22" s="1" t="n">
        <v>0.019417898</v>
      </c>
      <c r="J22" s="1" t="n">
        <v>1.162606478</v>
      </c>
      <c r="K22" s="1" t="n">
        <v>1.385501084</v>
      </c>
      <c r="L22" s="1" t="n">
        <v>0.968886559</v>
      </c>
      <c r="M22" s="13" t="n">
        <v>1</v>
      </c>
      <c r="N22" s="1" t="n">
        <v>15178</v>
      </c>
      <c r="O22" s="1" t="n">
        <v>15178</v>
      </c>
      <c r="Q22" s="25">
        <f>N22*M22*(SUM($N$13:$N$26)/SUMPRODUCT($N$13:$N$26,$M$13:$M$26))</f>
        <v/>
      </c>
      <c r="R22" s="25">
        <f>Q22-O22</f>
        <v/>
      </c>
      <c r="S22" s="26">
        <f>(1/G22)*COUNT($G$13:$G$26)/SUMPRODUCT(1/$G$13:$G$26)</f>
        <v/>
      </c>
      <c r="T22" s="26">
        <f>H22/AVERAGE($H$13:$H$26)</f>
        <v/>
      </c>
      <c r="U22" s="26">
        <f>(1/I22)*COUNT($I$13:$I$26)/SUMPRODUCT(1/$I$13:$I$26)</f>
        <v/>
      </c>
    </row>
    <row r="23">
      <c r="D23" s="1" t="inlineStr">
        <is>
          <t>2027BUD_V1</t>
        </is>
      </c>
      <c r="E23" s="1" t="inlineStr">
        <is>
          <t>12</t>
        </is>
      </c>
      <c r="F23" s="1" t="inlineStr">
        <is>
          <t>PIGIER_LYO</t>
        </is>
      </c>
      <c r="G23" s="1" t="n">
        <v>1704.963778272</v>
      </c>
      <c r="H23" s="1" t="n">
        <v>0.08500345500000001</v>
      </c>
      <c r="I23" s="1" t="n">
        <v>0.029279528</v>
      </c>
      <c r="J23" s="1" t="n">
        <v>0.705062983</v>
      </c>
      <c r="K23" s="1" t="n">
        <v>0.813451088</v>
      </c>
      <c r="L23" s="1" t="n">
        <v>0.6425561400000001</v>
      </c>
      <c r="M23" s="13" t="n">
        <v>1</v>
      </c>
      <c r="N23" s="1" t="n">
        <v>36612</v>
      </c>
      <c r="O23" s="1" t="n">
        <v>36612</v>
      </c>
      <c r="Q23" s="25">
        <f>N23*M23*(SUM($N$13:$N$26)/SUMPRODUCT($N$13:$N$26,$M$13:$M$26))</f>
        <v/>
      </c>
      <c r="R23" s="25">
        <f>Q23-O23</f>
        <v/>
      </c>
      <c r="S23" s="26">
        <f>(1/G23)*COUNT($G$13:$G$26)/SUMPRODUCT(1/$G$13:$G$26)</f>
        <v/>
      </c>
      <c r="T23" s="26">
        <f>H23/AVERAGE($H$13:$H$26)</f>
        <v/>
      </c>
      <c r="U23" s="26">
        <f>(1/I23)*COUNT($I$13:$I$26)/SUMPRODUCT(1/$I$13:$I$26)</f>
        <v/>
      </c>
    </row>
    <row r="24">
      <c r="D24" s="1" t="inlineStr">
        <is>
          <t>2027BUD_V1</t>
        </is>
      </c>
      <c r="E24" s="1" t="inlineStr">
        <is>
          <t>12</t>
        </is>
      </c>
      <c r="F24" s="1" t="inlineStr">
        <is>
          <t>PIGIER_BOR</t>
        </is>
      </c>
      <c r="G24" s="1" t="n">
        <v>1368.07607826</v>
      </c>
      <c r="H24" s="1" t="n">
        <v>0.087533156</v>
      </c>
      <c r="I24" s="1" t="n">
        <v>0.024360439</v>
      </c>
      <c r="J24" s="1" t="n">
        <v>0.87868421</v>
      </c>
      <c r="K24" s="1" t="n">
        <v>0.837659375</v>
      </c>
      <c r="L24" s="1" t="n">
        <v>0.772307127</v>
      </c>
      <c r="M24" s="13" t="n">
        <v>1</v>
      </c>
      <c r="N24" s="1" t="n">
        <v>21968</v>
      </c>
      <c r="O24" s="1" t="n">
        <v>21968</v>
      </c>
      <c r="Q24" s="25">
        <f>N24*M24*(SUM($N$13:$N$26)/SUMPRODUCT($N$13:$N$26,$M$13:$M$26))</f>
        <v/>
      </c>
      <c r="R24" s="25">
        <f>Q24-O24</f>
        <v/>
      </c>
      <c r="S24" s="26">
        <f>(1/G24)*COUNT($G$13:$G$26)/SUMPRODUCT(1/$G$13:$G$26)</f>
        <v/>
      </c>
      <c r="T24" s="26">
        <f>H24/AVERAGE($H$13:$H$26)</f>
        <v/>
      </c>
      <c r="U24" s="26">
        <f>(1/I24)*COUNT($I$13:$I$26)/SUMPRODUCT(1/$I$13:$I$26)</f>
        <v/>
      </c>
    </row>
    <row r="25">
      <c r="D25" s="1" t="inlineStr">
        <is>
          <t>2027BUD_V1</t>
        </is>
      </c>
      <c r="E25" s="1" t="inlineStr">
        <is>
          <t>12</t>
        </is>
      </c>
      <c r="F25" s="1" t="inlineStr">
        <is>
          <t>TUNON_PAR</t>
        </is>
      </c>
      <c r="G25" s="1" t="n">
        <v>2192.892750688</v>
      </c>
      <c r="H25" s="1" t="n">
        <v>0.06951871699999999</v>
      </c>
      <c r="I25" s="1" t="n">
        <v>0.027841458</v>
      </c>
      <c r="J25" s="1" t="n">
        <v>0.548183146</v>
      </c>
      <c r="K25" s="1" t="n">
        <v>0.665267963</v>
      </c>
      <c r="L25" s="1" t="n">
        <v>0.675745507</v>
      </c>
      <c r="M25" s="13" t="n">
        <v>1</v>
      </c>
      <c r="N25" s="1" t="n">
        <v>30240</v>
      </c>
      <c r="O25" s="1" t="n">
        <v>30240</v>
      </c>
      <c r="Q25" s="25">
        <f>N25*M25*(SUM($N$13:$N$26)/SUMPRODUCT($N$13:$N$26,$M$13:$M$26))</f>
        <v/>
      </c>
      <c r="R25" s="25">
        <f>Q25-O25</f>
        <v/>
      </c>
      <c r="S25" s="26">
        <f>(1/G25)*COUNT($G$13:$G$26)/SUMPRODUCT(1/$G$13:$G$26)</f>
        <v/>
      </c>
      <c r="T25" s="26">
        <f>H25/AVERAGE($H$13:$H$26)</f>
        <v/>
      </c>
      <c r="U25" s="26">
        <f>(1/I25)*COUNT($I$13:$I$26)/SUMPRODUCT(1/$I$13:$I$26)</f>
        <v/>
      </c>
    </row>
    <row r="26">
      <c r="D26" s="1" t="inlineStr">
        <is>
          <t>2027BUD_V1</t>
        </is>
      </c>
      <c r="E26" s="1" t="inlineStr">
        <is>
          <t>12</t>
        </is>
      </c>
      <c r="F26" s="1" t="inlineStr">
        <is>
          <t>TUNON_LYO</t>
        </is>
      </c>
      <c r="G26" t="n">
        <v>1624.66125095</v>
      </c>
      <c r="H26" t="n">
        <v>0.072555205</v>
      </c>
      <c r="I26" t="n">
        <v>0.021828499</v>
      </c>
      <c r="J26" t="n">
        <v>0.739912303</v>
      </c>
      <c r="K26" t="n">
        <v>0.694326015</v>
      </c>
      <c r="L26" t="n">
        <v>0.861888887</v>
      </c>
      <c r="M26" s="14" t="n">
        <v>1</v>
      </c>
      <c r="N26" t="n">
        <v>18850</v>
      </c>
      <c r="O26" t="n">
        <v>18850</v>
      </c>
      <c r="Q26" s="25">
        <f>N26*M26*(SUM($N$13:$N$26)/SUMPRODUCT($N$13:$N$26,$M$13:$M$26))</f>
        <v/>
      </c>
      <c r="R26" s="25">
        <f>Q26-O26</f>
        <v/>
      </c>
      <c r="S26" s="26">
        <f>(1/G26)*COUNT($G$13:$G$26)/SUMPRODUCT(1/$G$13:$G$26)</f>
        <v/>
      </c>
      <c r="T26" s="26">
        <f>H26/AVERAGE($H$13:$H$26)</f>
        <v/>
      </c>
      <c r="U26" s="26">
        <f>(1/I26)*COUNT($I$13:$I$26)/SUMPRODUCT(1/$I$13:$I$26)</f>
        <v/>
      </c>
    </row>
    <row r="27"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</row>
    <row r="29">
      <c r="D29" s="1" t="n"/>
      <c r="E29" s="1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4"/>
  <sheetViews>
    <sheetView topLeftCell="B1" workbookViewId="0">
      <selection activeCell="D12" sqref="D12:O13"/>
    </sheetView>
  </sheetViews>
  <sheetFormatPr baseColWidth="10" defaultRowHeight="14.25"/>
  <cols>
    <col hidden="1" width="13" customWidth="1" min="1" max="1"/>
  </cols>
  <sheetData>
    <row r="1">
      <c r="A1" t="inlineStr">
        <is>
          <t>Chiffres d'affaires</t>
        </is>
      </c>
    </row>
    <row r="2">
      <c r="A2" t="inlineStr">
        <is>
          <t>Effectif</t>
        </is>
      </c>
    </row>
    <row r="3">
      <c r="A3" t="inlineStr">
        <is>
          <t>Nombre de classes</t>
        </is>
      </c>
    </row>
    <row r="7">
      <c r="D7" s="1" t="inlineStr">
        <is>
          <t>Paramètre</t>
        </is>
      </c>
      <c r="E7" s="1" t="inlineStr">
        <is>
          <t>Allocation Key</t>
        </is>
      </c>
      <c r="K7" s="1" t="n"/>
    </row>
    <row r="8">
      <c r="D8" t="n">
        <v>1000</v>
      </c>
      <c r="E8" t="n">
        <v>1000</v>
      </c>
    </row>
    <row r="10">
      <c r="D10" s="1" t="n"/>
      <c r="E10" s="1" t="n"/>
    </row>
    <row r="12">
      <c r="D12" s="1" t="inlineStr">
        <is>
          <t>SCENARIO</t>
        </is>
      </c>
      <c r="E12" s="1" t="inlineStr">
        <is>
          <t>PERIODE</t>
        </is>
      </c>
      <c r="F12" s="1" t="inlineStr">
        <is>
          <t>ENTITY</t>
        </is>
      </c>
      <c r="G12" s="1" t="inlineStr">
        <is>
          <t>CAC_MARGINAL</t>
        </is>
      </c>
      <c r="H12" s="1" t="inlineStr">
        <is>
          <t>CROISS_LEADS</t>
        </is>
      </c>
      <c r="I12" s="1" t="inlineStr">
        <is>
          <t>INTENSITE_MKT</t>
        </is>
      </c>
      <c r="J12" s="1" t="inlineStr">
        <is>
          <t>CAP_EFF</t>
        </is>
      </c>
      <c r="K12" s="1" t="inlineStr">
        <is>
          <t>CAP_MOM</t>
        </is>
      </c>
      <c r="L12" s="1" t="inlineStr">
        <is>
          <t>CAP_POT</t>
        </is>
      </c>
      <c r="M12" s="1" t="inlineStr">
        <is>
          <t>CAP_RETENU</t>
        </is>
      </c>
      <c r="N12" s="1" t="inlineStr">
        <is>
          <t>BUDGET_ACQ_REF</t>
        </is>
      </c>
      <c r="O12" s="1" t="inlineStr">
        <is>
          <t>BUDGET_ACQ_REJOUE</t>
        </is>
      </c>
    </row>
    <row r="13">
      <c r="D13" t="n">
        <v>1000</v>
      </c>
      <c r="E13" t="n">
        <v>1000</v>
      </c>
      <c r="F13" t="n">
        <v>1000</v>
      </c>
      <c r="G13" t="n">
        <v>1000</v>
      </c>
      <c r="H13" t="n">
        <v>1000</v>
      </c>
      <c r="I13" t="n">
        <v>1000</v>
      </c>
      <c r="J13" t="n">
        <v>1000</v>
      </c>
      <c r="K13" t="n">
        <v>1000</v>
      </c>
      <c r="L13" t="n">
        <v>1000</v>
      </c>
      <c r="M13" t="n">
        <v>1000</v>
      </c>
      <c r="N13" t="n">
        <v>1000</v>
      </c>
      <c r="O13" t="n">
        <v>1000</v>
      </c>
    </row>
    <row r="14"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175"/>
  <sheetViews>
    <sheetView workbookViewId="0">
      <selection activeCell="A2" sqref="A2"/>
    </sheetView>
  </sheetViews>
  <sheetFormatPr baseColWidth="10" defaultRowHeight="14.25"/>
  <sheetData>
    <row r="1">
      <c r="A1" s="1" t="inlineStr">
        <is>
          <t>SCENARIO</t>
        </is>
      </c>
      <c r="B1" s="1" t="inlineStr">
        <is>
          <t>PERIODE</t>
        </is>
      </c>
      <c r="C1" s="1" t="inlineStr">
        <is>
          <t>ENTITY</t>
        </is>
      </c>
      <c r="D1" s="1" t="inlineStr">
        <is>
          <t>PROGRAMME</t>
        </is>
      </c>
      <c r="E1" s="1" t="inlineStr">
        <is>
          <t>AN_ETUDE</t>
        </is>
      </c>
      <c r="F1" s="1" t="inlineStr">
        <is>
          <t>MODALITE</t>
        </is>
      </c>
      <c r="G1" s="1" t="inlineStr">
        <is>
          <t>EXERCICE</t>
        </is>
      </c>
      <c r="H1" s="1" t="inlineStr">
        <is>
          <t>VOL_LEAD</t>
        </is>
      </c>
      <c r="I1" s="1" t="inlineStr">
        <is>
          <t>VOL_CAND</t>
        </is>
      </c>
      <c r="J1" s="1" t="inlineStr">
        <is>
          <t>VOL_ADMIS</t>
        </is>
      </c>
      <c r="K1" s="1" t="inlineStr">
        <is>
          <t>VOL_NEW</t>
        </is>
      </c>
      <c r="L1" s="1" t="inlineStr">
        <is>
          <t>VOL_REINS</t>
        </is>
      </c>
      <c r="M1" s="1" t="inlineStr">
        <is>
          <t>VOL_EFF</t>
        </is>
      </c>
      <c r="N1" s="1" t="inlineStr">
        <is>
          <t>VOL_EFF_INF</t>
        </is>
      </c>
      <c r="O1" s="1" t="inlineStr">
        <is>
          <t>VOL_CLASS</t>
        </is>
      </c>
      <c r="P1" s="1" t="inlineStr">
        <is>
          <t>REV_STUD</t>
        </is>
      </c>
      <c r="Q1" s="1" t="inlineStr">
        <is>
          <t>REV_FRAIS_INS</t>
        </is>
      </c>
      <c r="R1" s="1" t="inlineStr">
        <is>
          <t>VOL_LEAD_ORG</t>
        </is>
      </c>
      <c r="S1" s="1" t="inlineStr">
        <is>
          <t>VOL_LEAD_PAY</t>
        </is>
      </c>
      <c r="T1" s="1" t="inlineStr">
        <is>
          <t>DEPENSE_ACQ</t>
        </is>
      </c>
      <c r="U1" s="1" t="inlineStr">
        <is>
          <t>DEPENSE_MARQUE</t>
        </is>
      </c>
      <c r="V1" s="1" t="inlineStr">
        <is>
          <t>TX_PASSAGE</t>
        </is>
      </c>
      <c r="W1" s="1" t="inlineStr">
        <is>
          <t>TX_LEAD_CAND</t>
        </is>
      </c>
      <c r="X1" s="1" t="inlineStr">
        <is>
          <t>TX_CAND_ADMIS</t>
        </is>
      </c>
      <c r="Y1" s="1" t="inlineStr">
        <is>
          <t>TX_YIELD_ADMIS_INSC</t>
        </is>
      </c>
      <c r="Z1" s="1" t="inlineStr">
        <is>
          <t>VOL_LEAD_TOTAL</t>
        </is>
      </c>
      <c r="AA1" s="1" t="inlineStr">
        <is>
          <t>PART_ORG</t>
        </is>
      </c>
      <c r="AB1" s="1" t="inlineStr">
        <is>
          <t>CPL</t>
        </is>
      </c>
      <c r="AC1" s="1" t="inlineStr">
        <is>
          <t>CA</t>
        </is>
      </c>
    </row>
    <row r="2">
      <c r="A2" s="1" t="inlineStr">
        <is>
          <t>2027BUD_V1</t>
        </is>
      </c>
      <c r="B2" s="1" t="inlineStr">
        <is>
          <t>12</t>
        </is>
      </c>
      <c r="C2" s="1" t="inlineStr">
        <is>
          <t>MBWAY_PAR</t>
        </is>
      </c>
      <c r="D2" s="1" t="inlineStr">
        <is>
          <t>BAC_MGT</t>
        </is>
      </c>
      <c r="E2" s="1" t="inlineStr">
        <is>
          <t>B1</t>
        </is>
      </c>
      <c r="F2" s="1" t="inlineStr">
        <is>
          <t>INIT</t>
        </is>
      </c>
      <c r="G2" s="1" t="inlineStr">
        <is>
          <t>2026</t>
        </is>
      </c>
      <c r="H2" s="1" t="n">
        <v>646</v>
      </c>
      <c r="I2" s="1" t="n">
        <v>181</v>
      </c>
      <c r="J2" s="1" t="n">
        <v>130</v>
      </c>
      <c r="K2" s="1" t="n">
        <v>78</v>
      </c>
      <c r="L2" s="1" t="n">
        <v>0</v>
      </c>
      <c r="M2" s="1" t="n">
        <v>78</v>
      </c>
      <c r="N2" s="1" t="n">
        <v>0</v>
      </c>
      <c r="O2" s="1" t="n">
        <v>3</v>
      </c>
      <c r="P2" s="1" t="n">
        <v>8400</v>
      </c>
      <c r="Q2" s="1" t="n">
        <v>90</v>
      </c>
      <c r="R2" s="1" t="n">
        <v>232</v>
      </c>
      <c r="S2" s="1" t="n">
        <v>414</v>
      </c>
      <c r="T2" s="1" t="n">
        <v>22326</v>
      </c>
      <c r="U2" s="1" t="n">
        <v>21185</v>
      </c>
      <c r="V2" s="1" t="n">
        <v>0</v>
      </c>
      <c r="W2" s="1" t="n">
        <v>0.280185759</v>
      </c>
      <c r="X2" s="1" t="n">
        <v>0.718232044</v>
      </c>
      <c r="Y2" s="1" t="n">
        <v>0.6</v>
      </c>
      <c r="Z2" s="1" t="n">
        <v>646</v>
      </c>
      <c r="AA2" s="1" t="n">
        <v>0.359133127</v>
      </c>
      <c r="AB2" s="1" t="n">
        <v>53.927536232</v>
      </c>
      <c r="AC2" s="1" t="n">
        <v>662220</v>
      </c>
    </row>
    <row r="3">
      <c r="A3" s="1" t="inlineStr">
        <is>
          <t>2027BUD_V1</t>
        </is>
      </c>
      <c r="B3" s="1" t="inlineStr">
        <is>
          <t>12</t>
        </is>
      </c>
      <c r="C3" s="1" t="inlineStr">
        <is>
          <t>MBWAY_PAR</t>
        </is>
      </c>
      <c r="D3" s="1" t="inlineStr">
        <is>
          <t>BAC_MGT</t>
        </is>
      </c>
      <c r="E3" s="1" t="inlineStr">
        <is>
          <t>B2</t>
        </is>
      </c>
      <c r="F3" s="1" t="inlineStr">
        <is>
          <t>ALT</t>
        </is>
      </c>
      <c r="G3" s="1" t="inlineStr">
        <is>
          <t>2026</t>
        </is>
      </c>
      <c r="H3" s="1" t="n">
        <v>0</v>
      </c>
      <c r="I3" s="1" t="n">
        <v>0</v>
      </c>
      <c r="J3" s="1" t="n">
        <v>0</v>
      </c>
      <c r="K3" s="1" t="n">
        <v>0</v>
      </c>
      <c r="L3" s="1" t="n">
        <v>76</v>
      </c>
      <c r="M3" s="1" t="n">
        <v>76</v>
      </c>
      <c r="N3" s="1" t="n">
        <v>78</v>
      </c>
      <c r="O3" s="1" t="n">
        <v>3</v>
      </c>
      <c r="P3" s="1" t="n">
        <v>7840</v>
      </c>
      <c r="Q3" s="1" t="n">
        <v>90</v>
      </c>
      <c r="R3" s="1" t="n">
        <v>0</v>
      </c>
      <c r="S3" s="1" t="n">
        <v>0</v>
      </c>
      <c r="T3" s="1" t="n">
        <v>0</v>
      </c>
      <c r="U3" s="1" t="n">
        <v>0</v>
      </c>
      <c r="V3" s="1" t="n">
        <v>0.974358974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595840</v>
      </c>
    </row>
    <row r="4">
      <c r="A4" s="1" t="inlineStr">
        <is>
          <t>2027BUD_V1</t>
        </is>
      </c>
      <c r="B4" s="1" t="inlineStr">
        <is>
          <t>12</t>
        </is>
      </c>
      <c r="C4" s="1" t="inlineStr">
        <is>
          <t>MBWAY_PAR</t>
        </is>
      </c>
      <c r="D4" s="1" t="inlineStr">
        <is>
          <t>BAC_MGT</t>
        </is>
      </c>
      <c r="E4" s="1" t="inlineStr">
        <is>
          <t>B3</t>
        </is>
      </c>
      <c r="F4" s="1" t="inlineStr">
        <is>
          <t>ALT</t>
        </is>
      </c>
      <c r="G4" s="1" t="inlineStr">
        <is>
          <t>2026</t>
        </is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74</v>
      </c>
      <c r="M4" s="1" t="n">
        <v>74</v>
      </c>
      <c r="N4" s="1" t="n">
        <v>76</v>
      </c>
      <c r="O4" s="1" t="n">
        <v>3</v>
      </c>
      <c r="P4" s="1" t="n">
        <v>7840</v>
      </c>
      <c r="Q4" s="1" t="n">
        <v>90</v>
      </c>
      <c r="R4" s="1" t="n">
        <v>0</v>
      </c>
      <c r="S4" s="1" t="n">
        <v>0</v>
      </c>
      <c r="T4" s="1" t="n">
        <v>0</v>
      </c>
      <c r="U4" s="1" t="n">
        <v>0</v>
      </c>
      <c r="V4" s="1" t="n">
        <v>0.973684211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580160</v>
      </c>
    </row>
    <row r="5">
      <c r="A5" s="1" t="inlineStr">
        <is>
          <t>2027BUD_V1</t>
        </is>
      </c>
      <c r="B5" s="1" t="inlineStr">
        <is>
          <t>12</t>
        </is>
      </c>
      <c r="C5" s="1" t="inlineStr">
        <is>
          <t>MBWAY_PAR</t>
        </is>
      </c>
      <c r="D5" s="1" t="inlineStr">
        <is>
          <t>MAS_MGT</t>
        </is>
      </c>
      <c r="E5" s="1" t="inlineStr">
        <is>
          <t>M1</t>
        </is>
      </c>
      <c r="F5" s="1" t="inlineStr">
        <is>
          <t>ALT</t>
        </is>
      </c>
      <c r="G5" s="1" t="inlineStr">
        <is>
          <t>2026</t>
        </is>
      </c>
      <c r="H5" s="1" t="n">
        <v>1330</v>
      </c>
      <c r="I5" s="1" t="n">
        <v>266</v>
      </c>
      <c r="J5" s="1" t="n">
        <v>186</v>
      </c>
      <c r="K5" s="1" t="n">
        <v>78</v>
      </c>
      <c r="L5" s="1" t="n">
        <v>0</v>
      </c>
      <c r="M5" s="1" t="n">
        <v>78</v>
      </c>
      <c r="N5" s="1" t="n">
        <v>0</v>
      </c>
      <c r="O5" s="1" t="n">
        <v>3</v>
      </c>
      <c r="P5" s="1" t="n">
        <v>8400</v>
      </c>
      <c r="Q5" s="1" t="n">
        <v>90</v>
      </c>
      <c r="R5" s="1" t="n">
        <v>479</v>
      </c>
      <c r="S5" s="1" t="n">
        <v>851</v>
      </c>
      <c r="T5" s="1" t="n">
        <v>45965</v>
      </c>
      <c r="U5" s="1" t="n">
        <v>43615</v>
      </c>
      <c r="V5" s="1" t="n">
        <v>0</v>
      </c>
      <c r="W5" s="1" t="n">
        <v>0.2</v>
      </c>
      <c r="X5" s="1" t="n">
        <v>0.69924812</v>
      </c>
      <c r="Y5" s="1" t="n">
        <v>0.419354839</v>
      </c>
      <c r="Z5" s="1" t="n">
        <v>1330</v>
      </c>
      <c r="AA5" s="1" t="n">
        <v>0.360150376</v>
      </c>
      <c r="AB5" s="1" t="n">
        <v>54.012925969</v>
      </c>
      <c r="AC5" s="1" t="n">
        <v>662220</v>
      </c>
    </row>
    <row r="6">
      <c r="A6" s="1" t="inlineStr">
        <is>
          <t>2027BUD_V1</t>
        </is>
      </c>
      <c r="B6" s="1" t="inlineStr">
        <is>
          <t>12</t>
        </is>
      </c>
      <c r="C6" s="1" t="inlineStr">
        <is>
          <t>MBWAY_PAR</t>
        </is>
      </c>
      <c r="D6" s="1" t="inlineStr">
        <is>
          <t>MAS_MGT</t>
        </is>
      </c>
      <c r="E6" s="1" t="inlineStr">
        <is>
          <t>M2</t>
        </is>
      </c>
      <c r="F6" s="1" t="inlineStr">
        <is>
          <t>ALT</t>
        </is>
      </c>
      <c r="G6" s="1" t="inlineStr">
        <is>
          <t>2026</t>
        </is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76</v>
      </c>
      <c r="M6" s="1" t="n">
        <v>76</v>
      </c>
      <c r="N6" s="1" t="n">
        <v>78</v>
      </c>
      <c r="O6" s="1" t="n">
        <v>3</v>
      </c>
      <c r="P6" s="1" t="n">
        <v>8400</v>
      </c>
      <c r="Q6" s="1" t="n">
        <v>90</v>
      </c>
      <c r="R6" s="1" t="n">
        <v>0</v>
      </c>
      <c r="S6" s="1" t="n">
        <v>0</v>
      </c>
      <c r="T6" s="1" t="n">
        <v>0</v>
      </c>
      <c r="U6" s="1" t="n">
        <v>0</v>
      </c>
      <c r="V6" s="1" t="n">
        <v>0.974358974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638400</v>
      </c>
    </row>
    <row r="7">
      <c r="A7" s="1" t="inlineStr">
        <is>
          <t>2027BUD_V1</t>
        </is>
      </c>
      <c r="B7" s="1" t="inlineStr">
        <is>
          <t>12</t>
        </is>
      </c>
      <c r="C7" s="1" t="inlineStr">
        <is>
          <t>MBWAY_LYO</t>
        </is>
      </c>
      <c r="D7" s="1" t="inlineStr">
        <is>
          <t>BAC_MGT</t>
        </is>
      </c>
      <c r="E7" s="1" t="inlineStr">
        <is>
          <t>B1</t>
        </is>
      </c>
      <c r="F7" s="1" t="inlineStr">
        <is>
          <t>INIT</t>
        </is>
      </c>
      <c r="G7" s="1" t="inlineStr">
        <is>
          <t>2026</t>
        </is>
      </c>
      <c r="H7" s="1" t="n">
        <v>546</v>
      </c>
      <c r="I7" s="1" t="n">
        <v>153</v>
      </c>
      <c r="J7" s="1" t="n">
        <v>110</v>
      </c>
      <c r="K7" s="1" t="n">
        <v>66</v>
      </c>
      <c r="L7" s="1" t="n">
        <v>0</v>
      </c>
      <c r="M7" s="1" t="n">
        <v>66</v>
      </c>
      <c r="N7" s="1" t="n">
        <v>0</v>
      </c>
      <c r="O7" s="1" t="n">
        <v>3</v>
      </c>
      <c r="P7" s="1" t="n">
        <v>7875</v>
      </c>
      <c r="Q7" s="1" t="n">
        <v>90</v>
      </c>
      <c r="R7" s="1" t="n">
        <v>235</v>
      </c>
      <c r="S7" s="1" t="n">
        <v>311</v>
      </c>
      <c r="T7" s="1" t="n">
        <v>13694</v>
      </c>
      <c r="U7" s="1" t="n">
        <v>21386</v>
      </c>
      <c r="V7" s="1" t="n">
        <v>0</v>
      </c>
      <c r="W7" s="1" t="n">
        <v>0.28021978</v>
      </c>
      <c r="X7" s="1" t="n">
        <v>0.718954248</v>
      </c>
      <c r="Y7" s="1" t="n">
        <v>0.6</v>
      </c>
      <c r="Z7" s="1" t="n">
        <v>546</v>
      </c>
      <c r="AA7" s="1" t="n">
        <v>0.43040293</v>
      </c>
      <c r="AB7" s="1" t="n">
        <v>44.032154341</v>
      </c>
      <c r="AC7" s="1" t="n">
        <v>525690</v>
      </c>
    </row>
    <row r="8">
      <c r="A8" s="1" t="inlineStr">
        <is>
          <t>2027BUD_V1</t>
        </is>
      </c>
      <c r="B8" s="1" t="inlineStr">
        <is>
          <t>12</t>
        </is>
      </c>
      <c r="C8" s="1" t="inlineStr">
        <is>
          <t>MBWAY_LYO</t>
        </is>
      </c>
      <c r="D8" s="1" t="inlineStr">
        <is>
          <t>BAC_MGT</t>
        </is>
      </c>
      <c r="E8" s="1" t="inlineStr">
        <is>
          <t>B2</t>
        </is>
      </c>
      <c r="F8" s="1" t="inlineStr">
        <is>
          <t>ALT</t>
        </is>
      </c>
      <c r="G8" s="1" t="inlineStr">
        <is>
          <t>2026</t>
        </is>
      </c>
      <c r="H8" s="1" t="n">
        <v>0</v>
      </c>
      <c r="I8" s="1" t="n">
        <v>0</v>
      </c>
      <c r="J8" s="1" t="n">
        <v>0</v>
      </c>
      <c r="K8" s="1" t="n">
        <v>0</v>
      </c>
      <c r="L8" s="1" t="n">
        <v>64</v>
      </c>
      <c r="M8" s="1" t="n">
        <v>64</v>
      </c>
      <c r="N8" s="1" t="n">
        <v>66</v>
      </c>
      <c r="O8" s="1" t="n">
        <v>2</v>
      </c>
      <c r="P8" s="1" t="n">
        <v>7350</v>
      </c>
      <c r="Q8" s="1" t="n">
        <v>90</v>
      </c>
      <c r="R8" s="1" t="n">
        <v>0</v>
      </c>
      <c r="S8" s="1" t="n">
        <v>0</v>
      </c>
      <c r="T8" s="1" t="n">
        <v>0</v>
      </c>
      <c r="U8" s="1" t="n">
        <v>0</v>
      </c>
      <c r="V8" s="1" t="n">
        <v>0.96969697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470400</v>
      </c>
    </row>
    <row r="9">
      <c r="A9" s="1" t="inlineStr">
        <is>
          <t>2027BUD_V1</t>
        </is>
      </c>
      <c r="B9" s="1" t="inlineStr">
        <is>
          <t>12</t>
        </is>
      </c>
      <c r="C9" s="1" t="inlineStr">
        <is>
          <t>MBWAY_LYO</t>
        </is>
      </c>
      <c r="D9" s="1" t="inlineStr">
        <is>
          <t>BAC_MGT</t>
        </is>
      </c>
      <c r="E9" s="1" t="inlineStr">
        <is>
          <t>B3</t>
        </is>
      </c>
      <c r="F9" s="1" t="inlineStr">
        <is>
          <t>ALT</t>
        </is>
      </c>
      <c r="G9" s="1" t="inlineStr">
        <is>
          <t>2026</t>
        </is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63</v>
      </c>
      <c r="M9" s="1" t="n">
        <v>63</v>
      </c>
      <c r="N9" s="1" t="n">
        <v>64</v>
      </c>
      <c r="O9" s="1" t="n">
        <v>2</v>
      </c>
      <c r="P9" s="1" t="n">
        <v>7350</v>
      </c>
      <c r="Q9" s="1" t="n">
        <v>90</v>
      </c>
      <c r="R9" s="1" t="n">
        <v>0</v>
      </c>
      <c r="S9" s="1" t="n">
        <v>0</v>
      </c>
      <c r="T9" s="1" t="n">
        <v>0</v>
      </c>
      <c r="U9" s="1" t="n">
        <v>0</v>
      </c>
      <c r="V9" s="1" t="n">
        <v>0.984375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463050</v>
      </c>
    </row>
    <row r="10">
      <c r="A10" s="1" t="inlineStr">
        <is>
          <t>2027BUD_V1</t>
        </is>
      </c>
      <c r="B10" s="1" t="inlineStr">
        <is>
          <t>12</t>
        </is>
      </c>
      <c r="C10" s="1" t="inlineStr">
        <is>
          <t>MBWAY_LYO</t>
        </is>
      </c>
      <c r="D10" s="1" t="inlineStr">
        <is>
          <t>MAS_MGT</t>
        </is>
      </c>
      <c r="E10" s="1" t="inlineStr">
        <is>
          <t>M1</t>
        </is>
      </c>
      <c r="F10" s="1" t="inlineStr">
        <is>
          <t>ALT</t>
        </is>
      </c>
      <c r="G10" s="1" t="inlineStr">
        <is>
          <t>2026</t>
        </is>
      </c>
      <c r="H10" s="1" t="n">
        <v>1120</v>
      </c>
      <c r="I10" s="1" t="n">
        <v>224</v>
      </c>
      <c r="J10" s="1" t="n">
        <v>157</v>
      </c>
      <c r="K10" s="1" t="n">
        <v>66</v>
      </c>
      <c r="L10" s="1" t="n">
        <v>0</v>
      </c>
      <c r="M10" s="1" t="n">
        <v>66</v>
      </c>
      <c r="N10" s="1" t="n">
        <v>0</v>
      </c>
      <c r="O10" s="1" t="n">
        <v>3</v>
      </c>
      <c r="P10" s="1" t="n">
        <v>7875</v>
      </c>
      <c r="Q10" s="1" t="n">
        <v>90</v>
      </c>
      <c r="R10" s="1" t="n">
        <v>481</v>
      </c>
      <c r="S10" s="1" t="n">
        <v>639</v>
      </c>
      <c r="T10" s="1" t="n">
        <v>28089</v>
      </c>
      <c r="U10" s="1" t="n">
        <v>43869</v>
      </c>
      <c r="V10" s="1" t="n">
        <v>0</v>
      </c>
      <c r="W10" s="1" t="n">
        <v>0.2</v>
      </c>
      <c r="X10" s="1" t="n">
        <v>0.700892857</v>
      </c>
      <c r="Y10" s="1" t="n">
        <v>0.420382166</v>
      </c>
      <c r="Z10" s="1" t="n">
        <v>1120</v>
      </c>
      <c r="AA10" s="1" t="n">
        <v>0.429464286</v>
      </c>
      <c r="AB10" s="1" t="n">
        <v>43.957746479</v>
      </c>
      <c r="AC10" s="1" t="n">
        <v>525690</v>
      </c>
    </row>
    <row r="11">
      <c r="A11" s="1" t="inlineStr">
        <is>
          <t>2027BUD_V1</t>
        </is>
      </c>
      <c r="B11" s="1" t="inlineStr">
        <is>
          <t>12</t>
        </is>
      </c>
      <c r="C11" s="1" t="inlineStr">
        <is>
          <t>MBWAY_LYO</t>
        </is>
      </c>
      <c r="D11" s="1" t="inlineStr">
        <is>
          <t>MAS_MGT</t>
        </is>
      </c>
      <c r="E11" s="1" t="inlineStr">
        <is>
          <t>M2</t>
        </is>
      </c>
      <c r="F11" s="1" t="inlineStr">
        <is>
          <t>ALT</t>
        </is>
      </c>
      <c r="G11" s="1" t="inlineStr">
        <is>
          <t>2026</t>
        </is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65</v>
      </c>
      <c r="M11" s="1" t="n">
        <v>65</v>
      </c>
      <c r="N11" s="1" t="n">
        <v>66</v>
      </c>
      <c r="O11" s="1" t="n">
        <v>3</v>
      </c>
      <c r="P11" s="1" t="n">
        <v>7875</v>
      </c>
      <c r="Q11" s="1" t="n">
        <v>90</v>
      </c>
      <c r="R11" s="1" t="n">
        <v>0</v>
      </c>
      <c r="S11" s="1" t="n">
        <v>0</v>
      </c>
      <c r="T11" s="1" t="n">
        <v>0</v>
      </c>
      <c r="U11" s="1" t="n">
        <v>0</v>
      </c>
      <c r="V11" s="1" t="n">
        <v>0.984848485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511875</v>
      </c>
    </row>
    <row r="12">
      <c r="A12" s="1" t="inlineStr">
        <is>
          <t>2027BUD_V1</t>
        </is>
      </c>
      <c r="B12" s="1" t="inlineStr">
        <is>
          <t>12</t>
        </is>
      </c>
      <c r="C12" s="1" t="inlineStr">
        <is>
          <t>MBWAY_NAN</t>
        </is>
      </c>
      <c r="D12" s="1" t="inlineStr">
        <is>
          <t>BAC_MGT</t>
        </is>
      </c>
      <c r="E12" s="1" t="inlineStr">
        <is>
          <t>B1</t>
        </is>
      </c>
      <c r="F12" s="1" t="inlineStr">
        <is>
          <t>INIT</t>
        </is>
      </c>
      <c r="G12" s="1" t="inlineStr">
        <is>
          <t>2026</t>
        </is>
      </c>
      <c r="H12" s="1" t="n">
        <v>496</v>
      </c>
      <c r="I12" s="1" t="n">
        <v>139</v>
      </c>
      <c r="J12" s="1" t="n">
        <v>100</v>
      </c>
      <c r="K12" s="1" t="n">
        <v>60</v>
      </c>
      <c r="L12" s="1" t="n">
        <v>0</v>
      </c>
      <c r="M12" s="1" t="n">
        <v>60</v>
      </c>
      <c r="N12" s="1" t="n">
        <v>0</v>
      </c>
      <c r="O12" s="1" t="n">
        <v>2</v>
      </c>
      <c r="P12" s="1" t="n">
        <v>7500</v>
      </c>
      <c r="Q12" s="1" t="n">
        <v>90</v>
      </c>
      <c r="R12" s="1" t="n">
        <v>238</v>
      </c>
      <c r="S12" s="1" t="n">
        <v>258</v>
      </c>
      <c r="T12" s="1" t="n">
        <v>10317</v>
      </c>
      <c r="U12" s="1" t="n">
        <v>21708</v>
      </c>
      <c r="V12" s="1" t="n">
        <v>0</v>
      </c>
      <c r="W12" s="1" t="n">
        <v>0.280241935</v>
      </c>
      <c r="X12" s="1" t="n">
        <v>0.71942446</v>
      </c>
      <c r="Y12" s="1" t="n">
        <v>0.6</v>
      </c>
      <c r="Z12" s="1" t="n">
        <v>496</v>
      </c>
      <c r="AA12" s="1" t="n">
        <v>0.47983871</v>
      </c>
      <c r="AB12" s="1" t="n">
        <v>39.988372093</v>
      </c>
      <c r="AC12" s="1" t="n">
        <v>455400</v>
      </c>
    </row>
    <row r="13">
      <c r="A13" s="1" t="inlineStr">
        <is>
          <t>2027BUD_V1</t>
        </is>
      </c>
      <c r="B13" s="1" t="inlineStr">
        <is>
          <t>12</t>
        </is>
      </c>
      <c r="C13" s="1" t="inlineStr">
        <is>
          <t>MBWAY_NAN</t>
        </is>
      </c>
      <c r="D13" s="1" t="inlineStr">
        <is>
          <t>BAC_MGT</t>
        </is>
      </c>
      <c r="E13" s="1" t="inlineStr">
        <is>
          <t>B2</t>
        </is>
      </c>
      <c r="F13" s="1" t="inlineStr">
        <is>
          <t>ALT</t>
        </is>
      </c>
      <c r="G13" s="1" t="inlineStr">
        <is>
          <t>2026</t>
        </is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58</v>
      </c>
      <c r="M13" s="1" t="n">
        <v>58</v>
      </c>
      <c r="N13" s="1" t="n">
        <v>60</v>
      </c>
      <c r="O13" s="1" t="n">
        <v>2</v>
      </c>
      <c r="P13" s="1" t="n">
        <v>7000</v>
      </c>
      <c r="Q13" s="1" t="n">
        <v>90</v>
      </c>
      <c r="R13" s="1" t="n">
        <v>0</v>
      </c>
      <c r="S13" s="1" t="n">
        <v>0</v>
      </c>
      <c r="T13" s="1" t="n">
        <v>0</v>
      </c>
      <c r="U13" s="1" t="n">
        <v>0</v>
      </c>
      <c r="V13" s="1" t="n">
        <v>0.966666667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406000</v>
      </c>
    </row>
    <row r="14">
      <c r="A14" s="1" t="inlineStr">
        <is>
          <t>2027BUD_V1</t>
        </is>
      </c>
      <c r="B14" s="1" t="inlineStr">
        <is>
          <t>12</t>
        </is>
      </c>
      <c r="C14" s="1" t="inlineStr">
        <is>
          <t>MBWAY_NAN</t>
        </is>
      </c>
      <c r="D14" s="1" t="inlineStr">
        <is>
          <t>BAC_MGT</t>
        </is>
      </c>
      <c r="E14" s="1" t="inlineStr">
        <is>
          <t>B3</t>
        </is>
      </c>
      <c r="F14" s="1" t="inlineStr">
        <is>
          <t>ALT</t>
        </is>
      </c>
      <c r="G14" s="1" t="inlineStr">
        <is>
          <t>2026</t>
        </is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57</v>
      </c>
      <c r="M14" s="1" t="n">
        <v>57</v>
      </c>
      <c r="N14" s="1" t="n">
        <v>58</v>
      </c>
      <c r="O14" s="1" t="n">
        <v>2</v>
      </c>
      <c r="P14" s="1" t="n">
        <v>7000</v>
      </c>
      <c r="Q14" s="1" t="n">
        <v>90</v>
      </c>
      <c r="R14" s="1" t="n">
        <v>0</v>
      </c>
      <c r="S14" s="1" t="n">
        <v>0</v>
      </c>
      <c r="T14" s="1" t="n">
        <v>0</v>
      </c>
      <c r="U14" s="1" t="n">
        <v>0</v>
      </c>
      <c r="V14" s="1" t="n">
        <v>0.982758621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399000</v>
      </c>
    </row>
    <row r="15">
      <c r="A15" s="1" t="inlineStr">
        <is>
          <t>2027BUD_V1</t>
        </is>
      </c>
      <c r="B15" s="1" t="inlineStr">
        <is>
          <t>12</t>
        </is>
      </c>
      <c r="C15" s="1" t="inlineStr">
        <is>
          <t>MBWAY_NAN</t>
        </is>
      </c>
      <c r="D15" s="1" t="inlineStr">
        <is>
          <t>MAS_MGT</t>
        </is>
      </c>
      <c r="E15" s="1" t="inlineStr">
        <is>
          <t>M1</t>
        </is>
      </c>
      <c r="F15" s="1" t="inlineStr">
        <is>
          <t>ALT</t>
        </is>
      </c>
      <c r="G15" s="1" t="inlineStr">
        <is>
          <t>2026</t>
        </is>
      </c>
      <c r="H15" s="1" t="n">
        <v>1020</v>
      </c>
      <c r="I15" s="1" t="n">
        <v>204</v>
      </c>
      <c r="J15" s="1" t="n">
        <v>143</v>
      </c>
      <c r="K15" s="1" t="n">
        <v>60</v>
      </c>
      <c r="L15" s="1" t="n">
        <v>0</v>
      </c>
      <c r="M15" s="1" t="n">
        <v>60</v>
      </c>
      <c r="N15" s="1" t="n">
        <v>0</v>
      </c>
      <c r="O15" s="1" t="n">
        <v>3</v>
      </c>
      <c r="P15" s="1" t="n">
        <v>7500</v>
      </c>
      <c r="Q15" s="1" t="n">
        <v>90</v>
      </c>
      <c r="R15" s="1" t="n">
        <v>490</v>
      </c>
      <c r="S15" s="1" t="n">
        <v>530</v>
      </c>
      <c r="T15" s="1" t="n">
        <v>21216</v>
      </c>
      <c r="U15" s="1" t="n">
        <v>44641</v>
      </c>
      <c r="V15" s="1" t="n">
        <v>0</v>
      </c>
      <c r="W15" s="1" t="n">
        <v>0.2</v>
      </c>
      <c r="X15" s="1" t="n">
        <v>0.700980392</v>
      </c>
      <c r="Y15" s="1" t="n">
        <v>0.41958042</v>
      </c>
      <c r="Z15" s="1" t="n">
        <v>1020</v>
      </c>
      <c r="AA15" s="1" t="n">
        <v>0.480392157</v>
      </c>
      <c r="AB15" s="1" t="n">
        <v>40.030188679</v>
      </c>
      <c r="AC15" s="1" t="n">
        <v>455400</v>
      </c>
    </row>
    <row r="16">
      <c r="A16" s="1" t="inlineStr">
        <is>
          <t>2027BUD_V1</t>
        </is>
      </c>
      <c r="B16" s="1" t="inlineStr">
        <is>
          <t>12</t>
        </is>
      </c>
      <c r="C16" s="1" t="inlineStr">
        <is>
          <t>MBWAY_NAN</t>
        </is>
      </c>
      <c r="D16" s="1" t="inlineStr">
        <is>
          <t>MAS_MGT</t>
        </is>
      </c>
      <c r="E16" s="1" t="inlineStr">
        <is>
          <t>M2</t>
        </is>
      </c>
      <c r="F16" s="1" t="inlineStr">
        <is>
          <t>ALT</t>
        </is>
      </c>
      <c r="G16" s="1" t="inlineStr">
        <is>
          <t>2026</t>
        </is>
      </c>
      <c r="H16" s="1" t="n">
        <v>0</v>
      </c>
      <c r="I16" s="1" t="n">
        <v>0</v>
      </c>
      <c r="J16" s="1" t="n">
        <v>0</v>
      </c>
      <c r="K16" s="1" t="n">
        <v>0</v>
      </c>
      <c r="L16" s="1" t="n">
        <v>59</v>
      </c>
      <c r="M16" s="1" t="n">
        <v>59</v>
      </c>
      <c r="N16" s="1" t="n">
        <v>60</v>
      </c>
      <c r="O16" s="1" t="n">
        <v>3</v>
      </c>
      <c r="P16" s="1" t="n">
        <v>7500</v>
      </c>
      <c r="Q16" s="1" t="n">
        <v>90</v>
      </c>
      <c r="R16" s="1" t="n">
        <v>0</v>
      </c>
      <c r="S16" s="1" t="n">
        <v>0</v>
      </c>
      <c r="T16" s="1" t="n">
        <v>0</v>
      </c>
      <c r="U16" s="1" t="n">
        <v>0</v>
      </c>
      <c r="V16" s="1" t="n">
        <v>0.983333333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0</v>
      </c>
      <c r="AB16" s="1" t="n">
        <v>0</v>
      </c>
      <c r="AC16" s="1" t="n">
        <v>442500</v>
      </c>
    </row>
    <row r="17">
      <c r="A17" s="1" t="inlineStr">
        <is>
          <t>2027BUD_V1</t>
        </is>
      </c>
      <c r="B17" s="1" t="inlineStr">
        <is>
          <t>12</t>
        </is>
      </c>
      <c r="C17" s="1" t="inlineStr">
        <is>
          <t>MBWAY_BOR</t>
        </is>
      </c>
      <c r="D17" s="1" t="inlineStr">
        <is>
          <t>BAC_MGT</t>
        </is>
      </c>
      <c r="E17" s="1" t="inlineStr">
        <is>
          <t>B1</t>
        </is>
      </c>
      <c r="F17" s="1" t="inlineStr">
        <is>
          <t>INIT</t>
        </is>
      </c>
      <c r="G17" s="1" t="inlineStr">
        <is>
          <t>2026</t>
        </is>
      </c>
      <c r="H17" s="1" t="n">
        <v>421</v>
      </c>
      <c r="I17" s="1" t="n">
        <v>118</v>
      </c>
      <c r="J17" s="1" t="n">
        <v>85</v>
      </c>
      <c r="K17" s="1" t="n">
        <v>51</v>
      </c>
      <c r="L17" s="1" t="n">
        <v>0</v>
      </c>
      <c r="M17" s="1" t="n">
        <v>51</v>
      </c>
      <c r="N17" s="1" t="n">
        <v>0</v>
      </c>
      <c r="O17" s="1" t="n">
        <v>2</v>
      </c>
      <c r="P17" s="1" t="n">
        <v>7275</v>
      </c>
      <c r="Q17" s="1" t="n">
        <v>90</v>
      </c>
      <c r="R17" s="1" t="n">
        <v>206</v>
      </c>
      <c r="S17" s="1" t="n">
        <v>215</v>
      </c>
      <c r="T17" s="1" t="n">
        <v>8159</v>
      </c>
      <c r="U17" s="1" t="n">
        <v>18797</v>
      </c>
      <c r="V17" s="1" t="n">
        <v>0</v>
      </c>
      <c r="W17" s="1" t="n">
        <v>0.280285036</v>
      </c>
      <c r="X17" s="1" t="n">
        <v>0.720338983</v>
      </c>
      <c r="Y17" s="1" t="n">
        <v>0.6</v>
      </c>
      <c r="Z17" s="1" t="n">
        <v>421</v>
      </c>
      <c r="AA17" s="1" t="n">
        <v>0.489311164</v>
      </c>
      <c r="AB17" s="1" t="n">
        <v>37.948837209</v>
      </c>
      <c r="AC17" s="1" t="n">
        <v>375615</v>
      </c>
    </row>
    <row r="18">
      <c r="A18" s="1" t="inlineStr">
        <is>
          <t>2027BUD_V1</t>
        </is>
      </c>
      <c r="B18" s="1" t="inlineStr">
        <is>
          <t>12</t>
        </is>
      </c>
      <c r="C18" s="1" t="inlineStr">
        <is>
          <t>MBWAY_BOR</t>
        </is>
      </c>
      <c r="D18" s="1" t="inlineStr">
        <is>
          <t>BAC_MGT</t>
        </is>
      </c>
      <c r="E18" s="1" t="inlineStr">
        <is>
          <t>B2</t>
        </is>
      </c>
      <c r="F18" s="1" t="inlineStr">
        <is>
          <t>ALT</t>
        </is>
      </c>
      <c r="G18" s="1" t="inlineStr">
        <is>
          <t>2026</t>
        </is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49</v>
      </c>
      <c r="M18" s="1" t="n">
        <v>49</v>
      </c>
      <c r="N18" s="1" t="n">
        <v>51</v>
      </c>
      <c r="O18" s="1" t="n">
        <v>2</v>
      </c>
      <c r="P18" s="1" t="n">
        <v>6790</v>
      </c>
      <c r="Q18" s="1" t="n">
        <v>90</v>
      </c>
      <c r="R18" s="1" t="n">
        <v>0</v>
      </c>
      <c r="S18" s="1" t="n">
        <v>0</v>
      </c>
      <c r="T18" s="1" t="n">
        <v>0</v>
      </c>
      <c r="U18" s="1" t="n">
        <v>0</v>
      </c>
      <c r="V18" s="1" t="n">
        <v>0.960784314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332710</v>
      </c>
    </row>
    <row r="19">
      <c r="A19" s="1" t="inlineStr">
        <is>
          <t>2027BUD_V1</t>
        </is>
      </c>
      <c r="B19" s="1" t="inlineStr">
        <is>
          <t>12</t>
        </is>
      </c>
      <c r="C19" s="1" t="inlineStr">
        <is>
          <t>MBWAY_BOR</t>
        </is>
      </c>
      <c r="D19" s="1" t="inlineStr">
        <is>
          <t>BAC_MGT</t>
        </is>
      </c>
      <c r="E19" s="1" t="inlineStr">
        <is>
          <t>B3</t>
        </is>
      </c>
      <c r="F19" s="1" t="inlineStr">
        <is>
          <t>ALT</t>
        </is>
      </c>
      <c r="G19" s="1" t="inlineStr">
        <is>
          <t>2026</t>
        </is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48</v>
      </c>
      <c r="M19" s="1" t="n">
        <v>48</v>
      </c>
      <c r="N19" s="1" t="n">
        <v>49</v>
      </c>
      <c r="O19" s="1" t="n">
        <v>2</v>
      </c>
      <c r="P19" s="1" t="n">
        <v>6790</v>
      </c>
      <c r="Q19" s="1" t="n">
        <v>90</v>
      </c>
      <c r="R19" s="1" t="n">
        <v>0</v>
      </c>
      <c r="S19" s="1" t="n">
        <v>0</v>
      </c>
      <c r="T19" s="1" t="n">
        <v>0</v>
      </c>
      <c r="U19" s="1" t="n">
        <v>0</v>
      </c>
      <c r="V19" s="1" t="n">
        <v>0.979591837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325920</v>
      </c>
    </row>
    <row r="20">
      <c r="A20" s="1" t="inlineStr">
        <is>
          <t>2027BUD_V1</t>
        </is>
      </c>
      <c r="B20" s="1" t="inlineStr">
        <is>
          <t>12</t>
        </is>
      </c>
      <c r="C20" s="1" t="inlineStr">
        <is>
          <t>MBWAY_BOR</t>
        </is>
      </c>
      <c r="D20" s="1" t="inlineStr">
        <is>
          <t>MAS_MGT</t>
        </is>
      </c>
      <c r="E20" s="1" t="inlineStr">
        <is>
          <t>M1</t>
        </is>
      </c>
      <c r="F20" s="1" t="inlineStr">
        <is>
          <t>ALT</t>
        </is>
      </c>
      <c r="G20" s="1" t="inlineStr">
        <is>
          <t>2026</t>
        </is>
      </c>
      <c r="H20" s="1" t="n">
        <v>865</v>
      </c>
      <c r="I20" s="1" t="n">
        <v>173</v>
      </c>
      <c r="J20" s="1" t="n">
        <v>121</v>
      </c>
      <c r="K20" s="1" t="n">
        <v>51</v>
      </c>
      <c r="L20" s="1" t="n">
        <v>0</v>
      </c>
      <c r="M20" s="1" t="n">
        <v>51</v>
      </c>
      <c r="N20" s="1" t="n">
        <v>0</v>
      </c>
      <c r="O20" s="1" t="n">
        <v>2</v>
      </c>
      <c r="P20" s="1" t="n">
        <v>7275</v>
      </c>
      <c r="Q20" s="1" t="n">
        <v>90</v>
      </c>
      <c r="R20" s="1" t="n">
        <v>424</v>
      </c>
      <c r="S20" s="1" t="n">
        <v>441</v>
      </c>
      <c r="T20" s="1" t="n">
        <v>16764</v>
      </c>
      <c r="U20" s="1" t="n">
        <v>38621</v>
      </c>
      <c r="V20" s="1" t="n">
        <v>0</v>
      </c>
      <c r="W20" s="1" t="n">
        <v>0.2</v>
      </c>
      <c r="X20" s="1" t="n">
        <v>0.699421965</v>
      </c>
      <c r="Y20" s="1" t="n">
        <v>0.421487603</v>
      </c>
      <c r="Z20" s="1" t="n">
        <v>865</v>
      </c>
      <c r="AA20" s="1" t="n">
        <v>0.49017341</v>
      </c>
      <c r="AB20" s="1" t="n">
        <v>38.013605442</v>
      </c>
      <c r="AC20" s="1" t="n">
        <v>375615</v>
      </c>
    </row>
    <row r="21">
      <c r="A21" s="1" t="inlineStr">
        <is>
          <t>2027BUD_V1</t>
        </is>
      </c>
      <c r="B21" s="1" t="inlineStr">
        <is>
          <t>12</t>
        </is>
      </c>
      <c r="C21" s="1" t="inlineStr">
        <is>
          <t>MBWAY_BOR</t>
        </is>
      </c>
      <c r="D21" s="1" t="inlineStr">
        <is>
          <t>MAS_MGT</t>
        </is>
      </c>
      <c r="E21" s="1" t="inlineStr">
        <is>
          <t>M2</t>
        </is>
      </c>
      <c r="F21" s="1" t="inlineStr">
        <is>
          <t>ALT</t>
        </is>
      </c>
      <c r="G21" s="1" t="inlineStr">
        <is>
          <t>2026</t>
        </is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50</v>
      </c>
      <c r="M21" s="1" t="n">
        <v>50</v>
      </c>
      <c r="N21" s="1" t="n">
        <v>51</v>
      </c>
      <c r="O21" s="1" t="n">
        <v>2</v>
      </c>
      <c r="P21" s="1" t="n">
        <v>7275</v>
      </c>
      <c r="Q21" s="1" t="n">
        <v>90</v>
      </c>
      <c r="R21" s="1" t="n">
        <v>0</v>
      </c>
      <c r="S21" s="1" t="n">
        <v>0</v>
      </c>
      <c r="T21" s="1" t="n">
        <v>0</v>
      </c>
      <c r="U21" s="1" t="n">
        <v>0</v>
      </c>
      <c r="V21" s="1" t="n">
        <v>0.980392157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363750</v>
      </c>
    </row>
    <row r="22">
      <c r="A22" s="1" t="inlineStr">
        <is>
          <t>2027BUD_V1</t>
        </is>
      </c>
      <c r="B22" s="1" t="inlineStr">
        <is>
          <t>12</t>
        </is>
      </c>
      <c r="C22" s="1" t="inlineStr">
        <is>
          <t>ISCOM_PAR</t>
        </is>
      </c>
      <c r="D22" s="1" t="inlineStr">
        <is>
          <t>BAC_COM</t>
        </is>
      </c>
      <c r="E22" s="1" t="inlineStr">
        <is>
          <t>B1</t>
        </is>
      </c>
      <c r="F22" s="1" t="inlineStr">
        <is>
          <t>INIT</t>
        </is>
      </c>
      <c r="G22" s="1" t="inlineStr">
        <is>
          <t>2026</t>
        </is>
      </c>
      <c r="H22" s="1" t="n">
        <v>596</v>
      </c>
      <c r="I22" s="1" t="n">
        <v>167</v>
      </c>
      <c r="J22" s="1" t="n">
        <v>120</v>
      </c>
      <c r="K22" s="1" t="n">
        <v>72</v>
      </c>
      <c r="L22" s="1" t="n">
        <v>0</v>
      </c>
      <c r="M22" s="1" t="n">
        <v>72</v>
      </c>
      <c r="N22" s="1" t="n">
        <v>0</v>
      </c>
      <c r="O22" s="1" t="n">
        <v>3</v>
      </c>
      <c r="P22" s="1" t="n">
        <v>8400</v>
      </c>
      <c r="Q22" s="1" t="n">
        <v>90</v>
      </c>
      <c r="R22" s="1" t="n">
        <v>226</v>
      </c>
      <c r="S22" s="1" t="n">
        <v>370</v>
      </c>
      <c r="T22" s="1" t="n">
        <v>19954</v>
      </c>
      <c r="U22" s="1" t="n">
        <v>20639</v>
      </c>
      <c r="V22" s="1" t="n">
        <v>0</v>
      </c>
      <c r="W22" s="1" t="n">
        <v>0.280201342</v>
      </c>
      <c r="X22" s="1" t="n">
        <v>0.718562874</v>
      </c>
      <c r="Y22" s="1" t="n">
        <v>0.6</v>
      </c>
      <c r="Z22" s="1" t="n">
        <v>596</v>
      </c>
      <c r="AA22" s="1" t="n">
        <v>0.379194631</v>
      </c>
      <c r="AB22" s="1" t="n">
        <v>53.92972973</v>
      </c>
      <c r="AC22" s="1" t="n">
        <v>611280</v>
      </c>
    </row>
    <row r="23">
      <c r="A23" s="1" t="inlineStr">
        <is>
          <t>2027BUD_V1</t>
        </is>
      </c>
      <c r="B23" s="1" t="inlineStr">
        <is>
          <t>12</t>
        </is>
      </c>
      <c r="C23" s="1" t="inlineStr">
        <is>
          <t>ISCOM_PAR</t>
        </is>
      </c>
      <c r="D23" s="1" t="inlineStr">
        <is>
          <t>BAC_COM</t>
        </is>
      </c>
      <c r="E23" s="1" t="inlineStr">
        <is>
          <t>B2</t>
        </is>
      </c>
      <c r="F23" s="1" t="inlineStr">
        <is>
          <t>ALT</t>
        </is>
      </c>
      <c r="G23" s="1" t="inlineStr">
        <is>
          <t>2026</t>
        </is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70</v>
      </c>
      <c r="M23" s="1" t="n">
        <v>70</v>
      </c>
      <c r="N23" s="1" t="n">
        <v>72</v>
      </c>
      <c r="O23" s="1" t="n">
        <v>3</v>
      </c>
      <c r="P23" s="1" t="n">
        <v>7840</v>
      </c>
      <c r="Q23" s="1" t="n">
        <v>90</v>
      </c>
      <c r="R23" s="1" t="n">
        <v>0</v>
      </c>
      <c r="S23" s="1" t="n">
        <v>0</v>
      </c>
      <c r="T23" s="1" t="n">
        <v>0</v>
      </c>
      <c r="U23" s="1" t="n">
        <v>0</v>
      </c>
      <c r="V23" s="1" t="n">
        <v>0.972222222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548800</v>
      </c>
    </row>
    <row r="24">
      <c r="A24" s="1" t="inlineStr">
        <is>
          <t>2027BUD_V1</t>
        </is>
      </c>
      <c r="B24" s="1" t="inlineStr">
        <is>
          <t>12</t>
        </is>
      </c>
      <c r="C24" s="1" t="inlineStr">
        <is>
          <t>ISCOM_PAR</t>
        </is>
      </c>
      <c r="D24" s="1" t="inlineStr">
        <is>
          <t>BAC_COM</t>
        </is>
      </c>
      <c r="E24" s="1" t="inlineStr">
        <is>
          <t>B3</t>
        </is>
      </c>
      <c r="F24" s="1" t="inlineStr">
        <is>
          <t>ALT</t>
        </is>
      </c>
      <c r="G24" s="1" t="inlineStr">
        <is>
          <t>2026</t>
        </is>
      </c>
      <c r="H24" s="1" t="n">
        <v>0</v>
      </c>
      <c r="I24" s="1" t="n">
        <v>0</v>
      </c>
      <c r="J24" s="1" t="n">
        <v>0</v>
      </c>
      <c r="K24" s="1" t="n">
        <v>0</v>
      </c>
      <c r="L24" s="1" t="n">
        <v>69</v>
      </c>
      <c r="M24" s="1" t="n">
        <v>69</v>
      </c>
      <c r="N24" s="1" t="n">
        <v>70</v>
      </c>
      <c r="O24" s="1" t="n">
        <v>3</v>
      </c>
      <c r="P24" s="1" t="n">
        <v>7840</v>
      </c>
      <c r="Q24" s="1" t="n">
        <v>90</v>
      </c>
      <c r="R24" s="1" t="n">
        <v>0</v>
      </c>
      <c r="S24" s="1" t="n">
        <v>0</v>
      </c>
      <c r="T24" s="1" t="n">
        <v>0</v>
      </c>
      <c r="U24" s="1" t="n">
        <v>0</v>
      </c>
      <c r="V24" s="1" t="n">
        <v>0.985714286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540960</v>
      </c>
    </row>
    <row r="25">
      <c r="A25" s="1" t="inlineStr">
        <is>
          <t>2027BUD_V1</t>
        </is>
      </c>
      <c r="B25" s="1" t="inlineStr">
        <is>
          <t>12</t>
        </is>
      </c>
      <c r="C25" s="1" t="inlineStr">
        <is>
          <t>ISCOM_PAR</t>
        </is>
      </c>
      <c r="D25" s="1" t="inlineStr">
        <is>
          <t>MAS_COM</t>
        </is>
      </c>
      <c r="E25" s="1" t="inlineStr">
        <is>
          <t>M1</t>
        </is>
      </c>
      <c r="F25" s="1" t="inlineStr">
        <is>
          <t>ALT</t>
        </is>
      </c>
      <c r="G25" s="1" t="inlineStr">
        <is>
          <t>2026</t>
        </is>
      </c>
      <c r="H25" s="1" t="n">
        <v>1220</v>
      </c>
      <c r="I25" s="1" t="n">
        <v>244</v>
      </c>
      <c r="J25" s="1" t="n">
        <v>171</v>
      </c>
      <c r="K25" s="1" t="n">
        <v>72</v>
      </c>
      <c r="L25" s="1" t="n">
        <v>0</v>
      </c>
      <c r="M25" s="1" t="n">
        <v>72</v>
      </c>
      <c r="N25" s="1" t="n">
        <v>0</v>
      </c>
      <c r="O25" s="1" t="n">
        <v>3</v>
      </c>
      <c r="P25" s="1" t="n">
        <v>8400</v>
      </c>
      <c r="Q25" s="1" t="n">
        <v>90</v>
      </c>
      <c r="R25" s="1" t="n">
        <v>464</v>
      </c>
      <c r="S25" s="1" t="n">
        <v>756</v>
      </c>
      <c r="T25" s="1" t="n">
        <v>40846</v>
      </c>
      <c r="U25" s="1" t="n">
        <v>42247</v>
      </c>
      <c r="V25" s="1" t="n">
        <v>0</v>
      </c>
      <c r="W25" s="1" t="n">
        <v>0.2</v>
      </c>
      <c r="X25" s="1" t="n">
        <v>0.7008196719999999</v>
      </c>
      <c r="Y25" s="1" t="n">
        <v>0.421052632</v>
      </c>
      <c r="Z25" s="1" t="n">
        <v>1220</v>
      </c>
      <c r="AA25" s="1" t="n">
        <v>0.380327869</v>
      </c>
      <c r="AB25" s="1" t="n">
        <v>54.029100529</v>
      </c>
      <c r="AC25" s="1" t="n">
        <v>611280</v>
      </c>
    </row>
    <row r="26">
      <c r="A26" s="1" t="inlineStr">
        <is>
          <t>2027BUD_V1</t>
        </is>
      </c>
      <c r="B26" s="1" t="inlineStr">
        <is>
          <t>12</t>
        </is>
      </c>
      <c r="C26" s="1" t="inlineStr">
        <is>
          <t>ISCOM_PAR</t>
        </is>
      </c>
      <c r="D26" s="1" t="inlineStr">
        <is>
          <t>MAS_COM</t>
        </is>
      </c>
      <c r="E26" s="1" t="inlineStr">
        <is>
          <t>M2</t>
        </is>
      </c>
      <c r="F26" s="1" t="inlineStr">
        <is>
          <t>ALT</t>
        </is>
      </c>
      <c r="G26" s="1" t="inlineStr">
        <is>
          <t>2026</t>
        </is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71</v>
      </c>
      <c r="M26" s="1" t="n">
        <v>71</v>
      </c>
      <c r="N26" s="1" t="n">
        <v>72</v>
      </c>
      <c r="O26" s="1" t="n">
        <v>3</v>
      </c>
      <c r="P26" s="1" t="n">
        <v>8400</v>
      </c>
      <c r="Q26" s="1" t="n">
        <v>90</v>
      </c>
      <c r="R26" s="1" t="n">
        <v>0</v>
      </c>
      <c r="S26" s="1" t="n">
        <v>0</v>
      </c>
      <c r="T26" s="1" t="n">
        <v>0</v>
      </c>
      <c r="U26" s="1" t="n">
        <v>0</v>
      </c>
      <c r="V26" s="1" t="n">
        <v>0.986111111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596400</v>
      </c>
    </row>
    <row r="27">
      <c r="A27" s="1" t="inlineStr">
        <is>
          <t>2027BUD_V1</t>
        </is>
      </c>
      <c r="B27" s="1" t="inlineStr">
        <is>
          <t>12</t>
        </is>
      </c>
      <c r="C27" s="1" t="inlineStr">
        <is>
          <t>ISCOM_LIL</t>
        </is>
      </c>
      <c r="D27" s="1" t="inlineStr">
        <is>
          <t>BAC_COM</t>
        </is>
      </c>
      <c r="E27" s="1" t="inlineStr">
        <is>
          <t>B1</t>
        </is>
      </c>
      <c r="F27" s="1" t="inlineStr">
        <is>
          <t>INIT</t>
        </is>
      </c>
      <c r="G27" s="1" t="inlineStr">
        <is>
          <t>2026</t>
        </is>
      </c>
      <c r="H27" s="1" t="n">
        <v>411</v>
      </c>
      <c r="I27" s="1" t="n">
        <v>115</v>
      </c>
      <c r="J27" s="1" t="n">
        <v>83</v>
      </c>
      <c r="K27" s="1" t="n">
        <v>50</v>
      </c>
      <c r="L27" s="1" t="n">
        <v>0</v>
      </c>
      <c r="M27" s="1" t="n">
        <v>50</v>
      </c>
      <c r="N27" s="1" t="n">
        <v>0</v>
      </c>
      <c r="O27" s="1" t="n">
        <v>2</v>
      </c>
      <c r="P27" s="1" t="n">
        <v>7350</v>
      </c>
      <c r="Q27" s="1" t="n">
        <v>90</v>
      </c>
      <c r="R27" s="1" t="n">
        <v>205</v>
      </c>
      <c r="S27" s="1" t="n">
        <v>205</v>
      </c>
      <c r="T27" s="1" t="n">
        <v>8220</v>
      </c>
      <c r="U27" s="1" t="n">
        <v>18714</v>
      </c>
      <c r="V27" s="1" t="n">
        <v>0</v>
      </c>
      <c r="W27" s="1" t="n">
        <v>0.279805353</v>
      </c>
      <c r="X27" s="1" t="n">
        <v>0.72173913</v>
      </c>
      <c r="Y27" s="1" t="n">
        <v>0.602409639</v>
      </c>
      <c r="Z27" s="1" t="n">
        <v>410</v>
      </c>
      <c r="AA27" s="1" t="n">
        <v>0.5</v>
      </c>
      <c r="AB27" s="1" t="n">
        <v>40.097560976</v>
      </c>
      <c r="AC27" s="1" t="n">
        <v>372000</v>
      </c>
    </row>
    <row r="28">
      <c r="A28" s="1" t="inlineStr">
        <is>
          <t>2027BUD_V1</t>
        </is>
      </c>
      <c r="B28" s="1" t="inlineStr">
        <is>
          <t>12</t>
        </is>
      </c>
      <c r="C28" s="1" t="inlineStr">
        <is>
          <t>ISCOM_LIL</t>
        </is>
      </c>
      <c r="D28" s="1" t="inlineStr">
        <is>
          <t>BAC_COM</t>
        </is>
      </c>
      <c r="E28" s="1" t="inlineStr">
        <is>
          <t>B2</t>
        </is>
      </c>
      <c r="F28" s="1" t="inlineStr">
        <is>
          <t>ALT</t>
        </is>
      </c>
      <c r="G28" s="1" t="inlineStr">
        <is>
          <t>2026</t>
        </is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48</v>
      </c>
      <c r="M28" s="1" t="n">
        <v>48</v>
      </c>
      <c r="N28" s="1" t="n">
        <v>50</v>
      </c>
      <c r="O28" s="1" t="n">
        <v>2</v>
      </c>
      <c r="P28" s="1" t="n">
        <v>6860</v>
      </c>
      <c r="Q28" s="1" t="n">
        <v>90</v>
      </c>
      <c r="R28" s="1" t="n">
        <v>0</v>
      </c>
      <c r="S28" s="1" t="n">
        <v>0</v>
      </c>
      <c r="T28" s="1" t="n">
        <v>0</v>
      </c>
      <c r="U28" s="1" t="n">
        <v>0</v>
      </c>
      <c r="V28" s="1" t="n">
        <v>0.96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329280</v>
      </c>
    </row>
    <row r="29">
      <c r="A29" s="1" t="inlineStr">
        <is>
          <t>2027BUD_V1</t>
        </is>
      </c>
      <c r="B29" s="1" t="inlineStr">
        <is>
          <t>12</t>
        </is>
      </c>
      <c r="C29" s="1" t="inlineStr">
        <is>
          <t>ISCOM_LIL</t>
        </is>
      </c>
      <c r="D29" s="1" t="inlineStr">
        <is>
          <t>BAC_COM</t>
        </is>
      </c>
      <c r="E29" s="1" t="inlineStr">
        <is>
          <t>B3</t>
        </is>
      </c>
      <c r="F29" s="1" t="inlineStr">
        <is>
          <t>ALT</t>
        </is>
      </c>
      <c r="G29" s="1" t="inlineStr">
        <is>
          <t>2026</t>
        </is>
      </c>
      <c r="H29" s="1" t="n">
        <v>0</v>
      </c>
      <c r="I29" s="1" t="n">
        <v>0</v>
      </c>
      <c r="J29" s="1" t="n">
        <v>0</v>
      </c>
      <c r="K29" s="1" t="n">
        <v>0</v>
      </c>
      <c r="L29" s="1" t="n">
        <v>47</v>
      </c>
      <c r="M29" s="1" t="n">
        <v>47</v>
      </c>
      <c r="N29" s="1" t="n">
        <v>48</v>
      </c>
      <c r="O29" s="1" t="n">
        <v>2</v>
      </c>
      <c r="P29" s="1" t="n">
        <v>6860</v>
      </c>
      <c r="Q29" s="1" t="n">
        <v>90</v>
      </c>
      <c r="R29" s="1" t="n">
        <v>0</v>
      </c>
      <c r="S29" s="1" t="n">
        <v>0</v>
      </c>
      <c r="T29" s="1" t="n">
        <v>0</v>
      </c>
      <c r="U29" s="1" t="n">
        <v>0</v>
      </c>
      <c r="V29" s="1" t="n">
        <v>0.979166667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322420</v>
      </c>
    </row>
    <row r="30">
      <c r="A30" s="1" t="inlineStr">
        <is>
          <t>2027BUD_V1</t>
        </is>
      </c>
      <c r="B30" s="1" t="inlineStr">
        <is>
          <t>12</t>
        </is>
      </c>
      <c r="C30" s="1" t="inlineStr">
        <is>
          <t>ISCOM_LIL</t>
        </is>
      </c>
      <c r="D30" s="1" t="inlineStr">
        <is>
          <t>MAS_COM</t>
        </is>
      </c>
      <c r="E30" s="1" t="inlineStr">
        <is>
          <t>M1</t>
        </is>
      </c>
      <c r="F30" s="1" t="inlineStr">
        <is>
          <t>ALT</t>
        </is>
      </c>
      <c r="G30" s="1" t="inlineStr">
        <is>
          <t>2026</t>
        </is>
      </c>
      <c r="H30" s="1" t="n">
        <v>850</v>
      </c>
      <c r="I30" s="1" t="n">
        <v>170</v>
      </c>
      <c r="J30" s="1" t="n">
        <v>119</v>
      </c>
      <c r="K30" s="1" t="n">
        <v>50</v>
      </c>
      <c r="L30" s="1" t="n">
        <v>0</v>
      </c>
      <c r="M30" s="1" t="n">
        <v>50</v>
      </c>
      <c r="N30" s="1" t="n">
        <v>0</v>
      </c>
      <c r="O30" s="1" t="n">
        <v>2</v>
      </c>
      <c r="P30" s="1" t="n">
        <v>7350</v>
      </c>
      <c r="Q30" s="1" t="n">
        <v>90</v>
      </c>
      <c r="R30" s="1" t="n">
        <v>425</v>
      </c>
      <c r="S30" s="1" t="n">
        <v>425</v>
      </c>
      <c r="T30" s="1" t="n">
        <v>17000</v>
      </c>
      <c r="U30" s="1" t="n">
        <v>38704</v>
      </c>
      <c r="V30" s="1" t="n">
        <v>0</v>
      </c>
      <c r="W30" s="1" t="n">
        <v>0.2</v>
      </c>
      <c r="X30" s="1" t="n">
        <v>0.7</v>
      </c>
      <c r="Y30" s="1" t="n">
        <v>0.420168067</v>
      </c>
      <c r="Z30" s="1" t="n">
        <v>850</v>
      </c>
      <c r="AA30" s="1" t="n">
        <v>0.5</v>
      </c>
      <c r="AB30" s="1" t="n">
        <v>40</v>
      </c>
      <c r="AC30" s="1" t="n">
        <v>372000</v>
      </c>
    </row>
    <row r="31">
      <c r="A31" s="1" t="inlineStr">
        <is>
          <t>2027BUD_V1</t>
        </is>
      </c>
      <c r="B31" s="1" t="inlineStr">
        <is>
          <t>12</t>
        </is>
      </c>
      <c r="C31" s="1" t="inlineStr">
        <is>
          <t>ISCOM_LIL</t>
        </is>
      </c>
      <c r="D31" s="1" t="inlineStr">
        <is>
          <t>MAS_COM</t>
        </is>
      </c>
      <c r="E31" s="1" t="inlineStr">
        <is>
          <t>M2</t>
        </is>
      </c>
      <c r="F31" s="1" t="inlineStr">
        <is>
          <t>ALT</t>
        </is>
      </c>
      <c r="G31" s="1" t="inlineStr">
        <is>
          <t>2026</t>
        </is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49</v>
      </c>
      <c r="M31" s="1" t="n">
        <v>49</v>
      </c>
      <c r="N31" s="1" t="n">
        <v>50</v>
      </c>
      <c r="O31" s="1" t="n">
        <v>2</v>
      </c>
      <c r="P31" s="1" t="n">
        <v>7350</v>
      </c>
      <c r="Q31" s="1" t="n">
        <v>90</v>
      </c>
      <c r="R31" s="1" t="n">
        <v>0</v>
      </c>
      <c r="S31" s="1" t="n">
        <v>0</v>
      </c>
      <c r="T31" s="1" t="n">
        <v>0</v>
      </c>
      <c r="U31" s="1" t="n">
        <v>0</v>
      </c>
      <c r="V31" s="1" t="n">
        <v>0.98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360150</v>
      </c>
    </row>
    <row r="32">
      <c r="A32" s="1" t="inlineStr">
        <is>
          <t>2027BUD_V1</t>
        </is>
      </c>
      <c r="B32" s="1" t="inlineStr">
        <is>
          <t>12</t>
        </is>
      </c>
      <c r="C32" s="1" t="inlineStr">
        <is>
          <t>ISCOM_TLS</t>
        </is>
      </c>
      <c r="D32" s="1" t="inlineStr">
        <is>
          <t>BAC_COM</t>
        </is>
      </c>
      <c r="E32" s="1" t="inlineStr">
        <is>
          <t>B1</t>
        </is>
      </c>
      <c r="F32" s="1" t="inlineStr">
        <is>
          <t>INIT</t>
        </is>
      </c>
      <c r="G32" s="1" t="inlineStr">
        <is>
          <t>2026</t>
        </is>
      </c>
      <c r="H32" s="1" t="n">
        <v>386</v>
      </c>
      <c r="I32" s="1" t="n">
        <v>108</v>
      </c>
      <c r="J32" s="1" t="n">
        <v>78</v>
      </c>
      <c r="K32" s="1" t="n">
        <v>47</v>
      </c>
      <c r="L32" s="1" t="n">
        <v>0</v>
      </c>
      <c r="M32" s="1" t="n">
        <v>47</v>
      </c>
      <c r="N32" s="1" t="n">
        <v>0</v>
      </c>
      <c r="O32" s="1" t="n">
        <v>2</v>
      </c>
      <c r="P32" s="1" t="n">
        <v>7200</v>
      </c>
      <c r="Q32" s="1" t="n">
        <v>90</v>
      </c>
      <c r="R32" s="1" t="n">
        <v>197</v>
      </c>
      <c r="S32" s="1" t="n">
        <v>189</v>
      </c>
      <c r="T32" s="1" t="n">
        <v>7187</v>
      </c>
      <c r="U32" s="1" t="n">
        <v>17946</v>
      </c>
      <c r="V32" s="1" t="n">
        <v>0</v>
      </c>
      <c r="W32" s="1" t="n">
        <v>0.279792746</v>
      </c>
      <c r="X32" s="1" t="n">
        <v>0.722222222</v>
      </c>
      <c r="Y32" s="1" t="n">
        <v>0.602564103</v>
      </c>
      <c r="Z32" s="1" t="n">
        <v>386</v>
      </c>
      <c r="AA32" s="1" t="n">
        <v>0.510362694</v>
      </c>
      <c r="AB32" s="1" t="n">
        <v>38.026455026</v>
      </c>
      <c r="AC32" s="1" t="n">
        <v>342630</v>
      </c>
    </row>
    <row r="33">
      <c r="A33" s="1" t="inlineStr">
        <is>
          <t>2027BUD_V1</t>
        </is>
      </c>
      <c r="B33" s="1" t="inlineStr">
        <is>
          <t>12</t>
        </is>
      </c>
      <c r="C33" s="1" t="inlineStr">
        <is>
          <t>ISCOM_TLS</t>
        </is>
      </c>
      <c r="D33" s="1" t="inlineStr">
        <is>
          <t>BAC_COM</t>
        </is>
      </c>
      <c r="E33" s="1" t="inlineStr">
        <is>
          <t>B2</t>
        </is>
      </c>
      <c r="F33" s="1" t="inlineStr">
        <is>
          <t>ALT</t>
        </is>
      </c>
      <c r="G33" s="1" t="inlineStr">
        <is>
          <t>2026</t>
        </is>
      </c>
      <c r="H33" s="1" t="n">
        <v>0</v>
      </c>
      <c r="I33" s="1" t="n">
        <v>0</v>
      </c>
      <c r="J33" s="1" t="n">
        <v>0</v>
      </c>
      <c r="K33" s="1" t="n">
        <v>0</v>
      </c>
      <c r="L33" s="1" t="n">
        <v>46</v>
      </c>
      <c r="M33" s="1" t="n">
        <v>46</v>
      </c>
      <c r="N33" s="1" t="n">
        <v>47</v>
      </c>
      <c r="O33" s="1" t="n">
        <v>2</v>
      </c>
      <c r="P33" s="1" t="n">
        <v>6720</v>
      </c>
      <c r="Q33" s="1" t="n">
        <v>90</v>
      </c>
      <c r="R33" s="1" t="n">
        <v>0</v>
      </c>
      <c r="S33" s="1" t="n">
        <v>0</v>
      </c>
      <c r="T33" s="1" t="n">
        <v>0</v>
      </c>
      <c r="U33" s="1" t="n">
        <v>0</v>
      </c>
      <c r="V33" s="1" t="n">
        <v>0.978723404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309120</v>
      </c>
    </row>
    <row r="34">
      <c r="A34" s="1" t="inlineStr">
        <is>
          <t>2027BUD_V1</t>
        </is>
      </c>
      <c r="B34" s="1" t="inlineStr">
        <is>
          <t>12</t>
        </is>
      </c>
      <c r="C34" s="1" t="inlineStr">
        <is>
          <t>ISCOM_TLS</t>
        </is>
      </c>
      <c r="D34" s="1" t="inlineStr">
        <is>
          <t>BAC_COM</t>
        </is>
      </c>
      <c r="E34" s="1" t="inlineStr">
        <is>
          <t>B3</t>
        </is>
      </c>
      <c r="F34" s="1" t="inlineStr">
        <is>
          <t>ALT</t>
        </is>
      </c>
      <c r="G34" s="1" t="inlineStr">
        <is>
          <t>2026</t>
        </is>
      </c>
      <c r="H34" s="1" t="n">
        <v>0</v>
      </c>
      <c r="I34" s="1" t="n">
        <v>0</v>
      </c>
      <c r="J34" s="1" t="n">
        <v>0</v>
      </c>
      <c r="K34" s="1" t="n">
        <v>0</v>
      </c>
      <c r="L34" s="1" t="n">
        <v>45</v>
      </c>
      <c r="M34" s="1" t="n">
        <v>45</v>
      </c>
      <c r="N34" s="1" t="n">
        <v>46</v>
      </c>
      <c r="O34" s="1" t="n">
        <v>2</v>
      </c>
      <c r="P34" s="1" t="n">
        <v>6720</v>
      </c>
      <c r="Q34" s="1" t="n">
        <v>90</v>
      </c>
      <c r="R34" s="1" t="n">
        <v>0</v>
      </c>
      <c r="S34" s="1" t="n">
        <v>0</v>
      </c>
      <c r="T34" s="1" t="n">
        <v>0</v>
      </c>
      <c r="U34" s="1" t="n">
        <v>0</v>
      </c>
      <c r="V34" s="1" t="n">
        <v>0.9782608699999999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302400</v>
      </c>
    </row>
    <row r="35">
      <c r="A35" s="1" t="inlineStr">
        <is>
          <t>2027BUD_V1</t>
        </is>
      </c>
      <c r="B35" s="1" t="inlineStr">
        <is>
          <t>12</t>
        </is>
      </c>
      <c r="C35" s="1" t="inlineStr">
        <is>
          <t>ISCOM_TLS</t>
        </is>
      </c>
      <c r="D35" s="1" t="inlineStr">
        <is>
          <t>MAS_COM</t>
        </is>
      </c>
      <c r="E35" s="1" t="inlineStr">
        <is>
          <t>M1</t>
        </is>
      </c>
      <c r="F35" s="1" t="inlineStr">
        <is>
          <t>ALT</t>
        </is>
      </c>
      <c r="G35" s="1" t="inlineStr">
        <is>
          <t>2026</t>
        </is>
      </c>
      <c r="H35" s="1" t="n">
        <v>800</v>
      </c>
      <c r="I35" s="1" t="n">
        <v>160</v>
      </c>
      <c r="J35" s="1" t="n">
        <v>112</v>
      </c>
      <c r="K35" s="1" t="n">
        <v>47</v>
      </c>
      <c r="L35" s="1" t="n">
        <v>0</v>
      </c>
      <c r="M35" s="1" t="n">
        <v>47</v>
      </c>
      <c r="N35" s="1" t="n">
        <v>0</v>
      </c>
      <c r="O35" s="1" t="n">
        <v>2</v>
      </c>
      <c r="P35" s="1" t="n">
        <v>7200</v>
      </c>
      <c r="Q35" s="1" t="n">
        <v>90</v>
      </c>
      <c r="R35" s="1" t="n">
        <v>408</v>
      </c>
      <c r="S35" s="1" t="n">
        <v>392</v>
      </c>
      <c r="T35" s="1" t="n">
        <v>14896</v>
      </c>
      <c r="U35" s="1" t="n">
        <v>37193</v>
      </c>
      <c r="V35" s="1" t="n">
        <v>0</v>
      </c>
      <c r="W35" s="1" t="n">
        <v>0.2</v>
      </c>
      <c r="X35" s="1" t="n">
        <v>0.7</v>
      </c>
      <c r="Y35" s="1" t="n">
        <v>0.419642857</v>
      </c>
      <c r="Z35" s="1" t="n">
        <v>800</v>
      </c>
      <c r="AA35" s="1" t="n">
        <v>0.51</v>
      </c>
      <c r="AB35" s="1" t="n">
        <v>38</v>
      </c>
      <c r="AC35" s="1" t="n">
        <v>342630</v>
      </c>
    </row>
    <row r="36">
      <c r="A36" s="1" t="inlineStr">
        <is>
          <t>2027BUD_V1</t>
        </is>
      </c>
      <c r="B36" s="1" t="inlineStr">
        <is>
          <t>12</t>
        </is>
      </c>
      <c r="C36" s="1" t="inlineStr">
        <is>
          <t>ISCOM_TLS</t>
        </is>
      </c>
      <c r="D36" s="1" t="inlineStr">
        <is>
          <t>MAS_COM</t>
        </is>
      </c>
      <c r="E36" s="1" t="inlineStr">
        <is>
          <t>M2</t>
        </is>
      </c>
      <c r="F36" s="1" t="inlineStr">
        <is>
          <t>ALT</t>
        </is>
      </c>
      <c r="G36" s="1" t="inlineStr">
        <is>
          <t>2026</t>
        </is>
      </c>
      <c r="H36" s="1" t="n">
        <v>0</v>
      </c>
      <c r="I36" s="1" t="n">
        <v>0</v>
      </c>
      <c r="J36" s="1" t="n">
        <v>0</v>
      </c>
      <c r="K36" s="1" t="n">
        <v>0</v>
      </c>
      <c r="L36" s="1" t="n">
        <v>46</v>
      </c>
      <c r="M36" s="1" t="n">
        <v>46</v>
      </c>
      <c r="N36" s="1" t="n">
        <v>47</v>
      </c>
      <c r="O36" s="1" t="n">
        <v>2</v>
      </c>
      <c r="P36" s="1" t="n">
        <v>7200</v>
      </c>
      <c r="Q36" s="1" t="n">
        <v>90</v>
      </c>
      <c r="R36" s="1" t="n">
        <v>0</v>
      </c>
      <c r="S36" s="1" t="n">
        <v>0</v>
      </c>
      <c r="T36" s="1" t="n">
        <v>0</v>
      </c>
      <c r="U36" s="1" t="n">
        <v>0</v>
      </c>
      <c r="V36" s="1" t="n">
        <v>0.978723404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331200</v>
      </c>
    </row>
    <row r="37">
      <c r="A37" s="1" t="inlineStr">
        <is>
          <t>2027BUD_V1</t>
        </is>
      </c>
      <c r="B37" s="1" t="inlineStr">
        <is>
          <t>12</t>
        </is>
      </c>
      <c r="C37" s="1" t="inlineStr">
        <is>
          <t>IPAC_NAN</t>
        </is>
      </c>
      <c r="D37" s="1" t="inlineStr">
        <is>
          <t>BAC_CCE</t>
        </is>
      </c>
      <c r="E37" s="1" t="inlineStr">
        <is>
          <t>B1</t>
        </is>
      </c>
      <c r="F37" s="1" t="inlineStr">
        <is>
          <t>ALT</t>
        </is>
      </c>
      <c r="G37" s="1" t="inlineStr">
        <is>
          <t>2026</t>
        </is>
      </c>
      <c r="H37" s="1" t="n">
        <v>850</v>
      </c>
      <c r="I37" s="1" t="n">
        <v>170</v>
      </c>
      <c r="J37" s="1" t="n">
        <v>119</v>
      </c>
      <c r="K37" s="1" t="n">
        <v>50</v>
      </c>
      <c r="L37" s="1" t="n">
        <v>0</v>
      </c>
      <c r="M37" s="1" t="n">
        <v>50</v>
      </c>
      <c r="N37" s="1" t="n">
        <v>0</v>
      </c>
      <c r="O37" s="1" t="n">
        <v>2</v>
      </c>
      <c r="P37" s="1" t="n">
        <v>7000</v>
      </c>
      <c r="Q37" s="1" t="n">
        <v>90</v>
      </c>
      <c r="R37" s="1" t="n">
        <v>306</v>
      </c>
      <c r="S37" s="1" t="n">
        <v>544</v>
      </c>
      <c r="T37" s="1" t="n">
        <v>21760</v>
      </c>
      <c r="U37" s="1" t="n">
        <v>27889</v>
      </c>
      <c r="V37" s="1" t="n">
        <v>0</v>
      </c>
      <c r="W37" s="1" t="n">
        <v>0.2</v>
      </c>
      <c r="X37" s="1" t="n">
        <v>0.7</v>
      </c>
      <c r="Y37" s="1" t="n">
        <v>0.420168067</v>
      </c>
      <c r="Z37" s="1" t="n">
        <v>850</v>
      </c>
      <c r="AA37" s="1" t="n">
        <v>0.36</v>
      </c>
      <c r="AB37" s="1" t="n">
        <v>40</v>
      </c>
      <c r="AC37" s="1" t="n">
        <v>354500</v>
      </c>
    </row>
    <row r="38">
      <c r="A38" s="1" t="inlineStr">
        <is>
          <t>2027BUD_V1</t>
        </is>
      </c>
      <c r="B38" s="1" t="inlineStr">
        <is>
          <t>12</t>
        </is>
      </c>
      <c r="C38" s="1" t="inlineStr">
        <is>
          <t>IPAC_NAN</t>
        </is>
      </c>
      <c r="D38" s="1" t="inlineStr">
        <is>
          <t>BAC_CCE</t>
        </is>
      </c>
      <c r="E38" s="1" t="inlineStr">
        <is>
          <t>B2</t>
        </is>
      </c>
      <c r="F38" s="1" t="inlineStr">
        <is>
          <t>ALT</t>
        </is>
      </c>
      <c r="G38" s="1" t="inlineStr">
        <is>
          <t>2026</t>
        </is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48</v>
      </c>
      <c r="M38" s="1" t="n">
        <v>48</v>
      </c>
      <c r="N38" s="1" t="n">
        <v>50</v>
      </c>
      <c r="O38" s="1" t="n">
        <v>2</v>
      </c>
      <c r="P38" s="1" t="n">
        <v>7000</v>
      </c>
      <c r="Q38" s="1" t="n">
        <v>90</v>
      </c>
      <c r="R38" s="1" t="n">
        <v>0</v>
      </c>
      <c r="S38" s="1" t="n">
        <v>0</v>
      </c>
      <c r="T38" s="1" t="n">
        <v>0</v>
      </c>
      <c r="U38" s="1" t="n">
        <v>0</v>
      </c>
      <c r="V38" s="1" t="n">
        <v>0.96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336000</v>
      </c>
    </row>
    <row r="39">
      <c r="A39" s="1" t="inlineStr">
        <is>
          <t>2027BUD_V1</t>
        </is>
      </c>
      <c r="B39" s="1" t="inlineStr">
        <is>
          <t>12</t>
        </is>
      </c>
      <c r="C39" s="1" t="inlineStr">
        <is>
          <t>IPAC_NAN</t>
        </is>
      </c>
      <c r="D39" s="1" t="inlineStr">
        <is>
          <t>BAC_CCE</t>
        </is>
      </c>
      <c r="E39" s="1" t="inlineStr">
        <is>
          <t>B3</t>
        </is>
      </c>
      <c r="F39" s="1" t="inlineStr">
        <is>
          <t>ALT</t>
        </is>
      </c>
      <c r="G39" s="1" t="inlineStr">
        <is>
          <t>2026</t>
        </is>
      </c>
      <c r="H39" s="1" t="n">
        <v>0</v>
      </c>
      <c r="I39" s="1" t="n">
        <v>0</v>
      </c>
      <c r="J39" s="1" t="n">
        <v>0</v>
      </c>
      <c r="K39" s="1" t="n">
        <v>0</v>
      </c>
      <c r="L39" s="1" t="n">
        <v>47</v>
      </c>
      <c r="M39" s="1" t="n">
        <v>47</v>
      </c>
      <c r="N39" s="1" t="n">
        <v>48</v>
      </c>
      <c r="O39" s="1" t="n">
        <v>2</v>
      </c>
      <c r="P39" s="1" t="n">
        <v>7000</v>
      </c>
      <c r="Q39" s="1" t="n">
        <v>90</v>
      </c>
      <c r="R39" s="1" t="n">
        <v>0</v>
      </c>
      <c r="S39" s="1" t="n">
        <v>0</v>
      </c>
      <c r="T39" s="1" t="n">
        <v>0</v>
      </c>
      <c r="U39" s="1" t="n">
        <v>0</v>
      </c>
      <c r="V39" s="1" t="n">
        <v>0.979166667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329000</v>
      </c>
    </row>
    <row r="40">
      <c r="A40" s="1" t="inlineStr">
        <is>
          <t>2027BUD_V1</t>
        </is>
      </c>
      <c r="B40" s="1" t="inlineStr">
        <is>
          <t>12</t>
        </is>
      </c>
      <c r="C40" s="1" t="inlineStr">
        <is>
          <t>IPAC_REN</t>
        </is>
      </c>
      <c r="D40" s="1" t="inlineStr">
        <is>
          <t>BAC_CCE</t>
        </is>
      </c>
      <c r="E40" s="1" t="inlineStr">
        <is>
          <t>B1</t>
        </is>
      </c>
      <c r="F40" s="1" t="inlineStr">
        <is>
          <t>ALT</t>
        </is>
      </c>
      <c r="G40" s="1" t="inlineStr">
        <is>
          <t>2026</t>
        </is>
      </c>
      <c r="H40" s="1" t="n">
        <v>680</v>
      </c>
      <c r="I40" s="1" t="n">
        <v>136</v>
      </c>
      <c r="J40" s="1" t="n">
        <v>95</v>
      </c>
      <c r="K40" s="1" t="n">
        <v>40</v>
      </c>
      <c r="L40" s="1" t="n">
        <v>0</v>
      </c>
      <c r="M40" s="1" t="n">
        <v>40</v>
      </c>
      <c r="N40" s="1" t="n">
        <v>0</v>
      </c>
      <c r="O40" s="1" t="n">
        <v>2</v>
      </c>
      <c r="P40" s="1" t="n">
        <v>6650</v>
      </c>
      <c r="Q40" s="1" t="n">
        <v>90</v>
      </c>
      <c r="R40" s="1" t="n">
        <v>265</v>
      </c>
      <c r="S40" s="1" t="n">
        <v>415</v>
      </c>
      <c r="T40" s="1" t="n">
        <v>14933</v>
      </c>
      <c r="U40" s="1" t="n">
        <v>24152</v>
      </c>
      <c r="V40" s="1" t="n">
        <v>0</v>
      </c>
      <c r="W40" s="1" t="n">
        <v>0.2</v>
      </c>
      <c r="X40" s="1" t="n">
        <v>0.698529412</v>
      </c>
      <c r="Y40" s="1" t="n">
        <v>0.421052632</v>
      </c>
      <c r="Z40" s="1" t="n">
        <v>680</v>
      </c>
      <c r="AA40" s="1" t="n">
        <v>0.389705882</v>
      </c>
      <c r="AB40" s="1" t="n">
        <v>35.98313253</v>
      </c>
      <c r="AC40" s="1" t="n">
        <v>269600</v>
      </c>
    </row>
    <row r="41">
      <c r="A41" s="1" t="inlineStr">
        <is>
          <t>2027BUD_V1</t>
        </is>
      </c>
      <c r="B41" s="1" t="inlineStr">
        <is>
          <t>12</t>
        </is>
      </c>
      <c r="C41" s="1" t="inlineStr">
        <is>
          <t>IPAC_REN</t>
        </is>
      </c>
      <c r="D41" s="1" t="inlineStr">
        <is>
          <t>BAC_CCE</t>
        </is>
      </c>
      <c r="E41" s="1" t="inlineStr">
        <is>
          <t>B2</t>
        </is>
      </c>
      <c r="F41" s="1" t="inlineStr">
        <is>
          <t>ALT</t>
        </is>
      </c>
      <c r="G41" s="1" t="inlineStr">
        <is>
          <t>2026</t>
        </is>
      </c>
      <c r="H41" s="1" t="n">
        <v>0</v>
      </c>
      <c r="I41" s="1" t="n">
        <v>0</v>
      </c>
      <c r="J41" s="1" t="n">
        <v>0</v>
      </c>
      <c r="K41" s="1" t="n">
        <v>0</v>
      </c>
      <c r="L41" s="1" t="n">
        <v>39</v>
      </c>
      <c r="M41" s="1" t="n">
        <v>39</v>
      </c>
      <c r="N41" s="1" t="n">
        <v>40</v>
      </c>
      <c r="O41" s="1" t="n">
        <v>2</v>
      </c>
      <c r="P41" s="1" t="n">
        <v>6650</v>
      </c>
      <c r="Q41" s="1" t="n">
        <v>90</v>
      </c>
      <c r="R41" s="1" t="n">
        <v>0</v>
      </c>
      <c r="S41" s="1" t="n">
        <v>0</v>
      </c>
      <c r="T41" s="1" t="n">
        <v>0</v>
      </c>
      <c r="U41" s="1" t="n">
        <v>0</v>
      </c>
      <c r="V41" s="1" t="n">
        <v>0.975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259350</v>
      </c>
    </row>
    <row r="42">
      <c r="A42" s="1" t="inlineStr">
        <is>
          <t>2027BUD_V1</t>
        </is>
      </c>
      <c r="B42" s="1" t="inlineStr">
        <is>
          <t>12</t>
        </is>
      </c>
      <c r="C42" s="1" t="inlineStr">
        <is>
          <t>IPAC_REN</t>
        </is>
      </c>
      <c r="D42" s="1" t="inlineStr">
        <is>
          <t>BAC_CCE</t>
        </is>
      </c>
      <c r="E42" s="1" t="inlineStr">
        <is>
          <t>B3</t>
        </is>
      </c>
      <c r="F42" s="1" t="inlineStr">
        <is>
          <t>ALT</t>
        </is>
      </c>
      <c r="G42" s="1" t="inlineStr">
        <is>
          <t>2026</t>
        </is>
      </c>
      <c r="H42" s="1" t="n">
        <v>0</v>
      </c>
      <c r="I42" s="1" t="n">
        <v>0</v>
      </c>
      <c r="J42" s="1" t="n">
        <v>0</v>
      </c>
      <c r="K42" s="1" t="n">
        <v>0</v>
      </c>
      <c r="L42" s="1" t="n">
        <v>38</v>
      </c>
      <c r="M42" s="1" t="n">
        <v>38</v>
      </c>
      <c r="N42" s="1" t="n">
        <v>39</v>
      </c>
      <c r="O42" s="1" t="n">
        <v>2</v>
      </c>
      <c r="P42" s="1" t="n">
        <v>6650</v>
      </c>
      <c r="Q42" s="1" t="n">
        <v>90</v>
      </c>
      <c r="R42" s="1" t="n">
        <v>0</v>
      </c>
      <c r="S42" s="1" t="n">
        <v>0</v>
      </c>
      <c r="T42" s="1" t="n">
        <v>0</v>
      </c>
      <c r="U42" s="1" t="n">
        <v>0</v>
      </c>
      <c r="V42" s="1" t="n">
        <v>0.974358974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252700</v>
      </c>
    </row>
    <row r="43">
      <c r="A43" s="1" t="inlineStr">
        <is>
          <t>2027BUD_V1</t>
        </is>
      </c>
      <c r="B43" s="1" t="inlineStr">
        <is>
          <t>12</t>
        </is>
      </c>
      <c r="C43" s="1" t="inlineStr">
        <is>
          <t>IPAC_MTP</t>
        </is>
      </c>
      <c r="D43" s="1" t="inlineStr">
        <is>
          <t>BAC_CCE</t>
        </is>
      </c>
      <c r="E43" s="1" t="inlineStr">
        <is>
          <t>B1</t>
        </is>
      </c>
      <c r="F43" s="1" t="inlineStr">
        <is>
          <t>ALT</t>
        </is>
      </c>
      <c r="G43" s="1" t="inlineStr">
        <is>
          <t>2026</t>
        </is>
      </c>
      <c r="H43" s="1" t="n">
        <v>680</v>
      </c>
      <c r="I43" s="1" t="n">
        <v>136</v>
      </c>
      <c r="J43" s="1" t="n">
        <v>95</v>
      </c>
      <c r="K43" s="1" t="n">
        <v>40</v>
      </c>
      <c r="L43" s="1" t="n">
        <v>0</v>
      </c>
      <c r="M43" s="1" t="n">
        <v>40</v>
      </c>
      <c r="N43" s="1" t="n">
        <v>0</v>
      </c>
      <c r="O43" s="1" t="n">
        <v>2</v>
      </c>
      <c r="P43" s="1" t="n">
        <v>6650</v>
      </c>
      <c r="Q43" s="1" t="n">
        <v>90</v>
      </c>
      <c r="R43" s="1" t="n">
        <v>258</v>
      </c>
      <c r="S43" s="1" t="n">
        <v>422</v>
      </c>
      <c r="T43" s="1" t="n">
        <v>15178</v>
      </c>
      <c r="U43" s="1" t="n">
        <v>23514</v>
      </c>
      <c r="V43" s="1" t="n">
        <v>0</v>
      </c>
      <c r="W43" s="1" t="n">
        <v>0.2</v>
      </c>
      <c r="X43" s="1" t="n">
        <v>0.698529412</v>
      </c>
      <c r="Y43" s="1" t="n">
        <v>0.421052632</v>
      </c>
      <c r="Z43" s="1" t="n">
        <v>680</v>
      </c>
      <c r="AA43" s="1" t="n">
        <v>0.379411765</v>
      </c>
      <c r="AB43" s="1" t="n">
        <v>35.966824645</v>
      </c>
      <c r="AC43" s="1" t="n">
        <v>269600</v>
      </c>
    </row>
    <row r="44">
      <c r="A44" s="1" t="inlineStr">
        <is>
          <t>2027BUD_V1</t>
        </is>
      </c>
      <c r="B44" s="1" t="inlineStr">
        <is>
          <t>12</t>
        </is>
      </c>
      <c r="C44" s="1" t="inlineStr">
        <is>
          <t>IPAC_MTP</t>
        </is>
      </c>
      <c r="D44" s="1" t="inlineStr">
        <is>
          <t>BAC_CCE</t>
        </is>
      </c>
      <c r="E44" s="1" t="inlineStr">
        <is>
          <t>B2</t>
        </is>
      </c>
      <c r="F44" s="1" t="inlineStr">
        <is>
          <t>ALT</t>
        </is>
      </c>
      <c r="G44" s="1" t="inlineStr">
        <is>
          <t>2026</t>
        </is>
      </c>
      <c r="H44" s="1" t="n">
        <v>0</v>
      </c>
      <c r="I44" s="1" t="n">
        <v>0</v>
      </c>
      <c r="J44" s="1" t="n">
        <v>0</v>
      </c>
      <c r="K44" s="1" t="n">
        <v>0</v>
      </c>
      <c r="L44" s="1" t="n">
        <v>39</v>
      </c>
      <c r="M44" s="1" t="n">
        <v>39</v>
      </c>
      <c r="N44" s="1" t="n">
        <v>40</v>
      </c>
      <c r="O44" s="1" t="n">
        <v>2</v>
      </c>
      <c r="P44" s="1" t="n">
        <v>6650</v>
      </c>
      <c r="Q44" s="1" t="n">
        <v>90</v>
      </c>
      <c r="R44" s="1" t="n">
        <v>0</v>
      </c>
      <c r="S44" s="1" t="n">
        <v>0</v>
      </c>
      <c r="T44" s="1" t="n">
        <v>0</v>
      </c>
      <c r="U44" s="1" t="n">
        <v>0</v>
      </c>
      <c r="V44" s="1" t="n">
        <v>0.975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259350</v>
      </c>
    </row>
    <row r="45">
      <c r="A45" s="1" t="inlineStr">
        <is>
          <t>2027BUD_V1</t>
        </is>
      </c>
      <c r="B45" s="1" t="inlineStr">
        <is>
          <t>12</t>
        </is>
      </c>
      <c r="C45" s="1" t="inlineStr">
        <is>
          <t>IPAC_MTP</t>
        </is>
      </c>
      <c r="D45" s="1" t="inlineStr">
        <is>
          <t>BAC_CCE</t>
        </is>
      </c>
      <c r="E45" s="1" t="inlineStr">
        <is>
          <t>B3</t>
        </is>
      </c>
      <c r="F45" s="1" t="inlineStr">
        <is>
          <t>ALT</t>
        </is>
      </c>
      <c r="G45" s="1" t="inlineStr">
        <is>
          <t>2026</t>
        </is>
      </c>
      <c r="H45" s="1" t="n">
        <v>0</v>
      </c>
      <c r="I45" s="1" t="n">
        <v>0</v>
      </c>
      <c r="J45" s="1" t="n">
        <v>0</v>
      </c>
      <c r="K45" s="1" t="n">
        <v>0</v>
      </c>
      <c r="L45" s="1" t="n">
        <v>38</v>
      </c>
      <c r="M45" s="1" t="n">
        <v>38</v>
      </c>
      <c r="N45" s="1" t="n">
        <v>39</v>
      </c>
      <c r="O45" s="1" t="n">
        <v>2</v>
      </c>
      <c r="P45" s="1" t="n">
        <v>6650</v>
      </c>
      <c r="Q45" s="1" t="n">
        <v>90</v>
      </c>
      <c r="R45" s="1" t="n">
        <v>0</v>
      </c>
      <c r="S45" s="1" t="n">
        <v>0</v>
      </c>
      <c r="T45" s="1" t="n">
        <v>0</v>
      </c>
      <c r="U45" s="1" t="n">
        <v>0</v>
      </c>
      <c r="V45" s="1" t="n">
        <v>0.974358974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252700</v>
      </c>
    </row>
    <row r="46">
      <c r="A46" s="1" t="inlineStr">
        <is>
          <t>2027BUD_V1</t>
        </is>
      </c>
      <c r="B46" s="1" t="inlineStr">
        <is>
          <t>12</t>
        </is>
      </c>
      <c r="C46" s="1" t="inlineStr">
        <is>
          <t>PIGIER_LYO</t>
        </is>
      </c>
      <c r="D46" s="1" t="inlineStr">
        <is>
          <t>BTS_GES</t>
        </is>
      </c>
      <c r="E46" s="1" t="inlineStr">
        <is>
          <t>BTS1</t>
        </is>
      </c>
      <c r="F46" s="1" t="inlineStr">
        <is>
          <t>ALT</t>
        </is>
      </c>
      <c r="G46" s="1" t="inlineStr">
        <is>
          <t>2026</t>
        </is>
      </c>
      <c r="H46" s="1" t="n">
        <v>785</v>
      </c>
      <c r="I46" s="1" t="n">
        <v>157</v>
      </c>
      <c r="J46" s="1" t="n">
        <v>110</v>
      </c>
      <c r="K46" s="1" t="n">
        <v>46</v>
      </c>
      <c r="L46" s="1" t="n">
        <v>0</v>
      </c>
      <c r="M46" s="1" t="n">
        <v>46</v>
      </c>
      <c r="N46" s="1" t="n">
        <v>0</v>
      </c>
      <c r="O46" s="1" t="n">
        <v>2</v>
      </c>
      <c r="P46" s="1" t="n">
        <v>6300</v>
      </c>
      <c r="Q46" s="1" t="n">
        <v>90</v>
      </c>
      <c r="R46" s="1" t="n">
        <v>369</v>
      </c>
      <c r="S46" s="1" t="n">
        <v>416</v>
      </c>
      <c r="T46" s="1" t="n">
        <v>18306</v>
      </c>
      <c r="U46" s="1" t="n">
        <v>33630</v>
      </c>
      <c r="V46" s="1" t="n">
        <v>0</v>
      </c>
      <c r="W46" s="1" t="n">
        <v>0.2</v>
      </c>
      <c r="X46" s="1" t="n">
        <v>0.700636943</v>
      </c>
      <c r="Y46" s="1" t="n">
        <v>0.418181818</v>
      </c>
      <c r="Z46" s="1" t="n">
        <v>785</v>
      </c>
      <c r="AA46" s="1" t="n">
        <v>0.470063694</v>
      </c>
      <c r="AB46" s="1" t="n">
        <v>44.004807692</v>
      </c>
      <c r="AC46" s="1" t="n">
        <v>293940</v>
      </c>
    </row>
    <row r="47">
      <c r="A47" s="1" t="inlineStr">
        <is>
          <t>2027BUD_V1</t>
        </is>
      </c>
      <c r="B47" s="1" t="inlineStr">
        <is>
          <t>12</t>
        </is>
      </c>
      <c r="C47" s="1" t="inlineStr">
        <is>
          <t>PIGIER_LYO</t>
        </is>
      </c>
      <c r="D47" s="1" t="inlineStr">
        <is>
          <t>BTS_GES</t>
        </is>
      </c>
      <c r="E47" s="1" t="inlineStr">
        <is>
          <t>BTS2</t>
        </is>
      </c>
      <c r="F47" s="1" t="inlineStr">
        <is>
          <t>ALT</t>
        </is>
      </c>
      <c r="G47" s="1" t="inlineStr">
        <is>
          <t>2026</t>
        </is>
      </c>
      <c r="H47" s="1" t="n">
        <v>0</v>
      </c>
      <c r="I47" s="1" t="n">
        <v>0</v>
      </c>
      <c r="J47" s="1" t="n">
        <v>0</v>
      </c>
      <c r="K47" s="1" t="n">
        <v>0</v>
      </c>
      <c r="L47" s="1" t="n">
        <v>45</v>
      </c>
      <c r="M47" s="1" t="n">
        <v>45</v>
      </c>
      <c r="N47" s="1" t="n">
        <v>46</v>
      </c>
      <c r="O47" s="1" t="n">
        <v>2</v>
      </c>
      <c r="P47" s="1" t="n">
        <v>6300</v>
      </c>
      <c r="Q47" s="1" t="n">
        <v>90</v>
      </c>
      <c r="R47" s="1" t="n">
        <v>0</v>
      </c>
      <c r="S47" s="1" t="n">
        <v>0</v>
      </c>
      <c r="T47" s="1" t="n">
        <v>0</v>
      </c>
      <c r="U47" s="1" t="n">
        <v>0</v>
      </c>
      <c r="V47" s="1" t="n">
        <v>0.9782608699999999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283500</v>
      </c>
    </row>
    <row r="48">
      <c r="A48" s="1" t="inlineStr">
        <is>
          <t>2027BUD_V1</t>
        </is>
      </c>
      <c r="B48" s="1" t="inlineStr">
        <is>
          <t>12</t>
        </is>
      </c>
      <c r="C48" s="1" t="inlineStr">
        <is>
          <t>PIGIER_LYO</t>
        </is>
      </c>
      <c r="D48" s="1" t="inlineStr">
        <is>
          <t>BAC_RH</t>
        </is>
      </c>
      <c r="E48" s="1" t="inlineStr">
        <is>
          <t>B1</t>
        </is>
      </c>
      <c r="F48" s="1" t="inlineStr">
        <is>
          <t>ALT</t>
        </is>
      </c>
      <c r="G48" s="1" t="inlineStr">
        <is>
          <t>2026</t>
        </is>
      </c>
      <c r="H48" s="1" t="n">
        <v>785</v>
      </c>
      <c r="I48" s="1" t="n">
        <v>157</v>
      </c>
      <c r="J48" s="1" t="n">
        <v>110</v>
      </c>
      <c r="K48" s="1" t="n">
        <v>46</v>
      </c>
      <c r="L48" s="1" t="n">
        <v>0</v>
      </c>
      <c r="M48" s="1" t="n">
        <v>46</v>
      </c>
      <c r="N48" s="1" t="n">
        <v>0</v>
      </c>
      <c r="O48" s="1" t="n">
        <v>2</v>
      </c>
      <c r="P48" s="1" t="n">
        <v>7350</v>
      </c>
      <c r="Q48" s="1" t="n">
        <v>90</v>
      </c>
      <c r="R48" s="1" t="n">
        <v>369</v>
      </c>
      <c r="S48" s="1" t="n">
        <v>416</v>
      </c>
      <c r="T48" s="1" t="n">
        <v>18306</v>
      </c>
      <c r="U48" s="1" t="n">
        <v>33631</v>
      </c>
      <c r="V48" s="1" t="n">
        <v>0</v>
      </c>
      <c r="W48" s="1" t="n">
        <v>0.2</v>
      </c>
      <c r="X48" s="1" t="n">
        <v>0.700636943</v>
      </c>
      <c r="Y48" s="1" t="n">
        <v>0.418181818</v>
      </c>
      <c r="Z48" s="1" t="n">
        <v>785</v>
      </c>
      <c r="AA48" s="1" t="n">
        <v>0.470063694</v>
      </c>
      <c r="AB48" s="1" t="n">
        <v>44.004807692</v>
      </c>
      <c r="AC48" s="1" t="n">
        <v>342240</v>
      </c>
    </row>
    <row r="49">
      <c r="A49" s="1" t="inlineStr">
        <is>
          <t>2027BUD_V1</t>
        </is>
      </c>
      <c r="B49" s="1" t="inlineStr">
        <is>
          <t>12</t>
        </is>
      </c>
      <c r="C49" s="1" t="inlineStr">
        <is>
          <t>PIGIER_LYO</t>
        </is>
      </c>
      <c r="D49" s="1" t="inlineStr">
        <is>
          <t>BAC_RH</t>
        </is>
      </c>
      <c r="E49" s="1" t="inlineStr">
        <is>
          <t>B3</t>
        </is>
      </c>
      <c r="F49" s="1" t="inlineStr">
        <is>
          <t>ALT</t>
        </is>
      </c>
      <c r="G49" s="1" t="inlineStr">
        <is>
          <t>2026</t>
        </is>
      </c>
      <c r="H49" s="1" t="n">
        <v>0</v>
      </c>
      <c r="I49" s="1" t="n">
        <v>0</v>
      </c>
      <c r="J49" s="1" t="n">
        <v>0</v>
      </c>
      <c r="K49" s="1" t="n">
        <v>0</v>
      </c>
      <c r="L49" s="1" t="n">
        <v>45</v>
      </c>
      <c r="M49" s="1" t="n">
        <v>45</v>
      </c>
      <c r="N49" s="1" t="n">
        <v>46</v>
      </c>
      <c r="O49" s="1" t="n">
        <v>2</v>
      </c>
      <c r="P49" s="1" t="n">
        <v>7350</v>
      </c>
      <c r="Q49" s="1" t="n">
        <v>90</v>
      </c>
      <c r="R49" s="1" t="n">
        <v>0</v>
      </c>
      <c r="S49" s="1" t="n">
        <v>0</v>
      </c>
      <c r="T49" s="1" t="n">
        <v>0</v>
      </c>
      <c r="U49" s="1" t="n">
        <v>0</v>
      </c>
      <c r="V49" s="1" t="n">
        <v>0.9782608699999999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330750</v>
      </c>
    </row>
    <row r="50">
      <c r="A50" s="1" t="inlineStr">
        <is>
          <t>2027BUD_V1</t>
        </is>
      </c>
      <c r="B50" s="1" t="inlineStr">
        <is>
          <t>12</t>
        </is>
      </c>
      <c r="C50" s="1" t="inlineStr">
        <is>
          <t>PIGIER_BOR</t>
        </is>
      </c>
      <c r="D50" s="1" t="inlineStr">
        <is>
          <t>BTS_GES</t>
        </is>
      </c>
      <c r="E50" s="1" t="inlineStr">
        <is>
          <t>BTS1</t>
        </is>
      </c>
      <c r="F50" s="1" t="inlineStr">
        <is>
          <t>ALT</t>
        </is>
      </c>
      <c r="G50" s="1" t="inlineStr">
        <is>
          <t>2026</t>
        </is>
      </c>
      <c r="H50" s="1" t="n">
        <v>615</v>
      </c>
      <c r="I50" s="1" t="n">
        <v>123</v>
      </c>
      <c r="J50" s="1" t="n">
        <v>86</v>
      </c>
      <c r="K50" s="1" t="n">
        <v>36</v>
      </c>
      <c r="L50" s="1" t="n">
        <v>0</v>
      </c>
      <c r="M50" s="1" t="n">
        <v>36</v>
      </c>
      <c r="N50" s="1" t="n">
        <v>0</v>
      </c>
      <c r="O50" s="1" t="n">
        <v>2</v>
      </c>
      <c r="P50" s="1" t="n">
        <v>5820</v>
      </c>
      <c r="Q50" s="1" t="n">
        <v>90</v>
      </c>
      <c r="R50" s="1" t="n">
        <v>326</v>
      </c>
      <c r="S50" s="1" t="n">
        <v>289</v>
      </c>
      <c r="T50" s="1" t="n">
        <v>10984</v>
      </c>
      <c r="U50" s="1" t="n">
        <v>29712</v>
      </c>
      <c r="V50" s="1" t="n">
        <v>0</v>
      </c>
      <c r="W50" s="1" t="n">
        <v>0.2</v>
      </c>
      <c r="X50" s="1" t="n">
        <v>0.699186992</v>
      </c>
      <c r="Y50" s="1" t="n">
        <v>0.418604651</v>
      </c>
      <c r="Z50" s="1" t="n">
        <v>615</v>
      </c>
      <c r="AA50" s="1" t="n">
        <v>0.5300813009999999</v>
      </c>
      <c r="AB50" s="1" t="n">
        <v>38.006920415</v>
      </c>
      <c r="AC50" s="1" t="n">
        <v>212760</v>
      </c>
    </row>
    <row r="51">
      <c r="A51" s="1" t="inlineStr">
        <is>
          <t>2027BUD_V1</t>
        </is>
      </c>
      <c r="B51" s="1" t="inlineStr">
        <is>
          <t>12</t>
        </is>
      </c>
      <c r="C51" s="1" t="inlineStr">
        <is>
          <t>PIGIER_BOR</t>
        </is>
      </c>
      <c r="D51" s="1" t="inlineStr">
        <is>
          <t>BTS_GES</t>
        </is>
      </c>
      <c r="E51" s="1" t="inlineStr">
        <is>
          <t>BTS2</t>
        </is>
      </c>
      <c r="F51" s="1" t="inlineStr">
        <is>
          <t>ALT</t>
        </is>
      </c>
      <c r="G51" s="1" t="inlineStr">
        <is>
          <t>2026</t>
        </is>
      </c>
      <c r="H51" s="1" t="n">
        <v>0</v>
      </c>
      <c r="I51" s="1" t="n">
        <v>0</v>
      </c>
      <c r="J51" s="1" t="n">
        <v>0</v>
      </c>
      <c r="K51" s="1" t="n">
        <v>0</v>
      </c>
      <c r="L51" s="1" t="n">
        <v>35</v>
      </c>
      <c r="M51" s="1" t="n">
        <v>35</v>
      </c>
      <c r="N51" s="1" t="n">
        <v>36</v>
      </c>
      <c r="O51" s="1" t="n">
        <v>2</v>
      </c>
      <c r="P51" s="1" t="n">
        <v>5820</v>
      </c>
      <c r="Q51" s="1" t="n">
        <v>90</v>
      </c>
      <c r="R51" s="1" t="n">
        <v>0</v>
      </c>
      <c r="S51" s="1" t="n">
        <v>0</v>
      </c>
      <c r="T51" s="1" t="n">
        <v>0</v>
      </c>
      <c r="U51" s="1" t="n">
        <v>0</v>
      </c>
      <c r="V51" s="1" t="n">
        <v>0.972222222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203700</v>
      </c>
    </row>
    <row r="52">
      <c r="A52" s="1" t="inlineStr">
        <is>
          <t>2027BUD_V1</t>
        </is>
      </c>
      <c r="B52" s="1" t="inlineStr">
        <is>
          <t>12</t>
        </is>
      </c>
      <c r="C52" s="1" t="inlineStr">
        <is>
          <t>PIGIER_BOR</t>
        </is>
      </c>
      <c r="D52" s="1" t="inlineStr">
        <is>
          <t>BAC_RH</t>
        </is>
      </c>
      <c r="E52" s="1" t="inlineStr">
        <is>
          <t>B1</t>
        </is>
      </c>
      <c r="F52" s="1" t="inlineStr">
        <is>
          <t>ALT</t>
        </is>
      </c>
      <c r="G52" s="1" t="inlineStr">
        <is>
          <t>2026</t>
        </is>
      </c>
      <c r="H52" s="1" t="n">
        <v>615</v>
      </c>
      <c r="I52" s="1" t="n">
        <v>123</v>
      </c>
      <c r="J52" s="1" t="n">
        <v>86</v>
      </c>
      <c r="K52" s="1" t="n">
        <v>36</v>
      </c>
      <c r="L52" s="1" t="n">
        <v>0</v>
      </c>
      <c r="M52" s="1" t="n">
        <v>36</v>
      </c>
      <c r="N52" s="1" t="n">
        <v>0</v>
      </c>
      <c r="O52" s="1" t="n">
        <v>2</v>
      </c>
      <c r="P52" s="1" t="n">
        <v>6790</v>
      </c>
      <c r="Q52" s="1" t="n">
        <v>90</v>
      </c>
      <c r="R52" s="1" t="n">
        <v>326</v>
      </c>
      <c r="S52" s="1" t="n">
        <v>289</v>
      </c>
      <c r="T52" s="1" t="n">
        <v>10984</v>
      </c>
      <c r="U52" s="1" t="n">
        <v>29711</v>
      </c>
      <c r="V52" s="1" t="n">
        <v>0</v>
      </c>
      <c r="W52" s="1" t="n">
        <v>0.2</v>
      </c>
      <c r="X52" s="1" t="n">
        <v>0.699186992</v>
      </c>
      <c r="Y52" s="1" t="n">
        <v>0.418604651</v>
      </c>
      <c r="Z52" s="1" t="n">
        <v>615</v>
      </c>
      <c r="AA52" s="1" t="n">
        <v>0.5300813009999999</v>
      </c>
      <c r="AB52" s="1" t="n">
        <v>38.006920415</v>
      </c>
      <c r="AC52" s="1" t="n">
        <v>247680</v>
      </c>
    </row>
    <row r="53">
      <c r="A53" s="1" t="inlineStr">
        <is>
          <t>2027BUD_V1</t>
        </is>
      </c>
      <c r="B53" s="1" t="inlineStr">
        <is>
          <t>12</t>
        </is>
      </c>
      <c r="C53" s="1" t="inlineStr">
        <is>
          <t>PIGIER_BOR</t>
        </is>
      </c>
      <c r="D53" s="1" t="inlineStr">
        <is>
          <t>BAC_RH</t>
        </is>
      </c>
      <c r="E53" s="1" t="inlineStr">
        <is>
          <t>B3</t>
        </is>
      </c>
      <c r="F53" s="1" t="inlineStr">
        <is>
          <t>ALT</t>
        </is>
      </c>
      <c r="G53" s="1" t="inlineStr">
        <is>
          <t>2026</t>
        </is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v>35</v>
      </c>
      <c r="M53" s="1" t="n">
        <v>35</v>
      </c>
      <c r="N53" s="1" t="n">
        <v>36</v>
      </c>
      <c r="O53" s="1" t="n">
        <v>2</v>
      </c>
      <c r="P53" s="1" t="n">
        <v>6790</v>
      </c>
      <c r="Q53" s="1" t="n">
        <v>90</v>
      </c>
      <c r="R53" s="1" t="n">
        <v>0</v>
      </c>
      <c r="S53" s="1" t="n">
        <v>0</v>
      </c>
      <c r="T53" s="1" t="n">
        <v>0</v>
      </c>
      <c r="U53" s="1" t="n">
        <v>0</v>
      </c>
      <c r="V53" s="1" t="n">
        <v>0.972222222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237650</v>
      </c>
    </row>
    <row r="54">
      <c r="A54" s="1" t="inlineStr">
        <is>
          <t>2027BUD_V1</t>
        </is>
      </c>
      <c r="B54" s="1" t="inlineStr">
        <is>
          <t>12</t>
        </is>
      </c>
      <c r="C54" s="1" t="inlineStr">
        <is>
          <t>TUNON_PAR</t>
        </is>
      </c>
      <c r="D54" s="1" t="inlineStr">
        <is>
          <t>BAC_TOU</t>
        </is>
      </c>
      <c r="E54" s="1" t="inlineStr">
        <is>
          <t>B1</t>
        </is>
      </c>
      <c r="F54" s="1" t="inlineStr">
        <is>
          <t>ALT</t>
        </is>
      </c>
      <c r="G54" s="1" t="inlineStr">
        <is>
          <t>2026</t>
        </is>
      </c>
      <c r="H54" s="1" t="n">
        <v>800</v>
      </c>
      <c r="I54" s="1" t="n">
        <v>160</v>
      </c>
      <c r="J54" s="1" t="n">
        <v>112</v>
      </c>
      <c r="K54" s="1" t="n">
        <v>47</v>
      </c>
      <c r="L54" s="1" t="n">
        <v>0</v>
      </c>
      <c r="M54" s="1" t="n">
        <v>47</v>
      </c>
      <c r="N54" s="1" t="n">
        <v>0</v>
      </c>
      <c r="O54" s="1" t="n">
        <v>2</v>
      </c>
      <c r="P54" s="1" t="n">
        <v>7840</v>
      </c>
      <c r="Q54" s="1" t="n">
        <v>90</v>
      </c>
      <c r="R54" s="1" t="n">
        <v>240</v>
      </c>
      <c r="S54" s="1" t="n">
        <v>560</v>
      </c>
      <c r="T54" s="1" t="n">
        <v>30240</v>
      </c>
      <c r="U54" s="1" t="n">
        <v>21873</v>
      </c>
      <c r="V54" s="1" t="n">
        <v>0</v>
      </c>
      <c r="W54" s="1" t="n">
        <v>0.2</v>
      </c>
      <c r="X54" s="1" t="n">
        <v>0.7</v>
      </c>
      <c r="Y54" s="1" t="n">
        <v>0.419642857</v>
      </c>
      <c r="Z54" s="1" t="n">
        <v>800</v>
      </c>
      <c r="AA54" s="1" t="n">
        <v>0.3</v>
      </c>
      <c r="AB54" s="1" t="n">
        <v>54</v>
      </c>
      <c r="AC54" s="1" t="n">
        <v>372710</v>
      </c>
    </row>
    <row r="55">
      <c r="A55" s="1" t="inlineStr">
        <is>
          <t>2027BUD_V1</t>
        </is>
      </c>
      <c r="B55" s="1" t="inlineStr">
        <is>
          <t>12</t>
        </is>
      </c>
      <c r="C55" s="1" t="inlineStr">
        <is>
          <t>TUNON_PAR</t>
        </is>
      </c>
      <c r="D55" s="1" t="inlineStr">
        <is>
          <t>BAC_TOU</t>
        </is>
      </c>
      <c r="E55" s="1" t="inlineStr">
        <is>
          <t>B2</t>
        </is>
      </c>
      <c r="F55" s="1" t="inlineStr">
        <is>
          <t>ALT</t>
        </is>
      </c>
      <c r="G55" s="1" t="inlineStr">
        <is>
          <t>2026</t>
        </is>
      </c>
      <c r="H55" s="1" t="n">
        <v>0</v>
      </c>
      <c r="I55" s="1" t="n">
        <v>0</v>
      </c>
      <c r="J55" s="1" t="n">
        <v>0</v>
      </c>
      <c r="K55" s="1" t="n">
        <v>0</v>
      </c>
      <c r="L55" s="1" t="n">
        <v>46</v>
      </c>
      <c r="M55" s="1" t="n">
        <v>46</v>
      </c>
      <c r="N55" s="1" t="n">
        <v>47</v>
      </c>
      <c r="O55" s="1" t="n">
        <v>2</v>
      </c>
      <c r="P55" s="1" t="n">
        <v>7840</v>
      </c>
      <c r="Q55" s="1" t="n">
        <v>90</v>
      </c>
      <c r="R55" s="1" t="n">
        <v>0</v>
      </c>
      <c r="S55" s="1" t="n">
        <v>0</v>
      </c>
      <c r="T55" s="1" t="n">
        <v>0</v>
      </c>
      <c r="U55" s="1" t="n">
        <v>0</v>
      </c>
      <c r="V55" s="1" t="n">
        <v>0.978723404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360640</v>
      </c>
    </row>
    <row r="56">
      <c r="A56" s="1" t="inlineStr">
        <is>
          <t>2027BUD_V1</t>
        </is>
      </c>
      <c r="B56" s="1" t="inlineStr">
        <is>
          <t>12</t>
        </is>
      </c>
      <c r="C56" s="1" t="inlineStr">
        <is>
          <t>TUNON_PAR</t>
        </is>
      </c>
      <c r="D56" s="1" t="inlineStr">
        <is>
          <t>BAC_TOU</t>
        </is>
      </c>
      <c r="E56" s="1" t="inlineStr">
        <is>
          <t>B3</t>
        </is>
      </c>
      <c r="F56" s="1" t="inlineStr">
        <is>
          <t>ALT</t>
        </is>
      </c>
      <c r="G56" s="1" t="inlineStr">
        <is>
          <t>2026</t>
        </is>
      </c>
      <c r="H56" s="1" t="n">
        <v>0</v>
      </c>
      <c r="I56" s="1" t="n">
        <v>0</v>
      </c>
      <c r="J56" s="1" t="n">
        <v>0</v>
      </c>
      <c r="K56" s="1" t="n">
        <v>0</v>
      </c>
      <c r="L56" s="1" t="n">
        <v>45</v>
      </c>
      <c r="M56" s="1" t="n">
        <v>45</v>
      </c>
      <c r="N56" s="1" t="n">
        <v>46</v>
      </c>
      <c r="O56" s="1" t="n">
        <v>2</v>
      </c>
      <c r="P56" s="1" t="n">
        <v>7840</v>
      </c>
      <c r="Q56" s="1" t="n">
        <v>90</v>
      </c>
      <c r="R56" s="1" t="n">
        <v>0</v>
      </c>
      <c r="S56" s="1" t="n">
        <v>0</v>
      </c>
      <c r="T56" s="1" t="n">
        <v>0</v>
      </c>
      <c r="U56" s="1" t="n">
        <v>0</v>
      </c>
      <c r="V56" s="1" t="n">
        <v>0.9782608699999999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352800</v>
      </c>
    </row>
    <row r="57">
      <c r="A57" s="1" t="inlineStr">
        <is>
          <t>2027BUD_V1</t>
        </is>
      </c>
      <c r="B57" s="1" t="inlineStr">
        <is>
          <t>12</t>
        </is>
      </c>
      <c r="C57" s="1" t="inlineStr">
        <is>
          <t>TUNON_LYO</t>
        </is>
      </c>
      <c r="D57" s="1" t="inlineStr">
        <is>
          <t>BAC_TOU</t>
        </is>
      </c>
      <c r="E57" s="1" t="inlineStr">
        <is>
          <t>B1</t>
        </is>
      </c>
      <c r="F57" s="1" t="inlineStr">
        <is>
          <t>ALT</t>
        </is>
      </c>
      <c r="G57" s="1" t="inlineStr">
        <is>
          <t>2026</t>
        </is>
      </c>
      <c r="H57" s="1" t="n">
        <v>680</v>
      </c>
      <c r="I57" s="1" t="n">
        <v>136</v>
      </c>
      <c r="J57" s="1" t="n">
        <v>95</v>
      </c>
      <c r="K57" s="1" t="n">
        <v>40</v>
      </c>
      <c r="L57" s="1" t="n">
        <v>0</v>
      </c>
      <c r="M57" s="1" t="n">
        <v>40</v>
      </c>
      <c r="N57" s="1" t="n">
        <v>0</v>
      </c>
      <c r="O57" s="1" t="n">
        <v>2</v>
      </c>
      <c r="P57" s="1" t="n">
        <v>7350</v>
      </c>
      <c r="Q57" s="1" t="n">
        <v>90</v>
      </c>
      <c r="R57" s="1" t="n">
        <v>252</v>
      </c>
      <c r="S57" s="1" t="n">
        <v>428</v>
      </c>
      <c r="T57" s="1" t="n">
        <v>18850</v>
      </c>
      <c r="U57" s="1" t="n">
        <v>22967</v>
      </c>
      <c r="V57" s="1" t="n">
        <v>0</v>
      </c>
      <c r="W57" s="1" t="n">
        <v>0.2</v>
      </c>
      <c r="X57" s="1" t="n">
        <v>0.698529412</v>
      </c>
      <c r="Y57" s="1" t="n">
        <v>0.421052632</v>
      </c>
      <c r="Z57" s="1" t="n">
        <v>680</v>
      </c>
      <c r="AA57" s="1" t="n">
        <v>0.370588235</v>
      </c>
      <c r="AB57" s="1" t="n">
        <v>44.042056075</v>
      </c>
      <c r="AC57" s="1" t="n">
        <v>297600</v>
      </c>
    </row>
    <row r="58">
      <c r="A58" s="1" t="inlineStr">
        <is>
          <t>2027BUD_V1</t>
        </is>
      </c>
      <c r="B58" s="1" t="inlineStr">
        <is>
          <t>12</t>
        </is>
      </c>
      <c r="C58" s="1" t="inlineStr">
        <is>
          <t>TUNON_LYO</t>
        </is>
      </c>
      <c r="D58" s="1" t="inlineStr">
        <is>
          <t>BAC_TOU</t>
        </is>
      </c>
      <c r="E58" s="1" t="inlineStr">
        <is>
          <t>B2</t>
        </is>
      </c>
      <c r="F58" s="1" t="inlineStr">
        <is>
          <t>ALT</t>
        </is>
      </c>
      <c r="G58" s="1" t="inlineStr">
        <is>
          <t>2026</t>
        </is>
      </c>
      <c r="H58" s="1" t="n">
        <v>0</v>
      </c>
      <c r="I58" s="1" t="n">
        <v>0</v>
      </c>
      <c r="J58" s="1" t="n">
        <v>0</v>
      </c>
      <c r="K58" s="1" t="n">
        <v>0</v>
      </c>
      <c r="L58" s="1" t="n">
        <v>39</v>
      </c>
      <c r="M58" s="1" t="n">
        <v>39</v>
      </c>
      <c r="N58" s="1" t="n">
        <v>40</v>
      </c>
      <c r="O58" s="1" t="n">
        <v>2</v>
      </c>
      <c r="P58" s="1" t="n">
        <v>7350</v>
      </c>
      <c r="Q58" s="1" t="n">
        <v>90</v>
      </c>
      <c r="R58" s="1" t="n">
        <v>0</v>
      </c>
      <c r="S58" s="1" t="n">
        <v>0</v>
      </c>
      <c r="T58" s="1" t="n">
        <v>0</v>
      </c>
      <c r="U58" s="1" t="n">
        <v>0</v>
      </c>
      <c r="V58" s="1" t="n">
        <v>0.975</v>
      </c>
      <c r="W58" s="1" t="n">
        <v>0</v>
      </c>
      <c r="X58" s="1" t="n">
        <v>0</v>
      </c>
      <c r="Y58" s="1" t="n">
        <v>0</v>
      </c>
      <c r="Z58" s="1" t="n">
        <v>0</v>
      </c>
      <c r="AA58" s="1" t="n">
        <v>0</v>
      </c>
      <c r="AB58" s="1" t="n">
        <v>0</v>
      </c>
      <c r="AC58" s="1" t="n">
        <v>286650</v>
      </c>
    </row>
    <row r="59">
      <c r="A59" s="1" t="inlineStr">
        <is>
          <t>2027BUD_V1</t>
        </is>
      </c>
      <c r="B59" s="1" t="inlineStr">
        <is>
          <t>12</t>
        </is>
      </c>
      <c r="C59" s="1" t="inlineStr">
        <is>
          <t>TUNON_LYO</t>
        </is>
      </c>
      <c r="D59" s="1" t="inlineStr">
        <is>
          <t>BAC_TOU</t>
        </is>
      </c>
      <c r="E59" s="1" t="inlineStr">
        <is>
          <t>B3</t>
        </is>
      </c>
      <c r="F59" s="1" t="inlineStr">
        <is>
          <t>ALT</t>
        </is>
      </c>
      <c r="G59" s="1" t="inlineStr">
        <is>
          <t>2026</t>
        </is>
      </c>
      <c r="H59" s="1" t="n">
        <v>0</v>
      </c>
      <c r="I59" s="1" t="n">
        <v>0</v>
      </c>
      <c r="J59" s="1" t="n">
        <v>0</v>
      </c>
      <c r="K59" s="1" t="n">
        <v>0</v>
      </c>
      <c r="L59" s="1" t="n">
        <v>38</v>
      </c>
      <c r="M59" s="1" t="n">
        <v>38</v>
      </c>
      <c r="N59" s="1" t="n">
        <v>39</v>
      </c>
      <c r="O59" s="1" t="n">
        <v>2</v>
      </c>
      <c r="P59" s="1" t="n">
        <v>7350</v>
      </c>
      <c r="Q59" s="1" t="n">
        <v>90</v>
      </c>
      <c r="R59" s="1" t="n">
        <v>0</v>
      </c>
      <c r="S59" s="1" t="n">
        <v>0</v>
      </c>
      <c r="T59" s="1" t="n">
        <v>0</v>
      </c>
      <c r="U59" s="1" t="n">
        <v>0</v>
      </c>
      <c r="V59" s="1" t="n">
        <v>0.974358974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279300</v>
      </c>
    </row>
    <row r="60">
      <c r="A60" s="1" t="inlineStr">
        <is>
          <t>2027BUD_V1</t>
        </is>
      </c>
      <c r="B60" s="1" t="inlineStr">
        <is>
          <t>12</t>
        </is>
      </c>
      <c r="C60" s="1" t="inlineStr">
        <is>
          <t>MBWAY_PAR</t>
        </is>
      </c>
      <c r="D60" s="1" t="inlineStr">
        <is>
          <t>BAC_MGT</t>
        </is>
      </c>
      <c r="E60" s="1" t="inlineStr">
        <is>
          <t>B1</t>
        </is>
      </c>
      <c r="F60" s="1" t="inlineStr">
        <is>
          <t>INIT</t>
        </is>
      </c>
      <c r="G60" s="1" t="inlineStr">
        <is>
          <t>2025</t>
        </is>
      </c>
      <c r="H60" s="1" t="n">
        <v>609</v>
      </c>
      <c r="I60" s="1" t="n">
        <v>171</v>
      </c>
      <c r="J60" s="1" t="n">
        <v>123</v>
      </c>
      <c r="K60" s="1" t="n">
        <v>74</v>
      </c>
      <c r="L60" s="1" t="n">
        <v>0</v>
      </c>
      <c r="M60" s="1" t="n">
        <v>74</v>
      </c>
      <c r="N60" s="1" t="n">
        <v>0</v>
      </c>
      <c r="O60" s="1" t="n">
        <v>3</v>
      </c>
      <c r="P60" s="1" t="n">
        <v>8400</v>
      </c>
      <c r="Q60" s="1" t="n">
        <v>90</v>
      </c>
      <c r="R60" s="1" t="n">
        <v>217</v>
      </c>
      <c r="S60" s="1" t="n">
        <v>396</v>
      </c>
      <c r="T60" s="1" t="n">
        <v>20296</v>
      </c>
      <c r="U60" s="1" t="n">
        <v>17007</v>
      </c>
      <c r="V60" s="1" t="n">
        <v>0</v>
      </c>
      <c r="W60" s="1" t="n">
        <v>0.280788177</v>
      </c>
      <c r="X60" s="1" t="n">
        <v>0.719298246</v>
      </c>
      <c r="Y60" s="1" t="n">
        <v>0.601626016</v>
      </c>
      <c r="Z60" s="1" t="n">
        <v>613</v>
      </c>
      <c r="AA60" s="1" t="n">
        <v>0.353996737</v>
      </c>
      <c r="AB60" s="1" t="n">
        <v>51.252525253</v>
      </c>
      <c r="AC60" s="1" t="n">
        <v>628260</v>
      </c>
    </row>
    <row r="61">
      <c r="A61" s="1" t="inlineStr">
        <is>
          <t>2027BUD_V1</t>
        </is>
      </c>
      <c r="B61" s="1" t="inlineStr">
        <is>
          <t>12</t>
        </is>
      </c>
      <c r="C61" s="1" t="inlineStr">
        <is>
          <t>MBWAY_PAR</t>
        </is>
      </c>
      <c r="D61" s="1" t="inlineStr">
        <is>
          <t>BAC_MGT</t>
        </is>
      </c>
      <c r="E61" s="1" t="inlineStr">
        <is>
          <t>B2</t>
        </is>
      </c>
      <c r="F61" s="1" t="inlineStr">
        <is>
          <t>ALT</t>
        </is>
      </c>
      <c r="G61" s="1" t="inlineStr">
        <is>
          <t>2025</t>
        </is>
      </c>
      <c r="H61" s="1" t="n">
        <v>0</v>
      </c>
      <c r="I61" s="1" t="n">
        <v>0</v>
      </c>
      <c r="J61" s="1" t="n">
        <v>0</v>
      </c>
      <c r="K61" s="1" t="n">
        <v>0</v>
      </c>
      <c r="L61" s="1" t="n">
        <v>72</v>
      </c>
      <c r="M61" s="1" t="n">
        <v>72</v>
      </c>
      <c r="N61" s="1" t="n">
        <v>74</v>
      </c>
      <c r="O61" s="1" t="n">
        <v>3</v>
      </c>
      <c r="P61" s="1" t="n">
        <v>7840</v>
      </c>
      <c r="Q61" s="1" t="n">
        <v>90</v>
      </c>
      <c r="R61" s="1" t="n">
        <v>0</v>
      </c>
      <c r="S61" s="1" t="n">
        <v>0</v>
      </c>
      <c r="T61" s="1" t="n">
        <v>0</v>
      </c>
      <c r="U61" s="1" t="n">
        <v>0</v>
      </c>
      <c r="V61" s="1" t="n">
        <v>0.972972973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0</v>
      </c>
      <c r="AB61" s="1" t="n">
        <v>0</v>
      </c>
      <c r="AC61" s="1" t="n">
        <v>564480</v>
      </c>
    </row>
    <row r="62">
      <c r="A62" s="1" t="inlineStr">
        <is>
          <t>2027BUD_V1</t>
        </is>
      </c>
      <c r="B62" s="1" t="inlineStr">
        <is>
          <t>12</t>
        </is>
      </c>
      <c r="C62" s="1" t="inlineStr">
        <is>
          <t>MBWAY_PAR</t>
        </is>
      </c>
      <c r="D62" s="1" t="inlineStr">
        <is>
          <t>BAC_MGT</t>
        </is>
      </c>
      <c r="E62" s="1" t="inlineStr">
        <is>
          <t>B3</t>
        </is>
      </c>
      <c r="F62" s="1" t="inlineStr">
        <is>
          <t>ALT</t>
        </is>
      </c>
      <c r="G62" s="1" t="inlineStr">
        <is>
          <t>2025</t>
        </is>
      </c>
      <c r="H62" s="1" t="n">
        <v>0</v>
      </c>
      <c r="I62" s="1" t="n">
        <v>0</v>
      </c>
      <c r="J62" s="1" t="n">
        <v>0</v>
      </c>
      <c r="K62" s="1" t="n">
        <v>0</v>
      </c>
      <c r="L62" s="1" t="n">
        <v>70</v>
      </c>
      <c r="M62" s="1" t="n">
        <v>70</v>
      </c>
      <c r="N62" s="1" t="n">
        <v>72</v>
      </c>
      <c r="O62" s="1" t="n">
        <v>3</v>
      </c>
      <c r="P62" s="1" t="n">
        <v>7840</v>
      </c>
      <c r="Q62" s="1" t="n">
        <v>90</v>
      </c>
      <c r="R62" s="1" t="n">
        <v>0</v>
      </c>
      <c r="S62" s="1" t="n">
        <v>0</v>
      </c>
      <c r="T62" s="1" t="n">
        <v>0</v>
      </c>
      <c r="U62" s="1" t="n">
        <v>0</v>
      </c>
      <c r="V62" s="1" t="n">
        <v>0.972222222</v>
      </c>
      <c r="W62" s="1" t="n">
        <v>0</v>
      </c>
      <c r="X62" s="1" t="n">
        <v>0</v>
      </c>
      <c r="Y62" s="1" t="n">
        <v>0</v>
      </c>
      <c r="Z62" s="1" t="n">
        <v>0</v>
      </c>
      <c r="AA62" s="1" t="n">
        <v>0</v>
      </c>
      <c r="AB62" s="1" t="n">
        <v>0</v>
      </c>
      <c r="AC62" s="1" t="n">
        <v>548800</v>
      </c>
    </row>
    <row r="63">
      <c r="A63" s="1" t="inlineStr">
        <is>
          <t>2027BUD_V1</t>
        </is>
      </c>
      <c r="B63" s="1" t="inlineStr">
        <is>
          <t>12</t>
        </is>
      </c>
      <c r="C63" s="1" t="inlineStr">
        <is>
          <t>MBWAY_PAR</t>
        </is>
      </c>
      <c r="D63" s="1" t="inlineStr">
        <is>
          <t>MAS_MGT</t>
        </is>
      </c>
      <c r="E63" s="1" t="inlineStr">
        <is>
          <t>M1</t>
        </is>
      </c>
      <c r="F63" s="1" t="inlineStr">
        <is>
          <t>ALT</t>
        </is>
      </c>
      <c r="G63" s="1" t="inlineStr">
        <is>
          <t>2025</t>
        </is>
      </c>
      <c r="H63" s="1" t="n">
        <v>1255</v>
      </c>
      <c r="I63" s="1" t="n">
        <v>251</v>
      </c>
      <c r="J63" s="1" t="n">
        <v>175</v>
      </c>
      <c r="K63" s="1" t="n">
        <v>74</v>
      </c>
      <c r="L63" s="1" t="n">
        <v>0</v>
      </c>
      <c r="M63" s="1" t="n">
        <v>74</v>
      </c>
      <c r="N63" s="1" t="n">
        <v>0</v>
      </c>
      <c r="O63" s="1" t="n">
        <v>3</v>
      </c>
      <c r="P63" s="1" t="n">
        <v>8400</v>
      </c>
      <c r="Q63" s="1" t="n">
        <v>90</v>
      </c>
      <c r="R63" s="1" t="n">
        <v>448</v>
      </c>
      <c r="S63" s="1" t="n">
        <v>814</v>
      </c>
      <c r="T63" s="1" t="n">
        <v>41786</v>
      </c>
      <c r="U63" s="1" t="n">
        <v>35013</v>
      </c>
      <c r="V63" s="1" t="n">
        <v>0</v>
      </c>
      <c r="W63" s="1" t="n">
        <v>0.2</v>
      </c>
      <c r="X63" s="1" t="n">
        <v>0.697211155</v>
      </c>
      <c r="Y63" s="1" t="n">
        <v>0.422857143</v>
      </c>
      <c r="Z63" s="1" t="n">
        <v>1262</v>
      </c>
      <c r="AA63" s="1" t="n">
        <v>0.354992076</v>
      </c>
      <c r="AB63" s="1" t="n">
        <v>51.334152334</v>
      </c>
      <c r="AC63" s="1" t="n">
        <v>628260</v>
      </c>
    </row>
    <row r="64">
      <c r="A64" s="1" t="inlineStr">
        <is>
          <t>2027BUD_V1</t>
        </is>
      </c>
      <c r="B64" s="1" t="inlineStr">
        <is>
          <t>12</t>
        </is>
      </c>
      <c r="C64" s="1" t="inlineStr">
        <is>
          <t>MBWAY_PAR</t>
        </is>
      </c>
      <c r="D64" s="1" t="inlineStr">
        <is>
          <t>MAS_MGT</t>
        </is>
      </c>
      <c r="E64" s="1" t="inlineStr">
        <is>
          <t>M2</t>
        </is>
      </c>
      <c r="F64" s="1" t="inlineStr">
        <is>
          <t>ALT</t>
        </is>
      </c>
      <c r="G64" s="1" t="inlineStr">
        <is>
          <t>2025</t>
        </is>
      </c>
      <c r="H64" s="1" t="n">
        <v>0</v>
      </c>
      <c r="I64" s="1" t="n">
        <v>0</v>
      </c>
      <c r="J64" s="1" t="n">
        <v>0</v>
      </c>
      <c r="K64" s="1" t="n">
        <v>0</v>
      </c>
      <c r="L64" s="1" t="n">
        <v>72</v>
      </c>
      <c r="M64" s="1" t="n">
        <v>72</v>
      </c>
      <c r="N64" s="1" t="n">
        <v>74</v>
      </c>
      <c r="O64" s="1" t="n">
        <v>3</v>
      </c>
      <c r="P64" s="1" t="n">
        <v>8400</v>
      </c>
      <c r="Q64" s="1" t="n">
        <v>90</v>
      </c>
      <c r="R64" s="1" t="n">
        <v>0</v>
      </c>
      <c r="S64" s="1" t="n">
        <v>0</v>
      </c>
      <c r="T64" s="1" t="n">
        <v>0</v>
      </c>
      <c r="U64" s="1" t="n">
        <v>0</v>
      </c>
      <c r="V64" s="1" t="n">
        <v>0.972972973</v>
      </c>
      <c r="W64" s="1" t="n">
        <v>0</v>
      </c>
      <c r="X64" s="1" t="n">
        <v>0</v>
      </c>
      <c r="Y64" s="1" t="n">
        <v>0</v>
      </c>
      <c r="Z64" s="1" t="n">
        <v>0</v>
      </c>
      <c r="AA64" s="1" t="n">
        <v>0</v>
      </c>
      <c r="AB64" s="1" t="n">
        <v>0</v>
      </c>
      <c r="AC64" s="1" t="n">
        <v>604800</v>
      </c>
    </row>
    <row r="65">
      <c r="A65" s="1" t="inlineStr">
        <is>
          <t>2027BUD_V1</t>
        </is>
      </c>
      <c r="B65" s="1" t="inlineStr">
        <is>
          <t>12</t>
        </is>
      </c>
      <c r="C65" s="1" t="inlineStr">
        <is>
          <t>MBWAY_LYO</t>
        </is>
      </c>
      <c r="D65" s="1" t="inlineStr">
        <is>
          <t>BAC_MGT</t>
        </is>
      </c>
      <c r="E65" s="1" t="inlineStr">
        <is>
          <t>B1</t>
        </is>
      </c>
      <c r="F65" s="1" t="inlineStr">
        <is>
          <t>INIT</t>
        </is>
      </c>
      <c r="G65" s="1" t="inlineStr">
        <is>
          <t>2025</t>
        </is>
      </c>
      <c r="H65" s="1" t="n">
        <v>515</v>
      </c>
      <c r="I65" s="1" t="n">
        <v>144</v>
      </c>
      <c r="J65" s="1" t="n">
        <v>104</v>
      </c>
      <c r="K65" s="1" t="n">
        <v>62</v>
      </c>
      <c r="L65" s="1" t="n">
        <v>0</v>
      </c>
      <c r="M65" s="1" t="n">
        <v>62</v>
      </c>
      <c r="N65" s="1" t="n">
        <v>0</v>
      </c>
      <c r="O65" s="1" t="n">
        <v>3</v>
      </c>
      <c r="P65" s="1" t="n">
        <v>7875</v>
      </c>
      <c r="Q65" s="1" t="n">
        <v>90</v>
      </c>
      <c r="R65" s="1" t="n">
        <v>220</v>
      </c>
      <c r="S65" s="1" t="n">
        <v>297</v>
      </c>
      <c r="T65" s="1" t="n">
        <v>12449</v>
      </c>
      <c r="U65" s="1" t="n">
        <v>17411</v>
      </c>
      <c r="V65" s="1" t="n">
        <v>0</v>
      </c>
      <c r="W65" s="1" t="n">
        <v>0.27961165</v>
      </c>
      <c r="X65" s="1" t="n">
        <v>0.722222222</v>
      </c>
      <c r="Y65" s="1" t="n">
        <v>0.596153846</v>
      </c>
      <c r="Z65" s="1" t="n">
        <v>517</v>
      </c>
      <c r="AA65" s="1" t="n">
        <v>0.425531915</v>
      </c>
      <c r="AB65" s="1" t="n">
        <v>41.915824916</v>
      </c>
      <c r="AC65" s="1" t="n">
        <v>493830</v>
      </c>
    </row>
    <row r="66">
      <c r="A66" s="1" t="inlineStr">
        <is>
          <t>2027BUD_V1</t>
        </is>
      </c>
      <c r="B66" s="1" t="inlineStr">
        <is>
          <t>12</t>
        </is>
      </c>
      <c r="C66" s="1" t="inlineStr">
        <is>
          <t>MBWAY_LYO</t>
        </is>
      </c>
      <c r="D66" s="1" t="inlineStr">
        <is>
          <t>BAC_MGT</t>
        </is>
      </c>
      <c r="E66" s="1" t="inlineStr">
        <is>
          <t>B2</t>
        </is>
      </c>
      <c r="F66" s="1" t="inlineStr">
        <is>
          <t>ALT</t>
        </is>
      </c>
      <c r="G66" s="1" t="inlineStr">
        <is>
          <t>2025</t>
        </is>
      </c>
      <c r="H66" s="1" t="n">
        <v>0</v>
      </c>
      <c r="I66" s="1" t="n">
        <v>0</v>
      </c>
      <c r="J66" s="1" t="n">
        <v>0</v>
      </c>
      <c r="K66" s="1" t="n">
        <v>0</v>
      </c>
      <c r="L66" s="1" t="n">
        <v>60</v>
      </c>
      <c r="M66" s="1" t="n">
        <v>60</v>
      </c>
      <c r="N66" s="1" t="n">
        <v>62</v>
      </c>
      <c r="O66" s="1" t="n">
        <v>2</v>
      </c>
      <c r="P66" s="1" t="n">
        <v>7350</v>
      </c>
      <c r="Q66" s="1" t="n">
        <v>90</v>
      </c>
      <c r="R66" s="1" t="n">
        <v>0</v>
      </c>
      <c r="S66" s="1" t="n">
        <v>0</v>
      </c>
      <c r="T66" s="1" t="n">
        <v>0</v>
      </c>
      <c r="U66" s="1" t="n">
        <v>0</v>
      </c>
      <c r="V66" s="1" t="n">
        <v>0.9677419350000001</v>
      </c>
      <c r="W66" s="1" t="n">
        <v>0</v>
      </c>
      <c r="X66" s="1" t="n">
        <v>0</v>
      </c>
      <c r="Y66" s="1" t="n">
        <v>0</v>
      </c>
      <c r="Z66" s="1" t="n">
        <v>0</v>
      </c>
      <c r="AA66" s="1" t="n">
        <v>0</v>
      </c>
      <c r="AB66" s="1" t="n">
        <v>0</v>
      </c>
      <c r="AC66" s="1" t="n">
        <v>441000</v>
      </c>
    </row>
    <row r="67">
      <c r="A67" s="1" t="inlineStr">
        <is>
          <t>2027BUD_V1</t>
        </is>
      </c>
      <c r="B67" s="1" t="inlineStr">
        <is>
          <t>12</t>
        </is>
      </c>
      <c r="C67" s="1" t="inlineStr">
        <is>
          <t>MBWAY_LYO</t>
        </is>
      </c>
      <c r="D67" s="1" t="inlineStr">
        <is>
          <t>BAC_MGT</t>
        </is>
      </c>
      <c r="E67" s="1" t="inlineStr">
        <is>
          <t>B3</t>
        </is>
      </c>
      <c r="F67" s="1" t="inlineStr">
        <is>
          <t>ALT</t>
        </is>
      </c>
      <c r="G67" s="1" t="inlineStr">
        <is>
          <t>2025</t>
        </is>
      </c>
      <c r="H67" s="1" t="n">
        <v>0</v>
      </c>
      <c r="I67" s="1" t="n">
        <v>0</v>
      </c>
      <c r="J67" s="1" t="n">
        <v>0</v>
      </c>
      <c r="K67" s="1" t="n">
        <v>0</v>
      </c>
      <c r="L67" s="1" t="n">
        <v>59</v>
      </c>
      <c r="M67" s="1" t="n">
        <v>59</v>
      </c>
      <c r="N67" s="1" t="n">
        <v>60</v>
      </c>
      <c r="O67" s="1" t="n">
        <v>2</v>
      </c>
      <c r="P67" s="1" t="n">
        <v>7350</v>
      </c>
      <c r="Q67" s="1" t="n">
        <v>90</v>
      </c>
      <c r="R67" s="1" t="n">
        <v>0</v>
      </c>
      <c r="S67" s="1" t="n">
        <v>0</v>
      </c>
      <c r="T67" s="1" t="n">
        <v>0</v>
      </c>
      <c r="U67" s="1" t="n">
        <v>0</v>
      </c>
      <c r="V67" s="1" t="n">
        <v>0.983333333</v>
      </c>
      <c r="W67" s="1" t="n">
        <v>0</v>
      </c>
      <c r="X67" s="1" t="n">
        <v>0</v>
      </c>
      <c r="Y67" s="1" t="n">
        <v>0</v>
      </c>
      <c r="Z67" s="1" t="n">
        <v>0</v>
      </c>
      <c r="AA67" s="1" t="n">
        <v>0</v>
      </c>
      <c r="AB67" s="1" t="n">
        <v>0</v>
      </c>
      <c r="AC67" s="1" t="n">
        <v>433650</v>
      </c>
    </row>
    <row r="68">
      <c r="A68" s="1" t="inlineStr">
        <is>
          <t>2027BUD_V1</t>
        </is>
      </c>
      <c r="B68" s="1" t="inlineStr">
        <is>
          <t>12</t>
        </is>
      </c>
      <c r="C68" s="1" t="inlineStr">
        <is>
          <t>MBWAY_LYO</t>
        </is>
      </c>
      <c r="D68" s="1" t="inlineStr">
        <is>
          <t>MAS_MGT</t>
        </is>
      </c>
      <c r="E68" s="1" t="inlineStr">
        <is>
          <t>M1</t>
        </is>
      </c>
      <c r="F68" s="1" t="inlineStr">
        <is>
          <t>ALT</t>
        </is>
      </c>
      <c r="G68" s="1" t="inlineStr">
        <is>
          <t>2025</t>
        </is>
      </c>
      <c r="H68" s="1" t="n">
        <v>1057</v>
      </c>
      <c r="I68" s="1" t="n">
        <v>211</v>
      </c>
      <c r="J68" s="1" t="n">
        <v>148</v>
      </c>
      <c r="K68" s="1" t="n">
        <v>62</v>
      </c>
      <c r="L68" s="1" t="n">
        <v>0</v>
      </c>
      <c r="M68" s="1" t="n">
        <v>62</v>
      </c>
      <c r="N68" s="1" t="n">
        <v>0</v>
      </c>
      <c r="O68" s="1" t="n">
        <v>3</v>
      </c>
      <c r="P68" s="1" t="n">
        <v>7875</v>
      </c>
      <c r="Q68" s="1" t="n">
        <v>90</v>
      </c>
      <c r="R68" s="1" t="n">
        <v>450</v>
      </c>
      <c r="S68" s="1" t="n">
        <v>608</v>
      </c>
      <c r="T68" s="1" t="n">
        <v>25536</v>
      </c>
      <c r="U68" s="1" t="n">
        <v>35714</v>
      </c>
      <c r="V68" s="1" t="n">
        <v>0</v>
      </c>
      <c r="W68" s="1" t="n">
        <v>0.19962157</v>
      </c>
      <c r="X68" s="1" t="n">
        <v>0.701421801</v>
      </c>
      <c r="Y68" s="1" t="n">
        <v>0.418918919</v>
      </c>
      <c r="Z68" s="1" t="n">
        <v>1058</v>
      </c>
      <c r="AA68" s="1" t="n">
        <v>0.425330813</v>
      </c>
      <c r="AB68" s="1" t="n">
        <v>42</v>
      </c>
      <c r="AC68" s="1" t="n">
        <v>493830</v>
      </c>
    </row>
    <row r="69">
      <c r="A69" s="1" t="inlineStr">
        <is>
          <t>2027BUD_V1</t>
        </is>
      </c>
      <c r="B69" s="1" t="inlineStr">
        <is>
          <t>12</t>
        </is>
      </c>
      <c r="C69" s="1" t="inlineStr">
        <is>
          <t>MBWAY_LYO</t>
        </is>
      </c>
      <c r="D69" s="1" t="inlineStr">
        <is>
          <t>MAS_MGT</t>
        </is>
      </c>
      <c r="E69" s="1" t="inlineStr">
        <is>
          <t>M2</t>
        </is>
      </c>
      <c r="F69" s="1" t="inlineStr">
        <is>
          <t>ALT</t>
        </is>
      </c>
      <c r="G69" s="1" t="inlineStr">
        <is>
          <t>2025</t>
        </is>
      </c>
      <c r="H69" s="1" t="n">
        <v>0</v>
      </c>
      <c r="I69" s="1" t="n">
        <v>0</v>
      </c>
      <c r="J69" s="1" t="n">
        <v>0</v>
      </c>
      <c r="K69" s="1" t="n">
        <v>0</v>
      </c>
      <c r="L69" s="1" t="n">
        <v>61</v>
      </c>
      <c r="M69" s="1" t="n">
        <v>61</v>
      </c>
      <c r="N69" s="1" t="n">
        <v>62</v>
      </c>
      <c r="O69" s="1" t="n">
        <v>3</v>
      </c>
      <c r="P69" s="1" t="n">
        <v>7875</v>
      </c>
      <c r="Q69" s="1" t="n">
        <v>90</v>
      </c>
      <c r="R69" s="1" t="n">
        <v>0</v>
      </c>
      <c r="S69" s="1" t="n">
        <v>0</v>
      </c>
      <c r="T69" s="1" t="n">
        <v>0</v>
      </c>
      <c r="U69" s="1" t="n">
        <v>0</v>
      </c>
      <c r="V69" s="1" t="n">
        <v>0.983870968</v>
      </c>
      <c r="W69" s="1" t="n">
        <v>0</v>
      </c>
      <c r="X69" s="1" t="n">
        <v>0</v>
      </c>
      <c r="Y69" s="1" t="n">
        <v>0</v>
      </c>
      <c r="Z69" s="1" t="n">
        <v>0</v>
      </c>
      <c r="AA69" s="1" t="n">
        <v>0</v>
      </c>
      <c r="AB69" s="1" t="n">
        <v>0</v>
      </c>
      <c r="AC69" s="1" t="n">
        <v>480375</v>
      </c>
    </row>
    <row r="70">
      <c r="A70" s="1" t="inlineStr">
        <is>
          <t>2027BUD_V1</t>
        </is>
      </c>
      <c r="B70" s="1" t="inlineStr">
        <is>
          <t>12</t>
        </is>
      </c>
      <c r="C70" s="1" t="inlineStr">
        <is>
          <t>MBWAY_NAN</t>
        </is>
      </c>
      <c r="D70" s="1" t="inlineStr">
        <is>
          <t>BAC_MGT</t>
        </is>
      </c>
      <c r="E70" s="1" t="inlineStr">
        <is>
          <t>B1</t>
        </is>
      </c>
      <c r="F70" s="1" t="inlineStr">
        <is>
          <t>INIT</t>
        </is>
      </c>
      <c r="G70" s="1" t="inlineStr">
        <is>
          <t>2025</t>
        </is>
      </c>
      <c r="H70" s="1" t="n">
        <v>468</v>
      </c>
      <c r="I70" s="1" t="n">
        <v>131</v>
      </c>
      <c r="J70" s="1" t="n">
        <v>94</v>
      </c>
      <c r="K70" s="1" t="n">
        <v>57</v>
      </c>
      <c r="L70" s="1" t="n">
        <v>0</v>
      </c>
      <c r="M70" s="1" t="n">
        <v>57</v>
      </c>
      <c r="N70" s="1" t="n">
        <v>0</v>
      </c>
      <c r="O70" s="1" t="n">
        <v>2</v>
      </c>
      <c r="P70" s="1" t="n">
        <v>7500</v>
      </c>
      <c r="Q70" s="1" t="n">
        <v>90</v>
      </c>
      <c r="R70" s="1" t="n">
        <v>222</v>
      </c>
      <c r="S70" s="1" t="n">
        <v>245</v>
      </c>
      <c r="T70" s="1" t="n">
        <v>9379</v>
      </c>
      <c r="U70" s="1" t="n">
        <v>17832</v>
      </c>
      <c r="V70" s="1" t="n">
        <v>0</v>
      </c>
      <c r="W70" s="1" t="n">
        <v>0.27991453</v>
      </c>
      <c r="X70" s="1" t="n">
        <v>0.717557252</v>
      </c>
      <c r="Y70" s="1" t="n">
        <v>0.606382979</v>
      </c>
      <c r="Z70" s="1" t="n">
        <v>467</v>
      </c>
      <c r="AA70" s="1" t="n">
        <v>0.475374732</v>
      </c>
      <c r="AB70" s="1" t="n">
        <v>38.281632653</v>
      </c>
      <c r="AC70" s="1" t="n">
        <v>432630</v>
      </c>
    </row>
    <row r="71">
      <c r="A71" s="1" t="inlineStr">
        <is>
          <t>2027BUD_V1</t>
        </is>
      </c>
      <c r="B71" s="1" t="inlineStr">
        <is>
          <t>12</t>
        </is>
      </c>
      <c r="C71" s="1" t="inlineStr">
        <is>
          <t>MBWAY_NAN</t>
        </is>
      </c>
      <c r="D71" s="1" t="inlineStr">
        <is>
          <t>BAC_MGT</t>
        </is>
      </c>
      <c r="E71" s="1" t="inlineStr">
        <is>
          <t>B2</t>
        </is>
      </c>
      <c r="F71" s="1" t="inlineStr">
        <is>
          <t>ALT</t>
        </is>
      </c>
      <c r="G71" s="1" t="inlineStr">
        <is>
          <t>2025</t>
        </is>
      </c>
      <c r="H71" s="1" t="n">
        <v>0</v>
      </c>
      <c r="I71" s="1" t="n">
        <v>0</v>
      </c>
      <c r="J71" s="1" t="n">
        <v>0</v>
      </c>
      <c r="K71" s="1" t="n">
        <v>0</v>
      </c>
      <c r="L71" s="1" t="n">
        <v>55</v>
      </c>
      <c r="M71" s="1" t="n">
        <v>55</v>
      </c>
      <c r="N71" s="1" t="n">
        <v>57</v>
      </c>
      <c r="O71" s="1" t="n">
        <v>2</v>
      </c>
      <c r="P71" s="1" t="n">
        <v>7000</v>
      </c>
      <c r="Q71" s="1" t="n">
        <v>90</v>
      </c>
      <c r="R71" s="1" t="n">
        <v>0</v>
      </c>
      <c r="S71" s="1" t="n">
        <v>0</v>
      </c>
      <c r="T71" s="1" t="n">
        <v>0</v>
      </c>
      <c r="U71" s="1" t="n">
        <v>0</v>
      </c>
      <c r="V71" s="1" t="n">
        <v>0.964912281</v>
      </c>
      <c r="W71" s="1" t="n">
        <v>0</v>
      </c>
      <c r="X71" s="1" t="n">
        <v>0</v>
      </c>
      <c r="Y71" s="1" t="n">
        <v>0</v>
      </c>
      <c r="Z71" s="1" t="n">
        <v>0</v>
      </c>
      <c r="AA71" s="1" t="n">
        <v>0</v>
      </c>
      <c r="AB71" s="1" t="n">
        <v>0</v>
      </c>
      <c r="AC71" s="1" t="n">
        <v>385000</v>
      </c>
    </row>
    <row r="72">
      <c r="A72" s="1" t="inlineStr">
        <is>
          <t>2027BUD_V1</t>
        </is>
      </c>
      <c r="B72" s="1" t="inlineStr">
        <is>
          <t>12</t>
        </is>
      </c>
      <c r="C72" s="1" t="inlineStr">
        <is>
          <t>MBWAY_NAN</t>
        </is>
      </c>
      <c r="D72" s="1" t="inlineStr">
        <is>
          <t>BAC_MGT</t>
        </is>
      </c>
      <c r="E72" s="1" t="inlineStr">
        <is>
          <t>B3</t>
        </is>
      </c>
      <c r="F72" s="1" t="inlineStr">
        <is>
          <t>ALT</t>
        </is>
      </c>
      <c r="G72" s="1" t="inlineStr">
        <is>
          <t>2025</t>
        </is>
      </c>
      <c r="H72" s="1" t="n">
        <v>0</v>
      </c>
      <c r="I72" s="1" t="n">
        <v>0</v>
      </c>
      <c r="J72" s="1" t="n">
        <v>0</v>
      </c>
      <c r="K72" s="1" t="n">
        <v>0</v>
      </c>
      <c r="L72" s="1" t="n">
        <v>54</v>
      </c>
      <c r="M72" s="1" t="n">
        <v>54</v>
      </c>
      <c r="N72" s="1" t="n">
        <v>55</v>
      </c>
      <c r="O72" s="1" t="n">
        <v>2</v>
      </c>
      <c r="P72" s="1" t="n">
        <v>7000</v>
      </c>
      <c r="Q72" s="1" t="n">
        <v>90</v>
      </c>
      <c r="R72" s="1" t="n">
        <v>0</v>
      </c>
      <c r="S72" s="1" t="n">
        <v>0</v>
      </c>
      <c r="T72" s="1" t="n">
        <v>0</v>
      </c>
      <c r="U72" s="1" t="n">
        <v>0</v>
      </c>
      <c r="V72" s="1" t="n">
        <v>0.981818182</v>
      </c>
      <c r="W72" s="1" t="n">
        <v>0</v>
      </c>
      <c r="X72" s="1" t="n">
        <v>0</v>
      </c>
      <c r="Y72" s="1" t="n">
        <v>0</v>
      </c>
      <c r="Z72" s="1" t="n">
        <v>0</v>
      </c>
      <c r="AA72" s="1" t="n">
        <v>0</v>
      </c>
      <c r="AB72" s="1" t="n">
        <v>0</v>
      </c>
      <c r="AC72" s="1" t="n">
        <v>378000</v>
      </c>
    </row>
    <row r="73">
      <c r="A73" s="1" t="inlineStr">
        <is>
          <t>2027BUD_V1</t>
        </is>
      </c>
      <c r="B73" s="1" t="inlineStr">
        <is>
          <t>12</t>
        </is>
      </c>
      <c r="C73" s="1" t="inlineStr">
        <is>
          <t>MBWAY_NAN</t>
        </is>
      </c>
      <c r="D73" s="1" t="inlineStr">
        <is>
          <t>MAS_MGT</t>
        </is>
      </c>
      <c r="E73" s="1" t="inlineStr">
        <is>
          <t>M1</t>
        </is>
      </c>
      <c r="F73" s="1" t="inlineStr">
        <is>
          <t>ALT</t>
        </is>
      </c>
      <c r="G73" s="1" t="inlineStr">
        <is>
          <t>2025</t>
        </is>
      </c>
      <c r="H73" s="1" t="n">
        <v>962</v>
      </c>
      <c r="I73" s="1" t="n">
        <v>192</v>
      </c>
      <c r="J73" s="1" t="n">
        <v>135</v>
      </c>
      <c r="K73" s="1" t="n">
        <v>57</v>
      </c>
      <c r="L73" s="1" t="n">
        <v>0</v>
      </c>
      <c r="M73" s="1" t="n">
        <v>57</v>
      </c>
      <c r="N73" s="1" t="n">
        <v>0</v>
      </c>
      <c r="O73" s="1" t="n">
        <v>3</v>
      </c>
      <c r="P73" s="1" t="n">
        <v>7500</v>
      </c>
      <c r="Q73" s="1" t="n">
        <v>90</v>
      </c>
      <c r="R73" s="1" t="n">
        <v>458</v>
      </c>
      <c r="S73" s="1" t="n">
        <v>504</v>
      </c>
      <c r="T73" s="1" t="n">
        <v>19287</v>
      </c>
      <c r="U73" s="1" t="n">
        <v>36670</v>
      </c>
      <c r="V73" s="1" t="n">
        <v>0</v>
      </c>
      <c r="W73" s="1" t="n">
        <v>0.1995842</v>
      </c>
      <c r="X73" s="1" t="n">
        <v>0.703125</v>
      </c>
      <c r="Y73" s="1" t="n">
        <v>0.422222222</v>
      </c>
      <c r="Z73" s="1" t="n">
        <v>962</v>
      </c>
      <c r="AA73" s="1" t="n">
        <v>0.476091476</v>
      </c>
      <c r="AB73" s="1" t="n">
        <v>38.267857143</v>
      </c>
      <c r="AC73" s="1" t="n">
        <v>432630</v>
      </c>
    </row>
    <row r="74">
      <c r="A74" s="1" t="inlineStr">
        <is>
          <t>2027BUD_V1</t>
        </is>
      </c>
      <c r="B74" s="1" t="inlineStr">
        <is>
          <t>12</t>
        </is>
      </c>
      <c r="C74" s="1" t="inlineStr">
        <is>
          <t>MBWAY_NAN</t>
        </is>
      </c>
      <c r="D74" s="1" t="inlineStr">
        <is>
          <t>MAS_MGT</t>
        </is>
      </c>
      <c r="E74" s="1" t="inlineStr">
        <is>
          <t>M2</t>
        </is>
      </c>
      <c r="F74" s="1" t="inlineStr">
        <is>
          <t>ALT</t>
        </is>
      </c>
      <c r="G74" s="1" t="inlineStr">
        <is>
          <t>2025</t>
        </is>
      </c>
      <c r="H74" s="1" t="n">
        <v>0</v>
      </c>
      <c r="I74" s="1" t="n">
        <v>0</v>
      </c>
      <c r="J74" s="1" t="n">
        <v>0</v>
      </c>
      <c r="K74" s="1" t="n">
        <v>0</v>
      </c>
      <c r="L74" s="1" t="n">
        <v>56</v>
      </c>
      <c r="M74" s="1" t="n">
        <v>56</v>
      </c>
      <c r="N74" s="1" t="n">
        <v>57</v>
      </c>
      <c r="O74" s="1" t="n">
        <v>3</v>
      </c>
      <c r="P74" s="1" t="n">
        <v>7500</v>
      </c>
      <c r="Q74" s="1" t="n">
        <v>90</v>
      </c>
      <c r="R74" s="1" t="n">
        <v>0</v>
      </c>
      <c r="S74" s="1" t="n">
        <v>0</v>
      </c>
      <c r="T74" s="1" t="n">
        <v>0</v>
      </c>
      <c r="U74" s="1" t="n">
        <v>0</v>
      </c>
      <c r="V74" s="1" t="n">
        <v>0.98245614</v>
      </c>
      <c r="W74" s="1" t="n">
        <v>0</v>
      </c>
      <c r="X74" s="1" t="n">
        <v>0</v>
      </c>
      <c r="Y74" s="1" t="n">
        <v>0</v>
      </c>
      <c r="Z74" s="1" t="n">
        <v>0</v>
      </c>
      <c r="AA74" s="1" t="n">
        <v>0</v>
      </c>
      <c r="AB74" s="1" t="n">
        <v>0</v>
      </c>
      <c r="AC74" s="1" t="n">
        <v>420000</v>
      </c>
    </row>
    <row r="75">
      <c r="A75" s="1" t="inlineStr">
        <is>
          <t>2027BUD_V1</t>
        </is>
      </c>
      <c r="B75" s="1" t="inlineStr">
        <is>
          <t>12</t>
        </is>
      </c>
      <c r="C75" s="1" t="inlineStr">
        <is>
          <t>MBWAY_BOR</t>
        </is>
      </c>
      <c r="D75" s="1" t="inlineStr">
        <is>
          <t>BAC_MGT</t>
        </is>
      </c>
      <c r="E75" s="1" t="inlineStr">
        <is>
          <t>B1</t>
        </is>
      </c>
      <c r="F75" s="1" t="inlineStr">
        <is>
          <t>INIT</t>
        </is>
      </c>
      <c r="G75" s="1" t="inlineStr">
        <is>
          <t>2025</t>
        </is>
      </c>
      <c r="H75" s="1" t="n">
        <v>397</v>
      </c>
      <c r="I75" s="1" t="n">
        <v>111</v>
      </c>
      <c r="J75" s="1" t="n">
        <v>80</v>
      </c>
      <c r="K75" s="1" t="n">
        <v>48</v>
      </c>
      <c r="L75" s="1" t="n">
        <v>0</v>
      </c>
      <c r="M75" s="1" t="n">
        <v>48</v>
      </c>
      <c r="N75" s="1" t="n">
        <v>0</v>
      </c>
      <c r="O75" s="1" t="n">
        <v>2</v>
      </c>
      <c r="P75" s="1" t="n">
        <v>7275</v>
      </c>
      <c r="Q75" s="1" t="n">
        <v>90</v>
      </c>
      <c r="R75" s="1" t="n">
        <v>193</v>
      </c>
      <c r="S75" s="1" t="n">
        <v>204</v>
      </c>
      <c r="T75" s="1" t="n">
        <v>7417</v>
      </c>
      <c r="U75" s="1" t="n">
        <v>15467</v>
      </c>
      <c r="V75" s="1" t="n">
        <v>0</v>
      </c>
      <c r="W75" s="1" t="n">
        <v>0.279596977</v>
      </c>
      <c r="X75" s="1" t="n">
        <v>0.720720721</v>
      </c>
      <c r="Y75" s="1" t="n">
        <v>0.6</v>
      </c>
      <c r="Z75" s="1" t="n">
        <v>397</v>
      </c>
      <c r="AA75" s="1" t="n">
        <v>0.486146096</v>
      </c>
      <c r="AB75" s="1" t="n">
        <v>36.357843137</v>
      </c>
      <c r="AC75" s="1" t="n">
        <v>353520</v>
      </c>
    </row>
    <row r="76">
      <c r="A76" s="1" t="inlineStr">
        <is>
          <t>2027BUD_V1</t>
        </is>
      </c>
      <c r="B76" s="1" t="inlineStr">
        <is>
          <t>12</t>
        </is>
      </c>
      <c r="C76" s="1" t="inlineStr">
        <is>
          <t>MBWAY_BOR</t>
        </is>
      </c>
      <c r="D76" s="1" t="inlineStr">
        <is>
          <t>BAC_MGT</t>
        </is>
      </c>
      <c r="E76" s="1" t="inlineStr">
        <is>
          <t>B2</t>
        </is>
      </c>
      <c r="F76" s="1" t="inlineStr">
        <is>
          <t>ALT</t>
        </is>
      </c>
      <c r="G76" s="1" t="inlineStr">
        <is>
          <t>2025</t>
        </is>
      </c>
      <c r="H76" s="1" t="n">
        <v>0</v>
      </c>
      <c r="I76" s="1" t="n">
        <v>0</v>
      </c>
      <c r="J76" s="1" t="n">
        <v>0</v>
      </c>
      <c r="K76" s="1" t="n">
        <v>0</v>
      </c>
      <c r="L76" s="1" t="n">
        <v>46</v>
      </c>
      <c r="M76" s="1" t="n">
        <v>46</v>
      </c>
      <c r="N76" s="1" t="n">
        <v>48</v>
      </c>
      <c r="O76" s="1" t="n">
        <v>2</v>
      </c>
      <c r="P76" s="1" t="n">
        <v>6790</v>
      </c>
      <c r="Q76" s="1" t="n">
        <v>90</v>
      </c>
      <c r="R76" s="1" t="n">
        <v>0</v>
      </c>
      <c r="S76" s="1" t="n">
        <v>0</v>
      </c>
      <c r="T76" s="1" t="n">
        <v>0</v>
      </c>
      <c r="U76" s="1" t="n">
        <v>0</v>
      </c>
      <c r="V76" s="1" t="n">
        <v>0.958333333</v>
      </c>
      <c r="W76" s="1" t="n">
        <v>0</v>
      </c>
      <c r="X76" s="1" t="n">
        <v>0</v>
      </c>
      <c r="Y76" s="1" t="n">
        <v>0</v>
      </c>
      <c r="Z76" s="1" t="n">
        <v>0</v>
      </c>
      <c r="AA76" s="1" t="n">
        <v>0</v>
      </c>
      <c r="AB76" s="1" t="n">
        <v>0</v>
      </c>
      <c r="AC76" s="1" t="n">
        <v>312340</v>
      </c>
    </row>
    <row r="77">
      <c r="A77" s="1" t="inlineStr">
        <is>
          <t>2027BUD_V1</t>
        </is>
      </c>
      <c r="B77" s="1" t="inlineStr">
        <is>
          <t>12</t>
        </is>
      </c>
      <c r="C77" s="1" t="inlineStr">
        <is>
          <t>MBWAY_BOR</t>
        </is>
      </c>
      <c r="D77" s="1" t="inlineStr">
        <is>
          <t>BAC_MGT</t>
        </is>
      </c>
      <c r="E77" s="1" t="inlineStr">
        <is>
          <t>B3</t>
        </is>
      </c>
      <c r="F77" s="1" t="inlineStr">
        <is>
          <t>ALT</t>
        </is>
      </c>
      <c r="G77" s="1" t="inlineStr">
        <is>
          <t>2025</t>
        </is>
      </c>
      <c r="H77" s="1" t="n">
        <v>0</v>
      </c>
      <c r="I77" s="1" t="n">
        <v>0</v>
      </c>
      <c r="J77" s="1" t="n">
        <v>0</v>
      </c>
      <c r="K77" s="1" t="n">
        <v>0</v>
      </c>
      <c r="L77" s="1" t="n">
        <v>45</v>
      </c>
      <c r="M77" s="1" t="n">
        <v>45</v>
      </c>
      <c r="N77" s="1" t="n">
        <v>46</v>
      </c>
      <c r="O77" s="1" t="n">
        <v>2</v>
      </c>
      <c r="P77" s="1" t="n">
        <v>6790</v>
      </c>
      <c r="Q77" s="1" t="n">
        <v>90</v>
      </c>
      <c r="R77" s="1" t="n">
        <v>0</v>
      </c>
      <c r="S77" s="1" t="n">
        <v>0</v>
      </c>
      <c r="T77" s="1" t="n">
        <v>0</v>
      </c>
      <c r="U77" s="1" t="n">
        <v>0</v>
      </c>
      <c r="V77" s="1" t="n">
        <v>0.9782608699999999</v>
      </c>
      <c r="W77" s="1" t="n">
        <v>0</v>
      </c>
      <c r="X77" s="1" t="n">
        <v>0</v>
      </c>
      <c r="Y77" s="1" t="n">
        <v>0</v>
      </c>
      <c r="Z77" s="1" t="n">
        <v>0</v>
      </c>
      <c r="AA77" s="1" t="n">
        <v>0</v>
      </c>
      <c r="AB77" s="1" t="n">
        <v>0</v>
      </c>
      <c r="AC77" s="1" t="n">
        <v>305550</v>
      </c>
    </row>
    <row r="78">
      <c r="A78" s="1" t="inlineStr">
        <is>
          <t>2027BUD_V1</t>
        </is>
      </c>
      <c r="B78" s="1" t="inlineStr">
        <is>
          <t>12</t>
        </is>
      </c>
      <c r="C78" s="1" t="inlineStr">
        <is>
          <t>MBWAY_BOR</t>
        </is>
      </c>
      <c r="D78" s="1" t="inlineStr">
        <is>
          <t>MAS_MGT</t>
        </is>
      </c>
      <c r="E78" s="1" t="inlineStr">
        <is>
          <t>M1</t>
        </is>
      </c>
      <c r="F78" s="1" t="inlineStr">
        <is>
          <t>ALT</t>
        </is>
      </c>
      <c r="G78" s="1" t="inlineStr">
        <is>
          <t>2025</t>
        </is>
      </c>
      <c r="H78" s="1" t="n">
        <v>816</v>
      </c>
      <c r="I78" s="1" t="n">
        <v>163</v>
      </c>
      <c r="J78" s="1" t="n">
        <v>114</v>
      </c>
      <c r="K78" s="1" t="n">
        <v>48</v>
      </c>
      <c r="L78" s="1" t="n">
        <v>0</v>
      </c>
      <c r="M78" s="1" t="n">
        <v>48</v>
      </c>
      <c r="N78" s="1" t="n">
        <v>0</v>
      </c>
      <c r="O78" s="1" t="n">
        <v>2</v>
      </c>
      <c r="P78" s="1" t="n">
        <v>7275</v>
      </c>
      <c r="Q78" s="1" t="n">
        <v>90</v>
      </c>
      <c r="R78" s="1" t="n">
        <v>396</v>
      </c>
      <c r="S78" s="1" t="n">
        <v>419</v>
      </c>
      <c r="T78" s="1" t="n">
        <v>15240</v>
      </c>
      <c r="U78" s="1" t="n">
        <v>31779</v>
      </c>
      <c r="V78" s="1" t="n">
        <v>0</v>
      </c>
      <c r="W78" s="1" t="n">
        <v>0.199754902</v>
      </c>
      <c r="X78" s="1" t="n">
        <v>0.699386503</v>
      </c>
      <c r="Y78" s="1" t="n">
        <v>0.421052632</v>
      </c>
      <c r="Z78" s="1" t="n">
        <v>815</v>
      </c>
      <c r="AA78" s="1" t="n">
        <v>0.485889571</v>
      </c>
      <c r="AB78" s="1" t="n">
        <v>36.372315036</v>
      </c>
      <c r="AC78" s="1" t="n">
        <v>353520</v>
      </c>
    </row>
    <row r="79">
      <c r="A79" s="1" t="inlineStr">
        <is>
          <t>2027BUD_V1</t>
        </is>
      </c>
      <c r="B79" s="1" t="inlineStr">
        <is>
          <t>12</t>
        </is>
      </c>
      <c r="C79" s="1" t="inlineStr">
        <is>
          <t>MBWAY_BOR</t>
        </is>
      </c>
      <c r="D79" s="1" t="inlineStr">
        <is>
          <t>MAS_MGT</t>
        </is>
      </c>
      <c r="E79" s="1" t="inlineStr">
        <is>
          <t>M2</t>
        </is>
      </c>
      <c r="F79" s="1" t="inlineStr">
        <is>
          <t>ALT</t>
        </is>
      </c>
      <c r="G79" s="1" t="inlineStr">
        <is>
          <t>2025</t>
        </is>
      </c>
      <c r="H79" s="1" t="n">
        <v>0</v>
      </c>
      <c r="I79" s="1" t="n">
        <v>0</v>
      </c>
      <c r="J79" s="1" t="n">
        <v>0</v>
      </c>
      <c r="K79" s="1" t="n">
        <v>0</v>
      </c>
      <c r="L79" s="1" t="n">
        <v>47</v>
      </c>
      <c r="M79" s="1" t="n">
        <v>47</v>
      </c>
      <c r="N79" s="1" t="n">
        <v>48</v>
      </c>
      <c r="O79" s="1" t="n">
        <v>2</v>
      </c>
      <c r="P79" s="1" t="n">
        <v>7275</v>
      </c>
      <c r="Q79" s="1" t="n">
        <v>90</v>
      </c>
      <c r="R79" s="1" t="n">
        <v>0</v>
      </c>
      <c r="S79" s="1" t="n">
        <v>0</v>
      </c>
      <c r="T79" s="1" t="n">
        <v>0</v>
      </c>
      <c r="U79" s="1" t="n">
        <v>0</v>
      </c>
      <c r="V79" s="1" t="n">
        <v>0.979166667</v>
      </c>
      <c r="W79" s="1" t="n">
        <v>0</v>
      </c>
      <c r="X79" s="1" t="n">
        <v>0</v>
      </c>
      <c r="Y79" s="1" t="n">
        <v>0</v>
      </c>
      <c r="Z79" s="1" t="n">
        <v>0</v>
      </c>
      <c r="AA79" s="1" t="n">
        <v>0</v>
      </c>
      <c r="AB79" s="1" t="n">
        <v>0</v>
      </c>
      <c r="AC79" s="1" t="n">
        <v>341925</v>
      </c>
    </row>
    <row r="80">
      <c r="A80" s="1" t="inlineStr">
        <is>
          <t>2027BUD_V1</t>
        </is>
      </c>
      <c r="B80" s="1" t="inlineStr">
        <is>
          <t>12</t>
        </is>
      </c>
      <c r="C80" s="1" t="inlineStr">
        <is>
          <t>ISCOM_PAR</t>
        </is>
      </c>
      <c r="D80" s="1" t="inlineStr">
        <is>
          <t>BAC_COM</t>
        </is>
      </c>
      <c r="E80" s="1" t="inlineStr">
        <is>
          <t>B1</t>
        </is>
      </c>
      <c r="F80" s="1" t="inlineStr">
        <is>
          <t>INIT</t>
        </is>
      </c>
      <c r="G80" s="1" t="inlineStr">
        <is>
          <t>2025</t>
        </is>
      </c>
      <c r="H80" s="1" t="n">
        <v>562</v>
      </c>
      <c r="I80" s="1" t="n">
        <v>158</v>
      </c>
      <c r="J80" s="1" t="n">
        <v>113</v>
      </c>
      <c r="K80" s="1" t="n">
        <v>68</v>
      </c>
      <c r="L80" s="1" t="n">
        <v>0</v>
      </c>
      <c r="M80" s="1" t="n">
        <v>68</v>
      </c>
      <c r="N80" s="1" t="n">
        <v>0</v>
      </c>
      <c r="O80" s="1" t="n">
        <v>3</v>
      </c>
      <c r="P80" s="1" t="n">
        <v>8400</v>
      </c>
      <c r="Q80" s="1" t="n">
        <v>90</v>
      </c>
      <c r="R80" s="1" t="n">
        <v>220</v>
      </c>
      <c r="S80" s="1" t="n">
        <v>354</v>
      </c>
      <c r="T80" s="1" t="n">
        <v>18140</v>
      </c>
      <c r="U80" s="1" t="n">
        <v>18785</v>
      </c>
      <c r="V80" s="1" t="n">
        <v>0</v>
      </c>
      <c r="W80" s="1" t="n">
        <v>0.28113879</v>
      </c>
      <c r="X80" s="1" t="n">
        <v>0.715189873</v>
      </c>
      <c r="Y80" s="1" t="n">
        <v>0.601769912</v>
      </c>
      <c r="Z80" s="1" t="n">
        <v>574</v>
      </c>
      <c r="AA80" s="1" t="n">
        <v>0.383275261</v>
      </c>
      <c r="AB80" s="1" t="n">
        <v>51.242937853</v>
      </c>
      <c r="AC80" s="1" t="n">
        <v>577320</v>
      </c>
    </row>
    <row r="81">
      <c r="A81" s="1" t="inlineStr">
        <is>
          <t>2027BUD_V1</t>
        </is>
      </c>
      <c r="B81" s="1" t="inlineStr">
        <is>
          <t>12</t>
        </is>
      </c>
      <c r="C81" s="1" t="inlineStr">
        <is>
          <t>ISCOM_PAR</t>
        </is>
      </c>
      <c r="D81" s="1" t="inlineStr">
        <is>
          <t>BAC_COM</t>
        </is>
      </c>
      <c r="E81" s="1" t="inlineStr">
        <is>
          <t>B2</t>
        </is>
      </c>
      <c r="F81" s="1" t="inlineStr">
        <is>
          <t>ALT</t>
        </is>
      </c>
      <c r="G81" s="1" t="inlineStr">
        <is>
          <t>2025</t>
        </is>
      </c>
      <c r="H81" s="1" t="n">
        <v>0</v>
      </c>
      <c r="I81" s="1" t="n">
        <v>0</v>
      </c>
      <c r="J81" s="1" t="n">
        <v>0</v>
      </c>
      <c r="K81" s="1" t="n">
        <v>0</v>
      </c>
      <c r="L81" s="1" t="n">
        <v>66</v>
      </c>
      <c r="M81" s="1" t="n">
        <v>66</v>
      </c>
      <c r="N81" s="1" t="n">
        <v>68</v>
      </c>
      <c r="O81" s="1" t="n">
        <v>3</v>
      </c>
      <c r="P81" s="1" t="n">
        <v>7840</v>
      </c>
      <c r="Q81" s="1" t="n">
        <v>90</v>
      </c>
      <c r="R81" s="1" t="n">
        <v>0</v>
      </c>
      <c r="S81" s="1" t="n">
        <v>0</v>
      </c>
      <c r="T81" s="1" t="n">
        <v>0</v>
      </c>
      <c r="U81" s="1" t="n">
        <v>0</v>
      </c>
      <c r="V81" s="1" t="n">
        <v>0.970588235</v>
      </c>
      <c r="W81" s="1" t="n">
        <v>0</v>
      </c>
      <c r="X81" s="1" t="n">
        <v>0</v>
      </c>
      <c r="Y81" s="1" t="n">
        <v>0</v>
      </c>
      <c r="Z81" s="1" t="n">
        <v>0</v>
      </c>
      <c r="AA81" s="1" t="n">
        <v>0</v>
      </c>
      <c r="AB81" s="1" t="n">
        <v>0</v>
      </c>
      <c r="AC81" s="1" t="n">
        <v>517440</v>
      </c>
    </row>
    <row r="82">
      <c r="A82" s="1" t="inlineStr">
        <is>
          <t>2027BUD_V1</t>
        </is>
      </c>
      <c r="B82" s="1" t="inlineStr">
        <is>
          <t>12</t>
        </is>
      </c>
      <c r="C82" s="1" t="inlineStr">
        <is>
          <t>ISCOM_PAR</t>
        </is>
      </c>
      <c r="D82" s="1" t="inlineStr">
        <is>
          <t>BAC_COM</t>
        </is>
      </c>
      <c r="E82" s="1" t="inlineStr">
        <is>
          <t>B3</t>
        </is>
      </c>
      <c r="F82" s="1" t="inlineStr">
        <is>
          <t>ALT</t>
        </is>
      </c>
      <c r="G82" s="1" t="inlineStr">
        <is>
          <t>2025</t>
        </is>
      </c>
      <c r="H82" s="1" t="n">
        <v>0</v>
      </c>
      <c r="I82" s="1" t="n">
        <v>0</v>
      </c>
      <c r="J82" s="1" t="n">
        <v>0</v>
      </c>
      <c r="K82" s="1" t="n">
        <v>0</v>
      </c>
      <c r="L82" s="1" t="n">
        <v>65</v>
      </c>
      <c r="M82" s="1" t="n">
        <v>65</v>
      </c>
      <c r="N82" s="1" t="n">
        <v>66</v>
      </c>
      <c r="O82" s="1" t="n">
        <v>3</v>
      </c>
      <c r="P82" s="1" t="n">
        <v>7840</v>
      </c>
      <c r="Q82" s="1" t="n">
        <v>90</v>
      </c>
      <c r="R82" s="1" t="n">
        <v>0</v>
      </c>
      <c r="S82" s="1" t="n">
        <v>0</v>
      </c>
      <c r="T82" s="1" t="n">
        <v>0</v>
      </c>
      <c r="U82" s="1" t="n">
        <v>0</v>
      </c>
      <c r="V82" s="1" t="n">
        <v>0.984848485</v>
      </c>
      <c r="W82" s="1" t="n">
        <v>0</v>
      </c>
      <c r="X82" s="1" t="n">
        <v>0</v>
      </c>
      <c r="Y82" s="1" t="n">
        <v>0</v>
      </c>
      <c r="Z82" s="1" t="n">
        <v>0</v>
      </c>
      <c r="AA82" s="1" t="n">
        <v>0</v>
      </c>
      <c r="AB82" s="1" t="n">
        <v>0</v>
      </c>
      <c r="AC82" s="1" t="n">
        <v>509600</v>
      </c>
    </row>
    <row r="83">
      <c r="A83" s="1" t="inlineStr">
        <is>
          <t>2027BUD_V1</t>
        </is>
      </c>
      <c r="B83" s="1" t="inlineStr">
        <is>
          <t>12</t>
        </is>
      </c>
      <c r="C83" s="1" t="inlineStr">
        <is>
          <t>ISCOM_PAR</t>
        </is>
      </c>
      <c r="D83" s="1" t="inlineStr">
        <is>
          <t>MAS_COM</t>
        </is>
      </c>
      <c r="E83" s="1" t="inlineStr">
        <is>
          <t>M1</t>
        </is>
      </c>
      <c r="F83" s="1" t="inlineStr">
        <is>
          <t>ALT</t>
        </is>
      </c>
      <c r="G83" s="1" t="inlineStr">
        <is>
          <t>2025</t>
        </is>
      </c>
      <c r="H83" s="1" t="n">
        <v>1151</v>
      </c>
      <c r="I83" s="1" t="n">
        <v>230</v>
      </c>
      <c r="J83" s="1" t="n">
        <v>161</v>
      </c>
      <c r="K83" s="1" t="n">
        <v>68</v>
      </c>
      <c r="L83" s="1" t="n">
        <v>0</v>
      </c>
      <c r="M83" s="1" t="n">
        <v>68</v>
      </c>
      <c r="N83" s="1" t="n">
        <v>0</v>
      </c>
      <c r="O83" s="1" t="n">
        <v>3</v>
      </c>
      <c r="P83" s="1" t="n">
        <v>8400</v>
      </c>
      <c r="Q83" s="1" t="n">
        <v>90</v>
      </c>
      <c r="R83" s="1" t="n">
        <v>450</v>
      </c>
      <c r="S83" s="1" t="n">
        <v>726</v>
      </c>
      <c r="T83" s="1" t="n">
        <v>37132</v>
      </c>
      <c r="U83" s="1" t="n">
        <v>38451</v>
      </c>
      <c r="V83" s="1" t="n">
        <v>0</v>
      </c>
      <c r="W83" s="1" t="n">
        <v>0.199826238</v>
      </c>
      <c r="X83" s="1" t="n">
        <v>0.7</v>
      </c>
      <c r="Y83" s="1" t="n">
        <v>0.422360248</v>
      </c>
      <c r="Z83" s="1" t="n">
        <v>1176</v>
      </c>
      <c r="AA83" s="1" t="n">
        <v>0.382653061</v>
      </c>
      <c r="AB83" s="1" t="n">
        <v>51.14600551</v>
      </c>
      <c r="AC83" s="1" t="n">
        <v>577320</v>
      </c>
    </row>
    <row r="84">
      <c r="A84" s="1" t="inlineStr">
        <is>
          <t>2027BUD_V1</t>
        </is>
      </c>
      <c r="B84" s="1" t="inlineStr">
        <is>
          <t>12</t>
        </is>
      </c>
      <c r="C84" s="1" t="inlineStr">
        <is>
          <t>ISCOM_PAR</t>
        </is>
      </c>
      <c r="D84" s="1" t="inlineStr">
        <is>
          <t>MAS_COM</t>
        </is>
      </c>
      <c r="E84" s="1" t="inlineStr">
        <is>
          <t>M2</t>
        </is>
      </c>
      <c r="F84" s="1" t="inlineStr">
        <is>
          <t>ALT</t>
        </is>
      </c>
      <c r="G84" s="1" t="inlineStr">
        <is>
          <t>2025</t>
        </is>
      </c>
      <c r="H84" s="1" t="n">
        <v>0</v>
      </c>
      <c r="I84" s="1" t="n">
        <v>0</v>
      </c>
      <c r="J84" s="1" t="n">
        <v>0</v>
      </c>
      <c r="K84" s="1" t="n">
        <v>0</v>
      </c>
      <c r="L84" s="1" t="n">
        <v>67</v>
      </c>
      <c r="M84" s="1" t="n">
        <v>67</v>
      </c>
      <c r="N84" s="1" t="n">
        <v>68</v>
      </c>
      <c r="O84" s="1" t="n">
        <v>3</v>
      </c>
      <c r="P84" s="1" t="n">
        <v>8400</v>
      </c>
      <c r="Q84" s="1" t="n">
        <v>90</v>
      </c>
      <c r="R84" s="1" t="n">
        <v>0</v>
      </c>
      <c r="S84" s="1" t="n">
        <v>0</v>
      </c>
      <c r="T84" s="1" t="n">
        <v>0</v>
      </c>
      <c r="U84" s="1" t="n">
        <v>0</v>
      </c>
      <c r="V84" s="1" t="n">
        <v>0.985294118</v>
      </c>
      <c r="W84" s="1" t="n">
        <v>0</v>
      </c>
      <c r="X84" s="1" t="n">
        <v>0</v>
      </c>
      <c r="Y84" s="1" t="n">
        <v>0</v>
      </c>
      <c r="Z84" s="1" t="n">
        <v>0</v>
      </c>
      <c r="AA84" s="1" t="n">
        <v>0</v>
      </c>
      <c r="AB84" s="1" t="n">
        <v>0</v>
      </c>
      <c r="AC84" s="1" t="n">
        <v>562800</v>
      </c>
    </row>
    <row r="85">
      <c r="A85" s="1" t="inlineStr">
        <is>
          <t>2027BUD_V1</t>
        </is>
      </c>
      <c r="B85" s="1" t="inlineStr">
        <is>
          <t>12</t>
        </is>
      </c>
      <c r="C85" s="1" t="inlineStr">
        <is>
          <t>ISCOM_LIL</t>
        </is>
      </c>
      <c r="D85" s="1" t="inlineStr">
        <is>
          <t>BAC_COM</t>
        </is>
      </c>
      <c r="E85" s="1" t="inlineStr">
        <is>
          <t>B1</t>
        </is>
      </c>
      <c r="F85" s="1" t="inlineStr">
        <is>
          <t>INIT</t>
        </is>
      </c>
      <c r="G85" s="1" t="inlineStr">
        <is>
          <t>2025</t>
        </is>
      </c>
      <c r="H85" s="1" t="n">
        <v>388</v>
      </c>
      <c r="I85" s="1" t="n">
        <v>108</v>
      </c>
      <c r="J85" s="1" t="n">
        <v>78</v>
      </c>
      <c r="K85" s="1" t="n">
        <v>47</v>
      </c>
      <c r="L85" s="1" t="n">
        <v>0</v>
      </c>
      <c r="M85" s="1" t="n">
        <v>47</v>
      </c>
      <c r="N85" s="1" t="n">
        <v>0</v>
      </c>
      <c r="O85" s="1" t="n">
        <v>2</v>
      </c>
      <c r="P85" s="1" t="n">
        <v>7350</v>
      </c>
      <c r="Q85" s="1" t="n">
        <v>90</v>
      </c>
      <c r="R85" s="1" t="n">
        <v>199</v>
      </c>
      <c r="S85" s="1" t="n">
        <v>196</v>
      </c>
      <c r="T85" s="1" t="n">
        <v>7473</v>
      </c>
      <c r="U85" s="1" t="n">
        <v>17199</v>
      </c>
      <c r="V85" s="1" t="n">
        <v>0</v>
      </c>
      <c r="W85" s="1" t="n">
        <v>0.278350515</v>
      </c>
      <c r="X85" s="1" t="n">
        <v>0.722222222</v>
      </c>
      <c r="Y85" s="1" t="n">
        <v>0.602564103</v>
      </c>
      <c r="Z85" s="1" t="n">
        <v>395</v>
      </c>
      <c r="AA85" s="1" t="n">
        <v>0.503797468</v>
      </c>
      <c r="AB85" s="1" t="n">
        <v>38.12755102</v>
      </c>
      <c r="AC85" s="1" t="n">
        <v>349680</v>
      </c>
    </row>
    <row r="86">
      <c r="A86" s="1" t="inlineStr">
        <is>
          <t>2027BUD_V1</t>
        </is>
      </c>
      <c r="B86" s="1" t="inlineStr">
        <is>
          <t>12</t>
        </is>
      </c>
      <c r="C86" s="1" t="inlineStr">
        <is>
          <t>ISCOM_LIL</t>
        </is>
      </c>
      <c r="D86" s="1" t="inlineStr">
        <is>
          <t>BAC_COM</t>
        </is>
      </c>
      <c r="E86" s="1" t="inlineStr">
        <is>
          <t>B2</t>
        </is>
      </c>
      <c r="F86" s="1" t="inlineStr">
        <is>
          <t>ALT</t>
        </is>
      </c>
      <c r="G86" s="1" t="inlineStr">
        <is>
          <t>2025</t>
        </is>
      </c>
      <c r="H86" s="1" t="n">
        <v>0</v>
      </c>
      <c r="I86" s="1" t="n">
        <v>0</v>
      </c>
      <c r="J86" s="1" t="n">
        <v>0</v>
      </c>
      <c r="K86" s="1" t="n">
        <v>0</v>
      </c>
      <c r="L86" s="1" t="n">
        <v>45</v>
      </c>
      <c r="M86" s="1" t="n">
        <v>45</v>
      </c>
      <c r="N86" s="1" t="n">
        <v>47</v>
      </c>
      <c r="O86" s="1" t="n">
        <v>2</v>
      </c>
      <c r="P86" s="1" t="n">
        <v>6860</v>
      </c>
      <c r="Q86" s="1" t="n">
        <v>90</v>
      </c>
      <c r="R86" s="1" t="n">
        <v>0</v>
      </c>
      <c r="S86" s="1" t="n">
        <v>0</v>
      </c>
      <c r="T86" s="1" t="n">
        <v>0</v>
      </c>
      <c r="U86" s="1" t="n">
        <v>0</v>
      </c>
      <c r="V86" s="1" t="n">
        <v>0.957446809</v>
      </c>
      <c r="W86" s="1" t="n">
        <v>0</v>
      </c>
      <c r="X86" s="1" t="n">
        <v>0</v>
      </c>
      <c r="Y86" s="1" t="n">
        <v>0</v>
      </c>
      <c r="Z86" s="1" t="n">
        <v>0</v>
      </c>
      <c r="AA86" s="1" t="n">
        <v>0</v>
      </c>
      <c r="AB86" s="1" t="n">
        <v>0</v>
      </c>
      <c r="AC86" s="1" t="n">
        <v>308700</v>
      </c>
    </row>
    <row r="87">
      <c r="A87" s="1" t="inlineStr">
        <is>
          <t>2027BUD_V1</t>
        </is>
      </c>
      <c r="B87" s="1" t="inlineStr">
        <is>
          <t>12</t>
        </is>
      </c>
      <c r="C87" s="1" t="inlineStr">
        <is>
          <t>ISCOM_LIL</t>
        </is>
      </c>
      <c r="D87" s="1" t="inlineStr">
        <is>
          <t>BAC_COM</t>
        </is>
      </c>
      <c r="E87" s="1" t="inlineStr">
        <is>
          <t>B3</t>
        </is>
      </c>
      <c r="F87" s="1" t="inlineStr">
        <is>
          <t>ALT</t>
        </is>
      </c>
      <c r="G87" s="1" t="inlineStr">
        <is>
          <t>2025</t>
        </is>
      </c>
      <c r="H87" s="1" t="n">
        <v>0</v>
      </c>
      <c r="I87" s="1" t="n">
        <v>0</v>
      </c>
      <c r="J87" s="1" t="n">
        <v>0</v>
      </c>
      <c r="K87" s="1" t="n">
        <v>0</v>
      </c>
      <c r="L87" s="1" t="n">
        <v>44</v>
      </c>
      <c r="M87" s="1" t="n">
        <v>44</v>
      </c>
      <c r="N87" s="1" t="n">
        <v>45</v>
      </c>
      <c r="O87" s="1" t="n">
        <v>2</v>
      </c>
      <c r="P87" s="1" t="n">
        <v>6860</v>
      </c>
      <c r="Q87" s="1" t="n">
        <v>90</v>
      </c>
      <c r="R87" s="1" t="n">
        <v>0</v>
      </c>
      <c r="S87" s="1" t="n">
        <v>0</v>
      </c>
      <c r="T87" s="1" t="n">
        <v>0</v>
      </c>
      <c r="U87" s="1" t="n">
        <v>0</v>
      </c>
      <c r="V87" s="1" t="n">
        <v>0.977777778</v>
      </c>
      <c r="W87" s="1" t="n">
        <v>0</v>
      </c>
      <c r="X87" s="1" t="n">
        <v>0</v>
      </c>
      <c r="Y87" s="1" t="n">
        <v>0</v>
      </c>
      <c r="Z87" s="1" t="n">
        <v>0</v>
      </c>
      <c r="AA87" s="1" t="n">
        <v>0</v>
      </c>
      <c r="AB87" s="1" t="n">
        <v>0</v>
      </c>
      <c r="AC87" s="1" t="n">
        <v>301840</v>
      </c>
    </row>
    <row r="88">
      <c r="A88" s="1" t="inlineStr">
        <is>
          <t>2027BUD_V1</t>
        </is>
      </c>
      <c r="B88" s="1" t="inlineStr">
        <is>
          <t>12</t>
        </is>
      </c>
      <c r="C88" s="1" t="inlineStr">
        <is>
          <t>ISCOM_LIL</t>
        </is>
      </c>
      <c r="D88" s="1" t="inlineStr">
        <is>
          <t>MAS_COM</t>
        </is>
      </c>
      <c r="E88" s="1" t="inlineStr">
        <is>
          <t>M1</t>
        </is>
      </c>
      <c r="F88" s="1" t="inlineStr">
        <is>
          <t>ALT</t>
        </is>
      </c>
      <c r="G88" s="1" t="inlineStr">
        <is>
          <t>2025</t>
        </is>
      </c>
      <c r="H88" s="1" t="n">
        <v>802</v>
      </c>
      <c r="I88" s="1" t="n">
        <v>160</v>
      </c>
      <c r="J88" s="1" t="n">
        <v>112</v>
      </c>
      <c r="K88" s="1" t="n">
        <v>47</v>
      </c>
      <c r="L88" s="1" t="n">
        <v>0</v>
      </c>
      <c r="M88" s="1" t="n">
        <v>47</v>
      </c>
      <c r="N88" s="1" t="n">
        <v>0</v>
      </c>
      <c r="O88" s="1" t="n">
        <v>2</v>
      </c>
      <c r="P88" s="1" t="n">
        <v>7350</v>
      </c>
      <c r="Q88" s="1" t="n">
        <v>90</v>
      </c>
      <c r="R88" s="1" t="n">
        <v>413</v>
      </c>
      <c r="S88" s="1" t="n">
        <v>404</v>
      </c>
      <c r="T88" s="1" t="n">
        <v>15454</v>
      </c>
      <c r="U88" s="1" t="n">
        <v>35569</v>
      </c>
      <c r="V88" s="1" t="n">
        <v>0</v>
      </c>
      <c r="W88" s="1" t="n">
        <v>0.199501247</v>
      </c>
      <c r="X88" s="1" t="n">
        <v>0.7</v>
      </c>
      <c r="Y88" s="1" t="n">
        <v>0.419642857</v>
      </c>
      <c r="Z88" s="1" t="n">
        <v>817</v>
      </c>
      <c r="AA88" s="1" t="n">
        <v>0.505507956</v>
      </c>
      <c r="AB88" s="1" t="n">
        <v>38.252475248</v>
      </c>
      <c r="AC88" s="1" t="n">
        <v>349680</v>
      </c>
    </row>
    <row r="89">
      <c r="A89" s="1" t="inlineStr">
        <is>
          <t>2027BUD_V1</t>
        </is>
      </c>
      <c r="B89" s="1" t="inlineStr">
        <is>
          <t>12</t>
        </is>
      </c>
      <c r="C89" s="1" t="inlineStr">
        <is>
          <t>ISCOM_LIL</t>
        </is>
      </c>
      <c r="D89" s="1" t="inlineStr">
        <is>
          <t>MAS_COM</t>
        </is>
      </c>
      <c r="E89" s="1" t="inlineStr">
        <is>
          <t>M2</t>
        </is>
      </c>
      <c r="F89" s="1" t="inlineStr">
        <is>
          <t>ALT</t>
        </is>
      </c>
      <c r="G89" s="1" t="inlineStr">
        <is>
          <t>2025</t>
        </is>
      </c>
      <c r="H89" s="1" t="n">
        <v>0</v>
      </c>
      <c r="I89" s="1" t="n">
        <v>0</v>
      </c>
      <c r="J89" s="1" t="n">
        <v>0</v>
      </c>
      <c r="K89" s="1" t="n">
        <v>0</v>
      </c>
      <c r="L89" s="1" t="n">
        <v>46</v>
      </c>
      <c r="M89" s="1" t="n">
        <v>46</v>
      </c>
      <c r="N89" s="1" t="n">
        <v>47</v>
      </c>
      <c r="O89" s="1" t="n">
        <v>2</v>
      </c>
      <c r="P89" s="1" t="n">
        <v>7350</v>
      </c>
      <c r="Q89" s="1" t="n">
        <v>90</v>
      </c>
      <c r="R89" s="1" t="n">
        <v>0</v>
      </c>
      <c r="S89" s="1" t="n">
        <v>0</v>
      </c>
      <c r="T89" s="1" t="n">
        <v>0</v>
      </c>
      <c r="U89" s="1" t="n">
        <v>0</v>
      </c>
      <c r="V89" s="1" t="n">
        <v>0.978723404</v>
      </c>
      <c r="W89" s="1" t="n">
        <v>0</v>
      </c>
      <c r="X89" s="1" t="n">
        <v>0</v>
      </c>
      <c r="Y89" s="1" t="n">
        <v>0</v>
      </c>
      <c r="Z89" s="1" t="n">
        <v>0</v>
      </c>
      <c r="AA89" s="1" t="n">
        <v>0</v>
      </c>
      <c r="AB89" s="1" t="n">
        <v>0</v>
      </c>
      <c r="AC89" s="1" t="n">
        <v>338100</v>
      </c>
    </row>
    <row r="90">
      <c r="A90" s="1" t="inlineStr">
        <is>
          <t>2027BUD_V1</t>
        </is>
      </c>
      <c r="B90" s="1" t="inlineStr">
        <is>
          <t>12</t>
        </is>
      </c>
      <c r="C90" s="1" t="inlineStr">
        <is>
          <t>ISCOM_TLS</t>
        </is>
      </c>
      <c r="D90" s="1" t="inlineStr">
        <is>
          <t>BAC_COM</t>
        </is>
      </c>
      <c r="E90" s="1" t="inlineStr">
        <is>
          <t>B1</t>
        </is>
      </c>
      <c r="F90" s="1" t="inlineStr">
        <is>
          <t>INIT</t>
        </is>
      </c>
      <c r="G90" s="1" t="inlineStr">
        <is>
          <t>2025</t>
        </is>
      </c>
      <c r="H90" s="1" t="n">
        <v>364</v>
      </c>
      <c r="I90" s="1" t="n">
        <v>102</v>
      </c>
      <c r="J90" s="1" t="n">
        <v>74</v>
      </c>
      <c r="K90" s="1" t="n">
        <v>44</v>
      </c>
      <c r="L90" s="1" t="n">
        <v>0</v>
      </c>
      <c r="M90" s="1" t="n">
        <v>44</v>
      </c>
      <c r="N90" s="1" t="n">
        <v>0</v>
      </c>
      <c r="O90" s="1" t="n">
        <v>2</v>
      </c>
      <c r="P90" s="1" t="n">
        <v>7200</v>
      </c>
      <c r="Q90" s="1" t="n">
        <v>90</v>
      </c>
      <c r="R90" s="1" t="n">
        <v>191</v>
      </c>
      <c r="S90" s="1" t="n">
        <v>180</v>
      </c>
      <c r="T90" s="1" t="n">
        <v>6534</v>
      </c>
      <c r="U90" s="1" t="n">
        <v>16504</v>
      </c>
      <c r="V90" s="1" t="n">
        <v>0</v>
      </c>
      <c r="W90" s="1" t="n">
        <v>0.28021978</v>
      </c>
      <c r="X90" s="1" t="n">
        <v>0.725490196</v>
      </c>
      <c r="Y90" s="1" t="n">
        <v>0.594594595</v>
      </c>
      <c r="Z90" s="1" t="n">
        <v>371</v>
      </c>
      <c r="AA90" s="1" t="n">
        <v>0.514824798</v>
      </c>
      <c r="AB90" s="1" t="n">
        <v>36.3</v>
      </c>
      <c r="AC90" s="1" t="n">
        <v>320760</v>
      </c>
    </row>
    <row r="91">
      <c r="A91" s="1" t="inlineStr">
        <is>
          <t>2027BUD_V1</t>
        </is>
      </c>
      <c r="B91" s="1" t="inlineStr">
        <is>
          <t>12</t>
        </is>
      </c>
      <c r="C91" s="1" t="inlineStr">
        <is>
          <t>ISCOM_TLS</t>
        </is>
      </c>
      <c r="D91" s="1" t="inlineStr">
        <is>
          <t>BAC_COM</t>
        </is>
      </c>
      <c r="E91" s="1" t="inlineStr">
        <is>
          <t>B2</t>
        </is>
      </c>
      <c r="F91" s="1" t="inlineStr">
        <is>
          <t>ALT</t>
        </is>
      </c>
      <c r="G91" s="1" t="inlineStr">
        <is>
          <t>2025</t>
        </is>
      </c>
      <c r="H91" s="1" t="n">
        <v>0</v>
      </c>
      <c r="I91" s="1" t="n">
        <v>0</v>
      </c>
      <c r="J91" s="1" t="n">
        <v>0</v>
      </c>
      <c r="K91" s="1" t="n">
        <v>0</v>
      </c>
      <c r="L91" s="1" t="n">
        <v>43</v>
      </c>
      <c r="M91" s="1" t="n">
        <v>43</v>
      </c>
      <c r="N91" s="1" t="n">
        <v>44</v>
      </c>
      <c r="O91" s="1" t="n">
        <v>2</v>
      </c>
      <c r="P91" s="1" t="n">
        <v>6720</v>
      </c>
      <c r="Q91" s="1" t="n">
        <v>90</v>
      </c>
      <c r="R91" s="1" t="n">
        <v>0</v>
      </c>
      <c r="S91" s="1" t="n">
        <v>0</v>
      </c>
      <c r="T91" s="1" t="n">
        <v>0</v>
      </c>
      <c r="U91" s="1" t="n">
        <v>0</v>
      </c>
      <c r="V91" s="1" t="n">
        <v>0.977272727</v>
      </c>
      <c r="W91" s="1" t="n">
        <v>0</v>
      </c>
      <c r="X91" s="1" t="n">
        <v>0</v>
      </c>
      <c r="Y91" s="1" t="n">
        <v>0</v>
      </c>
      <c r="Z91" s="1" t="n">
        <v>0</v>
      </c>
      <c r="AA91" s="1" t="n">
        <v>0</v>
      </c>
      <c r="AB91" s="1" t="n">
        <v>0</v>
      </c>
      <c r="AC91" s="1" t="n">
        <v>288960</v>
      </c>
    </row>
    <row r="92">
      <c r="A92" s="1" t="inlineStr">
        <is>
          <t>2027BUD_V1</t>
        </is>
      </c>
      <c r="B92" s="1" t="inlineStr">
        <is>
          <t>12</t>
        </is>
      </c>
      <c r="C92" s="1" t="inlineStr">
        <is>
          <t>ISCOM_TLS</t>
        </is>
      </c>
      <c r="D92" s="1" t="inlineStr">
        <is>
          <t>BAC_COM</t>
        </is>
      </c>
      <c r="E92" s="1" t="inlineStr">
        <is>
          <t>B3</t>
        </is>
      </c>
      <c r="F92" s="1" t="inlineStr">
        <is>
          <t>ALT</t>
        </is>
      </c>
      <c r="G92" s="1" t="inlineStr">
        <is>
          <t>2025</t>
        </is>
      </c>
      <c r="H92" s="1" t="n">
        <v>0</v>
      </c>
      <c r="I92" s="1" t="n">
        <v>0</v>
      </c>
      <c r="J92" s="1" t="n">
        <v>0</v>
      </c>
      <c r="K92" s="1" t="n">
        <v>0</v>
      </c>
      <c r="L92" s="1" t="n">
        <v>42</v>
      </c>
      <c r="M92" s="1" t="n">
        <v>42</v>
      </c>
      <c r="N92" s="1" t="n">
        <v>43</v>
      </c>
      <c r="O92" s="1" t="n">
        <v>2</v>
      </c>
      <c r="P92" s="1" t="n">
        <v>6720</v>
      </c>
      <c r="Q92" s="1" t="n">
        <v>90</v>
      </c>
      <c r="R92" s="1" t="n">
        <v>0</v>
      </c>
      <c r="S92" s="1" t="n">
        <v>0</v>
      </c>
      <c r="T92" s="1" t="n">
        <v>0</v>
      </c>
      <c r="U92" s="1" t="n">
        <v>0</v>
      </c>
      <c r="V92" s="1" t="n">
        <v>0.976744186</v>
      </c>
      <c r="W92" s="1" t="n">
        <v>0</v>
      </c>
      <c r="X92" s="1" t="n">
        <v>0</v>
      </c>
      <c r="Y92" s="1" t="n">
        <v>0</v>
      </c>
      <c r="Z92" s="1" t="n">
        <v>0</v>
      </c>
      <c r="AA92" s="1" t="n">
        <v>0</v>
      </c>
      <c r="AB92" s="1" t="n">
        <v>0</v>
      </c>
      <c r="AC92" s="1" t="n">
        <v>282240</v>
      </c>
    </row>
    <row r="93">
      <c r="A93" s="1" t="inlineStr">
        <is>
          <t>2027BUD_V1</t>
        </is>
      </c>
      <c r="B93" s="1" t="inlineStr">
        <is>
          <t>12</t>
        </is>
      </c>
      <c r="C93" s="1" t="inlineStr">
        <is>
          <t>ISCOM_TLS</t>
        </is>
      </c>
      <c r="D93" s="1" t="inlineStr">
        <is>
          <t>MAS_COM</t>
        </is>
      </c>
      <c r="E93" s="1" t="inlineStr">
        <is>
          <t>M1</t>
        </is>
      </c>
      <c r="F93" s="1" t="inlineStr">
        <is>
          <t>ALT</t>
        </is>
      </c>
      <c r="G93" s="1" t="inlineStr">
        <is>
          <t>2025</t>
        </is>
      </c>
      <c r="H93" s="1" t="n">
        <v>755</v>
      </c>
      <c r="I93" s="1" t="n">
        <v>151</v>
      </c>
      <c r="J93" s="1" t="n">
        <v>106</v>
      </c>
      <c r="K93" s="1" t="n">
        <v>44</v>
      </c>
      <c r="L93" s="1" t="n">
        <v>0</v>
      </c>
      <c r="M93" s="1" t="n">
        <v>44</v>
      </c>
      <c r="N93" s="1" t="n">
        <v>0</v>
      </c>
      <c r="O93" s="1" t="n">
        <v>2</v>
      </c>
      <c r="P93" s="1" t="n">
        <v>7200</v>
      </c>
      <c r="Q93" s="1" t="n">
        <v>90</v>
      </c>
      <c r="R93" s="1" t="n">
        <v>396</v>
      </c>
      <c r="S93" s="1" t="n">
        <v>373</v>
      </c>
      <c r="T93" s="1" t="n">
        <v>13542</v>
      </c>
      <c r="U93" s="1" t="n">
        <v>34206</v>
      </c>
      <c r="V93" s="1" t="n">
        <v>0</v>
      </c>
      <c r="W93" s="1" t="n">
        <v>0.2</v>
      </c>
      <c r="X93" s="1" t="n">
        <v>0.701986755</v>
      </c>
      <c r="Y93" s="1" t="n">
        <v>0.41509434</v>
      </c>
      <c r="Z93" s="1" t="n">
        <v>769</v>
      </c>
      <c r="AA93" s="1" t="n">
        <v>0.514954486</v>
      </c>
      <c r="AB93" s="1" t="n">
        <v>36.305630027</v>
      </c>
      <c r="AC93" s="1" t="n">
        <v>320760</v>
      </c>
    </row>
    <row r="94">
      <c r="A94" s="1" t="inlineStr">
        <is>
          <t>2027BUD_V1</t>
        </is>
      </c>
      <c r="B94" s="1" t="inlineStr">
        <is>
          <t>12</t>
        </is>
      </c>
      <c r="C94" s="1" t="inlineStr">
        <is>
          <t>ISCOM_TLS</t>
        </is>
      </c>
      <c r="D94" s="1" t="inlineStr">
        <is>
          <t>MAS_COM</t>
        </is>
      </c>
      <c r="E94" s="1" t="inlineStr">
        <is>
          <t>M2</t>
        </is>
      </c>
      <c r="F94" s="1" t="inlineStr">
        <is>
          <t>ALT</t>
        </is>
      </c>
      <c r="G94" s="1" t="inlineStr">
        <is>
          <t>2025</t>
        </is>
      </c>
      <c r="H94" s="1" t="n">
        <v>0</v>
      </c>
      <c r="I94" s="1" t="n">
        <v>0</v>
      </c>
      <c r="J94" s="1" t="n">
        <v>0</v>
      </c>
      <c r="K94" s="1" t="n">
        <v>0</v>
      </c>
      <c r="L94" s="1" t="n">
        <v>43</v>
      </c>
      <c r="M94" s="1" t="n">
        <v>43</v>
      </c>
      <c r="N94" s="1" t="n">
        <v>44</v>
      </c>
      <c r="O94" s="1" t="n">
        <v>2</v>
      </c>
      <c r="P94" s="1" t="n">
        <v>7200</v>
      </c>
      <c r="Q94" s="1" t="n">
        <v>90</v>
      </c>
      <c r="R94" s="1" t="n">
        <v>0</v>
      </c>
      <c r="S94" s="1" t="n">
        <v>0</v>
      </c>
      <c r="T94" s="1" t="n">
        <v>0</v>
      </c>
      <c r="U94" s="1" t="n">
        <v>0</v>
      </c>
      <c r="V94" s="1" t="n">
        <v>0.977272727</v>
      </c>
      <c r="W94" s="1" t="n">
        <v>0</v>
      </c>
      <c r="X94" s="1" t="n">
        <v>0</v>
      </c>
      <c r="Y94" s="1" t="n">
        <v>0</v>
      </c>
      <c r="Z94" s="1" t="n">
        <v>0</v>
      </c>
      <c r="AA94" s="1" t="n">
        <v>0</v>
      </c>
      <c r="AB94" s="1" t="n">
        <v>0</v>
      </c>
      <c r="AC94" s="1" t="n">
        <v>309600</v>
      </c>
    </row>
    <row r="95">
      <c r="A95" s="1" t="inlineStr">
        <is>
          <t>2027BUD_V1</t>
        </is>
      </c>
      <c r="B95" s="1" t="inlineStr">
        <is>
          <t>12</t>
        </is>
      </c>
      <c r="C95" s="1" t="inlineStr">
        <is>
          <t>IPAC_NAN</t>
        </is>
      </c>
      <c r="D95" s="1" t="inlineStr">
        <is>
          <t>BAC_CCE</t>
        </is>
      </c>
      <c r="E95" s="1" t="inlineStr">
        <is>
          <t>B1</t>
        </is>
      </c>
      <c r="F95" s="1" t="inlineStr">
        <is>
          <t>ALT</t>
        </is>
      </c>
      <c r="G95" s="1" t="inlineStr">
        <is>
          <t>2025</t>
        </is>
      </c>
      <c r="H95" s="1" t="n">
        <v>802</v>
      </c>
      <c r="I95" s="1" t="n">
        <v>160</v>
      </c>
      <c r="J95" s="1" t="n">
        <v>112</v>
      </c>
      <c r="K95" s="1" t="n">
        <v>47</v>
      </c>
      <c r="L95" s="1" t="n">
        <v>0</v>
      </c>
      <c r="M95" s="1" t="n">
        <v>47</v>
      </c>
      <c r="N95" s="1" t="n">
        <v>0</v>
      </c>
      <c r="O95" s="1" t="n">
        <v>2</v>
      </c>
      <c r="P95" s="1" t="n">
        <v>7000</v>
      </c>
      <c r="Q95" s="1" t="n">
        <v>90</v>
      </c>
      <c r="R95" s="1" t="n">
        <v>281</v>
      </c>
      <c r="S95" s="1" t="n">
        <v>516</v>
      </c>
      <c r="T95" s="1" t="n">
        <v>19782</v>
      </c>
      <c r="U95" s="1" t="n">
        <v>21082</v>
      </c>
      <c r="V95" s="1" t="n">
        <v>0</v>
      </c>
      <c r="W95" s="1" t="n">
        <v>0.199501247</v>
      </c>
      <c r="X95" s="1" t="n">
        <v>0.7</v>
      </c>
      <c r="Y95" s="1" t="n">
        <v>0.419642857</v>
      </c>
      <c r="Z95" s="1" t="n">
        <v>797</v>
      </c>
      <c r="AA95" s="1" t="n">
        <v>0.352572146</v>
      </c>
      <c r="AB95" s="1" t="n">
        <v>38.337209302</v>
      </c>
      <c r="AC95" s="1" t="n">
        <v>333230</v>
      </c>
    </row>
    <row r="96">
      <c r="A96" s="1" t="inlineStr">
        <is>
          <t>2027BUD_V1</t>
        </is>
      </c>
      <c r="B96" s="1" t="inlineStr">
        <is>
          <t>12</t>
        </is>
      </c>
      <c r="C96" s="1" t="inlineStr">
        <is>
          <t>IPAC_NAN</t>
        </is>
      </c>
      <c r="D96" s="1" t="inlineStr">
        <is>
          <t>BAC_CCE</t>
        </is>
      </c>
      <c r="E96" s="1" t="inlineStr">
        <is>
          <t>B2</t>
        </is>
      </c>
      <c r="F96" s="1" t="inlineStr">
        <is>
          <t>ALT</t>
        </is>
      </c>
      <c r="G96" s="1" t="inlineStr">
        <is>
          <t>2025</t>
        </is>
      </c>
      <c r="H96" s="1" t="n">
        <v>0</v>
      </c>
      <c r="I96" s="1" t="n">
        <v>0</v>
      </c>
      <c r="J96" s="1" t="n">
        <v>0</v>
      </c>
      <c r="K96" s="1" t="n">
        <v>0</v>
      </c>
      <c r="L96" s="1" t="n">
        <v>45</v>
      </c>
      <c r="M96" s="1" t="n">
        <v>45</v>
      </c>
      <c r="N96" s="1" t="n">
        <v>47</v>
      </c>
      <c r="O96" s="1" t="n">
        <v>2</v>
      </c>
      <c r="P96" s="1" t="n">
        <v>7000</v>
      </c>
      <c r="Q96" s="1" t="n">
        <v>90</v>
      </c>
      <c r="R96" s="1" t="n">
        <v>0</v>
      </c>
      <c r="S96" s="1" t="n">
        <v>0</v>
      </c>
      <c r="T96" s="1" t="n">
        <v>0</v>
      </c>
      <c r="U96" s="1" t="n">
        <v>0</v>
      </c>
      <c r="V96" s="1" t="n">
        <v>0.957446809</v>
      </c>
      <c r="W96" s="1" t="n">
        <v>0</v>
      </c>
      <c r="X96" s="1" t="n">
        <v>0</v>
      </c>
      <c r="Y96" s="1" t="n">
        <v>0</v>
      </c>
      <c r="Z96" s="1" t="n">
        <v>0</v>
      </c>
      <c r="AA96" s="1" t="n">
        <v>0</v>
      </c>
      <c r="AB96" s="1" t="n">
        <v>0</v>
      </c>
      <c r="AC96" s="1" t="n">
        <v>315000</v>
      </c>
    </row>
    <row r="97">
      <c r="A97" s="1" t="inlineStr">
        <is>
          <t>2027BUD_V1</t>
        </is>
      </c>
      <c r="B97" s="1" t="inlineStr">
        <is>
          <t>12</t>
        </is>
      </c>
      <c r="C97" s="1" t="inlineStr">
        <is>
          <t>IPAC_NAN</t>
        </is>
      </c>
      <c r="D97" s="1" t="inlineStr">
        <is>
          <t>BAC_CCE</t>
        </is>
      </c>
      <c r="E97" s="1" t="inlineStr">
        <is>
          <t>B3</t>
        </is>
      </c>
      <c r="F97" s="1" t="inlineStr">
        <is>
          <t>ALT</t>
        </is>
      </c>
      <c r="G97" s="1" t="inlineStr">
        <is>
          <t>2025</t>
        </is>
      </c>
      <c r="H97" s="1" t="n">
        <v>0</v>
      </c>
      <c r="I97" s="1" t="n">
        <v>0</v>
      </c>
      <c r="J97" s="1" t="n">
        <v>0</v>
      </c>
      <c r="K97" s="1" t="n">
        <v>0</v>
      </c>
      <c r="L97" s="1" t="n">
        <v>44</v>
      </c>
      <c r="M97" s="1" t="n">
        <v>44</v>
      </c>
      <c r="N97" s="1" t="n">
        <v>45</v>
      </c>
      <c r="O97" s="1" t="n">
        <v>2</v>
      </c>
      <c r="P97" s="1" t="n">
        <v>7000</v>
      </c>
      <c r="Q97" s="1" t="n">
        <v>90</v>
      </c>
      <c r="R97" s="1" t="n">
        <v>0</v>
      </c>
      <c r="S97" s="1" t="n">
        <v>0</v>
      </c>
      <c r="T97" s="1" t="n">
        <v>0</v>
      </c>
      <c r="U97" s="1" t="n">
        <v>0</v>
      </c>
      <c r="V97" s="1" t="n">
        <v>0.977777778</v>
      </c>
      <c r="W97" s="1" t="n">
        <v>0</v>
      </c>
      <c r="X97" s="1" t="n">
        <v>0</v>
      </c>
      <c r="Y97" s="1" t="n">
        <v>0</v>
      </c>
      <c r="Z97" s="1" t="n">
        <v>0</v>
      </c>
      <c r="AA97" s="1" t="n">
        <v>0</v>
      </c>
      <c r="AB97" s="1" t="n">
        <v>0</v>
      </c>
      <c r="AC97" s="1" t="n">
        <v>308000</v>
      </c>
    </row>
    <row r="98">
      <c r="A98" s="1" t="inlineStr">
        <is>
          <t>2027BUD_V1</t>
        </is>
      </c>
      <c r="B98" s="1" t="inlineStr">
        <is>
          <t>12</t>
        </is>
      </c>
      <c r="C98" s="1" t="inlineStr">
        <is>
          <t>IPAC_REN</t>
        </is>
      </c>
      <c r="D98" s="1" t="inlineStr">
        <is>
          <t>BAC_CCE</t>
        </is>
      </c>
      <c r="E98" s="1" t="inlineStr">
        <is>
          <t>B1</t>
        </is>
      </c>
      <c r="F98" s="1" t="inlineStr">
        <is>
          <t>ALT</t>
        </is>
      </c>
      <c r="G98" s="1" t="inlineStr">
        <is>
          <t>2025</t>
        </is>
      </c>
      <c r="H98" s="1" t="n">
        <v>642</v>
      </c>
      <c r="I98" s="1" t="n">
        <v>128</v>
      </c>
      <c r="J98" s="1" t="n">
        <v>90</v>
      </c>
      <c r="K98" s="1" t="n">
        <v>38</v>
      </c>
      <c r="L98" s="1" t="n">
        <v>0</v>
      </c>
      <c r="M98" s="1" t="n">
        <v>38</v>
      </c>
      <c r="N98" s="1" t="n">
        <v>0</v>
      </c>
      <c r="O98" s="1" t="n">
        <v>2</v>
      </c>
      <c r="P98" s="1" t="n">
        <v>6650</v>
      </c>
      <c r="Q98" s="1" t="n">
        <v>90</v>
      </c>
      <c r="R98" s="1" t="n">
        <v>243</v>
      </c>
      <c r="S98" s="1" t="n">
        <v>392</v>
      </c>
      <c r="T98" s="1" t="n">
        <v>13575</v>
      </c>
      <c r="U98" s="1" t="n">
        <v>18403</v>
      </c>
      <c r="V98" s="1" t="n">
        <v>0</v>
      </c>
      <c r="W98" s="1" t="n">
        <v>0.199376947</v>
      </c>
      <c r="X98" s="1" t="n">
        <v>0.703125</v>
      </c>
      <c r="Y98" s="1" t="n">
        <v>0.422222222</v>
      </c>
      <c r="Z98" s="1" t="n">
        <v>635</v>
      </c>
      <c r="AA98" s="1" t="n">
        <v>0.382677165</v>
      </c>
      <c r="AB98" s="1" t="n">
        <v>34.630102041</v>
      </c>
      <c r="AC98" s="1" t="n">
        <v>256120</v>
      </c>
    </row>
    <row r="99">
      <c r="A99" s="1" t="inlineStr">
        <is>
          <t>2027BUD_V1</t>
        </is>
      </c>
      <c r="B99" s="1" t="inlineStr">
        <is>
          <t>12</t>
        </is>
      </c>
      <c r="C99" s="1" t="inlineStr">
        <is>
          <t>IPAC_REN</t>
        </is>
      </c>
      <c r="D99" s="1" t="inlineStr">
        <is>
          <t>BAC_CCE</t>
        </is>
      </c>
      <c r="E99" s="1" t="inlineStr">
        <is>
          <t>B2</t>
        </is>
      </c>
      <c r="F99" s="1" t="inlineStr">
        <is>
          <t>ALT</t>
        </is>
      </c>
      <c r="G99" s="1" t="inlineStr">
        <is>
          <t>2025</t>
        </is>
      </c>
      <c r="H99" s="1" t="n">
        <v>0</v>
      </c>
      <c r="I99" s="1" t="n">
        <v>0</v>
      </c>
      <c r="J99" s="1" t="n">
        <v>0</v>
      </c>
      <c r="K99" s="1" t="n">
        <v>0</v>
      </c>
      <c r="L99" s="1" t="n">
        <v>37</v>
      </c>
      <c r="M99" s="1" t="n">
        <v>37</v>
      </c>
      <c r="N99" s="1" t="n">
        <v>38</v>
      </c>
      <c r="O99" s="1" t="n">
        <v>2</v>
      </c>
      <c r="P99" s="1" t="n">
        <v>6650</v>
      </c>
      <c r="Q99" s="1" t="n">
        <v>90</v>
      </c>
      <c r="R99" s="1" t="n">
        <v>0</v>
      </c>
      <c r="S99" s="1" t="n">
        <v>0</v>
      </c>
      <c r="T99" s="1" t="n">
        <v>0</v>
      </c>
      <c r="U99" s="1" t="n">
        <v>0</v>
      </c>
      <c r="V99" s="1" t="n">
        <v>0.973684211</v>
      </c>
      <c r="W99" s="1" t="n">
        <v>0</v>
      </c>
      <c r="X99" s="1" t="n">
        <v>0</v>
      </c>
      <c r="Y99" s="1" t="n">
        <v>0</v>
      </c>
      <c r="Z99" s="1" t="n">
        <v>0</v>
      </c>
      <c r="AA99" s="1" t="n">
        <v>0</v>
      </c>
      <c r="AB99" s="1" t="n">
        <v>0</v>
      </c>
      <c r="AC99" s="1" t="n">
        <v>246050</v>
      </c>
    </row>
    <row r="100">
      <c r="A100" s="1" t="inlineStr">
        <is>
          <t>2027BUD_V1</t>
        </is>
      </c>
      <c r="B100" s="1" t="inlineStr">
        <is>
          <t>12</t>
        </is>
      </c>
      <c r="C100" s="1" t="inlineStr">
        <is>
          <t>IPAC_REN</t>
        </is>
      </c>
      <c r="D100" s="1" t="inlineStr">
        <is>
          <t>BAC_CCE</t>
        </is>
      </c>
      <c r="E100" s="1" t="inlineStr">
        <is>
          <t>B3</t>
        </is>
      </c>
      <c r="F100" s="1" t="inlineStr">
        <is>
          <t>ALT</t>
        </is>
      </c>
      <c r="G100" s="1" t="inlineStr">
        <is>
          <t>2025</t>
        </is>
      </c>
      <c r="H100" s="1" t="n">
        <v>0</v>
      </c>
      <c r="I100" s="1" t="n">
        <v>0</v>
      </c>
      <c r="J100" s="1" t="n">
        <v>0</v>
      </c>
      <c r="K100" s="1" t="n">
        <v>0</v>
      </c>
      <c r="L100" s="1" t="n">
        <v>36</v>
      </c>
      <c r="M100" s="1" t="n">
        <v>36</v>
      </c>
      <c r="N100" s="1" t="n">
        <v>37</v>
      </c>
      <c r="O100" s="1" t="n">
        <v>2</v>
      </c>
      <c r="P100" s="1" t="n">
        <v>6650</v>
      </c>
      <c r="Q100" s="1" t="n">
        <v>90</v>
      </c>
      <c r="R100" s="1" t="n">
        <v>0</v>
      </c>
      <c r="S100" s="1" t="n">
        <v>0</v>
      </c>
      <c r="T100" s="1" t="n">
        <v>0</v>
      </c>
      <c r="U100" s="1" t="n">
        <v>0</v>
      </c>
      <c r="V100" s="1" t="n">
        <v>0.972972973</v>
      </c>
      <c r="W100" s="1" t="n">
        <v>0</v>
      </c>
      <c r="X100" s="1" t="n">
        <v>0</v>
      </c>
      <c r="Y100" s="1" t="n">
        <v>0</v>
      </c>
      <c r="Z100" s="1" t="n">
        <v>0</v>
      </c>
      <c r="AA100" s="1" t="n">
        <v>0</v>
      </c>
      <c r="AB100" s="1" t="n">
        <v>0</v>
      </c>
      <c r="AC100" s="1" t="n">
        <v>239400</v>
      </c>
    </row>
    <row r="101">
      <c r="A101" s="1" t="inlineStr">
        <is>
          <t>2027BUD_V1</t>
        </is>
      </c>
      <c r="B101" s="1" t="inlineStr">
        <is>
          <t>12</t>
        </is>
      </c>
      <c r="C101" s="1" t="inlineStr">
        <is>
          <t>IPAC_MTP</t>
        </is>
      </c>
      <c r="D101" s="1" t="inlineStr">
        <is>
          <t>BAC_CCE</t>
        </is>
      </c>
      <c r="E101" s="1" t="inlineStr">
        <is>
          <t>B1</t>
        </is>
      </c>
      <c r="F101" s="1" t="inlineStr">
        <is>
          <t>ALT</t>
        </is>
      </c>
      <c r="G101" s="1" t="inlineStr">
        <is>
          <t>2025</t>
        </is>
      </c>
      <c r="H101" s="1" t="n">
        <v>642</v>
      </c>
      <c r="I101" s="1" t="n">
        <v>128</v>
      </c>
      <c r="J101" s="1" t="n">
        <v>90</v>
      </c>
      <c r="K101" s="1" t="n">
        <v>38</v>
      </c>
      <c r="L101" s="1" t="n">
        <v>0</v>
      </c>
      <c r="M101" s="1" t="n">
        <v>38</v>
      </c>
      <c r="N101" s="1" t="n">
        <v>0</v>
      </c>
      <c r="O101" s="1" t="n">
        <v>2</v>
      </c>
      <c r="P101" s="1" t="n">
        <v>6650</v>
      </c>
      <c r="Q101" s="1" t="n">
        <v>90</v>
      </c>
      <c r="R101" s="1" t="n">
        <v>237</v>
      </c>
      <c r="S101" s="1" t="n">
        <v>399</v>
      </c>
      <c r="T101" s="1" t="n">
        <v>13798</v>
      </c>
      <c r="U101" s="1" t="n">
        <v>17870</v>
      </c>
      <c r="V101" s="1" t="n">
        <v>0</v>
      </c>
      <c r="W101" s="1" t="n">
        <v>0.199376947</v>
      </c>
      <c r="X101" s="1" t="n">
        <v>0.703125</v>
      </c>
      <c r="Y101" s="1" t="n">
        <v>0.422222222</v>
      </c>
      <c r="Z101" s="1" t="n">
        <v>636</v>
      </c>
      <c r="AA101" s="1" t="n">
        <v>0.372641509</v>
      </c>
      <c r="AB101" s="1" t="n">
        <v>34.581453634</v>
      </c>
      <c r="AC101" s="1" t="n">
        <v>256120</v>
      </c>
    </row>
    <row r="102">
      <c r="A102" s="1" t="inlineStr">
        <is>
          <t>2027BUD_V1</t>
        </is>
      </c>
      <c r="B102" s="1" t="inlineStr">
        <is>
          <t>12</t>
        </is>
      </c>
      <c r="C102" s="1" t="inlineStr">
        <is>
          <t>IPAC_MTP</t>
        </is>
      </c>
      <c r="D102" s="1" t="inlineStr">
        <is>
          <t>BAC_CCE</t>
        </is>
      </c>
      <c r="E102" s="1" t="inlineStr">
        <is>
          <t>B2</t>
        </is>
      </c>
      <c r="F102" s="1" t="inlineStr">
        <is>
          <t>ALT</t>
        </is>
      </c>
      <c r="G102" s="1" t="inlineStr">
        <is>
          <t>2025</t>
        </is>
      </c>
      <c r="H102" s="1" t="n">
        <v>0</v>
      </c>
      <c r="I102" s="1" t="n">
        <v>0</v>
      </c>
      <c r="J102" s="1" t="n">
        <v>0</v>
      </c>
      <c r="K102" s="1" t="n">
        <v>0</v>
      </c>
      <c r="L102" s="1" t="n">
        <v>37</v>
      </c>
      <c r="M102" s="1" t="n">
        <v>37</v>
      </c>
      <c r="N102" s="1" t="n">
        <v>38</v>
      </c>
      <c r="O102" s="1" t="n">
        <v>2</v>
      </c>
      <c r="P102" s="1" t="n">
        <v>6650</v>
      </c>
      <c r="Q102" s="1" t="n">
        <v>90</v>
      </c>
      <c r="R102" s="1" t="n">
        <v>0</v>
      </c>
      <c r="S102" s="1" t="n">
        <v>0</v>
      </c>
      <c r="T102" s="1" t="n">
        <v>0</v>
      </c>
      <c r="U102" s="1" t="n">
        <v>0</v>
      </c>
      <c r="V102" s="1" t="n">
        <v>0.973684211</v>
      </c>
      <c r="W102" s="1" t="n">
        <v>0</v>
      </c>
      <c r="X102" s="1" t="n">
        <v>0</v>
      </c>
      <c r="Y102" s="1" t="n">
        <v>0</v>
      </c>
      <c r="Z102" s="1" t="n">
        <v>0</v>
      </c>
      <c r="AA102" s="1" t="n">
        <v>0</v>
      </c>
      <c r="AB102" s="1" t="n">
        <v>0</v>
      </c>
      <c r="AC102" s="1" t="n">
        <v>246050</v>
      </c>
    </row>
    <row r="103">
      <c r="A103" s="1" t="inlineStr">
        <is>
          <t>2027BUD_V1</t>
        </is>
      </c>
      <c r="B103" s="1" t="inlineStr">
        <is>
          <t>12</t>
        </is>
      </c>
      <c r="C103" s="1" t="inlineStr">
        <is>
          <t>IPAC_MTP</t>
        </is>
      </c>
      <c r="D103" s="1" t="inlineStr">
        <is>
          <t>BAC_CCE</t>
        </is>
      </c>
      <c r="E103" s="1" t="inlineStr">
        <is>
          <t>B3</t>
        </is>
      </c>
      <c r="F103" s="1" t="inlineStr">
        <is>
          <t>ALT</t>
        </is>
      </c>
      <c r="G103" s="1" t="inlineStr">
        <is>
          <t>2025</t>
        </is>
      </c>
      <c r="H103" s="1" t="n">
        <v>0</v>
      </c>
      <c r="I103" s="1" t="n">
        <v>0</v>
      </c>
      <c r="J103" s="1" t="n">
        <v>0</v>
      </c>
      <c r="K103" s="1" t="n">
        <v>0</v>
      </c>
      <c r="L103" s="1" t="n">
        <v>36</v>
      </c>
      <c r="M103" s="1" t="n">
        <v>36</v>
      </c>
      <c r="N103" s="1" t="n">
        <v>37</v>
      </c>
      <c r="O103" s="1" t="n">
        <v>2</v>
      </c>
      <c r="P103" s="1" t="n">
        <v>6650</v>
      </c>
      <c r="Q103" s="1" t="n">
        <v>90</v>
      </c>
      <c r="R103" s="1" t="n">
        <v>0</v>
      </c>
      <c r="S103" s="1" t="n">
        <v>0</v>
      </c>
      <c r="T103" s="1" t="n">
        <v>0</v>
      </c>
      <c r="U103" s="1" t="n">
        <v>0</v>
      </c>
      <c r="V103" s="1" t="n">
        <v>0.972972973</v>
      </c>
      <c r="W103" s="1" t="n">
        <v>0</v>
      </c>
      <c r="X103" s="1" t="n">
        <v>0</v>
      </c>
      <c r="Y103" s="1" t="n">
        <v>0</v>
      </c>
      <c r="Z103" s="1" t="n">
        <v>0</v>
      </c>
      <c r="AA103" s="1" t="n">
        <v>0</v>
      </c>
      <c r="AB103" s="1" t="n">
        <v>0</v>
      </c>
      <c r="AC103" s="1" t="n">
        <v>239400</v>
      </c>
    </row>
    <row r="104">
      <c r="A104" s="1" t="inlineStr">
        <is>
          <t>2027BUD_V1</t>
        </is>
      </c>
      <c r="B104" s="1" t="inlineStr">
        <is>
          <t>12</t>
        </is>
      </c>
      <c r="C104" s="1" t="inlineStr">
        <is>
          <t>PIGIER_LYO</t>
        </is>
      </c>
      <c r="D104" s="1" t="inlineStr">
        <is>
          <t>BTS_GES</t>
        </is>
      </c>
      <c r="E104" s="1" t="inlineStr">
        <is>
          <t>BTS1</t>
        </is>
      </c>
      <c r="F104" s="1" t="inlineStr">
        <is>
          <t>ALT</t>
        </is>
      </c>
      <c r="G104" s="1" t="inlineStr">
        <is>
          <t>2025</t>
        </is>
      </c>
      <c r="H104" s="1" t="n">
        <v>741</v>
      </c>
      <c r="I104" s="1" t="n">
        <v>148</v>
      </c>
      <c r="J104" s="1" t="n">
        <v>104</v>
      </c>
      <c r="K104" s="1" t="n">
        <v>43</v>
      </c>
      <c r="L104" s="1" t="n">
        <v>0</v>
      </c>
      <c r="M104" s="1" t="n">
        <v>43</v>
      </c>
      <c r="N104" s="1" t="n">
        <v>0</v>
      </c>
      <c r="O104" s="1" t="n">
        <v>2</v>
      </c>
      <c r="P104" s="1" t="n">
        <v>6300</v>
      </c>
      <c r="Q104" s="1" t="n">
        <v>90</v>
      </c>
      <c r="R104" s="1" t="n">
        <v>355</v>
      </c>
      <c r="S104" s="1" t="n">
        <v>399</v>
      </c>
      <c r="T104" s="1" t="n">
        <v>16642</v>
      </c>
      <c r="U104" s="1" t="n">
        <v>29976</v>
      </c>
      <c r="V104" s="1" t="n">
        <v>0</v>
      </c>
      <c r="W104" s="1" t="n">
        <v>0.199730094</v>
      </c>
      <c r="X104" s="1" t="n">
        <v>0.702702703</v>
      </c>
      <c r="Y104" s="1" t="n">
        <v>0.413461538</v>
      </c>
      <c r="Z104" s="1" t="n">
        <v>754</v>
      </c>
      <c r="AA104" s="1" t="n">
        <v>0.470822281</v>
      </c>
      <c r="AB104" s="1" t="n">
        <v>41.709273183</v>
      </c>
      <c r="AC104" s="1" t="n">
        <v>274770</v>
      </c>
    </row>
    <row r="105">
      <c r="A105" s="1" t="inlineStr">
        <is>
          <t>2027BUD_V1</t>
        </is>
      </c>
      <c r="B105" s="1" t="inlineStr">
        <is>
          <t>12</t>
        </is>
      </c>
      <c r="C105" s="1" t="inlineStr">
        <is>
          <t>PIGIER_LYO</t>
        </is>
      </c>
      <c r="D105" s="1" t="inlineStr">
        <is>
          <t>BTS_GES</t>
        </is>
      </c>
      <c r="E105" s="1" t="inlineStr">
        <is>
          <t>BTS2</t>
        </is>
      </c>
      <c r="F105" s="1" t="inlineStr">
        <is>
          <t>ALT</t>
        </is>
      </c>
      <c r="G105" s="1" t="inlineStr">
        <is>
          <t>2025</t>
        </is>
      </c>
      <c r="H105" s="1" t="n">
        <v>0</v>
      </c>
      <c r="I105" s="1" t="n">
        <v>0</v>
      </c>
      <c r="J105" s="1" t="n">
        <v>0</v>
      </c>
      <c r="K105" s="1" t="n">
        <v>0</v>
      </c>
      <c r="L105" s="1" t="n">
        <v>42</v>
      </c>
      <c r="M105" s="1" t="n">
        <v>42</v>
      </c>
      <c r="N105" s="1" t="n">
        <v>43</v>
      </c>
      <c r="O105" s="1" t="n">
        <v>2</v>
      </c>
      <c r="P105" s="1" t="n">
        <v>6300</v>
      </c>
      <c r="Q105" s="1" t="n">
        <v>90</v>
      </c>
      <c r="R105" s="1" t="n">
        <v>0</v>
      </c>
      <c r="S105" s="1" t="n">
        <v>0</v>
      </c>
      <c r="T105" s="1" t="n">
        <v>0</v>
      </c>
      <c r="U105" s="1" t="n">
        <v>0</v>
      </c>
      <c r="V105" s="1" t="n">
        <v>0.976744186</v>
      </c>
      <c r="W105" s="1" t="n">
        <v>0</v>
      </c>
      <c r="X105" s="1" t="n">
        <v>0</v>
      </c>
      <c r="Y105" s="1" t="n">
        <v>0</v>
      </c>
      <c r="Z105" s="1" t="n">
        <v>0</v>
      </c>
      <c r="AA105" s="1" t="n">
        <v>0</v>
      </c>
      <c r="AB105" s="1" t="n">
        <v>0</v>
      </c>
      <c r="AC105" s="1" t="n">
        <v>264600</v>
      </c>
    </row>
    <row r="106">
      <c r="A106" s="1" t="inlineStr">
        <is>
          <t>2027BUD_V1</t>
        </is>
      </c>
      <c r="B106" s="1" t="inlineStr">
        <is>
          <t>12</t>
        </is>
      </c>
      <c r="C106" s="1" t="inlineStr">
        <is>
          <t>PIGIER_LYO</t>
        </is>
      </c>
      <c r="D106" s="1" t="inlineStr">
        <is>
          <t>BAC_RH</t>
        </is>
      </c>
      <c r="E106" s="1" t="inlineStr">
        <is>
          <t>B1</t>
        </is>
      </c>
      <c r="F106" s="1" t="inlineStr">
        <is>
          <t>ALT</t>
        </is>
      </c>
      <c r="G106" s="1" t="inlineStr">
        <is>
          <t>2025</t>
        </is>
      </c>
      <c r="H106" s="1" t="n">
        <v>741</v>
      </c>
      <c r="I106" s="1" t="n">
        <v>148</v>
      </c>
      <c r="J106" s="1" t="n">
        <v>104</v>
      </c>
      <c r="K106" s="1" t="n">
        <v>43</v>
      </c>
      <c r="L106" s="1" t="n">
        <v>0</v>
      </c>
      <c r="M106" s="1" t="n">
        <v>43</v>
      </c>
      <c r="N106" s="1" t="n">
        <v>0</v>
      </c>
      <c r="O106" s="1" t="n">
        <v>2</v>
      </c>
      <c r="P106" s="1" t="n">
        <v>7350</v>
      </c>
      <c r="Q106" s="1" t="n">
        <v>90</v>
      </c>
      <c r="R106" s="1" t="n">
        <v>355</v>
      </c>
      <c r="S106" s="1" t="n">
        <v>399</v>
      </c>
      <c r="T106" s="1" t="n">
        <v>16642</v>
      </c>
      <c r="U106" s="1" t="n">
        <v>29977</v>
      </c>
      <c r="V106" s="1" t="n">
        <v>0</v>
      </c>
      <c r="W106" s="1" t="n">
        <v>0.199730094</v>
      </c>
      <c r="X106" s="1" t="n">
        <v>0.702702703</v>
      </c>
      <c r="Y106" s="1" t="n">
        <v>0.413461538</v>
      </c>
      <c r="Z106" s="1" t="n">
        <v>754</v>
      </c>
      <c r="AA106" s="1" t="n">
        <v>0.470822281</v>
      </c>
      <c r="AB106" s="1" t="n">
        <v>41.709273183</v>
      </c>
      <c r="AC106" s="1" t="n">
        <v>319920</v>
      </c>
    </row>
    <row r="107">
      <c r="A107" s="1" t="inlineStr">
        <is>
          <t>2027BUD_V1</t>
        </is>
      </c>
      <c r="B107" s="1" t="inlineStr">
        <is>
          <t>12</t>
        </is>
      </c>
      <c r="C107" s="1" t="inlineStr">
        <is>
          <t>PIGIER_LYO</t>
        </is>
      </c>
      <c r="D107" s="1" t="inlineStr">
        <is>
          <t>BAC_RH</t>
        </is>
      </c>
      <c r="E107" s="1" t="inlineStr">
        <is>
          <t>B3</t>
        </is>
      </c>
      <c r="F107" s="1" t="inlineStr">
        <is>
          <t>ALT</t>
        </is>
      </c>
      <c r="G107" s="1" t="inlineStr">
        <is>
          <t>2025</t>
        </is>
      </c>
      <c r="H107" s="1" t="n">
        <v>0</v>
      </c>
      <c r="I107" s="1" t="n">
        <v>0</v>
      </c>
      <c r="J107" s="1" t="n">
        <v>0</v>
      </c>
      <c r="K107" s="1" t="n">
        <v>0</v>
      </c>
      <c r="L107" s="1" t="n">
        <v>42</v>
      </c>
      <c r="M107" s="1" t="n">
        <v>42</v>
      </c>
      <c r="N107" s="1" t="n">
        <v>43</v>
      </c>
      <c r="O107" s="1" t="n">
        <v>2</v>
      </c>
      <c r="P107" s="1" t="n">
        <v>7350</v>
      </c>
      <c r="Q107" s="1" t="n">
        <v>90</v>
      </c>
      <c r="R107" s="1" t="n">
        <v>0</v>
      </c>
      <c r="S107" s="1" t="n">
        <v>0</v>
      </c>
      <c r="T107" s="1" t="n">
        <v>0</v>
      </c>
      <c r="U107" s="1" t="n">
        <v>0</v>
      </c>
      <c r="V107" s="1" t="n">
        <v>0.976744186</v>
      </c>
      <c r="W107" s="1" t="n">
        <v>0</v>
      </c>
      <c r="X107" s="1" t="n">
        <v>0</v>
      </c>
      <c r="Y107" s="1" t="n">
        <v>0</v>
      </c>
      <c r="Z107" s="1" t="n">
        <v>0</v>
      </c>
      <c r="AA107" s="1" t="n">
        <v>0</v>
      </c>
      <c r="AB107" s="1" t="n">
        <v>0</v>
      </c>
      <c r="AC107" s="1" t="n">
        <v>308700</v>
      </c>
    </row>
    <row r="108">
      <c r="A108" s="1" t="inlineStr">
        <is>
          <t>2027BUD_V1</t>
        </is>
      </c>
      <c r="B108" s="1" t="inlineStr">
        <is>
          <t>12</t>
        </is>
      </c>
      <c r="C108" s="1" t="inlineStr">
        <is>
          <t>PIGIER_BOR</t>
        </is>
      </c>
      <c r="D108" s="1" t="inlineStr">
        <is>
          <t>BTS_GES</t>
        </is>
      </c>
      <c r="E108" s="1" t="inlineStr">
        <is>
          <t>BTS1</t>
        </is>
      </c>
      <c r="F108" s="1" t="inlineStr">
        <is>
          <t>ALT</t>
        </is>
      </c>
      <c r="G108" s="1" t="inlineStr">
        <is>
          <t>2025</t>
        </is>
      </c>
      <c r="H108" s="1" t="n">
        <v>580</v>
      </c>
      <c r="I108" s="1" t="n">
        <v>116</v>
      </c>
      <c r="J108" s="1" t="n">
        <v>81</v>
      </c>
      <c r="K108" s="1" t="n">
        <v>34</v>
      </c>
      <c r="L108" s="1" t="n">
        <v>0</v>
      </c>
      <c r="M108" s="1" t="n">
        <v>34</v>
      </c>
      <c r="N108" s="1" t="n">
        <v>0</v>
      </c>
      <c r="O108" s="1" t="n">
        <v>2</v>
      </c>
      <c r="P108" s="1" t="n">
        <v>5820</v>
      </c>
      <c r="Q108" s="1" t="n">
        <v>90</v>
      </c>
      <c r="R108" s="1" t="n">
        <v>314</v>
      </c>
      <c r="S108" s="1" t="n">
        <v>276</v>
      </c>
      <c r="T108" s="1" t="n">
        <v>9986</v>
      </c>
      <c r="U108" s="1" t="n">
        <v>26636</v>
      </c>
      <c r="V108" s="1" t="n">
        <v>0</v>
      </c>
      <c r="W108" s="1" t="n">
        <v>0.2</v>
      </c>
      <c r="X108" s="1" t="n">
        <v>0.698275862</v>
      </c>
      <c r="Y108" s="1" t="n">
        <v>0.419753086</v>
      </c>
      <c r="Z108" s="1" t="n">
        <v>590</v>
      </c>
      <c r="AA108" s="1" t="n">
        <v>0.5322033900000001</v>
      </c>
      <c r="AB108" s="1" t="n">
        <v>36.18115942</v>
      </c>
      <c r="AC108" s="1" t="n">
        <v>200940</v>
      </c>
    </row>
    <row r="109">
      <c r="A109" s="1" t="inlineStr">
        <is>
          <t>2027BUD_V1</t>
        </is>
      </c>
      <c r="B109" s="1" t="inlineStr">
        <is>
          <t>12</t>
        </is>
      </c>
      <c r="C109" s="1" t="inlineStr">
        <is>
          <t>PIGIER_BOR</t>
        </is>
      </c>
      <c r="D109" s="1" t="inlineStr">
        <is>
          <t>BTS_GES</t>
        </is>
      </c>
      <c r="E109" s="1" t="inlineStr">
        <is>
          <t>BTS2</t>
        </is>
      </c>
      <c r="F109" s="1" t="inlineStr">
        <is>
          <t>ALT</t>
        </is>
      </c>
      <c r="G109" s="1" t="inlineStr">
        <is>
          <t>2025</t>
        </is>
      </c>
      <c r="H109" s="1" t="n">
        <v>0</v>
      </c>
      <c r="I109" s="1" t="n">
        <v>0</v>
      </c>
      <c r="J109" s="1" t="n">
        <v>0</v>
      </c>
      <c r="K109" s="1" t="n">
        <v>0</v>
      </c>
      <c r="L109" s="1" t="n">
        <v>33</v>
      </c>
      <c r="M109" s="1" t="n">
        <v>33</v>
      </c>
      <c r="N109" s="1" t="n">
        <v>34</v>
      </c>
      <c r="O109" s="1" t="n">
        <v>2</v>
      </c>
      <c r="P109" s="1" t="n">
        <v>5820</v>
      </c>
      <c r="Q109" s="1" t="n">
        <v>90</v>
      </c>
      <c r="R109" s="1" t="n">
        <v>0</v>
      </c>
      <c r="S109" s="1" t="n">
        <v>0</v>
      </c>
      <c r="T109" s="1" t="n">
        <v>0</v>
      </c>
      <c r="U109" s="1" t="n">
        <v>0</v>
      </c>
      <c r="V109" s="1" t="n">
        <v>0.970588235</v>
      </c>
      <c r="W109" s="1" t="n">
        <v>0</v>
      </c>
      <c r="X109" s="1" t="n">
        <v>0</v>
      </c>
      <c r="Y109" s="1" t="n">
        <v>0</v>
      </c>
      <c r="Z109" s="1" t="n">
        <v>0</v>
      </c>
      <c r="AA109" s="1" t="n">
        <v>0</v>
      </c>
      <c r="AB109" s="1" t="n">
        <v>0</v>
      </c>
      <c r="AC109" s="1" t="n">
        <v>192060</v>
      </c>
    </row>
    <row r="110">
      <c r="A110" s="1" t="inlineStr">
        <is>
          <t>2027BUD_V1</t>
        </is>
      </c>
      <c r="B110" s="1" t="inlineStr">
        <is>
          <t>12</t>
        </is>
      </c>
      <c r="C110" s="1" t="inlineStr">
        <is>
          <t>PIGIER_BOR</t>
        </is>
      </c>
      <c r="D110" s="1" t="inlineStr">
        <is>
          <t>BAC_RH</t>
        </is>
      </c>
      <c r="E110" s="1" t="inlineStr">
        <is>
          <t>B1</t>
        </is>
      </c>
      <c r="F110" s="1" t="inlineStr">
        <is>
          <t>ALT</t>
        </is>
      </c>
      <c r="G110" s="1" t="inlineStr">
        <is>
          <t>2025</t>
        </is>
      </c>
      <c r="H110" s="1" t="n">
        <v>580</v>
      </c>
      <c r="I110" s="1" t="n">
        <v>116</v>
      </c>
      <c r="J110" s="1" t="n">
        <v>81</v>
      </c>
      <c r="K110" s="1" t="n">
        <v>34</v>
      </c>
      <c r="L110" s="1" t="n">
        <v>0</v>
      </c>
      <c r="M110" s="1" t="n">
        <v>34</v>
      </c>
      <c r="N110" s="1" t="n">
        <v>0</v>
      </c>
      <c r="O110" s="1" t="n">
        <v>2</v>
      </c>
      <c r="P110" s="1" t="n">
        <v>6790</v>
      </c>
      <c r="Q110" s="1" t="n">
        <v>90</v>
      </c>
      <c r="R110" s="1" t="n">
        <v>313</v>
      </c>
      <c r="S110" s="1" t="n">
        <v>276</v>
      </c>
      <c r="T110" s="1" t="n">
        <v>9985</v>
      </c>
      <c r="U110" s="1" t="n">
        <v>26637</v>
      </c>
      <c r="V110" s="1" t="n">
        <v>0</v>
      </c>
      <c r="W110" s="1" t="n">
        <v>0.2</v>
      </c>
      <c r="X110" s="1" t="n">
        <v>0.698275862</v>
      </c>
      <c r="Y110" s="1" t="n">
        <v>0.419753086</v>
      </c>
      <c r="Z110" s="1" t="n">
        <v>589</v>
      </c>
      <c r="AA110" s="1" t="n">
        <v>0.531409168</v>
      </c>
      <c r="AB110" s="1" t="n">
        <v>36.177536232</v>
      </c>
      <c r="AC110" s="1" t="n">
        <v>233920</v>
      </c>
    </row>
    <row r="111">
      <c r="A111" s="1" t="inlineStr">
        <is>
          <t>2027BUD_V1</t>
        </is>
      </c>
      <c r="B111" s="1" t="inlineStr">
        <is>
          <t>12</t>
        </is>
      </c>
      <c r="C111" s="1" t="inlineStr">
        <is>
          <t>PIGIER_BOR</t>
        </is>
      </c>
      <c r="D111" s="1" t="inlineStr">
        <is>
          <t>BAC_RH</t>
        </is>
      </c>
      <c r="E111" s="1" t="inlineStr">
        <is>
          <t>B3</t>
        </is>
      </c>
      <c r="F111" s="1" t="inlineStr">
        <is>
          <t>ALT</t>
        </is>
      </c>
      <c r="G111" s="1" t="inlineStr">
        <is>
          <t>2025</t>
        </is>
      </c>
      <c r="H111" s="1" t="n">
        <v>0</v>
      </c>
      <c r="I111" s="1" t="n">
        <v>0</v>
      </c>
      <c r="J111" s="1" t="n">
        <v>0</v>
      </c>
      <c r="K111" s="1" t="n">
        <v>0</v>
      </c>
      <c r="L111" s="1" t="n">
        <v>33</v>
      </c>
      <c r="M111" s="1" t="n">
        <v>33</v>
      </c>
      <c r="N111" s="1" t="n">
        <v>34</v>
      </c>
      <c r="O111" s="1" t="n">
        <v>2</v>
      </c>
      <c r="P111" s="1" t="n">
        <v>6790</v>
      </c>
      <c r="Q111" s="1" t="n">
        <v>90</v>
      </c>
      <c r="R111" s="1" t="n">
        <v>0</v>
      </c>
      <c r="S111" s="1" t="n">
        <v>0</v>
      </c>
      <c r="T111" s="1" t="n">
        <v>0</v>
      </c>
      <c r="U111" s="1" t="n">
        <v>0</v>
      </c>
      <c r="V111" s="1" t="n">
        <v>0.970588235</v>
      </c>
      <c r="W111" s="1" t="n">
        <v>0</v>
      </c>
      <c r="X111" s="1" t="n">
        <v>0</v>
      </c>
      <c r="Y111" s="1" t="n">
        <v>0</v>
      </c>
      <c r="Z111" s="1" t="n">
        <v>0</v>
      </c>
      <c r="AA111" s="1" t="n">
        <v>0</v>
      </c>
      <c r="AB111" s="1" t="n">
        <v>0</v>
      </c>
      <c r="AC111" s="1" t="n">
        <v>224070</v>
      </c>
    </row>
    <row r="112">
      <c r="A112" s="1" t="inlineStr">
        <is>
          <t>2027BUD_V1</t>
        </is>
      </c>
      <c r="B112" s="1" t="inlineStr">
        <is>
          <t>12</t>
        </is>
      </c>
      <c r="C112" s="1" t="inlineStr">
        <is>
          <t>TUNON_PAR</t>
        </is>
      </c>
      <c r="D112" s="1" t="inlineStr">
        <is>
          <t>BAC_TOU</t>
        </is>
      </c>
      <c r="E112" s="1" t="inlineStr">
        <is>
          <t>B1</t>
        </is>
      </c>
      <c r="F112" s="1" t="inlineStr">
        <is>
          <t>ALT</t>
        </is>
      </c>
      <c r="G112" s="1" t="inlineStr">
        <is>
          <t>2025</t>
        </is>
      </c>
      <c r="H112" s="1" t="n">
        <v>755</v>
      </c>
      <c r="I112" s="1" t="n">
        <v>151</v>
      </c>
      <c r="J112" s="1" t="n">
        <v>106</v>
      </c>
      <c r="K112" s="1" t="n">
        <v>44</v>
      </c>
      <c r="L112" s="1" t="n">
        <v>0</v>
      </c>
      <c r="M112" s="1" t="n">
        <v>44</v>
      </c>
      <c r="N112" s="1" t="n">
        <v>0</v>
      </c>
      <c r="O112" s="1" t="n">
        <v>2</v>
      </c>
      <c r="P112" s="1" t="n">
        <v>7840</v>
      </c>
      <c r="Q112" s="1" t="n">
        <v>90</v>
      </c>
      <c r="R112" s="1" t="n">
        <v>235</v>
      </c>
      <c r="S112" s="1" t="n">
        <v>538</v>
      </c>
      <c r="T112" s="1" t="n">
        <v>27491</v>
      </c>
      <c r="U112" s="1" t="n">
        <v>20429</v>
      </c>
      <c r="V112" s="1" t="n">
        <v>0</v>
      </c>
      <c r="W112" s="1" t="n">
        <v>0.2</v>
      </c>
      <c r="X112" s="1" t="n">
        <v>0.701986755</v>
      </c>
      <c r="Y112" s="1" t="n">
        <v>0.41509434</v>
      </c>
      <c r="Z112" s="1" t="n">
        <v>773</v>
      </c>
      <c r="AA112" s="1" t="n">
        <v>0.304010349</v>
      </c>
      <c r="AB112" s="1" t="n">
        <v>51.098513011</v>
      </c>
      <c r="AC112" s="1" t="n">
        <v>348920</v>
      </c>
    </row>
    <row r="113">
      <c r="A113" s="1" t="inlineStr">
        <is>
          <t>2027BUD_V1</t>
        </is>
      </c>
      <c r="B113" s="1" t="inlineStr">
        <is>
          <t>12</t>
        </is>
      </c>
      <c r="C113" s="1" t="inlineStr">
        <is>
          <t>TUNON_PAR</t>
        </is>
      </c>
      <c r="D113" s="1" t="inlineStr">
        <is>
          <t>BAC_TOU</t>
        </is>
      </c>
      <c r="E113" s="1" t="inlineStr">
        <is>
          <t>B2</t>
        </is>
      </c>
      <c r="F113" s="1" t="inlineStr">
        <is>
          <t>ALT</t>
        </is>
      </c>
      <c r="G113" s="1" t="inlineStr">
        <is>
          <t>2025</t>
        </is>
      </c>
      <c r="H113" s="1" t="n">
        <v>0</v>
      </c>
      <c r="I113" s="1" t="n">
        <v>0</v>
      </c>
      <c r="J113" s="1" t="n">
        <v>0</v>
      </c>
      <c r="K113" s="1" t="n">
        <v>0</v>
      </c>
      <c r="L113" s="1" t="n">
        <v>43</v>
      </c>
      <c r="M113" s="1" t="n">
        <v>43</v>
      </c>
      <c r="N113" s="1" t="n">
        <v>44</v>
      </c>
      <c r="O113" s="1" t="n">
        <v>2</v>
      </c>
      <c r="P113" s="1" t="n">
        <v>7840</v>
      </c>
      <c r="Q113" s="1" t="n">
        <v>90</v>
      </c>
      <c r="R113" s="1" t="n">
        <v>0</v>
      </c>
      <c r="S113" s="1" t="n">
        <v>0</v>
      </c>
      <c r="T113" s="1" t="n">
        <v>0</v>
      </c>
      <c r="U113" s="1" t="n">
        <v>0</v>
      </c>
      <c r="V113" s="1" t="n">
        <v>0.977272727</v>
      </c>
      <c r="W113" s="1" t="n">
        <v>0</v>
      </c>
      <c r="X113" s="1" t="n">
        <v>0</v>
      </c>
      <c r="Y113" s="1" t="n">
        <v>0</v>
      </c>
      <c r="Z113" s="1" t="n">
        <v>0</v>
      </c>
      <c r="AA113" s="1" t="n">
        <v>0</v>
      </c>
      <c r="AB113" s="1" t="n">
        <v>0</v>
      </c>
      <c r="AC113" s="1" t="n">
        <v>337120</v>
      </c>
    </row>
    <row r="114">
      <c r="A114" s="1" t="inlineStr">
        <is>
          <t>2027BUD_V1</t>
        </is>
      </c>
      <c r="B114" s="1" t="inlineStr">
        <is>
          <t>12</t>
        </is>
      </c>
      <c r="C114" s="1" t="inlineStr">
        <is>
          <t>TUNON_PAR</t>
        </is>
      </c>
      <c r="D114" s="1" t="inlineStr">
        <is>
          <t>BAC_TOU</t>
        </is>
      </c>
      <c r="E114" s="1" t="inlineStr">
        <is>
          <t>B3</t>
        </is>
      </c>
      <c r="F114" s="1" t="inlineStr">
        <is>
          <t>ALT</t>
        </is>
      </c>
      <c r="G114" s="1" t="inlineStr">
        <is>
          <t>2025</t>
        </is>
      </c>
      <c r="H114" s="1" t="n">
        <v>0</v>
      </c>
      <c r="I114" s="1" t="n">
        <v>0</v>
      </c>
      <c r="J114" s="1" t="n">
        <v>0</v>
      </c>
      <c r="K114" s="1" t="n">
        <v>0</v>
      </c>
      <c r="L114" s="1" t="n">
        <v>42</v>
      </c>
      <c r="M114" s="1" t="n">
        <v>42</v>
      </c>
      <c r="N114" s="1" t="n">
        <v>43</v>
      </c>
      <c r="O114" s="1" t="n">
        <v>2</v>
      </c>
      <c r="P114" s="1" t="n">
        <v>7840</v>
      </c>
      <c r="Q114" s="1" t="n">
        <v>90</v>
      </c>
      <c r="R114" s="1" t="n">
        <v>0</v>
      </c>
      <c r="S114" s="1" t="n">
        <v>0</v>
      </c>
      <c r="T114" s="1" t="n">
        <v>0</v>
      </c>
      <c r="U114" s="1" t="n">
        <v>0</v>
      </c>
      <c r="V114" s="1" t="n">
        <v>0.976744186</v>
      </c>
      <c r="W114" s="1" t="n">
        <v>0</v>
      </c>
      <c r="X114" s="1" t="n">
        <v>0</v>
      </c>
      <c r="Y114" s="1" t="n">
        <v>0</v>
      </c>
      <c r="Z114" s="1" t="n">
        <v>0</v>
      </c>
      <c r="AA114" s="1" t="n">
        <v>0</v>
      </c>
      <c r="AB114" s="1" t="n">
        <v>0</v>
      </c>
      <c r="AC114" s="1" t="n">
        <v>329280</v>
      </c>
    </row>
    <row r="115">
      <c r="A115" s="1" t="inlineStr">
        <is>
          <t>2027BUD_V1</t>
        </is>
      </c>
      <c r="B115" s="1" t="inlineStr">
        <is>
          <t>12</t>
        </is>
      </c>
      <c r="C115" s="1" t="inlineStr">
        <is>
          <t>TUNON_LYO</t>
        </is>
      </c>
      <c r="D115" s="1" t="inlineStr">
        <is>
          <t>BAC_TOU</t>
        </is>
      </c>
      <c r="E115" s="1" t="inlineStr">
        <is>
          <t>B1</t>
        </is>
      </c>
      <c r="F115" s="1" t="inlineStr">
        <is>
          <t>ALT</t>
        </is>
      </c>
      <c r="G115" s="1" t="inlineStr">
        <is>
          <t>2025</t>
        </is>
      </c>
      <c r="H115" s="1" t="n">
        <v>642</v>
      </c>
      <c r="I115" s="1" t="n">
        <v>128</v>
      </c>
      <c r="J115" s="1" t="n">
        <v>90</v>
      </c>
      <c r="K115" s="1" t="n">
        <v>38</v>
      </c>
      <c r="L115" s="1" t="n">
        <v>0</v>
      </c>
      <c r="M115" s="1" t="n">
        <v>38</v>
      </c>
      <c r="N115" s="1" t="n">
        <v>0</v>
      </c>
      <c r="O115" s="1" t="n">
        <v>2</v>
      </c>
      <c r="P115" s="1" t="n">
        <v>7350</v>
      </c>
      <c r="Q115" s="1" t="n">
        <v>90</v>
      </c>
      <c r="R115" s="1" t="n">
        <v>247</v>
      </c>
      <c r="S115" s="1" t="n">
        <v>410</v>
      </c>
      <c r="T115" s="1" t="n">
        <v>17136</v>
      </c>
      <c r="U115" s="1" t="n">
        <v>21550</v>
      </c>
      <c r="V115" s="1" t="n">
        <v>0</v>
      </c>
      <c r="W115" s="1" t="n">
        <v>0.199376947</v>
      </c>
      <c r="X115" s="1" t="n">
        <v>0.703125</v>
      </c>
      <c r="Y115" s="1" t="n">
        <v>0.422222222</v>
      </c>
      <c r="Z115" s="1" t="n">
        <v>657</v>
      </c>
      <c r="AA115" s="1" t="n">
        <v>0.375951294</v>
      </c>
      <c r="AB115" s="1" t="n">
        <v>41.795121951</v>
      </c>
      <c r="AC115" s="1" t="n">
        <v>282720</v>
      </c>
    </row>
    <row r="116">
      <c r="A116" s="1" t="inlineStr">
        <is>
          <t>2027BUD_V1</t>
        </is>
      </c>
      <c r="B116" s="1" t="inlineStr">
        <is>
          <t>12</t>
        </is>
      </c>
      <c r="C116" s="1" t="inlineStr">
        <is>
          <t>TUNON_LYO</t>
        </is>
      </c>
      <c r="D116" s="1" t="inlineStr">
        <is>
          <t>BAC_TOU</t>
        </is>
      </c>
      <c r="E116" s="1" t="inlineStr">
        <is>
          <t>B2</t>
        </is>
      </c>
      <c r="F116" s="1" t="inlineStr">
        <is>
          <t>ALT</t>
        </is>
      </c>
      <c r="G116" s="1" t="inlineStr">
        <is>
          <t>2025</t>
        </is>
      </c>
      <c r="H116" s="1" t="n">
        <v>0</v>
      </c>
      <c r="I116" s="1" t="n">
        <v>0</v>
      </c>
      <c r="J116" s="1" t="n">
        <v>0</v>
      </c>
      <c r="K116" s="1" t="n">
        <v>0</v>
      </c>
      <c r="L116" s="1" t="n">
        <v>37</v>
      </c>
      <c r="M116" s="1" t="n">
        <v>37</v>
      </c>
      <c r="N116" s="1" t="n">
        <v>38</v>
      </c>
      <c r="O116" s="1" t="n">
        <v>2</v>
      </c>
      <c r="P116" s="1" t="n">
        <v>7350</v>
      </c>
      <c r="Q116" s="1" t="n">
        <v>90</v>
      </c>
      <c r="R116" s="1" t="n">
        <v>0</v>
      </c>
      <c r="S116" s="1" t="n">
        <v>0</v>
      </c>
      <c r="T116" s="1" t="n">
        <v>0</v>
      </c>
      <c r="U116" s="1" t="n">
        <v>0</v>
      </c>
      <c r="V116" s="1" t="n">
        <v>0.973684211</v>
      </c>
      <c r="W116" s="1" t="n">
        <v>0</v>
      </c>
      <c r="X116" s="1" t="n">
        <v>0</v>
      </c>
      <c r="Y116" s="1" t="n">
        <v>0</v>
      </c>
      <c r="Z116" s="1" t="n">
        <v>0</v>
      </c>
      <c r="AA116" s="1" t="n">
        <v>0</v>
      </c>
      <c r="AB116" s="1" t="n">
        <v>0</v>
      </c>
      <c r="AC116" s="1" t="n">
        <v>271950</v>
      </c>
    </row>
    <row r="117">
      <c r="A117" s="1" t="inlineStr">
        <is>
          <t>2027BUD_V1</t>
        </is>
      </c>
      <c r="B117" s="1" t="inlineStr">
        <is>
          <t>12</t>
        </is>
      </c>
      <c r="C117" s="1" t="inlineStr">
        <is>
          <t>TUNON_LYO</t>
        </is>
      </c>
      <c r="D117" s="1" t="inlineStr">
        <is>
          <t>BAC_TOU</t>
        </is>
      </c>
      <c r="E117" s="1" t="inlineStr">
        <is>
          <t>B3</t>
        </is>
      </c>
      <c r="F117" s="1" t="inlineStr">
        <is>
          <t>ALT</t>
        </is>
      </c>
      <c r="G117" s="1" t="inlineStr">
        <is>
          <t>2025</t>
        </is>
      </c>
      <c r="H117" s="1" t="n">
        <v>0</v>
      </c>
      <c r="I117" s="1" t="n">
        <v>0</v>
      </c>
      <c r="J117" s="1" t="n">
        <v>0</v>
      </c>
      <c r="K117" s="1" t="n">
        <v>0</v>
      </c>
      <c r="L117" s="1" t="n">
        <v>36</v>
      </c>
      <c r="M117" s="1" t="n">
        <v>36</v>
      </c>
      <c r="N117" s="1" t="n">
        <v>37</v>
      </c>
      <c r="O117" s="1" t="n">
        <v>2</v>
      </c>
      <c r="P117" s="1" t="n">
        <v>7350</v>
      </c>
      <c r="Q117" s="1" t="n">
        <v>90</v>
      </c>
      <c r="R117" s="1" t="n">
        <v>0</v>
      </c>
      <c r="S117" s="1" t="n">
        <v>0</v>
      </c>
      <c r="T117" s="1" t="n">
        <v>0</v>
      </c>
      <c r="U117" s="1" t="n">
        <v>0</v>
      </c>
      <c r="V117" s="1" t="n">
        <v>0.972972973</v>
      </c>
      <c r="W117" s="1" t="n">
        <v>0</v>
      </c>
      <c r="X117" s="1" t="n">
        <v>0</v>
      </c>
      <c r="Y117" s="1" t="n">
        <v>0</v>
      </c>
      <c r="Z117" s="1" t="n">
        <v>0</v>
      </c>
      <c r="AA117" s="1" t="n">
        <v>0</v>
      </c>
      <c r="AB117" s="1" t="n">
        <v>0</v>
      </c>
      <c r="AC117" s="1" t="n">
        <v>264600</v>
      </c>
    </row>
    <row r="118">
      <c r="A118" s="1" t="inlineStr">
        <is>
          <t>2027BUD_V1</t>
        </is>
      </c>
      <c r="B118" s="1" t="inlineStr">
        <is>
          <t>12</t>
        </is>
      </c>
      <c r="C118" s="1" t="inlineStr">
        <is>
          <t>MBWAY_PAR</t>
        </is>
      </c>
      <c r="D118" s="1" t="inlineStr">
        <is>
          <t>BAC_MGT</t>
        </is>
      </c>
      <c r="E118" s="1" t="inlineStr">
        <is>
          <t>B1</t>
        </is>
      </c>
      <c r="F118" s="1" t="inlineStr">
        <is>
          <t>INIT</t>
        </is>
      </c>
      <c r="G118" s="1" t="inlineStr">
        <is>
          <t>2024</t>
        </is>
      </c>
      <c r="H118" s="1" t="n">
        <v>575</v>
      </c>
      <c r="I118" s="1" t="n">
        <v>161</v>
      </c>
      <c r="J118" s="1" t="n">
        <v>116</v>
      </c>
      <c r="K118" s="1" t="n">
        <v>69</v>
      </c>
      <c r="L118" s="1" t="n">
        <v>0</v>
      </c>
      <c r="M118" s="1" t="n">
        <v>69</v>
      </c>
      <c r="N118" s="1" t="n">
        <v>0</v>
      </c>
      <c r="O118" s="1" t="n">
        <v>3</v>
      </c>
      <c r="P118" s="1" t="n">
        <v>8400</v>
      </c>
      <c r="Q118" s="1" t="n">
        <v>90</v>
      </c>
      <c r="R118" s="1" t="n">
        <v>203</v>
      </c>
      <c r="S118" s="1" t="n">
        <v>379</v>
      </c>
      <c r="T118" s="1" t="n">
        <v>18451</v>
      </c>
      <c r="U118" s="1" t="n">
        <v>13653</v>
      </c>
      <c r="V118" s="1" t="n">
        <v>0</v>
      </c>
      <c r="W118" s="1" t="n">
        <v>0.28</v>
      </c>
      <c r="X118" s="1" t="n">
        <v>0.7204968940000001</v>
      </c>
      <c r="Y118" s="1" t="n">
        <v>0.594827586</v>
      </c>
      <c r="Z118" s="1" t="n">
        <v>582</v>
      </c>
      <c r="AA118" s="1" t="n">
        <v>0.348797251</v>
      </c>
      <c r="AB118" s="1" t="n">
        <v>48.683377309</v>
      </c>
      <c r="AC118" s="1" t="n">
        <v>585810</v>
      </c>
    </row>
    <row r="119">
      <c r="A119" s="1" t="inlineStr">
        <is>
          <t>2027BUD_V1</t>
        </is>
      </c>
      <c r="B119" s="1" t="inlineStr">
        <is>
          <t>12</t>
        </is>
      </c>
      <c r="C119" s="1" t="inlineStr">
        <is>
          <t>MBWAY_PAR</t>
        </is>
      </c>
      <c r="D119" s="1" t="inlineStr">
        <is>
          <t>BAC_MGT</t>
        </is>
      </c>
      <c r="E119" s="1" t="inlineStr">
        <is>
          <t>B2</t>
        </is>
      </c>
      <c r="F119" s="1" t="inlineStr">
        <is>
          <t>ALT</t>
        </is>
      </c>
      <c r="G119" s="1" t="inlineStr">
        <is>
          <t>2024</t>
        </is>
      </c>
      <c r="H119" s="1" t="n">
        <v>0</v>
      </c>
      <c r="I119" s="1" t="n">
        <v>0</v>
      </c>
      <c r="J119" s="1" t="n">
        <v>0</v>
      </c>
      <c r="K119" s="1" t="n">
        <v>0</v>
      </c>
      <c r="L119" s="1" t="n">
        <v>68</v>
      </c>
      <c r="M119" s="1" t="n">
        <v>68</v>
      </c>
      <c r="N119" s="1" t="n">
        <v>69</v>
      </c>
      <c r="O119" s="1" t="n">
        <v>3</v>
      </c>
      <c r="P119" s="1" t="n">
        <v>7840</v>
      </c>
      <c r="Q119" s="1" t="n">
        <v>90</v>
      </c>
      <c r="R119" s="1" t="n">
        <v>0</v>
      </c>
      <c r="S119" s="1" t="n">
        <v>0</v>
      </c>
      <c r="T119" s="1" t="n">
        <v>0</v>
      </c>
      <c r="U119" s="1" t="n">
        <v>0</v>
      </c>
      <c r="V119" s="1" t="n">
        <v>0.9855072459999999</v>
      </c>
      <c r="W119" s="1" t="n">
        <v>0</v>
      </c>
      <c r="X119" s="1" t="n">
        <v>0</v>
      </c>
      <c r="Y119" s="1" t="n">
        <v>0</v>
      </c>
      <c r="Z119" s="1" t="n">
        <v>0</v>
      </c>
      <c r="AA119" s="1" t="n">
        <v>0</v>
      </c>
      <c r="AB119" s="1" t="n">
        <v>0</v>
      </c>
      <c r="AC119" s="1" t="n">
        <v>533120</v>
      </c>
    </row>
    <row r="120">
      <c r="A120" s="1" t="inlineStr">
        <is>
          <t>2027BUD_V1</t>
        </is>
      </c>
      <c r="B120" s="1" t="inlineStr">
        <is>
          <t>12</t>
        </is>
      </c>
      <c r="C120" s="1" t="inlineStr">
        <is>
          <t>MBWAY_PAR</t>
        </is>
      </c>
      <c r="D120" s="1" t="inlineStr">
        <is>
          <t>BAC_MGT</t>
        </is>
      </c>
      <c r="E120" s="1" t="inlineStr">
        <is>
          <t>B3</t>
        </is>
      </c>
      <c r="F120" s="1" t="inlineStr">
        <is>
          <t>ALT</t>
        </is>
      </c>
      <c r="G120" s="1" t="inlineStr">
        <is>
          <t>2024</t>
        </is>
      </c>
      <c r="H120" s="1" t="n">
        <v>0</v>
      </c>
      <c r="I120" s="1" t="n">
        <v>0</v>
      </c>
      <c r="J120" s="1" t="n">
        <v>0</v>
      </c>
      <c r="K120" s="1" t="n">
        <v>0</v>
      </c>
      <c r="L120" s="1" t="n">
        <v>66</v>
      </c>
      <c r="M120" s="1" t="n">
        <v>66</v>
      </c>
      <c r="N120" s="1" t="n">
        <v>68</v>
      </c>
      <c r="O120" s="1" t="n">
        <v>3</v>
      </c>
      <c r="P120" s="1" t="n">
        <v>7840</v>
      </c>
      <c r="Q120" s="1" t="n">
        <v>90</v>
      </c>
      <c r="R120" s="1" t="n">
        <v>0</v>
      </c>
      <c r="S120" s="1" t="n">
        <v>0</v>
      </c>
      <c r="T120" s="1" t="n">
        <v>0</v>
      </c>
      <c r="U120" s="1" t="n">
        <v>0</v>
      </c>
      <c r="V120" s="1" t="n">
        <v>0.970588235</v>
      </c>
      <c r="W120" s="1" t="n">
        <v>0</v>
      </c>
      <c r="X120" s="1" t="n">
        <v>0</v>
      </c>
      <c r="Y120" s="1" t="n">
        <v>0</v>
      </c>
      <c r="Z120" s="1" t="n">
        <v>0</v>
      </c>
      <c r="AA120" s="1" t="n">
        <v>0</v>
      </c>
      <c r="AB120" s="1" t="n">
        <v>0</v>
      </c>
      <c r="AC120" s="1" t="n">
        <v>517440</v>
      </c>
    </row>
    <row r="121">
      <c r="A121" s="1" t="inlineStr">
        <is>
          <t>2027BUD_V1</t>
        </is>
      </c>
      <c r="B121" s="1" t="inlineStr">
        <is>
          <t>12</t>
        </is>
      </c>
      <c r="C121" s="1" t="inlineStr">
        <is>
          <t>MBWAY_PAR</t>
        </is>
      </c>
      <c r="D121" s="1" t="inlineStr">
        <is>
          <t>MAS_MGT</t>
        </is>
      </c>
      <c r="E121" s="1" t="inlineStr">
        <is>
          <t>M1</t>
        </is>
      </c>
      <c r="F121" s="1" t="inlineStr">
        <is>
          <t>ALT</t>
        </is>
      </c>
      <c r="G121" s="1" t="inlineStr">
        <is>
          <t>2024</t>
        </is>
      </c>
      <c r="H121" s="1" t="n">
        <v>1184</v>
      </c>
      <c r="I121" s="1" t="n">
        <v>237</v>
      </c>
      <c r="J121" s="1" t="n">
        <v>166</v>
      </c>
      <c r="K121" s="1" t="n">
        <v>69</v>
      </c>
      <c r="L121" s="1" t="n">
        <v>0</v>
      </c>
      <c r="M121" s="1" t="n">
        <v>69</v>
      </c>
      <c r="N121" s="1" t="n">
        <v>0</v>
      </c>
      <c r="O121" s="1" t="n">
        <v>3</v>
      </c>
      <c r="P121" s="1" t="n">
        <v>8400</v>
      </c>
      <c r="Q121" s="1" t="n">
        <v>90</v>
      </c>
      <c r="R121" s="1" t="n">
        <v>418</v>
      </c>
      <c r="S121" s="1" t="n">
        <v>779</v>
      </c>
      <c r="T121" s="1" t="n">
        <v>37987</v>
      </c>
      <c r="U121" s="1" t="n">
        <v>28108</v>
      </c>
      <c r="V121" s="1" t="n">
        <v>0</v>
      </c>
      <c r="W121" s="1" t="n">
        <v>0.200168919</v>
      </c>
      <c r="X121" s="1" t="n">
        <v>0.700421941</v>
      </c>
      <c r="Y121" s="1" t="n">
        <v>0.415662651</v>
      </c>
      <c r="Z121" s="1" t="n">
        <v>1197</v>
      </c>
      <c r="AA121" s="1" t="n">
        <v>0.349206349</v>
      </c>
      <c r="AB121" s="1" t="n">
        <v>48.763799743</v>
      </c>
      <c r="AC121" s="1" t="n">
        <v>585810</v>
      </c>
    </row>
    <row r="122">
      <c r="A122" s="1" t="inlineStr">
        <is>
          <t>2027BUD_V1</t>
        </is>
      </c>
      <c r="B122" s="1" t="inlineStr">
        <is>
          <t>12</t>
        </is>
      </c>
      <c r="C122" s="1" t="inlineStr">
        <is>
          <t>MBWAY_PAR</t>
        </is>
      </c>
      <c r="D122" s="1" t="inlineStr">
        <is>
          <t>MAS_MGT</t>
        </is>
      </c>
      <c r="E122" s="1" t="inlineStr">
        <is>
          <t>M2</t>
        </is>
      </c>
      <c r="F122" s="1" t="inlineStr">
        <is>
          <t>ALT</t>
        </is>
      </c>
      <c r="G122" s="1" t="inlineStr">
        <is>
          <t>2024</t>
        </is>
      </c>
      <c r="H122" s="1" t="n">
        <v>0</v>
      </c>
      <c r="I122" s="1" t="n">
        <v>0</v>
      </c>
      <c r="J122" s="1" t="n">
        <v>0</v>
      </c>
      <c r="K122" s="1" t="n">
        <v>0</v>
      </c>
      <c r="L122" s="1" t="n">
        <v>68</v>
      </c>
      <c r="M122" s="1" t="n">
        <v>68</v>
      </c>
      <c r="N122" s="1" t="n">
        <v>69</v>
      </c>
      <c r="O122" s="1" t="n">
        <v>3</v>
      </c>
      <c r="P122" s="1" t="n">
        <v>8400</v>
      </c>
      <c r="Q122" s="1" t="n">
        <v>90</v>
      </c>
      <c r="R122" s="1" t="n">
        <v>0</v>
      </c>
      <c r="S122" s="1" t="n">
        <v>0</v>
      </c>
      <c r="T122" s="1" t="n">
        <v>0</v>
      </c>
      <c r="U122" s="1" t="n">
        <v>0</v>
      </c>
      <c r="V122" s="1" t="n">
        <v>0.9855072459999999</v>
      </c>
      <c r="W122" s="1" t="n">
        <v>0</v>
      </c>
      <c r="X122" s="1" t="n">
        <v>0</v>
      </c>
      <c r="Y122" s="1" t="n">
        <v>0</v>
      </c>
      <c r="Z122" s="1" t="n">
        <v>0</v>
      </c>
      <c r="AA122" s="1" t="n">
        <v>0</v>
      </c>
      <c r="AB122" s="1" t="n">
        <v>0</v>
      </c>
      <c r="AC122" s="1" t="n">
        <v>571200</v>
      </c>
    </row>
    <row r="123">
      <c r="A123" s="1" t="inlineStr">
        <is>
          <t>2027BUD_V1</t>
        </is>
      </c>
      <c r="B123" s="1" t="inlineStr">
        <is>
          <t>12</t>
        </is>
      </c>
      <c r="C123" s="1" t="inlineStr">
        <is>
          <t>MBWAY_LYO</t>
        </is>
      </c>
      <c r="D123" s="1" t="inlineStr">
        <is>
          <t>BAC_MGT</t>
        </is>
      </c>
      <c r="E123" s="1" t="inlineStr">
        <is>
          <t>B1</t>
        </is>
      </c>
      <c r="F123" s="1" t="inlineStr">
        <is>
          <t>INIT</t>
        </is>
      </c>
      <c r="G123" s="1" t="inlineStr">
        <is>
          <t>2024</t>
        </is>
      </c>
      <c r="H123" s="1" t="n">
        <v>486</v>
      </c>
      <c r="I123" s="1" t="n">
        <v>136</v>
      </c>
      <c r="J123" s="1" t="n">
        <v>98</v>
      </c>
      <c r="K123" s="1" t="n">
        <v>59</v>
      </c>
      <c r="L123" s="1" t="n">
        <v>0</v>
      </c>
      <c r="M123" s="1" t="n">
        <v>59</v>
      </c>
      <c r="N123" s="1" t="n">
        <v>0</v>
      </c>
      <c r="O123" s="1" t="n">
        <v>3</v>
      </c>
      <c r="P123" s="1" t="n">
        <v>7875</v>
      </c>
      <c r="Q123" s="1" t="n">
        <v>90</v>
      </c>
      <c r="R123" s="1" t="n">
        <v>205</v>
      </c>
      <c r="S123" s="1" t="n">
        <v>283</v>
      </c>
      <c r="T123" s="1" t="n">
        <v>11317</v>
      </c>
      <c r="U123" s="1" t="n">
        <v>14174</v>
      </c>
      <c r="V123" s="1" t="n">
        <v>0</v>
      </c>
      <c r="W123" s="1" t="n">
        <v>0.279835391</v>
      </c>
      <c r="X123" s="1" t="n">
        <v>0.720588235</v>
      </c>
      <c r="Y123" s="1" t="n">
        <v>0.602040816</v>
      </c>
      <c r="Z123" s="1" t="n">
        <v>488</v>
      </c>
      <c r="AA123" s="1" t="n">
        <v>0.420081967</v>
      </c>
      <c r="AB123" s="1" t="n">
        <v>39.989399293</v>
      </c>
      <c r="AC123" s="1" t="n">
        <v>469935</v>
      </c>
    </row>
    <row r="124">
      <c r="A124" s="1" t="inlineStr">
        <is>
          <t>2027BUD_V1</t>
        </is>
      </c>
      <c r="B124" s="1" t="inlineStr">
        <is>
          <t>12</t>
        </is>
      </c>
      <c r="C124" s="1" t="inlineStr">
        <is>
          <t>MBWAY_LYO</t>
        </is>
      </c>
      <c r="D124" s="1" t="inlineStr">
        <is>
          <t>BAC_MGT</t>
        </is>
      </c>
      <c r="E124" s="1" t="inlineStr">
        <is>
          <t>B2</t>
        </is>
      </c>
      <c r="F124" s="1" t="inlineStr">
        <is>
          <t>ALT</t>
        </is>
      </c>
      <c r="G124" s="1" t="inlineStr">
        <is>
          <t>2024</t>
        </is>
      </c>
      <c r="H124" s="1" t="n">
        <v>0</v>
      </c>
      <c r="I124" s="1" t="n">
        <v>0</v>
      </c>
      <c r="J124" s="1" t="n">
        <v>0</v>
      </c>
      <c r="K124" s="1" t="n">
        <v>0</v>
      </c>
      <c r="L124" s="1" t="n">
        <v>57</v>
      </c>
      <c r="M124" s="1" t="n">
        <v>57</v>
      </c>
      <c r="N124" s="1" t="n">
        <v>59</v>
      </c>
      <c r="O124" s="1" t="n">
        <v>2</v>
      </c>
      <c r="P124" s="1" t="n">
        <v>7350</v>
      </c>
      <c r="Q124" s="1" t="n">
        <v>90</v>
      </c>
      <c r="R124" s="1" t="n">
        <v>0</v>
      </c>
      <c r="S124" s="1" t="n">
        <v>0</v>
      </c>
      <c r="T124" s="1" t="n">
        <v>0</v>
      </c>
      <c r="U124" s="1" t="n">
        <v>0</v>
      </c>
      <c r="V124" s="1" t="n">
        <v>0.966101695</v>
      </c>
      <c r="W124" s="1" t="n">
        <v>0</v>
      </c>
      <c r="X124" s="1" t="n">
        <v>0</v>
      </c>
      <c r="Y124" s="1" t="n">
        <v>0</v>
      </c>
      <c r="Z124" s="1" t="n">
        <v>0</v>
      </c>
      <c r="AA124" s="1" t="n">
        <v>0</v>
      </c>
      <c r="AB124" s="1" t="n">
        <v>0</v>
      </c>
      <c r="AC124" s="1" t="n">
        <v>418950</v>
      </c>
    </row>
    <row r="125">
      <c r="A125" s="1" t="inlineStr">
        <is>
          <t>2027BUD_V1</t>
        </is>
      </c>
      <c r="B125" s="1" t="inlineStr">
        <is>
          <t>12</t>
        </is>
      </c>
      <c r="C125" s="1" t="inlineStr">
        <is>
          <t>MBWAY_LYO</t>
        </is>
      </c>
      <c r="D125" s="1" t="inlineStr">
        <is>
          <t>BAC_MGT</t>
        </is>
      </c>
      <c r="E125" s="1" t="inlineStr">
        <is>
          <t>B3</t>
        </is>
      </c>
      <c r="F125" s="1" t="inlineStr">
        <is>
          <t>ALT</t>
        </is>
      </c>
      <c r="G125" s="1" t="inlineStr">
        <is>
          <t>2024</t>
        </is>
      </c>
      <c r="H125" s="1" t="n">
        <v>0</v>
      </c>
      <c r="I125" s="1" t="n">
        <v>0</v>
      </c>
      <c r="J125" s="1" t="n">
        <v>0</v>
      </c>
      <c r="K125" s="1" t="n">
        <v>0</v>
      </c>
      <c r="L125" s="1" t="n">
        <v>56</v>
      </c>
      <c r="M125" s="1" t="n">
        <v>56</v>
      </c>
      <c r="N125" s="1" t="n">
        <v>57</v>
      </c>
      <c r="O125" s="1" t="n">
        <v>2</v>
      </c>
      <c r="P125" s="1" t="n">
        <v>7350</v>
      </c>
      <c r="Q125" s="1" t="n">
        <v>90</v>
      </c>
      <c r="R125" s="1" t="n">
        <v>0</v>
      </c>
      <c r="S125" s="1" t="n">
        <v>0</v>
      </c>
      <c r="T125" s="1" t="n">
        <v>0</v>
      </c>
      <c r="U125" s="1" t="n">
        <v>0</v>
      </c>
      <c r="V125" s="1" t="n">
        <v>0.98245614</v>
      </c>
      <c r="W125" s="1" t="n">
        <v>0</v>
      </c>
      <c r="X125" s="1" t="n">
        <v>0</v>
      </c>
      <c r="Y125" s="1" t="n">
        <v>0</v>
      </c>
      <c r="Z125" s="1" t="n">
        <v>0</v>
      </c>
      <c r="AA125" s="1" t="n">
        <v>0</v>
      </c>
      <c r="AB125" s="1" t="n">
        <v>0</v>
      </c>
      <c r="AC125" s="1" t="n">
        <v>411600</v>
      </c>
    </row>
    <row r="126">
      <c r="A126" s="1" t="inlineStr">
        <is>
          <t>2027BUD_V1</t>
        </is>
      </c>
      <c r="B126" s="1" t="inlineStr">
        <is>
          <t>12</t>
        </is>
      </c>
      <c r="C126" s="1" t="inlineStr">
        <is>
          <t>MBWAY_LYO</t>
        </is>
      </c>
      <c r="D126" s="1" t="inlineStr">
        <is>
          <t>MAS_MGT</t>
        </is>
      </c>
      <c r="E126" s="1" t="inlineStr">
        <is>
          <t>M1</t>
        </is>
      </c>
      <c r="F126" s="1" t="inlineStr">
        <is>
          <t>ALT</t>
        </is>
      </c>
      <c r="G126" s="1" t="inlineStr">
        <is>
          <t>2024</t>
        </is>
      </c>
      <c r="H126" s="1" t="n">
        <v>997</v>
      </c>
      <c r="I126" s="1" t="n">
        <v>199</v>
      </c>
      <c r="J126" s="1" t="n">
        <v>140</v>
      </c>
      <c r="K126" s="1" t="n">
        <v>59</v>
      </c>
      <c r="L126" s="1" t="n">
        <v>0</v>
      </c>
      <c r="M126" s="1" t="n">
        <v>59</v>
      </c>
      <c r="N126" s="1" t="n">
        <v>0</v>
      </c>
      <c r="O126" s="1" t="n">
        <v>3</v>
      </c>
      <c r="P126" s="1" t="n">
        <v>7875</v>
      </c>
      <c r="Q126" s="1" t="n">
        <v>90</v>
      </c>
      <c r="R126" s="1" t="n">
        <v>421</v>
      </c>
      <c r="S126" s="1" t="n">
        <v>580</v>
      </c>
      <c r="T126" s="1" t="n">
        <v>23215</v>
      </c>
      <c r="U126" s="1" t="n">
        <v>29076</v>
      </c>
      <c r="V126" s="1" t="n">
        <v>0</v>
      </c>
      <c r="W126" s="1" t="n">
        <v>0.199598796</v>
      </c>
      <c r="X126" s="1" t="n">
        <v>0.703517588</v>
      </c>
      <c r="Y126" s="1" t="n">
        <v>0.421428571</v>
      </c>
      <c r="Z126" s="1" t="n">
        <v>1001</v>
      </c>
      <c r="AA126" s="1" t="n">
        <v>0.420579421</v>
      </c>
      <c r="AB126" s="1" t="n">
        <v>40.025862069</v>
      </c>
      <c r="AC126" s="1" t="n">
        <v>469935</v>
      </c>
    </row>
    <row r="127">
      <c r="A127" s="1" t="inlineStr">
        <is>
          <t>2027BUD_V1</t>
        </is>
      </c>
      <c r="B127" s="1" t="inlineStr">
        <is>
          <t>12</t>
        </is>
      </c>
      <c r="C127" s="1" t="inlineStr">
        <is>
          <t>MBWAY_LYO</t>
        </is>
      </c>
      <c r="D127" s="1" t="inlineStr">
        <is>
          <t>MAS_MGT</t>
        </is>
      </c>
      <c r="E127" s="1" t="inlineStr">
        <is>
          <t>M2</t>
        </is>
      </c>
      <c r="F127" s="1" t="inlineStr">
        <is>
          <t>ALT</t>
        </is>
      </c>
      <c r="G127" s="1" t="inlineStr">
        <is>
          <t>2024</t>
        </is>
      </c>
      <c r="H127" s="1" t="n">
        <v>0</v>
      </c>
      <c r="I127" s="1" t="n">
        <v>0</v>
      </c>
      <c r="J127" s="1" t="n">
        <v>0</v>
      </c>
      <c r="K127" s="1" t="n">
        <v>0</v>
      </c>
      <c r="L127" s="1" t="n">
        <v>58</v>
      </c>
      <c r="M127" s="1" t="n">
        <v>58</v>
      </c>
      <c r="N127" s="1" t="n">
        <v>59</v>
      </c>
      <c r="O127" s="1" t="n">
        <v>3</v>
      </c>
      <c r="P127" s="1" t="n">
        <v>7875</v>
      </c>
      <c r="Q127" s="1" t="n">
        <v>90</v>
      </c>
      <c r="R127" s="1" t="n">
        <v>0</v>
      </c>
      <c r="S127" s="1" t="n">
        <v>0</v>
      </c>
      <c r="T127" s="1" t="n">
        <v>0</v>
      </c>
      <c r="U127" s="1" t="n">
        <v>0</v>
      </c>
      <c r="V127" s="1" t="n">
        <v>0.983050847</v>
      </c>
      <c r="W127" s="1" t="n">
        <v>0</v>
      </c>
      <c r="X127" s="1" t="n">
        <v>0</v>
      </c>
      <c r="Y127" s="1" t="n">
        <v>0</v>
      </c>
      <c r="Z127" s="1" t="n">
        <v>0</v>
      </c>
      <c r="AA127" s="1" t="n">
        <v>0</v>
      </c>
      <c r="AB127" s="1" t="n">
        <v>0</v>
      </c>
      <c r="AC127" s="1" t="n">
        <v>456750</v>
      </c>
    </row>
    <row r="128">
      <c r="A128" s="1" t="inlineStr">
        <is>
          <t>2027BUD_V1</t>
        </is>
      </c>
      <c r="B128" s="1" t="inlineStr">
        <is>
          <t>12</t>
        </is>
      </c>
      <c r="C128" s="1" t="inlineStr">
        <is>
          <t>MBWAY_NAN</t>
        </is>
      </c>
      <c r="D128" s="1" t="inlineStr">
        <is>
          <t>BAC_MGT</t>
        </is>
      </c>
      <c r="E128" s="1" t="inlineStr">
        <is>
          <t>B1</t>
        </is>
      </c>
      <c r="F128" s="1" t="inlineStr">
        <is>
          <t>INIT</t>
        </is>
      </c>
      <c r="G128" s="1" t="inlineStr">
        <is>
          <t>2024</t>
        </is>
      </c>
      <c r="H128" s="1" t="n">
        <v>441</v>
      </c>
      <c r="I128" s="1" t="n">
        <v>124</v>
      </c>
      <c r="J128" s="1" t="n">
        <v>89</v>
      </c>
      <c r="K128" s="1" t="n">
        <v>53</v>
      </c>
      <c r="L128" s="1" t="n">
        <v>0</v>
      </c>
      <c r="M128" s="1" t="n">
        <v>53</v>
      </c>
      <c r="N128" s="1" t="n">
        <v>0</v>
      </c>
      <c r="O128" s="1" t="n">
        <v>2</v>
      </c>
      <c r="P128" s="1" t="n">
        <v>7500</v>
      </c>
      <c r="Q128" s="1" t="n">
        <v>90</v>
      </c>
      <c r="R128" s="1" t="n">
        <v>208</v>
      </c>
      <c r="S128" s="1" t="n">
        <v>233</v>
      </c>
      <c r="T128" s="1" t="n">
        <v>8526</v>
      </c>
      <c r="U128" s="1" t="n">
        <v>14648</v>
      </c>
      <c r="V128" s="1" t="n">
        <v>0</v>
      </c>
      <c r="W128" s="1" t="n">
        <v>0.281179138</v>
      </c>
      <c r="X128" s="1" t="n">
        <v>0.7177419350000001</v>
      </c>
      <c r="Y128" s="1" t="n">
        <v>0.595505618</v>
      </c>
      <c r="Z128" s="1" t="n">
        <v>441</v>
      </c>
      <c r="AA128" s="1" t="n">
        <v>0.471655329</v>
      </c>
      <c r="AB128" s="1" t="n">
        <v>36.592274678</v>
      </c>
      <c r="AC128" s="1" t="n">
        <v>402270</v>
      </c>
    </row>
    <row r="129">
      <c r="A129" s="1" t="inlineStr">
        <is>
          <t>2027BUD_V1</t>
        </is>
      </c>
      <c r="B129" s="1" t="inlineStr">
        <is>
          <t>12</t>
        </is>
      </c>
      <c r="C129" s="1" t="inlineStr">
        <is>
          <t>MBWAY_NAN</t>
        </is>
      </c>
      <c r="D129" s="1" t="inlineStr">
        <is>
          <t>BAC_MGT</t>
        </is>
      </c>
      <c r="E129" s="1" t="inlineStr">
        <is>
          <t>B2</t>
        </is>
      </c>
      <c r="F129" s="1" t="inlineStr">
        <is>
          <t>ALT</t>
        </is>
      </c>
      <c r="G129" s="1" t="inlineStr">
        <is>
          <t>2024</t>
        </is>
      </c>
      <c r="H129" s="1" t="n">
        <v>0</v>
      </c>
      <c r="I129" s="1" t="n">
        <v>0</v>
      </c>
      <c r="J129" s="1" t="n">
        <v>0</v>
      </c>
      <c r="K129" s="1" t="n">
        <v>0</v>
      </c>
      <c r="L129" s="1" t="n">
        <v>52</v>
      </c>
      <c r="M129" s="1" t="n">
        <v>52</v>
      </c>
      <c r="N129" s="1" t="n">
        <v>53</v>
      </c>
      <c r="O129" s="1" t="n">
        <v>2</v>
      </c>
      <c r="P129" s="1" t="n">
        <v>7000</v>
      </c>
      <c r="Q129" s="1" t="n">
        <v>90</v>
      </c>
      <c r="R129" s="1" t="n">
        <v>0</v>
      </c>
      <c r="S129" s="1" t="n">
        <v>0</v>
      </c>
      <c r="T129" s="1" t="n">
        <v>0</v>
      </c>
      <c r="U129" s="1" t="n">
        <v>0</v>
      </c>
      <c r="V129" s="1" t="n">
        <v>0.981132075</v>
      </c>
      <c r="W129" s="1" t="n">
        <v>0</v>
      </c>
      <c r="X129" s="1" t="n">
        <v>0</v>
      </c>
      <c r="Y129" s="1" t="n">
        <v>0</v>
      </c>
      <c r="Z129" s="1" t="n">
        <v>0</v>
      </c>
      <c r="AA129" s="1" t="n">
        <v>0</v>
      </c>
      <c r="AB129" s="1" t="n">
        <v>0</v>
      </c>
      <c r="AC129" s="1" t="n">
        <v>364000</v>
      </c>
    </row>
    <row r="130">
      <c r="A130" s="1" t="inlineStr">
        <is>
          <t>2027BUD_V1</t>
        </is>
      </c>
      <c r="B130" s="1" t="inlineStr">
        <is>
          <t>12</t>
        </is>
      </c>
      <c r="C130" s="1" t="inlineStr">
        <is>
          <t>MBWAY_NAN</t>
        </is>
      </c>
      <c r="D130" s="1" t="inlineStr">
        <is>
          <t>BAC_MGT</t>
        </is>
      </c>
      <c r="E130" s="1" t="inlineStr">
        <is>
          <t>B3</t>
        </is>
      </c>
      <c r="F130" s="1" t="inlineStr">
        <is>
          <t>ALT</t>
        </is>
      </c>
      <c r="G130" s="1" t="inlineStr">
        <is>
          <t>2024</t>
        </is>
      </c>
      <c r="H130" s="1" t="n">
        <v>0</v>
      </c>
      <c r="I130" s="1" t="n">
        <v>0</v>
      </c>
      <c r="J130" s="1" t="n">
        <v>0</v>
      </c>
      <c r="K130" s="1" t="n">
        <v>0</v>
      </c>
      <c r="L130" s="1" t="n">
        <v>51</v>
      </c>
      <c r="M130" s="1" t="n">
        <v>51</v>
      </c>
      <c r="N130" s="1" t="n">
        <v>52</v>
      </c>
      <c r="O130" s="1" t="n">
        <v>2</v>
      </c>
      <c r="P130" s="1" t="n">
        <v>7000</v>
      </c>
      <c r="Q130" s="1" t="n">
        <v>90</v>
      </c>
      <c r="R130" s="1" t="n">
        <v>0</v>
      </c>
      <c r="S130" s="1" t="n">
        <v>0</v>
      </c>
      <c r="T130" s="1" t="n">
        <v>0</v>
      </c>
      <c r="U130" s="1" t="n">
        <v>0</v>
      </c>
      <c r="V130" s="1" t="n">
        <v>0.980769231</v>
      </c>
      <c r="W130" s="1" t="n">
        <v>0</v>
      </c>
      <c r="X130" s="1" t="n">
        <v>0</v>
      </c>
      <c r="Y130" s="1" t="n">
        <v>0</v>
      </c>
      <c r="Z130" s="1" t="n">
        <v>0</v>
      </c>
      <c r="AA130" s="1" t="n">
        <v>0</v>
      </c>
      <c r="AB130" s="1" t="n">
        <v>0</v>
      </c>
      <c r="AC130" s="1" t="n">
        <v>357000</v>
      </c>
    </row>
    <row r="131">
      <c r="A131" s="1" t="inlineStr">
        <is>
          <t>2027BUD_V1</t>
        </is>
      </c>
      <c r="B131" s="1" t="inlineStr">
        <is>
          <t>12</t>
        </is>
      </c>
      <c r="C131" s="1" t="inlineStr">
        <is>
          <t>MBWAY_NAN</t>
        </is>
      </c>
      <c r="D131" s="1" t="inlineStr">
        <is>
          <t>MAS_MGT</t>
        </is>
      </c>
      <c r="E131" s="1" t="inlineStr">
        <is>
          <t>M1</t>
        </is>
      </c>
      <c r="F131" s="1" t="inlineStr">
        <is>
          <t>ALT</t>
        </is>
      </c>
      <c r="G131" s="1" t="inlineStr">
        <is>
          <t>2024</t>
        </is>
      </c>
      <c r="H131" s="1" t="n">
        <v>908</v>
      </c>
      <c r="I131" s="1" t="n">
        <v>182</v>
      </c>
      <c r="J131" s="1" t="n">
        <v>127</v>
      </c>
      <c r="K131" s="1" t="n">
        <v>53</v>
      </c>
      <c r="L131" s="1" t="n">
        <v>0</v>
      </c>
      <c r="M131" s="1" t="n">
        <v>53</v>
      </c>
      <c r="N131" s="1" t="n">
        <v>0</v>
      </c>
      <c r="O131" s="1" t="n">
        <v>3</v>
      </c>
      <c r="P131" s="1" t="n">
        <v>7500</v>
      </c>
      <c r="Q131" s="1" t="n">
        <v>90</v>
      </c>
      <c r="R131" s="1" t="n">
        <v>428</v>
      </c>
      <c r="S131" s="1" t="n">
        <v>480</v>
      </c>
      <c r="T131" s="1" t="n">
        <v>17534</v>
      </c>
      <c r="U131" s="1" t="n">
        <v>30123</v>
      </c>
      <c r="V131" s="1" t="n">
        <v>0</v>
      </c>
      <c r="W131" s="1" t="n">
        <v>0.200440529</v>
      </c>
      <c r="X131" s="1" t="n">
        <v>0.697802198</v>
      </c>
      <c r="Y131" s="1" t="n">
        <v>0.417322835</v>
      </c>
      <c r="Z131" s="1" t="n">
        <v>908</v>
      </c>
      <c r="AA131" s="1" t="n">
        <v>0.471365639</v>
      </c>
      <c r="AB131" s="1" t="n">
        <v>36.529166667</v>
      </c>
      <c r="AC131" s="1" t="n">
        <v>402270</v>
      </c>
    </row>
    <row r="132">
      <c r="A132" s="1" t="inlineStr">
        <is>
          <t>2027BUD_V1</t>
        </is>
      </c>
      <c r="B132" s="1" t="inlineStr">
        <is>
          <t>12</t>
        </is>
      </c>
      <c r="C132" s="1" t="inlineStr">
        <is>
          <t>MBWAY_NAN</t>
        </is>
      </c>
      <c r="D132" s="1" t="inlineStr">
        <is>
          <t>MAS_MGT</t>
        </is>
      </c>
      <c r="E132" s="1" t="inlineStr">
        <is>
          <t>M2</t>
        </is>
      </c>
      <c r="F132" s="1" t="inlineStr">
        <is>
          <t>ALT</t>
        </is>
      </c>
      <c r="G132" s="1" t="inlineStr">
        <is>
          <t>2024</t>
        </is>
      </c>
      <c r="H132" s="1" t="n">
        <v>0</v>
      </c>
      <c r="I132" s="1" t="n">
        <v>0</v>
      </c>
      <c r="J132" s="1" t="n">
        <v>0</v>
      </c>
      <c r="K132" s="1" t="n">
        <v>0</v>
      </c>
      <c r="L132" s="1" t="n">
        <v>53</v>
      </c>
      <c r="M132" s="1" t="n">
        <v>53</v>
      </c>
      <c r="N132" s="1" t="n">
        <v>53</v>
      </c>
      <c r="O132" s="1" t="n">
        <v>3</v>
      </c>
      <c r="P132" s="1" t="n">
        <v>7500</v>
      </c>
      <c r="Q132" s="1" t="n">
        <v>90</v>
      </c>
      <c r="R132" s="1" t="n">
        <v>0</v>
      </c>
      <c r="S132" s="1" t="n">
        <v>0</v>
      </c>
      <c r="T132" s="1" t="n">
        <v>0</v>
      </c>
      <c r="U132" s="1" t="n">
        <v>0</v>
      </c>
      <c r="V132" s="1" t="n">
        <v>1</v>
      </c>
      <c r="W132" s="1" t="n">
        <v>0</v>
      </c>
      <c r="X132" s="1" t="n">
        <v>0</v>
      </c>
      <c r="Y132" s="1" t="n">
        <v>0</v>
      </c>
      <c r="Z132" s="1" t="n">
        <v>0</v>
      </c>
      <c r="AA132" s="1" t="n">
        <v>0</v>
      </c>
      <c r="AB132" s="1" t="n">
        <v>0</v>
      </c>
      <c r="AC132" s="1" t="n">
        <v>397500</v>
      </c>
    </row>
    <row r="133">
      <c r="A133" s="1" t="inlineStr">
        <is>
          <t>2027BUD_V1</t>
        </is>
      </c>
      <c r="B133" s="1" t="inlineStr">
        <is>
          <t>12</t>
        </is>
      </c>
      <c r="C133" s="1" t="inlineStr">
        <is>
          <t>MBWAY_BOR</t>
        </is>
      </c>
      <c r="D133" s="1" t="inlineStr">
        <is>
          <t>BAC_MGT</t>
        </is>
      </c>
      <c r="E133" s="1" t="inlineStr">
        <is>
          <t>B1</t>
        </is>
      </c>
      <c r="F133" s="1" t="inlineStr">
        <is>
          <t>INIT</t>
        </is>
      </c>
      <c r="G133" s="1" t="inlineStr">
        <is>
          <t>2024</t>
        </is>
      </c>
      <c r="H133" s="1" t="n">
        <v>375</v>
      </c>
      <c r="I133" s="1" t="n">
        <v>105</v>
      </c>
      <c r="J133" s="1" t="n">
        <v>76</v>
      </c>
      <c r="K133" s="1" t="n">
        <v>45</v>
      </c>
      <c r="L133" s="1" t="n">
        <v>0</v>
      </c>
      <c r="M133" s="1" t="n">
        <v>45</v>
      </c>
      <c r="N133" s="1" t="n">
        <v>0</v>
      </c>
      <c r="O133" s="1" t="n">
        <v>2</v>
      </c>
      <c r="P133" s="1" t="n">
        <v>7275</v>
      </c>
      <c r="Q133" s="1" t="n">
        <v>90</v>
      </c>
      <c r="R133" s="1" t="n">
        <v>180</v>
      </c>
      <c r="S133" s="1" t="n">
        <v>194</v>
      </c>
      <c r="T133" s="1" t="n">
        <v>6743</v>
      </c>
      <c r="U133" s="1" t="n">
        <v>12727</v>
      </c>
      <c r="V133" s="1" t="n">
        <v>0</v>
      </c>
      <c r="W133" s="1" t="n">
        <v>0.28</v>
      </c>
      <c r="X133" s="1" t="n">
        <v>0.723809524</v>
      </c>
      <c r="Y133" s="1" t="n">
        <v>0.592105263</v>
      </c>
      <c r="Z133" s="1" t="n">
        <v>374</v>
      </c>
      <c r="AA133" s="1" t="n">
        <v>0.481283422</v>
      </c>
      <c r="AB133" s="1" t="n">
        <v>34.757731959</v>
      </c>
      <c r="AC133" s="1" t="n">
        <v>331425</v>
      </c>
    </row>
    <row r="134">
      <c r="A134" s="1" t="inlineStr">
        <is>
          <t>2027BUD_V1</t>
        </is>
      </c>
      <c r="B134" s="1" t="inlineStr">
        <is>
          <t>12</t>
        </is>
      </c>
      <c r="C134" s="1" t="inlineStr">
        <is>
          <t>MBWAY_BOR</t>
        </is>
      </c>
      <c r="D134" s="1" t="inlineStr">
        <is>
          <t>BAC_MGT</t>
        </is>
      </c>
      <c r="E134" s="1" t="inlineStr">
        <is>
          <t>B2</t>
        </is>
      </c>
      <c r="F134" s="1" t="inlineStr">
        <is>
          <t>ALT</t>
        </is>
      </c>
      <c r="G134" s="1" t="inlineStr">
        <is>
          <t>2024</t>
        </is>
      </c>
      <c r="H134" s="1" t="n">
        <v>0</v>
      </c>
      <c r="I134" s="1" t="n">
        <v>0</v>
      </c>
      <c r="J134" s="1" t="n">
        <v>0</v>
      </c>
      <c r="K134" s="1" t="n">
        <v>0</v>
      </c>
      <c r="L134" s="1" t="n">
        <v>44</v>
      </c>
      <c r="M134" s="1" t="n">
        <v>44</v>
      </c>
      <c r="N134" s="1" t="n">
        <v>45</v>
      </c>
      <c r="O134" s="1" t="n">
        <v>2</v>
      </c>
      <c r="P134" s="1" t="n">
        <v>6790</v>
      </c>
      <c r="Q134" s="1" t="n">
        <v>90</v>
      </c>
      <c r="R134" s="1" t="n">
        <v>0</v>
      </c>
      <c r="S134" s="1" t="n">
        <v>0</v>
      </c>
      <c r="T134" s="1" t="n">
        <v>0</v>
      </c>
      <c r="U134" s="1" t="n">
        <v>0</v>
      </c>
      <c r="V134" s="1" t="n">
        <v>0.977777778</v>
      </c>
      <c r="W134" s="1" t="n">
        <v>0</v>
      </c>
      <c r="X134" s="1" t="n">
        <v>0</v>
      </c>
      <c r="Y134" s="1" t="n">
        <v>0</v>
      </c>
      <c r="Z134" s="1" t="n">
        <v>0</v>
      </c>
      <c r="AA134" s="1" t="n">
        <v>0</v>
      </c>
      <c r="AB134" s="1" t="n">
        <v>0</v>
      </c>
      <c r="AC134" s="1" t="n">
        <v>298760</v>
      </c>
    </row>
    <row r="135">
      <c r="A135" s="1" t="inlineStr">
        <is>
          <t>2027BUD_V1</t>
        </is>
      </c>
      <c r="B135" s="1" t="inlineStr">
        <is>
          <t>12</t>
        </is>
      </c>
      <c r="C135" s="1" t="inlineStr">
        <is>
          <t>MBWAY_BOR</t>
        </is>
      </c>
      <c r="D135" s="1" t="inlineStr">
        <is>
          <t>BAC_MGT</t>
        </is>
      </c>
      <c r="E135" s="1" t="inlineStr">
        <is>
          <t>B3</t>
        </is>
      </c>
      <c r="F135" s="1" t="inlineStr">
        <is>
          <t>ALT</t>
        </is>
      </c>
      <c r="G135" s="1" t="inlineStr">
        <is>
          <t>2024</t>
        </is>
      </c>
      <c r="H135" s="1" t="n">
        <v>0</v>
      </c>
      <c r="I135" s="1" t="n">
        <v>0</v>
      </c>
      <c r="J135" s="1" t="n">
        <v>0</v>
      </c>
      <c r="K135" s="1" t="n">
        <v>0</v>
      </c>
      <c r="L135" s="1" t="n">
        <v>43</v>
      </c>
      <c r="M135" s="1" t="n">
        <v>43</v>
      </c>
      <c r="N135" s="1" t="n">
        <v>44</v>
      </c>
      <c r="O135" s="1" t="n">
        <v>2</v>
      </c>
      <c r="P135" s="1" t="n">
        <v>6790</v>
      </c>
      <c r="Q135" s="1" t="n">
        <v>90</v>
      </c>
      <c r="R135" s="1" t="n">
        <v>0</v>
      </c>
      <c r="S135" s="1" t="n">
        <v>0</v>
      </c>
      <c r="T135" s="1" t="n">
        <v>0</v>
      </c>
      <c r="U135" s="1" t="n">
        <v>0</v>
      </c>
      <c r="V135" s="1" t="n">
        <v>0.977272727</v>
      </c>
      <c r="W135" s="1" t="n">
        <v>0</v>
      </c>
      <c r="X135" s="1" t="n">
        <v>0</v>
      </c>
      <c r="Y135" s="1" t="n">
        <v>0</v>
      </c>
      <c r="Z135" s="1" t="n">
        <v>0</v>
      </c>
      <c r="AA135" s="1" t="n">
        <v>0</v>
      </c>
      <c r="AB135" s="1" t="n">
        <v>0</v>
      </c>
      <c r="AC135" s="1" t="n">
        <v>291970</v>
      </c>
    </row>
    <row r="136">
      <c r="A136" s="1" t="inlineStr">
        <is>
          <t>2027BUD_V1</t>
        </is>
      </c>
      <c r="B136" s="1" t="inlineStr">
        <is>
          <t>12</t>
        </is>
      </c>
      <c r="C136" s="1" t="inlineStr">
        <is>
          <t>MBWAY_BOR</t>
        </is>
      </c>
      <c r="D136" s="1" t="inlineStr">
        <is>
          <t>MAS_MGT</t>
        </is>
      </c>
      <c r="E136" s="1" t="inlineStr">
        <is>
          <t>M1</t>
        </is>
      </c>
      <c r="F136" s="1" t="inlineStr">
        <is>
          <t>ALT</t>
        </is>
      </c>
      <c r="G136" s="1" t="inlineStr">
        <is>
          <t>2024</t>
        </is>
      </c>
      <c r="H136" s="1" t="n">
        <v>770</v>
      </c>
      <c r="I136" s="1" t="n">
        <v>154</v>
      </c>
      <c r="J136" s="1" t="n">
        <v>108</v>
      </c>
      <c r="K136" s="1" t="n">
        <v>45</v>
      </c>
      <c r="L136" s="1" t="n">
        <v>0</v>
      </c>
      <c r="M136" s="1" t="n">
        <v>45</v>
      </c>
      <c r="N136" s="1" t="n">
        <v>0</v>
      </c>
      <c r="O136" s="1" t="n">
        <v>2</v>
      </c>
      <c r="P136" s="1" t="n">
        <v>7275</v>
      </c>
      <c r="Q136" s="1" t="n">
        <v>90</v>
      </c>
      <c r="R136" s="1" t="n">
        <v>370</v>
      </c>
      <c r="S136" s="1" t="n">
        <v>398</v>
      </c>
      <c r="T136" s="1" t="n">
        <v>13854</v>
      </c>
      <c r="U136" s="1" t="n">
        <v>26150</v>
      </c>
      <c r="V136" s="1" t="n">
        <v>0</v>
      </c>
      <c r="W136" s="1" t="n">
        <v>0.2</v>
      </c>
      <c r="X136" s="1" t="n">
        <v>0.701298701</v>
      </c>
      <c r="Y136" s="1" t="n">
        <v>0.416666667</v>
      </c>
      <c r="Z136" s="1" t="n">
        <v>768</v>
      </c>
      <c r="AA136" s="1" t="n">
        <v>0.481770833</v>
      </c>
      <c r="AB136" s="1" t="n">
        <v>34.809045226</v>
      </c>
      <c r="AC136" s="1" t="n">
        <v>331425</v>
      </c>
    </row>
    <row r="137">
      <c r="A137" s="1" t="inlineStr">
        <is>
          <t>2027BUD_V1</t>
        </is>
      </c>
      <c r="B137" s="1" t="inlineStr">
        <is>
          <t>12</t>
        </is>
      </c>
      <c r="C137" s="1" t="inlineStr">
        <is>
          <t>MBWAY_BOR</t>
        </is>
      </c>
      <c r="D137" s="1" t="inlineStr">
        <is>
          <t>MAS_MGT</t>
        </is>
      </c>
      <c r="E137" s="1" t="inlineStr">
        <is>
          <t>M2</t>
        </is>
      </c>
      <c r="F137" s="1" t="inlineStr">
        <is>
          <t>ALT</t>
        </is>
      </c>
      <c r="G137" s="1" t="inlineStr">
        <is>
          <t>2024</t>
        </is>
      </c>
      <c r="H137" s="1" t="n">
        <v>0</v>
      </c>
      <c r="I137" s="1" t="n">
        <v>0</v>
      </c>
      <c r="J137" s="1" t="n">
        <v>0</v>
      </c>
      <c r="K137" s="1" t="n">
        <v>0</v>
      </c>
      <c r="L137" s="1" t="n">
        <v>44</v>
      </c>
      <c r="M137" s="1" t="n">
        <v>44</v>
      </c>
      <c r="N137" s="1" t="n">
        <v>45</v>
      </c>
      <c r="O137" s="1" t="n">
        <v>2</v>
      </c>
      <c r="P137" s="1" t="n">
        <v>7275</v>
      </c>
      <c r="Q137" s="1" t="n">
        <v>90</v>
      </c>
      <c r="R137" s="1" t="n">
        <v>0</v>
      </c>
      <c r="S137" s="1" t="n">
        <v>0</v>
      </c>
      <c r="T137" s="1" t="n">
        <v>0</v>
      </c>
      <c r="U137" s="1" t="n">
        <v>0</v>
      </c>
      <c r="V137" s="1" t="n">
        <v>0.977777778</v>
      </c>
      <c r="W137" s="1" t="n">
        <v>0</v>
      </c>
      <c r="X137" s="1" t="n">
        <v>0</v>
      </c>
      <c r="Y137" s="1" t="n">
        <v>0</v>
      </c>
      <c r="Z137" s="1" t="n">
        <v>0</v>
      </c>
      <c r="AA137" s="1" t="n">
        <v>0</v>
      </c>
      <c r="AB137" s="1" t="n">
        <v>0</v>
      </c>
      <c r="AC137" s="1" t="n">
        <v>320100</v>
      </c>
    </row>
    <row r="138">
      <c r="A138" s="1" t="inlineStr">
        <is>
          <t>2027BUD_V1</t>
        </is>
      </c>
      <c r="B138" s="1" t="inlineStr">
        <is>
          <t>12</t>
        </is>
      </c>
      <c r="C138" s="1" t="inlineStr">
        <is>
          <t>ISCOM_PAR</t>
        </is>
      </c>
      <c r="D138" s="1" t="inlineStr">
        <is>
          <t>BAC_COM</t>
        </is>
      </c>
      <c r="E138" s="1" t="inlineStr">
        <is>
          <t>B1</t>
        </is>
      </c>
      <c r="F138" s="1" t="inlineStr">
        <is>
          <t>INIT</t>
        </is>
      </c>
      <c r="G138" s="1" t="inlineStr">
        <is>
          <t>2024</t>
        </is>
      </c>
      <c r="H138" s="1" t="n">
        <v>530</v>
      </c>
      <c r="I138" s="1" t="n">
        <v>149</v>
      </c>
      <c r="J138" s="1" t="n">
        <v>107</v>
      </c>
      <c r="K138" s="1" t="n">
        <v>64</v>
      </c>
      <c r="L138" s="1" t="n">
        <v>0</v>
      </c>
      <c r="M138" s="1" t="n">
        <v>64</v>
      </c>
      <c r="N138" s="1" t="n">
        <v>0</v>
      </c>
      <c r="O138" s="1" t="n">
        <v>3</v>
      </c>
      <c r="P138" s="1" t="n">
        <v>8400</v>
      </c>
      <c r="Q138" s="1" t="n">
        <v>90</v>
      </c>
      <c r="R138" s="1" t="n">
        <v>213</v>
      </c>
      <c r="S138" s="1" t="n">
        <v>340</v>
      </c>
      <c r="T138" s="1" t="n">
        <v>16491</v>
      </c>
      <c r="U138" s="1" t="n">
        <v>17097</v>
      </c>
      <c r="V138" s="1" t="n">
        <v>0</v>
      </c>
      <c r="W138" s="1" t="n">
        <v>0.281132075</v>
      </c>
      <c r="X138" s="1" t="n">
        <v>0.718120805</v>
      </c>
      <c r="Y138" s="1" t="n">
        <v>0.598130841</v>
      </c>
      <c r="Z138" s="1" t="n">
        <v>553</v>
      </c>
      <c r="AA138" s="1" t="n">
        <v>0.38517179</v>
      </c>
      <c r="AB138" s="1" t="n">
        <v>48.502941176</v>
      </c>
      <c r="AC138" s="1" t="n">
        <v>543360</v>
      </c>
    </row>
    <row r="139">
      <c r="A139" s="1" t="inlineStr">
        <is>
          <t>2027BUD_V1</t>
        </is>
      </c>
      <c r="B139" s="1" t="inlineStr">
        <is>
          <t>12</t>
        </is>
      </c>
      <c r="C139" s="1" t="inlineStr">
        <is>
          <t>ISCOM_PAR</t>
        </is>
      </c>
      <c r="D139" s="1" t="inlineStr">
        <is>
          <t>BAC_COM</t>
        </is>
      </c>
      <c r="E139" s="1" t="inlineStr">
        <is>
          <t>B2</t>
        </is>
      </c>
      <c r="F139" s="1" t="inlineStr">
        <is>
          <t>ALT</t>
        </is>
      </c>
      <c r="G139" s="1" t="inlineStr">
        <is>
          <t>2024</t>
        </is>
      </c>
      <c r="H139" s="1" t="n">
        <v>0</v>
      </c>
      <c r="I139" s="1" t="n">
        <v>0</v>
      </c>
      <c r="J139" s="1" t="n">
        <v>0</v>
      </c>
      <c r="K139" s="1" t="n">
        <v>0</v>
      </c>
      <c r="L139" s="1" t="n">
        <v>62</v>
      </c>
      <c r="M139" s="1" t="n">
        <v>62</v>
      </c>
      <c r="N139" s="1" t="n">
        <v>64</v>
      </c>
      <c r="O139" s="1" t="n">
        <v>3</v>
      </c>
      <c r="P139" s="1" t="n">
        <v>7840</v>
      </c>
      <c r="Q139" s="1" t="n">
        <v>90</v>
      </c>
      <c r="R139" s="1" t="n">
        <v>0</v>
      </c>
      <c r="S139" s="1" t="n">
        <v>0</v>
      </c>
      <c r="T139" s="1" t="n">
        <v>0</v>
      </c>
      <c r="U139" s="1" t="n">
        <v>0</v>
      </c>
      <c r="V139" s="1" t="n">
        <v>0.96875</v>
      </c>
      <c r="W139" s="1" t="n">
        <v>0</v>
      </c>
      <c r="X139" s="1" t="n">
        <v>0</v>
      </c>
      <c r="Y139" s="1" t="n">
        <v>0</v>
      </c>
      <c r="Z139" s="1" t="n">
        <v>0</v>
      </c>
      <c r="AA139" s="1" t="n">
        <v>0</v>
      </c>
      <c r="AB139" s="1" t="n">
        <v>0</v>
      </c>
      <c r="AC139" s="1" t="n">
        <v>486080</v>
      </c>
    </row>
    <row r="140">
      <c r="A140" s="1" t="inlineStr">
        <is>
          <t>2027BUD_V1</t>
        </is>
      </c>
      <c r="B140" s="1" t="inlineStr">
        <is>
          <t>12</t>
        </is>
      </c>
      <c r="C140" s="1" t="inlineStr">
        <is>
          <t>ISCOM_PAR</t>
        </is>
      </c>
      <c r="D140" s="1" t="inlineStr">
        <is>
          <t>BAC_COM</t>
        </is>
      </c>
      <c r="E140" s="1" t="inlineStr">
        <is>
          <t>B3</t>
        </is>
      </c>
      <c r="F140" s="1" t="inlineStr">
        <is>
          <t>ALT</t>
        </is>
      </c>
      <c r="G140" s="1" t="inlineStr">
        <is>
          <t>2024</t>
        </is>
      </c>
      <c r="H140" s="1" t="n">
        <v>0</v>
      </c>
      <c r="I140" s="1" t="n">
        <v>0</v>
      </c>
      <c r="J140" s="1" t="n">
        <v>0</v>
      </c>
      <c r="K140" s="1" t="n">
        <v>0</v>
      </c>
      <c r="L140" s="1" t="n">
        <v>61</v>
      </c>
      <c r="M140" s="1" t="n">
        <v>61</v>
      </c>
      <c r="N140" s="1" t="n">
        <v>62</v>
      </c>
      <c r="O140" s="1" t="n">
        <v>3</v>
      </c>
      <c r="P140" s="1" t="n">
        <v>7840</v>
      </c>
      <c r="Q140" s="1" t="n">
        <v>90</v>
      </c>
      <c r="R140" s="1" t="n">
        <v>0</v>
      </c>
      <c r="S140" s="1" t="n">
        <v>0</v>
      </c>
      <c r="T140" s="1" t="n">
        <v>0</v>
      </c>
      <c r="U140" s="1" t="n">
        <v>0</v>
      </c>
      <c r="V140" s="1" t="n">
        <v>0.983870968</v>
      </c>
      <c r="W140" s="1" t="n">
        <v>0</v>
      </c>
      <c r="X140" s="1" t="n">
        <v>0</v>
      </c>
      <c r="Y140" s="1" t="n">
        <v>0</v>
      </c>
      <c r="Z140" s="1" t="n">
        <v>0</v>
      </c>
      <c r="AA140" s="1" t="n">
        <v>0</v>
      </c>
      <c r="AB140" s="1" t="n">
        <v>0</v>
      </c>
      <c r="AC140" s="1" t="n">
        <v>478240</v>
      </c>
    </row>
    <row r="141">
      <c r="A141" s="1" t="inlineStr">
        <is>
          <t>2027BUD_V1</t>
        </is>
      </c>
      <c r="B141" s="1" t="inlineStr">
        <is>
          <t>12</t>
        </is>
      </c>
      <c r="C141" s="1" t="inlineStr">
        <is>
          <t>ISCOM_PAR</t>
        </is>
      </c>
      <c r="D141" s="1" t="inlineStr">
        <is>
          <t>MAS_COM</t>
        </is>
      </c>
      <c r="E141" s="1" t="inlineStr">
        <is>
          <t>M1</t>
        </is>
      </c>
      <c r="F141" s="1" t="inlineStr">
        <is>
          <t>ALT</t>
        </is>
      </c>
      <c r="G141" s="1" t="inlineStr">
        <is>
          <t>2024</t>
        </is>
      </c>
      <c r="H141" s="1" t="n">
        <v>1086</v>
      </c>
      <c r="I141" s="1" t="n">
        <v>217</v>
      </c>
      <c r="J141" s="1" t="n">
        <v>152</v>
      </c>
      <c r="K141" s="1" t="n">
        <v>64</v>
      </c>
      <c r="L141" s="1" t="n">
        <v>0</v>
      </c>
      <c r="M141" s="1" t="n">
        <v>64</v>
      </c>
      <c r="N141" s="1" t="n">
        <v>0</v>
      </c>
      <c r="O141" s="1" t="n">
        <v>3</v>
      </c>
      <c r="P141" s="1" t="n">
        <v>8400</v>
      </c>
      <c r="Q141" s="1" t="n">
        <v>90</v>
      </c>
      <c r="R141" s="1" t="n">
        <v>437</v>
      </c>
      <c r="S141" s="1" t="n">
        <v>695</v>
      </c>
      <c r="T141" s="1" t="n">
        <v>33757</v>
      </c>
      <c r="U141" s="1" t="n">
        <v>34997</v>
      </c>
      <c r="V141" s="1" t="n">
        <v>0</v>
      </c>
      <c r="W141" s="1" t="n">
        <v>0.199815838</v>
      </c>
      <c r="X141" s="1" t="n">
        <v>0.700460829</v>
      </c>
      <c r="Y141" s="1" t="n">
        <v>0.421052632</v>
      </c>
      <c r="Z141" s="1" t="n">
        <v>1132</v>
      </c>
      <c r="AA141" s="1" t="n">
        <v>0.386042403</v>
      </c>
      <c r="AB141" s="1" t="n">
        <v>48.571223022</v>
      </c>
      <c r="AC141" s="1" t="n">
        <v>543360</v>
      </c>
    </row>
    <row r="142">
      <c r="A142" s="1" t="inlineStr">
        <is>
          <t>2027BUD_V1</t>
        </is>
      </c>
      <c r="B142" s="1" t="inlineStr">
        <is>
          <t>12</t>
        </is>
      </c>
      <c r="C142" s="1" t="inlineStr">
        <is>
          <t>ISCOM_PAR</t>
        </is>
      </c>
      <c r="D142" s="1" t="inlineStr">
        <is>
          <t>MAS_COM</t>
        </is>
      </c>
      <c r="E142" s="1" t="inlineStr">
        <is>
          <t>M2</t>
        </is>
      </c>
      <c r="F142" s="1" t="inlineStr">
        <is>
          <t>ALT</t>
        </is>
      </c>
      <c r="G142" s="1" t="inlineStr">
        <is>
          <t>2024</t>
        </is>
      </c>
      <c r="H142" s="1" t="n">
        <v>0</v>
      </c>
      <c r="I142" s="1" t="n">
        <v>0</v>
      </c>
      <c r="J142" s="1" t="n">
        <v>0</v>
      </c>
      <c r="K142" s="1" t="n">
        <v>0</v>
      </c>
      <c r="L142" s="1" t="n">
        <v>63</v>
      </c>
      <c r="M142" s="1" t="n">
        <v>63</v>
      </c>
      <c r="N142" s="1" t="n">
        <v>64</v>
      </c>
      <c r="O142" s="1" t="n">
        <v>3</v>
      </c>
      <c r="P142" s="1" t="n">
        <v>8400</v>
      </c>
      <c r="Q142" s="1" t="n">
        <v>90</v>
      </c>
      <c r="R142" s="1" t="n">
        <v>0</v>
      </c>
      <c r="S142" s="1" t="n">
        <v>0</v>
      </c>
      <c r="T142" s="1" t="n">
        <v>0</v>
      </c>
      <c r="U142" s="1" t="n">
        <v>0</v>
      </c>
      <c r="V142" s="1" t="n">
        <v>0.984375</v>
      </c>
      <c r="W142" s="1" t="n">
        <v>0</v>
      </c>
      <c r="X142" s="1" t="n">
        <v>0</v>
      </c>
      <c r="Y142" s="1" t="n">
        <v>0</v>
      </c>
      <c r="Z142" s="1" t="n">
        <v>0</v>
      </c>
      <c r="AA142" s="1" t="n">
        <v>0</v>
      </c>
      <c r="AB142" s="1" t="n">
        <v>0</v>
      </c>
      <c r="AC142" s="1" t="n">
        <v>529200</v>
      </c>
    </row>
    <row r="143">
      <c r="A143" s="1" t="inlineStr">
        <is>
          <t>2027BUD_V1</t>
        </is>
      </c>
      <c r="B143" s="1" t="inlineStr">
        <is>
          <t>12</t>
        </is>
      </c>
      <c r="C143" s="1" t="inlineStr">
        <is>
          <t>ISCOM_LIL</t>
        </is>
      </c>
      <c r="D143" s="1" t="inlineStr">
        <is>
          <t>BAC_COM</t>
        </is>
      </c>
      <c r="E143" s="1" t="inlineStr">
        <is>
          <t>B1</t>
        </is>
      </c>
      <c r="F143" s="1" t="inlineStr">
        <is>
          <t>INIT</t>
        </is>
      </c>
      <c r="G143" s="1" t="inlineStr">
        <is>
          <t>2024</t>
        </is>
      </c>
      <c r="H143" s="1" t="n">
        <v>366</v>
      </c>
      <c r="I143" s="1" t="n">
        <v>102</v>
      </c>
      <c r="J143" s="1" t="n">
        <v>74</v>
      </c>
      <c r="K143" s="1" t="n">
        <v>44</v>
      </c>
      <c r="L143" s="1" t="n">
        <v>0</v>
      </c>
      <c r="M143" s="1" t="n">
        <v>44</v>
      </c>
      <c r="N143" s="1" t="n">
        <v>0</v>
      </c>
      <c r="O143" s="1" t="n">
        <v>2</v>
      </c>
      <c r="P143" s="1" t="n">
        <v>7350</v>
      </c>
      <c r="Q143" s="1" t="n">
        <v>90</v>
      </c>
      <c r="R143" s="1" t="n">
        <v>194</v>
      </c>
      <c r="S143" s="1" t="n">
        <v>186</v>
      </c>
      <c r="T143" s="1" t="n">
        <v>6793</v>
      </c>
      <c r="U143" s="1" t="n">
        <v>15806</v>
      </c>
      <c r="V143" s="1" t="n">
        <v>0</v>
      </c>
      <c r="W143" s="1" t="n">
        <v>0.278688525</v>
      </c>
      <c r="X143" s="1" t="n">
        <v>0.725490196</v>
      </c>
      <c r="Y143" s="1" t="n">
        <v>0.594594595</v>
      </c>
      <c r="Z143" s="1" t="n">
        <v>380</v>
      </c>
      <c r="AA143" s="1" t="n">
        <v>0.510526316</v>
      </c>
      <c r="AB143" s="1" t="n">
        <v>36.521505376</v>
      </c>
      <c r="AC143" s="1" t="n">
        <v>327360</v>
      </c>
    </row>
    <row r="144">
      <c r="A144" s="1" t="inlineStr">
        <is>
          <t>2027BUD_V1</t>
        </is>
      </c>
      <c r="B144" s="1" t="inlineStr">
        <is>
          <t>12</t>
        </is>
      </c>
      <c r="C144" s="1" t="inlineStr">
        <is>
          <t>ISCOM_LIL</t>
        </is>
      </c>
      <c r="D144" s="1" t="inlineStr">
        <is>
          <t>BAC_COM</t>
        </is>
      </c>
      <c r="E144" s="1" t="inlineStr">
        <is>
          <t>B2</t>
        </is>
      </c>
      <c r="F144" s="1" t="inlineStr">
        <is>
          <t>ALT</t>
        </is>
      </c>
      <c r="G144" s="1" t="inlineStr">
        <is>
          <t>2024</t>
        </is>
      </c>
      <c r="H144" s="1" t="n">
        <v>0</v>
      </c>
      <c r="I144" s="1" t="n">
        <v>0</v>
      </c>
      <c r="J144" s="1" t="n">
        <v>0</v>
      </c>
      <c r="K144" s="1" t="n">
        <v>0</v>
      </c>
      <c r="L144" s="1" t="n">
        <v>43</v>
      </c>
      <c r="M144" s="1" t="n">
        <v>43</v>
      </c>
      <c r="N144" s="1" t="n">
        <v>44</v>
      </c>
      <c r="O144" s="1" t="n">
        <v>2</v>
      </c>
      <c r="P144" s="1" t="n">
        <v>6860</v>
      </c>
      <c r="Q144" s="1" t="n">
        <v>90</v>
      </c>
      <c r="R144" s="1" t="n">
        <v>0</v>
      </c>
      <c r="S144" s="1" t="n">
        <v>0</v>
      </c>
      <c r="T144" s="1" t="n">
        <v>0</v>
      </c>
      <c r="U144" s="1" t="n">
        <v>0</v>
      </c>
      <c r="V144" s="1" t="n">
        <v>0.977272727</v>
      </c>
      <c r="W144" s="1" t="n">
        <v>0</v>
      </c>
      <c r="X144" s="1" t="n">
        <v>0</v>
      </c>
      <c r="Y144" s="1" t="n">
        <v>0</v>
      </c>
      <c r="Z144" s="1" t="n">
        <v>0</v>
      </c>
      <c r="AA144" s="1" t="n">
        <v>0</v>
      </c>
      <c r="AB144" s="1" t="n">
        <v>0</v>
      </c>
      <c r="AC144" s="1" t="n">
        <v>294980</v>
      </c>
    </row>
    <row r="145">
      <c r="A145" s="1" t="inlineStr">
        <is>
          <t>2027BUD_V1</t>
        </is>
      </c>
      <c r="B145" s="1" t="inlineStr">
        <is>
          <t>12</t>
        </is>
      </c>
      <c r="C145" s="1" t="inlineStr">
        <is>
          <t>ISCOM_LIL</t>
        </is>
      </c>
      <c r="D145" s="1" t="inlineStr">
        <is>
          <t>BAC_COM</t>
        </is>
      </c>
      <c r="E145" s="1" t="inlineStr">
        <is>
          <t>B3</t>
        </is>
      </c>
      <c r="F145" s="1" t="inlineStr">
        <is>
          <t>ALT</t>
        </is>
      </c>
      <c r="G145" s="1" t="inlineStr">
        <is>
          <t>2024</t>
        </is>
      </c>
      <c r="H145" s="1" t="n">
        <v>0</v>
      </c>
      <c r="I145" s="1" t="n">
        <v>0</v>
      </c>
      <c r="J145" s="1" t="n">
        <v>0</v>
      </c>
      <c r="K145" s="1" t="n">
        <v>0</v>
      </c>
      <c r="L145" s="1" t="n">
        <v>42</v>
      </c>
      <c r="M145" s="1" t="n">
        <v>42</v>
      </c>
      <c r="N145" s="1" t="n">
        <v>43</v>
      </c>
      <c r="O145" s="1" t="n">
        <v>2</v>
      </c>
      <c r="P145" s="1" t="n">
        <v>6860</v>
      </c>
      <c r="Q145" s="1" t="n">
        <v>90</v>
      </c>
      <c r="R145" s="1" t="n">
        <v>0</v>
      </c>
      <c r="S145" s="1" t="n">
        <v>0</v>
      </c>
      <c r="T145" s="1" t="n">
        <v>0</v>
      </c>
      <c r="U145" s="1" t="n">
        <v>0</v>
      </c>
      <c r="V145" s="1" t="n">
        <v>0.976744186</v>
      </c>
      <c r="W145" s="1" t="n">
        <v>0</v>
      </c>
      <c r="X145" s="1" t="n">
        <v>0</v>
      </c>
      <c r="Y145" s="1" t="n">
        <v>0</v>
      </c>
      <c r="Z145" s="1" t="n">
        <v>0</v>
      </c>
      <c r="AA145" s="1" t="n">
        <v>0</v>
      </c>
      <c r="AB145" s="1" t="n">
        <v>0</v>
      </c>
      <c r="AC145" s="1" t="n">
        <v>288120</v>
      </c>
    </row>
    <row r="146">
      <c r="A146" s="1" t="inlineStr">
        <is>
          <t>2027BUD_V1</t>
        </is>
      </c>
      <c r="B146" s="1" t="inlineStr">
        <is>
          <t>12</t>
        </is>
      </c>
      <c r="C146" s="1" t="inlineStr">
        <is>
          <t>ISCOM_LIL</t>
        </is>
      </c>
      <c r="D146" s="1" t="inlineStr">
        <is>
          <t>MAS_COM</t>
        </is>
      </c>
      <c r="E146" s="1" t="inlineStr">
        <is>
          <t>M1</t>
        </is>
      </c>
      <c r="F146" s="1" t="inlineStr">
        <is>
          <t>ALT</t>
        </is>
      </c>
      <c r="G146" s="1" t="inlineStr">
        <is>
          <t>2024</t>
        </is>
      </c>
      <c r="H146" s="1" t="n">
        <v>756</v>
      </c>
      <c r="I146" s="1" t="n">
        <v>151</v>
      </c>
      <c r="J146" s="1" t="n">
        <v>106</v>
      </c>
      <c r="K146" s="1" t="n">
        <v>44</v>
      </c>
      <c r="L146" s="1" t="n">
        <v>0</v>
      </c>
      <c r="M146" s="1" t="n">
        <v>44</v>
      </c>
      <c r="N146" s="1" t="n">
        <v>0</v>
      </c>
      <c r="O146" s="1" t="n">
        <v>2</v>
      </c>
      <c r="P146" s="1" t="n">
        <v>7350</v>
      </c>
      <c r="Q146" s="1" t="n">
        <v>90</v>
      </c>
      <c r="R146" s="1" t="n">
        <v>400</v>
      </c>
      <c r="S146" s="1" t="n">
        <v>385</v>
      </c>
      <c r="T146" s="1" t="n">
        <v>14050</v>
      </c>
      <c r="U146" s="1" t="n">
        <v>32689</v>
      </c>
      <c r="V146" s="1" t="n">
        <v>0</v>
      </c>
      <c r="W146" s="1" t="n">
        <v>0.19973545</v>
      </c>
      <c r="X146" s="1" t="n">
        <v>0.701986755</v>
      </c>
      <c r="Y146" s="1" t="n">
        <v>0.41509434</v>
      </c>
      <c r="Z146" s="1" t="n">
        <v>785</v>
      </c>
      <c r="AA146" s="1" t="n">
        <v>0.50955414</v>
      </c>
      <c r="AB146" s="1" t="n">
        <v>36.493506494</v>
      </c>
      <c r="AC146" s="1" t="n">
        <v>327360</v>
      </c>
    </row>
    <row r="147">
      <c r="A147" s="1" t="inlineStr">
        <is>
          <t>2027BUD_V1</t>
        </is>
      </c>
      <c r="B147" s="1" t="inlineStr">
        <is>
          <t>12</t>
        </is>
      </c>
      <c r="C147" s="1" t="inlineStr">
        <is>
          <t>ISCOM_LIL</t>
        </is>
      </c>
      <c r="D147" s="1" t="inlineStr">
        <is>
          <t>MAS_COM</t>
        </is>
      </c>
      <c r="E147" s="1" t="inlineStr">
        <is>
          <t>M2</t>
        </is>
      </c>
      <c r="F147" s="1" t="inlineStr">
        <is>
          <t>ALT</t>
        </is>
      </c>
      <c r="G147" s="1" t="inlineStr">
        <is>
          <t>2024</t>
        </is>
      </c>
      <c r="H147" s="1" t="n">
        <v>0</v>
      </c>
      <c r="I147" s="1" t="n">
        <v>0</v>
      </c>
      <c r="J147" s="1" t="n">
        <v>0</v>
      </c>
      <c r="K147" s="1" t="n">
        <v>0</v>
      </c>
      <c r="L147" s="1" t="n">
        <v>44</v>
      </c>
      <c r="M147" s="1" t="n">
        <v>44</v>
      </c>
      <c r="N147" s="1" t="n">
        <v>44</v>
      </c>
      <c r="O147" s="1" t="n">
        <v>2</v>
      </c>
      <c r="P147" s="1" t="n">
        <v>7350</v>
      </c>
      <c r="Q147" s="1" t="n">
        <v>90</v>
      </c>
      <c r="R147" s="1" t="n">
        <v>0</v>
      </c>
      <c r="S147" s="1" t="n">
        <v>0</v>
      </c>
      <c r="T147" s="1" t="n">
        <v>0</v>
      </c>
      <c r="U147" s="1" t="n">
        <v>0</v>
      </c>
      <c r="V147" s="1" t="n">
        <v>1</v>
      </c>
      <c r="W147" s="1" t="n">
        <v>0</v>
      </c>
      <c r="X147" s="1" t="n">
        <v>0</v>
      </c>
      <c r="Y147" s="1" t="n">
        <v>0</v>
      </c>
      <c r="Z147" s="1" t="n">
        <v>0</v>
      </c>
      <c r="AA147" s="1" t="n">
        <v>0</v>
      </c>
      <c r="AB147" s="1" t="n">
        <v>0</v>
      </c>
      <c r="AC147" s="1" t="n">
        <v>323400</v>
      </c>
    </row>
    <row r="148">
      <c r="A148" s="1" t="inlineStr">
        <is>
          <t>2027BUD_V1</t>
        </is>
      </c>
      <c r="B148" s="1" t="inlineStr">
        <is>
          <t>12</t>
        </is>
      </c>
      <c r="C148" s="1" t="inlineStr">
        <is>
          <t>ISCOM_TLS</t>
        </is>
      </c>
      <c r="D148" s="1" t="inlineStr">
        <is>
          <t>BAC_COM</t>
        </is>
      </c>
      <c r="E148" s="1" t="inlineStr">
        <is>
          <t>B1</t>
        </is>
      </c>
      <c r="F148" s="1" t="inlineStr">
        <is>
          <t>INIT</t>
        </is>
      </c>
      <c r="G148" s="1" t="inlineStr">
        <is>
          <t>2024</t>
        </is>
      </c>
      <c r="H148" s="1" t="n">
        <v>344</v>
      </c>
      <c r="I148" s="1" t="n">
        <v>96</v>
      </c>
      <c r="J148" s="1" t="n">
        <v>69</v>
      </c>
      <c r="K148" s="1" t="n">
        <v>42</v>
      </c>
      <c r="L148" s="1" t="n">
        <v>0</v>
      </c>
      <c r="M148" s="1" t="n">
        <v>42</v>
      </c>
      <c r="N148" s="1" t="n">
        <v>0</v>
      </c>
      <c r="O148" s="1" t="n">
        <v>2</v>
      </c>
      <c r="P148" s="1" t="n">
        <v>7200</v>
      </c>
      <c r="Q148" s="1" t="n">
        <v>90</v>
      </c>
      <c r="R148" s="1" t="n">
        <v>186</v>
      </c>
      <c r="S148" s="1" t="n">
        <v>171</v>
      </c>
      <c r="T148" s="1" t="n">
        <v>5940</v>
      </c>
      <c r="U148" s="1" t="n">
        <v>15179</v>
      </c>
      <c r="V148" s="1" t="n">
        <v>0</v>
      </c>
      <c r="W148" s="1" t="n">
        <v>0.279069767</v>
      </c>
      <c r="X148" s="1" t="n">
        <v>0.71875</v>
      </c>
      <c r="Y148" s="1" t="n">
        <v>0.608695652</v>
      </c>
      <c r="Z148" s="1" t="n">
        <v>357</v>
      </c>
      <c r="AA148" s="1" t="n">
        <v>0.521008403</v>
      </c>
      <c r="AB148" s="1" t="n">
        <v>34.736842105</v>
      </c>
      <c r="AC148" s="1" t="n">
        <v>306180</v>
      </c>
    </row>
    <row r="149">
      <c r="A149" s="1" t="inlineStr">
        <is>
          <t>2027BUD_V1</t>
        </is>
      </c>
      <c r="B149" s="1" t="inlineStr">
        <is>
          <t>12</t>
        </is>
      </c>
      <c r="C149" s="1" t="inlineStr">
        <is>
          <t>ISCOM_TLS</t>
        </is>
      </c>
      <c r="D149" s="1" t="inlineStr">
        <is>
          <t>BAC_COM</t>
        </is>
      </c>
      <c r="E149" s="1" t="inlineStr">
        <is>
          <t>B2</t>
        </is>
      </c>
      <c r="F149" s="1" t="inlineStr">
        <is>
          <t>ALT</t>
        </is>
      </c>
      <c r="G149" s="1" t="inlineStr">
        <is>
          <t>2024</t>
        </is>
      </c>
      <c r="H149" s="1" t="n">
        <v>0</v>
      </c>
      <c r="I149" s="1" t="n">
        <v>0</v>
      </c>
      <c r="J149" s="1" t="n">
        <v>0</v>
      </c>
      <c r="K149" s="1" t="n">
        <v>0</v>
      </c>
      <c r="L149" s="1" t="n">
        <v>41</v>
      </c>
      <c r="M149" s="1" t="n">
        <v>41</v>
      </c>
      <c r="N149" s="1" t="n">
        <v>42</v>
      </c>
      <c r="O149" s="1" t="n">
        <v>2</v>
      </c>
      <c r="P149" s="1" t="n">
        <v>6720</v>
      </c>
      <c r="Q149" s="1" t="n">
        <v>90</v>
      </c>
      <c r="R149" s="1" t="n">
        <v>0</v>
      </c>
      <c r="S149" s="1" t="n">
        <v>0</v>
      </c>
      <c r="T149" s="1" t="n">
        <v>0</v>
      </c>
      <c r="U149" s="1" t="n">
        <v>0</v>
      </c>
      <c r="V149" s="1" t="n">
        <v>0.976190476</v>
      </c>
      <c r="W149" s="1" t="n">
        <v>0</v>
      </c>
      <c r="X149" s="1" t="n">
        <v>0</v>
      </c>
      <c r="Y149" s="1" t="n">
        <v>0</v>
      </c>
      <c r="Z149" s="1" t="n">
        <v>0</v>
      </c>
      <c r="AA149" s="1" t="n">
        <v>0</v>
      </c>
      <c r="AB149" s="1" t="n">
        <v>0</v>
      </c>
      <c r="AC149" s="1" t="n">
        <v>275520</v>
      </c>
    </row>
    <row r="150">
      <c r="A150" s="1" t="inlineStr">
        <is>
          <t>2027BUD_V1</t>
        </is>
      </c>
      <c r="B150" s="1" t="inlineStr">
        <is>
          <t>12</t>
        </is>
      </c>
      <c r="C150" s="1" t="inlineStr">
        <is>
          <t>ISCOM_TLS</t>
        </is>
      </c>
      <c r="D150" s="1" t="inlineStr">
        <is>
          <t>BAC_COM</t>
        </is>
      </c>
      <c r="E150" s="1" t="inlineStr">
        <is>
          <t>B3</t>
        </is>
      </c>
      <c r="F150" s="1" t="inlineStr">
        <is>
          <t>ALT</t>
        </is>
      </c>
      <c r="G150" s="1" t="inlineStr">
        <is>
          <t>2024</t>
        </is>
      </c>
      <c r="H150" s="1" t="n">
        <v>0</v>
      </c>
      <c r="I150" s="1" t="n">
        <v>0</v>
      </c>
      <c r="J150" s="1" t="n">
        <v>0</v>
      </c>
      <c r="K150" s="1" t="n">
        <v>0</v>
      </c>
      <c r="L150" s="1" t="n">
        <v>40</v>
      </c>
      <c r="M150" s="1" t="n">
        <v>40</v>
      </c>
      <c r="N150" s="1" t="n">
        <v>41</v>
      </c>
      <c r="O150" s="1" t="n">
        <v>2</v>
      </c>
      <c r="P150" s="1" t="n">
        <v>6720</v>
      </c>
      <c r="Q150" s="1" t="n">
        <v>90</v>
      </c>
      <c r="R150" s="1" t="n">
        <v>0</v>
      </c>
      <c r="S150" s="1" t="n">
        <v>0</v>
      </c>
      <c r="T150" s="1" t="n">
        <v>0</v>
      </c>
      <c r="U150" s="1" t="n">
        <v>0</v>
      </c>
      <c r="V150" s="1" t="n">
        <v>0.975609756</v>
      </c>
      <c r="W150" s="1" t="n">
        <v>0</v>
      </c>
      <c r="X150" s="1" t="n">
        <v>0</v>
      </c>
      <c r="Y150" s="1" t="n">
        <v>0</v>
      </c>
      <c r="Z150" s="1" t="n">
        <v>0</v>
      </c>
      <c r="AA150" s="1" t="n">
        <v>0</v>
      </c>
      <c r="AB150" s="1" t="n">
        <v>0</v>
      </c>
      <c r="AC150" s="1" t="n">
        <v>268800</v>
      </c>
    </row>
    <row r="151">
      <c r="A151" s="1" t="inlineStr">
        <is>
          <t>2027BUD_V1</t>
        </is>
      </c>
      <c r="B151" s="1" t="inlineStr">
        <is>
          <t>12</t>
        </is>
      </c>
      <c r="C151" s="1" t="inlineStr">
        <is>
          <t>ISCOM_TLS</t>
        </is>
      </c>
      <c r="D151" s="1" t="inlineStr">
        <is>
          <t>MAS_COM</t>
        </is>
      </c>
      <c r="E151" s="1" t="inlineStr">
        <is>
          <t>M1</t>
        </is>
      </c>
      <c r="F151" s="1" t="inlineStr">
        <is>
          <t>ALT</t>
        </is>
      </c>
      <c r="G151" s="1" t="inlineStr">
        <is>
          <t>2024</t>
        </is>
      </c>
      <c r="H151" s="1" t="n">
        <v>712</v>
      </c>
      <c r="I151" s="1" t="n">
        <v>142</v>
      </c>
      <c r="J151" s="1" t="n">
        <v>100</v>
      </c>
      <c r="K151" s="1" t="n">
        <v>42</v>
      </c>
      <c r="L151" s="1" t="n">
        <v>0</v>
      </c>
      <c r="M151" s="1" t="n">
        <v>42</v>
      </c>
      <c r="N151" s="1" t="n">
        <v>0</v>
      </c>
      <c r="O151" s="1" t="n">
        <v>2</v>
      </c>
      <c r="P151" s="1" t="n">
        <v>7200</v>
      </c>
      <c r="Q151" s="1" t="n">
        <v>90</v>
      </c>
      <c r="R151" s="1" t="n">
        <v>384</v>
      </c>
      <c r="S151" s="1" t="n">
        <v>355</v>
      </c>
      <c r="T151" s="1" t="n">
        <v>12311</v>
      </c>
      <c r="U151" s="1" t="n">
        <v>31458</v>
      </c>
      <c r="V151" s="1" t="n">
        <v>0</v>
      </c>
      <c r="W151" s="1" t="n">
        <v>0.199438202</v>
      </c>
      <c r="X151" s="1" t="n">
        <v>0.704225352</v>
      </c>
      <c r="Y151" s="1" t="n">
        <v>0.42</v>
      </c>
      <c r="Z151" s="1" t="n">
        <v>739</v>
      </c>
      <c r="AA151" s="1" t="n">
        <v>0.51962111</v>
      </c>
      <c r="AB151" s="1" t="n">
        <v>34.678873239</v>
      </c>
      <c r="AC151" s="1" t="n">
        <v>306180</v>
      </c>
    </row>
    <row r="152">
      <c r="A152" s="1" t="inlineStr">
        <is>
          <t>2027BUD_V1</t>
        </is>
      </c>
      <c r="B152" s="1" t="inlineStr">
        <is>
          <t>12</t>
        </is>
      </c>
      <c r="C152" s="1" t="inlineStr">
        <is>
          <t>ISCOM_TLS</t>
        </is>
      </c>
      <c r="D152" s="1" t="inlineStr">
        <is>
          <t>MAS_COM</t>
        </is>
      </c>
      <c r="E152" s="1" t="inlineStr">
        <is>
          <t>M2</t>
        </is>
      </c>
      <c r="F152" s="1" t="inlineStr">
        <is>
          <t>ALT</t>
        </is>
      </c>
      <c r="G152" s="1" t="inlineStr">
        <is>
          <t>2024</t>
        </is>
      </c>
      <c r="H152" s="1" t="n">
        <v>0</v>
      </c>
      <c r="I152" s="1" t="n">
        <v>0</v>
      </c>
      <c r="J152" s="1" t="n">
        <v>0</v>
      </c>
      <c r="K152" s="1" t="n">
        <v>0</v>
      </c>
      <c r="L152" s="1" t="n">
        <v>41</v>
      </c>
      <c r="M152" s="1" t="n">
        <v>41</v>
      </c>
      <c r="N152" s="1" t="n">
        <v>42</v>
      </c>
      <c r="O152" s="1" t="n">
        <v>2</v>
      </c>
      <c r="P152" s="1" t="n">
        <v>7200</v>
      </c>
      <c r="Q152" s="1" t="n">
        <v>90</v>
      </c>
      <c r="R152" s="1" t="n">
        <v>0</v>
      </c>
      <c r="S152" s="1" t="n">
        <v>0</v>
      </c>
      <c r="T152" s="1" t="n">
        <v>0</v>
      </c>
      <c r="U152" s="1" t="n">
        <v>0</v>
      </c>
      <c r="V152" s="1" t="n">
        <v>0.976190476</v>
      </c>
      <c r="W152" s="1" t="n">
        <v>0</v>
      </c>
      <c r="X152" s="1" t="n">
        <v>0</v>
      </c>
      <c r="Y152" s="1" t="n">
        <v>0</v>
      </c>
      <c r="Z152" s="1" t="n">
        <v>0</v>
      </c>
      <c r="AA152" s="1" t="n">
        <v>0</v>
      </c>
      <c r="AB152" s="1" t="n">
        <v>0</v>
      </c>
      <c r="AC152" s="1" t="n">
        <v>295200</v>
      </c>
    </row>
    <row r="153">
      <c r="A153" s="1" t="inlineStr">
        <is>
          <t>2027BUD_V1</t>
        </is>
      </c>
      <c r="B153" s="1" t="inlineStr">
        <is>
          <t>12</t>
        </is>
      </c>
      <c r="C153" s="1" t="inlineStr">
        <is>
          <t>IPAC_NAN</t>
        </is>
      </c>
      <c r="D153" s="1" t="inlineStr">
        <is>
          <t>BAC_CCE</t>
        </is>
      </c>
      <c r="E153" s="1" t="inlineStr">
        <is>
          <t>B1</t>
        </is>
      </c>
      <c r="F153" s="1" t="inlineStr">
        <is>
          <t>ALT</t>
        </is>
      </c>
      <c r="G153" s="1" t="inlineStr">
        <is>
          <t>2024</t>
        </is>
      </c>
      <c r="H153" s="1" t="n">
        <v>756</v>
      </c>
      <c r="I153" s="1" t="n">
        <v>151</v>
      </c>
      <c r="J153" s="1" t="n">
        <v>106</v>
      </c>
      <c r="K153" s="1" t="n">
        <v>44</v>
      </c>
      <c r="L153" s="1" t="n">
        <v>0</v>
      </c>
      <c r="M153" s="1" t="n">
        <v>44</v>
      </c>
      <c r="N153" s="1" t="n">
        <v>0</v>
      </c>
      <c r="O153" s="1" t="n">
        <v>2</v>
      </c>
      <c r="P153" s="1" t="n">
        <v>7000</v>
      </c>
      <c r="Q153" s="1" t="n">
        <v>90</v>
      </c>
      <c r="R153" s="1" t="n">
        <v>258</v>
      </c>
      <c r="S153" s="1" t="n">
        <v>489</v>
      </c>
      <c r="T153" s="1" t="n">
        <v>17983</v>
      </c>
      <c r="U153" s="1" t="n">
        <v>15937</v>
      </c>
      <c r="V153" s="1" t="n">
        <v>0</v>
      </c>
      <c r="W153" s="1" t="n">
        <v>0.19973545</v>
      </c>
      <c r="X153" s="1" t="n">
        <v>0.701986755</v>
      </c>
      <c r="Y153" s="1" t="n">
        <v>0.41509434</v>
      </c>
      <c r="Z153" s="1" t="n">
        <v>747</v>
      </c>
      <c r="AA153" s="1" t="n">
        <v>0.345381526</v>
      </c>
      <c r="AB153" s="1" t="n">
        <v>36.775051125</v>
      </c>
      <c r="AC153" s="1" t="n">
        <v>311960</v>
      </c>
    </row>
    <row r="154">
      <c r="A154" s="1" t="inlineStr">
        <is>
          <t>2027BUD_V1</t>
        </is>
      </c>
      <c r="B154" s="1" t="inlineStr">
        <is>
          <t>12</t>
        </is>
      </c>
      <c r="C154" s="1" t="inlineStr">
        <is>
          <t>IPAC_NAN</t>
        </is>
      </c>
      <c r="D154" s="1" t="inlineStr">
        <is>
          <t>BAC_CCE</t>
        </is>
      </c>
      <c r="E154" s="1" t="inlineStr">
        <is>
          <t>B2</t>
        </is>
      </c>
      <c r="F154" s="1" t="inlineStr">
        <is>
          <t>ALT</t>
        </is>
      </c>
      <c r="G154" s="1" t="inlineStr">
        <is>
          <t>2024</t>
        </is>
      </c>
      <c r="H154" s="1" t="n">
        <v>0</v>
      </c>
      <c r="I154" s="1" t="n">
        <v>0</v>
      </c>
      <c r="J154" s="1" t="n">
        <v>0</v>
      </c>
      <c r="K154" s="1" t="n">
        <v>0</v>
      </c>
      <c r="L154" s="1" t="n">
        <v>43</v>
      </c>
      <c r="M154" s="1" t="n">
        <v>43</v>
      </c>
      <c r="N154" s="1" t="n">
        <v>44</v>
      </c>
      <c r="O154" s="1" t="n">
        <v>2</v>
      </c>
      <c r="P154" s="1" t="n">
        <v>7000</v>
      </c>
      <c r="Q154" s="1" t="n">
        <v>90</v>
      </c>
      <c r="R154" s="1" t="n">
        <v>0</v>
      </c>
      <c r="S154" s="1" t="n">
        <v>0</v>
      </c>
      <c r="T154" s="1" t="n">
        <v>0</v>
      </c>
      <c r="U154" s="1" t="n">
        <v>0</v>
      </c>
      <c r="V154" s="1" t="n">
        <v>0.977272727</v>
      </c>
      <c r="W154" s="1" t="n">
        <v>0</v>
      </c>
      <c r="X154" s="1" t="n">
        <v>0</v>
      </c>
      <c r="Y154" s="1" t="n">
        <v>0</v>
      </c>
      <c r="Z154" s="1" t="n">
        <v>0</v>
      </c>
      <c r="AA154" s="1" t="n">
        <v>0</v>
      </c>
      <c r="AB154" s="1" t="n">
        <v>0</v>
      </c>
      <c r="AC154" s="1" t="n">
        <v>301000</v>
      </c>
    </row>
    <row r="155">
      <c r="A155" s="1" t="inlineStr">
        <is>
          <t>2027BUD_V1</t>
        </is>
      </c>
      <c r="B155" s="1" t="inlineStr">
        <is>
          <t>12</t>
        </is>
      </c>
      <c r="C155" s="1" t="inlineStr">
        <is>
          <t>IPAC_NAN</t>
        </is>
      </c>
      <c r="D155" s="1" t="inlineStr">
        <is>
          <t>BAC_CCE</t>
        </is>
      </c>
      <c r="E155" s="1" t="inlineStr">
        <is>
          <t>B3</t>
        </is>
      </c>
      <c r="F155" s="1" t="inlineStr">
        <is>
          <t>ALT</t>
        </is>
      </c>
      <c r="G155" s="1" t="inlineStr">
        <is>
          <t>2024</t>
        </is>
      </c>
      <c r="H155" s="1" t="n">
        <v>0</v>
      </c>
      <c r="I155" s="1" t="n">
        <v>0</v>
      </c>
      <c r="J155" s="1" t="n">
        <v>0</v>
      </c>
      <c r="K155" s="1" t="n">
        <v>0</v>
      </c>
      <c r="L155" s="1" t="n">
        <v>42</v>
      </c>
      <c r="M155" s="1" t="n">
        <v>42</v>
      </c>
      <c r="N155" s="1" t="n">
        <v>43</v>
      </c>
      <c r="O155" s="1" t="n">
        <v>2</v>
      </c>
      <c r="P155" s="1" t="n">
        <v>7000</v>
      </c>
      <c r="Q155" s="1" t="n">
        <v>90</v>
      </c>
      <c r="R155" s="1" t="n">
        <v>0</v>
      </c>
      <c r="S155" s="1" t="n">
        <v>0</v>
      </c>
      <c r="T155" s="1" t="n">
        <v>0</v>
      </c>
      <c r="U155" s="1" t="n">
        <v>0</v>
      </c>
      <c r="V155" s="1" t="n">
        <v>0.976744186</v>
      </c>
      <c r="W155" s="1" t="n">
        <v>0</v>
      </c>
      <c r="X155" s="1" t="n">
        <v>0</v>
      </c>
      <c r="Y155" s="1" t="n">
        <v>0</v>
      </c>
      <c r="Z155" s="1" t="n">
        <v>0</v>
      </c>
      <c r="AA155" s="1" t="n">
        <v>0</v>
      </c>
      <c r="AB155" s="1" t="n">
        <v>0</v>
      </c>
      <c r="AC155" s="1" t="n">
        <v>294000</v>
      </c>
    </row>
    <row r="156">
      <c r="A156" s="1" t="inlineStr">
        <is>
          <t>2027BUD_V1</t>
        </is>
      </c>
      <c r="B156" s="1" t="inlineStr">
        <is>
          <t>12</t>
        </is>
      </c>
      <c r="C156" s="1" t="inlineStr">
        <is>
          <t>IPAC_REN</t>
        </is>
      </c>
      <c r="D156" s="1" t="inlineStr">
        <is>
          <t>BAC_CCE</t>
        </is>
      </c>
      <c r="E156" s="1" t="inlineStr">
        <is>
          <t>B1</t>
        </is>
      </c>
      <c r="F156" s="1" t="inlineStr">
        <is>
          <t>ALT</t>
        </is>
      </c>
      <c r="G156" s="1" t="inlineStr">
        <is>
          <t>2024</t>
        </is>
      </c>
      <c r="H156" s="1" t="n">
        <v>605</v>
      </c>
      <c r="I156" s="1" t="n">
        <v>121</v>
      </c>
      <c r="J156" s="1" t="n">
        <v>85</v>
      </c>
      <c r="K156" s="1" t="n">
        <v>36</v>
      </c>
      <c r="L156" s="1" t="n">
        <v>0</v>
      </c>
      <c r="M156" s="1" t="n">
        <v>36</v>
      </c>
      <c r="N156" s="1" t="n">
        <v>0</v>
      </c>
      <c r="O156" s="1" t="n">
        <v>2</v>
      </c>
      <c r="P156" s="1" t="n">
        <v>6650</v>
      </c>
      <c r="Q156" s="1" t="n">
        <v>90</v>
      </c>
      <c r="R156" s="1" t="n">
        <v>223</v>
      </c>
      <c r="S156" s="1" t="n">
        <v>371</v>
      </c>
      <c r="T156" s="1" t="n">
        <v>12341</v>
      </c>
      <c r="U156" s="1" t="n">
        <v>14022</v>
      </c>
      <c r="V156" s="1" t="n">
        <v>0</v>
      </c>
      <c r="W156" s="1" t="n">
        <v>0.2</v>
      </c>
      <c r="X156" s="1" t="n">
        <v>0.702479339</v>
      </c>
      <c r="Y156" s="1" t="n">
        <v>0.423529412</v>
      </c>
      <c r="Z156" s="1" t="n">
        <v>594</v>
      </c>
      <c r="AA156" s="1" t="n">
        <v>0.375420875</v>
      </c>
      <c r="AB156" s="1" t="n">
        <v>33.264150943</v>
      </c>
      <c r="AC156" s="1" t="n">
        <v>242640</v>
      </c>
    </row>
    <row r="157">
      <c r="A157" s="1" t="inlineStr">
        <is>
          <t>2027BUD_V1</t>
        </is>
      </c>
      <c r="B157" s="1" t="inlineStr">
        <is>
          <t>12</t>
        </is>
      </c>
      <c r="C157" s="1" t="inlineStr">
        <is>
          <t>IPAC_REN</t>
        </is>
      </c>
      <c r="D157" s="1" t="inlineStr">
        <is>
          <t>BAC_CCE</t>
        </is>
      </c>
      <c r="E157" s="1" t="inlineStr">
        <is>
          <t>B2</t>
        </is>
      </c>
      <c r="F157" s="1" t="inlineStr">
        <is>
          <t>ALT</t>
        </is>
      </c>
      <c r="G157" s="1" t="inlineStr">
        <is>
          <t>2024</t>
        </is>
      </c>
      <c r="H157" s="1" t="n">
        <v>0</v>
      </c>
      <c r="I157" s="1" t="n">
        <v>0</v>
      </c>
      <c r="J157" s="1" t="n">
        <v>0</v>
      </c>
      <c r="K157" s="1" t="n">
        <v>0</v>
      </c>
      <c r="L157" s="1" t="n">
        <v>35</v>
      </c>
      <c r="M157" s="1" t="n">
        <v>35</v>
      </c>
      <c r="N157" s="1" t="n">
        <v>36</v>
      </c>
      <c r="O157" s="1" t="n">
        <v>2</v>
      </c>
      <c r="P157" s="1" t="n">
        <v>6650</v>
      </c>
      <c r="Q157" s="1" t="n">
        <v>90</v>
      </c>
      <c r="R157" s="1" t="n">
        <v>0</v>
      </c>
      <c r="S157" s="1" t="n">
        <v>0</v>
      </c>
      <c r="T157" s="1" t="n">
        <v>0</v>
      </c>
      <c r="U157" s="1" t="n">
        <v>0</v>
      </c>
      <c r="V157" s="1" t="n">
        <v>0.972222222</v>
      </c>
      <c r="W157" s="1" t="n">
        <v>0</v>
      </c>
      <c r="X157" s="1" t="n">
        <v>0</v>
      </c>
      <c r="Y157" s="1" t="n">
        <v>0</v>
      </c>
      <c r="Z157" s="1" t="n">
        <v>0</v>
      </c>
      <c r="AA157" s="1" t="n">
        <v>0</v>
      </c>
      <c r="AB157" s="1" t="n">
        <v>0</v>
      </c>
      <c r="AC157" s="1" t="n">
        <v>232750</v>
      </c>
    </row>
    <row r="158">
      <c r="A158" s="1" t="inlineStr">
        <is>
          <t>2027BUD_V1</t>
        </is>
      </c>
      <c r="B158" s="1" t="inlineStr">
        <is>
          <t>12</t>
        </is>
      </c>
      <c r="C158" s="1" t="inlineStr">
        <is>
          <t>IPAC_REN</t>
        </is>
      </c>
      <c r="D158" s="1" t="inlineStr">
        <is>
          <t>BAC_CCE</t>
        </is>
      </c>
      <c r="E158" s="1" t="inlineStr">
        <is>
          <t>B3</t>
        </is>
      </c>
      <c r="F158" s="1" t="inlineStr">
        <is>
          <t>ALT</t>
        </is>
      </c>
      <c r="G158" s="1" t="inlineStr">
        <is>
          <t>2024</t>
        </is>
      </c>
      <c r="H158" s="1" t="n">
        <v>0</v>
      </c>
      <c r="I158" s="1" t="n">
        <v>0</v>
      </c>
      <c r="J158" s="1" t="n">
        <v>0</v>
      </c>
      <c r="K158" s="1" t="n">
        <v>0</v>
      </c>
      <c r="L158" s="1" t="n">
        <v>34</v>
      </c>
      <c r="M158" s="1" t="n">
        <v>34</v>
      </c>
      <c r="N158" s="1" t="n">
        <v>35</v>
      </c>
      <c r="O158" s="1" t="n">
        <v>2</v>
      </c>
      <c r="P158" s="1" t="n">
        <v>6650</v>
      </c>
      <c r="Q158" s="1" t="n">
        <v>90</v>
      </c>
      <c r="R158" s="1" t="n">
        <v>0</v>
      </c>
      <c r="S158" s="1" t="n">
        <v>0</v>
      </c>
      <c r="T158" s="1" t="n">
        <v>0</v>
      </c>
      <c r="U158" s="1" t="n">
        <v>0</v>
      </c>
      <c r="V158" s="1" t="n">
        <v>0.971428571</v>
      </c>
      <c r="W158" s="1" t="n">
        <v>0</v>
      </c>
      <c r="X158" s="1" t="n">
        <v>0</v>
      </c>
      <c r="Y158" s="1" t="n">
        <v>0</v>
      </c>
      <c r="Z158" s="1" t="n">
        <v>0</v>
      </c>
      <c r="AA158" s="1" t="n">
        <v>0</v>
      </c>
      <c r="AB158" s="1" t="n">
        <v>0</v>
      </c>
      <c r="AC158" s="1" t="n">
        <v>226100</v>
      </c>
    </row>
    <row r="159">
      <c r="A159" s="1" t="inlineStr">
        <is>
          <t>2027BUD_V1</t>
        </is>
      </c>
      <c r="B159" s="1" t="inlineStr">
        <is>
          <t>12</t>
        </is>
      </c>
      <c r="C159" s="1" t="inlineStr">
        <is>
          <t>IPAC_MTP</t>
        </is>
      </c>
      <c r="D159" s="1" t="inlineStr">
        <is>
          <t>BAC_CCE</t>
        </is>
      </c>
      <c r="E159" s="1" t="inlineStr">
        <is>
          <t>B1</t>
        </is>
      </c>
      <c r="F159" s="1" t="inlineStr">
        <is>
          <t>ALT</t>
        </is>
      </c>
      <c r="G159" s="1" t="inlineStr">
        <is>
          <t>2024</t>
        </is>
      </c>
      <c r="H159" s="1" t="n">
        <v>605</v>
      </c>
      <c r="I159" s="1" t="n">
        <v>121</v>
      </c>
      <c r="J159" s="1" t="n">
        <v>85</v>
      </c>
      <c r="K159" s="1" t="n">
        <v>36</v>
      </c>
      <c r="L159" s="1" t="n">
        <v>0</v>
      </c>
      <c r="M159" s="1" t="n">
        <v>36</v>
      </c>
      <c r="N159" s="1" t="n">
        <v>0</v>
      </c>
      <c r="O159" s="1" t="n">
        <v>2</v>
      </c>
      <c r="P159" s="1" t="n">
        <v>6650</v>
      </c>
      <c r="Q159" s="1" t="n">
        <v>90</v>
      </c>
      <c r="R159" s="1" t="n">
        <v>217</v>
      </c>
      <c r="S159" s="1" t="n">
        <v>377</v>
      </c>
      <c r="T159" s="1" t="n">
        <v>12543</v>
      </c>
      <c r="U159" s="1" t="n">
        <v>13581</v>
      </c>
      <c r="V159" s="1" t="n">
        <v>0</v>
      </c>
      <c r="W159" s="1" t="n">
        <v>0.2</v>
      </c>
      <c r="X159" s="1" t="n">
        <v>0.702479339</v>
      </c>
      <c r="Y159" s="1" t="n">
        <v>0.423529412</v>
      </c>
      <c r="Z159" s="1" t="n">
        <v>594</v>
      </c>
      <c r="AA159" s="1" t="n">
        <v>0.365319865</v>
      </c>
      <c r="AB159" s="1" t="n">
        <v>33.270557029</v>
      </c>
      <c r="AC159" s="1" t="n">
        <v>242640</v>
      </c>
    </row>
    <row r="160">
      <c r="A160" s="1" t="inlineStr">
        <is>
          <t>2027BUD_V1</t>
        </is>
      </c>
      <c r="B160" s="1" t="inlineStr">
        <is>
          <t>12</t>
        </is>
      </c>
      <c r="C160" s="1" t="inlineStr">
        <is>
          <t>IPAC_MTP</t>
        </is>
      </c>
      <c r="D160" s="1" t="inlineStr">
        <is>
          <t>BAC_CCE</t>
        </is>
      </c>
      <c r="E160" s="1" t="inlineStr">
        <is>
          <t>B2</t>
        </is>
      </c>
      <c r="F160" s="1" t="inlineStr">
        <is>
          <t>ALT</t>
        </is>
      </c>
      <c r="G160" s="1" t="inlineStr">
        <is>
          <t>2024</t>
        </is>
      </c>
      <c r="H160" s="1" t="n">
        <v>0</v>
      </c>
      <c r="I160" s="1" t="n">
        <v>0</v>
      </c>
      <c r="J160" s="1" t="n">
        <v>0</v>
      </c>
      <c r="K160" s="1" t="n">
        <v>0</v>
      </c>
      <c r="L160" s="1" t="n">
        <v>35</v>
      </c>
      <c r="M160" s="1" t="n">
        <v>35</v>
      </c>
      <c r="N160" s="1" t="n">
        <v>36</v>
      </c>
      <c r="O160" s="1" t="n">
        <v>2</v>
      </c>
      <c r="P160" s="1" t="n">
        <v>6650</v>
      </c>
      <c r="Q160" s="1" t="n">
        <v>90</v>
      </c>
      <c r="R160" s="1" t="n">
        <v>0</v>
      </c>
      <c r="S160" s="1" t="n">
        <v>0</v>
      </c>
      <c r="T160" s="1" t="n">
        <v>0</v>
      </c>
      <c r="U160" s="1" t="n">
        <v>0</v>
      </c>
      <c r="V160" s="1" t="n">
        <v>0.972222222</v>
      </c>
      <c r="W160" s="1" t="n">
        <v>0</v>
      </c>
      <c r="X160" s="1" t="n">
        <v>0</v>
      </c>
      <c r="Y160" s="1" t="n">
        <v>0</v>
      </c>
      <c r="Z160" s="1" t="n">
        <v>0</v>
      </c>
      <c r="AA160" s="1" t="n">
        <v>0</v>
      </c>
      <c r="AB160" s="1" t="n">
        <v>0</v>
      </c>
      <c r="AC160" s="1" t="n">
        <v>232750</v>
      </c>
    </row>
    <row r="161">
      <c r="A161" s="1" t="inlineStr">
        <is>
          <t>2027BUD_V1</t>
        </is>
      </c>
      <c r="B161" s="1" t="inlineStr">
        <is>
          <t>12</t>
        </is>
      </c>
      <c r="C161" s="1" t="inlineStr">
        <is>
          <t>IPAC_MTP</t>
        </is>
      </c>
      <c r="D161" s="1" t="inlineStr">
        <is>
          <t>BAC_CCE</t>
        </is>
      </c>
      <c r="E161" s="1" t="inlineStr">
        <is>
          <t>B3</t>
        </is>
      </c>
      <c r="F161" s="1" t="inlineStr">
        <is>
          <t>ALT</t>
        </is>
      </c>
      <c r="G161" s="1" t="inlineStr">
        <is>
          <t>2024</t>
        </is>
      </c>
      <c r="H161" s="1" t="n">
        <v>0</v>
      </c>
      <c r="I161" s="1" t="n">
        <v>0</v>
      </c>
      <c r="J161" s="1" t="n">
        <v>0</v>
      </c>
      <c r="K161" s="1" t="n">
        <v>0</v>
      </c>
      <c r="L161" s="1" t="n">
        <v>34</v>
      </c>
      <c r="M161" s="1" t="n">
        <v>34</v>
      </c>
      <c r="N161" s="1" t="n">
        <v>35</v>
      </c>
      <c r="O161" s="1" t="n">
        <v>2</v>
      </c>
      <c r="P161" s="1" t="n">
        <v>6650</v>
      </c>
      <c r="Q161" s="1" t="n">
        <v>90</v>
      </c>
      <c r="R161" s="1" t="n">
        <v>0</v>
      </c>
      <c r="S161" s="1" t="n">
        <v>0</v>
      </c>
      <c r="T161" s="1" t="n">
        <v>0</v>
      </c>
      <c r="U161" s="1" t="n">
        <v>0</v>
      </c>
      <c r="V161" s="1" t="n">
        <v>0.971428571</v>
      </c>
      <c r="W161" s="1" t="n">
        <v>0</v>
      </c>
      <c r="X161" s="1" t="n">
        <v>0</v>
      </c>
      <c r="Y161" s="1" t="n">
        <v>0</v>
      </c>
      <c r="Z161" s="1" t="n">
        <v>0</v>
      </c>
      <c r="AA161" s="1" t="n">
        <v>0</v>
      </c>
      <c r="AB161" s="1" t="n">
        <v>0</v>
      </c>
      <c r="AC161" s="1" t="n">
        <v>226100</v>
      </c>
    </row>
    <row r="162">
      <c r="A162" s="1" t="inlineStr">
        <is>
          <t>2027BUD_V1</t>
        </is>
      </c>
      <c r="B162" s="1" t="inlineStr">
        <is>
          <t>12</t>
        </is>
      </c>
      <c r="C162" s="1" t="inlineStr">
        <is>
          <t>PIGIER_LYO</t>
        </is>
      </c>
      <c r="D162" s="1" t="inlineStr">
        <is>
          <t>BTS_GES</t>
        </is>
      </c>
      <c r="E162" s="1" t="inlineStr">
        <is>
          <t>BTS1</t>
        </is>
      </c>
      <c r="F162" s="1" t="inlineStr">
        <is>
          <t>ALT</t>
        </is>
      </c>
      <c r="G162" s="1" t="inlineStr">
        <is>
          <t>2024</t>
        </is>
      </c>
      <c r="H162" s="1" t="n">
        <v>699</v>
      </c>
      <c r="I162" s="1" t="n">
        <v>140</v>
      </c>
      <c r="J162" s="1" t="n">
        <v>98</v>
      </c>
      <c r="K162" s="1" t="n">
        <v>41</v>
      </c>
      <c r="L162" s="1" t="n">
        <v>0</v>
      </c>
      <c r="M162" s="1" t="n">
        <v>41</v>
      </c>
      <c r="N162" s="1" t="n">
        <v>0</v>
      </c>
      <c r="O162" s="1" t="n">
        <v>2</v>
      </c>
      <c r="P162" s="1" t="n">
        <v>6300</v>
      </c>
      <c r="Q162" s="1" t="n">
        <v>90</v>
      </c>
      <c r="R162" s="1" t="n">
        <v>341</v>
      </c>
      <c r="S162" s="1" t="n">
        <v>382</v>
      </c>
      <c r="T162" s="1" t="n">
        <v>15129</v>
      </c>
      <c r="U162" s="1" t="n">
        <v>26720</v>
      </c>
      <c r="V162" s="1" t="n">
        <v>0</v>
      </c>
      <c r="W162" s="1" t="n">
        <v>0.200286123</v>
      </c>
      <c r="X162" s="1" t="n">
        <v>0.7</v>
      </c>
      <c r="Y162" s="1" t="n">
        <v>0.418367347</v>
      </c>
      <c r="Z162" s="1" t="n">
        <v>723</v>
      </c>
      <c r="AA162" s="1" t="n">
        <v>0.47164592</v>
      </c>
      <c r="AB162" s="1" t="n">
        <v>39.604712042</v>
      </c>
      <c r="AC162" s="1" t="n">
        <v>261990</v>
      </c>
    </row>
    <row r="163">
      <c r="A163" s="1" t="inlineStr">
        <is>
          <t>2027BUD_V1</t>
        </is>
      </c>
      <c r="B163" s="1" t="inlineStr">
        <is>
          <t>12</t>
        </is>
      </c>
      <c r="C163" s="1" t="inlineStr">
        <is>
          <t>PIGIER_LYO</t>
        </is>
      </c>
      <c r="D163" s="1" t="inlineStr">
        <is>
          <t>BTS_GES</t>
        </is>
      </c>
      <c r="E163" s="1" t="inlineStr">
        <is>
          <t>BTS2</t>
        </is>
      </c>
      <c r="F163" s="1" t="inlineStr">
        <is>
          <t>ALT</t>
        </is>
      </c>
      <c r="G163" s="1" t="inlineStr">
        <is>
          <t>2024</t>
        </is>
      </c>
      <c r="H163" s="1" t="n">
        <v>0</v>
      </c>
      <c r="I163" s="1" t="n">
        <v>0</v>
      </c>
      <c r="J163" s="1" t="n">
        <v>0</v>
      </c>
      <c r="K163" s="1" t="n">
        <v>0</v>
      </c>
      <c r="L163" s="1" t="n">
        <v>40</v>
      </c>
      <c r="M163" s="1" t="n">
        <v>40</v>
      </c>
      <c r="N163" s="1" t="n">
        <v>41</v>
      </c>
      <c r="O163" s="1" t="n">
        <v>2</v>
      </c>
      <c r="P163" s="1" t="n">
        <v>6300</v>
      </c>
      <c r="Q163" s="1" t="n">
        <v>90</v>
      </c>
      <c r="R163" s="1" t="n">
        <v>0</v>
      </c>
      <c r="S163" s="1" t="n">
        <v>0</v>
      </c>
      <c r="T163" s="1" t="n">
        <v>0</v>
      </c>
      <c r="U163" s="1" t="n">
        <v>0</v>
      </c>
      <c r="V163" s="1" t="n">
        <v>0.975609756</v>
      </c>
      <c r="W163" s="1" t="n">
        <v>0</v>
      </c>
      <c r="X163" s="1" t="n">
        <v>0</v>
      </c>
      <c r="Y163" s="1" t="n">
        <v>0</v>
      </c>
      <c r="Z163" s="1" t="n">
        <v>0</v>
      </c>
      <c r="AA163" s="1" t="n">
        <v>0</v>
      </c>
      <c r="AB163" s="1" t="n">
        <v>0</v>
      </c>
      <c r="AC163" s="1" t="n">
        <v>252000</v>
      </c>
    </row>
    <row r="164">
      <c r="A164" s="1" t="inlineStr">
        <is>
          <t>2027BUD_V1</t>
        </is>
      </c>
      <c r="B164" s="1" t="inlineStr">
        <is>
          <t>12</t>
        </is>
      </c>
      <c r="C164" s="1" t="inlineStr">
        <is>
          <t>PIGIER_LYO</t>
        </is>
      </c>
      <c r="D164" s="1" t="inlineStr">
        <is>
          <t>BAC_RH</t>
        </is>
      </c>
      <c r="E164" s="1" t="inlineStr">
        <is>
          <t>B1</t>
        </is>
      </c>
      <c r="F164" s="1" t="inlineStr">
        <is>
          <t>ALT</t>
        </is>
      </c>
      <c r="G164" s="1" t="inlineStr">
        <is>
          <t>2024</t>
        </is>
      </c>
      <c r="H164" s="1" t="n">
        <v>699</v>
      </c>
      <c r="I164" s="1" t="n">
        <v>140</v>
      </c>
      <c r="J164" s="1" t="n">
        <v>98</v>
      </c>
      <c r="K164" s="1" t="n">
        <v>41</v>
      </c>
      <c r="L164" s="1" t="n">
        <v>0</v>
      </c>
      <c r="M164" s="1" t="n">
        <v>41</v>
      </c>
      <c r="N164" s="1" t="n">
        <v>0</v>
      </c>
      <c r="O164" s="1" t="n">
        <v>2</v>
      </c>
      <c r="P164" s="1" t="n">
        <v>7350</v>
      </c>
      <c r="Q164" s="1" t="n">
        <v>90</v>
      </c>
      <c r="R164" s="1" t="n">
        <v>341</v>
      </c>
      <c r="S164" s="1" t="n">
        <v>383</v>
      </c>
      <c r="T164" s="1" t="n">
        <v>15129</v>
      </c>
      <c r="U164" s="1" t="n">
        <v>26719</v>
      </c>
      <c r="V164" s="1" t="n">
        <v>0</v>
      </c>
      <c r="W164" s="1" t="n">
        <v>0.200286123</v>
      </c>
      <c r="X164" s="1" t="n">
        <v>0.7</v>
      </c>
      <c r="Y164" s="1" t="n">
        <v>0.418367347</v>
      </c>
      <c r="Z164" s="1" t="n">
        <v>724</v>
      </c>
      <c r="AA164" s="1" t="n">
        <v>0.470994475</v>
      </c>
      <c r="AB164" s="1" t="n">
        <v>39.501305483</v>
      </c>
      <c r="AC164" s="1" t="n">
        <v>305040</v>
      </c>
    </row>
    <row r="165">
      <c r="A165" s="1" t="inlineStr">
        <is>
          <t>2027BUD_V1</t>
        </is>
      </c>
      <c r="B165" s="1" t="inlineStr">
        <is>
          <t>12</t>
        </is>
      </c>
      <c r="C165" s="1" t="inlineStr">
        <is>
          <t>PIGIER_LYO</t>
        </is>
      </c>
      <c r="D165" s="1" t="inlineStr">
        <is>
          <t>BAC_RH</t>
        </is>
      </c>
      <c r="E165" s="1" t="inlineStr">
        <is>
          <t>B3</t>
        </is>
      </c>
      <c r="F165" s="1" t="inlineStr">
        <is>
          <t>ALT</t>
        </is>
      </c>
      <c r="G165" s="1" t="inlineStr">
        <is>
          <t>2024</t>
        </is>
      </c>
      <c r="H165" s="1" t="n">
        <v>0</v>
      </c>
      <c r="I165" s="1" t="n">
        <v>0</v>
      </c>
      <c r="J165" s="1" t="n">
        <v>0</v>
      </c>
      <c r="K165" s="1" t="n">
        <v>0</v>
      </c>
      <c r="L165" s="1" t="n">
        <v>40</v>
      </c>
      <c r="M165" s="1" t="n">
        <v>40</v>
      </c>
      <c r="N165" s="1" t="n">
        <v>41</v>
      </c>
      <c r="O165" s="1" t="n">
        <v>2</v>
      </c>
      <c r="P165" s="1" t="n">
        <v>7350</v>
      </c>
      <c r="Q165" s="1" t="n">
        <v>90</v>
      </c>
      <c r="R165" s="1" t="n">
        <v>0</v>
      </c>
      <c r="S165" s="1" t="n">
        <v>0</v>
      </c>
      <c r="T165" s="1" t="n">
        <v>0</v>
      </c>
      <c r="U165" s="1" t="n">
        <v>0</v>
      </c>
      <c r="V165" s="1" t="n">
        <v>0.975609756</v>
      </c>
      <c r="W165" s="1" t="n">
        <v>0</v>
      </c>
      <c r="X165" s="1" t="n">
        <v>0</v>
      </c>
      <c r="Y165" s="1" t="n">
        <v>0</v>
      </c>
      <c r="Z165" s="1" t="n">
        <v>0</v>
      </c>
      <c r="AA165" s="1" t="n">
        <v>0</v>
      </c>
      <c r="AB165" s="1" t="n">
        <v>0</v>
      </c>
      <c r="AC165" s="1" t="n">
        <v>294000</v>
      </c>
    </row>
    <row r="166">
      <c r="A166" s="1" t="inlineStr">
        <is>
          <t>2027BUD_V1</t>
        </is>
      </c>
      <c r="B166" s="1" t="inlineStr">
        <is>
          <t>12</t>
        </is>
      </c>
      <c r="C166" s="1" t="inlineStr">
        <is>
          <t>PIGIER_BOR</t>
        </is>
      </c>
      <c r="D166" s="1" t="inlineStr">
        <is>
          <t>BTS_GES</t>
        </is>
      </c>
      <c r="E166" s="1" t="inlineStr">
        <is>
          <t>BTS1</t>
        </is>
      </c>
      <c r="F166" s="1" t="inlineStr">
        <is>
          <t>ALT</t>
        </is>
      </c>
      <c r="G166" s="1" t="inlineStr">
        <is>
          <t>2024</t>
        </is>
      </c>
      <c r="H166" s="1" t="n">
        <v>547</v>
      </c>
      <c r="I166" s="1" t="n">
        <v>109</v>
      </c>
      <c r="J166" s="1" t="n">
        <v>77</v>
      </c>
      <c r="K166" s="1" t="n">
        <v>32</v>
      </c>
      <c r="L166" s="1" t="n">
        <v>0</v>
      </c>
      <c r="M166" s="1" t="n">
        <v>32</v>
      </c>
      <c r="N166" s="1" t="n">
        <v>0</v>
      </c>
      <c r="O166" s="1" t="n">
        <v>2</v>
      </c>
      <c r="P166" s="1" t="n">
        <v>5820</v>
      </c>
      <c r="Q166" s="1" t="n">
        <v>90</v>
      </c>
      <c r="R166" s="1" t="n">
        <v>302</v>
      </c>
      <c r="S166" s="1" t="n">
        <v>264</v>
      </c>
      <c r="T166" s="1" t="n">
        <v>9078</v>
      </c>
      <c r="U166" s="1" t="n">
        <v>23880</v>
      </c>
      <c r="V166" s="1" t="n">
        <v>0</v>
      </c>
      <c r="W166" s="1" t="n">
        <v>0.199268739</v>
      </c>
      <c r="X166" s="1" t="n">
        <v>0.706422018</v>
      </c>
      <c r="Y166" s="1" t="n">
        <v>0.415584416</v>
      </c>
      <c r="Z166" s="1" t="n">
        <v>566</v>
      </c>
      <c r="AA166" s="1" t="n">
        <v>0.533568905</v>
      </c>
      <c r="AB166" s="1" t="n">
        <v>34.386363636</v>
      </c>
      <c r="AC166" s="1" t="n">
        <v>189120</v>
      </c>
    </row>
    <row r="167">
      <c r="A167" s="1" t="inlineStr">
        <is>
          <t>2027BUD_V1</t>
        </is>
      </c>
      <c r="B167" s="1" t="inlineStr">
        <is>
          <t>12</t>
        </is>
      </c>
      <c r="C167" s="1" t="inlineStr">
        <is>
          <t>PIGIER_BOR</t>
        </is>
      </c>
      <c r="D167" s="1" t="inlineStr">
        <is>
          <t>BTS_GES</t>
        </is>
      </c>
      <c r="E167" s="1" t="inlineStr">
        <is>
          <t>BTS2</t>
        </is>
      </c>
      <c r="F167" s="1" t="inlineStr">
        <is>
          <t>ALT</t>
        </is>
      </c>
      <c r="G167" s="1" t="inlineStr">
        <is>
          <t>2024</t>
        </is>
      </c>
      <c r="H167" s="1" t="n">
        <v>0</v>
      </c>
      <c r="I167" s="1" t="n">
        <v>0</v>
      </c>
      <c r="J167" s="1" t="n">
        <v>0</v>
      </c>
      <c r="K167" s="1" t="n">
        <v>0</v>
      </c>
      <c r="L167" s="1" t="n">
        <v>31</v>
      </c>
      <c r="M167" s="1" t="n">
        <v>31</v>
      </c>
      <c r="N167" s="1" t="n">
        <v>32</v>
      </c>
      <c r="O167" s="1" t="n">
        <v>2</v>
      </c>
      <c r="P167" s="1" t="n">
        <v>5820</v>
      </c>
      <c r="Q167" s="1" t="n">
        <v>90</v>
      </c>
      <c r="R167" s="1" t="n">
        <v>0</v>
      </c>
      <c r="S167" s="1" t="n">
        <v>0</v>
      </c>
      <c r="T167" s="1" t="n">
        <v>0</v>
      </c>
      <c r="U167" s="1" t="n">
        <v>0</v>
      </c>
      <c r="V167" s="1" t="n">
        <v>0.96875</v>
      </c>
      <c r="W167" s="1" t="n">
        <v>0</v>
      </c>
      <c r="X167" s="1" t="n">
        <v>0</v>
      </c>
      <c r="Y167" s="1" t="n">
        <v>0</v>
      </c>
      <c r="Z167" s="1" t="n">
        <v>0</v>
      </c>
      <c r="AA167" s="1" t="n">
        <v>0</v>
      </c>
      <c r="AB167" s="1" t="n">
        <v>0</v>
      </c>
      <c r="AC167" s="1" t="n">
        <v>180420</v>
      </c>
    </row>
    <row r="168">
      <c r="A168" s="1" t="inlineStr">
        <is>
          <t>2027BUD_V1</t>
        </is>
      </c>
      <c r="B168" s="1" t="inlineStr">
        <is>
          <t>12</t>
        </is>
      </c>
      <c r="C168" s="1" t="inlineStr">
        <is>
          <t>PIGIER_BOR</t>
        </is>
      </c>
      <c r="D168" s="1" t="inlineStr">
        <is>
          <t>BAC_RH</t>
        </is>
      </c>
      <c r="E168" s="1" t="inlineStr">
        <is>
          <t>B1</t>
        </is>
      </c>
      <c r="F168" s="1" t="inlineStr">
        <is>
          <t>ALT</t>
        </is>
      </c>
      <c r="G168" s="1" t="inlineStr">
        <is>
          <t>2024</t>
        </is>
      </c>
      <c r="H168" s="1" t="n">
        <v>547</v>
      </c>
      <c r="I168" s="1" t="n">
        <v>109</v>
      </c>
      <c r="J168" s="1" t="n">
        <v>77</v>
      </c>
      <c r="K168" s="1" t="n">
        <v>32</v>
      </c>
      <c r="L168" s="1" t="n">
        <v>0</v>
      </c>
      <c r="M168" s="1" t="n">
        <v>32</v>
      </c>
      <c r="N168" s="1" t="n">
        <v>0</v>
      </c>
      <c r="O168" s="1" t="n">
        <v>2</v>
      </c>
      <c r="P168" s="1" t="n">
        <v>6790</v>
      </c>
      <c r="Q168" s="1" t="n">
        <v>90</v>
      </c>
      <c r="R168" s="1" t="n">
        <v>301</v>
      </c>
      <c r="S168" s="1" t="n">
        <v>264</v>
      </c>
      <c r="T168" s="1" t="n">
        <v>9077</v>
      </c>
      <c r="U168" s="1" t="n">
        <v>23880</v>
      </c>
      <c r="V168" s="1" t="n">
        <v>0</v>
      </c>
      <c r="W168" s="1" t="n">
        <v>0.199268739</v>
      </c>
      <c r="X168" s="1" t="n">
        <v>0.706422018</v>
      </c>
      <c r="Y168" s="1" t="n">
        <v>0.415584416</v>
      </c>
      <c r="Z168" s="1" t="n">
        <v>565</v>
      </c>
      <c r="AA168" s="1" t="n">
        <v>0.532743363</v>
      </c>
      <c r="AB168" s="1" t="n">
        <v>34.382575758</v>
      </c>
      <c r="AC168" s="1" t="n">
        <v>220160</v>
      </c>
    </row>
    <row r="169">
      <c r="A169" s="1" t="inlineStr">
        <is>
          <t>2027BUD_V1</t>
        </is>
      </c>
      <c r="B169" s="1" t="inlineStr">
        <is>
          <t>12</t>
        </is>
      </c>
      <c r="C169" s="1" t="inlineStr">
        <is>
          <t>PIGIER_BOR</t>
        </is>
      </c>
      <c r="D169" s="1" t="inlineStr">
        <is>
          <t>BAC_RH</t>
        </is>
      </c>
      <c r="E169" s="1" t="inlineStr">
        <is>
          <t>B3</t>
        </is>
      </c>
      <c r="F169" s="1" t="inlineStr">
        <is>
          <t>ALT</t>
        </is>
      </c>
      <c r="G169" s="1" t="inlineStr">
        <is>
          <t>2024</t>
        </is>
      </c>
      <c r="H169" s="1" t="n">
        <v>0</v>
      </c>
      <c r="I169" s="1" t="n">
        <v>0</v>
      </c>
      <c r="J169" s="1" t="n">
        <v>0</v>
      </c>
      <c r="K169" s="1" t="n">
        <v>0</v>
      </c>
      <c r="L169" s="1" t="n">
        <v>31</v>
      </c>
      <c r="M169" s="1" t="n">
        <v>31</v>
      </c>
      <c r="N169" s="1" t="n">
        <v>32</v>
      </c>
      <c r="O169" s="1" t="n">
        <v>2</v>
      </c>
      <c r="P169" s="1" t="n">
        <v>6790</v>
      </c>
      <c r="Q169" s="1" t="n">
        <v>90</v>
      </c>
      <c r="R169" s="1" t="n">
        <v>0</v>
      </c>
      <c r="S169" s="1" t="n">
        <v>0</v>
      </c>
      <c r="T169" s="1" t="n">
        <v>0</v>
      </c>
      <c r="U169" s="1" t="n">
        <v>0</v>
      </c>
      <c r="V169" s="1" t="n">
        <v>0.96875</v>
      </c>
      <c r="W169" s="1" t="n">
        <v>0</v>
      </c>
      <c r="X169" s="1" t="n">
        <v>0</v>
      </c>
      <c r="Y169" s="1" t="n">
        <v>0</v>
      </c>
      <c r="Z169" s="1" t="n">
        <v>0</v>
      </c>
      <c r="AA169" s="1" t="n">
        <v>0</v>
      </c>
      <c r="AB169" s="1" t="n">
        <v>0</v>
      </c>
      <c r="AC169" s="1" t="n">
        <v>210490</v>
      </c>
    </row>
    <row r="170">
      <c r="A170" s="1" t="inlineStr">
        <is>
          <t>2027BUD_V1</t>
        </is>
      </c>
      <c r="B170" s="1" t="inlineStr">
        <is>
          <t>12</t>
        </is>
      </c>
      <c r="C170" s="1" t="inlineStr">
        <is>
          <t>TUNON_PAR</t>
        </is>
      </c>
      <c r="D170" s="1" t="inlineStr">
        <is>
          <t>BAC_TOU</t>
        </is>
      </c>
      <c r="E170" s="1" t="inlineStr">
        <is>
          <t>B1</t>
        </is>
      </c>
      <c r="F170" s="1" t="inlineStr">
        <is>
          <t>ALT</t>
        </is>
      </c>
      <c r="G170" s="1" t="inlineStr">
        <is>
          <t>2024</t>
        </is>
      </c>
      <c r="H170" s="1" t="n">
        <v>712</v>
      </c>
      <c r="I170" s="1" t="n">
        <v>142</v>
      </c>
      <c r="J170" s="1" t="n">
        <v>100</v>
      </c>
      <c r="K170" s="1" t="n">
        <v>42</v>
      </c>
      <c r="L170" s="1" t="n">
        <v>0</v>
      </c>
      <c r="M170" s="1" t="n">
        <v>42</v>
      </c>
      <c r="N170" s="1" t="n">
        <v>0</v>
      </c>
      <c r="O170" s="1" t="n">
        <v>2</v>
      </c>
      <c r="P170" s="1" t="n">
        <v>7840</v>
      </c>
      <c r="Q170" s="1" t="n">
        <v>90</v>
      </c>
      <c r="R170" s="1" t="n">
        <v>231</v>
      </c>
      <c r="S170" s="1" t="n">
        <v>517</v>
      </c>
      <c r="T170" s="1" t="n">
        <v>24992</v>
      </c>
      <c r="U170" s="1" t="n">
        <v>19081</v>
      </c>
      <c r="V170" s="1" t="n">
        <v>0</v>
      </c>
      <c r="W170" s="1" t="n">
        <v>0.199438202</v>
      </c>
      <c r="X170" s="1" t="n">
        <v>0.704225352</v>
      </c>
      <c r="Y170" s="1" t="n">
        <v>0.42</v>
      </c>
      <c r="Z170" s="1" t="n">
        <v>748</v>
      </c>
      <c r="AA170" s="1" t="n">
        <v>0.308823529</v>
      </c>
      <c r="AB170" s="1" t="n">
        <v>48.340425532</v>
      </c>
      <c r="AC170" s="1" t="n">
        <v>333060</v>
      </c>
    </row>
    <row r="171">
      <c r="A171" s="1" t="inlineStr">
        <is>
          <t>2027BUD_V1</t>
        </is>
      </c>
      <c r="B171" s="1" t="inlineStr">
        <is>
          <t>12</t>
        </is>
      </c>
      <c r="C171" s="1" t="inlineStr">
        <is>
          <t>TUNON_PAR</t>
        </is>
      </c>
      <c r="D171" s="1" t="inlineStr">
        <is>
          <t>BAC_TOU</t>
        </is>
      </c>
      <c r="E171" s="1" t="inlineStr">
        <is>
          <t>B2</t>
        </is>
      </c>
      <c r="F171" s="1" t="inlineStr">
        <is>
          <t>ALT</t>
        </is>
      </c>
      <c r="G171" s="1" t="inlineStr">
        <is>
          <t>2024</t>
        </is>
      </c>
      <c r="H171" s="1" t="n">
        <v>0</v>
      </c>
      <c r="I171" s="1" t="n">
        <v>0</v>
      </c>
      <c r="J171" s="1" t="n">
        <v>0</v>
      </c>
      <c r="K171" s="1" t="n">
        <v>0</v>
      </c>
      <c r="L171" s="1" t="n">
        <v>41</v>
      </c>
      <c r="M171" s="1" t="n">
        <v>41</v>
      </c>
      <c r="N171" s="1" t="n">
        <v>42</v>
      </c>
      <c r="O171" s="1" t="n">
        <v>2</v>
      </c>
      <c r="P171" s="1" t="n">
        <v>7840</v>
      </c>
      <c r="Q171" s="1" t="n">
        <v>90</v>
      </c>
      <c r="R171" s="1" t="n">
        <v>0</v>
      </c>
      <c r="S171" s="1" t="n">
        <v>0</v>
      </c>
      <c r="T171" s="1" t="n">
        <v>0</v>
      </c>
      <c r="U171" s="1" t="n">
        <v>0</v>
      </c>
      <c r="V171" s="1" t="n">
        <v>0.976190476</v>
      </c>
      <c r="W171" s="1" t="n">
        <v>0</v>
      </c>
      <c r="X171" s="1" t="n">
        <v>0</v>
      </c>
      <c r="Y171" s="1" t="n">
        <v>0</v>
      </c>
      <c r="Z171" s="1" t="n">
        <v>0</v>
      </c>
      <c r="AA171" s="1" t="n">
        <v>0</v>
      </c>
      <c r="AB171" s="1" t="n">
        <v>0</v>
      </c>
      <c r="AC171" s="1" t="n">
        <v>321440</v>
      </c>
    </row>
    <row r="172">
      <c r="A172" s="1" t="inlineStr">
        <is>
          <t>2027BUD_V1</t>
        </is>
      </c>
      <c r="B172" s="1" t="inlineStr">
        <is>
          <t>12</t>
        </is>
      </c>
      <c r="C172" s="1" t="inlineStr">
        <is>
          <t>TUNON_PAR</t>
        </is>
      </c>
      <c r="D172" s="1" t="inlineStr">
        <is>
          <t>BAC_TOU</t>
        </is>
      </c>
      <c r="E172" s="1" t="inlineStr">
        <is>
          <t>B3</t>
        </is>
      </c>
      <c r="F172" s="1" t="inlineStr">
        <is>
          <t>ALT</t>
        </is>
      </c>
      <c r="G172" s="1" t="inlineStr">
        <is>
          <t>2024</t>
        </is>
      </c>
      <c r="H172" s="1" t="n">
        <v>0</v>
      </c>
      <c r="I172" s="1" t="n">
        <v>0</v>
      </c>
      <c r="J172" s="1" t="n">
        <v>0</v>
      </c>
      <c r="K172" s="1" t="n">
        <v>0</v>
      </c>
      <c r="L172" s="1" t="n">
        <v>40</v>
      </c>
      <c r="M172" s="1" t="n">
        <v>40</v>
      </c>
      <c r="N172" s="1" t="n">
        <v>41</v>
      </c>
      <c r="O172" s="1" t="n">
        <v>2</v>
      </c>
      <c r="P172" s="1" t="n">
        <v>7840</v>
      </c>
      <c r="Q172" s="1" t="n">
        <v>90</v>
      </c>
      <c r="R172" s="1" t="n">
        <v>0</v>
      </c>
      <c r="S172" s="1" t="n">
        <v>0</v>
      </c>
      <c r="T172" s="1" t="n">
        <v>0</v>
      </c>
      <c r="U172" s="1" t="n">
        <v>0</v>
      </c>
      <c r="V172" s="1" t="n">
        <v>0.975609756</v>
      </c>
      <c r="W172" s="1" t="n">
        <v>0</v>
      </c>
      <c r="X172" s="1" t="n">
        <v>0</v>
      </c>
      <c r="Y172" s="1" t="n">
        <v>0</v>
      </c>
      <c r="Z172" s="1" t="n">
        <v>0</v>
      </c>
      <c r="AA172" s="1" t="n">
        <v>0</v>
      </c>
      <c r="AB172" s="1" t="n">
        <v>0</v>
      </c>
      <c r="AC172" s="1" t="n">
        <v>313600</v>
      </c>
    </row>
    <row r="173">
      <c r="A173" s="1" t="inlineStr">
        <is>
          <t>2027BUD_V1</t>
        </is>
      </c>
      <c r="B173" s="1" t="inlineStr">
        <is>
          <t>12</t>
        </is>
      </c>
      <c r="C173" s="1" t="inlineStr">
        <is>
          <t>TUNON_LYO</t>
        </is>
      </c>
      <c r="D173" s="1" t="inlineStr">
        <is>
          <t>BAC_TOU</t>
        </is>
      </c>
      <c r="E173" s="1" t="inlineStr">
        <is>
          <t>B1</t>
        </is>
      </c>
      <c r="F173" s="1" t="inlineStr">
        <is>
          <t>ALT</t>
        </is>
      </c>
      <c r="G173" s="1" t="inlineStr">
        <is>
          <t>2024</t>
        </is>
      </c>
      <c r="H173" s="1" t="n">
        <v>605</v>
      </c>
      <c r="I173" s="1" t="n">
        <v>121</v>
      </c>
      <c r="J173" s="1" t="n">
        <v>85</v>
      </c>
      <c r="K173" s="1" t="n">
        <v>36</v>
      </c>
      <c r="L173" s="1" t="n">
        <v>0</v>
      </c>
      <c r="M173" s="1" t="n">
        <v>36</v>
      </c>
      <c r="N173" s="1" t="n">
        <v>0</v>
      </c>
      <c r="O173" s="1" t="n">
        <v>2</v>
      </c>
      <c r="P173" s="1" t="n">
        <v>7350</v>
      </c>
      <c r="Q173" s="1" t="n">
        <v>90</v>
      </c>
      <c r="R173" s="1" t="n">
        <v>242</v>
      </c>
      <c r="S173" s="1" t="n">
        <v>392</v>
      </c>
      <c r="T173" s="1" t="n">
        <v>15578</v>
      </c>
      <c r="U173" s="1" t="n">
        <v>20221</v>
      </c>
      <c r="V173" s="1" t="n">
        <v>0</v>
      </c>
      <c r="W173" s="1" t="n">
        <v>0.2</v>
      </c>
      <c r="X173" s="1" t="n">
        <v>0.702479339</v>
      </c>
      <c r="Y173" s="1" t="n">
        <v>0.423529412</v>
      </c>
      <c r="Z173" s="1" t="n">
        <v>634</v>
      </c>
      <c r="AA173" s="1" t="n">
        <v>0.38170347</v>
      </c>
      <c r="AB173" s="1" t="n">
        <v>39.739795918</v>
      </c>
      <c r="AC173" s="1" t="n">
        <v>267840</v>
      </c>
    </row>
    <row r="174">
      <c r="A174" s="1" t="inlineStr">
        <is>
          <t>2027BUD_V1</t>
        </is>
      </c>
      <c r="B174" s="1" t="inlineStr">
        <is>
          <t>12</t>
        </is>
      </c>
      <c r="C174" s="1" t="inlineStr">
        <is>
          <t>TUNON_LYO</t>
        </is>
      </c>
      <c r="D174" s="1" t="inlineStr">
        <is>
          <t>BAC_TOU</t>
        </is>
      </c>
      <c r="E174" s="1" t="inlineStr">
        <is>
          <t>B2</t>
        </is>
      </c>
      <c r="F174" s="1" t="inlineStr">
        <is>
          <t>ALT</t>
        </is>
      </c>
      <c r="G174" s="1" t="inlineStr">
        <is>
          <t>2024</t>
        </is>
      </c>
      <c r="H174" s="1" t="n">
        <v>0</v>
      </c>
      <c r="I174" s="1" t="n">
        <v>0</v>
      </c>
      <c r="J174" s="1" t="n">
        <v>0</v>
      </c>
      <c r="K174" s="1" t="n">
        <v>0</v>
      </c>
      <c r="L174" s="1" t="n">
        <v>35</v>
      </c>
      <c r="M174" s="1" t="n">
        <v>35</v>
      </c>
      <c r="N174" s="1" t="n">
        <v>36</v>
      </c>
      <c r="O174" s="1" t="n">
        <v>2</v>
      </c>
      <c r="P174" s="1" t="n">
        <v>7350</v>
      </c>
      <c r="Q174" s="1" t="n">
        <v>90</v>
      </c>
      <c r="R174" s="1" t="n">
        <v>0</v>
      </c>
      <c r="S174" s="1" t="n">
        <v>0</v>
      </c>
      <c r="T174" s="1" t="n">
        <v>0</v>
      </c>
      <c r="U174" s="1" t="n">
        <v>0</v>
      </c>
      <c r="V174" s="1" t="n">
        <v>0.972222222</v>
      </c>
      <c r="W174" s="1" t="n">
        <v>0</v>
      </c>
      <c r="X174" s="1" t="n">
        <v>0</v>
      </c>
      <c r="Y174" s="1" t="n">
        <v>0</v>
      </c>
      <c r="Z174" s="1" t="n">
        <v>0</v>
      </c>
      <c r="AA174" s="1" t="n">
        <v>0</v>
      </c>
      <c r="AB174" s="1" t="n">
        <v>0</v>
      </c>
      <c r="AC174" s="1" t="n">
        <v>257250</v>
      </c>
    </row>
    <row r="175">
      <c r="A175" s="1" t="inlineStr">
        <is>
          <t>2027BUD_V1</t>
        </is>
      </c>
      <c r="B175" s="1" t="inlineStr">
        <is>
          <t>12</t>
        </is>
      </c>
      <c r="C175" s="1" t="inlineStr">
        <is>
          <t>TUNON_LYO</t>
        </is>
      </c>
      <c r="D175" s="1" t="inlineStr">
        <is>
          <t>BAC_TOU</t>
        </is>
      </c>
      <c r="E175" s="1" t="inlineStr">
        <is>
          <t>B3</t>
        </is>
      </c>
      <c r="F175" s="1" t="inlineStr">
        <is>
          <t>ALT</t>
        </is>
      </c>
      <c r="G175" s="1" t="inlineStr">
        <is>
          <t>2024</t>
        </is>
      </c>
      <c r="H175" t="n">
        <v>0</v>
      </c>
      <c r="I175" t="n">
        <v>0</v>
      </c>
      <c r="J175" t="n">
        <v>0</v>
      </c>
      <c r="K175" t="n">
        <v>0</v>
      </c>
      <c r="L175" t="n">
        <v>34</v>
      </c>
      <c r="M175" t="n">
        <v>34</v>
      </c>
      <c r="N175" t="n">
        <v>35</v>
      </c>
      <c r="O175" t="n">
        <v>2</v>
      </c>
      <c r="P175" t="n">
        <v>7350</v>
      </c>
      <c r="Q175" t="n">
        <v>90</v>
      </c>
      <c r="R175" t="n">
        <v>0</v>
      </c>
      <c r="S175" t="n">
        <v>0</v>
      </c>
      <c r="T175" t="n">
        <v>0</v>
      </c>
      <c r="U175" t="n">
        <v>0</v>
      </c>
      <c r="V175" t="n">
        <v>0.971428571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249900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selection activeCell="A2" sqref="A2"/>
    </sheetView>
  </sheetViews>
  <sheetFormatPr baseColWidth="10" defaultRowHeight="14.25"/>
  <sheetData>
    <row r="1">
      <c r="A1" s="1" t="inlineStr">
        <is>
          <t>SCENARIO</t>
        </is>
      </c>
      <c r="B1" s="1" t="inlineStr">
        <is>
          <t>PERIODE</t>
        </is>
      </c>
      <c r="C1" s="1" t="inlineStr">
        <is>
          <t>ENTITY</t>
        </is>
      </c>
      <c r="D1" s="1" t="inlineStr">
        <is>
          <t>PROGRAMME</t>
        </is>
      </c>
      <c r="E1" s="1" t="inlineStr">
        <is>
          <t>AN_ETUDE</t>
        </is>
      </c>
      <c r="F1" s="1" t="inlineStr">
        <is>
          <t>MODALITE</t>
        </is>
      </c>
      <c r="G1" s="1" t="inlineStr">
        <is>
          <t>EXERCICE</t>
        </is>
      </c>
      <c r="H1" s="1" t="inlineStr">
        <is>
          <t>VOL_LEAD</t>
        </is>
      </c>
      <c r="I1" s="1" t="inlineStr">
        <is>
          <t>VOL_CAND</t>
        </is>
      </c>
      <c r="J1" s="1" t="inlineStr">
        <is>
          <t>VOL_ADMIS</t>
        </is>
      </c>
      <c r="K1" s="1" t="inlineStr">
        <is>
          <t>VOL_NEW</t>
        </is>
      </c>
      <c r="L1" s="1" t="inlineStr">
        <is>
          <t>VOL_REINS</t>
        </is>
      </c>
      <c r="M1" s="1" t="inlineStr">
        <is>
          <t>VOL_EFF</t>
        </is>
      </c>
      <c r="N1" s="1" t="inlineStr">
        <is>
          <t>VOL_EFF_INF</t>
        </is>
      </c>
      <c r="O1" s="1" t="inlineStr">
        <is>
          <t>VOL_CLASS</t>
        </is>
      </c>
      <c r="P1" s="1" t="inlineStr">
        <is>
          <t>REV_STUD</t>
        </is>
      </c>
      <c r="Q1" s="1" t="inlineStr">
        <is>
          <t>REV_FRAIS_INS</t>
        </is>
      </c>
      <c r="R1" s="1" t="inlineStr">
        <is>
          <t>VOL_LEAD_ORG</t>
        </is>
      </c>
      <c r="S1" s="1" t="inlineStr">
        <is>
          <t>VOL_LEAD_PAY</t>
        </is>
      </c>
      <c r="T1" s="1" t="inlineStr">
        <is>
          <t>DEPENSE_ACQ</t>
        </is>
      </c>
      <c r="U1" s="1" t="inlineStr">
        <is>
          <t>DEPENSE_MARQUE</t>
        </is>
      </c>
      <c r="V1" s="1" t="inlineStr">
        <is>
          <t>TX_PASSAGE</t>
        </is>
      </c>
      <c r="W1" s="1" t="inlineStr">
        <is>
          <t>TX_LEAD_CAND</t>
        </is>
      </c>
      <c r="X1" s="1" t="inlineStr">
        <is>
          <t>TX_CAND_ADMIS</t>
        </is>
      </c>
      <c r="Y1" s="1" t="inlineStr">
        <is>
          <t>TX_YIELD_ADMIS_INSC</t>
        </is>
      </c>
      <c r="Z1" s="1" t="inlineStr">
        <is>
          <t>VOL_LEAD_TOTAL</t>
        </is>
      </c>
      <c r="AA1" s="1" t="inlineStr">
        <is>
          <t>PART_ORG</t>
        </is>
      </c>
      <c r="AB1" s="1" t="inlineStr">
        <is>
          <t>CPL</t>
        </is>
      </c>
      <c r="AC1" s="1" t="inlineStr">
        <is>
          <t>CA</t>
        </is>
      </c>
    </row>
    <row r="2">
      <c r="A2" t="n">
        <v>1000</v>
      </c>
      <c r="B2" t="n">
        <v>1000</v>
      </c>
      <c r="C2" t="n">
        <v>1000</v>
      </c>
      <c r="D2" t="n">
        <v>1000</v>
      </c>
      <c r="E2" t="n">
        <v>1000</v>
      </c>
      <c r="F2" t="n">
        <v>1000</v>
      </c>
      <c r="G2" t="n">
        <v>1000</v>
      </c>
      <c r="H2" t="n">
        <v>1000</v>
      </c>
      <c r="I2" t="n">
        <v>1000</v>
      </c>
      <c r="J2" t="n">
        <v>1000</v>
      </c>
      <c r="K2" t="n">
        <v>1000</v>
      </c>
      <c r="L2" t="n">
        <v>1000</v>
      </c>
      <c r="M2" t="n">
        <v>1000</v>
      </c>
      <c r="N2" t="n">
        <v>1000</v>
      </c>
      <c r="O2" t="n">
        <v>1000</v>
      </c>
      <c r="P2" t="n">
        <v>1000</v>
      </c>
      <c r="Q2" t="n">
        <v>1000</v>
      </c>
      <c r="R2" t="n">
        <v>1000</v>
      </c>
      <c r="S2" t="n">
        <v>1000</v>
      </c>
      <c r="T2" t="n">
        <v>1000</v>
      </c>
      <c r="U2" t="n">
        <v>1000</v>
      </c>
      <c r="V2" t="n">
        <v>1000</v>
      </c>
      <c r="W2" t="n">
        <v>1000</v>
      </c>
      <c r="X2" t="n">
        <v>1000</v>
      </c>
      <c r="Y2" t="n">
        <v>1000</v>
      </c>
      <c r="Z2" t="n">
        <v>1000</v>
      </c>
      <c r="AA2" t="n">
        <v>1000</v>
      </c>
      <c r="AB2" t="n">
        <v>1000</v>
      </c>
      <c r="AC2" t="n">
        <v>1000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10" defaultRowHeight="14.25"/>
  <sheetData>
    <row r="1">
      <c r="A1" s="1" t="inlineStr">
        <is>
          <t>SCENARIO</t>
        </is>
      </c>
      <c r="B1" s="1" t="inlineStr">
        <is>
          <t>PERIODE</t>
        </is>
      </c>
      <c r="C1" s="1" t="inlineStr">
        <is>
          <t>ENTITY</t>
        </is>
      </c>
      <c r="D1" s="1" t="inlineStr">
        <is>
          <t>ORG_REF</t>
        </is>
      </c>
      <c r="E1" s="1" t="inlineStr">
        <is>
          <t>PAID_REF</t>
        </is>
      </c>
      <c r="F1" s="1" t="inlineStr">
        <is>
          <t>LEAD_REF</t>
        </is>
      </c>
      <c r="G1" s="1" t="inlineStr">
        <is>
          <t>SPEND_ACQ_REF</t>
        </is>
      </c>
      <c r="H1" s="1" t="inlineStr">
        <is>
          <t>SPEND_BRAND_REF</t>
        </is>
      </c>
      <c r="I1" s="1" t="inlineStr">
        <is>
          <t>PART_ORG</t>
        </is>
      </c>
      <c r="J1" s="1" t="inlineStr">
        <is>
          <t>CPL</t>
        </is>
      </c>
      <c r="K1" s="1" t="inlineStr">
        <is>
          <t>REND_ACQ</t>
        </is>
      </c>
      <c r="L1" s="1" t="inlineStr">
        <is>
          <t>CONVERSION</t>
        </is>
      </c>
      <c r="M1" s="1" t="inlineStr">
        <is>
          <t>REND_BRAND</t>
        </is>
      </c>
      <c r="N1" s="1" t="inlineStr">
        <is>
          <t>CAC_MARGINAL</t>
        </is>
      </c>
    </row>
    <row r="2">
      <c r="A2" s="1" t="inlineStr">
        <is>
          <t>2027BUD_V1</t>
        </is>
      </c>
      <c r="B2" s="1" t="inlineStr">
        <is>
          <t>12</t>
        </is>
      </c>
      <c r="C2" s="1" t="inlineStr">
        <is>
          <t>MBWAY_PAR</t>
        </is>
      </c>
      <c r="D2" s="1" t="n">
        <v>711</v>
      </c>
      <c r="E2" s="1" t="n">
        <v>1265</v>
      </c>
      <c r="F2" s="1" t="n">
        <v>1976</v>
      </c>
      <c r="G2" s="1" t="n">
        <v>68291</v>
      </c>
      <c r="H2" s="1" t="n">
        <v>64800</v>
      </c>
      <c r="I2" s="1" t="n">
        <v>0.359817814</v>
      </c>
      <c r="J2" s="1" t="n">
        <v>53.984980237</v>
      </c>
      <c r="K2" s="1" t="n">
        <v>0.463595908</v>
      </c>
      <c r="L2" s="1" t="n">
        <v>0.078947368</v>
      </c>
      <c r="M2" s="1" t="n">
        <v>0.308054154</v>
      </c>
      <c r="N2" s="1" t="n">
        <v>1475.012479769</v>
      </c>
    </row>
    <row r="3">
      <c r="A3" s="1" t="inlineStr">
        <is>
          <t>2027BUD_V1</t>
        </is>
      </c>
      <c r="B3" s="1" t="inlineStr">
        <is>
          <t>12</t>
        </is>
      </c>
      <c r="C3" s="1" t="inlineStr">
        <is>
          <t>MBWAY_LYO</t>
        </is>
      </c>
      <c r="D3" s="1" t="n">
        <v>716</v>
      </c>
      <c r="E3" s="1" t="n">
        <v>950</v>
      </c>
      <c r="F3" s="1" t="n">
        <v>1666</v>
      </c>
      <c r="G3" s="1" t="n">
        <v>41783</v>
      </c>
      <c r="H3" s="1" t="n">
        <v>65255</v>
      </c>
      <c r="I3" s="1" t="n">
        <v>0.429771909</v>
      </c>
      <c r="J3" s="1" t="n">
        <v>43.982105263</v>
      </c>
      <c r="K3" s="1" t="n">
        <v>0.503912473</v>
      </c>
      <c r="L3" s="1" t="n">
        <v>0.07923169300000001</v>
      </c>
      <c r="M3" s="1" t="n">
        <v>0.326593775</v>
      </c>
      <c r="N3" s="1" t="n">
        <v>1101.595038606</v>
      </c>
    </row>
    <row r="4">
      <c r="A4" s="1" t="inlineStr">
        <is>
          <t>2027BUD_V1</t>
        </is>
      </c>
      <c r="B4" s="1" t="inlineStr">
        <is>
          <t>12</t>
        </is>
      </c>
      <c r="C4" s="1" t="inlineStr">
        <is>
          <t>MBWAY_NAN</t>
        </is>
      </c>
      <c r="D4" s="1" t="n">
        <v>728</v>
      </c>
      <c r="E4" s="1" t="n">
        <v>788</v>
      </c>
      <c r="F4" s="1" t="n">
        <v>1516</v>
      </c>
      <c r="G4" s="1" t="n">
        <v>31533</v>
      </c>
      <c r="H4" s="1" t="n">
        <v>66349</v>
      </c>
      <c r="I4" s="1" t="n">
        <v>0.480211082</v>
      </c>
      <c r="J4" s="1" t="n">
        <v>40.016497462</v>
      </c>
      <c r="K4" s="1" t="n">
        <v>0.524655469</v>
      </c>
      <c r="L4" s="1" t="n">
        <v>0.079155673</v>
      </c>
      <c r="M4" s="1" t="n">
        <v>0.343450553</v>
      </c>
      <c r="N4" s="1" t="n">
        <v>963.56901165</v>
      </c>
    </row>
    <row r="5">
      <c r="A5" s="1" t="inlineStr">
        <is>
          <t>2027BUD_V1</t>
        </is>
      </c>
      <c r="B5" s="1" t="inlineStr">
        <is>
          <t>12</t>
        </is>
      </c>
      <c r="C5" s="1" t="inlineStr">
        <is>
          <t>MBWAY_BOR</t>
        </is>
      </c>
      <c r="D5" s="1" t="n">
        <v>630</v>
      </c>
      <c r="E5" s="1" t="n">
        <v>656</v>
      </c>
      <c r="F5" s="1" t="n">
        <v>1286</v>
      </c>
      <c r="G5" s="1" t="n">
        <v>24923</v>
      </c>
      <c r="H5" s="1" t="n">
        <v>57418</v>
      </c>
      <c r="I5" s="1" t="n">
        <v>0.489891135</v>
      </c>
      <c r="J5" s="1" t="n">
        <v>37.992378049</v>
      </c>
      <c r="K5" s="1" t="n">
        <v>0.5384553</v>
      </c>
      <c r="L5" s="1" t="n">
        <v>0.079315708</v>
      </c>
      <c r="M5" s="1" t="n">
        <v>0.348249238</v>
      </c>
      <c r="N5" s="1" t="n">
        <v>889.585343434</v>
      </c>
    </row>
    <row r="6">
      <c r="A6" s="1" t="inlineStr">
        <is>
          <t>2027BUD_V1</t>
        </is>
      </c>
      <c r="B6" s="1" t="inlineStr">
        <is>
          <t>12</t>
        </is>
      </c>
      <c r="C6" s="1" t="inlineStr">
        <is>
          <t>ISCOM_PAR</t>
        </is>
      </c>
      <c r="D6" s="1" t="n">
        <v>690</v>
      </c>
      <c r="E6" s="1" t="n">
        <v>1126</v>
      </c>
      <c r="F6" s="1" t="n">
        <v>1816</v>
      </c>
      <c r="G6" s="1" t="n">
        <v>60800</v>
      </c>
      <c r="H6" s="1" t="n">
        <v>62886</v>
      </c>
      <c r="I6" s="1" t="n">
        <v>0.379955947</v>
      </c>
      <c r="J6" s="1" t="n">
        <v>53.996447602</v>
      </c>
      <c r="K6" s="1" t="n">
        <v>0.442086485</v>
      </c>
      <c r="L6" s="1" t="n">
        <v>0.07929515400000001</v>
      </c>
      <c r="M6" s="1" t="n">
        <v>0.317193575</v>
      </c>
      <c r="N6" s="1" t="n">
        <v>1540.321235495</v>
      </c>
    </row>
    <row r="7">
      <c r="A7" s="1" t="inlineStr">
        <is>
          <t>2027BUD_V1</t>
        </is>
      </c>
      <c r="B7" s="1" t="inlineStr">
        <is>
          <t>12</t>
        </is>
      </c>
      <c r="C7" s="1" t="inlineStr">
        <is>
          <t>ISCOM_LIL</t>
        </is>
      </c>
      <c r="D7" s="1" t="n">
        <v>630</v>
      </c>
      <c r="E7" s="1" t="n">
        <v>630</v>
      </c>
      <c r="F7" s="1" t="n">
        <v>1260</v>
      </c>
      <c r="G7" s="1" t="n">
        <v>25220</v>
      </c>
      <c r="H7" s="1" t="n">
        <v>57418</v>
      </c>
      <c r="I7" s="1" t="n">
        <v>0.5</v>
      </c>
      <c r="J7" s="1" t="n">
        <v>40.031746032</v>
      </c>
      <c r="K7" s="1" t="n">
        <v>0.515848483</v>
      </c>
      <c r="L7" s="1" t="n">
        <v>0.07930214100000001</v>
      </c>
      <c r="M7" s="1" t="n">
        <v>0.348380671</v>
      </c>
      <c r="N7" s="1" t="n">
        <v>978.582537357</v>
      </c>
    </row>
    <row r="8">
      <c r="A8" s="1" t="inlineStr">
        <is>
          <t>2027BUD_V1</t>
        </is>
      </c>
      <c r="B8" s="1" t="inlineStr">
        <is>
          <t>12</t>
        </is>
      </c>
      <c r="C8" s="1" t="inlineStr">
        <is>
          <t>ISCOM_TLS</t>
        </is>
      </c>
      <c r="D8" s="1" t="n">
        <v>605</v>
      </c>
      <c r="E8" s="1" t="n">
        <v>581</v>
      </c>
      <c r="F8" s="1" t="n">
        <v>1186</v>
      </c>
      <c r="G8" s="1" t="n">
        <v>22083</v>
      </c>
      <c r="H8" s="1" t="n">
        <v>55139</v>
      </c>
      <c r="I8" s="1" t="n">
        <v>0.510118044</v>
      </c>
      <c r="J8" s="1" t="n">
        <v>38.008605852</v>
      </c>
      <c r="K8" s="1" t="n">
        <v>0.521803236</v>
      </c>
      <c r="L8" s="1" t="n">
        <v>0.07925801</v>
      </c>
      <c r="M8" s="1" t="n">
        <v>0.35585221</v>
      </c>
      <c r="N8" s="1" t="n">
        <v>919.034906823</v>
      </c>
    </row>
    <row r="9">
      <c r="A9" s="1" t="inlineStr">
        <is>
          <t>2027BUD_V1</t>
        </is>
      </c>
      <c r="B9" s="1" t="inlineStr">
        <is>
          <t>12</t>
        </is>
      </c>
      <c r="C9" s="1" t="inlineStr">
        <is>
          <t>IPAC_NAN</t>
        </is>
      </c>
      <c r="D9" s="1" t="n">
        <v>306</v>
      </c>
      <c r="E9" s="1" t="n">
        <v>544</v>
      </c>
      <c r="F9" s="1" t="n">
        <v>850</v>
      </c>
      <c r="G9" s="1" t="n">
        <v>21760</v>
      </c>
      <c r="H9" s="1" t="n">
        <v>27889</v>
      </c>
      <c r="I9" s="1" t="n">
        <v>0.36</v>
      </c>
      <c r="J9" s="1" t="n">
        <v>40</v>
      </c>
      <c r="K9" s="1" t="n">
        <v>0.559080428</v>
      </c>
      <c r="L9" s="1" t="n">
        <v>0.058823529</v>
      </c>
      <c r="M9" s="1" t="n">
        <v>0.304912264</v>
      </c>
      <c r="N9" s="1" t="n">
        <v>1216.282964719</v>
      </c>
    </row>
    <row r="10">
      <c r="A10" s="1" t="inlineStr">
        <is>
          <t>2027BUD_V1</t>
        </is>
      </c>
      <c r="B10" s="1" t="inlineStr">
        <is>
          <t>12</t>
        </is>
      </c>
      <c r="C10" s="1" t="inlineStr">
        <is>
          <t>IPAC_REN</t>
        </is>
      </c>
      <c r="D10" s="1" t="n">
        <v>265</v>
      </c>
      <c r="E10" s="1" t="n">
        <v>415</v>
      </c>
      <c r="F10" s="1" t="n">
        <v>680</v>
      </c>
      <c r="G10" s="1" t="n">
        <v>14933</v>
      </c>
      <c r="H10" s="1" t="n">
        <v>24152</v>
      </c>
      <c r="I10" s="1" t="n">
        <v>0.389705882</v>
      </c>
      <c r="J10" s="1" t="n">
        <v>35.98313253</v>
      </c>
      <c r="K10" s="1" t="n">
        <v>0.58787584</v>
      </c>
      <c r="L10" s="1" t="n">
        <v>0.058823529</v>
      </c>
      <c r="M10" s="1" t="n">
        <v>0.317354177</v>
      </c>
      <c r="N10" s="1" t="n">
        <v>1040.548379668</v>
      </c>
    </row>
    <row r="11">
      <c r="A11" s="1" t="inlineStr">
        <is>
          <t>2027BUD_V1</t>
        </is>
      </c>
      <c r="B11" s="1" t="inlineStr">
        <is>
          <t>12</t>
        </is>
      </c>
      <c r="C11" s="1" t="inlineStr">
        <is>
          <t>IPAC_MTP</t>
        </is>
      </c>
      <c r="D11" s="1" t="n">
        <v>258</v>
      </c>
      <c r="E11" s="1" t="n">
        <v>422</v>
      </c>
      <c r="F11" s="1" t="n">
        <v>680</v>
      </c>
      <c r="G11" s="1" t="n">
        <v>15178</v>
      </c>
      <c r="H11" s="1" t="n">
        <v>23514</v>
      </c>
      <c r="I11" s="1" t="n">
        <v>0.379411765</v>
      </c>
      <c r="J11" s="1" t="n">
        <v>35.966824645</v>
      </c>
      <c r="K11" s="1" t="n">
        <v>0.59134467</v>
      </c>
      <c r="L11" s="1" t="n">
        <v>0.058823529</v>
      </c>
      <c r="M11" s="1" t="n">
        <v>0.315275263</v>
      </c>
      <c r="N11" s="1" t="n">
        <v>1033.975700607</v>
      </c>
    </row>
    <row r="12">
      <c r="A12" s="1" t="inlineStr">
        <is>
          <t>2027BUD_V1</t>
        </is>
      </c>
      <c r="B12" s="1" t="inlineStr">
        <is>
          <t>12</t>
        </is>
      </c>
      <c r="C12" s="1" t="inlineStr">
        <is>
          <t>PIGIER_LYO</t>
        </is>
      </c>
      <c r="D12" s="1" t="n">
        <v>738</v>
      </c>
      <c r="E12" s="1" t="n">
        <v>832</v>
      </c>
      <c r="F12" s="1" t="n">
        <v>1570</v>
      </c>
      <c r="G12" s="1" t="n">
        <v>36612</v>
      </c>
      <c r="H12" s="1" t="n">
        <v>67261</v>
      </c>
      <c r="I12" s="1" t="n">
        <v>0.470063694</v>
      </c>
      <c r="J12" s="1" t="n">
        <v>44.004807692</v>
      </c>
      <c r="K12" s="1" t="n">
        <v>0.440450184</v>
      </c>
      <c r="L12" s="1" t="n">
        <v>0.058598726</v>
      </c>
      <c r="M12" s="1" t="n">
        <v>0.343045775</v>
      </c>
      <c r="N12" s="1" t="n">
        <v>1704.963778272</v>
      </c>
    </row>
    <row r="13">
      <c r="A13" s="1" t="inlineStr">
        <is>
          <t>2027BUD_V1</t>
        </is>
      </c>
      <c r="B13" s="1" t="inlineStr">
        <is>
          <t>12</t>
        </is>
      </c>
      <c r="C13" s="1" t="inlineStr">
        <is>
          <t>PIGIER_BOR</t>
        </is>
      </c>
      <c r="D13" s="1" t="n">
        <v>652</v>
      </c>
      <c r="E13" s="1" t="n">
        <v>578</v>
      </c>
      <c r="F13" s="1" t="n">
        <v>1230</v>
      </c>
      <c r="G13" s="1" t="n">
        <v>21968</v>
      </c>
      <c r="H13" s="1" t="n">
        <v>59423</v>
      </c>
      <c r="I13" s="1" t="n">
        <v>0.5300813009999999</v>
      </c>
      <c r="J13" s="1" t="n">
        <v>38.006920415</v>
      </c>
      <c r="K13" s="1" t="n">
        <v>0.474597064</v>
      </c>
      <c r="L13" s="1" t="n">
        <v>0.058536585</v>
      </c>
      <c r="M13" s="1" t="n">
        <v>0.357573951</v>
      </c>
      <c r="N13" s="1" t="n">
        <v>1368.07607826</v>
      </c>
    </row>
    <row r="14">
      <c r="A14" s="1" t="inlineStr">
        <is>
          <t>2027BUD_V1</t>
        </is>
      </c>
      <c r="B14" s="1" t="inlineStr">
        <is>
          <t>12</t>
        </is>
      </c>
      <c r="C14" s="1" t="inlineStr">
        <is>
          <t>TUNON_PAR</t>
        </is>
      </c>
      <c r="D14" s="1" t="n">
        <v>240</v>
      </c>
      <c r="E14" s="1" t="n">
        <v>560</v>
      </c>
      <c r="F14" s="1" t="n">
        <v>800</v>
      </c>
      <c r="G14" s="1" t="n">
        <v>30240</v>
      </c>
      <c r="H14" s="1" t="n">
        <v>21873</v>
      </c>
      <c r="I14" s="1" t="n">
        <v>0.3</v>
      </c>
      <c r="J14" s="1" t="n">
        <v>54</v>
      </c>
      <c r="K14" s="1" t="n">
        <v>0.41914906</v>
      </c>
      <c r="L14" s="1" t="n">
        <v>0.05875</v>
      </c>
      <c r="M14" s="1" t="n">
        <v>0.279886014</v>
      </c>
      <c r="N14" s="1" t="n">
        <v>2192.892750688</v>
      </c>
    </row>
    <row r="15">
      <c r="A15" s="1" t="inlineStr">
        <is>
          <t>2027BUD_V1</t>
        </is>
      </c>
      <c r="B15" s="1" t="inlineStr">
        <is>
          <t>12</t>
        </is>
      </c>
      <c r="C15" s="1" t="inlineStr">
        <is>
          <t>TUNON_LYO</t>
        </is>
      </c>
      <c r="D15" t="n">
        <v>252</v>
      </c>
      <c r="E15" t="n">
        <v>428</v>
      </c>
      <c r="F15" t="n">
        <v>680</v>
      </c>
      <c r="G15" t="n">
        <v>18850</v>
      </c>
      <c r="H15" t="n">
        <v>22967</v>
      </c>
      <c r="I15" t="n">
        <v>0.370588235</v>
      </c>
      <c r="J15" t="n">
        <v>44.042056075</v>
      </c>
      <c r="K15" t="n">
        <v>0.460843731</v>
      </c>
      <c r="L15" t="n">
        <v>0.058823529</v>
      </c>
      <c r="M15" t="n">
        <v>0.31798649</v>
      </c>
      <c r="N15" t="n">
        <v>1624.66125095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10" defaultRowHeight="14.25"/>
  <sheetData>
    <row r="1">
      <c r="A1" s="1" t="inlineStr">
        <is>
          <t>SCENARIO</t>
        </is>
      </c>
      <c r="B1" s="1" t="inlineStr">
        <is>
          <t>PERIODE</t>
        </is>
      </c>
      <c r="C1" s="1" t="inlineStr">
        <is>
          <t>ENTITY</t>
        </is>
      </c>
      <c r="D1" s="1" t="inlineStr">
        <is>
          <t>ORG_REF</t>
        </is>
      </c>
      <c r="E1" s="1" t="inlineStr">
        <is>
          <t>PAID_REF</t>
        </is>
      </c>
      <c r="F1" s="1" t="inlineStr">
        <is>
          <t>LEAD_REF</t>
        </is>
      </c>
      <c r="G1" s="1" t="inlineStr">
        <is>
          <t>SPEND_ACQ_REF</t>
        </is>
      </c>
      <c r="H1" s="1" t="inlineStr">
        <is>
          <t>SPEND_BRAND_REF</t>
        </is>
      </c>
      <c r="I1" s="1" t="inlineStr">
        <is>
          <t>PART_ORG</t>
        </is>
      </c>
      <c r="J1" s="1" t="inlineStr">
        <is>
          <t>CPL</t>
        </is>
      </c>
      <c r="K1" s="1" t="inlineStr">
        <is>
          <t>REND_ACQ</t>
        </is>
      </c>
      <c r="L1" s="1" t="inlineStr">
        <is>
          <t>CONVERSION</t>
        </is>
      </c>
      <c r="M1" s="1" t="inlineStr">
        <is>
          <t>REND_BRAND</t>
        </is>
      </c>
      <c r="N1" s="1" t="inlineStr">
        <is>
          <t>CAC_MARGINAL</t>
        </is>
      </c>
    </row>
    <row r="2">
      <c r="A2" t="n">
        <v>1000</v>
      </c>
      <c r="B2" t="n">
        <v>1000</v>
      </c>
      <c r="C2" t="n">
        <v>1000</v>
      </c>
      <c r="D2" t="n">
        <v>1000</v>
      </c>
      <c r="E2" t="n">
        <v>1000</v>
      </c>
      <c r="F2" t="n">
        <v>1000</v>
      </c>
      <c r="G2" t="n">
        <v>1000</v>
      </c>
      <c r="H2" t="n">
        <v>1000</v>
      </c>
      <c r="I2" t="n">
        <v>1000</v>
      </c>
      <c r="J2" t="n">
        <v>1000</v>
      </c>
      <c r="K2" t="n">
        <v>1000</v>
      </c>
      <c r="L2" t="n">
        <v>1000</v>
      </c>
      <c r="M2" t="n">
        <v>1000</v>
      </c>
      <c r="N2" t="n">
        <v>1000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75"/>
  <sheetViews>
    <sheetView workbookViewId="0">
      <selection activeCell="A2" sqref="A2"/>
    </sheetView>
  </sheetViews>
  <sheetFormatPr baseColWidth="10" defaultRowHeight="14.25"/>
  <cols>
    <col width="9.265625" bestFit="1" customWidth="1" min="1" max="1"/>
    <col width="8.06640625" bestFit="1" customWidth="1" min="2" max="2"/>
    <col width="7.9296875" bestFit="1" customWidth="1" min="3" max="3"/>
    <col width="6.265625" bestFit="1" customWidth="1" min="4" max="4"/>
    <col width="7.796875" bestFit="1" customWidth="1" min="5" max="5"/>
    <col width="11.46484375" bestFit="1" customWidth="1" min="6" max="6"/>
    <col width="9.1328125" bestFit="1" customWidth="1" min="7" max="7"/>
    <col width="8.9296875" bestFit="1" customWidth="1" min="8" max="8"/>
    <col width="8.86328125" bestFit="1" customWidth="1" min="9" max="9"/>
    <col width="9.86328125" bestFit="1" customWidth="1" min="10" max="10"/>
    <col width="8.1328125" bestFit="1" customWidth="1" min="11" max="11"/>
    <col width="4.73046875" bestFit="1" customWidth="1" min="12" max="13"/>
    <col width="13" customWidth="1" min="15" max="15"/>
    <col width="13" customWidth="1" min="16" max="16"/>
    <col width="11" customWidth="1" min="17" max="17"/>
    <col width="13" customWidth="1" min="18" max="18"/>
    <col width="14" customWidth="1" min="19" max="19"/>
  </cols>
  <sheetData>
    <row r="1">
      <c r="A1" s="9" t="inlineStr">
        <is>
          <t>SCENARIO</t>
        </is>
      </c>
      <c r="B1" s="1" t="inlineStr">
        <is>
          <t>VERSION</t>
        </is>
      </c>
      <c r="C1" s="1" t="inlineStr">
        <is>
          <t>PERIODE</t>
        </is>
      </c>
      <c r="D1" s="1" t="inlineStr">
        <is>
          <t>ENTITY</t>
        </is>
      </c>
      <c r="E1" s="1" t="inlineStr">
        <is>
          <t>MARQUE</t>
        </is>
      </c>
      <c r="F1" s="1" t="inlineStr">
        <is>
          <t>PROGRAMME</t>
        </is>
      </c>
      <c r="G1" s="1" t="inlineStr">
        <is>
          <t>AN_ETUDE</t>
        </is>
      </c>
      <c r="H1" s="1" t="inlineStr">
        <is>
          <t>MODALITE</t>
        </is>
      </c>
      <c r="I1" s="1" t="inlineStr">
        <is>
          <t>EXERCICE</t>
        </is>
      </c>
      <c r="J1" s="1" t="inlineStr">
        <is>
          <t>NOUVEAUX</t>
        </is>
      </c>
      <c r="K1" s="1" t="inlineStr">
        <is>
          <t>EFFECTIF</t>
        </is>
      </c>
      <c r="L1" s="1" t="inlineStr">
        <is>
          <t>PRIX</t>
        </is>
      </c>
      <c r="M1" s="1" t="inlineStr">
        <is>
          <t>CA</t>
        </is>
      </c>
      <c r="O1" s="24" t="inlineStr">
        <is>
          <t>NOUVEAUX (live)</t>
        </is>
      </c>
      <c r="P1" s="24" t="inlineStr">
        <is>
          <t>EFFECTIF (live)</t>
        </is>
      </c>
      <c r="Q1" s="24" t="inlineStr">
        <is>
          <t>PRIX (live)</t>
        </is>
      </c>
      <c r="R1" s="24" t="inlineStr">
        <is>
          <t>🟢 CA (live)</t>
        </is>
      </c>
      <c r="S1" s="24" t="inlineStr">
        <is>
          <t>Δ CA vs Tagetik</t>
        </is>
      </c>
    </row>
    <row r="2">
      <c r="A2" s="9" t="inlineStr">
        <is>
          <t>2027BUD_V1</t>
        </is>
      </c>
      <c r="B2" s="1" t="inlineStr">
        <is>
          <t>V01</t>
        </is>
      </c>
      <c r="C2" s="1" t="inlineStr">
        <is>
          <t>12</t>
        </is>
      </c>
      <c r="D2" s="1" t="inlineStr">
        <is>
          <t>MBWAY_PAR</t>
        </is>
      </c>
      <c r="E2" s="1" t="inlineStr">
        <is>
          <t>MBWAY</t>
        </is>
      </c>
      <c r="F2" s="1" t="inlineStr">
        <is>
          <t>BAC_MGT</t>
        </is>
      </c>
      <c r="G2" s="1" t="inlineStr">
        <is>
          <t>B1</t>
        </is>
      </c>
      <c r="H2" s="1" t="inlineStr">
        <is>
          <t>INIT</t>
        </is>
      </c>
      <c r="I2" s="1" t="inlineStr">
        <is>
          <t>2027</t>
        </is>
      </c>
      <c r="J2" s="1" t="n">
        <v>84.92059392100001</v>
      </c>
      <c r="K2" s="1" t="n">
        <v>84.92059392100001</v>
      </c>
      <c r="L2" s="1" t="n">
        <v>8601.6</v>
      </c>
      <c r="M2" s="1" t="n">
        <v>738095.834124097</v>
      </c>
      <c r="O2" s="25">
        <f>_CALC_MOTEUR!AE2</f>
        <v/>
      </c>
      <c r="P2" s="25">
        <f>_CALC_MOTEUR!AF2</f>
        <v/>
      </c>
      <c r="Q2" s="27">
        <f>_CALC_MOTEUR!AG2</f>
        <v/>
      </c>
      <c r="R2" s="25">
        <f>_CALC_MOTEUR!AH2</f>
        <v/>
      </c>
      <c r="S2" s="25">
        <f>R2-M2</f>
        <v/>
      </c>
    </row>
    <row r="3">
      <c r="A3" s="9" t="inlineStr">
        <is>
          <t>2027BUD_V1</t>
        </is>
      </c>
      <c r="B3" s="1" t="inlineStr">
        <is>
          <t>V02</t>
        </is>
      </c>
      <c r="C3" s="1" t="inlineStr">
        <is>
          <t>12</t>
        </is>
      </c>
      <c r="D3" s="1" t="inlineStr">
        <is>
          <t>MBWAY_PAR</t>
        </is>
      </c>
      <c r="E3" s="1" t="inlineStr">
        <is>
          <t>MBWAY</t>
        </is>
      </c>
      <c r="F3" s="1" t="inlineStr">
        <is>
          <t>BAC_MGT</t>
        </is>
      </c>
      <c r="G3" s="1" t="inlineStr">
        <is>
          <t>B1</t>
        </is>
      </c>
      <c r="H3" s="1" t="inlineStr">
        <is>
          <t>INIT</t>
        </is>
      </c>
      <c r="I3" s="1" t="inlineStr">
        <is>
          <t>2027</t>
        </is>
      </c>
      <c r="J3" s="1" t="n">
        <v>95.67398504499999</v>
      </c>
      <c r="K3" s="1" t="n">
        <v>95.67398504499999</v>
      </c>
      <c r="L3" s="1" t="n">
        <v>8752.799999999999</v>
      </c>
      <c r="M3" s="1" t="n">
        <v>846025.914955184</v>
      </c>
      <c r="O3" s="25">
        <f>_CALC_MOTEUR!AE3</f>
        <v/>
      </c>
      <c r="P3" s="25">
        <f>_CALC_MOTEUR!AF3</f>
        <v/>
      </c>
      <c r="Q3" s="27">
        <f>_CALC_MOTEUR!AG3</f>
        <v/>
      </c>
      <c r="R3" s="25">
        <f>_CALC_MOTEUR!AH3</f>
        <v/>
      </c>
      <c r="S3" s="25">
        <f>R3-M3</f>
        <v/>
      </c>
    </row>
    <row r="4">
      <c r="A4" s="9" t="inlineStr">
        <is>
          <t>2027BUD_V1</t>
        </is>
      </c>
      <c r="B4" s="1" t="inlineStr">
        <is>
          <t>V03</t>
        </is>
      </c>
      <c r="C4" s="1" t="inlineStr">
        <is>
          <t>12</t>
        </is>
      </c>
      <c r="D4" s="1" t="inlineStr">
        <is>
          <t>MBWAY_PAR</t>
        </is>
      </c>
      <c r="E4" s="1" t="inlineStr">
        <is>
          <t>MBWAY</t>
        </is>
      </c>
      <c r="F4" s="1" t="inlineStr">
        <is>
          <t>BAC_MGT</t>
        </is>
      </c>
      <c r="G4" s="1" t="inlineStr">
        <is>
          <t>B1</t>
        </is>
      </c>
      <c r="H4" s="1" t="inlineStr">
        <is>
          <t>INIT</t>
        </is>
      </c>
      <c r="I4" s="1" t="inlineStr">
        <is>
          <t>2027</t>
        </is>
      </c>
      <c r="J4" s="1" t="n">
        <v>76.38661756</v>
      </c>
      <c r="K4" s="1" t="n">
        <v>76.38661756</v>
      </c>
      <c r="L4" s="1" t="n">
        <v>8601.6</v>
      </c>
      <c r="M4" s="1" t="n">
        <v>663921.9251878751</v>
      </c>
      <c r="O4" s="25">
        <f>_CALC_MOTEUR!AE4</f>
        <v/>
      </c>
      <c r="P4" s="25">
        <f>_CALC_MOTEUR!AF4</f>
        <v/>
      </c>
      <c r="Q4" s="27">
        <f>_CALC_MOTEUR!AG4</f>
        <v/>
      </c>
      <c r="R4" s="25">
        <f>_CALC_MOTEUR!AH4</f>
        <v/>
      </c>
      <c r="S4" s="25">
        <f>R4-M4</f>
        <v/>
      </c>
    </row>
    <row r="5">
      <c r="A5" s="9" t="inlineStr">
        <is>
          <t>2027BUD_V1</t>
        </is>
      </c>
      <c r="B5" s="1" t="inlineStr">
        <is>
          <t>V01</t>
        </is>
      </c>
      <c r="C5" s="1" t="inlineStr">
        <is>
          <t>12</t>
        </is>
      </c>
      <c r="D5" s="1" t="inlineStr">
        <is>
          <t>MBWAY_PAR</t>
        </is>
      </c>
      <c r="E5" s="1" t="inlineStr">
        <is>
          <t>MBWAY</t>
        </is>
      </c>
      <c r="F5" s="1" t="inlineStr">
        <is>
          <t>BAC_MGT</t>
        </is>
      </c>
      <c r="G5" s="1" t="inlineStr">
        <is>
          <t>B2</t>
        </is>
      </c>
      <c r="H5" s="1" t="inlineStr">
        <is>
          <t>ALT</t>
        </is>
      </c>
      <c r="I5" s="1" t="inlineStr">
        <is>
          <t>2027</t>
        </is>
      </c>
      <c r="J5" s="1" t="n">
        <v>0</v>
      </c>
      <c r="K5" s="1" t="n">
        <v>76.39</v>
      </c>
      <c r="L5" s="1" t="n">
        <v>8028.16</v>
      </c>
      <c r="M5" s="1" t="n">
        <v>613271.1424</v>
      </c>
      <c r="O5" s="25">
        <f>_CALC_MOTEUR!AE5</f>
        <v/>
      </c>
      <c r="P5" s="25">
        <f>_CALC_MOTEUR!AF5</f>
        <v/>
      </c>
      <c r="Q5" s="27">
        <f>_CALC_MOTEUR!AG5</f>
        <v/>
      </c>
      <c r="R5" s="25">
        <f>_CALC_MOTEUR!AH5</f>
        <v/>
      </c>
      <c r="S5" s="25">
        <f>R5-M5</f>
        <v/>
      </c>
    </row>
    <row r="6">
      <c r="A6" s="9" t="inlineStr">
        <is>
          <t>2027BUD_V1</t>
        </is>
      </c>
      <c r="B6" s="1" t="inlineStr">
        <is>
          <t>V02</t>
        </is>
      </c>
      <c r="C6" s="1" t="inlineStr">
        <is>
          <t>12</t>
        </is>
      </c>
      <c r="D6" s="1" t="inlineStr">
        <is>
          <t>MBWAY_PAR</t>
        </is>
      </c>
      <c r="E6" s="1" t="inlineStr">
        <is>
          <t>MBWAY</t>
        </is>
      </c>
      <c r="F6" s="1" t="inlineStr">
        <is>
          <t>BAC_MGT</t>
        </is>
      </c>
      <c r="G6" s="1" t="inlineStr">
        <is>
          <t>B2</t>
        </is>
      </c>
      <c r="H6" s="1" t="inlineStr">
        <is>
          <t>ALT</t>
        </is>
      </c>
      <c r="I6" s="1" t="inlineStr">
        <is>
          <t>2027</t>
        </is>
      </c>
      <c r="J6" s="1" t="n">
        <v>0</v>
      </c>
      <c r="K6" s="1" t="n">
        <v>77.17</v>
      </c>
      <c r="L6" s="1" t="n">
        <v>8169.28</v>
      </c>
      <c r="M6" s="1" t="n">
        <v>630423.3376</v>
      </c>
      <c r="O6" s="25">
        <f>_CALC_MOTEUR!AE6</f>
        <v/>
      </c>
      <c r="P6" s="25">
        <f>_CALC_MOTEUR!AF6</f>
        <v/>
      </c>
      <c r="Q6" s="27">
        <f>_CALC_MOTEUR!AG6</f>
        <v/>
      </c>
      <c r="R6" s="25">
        <f>_CALC_MOTEUR!AH6</f>
        <v/>
      </c>
      <c r="S6" s="25">
        <f>R6-M6</f>
        <v/>
      </c>
    </row>
    <row r="7">
      <c r="A7" s="9" t="inlineStr">
        <is>
          <t>2027BUD_V1</t>
        </is>
      </c>
      <c r="B7" s="1" t="inlineStr">
        <is>
          <t>V03</t>
        </is>
      </c>
      <c r="C7" s="1" t="inlineStr">
        <is>
          <t>12</t>
        </is>
      </c>
      <c r="D7" s="1" t="inlineStr">
        <is>
          <t>MBWAY_PAR</t>
        </is>
      </c>
      <c r="E7" s="1" t="inlineStr">
        <is>
          <t>MBWAY</t>
        </is>
      </c>
      <c r="F7" s="1" t="inlineStr">
        <is>
          <t>BAC_MGT</t>
        </is>
      </c>
      <c r="G7" s="1" t="inlineStr">
        <is>
          <t>B2</t>
        </is>
      </c>
      <c r="H7" s="1" t="inlineStr">
        <is>
          <t>ALT</t>
        </is>
      </c>
      <c r="I7" s="1" t="inlineStr">
        <is>
          <t>2027</t>
        </is>
      </c>
      <c r="J7" s="1" t="n">
        <v>0</v>
      </c>
      <c r="K7" s="1" t="n">
        <v>75.22</v>
      </c>
      <c r="L7" s="1" t="n">
        <v>8028.16</v>
      </c>
      <c r="M7" s="1" t="n">
        <v>603878.1952</v>
      </c>
      <c r="O7" s="25">
        <f>_CALC_MOTEUR!AE7</f>
        <v/>
      </c>
      <c r="P7" s="25">
        <f>_CALC_MOTEUR!AF7</f>
        <v/>
      </c>
      <c r="Q7" s="27">
        <f>_CALC_MOTEUR!AG7</f>
        <v/>
      </c>
      <c r="R7" s="25">
        <f>_CALC_MOTEUR!AH7</f>
        <v/>
      </c>
      <c r="S7" s="25">
        <f>R7-M7</f>
        <v/>
      </c>
    </row>
    <row r="8">
      <c r="A8" s="9" t="inlineStr">
        <is>
          <t>2027BUD_V1</t>
        </is>
      </c>
      <c r="B8" s="1" t="inlineStr">
        <is>
          <t>V01</t>
        </is>
      </c>
      <c r="C8" s="1" t="inlineStr">
        <is>
          <t>12</t>
        </is>
      </c>
      <c r="D8" s="1" t="inlineStr">
        <is>
          <t>MBWAY_PAR</t>
        </is>
      </c>
      <c r="E8" s="1" t="inlineStr">
        <is>
          <t>MBWAY</t>
        </is>
      </c>
      <c r="F8" s="1" t="inlineStr">
        <is>
          <t>BAC_MGT</t>
        </is>
      </c>
      <c r="G8" s="1" t="inlineStr">
        <is>
          <t>B3</t>
        </is>
      </c>
      <c r="H8" s="1" t="inlineStr">
        <is>
          <t>ALT</t>
        </is>
      </c>
      <c r="I8" s="1" t="inlineStr">
        <is>
          <t>2027</t>
        </is>
      </c>
      <c r="J8" s="1" t="n">
        <v>0</v>
      </c>
      <c r="K8" s="1" t="n">
        <v>74.38</v>
      </c>
      <c r="L8" s="1" t="n">
        <v>8028.16</v>
      </c>
      <c r="M8" s="1" t="n">
        <v>597134.5408</v>
      </c>
      <c r="O8" s="25">
        <f>_CALC_MOTEUR!AE8</f>
        <v/>
      </c>
      <c r="P8" s="25">
        <f>_CALC_MOTEUR!AF8</f>
        <v/>
      </c>
      <c r="Q8" s="27">
        <f>_CALC_MOTEUR!AG8</f>
        <v/>
      </c>
      <c r="R8" s="25">
        <f>_CALC_MOTEUR!AH8</f>
        <v/>
      </c>
      <c r="S8" s="25">
        <f>R8-M8</f>
        <v/>
      </c>
    </row>
    <row r="9">
      <c r="A9" s="9" t="inlineStr">
        <is>
          <t>2027BUD_V1</t>
        </is>
      </c>
      <c r="B9" s="1" t="inlineStr">
        <is>
          <t>V02</t>
        </is>
      </c>
      <c r="C9" s="1" t="inlineStr">
        <is>
          <t>12</t>
        </is>
      </c>
      <c r="D9" s="1" t="inlineStr">
        <is>
          <t>MBWAY_PAR</t>
        </is>
      </c>
      <c r="E9" s="1" t="inlineStr">
        <is>
          <t>MBWAY</t>
        </is>
      </c>
      <c r="F9" s="1" t="inlineStr">
        <is>
          <t>BAC_MGT</t>
        </is>
      </c>
      <c r="G9" s="1" t="inlineStr">
        <is>
          <t>B3</t>
        </is>
      </c>
      <c r="H9" s="1" t="inlineStr">
        <is>
          <t>ALT</t>
        </is>
      </c>
      <c r="I9" s="1" t="inlineStr">
        <is>
          <t>2027</t>
        </is>
      </c>
      <c r="J9" s="1" t="n">
        <v>0</v>
      </c>
      <c r="K9" s="1" t="n">
        <v>75.14</v>
      </c>
      <c r="L9" s="1" t="n">
        <v>8169.28</v>
      </c>
      <c r="M9" s="1" t="n">
        <v>613839.6992</v>
      </c>
      <c r="O9" s="25">
        <f>_CALC_MOTEUR!AE9</f>
        <v/>
      </c>
      <c r="P9" s="25">
        <f>_CALC_MOTEUR!AF9</f>
        <v/>
      </c>
      <c r="Q9" s="27">
        <f>_CALC_MOTEUR!AG9</f>
        <v/>
      </c>
      <c r="R9" s="25">
        <f>_CALC_MOTEUR!AH9</f>
        <v/>
      </c>
      <c r="S9" s="25">
        <f>R9-M9</f>
        <v/>
      </c>
    </row>
    <row r="10">
      <c r="A10" s="9" t="inlineStr">
        <is>
          <t>2027BUD_V1</t>
        </is>
      </c>
      <c r="B10" s="1" t="inlineStr">
        <is>
          <t>V03</t>
        </is>
      </c>
      <c r="C10" s="1" t="inlineStr">
        <is>
          <t>12</t>
        </is>
      </c>
      <c r="D10" s="1" t="inlineStr">
        <is>
          <t>MBWAY_PAR</t>
        </is>
      </c>
      <c r="E10" s="1" t="inlineStr">
        <is>
          <t>MBWAY</t>
        </is>
      </c>
      <c r="F10" s="1" t="inlineStr">
        <is>
          <t>BAC_MGT</t>
        </is>
      </c>
      <c r="G10" s="1" t="inlineStr">
        <is>
          <t>B3</t>
        </is>
      </c>
      <c r="H10" s="1" t="inlineStr">
        <is>
          <t>ALT</t>
        </is>
      </c>
      <c r="I10" s="1" t="inlineStr">
        <is>
          <t>2027</t>
        </is>
      </c>
      <c r="J10" s="1" t="n">
        <v>0</v>
      </c>
      <c r="K10" s="1" t="n">
        <v>73.23999999999999</v>
      </c>
      <c r="L10" s="1" t="n">
        <v>8028.16</v>
      </c>
      <c r="M10" s="1" t="n">
        <v>587982.4384</v>
      </c>
      <c r="O10" s="25">
        <f>_CALC_MOTEUR!AE10</f>
        <v/>
      </c>
      <c r="P10" s="25">
        <f>_CALC_MOTEUR!AF10</f>
        <v/>
      </c>
      <c r="Q10" s="27">
        <f>_CALC_MOTEUR!AG10</f>
        <v/>
      </c>
      <c r="R10" s="25">
        <f>_CALC_MOTEUR!AH10</f>
        <v/>
      </c>
      <c r="S10" s="25">
        <f>R10-M10</f>
        <v/>
      </c>
    </row>
    <row r="11">
      <c r="A11" s="9" t="inlineStr">
        <is>
          <t>2027BUD_V1</t>
        </is>
      </c>
      <c r="B11" s="1" t="inlineStr">
        <is>
          <t>V01</t>
        </is>
      </c>
      <c r="C11" s="1" t="inlineStr">
        <is>
          <t>12</t>
        </is>
      </c>
      <c r="D11" s="1" t="inlineStr">
        <is>
          <t>MBWAY_PAR</t>
        </is>
      </c>
      <c r="E11" s="1" t="inlineStr">
        <is>
          <t>MBWAY</t>
        </is>
      </c>
      <c r="F11" s="1" t="inlineStr">
        <is>
          <t>MAS_MGT</t>
        </is>
      </c>
      <c r="G11" s="1" t="inlineStr">
        <is>
          <t>M1</t>
        </is>
      </c>
      <c r="H11" s="1" t="inlineStr">
        <is>
          <t>ALT</t>
        </is>
      </c>
      <c r="I11" s="1" t="inlineStr">
        <is>
          <t>2027</t>
        </is>
      </c>
      <c r="J11" s="1" t="n">
        <v>86.701857656</v>
      </c>
      <c r="K11" s="1" t="n">
        <v>86.701857656</v>
      </c>
      <c r="L11" s="1" t="n">
        <v>8601.6</v>
      </c>
      <c r="M11" s="1" t="n">
        <v>753577.866004553</v>
      </c>
      <c r="O11" s="25">
        <f>_CALC_MOTEUR!AE11</f>
        <v/>
      </c>
      <c r="P11" s="25">
        <f>_CALC_MOTEUR!AF11</f>
        <v/>
      </c>
      <c r="Q11" s="27">
        <f>_CALC_MOTEUR!AG11</f>
        <v/>
      </c>
      <c r="R11" s="25">
        <f>_CALC_MOTEUR!AH11</f>
        <v/>
      </c>
      <c r="S11" s="25">
        <f>R11-M11</f>
        <v/>
      </c>
    </row>
    <row r="12">
      <c r="A12" s="9" t="inlineStr">
        <is>
          <t>2027BUD_V1</t>
        </is>
      </c>
      <c r="B12" s="1" t="inlineStr">
        <is>
          <t>V02</t>
        </is>
      </c>
      <c r="C12" s="1" t="inlineStr">
        <is>
          <t>12</t>
        </is>
      </c>
      <c r="D12" s="1" t="inlineStr">
        <is>
          <t>MBWAY_PAR</t>
        </is>
      </c>
      <c r="E12" s="1" t="inlineStr">
        <is>
          <t>MBWAY</t>
        </is>
      </c>
      <c r="F12" s="1" t="inlineStr">
        <is>
          <t>MAS_MGT</t>
        </is>
      </c>
      <c r="G12" s="1" t="inlineStr">
        <is>
          <t>M1</t>
        </is>
      </c>
      <c r="H12" s="1" t="inlineStr">
        <is>
          <t>ALT</t>
        </is>
      </c>
      <c r="I12" s="1" t="inlineStr">
        <is>
          <t>2027</t>
        </is>
      </c>
      <c r="J12" s="1" t="n">
        <v>101.096331121</v>
      </c>
      <c r="K12" s="1" t="n">
        <v>101.096331121</v>
      </c>
      <c r="L12" s="1" t="n">
        <v>8752.799999999999</v>
      </c>
      <c r="M12" s="1" t="n">
        <v>893974.636833599</v>
      </c>
      <c r="O12" s="25">
        <f>_CALC_MOTEUR!AE12</f>
        <v/>
      </c>
      <c r="P12" s="25">
        <f>_CALC_MOTEUR!AF12</f>
        <v/>
      </c>
      <c r="Q12" s="27">
        <f>_CALC_MOTEUR!AG12</f>
        <v/>
      </c>
      <c r="R12" s="25">
        <f>_CALC_MOTEUR!AH12</f>
        <v/>
      </c>
      <c r="S12" s="25">
        <f>R12-M12</f>
        <v/>
      </c>
    </row>
    <row r="13">
      <c r="A13" s="9" t="inlineStr">
        <is>
          <t>2027BUD_V1</t>
        </is>
      </c>
      <c r="B13" s="1" t="inlineStr">
        <is>
          <t>V03</t>
        </is>
      </c>
      <c r="C13" s="1" t="inlineStr">
        <is>
          <t>12</t>
        </is>
      </c>
      <c r="D13" s="1" t="inlineStr">
        <is>
          <t>MBWAY_PAR</t>
        </is>
      </c>
      <c r="E13" s="1" t="inlineStr">
        <is>
          <t>MBWAY</t>
        </is>
      </c>
      <c r="F13" s="1" t="inlineStr">
        <is>
          <t>MAS_MGT</t>
        </is>
      </c>
      <c r="G13" s="1" t="inlineStr">
        <is>
          <t>M1</t>
        </is>
      </c>
      <c r="H13" s="1" t="inlineStr">
        <is>
          <t>ALT</t>
        </is>
      </c>
      <c r="I13" s="1" t="inlineStr">
        <is>
          <t>2027</t>
        </is>
      </c>
      <c r="J13" s="1" t="n">
        <v>76.38661756</v>
      </c>
      <c r="K13" s="1" t="n">
        <v>76.38661756</v>
      </c>
      <c r="L13" s="1" t="n">
        <v>8601.6</v>
      </c>
      <c r="M13" s="1" t="n">
        <v>663921.925187876</v>
      </c>
      <c r="O13" s="25">
        <f>_CALC_MOTEUR!AE13</f>
        <v/>
      </c>
      <c r="P13" s="25">
        <f>_CALC_MOTEUR!AF13</f>
        <v/>
      </c>
      <c r="Q13" s="27">
        <f>_CALC_MOTEUR!AG13</f>
        <v/>
      </c>
      <c r="R13" s="25">
        <f>_CALC_MOTEUR!AH13</f>
        <v/>
      </c>
      <c r="S13" s="25">
        <f>R13-M13</f>
        <v/>
      </c>
    </row>
    <row r="14">
      <c r="A14" s="9" t="inlineStr">
        <is>
          <t>2027BUD_V1</t>
        </is>
      </c>
      <c r="B14" s="1" t="inlineStr">
        <is>
          <t>V01</t>
        </is>
      </c>
      <c r="C14" s="1" t="inlineStr">
        <is>
          <t>12</t>
        </is>
      </c>
      <c r="D14" s="1" t="inlineStr">
        <is>
          <t>MBWAY_PAR</t>
        </is>
      </c>
      <c r="E14" s="1" t="inlineStr">
        <is>
          <t>MBWAY</t>
        </is>
      </c>
      <c r="F14" s="1" t="inlineStr">
        <is>
          <t>MAS_MGT</t>
        </is>
      </c>
      <c r="G14" s="1" t="inlineStr">
        <is>
          <t>M2</t>
        </is>
      </c>
      <c r="H14" s="1" t="inlineStr">
        <is>
          <t>ALT</t>
        </is>
      </c>
      <c r="I14" s="1" t="inlineStr">
        <is>
          <t>2027</t>
        </is>
      </c>
      <c r="J14" s="1" t="n">
        <v>0</v>
      </c>
      <c r="K14" s="1" t="n">
        <v>76.39</v>
      </c>
      <c r="L14" s="1" t="n">
        <v>8601.6</v>
      </c>
      <c r="M14" s="1" t="n">
        <v>657076.224</v>
      </c>
      <c r="O14" s="25">
        <f>_CALC_MOTEUR!AE14</f>
        <v/>
      </c>
      <c r="P14" s="25">
        <f>_CALC_MOTEUR!AF14</f>
        <v/>
      </c>
      <c r="Q14" s="27">
        <f>_CALC_MOTEUR!AG14</f>
        <v/>
      </c>
      <c r="R14" s="25">
        <f>_CALC_MOTEUR!AH14</f>
        <v/>
      </c>
      <c r="S14" s="25">
        <f>R14-M14</f>
        <v/>
      </c>
    </row>
    <row r="15">
      <c r="A15" s="9" t="inlineStr">
        <is>
          <t>2027BUD_V1</t>
        </is>
      </c>
      <c r="B15" s="1" t="inlineStr">
        <is>
          <t>V02</t>
        </is>
      </c>
      <c r="C15" s="1" t="inlineStr">
        <is>
          <t>12</t>
        </is>
      </c>
      <c r="D15" s="1" t="inlineStr">
        <is>
          <t>MBWAY_PAR</t>
        </is>
      </c>
      <c r="E15" s="1" t="inlineStr">
        <is>
          <t>MBWAY</t>
        </is>
      </c>
      <c r="F15" s="1" t="inlineStr">
        <is>
          <t>MAS_MGT</t>
        </is>
      </c>
      <c r="G15" s="1" t="inlineStr">
        <is>
          <t>M2</t>
        </is>
      </c>
      <c r="H15" s="1" t="inlineStr">
        <is>
          <t>ALT</t>
        </is>
      </c>
      <c r="I15" s="1" t="inlineStr">
        <is>
          <t>2027</t>
        </is>
      </c>
      <c r="J15" s="1" t="n">
        <v>0</v>
      </c>
      <c r="K15" s="1" t="n">
        <v>77.17</v>
      </c>
      <c r="L15" s="1" t="n">
        <v>8752.799999999999</v>
      </c>
      <c r="M15" s="1" t="n">
        <v>675453.576</v>
      </c>
      <c r="O15" s="25">
        <f>_CALC_MOTEUR!AE15</f>
        <v/>
      </c>
      <c r="P15" s="25">
        <f>_CALC_MOTEUR!AF15</f>
        <v/>
      </c>
      <c r="Q15" s="27">
        <f>_CALC_MOTEUR!AG15</f>
        <v/>
      </c>
      <c r="R15" s="25">
        <f>_CALC_MOTEUR!AH15</f>
        <v/>
      </c>
      <c r="S15" s="25">
        <f>R15-M15</f>
        <v/>
      </c>
    </row>
    <row r="16">
      <c r="A16" s="9" t="inlineStr">
        <is>
          <t>2027BUD_V1</t>
        </is>
      </c>
      <c r="B16" s="1" t="inlineStr">
        <is>
          <t>V03</t>
        </is>
      </c>
      <c r="C16" s="1" t="inlineStr">
        <is>
          <t>12</t>
        </is>
      </c>
      <c r="D16" s="1" t="inlineStr">
        <is>
          <t>MBWAY_PAR</t>
        </is>
      </c>
      <c r="E16" s="1" t="inlineStr">
        <is>
          <t>MBWAY</t>
        </is>
      </c>
      <c r="F16" s="1" t="inlineStr">
        <is>
          <t>MAS_MGT</t>
        </is>
      </c>
      <c r="G16" s="1" t="inlineStr">
        <is>
          <t>M2</t>
        </is>
      </c>
      <c r="H16" s="1" t="inlineStr">
        <is>
          <t>ALT</t>
        </is>
      </c>
      <c r="I16" s="1" t="inlineStr">
        <is>
          <t>2027</t>
        </is>
      </c>
      <c r="J16" s="1" t="n">
        <v>0</v>
      </c>
      <c r="K16" s="1" t="n">
        <v>75.22</v>
      </c>
      <c r="L16" s="1" t="n">
        <v>8601.6</v>
      </c>
      <c r="M16" s="1" t="n">
        <v>647012.352</v>
      </c>
      <c r="O16" s="25">
        <f>_CALC_MOTEUR!AE16</f>
        <v/>
      </c>
      <c r="P16" s="25">
        <f>_CALC_MOTEUR!AF16</f>
        <v/>
      </c>
      <c r="Q16" s="27">
        <f>_CALC_MOTEUR!AG16</f>
        <v/>
      </c>
      <c r="R16" s="25">
        <f>_CALC_MOTEUR!AH16</f>
        <v/>
      </c>
      <c r="S16" s="25">
        <f>R16-M16</f>
        <v/>
      </c>
    </row>
    <row r="17">
      <c r="A17" s="9" t="inlineStr">
        <is>
          <t>2027BUD_V1</t>
        </is>
      </c>
      <c r="B17" s="1" t="inlineStr">
        <is>
          <t>V01</t>
        </is>
      </c>
      <c r="C17" s="1" t="inlineStr">
        <is>
          <t>12</t>
        </is>
      </c>
      <c r="D17" s="1" t="inlineStr">
        <is>
          <t>MBWAY_LYO</t>
        </is>
      </c>
      <c r="E17" s="1" t="inlineStr">
        <is>
          <t>MBWAY</t>
        </is>
      </c>
      <c r="F17" s="1" t="inlineStr">
        <is>
          <t>BAC_MGT</t>
        </is>
      </c>
      <c r="G17" s="1" t="inlineStr">
        <is>
          <t>B1</t>
        </is>
      </c>
      <c r="H17" s="1" t="inlineStr">
        <is>
          <t>INIT</t>
        </is>
      </c>
      <c r="I17" s="1" t="inlineStr">
        <is>
          <t>2027</t>
        </is>
      </c>
      <c r="J17" s="1" t="n">
        <v>72.005872909</v>
      </c>
      <c r="K17" s="1" t="n">
        <v>72.005872909</v>
      </c>
      <c r="L17" s="1" t="n">
        <v>8064</v>
      </c>
      <c r="M17" s="1" t="n">
        <v>587135.887697176</v>
      </c>
      <c r="O17" s="25">
        <f>_CALC_MOTEUR!AE17</f>
        <v/>
      </c>
      <c r="P17" s="25">
        <f>_CALC_MOTEUR!AF17</f>
        <v/>
      </c>
      <c r="Q17" s="27">
        <f>_CALC_MOTEUR!AG17</f>
        <v/>
      </c>
      <c r="R17" s="25">
        <f>_CALC_MOTEUR!AH17</f>
        <v/>
      </c>
      <c r="S17" s="25">
        <f>R17-M17</f>
        <v/>
      </c>
    </row>
    <row r="18">
      <c r="A18" s="9" t="inlineStr">
        <is>
          <t>2027BUD_V1</t>
        </is>
      </c>
      <c r="B18" s="1" t="inlineStr">
        <is>
          <t>V02</t>
        </is>
      </c>
      <c r="C18" s="1" t="inlineStr">
        <is>
          <t>12</t>
        </is>
      </c>
      <c r="D18" s="1" t="inlineStr">
        <is>
          <t>MBWAY_LYO</t>
        </is>
      </c>
      <c r="E18" s="1" t="inlineStr">
        <is>
          <t>MBWAY</t>
        </is>
      </c>
      <c r="F18" s="1" t="inlineStr">
        <is>
          <t>BAC_MGT</t>
        </is>
      </c>
      <c r="G18" s="1" t="inlineStr">
        <is>
          <t>B1</t>
        </is>
      </c>
      <c r="H18" s="1" t="inlineStr">
        <is>
          <t>INIT</t>
        </is>
      </c>
      <c r="I18" s="1" t="inlineStr">
        <is>
          <t>2027</t>
        </is>
      </c>
      <c r="J18" s="1" t="n">
        <v>81.283962862</v>
      </c>
      <c r="K18" s="1" t="n">
        <v>81.283962862</v>
      </c>
      <c r="L18" s="1" t="n">
        <v>8205.75</v>
      </c>
      <c r="M18" s="1" t="n">
        <v>674311.434916415</v>
      </c>
      <c r="O18" s="25">
        <f>_CALC_MOTEUR!AE18</f>
        <v/>
      </c>
      <c r="P18" s="25">
        <f>_CALC_MOTEUR!AF18</f>
        <v/>
      </c>
      <c r="Q18" s="27">
        <f>_CALC_MOTEUR!AG18</f>
        <v/>
      </c>
      <c r="R18" s="25">
        <f>_CALC_MOTEUR!AH18</f>
        <v/>
      </c>
      <c r="S18" s="25">
        <f>R18-M18</f>
        <v/>
      </c>
    </row>
    <row r="19">
      <c r="A19" s="9" t="inlineStr">
        <is>
          <t>2027BUD_V1</t>
        </is>
      </c>
      <c r="B19" s="1" t="inlineStr">
        <is>
          <t>V03</t>
        </is>
      </c>
      <c r="C19" s="1" t="inlineStr">
        <is>
          <t>12</t>
        </is>
      </c>
      <c r="D19" s="1" t="inlineStr">
        <is>
          <t>MBWAY_LYO</t>
        </is>
      </c>
      <c r="E19" s="1" t="inlineStr">
        <is>
          <t>MBWAY</t>
        </is>
      </c>
      <c r="F19" s="1" t="inlineStr">
        <is>
          <t>BAC_MGT</t>
        </is>
      </c>
      <c r="G19" s="1" t="inlineStr">
        <is>
          <t>B1</t>
        </is>
      </c>
      <c r="H19" s="1" t="inlineStr">
        <is>
          <t>INIT</t>
        </is>
      </c>
      <c r="I19" s="1" t="inlineStr">
        <is>
          <t>2027</t>
        </is>
      </c>
      <c r="J19" s="1" t="n">
        <v>64.568484731</v>
      </c>
      <c r="K19" s="1" t="n">
        <v>64.568484731</v>
      </c>
      <c r="L19" s="1" t="n">
        <v>8064</v>
      </c>
      <c r="M19" s="1" t="n">
        <v>526491.424494046</v>
      </c>
      <c r="O19" s="25">
        <f>_CALC_MOTEUR!AE19</f>
        <v/>
      </c>
      <c r="P19" s="25">
        <f>_CALC_MOTEUR!AF19</f>
        <v/>
      </c>
      <c r="Q19" s="27">
        <f>_CALC_MOTEUR!AG19</f>
        <v/>
      </c>
      <c r="R19" s="25">
        <f>_CALC_MOTEUR!AH19</f>
        <v/>
      </c>
      <c r="S19" s="25">
        <f>R19-M19</f>
        <v/>
      </c>
    </row>
    <row r="20">
      <c r="A20" s="9" t="inlineStr">
        <is>
          <t>2027BUD_V1</t>
        </is>
      </c>
      <c r="B20" s="1" t="inlineStr">
        <is>
          <t>V01</t>
        </is>
      </c>
      <c r="C20" s="1" t="inlineStr">
        <is>
          <t>12</t>
        </is>
      </c>
      <c r="D20" s="1" t="inlineStr">
        <is>
          <t>MBWAY_LYO</t>
        </is>
      </c>
      <c r="E20" s="1" t="inlineStr">
        <is>
          <t>MBWAY</t>
        </is>
      </c>
      <c r="F20" s="1" t="inlineStr">
        <is>
          <t>BAC_MGT</t>
        </is>
      </c>
      <c r="G20" s="1" t="inlineStr">
        <is>
          <t>B2</t>
        </is>
      </c>
      <c r="H20" s="1" t="inlineStr">
        <is>
          <t>ALT</t>
        </is>
      </c>
      <c r="I20" s="1" t="inlineStr">
        <is>
          <t>2027</t>
        </is>
      </c>
      <c r="J20" s="1" t="n">
        <v>0</v>
      </c>
      <c r="K20" s="1" t="n">
        <v>64.33</v>
      </c>
      <c r="L20" s="1" t="n">
        <v>7526.4</v>
      </c>
      <c r="M20" s="1" t="n">
        <v>484173.312</v>
      </c>
      <c r="O20" s="25">
        <f>_CALC_MOTEUR!AE20</f>
        <v/>
      </c>
      <c r="P20" s="25">
        <f>_CALC_MOTEUR!AF20</f>
        <v/>
      </c>
      <c r="Q20" s="27">
        <f>_CALC_MOTEUR!AG20</f>
        <v/>
      </c>
      <c r="R20" s="25">
        <f>_CALC_MOTEUR!AH20</f>
        <v/>
      </c>
      <c r="S20" s="25">
        <f>R20-M20</f>
        <v/>
      </c>
    </row>
    <row r="21">
      <c r="A21" s="9" t="inlineStr">
        <is>
          <t>2027BUD_V1</t>
        </is>
      </c>
      <c r="B21" s="1" t="inlineStr">
        <is>
          <t>V02</t>
        </is>
      </c>
      <c r="C21" s="1" t="inlineStr">
        <is>
          <t>12</t>
        </is>
      </c>
      <c r="D21" s="1" t="inlineStr">
        <is>
          <t>MBWAY_LYO</t>
        </is>
      </c>
      <c r="E21" s="1" t="inlineStr">
        <is>
          <t>MBWAY</t>
        </is>
      </c>
      <c r="F21" s="1" t="inlineStr">
        <is>
          <t>BAC_MGT</t>
        </is>
      </c>
      <c r="G21" s="1" t="inlineStr">
        <is>
          <t>B2</t>
        </is>
      </c>
      <c r="H21" s="1" t="inlineStr">
        <is>
          <t>ALT</t>
        </is>
      </c>
      <c r="I21" s="1" t="inlineStr">
        <is>
          <t>2027</t>
        </is>
      </c>
      <c r="J21" s="1" t="n">
        <v>0</v>
      </c>
      <c r="K21" s="1" t="n">
        <v>64.98999999999999</v>
      </c>
      <c r="L21" s="1" t="n">
        <v>7658.7</v>
      </c>
      <c r="M21" s="1" t="n">
        <v>497738.913</v>
      </c>
      <c r="O21" s="25">
        <f>_CALC_MOTEUR!AE21</f>
        <v/>
      </c>
      <c r="P21" s="25">
        <f>_CALC_MOTEUR!AF21</f>
        <v/>
      </c>
      <c r="Q21" s="27">
        <f>_CALC_MOTEUR!AG21</f>
        <v/>
      </c>
      <c r="R21" s="25">
        <f>_CALC_MOTEUR!AH21</f>
        <v/>
      </c>
      <c r="S21" s="25">
        <f>R21-M21</f>
        <v/>
      </c>
    </row>
    <row r="22">
      <c r="A22" s="9" t="inlineStr">
        <is>
          <t>2027BUD_V1</t>
        </is>
      </c>
      <c r="B22" s="1" t="inlineStr">
        <is>
          <t>V03</t>
        </is>
      </c>
      <c r="C22" s="1" t="inlineStr">
        <is>
          <t>12</t>
        </is>
      </c>
      <c r="D22" s="1" t="inlineStr">
        <is>
          <t>MBWAY_LYO</t>
        </is>
      </c>
      <c r="E22" s="1" t="inlineStr">
        <is>
          <t>MBWAY</t>
        </is>
      </c>
      <c r="F22" s="1" t="inlineStr">
        <is>
          <t>BAC_MGT</t>
        </is>
      </c>
      <c r="G22" s="1" t="inlineStr">
        <is>
          <t>B2</t>
        </is>
      </c>
      <c r="H22" s="1" t="inlineStr">
        <is>
          <t>ALT</t>
        </is>
      </c>
      <c r="I22" s="1" t="inlineStr">
        <is>
          <t>2027</t>
        </is>
      </c>
      <c r="J22" s="1" t="n">
        <v>0</v>
      </c>
      <c r="K22" s="1" t="n">
        <v>63.34</v>
      </c>
      <c r="L22" s="1" t="n">
        <v>7526.4</v>
      </c>
      <c r="M22" s="1" t="n">
        <v>476722.176</v>
      </c>
      <c r="O22" s="25">
        <f>_CALC_MOTEUR!AE22</f>
        <v/>
      </c>
      <c r="P22" s="25">
        <f>_CALC_MOTEUR!AF22</f>
        <v/>
      </c>
      <c r="Q22" s="27">
        <f>_CALC_MOTEUR!AG22</f>
        <v/>
      </c>
      <c r="R22" s="25">
        <f>_CALC_MOTEUR!AH22</f>
        <v/>
      </c>
      <c r="S22" s="25">
        <f>R22-M22</f>
        <v/>
      </c>
    </row>
    <row r="23">
      <c r="A23" s="9" t="inlineStr">
        <is>
          <t>2027BUD_V1</t>
        </is>
      </c>
      <c r="B23" s="1" t="inlineStr">
        <is>
          <t>V01</t>
        </is>
      </c>
      <c r="C23" s="1" t="inlineStr">
        <is>
          <t>12</t>
        </is>
      </c>
      <c r="D23" s="1" t="inlineStr">
        <is>
          <t>MBWAY_LYO</t>
        </is>
      </c>
      <c r="E23" s="1" t="inlineStr">
        <is>
          <t>MBWAY</t>
        </is>
      </c>
      <c r="F23" s="1" t="inlineStr">
        <is>
          <t>BAC_MGT</t>
        </is>
      </c>
      <c r="G23" s="1" t="inlineStr">
        <is>
          <t>B3</t>
        </is>
      </c>
      <c r="H23" s="1" t="inlineStr">
        <is>
          <t>ALT</t>
        </is>
      </c>
      <c r="I23" s="1" t="inlineStr">
        <is>
          <t>2027</t>
        </is>
      </c>
      <c r="J23" s="1" t="n">
        <v>0</v>
      </c>
      <c r="K23" s="1" t="n">
        <v>63.32</v>
      </c>
      <c r="L23" s="1" t="n">
        <v>7526.4</v>
      </c>
      <c r="M23" s="1" t="n">
        <v>476571.648</v>
      </c>
      <c r="O23" s="25">
        <f>_CALC_MOTEUR!AE23</f>
        <v/>
      </c>
      <c r="P23" s="25">
        <f>_CALC_MOTEUR!AF23</f>
        <v/>
      </c>
      <c r="Q23" s="27">
        <f>_CALC_MOTEUR!AG23</f>
        <v/>
      </c>
      <c r="R23" s="25">
        <f>_CALC_MOTEUR!AH23</f>
        <v/>
      </c>
      <c r="S23" s="25">
        <f>R23-M23</f>
        <v/>
      </c>
    </row>
    <row r="24">
      <c r="A24" s="9" t="inlineStr">
        <is>
          <t>2027BUD_V1</t>
        </is>
      </c>
      <c r="B24" s="1" t="inlineStr">
        <is>
          <t>V02</t>
        </is>
      </c>
      <c r="C24" s="1" t="inlineStr">
        <is>
          <t>12</t>
        </is>
      </c>
      <c r="D24" s="1" t="inlineStr">
        <is>
          <t>MBWAY_LYO</t>
        </is>
      </c>
      <c r="E24" s="1" t="inlineStr">
        <is>
          <t>MBWAY</t>
        </is>
      </c>
      <c r="F24" s="1" t="inlineStr">
        <is>
          <t>BAC_MGT</t>
        </is>
      </c>
      <c r="G24" s="1" t="inlineStr">
        <is>
          <t>B3</t>
        </is>
      </c>
      <c r="H24" s="1" t="inlineStr">
        <is>
          <t>ALT</t>
        </is>
      </c>
      <c r="I24" s="1" t="inlineStr">
        <is>
          <t>2027</t>
        </is>
      </c>
      <c r="J24" s="1" t="n">
        <v>0</v>
      </c>
      <c r="K24" s="1" t="n">
        <v>63.96</v>
      </c>
      <c r="L24" s="1" t="n">
        <v>7658.7</v>
      </c>
      <c r="M24" s="1" t="n">
        <v>489850.452</v>
      </c>
      <c r="O24" s="25">
        <f>_CALC_MOTEUR!AE24</f>
        <v/>
      </c>
      <c r="P24" s="25">
        <f>_CALC_MOTEUR!AF24</f>
        <v/>
      </c>
      <c r="Q24" s="27">
        <f>_CALC_MOTEUR!AG24</f>
        <v/>
      </c>
      <c r="R24" s="25">
        <f>_CALC_MOTEUR!AH24</f>
        <v/>
      </c>
      <c r="S24" s="25">
        <f>R24-M24</f>
        <v/>
      </c>
    </row>
    <row r="25">
      <c r="A25" s="9" t="inlineStr">
        <is>
          <t>2027BUD_V1</t>
        </is>
      </c>
      <c r="B25" s="1" t="inlineStr">
        <is>
          <t>V03</t>
        </is>
      </c>
      <c r="C25" s="1" t="inlineStr">
        <is>
          <t>12</t>
        </is>
      </c>
      <c r="D25" s="1" t="inlineStr">
        <is>
          <t>MBWAY_LYO</t>
        </is>
      </c>
      <c r="E25" s="1" t="inlineStr">
        <is>
          <t>MBWAY</t>
        </is>
      </c>
      <c r="F25" s="1" t="inlineStr">
        <is>
          <t>BAC_MGT</t>
        </is>
      </c>
      <c r="G25" s="1" t="inlineStr">
        <is>
          <t>B3</t>
        </is>
      </c>
      <c r="H25" s="1" t="inlineStr">
        <is>
          <t>ALT</t>
        </is>
      </c>
      <c r="I25" s="1" t="inlineStr">
        <is>
          <t>2027</t>
        </is>
      </c>
      <c r="J25" s="1" t="n">
        <v>0</v>
      </c>
      <c r="K25" s="1" t="n">
        <v>62.36</v>
      </c>
      <c r="L25" s="1" t="n">
        <v>7526.4</v>
      </c>
      <c r="M25" s="1" t="n">
        <v>469346.304</v>
      </c>
      <c r="O25" s="25">
        <f>_CALC_MOTEUR!AE25</f>
        <v/>
      </c>
      <c r="P25" s="25">
        <f>_CALC_MOTEUR!AF25</f>
        <v/>
      </c>
      <c r="Q25" s="27">
        <f>_CALC_MOTEUR!AG25</f>
        <v/>
      </c>
      <c r="R25" s="25">
        <f>_CALC_MOTEUR!AH25</f>
        <v/>
      </c>
      <c r="S25" s="25">
        <f>R25-M25</f>
        <v/>
      </c>
    </row>
    <row r="26">
      <c r="A26" s="9" t="inlineStr">
        <is>
          <t>2027BUD_V1</t>
        </is>
      </c>
      <c r="B26" s="1" t="inlineStr">
        <is>
          <t>V01</t>
        </is>
      </c>
      <c r="C26" s="1" t="inlineStr">
        <is>
          <t>12</t>
        </is>
      </c>
      <c r="D26" s="1" t="inlineStr">
        <is>
          <t>MBWAY_LYO</t>
        </is>
      </c>
      <c r="E26" s="1" t="inlineStr">
        <is>
          <t>MBWAY</t>
        </is>
      </c>
      <c r="F26" s="1" t="inlineStr">
        <is>
          <t>MAS_MGT</t>
        </is>
      </c>
      <c r="G26" s="1" t="inlineStr">
        <is>
          <t>M1</t>
        </is>
      </c>
      <c r="H26" s="1" t="inlineStr">
        <is>
          <t>ALT</t>
        </is>
      </c>
      <c r="I26" s="1" t="inlineStr">
        <is>
          <t>2027</t>
        </is>
      </c>
      <c r="J26" s="1" t="n">
        <v>73.51236530200001</v>
      </c>
      <c r="K26" s="1" t="n">
        <v>73.51236530200001</v>
      </c>
      <c r="L26" s="1" t="n">
        <v>8064</v>
      </c>
      <c r="M26" s="1" t="n">
        <v>599419.826676331</v>
      </c>
      <c r="O26" s="25">
        <f>_CALC_MOTEUR!AE26</f>
        <v/>
      </c>
      <c r="P26" s="25">
        <f>_CALC_MOTEUR!AF26</f>
        <v/>
      </c>
      <c r="Q26" s="27">
        <f>_CALC_MOTEUR!AG26</f>
        <v/>
      </c>
      <c r="R26" s="25">
        <f>_CALC_MOTEUR!AH26</f>
        <v/>
      </c>
      <c r="S26" s="25">
        <f>R26-M26</f>
        <v/>
      </c>
    </row>
    <row r="27">
      <c r="A27" s="9" t="inlineStr">
        <is>
          <t>2027BUD_V1</t>
        </is>
      </c>
      <c r="B27" s="1" t="inlineStr">
        <is>
          <t>V02</t>
        </is>
      </c>
      <c r="C27" s="1" t="inlineStr">
        <is>
          <t>12</t>
        </is>
      </c>
      <c r="D27" s="1" t="inlineStr">
        <is>
          <t>MBWAY_LYO</t>
        </is>
      </c>
      <c r="E27" s="1" t="inlineStr">
        <is>
          <t>MBWAY</t>
        </is>
      </c>
      <c r="F27" s="1" t="inlineStr">
        <is>
          <t>MAS_MGT</t>
        </is>
      </c>
      <c r="G27" s="1" t="inlineStr">
        <is>
          <t>M1</t>
        </is>
      </c>
      <c r="H27" s="1" t="inlineStr">
        <is>
          <t>ALT</t>
        </is>
      </c>
      <c r="I27" s="1" t="inlineStr">
        <is>
          <t>2027</t>
        </is>
      </c>
      <c r="J27" s="1" t="n">
        <v>85.879950201</v>
      </c>
      <c r="K27" s="1" t="n">
        <v>85.879950201</v>
      </c>
      <c r="L27" s="1" t="n">
        <v>8205.75</v>
      </c>
      <c r="M27" s="1" t="n">
        <v>712438.59688275</v>
      </c>
      <c r="O27" s="25">
        <f>_CALC_MOTEUR!AE27</f>
        <v/>
      </c>
      <c r="P27" s="25">
        <f>_CALC_MOTEUR!AF27</f>
        <v/>
      </c>
      <c r="Q27" s="27">
        <f>_CALC_MOTEUR!AG27</f>
        <v/>
      </c>
      <c r="R27" s="25">
        <f>_CALC_MOTEUR!AH27</f>
        <v/>
      </c>
      <c r="S27" s="25">
        <f>R27-M27</f>
        <v/>
      </c>
    </row>
    <row r="28">
      <c r="A28" s="9" t="inlineStr">
        <is>
          <t>2027BUD_V1</t>
        </is>
      </c>
      <c r="B28" s="1" t="inlineStr">
        <is>
          <t>V03</t>
        </is>
      </c>
      <c r="C28" s="1" t="inlineStr">
        <is>
          <t>12</t>
        </is>
      </c>
      <c r="D28" s="1" t="inlineStr">
        <is>
          <t>MBWAY_LYO</t>
        </is>
      </c>
      <c r="E28" s="1" t="inlineStr">
        <is>
          <t>MBWAY</t>
        </is>
      </c>
      <c r="F28" s="1" t="inlineStr">
        <is>
          <t>MAS_MGT</t>
        </is>
      </c>
      <c r="G28" s="1" t="inlineStr">
        <is>
          <t>M1</t>
        </is>
      </c>
      <c r="H28" s="1" t="inlineStr">
        <is>
          <t>ALT</t>
        </is>
      </c>
      <c r="I28" s="1" t="inlineStr">
        <is>
          <t>2027</t>
        </is>
      </c>
      <c r="J28" s="1" t="n">
        <v>64.568484731</v>
      </c>
      <c r="K28" s="1" t="n">
        <v>64.568484731</v>
      </c>
      <c r="L28" s="1" t="n">
        <v>8064</v>
      </c>
      <c r="M28" s="1" t="n">
        <v>526491.424494046</v>
      </c>
      <c r="O28" s="25">
        <f>_CALC_MOTEUR!AE28</f>
        <v/>
      </c>
      <c r="P28" s="25">
        <f>_CALC_MOTEUR!AF28</f>
        <v/>
      </c>
      <c r="Q28" s="27">
        <f>_CALC_MOTEUR!AG28</f>
        <v/>
      </c>
      <c r="R28" s="25">
        <f>_CALC_MOTEUR!AH28</f>
        <v/>
      </c>
      <c r="S28" s="25">
        <f>R28-M28</f>
        <v/>
      </c>
    </row>
    <row r="29">
      <c r="A29" s="9" t="inlineStr">
        <is>
          <t>2027BUD_V1</t>
        </is>
      </c>
      <c r="B29" s="1" t="inlineStr">
        <is>
          <t>V01</t>
        </is>
      </c>
      <c r="C29" s="1" t="inlineStr">
        <is>
          <t>12</t>
        </is>
      </c>
      <c r="D29" s="1" t="inlineStr">
        <is>
          <t>MBWAY_LYO</t>
        </is>
      </c>
      <c r="E29" s="1" t="inlineStr">
        <is>
          <t>MBWAY</t>
        </is>
      </c>
      <c r="F29" s="1" t="inlineStr">
        <is>
          <t>MAS_MGT</t>
        </is>
      </c>
      <c r="G29" s="1" t="inlineStr">
        <is>
          <t>M2</t>
        </is>
      </c>
      <c r="H29" s="1" t="inlineStr">
        <is>
          <t>ALT</t>
        </is>
      </c>
      <c r="I29" s="1" t="inlineStr">
        <is>
          <t>2027</t>
        </is>
      </c>
      <c r="J29" s="1" t="n">
        <v>0</v>
      </c>
      <c r="K29" s="1" t="n">
        <v>65.33</v>
      </c>
      <c r="L29" s="1" t="n">
        <v>8064</v>
      </c>
      <c r="M29" s="1" t="n">
        <v>526821.12</v>
      </c>
      <c r="O29" s="25">
        <f>_CALC_MOTEUR!AE29</f>
        <v/>
      </c>
      <c r="P29" s="25">
        <f>_CALC_MOTEUR!AF29</f>
        <v/>
      </c>
      <c r="Q29" s="27">
        <f>_CALC_MOTEUR!AG29</f>
        <v/>
      </c>
      <c r="R29" s="25">
        <f>_CALC_MOTEUR!AH29</f>
        <v/>
      </c>
      <c r="S29" s="25">
        <f>R29-M29</f>
        <v/>
      </c>
    </row>
    <row r="30">
      <c r="A30" s="9" t="inlineStr">
        <is>
          <t>2027BUD_V1</t>
        </is>
      </c>
      <c r="B30" s="1" t="inlineStr">
        <is>
          <t>V02</t>
        </is>
      </c>
      <c r="C30" s="1" t="inlineStr">
        <is>
          <t>12</t>
        </is>
      </c>
      <c r="D30" s="1" t="inlineStr">
        <is>
          <t>MBWAY_LYO</t>
        </is>
      </c>
      <c r="E30" s="1" t="inlineStr">
        <is>
          <t>MBWAY</t>
        </is>
      </c>
      <c r="F30" s="1" t="inlineStr">
        <is>
          <t>MAS_MGT</t>
        </is>
      </c>
      <c r="G30" s="1" t="inlineStr">
        <is>
          <t>M2</t>
        </is>
      </c>
      <c r="H30" s="1" t="inlineStr">
        <is>
          <t>ALT</t>
        </is>
      </c>
      <c r="I30" s="1" t="inlineStr">
        <is>
          <t>2027</t>
        </is>
      </c>
      <c r="J30" s="1" t="n">
        <v>0</v>
      </c>
      <c r="K30" s="1" t="n">
        <v>65.98999999999999</v>
      </c>
      <c r="L30" s="1" t="n">
        <v>8205.75</v>
      </c>
      <c r="M30" s="1" t="n">
        <v>541497.4425</v>
      </c>
      <c r="O30" s="25">
        <f>_CALC_MOTEUR!AE30</f>
        <v/>
      </c>
      <c r="P30" s="25">
        <f>_CALC_MOTEUR!AF30</f>
        <v/>
      </c>
      <c r="Q30" s="27">
        <f>_CALC_MOTEUR!AG30</f>
        <v/>
      </c>
      <c r="R30" s="25">
        <f>_CALC_MOTEUR!AH30</f>
        <v/>
      </c>
      <c r="S30" s="25">
        <f>R30-M30</f>
        <v/>
      </c>
    </row>
    <row r="31">
      <c r="A31" s="9" t="inlineStr">
        <is>
          <t>2027BUD_V1</t>
        </is>
      </c>
      <c r="B31" s="1" t="inlineStr">
        <is>
          <t>V03</t>
        </is>
      </c>
      <c r="C31" s="1" t="inlineStr">
        <is>
          <t>12</t>
        </is>
      </c>
      <c r="D31" s="1" t="inlineStr">
        <is>
          <t>MBWAY_LYO</t>
        </is>
      </c>
      <c r="E31" s="1" t="inlineStr">
        <is>
          <t>MBWAY</t>
        </is>
      </c>
      <c r="F31" s="1" t="inlineStr">
        <is>
          <t>MAS_MGT</t>
        </is>
      </c>
      <c r="G31" s="1" t="inlineStr">
        <is>
          <t>M2</t>
        </is>
      </c>
      <c r="H31" s="1" t="inlineStr">
        <is>
          <t>ALT</t>
        </is>
      </c>
      <c r="I31" s="1" t="inlineStr">
        <is>
          <t>2027</t>
        </is>
      </c>
      <c r="J31" s="1" t="n">
        <v>0</v>
      </c>
      <c r="K31" s="1" t="n">
        <v>64.34</v>
      </c>
      <c r="L31" s="1" t="n">
        <v>8064</v>
      </c>
      <c r="M31" s="1" t="n">
        <v>518837.76</v>
      </c>
      <c r="O31" s="25">
        <f>_CALC_MOTEUR!AE31</f>
        <v/>
      </c>
      <c r="P31" s="25">
        <f>_CALC_MOTEUR!AF31</f>
        <v/>
      </c>
      <c r="Q31" s="27">
        <f>_CALC_MOTEUR!AG31</f>
        <v/>
      </c>
      <c r="R31" s="25">
        <f>_CALC_MOTEUR!AH31</f>
        <v/>
      </c>
      <c r="S31" s="25">
        <f>R31-M31</f>
        <v/>
      </c>
    </row>
    <row r="32">
      <c r="A32" s="9" t="inlineStr">
        <is>
          <t>2027BUD_V1</t>
        </is>
      </c>
      <c r="B32" s="1" t="inlineStr">
        <is>
          <t>V01</t>
        </is>
      </c>
      <c r="C32" s="1" t="inlineStr">
        <is>
          <t>12</t>
        </is>
      </c>
      <c r="D32" s="1" t="inlineStr">
        <is>
          <t>MBWAY_NAN</t>
        </is>
      </c>
      <c r="E32" s="1" t="inlineStr">
        <is>
          <t>MBWAY</t>
        </is>
      </c>
      <c r="F32" s="1" t="inlineStr">
        <is>
          <t>BAC_MGT</t>
        </is>
      </c>
      <c r="G32" s="1" t="inlineStr">
        <is>
          <t>B1</t>
        </is>
      </c>
      <c r="H32" s="1" t="inlineStr">
        <is>
          <t>INIT</t>
        </is>
      </c>
      <c r="I32" s="1" t="inlineStr">
        <is>
          <t>2027</t>
        </is>
      </c>
      <c r="J32" s="1" t="n">
        <v>65.53931216700001</v>
      </c>
      <c r="K32" s="1" t="n">
        <v>65.53931216700001</v>
      </c>
      <c r="L32" s="1" t="n">
        <v>7680</v>
      </c>
      <c r="M32" s="1" t="n">
        <v>509240.455534191</v>
      </c>
      <c r="O32" s="25">
        <f>_CALC_MOTEUR!AE32</f>
        <v/>
      </c>
      <c r="P32" s="25">
        <f>_CALC_MOTEUR!AF32</f>
        <v/>
      </c>
      <c r="Q32" s="27">
        <f>_CALC_MOTEUR!AG32</f>
        <v/>
      </c>
      <c r="R32" s="25">
        <f>_CALC_MOTEUR!AH32</f>
        <v/>
      </c>
      <c r="S32" s="25">
        <f>R32-M32</f>
        <v/>
      </c>
    </row>
    <row r="33">
      <c r="A33" s="9" t="inlineStr">
        <is>
          <t>2027BUD_V1</t>
        </is>
      </c>
      <c r="B33" s="1" t="inlineStr">
        <is>
          <t>V02</t>
        </is>
      </c>
      <c r="C33" s="1" t="inlineStr">
        <is>
          <t>12</t>
        </is>
      </c>
      <c r="D33" s="1" t="inlineStr">
        <is>
          <t>MBWAY_NAN</t>
        </is>
      </c>
      <c r="E33" s="1" t="inlineStr">
        <is>
          <t>MBWAY</t>
        </is>
      </c>
      <c r="F33" s="1" t="inlineStr">
        <is>
          <t>BAC_MGT</t>
        </is>
      </c>
      <c r="G33" s="1" t="inlineStr">
        <is>
          <t>B1</t>
        </is>
      </c>
      <c r="H33" s="1" t="inlineStr">
        <is>
          <t>INIT</t>
        </is>
      </c>
      <c r="I33" s="1" t="inlineStr">
        <is>
          <t>2027</t>
        </is>
      </c>
      <c r="J33" s="1" t="n">
        <v>74.073998434</v>
      </c>
      <c r="K33" s="1" t="n">
        <v>74.073998434</v>
      </c>
      <c r="L33" s="1" t="n">
        <v>7815</v>
      </c>
      <c r="M33" s="1" t="n">
        <v>585554.957619851</v>
      </c>
      <c r="O33" s="25">
        <f>_CALC_MOTEUR!AE33</f>
        <v/>
      </c>
      <c r="P33" s="25">
        <f>_CALC_MOTEUR!AF33</f>
        <v/>
      </c>
      <c r="Q33" s="27">
        <f>_CALC_MOTEUR!AG33</f>
        <v/>
      </c>
      <c r="R33" s="25">
        <f>_CALC_MOTEUR!AH33</f>
        <v/>
      </c>
      <c r="S33" s="25">
        <f>R33-M33</f>
        <v/>
      </c>
    </row>
    <row r="34">
      <c r="A34" s="9" t="inlineStr">
        <is>
          <t>2027BUD_V1</t>
        </is>
      </c>
      <c r="B34" s="1" t="inlineStr">
        <is>
          <t>V03</t>
        </is>
      </c>
      <c r="C34" s="1" t="inlineStr">
        <is>
          <t>12</t>
        </is>
      </c>
      <c r="D34" s="1" t="inlineStr">
        <is>
          <t>MBWAY_NAN</t>
        </is>
      </c>
      <c r="E34" s="1" t="inlineStr">
        <is>
          <t>MBWAY</t>
        </is>
      </c>
      <c r="F34" s="1" t="inlineStr">
        <is>
          <t>BAC_MGT</t>
        </is>
      </c>
      <c r="G34" s="1" t="inlineStr">
        <is>
          <t>B1</t>
        </is>
      </c>
      <c r="H34" s="1" t="inlineStr">
        <is>
          <t>INIT</t>
        </is>
      </c>
      <c r="I34" s="1" t="inlineStr">
        <is>
          <t>2027</t>
        </is>
      </c>
      <c r="J34" s="1" t="n">
        <v>58.668761106</v>
      </c>
      <c r="K34" s="1" t="n">
        <v>58.668761106</v>
      </c>
      <c r="L34" s="1" t="n">
        <v>7680</v>
      </c>
      <c r="M34" s="1" t="n">
        <v>455856.273791757</v>
      </c>
      <c r="O34" s="25">
        <f>_CALC_MOTEUR!AE34</f>
        <v/>
      </c>
      <c r="P34" s="25">
        <f>_CALC_MOTEUR!AF34</f>
        <v/>
      </c>
      <c r="Q34" s="27">
        <f>_CALC_MOTEUR!AG34</f>
        <v/>
      </c>
      <c r="R34" s="25">
        <f>_CALC_MOTEUR!AH34</f>
        <v/>
      </c>
      <c r="S34" s="25">
        <f>R34-M34</f>
        <v/>
      </c>
    </row>
    <row r="35">
      <c r="A35" s="9" t="inlineStr">
        <is>
          <t>2027BUD_V1</t>
        </is>
      </c>
      <c r="B35" s="1" t="inlineStr">
        <is>
          <t>V01</t>
        </is>
      </c>
      <c r="C35" s="1" t="inlineStr">
        <is>
          <t>12</t>
        </is>
      </c>
      <c r="D35" s="1" t="inlineStr">
        <is>
          <t>MBWAY_NAN</t>
        </is>
      </c>
      <c r="E35" s="1" t="inlineStr">
        <is>
          <t>MBWAY</t>
        </is>
      </c>
      <c r="F35" s="1" t="inlineStr">
        <is>
          <t>BAC_MGT</t>
        </is>
      </c>
      <c r="G35" s="1" t="inlineStr">
        <is>
          <t>B2</t>
        </is>
      </c>
      <c r="H35" s="1" t="inlineStr">
        <is>
          <t>ALT</t>
        </is>
      </c>
      <c r="I35" s="1" t="inlineStr">
        <is>
          <t>2027</t>
        </is>
      </c>
      <c r="J35" s="1" t="n">
        <v>0</v>
      </c>
      <c r="K35" s="1" t="n">
        <v>58.3</v>
      </c>
      <c r="L35" s="1" t="n">
        <v>7168</v>
      </c>
      <c r="M35" s="1" t="n">
        <v>417894.4</v>
      </c>
      <c r="O35" s="25">
        <f>_CALC_MOTEUR!AE35</f>
        <v/>
      </c>
      <c r="P35" s="25">
        <f>_CALC_MOTEUR!AF35</f>
        <v/>
      </c>
      <c r="Q35" s="27">
        <f>_CALC_MOTEUR!AG35</f>
        <v/>
      </c>
      <c r="R35" s="25">
        <f>_CALC_MOTEUR!AH35</f>
        <v/>
      </c>
      <c r="S35" s="25">
        <f>R35-M35</f>
        <v/>
      </c>
    </row>
    <row r="36">
      <c r="A36" s="9" t="inlineStr">
        <is>
          <t>2027BUD_V1</t>
        </is>
      </c>
      <c r="B36" s="1" t="inlineStr">
        <is>
          <t>V02</t>
        </is>
      </c>
      <c r="C36" s="1" t="inlineStr">
        <is>
          <t>12</t>
        </is>
      </c>
      <c r="D36" s="1" t="inlineStr">
        <is>
          <t>MBWAY_NAN</t>
        </is>
      </c>
      <c r="E36" s="1" t="inlineStr">
        <is>
          <t>MBWAY</t>
        </is>
      </c>
      <c r="F36" s="1" t="inlineStr">
        <is>
          <t>BAC_MGT</t>
        </is>
      </c>
      <c r="G36" s="1" t="inlineStr">
        <is>
          <t>B2</t>
        </is>
      </c>
      <c r="H36" s="1" t="inlineStr">
        <is>
          <t>ALT</t>
        </is>
      </c>
      <c r="I36" s="1" t="inlineStr">
        <is>
          <t>2027</t>
        </is>
      </c>
      <c r="J36" s="1" t="n">
        <v>0</v>
      </c>
      <c r="K36" s="1" t="n">
        <v>58.9</v>
      </c>
      <c r="L36" s="1" t="n">
        <v>7294</v>
      </c>
      <c r="M36" s="1" t="n">
        <v>429616.6</v>
      </c>
      <c r="O36" s="25">
        <f>_CALC_MOTEUR!AE36</f>
        <v/>
      </c>
      <c r="P36" s="25">
        <f>_CALC_MOTEUR!AF36</f>
        <v/>
      </c>
      <c r="Q36" s="27">
        <f>_CALC_MOTEUR!AG36</f>
        <v/>
      </c>
      <c r="R36" s="25">
        <f>_CALC_MOTEUR!AH36</f>
        <v/>
      </c>
      <c r="S36" s="25">
        <f>R36-M36</f>
        <v/>
      </c>
    </row>
    <row r="37">
      <c r="A37" s="9" t="inlineStr">
        <is>
          <t>2027BUD_V1</t>
        </is>
      </c>
      <c r="B37" s="1" t="inlineStr">
        <is>
          <t>V03</t>
        </is>
      </c>
      <c r="C37" s="1" t="inlineStr">
        <is>
          <t>12</t>
        </is>
      </c>
      <c r="D37" s="1" t="inlineStr">
        <is>
          <t>MBWAY_NAN</t>
        </is>
      </c>
      <c r="E37" s="1" t="inlineStr">
        <is>
          <t>MBWAY</t>
        </is>
      </c>
      <c r="F37" s="1" t="inlineStr">
        <is>
          <t>BAC_MGT</t>
        </is>
      </c>
      <c r="G37" s="1" t="inlineStr">
        <is>
          <t>B2</t>
        </is>
      </c>
      <c r="H37" s="1" t="inlineStr">
        <is>
          <t>ALT</t>
        </is>
      </c>
      <c r="I37" s="1" t="inlineStr">
        <is>
          <t>2027</t>
        </is>
      </c>
      <c r="J37" s="1" t="n">
        <v>0</v>
      </c>
      <c r="K37" s="1" t="n">
        <v>57.4</v>
      </c>
      <c r="L37" s="1" t="n">
        <v>7168</v>
      </c>
      <c r="M37" s="1" t="n">
        <v>411443.2</v>
      </c>
      <c r="O37" s="25">
        <f>_CALC_MOTEUR!AE37</f>
        <v/>
      </c>
      <c r="P37" s="25">
        <f>_CALC_MOTEUR!AF37</f>
        <v/>
      </c>
      <c r="Q37" s="27">
        <f>_CALC_MOTEUR!AG37</f>
        <v/>
      </c>
      <c r="R37" s="25">
        <f>_CALC_MOTEUR!AH37</f>
        <v/>
      </c>
      <c r="S37" s="25">
        <f>R37-M37</f>
        <v/>
      </c>
    </row>
    <row r="38">
      <c r="A38" s="9" t="inlineStr">
        <is>
          <t>2027BUD_V1</t>
        </is>
      </c>
      <c r="B38" s="1" t="inlineStr">
        <is>
          <t>V01</t>
        </is>
      </c>
      <c r="C38" s="1" t="inlineStr">
        <is>
          <t>12</t>
        </is>
      </c>
      <c r="D38" s="1" t="inlineStr">
        <is>
          <t>MBWAY_NAN</t>
        </is>
      </c>
      <c r="E38" s="1" t="inlineStr">
        <is>
          <t>MBWAY</t>
        </is>
      </c>
      <c r="F38" s="1" t="inlineStr">
        <is>
          <t>BAC_MGT</t>
        </is>
      </c>
      <c r="G38" s="1" t="inlineStr">
        <is>
          <t>B3</t>
        </is>
      </c>
      <c r="H38" s="1" t="inlineStr">
        <is>
          <t>ALT</t>
        </is>
      </c>
      <c r="I38" s="1" t="inlineStr">
        <is>
          <t>2027</t>
        </is>
      </c>
      <c r="J38" s="1" t="n">
        <v>0</v>
      </c>
      <c r="K38" s="1" t="n">
        <v>57.29</v>
      </c>
      <c r="L38" s="1" t="n">
        <v>7168</v>
      </c>
      <c r="M38" s="1" t="n">
        <v>410654.72</v>
      </c>
      <c r="O38" s="25">
        <f>_CALC_MOTEUR!AE38</f>
        <v/>
      </c>
      <c r="P38" s="25">
        <f>_CALC_MOTEUR!AF38</f>
        <v/>
      </c>
      <c r="Q38" s="27">
        <f>_CALC_MOTEUR!AG38</f>
        <v/>
      </c>
      <c r="R38" s="25">
        <f>_CALC_MOTEUR!AH38</f>
        <v/>
      </c>
      <c r="S38" s="25">
        <f>R38-M38</f>
        <v/>
      </c>
    </row>
    <row r="39">
      <c r="A39" s="9" t="inlineStr">
        <is>
          <t>2027BUD_V1</t>
        </is>
      </c>
      <c r="B39" s="1" t="inlineStr">
        <is>
          <t>V02</t>
        </is>
      </c>
      <c r="C39" s="1" t="inlineStr">
        <is>
          <t>12</t>
        </is>
      </c>
      <c r="D39" s="1" t="inlineStr">
        <is>
          <t>MBWAY_NAN</t>
        </is>
      </c>
      <c r="E39" s="1" t="inlineStr">
        <is>
          <t>MBWAY</t>
        </is>
      </c>
      <c r="F39" s="1" t="inlineStr">
        <is>
          <t>BAC_MGT</t>
        </is>
      </c>
      <c r="G39" s="1" t="inlineStr">
        <is>
          <t>B3</t>
        </is>
      </c>
      <c r="H39" s="1" t="inlineStr">
        <is>
          <t>ALT</t>
        </is>
      </c>
      <c r="I39" s="1" t="inlineStr">
        <is>
          <t>2027</t>
        </is>
      </c>
      <c r="J39" s="1" t="n">
        <v>0</v>
      </c>
      <c r="K39" s="1" t="n">
        <v>57.87</v>
      </c>
      <c r="L39" s="1" t="n">
        <v>7294</v>
      </c>
      <c r="M39" s="1" t="n">
        <v>422103.78</v>
      </c>
      <c r="O39" s="25">
        <f>_CALC_MOTEUR!AE39</f>
        <v/>
      </c>
      <c r="P39" s="25">
        <f>_CALC_MOTEUR!AF39</f>
        <v/>
      </c>
      <c r="Q39" s="27">
        <f>_CALC_MOTEUR!AG39</f>
        <v/>
      </c>
      <c r="R39" s="25">
        <f>_CALC_MOTEUR!AH39</f>
        <v/>
      </c>
      <c r="S39" s="25">
        <f>R39-M39</f>
        <v/>
      </c>
    </row>
    <row r="40">
      <c r="A40" s="9" t="inlineStr">
        <is>
          <t>2027BUD_V1</t>
        </is>
      </c>
      <c r="B40" s="1" t="inlineStr">
        <is>
          <t>V03</t>
        </is>
      </c>
      <c r="C40" s="1" t="inlineStr">
        <is>
          <t>12</t>
        </is>
      </c>
      <c r="D40" s="1" t="inlineStr">
        <is>
          <t>MBWAY_NAN</t>
        </is>
      </c>
      <c r="E40" s="1" t="inlineStr">
        <is>
          <t>MBWAY</t>
        </is>
      </c>
      <c r="F40" s="1" t="inlineStr">
        <is>
          <t>BAC_MGT</t>
        </is>
      </c>
      <c r="G40" s="1" t="inlineStr">
        <is>
          <t>B3</t>
        </is>
      </c>
      <c r="H40" s="1" t="inlineStr">
        <is>
          <t>ALT</t>
        </is>
      </c>
      <c r="I40" s="1" t="inlineStr">
        <is>
          <t>2027</t>
        </is>
      </c>
      <c r="J40" s="1" t="n">
        <v>0</v>
      </c>
      <c r="K40" s="1" t="n">
        <v>56.42</v>
      </c>
      <c r="L40" s="1" t="n">
        <v>7168</v>
      </c>
      <c r="M40" s="1" t="n">
        <v>404418.56</v>
      </c>
      <c r="O40" s="25">
        <f>_CALC_MOTEUR!AE40</f>
        <v/>
      </c>
      <c r="P40" s="25">
        <f>_CALC_MOTEUR!AF40</f>
        <v/>
      </c>
      <c r="Q40" s="27">
        <f>_CALC_MOTEUR!AG40</f>
        <v/>
      </c>
      <c r="R40" s="25">
        <f>_CALC_MOTEUR!AH40</f>
        <v/>
      </c>
      <c r="S40" s="25">
        <f>R40-M40</f>
        <v/>
      </c>
    </row>
    <row r="41">
      <c r="A41" s="9" t="inlineStr">
        <is>
          <t>2027BUD_V1</t>
        </is>
      </c>
      <c r="B41" s="1" t="inlineStr">
        <is>
          <t>V01</t>
        </is>
      </c>
      <c r="C41" s="1" t="inlineStr">
        <is>
          <t>12</t>
        </is>
      </c>
      <c r="D41" s="1" t="inlineStr">
        <is>
          <t>MBWAY_NAN</t>
        </is>
      </c>
      <c r="E41" s="1" t="inlineStr">
        <is>
          <t>MBWAY</t>
        </is>
      </c>
      <c r="F41" s="1" t="inlineStr">
        <is>
          <t>MAS_MGT</t>
        </is>
      </c>
      <c r="G41" s="1" t="inlineStr">
        <is>
          <t>M1</t>
        </is>
      </c>
      <c r="H41" s="1" t="inlineStr">
        <is>
          <t>ALT</t>
        </is>
      </c>
      <c r="I41" s="1" t="inlineStr">
        <is>
          <t>2027</t>
        </is>
      </c>
      <c r="J41" s="1" t="n">
        <v>66.913665474</v>
      </c>
      <c r="K41" s="1" t="n">
        <v>66.913665474</v>
      </c>
      <c r="L41" s="1" t="n">
        <v>7680</v>
      </c>
      <c r="M41" s="1" t="n">
        <v>519919.18072948</v>
      </c>
      <c r="O41" s="25">
        <f>_CALC_MOTEUR!AE41</f>
        <v/>
      </c>
      <c r="P41" s="25">
        <f>_CALC_MOTEUR!AF41</f>
        <v/>
      </c>
      <c r="Q41" s="27">
        <f>_CALC_MOTEUR!AG41</f>
        <v/>
      </c>
      <c r="R41" s="25">
        <f>_CALC_MOTEUR!AH41</f>
        <v/>
      </c>
      <c r="S41" s="25">
        <f>R41-M41</f>
        <v/>
      </c>
    </row>
    <row r="42">
      <c r="A42" s="9" t="inlineStr">
        <is>
          <t>2027BUD_V1</t>
        </is>
      </c>
      <c r="B42" s="1" t="inlineStr">
        <is>
          <t>V02</t>
        </is>
      </c>
      <c r="C42" s="1" t="inlineStr">
        <is>
          <t>12</t>
        </is>
      </c>
      <c r="D42" s="1" t="inlineStr">
        <is>
          <t>MBWAY_NAN</t>
        </is>
      </c>
      <c r="E42" s="1" t="inlineStr">
        <is>
          <t>MBWAY</t>
        </is>
      </c>
      <c r="F42" s="1" t="inlineStr">
        <is>
          <t>MAS_MGT</t>
        </is>
      </c>
      <c r="G42" s="1" t="inlineStr">
        <is>
          <t>M1</t>
        </is>
      </c>
      <c r="H42" s="1" t="inlineStr">
        <is>
          <t>ALT</t>
        </is>
      </c>
      <c r="I42" s="1" t="inlineStr">
        <is>
          <t>2027</t>
        </is>
      </c>
      <c r="J42" s="1" t="n">
        <v>78.27130999800001</v>
      </c>
      <c r="K42" s="1" t="n">
        <v>78.27130999800001</v>
      </c>
      <c r="L42" s="1" t="n">
        <v>7815</v>
      </c>
      <c r="M42" s="1" t="n">
        <v>618734.705531013</v>
      </c>
      <c r="O42" s="25">
        <f>_CALC_MOTEUR!AE42</f>
        <v/>
      </c>
      <c r="P42" s="25">
        <f>_CALC_MOTEUR!AF42</f>
        <v/>
      </c>
      <c r="Q42" s="27">
        <f>_CALC_MOTEUR!AG42</f>
        <v/>
      </c>
      <c r="R42" s="25">
        <f>_CALC_MOTEUR!AH42</f>
        <v/>
      </c>
      <c r="S42" s="25">
        <f>R42-M42</f>
        <v/>
      </c>
    </row>
    <row r="43">
      <c r="A43" s="9" t="inlineStr">
        <is>
          <t>2027BUD_V1</t>
        </is>
      </c>
      <c r="B43" s="1" t="inlineStr">
        <is>
          <t>V03</t>
        </is>
      </c>
      <c r="C43" s="1" t="inlineStr">
        <is>
          <t>12</t>
        </is>
      </c>
      <c r="D43" s="1" t="inlineStr">
        <is>
          <t>MBWAY_NAN</t>
        </is>
      </c>
      <c r="E43" s="1" t="inlineStr">
        <is>
          <t>MBWAY</t>
        </is>
      </c>
      <c r="F43" s="1" t="inlineStr">
        <is>
          <t>MAS_MGT</t>
        </is>
      </c>
      <c r="G43" s="1" t="inlineStr">
        <is>
          <t>M1</t>
        </is>
      </c>
      <c r="H43" s="1" t="inlineStr">
        <is>
          <t>ALT</t>
        </is>
      </c>
      <c r="I43" s="1" t="inlineStr">
        <is>
          <t>2027</t>
        </is>
      </c>
      <c r="J43" s="1" t="n">
        <v>58.668761106</v>
      </c>
      <c r="K43" s="1" t="n">
        <v>58.668761106</v>
      </c>
      <c r="L43" s="1" t="n">
        <v>7680</v>
      </c>
      <c r="M43" s="1" t="n">
        <v>455856.273791757</v>
      </c>
      <c r="O43" s="25">
        <f>_CALC_MOTEUR!AE43</f>
        <v/>
      </c>
      <c r="P43" s="25">
        <f>_CALC_MOTEUR!AF43</f>
        <v/>
      </c>
      <c r="Q43" s="27">
        <f>_CALC_MOTEUR!AG43</f>
        <v/>
      </c>
      <c r="R43" s="25">
        <f>_CALC_MOTEUR!AH43</f>
        <v/>
      </c>
      <c r="S43" s="25">
        <f>R43-M43</f>
        <v/>
      </c>
    </row>
    <row r="44">
      <c r="A44" s="9" t="inlineStr">
        <is>
          <t>2027BUD_V1</t>
        </is>
      </c>
      <c r="B44" s="1" t="inlineStr">
        <is>
          <t>V01</t>
        </is>
      </c>
      <c r="C44" s="1" t="inlineStr">
        <is>
          <t>12</t>
        </is>
      </c>
      <c r="D44" s="1" t="inlineStr">
        <is>
          <t>MBWAY_NAN</t>
        </is>
      </c>
      <c r="E44" s="1" t="inlineStr">
        <is>
          <t>MBWAY</t>
        </is>
      </c>
      <c r="F44" s="1" t="inlineStr">
        <is>
          <t>MAS_MGT</t>
        </is>
      </c>
      <c r="G44" s="1" t="inlineStr">
        <is>
          <t>M2</t>
        </is>
      </c>
      <c r="H44" s="1" t="inlineStr">
        <is>
          <t>ALT</t>
        </is>
      </c>
      <c r="I44" s="1" t="inlineStr">
        <is>
          <t>2027</t>
        </is>
      </c>
      <c r="J44" s="1" t="n">
        <v>0</v>
      </c>
      <c r="K44" s="1" t="n">
        <v>59.3</v>
      </c>
      <c r="L44" s="1" t="n">
        <v>7680</v>
      </c>
      <c r="M44" s="1" t="n">
        <v>455424</v>
      </c>
      <c r="O44" s="25">
        <f>_CALC_MOTEUR!AE44</f>
        <v/>
      </c>
      <c r="P44" s="25">
        <f>_CALC_MOTEUR!AF44</f>
        <v/>
      </c>
      <c r="Q44" s="27">
        <f>_CALC_MOTEUR!AG44</f>
        <v/>
      </c>
      <c r="R44" s="25">
        <f>_CALC_MOTEUR!AH44</f>
        <v/>
      </c>
      <c r="S44" s="25">
        <f>R44-M44</f>
        <v/>
      </c>
    </row>
    <row r="45">
      <c r="A45" s="9" t="inlineStr">
        <is>
          <t>2027BUD_V1</t>
        </is>
      </c>
      <c r="B45" s="1" t="inlineStr">
        <is>
          <t>V02</t>
        </is>
      </c>
      <c r="C45" s="1" t="inlineStr">
        <is>
          <t>12</t>
        </is>
      </c>
      <c r="D45" s="1" t="inlineStr">
        <is>
          <t>MBWAY_NAN</t>
        </is>
      </c>
      <c r="E45" s="1" t="inlineStr">
        <is>
          <t>MBWAY</t>
        </is>
      </c>
      <c r="F45" s="1" t="inlineStr">
        <is>
          <t>MAS_MGT</t>
        </is>
      </c>
      <c r="G45" s="1" t="inlineStr">
        <is>
          <t>M2</t>
        </is>
      </c>
      <c r="H45" s="1" t="inlineStr">
        <is>
          <t>ALT</t>
        </is>
      </c>
      <c r="I45" s="1" t="inlineStr">
        <is>
          <t>2027</t>
        </is>
      </c>
      <c r="J45" s="1" t="n">
        <v>0</v>
      </c>
      <c r="K45" s="1" t="n">
        <v>59.9</v>
      </c>
      <c r="L45" s="1" t="n">
        <v>7815</v>
      </c>
      <c r="M45" s="1" t="n">
        <v>468118.5</v>
      </c>
      <c r="O45" s="25">
        <f>_CALC_MOTEUR!AE45</f>
        <v/>
      </c>
      <c r="P45" s="25">
        <f>_CALC_MOTEUR!AF45</f>
        <v/>
      </c>
      <c r="Q45" s="27">
        <f>_CALC_MOTEUR!AG45</f>
        <v/>
      </c>
      <c r="R45" s="25">
        <f>_CALC_MOTEUR!AH45</f>
        <v/>
      </c>
      <c r="S45" s="25">
        <f>R45-M45</f>
        <v/>
      </c>
    </row>
    <row r="46">
      <c r="A46" s="9" t="inlineStr">
        <is>
          <t>2027BUD_V1</t>
        </is>
      </c>
      <c r="B46" s="1" t="inlineStr">
        <is>
          <t>V03</t>
        </is>
      </c>
      <c r="C46" s="1" t="inlineStr">
        <is>
          <t>12</t>
        </is>
      </c>
      <c r="D46" s="1" t="inlineStr">
        <is>
          <t>MBWAY_NAN</t>
        </is>
      </c>
      <c r="E46" s="1" t="inlineStr">
        <is>
          <t>MBWAY</t>
        </is>
      </c>
      <c r="F46" s="1" t="inlineStr">
        <is>
          <t>MAS_MGT</t>
        </is>
      </c>
      <c r="G46" s="1" t="inlineStr">
        <is>
          <t>M2</t>
        </is>
      </c>
      <c r="H46" s="1" t="inlineStr">
        <is>
          <t>ALT</t>
        </is>
      </c>
      <c r="I46" s="1" t="inlineStr">
        <is>
          <t>2027</t>
        </is>
      </c>
      <c r="J46" s="1" t="n">
        <v>0</v>
      </c>
      <c r="K46" s="1" t="n">
        <v>58.4</v>
      </c>
      <c r="L46" s="1" t="n">
        <v>7680</v>
      </c>
      <c r="M46" s="1" t="n">
        <v>448512</v>
      </c>
      <c r="O46" s="25">
        <f>_CALC_MOTEUR!AE46</f>
        <v/>
      </c>
      <c r="P46" s="25">
        <f>_CALC_MOTEUR!AF46</f>
        <v/>
      </c>
      <c r="Q46" s="27">
        <f>_CALC_MOTEUR!AG46</f>
        <v/>
      </c>
      <c r="R46" s="25">
        <f>_CALC_MOTEUR!AH46</f>
        <v/>
      </c>
      <c r="S46" s="25">
        <f>R46-M46</f>
        <v/>
      </c>
    </row>
    <row r="47">
      <c r="A47" s="9" t="inlineStr">
        <is>
          <t>2027BUD_V1</t>
        </is>
      </c>
      <c r="B47" s="1" t="inlineStr">
        <is>
          <t>V01</t>
        </is>
      </c>
      <c r="C47" s="1" t="inlineStr">
        <is>
          <t>12</t>
        </is>
      </c>
      <c r="D47" s="1" t="inlineStr">
        <is>
          <t>MBWAY_BOR</t>
        </is>
      </c>
      <c r="E47" s="1" t="inlineStr">
        <is>
          <t>MBWAY</t>
        </is>
      </c>
      <c r="F47" s="1" t="inlineStr">
        <is>
          <t>BAC_MGT</t>
        </is>
      </c>
      <c r="G47" s="1" t="inlineStr">
        <is>
          <t>B1</t>
        </is>
      </c>
      <c r="H47" s="1" t="inlineStr">
        <is>
          <t>INIT</t>
        </is>
      </c>
      <c r="I47" s="1" t="inlineStr">
        <is>
          <t>2027</t>
        </is>
      </c>
      <c r="J47" s="1" t="n">
        <v>55.746741375</v>
      </c>
      <c r="K47" s="1" t="n">
        <v>55.746741375</v>
      </c>
      <c r="L47" s="1" t="n">
        <v>7449.6</v>
      </c>
      <c r="M47" s="1" t="n">
        <v>420308.131271788</v>
      </c>
      <c r="O47" s="25">
        <f>_CALC_MOTEUR!AE47</f>
        <v/>
      </c>
      <c r="P47" s="25">
        <f>_CALC_MOTEUR!AF47</f>
        <v/>
      </c>
      <c r="Q47" s="27">
        <f>_CALC_MOTEUR!AG47</f>
        <v/>
      </c>
      <c r="R47" s="25">
        <f>_CALC_MOTEUR!AH47</f>
        <v/>
      </c>
      <c r="S47" s="25">
        <f>R47-M47</f>
        <v/>
      </c>
    </row>
    <row r="48">
      <c r="A48" s="9" t="inlineStr">
        <is>
          <t>2027BUD_V1</t>
        </is>
      </c>
      <c r="B48" s="1" t="inlineStr">
        <is>
          <t>V02</t>
        </is>
      </c>
      <c r="C48" s="1" t="inlineStr">
        <is>
          <t>12</t>
        </is>
      </c>
      <c r="D48" s="1" t="inlineStr">
        <is>
          <t>MBWAY_BOR</t>
        </is>
      </c>
      <c r="E48" s="1" t="inlineStr">
        <is>
          <t>MBWAY</t>
        </is>
      </c>
      <c r="F48" s="1" t="inlineStr">
        <is>
          <t>BAC_MGT</t>
        </is>
      </c>
      <c r="G48" s="1" t="inlineStr">
        <is>
          <t>B1</t>
        </is>
      </c>
      <c r="H48" s="1" t="inlineStr">
        <is>
          <t>INIT</t>
        </is>
      </c>
      <c r="I48" s="1" t="inlineStr">
        <is>
          <t>2027</t>
        </is>
      </c>
      <c r="J48" s="1" t="n">
        <v>63.044608109</v>
      </c>
      <c r="K48" s="1" t="n">
        <v>63.044608109</v>
      </c>
      <c r="L48" s="1" t="n">
        <v>7580.55</v>
      </c>
      <c r="M48" s="1" t="n">
        <v>483586.818727001</v>
      </c>
      <c r="O48" s="25">
        <f>_CALC_MOTEUR!AE48</f>
        <v/>
      </c>
      <c r="P48" s="25">
        <f>_CALC_MOTEUR!AF48</f>
        <v/>
      </c>
      <c r="Q48" s="27">
        <f>_CALC_MOTEUR!AG48</f>
        <v/>
      </c>
      <c r="R48" s="25">
        <f>_CALC_MOTEUR!AH48</f>
        <v/>
      </c>
      <c r="S48" s="25">
        <f>R48-M48</f>
        <v/>
      </c>
    </row>
    <row r="49">
      <c r="A49" s="9" t="inlineStr">
        <is>
          <t>2027BUD_V1</t>
        </is>
      </c>
      <c r="B49" s="1" t="inlineStr">
        <is>
          <t>V03</t>
        </is>
      </c>
      <c r="C49" s="1" t="inlineStr">
        <is>
          <t>12</t>
        </is>
      </c>
      <c r="D49" s="1" t="inlineStr">
        <is>
          <t>MBWAY_BOR</t>
        </is>
      </c>
      <c r="E49" s="1" t="inlineStr">
        <is>
          <t>MBWAY</t>
        </is>
      </c>
      <c r="F49" s="1" t="inlineStr">
        <is>
          <t>BAC_MGT</t>
        </is>
      </c>
      <c r="G49" s="1" t="inlineStr">
        <is>
          <t>B1</t>
        </is>
      </c>
      <c r="H49" s="1" t="inlineStr">
        <is>
          <t>INIT</t>
        </is>
      </c>
      <c r="I49" s="1" t="inlineStr">
        <is>
          <t>2027</t>
        </is>
      </c>
      <c r="J49" s="1" t="n">
        <v>49.848973441</v>
      </c>
      <c r="K49" s="1" t="n">
        <v>49.848973441</v>
      </c>
      <c r="L49" s="1" t="n">
        <v>7449.6</v>
      </c>
      <c r="M49" s="1" t="n">
        <v>375841.320152142</v>
      </c>
      <c r="O49" s="25">
        <f>_CALC_MOTEUR!AE49</f>
        <v/>
      </c>
      <c r="P49" s="25">
        <f>_CALC_MOTEUR!AF49</f>
        <v/>
      </c>
      <c r="Q49" s="27">
        <f>_CALC_MOTEUR!AG49</f>
        <v/>
      </c>
      <c r="R49" s="25">
        <f>_CALC_MOTEUR!AH49</f>
        <v/>
      </c>
      <c r="S49" s="25">
        <f>R49-M49</f>
        <v/>
      </c>
    </row>
    <row r="50">
      <c r="A50" s="9" t="inlineStr">
        <is>
          <t>2027BUD_V1</t>
        </is>
      </c>
      <c r="B50" s="1" t="inlineStr">
        <is>
          <t>V01</t>
        </is>
      </c>
      <c r="C50" s="1" t="inlineStr">
        <is>
          <t>12</t>
        </is>
      </c>
      <c r="D50" s="1" t="inlineStr">
        <is>
          <t>MBWAY_BOR</t>
        </is>
      </c>
      <c r="E50" s="1" t="inlineStr">
        <is>
          <t>MBWAY</t>
        </is>
      </c>
      <c r="F50" s="1" t="inlineStr">
        <is>
          <t>BAC_MGT</t>
        </is>
      </c>
      <c r="G50" s="1" t="inlineStr">
        <is>
          <t>B2</t>
        </is>
      </c>
      <c r="H50" s="1" t="inlineStr">
        <is>
          <t>ALT</t>
        </is>
      </c>
      <c r="I50" s="1" t="inlineStr">
        <is>
          <t>2027</t>
        </is>
      </c>
      <c r="J50" s="1" t="n">
        <v>0</v>
      </c>
      <c r="K50" s="1" t="n">
        <v>49.255</v>
      </c>
      <c r="L50" s="1" t="n">
        <v>6952.96</v>
      </c>
      <c r="M50" s="1" t="n">
        <v>342468.0448</v>
      </c>
      <c r="O50" s="25">
        <f>_CALC_MOTEUR!AE50</f>
        <v/>
      </c>
      <c r="P50" s="25">
        <f>_CALC_MOTEUR!AF50</f>
        <v/>
      </c>
      <c r="Q50" s="27">
        <f>_CALC_MOTEUR!AG50</f>
        <v/>
      </c>
      <c r="R50" s="25">
        <f>_CALC_MOTEUR!AH50</f>
        <v/>
      </c>
      <c r="S50" s="25">
        <f>R50-M50</f>
        <v/>
      </c>
    </row>
    <row r="51">
      <c r="A51" s="9" t="inlineStr">
        <is>
          <t>2027BUD_V1</t>
        </is>
      </c>
      <c r="B51" s="1" t="inlineStr">
        <is>
          <t>V02</t>
        </is>
      </c>
      <c r="C51" s="1" t="inlineStr">
        <is>
          <t>12</t>
        </is>
      </c>
      <c r="D51" s="1" t="inlineStr">
        <is>
          <t>MBWAY_BOR</t>
        </is>
      </c>
      <c r="E51" s="1" t="inlineStr">
        <is>
          <t>MBWAY</t>
        </is>
      </c>
      <c r="F51" s="1" t="inlineStr">
        <is>
          <t>BAC_MGT</t>
        </is>
      </c>
      <c r="G51" s="1" t="inlineStr">
        <is>
          <t>B2</t>
        </is>
      </c>
      <c r="H51" s="1" t="inlineStr">
        <is>
          <t>ALT</t>
        </is>
      </c>
      <c r="I51" s="1" t="inlineStr">
        <is>
          <t>2027</t>
        </is>
      </c>
      <c r="J51" s="1" t="n">
        <v>0</v>
      </c>
      <c r="K51" s="1" t="n">
        <v>49.765</v>
      </c>
      <c r="L51" s="1" t="n">
        <v>7075.18</v>
      </c>
      <c r="M51" s="1" t="n">
        <v>352096.3327</v>
      </c>
      <c r="O51" s="25">
        <f>_CALC_MOTEUR!AE51</f>
        <v/>
      </c>
      <c r="P51" s="25">
        <f>_CALC_MOTEUR!AF51</f>
        <v/>
      </c>
      <c r="Q51" s="27">
        <f>_CALC_MOTEUR!AG51</f>
        <v/>
      </c>
      <c r="R51" s="25">
        <f>_CALC_MOTEUR!AH51</f>
        <v/>
      </c>
      <c r="S51" s="25">
        <f>R51-M51</f>
        <v/>
      </c>
    </row>
    <row r="52">
      <c r="A52" s="9" t="inlineStr">
        <is>
          <t>2027BUD_V1</t>
        </is>
      </c>
      <c r="B52" s="1" t="inlineStr">
        <is>
          <t>V03</t>
        </is>
      </c>
      <c r="C52" s="1" t="inlineStr">
        <is>
          <t>12</t>
        </is>
      </c>
      <c r="D52" s="1" t="inlineStr">
        <is>
          <t>MBWAY_BOR</t>
        </is>
      </c>
      <c r="E52" s="1" t="inlineStr">
        <is>
          <t>MBWAY</t>
        </is>
      </c>
      <c r="F52" s="1" t="inlineStr">
        <is>
          <t>BAC_MGT</t>
        </is>
      </c>
      <c r="G52" s="1" t="inlineStr">
        <is>
          <t>B2</t>
        </is>
      </c>
      <c r="H52" s="1" t="inlineStr">
        <is>
          <t>ALT</t>
        </is>
      </c>
      <c r="I52" s="1" t="inlineStr">
        <is>
          <t>2027</t>
        </is>
      </c>
      <c r="J52" s="1" t="n">
        <v>0</v>
      </c>
      <c r="K52" s="1" t="n">
        <v>48.49</v>
      </c>
      <c r="L52" s="1" t="n">
        <v>6952.96</v>
      </c>
      <c r="M52" s="1" t="n">
        <v>337149.0304</v>
      </c>
      <c r="O52" s="25">
        <f>_CALC_MOTEUR!AE52</f>
        <v/>
      </c>
      <c r="P52" s="25">
        <f>_CALC_MOTEUR!AF52</f>
        <v/>
      </c>
      <c r="Q52" s="27">
        <f>_CALC_MOTEUR!AG52</f>
        <v/>
      </c>
      <c r="R52" s="25">
        <f>_CALC_MOTEUR!AH52</f>
        <v/>
      </c>
      <c r="S52" s="25">
        <f>R52-M52</f>
        <v/>
      </c>
    </row>
    <row r="53">
      <c r="A53" s="9" t="inlineStr">
        <is>
          <t>2027BUD_V1</t>
        </is>
      </c>
      <c r="B53" s="1" t="inlineStr">
        <is>
          <t>V01</t>
        </is>
      </c>
      <c r="C53" s="1" t="inlineStr">
        <is>
          <t>12</t>
        </is>
      </c>
      <c r="D53" s="1" t="inlineStr">
        <is>
          <t>MBWAY_BOR</t>
        </is>
      </c>
      <c r="E53" s="1" t="inlineStr">
        <is>
          <t>MBWAY</t>
        </is>
      </c>
      <c r="F53" s="1" t="inlineStr">
        <is>
          <t>BAC_MGT</t>
        </is>
      </c>
      <c r="G53" s="1" t="inlineStr">
        <is>
          <t>B3</t>
        </is>
      </c>
      <c r="H53" s="1" t="inlineStr">
        <is>
          <t>ALT</t>
        </is>
      </c>
      <c r="I53" s="1" t="inlineStr">
        <is>
          <t>2027</t>
        </is>
      </c>
      <c r="J53" s="1" t="n">
        <v>0</v>
      </c>
      <c r="K53" s="1" t="n">
        <v>48.245</v>
      </c>
      <c r="L53" s="1" t="n">
        <v>6952.96</v>
      </c>
      <c r="M53" s="1" t="n">
        <v>335445.5552</v>
      </c>
      <c r="O53" s="25">
        <f>_CALC_MOTEUR!AE53</f>
        <v/>
      </c>
      <c r="P53" s="25">
        <f>_CALC_MOTEUR!AF53</f>
        <v/>
      </c>
      <c r="Q53" s="27">
        <f>_CALC_MOTEUR!AG53</f>
        <v/>
      </c>
      <c r="R53" s="25">
        <f>_CALC_MOTEUR!AH53</f>
        <v/>
      </c>
      <c r="S53" s="25">
        <f>R53-M53</f>
        <v/>
      </c>
    </row>
    <row r="54">
      <c r="A54" s="9" t="inlineStr">
        <is>
          <t>2027BUD_V1</t>
        </is>
      </c>
      <c r="B54" s="1" t="inlineStr">
        <is>
          <t>V02</t>
        </is>
      </c>
      <c r="C54" s="1" t="inlineStr">
        <is>
          <t>12</t>
        </is>
      </c>
      <c r="D54" s="1" t="inlineStr">
        <is>
          <t>MBWAY_BOR</t>
        </is>
      </c>
      <c r="E54" s="1" t="inlineStr">
        <is>
          <t>MBWAY</t>
        </is>
      </c>
      <c r="F54" s="1" t="inlineStr">
        <is>
          <t>BAC_MGT</t>
        </is>
      </c>
      <c r="G54" s="1" t="inlineStr">
        <is>
          <t>B3</t>
        </is>
      </c>
      <c r="H54" s="1" t="inlineStr">
        <is>
          <t>ALT</t>
        </is>
      </c>
      <c r="I54" s="1" t="inlineStr">
        <is>
          <t>2027</t>
        </is>
      </c>
      <c r="J54" s="1" t="n">
        <v>0</v>
      </c>
      <c r="K54" s="1" t="n">
        <v>48.735</v>
      </c>
      <c r="L54" s="1" t="n">
        <v>7075.18</v>
      </c>
      <c r="M54" s="1" t="n">
        <v>344808.8973</v>
      </c>
      <c r="O54" s="25">
        <f>_CALC_MOTEUR!AE54</f>
        <v/>
      </c>
      <c r="P54" s="25">
        <f>_CALC_MOTEUR!AF54</f>
        <v/>
      </c>
      <c r="Q54" s="27">
        <f>_CALC_MOTEUR!AG54</f>
        <v/>
      </c>
      <c r="R54" s="25">
        <f>_CALC_MOTEUR!AH54</f>
        <v/>
      </c>
      <c r="S54" s="25">
        <f>R54-M54</f>
        <v/>
      </c>
    </row>
    <row r="55">
      <c r="A55" s="9" t="inlineStr">
        <is>
          <t>2027BUD_V1</t>
        </is>
      </c>
      <c r="B55" s="1" t="inlineStr">
        <is>
          <t>V03</t>
        </is>
      </c>
      <c r="C55" s="1" t="inlineStr">
        <is>
          <t>12</t>
        </is>
      </c>
      <c r="D55" s="1" t="inlineStr">
        <is>
          <t>MBWAY_BOR</t>
        </is>
      </c>
      <c r="E55" s="1" t="inlineStr">
        <is>
          <t>MBWAY</t>
        </is>
      </c>
      <c r="F55" s="1" t="inlineStr">
        <is>
          <t>BAC_MGT</t>
        </is>
      </c>
      <c r="G55" s="1" t="inlineStr">
        <is>
          <t>B3</t>
        </is>
      </c>
      <c r="H55" s="1" t="inlineStr">
        <is>
          <t>ALT</t>
        </is>
      </c>
      <c r="I55" s="1" t="inlineStr">
        <is>
          <t>2027</t>
        </is>
      </c>
      <c r="J55" s="1" t="n">
        <v>0</v>
      </c>
      <c r="K55" s="1" t="n">
        <v>47.51</v>
      </c>
      <c r="L55" s="1" t="n">
        <v>6952.96</v>
      </c>
      <c r="M55" s="1" t="n">
        <v>330335.1296</v>
      </c>
      <c r="O55" s="25">
        <f>_CALC_MOTEUR!AE55</f>
        <v/>
      </c>
      <c r="P55" s="25">
        <f>_CALC_MOTEUR!AF55</f>
        <v/>
      </c>
      <c r="Q55" s="27">
        <f>_CALC_MOTEUR!AG55</f>
        <v/>
      </c>
      <c r="R55" s="25">
        <f>_CALC_MOTEUR!AH55</f>
        <v/>
      </c>
      <c r="S55" s="25">
        <f>R55-M55</f>
        <v/>
      </c>
    </row>
    <row r="56">
      <c r="A56" s="9" t="inlineStr">
        <is>
          <t>2027BUD_V1</t>
        </is>
      </c>
      <c r="B56" s="1" t="inlineStr">
        <is>
          <t>V01</t>
        </is>
      </c>
      <c r="C56" s="1" t="inlineStr">
        <is>
          <t>12</t>
        </is>
      </c>
      <c r="D56" s="1" t="inlineStr">
        <is>
          <t>MBWAY_BOR</t>
        </is>
      </c>
      <c r="E56" s="1" t="inlineStr">
        <is>
          <t>MBWAY</t>
        </is>
      </c>
      <c r="F56" s="1" t="inlineStr">
        <is>
          <t>MAS_MGT</t>
        </is>
      </c>
      <c r="G56" s="1" t="inlineStr">
        <is>
          <t>M1</t>
        </is>
      </c>
      <c r="H56" s="1" t="inlineStr">
        <is>
          <t>ALT</t>
        </is>
      </c>
      <c r="I56" s="1" t="inlineStr">
        <is>
          <t>2027</t>
        </is>
      </c>
      <c r="J56" s="1" t="n">
        <v>56.910051804</v>
      </c>
      <c r="K56" s="1" t="n">
        <v>56.910051804</v>
      </c>
      <c r="L56" s="1" t="n">
        <v>7449.6</v>
      </c>
      <c r="M56" s="1" t="n">
        <v>429079.02658117</v>
      </c>
      <c r="O56" s="25">
        <f>_CALC_MOTEUR!AE56</f>
        <v/>
      </c>
      <c r="P56" s="25">
        <f>_CALC_MOTEUR!AF56</f>
        <v/>
      </c>
      <c r="Q56" s="27">
        <f>_CALC_MOTEUR!AG56</f>
        <v/>
      </c>
      <c r="R56" s="25">
        <f>_CALC_MOTEUR!AH56</f>
        <v/>
      </c>
      <c r="S56" s="25">
        <f>R56-M56</f>
        <v/>
      </c>
    </row>
    <row r="57">
      <c r="A57" s="9" t="inlineStr">
        <is>
          <t>2027BUD_V1</t>
        </is>
      </c>
      <c r="B57" s="1" t="inlineStr">
        <is>
          <t>V02</t>
        </is>
      </c>
      <c r="C57" s="1" t="inlineStr">
        <is>
          <t>12</t>
        </is>
      </c>
      <c r="D57" s="1" t="inlineStr">
        <is>
          <t>MBWAY_BOR</t>
        </is>
      </c>
      <c r="E57" s="1" t="inlineStr">
        <is>
          <t>MBWAY</t>
        </is>
      </c>
      <c r="F57" s="1" t="inlineStr">
        <is>
          <t>MAS_MGT</t>
        </is>
      </c>
      <c r="G57" s="1" t="inlineStr">
        <is>
          <t>M1</t>
        </is>
      </c>
      <c r="H57" s="1" t="inlineStr">
        <is>
          <t>ALT</t>
        </is>
      </c>
      <c r="I57" s="1" t="inlineStr">
        <is>
          <t>2027</t>
        </is>
      </c>
      <c r="J57" s="1" t="n">
        <v>66.600992746</v>
      </c>
      <c r="K57" s="1" t="n">
        <v>66.600992746</v>
      </c>
      <c r="L57" s="1" t="n">
        <v>7580.55</v>
      </c>
      <c r="M57" s="1" t="n">
        <v>510866.244910898</v>
      </c>
      <c r="O57" s="25">
        <f>_CALC_MOTEUR!AE57</f>
        <v/>
      </c>
      <c r="P57" s="25">
        <f>_CALC_MOTEUR!AF57</f>
        <v/>
      </c>
      <c r="Q57" s="27">
        <f>_CALC_MOTEUR!AG57</f>
        <v/>
      </c>
      <c r="R57" s="25">
        <f>_CALC_MOTEUR!AH57</f>
        <v/>
      </c>
      <c r="S57" s="25">
        <f>R57-M57</f>
        <v/>
      </c>
    </row>
    <row r="58">
      <c r="A58" s="9" t="inlineStr">
        <is>
          <t>2027BUD_V1</t>
        </is>
      </c>
      <c r="B58" s="1" t="inlineStr">
        <is>
          <t>V03</t>
        </is>
      </c>
      <c r="C58" s="1" t="inlineStr">
        <is>
          <t>12</t>
        </is>
      </c>
      <c r="D58" s="1" t="inlineStr">
        <is>
          <t>MBWAY_BOR</t>
        </is>
      </c>
      <c r="E58" s="1" t="inlineStr">
        <is>
          <t>MBWAY</t>
        </is>
      </c>
      <c r="F58" s="1" t="inlineStr">
        <is>
          <t>MAS_MGT</t>
        </is>
      </c>
      <c r="G58" s="1" t="inlineStr">
        <is>
          <t>M1</t>
        </is>
      </c>
      <c r="H58" s="1" t="inlineStr">
        <is>
          <t>ALT</t>
        </is>
      </c>
      <c r="I58" s="1" t="inlineStr">
        <is>
          <t>2027</t>
        </is>
      </c>
      <c r="J58" s="1" t="n">
        <v>49.848973441</v>
      </c>
      <c r="K58" s="1" t="n">
        <v>49.848973441</v>
      </c>
      <c r="L58" s="1" t="n">
        <v>7449.6</v>
      </c>
      <c r="M58" s="1" t="n">
        <v>375841.320152142</v>
      </c>
      <c r="O58" s="25">
        <f>_CALC_MOTEUR!AE58</f>
        <v/>
      </c>
      <c r="P58" s="25">
        <f>_CALC_MOTEUR!AF58</f>
        <v/>
      </c>
      <c r="Q58" s="27">
        <f>_CALC_MOTEUR!AG58</f>
        <v/>
      </c>
      <c r="R58" s="25">
        <f>_CALC_MOTEUR!AH58</f>
        <v/>
      </c>
      <c r="S58" s="25">
        <f>R58-M58</f>
        <v/>
      </c>
    </row>
    <row r="59">
      <c r="A59" s="9" t="inlineStr">
        <is>
          <t>2027BUD_V1</t>
        </is>
      </c>
      <c r="B59" s="1" t="inlineStr">
        <is>
          <t>V01</t>
        </is>
      </c>
      <c r="C59" s="1" t="inlineStr">
        <is>
          <t>12</t>
        </is>
      </c>
      <c r="D59" s="1" t="inlineStr">
        <is>
          <t>MBWAY_BOR</t>
        </is>
      </c>
      <c r="E59" s="1" t="inlineStr">
        <is>
          <t>MBWAY</t>
        </is>
      </c>
      <c r="F59" s="1" t="inlineStr">
        <is>
          <t>MAS_MGT</t>
        </is>
      </c>
      <c r="G59" s="1" t="inlineStr">
        <is>
          <t>M2</t>
        </is>
      </c>
      <c r="H59" s="1" t="inlineStr">
        <is>
          <t>ALT</t>
        </is>
      </c>
      <c r="I59" s="1" t="inlineStr">
        <is>
          <t>2027</t>
        </is>
      </c>
      <c r="J59" s="1" t="n">
        <v>0</v>
      </c>
      <c r="K59" s="1" t="n">
        <v>50.255</v>
      </c>
      <c r="L59" s="1" t="n">
        <v>7449.6</v>
      </c>
      <c r="M59" s="1" t="n">
        <v>374379.648</v>
      </c>
      <c r="O59" s="25">
        <f>_CALC_MOTEUR!AE59</f>
        <v/>
      </c>
      <c r="P59" s="25">
        <f>_CALC_MOTEUR!AF59</f>
        <v/>
      </c>
      <c r="Q59" s="27">
        <f>_CALC_MOTEUR!AG59</f>
        <v/>
      </c>
      <c r="R59" s="25">
        <f>_CALC_MOTEUR!AH59</f>
        <v/>
      </c>
      <c r="S59" s="25">
        <f>R59-M59</f>
        <v/>
      </c>
    </row>
    <row r="60">
      <c r="A60" s="9" t="inlineStr">
        <is>
          <t>2027BUD_V1</t>
        </is>
      </c>
      <c r="B60" s="1" t="inlineStr">
        <is>
          <t>V02</t>
        </is>
      </c>
      <c r="C60" s="1" t="inlineStr">
        <is>
          <t>12</t>
        </is>
      </c>
      <c r="D60" s="1" t="inlineStr">
        <is>
          <t>MBWAY_BOR</t>
        </is>
      </c>
      <c r="E60" s="1" t="inlineStr">
        <is>
          <t>MBWAY</t>
        </is>
      </c>
      <c r="F60" s="1" t="inlineStr">
        <is>
          <t>MAS_MGT</t>
        </is>
      </c>
      <c r="G60" s="1" t="inlineStr">
        <is>
          <t>M2</t>
        </is>
      </c>
      <c r="H60" s="1" t="inlineStr">
        <is>
          <t>ALT</t>
        </is>
      </c>
      <c r="I60" s="1" t="inlineStr">
        <is>
          <t>2027</t>
        </is>
      </c>
      <c r="J60" s="1" t="n">
        <v>0</v>
      </c>
      <c r="K60" s="1" t="n">
        <v>50.765</v>
      </c>
      <c r="L60" s="1" t="n">
        <v>7580.55</v>
      </c>
      <c r="M60" s="1" t="n">
        <v>384826.62075</v>
      </c>
      <c r="O60" s="25">
        <f>_CALC_MOTEUR!AE60</f>
        <v/>
      </c>
      <c r="P60" s="25">
        <f>_CALC_MOTEUR!AF60</f>
        <v/>
      </c>
      <c r="Q60" s="27">
        <f>_CALC_MOTEUR!AG60</f>
        <v/>
      </c>
      <c r="R60" s="25">
        <f>_CALC_MOTEUR!AH60</f>
        <v/>
      </c>
      <c r="S60" s="25">
        <f>R60-M60</f>
        <v/>
      </c>
    </row>
    <row r="61">
      <c r="A61" s="9" t="inlineStr">
        <is>
          <t>2027BUD_V1</t>
        </is>
      </c>
      <c r="B61" s="1" t="inlineStr">
        <is>
          <t>V03</t>
        </is>
      </c>
      <c r="C61" s="1" t="inlineStr">
        <is>
          <t>12</t>
        </is>
      </c>
      <c r="D61" s="1" t="inlineStr">
        <is>
          <t>MBWAY_BOR</t>
        </is>
      </c>
      <c r="E61" s="1" t="inlineStr">
        <is>
          <t>MBWAY</t>
        </is>
      </c>
      <c r="F61" s="1" t="inlineStr">
        <is>
          <t>MAS_MGT</t>
        </is>
      </c>
      <c r="G61" s="1" t="inlineStr">
        <is>
          <t>M2</t>
        </is>
      </c>
      <c r="H61" s="1" t="inlineStr">
        <is>
          <t>ALT</t>
        </is>
      </c>
      <c r="I61" s="1" t="inlineStr">
        <is>
          <t>2027</t>
        </is>
      </c>
      <c r="J61" s="1" t="n">
        <v>0</v>
      </c>
      <c r="K61" s="1" t="n">
        <v>49.49</v>
      </c>
      <c r="L61" s="1" t="n">
        <v>7449.6</v>
      </c>
      <c r="M61" s="1" t="n">
        <v>368680.704</v>
      </c>
      <c r="O61" s="25">
        <f>_CALC_MOTEUR!AE61</f>
        <v/>
      </c>
      <c r="P61" s="25">
        <f>_CALC_MOTEUR!AF61</f>
        <v/>
      </c>
      <c r="Q61" s="27">
        <f>_CALC_MOTEUR!AG61</f>
        <v/>
      </c>
      <c r="R61" s="25">
        <f>_CALC_MOTEUR!AH61</f>
        <v/>
      </c>
      <c r="S61" s="25">
        <f>R61-M61</f>
        <v/>
      </c>
    </row>
    <row r="62">
      <c r="A62" s="9" t="inlineStr">
        <is>
          <t>2027BUD_V1</t>
        </is>
      </c>
      <c r="B62" s="1" t="inlineStr">
        <is>
          <t>V01</t>
        </is>
      </c>
      <c r="C62" s="1" t="inlineStr">
        <is>
          <t>12</t>
        </is>
      </c>
      <c r="D62" s="1" t="inlineStr">
        <is>
          <t>ISCOM_PAR</t>
        </is>
      </c>
      <c r="E62" s="1" t="inlineStr">
        <is>
          <t>ISCOM</t>
        </is>
      </c>
      <c r="F62" s="1" t="inlineStr">
        <is>
          <t>BAC_COM</t>
        </is>
      </c>
      <c r="G62" s="1" t="inlineStr">
        <is>
          <t>B1</t>
        </is>
      </c>
      <c r="H62" s="1" t="inlineStr">
        <is>
          <t>INIT</t>
        </is>
      </c>
      <c r="I62" s="1" t="inlineStr">
        <is>
          <t>2027</t>
        </is>
      </c>
      <c r="J62" s="1" t="n">
        <v>78.32340149300001</v>
      </c>
      <c r="K62" s="1" t="n">
        <v>78.32340149300001</v>
      </c>
      <c r="L62" s="1" t="n">
        <v>8593.200000000001</v>
      </c>
      <c r="M62" s="1" t="n">
        <v>680097.759840982</v>
      </c>
      <c r="O62" s="25">
        <f>_CALC_MOTEUR!AE62</f>
        <v/>
      </c>
      <c r="P62" s="25">
        <f>_CALC_MOTEUR!AF62</f>
        <v/>
      </c>
      <c r="Q62" s="27">
        <f>_CALC_MOTEUR!AG62</f>
        <v/>
      </c>
      <c r="R62" s="25">
        <f>_CALC_MOTEUR!AH62</f>
        <v/>
      </c>
      <c r="S62" s="25">
        <f>R62-M62</f>
        <v/>
      </c>
    </row>
    <row r="63">
      <c r="A63" s="9" t="inlineStr">
        <is>
          <t>2027BUD_V1</t>
        </is>
      </c>
      <c r="B63" s="1" t="inlineStr">
        <is>
          <t>V02</t>
        </is>
      </c>
      <c r="C63" s="1" t="inlineStr">
        <is>
          <t>12</t>
        </is>
      </c>
      <c r="D63" s="1" t="inlineStr">
        <is>
          <t>ISCOM_PAR</t>
        </is>
      </c>
      <c r="E63" s="1" t="inlineStr">
        <is>
          <t>ISCOM</t>
        </is>
      </c>
      <c r="F63" s="1" t="inlineStr">
        <is>
          <t>BAC_COM</t>
        </is>
      </c>
      <c r="G63" s="1" t="inlineStr">
        <is>
          <t>B1</t>
        </is>
      </c>
      <c r="H63" s="1" t="inlineStr">
        <is>
          <t>INIT</t>
        </is>
      </c>
      <c r="I63" s="1" t="inlineStr">
        <is>
          <t>2027</t>
        </is>
      </c>
      <c r="J63" s="1" t="n">
        <v>88.189420488</v>
      </c>
      <c r="K63" s="1" t="n">
        <v>88.189420488</v>
      </c>
      <c r="L63" s="1" t="n">
        <v>8738.1</v>
      </c>
      <c r="M63" s="1" t="n">
        <v>778545.023013417</v>
      </c>
      <c r="O63" s="25">
        <f>_CALC_MOTEUR!AE63</f>
        <v/>
      </c>
      <c r="P63" s="25">
        <f>_CALC_MOTEUR!AF63</f>
        <v/>
      </c>
      <c r="Q63" s="27">
        <f>_CALC_MOTEUR!AG63</f>
        <v/>
      </c>
      <c r="R63" s="25">
        <f>_CALC_MOTEUR!AH63</f>
        <v/>
      </c>
      <c r="S63" s="25">
        <f>R63-M63</f>
        <v/>
      </c>
    </row>
    <row r="64">
      <c r="A64" s="9" t="inlineStr">
        <is>
          <t>2027BUD_V1</t>
        </is>
      </c>
      <c r="B64" s="1" t="inlineStr">
        <is>
          <t>V03</t>
        </is>
      </c>
      <c r="C64" s="1" t="inlineStr">
        <is>
          <t>12</t>
        </is>
      </c>
      <c r="D64" s="1" t="inlineStr">
        <is>
          <t>ISCOM_PAR</t>
        </is>
      </c>
      <c r="E64" s="1" t="inlineStr">
        <is>
          <t>ISCOM</t>
        </is>
      </c>
      <c r="F64" s="1" t="inlineStr">
        <is>
          <t>BAC_COM</t>
        </is>
      </c>
      <c r="G64" s="1" t="inlineStr">
        <is>
          <t>B1</t>
        </is>
      </c>
      <c r="H64" s="1" t="inlineStr">
        <is>
          <t>INIT</t>
        </is>
      </c>
      <c r="I64" s="1" t="inlineStr">
        <is>
          <t>2027</t>
        </is>
      </c>
      <c r="J64" s="1" t="n">
        <v>70.55756809899999</v>
      </c>
      <c r="K64" s="1" t="n">
        <v>70.55756809899999</v>
      </c>
      <c r="L64" s="1" t="n">
        <v>8593.200000000001</v>
      </c>
      <c r="M64" s="1" t="n">
        <v>612665.4753215</v>
      </c>
      <c r="O64" s="25">
        <f>_CALC_MOTEUR!AE64</f>
        <v/>
      </c>
      <c r="P64" s="25">
        <f>_CALC_MOTEUR!AF64</f>
        <v/>
      </c>
      <c r="Q64" s="27">
        <f>_CALC_MOTEUR!AG64</f>
        <v/>
      </c>
      <c r="R64" s="25">
        <f>_CALC_MOTEUR!AH64</f>
        <v/>
      </c>
      <c r="S64" s="25">
        <f>R64-M64</f>
        <v/>
      </c>
    </row>
    <row r="65">
      <c r="A65" s="9" t="inlineStr">
        <is>
          <t>2027BUD_V1</t>
        </is>
      </c>
      <c r="B65" s="1" t="inlineStr">
        <is>
          <t>V01</t>
        </is>
      </c>
      <c r="C65" s="1" t="inlineStr">
        <is>
          <t>12</t>
        </is>
      </c>
      <c r="D65" s="1" t="inlineStr">
        <is>
          <t>ISCOM_PAR</t>
        </is>
      </c>
      <c r="E65" s="1" t="inlineStr">
        <is>
          <t>ISCOM</t>
        </is>
      </c>
      <c r="F65" s="1" t="inlineStr">
        <is>
          <t>BAC_COM</t>
        </is>
      </c>
      <c r="G65" s="1" t="inlineStr">
        <is>
          <t>B2</t>
        </is>
      </c>
      <c r="H65" s="1" t="inlineStr">
        <is>
          <t>ALT</t>
        </is>
      </c>
      <c r="I65" s="1" t="inlineStr">
        <is>
          <t>2027</t>
        </is>
      </c>
      <c r="J65" s="1" t="n">
        <v>0</v>
      </c>
      <c r="K65" s="1" t="n">
        <v>70.36</v>
      </c>
      <c r="L65" s="1" t="n">
        <v>8020.32</v>
      </c>
      <c r="M65" s="1" t="n">
        <v>564309.7152</v>
      </c>
      <c r="O65" s="25">
        <f>_CALC_MOTEUR!AE65</f>
        <v/>
      </c>
      <c r="P65" s="25">
        <f>_CALC_MOTEUR!AF65</f>
        <v/>
      </c>
      <c r="Q65" s="27">
        <f>_CALC_MOTEUR!AG65</f>
        <v/>
      </c>
      <c r="R65" s="25">
        <f>_CALC_MOTEUR!AH65</f>
        <v/>
      </c>
      <c r="S65" s="25">
        <f>R65-M65</f>
        <v/>
      </c>
    </row>
    <row r="66">
      <c r="A66" s="9" t="inlineStr">
        <is>
          <t>2027BUD_V1</t>
        </is>
      </c>
      <c r="B66" s="1" t="inlineStr">
        <is>
          <t>V02</t>
        </is>
      </c>
      <c r="C66" s="1" t="inlineStr">
        <is>
          <t>12</t>
        </is>
      </c>
      <c r="D66" s="1" t="inlineStr">
        <is>
          <t>ISCOM_PAR</t>
        </is>
      </c>
      <c r="E66" s="1" t="inlineStr">
        <is>
          <t>ISCOM</t>
        </is>
      </c>
      <c r="F66" s="1" t="inlineStr">
        <is>
          <t>BAC_COM</t>
        </is>
      </c>
      <c r="G66" s="1" t="inlineStr">
        <is>
          <t>B2</t>
        </is>
      </c>
      <c r="H66" s="1" t="inlineStr">
        <is>
          <t>ALT</t>
        </is>
      </c>
      <c r="I66" s="1" t="inlineStr">
        <is>
          <t>2027</t>
        </is>
      </c>
      <c r="J66" s="1" t="n">
        <v>0</v>
      </c>
      <c r="K66" s="1" t="n">
        <v>71.08</v>
      </c>
      <c r="L66" s="1" t="n">
        <v>8155.56</v>
      </c>
      <c r="M66" s="1" t="n">
        <v>579697.2047999999</v>
      </c>
      <c r="O66" s="25">
        <f>_CALC_MOTEUR!AE66</f>
        <v/>
      </c>
      <c r="P66" s="25">
        <f>_CALC_MOTEUR!AF66</f>
        <v/>
      </c>
      <c r="Q66" s="27">
        <f>_CALC_MOTEUR!AG66</f>
        <v/>
      </c>
      <c r="R66" s="25">
        <f>_CALC_MOTEUR!AH66</f>
        <v/>
      </c>
      <c r="S66" s="25">
        <f>R66-M66</f>
        <v/>
      </c>
    </row>
    <row r="67">
      <c r="A67" s="9" t="inlineStr">
        <is>
          <t>2027BUD_V1</t>
        </is>
      </c>
      <c r="B67" s="1" t="inlineStr">
        <is>
          <t>V03</t>
        </is>
      </c>
      <c r="C67" s="1" t="inlineStr">
        <is>
          <t>12</t>
        </is>
      </c>
      <c r="D67" s="1" t="inlineStr">
        <is>
          <t>ISCOM_PAR</t>
        </is>
      </c>
      <c r="E67" s="1" t="inlineStr">
        <is>
          <t>ISCOM</t>
        </is>
      </c>
      <c r="F67" s="1" t="inlineStr">
        <is>
          <t>BAC_COM</t>
        </is>
      </c>
      <c r="G67" s="1" t="inlineStr">
        <is>
          <t>B2</t>
        </is>
      </c>
      <c r="H67" s="1" t="inlineStr">
        <is>
          <t>ALT</t>
        </is>
      </c>
      <c r="I67" s="1" t="inlineStr">
        <is>
          <t>2027</t>
        </is>
      </c>
      <c r="J67" s="1" t="n">
        <v>0</v>
      </c>
      <c r="K67" s="1" t="n">
        <v>69.28</v>
      </c>
      <c r="L67" s="1" t="n">
        <v>8020.32</v>
      </c>
      <c r="M67" s="1" t="n">
        <v>555647.7696</v>
      </c>
      <c r="O67" s="25">
        <f>_CALC_MOTEUR!AE67</f>
        <v/>
      </c>
      <c r="P67" s="25">
        <f>_CALC_MOTEUR!AF67</f>
        <v/>
      </c>
      <c r="Q67" s="27">
        <f>_CALC_MOTEUR!AG67</f>
        <v/>
      </c>
      <c r="R67" s="25">
        <f>_CALC_MOTEUR!AH67</f>
        <v/>
      </c>
      <c r="S67" s="25">
        <f>R67-M67</f>
        <v/>
      </c>
    </row>
    <row r="68">
      <c r="A68" s="9" t="inlineStr">
        <is>
          <t>2027BUD_V1</t>
        </is>
      </c>
      <c r="B68" s="1" t="inlineStr">
        <is>
          <t>V01</t>
        </is>
      </c>
      <c r="C68" s="1" t="inlineStr">
        <is>
          <t>12</t>
        </is>
      </c>
      <c r="D68" s="1" t="inlineStr">
        <is>
          <t>ISCOM_PAR</t>
        </is>
      </c>
      <c r="E68" s="1" t="inlineStr">
        <is>
          <t>ISCOM</t>
        </is>
      </c>
      <c r="F68" s="1" t="inlineStr">
        <is>
          <t>BAC_COM</t>
        </is>
      </c>
      <c r="G68" s="1" t="inlineStr">
        <is>
          <t>B3</t>
        </is>
      </c>
      <c r="H68" s="1" t="inlineStr">
        <is>
          <t>ALT</t>
        </is>
      </c>
      <c r="I68" s="1" t="inlineStr">
        <is>
          <t>2027</t>
        </is>
      </c>
      <c r="J68" s="1" t="n">
        <v>0</v>
      </c>
      <c r="K68" s="1" t="n">
        <v>69.34999999999999</v>
      </c>
      <c r="L68" s="1" t="n">
        <v>8020.32</v>
      </c>
      <c r="M68" s="1" t="n">
        <v>556209.192</v>
      </c>
      <c r="O68" s="25">
        <f>_CALC_MOTEUR!AE68</f>
        <v/>
      </c>
      <c r="P68" s="25">
        <f>_CALC_MOTEUR!AF68</f>
        <v/>
      </c>
      <c r="Q68" s="27">
        <f>_CALC_MOTEUR!AG68</f>
        <v/>
      </c>
      <c r="R68" s="25">
        <f>_CALC_MOTEUR!AH68</f>
        <v/>
      </c>
      <c r="S68" s="25">
        <f>R68-M68</f>
        <v/>
      </c>
    </row>
    <row r="69">
      <c r="A69" s="9" t="inlineStr">
        <is>
          <t>2027BUD_V1</t>
        </is>
      </c>
      <c r="B69" s="1" t="inlineStr">
        <is>
          <t>V02</t>
        </is>
      </c>
      <c r="C69" s="1" t="inlineStr">
        <is>
          <t>12</t>
        </is>
      </c>
      <c r="D69" s="1" t="inlineStr">
        <is>
          <t>ISCOM_PAR</t>
        </is>
      </c>
      <c r="E69" s="1" t="inlineStr">
        <is>
          <t>ISCOM</t>
        </is>
      </c>
      <c r="F69" s="1" t="inlineStr">
        <is>
          <t>BAC_COM</t>
        </is>
      </c>
      <c r="G69" s="1" t="inlineStr">
        <is>
          <t>B3</t>
        </is>
      </c>
      <c r="H69" s="1" t="inlineStr">
        <is>
          <t>ALT</t>
        </is>
      </c>
      <c r="I69" s="1" t="inlineStr">
        <is>
          <t>2027</t>
        </is>
      </c>
      <c r="J69" s="1" t="n">
        <v>0</v>
      </c>
      <c r="K69" s="1" t="n">
        <v>70.05</v>
      </c>
      <c r="L69" s="1" t="n">
        <v>8155.56</v>
      </c>
      <c r="M69" s="1" t="n">
        <v>571296.978</v>
      </c>
      <c r="O69" s="25">
        <f>_CALC_MOTEUR!AE69</f>
        <v/>
      </c>
      <c r="P69" s="25">
        <f>_CALC_MOTEUR!AF69</f>
        <v/>
      </c>
      <c r="Q69" s="27">
        <f>_CALC_MOTEUR!AG69</f>
        <v/>
      </c>
      <c r="R69" s="25">
        <f>_CALC_MOTEUR!AH69</f>
        <v/>
      </c>
      <c r="S69" s="25">
        <f>R69-M69</f>
        <v/>
      </c>
    </row>
    <row r="70">
      <c r="A70" s="9" t="inlineStr">
        <is>
          <t>2027BUD_V1</t>
        </is>
      </c>
      <c r="B70" s="1" t="inlineStr">
        <is>
          <t>V03</t>
        </is>
      </c>
      <c r="C70" s="1" t="inlineStr">
        <is>
          <t>12</t>
        </is>
      </c>
      <c r="D70" s="1" t="inlineStr">
        <is>
          <t>ISCOM_PAR</t>
        </is>
      </c>
      <c r="E70" s="1" t="inlineStr">
        <is>
          <t>ISCOM</t>
        </is>
      </c>
      <c r="F70" s="1" t="inlineStr">
        <is>
          <t>BAC_COM</t>
        </is>
      </c>
      <c r="G70" s="1" t="inlineStr">
        <is>
          <t>B3</t>
        </is>
      </c>
      <c r="H70" s="1" t="inlineStr">
        <is>
          <t>ALT</t>
        </is>
      </c>
      <c r="I70" s="1" t="inlineStr">
        <is>
          <t>2027</t>
        </is>
      </c>
      <c r="J70" s="1" t="n">
        <v>0</v>
      </c>
      <c r="K70" s="1" t="n">
        <v>68.3</v>
      </c>
      <c r="L70" s="1" t="n">
        <v>8020.32</v>
      </c>
      <c r="M70" s="1" t="n">
        <v>547787.856</v>
      </c>
      <c r="O70" s="25">
        <f>_CALC_MOTEUR!AE70</f>
        <v/>
      </c>
      <c r="P70" s="25">
        <f>_CALC_MOTEUR!AF70</f>
        <v/>
      </c>
      <c r="Q70" s="27">
        <f>_CALC_MOTEUR!AG70</f>
        <v/>
      </c>
      <c r="R70" s="25">
        <f>_CALC_MOTEUR!AH70</f>
        <v/>
      </c>
      <c r="S70" s="25">
        <f>R70-M70</f>
        <v/>
      </c>
    </row>
    <row r="71">
      <c r="A71" s="9" t="inlineStr">
        <is>
          <t>2027BUD_V1</t>
        </is>
      </c>
      <c r="B71" s="1" t="inlineStr">
        <is>
          <t>V01</t>
        </is>
      </c>
      <c r="C71" s="1" t="inlineStr">
        <is>
          <t>12</t>
        </is>
      </c>
      <c r="D71" s="1" t="inlineStr">
        <is>
          <t>ISCOM_PAR</t>
        </is>
      </c>
      <c r="E71" s="1" t="inlineStr">
        <is>
          <t>ISCOM</t>
        </is>
      </c>
      <c r="F71" s="1" t="inlineStr">
        <is>
          <t>MAS_COM</t>
        </is>
      </c>
      <c r="G71" s="1" t="inlineStr">
        <is>
          <t>M1</t>
        </is>
      </c>
      <c r="H71" s="1" t="inlineStr">
        <is>
          <t>ALT</t>
        </is>
      </c>
      <c r="I71" s="1" t="inlineStr">
        <is>
          <t>2027</t>
        </is>
      </c>
      <c r="J71" s="1" t="n">
        <v>79.95892816600001</v>
      </c>
      <c r="K71" s="1" t="n">
        <v>79.95892816600001</v>
      </c>
      <c r="L71" s="1" t="n">
        <v>8593.200000000001</v>
      </c>
      <c r="M71" s="1" t="n">
        <v>694299.365048398</v>
      </c>
      <c r="O71" s="25">
        <f>_CALC_MOTEUR!AE71</f>
        <v/>
      </c>
      <c r="P71" s="25">
        <f>_CALC_MOTEUR!AF71</f>
        <v/>
      </c>
      <c r="Q71" s="27">
        <f>_CALC_MOTEUR!AG71</f>
        <v/>
      </c>
      <c r="R71" s="25">
        <f>_CALC_MOTEUR!AH71</f>
        <v/>
      </c>
      <c r="S71" s="25">
        <f>R71-M71</f>
        <v/>
      </c>
    </row>
    <row r="72">
      <c r="A72" s="9" t="inlineStr">
        <is>
          <t>2027BUD_V1</t>
        </is>
      </c>
      <c r="B72" s="1" t="inlineStr">
        <is>
          <t>V02</t>
        </is>
      </c>
      <c r="C72" s="1" t="inlineStr">
        <is>
          <t>12</t>
        </is>
      </c>
      <c r="D72" s="1" t="inlineStr">
        <is>
          <t>ISCOM_PAR</t>
        </is>
      </c>
      <c r="E72" s="1" t="inlineStr">
        <is>
          <t>ISCOM</t>
        </is>
      </c>
      <c r="F72" s="1" t="inlineStr">
        <is>
          <t>MAS_COM</t>
        </is>
      </c>
      <c r="G72" s="1" t="inlineStr">
        <is>
          <t>M1</t>
        </is>
      </c>
      <c r="H72" s="1" t="inlineStr">
        <is>
          <t>ALT</t>
        </is>
      </c>
      <c r="I72" s="1" t="inlineStr">
        <is>
          <t>2027</t>
        </is>
      </c>
      <c r="J72" s="1" t="n">
        <v>93.16693765799999</v>
      </c>
      <c r="K72" s="1" t="n">
        <v>93.16693765799999</v>
      </c>
      <c r="L72" s="1" t="n">
        <v>8738.1</v>
      </c>
      <c r="M72" s="1" t="n">
        <v>822487.042341584</v>
      </c>
      <c r="O72" s="25">
        <f>_CALC_MOTEUR!AE72</f>
        <v/>
      </c>
      <c r="P72" s="25">
        <f>_CALC_MOTEUR!AF72</f>
        <v/>
      </c>
      <c r="Q72" s="27">
        <f>_CALC_MOTEUR!AG72</f>
        <v/>
      </c>
      <c r="R72" s="25">
        <f>_CALC_MOTEUR!AH72</f>
        <v/>
      </c>
      <c r="S72" s="25">
        <f>R72-M72</f>
        <v/>
      </c>
    </row>
    <row r="73">
      <c r="A73" s="9" t="inlineStr">
        <is>
          <t>2027BUD_V1</t>
        </is>
      </c>
      <c r="B73" s="1" t="inlineStr">
        <is>
          <t>V03</t>
        </is>
      </c>
      <c r="C73" s="1" t="inlineStr">
        <is>
          <t>12</t>
        </is>
      </c>
      <c r="D73" s="1" t="inlineStr">
        <is>
          <t>ISCOM_PAR</t>
        </is>
      </c>
      <c r="E73" s="1" t="inlineStr">
        <is>
          <t>ISCOM</t>
        </is>
      </c>
      <c r="F73" s="1" t="inlineStr">
        <is>
          <t>MAS_COM</t>
        </is>
      </c>
      <c r="G73" s="1" t="inlineStr">
        <is>
          <t>M1</t>
        </is>
      </c>
      <c r="H73" s="1" t="inlineStr">
        <is>
          <t>ALT</t>
        </is>
      </c>
      <c r="I73" s="1" t="inlineStr">
        <is>
          <t>2027</t>
        </is>
      </c>
      <c r="J73" s="1" t="n">
        <v>70.55756809899999</v>
      </c>
      <c r="K73" s="1" t="n">
        <v>70.55756809899999</v>
      </c>
      <c r="L73" s="1" t="n">
        <v>8593.200000000001</v>
      </c>
      <c r="M73" s="1" t="n">
        <v>612665.475321499</v>
      </c>
      <c r="O73" s="25">
        <f>_CALC_MOTEUR!AE73</f>
        <v/>
      </c>
      <c r="P73" s="25">
        <f>_CALC_MOTEUR!AF73</f>
        <v/>
      </c>
      <c r="Q73" s="27">
        <f>_CALC_MOTEUR!AG73</f>
        <v/>
      </c>
      <c r="R73" s="25">
        <f>_CALC_MOTEUR!AH73</f>
        <v/>
      </c>
      <c r="S73" s="25">
        <f>R73-M73</f>
        <v/>
      </c>
    </row>
    <row r="74">
      <c r="A74" s="9" t="inlineStr">
        <is>
          <t>2027BUD_V1</t>
        </is>
      </c>
      <c r="B74" s="1" t="inlineStr">
        <is>
          <t>V01</t>
        </is>
      </c>
      <c r="C74" s="1" t="inlineStr">
        <is>
          <t>12</t>
        </is>
      </c>
      <c r="D74" s="1" t="inlineStr">
        <is>
          <t>ISCOM_PAR</t>
        </is>
      </c>
      <c r="E74" s="1" t="inlineStr">
        <is>
          <t>ISCOM</t>
        </is>
      </c>
      <c r="F74" s="1" t="inlineStr">
        <is>
          <t>MAS_COM</t>
        </is>
      </c>
      <c r="G74" s="1" t="inlineStr">
        <is>
          <t>M2</t>
        </is>
      </c>
      <c r="H74" s="1" t="inlineStr">
        <is>
          <t>ALT</t>
        </is>
      </c>
      <c r="I74" s="1" t="inlineStr">
        <is>
          <t>2027</t>
        </is>
      </c>
      <c r="J74" s="1" t="n">
        <v>0</v>
      </c>
      <c r="K74" s="1" t="n">
        <v>71.36</v>
      </c>
      <c r="L74" s="1" t="n">
        <v>8593.200000000001</v>
      </c>
      <c r="M74" s="1" t="n">
        <v>613210.752</v>
      </c>
      <c r="O74" s="25">
        <f>_CALC_MOTEUR!AE74</f>
        <v/>
      </c>
      <c r="P74" s="25">
        <f>_CALC_MOTEUR!AF74</f>
        <v/>
      </c>
      <c r="Q74" s="27">
        <f>_CALC_MOTEUR!AG74</f>
        <v/>
      </c>
      <c r="R74" s="25">
        <f>_CALC_MOTEUR!AH74</f>
        <v/>
      </c>
      <c r="S74" s="25">
        <f>R74-M74</f>
        <v/>
      </c>
    </row>
    <row r="75">
      <c r="A75" s="9" t="inlineStr">
        <is>
          <t>2027BUD_V1</t>
        </is>
      </c>
      <c r="B75" s="1" t="inlineStr">
        <is>
          <t>V02</t>
        </is>
      </c>
      <c r="C75" s="1" t="inlineStr">
        <is>
          <t>12</t>
        </is>
      </c>
      <c r="D75" s="1" t="inlineStr">
        <is>
          <t>ISCOM_PAR</t>
        </is>
      </c>
      <c r="E75" s="1" t="inlineStr">
        <is>
          <t>ISCOM</t>
        </is>
      </c>
      <c r="F75" s="1" t="inlineStr">
        <is>
          <t>MAS_COM</t>
        </is>
      </c>
      <c r="G75" s="1" t="inlineStr">
        <is>
          <t>M2</t>
        </is>
      </c>
      <c r="H75" s="1" t="inlineStr">
        <is>
          <t>ALT</t>
        </is>
      </c>
      <c r="I75" s="1" t="inlineStr">
        <is>
          <t>2027</t>
        </is>
      </c>
      <c r="J75" s="1" t="n">
        <v>0</v>
      </c>
      <c r="K75" s="1" t="n">
        <v>72.08</v>
      </c>
      <c r="L75" s="1" t="n">
        <v>8738.1</v>
      </c>
      <c r="M75" s="1" t="n">
        <v>629842.248</v>
      </c>
      <c r="O75" s="25">
        <f>_CALC_MOTEUR!AE75</f>
        <v/>
      </c>
      <c r="P75" s="25">
        <f>_CALC_MOTEUR!AF75</f>
        <v/>
      </c>
      <c r="Q75" s="27">
        <f>_CALC_MOTEUR!AG75</f>
        <v/>
      </c>
      <c r="R75" s="25">
        <f>_CALC_MOTEUR!AH75</f>
        <v/>
      </c>
      <c r="S75" s="25">
        <f>R75-M75</f>
        <v/>
      </c>
    </row>
    <row r="76">
      <c r="A76" s="9" t="inlineStr">
        <is>
          <t>2027BUD_V1</t>
        </is>
      </c>
      <c r="B76" s="1" t="inlineStr">
        <is>
          <t>V03</t>
        </is>
      </c>
      <c r="C76" s="1" t="inlineStr">
        <is>
          <t>12</t>
        </is>
      </c>
      <c r="D76" s="1" t="inlineStr">
        <is>
          <t>ISCOM_PAR</t>
        </is>
      </c>
      <c r="E76" s="1" t="inlineStr">
        <is>
          <t>ISCOM</t>
        </is>
      </c>
      <c r="F76" s="1" t="inlineStr">
        <is>
          <t>MAS_COM</t>
        </is>
      </c>
      <c r="G76" s="1" t="inlineStr">
        <is>
          <t>M2</t>
        </is>
      </c>
      <c r="H76" s="1" t="inlineStr">
        <is>
          <t>ALT</t>
        </is>
      </c>
      <c r="I76" s="1" t="inlineStr">
        <is>
          <t>2027</t>
        </is>
      </c>
      <c r="J76" s="1" t="n">
        <v>0</v>
      </c>
      <c r="K76" s="1" t="n">
        <v>70.28</v>
      </c>
      <c r="L76" s="1" t="n">
        <v>8593.200000000001</v>
      </c>
      <c r="M76" s="1" t="n">
        <v>603930.096</v>
      </c>
      <c r="O76" s="25">
        <f>_CALC_MOTEUR!AE76</f>
        <v/>
      </c>
      <c r="P76" s="25">
        <f>_CALC_MOTEUR!AF76</f>
        <v/>
      </c>
      <c r="Q76" s="27">
        <f>_CALC_MOTEUR!AG76</f>
        <v/>
      </c>
      <c r="R76" s="25">
        <f>_CALC_MOTEUR!AH76</f>
        <v/>
      </c>
      <c r="S76" s="25">
        <f>R76-M76</f>
        <v/>
      </c>
    </row>
    <row r="77">
      <c r="A77" s="9" t="inlineStr">
        <is>
          <t>2027BUD_V1</t>
        </is>
      </c>
      <c r="B77" s="1" t="inlineStr">
        <is>
          <t>V01</t>
        </is>
      </c>
      <c r="C77" s="1" t="inlineStr">
        <is>
          <t>12</t>
        </is>
      </c>
      <c r="D77" s="1" t="inlineStr">
        <is>
          <t>ISCOM_LIL</t>
        </is>
      </c>
      <c r="E77" s="1" t="inlineStr">
        <is>
          <t>ISCOM</t>
        </is>
      </c>
      <c r="F77" s="1" t="inlineStr">
        <is>
          <t>BAC_COM</t>
        </is>
      </c>
      <c r="G77" s="1" t="inlineStr">
        <is>
          <t>B1</t>
        </is>
      </c>
      <c r="H77" s="1" t="inlineStr">
        <is>
          <t>INIT</t>
        </is>
      </c>
      <c r="I77" s="1" t="inlineStr">
        <is>
          <t>2027</t>
        </is>
      </c>
      <c r="J77" s="1" t="n">
        <v>54.601401128</v>
      </c>
      <c r="K77" s="1" t="n">
        <v>54.601401128</v>
      </c>
      <c r="L77" s="1" t="n">
        <v>7519.05</v>
      </c>
      <c r="M77" s="1" t="n">
        <v>415464.791249224</v>
      </c>
      <c r="O77" s="25">
        <f>_CALC_MOTEUR!AE77</f>
        <v/>
      </c>
      <c r="P77" s="25">
        <f>_CALC_MOTEUR!AF77</f>
        <v/>
      </c>
      <c r="Q77" s="27">
        <f>_CALC_MOTEUR!AG77</f>
        <v/>
      </c>
      <c r="R77" s="25">
        <f>_CALC_MOTEUR!AH77</f>
        <v/>
      </c>
      <c r="S77" s="25">
        <f>R77-M77</f>
        <v/>
      </c>
    </row>
    <row r="78">
      <c r="A78" s="9" t="inlineStr">
        <is>
          <t>2027BUD_V1</t>
        </is>
      </c>
      <c r="B78" s="1" t="inlineStr">
        <is>
          <t>V02</t>
        </is>
      </c>
      <c r="C78" s="1" t="inlineStr">
        <is>
          <t>12</t>
        </is>
      </c>
      <c r="D78" s="1" t="inlineStr">
        <is>
          <t>ISCOM_LIL</t>
        </is>
      </c>
      <c r="E78" s="1" t="inlineStr">
        <is>
          <t>ISCOM</t>
        </is>
      </c>
      <c r="F78" s="1" t="inlineStr">
        <is>
          <t>BAC_COM</t>
        </is>
      </c>
      <c r="G78" s="1" t="inlineStr">
        <is>
          <t>B1</t>
        </is>
      </c>
      <c r="H78" s="1" t="inlineStr">
        <is>
          <t>INIT</t>
        </is>
      </c>
      <c r="I78" s="1" t="inlineStr">
        <is>
          <t>2027</t>
        </is>
      </c>
      <c r="J78" s="1" t="n">
        <v>61.704128778</v>
      </c>
      <c r="K78" s="1" t="n">
        <v>61.704128778</v>
      </c>
      <c r="L78" s="1" t="n">
        <v>7645.8375</v>
      </c>
      <c r="M78" s="1" t="n">
        <v>477333.113308873</v>
      </c>
      <c r="O78" s="25">
        <f>_CALC_MOTEUR!AE78</f>
        <v/>
      </c>
      <c r="P78" s="25">
        <f>_CALC_MOTEUR!AF78</f>
        <v/>
      </c>
      <c r="Q78" s="27">
        <f>_CALC_MOTEUR!AG78</f>
        <v/>
      </c>
      <c r="R78" s="25">
        <f>_CALC_MOTEUR!AH78</f>
        <v/>
      </c>
      <c r="S78" s="25">
        <f>R78-M78</f>
        <v/>
      </c>
    </row>
    <row r="79">
      <c r="A79" s="9" t="inlineStr">
        <is>
          <t>2027BUD_V1</t>
        </is>
      </c>
      <c r="B79" s="1" t="inlineStr">
        <is>
          <t>V03</t>
        </is>
      </c>
      <c r="C79" s="1" t="inlineStr">
        <is>
          <t>12</t>
        </is>
      </c>
      <c r="D79" s="1" t="inlineStr">
        <is>
          <t>ISCOM_LIL</t>
        </is>
      </c>
      <c r="E79" s="1" t="inlineStr">
        <is>
          <t>ISCOM</t>
        </is>
      </c>
      <c r="F79" s="1" t="inlineStr">
        <is>
          <t>BAC_COM</t>
        </is>
      </c>
      <c r="G79" s="1" t="inlineStr">
        <is>
          <t>B1</t>
        </is>
      </c>
      <c r="H79" s="1" t="inlineStr">
        <is>
          <t>INIT</t>
        </is>
      </c>
      <c r="I79" s="1" t="inlineStr">
        <is>
          <t>2027</t>
        </is>
      </c>
      <c r="J79" s="1" t="n">
        <v>48.904413531</v>
      </c>
      <c r="K79" s="1" t="n">
        <v>48.904413531</v>
      </c>
      <c r="L79" s="1" t="n">
        <v>7519.05</v>
      </c>
      <c r="M79" s="1" t="n">
        <v>372116.127775213</v>
      </c>
      <c r="O79" s="25">
        <f>_CALC_MOTEUR!AE79</f>
        <v/>
      </c>
      <c r="P79" s="25">
        <f>_CALC_MOTEUR!AF79</f>
        <v/>
      </c>
      <c r="Q79" s="27">
        <f>_CALC_MOTEUR!AG79</f>
        <v/>
      </c>
      <c r="R79" s="25">
        <f>_CALC_MOTEUR!AH79</f>
        <v/>
      </c>
      <c r="S79" s="25">
        <f>R79-M79</f>
        <v/>
      </c>
    </row>
    <row r="80">
      <c r="A80" s="9" t="inlineStr">
        <is>
          <t>2027BUD_V1</t>
        </is>
      </c>
      <c r="B80" s="1" t="inlineStr">
        <is>
          <t>V01</t>
        </is>
      </c>
      <c r="C80" s="1" t="inlineStr">
        <is>
          <t>12</t>
        </is>
      </c>
      <c r="D80" s="1" t="inlineStr">
        <is>
          <t>ISCOM_LIL</t>
        </is>
      </c>
      <c r="E80" s="1" t="inlineStr">
        <is>
          <t>ISCOM</t>
        </is>
      </c>
      <c r="F80" s="1" t="inlineStr">
        <is>
          <t>BAC_COM</t>
        </is>
      </c>
      <c r="G80" s="1" t="inlineStr">
        <is>
          <t>B2</t>
        </is>
      </c>
      <c r="H80" s="1" t="inlineStr">
        <is>
          <t>ALT</t>
        </is>
      </c>
      <c r="I80" s="1" t="inlineStr">
        <is>
          <t>2027</t>
        </is>
      </c>
      <c r="J80" s="1" t="n">
        <v>0</v>
      </c>
      <c r="K80" s="1" t="n">
        <v>48.25</v>
      </c>
      <c r="L80" s="1" t="n">
        <v>7017.78</v>
      </c>
      <c r="M80" s="1" t="n">
        <v>338607.885</v>
      </c>
      <c r="O80" s="25">
        <f>_CALC_MOTEUR!AE80</f>
        <v/>
      </c>
      <c r="P80" s="25">
        <f>_CALC_MOTEUR!AF80</f>
        <v/>
      </c>
      <c r="Q80" s="27">
        <f>_CALC_MOTEUR!AG80</f>
        <v/>
      </c>
      <c r="R80" s="25">
        <f>_CALC_MOTEUR!AH80</f>
        <v/>
      </c>
      <c r="S80" s="25">
        <f>R80-M80</f>
        <v/>
      </c>
    </row>
    <row r="81">
      <c r="A81" s="9" t="inlineStr">
        <is>
          <t>2027BUD_V1</t>
        </is>
      </c>
      <c r="B81" s="1" t="inlineStr">
        <is>
          <t>V02</t>
        </is>
      </c>
      <c r="C81" s="1" t="inlineStr">
        <is>
          <t>12</t>
        </is>
      </c>
      <c r="D81" s="1" t="inlineStr">
        <is>
          <t>ISCOM_LIL</t>
        </is>
      </c>
      <c r="E81" s="1" t="inlineStr">
        <is>
          <t>ISCOM</t>
        </is>
      </c>
      <c r="F81" s="1" t="inlineStr">
        <is>
          <t>BAC_COM</t>
        </is>
      </c>
      <c r="G81" s="1" t="inlineStr">
        <is>
          <t>B2</t>
        </is>
      </c>
      <c r="H81" s="1" t="inlineStr">
        <is>
          <t>ALT</t>
        </is>
      </c>
      <c r="I81" s="1" t="inlineStr">
        <is>
          <t>2027</t>
        </is>
      </c>
      <c r="J81" s="1" t="n">
        <v>0</v>
      </c>
      <c r="K81" s="1" t="n">
        <v>48.75</v>
      </c>
      <c r="L81" s="1" t="n">
        <v>7136.115</v>
      </c>
      <c r="M81" s="1" t="n">
        <v>347885.60625</v>
      </c>
      <c r="O81" s="25">
        <f>_CALC_MOTEUR!AE81</f>
        <v/>
      </c>
      <c r="P81" s="25">
        <f>_CALC_MOTEUR!AF81</f>
        <v/>
      </c>
      <c r="Q81" s="27">
        <f>_CALC_MOTEUR!AG81</f>
        <v/>
      </c>
      <c r="R81" s="25">
        <f>_CALC_MOTEUR!AH81</f>
        <v/>
      </c>
      <c r="S81" s="25">
        <f>R81-M81</f>
        <v/>
      </c>
    </row>
    <row r="82">
      <c r="A82" s="9" t="inlineStr">
        <is>
          <t>2027BUD_V1</t>
        </is>
      </c>
      <c r="B82" s="1" t="inlineStr">
        <is>
          <t>V03</t>
        </is>
      </c>
      <c r="C82" s="1" t="inlineStr">
        <is>
          <t>12</t>
        </is>
      </c>
      <c r="D82" s="1" t="inlineStr">
        <is>
          <t>ISCOM_LIL</t>
        </is>
      </c>
      <c r="E82" s="1" t="inlineStr">
        <is>
          <t>ISCOM</t>
        </is>
      </c>
      <c r="F82" s="1" t="inlineStr">
        <is>
          <t>BAC_COM</t>
        </is>
      </c>
      <c r="G82" s="1" t="inlineStr">
        <is>
          <t>B2</t>
        </is>
      </c>
      <c r="H82" s="1" t="inlineStr">
        <is>
          <t>ALT</t>
        </is>
      </c>
      <c r="I82" s="1" t="inlineStr">
        <is>
          <t>2027</t>
        </is>
      </c>
      <c r="J82" s="1" t="n">
        <v>0</v>
      </c>
      <c r="K82" s="1" t="n">
        <v>47.5</v>
      </c>
      <c r="L82" s="1" t="n">
        <v>7017.78</v>
      </c>
      <c r="M82" s="1" t="n">
        <v>333344.55</v>
      </c>
      <c r="O82" s="25">
        <f>_CALC_MOTEUR!AE82</f>
        <v/>
      </c>
      <c r="P82" s="25">
        <f>_CALC_MOTEUR!AF82</f>
        <v/>
      </c>
      <c r="Q82" s="27">
        <f>_CALC_MOTEUR!AG82</f>
        <v/>
      </c>
      <c r="R82" s="25">
        <f>_CALC_MOTEUR!AH82</f>
        <v/>
      </c>
      <c r="S82" s="25">
        <f>R82-M82</f>
        <v/>
      </c>
    </row>
    <row r="83">
      <c r="A83" s="9" t="inlineStr">
        <is>
          <t>2027BUD_V1</t>
        </is>
      </c>
      <c r="B83" s="1" t="inlineStr">
        <is>
          <t>V01</t>
        </is>
      </c>
      <c r="C83" s="1" t="inlineStr">
        <is>
          <t>12</t>
        </is>
      </c>
      <c r="D83" s="1" t="inlineStr">
        <is>
          <t>ISCOM_LIL</t>
        </is>
      </c>
      <c r="E83" s="1" t="inlineStr">
        <is>
          <t>ISCOM</t>
        </is>
      </c>
      <c r="F83" s="1" t="inlineStr">
        <is>
          <t>BAC_COM</t>
        </is>
      </c>
      <c r="G83" s="1" t="inlineStr">
        <is>
          <t>B3</t>
        </is>
      </c>
      <c r="H83" s="1" t="inlineStr">
        <is>
          <t>ALT</t>
        </is>
      </c>
      <c r="I83" s="1" t="inlineStr">
        <is>
          <t>2027</t>
        </is>
      </c>
      <c r="J83" s="1" t="n">
        <v>0</v>
      </c>
      <c r="K83" s="1" t="n">
        <v>47.24</v>
      </c>
      <c r="L83" s="1" t="n">
        <v>7017.78</v>
      </c>
      <c r="M83" s="1" t="n">
        <v>331519.9272</v>
      </c>
      <c r="O83" s="25">
        <f>_CALC_MOTEUR!AE83</f>
        <v/>
      </c>
      <c r="P83" s="25">
        <f>_CALC_MOTEUR!AF83</f>
        <v/>
      </c>
      <c r="Q83" s="27">
        <f>_CALC_MOTEUR!AG83</f>
        <v/>
      </c>
      <c r="R83" s="25">
        <f>_CALC_MOTEUR!AH83</f>
        <v/>
      </c>
      <c r="S83" s="25">
        <f>R83-M83</f>
        <v/>
      </c>
    </row>
    <row r="84">
      <c r="A84" s="9" t="inlineStr">
        <is>
          <t>2027BUD_V1</t>
        </is>
      </c>
      <c r="B84" s="1" t="inlineStr">
        <is>
          <t>V02</t>
        </is>
      </c>
      <c r="C84" s="1" t="inlineStr">
        <is>
          <t>12</t>
        </is>
      </c>
      <c r="D84" s="1" t="inlineStr">
        <is>
          <t>ISCOM_LIL</t>
        </is>
      </c>
      <c r="E84" s="1" t="inlineStr">
        <is>
          <t>ISCOM</t>
        </is>
      </c>
      <c r="F84" s="1" t="inlineStr">
        <is>
          <t>BAC_COM</t>
        </is>
      </c>
      <c r="G84" s="1" t="inlineStr">
        <is>
          <t>B3</t>
        </is>
      </c>
      <c r="H84" s="1" t="inlineStr">
        <is>
          <t>ALT</t>
        </is>
      </c>
      <c r="I84" s="1" t="inlineStr">
        <is>
          <t>2027</t>
        </is>
      </c>
      <c r="J84" s="1" t="n">
        <v>0</v>
      </c>
      <c r="K84" s="1" t="n">
        <v>47.72</v>
      </c>
      <c r="L84" s="1" t="n">
        <v>7136.115</v>
      </c>
      <c r="M84" s="1" t="n">
        <v>340535.4078</v>
      </c>
      <c r="O84" s="25">
        <f>_CALC_MOTEUR!AE84</f>
        <v/>
      </c>
      <c r="P84" s="25">
        <f>_CALC_MOTEUR!AF84</f>
        <v/>
      </c>
      <c r="Q84" s="27">
        <f>_CALC_MOTEUR!AG84</f>
        <v/>
      </c>
      <c r="R84" s="25">
        <f>_CALC_MOTEUR!AH84</f>
        <v/>
      </c>
      <c r="S84" s="25">
        <f>R84-M84</f>
        <v/>
      </c>
    </row>
    <row r="85">
      <c r="A85" s="9" t="inlineStr">
        <is>
          <t>2027BUD_V1</t>
        </is>
      </c>
      <c r="B85" s="1" t="inlineStr">
        <is>
          <t>V03</t>
        </is>
      </c>
      <c r="C85" s="1" t="inlineStr">
        <is>
          <t>12</t>
        </is>
      </c>
      <c r="D85" s="1" t="inlineStr">
        <is>
          <t>ISCOM_LIL</t>
        </is>
      </c>
      <c r="E85" s="1" t="inlineStr">
        <is>
          <t>ISCOM</t>
        </is>
      </c>
      <c r="F85" s="1" t="inlineStr">
        <is>
          <t>BAC_COM</t>
        </is>
      </c>
      <c r="G85" s="1" t="inlineStr">
        <is>
          <t>B3</t>
        </is>
      </c>
      <c r="H85" s="1" t="inlineStr">
        <is>
          <t>ALT</t>
        </is>
      </c>
      <c r="I85" s="1" t="inlineStr">
        <is>
          <t>2027</t>
        </is>
      </c>
      <c r="J85" s="1" t="n">
        <v>0</v>
      </c>
      <c r="K85" s="1" t="n">
        <v>46.52</v>
      </c>
      <c r="L85" s="1" t="n">
        <v>7017.78</v>
      </c>
      <c r="M85" s="1" t="n">
        <v>326467.1256</v>
      </c>
      <c r="O85" s="25">
        <f>_CALC_MOTEUR!AE85</f>
        <v/>
      </c>
      <c r="P85" s="25">
        <f>_CALC_MOTEUR!AF85</f>
        <v/>
      </c>
      <c r="Q85" s="27">
        <f>_CALC_MOTEUR!AG85</f>
        <v/>
      </c>
      <c r="R85" s="25">
        <f>_CALC_MOTEUR!AH85</f>
        <v/>
      </c>
      <c r="S85" s="25">
        <f>R85-M85</f>
        <v/>
      </c>
    </row>
    <row r="86">
      <c r="A86" s="9" t="inlineStr">
        <is>
          <t>2027BUD_V1</t>
        </is>
      </c>
      <c r="B86" s="1" t="inlineStr">
        <is>
          <t>V01</t>
        </is>
      </c>
      <c r="C86" s="1" t="inlineStr">
        <is>
          <t>12</t>
        </is>
      </c>
      <c r="D86" s="1" t="inlineStr">
        <is>
          <t>ISCOM_LIL</t>
        </is>
      </c>
      <c r="E86" s="1" t="inlineStr">
        <is>
          <t>ISCOM</t>
        </is>
      </c>
      <c r="F86" s="1" t="inlineStr">
        <is>
          <t>MAS_COM</t>
        </is>
      </c>
      <c r="G86" s="1" t="inlineStr">
        <is>
          <t>M1</t>
        </is>
      </c>
      <c r="H86" s="1" t="inlineStr">
        <is>
          <t>ALT</t>
        </is>
      </c>
      <c r="I86" s="1" t="inlineStr">
        <is>
          <t>2027</t>
        </is>
      </c>
      <c r="J86" s="1" t="n">
        <v>55.745231316</v>
      </c>
      <c r="K86" s="1" t="n">
        <v>55.745231316</v>
      </c>
      <c r="L86" s="1" t="n">
        <v>7519.05</v>
      </c>
      <c r="M86" s="1" t="n">
        <v>424168.252344598</v>
      </c>
      <c r="O86" s="25">
        <f>_CALC_MOTEUR!AE86</f>
        <v/>
      </c>
      <c r="P86" s="25">
        <f>_CALC_MOTEUR!AF86</f>
        <v/>
      </c>
      <c r="Q86" s="27">
        <f>_CALC_MOTEUR!AG86</f>
        <v/>
      </c>
      <c r="R86" s="25">
        <f>_CALC_MOTEUR!AH86</f>
        <v/>
      </c>
      <c r="S86" s="25">
        <f>R86-M86</f>
        <v/>
      </c>
    </row>
    <row r="87">
      <c r="A87" s="9" t="inlineStr">
        <is>
          <t>2027BUD_V1</t>
        </is>
      </c>
      <c r="B87" s="1" t="inlineStr">
        <is>
          <t>V02</t>
        </is>
      </c>
      <c r="C87" s="1" t="inlineStr">
        <is>
          <t>12</t>
        </is>
      </c>
      <c r="D87" s="1" t="inlineStr">
        <is>
          <t>ISCOM_LIL</t>
        </is>
      </c>
      <c r="E87" s="1" t="inlineStr">
        <is>
          <t>ISCOM</t>
        </is>
      </c>
      <c r="F87" s="1" t="inlineStr">
        <is>
          <t>MAS_COM</t>
        </is>
      </c>
      <c r="G87" s="1" t="inlineStr">
        <is>
          <t>M1</t>
        </is>
      </c>
      <c r="H87" s="1" t="inlineStr">
        <is>
          <t>ALT</t>
        </is>
      </c>
      <c r="I87" s="1" t="inlineStr">
        <is>
          <t>2027</t>
        </is>
      </c>
      <c r="J87" s="1" t="n">
        <v>65.195985296</v>
      </c>
      <c r="K87" s="1" t="n">
        <v>65.195985296</v>
      </c>
      <c r="L87" s="1" t="n">
        <v>7645.8375</v>
      </c>
      <c r="M87" s="1" t="n">
        <v>504345.547903728</v>
      </c>
      <c r="O87" s="25">
        <f>_CALC_MOTEUR!AE87</f>
        <v/>
      </c>
      <c r="P87" s="25">
        <f>_CALC_MOTEUR!AF87</f>
        <v/>
      </c>
      <c r="Q87" s="27">
        <f>_CALC_MOTEUR!AG87</f>
        <v/>
      </c>
      <c r="R87" s="25">
        <f>_CALC_MOTEUR!AH87</f>
        <v/>
      </c>
      <c r="S87" s="25">
        <f>R87-M87</f>
        <v/>
      </c>
    </row>
    <row r="88">
      <c r="A88" s="9" t="inlineStr">
        <is>
          <t>2027BUD_V1</t>
        </is>
      </c>
      <c r="B88" s="1" t="inlineStr">
        <is>
          <t>V03</t>
        </is>
      </c>
      <c r="C88" s="1" t="inlineStr">
        <is>
          <t>12</t>
        </is>
      </c>
      <c r="D88" s="1" t="inlineStr">
        <is>
          <t>ISCOM_LIL</t>
        </is>
      </c>
      <c r="E88" s="1" t="inlineStr">
        <is>
          <t>ISCOM</t>
        </is>
      </c>
      <c r="F88" s="1" t="inlineStr">
        <is>
          <t>MAS_COM</t>
        </is>
      </c>
      <c r="G88" s="1" t="inlineStr">
        <is>
          <t>M1</t>
        </is>
      </c>
      <c r="H88" s="1" t="inlineStr">
        <is>
          <t>ALT</t>
        </is>
      </c>
      <c r="I88" s="1" t="inlineStr">
        <is>
          <t>2027</t>
        </is>
      </c>
      <c r="J88" s="1" t="n">
        <v>48.904413531</v>
      </c>
      <c r="K88" s="1" t="n">
        <v>48.904413531</v>
      </c>
      <c r="L88" s="1" t="n">
        <v>7519.05</v>
      </c>
      <c r="M88" s="1" t="n">
        <v>372116.127775213</v>
      </c>
      <c r="O88" s="25">
        <f>_CALC_MOTEUR!AE88</f>
        <v/>
      </c>
      <c r="P88" s="25">
        <f>_CALC_MOTEUR!AF88</f>
        <v/>
      </c>
      <c r="Q88" s="27">
        <f>_CALC_MOTEUR!AG88</f>
        <v/>
      </c>
      <c r="R88" s="25">
        <f>_CALC_MOTEUR!AH88</f>
        <v/>
      </c>
      <c r="S88" s="25">
        <f>R88-M88</f>
        <v/>
      </c>
    </row>
    <row r="89">
      <c r="A89" s="9" t="inlineStr">
        <is>
          <t>2027BUD_V1</t>
        </is>
      </c>
      <c r="B89" s="1" t="inlineStr">
        <is>
          <t>V01</t>
        </is>
      </c>
      <c r="C89" s="1" t="inlineStr">
        <is>
          <t>12</t>
        </is>
      </c>
      <c r="D89" s="1" t="inlineStr">
        <is>
          <t>ISCOM_LIL</t>
        </is>
      </c>
      <c r="E89" s="1" t="inlineStr">
        <is>
          <t>ISCOM</t>
        </is>
      </c>
      <c r="F89" s="1" t="inlineStr">
        <is>
          <t>MAS_COM</t>
        </is>
      </c>
      <c r="G89" s="1" t="inlineStr">
        <is>
          <t>M2</t>
        </is>
      </c>
      <c r="H89" s="1" t="inlineStr">
        <is>
          <t>ALT</t>
        </is>
      </c>
      <c r="I89" s="1" t="inlineStr">
        <is>
          <t>2027</t>
        </is>
      </c>
      <c r="J89" s="1" t="n">
        <v>0</v>
      </c>
      <c r="K89" s="1" t="n">
        <v>49.25</v>
      </c>
      <c r="L89" s="1" t="n">
        <v>7519.05</v>
      </c>
      <c r="M89" s="1" t="n">
        <v>370313.2125</v>
      </c>
      <c r="O89" s="25">
        <f>_CALC_MOTEUR!AE89</f>
        <v/>
      </c>
      <c r="P89" s="25">
        <f>_CALC_MOTEUR!AF89</f>
        <v/>
      </c>
      <c r="Q89" s="27">
        <f>_CALC_MOTEUR!AG89</f>
        <v/>
      </c>
      <c r="R89" s="25">
        <f>_CALC_MOTEUR!AH89</f>
        <v/>
      </c>
      <c r="S89" s="25">
        <f>R89-M89</f>
        <v/>
      </c>
    </row>
    <row r="90">
      <c r="A90" s="9" t="inlineStr">
        <is>
          <t>2027BUD_V1</t>
        </is>
      </c>
      <c r="B90" s="1" t="inlineStr">
        <is>
          <t>V02</t>
        </is>
      </c>
      <c r="C90" s="1" t="inlineStr">
        <is>
          <t>12</t>
        </is>
      </c>
      <c r="D90" s="1" t="inlineStr">
        <is>
          <t>ISCOM_LIL</t>
        </is>
      </c>
      <c r="E90" s="1" t="inlineStr">
        <is>
          <t>ISCOM</t>
        </is>
      </c>
      <c r="F90" s="1" t="inlineStr">
        <is>
          <t>MAS_COM</t>
        </is>
      </c>
      <c r="G90" s="1" t="inlineStr">
        <is>
          <t>M2</t>
        </is>
      </c>
      <c r="H90" s="1" t="inlineStr">
        <is>
          <t>ALT</t>
        </is>
      </c>
      <c r="I90" s="1" t="inlineStr">
        <is>
          <t>2027</t>
        </is>
      </c>
      <c r="J90" s="1" t="n">
        <v>0</v>
      </c>
      <c r="K90" s="1" t="n">
        <v>49.75</v>
      </c>
      <c r="L90" s="1" t="n">
        <v>7645.8375</v>
      </c>
      <c r="M90" s="1" t="n">
        <v>380380.415625</v>
      </c>
      <c r="O90" s="25">
        <f>_CALC_MOTEUR!AE90</f>
        <v/>
      </c>
      <c r="P90" s="25">
        <f>_CALC_MOTEUR!AF90</f>
        <v/>
      </c>
      <c r="Q90" s="27">
        <f>_CALC_MOTEUR!AG90</f>
        <v/>
      </c>
      <c r="R90" s="25">
        <f>_CALC_MOTEUR!AH90</f>
        <v/>
      </c>
      <c r="S90" s="25">
        <f>R90-M90</f>
        <v/>
      </c>
    </row>
    <row r="91">
      <c r="A91" s="9" t="inlineStr">
        <is>
          <t>2027BUD_V1</t>
        </is>
      </c>
      <c r="B91" s="1" t="inlineStr">
        <is>
          <t>V03</t>
        </is>
      </c>
      <c r="C91" s="1" t="inlineStr">
        <is>
          <t>12</t>
        </is>
      </c>
      <c r="D91" s="1" t="inlineStr">
        <is>
          <t>ISCOM_LIL</t>
        </is>
      </c>
      <c r="E91" s="1" t="inlineStr">
        <is>
          <t>ISCOM</t>
        </is>
      </c>
      <c r="F91" s="1" t="inlineStr">
        <is>
          <t>MAS_COM</t>
        </is>
      </c>
      <c r="G91" s="1" t="inlineStr">
        <is>
          <t>M2</t>
        </is>
      </c>
      <c r="H91" s="1" t="inlineStr">
        <is>
          <t>ALT</t>
        </is>
      </c>
      <c r="I91" s="1" t="inlineStr">
        <is>
          <t>2027</t>
        </is>
      </c>
      <c r="J91" s="1" t="n">
        <v>0</v>
      </c>
      <c r="K91" s="1" t="n">
        <v>48.5</v>
      </c>
      <c r="L91" s="1" t="n">
        <v>7519.05</v>
      </c>
      <c r="M91" s="1" t="n">
        <v>364673.925</v>
      </c>
      <c r="O91" s="25">
        <f>_CALC_MOTEUR!AE91</f>
        <v/>
      </c>
      <c r="P91" s="25">
        <f>_CALC_MOTEUR!AF91</f>
        <v/>
      </c>
      <c r="Q91" s="27">
        <f>_CALC_MOTEUR!AG91</f>
        <v/>
      </c>
      <c r="R91" s="25">
        <f>_CALC_MOTEUR!AH91</f>
        <v/>
      </c>
      <c r="S91" s="25">
        <f>R91-M91</f>
        <v/>
      </c>
    </row>
    <row r="92">
      <c r="A92" s="9" t="inlineStr">
        <is>
          <t>2027BUD_V1</t>
        </is>
      </c>
      <c r="B92" s="1" t="inlineStr">
        <is>
          <t>V01</t>
        </is>
      </c>
      <c r="C92" s="1" t="inlineStr">
        <is>
          <t>12</t>
        </is>
      </c>
      <c r="D92" s="1" t="inlineStr">
        <is>
          <t>ISCOM_TLS</t>
        </is>
      </c>
      <c r="E92" s="1" t="inlineStr">
        <is>
          <t>ISCOM</t>
        </is>
      </c>
      <c r="F92" s="1" t="inlineStr">
        <is>
          <t>BAC_COM</t>
        </is>
      </c>
      <c r="G92" s="1" t="inlineStr">
        <is>
          <t>B1</t>
        </is>
      </c>
      <c r="H92" s="1" t="inlineStr">
        <is>
          <t>INIT</t>
        </is>
      </c>
      <c r="I92" s="1" t="inlineStr">
        <is>
          <t>2027</t>
        </is>
      </c>
      <c r="J92" s="1" t="n">
        <v>51.351961974</v>
      </c>
      <c r="K92" s="1" t="n">
        <v>51.351961974</v>
      </c>
      <c r="L92" s="1" t="n">
        <v>7365.6</v>
      </c>
      <c r="M92" s="1" t="n">
        <v>382859.687695618</v>
      </c>
      <c r="O92" s="25">
        <f>_CALC_MOTEUR!AE92</f>
        <v/>
      </c>
      <c r="P92" s="25">
        <f>_CALC_MOTEUR!AF92</f>
        <v/>
      </c>
      <c r="Q92" s="27">
        <f>_CALC_MOTEUR!AG92</f>
        <v/>
      </c>
      <c r="R92" s="25">
        <f>_CALC_MOTEUR!AH92</f>
        <v/>
      </c>
      <c r="S92" s="25">
        <f>R92-M92</f>
        <v/>
      </c>
    </row>
    <row r="93">
      <c r="A93" s="9" t="inlineStr">
        <is>
          <t>2027BUD_V1</t>
        </is>
      </c>
      <c r="B93" s="1" t="inlineStr">
        <is>
          <t>V02</t>
        </is>
      </c>
      <c r="C93" s="1" t="inlineStr">
        <is>
          <t>12</t>
        </is>
      </c>
      <c r="D93" s="1" t="inlineStr">
        <is>
          <t>ISCOM_TLS</t>
        </is>
      </c>
      <c r="E93" s="1" t="inlineStr">
        <is>
          <t>ISCOM</t>
        </is>
      </c>
      <c r="F93" s="1" t="inlineStr">
        <is>
          <t>BAC_COM</t>
        </is>
      </c>
      <c r="G93" s="1" t="inlineStr">
        <is>
          <t>B1</t>
        </is>
      </c>
      <c r="H93" s="1" t="inlineStr">
        <is>
          <t>INIT</t>
        </is>
      </c>
      <c r="I93" s="1" t="inlineStr">
        <is>
          <t>2027</t>
        </is>
      </c>
      <c r="J93" s="1" t="n">
        <v>58.060425333</v>
      </c>
      <c r="K93" s="1" t="n">
        <v>58.060425333</v>
      </c>
      <c r="L93" s="1" t="n">
        <v>7489.8</v>
      </c>
      <c r="M93" s="1" t="n">
        <v>440086.411941858</v>
      </c>
      <c r="O93" s="25">
        <f>_CALC_MOTEUR!AE93</f>
        <v/>
      </c>
      <c r="P93" s="25">
        <f>_CALC_MOTEUR!AF93</f>
        <v/>
      </c>
      <c r="Q93" s="27">
        <f>_CALC_MOTEUR!AG93</f>
        <v/>
      </c>
      <c r="R93" s="25">
        <f>_CALC_MOTEUR!AH93</f>
        <v/>
      </c>
      <c r="S93" s="25">
        <f>R93-M93</f>
        <v/>
      </c>
    </row>
    <row r="94">
      <c r="A94" s="9" t="inlineStr">
        <is>
          <t>2027BUD_V1</t>
        </is>
      </c>
      <c r="B94" s="1" t="inlineStr">
        <is>
          <t>V03</t>
        </is>
      </c>
      <c r="C94" s="1" t="inlineStr">
        <is>
          <t>12</t>
        </is>
      </c>
      <c r="D94" s="1" t="inlineStr">
        <is>
          <t>ISCOM_TLS</t>
        </is>
      </c>
      <c r="E94" s="1" t="inlineStr">
        <is>
          <t>ISCOM</t>
        </is>
      </c>
      <c r="F94" s="1" t="inlineStr">
        <is>
          <t>BAC_COM</t>
        </is>
      </c>
      <c r="G94" s="1" t="inlineStr">
        <is>
          <t>B1</t>
        </is>
      </c>
      <c r="H94" s="1" t="inlineStr">
        <is>
          <t>INIT</t>
        </is>
      </c>
      <c r="I94" s="1" t="inlineStr">
        <is>
          <t>2027</t>
        </is>
      </c>
      <c r="J94" s="1" t="n">
        <v>45.958272331</v>
      </c>
      <c r="K94" s="1" t="n">
        <v>45.958272331</v>
      </c>
      <c r="L94" s="1" t="n">
        <v>7365.6</v>
      </c>
      <c r="M94" s="1" t="n">
        <v>342646.495192167</v>
      </c>
      <c r="O94" s="25">
        <f>_CALC_MOTEUR!AE94</f>
        <v/>
      </c>
      <c r="P94" s="25">
        <f>_CALC_MOTEUR!AF94</f>
        <v/>
      </c>
      <c r="Q94" s="27">
        <f>_CALC_MOTEUR!AG94</f>
        <v/>
      </c>
      <c r="R94" s="25">
        <f>_CALC_MOTEUR!AH94</f>
        <v/>
      </c>
      <c r="S94" s="25">
        <f>R94-M94</f>
        <v/>
      </c>
    </row>
    <row r="95">
      <c r="A95" s="9" t="inlineStr">
        <is>
          <t>2027BUD_V1</t>
        </is>
      </c>
      <c r="B95" s="1" t="inlineStr">
        <is>
          <t>V01</t>
        </is>
      </c>
      <c r="C95" s="1" t="inlineStr">
        <is>
          <t>12</t>
        </is>
      </c>
      <c r="D95" s="1" t="inlineStr">
        <is>
          <t>ISCOM_TLS</t>
        </is>
      </c>
      <c r="E95" s="1" t="inlineStr">
        <is>
          <t>ISCOM</t>
        </is>
      </c>
      <c r="F95" s="1" t="inlineStr">
        <is>
          <t>BAC_COM</t>
        </is>
      </c>
      <c r="G95" s="1" t="inlineStr">
        <is>
          <t>B2</t>
        </is>
      </c>
      <c r="H95" s="1" t="inlineStr">
        <is>
          <t>ALT</t>
        </is>
      </c>
      <c r="I95" s="1" t="inlineStr">
        <is>
          <t>2027</t>
        </is>
      </c>
      <c r="J95" s="1" t="n">
        <v>0</v>
      </c>
      <c r="K95" s="1" t="n">
        <v>46.235</v>
      </c>
      <c r="L95" s="1" t="n">
        <v>6874.56</v>
      </c>
      <c r="M95" s="1" t="n">
        <v>317845.2816</v>
      </c>
      <c r="O95" s="25">
        <f>_CALC_MOTEUR!AE95</f>
        <v/>
      </c>
      <c r="P95" s="25">
        <f>_CALC_MOTEUR!AF95</f>
        <v/>
      </c>
      <c r="Q95" s="27">
        <f>_CALC_MOTEUR!AG95</f>
        <v/>
      </c>
      <c r="R95" s="25">
        <f>_CALC_MOTEUR!AH95</f>
        <v/>
      </c>
      <c r="S95" s="25">
        <f>R95-M95</f>
        <v/>
      </c>
    </row>
    <row r="96">
      <c r="A96" s="9" t="inlineStr">
        <is>
          <t>2027BUD_V1</t>
        </is>
      </c>
      <c r="B96" s="1" t="inlineStr">
        <is>
          <t>V02</t>
        </is>
      </c>
      <c r="C96" s="1" t="inlineStr">
        <is>
          <t>12</t>
        </is>
      </c>
      <c r="D96" s="1" t="inlineStr">
        <is>
          <t>ISCOM_TLS</t>
        </is>
      </c>
      <c r="E96" s="1" t="inlineStr">
        <is>
          <t>ISCOM</t>
        </is>
      </c>
      <c r="F96" s="1" t="inlineStr">
        <is>
          <t>BAC_COM</t>
        </is>
      </c>
      <c r="G96" s="1" t="inlineStr">
        <is>
          <t>B2</t>
        </is>
      </c>
      <c r="H96" s="1" t="inlineStr">
        <is>
          <t>ALT</t>
        </is>
      </c>
      <c r="I96" s="1" t="inlineStr">
        <is>
          <t>2027</t>
        </is>
      </c>
      <c r="J96" s="1" t="n">
        <v>0</v>
      </c>
      <c r="K96" s="1" t="n">
        <v>46.705</v>
      </c>
      <c r="L96" s="1" t="n">
        <v>6990.48</v>
      </c>
      <c r="M96" s="1" t="n">
        <v>326490.3684</v>
      </c>
      <c r="O96" s="25">
        <f>_CALC_MOTEUR!AE96</f>
        <v/>
      </c>
      <c r="P96" s="25">
        <f>_CALC_MOTEUR!AF96</f>
        <v/>
      </c>
      <c r="Q96" s="27">
        <f>_CALC_MOTEUR!AG96</f>
        <v/>
      </c>
      <c r="R96" s="25">
        <f>_CALC_MOTEUR!AH96</f>
        <v/>
      </c>
      <c r="S96" s="25">
        <f>R96-M96</f>
        <v/>
      </c>
    </row>
    <row r="97">
      <c r="A97" s="9" t="inlineStr">
        <is>
          <t>2027BUD_V1</t>
        </is>
      </c>
      <c r="B97" s="1" t="inlineStr">
        <is>
          <t>V03</t>
        </is>
      </c>
      <c r="C97" s="1" t="inlineStr">
        <is>
          <t>12</t>
        </is>
      </c>
      <c r="D97" s="1" t="inlineStr">
        <is>
          <t>ISCOM_TLS</t>
        </is>
      </c>
      <c r="E97" s="1" t="inlineStr">
        <is>
          <t>ISCOM</t>
        </is>
      </c>
      <c r="F97" s="1" t="inlineStr">
        <is>
          <t>BAC_COM</t>
        </is>
      </c>
      <c r="G97" s="1" t="inlineStr">
        <is>
          <t>B2</t>
        </is>
      </c>
      <c r="H97" s="1" t="inlineStr">
        <is>
          <t>ALT</t>
        </is>
      </c>
      <c r="I97" s="1" t="inlineStr">
        <is>
          <t>2027</t>
        </is>
      </c>
      <c r="J97" s="1" t="n">
        <v>0</v>
      </c>
      <c r="K97" s="1" t="n">
        <v>45.53</v>
      </c>
      <c r="L97" s="1" t="n">
        <v>6874.56</v>
      </c>
      <c r="M97" s="1" t="n">
        <v>312998.7168</v>
      </c>
      <c r="O97" s="25">
        <f>_CALC_MOTEUR!AE97</f>
        <v/>
      </c>
      <c r="P97" s="25">
        <f>_CALC_MOTEUR!AF97</f>
        <v/>
      </c>
      <c r="Q97" s="27">
        <f>_CALC_MOTEUR!AG97</f>
        <v/>
      </c>
      <c r="R97" s="25">
        <f>_CALC_MOTEUR!AH97</f>
        <v/>
      </c>
      <c r="S97" s="25">
        <f>R97-M97</f>
        <v/>
      </c>
    </row>
    <row r="98">
      <c r="A98" s="9" t="inlineStr">
        <is>
          <t>2027BUD_V1</t>
        </is>
      </c>
      <c r="B98" s="1" t="inlineStr">
        <is>
          <t>V01</t>
        </is>
      </c>
      <c r="C98" s="1" t="inlineStr">
        <is>
          <t>12</t>
        </is>
      </c>
      <c r="D98" s="1" t="inlineStr">
        <is>
          <t>ISCOM_TLS</t>
        </is>
      </c>
      <c r="E98" s="1" t="inlineStr">
        <is>
          <t>ISCOM</t>
        </is>
      </c>
      <c r="F98" s="1" t="inlineStr">
        <is>
          <t>BAC_COM</t>
        </is>
      </c>
      <c r="G98" s="1" t="inlineStr">
        <is>
          <t>B3</t>
        </is>
      </c>
      <c r="H98" s="1" t="inlineStr">
        <is>
          <t>ALT</t>
        </is>
      </c>
      <c r="I98" s="1" t="inlineStr">
        <is>
          <t>2027</t>
        </is>
      </c>
      <c r="J98" s="1" t="n">
        <v>0</v>
      </c>
      <c r="K98" s="1" t="n">
        <v>45.23</v>
      </c>
      <c r="L98" s="1" t="n">
        <v>6874.56</v>
      </c>
      <c r="M98" s="1" t="n">
        <v>310936.3488</v>
      </c>
      <c r="O98" s="25">
        <f>_CALC_MOTEUR!AE98</f>
        <v/>
      </c>
      <c r="P98" s="25">
        <f>_CALC_MOTEUR!AF98</f>
        <v/>
      </c>
      <c r="Q98" s="27">
        <f>_CALC_MOTEUR!AG98</f>
        <v/>
      </c>
      <c r="R98" s="25">
        <f>_CALC_MOTEUR!AH98</f>
        <v/>
      </c>
      <c r="S98" s="25">
        <f>R98-M98</f>
        <v/>
      </c>
    </row>
    <row r="99">
      <c r="A99" s="9" t="inlineStr">
        <is>
          <t>2027BUD_V1</t>
        </is>
      </c>
      <c r="B99" s="1" t="inlineStr">
        <is>
          <t>V02</t>
        </is>
      </c>
      <c r="C99" s="1" t="inlineStr">
        <is>
          <t>12</t>
        </is>
      </c>
      <c r="D99" s="1" t="inlineStr">
        <is>
          <t>ISCOM_TLS</t>
        </is>
      </c>
      <c r="E99" s="1" t="inlineStr">
        <is>
          <t>ISCOM</t>
        </is>
      </c>
      <c r="F99" s="1" t="inlineStr">
        <is>
          <t>BAC_COM</t>
        </is>
      </c>
      <c r="G99" s="1" t="inlineStr">
        <is>
          <t>B3</t>
        </is>
      </c>
      <c r="H99" s="1" t="inlineStr">
        <is>
          <t>ALT</t>
        </is>
      </c>
      <c r="I99" s="1" t="inlineStr">
        <is>
          <t>2027</t>
        </is>
      </c>
      <c r="J99" s="1" t="n">
        <v>0</v>
      </c>
      <c r="K99" s="1" t="n">
        <v>45.69</v>
      </c>
      <c r="L99" s="1" t="n">
        <v>6990.48</v>
      </c>
      <c r="M99" s="1" t="n">
        <v>319395.0312</v>
      </c>
      <c r="O99" s="25">
        <f>_CALC_MOTEUR!AE99</f>
        <v/>
      </c>
      <c r="P99" s="25">
        <f>_CALC_MOTEUR!AF99</f>
        <v/>
      </c>
      <c r="Q99" s="27">
        <f>_CALC_MOTEUR!AG99</f>
        <v/>
      </c>
      <c r="R99" s="25">
        <f>_CALC_MOTEUR!AH99</f>
        <v/>
      </c>
      <c r="S99" s="25">
        <f>R99-M99</f>
        <v/>
      </c>
    </row>
    <row r="100">
      <c r="A100" s="9" t="inlineStr">
        <is>
          <t>2027BUD_V1</t>
        </is>
      </c>
      <c r="B100" s="1" t="inlineStr">
        <is>
          <t>V03</t>
        </is>
      </c>
      <c r="C100" s="1" t="inlineStr">
        <is>
          <t>12</t>
        </is>
      </c>
      <c r="D100" s="1" t="inlineStr">
        <is>
          <t>ISCOM_TLS</t>
        </is>
      </c>
      <c r="E100" s="1" t="inlineStr">
        <is>
          <t>ISCOM</t>
        </is>
      </c>
      <c r="F100" s="1" t="inlineStr">
        <is>
          <t>BAC_COM</t>
        </is>
      </c>
      <c r="G100" s="1" t="inlineStr">
        <is>
          <t>B3</t>
        </is>
      </c>
      <c r="H100" s="1" t="inlineStr">
        <is>
          <t>ALT</t>
        </is>
      </c>
      <c r="I100" s="1" t="inlineStr">
        <is>
          <t>2027</t>
        </is>
      </c>
      <c r="J100" s="1" t="n">
        <v>0</v>
      </c>
      <c r="K100" s="1" t="n">
        <v>44.54</v>
      </c>
      <c r="L100" s="1" t="n">
        <v>6874.56</v>
      </c>
      <c r="M100" s="1" t="n">
        <v>306192.9024</v>
      </c>
      <c r="O100" s="25">
        <f>_CALC_MOTEUR!AE100</f>
        <v/>
      </c>
      <c r="P100" s="25">
        <f>_CALC_MOTEUR!AF100</f>
        <v/>
      </c>
      <c r="Q100" s="27">
        <f>_CALC_MOTEUR!AG100</f>
        <v/>
      </c>
      <c r="R100" s="25">
        <f>_CALC_MOTEUR!AH100</f>
        <v/>
      </c>
      <c r="S100" s="25">
        <f>R100-M100</f>
        <v/>
      </c>
    </row>
    <row r="101">
      <c r="A101" s="9" t="inlineStr">
        <is>
          <t>2027BUD_V1</t>
        </is>
      </c>
      <c r="B101" s="1" t="inlineStr">
        <is>
          <t>V01</t>
        </is>
      </c>
      <c r="C101" s="1" t="inlineStr">
        <is>
          <t>12</t>
        </is>
      </c>
      <c r="D101" s="1" t="inlineStr">
        <is>
          <t>ISCOM_TLS</t>
        </is>
      </c>
      <c r="E101" s="1" t="inlineStr">
        <is>
          <t>ISCOM</t>
        </is>
      </c>
      <c r="F101" s="1" t="inlineStr">
        <is>
          <t>MAS_COM</t>
        </is>
      </c>
      <c r="G101" s="1" t="inlineStr">
        <is>
          <t>M1</t>
        </is>
      </c>
      <c r="H101" s="1" t="inlineStr">
        <is>
          <t>ALT</t>
        </is>
      </c>
      <c r="I101" s="1" t="inlineStr">
        <is>
          <t>2027</t>
        </is>
      </c>
      <c r="J101" s="1" t="n">
        <v>52.429383849</v>
      </c>
      <c r="K101" s="1" t="n">
        <v>52.429383849</v>
      </c>
      <c r="L101" s="1" t="n">
        <v>7365.6</v>
      </c>
      <c r="M101" s="1" t="n">
        <v>390892.514220886</v>
      </c>
      <c r="O101" s="25">
        <f>_CALC_MOTEUR!AE101</f>
        <v/>
      </c>
      <c r="P101" s="25">
        <f>_CALC_MOTEUR!AF101</f>
        <v/>
      </c>
      <c r="Q101" s="27">
        <f>_CALC_MOTEUR!AG101</f>
        <v/>
      </c>
      <c r="R101" s="25">
        <f>_CALC_MOTEUR!AH101</f>
        <v/>
      </c>
      <c r="S101" s="25">
        <f>R101-M101</f>
        <v/>
      </c>
    </row>
    <row r="102">
      <c r="A102" s="9" t="inlineStr">
        <is>
          <t>2027BUD_V1</t>
        </is>
      </c>
      <c r="B102" s="1" t="inlineStr">
        <is>
          <t>V02</t>
        </is>
      </c>
      <c r="C102" s="1" t="inlineStr">
        <is>
          <t>12</t>
        </is>
      </c>
      <c r="D102" s="1" t="inlineStr">
        <is>
          <t>ISCOM_TLS</t>
        </is>
      </c>
      <c r="E102" s="1" t="inlineStr">
        <is>
          <t>ISCOM</t>
        </is>
      </c>
      <c r="F102" s="1" t="inlineStr">
        <is>
          <t>MAS_COM</t>
        </is>
      </c>
      <c r="G102" s="1" t="inlineStr">
        <is>
          <t>M1</t>
        </is>
      </c>
      <c r="H102" s="1" t="inlineStr">
        <is>
          <t>ALT</t>
        </is>
      </c>
      <c r="I102" s="1" t="inlineStr">
        <is>
          <t>2027</t>
        </is>
      </c>
      <c r="J102" s="1" t="n">
        <v>61.350754258</v>
      </c>
      <c r="K102" s="1" t="n">
        <v>61.350754258</v>
      </c>
      <c r="L102" s="1" t="n">
        <v>7489.8</v>
      </c>
      <c r="M102" s="1" t="n">
        <v>465026.447125084</v>
      </c>
      <c r="O102" s="25">
        <f>_CALC_MOTEUR!AE102</f>
        <v/>
      </c>
      <c r="P102" s="25">
        <f>_CALC_MOTEUR!AF102</f>
        <v/>
      </c>
      <c r="Q102" s="27">
        <f>_CALC_MOTEUR!AG102</f>
        <v/>
      </c>
      <c r="R102" s="25">
        <f>_CALC_MOTEUR!AH102</f>
        <v/>
      </c>
      <c r="S102" s="25">
        <f>R102-M102</f>
        <v/>
      </c>
    </row>
    <row r="103">
      <c r="A103" s="9" t="inlineStr">
        <is>
          <t>2027BUD_V1</t>
        </is>
      </c>
      <c r="B103" s="1" t="inlineStr">
        <is>
          <t>V03</t>
        </is>
      </c>
      <c r="C103" s="1" t="inlineStr">
        <is>
          <t>12</t>
        </is>
      </c>
      <c r="D103" s="1" t="inlineStr">
        <is>
          <t>ISCOM_TLS</t>
        </is>
      </c>
      <c r="E103" s="1" t="inlineStr">
        <is>
          <t>ISCOM</t>
        </is>
      </c>
      <c r="F103" s="1" t="inlineStr">
        <is>
          <t>MAS_COM</t>
        </is>
      </c>
      <c r="G103" s="1" t="inlineStr">
        <is>
          <t>M1</t>
        </is>
      </c>
      <c r="H103" s="1" t="inlineStr">
        <is>
          <t>ALT</t>
        </is>
      </c>
      <c r="I103" s="1" t="inlineStr">
        <is>
          <t>2027</t>
        </is>
      </c>
      <c r="J103" s="1" t="n">
        <v>45.958272331</v>
      </c>
      <c r="K103" s="1" t="n">
        <v>45.958272331</v>
      </c>
      <c r="L103" s="1" t="n">
        <v>7365.6</v>
      </c>
      <c r="M103" s="1" t="n">
        <v>342646.495192167</v>
      </c>
      <c r="O103" s="25">
        <f>_CALC_MOTEUR!AE103</f>
        <v/>
      </c>
      <c r="P103" s="25">
        <f>_CALC_MOTEUR!AF103</f>
        <v/>
      </c>
      <c r="Q103" s="27">
        <f>_CALC_MOTEUR!AG103</f>
        <v/>
      </c>
      <c r="R103" s="25">
        <f>_CALC_MOTEUR!AH103</f>
        <v/>
      </c>
      <c r="S103" s="25">
        <f>R103-M103</f>
        <v/>
      </c>
    </row>
    <row r="104">
      <c r="A104" s="9" t="inlineStr">
        <is>
          <t>2027BUD_V1</t>
        </is>
      </c>
      <c r="B104" s="1" t="inlineStr">
        <is>
          <t>V01</t>
        </is>
      </c>
      <c r="C104" s="1" t="inlineStr">
        <is>
          <t>12</t>
        </is>
      </c>
      <c r="D104" s="1" t="inlineStr">
        <is>
          <t>ISCOM_TLS</t>
        </is>
      </c>
      <c r="E104" s="1" t="inlineStr">
        <is>
          <t>ISCOM</t>
        </is>
      </c>
      <c r="F104" s="1" t="inlineStr">
        <is>
          <t>MAS_COM</t>
        </is>
      </c>
      <c r="G104" s="1" t="inlineStr">
        <is>
          <t>M2</t>
        </is>
      </c>
      <c r="H104" s="1" t="inlineStr">
        <is>
          <t>ALT</t>
        </is>
      </c>
      <c r="I104" s="1" t="inlineStr">
        <is>
          <t>2027</t>
        </is>
      </c>
      <c r="J104" s="1" t="n">
        <v>0</v>
      </c>
      <c r="K104" s="1" t="n">
        <v>46.235</v>
      </c>
      <c r="L104" s="1" t="n">
        <v>7365.6</v>
      </c>
      <c r="M104" s="1" t="n">
        <v>340548.516</v>
      </c>
      <c r="O104" s="25">
        <f>_CALC_MOTEUR!AE104</f>
        <v/>
      </c>
      <c r="P104" s="25">
        <f>_CALC_MOTEUR!AF104</f>
        <v/>
      </c>
      <c r="Q104" s="27">
        <f>_CALC_MOTEUR!AG104</f>
        <v/>
      </c>
      <c r="R104" s="25">
        <f>_CALC_MOTEUR!AH104</f>
        <v/>
      </c>
      <c r="S104" s="25">
        <f>R104-M104</f>
        <v/>
      </c>
    </row>
    <row r="105">
      <c r="A105" s="9" t="inlineStr">
        <is>
          <t>2027BUD_V1</t>
        </is>
      </c>
      <c r="B105" s="1" t="inlineStr">
        <is>
          <t>V02</t>
        </is>
      </c>
      <c r="C105" s="1" t="inlineStr">
        <is>
          <t>12</t>
        </is>
      </c>
      <c r="D105" s="1" t="inlineStr">
        <is>
          <t>ISCOM_TLS</t>
        </is>
      </c>
      <c r="E105" s="1" t="inlineStr">
        <is>
          <t>ISCOM</t>
        </is>
      </c>
      <c r="F105" s="1" t="inlineStr">
        <is>
          <t>MAS_COM</t>
        </is>
      </c>
      <c r="G105" s="1" t="inlineStr">
        <is>
          <t>M2</t>
        </is>
      </c>
      <c r="H105" s="1" t="inlineStr">
        <is>
          <t>ALT</t>
        </is>
      </c>
      <c r="I105" s="1" t="inlineStr">
        <is>
          <t>2027</t>
        </is>
      </c>
      <c r="J105" s="1" t="n">
        <v>0</v>
      </c>
      <c r="K105" s="1" t="n">
        <v>46.705</v>
      </c>
      <c r="L105" s="1" t="n">
        <v>7489.8</v>
      </c>
      <c r="M105" s="1" t="n">
        <v>349811.109</v>
      </c>
      <c r="O105" s="25">
        <f>_CALC_MOTEUR!AE105</f>
        <v/>
      </c>
      <c r="P105" s="25">
        <f>_CALC_MOTEUR!AF105</f>
        <v/>
      </c>
      <c r="Q105" s="27">
        <f>_CALC_MOTEUR!AG105</f>
        <v/>
      </c>
      <c r="R105" s="25">
        <f>_CALC_MOTEUR!AH105</f>
        <v/>
      </c>
      <c r="S105" s="25">
        <f>R105-M105</f>
        <v/>
      </c>
    </row>
    <row r="106">
      <c r="A106" s="9" t="inlineStr">
        <is>
          <t>2027BUD_V1</t>
        </is>
      </c>
      <c r="B106" s="1" t="inlineStr">
        <is>
          <t>V03</t>
        </is>
      </c>
      <c r="C106" s="1" t="inlineStr">
        <is>
          <t>12</t>
        </is>
      </c>
      <c r="D106" s="1" t="inlineStr">
        <is>
          <t>ISCOM_TLS</t>
        </is>
      </c>
      <c r="E106" s="1" t="inlineStr">
        <is>
          <t>ISCOM</t>
        </is>
      </c>
      <c r="F106" s="1" t="inlineStr">
        <is>
          <t>MAS_COM</t>
        </is>
      </c>
      <c r="G106" s="1" t="inlineStr">
        <is>
          <t>M2</t>
        </is>
      </c>
      <c r="H106" s="1" t="inlineStr">
        <is>
          <t>ALT</t>
        </is>
      </c>
      <c r="I106" s="1" t="inlineStr">
        <is>
          <t>2027</t>
        </is>
      </c>
      <c r="J106" s="1" t="n">
        <v>0</v>
      </c>
      <c r="K106" s="1" t="n">
        <v>45.53</v>
      </c>
      <c r="L106" s="1" t="n">
        <v>7365.6</v>
      </c>
      <c r="M106" s="1" t="n">
        <v>335355.768</v>
      </c>
      <c r="O106" s="25">
        <f>_CALC_MOTEUR!AE106</f>
        <v/>
      </c>
      <c r="P106" s="25">
        <f>_CALC_MOTEUR!AF106</f>
        <v/>
      </c>
      <c r="Q106" s="27">
        <f>_CALC_MOTEUR!AG106</f>
        <v/>
      </c>
      <c r="R106" s="25">
        <f>_CALC_MOTEUR!AH106</f>
        <v/>
      </c>
      <c r="S106" s="25">
        <f>R106-M106</f>
        <v/>
      </c>
    </row>
    <row r="107">
      <c r="A107" s="9" t="inlineStr">
        <is>
          <t>2027BUD_V1</t>
        </is>
      </c>
      <c r="B107" s="1" t="inlineStr">
        <is>
          <t>V01</t>
        </is>
      </c>
      <c r="C107" s="1" t="inlineStr">
        <is>
          <t>12</t>
        </is>
      </c>
      <c r="D107" s="1" t="inlineStr">
        <is>
          <t>IPAC_NAN</t>
        </is>
      </c>
      <c r="E107" s="1" t="inlineStr">
        <is>
          <t>IPAC</t>
        </is>
      </c>
      <c r="F107" s="1" t="inlineStr">
        <is>
          <t>BAC_CCE</t>
        </is>
      </c>
      <c r="G107" s="1" t="inlineStr">
        <is>
          <t>B1</t>
        </is>
      </c>
      <c r="H107" s="1" t="inlineStr">
        <is>
          <t>ALT</t>
        </is>
      </c>
      <c r="I107" s="1" t="inlineStr">
        <is>
          <t>2027</t>
        </is>
      </c>
      <c r="J107" s="1" t="n">
        <v>55.832514473</v>
      </c>
      <c r="K107" s="1" t="n">
        <v>55.832514473</v>
      </c>
      <c r="L107" s="1" t="n">
        <v>7133</v>
      </c>
      <c r="M107" s="1" t="n">
        <v>403278.252034917</v>
      </c>
      <c r="O107" s="25">
        <f>_CALC_MOTEUR!AE107</f>
        <v/>
      </c>
      <c r="P107" s="25">
        <f>_CALC_MOTEUR!AF107</f>
        <v/>
      </c>
      <c r="Q107" s="27">
        <f>_CALC_MOTEUR!AG107</f>
        <v/>
      </c>
      <c r="R107" s="25">
        <f>_CALC_MOTEUR!AH107</f>
        <v/>
      </c>
      <c r="S107" s="25">
        <f>R107-M107</f>
        <v/>
      </c>
    </row>
    <row r="108">
      <c r="A108" s="9" t="inlineStr">
        <is>
          <t>2027BUD_V1</t>
        </is>
      </c>
      <c r="B108" s="1" t="inlineStr">
        <is>
          <t>V02</t>
        </is>
      </c>
      <c r="C108" s="1" t="inlineStr">
        <is>
          <t>12</t>
        </is>
      </c>
      <c r="D108" s="1" t="inlineStr">
        <is>
          <t>IPAC_NAN</t>
        </is>
      </c>
      <c r="E108" s="1" t="inlineStr">
        <is>
          <t>IPAC</t>
        </is>
      </c>
      <c r="F108" s="1" t="inlineStr">
        <is>
          <t>BAC_CCE</t>
        </is>
      </c>
      <c r="G108" s="1" t="inlineStr">
        <is>
          <t>B1</t>
        </is>
      </c>
      <c r="H108" s="1" t="inlineStr">
        <is>
          <t>ALT</t>
        </is>
      </c>
      <c r="I108" s="1" t="inlineStr">
        <is>
          <t>2027</t>
        </is>
      </c>
      <c r="J108" s="1" t="n">
        <v>65.343766974</v>
      </c>
      <c r="K108" s="1" t="n">
        <v>65.343766974</v>
      </c>
      <c r="L108" s="1" t="n">
        <v>7232.75</v>
      </c>
      <c r="M108" s="1" t="n">
        <v>478496.069605999</v>
      </c>
      <c r="O108" s="25">
        <f>_CALC_MOTEUR!AE108</f>
        <v/>
      </c>
      <c r="P108" s="25">
        <f>_CALC_MOTEUR!AF108</f>
        <v/>
      </c>
      <c r="Q108" s="27">
        <f>_CALC_MOTEUR!AG108</f>
        <v/>
      </c>
      <c r="R108" s="25">
        <f>_CALC_MOTEUR!AH108</f>
        <v/>
      </c>
      <c r="S108" s="25">
        <f>R108-M108</f>
        <v/>
      </c>
    </row>
    <row r="109">
      <c r="A109" s="9" t="inlineStr">
        <is>
          <t>2027BUD_V1</t>
        </is>
      </c>
      <c r="B109" s="1" t="inlineStr">
        <is>
          <t>V03</t>
        </is>
      </c>
      <c r="C109" s="1" t="inlineStr">
        <is>
          <t>12</t>
        </is>
      </c>
      <c r="D109" s="1" t="inlineStr">
        <is>
          <t>IPAC_NAN</t>
        </is>
      </c>
      <c r="E109" s="1" t="inlineStr">
        <is>
          <t>IPAC</t>
        </is>
      </c>
      <c r="F109" s="1" t="inlineStr">
        <is>
          <t>BAC_CCE</t>
        </is>
      </c>
      <c r="G109" s="1" t="inlineStr">
        <is>
          <t>B1</t>
        </is>
      </c>
      <c r="H109" s="1" t="inlineStr">
        <is>
          <t>ALT</t>
        </is>
      </c>
      <c r="I109" s="1" t="inlineStr">
        <is>
          <t>2027</t>
        </is>
      </c>
      <c r="J109" s="1" t="n">
        <v>48.816037512</v>
      </c>
      <c r="K109" s="1" t="n">
        <v>48.816037512</v>
      </c>
      <c r="L109" s="1" t="n">
        <v>7133</v>
      </c>
      <c r="M109" s="1" t="n">
        <v>352598.238952011</v>
      </c>
      <c r="O109" s="25">
        <f>_CALC_MOTEUR!AE109</f>
        <v/>
      </c>
      <c r="P109" s="25">
        <f>_CALC_MOTEUR!AF109</f>
        <v/>
      </c>
      <c r="Q109" s="27">
        <f>_CALC_MOTEUR!AG109</f>
        <v/>
      </c>
      <c r="R109" s="25">
        <f>_CALC_MOTEUR!AH109</f>
        <v/>
      </c>
      <c r="S109" s="25">
        <f>R109-M109</f>
        <v/>
      </c>
    </row>
    <row r="110">
      <c r="A110" s="9" t="inlineStr">
        <is>
          <t>2027BUD_V1</t>
        </is>
      </c>
      <c r="B110" s="1" t="inlineStr">
        <is>
          <t>V01</t>
        </is>
      </c>
      <c r="C110" s="1" t="inlineStr">
        <is>
          <t>12</t>
        </is>
      </c>
      <c r="D110" s="1" t="inlineStr">
        <is>
          <t>IPAC_NAN</t>
        </is>
      </c>
      <c r="E110" s="1" t="inlineStr">
        <is>
          <t>IPAC</t>
        </is>
      </c>
      <c r="F110" s="1" t="inlineStr">
        <is>
          <t>BAC_CCE</t>
        </is>
      </c>
      <c r="G110" s="1" t="inlineStr">
        <is>
          <t>B2</t>
        </is>
      </c>
      <c r="H110" s="1" t="inlineStr">
        <is>
          <t>ALT</t>
        </is>
      </c>
      <c r="I110" s="1" t="inlineStr">
        <is>
          <t>2027</t>
        </is>
      </c>
      <c r="J110" s="1" t="n">
        <v>0</v>
      </c>
      <c r="K110" s="1" t="n">
        <v>48.25</v>
      </c>
      <c r="L110" s="1" t="n">
        <v>7133</v>
      </c>
      <c r="M110" s="1" t="n">
        <v>344167.25</v>
      </c>
      <c r="O110" s="25">
        <f>_CALC_MOTEUR!AE110</f>
        <v/>
      </c>
      <c r="P110" s="25">
        <f>_CALC_MOTEUR!AF110</f>
        <v/>
      </c>
      <c r="Q110" s="27">
        <f>_CALC_MOTEUR!AG110</f>
        <v/>
      </c>
      <c r="R110" s="25">
        <f>_CALC_MOTEUR!AH110</f>
        <v/>
      </c>
      <c r="S110" s="25">
        <f>R110-M110</f>
        <v/>
      </c>
    </row>
    <row r="111">
      <c r="A111" s="9" t="inlineStr">
        <is>
          <t>2027BUD_V1</t>
        </is>
      </c>
      <c r="B111" s="1" t="inlineStr">
        <is>
          <t>V02</t>
        </is>
      </c>
      <c r="C111" s="1" t="inlineStr">
        <is>
          <t>12</t>
        </is>
      </c>
      <c r="D111" s="1" t="inlineStr">
        <is>
          <t>IPAC_NAN</t>
        </is>
      </c>
      <c r="E111" s="1" t="inlineStr">
        <is>
          <t>IPAC</t>
        </is>
      </c>
      <c r="F111" s="1" t="inlineStr">
        <is>
          <t>BAC_CCE</t>
        </is>
      </c>
      <c r="G111" s="1" t="inlineStr">
        <is>
          <t>B2</t>
        </is>
      </c>
      <c r="H111" s="1" t="inlineStr">
        <is>
          <t>ALT</t>
        </is>
      </c>
      <c r="I111" s="1" t="inlineStr">
        <is>
          <t>2027</t>
        </is>
      </c>
      <c r="J111" s="1" t="n">
        <v>0</v>
      </c>
      <c r="K111" s="1" t="n">
        <v>48.75</v>
      </c>
      <c r="L111" s="1" t="n">
        <v>7232.75</v>
      </c>
      <c r="M111" s="1" t="n">
        <v>352596.5625</v>
      </c>
      <c r="O111" s="25">
        <f>_CALC_MOTEUR!AE111</f>
        <v/>
      </c>
      <c r="P111" s="25">
        <f>_CALC_MOTEUR!AF111</f>
        <v/>
      </c>
      <c r="Q111" s="27">
        <f>_CALC_MOTEUR!AG111</f>
        <v/>
      </c>
      <c r="R111" s="25">
        <f>_CALC_MOTEUR!AH111</f>
        <v/>
      </c>
      <c r="S111" s="25">
        <f>R111-M111</f>
        <v/>
      </c>
    </row>
    <row r="112">
      <c r="A112" s="9" t="inlineStr">
        <is>
          <t>2027BUD_V1</t>
        </is>
      </c>
      <c r="B112" s="1" t="inlineStr">
        <is>
          <t>V03</t>
        </is>
      </c>
      <c r="C112" s="1" t="inlineStr">
        <is>
          <t>12</t>
        </is>
      </c>
      <c r="D112" s="1" t="inlineStr">
        <is>
          <t>IPAC_NAN</t>
        </is>
      </c>
      <c r="E112" s="1" t="inlineStr">
        <is>
          <t>IPAC</t>
        </is>
      </c>
      <c r="F112" s="1" t="inlineStr">
        <is>
          <t>BAC_CCE</t>
        </is>
      </c>
      <c r="G112" s="1" t="inlineStr">
        <is>
          <t>B2</t>
        </is>
      </c>
      <c r="H112" s="1" t="inlineStr">
        <is>
          <t>ALT</t>
        </is>
      </c>
      <c r="I112" s="1" t="inlineStr">
        <is>
          <t>2027</t>
        </is>
      </c>
      <c r="J112" s="1" t="n">
        <v>0</v>
      </c>
      <c r="K112" s="1" t="n">
        <v>47.5</v>
      </c>
      <c r="L112" s="1" t="n">
        <v>7133</v>
      </c>
      <c r="M112" s="1" t="n">
        <v>338817.5</v>
      </c>
      <c r="O112" s="25">
        <f>_CALC_MOTEUR!AE112</f>
        <v/>
      </c>
      <c r="P112" s="25">
        <f>_CALC_MOTEUR!AF112</f>
        <v/>
      </c>
      <c r="Q112" s="27">
        <f>_CALC_MOTEUR!AG112</f>
        <v/>
      </c>
      <c r="R112" s="25">
        <f>_CALC_MOTEUR!AH112</f>
        <v/>
      </c>
      <c r="S112" s="25">
        <f>R112-M112</f>
        <v/>
      </c>
    </row>
    <row r="113">
      <c r="A113" s="9" t="inlineStr">
        <is>
          <t>2027BUD_V1</t>
        </is>
      </c>
      <c r="B113" s="1" t="inlineStr">
        <is>
          <t>V01</t>
        </is>
      </c>
      <c r="C113" s="1" t="inlineStr">
        <is>
          <t>12</t>
        </is>
      </c>
      <c r="D113" s="1" t="inlineStr">
        <is>
          <t>IPAC_NAN</t>
        </is>
      </c>
      <c r="E113" s="1" t="inlineStr">
        <is>
          <t>IPAC</t>
        </is>
      </c>
      <c r="F113" s="1" t="inlineStr">
        <is>
          <t>BAC_CCE</t>
        </is>
      </c>
      <c r="G113" s="1" t="inlineStr">
        <is>
          <t>B3</t>
        </is>
      </c>
      <c r="H113" s="1" t="inlineStr">
        <is>
          <t>ALT</t>
        </is>
      </c>
      <c r="I113" s="1" t="inlineStr">
        <is>
          <t>2027</t>
        </is>
      </c>
      <c r="J113" s="1" t="n">
        <v>0</v>
      </c>
      <c r="K113" s="1" t="n">
        <v>47.24</v>
      </c>
      <c r="L113" s="1" t="n">
        <v>7133</v>
      </c>
      <c r="M113" s="1" t="n">
        <v>336962.92</v>
      </c>
      <c r="O113" s="25">
        <f>_CALC_MOTEUR!AE113</f>
        <v/>
      </c>
      <c r="P113" s="25">
        <f>_CALC_MOTEUR!AF113</f>
        <v/>
      </c>
      <c r="Q113" s="27">
        <f>_CALC_MOTEUR!AG113</f>
        <v/>
      </c>
      <c r="R113" s="25">
        <f>_CALC_MOTEUR!AH113</f>
        <v/>
      </c>
      <c r="S113" s="25">
        <f>R113-M113</f>
        <v/>
      </c>
    </row>
    <row r="114">
      <c r="A114" s="9" t="inlineStr">
        <is>
          <t>2027BUD_V1</t>
        </is>
      </c>
      <c r="B114" s="1" t="inlineStr">
        <is>
          <t>V02</t>
        </is>
      </c>
      <c r="C114" s="1" t="inlineStr">
        <is>
          <t>12</t>
        </is>
      </c>
      <c r="D114" s="1" t="inlineStr">
        <is>
          <t>IPAC_NAN</t>
        </is>
      </c>
      <c r="E114" s="1" t="inlineStr">
        <is>
          <t>IPAC</t>
        </is>
      </c>
      <c r="F114" s="1" t="inlineStr">
        <is>
          <t>BAC_CCE</t>
        </is>
      </c>
      <c r="G114" s="1" t="inlineStr">
        <is>
          <t>B3</t>
        </is>
      </c>
      <c r="H114" s="1" t="inlineStr">
        <is>
          <t>ALT</t>
        </is>
      </c>
      <c r="I114" s="1" t="inlineStr">
        <is>
          <t>2027</t>
        </is>
      </c>
      <c r="J114" s="1" t="n">
        <v>0</v>
      </c>
      <c r="K114" s="1" t="n">
        <v>47.72</v>
      </c>
      <c r="L114" s="1" t="n">
        <v>7232.75</v>
      </c>
      <c r="M114" s="1" t="n">
        <v>345146.83</v>
      </c>
      <c r="O114" s="25">
        <f>_CALC_MOTEUR!AE114</f>
        <v/>
      </c>
      <c r="P114" s="25">
        <f>_CALC_MOTEUR!AF114</f>
        <v/>
      </c>
      <c r="Q114" s="27">
        <f>_CALC_MOTEUR!AG114</f>
        <v/>
      </c>
      <c r="R114" s="25">
        <f>_CALC_MOTEUR!AH114</f>
        <v/>
      </c>
      <c r="S114" s="25">
        <f>R114-M114</f>
        <v/>
      </c>
    </row>
    <row r="115">
      <c r="A115" s="9" t="inlineStr">
        <is>
          <t>2027BUD_V1</t>
        </is>
      </c>
      <c r="B115" s="1" t="inlineStr">
        <is>
          <t>V03</t>
        </is>
      </c>
      <c r="C115" s="1" t="inlineStr">
        <is>
          <t>12</t>
        </is>
      </c>
      <c r="D115" s="1" t="inlineStr">
        <is>
          <t>IPAC_NAN</t>
        </is>
      </c>
      <c r="E115" s="1" t="inlineStr">
        <is>
          <t>IPAC</t>
        </is>
      </c>
      <c r="F115" s="1" t="inlineStr">
        <is>
          <t>BAC_CCE</t>
        </is>
      </c>
      <c r="G115" s="1" t="inlineStr">
        <is>
          <t>B3</t>
        </is>
      </c>
      <c r="H115" s="1" t="inlineStr">
        <is>
          <t>ALT</t>
        </is>
      </c>
      <c r="I115" s="1" t="inlineStr">
        <is>
          <t>2027</t>
        </is>
      </c>
      <c r="J115" s="1" t="n">
        <v>0</v>
      </c>
      <c r="K115" s="1" t="n">
        <v>46.52</v>
      </c>
      <c r="L115" s="1" t="n">
        <v>7133</v>
      </c>
      <c r="M115" s="1" t="n">
        <v>331827.16</v>
      </c>
      <c r="O115" s="25">
        <f>_CALC_MOTEUR!AE115</f>
        <v/>
      </c>
      <c r="P115" s="25">
        <f>_CALC_MOTEUR!AF115</f>
        <v/>
      </c>
      <c r="Q115" s="27">
        <f>_CALC_MOTEUR!AG115</f>
        <v/>
      </c>
      <c r="R115" s="25">
        <f>_CALC_MOTEUR!AH115</f>
        <v/>
      </c>
      <c r="S115" s="25">
        <f>R115-M115</f>
        <v/>
      </c>
    </row>
    <row r="116">
      <c r="A116" s="9" t="inlineStr">
        <is>
          <t>2027BUD_V1</t>
        </is>
      </c>
      <c r="B116" s="1" t="inlineStr">
        <is>
          <t>V01</t>
        </is>
      </c>
      <c r="C116" s="1" t="inlineStr">
        <is>
          <t>12</t>
        </is>
      </c>
      <c r="D116" s="1" t="inlineStr">
        <is>
          <t>IPAC_REN</t>
        </is>
      </c>
      <c r="E116" s="1" t="inlineStr">
        <is>
          <t>IPAC</t>
        </is>
      </c>
      <c r="F116" s="1" t="inlineStr">
        <is>
          <t>BAC_CCE</t>
        </is>
      </c>
      <c r="G116" s="1" t="inlineStr">
        <is>
          <t>B1</t>
        </is>
      </c>
      <c r="H116" s="1" t="inlineStr">
        <is>
          <t>ALT</t>
        </is>
      </c>
      <c r="I116" s="1" t="inlineStr">
        <is>
          <t>2027</t>
        </is>
      </c>
      <c r="J116" s="1" t="n">
        <v>44.726582842</v>
      </c>
      <c r="K116" s="1" t="n">
        <v>44.726582842</v>
      </c>
      <c r="L116" s="1" t="n">
        <v>6776.35</v>
      </c>
      <c r="M116" s="1" t="n">
        <v>307108.372098672</v>
      </c>
      <c r="O116" s="25">
        <f>_CALC_MOTEUR!AE116</f>
        <v/>
      </c>
      <c r="P116" s="25">
        <f>_CALC_MOTEUR!AF116</f>
        <v/>
      </c>
      <c r="Q116" s="27">
        <f>_CALC_MOTEUR!AG116</f>
        <v/>
      </c>
      <c r="R116" s="25">
        <f>_CALC_MOTEUR!AH116</f>
        <v/>
      </c>
      <c r="S116" s="25">
        <f>R116-M116</f>
        <v/>
      </c>
    </row>
    <row r="117">
      <c r="A117" s="9" t="inlineStr">
        <is>
          <t>2027BUD_V1</t>
        </is>
      </c>
      <c r="B117" s="1" t="inlineStr">
        <is>
          <t>V02</t>
        </is>
      </c>
      <c r="C117" s="1" t="inlineStr">
        <is>
          <t>12</t>
        </is>
      </c>
      <c r="D117" s="1" t="inlineStr">
        <is>
          <t>IPAC_REN</t>
        </is>
      </c>
      <c r="E117" s="1" t="inlineStr">
        <is>
          <t>IPAC</t>
        </is>
      </c>
      <c r="F117" s="1" t="inlineStr">
        <is>
          <t>BAC_CCE</t>
        </is>
      </c>
      <c r="G117" s="1" t="inlineStr">
        <is>
          <t>B1</t>
        </is>
      </c>
      <c r="H117" s="1" t="inlineStr">
        <is>
          <t>ALT</t>
        </is>
      </c>
      <c r="I117" s="1" t="inlineStr">
        <is>
          <t>2027</t>
        </is>
      </c>
      <c r="J117" s="1" t="n">
        <v>52.409222994</v>
      </c>
      <c r="K117" s="1" t="n">
        <v>52.409222994</v>
      </c>
      <c r="L117" s="1" t="n">
        <v>6871.1125</v>
      </c>
      <c r="M117" s="1" t="n">
        <v>364826.497297383</v>
      </c>
      <c r="O117" s="25">
        <f>_CALC_MOTEUR!AE117</f>
        <v/>
      </c>
      <c r="P117" s="25">
        <f>_CALC_MOTEUR!AF117</f>
        <v/>
      </c>
      <c r="Q117" s="27">
        <f>_CALC_MOTEUR!AG117</f>
        <v/>
      </c>
      <c r="R117" s="25">
        <f>_CALC_MOTEUR!AH117</f>
        <v/>
      </c>
      <c r="S117" s="25">
        <f>R117-M117</f>
        <v/>
      </c>
    </row>
    <row r="118">
      <c r="A118" s="9" t="inlineStr">
        <is>
          <t>2027BUD_V1</t>
        </is>
      </c>
      <c r="B118" s="1" t="inlineStr">
        <is>
          <t>V03</t>
        </is>
      </c>
      <c r="C118" s="1" t="inlineStr">
        <is>
          <t>12</t>
        </is>
      </c>
      <c r="D118" s="1" t="inlineStr">
        <is>
          <t>IPAC_REN</t>
        </is>
      </c>
      <c r="E118" s="1" t="inlineStr">
        <is>
          <t>IPAC</t>
        </is>
      </c>
      <c r="F118" s="1" t="inlineStr">
        <is>
          <t>BAC_CCE</t>
        </is>
      </c>
      <c r="G118" s="1" t="inlineStr">
        <is>
          <t>B1</t>
        </is>
      </c>
      <c r="H118" s="1" t="inlineStr">
        <is>
          <t>ALT</t>
        </is>
      </c>
      <c r="I118" s="1" t="inlineStr">
        <is>
          <t>2027</t>
        </is>
      </c>
      <c r="J118" s="1" t="n">
        <v>39.023179811</v>
      </c>
      <c r="K118" s="1" t="n">
        <v>39.023179811</v>
      </c>
      <c r="L118" s="1" t="n">
        <v>6776.35</v>
      </c>
      <c r="M118" s="1" t="n">
        <v>267946.810695792</v>
      </c>
      <c r="O118" s="25">
        <f>_CALC_MOTEUR!AE118</f>
        <v/>
      </c>
      <c r="P118" s="25">
        <f>_CALC_MOTEUR!AF118</f>
        <v/>
      </c>
      <c r="Q118" s="27">
        <f>_CALC_MOTEUR!AG118</f>
        <v/>
      </c>
      <c r="R118" s="25">
        <f>_CALC_MOTEUR!AH118</f>
        <v/>
      </c>
      <c r="S118" s="25">
        <f>R118-M118</f>
        <v/>
      </c>
    </row>
    <row r="119">
      <c r="A119" s="9" t="inlineStr">
        <is>
          <t>2027BUD_V1</t>
        </is>
      </c>
      <c r="B119" s="1" t="inlineStr">
        <is>
          <t>V01</t>
        </is>
      </c>
      <c r="C119" s="1" t="inlineStr">
        <is>
          <t>12</t>
        </is>
      </c>
      <c r="D119" s="1" t="inlineStr">
        <is>
          <t>IPAC_REN</t>
        </is>
      </c>
      <c r="E119" s="1" t="inlineStr">
        <is>
          <t>IPAC</t>
        </is>
      </c>
      <c r="F119" s="1" t="inlineStr">
        <is>
          <t>BAC_CCE</t>
        </is>
      </c>
      <c r="G119" s="1" t="inlineStr">
        <is>
          <t>B2</t>
        </is>
      </c>
      <c r="H119" s="1" t="inlineStr">
        <is>
          <t>ALT</t>
        </is>
      </c>
      <c r="I119" s="1" t="inlineStr">
        <is>
          <t>2027</t>
        </is>
      </c>
      <c r="J119" s="1" t="n">
        <v>0</v>
      </c>
      <c r="K119" s="1" t="n">
        <v>39.2</v>
      </c>
      <c r="L119" s="1" t="n">
        <v>6776.35</v>
      </c>
      <c r="M119" s="1" t="n">
        <v>265632.92</v>
      </c>
      <c r="O119" s="25">
        <f>_CALC_MOTEUR!AE119</f>
        <v/>
      </c>
      <c r="P119" s="25">
        <f>_CALC_MOTEUR!AF119</f>
        <v/>
      </c>
      <c r="Q119" s="27">
        <f>_CALC_MOTEUR!AG119</f>
        <v/>
      </c>
      <c r="R119" s="25">
        <f>_CALC_MOTEUR!AH119</f>
        <v/>
      </c>
      <c r="S119" s="25">
        <f>R119-M119</f>
        <v/>
      </c>
    </row>
    <row r="120">
      <c r="A120" s="9" t="inlineStr">
        <is>
          <t>2027BUD_V1</t>
        </is>
      </c>
      <c r="B120" s="1" t="inlineStr">
        <is>
          <t>V02</t>
        </is>
      </c>
      <c r="C120" s="1" t="inlineStr">
        <is>
          <t>12</t>
        </is>
      </c>
      <c r="D120" s="1" t="inlineStr">
        <is>
          <t>IPAC_REN</t>
        </is>
      </c>
      <c r="E120" s="1" t="inlineStr">
        <is>
          <t>IPAC</t>
        </is>
      </c>
      <c r="F120" s="1" t="inlineStr">
        <is>
          <t>BAC_CCE</t>
        </is>
      </c>
      <c r="G120" s="1" t="inlineStr">
        <is>
          <t>B2</t>
        </is>
      </c>
      <c r="H120" s="1" t="inlineStr">
        <is>
          <t>ALT</t>
        </is>
      </c>
      <c r="I120" s="1" t="inlineStr">
        <is>
          <t>2027</t>
        </is>
      </c>
      <c r="J120" s="1" t="n">
        <v>0</v>
      </c>
      <c r="K120" s="1" t="n">
        <v>39.6</v>
      </c>
      <c r="L120" s="1" t="n">
        <v>6871.1125</v>
      </c>
      <c r="M120" s="1" t="n">
        <v>272096.055</v>
      </c>
      <c r="O120" s="25">
        <f>_CALC_MOTEUR!AE120</f>
        <v/>
      </c>
      <c r="P120" s="25">
        <f>_CALC_MOTEUR!AF120</f>
        <v/>
      </c>
      <c r="Q120" s="27">
        <f>_CALC_MOTEUR!AG120</f>
        <v/>
      </c>
      <c r="R120" s="25">
        <f>_CALC_MOTEUR!AH120</f>
        <v/>
      </c>
      <c r="S120" s="25">
        <f>R120-M120</f>
        <v/>
      </c>
    </row>
    <row r="121">
      <c r="A121" s="9" t="inlineStr">
        <is>
          <t>2027BUD_V1</t>
        </is>
      </c>
      <c r="B121" s="1" t="inlineStr">
        <is>
          <t>V03</t>
        </is>
      </c>
      <c r="C121" s="1" t="inlineStr">
        <is>
          <t>12</t>
        </is>
      </c>
      <c r="D121" s="1" t="inlineStr">
        <is>
          <t>IPAC_REN</t>
        </is>
      </c>
      <c r="E121" s="1" t="inlineStr">
        <is>
          <t>IPAC</t>
        </is>
      </c>
      <c r="F121" s="1" t="inlineStr">
        <is>
          <t>BAC_CCE</t>
        </is>
      </c>
      <c r="G121" s="1" t="inlineStr">
        <is>
          <t>B2</t>
        </is>
      </c>
      <c r="H121" s="1" t="inlineStr">
        <is>
          <t>ALT</t>
        </is>
      </c>
      <c r="I121" s="1" t="inlineStr">
        <is>
          <t>2027</t>
        </is>
      </c>
      <c r="J121" s="1" t="n">
        <v>0</v>
      </c>
      <c r="K121" s="1" t="n">
        <v>38.6</v>
      </c>
      <c r="L121" s="1" t="n">
        <v>6776.35</v>
      </c>
      <c r="M121" s="1" t="n">
        <v>261567.11</v>
      </c>
      <c r="O121" s="25">
        <f>_CALC_MOTEUR!AE121</f>
        <v/>
      </c>
      <c r="P121" s="25">
        <f>_CALC_MOTEUR!AF121</f>
        <v/>
      </c>
      <c r="Q121" s="27">
        <f>_CALC_MOTEUR!AG121</f>
        <v/>
      </c>
      <c r="R121" s="25">
        <f>_CALC_MOTEUR!AH121</f>
        <v/>
      </c>
      <c r="S121" s="25">
        <f>R121-M121</f>
        <v/>
      </c>
    </row>
    <row r="122">
      <c r="A122" s="9" t="inlineStr">
        <is>
          <t>2027BUD_V1</t>
        </is>
      </c>
      <c r="B122" s="1" t="inlineStr">
        <is>
          <t>V01</t>
        </is>
      </c>
      <c r="C122" s="1" t="inlineStr">
        <is>
          <t>12</t>
        </is>
      </c>
      <c r="D122" s="1" t="inlineStr">
        <is>
          <t>IPAC_REN</t>
        </is>
      </c>
      <c r="E122" s="1" t="inlineStr">
        <is>
          <t>IPAC</t>
        </is>
      </c>
      <c r="F122" s="1" t="inlineStr">
        <is>
          <t>BAC_CCE</t>
        </is>
      </c>
      <c r="G122" s="1" t="inlineStr">
        <is>
          <t>B3</t>
        </is>
      </c>
      <c r="H122" s="1" t="inlineStr">
        <is>
          <t>ALT</t>
        </is>
      </c>
      <c r="I122" s="1" t="inlineStr">
        <is>
          <t>2027</t>
        </is>
      </c>
      <c r="J122" s="1" t="n">
        <v>0</v>
      </c>
      <c r="K122" s="1" t="n">
        <v>38.195</v>
      </c>
      <c r="L122" s="1" t="n">
        <v>6776.35</v>
      </c>
      <c r="M122" s="1" t="n">
        <v>258822.68825</v>
      </c>
      <c r="O122" s="25">
        <f>_CALC_MOTEUR!AE122</f>
        <v/>
      </c>
      <c r="P122" s="25">
        <f>_CALC_MOTEUR!AF122</f>
        <v/>
      </c>
      <c r="Q122" s="27">
        <f>_CALC_MOTEUR!AG122</f>
        <v/>
      </c>
      <c r="R122" s="25">
        <f>_CALC_MOTEUR!AH122</f>
        <v/>
      </c>
      <c r="S122" s="25">
        <f>R122-M122</f>
        <v/>
      </c>
    </row>
    <row r="123">
      <c r="A123" s="9" t="inlineStr">
        <is>
          <t>2027BUD_V1</t>
        </is>
      </c>
      <c r="B123" s="1" t="inlineStr">
        <is>
          <t>V02</t>
        </is>
      </c>
      <c r="C123" s="1" t="inlineStr">
        <is>
          <t>12</t>
        </is>
      </c>
      <c r="D123" s="1" t="inlineStr">
        <is>
          <t>IPAC_REN</t>
        </is>
      </c>
      <c r="E123" s="1" t="inlineStr">
        <is>
          <t>IPAC</t>
        </is>
      </c>
      <c r="F123" s="1" t="inlineStr">
        <is>
          <t>BAC_CCE</t>
        </is>
      </c>
      <c r="G123" s="1" t="inlineStr">
        <is>
          <t>B3</t>
        </is>
      </c>
      <c r="H123" s="1" t="inlineStr">
        <is>
          <t>ALT</t>
        </is>
      </c>
      <c r="I123" s="1" t="inlineStr">
        <is>
          <t>2027</t>
        </is>
      </c>
      <c r="J123" s="1" t="n">
        <v>0</v>
      </c>
      <c r="K123" s="1" t="n">
        <v>38.585</v>
      </c>
      <c r="L123" s="1" t="n">
        <v>6871.1125</v>
      </c>
      <c r="M123" s="1" t="n">
        <v>265121.8758125</v>
      </c>
      <c r="O123" s="25">
        <f>_CALC_MOTEUR!AE123</f>
        <v/>
      </c>
      <c r="P123" s="25">
        <f>_CALC_MOTEUR!AF123</f>
        <v/>
      </c>
      <c r="Q123" s="27">
        <f>_CALC_MOTEUR!AG123</f>
        <v/>
      </c>
      <c r="R123" s="25">
        <f>_CALC_MOTEUR!AH123</f>
        <v/>
      </c>
      <c r="S123" s="25">
        <f>R123-M123</f>
        <v/>
      </c>
    </row>
    <row r="124">
      <c r="A124" s="9" t="inlineStr">
        <is>
          <t>2027BUD_V1</t>
        </is>
      </c>
      <c r="B124" s="1" t="inlineStr">
        <is>
          <t>V03</t>
        </is>
      </c>
      <c r="C124" s="1" t="inlineStr">
        <is>
          <t>12</t>
        </is>
      </c>
      <c r="D124" s="1" t="inlineStr">
        <is>
          <t>IPAC_REN</t>
        </is>
      </c>
      <c r="E124" s="1" t="inlineStr">
        <is>
          <t>IPAC</t>
        </is>
      </c>
      <c r="F124" s="1" t="inlineStr">
        <is>
          <t>BAC_CCE</t>
        </is>
      </c>
      <c r="G124" s="1" t="inlineStr">
        <is>
          <t>B3</t>
        </is>
      </c>
      <c r="H124" s="1" t="inlineStr">
        <is>
          <t>ALT</t>
        </is>
      </c>
      <c r="I124" s="1" t="inlineStr">
        <is>
          <t>2027</t>
        </is>
      </c>
      <c r="J124" s="1" t="n">
        <v>0</v>
      </c>
      <c r="K124" s="1" t="n">
        <v>37.61</v>
      </c>
      <c r="L124" s="1" t="n">
        <v>6776.35</v>
      </c>
      <c r="M124" s="1" t="n">
        <v>254858.5235</v>
      </c>
      <c r="O124" s="25">
        <f>_CALC_MOTEUR!AE124</f>
        <v/>
      </c>
      <c r="P124" s="25">
        <f>_CALC_MOTEUR!AF124</f>
        <v/>
      </c>
      <c r="Q124" s="27">
        <f>_CALC_MOTEUR!AG124</f>
        <v/>
      </c>
      <c r="R124" s="25">
        <f>_CALC_MOTEUR!AH124</f>
        <v/>
      </c>
      <c r="S124" s="25">
        <f>R124-M124</f>
        <v/>
      </c>
    </row>
    <row r="125">
      <c r="A125" s="9" t="inlineStr">
        <is>
          <t>2027BUD_V1</t>
        </is>
      </c>
      <c r="B125" s="1" t="inlineStr">
        <is>
          <t>V01</t>
        </is>
      </c>
      <c r="C125" s="1" t="inlineStr">
        <is>
          <t>12</t>
        </is>
      </c>
      <c r="D125" s="1" t="inlineStr">
        <is>
          <t>IPAC_MTP</t>
        </is>
      </c>
      <c r="E125" s="1" t="inlineStr">
        <is>
          <t>IPAC</t>
        </is>
      </c>
      <c r="F125" s="1" t="inlineStr">
        <is>
          <t>BAC_CCE</t>
        </is>
      </c>
      <c r="G125" s="1" t="inlineStr">
        <is>
          <t>B1</t>
        </is>
      </c>
      <c r="H125" s="1" t="inlineStr">
        <is>
          <t>ALT</t>
        </is>
      </c>
      <c r="I125" s="1" t="inlineStr">
        <is>
          <t>2027</t>
        </is>
      </c>
      <c r="J125" s="1" t="n">
        <v>44.737598932</v>
      </c>
      <c r="K125" s="1" t="n">
        <v>44.737598932</v>
      </c>
      <c r="L125" s="1" t="n">
        <v>6776.35</v>
      </c>
      <c r="M125" s="1" t="n">
        <v>307184.012424532</v>
      </c>
      <c r="O125" s="25">
        <f>_CALC_MOTEUR!AE125</f>
        <v/>
      </c>
      <c r="P125" s="25">
        <f>_CALC_MOTEUR!AF125</f>
        <v/>
      </c>
      <c r="Q125" s="27">
        <f>_CALC_MOTEUR!AG125</f>
        <v/>
      </c>
      <c r="R125" s="25">
        <f>_CALC_MOTEUR!AH125</f>
        <v/>
      </c>
      <c r="S125" s="25">
        <f>R125-M125</f>
        <v/>
      </c>
    </row>
    <row r="126">
      <c r="A126" s="9" t="inlineStr">
        <is>
          <t>2027BUD_V1</t>
        </is>
      </c>
      <c r="B126" s="1" t="inlineStr">
        <is>
          <t>V02</t>
        </is>
      </c>
      <c r="C126" s="1" t="inlineStr">
        <is>
          <t>12</t>
        </is>
      </c>
      <c r="D126" s="1" t="inlineStr">
        <is>
          <t>IPAC_MTP</t>
        </is>
      </c>
      <c r="E126" s="1" t="inlineStr">
        <is>
          <t>IPAC</t>
        </is>
      </c>
      <c r="F126" s="1" t="inlineStr">
        <is>
          <t>BAC_CCE</t>
        </is>
      </c>
      <c r="G126" s="1" t="inlineStr">
        <is>
          <t>B1</t>
        </is>
      </c>
      <c r="H126" s="1" t="inlineStr">
        <is>
          <t>ALT</t>
        </is>
      </c>
      <c r="I126" s="1" t="inlineStr">
        <is>
          <t>2027</t>
        </is>
      </c>
      <c r="J126" s="1" t="n">
        <v>52.430795489</v>
      </c>
      <c r="K126" s="1" t="n">
        <v>52.430795489</v>
      </c>
      <c r="L126" s="1" t="n">
        <v>6871.1125</v>
      </c>
      <c r="M126" s="1" t="n">
        <v>364976.665862424</v>
      </c>
      <c r="O126" s="25">
        <f>_CALC_MOTEUR!AE126</f>
        <v/>
      </c>
      <c r="P126" s="25">
        <f>_CALC_MOTEUR!AF126</f>
        <v/>
      </c>
      <c r="Q126" s="27">
        <f>_CALC_MOTEUR!AG126</f>
        <v/>
      </c>
      <c r="R126" s="25">
        <f>_CALC_MOTEUR!AH126</f>
        <v/>
      </c>
      <c r="S126" s="25">
        <f>R126-M126</f>
        <v/>
      </c>
    </row>
    <row r="127">
      <c r="A127" s="9" t="inlineStr">
        <is>
          <t>2027BUD_V1</t>
        </is>
      </c>
      <c r="B127" s="1" t="inlineStr">
        <is>
          <t>V03</t>
        </is>
      </c>
      <c r="C127" s="1" t="inlineStr">
        <is>
          <t>12</t>
        </is>
      </c>
      <c r="D127" s="1" t="inlineStr">
        <is>
          <t>IPAC_MTP</t>
        </is>
      </c>
      <c r="E127" s="1" t="inlineStr">
        <is>
          <t>IPAC</t>
        </is>
      </c>
      <c r="F127" s="1" t="inlineStr">
        <is>
          <t>BAC_CCE</t>
        </is>
      </c>
      <c r="G127" s="1" t="inlineStr">
        <is>
          <t>B1</t>
        </is>
      </c>
      <c r="H127" s="1" t="inlineStr">
        <is>
          <t>ALT</t>
        </is>
      </c>
      <c r="I127" s="1" t="inlineStr">
        <is>
          <t>2027</t>
        </is>
      </c>
      <c r="J127" s="1" t="n">
        <v>39.014904333</v>
      </c>
      <c r="K127" s="1" t="n">
        <v>39.014904333</v>
      </c>
      <c r="L127" s="1" t="n">
        <v>6776.35</v>
      </c>
      <c r="M127" s="1" t="n">
        <v>267889.988368597</v>
      </c>
      <c r="O127" s="25">
        <f>_CALC_MOTEUR!AE127</f>
        <v/>
      </c>
      <c r="P127" s="25">
        <f>_CALC_MOTEUR!AF127</f>
        <v/>
      </c>
      <c r="Q127" s="27">
        <f>_CALC_MOTEUR!AG127</f>
        <v/>
      </c>
      <c r="R127" s="25">
        <f>_CALC_MOTEUR!AH127</f>
        <v/>
      </c>
      <c r="S127" s="25">
        <f>R127-M127</f>
        <v/>
      </c>
    </row>
    <row r="128">
      <c r="A128" s="9" t="inlineStr">
        <is>
          <t>2027BUD_V1</t>
        </is>
      </c>
      <c r="B128" s="1" t="inlineStr">
        <is>
          <t>V01</t>
        </is>
      </c>
      <c r="C128" s="1" t="inlineStr">
        <is>
          <t>12</t>
        </is>
      </c>
      <c r="D128" s="1" t="inlineStr">
        <is>
          <t>IPAC_MTP</t>
        </is>
      </c>
      <c r="E128" s="1" t="inlineStr">
        <is>
          <t>IPAC</t>
        </is>
      </c>
      <c r="F128" s="1" t="inlineStr">
        <is>
          <t>BAC_CCE</t>
        </is>
      </c>
      <c r="G128" s="1" t="inlineStr">
        <is>
          <t>B2</t>
        </is>
      </c>
      <c r="H128" s="1" t="inlineStr">
        <is>
          <t>ALT</t>
        </is>
      </c>
      <c r="I128" s="1" t="inlineStr">
        <is>
          <t>2027</t>
        </is>
      </c>
      <c r="J128" s="1" t="n">
        <v>0</v>
      </c>
      <c r="K128" s="1" t="n">
        <v>39.2</v>
      </c>
      <c r="L128" s="1" t="n">
        <v>6776.35</v>
      </c>
      <c r="M128" s="1" t="n">
        <v>265632.92</v>
      </c>
      <c r="O128" s="25">
        <f>_CALC_MOTEUR!AE128</f>
        <v/>
      </c>
      <c r="P128" s="25">
        <f>_CALC_MOTEUR!AF128</f>
        <v/>
      </c>
      <c r="Q128" s="27">
        <f>_CALC_MOTEUR!AG128</f>
        <v/>
      </c>
      <c r="R128" s="25">
        <f>_CALC_MOTEUR!AH128</f>
        <v/>
      </c>
      <c r="S128" s="25">
        <f>R128-M128</f>
        <v/>
      </c>
    </row>
    <row r="129">
      <c r="A129" s="9" t="inlineStr">
        <is>
          <t>2027BUD_V1</t>
        </is>
      </c>
      <c r="B129" s="1" t="inlineStr">
        <is>
          <t>V02</t>
        </is>
      </c>
      <c r="C129" s="1" t="inlineStr">
        <is>
          <t>12</t>
        </is>
      </c>
      <c r="D129" s="1" t="inlineStr">
        <is>
          <t>IPAC_MTP</t>
        </is>
      </c>
      <c r="E129" s="1" t="inlineStr">
        <is>
          <t>IPAC</t>
        </is>
      </c>
      <c r="F129" s="1" t="inlineStr">
        <is>
          <t>BAC_CCE</t>
        </is>
      </c>
      <c r="G129" s="1" t="inlineStr">
        <is>
          <t>B2</t>
        </is>
      </c>
      <c r="H129" s="1" t="inlineStr">
        <is>
          <t>ALT</t>
        </is>
      </c>
      <c r="I129" s="1" t="inlineStr">
        <is>
          <t>2027</t>
        </is>
      </c>
      <c r="J129" s="1" t="n">
        <v>0</v>
      </c>
      <c r="K129" s="1" t="n">
        <v>39.6</v>
      </c>
      <c r="L129" s="1" t="n">
        <v>6871.1125</v>
      </c>
      <c r="M129" s="1" t="n">
        <v>272096.055</v>
      </c>
      <c r="O129" s="25">
        <f>_CALC_MOTEUR!AE129</f>
        <v/>
      </c>
      <c r="P129" s="25">
        <f>_CALC_MOTEUR!AF129</f>
        <v/>
      </c>
      <c r="Q129" s="27">
        <f>_CALC_MOTEUR!AG129</f>
        <v/>
      </c>
      <c r="R129" s="25">
        <f>_CALC_MOTEUR!AH129</f>
        <v/>
      </c>
      <c r="S129" s="25">
        <f>R129-M129</f>
        <v/>
      </c>
    </row>
    <row r="130">
      <c r="A130" s="9" t="inlineStr">
        <is>
          <t>2027BUD_V1</t>
        </is>
      </c>
      <c r="B130" s="1" t="inlineStr">
        <is>
          <t>V03</t>
        </is>
      </c>
      <c r="C130" s="1" t="inlineStr">
        <is>
          <t>12</t>
        </is>
      </c>
      <c r="D130" s="1" t="inlineStr">
        <is>
          <t>IPAC_MTP</t>
        </is>
      </c>
      <c r="E130" s="1" t="inlineStr">
        <is>
          <t>IPAC</t>
        </is>
      </c>
      <c r="F130" s="1" t="inlineStr">
        <is>
          <t>BAC_CCE</t>
        </is>
      </c>
      <c r="G130" s="1" t="inlineStr">
        <is>
          <t>B2</t>
        </is>
      </c>
      <c r="H130" s="1" t="inlineStr">
        <is>
          <t>ALT</t>
        </is>
      </c>
      <c r="I130" s="1" t="inlineStr">
        <is>
          <t>2027</t>
        </is>
      </c>
      <c r="J130" s="1" t="n">
        <v>0</v>
      </c>
      <c r="K130" s="1" t="n">
        <v>38.6</v>
      </c>
      <c r="L130" s="1" t="n">
        <v>6776.35</v>
      </c>
      <c r="M130" s="1" t="n">
        <v>261567.11</v>
      </c>
      <c r="O130" s="25">
        <f>_CALC_MOTEUR!AE130</f>
        <v/>
      </c>
      <c r="P130" s="25">
        <f>_CALC_MOTEUR!AF130</f>
        <v/>
      </c>
      <c r="Q130" s="27">
        <f>_CALC_MOTEUR!AG130</f>
        <v/>
      </c>
      <c r="R130" s="25">
        <f>_CALC_MOTEUR!AH130</f>
        <v/>
      </c>
      <c r="S130" s="25">
        <f>R130-M130</f>
        <v/>
      </c>
    </row>
    <row r="131">
      <c r="A131" s="9" t="inlineStr">
        <is>
          <t>2027BUD_V1</t>
        </is>
      </c>
      <c r="B131" s="1" t="inlineStr">
        <is>
          <t>V01</t>
        </is>
      </c>
      <c r="C131" s="1" t="inlineStr">
        <is>
          <t>12</t>
        </is>
      </c>
      <c r="D131" s="1" t="inlineStr">
        <is>
          <t>IPAC_MTP</t>
        </is>
      </c>
      <c r="E131" s="1" t="inlineStr">
        <is>
          <t>IPAC</t>
        </is>
      </c>
      <c r="F131" s="1" t="inlineStr">
        <is>
          <t>BAC_CCE</t>
        </is>
      </c>
      <c r="G131" s="1" t="inlineStr">
        <is>
          <t>B3</t>
        </is>
      </c>
      <c r="H131" s="1" t="inlineStr">
        <is>
          <t>ALT</t>
        </is>
      </c>
      <c r="I131" s="1" t="inlineStr">
        <is>
          <t>2027</t>
        </is>
      </c>
      <c r="J131" s="1" t="n">
        <v>0</v>
      </c>
      <c r="K131" s="1" t="n">
        <v>38.195</v>
      </c>
      <c r="L131" s="1" t="n">
        <v>6776.35</v>
      </c>
      <c r="M131" s="1" t="n">
        <v>258822.68825</v>
      </c>
      <c r="O131" s="25">
        <f>_CALC_MOTEUR!AE131</f>
        <v/>
      </c>
      <c r="P131" s="25">
        <f>_CALC_MOTEUR!AF131</f>
        <v/>
      </c>
      <c r="Q131" s="27">
        <f>_CALC_MOTEUR!AG131</f>
        <v/>
      </c>
      <c r="R131" s="25">
        <f>_CALC_MOTEUR!AH131</f>
        <v/>
      </c>
      <c r="S131" s="25">
        <f>R131-M131</f>
        <v/>
      </c>
    </row>
    <row r="132">
      <c r="A132" s="9" t="inlineStr">
        <is>
          <t>2027BUD_V1</t>
        </is>
      </c>
      <c r="B132" s="1" t="inlineStr">
        <is>
          <t>V02</t>
        </is>
      </c>
      <c r="C132" s="1" t="inlineStr">
        <is>
          <t>12</t>
        </is>
      </c>
      <c r="D132" s="1" t="inlineStr">
        <is>
          <t>IPAC_MTP</t>
        </is>
      </c>
      <c r="E132" s="1" t="inlineStr">
        <is>
          <t>IPAC</t>
        </is>
      </c>
      <c r="F132" s="1" t="inlineStr">
        <is>
          <t>BAC_CCE</t>
        </is>
      </c>
      <c r="G132" s="1" t="inlineStr">
        <is>
          <t>B3</t>
        </is>
      </c>
      <c r="H132" s="1" t="inlineStr">
        <is>
          <t>ALT</t>
        </is>
      </c>
      <c r="I132" s="1" t="inlineStr">
        <is>
          <t>2027</t>
        </is>
      </c>
      <c r="J132" s="1" t="n">
        <v>0</v>
      </c>
      <c r="K132" s="1" t="n">
        <v>38.585</v>
      </c>
      <c r="L132" s="1" t="n">
        <v>6871.1125</v>
      </c>
      <c r="M132" s="1" t="n">
        <v>265121.8758125</v>
      </c>
      <c r="O132" s="25">
        <f>_CALC_MOTEUR!AE132</f>
        <v/>
      </c>
      <c r="P132" s="25">
        <f>_CALC_MOTEUR!AF132</f>
        <v/>
      </c>
      <c r="Q132" s="27">
        <f>_CALC_MOTEUR!AG132</f>
        <v/>
      </c>
      <c r="R132" s="25">
        <f>_CALC_MOTEUR!AH132</f>
        <v/>
      </c>
      <c r="S132" s="25">
        <f>R132-M132</f>
        <v/>
      </c>
    </row>
    <row r="133">
      <c r="A133" s="9" t="inlineStr">
        <is>
          <t>2027BUD_V1</t>
        </is>
      </c>
      <c r="B133" s="1" t="inlineStr">
        <is>
          <t>V03</t>
        </is>
      </c>
      <c r="C133" s="1" t="inlineStr">
        <is>
          <t>12</t>
        </is>
      </c>
      <c r="D133" s="1" t="inlineStr">
        <is>
          <t>IPAC_MTP</t>
        </is>
      </c>
      <c r="E133" s="1" t="inlineStr">
        <is>
          <t>IPAC</t>
        </is>
      </c>
      <c r="F133" s="1" t="inlineStr">
        <is>
          <t>BAC_CCE</t>
        </is>
      </c>
      <c r="G133" s="1" t="inlineStr">
        <is>
          <t>B3</t>
        </is>
      </c>
      <c r="H133" s="1" t="inlineStr">
        <is>
          <t>ALT</t>
        </is>
      </c>
      <c r="I133" s="1" t="inlineStr">
        <is>
          <t>2027</t>
        </is>
      </c>
      <c r="J133" s="1" t="n">
        <v>0</v>
      </c>
      <c r="K133" s="1" t="n">
        <v>37.61</v>
      </c>
      <c r="L133" s="1" t="n">
        <v>6776.35</v>
      </c>
      <c r="M133" s="1" t="n">
        <v>254858.5235</v>
      </c>
      <c r="O133" s="25">
        <f>_CALC_MOTEUR!AE133</f>
        <v/>
      </c>
      <c r="P133" s="25">
        <f>_CALC_MOTEUR!AF133</f>
        <v/>
      </c>
      <c r="Q133" s="27">
        <f>_CALC_MOTEUR!AG133</f>
        <v/>
      </c>
      <c r="R133" s="25">
        <f>_CALC_MOTEUR!AH133</f>
        <v/>
      </c>
      <c r="S133" s="25">
        <f>R133-M133</f>
        <v/>
      </c>
    </row>
    <row r="134">
      <c r="A134" s="9" t="inlineStr">
        <is>
          <t>2027BUD_V1</t>
        </is>
      </c>
      <c r="B134" s="1" t="inlineStr">
        <is>
          <t>V01</t>
        </is>
      </c>
      <c r="C134" s="1" t="inlineStr">
        <is>
          <t>12</t>
        </is>
      </c>
      <c r="D134" s="1" t="inlineStr">
        <is>
          <t>PIGIER_LYO</t>
        </is>
      </c>
      <c r="E134" s="1" t="inlineStr">
        <is>
          <t>PIGIER</t>
        </is>
      </c>
      <c r="F134" s="1" t="inlineStr">
        <is>
          <t>BTS_GES</t>
        </is>
      </c>
      <c r="G134" s="1" t="inlineStr">
        <is>
          <t>BTS1</t>
        </is>
      </c>
      <c r="H134" s="1" t="inlineStr">
        <is>
          <t>ALT</t>
        </is>
      </c>
      <c r="I134" s="1" t="inlineStr">
        <is>
          <t>2027</t>
        </is>
      </c>
      <c r="J134" s="1" t="n">
        <v>51.131254823</v>
      </c>
      <c r="K134" s="1" t="n">
        <v>51.131254823</v>
      </c>
      <c r="L134" s="1" t="n">
        <v>6413.4</v>
      </c>
      <c r="M134" s="1" t="n">
        <v>332527.002618496</v>
      </c>
      <c r="O134" s="25">
        <f>_CALC_MOTEUR!AE134</f>
        <v/>
      </c>
      <c r="P134" s="25">
        <f>_CALC_MOTEUR!AF134</f>
        <v/>
      </c>
      <c r="Q134" s="27">
        <f>_CALC_MOTEUR!AG134</f>
        <v/>
      </c>
      <c r="R134" s="25">
        <f>_CALC_MOTEUR!AH134</f>
        <v/>
      </c>
      <c r="S134" s="25">
        <f>R134-M134</f>
        <v/>
      </c>
    </row>
    <row r="135">
      <c r="A135" s="9" t="inlineStr">
        <is>
          <t>2027BUD_V1</t>
        </is>
      </c>
      <c r="B135" s="1" t="inlineStr">
        <is>
          <t>V02</t>
        </is>
      </c>
      <c r="C135" s="1" t="inlineStr">
        <is>
          <t>12</t>
        </is>
      </c>
      <c r="D135" s="1" t="inlineStr">
        <is>
          <t>PIGIER_LYO</t>
        </is>
      </c>
      <c r="E135" s="1" t="inlineStr">
        <is>
          <t>PIGIER</t>
        </is>
      </c>
      <c r="F135" s="1" t="inlineStr">
        <is>
          <t>BTS_GES</t>
        </is>
      </c>
      <c r="G135" s="1" t="inlineStr">
        <is>
          <t>BTS1</t>
        </is>
      </c>
      <c r="H135" s="1" t="inlineStr">
        <is>
          <t>ALT</t>
        </is>
      </c>
      <c r="I135" s="1" t="inlineStr">
        <is>
          <t>2027</t>
        </is>
      </c>
      <c r="J135" s="1" t="n">
        <v>59.649701021</v>
      </c>
      <c r="K135" s="1" t="n">
        <v>59.649701021</v>
      </c>
      <c r="L135" s="1" t="n">
        <v>6498.45</v>
      </c>
      <c r="M135" s="1" t="n">
        <v>392999.072688801</v>
      </c>
      <c r="O135" s="25">
        <f>_CALC_MOTEUR!AE135</f>
        <v/>
      </c>
      <c r="P135" s="25">
        <f>_CALC_MOTEUR!AF135</f>
        <v/>
      </c>
      <c r="Q135" s="27">
        <f>_CALC_MOTEUR!AG135</f>
        <v/>
      </c>
      <c r="R135" s="25">
        <f>_CALC_MOTEUR!AH135</f>
        <v/>
      </c>
      <c r="S135" s="25">
        <f>R135-M135</f>
        <v/>
      </c>
    </row>
    <row r="136">
      <c r="A136" s="9" t="inlineStr">
        <is>
          <t>2027BUD_V1</t>
        </is>
      </c>
      <c r="B136" s="1" t="inlineStr">
        <is>
          <t>V03</t>
        </is>
      </c>
      <c r="C136" s="1" t="inlineStr">
        <is>
          <t>12</t>
        </is>
      </c>
      <c r="D136" s="1" t="inlineStr">
        <is>
          <t>PIGIER_LYO</t>
        </is>
      </c>
      <c r="E136" s="1" t="inlineStr">
        <is>
          <t>PIGIER</t>
        </is>
      </c>
      <c r="F136" s="1" t="inlineStr">
        <is>
          <t>BTS_GES</t>
        </is>
      </c>
      <c r="G136" s="1" t="inlineStr">
        <is>
          <t>BTS1</t>
        </is>
      </c>
      <c r="H136" s="1" t="inlineStr">
        <is>
          <t>ALT</t>
        </is>
      </c>
      <c r="I136" s="1" t="inlineStr">
        <is>
          <t>2027</t>
        </is>
      </c>
      <c r="J136" s="1" t="n">
        <v>45.07829622</v>
      </c>
      <c r="K136" s="1" t="n">
        <v>45.07829622</v>
      </c>
      <c r="L136" s="1" t="n">
        <v>6413.4</v>
      </c>
      <c r="M136" s="1" t="n">
        <v>293162.191636991</v>
      </c>
      <c r="O136" s="25">
        <f>_CALC_MOTEUR!AE136</f>
        <v/>
      </c>
      <c r="P136" s="25">
        <f>_CALC_MOTEUR!AF136</f>
        <v/>
      </c>
      <c r="Q136" s="27">
        <f>_CALC_MOTEUR!AG136</f>
        <v/>
      </c>
      <c r="R136" s="25">
        <f>_CALC_MOTEUR!AH136</f>
        <v/>
      </c>
      <c r="S136" s="25">
        <f>R136-M136</f>
        <v/>
      </c>
    </row>
    <row r="137">
      <c r="A137" s="9" t="inlineStr">
        <is>
          <t>2027BUD_V1</t>
        </is>
      </c>
      <c r="B137" s="1" t="inlineStr">
        <is>
          <t>V01</t>
        </is>
      </c>
      <c r="C137" s="1" t="inlineStr">
        <is>
          <t>12</t>
        </is>
      </c>
      <c r="D137" s="1" t="inlineStr">
        <is>
          <t>PIGIER_LYO</t>
        </is>
      </c>
      <c r="E137" s="1" t="inlineStr">
        <is>
          <t>PIGIER</t>
        </is>
      </c>
      <c r="F137" s="1" t="inlineStr">
        <is>
          <t>BTS_GES</t>
        </is>
      </c>
      <c r="G137" s="1" t="inlineStr">
        <is>
          <t>BTS2</t>
        </is>
      </c>
      <c r="H137" s="1" t="inlineStr">
        <is>
          <t>ALT</t>
        </is>
      </c>
      <c r="I137" s="1" t="inlineStr">
        <is>
          <t>2027</t>
        </is>
      </c>
      <c r="J137" s="1" t="n">
        <v>0</v>
      </c>
      <c r="K137" s="1" t="n">
        <v>45.23</v>
      </c>
      <c r="L137" s="1" t="n">
        <v>6413.4</v>
      </c>
      <c r="M137" s="1" t="n">
        <v>290078.082</v>
      </c>
      <c r="O137" s="25">
        <f>_CALC_MOTEUR!AE137</f>
        <v/>
      </c>
      <c r="P137" s="25">
        <f>_CALC_MOTEUR!AF137</f>
        <v/>
      </c>
      <c r="Q137" s="27">
        <f>_CALC_MOTEUR!AG137</f>
        <v/>
      </c>
      <c r="R137" s="25">
        <f>_CALC_MOTEUR!AH137</f>
        <v/>
      </c>
      <c r="S137" s="25">
        <f>R137-M137</f>
        <v/>
      </c>
    </row>
    <row r="138">
      <c r="A138" s="9" t="inlineStr">
        <is>
          <t>2027BUD_V1</t>
        </is>
      </c>
      <c r="B138" s="1" t="inlineStr">
        <is>
          <t>V02</t>
        </is>
      </c>
      <c r="C138" s="1" t="inlineStr">
        <is>
          <t>12</t>
        </is>
      </c>
      <c r="D138" s="1" t="inlineStr">
        <is>
          <t>PIGIER_LYO</t>
        </is>
      </c>
      <c r="E138" s="1" t="inlineStr">
        <is>
          <t>PIGIER</t>
        </is>
      </c>
      <c r="F138" s="1" t="inlineStr">
        <is>
          <t>BTS_GES</t>
        </is>
      </c>
      <c r="G138" s="1" t="inlineStr">
        <is>
          <t>BTS2</t>
        </is>
      </c>
      <c r="H138" s="1" t="inlineStr">
        <is>
          <t>ALT</t>
        </is>
      </c>
      <c r="I138" s="1" t="inlineStr">
        <is>
          <t>2027</t>
        </is>
      </c>
      <c r="J138" s="1" t="n">
        <v>0</v>
      </c>
      <c r="K138" s="1" t="n">
        <v>45.69</v>
      </c>
      <c r="L138" s="1" t="n">
        <v>6498.45</v>
      </c>
      <c r="M138" s="1" t="n">
        <v>296914.1805</v>
      </c>
      <c r="O138" s="25">
        <f>_CALC_MOTEUR!AE138</f>
        <v/>
      </c>
      <c r="P138" s="25">
        <f>_CALC_MOTEUR!AF138</f>
        <v/>
      </c>
      <c r="Q138" s="27">
        <f>_CALC_MOTEUR!AG138</f>
        <v/>
      </c>
      <c r="R138" s="25">
        <f>_CALC_MOTEUR!AH138</f>
        <v/>
      </c>
      <c r="S138" s="25">
        <f>R138-M138</f>
        <v/>
      </c>
    </row>
    <row r="139">
      <c r="A139" s="9" t="inlineStr">
        <is>
          <t>2027BUD_V1</t>
        </is>
      </c>
      <c r="B139" s="1" t="inlineStr">
        <is>
          <t>V03</t>
        </is>
      </c>
      <c r="C139" s="1" t="inlineStr">
        <is>
          <t>12</t>
        </is>
      </c>
      <c r="D139" s="1" t="inlineStr">
        <is>
          <t>PIGIER_LYO</t>
        </is>
      </c>
      <c r="E139" s="1" t="inlineStr">
        <is>
          <t>PIGIER</t>
        </is>
      </c>
      <c r="F139" s="1" t="inlineStr">
        <is>
          <t>BTS_GES</t>
        </is>
      </c>
      <c r="G139" s="1" t="inlineStr">
        <is>
          <t>BTS2</t>
        </is>
      </c>
      <c r="H139" s="1" t="inlineStr">
        <is>
          <t>ALT</t>
        </is>
      </c>
      <c r="I139" s="1" t="inlineStr">
        <is>
          <t>2027</t>
        </is>
      </c>
      <c r="J139" s="1" t="n">
        <v>0</v>
      </c>
      <c r="K139" s="1" t="n">
        <v>44.54</v>
      </c>
      <c r="L139" s="1" t="n">
        <v>6413.4</v>
      </c>
      <c r="M139" s="1" t="n">
        <v>285652.836</v>
      </c>
      <c r="O139" s="25">
        <f>_CALC_MOTEUR!AE139</f>
        <v/>
      </c>
      <c r="P139" s="25">
        <f>_CALC_MOTEUR!AF139</f>
        <v/>
      </c>
      <c r="Q139" s="27">
        <f>_CALC_MOTEUR!AG139</f>
        <v/>
      </c>
      <c r="R139" s="25">
        <f>_CALC_MOTEUR!AH139</f>
        <v/>
      </c>
      <c r="S139" s="25">
        <f>R139-M139</f>
        <v/>
      </c>
    </row>
    <row r="140">
      <c r="A140" s="9" t="inlineStr">
        <is>
          <t>2027BUD_V1</t>
        </is>
      </c>
      <c r="B140" s="1" t="inlineStr">
        <is>
          <t>V01</t>
        </is>
      </c>
      <c r="C140" s="1" t="inlineStr">
        <is>
          <t>12</t>
        </is>
      </c>
      <c r="D140" s="1" t="inlineStr">
        <is>
          <t>PIGIER_LYO</t>
        </is>
      </c>
      <c r="E140" s="1" t="inlineStr">
        <is>
          <t>PIGIER</t>
        </is>
      </c>
      <c r="F140" s="1" t="inlineStr">
        <is>
          <t>BAC_RH</t>
        </is>
      </c>
      <c r="G140" s="1" t="inlineStr">
        <is>
          <t>B1</t>
        </is>
      </c>
      <c r="H140" s="1" t="inlineStr">
        <is>
          <t>ALT</t>
        </is>
      </c>
      <c r="I140" s="1" t="inlineStr">
        <is>
          <t>2027</t>
        </is>
      </c>
      <c r="J140" s="1" t="n">
        <v>51.131254823</v>
      </c>
      <c r="K140" s="1" t="n">
        <v>51.131254823</v>
      </c>
      <c r="L140" s="1" t="n">
        <v>7482.3</v>
      </c>
      <c r="M140" s="1" t="n">
        <v>387181.200899228</v>
      </c>
      <c r="O140" s="25">
        <f>_CALC_MOTEUR!AE140</f>
        <v/>
      </c>
      <c r="P140" s="25">
        <f>_CALC_MOTEUR!AF140</f>
        <v/>
      </c>
      <c r="Q140" s="27">
        <f>_CALC_MOTEUR!AG140</f>
        <v/>
      </c>
      <c r="R140" s="25">
        <f>_CALC_MOTEUR!AH140</f>
        <v/>
      </c>
      <c r="S140" s="25">
        <f>R140-M140</f>
        <v/>
      </c>
    </row>
    <row r="141">
      <c r="A141" s="9" t="inlineStr">
        <is>
          <t>2027BUD_V1</t>
        </is>
      </c>
      <c r="B141" s="1" t="inlineStr">
        <is>
          <t>V02</t>
        </is>
      </c>
      <c r="C141" s="1" t="inlineStr">
        <is>
          <t>12</t>
        </is>
      </c>
      <c r="D141" s="1" t="inlineStr">
        <is>
          <t>PIGIER_LYO</t>
        </is>
      </c>
      <c r="E141" s="1" t="inlineStr">
        <is>
          <t>PIGIER</t>
        </is>
      </c>
      <c r="F141" s="1" t="inlineStr">
        <is>
          <t>BAC_RH</t>
        </is>
      </c>
      <c r="G141" s="1" t="inlineStr">
        <is>
          <t>B1</t>
        </is>
      </c>
      <c r="H141" s="1" t="inlineStr">
        <is>
          <t>ALT</t>
        </is>
      </c>
      <c r="I141" s="1" t="inlineStr">
        <is>
          <t>2027</t>
        </is>
      </c>
      <c r="J141" s="1" t="n">
        <v>59.649701021</v>
      </c>
      <c r="K141" s="1" t="n">
        <v>59.649701021</v>
      </c>
      <c r="L141" s="1" t="n">
        <v>7581.525</v>
      </c>
      <c r="M141" s="1" t="n">
        <v>457604.172621626</v>
      </c>
      <c r="O141" s="25">
        <f>_CALC_MOTEUR!AE141</f>
        <v/>
      </c>
      <c r="P141" s="25">
        <f>_CALC_MOTEUR!AF141</f>
        <v/>
      </c>
      <c r="Q141" s="27">
        <f>_CALC_MOTEUR!AG141</f>
        <v/>
      </c>
      <c r="R141" s="25">
        <f>_CALC_MOTEUR!AH141</f>
        <v/>
      </c>
      <c r="S141" s="25">
        <f>R141-M141</f>
        <v/>
      </c>
    </row>
    <row r="142">
      <c r="A142" s="9" t="inlineStr">
        <is>
          <t>2027BUD_V1</t>
        </is>
      </c>
      <c r="B142" s="1" t="inlineStr">
        <is>
          <t>V03</t>
        </is>
      </c>
      <c r="C142" s="1" t="inlineStr">
        <is>
          <t>12</t>
        </is>
      </c>
      <c r="D142" s="1" t="inlineStr">
        <is>
          <t>PIGIER_LYO</t>
        </is>
      </c>
      <c r="E142" s="1" t="inlineStr">
        <is>
          <t>PIGIER</t>
        </is>
      </c>
      <c r="F142" s="1" t="inlineStr">
        <is>
          <t>BAC_RH</t>
        </is>
      </c>
      <c r="G142" s="1" t="inlineStr">
        <is>
          <t>B1</t>
        </is>
      </c>
      <c r="H142" s="1" t="inlineStr">
        <is>
          <t>ALT</t>
        </is>
      </c>
      <c r="I142" s="1" t="inlineStr">
        <is>
          <t>2027</t>
        </is>
      </c>
      <c r="J142" s="1" t="n">
        <v>45.07829622</v>
      </c>
      <c r="K142" s="1" t="n">
        <v>45.07829622</v>
      </c>
      <c r="L142" s="1" t="n">
        <v>7482.3</v>
      </c>
      <c r="M142" s="1" t="n">
        <v>341346.382466524</v>
      </c>
      <c r="O142" s="25">
        <f>_CALC_MOTEUR!AE142</f>
        <v/>
      </c>
      <c r="P142" s="25">
        <f>_CALC_MOTEUR!AF142</f>
        <v/>
      </c>
      <c r="Q142" s="27">
        <f>_CALC_MOTEUR!AG142</f>
        <v/>
      </c>
      <c r="R142" s="25">
        <f>_CALC_MOTEUR!AH142</f>
        <v/>
      </c>
      <c r="S142" s="25">
        <f>R142-M142</f>
        <v/>
      </c>
    </row>
    <row r="143">
      <c r="A143" s="9" t="inlineStr">
        <is>
          <t>2027BUD_V1</t>
        </is>
      </c>
      <c r="B143" s="1" t="inlineStr">
        <is>
          <t>V01</t>
        </is>
      </c>
      <c r="C143" s="1" t="inlineStr">
        <is>
          <t>12</t>
        </is>
      </c>
      <c r="D143" s="1" t="inlineStr">
        <is>
          <t>PIGIER_LYO</t>
        </is>
      </c>
      <c r="E143" s="1" t="inlineStr">
        <is>
          <t>PIGIER</t>
        </is>
      </c>
      <c r="F143" s="1" t="inlineStr">
        <is>
          <t>BAC_RH</t>
        </is>
      </c>
      <c r="G143" s="1" t="inlineStr">
        <is>
          <t>B3</t>
        </is>
      </c>
      <c r="H143" s="1" t="inlineStr">
        <is>
          <t>ALT</t>
        </is>
      </c>
      <c r="I143" s="1" t="inlineStr">
        <is>
          <t>2027</t>
        </is>
      </c>
      <c r="J143" s="1" t="n">
        <v>0</v>
      </c>
      <c r="K143" s="1" t="n">
        <v>45.23</v>
      </c>
      <c r="L143" s="1" t="n">
        <v>7482.3</v>
      </c>
      <c r="M143" s="1" t="n">
        <v>338424.429</v>
      </c>
      <c r="O143" s="25">
        <f>_CALC_MOTEUR!AE143</f>
        <v/>
      </c>
      <c r="P143" s="25">
        <f>_CALC_MOTEUR!AF143</f>
        <v/>
      </c>
      <c r="Q143" s="27">
        <f>_CALC_MOTEUR!AG143</f>
        <v/>
      </c>
      <c r="R143" s="25">
        <f>_CALC_MOTEUR!AH143</f>
        <v/>
      </c>
      <c r="S143" s="25">
        <f>R143-M143</f>
        <v/>
      </c>
    </row>
    <row r="144">
      <c r="A144" s="9" t="inlineStr">
        <is>
          <t>2027BUD_V1</t>
        </is>
      </c>
      <c r="B144" s="1" t="inlineStr">
        <is>
          <t>V02</t>
        </is>
      </c>
      <c r="C144" s="1" t="inlineStr">
        <is>
          <t>12</t>
        </is>
      </c>
      <c r="D144" s="1" t="inlineStr">
        <is>
          <t>PIGIER_LYO</t>
        </is>
      </c>
      <c r="E144" s="1" t="inlineStr">
        <is>
          <t>PIGIER</t>
        </is>
      </c>
      <c r="F144" s="1" t="inlineStr">
        <is>
          <t>BAC_RH</t>
        </is>
      </c>
      <c r="G144" s="1" t="inlineStr">
        <is>
          <t>B3</t>
        </is>
      </c>
      <c r="H144" s="1" t="inlineStr">
        <is>
          <t>ALT</t>
        </is>
      </c>
      <c r="I144" s="1" t="inlineStr">
        <is>
          <t>2027</t>
        </is>
      </c>
      <c r="J144" s="1" t="n">
        <v>0</v>
      </c>
      <c r="K144" s="1" t="n">
        <v>45.69</v>
      </c>
      <c r="L144" s="1" t="n">
        <v>7581.525</v>
      </c>
      <c r="M144" s="1" t="n">
        <v>346399.87725</v>
      </c>
      <c r="O144" s="25">
        <f>_CALC_MOTEUR!AE144</f>
        <v/>
      </c>
      <c r="P144" s="25">
        <f>_CALC_MOTEUR!AF144</f>
        <v/>
      </c>
      <c r="Q144" s="27">
        <f>_CALC_MOTEUR!AG144</f>
        <v/>
      </c>
      <c r="R144" s="25">
        <f>_CALC_MOTEUR!AH144</f>
        <v/>
      </c>
      <c r="S144" s="25">
        <f>R144-M144</f>
        <v/>
      </c>
    </row>
    <row r="145">
      <c r="A145" s="9" t="inlineStr">
        <is>
          <t>2027BUD_V1</t>
        </is>
      </c>
      <c r="B145" s="1" t="inlineStr">
        <is>
          <t>V03</t>
        </is>
      </c>
      <c r="C145" s="1" t="inlineStr">
        <is>
          <t>12</t>
        </is>
      </c>
      <c r="D145" s="1" t="inlineStr">
        <is>
          <t>PIGIER_LYO</t>
        </is>
      </c>
      <c r="E145" s="1" t="inlineStr">
        <is>
          <t>PIGIER</t>
        </is>
      </c>
      <c r="F145" s="1" t="inlineStr">
        <is>
          <t>BAC_RH</t>
        </is>
      </c>
      <c r="G145" s="1" t="inlineStr">
        <is>
          <t>B3</t>
        </is>
      </c>
      <c r="H145" s="1" t="inlineStr">
        <is>
          <t>ALT</t>
        </is>
      </c>
      <c r="I145" s="1" t="inlineStr">
        <is>
          <t>2027</t>
        </is>
      </c>
      <c r="J145" s="1" t="n">
        <v>0</v>
      </c>
      <c r="K145" s="1" t="n">
        <v>44.54</v>
      </c>
      <c r="L145" s="1" t="n">
        <v>7482.3</v>
      </c>
      <c r="M145" s="1" t="n">
        <v>333261.642</v>
      </c>
      <c r="O145" s="25">
        <f>_CALC_MOTEUR!AE145</f>
        <v/>
      </c>
      <c r="P145" s="25">
        <f>_CALC_MOTEUR!AF145</f>
        <v/>
      </c>
      <c r="Q145" s="27">
        <f>_CALC_MOTEUR!AG145</f>
        <v/>
      </c>
      <c r="R145" s="25">
        <f>_CALC_MOTEUR!AH145</f>
        <v/>
      </c>
      <c r="S145" s="25">
        <f>R145-M145</f>
        <v/>
      </c>
    </row>
    <row r="146">
      <c r="A146" s="9" t="inlineStr">
        <is>
          <t>2027BUD_V1</t>
        </is>
      </c>
      <c r="B146" s="1" t="inlineStr">
        <is>
          <t>V01</t>
        </is>
      </c>
      <c r="C146" s="1" t="inlineStr">
        <is>
          <t>12</t>
        </is>
      </c>
      <c r="D146" s="1" t="inlineStr">
        <is>
          <t>PIGIER_BOR</t>
        </is>
      </c>
      <c r="E146" s="1" t="inlineStr">
        <is>
          <t>PIGIER</t>
        </is>
      </c>
      <c r="F146" s="1" t="inlineStr">
        <is>
          <t>BTS_GES</t>
        </is>
      </c>
      <c r="G146" s="1" t="inlineStr">
        <is>
          <t>BTS1</t>
        </is>
      </c>
      <c r="H146" s="1" t="inlineStr">
        <is>
          <t>ALT</t>
        </is>
      </c>
      <c r="I146" s="1" t="inlineStr">
        <is>
          <t>2027</t>
        </is>
      </c>
      <c r="J146" s="1" t="n">
        <v>40.090815642</v>
      </c>
      <c r="K146" s="1" t="n">
        <v>40.090815642</v>
      </c>
      <c r="L146" s="1" t="n">
        <v>5924.76</v>
      </c>
      <c r="M146" s="1" t="n">
        <v>241136.634293568</v>
      </c>
      <c r="O146" s="25">
        <f>_CALC_MOTEUR!AE146</f>
        <v/>
      </c>
      <c r="P146" s="25">
        <f>_CALC_MOTEUR!AF146</f>
        <v/>
      </c>
      <c r="Q146" s="27">
        <f>_CALC_MOTEUR!AG146</f>
        <v/>
      </c>
      <c r="R146" s="25">
        <f>_CALC_MOTEUR!AH146</f>
        <v/>
      </c>
      <c r="S146" s="25">
        <f>R146-M146</f>
        <v/>
      </c>
    </row>
    <row r="147">
      <c r="A147" s="9" t="inlineStr">
        <is>
          <t>2027BUD_V1</t>
        </is>
      </c>
      <c r="B147" s="1" t="inlineStr">
        <is>
          <t>V02</t>
        </is>
      </c>
      <c r="C147" s="1" t="inlineStr">
        <is>
          <t>12</t>
        </is>
      </c>
      <c r="D147" s="1" t="inlineStr">
        <is>
          <t>PIGIER_BOR</t>
        </is>
      </c>
      <c r="E147" s="1" t="inlineStr">
        <is>
          <t>PIGIER</t>
        </is>
      </c>
      <c r="F147" s="1" t="inlineStr">
        <is>
          <t>BTS_GES</t>
        </is>
      </c>
      <c r="G147" s="1" t="inlineStr">
        <is>
          <t>BTS1</t>
        </is>
      </c>
      <c r="H147" s="1" t="inlineStr">
        <is>
          <t>ALT</t>
        </is>
      </c>
      <c r="I147" s="1" t="inlineStr">
        <is>
          <t>2027</t>
        </is>
      </c>
      <c r="J147" s="1" t="n">
        <v>46.853029817</v>
      </c>
      <c r="K147" s="1" t="n">
        <v>46.853029817</v>
      </c>
      <c r="L147" s="1" t="n">
        <v>6003.33</v>
      </c>
      <c r="M147" s="1" t="n">
        <v>285490.97217563</v>
      </c>
      <c r="O147" s="25">
        <f>_CALC_MOTEUR!AE147</f>
        <v/>
      </c>
      <c r="P147" s="25">
        <f>_CALC_MOTEUR!AF147</f>
        <v/>
      </c>
      <c r="Q147" s="27">
        <f>_CALC_MOTEUR!AG147</f>
        <v/>
      </c>
      <c r="R147" s="25">
        <f>_CALC_MOTEUR!AH147</f>
        <v/>
      </c>
      <c r="S147" s="25">
        <f>R147-M147</f>
        <v/>
      </c>
    </row>
    <row r="148">
      <c r="A148" s="9" t="inlineStr">
        <is>
          <t>2027BUD_V1</t>
        </is>
      </c>
      <c r="B148" s="1" t="inlineStr">
        <is>
          <t>V03</t>
        </is>
      </c>
      <c r="C148" s="1" t="inlineStr">
        <is>
          <t>12</t>
        </is>
      </c>
      <c r="D148" s="1" t="inlineStr">
        <is>
          <t>PIGIER_BOR</t>
        </is>
      </c>
      <c r="E148" s="1" t="inlineStr">
        <is>
          <t>PIGIER</t>
        </is>
      </c>
      <c r="F148" s="1" t="inlineStr">
        <is>
          <t>BTS_GES</t>
        </is>
      </c>
      <c r="G148" s="1" t="inlineStr">
        <is>
          <t>BTS1</t>
        </is>
      </c>
      <c r="H148" s="1" t="inlineStr">
        <is>
          <t>ALT</t>
        </is>
      </c>
      <c r="I148" s="1" t="inlineStr">
        <is>
          <t>2027</t>
        </is>
      </c>
      <c r="J148" s="1" t="n">
        <v>35.2463364</v>
      </c>
      <c r="K148" s="1" t="n">
        <v>35.2463364</v>
      </c>
      <c r="L148" s="1" t="n">
        <v>5924.76</v>
      </c>
      <c r="M148" s="1" t="n">
        <v>211998.254328269</v>
      </c>
      <c r="O148" s="25">
        <f>_CALC_MOTEUR!AE148</f>
        <v/>
      </c>
      <c r="P148" s="25">
        <f>_CALC_MOTEUR!AF148</f>
        <v/>
      </c>
      <c r="Q148" s="27">
        <f>_CALC_MOTEUR!AG148</f>
        <v/>
      </c>
      <c r="R148" s="25">
        <f>_CALC_MOTEUR!AH148</f>
        <v/>
      </c>
      <c r="S148" s="25">
        <f>R148-M148</f>
        <v/>
      </c>
    </row>
    <row r="149">
      <c r="A149" s="9" t="inlineStr">
        <is>
          <t>2027BUD_V1</t>
        </is>
      </c>
      <c r="B149" s="1" t="inlineStr">
        <is>
          <t>V01</t>
        </is>
      </c>
      <c r="C149" s="1" t="inlineStr">
        <is>
          <t>12</t>
        </is>
      </c>
      <c r="D149" s="1" t="inlineStr">
        <is>
          <t>PIGIER_BOR</t>
        </is>
      </c>
      <c r="E149" s="1" t="inlineStr">
        <is>
          <t>PIGIER</t>
        </is>
      </c>
      <c r="F149" s="1" t="inlineStr">
        <is>
          <t>BTS_GES</t>
        </is>
      </c>
      <c r="G149" s="1" t="inlineStr">
        <is>
          <t>BTS2</t>
        </is>
      </c>
      <c r="H149" s="1" t="inlineStr">
        <is>
          <t>ALT</t>
        </is>
      </c>
      <c r="I149" s="1" t="inlineStr">
        <is>
          <t>2027</t>
        </is>
      </c>
      <c r="J149" s="1" t="n">
        <v>0</v>
      </c>
      <c r="K149" s="1" t="n">
        <v>35.18</v>
      </c>
      <c r="L149" s="1" t="n">
        <v>5924.76</v>
      </c>
      <c r="M149" s="1" t="n">
        <v>208433.0568</v>
      </c>
      <c r="O149" s="25">
        <f>_CALC_MOTEUR!AE149</f>
        <v/>
      </c>
      <c r="P149" s="25">
        <f>_CALC_MOTEUR!AF149</f>
        <v/>
      </c>
      <c r="Q149" s="27">
        <f>_CALC_MOTEUR!AG149</f>
        <v/>
      </c>
      <c r="R149" s="25">
        <f>_CALC_MOTEUR!AH149</f>
        <v/>
      </c>
      <c r="S149" s="25">
        <f>R149-M149</f>
        <v/>
      </c>
    </row>
    <row r="150">
      <c r="A150" s="9" t="inlineStr">
        <is>
          <t>2027BUD_V1</t>
        </is>
      </c>
      <c r="B150" s="1" t="inlineStr">
        <is>
          <t>V02</t>
        </is>
      </c>
      <c r="C150" s="1" t="inlineStr">
        <is>
          <t>12</t>
        </is>
      </c>
      <c r="D150" s="1" t="inlineStr">
        <is>
          <t>PIGIER_BOR</t>
        </is>
      </c>
      <c r="E150" s="1" t="inlineStr">
        <is>
          <t>PIGIER</t>
        </is>
      </c>
      <c r="F150" s="1" t="inlineStr">
        <is>
          <t>BTS_GES</t>
        </is>
      </c>
      <c r="G150" s="1" t="inlineStr">
        <is>
          <t>BTS2</t>
        </is>
      </c>
      <c r="H150" s="1" t="inlineStr">
        <is>
          <t>ALT</t>
        </is>
      </c>
      <c r="I150" s="1" t="inlineStr">
        <is>
          <t>2027</t>
        </is>
      </c>
      <c r="J150" s="1" t="n">
        <v>0</v>
      </c>
      <c r="K150" s="1" t="n">
        <v>35.54</v>
      </c>
      <c r="L150" s="1" t="n">
        <v>6003.33</v>
      </c>
      <c r="M150" s="1" t="n">
        <v>213358.3482</v>
      </c>
      <c r="O150" s="25">
        <f>_CALC_MOTEUR!AE150</f>
        <v/>
      </c>
      <c r="P150" s="25">
        <f>_CALC_MOTEUR!AF150</f>
        <v/>
      </c>
      <c r="Q150" s="27">
        <f>_CALC_MOTEUR!AG150</f>
        <v/>
      </c>
      <c r="R150" s="25">
        <f>_CALC_MOTEUR!AH150</f>
        <v/>
      </c>
      <c r="S150" s="25">
        <f>R150-M150</f>
        <v/>
      </c>
    </row>
    <row r="151">
      <c r="A151" s="9" t="inlineStr">
        <is>
          <t>2027BUD_V1</t>
        </is>
      </c>
      <c r="B151" s="1" t="inlineStr">
        <is>
          <t>V03</t>
        </is>
      </c>
      <c r="C151" s="1" t="inlineStr">
        <is>
          <t>12</t>
        </is>
      </c>
      <c r="D151" s="1" t="inlineStr">
        <is>
          <t>PIGIER_BOR</t>
        </is>
      </c>
      <c r="E151" s="1" t="inlineStr">
        <is>
          <t>PIGIER</t>
        </is>
      </c>
      <c r="F151" s="1" t="inlineStr">
        <is>
          <t>BTS_GES</t>
        </is>
      </c>
      <c r="G151" s="1" t="inlineStr">
        <is>
          <t>BTS2</t>
        </is>
      </c>
      <c r="H151" s="1" t="inlineStr">
        <is>
          <t>ALT</t>
        </is>
      </c>
      <c r="I151" s="1" t="inlineStr">
        <is>
          <t>2027</t>
        </is>
      </c>
      <c r="J151" s="1" t="n">
        <v>0</v>
      </c>
      <c r="K151" s="1" t="n">
        <v>34.64</v>
      </c>
      <c r="L151" s="1" t="n">
        <v>5924.76</v>
      </c>
      <c r="M151" s="1" t="n">
        <v>205233.6864</v>
      </c>
      <c r="O151" s="25">
        <f>_CALC_MOTEUR!AE151</f>
        <v/>
      </c>
      <c r="P151" s="25">
        <f>_CALC_MOTEUR!AF151</f>
        <v/>
      </c>
      <c r="Q151" s="27">
        <f>_CALC_MOTEUR!AG151</f>
        <v/>
      </c>
      <c r="R151" s="25">
        <f>_CALC_MOTEUR!AH151</f>
        <v/>
      </c>
      <c r="S151" s="25">
        <f>R151-M151</f>
        <v/>
      </c>
    </row>
    <row r="152">
      <c r="A152" s="9" t="inlineStr">
        <is>
          <t>2027BUD_V1</t>
        </is>
      </c>
      <c r="B152" s="1" t="inlineStr">
        <is>
          <t>V01</t>
        </is>
      </c>
      <c r="C152" s="1" t="inlineStr">
        <is>
          <t>12</t>
        </is>
      </c>
      <c r="D152" s="1" t="inlineStr">
        <is>
          <t>PIGIER_BOR</t>
        </is>
      </c>
      <c r="E152" s="1" t="inlineStr">
        <is>
          <t>PIGIER</t>
        </is>
      </c>
      <c r="F152" s="1" t="inlineStr">
        <is>
          <t>BAC_RH</t>
        </is>
      </c>
      <c r="G152" s="1" t="inlineStr">
        <is>
          <t>B1</t>
        </is>
      </c>
      <c r="H152" s="1" t="inlineStr">
        <is>
          <t>ALT</t>
        </is>
      </c>
      <c r="I152" s="1" t="inlineStr">
        <is>
          <t>2027</t>
        </is>
      </c>
      <c r="J152" s="1" t="n">
        <v>40.090815642</v>
      </c>
      <c r="K152" s="1" t="n">
        <v>40.090815642</v>
      </c>
      <c r="L152" s="1" t="n">
        <v>6912.22</v>
      </c>
      <c r="M152" s="1" t="n">
        <v>280724.711107859</v>
      </c>
      <c r="O152" s="25">
        <f>_CALC_MOTEUR!AE152</f>
        <v/>
      </c>
      <c r="P152" s="25">
        <f>_CALC_MOTEUR!AF152</f>
        <v/>
      </c>
      <c r="Q152" s="27">
        <f>_CALC_MOTEUR!AG152</f>
        <v/>
      </c>
      <c r="R152" s="25">
        <f>_CALC_MOTEUR!AH152</f>
        <v/>
      </c>
      <c r="S152" s="25">
        <f>R152-M152</f>
        <v/>
      </c>
    </row>
    <row r="153">
      <c r="A153" s="9" t="inlineStr">
        <is>
          <t>2027BUD_V1</t>
        </is>
      </c>
      <c r="B153" s="1" t="inlineStr">
        <is>
          <t>V02</t>
        </is>
      </c>
      <c r="C153" s="1" t="inlineStr">
        <is>
          <t>12</t>
        </is>
      </c>
      <c r="D153" s="1" t="inlineStr">
        <is>
          <t>PIGIER_BOR</t>
        </is>
      </c>
      <c r="E153" s="1" t="inlineStr">
        <is>
          <t>PIGIER</t>
        </is>
      </c>
      <c r="F153" s="1" t="inlineStr">
        <is>
          <t>BAC_RH</t>
        </is>
      </c>
      <c r="G153" s="1" t="inlineStr">
        <is>
          <t>B1</t>
        </is>
      </c>
      <c r="H153" s="1" t="inlineStr">
        <is>
          <t>ALT</t>
        </is>
      </c>
      <c r="I153" s="1" t="inlineStr">
        <is>
          <t>2027</t>
        </is>
      </c>
      <c r="J153" s="1" t="n">
        <v>46.853029817</v>
      </c>
      <c r="K153" s="1" t="n">
        <v>46.853029817</v>
      </c>
      <c r="L153" s="1" t="n">
        <v>7003.885</v>
      </c>
      <c r="M153" s="1" t="n">
        <v>332370.005424312</v>
      </c>
      <c r="O153" s="25">
        <f>_CALC_MOTEUR!AE153</f>
        <v/>
      </c>
      <c r="P153" s="25">
        <f>_CALC_MOTEUR!AF153</f>
        <v/>
      </c>
      <c r="Q153" s="27">
        <f>_CALC_MOTEUR!AG153</f>
        <v/>
      </c>
      <c r="R153" s="25">
        <f>_CALC_MOTEUR!AH153</f>
        <v/>
      </c>
      <c r="S153" s="25">
        <f>R153-M153</f>
        <v/>
      </c>
    </row>
    <row r="154">
      <c r="A154" s="9" t="inlineStr">
        <is>
          <t>2027BUD_V1</t>
        </is>
      </c>
      <c r="B154" s="1" t="inlineStr">
        <is>
          <t>V03</t>
        </is>
      </c>
      <c r="C154" s="1" t="inlineStr">
        <is>
          <t>12</t>
        </is>
      </c>
      <c r="D154" s="1" t="inlineStr">
        <is>
          <t>PIGIER_BOR</t>
        </is>
      </c>
      <c r="E154" s="1" t="inlineStr">
        <is>
          <t>PIGIER</t>
        </is>
      </c>
      <c r="F154" s="1" t="inlineStr">
        <is>
          <t>BAC_RH</t>
        </is>
      </c>
      <c r="G154" s="1" t="inlineStr">
        <is>
          <t>B1</t>
        </is>
      </c>
      <c r="H154" s="1" t="inlineStr">
        <is>
          <t>ALT</t>
        </is>
      </c>
      <c r="I154" s="1" t="inlineStr">
        <is>
          <t>2027</t>
        </is>
      </c>
      <c r="J154" s="1" t="n">
        <v>35.2463364</v>
      </c>
      <c r="K154" s="1" t="n">
        <v>35.2463364</v>
      </c>
      <c r="L154" s="1" t="n">
        <v>6912.22</v>
      </c>
      <c r="M154" s="1" t="n">
        <v>246802.601670306</v>
      </c>
      <c r="O154" s="25">
        <f>_CALC_MOTEUR!AE154</f>
        <v/>
      </c>
      <c r="P154" s="25">
        <f>_CALC_MOTEUR!AF154</f>
        <v/>
      </c>
      <c r="Q154" s="27">
        <f>_CALC_MOTEUR!AG154</f>
        <v/>
      </c>
      <c r="R154" s="25">
        <f>_CALC_MOTEUR!AH154</f>
        <v/>
      </c>
      <c r="S154" s="25">
        <f>R154-M154</f>
        <v/>
      </c>
    </row>
    <row r="155">
      <c r="A155" s="9" t="inlineStr">
        <is>
          <t>2027BUD_V1</t>
        </is>
      </c>
      <c r="B155" s="1" t="inlineStr">
        <is>
          <t>V01</t>
        </is>
      </c>
      <c r="C155" s="1" t="inlineStr">
        <is>
          <t>12</t>
        </is>
      </c>
      <c r="D155" s="1" t="inlineStr">
        <is>
          <t>PIGIER_BOR</t>
        </is>
      </c>
      <c r="E155" s="1" t="inlineStr">
        <is>
          <t>PIGIER</t>
        </is>
      </c>
      <c r="F155" s="1" t="inlineStr">
        <is>
          <t>BAC_RH</t>
        </is>
      </c>
      <c r="G155" s="1" t="inlineStr">
        <is>
          <t>B3</t>
        </is>
      </c>
      <c r="H155" s="1" t="inlineStr">
        <is>
          <t>ALT</t>
        </is>
      </c>
      <c r="I155" s="1" t="inlineStr">
        <is>
          <t>2027</t>
        </is>
      </c>
      <c r="J155" s="1" t="n">
        <v>0</v>
      </c>
      <c r="K155" s="1" t="n">
        <v>35.18</v>
      </c>
      <c r="L155" s="1" t="n">
        <v>6912.22</v>
      </c>
      <c r="M155" s="1" t="n">
        <v>243171.8996</v>
      </c>
      <c r="O155" s="25">
        <f>_CALC_MOTEUR!AE155</f>
        <v/>
      </c>
      <c r="P155" s="25">
        <f>_CALC_MOTEUR!AF155</f>
        <v/>
      </c>
      <c r="Q155" s="27">
        <f>_CALC_MOTEUR!AG155</f>
        <v/>
      </c>
      <c r="R155" s="25">
        <f>_CALC_MOTEUR!AH155</f>
        <v/>
      </c>
      <c r="S155" s="25">
        <f>R155-M155</f>
        <v/>
      </c>
    </row>
    <row r="156">
      <c r="A156" s="9" t="inlineStr">
        <is>
          <t>2027BUD_V1</t>
        </is>
      </c>
      <c r="B156" s="1" t="inlineStr">
        <is>
          <t>V02</t>
        </is>
      </c>
      <c r="C156" s="1" t="inlineStr">
        <is>
          <t>12</t>
        </is>
      </c>
      <c r="D156" s="1" t="inlineStr">
        <is>
          <t>PIGIER_BOR</t>
        </is>
      </c>
      <c r="E156" s="1" t="inlineStr">
        <is>
          <t>PIGIER</t>
        </is>
      </c>
      <c r="F156" s="1" t="inlineStr">
        <is>
          <t>BAC_RH</t>
        </is>
      </c>
      <c r="G156" s="1" t="inlineStr">
        <is>
          <t>B3</t>
        </is>
      </c>
      <c r="H156" s="1" t="inlineStr">
        <is>
          <t>ALT</t>
        </is>
      </c>
      <c r="I156" s="1" t="inlineStr">
        <is>
          <t>2027</t>
        </is>
      </c>
      <c r="J156" s="1" t="n">
        <v>0</v>
      </c>
      <c r="K156" s="1" t="n">
        <v>35.54</v>
      </c>
      <c r="L156" s="1" t="n">
        <v>7003.885</v>
      </c>
      <c r="M156" s="1" t="n">
        <v>248918.0729</v>
      </c>
      <c r="O156" s="25">
        <f>_CALC_MOTEUR!AE156</f>
        <v/>
      </c>
      <c r="P156" s="25">
        <f>_CALC_MOTEUR!AF156</f>
        <v/>
      </c>
      <c r="Q156" s="27">
        <f>_CALC_MOTEUR!AG156</f>
        <v/>
      </c>
      <c r="R156" s="25">
        <f>_CALC_MOTEUR!AH156</f>
        <v/>
      </c>
      <c r="S156" s="25">
        <f>R156-M156</f>
        <v/>
      </c>
    </row>
    <row r="157">
      <c r="A157" s="9" t="inlineStr">
        <is>
          <t>2027BUD_V1</t>
        </is>
      </c>
      <c r="B157" s="1" t="inlineStr">
        <is>
          <t>V03</t>
        </is>
      </c>
      <c r="C157" s="1" t="inlineStr">
        <is>
          <t>12</t>
        </is>
      </c>
      <c r="D157" s="1" t="inlineStr">
        <is>
          <t>PIGIER_BOR</t>
        </is>
      </c>
      <c r="E157" s="1" t="inlineStr">
        <is>
          <t>PIGIER</t>
        </is>
      </c>
      <c r="F157" s="1" t="inlineStr">
        <is>
          <t>BAC_RH</t>
        </is>
      </c>
      <c r="G157" s="1" t="inlineStr">
        <is>
          <t>B3</t>
        </is>
      </c>
      <c r="H157" s="1" t="inlineStr">
        <is>
          <t>ALT</t>
        </is>
      </c>
      <c r="I157" s="1" t="inlineStr">
        <is>
          <t>2027</t>
        </is>
      </c>
      <c r="J157" s="1" t="n">
        <v>0</v>
      </c>
      <c r="K157" s="1" t="n">
        <v>34.64</v>
      </c>
      <c r="L157" s="1" t="n">
        <v>6912.22</v>
      </c>
      <c r="M157" s="1" t="n">
        <v>239439.3008</v>
      </c>
      <c r="O157" s="25">
        <f>_CALC_MOTEUR!AE157</f>
        <v/>
      </c>
      <c r="P157" s="25">
        <f>_CALC_MOTEUR!AF157</f>
        <v/>
      </c>
      <c r="Q157" s="27">
        <f>_CALC_MOTEUR!AG157</f>
        <v/>
      </c>
      <c r="R157" s="25">
        <f>_CALC_MOTEUR!AH157</f>
        <v/>
      </c>
      <c r="S157" s="25">
        <f>R157-M157</f>
        <v/>
      </c>
    </row>
    <row r="158">
      <c r="A158" s="9" t="inlineStr">
        <is>
          <t>2027BUD_V1</t>
        </is>
      </c>
      <c r="B158" s="1" t="inlineStr">
        <is>
          <t>V01</t>
        </is>
      </c>
      <c r="C158" s="1" t="inlineStr">
        <is>
          <t>12</t>
        </is>
      </c>
      <c r="D158" s="1" t="inlineStr">
        <is>
          <t>TUNON_PAR</t>
        </is>
      </c>
      <c r="E158" s="1" t="inlineStr">
        <is>
          <t>TUNON</t>
        </is>
      </c>
      <c r="F158" s="1" t="inlineStr">
        <is>
          <t>BAC_TOU</t>
        </is>
      </c>
      <c r="G158" s="1" t="inlineStr">
        <is>
          <t>B1</t>
        </is>
      </c>
      <c r="H158" s="1" t="inlineStr">
        <is>
          <t>ALT</t>
        </is>
      </c>
      <c r="I158" s="1" t="inlineStr">
        <is>
          <t>2027</t>
        </is>
      </c>
      <c r="J158" s="1" t="n">
        <v>52.095304725</v>
      </c>
      <c r="K158" s="1" t="n">
        <v>52.095304725</v>
      </c>
      <c r="L158" s="1" t="n">
        <v>8004.64</v>
      </c>
      <c r="M158" s="1" t="n">
        <v>421692.737439238</v>
      </c>
      <c r="O158" s="25">
        <f>_CALC_MOTEUR!AE158</f>
        <v/>
      </c>
      <c r="P158" s="25">
        <f>_CALC_MOTEUR!AF158</f>
        <v/>
      </c>
      <c r="Q158" s="27">
        <f>_CALC_MOTEUR!AG158</f>
        <v/>
      </c>
      <c r="R158" s="25">
        <f>_CALC_MOTEUR!AH158</f>
        <v/>
      </c>
      <c r="S158" s="25">
        <f>R158-M158</f>
        <v/>
      </c>
    </row>
    <row r="159">
      <c r="A159" s="9" t="inlineStr">
        <is>
          <t>2027BUD_V1</t>
        </is>
      </c>
      <c r="B159" s="1" t="inlineStr">
        <is>
          <t>V02</t>
        </is>
      </c>
      <c r="C159" s="1" t="inlineStr">
        <is>
          <t>12</t>
        </is>
      </c>
      <c r="D159" s="1" t="inlineStr">
        <is>
          <t>TUNON_PAR</t>
        </is>
      </c>
      <c r="E159" s="1" t="inlineStr">
        <is>
          <t>TUNON</t>
        </is>
      </c>
      <c r="F159" s="1" t="inlineStr">
        <is>
          <t>BAC_TOU</t>
        </is>
      </c>
      <c r="G159" s="1" t="inlineStr">
        <is>
          <t>B1</t>
        </is>
      </c>
      <c r="H159" s="1" t="inlineStr">
        <is>
          <t>ALT</t>
        </is>
      </c>
      <c r="I159" s="1" t="inlineStr">
        <is>
          <t>2027</t>
        </is>
      </c>
      <c r="J159" s="1" t="n">
        <v>60.588096445</v>
      </c>
      <c r="K159" s="1" t="n">
        <v>60.588096445</v>
      </c>
      <c r="L159" s="1" t="n">
        <v>8128.12</v>
      </c>
      <c r="M159" s="1" t="n">
        <v>497920.247154803</v>
      </c>
      <c r="O159" s="25">
        <f>_CALC_MOTEUR!AE159</f>
        <v/>
      </c>
      <c r="P159" s="25">
        <f>_CALC_MOTEUR!AF159</f>
        <v/>
      </c>
      <c r="Q159" s="27">
        <f>_CALC_MOTEUR!AG159</f>
        <v/>
      </c>
      <c r="R159" s="25">
        <f>_CALC_MOTEUR!AH159</f>
        <v/>
      </c>
      <c r="S159" s="25">
        <f>R159-M159</f>
        <v/>
      </c>
    </row>
    <row r="160">
      <c r="A160" s="9" t="inlineStr">
        <is>
          <t>2027BUD_V1</t>
        </is>
      </c>
      <c r="B160" s="1" t="inlineStr">
        <is>
          <t>V03</t>
        </is>
      </c>
      <c r="C160" s="1" t="inlineStr">
        <is>
          <t>12</t>
        </is>
      </c>
      <c r="D160" s="1" t="inlineStr">
        <is>
          <t>TUNON_PAR</t>
        </is>
      </c>
      <c r="E160" s="1" t="inlineStr">
        <is>
          <t>TUNON</t>
        </is>
      </c>
      <c r="F160" s="1" t="inlineStr">
        <is>
          <t>BAC_TOU</t>
        </is>
      </c>
      <c r="G160" s="1" t="inlineStr">
        <is>
          <t>B1</t>
        </is>
      </c>
      <c r="H160" s="1" t="inlineStr">
        <is>
          <t>ALT</t>
        </is>
      </c>
      <c r="I160" s="1" t="inlineStr">
        <is>
          <t>2027</t>
        </is>
      </c>
      <c r="J160" s="1" t="n">
        <v>46.099237352</v>
      </c>
      <c r="K160" s="1" t="n">
        <v>46.099237352</v>
      </c>
      <c r="L160" s="1" t="n">
        <v>8004.64</v>
      </c>
      <c r="M160" s="1" t="n">
        <v>373156.730641431</v>
      </c>
      <c r="O160" s="25">
        <f>_CALC_MOTEUR!AE160</f>
        <v/>
      </c>
      <c r="P160" s="25">
        <f>_CALC_MOTEUR!AF160</f>
        <v/>
      </c>
      <c r="Q160" s="27">
        <f>_CALC_MOTEUR!AG160</f>
        <v/>
      </c>
      <c r="R160" s="25">
        <f>_CALC_MOTEUR!AH160</f>
        <v/>
      </c>
      <c r="S160" s="25">
        <f>R160-M160</f>
        <v/>
      </c>
    </row>
    <row r="161">
      <c r="A161" s="9" t="inlineStr">
        <is>
          <t>2027BUD_V1</t>
        </is>
      </c>
      <c r="B161" s="1" t="inlineStr">
        <is>
          <t>V01</t>
        </is>
      </c>
      <c r="C161" s="1" t="inlineStr">
        <is>
          <t>12</t>
        </is>
      </c>
      <c r="D161" s="1" t="inlineStr">
        <is>
          <t>TUNON_PAR</t>
        </is>
      </c>
      <c r="E161" s="1" t="inlineStr">
        <is>
          <t>TUNON</t>
        </is>
      </c>
      <c r="F161" s="1" t="inlineStr">
        <is>
          <t>BAC_TOU</t>
        </is>
      </c>
      <c r="G161" s="1" t="inlineStr">
        <is>
          <t>B2</t>
        </is>
      </c>
      <c r="H161" s="1" t="inlineStr">
        <is>
          <t>ALT</t>
        </is>
      </c>
      <c r="I161" s="1" t="inlineStr">
        <is>
          <t>2027</t>
        </is>
      </c>
      <c r="J161" s="1" t="n">
        <v>0</v>
      </c>
      <c r="K161" s="1" t="n">
        <v>46.235</v>
      </c>
      <c r="L161" s="1" t="n">
        <v>8004.64</v>
      </c>
      <c r="M161" s="1" t="n">
        <v>370094.5304</v>
      </c>
      <c r="O161" s="25">
        <f>_CALC_MOTEUR!AE161</f>
        <v/>
      </c>
      <c r="P161" s="25">
        <f>_CALC_MOTEUR!AF161</f>
        <v/>
      </c>
      <c r="Q161" s="27">
        <f>_CALC_MOTEUR!AG161</f>
        <v/>
      </c>
      <c r="R161" s="25">
        <f>_CALC_MOTEUR!AH161</f>
        <v/>
      </c>
      <c r="S161" s="25">
        <f>R161-M161</f>
        <v/>
      </c>
    </row>
    <row r="162">
      <c r="A162" s="9" t="inlineStr">
        <is>
          <t>2027BUD_V1</t>
        </is>
      </c>
      <c r="B162" s="1" t="inlineStr">
        <is>
          <t>V02</t>
        </is>
      </c>
      <c r="C162" s="1" t="inlineStr">
        <is>
          <t>12</t>
        </is>
      </c>
      <c r="D162" s="1" t="inlineStr">
        <is>
          <t>TUNON_PAR</t>
        </is>
      </c>
      <c r="E162" s="1" t="inlineStr">
        <is>
          <t>TUNON</t>
        </is>
      </c>
      <c r="F162" s="1" t="inlineStr">
        <is>
          <t>BAC_TOU</t>
        </is>
      </c>
      <c r="G162" s="1" t="inlineStr">
        <is>
          <t>B2</t>
        </is>
      </c>
      <c r="H162" s="1" t="inlineStr">
        <is>
          <t>ALT</t>
        </is>
      </c>
      <c r="I162" s="1" t="inlineStr">
        <is>
          <t>2027</t>
        </is>
      </c>
      <c r="J162" s="1" t="n">
        <v>0</v>
      </c>
      <c r="K162" s="1" t="n">
        <v>46.705</v>
      </c>
      <c r="L162" s="1" t="n">
        <v>8128.12</v>
      </c>
      <c r="M162" s="1" t="n">
        <v>379623.8446</v>
      </c>
      <c r="O162" s="25">
        <f>_CALC_MOTEUR!AE162</f>
        <v/>
      </c>
      <c r="P162" s="25">
        <f>_CALC_MOTEUR!AF162</f>
        <v/>
      </c>
      <c r="Q162" s="27">
        <f>_CALC_MOTEUR!AG162</f>
        <v/>
      </c>
      <c r="R162" s="25">
        <f>_CALC_MOTEUR!AH162</f>
        <v/>
      </c>
      <c r="S162" s="25">
        <f>R162-M162</f>
        <v/>
      </c>
    </row>
    <row r="163">
      <c r="A163" s="9" t="inlineStr">
        <is>
          <t>2027BUD_V1</t>
        </is>
      </c>
      <c r="B163" s="1" t="inlineStr">
        <is>
          <t>V03</t>
        </is>
      </c>
      <c r="C163" s="1" t="inlineStr">
        <is>
          <t>12</t>
        </is>
      </c>
      <c r="D163" s="1" t="inlineStr">
        <is>
          <t>TUNON_PAR</t>
        </is>
      </c>
      <c r="E163" s="1" t="inlineStr">
        <is>
          <t>TUNON</t>
        </is>
      </c>
      <c r="F163" s="1" t="inlineStr">
        <is>
          <t>BAC_TOU</t>
        </is>
      </c>
      <c r="G163" s="1" t="inlineStr">
        <is>
          <t>B2</t>
        </is>
      </c>
      <c r="H163" s="1" t="inlineStr">
        <is>
          <t>ALT</t>
        </is>
      </c>
      <c r="I163" s="1" t="inlineStr">
        <is>
          <t>2027</t>
        </is>
      </c>
      <c r="J163" s="1" t="n">
        <v>0</v>
      </c>
      <c r="K163" s="1" t="n">
        <v>45.53</v>
      </c>
      <c r="L163" s="1" t="n">
        <v>8004.64</v>
      </c>
      <c r="M163" s="1" t="n">
        <v>364451.2592</v>
      </c>
      <c r="O163" s="25">
        <f>_CALC_MOTEUR!AE163</f>
        <v/>
      </c>
      <c r="P163" s="25">
        <f>_CALC_MOTEUR!AF163</f>
        <v/>
      </c>
      <c r="Q163" s="27">
        <f>_CALC_MOTEUR!AG163</f>
        <v/>
      </c>
      <c r="R163" s="25">
        <f>_CALC_MOTEUR!AH163</f>
        <v/>
      </c>
      <c r="S163" s="25">
        <f>R163-M163</f>
        <v/>
      </c>
    </row>
    <row r="164">
      <c r="A164" s="9" t="inlineStr">
        <is>
          <t>2027BUD_V1</t>
        </is>
      </c>
      <c r="B164" s="1" t="inlineStr">
        <is>
          <t>V01</t>
        </is>
      </c>
      <c r="C164" s="1" t="inlineStr">
        <is>
          <t>12</t>
        </is>
      </c>
      <c r="D164" s="1" t="inlineStr">
        <is>
          <t>TUNON_PAR</t>
        </is>
      </c>
      <c r="E164" s="1" t="inlineStr">
        <is>
          <t>TUNON</t>
        </is>
      </c>
      <c r="F164" s="1" t="inlineStr">
        <is>
          <t>BAC_TOU</t>
        </is>
      </c>
      <c r="G164" s="1" t="inlineStr">
        <is>
          <t>B3</t>
        </is>
      </c>
      <c r="H164" s="1" t="inlineStr">
        <is>
          <t>ALT</t>
        </is>
      </c>
      <c r="I164" s="1" t="inlineStr">
        <is>
          <t>2027</t>
        </is>
      </c>
      <c r="J164" s="1" t="n">
        <v>0</v>
      </c>
      <c r="K164" s="1" t="n">
        <v>45.23</v>
      </c>
      <c r="L164" s="1" t="n">
        <v>8004.64</v>
      </c>
      <c r="M164" s="1" t="n">
        <v>362049.8672</v>
      </c>
      <c r="O164" s="25">
        <f>_CALC_MOTEUR!AE164</f>
        <v/>
      </c>
      <c r="P164" s="25">
        <f>_CALC_MOTEUR!AF164</f>
        <v/>
      </c>
      <c r="Q164" s="27">
        <f>_CALC_MOTEUR!AG164</f>
        <v/>
      </c>
      <c r="R164" s="25">
        <f>_CALC_MOTEUR!AH164</f>
        <v/>
      </c>
      <c r="S164" s="25">
        <f>R164-M164</f>
        <v/>
      </c>
    </row>
    <row r="165">
      <c r="A165" s="9" t="inlineStr">
        <is>
          <t>2027BUD_V1</t>
        </is>
      </c>
      <c r="B165" s="1" t="inlineStr">
        <is>
          <t>V02</t>
        </is>
      </c>
      <c r="C165" s="1" t="inlineStr">
        <is>
          <t>12</t>
        </is>
      </c>
      <c r="D165" s="1" t="inlineStr">
        <is>
          <t>TUNON_PAR</t>
        </is>
      </c>
      <c r="E165" s="1" t="inlineStr">
        <is>
          <t>TUNON</t>
        </is>
      </c>
      <c r="F165" s="1" t="inlineStr">
        <is>
          <t>BAC_TOU</t>
        </is>
      </c>
      <c r="G165" s="1" t="inlineStr">
        <is>
          <t>B3</t>
        </is>
      </c>
      <c r="H165" s="1" t="inlineStr">
        <is>
          <t>ALT</t>
        </is>
      </c>
      <c r="I165" s="1" t="inlineStr">
        <is>
          <t>2027</t>
        </is>
      </c>
      <c r="J165" s="1" t="n">
        <v>0</v>
      </c>
      <c r="K165" s="1" t="n">
        <v>45.69</v>
      </c>
      <c r="L165" s="1" t="n">
        <v>8128.12</v>
      </c>
      <c r="M165" s="1" t="n">
        <v>371373.8028</v>
      </c>
      <c r="O165" s="25">
        <f>_CALC_MOTEUR!AE165</f>
        <v/>
      </c>
      <c r="P165" s="25">
        <f>_CALC_MOTEUR!AF165</f>
        <v/>
      </c>
      <c r="Q165" s="27">
        <f>_CALC_MOTEUR!AG165</f>
        <v/>
      </c>
      <c r="R165" s="25">
        <f>_CALC_MOTEUR!AH165</f>
        <v/>
      </c>
      <c r="S165" s="25">
        <f>R165-M165</f>
        <v/>
      </c>
    </row>
    <row r="166">
      <c r="A166" s="9" t="inlineStr">
        <is>
          <t>2027BUD_V1</t>
        </is>
      </c>
      <c r="B166" s="1" t="inlineStr">
        <is>
          <t>V03</t>
        </is>
      </c>
      <c r="C166" s="1" t="inlineStr">
        <is>
          <t>12</t>
        </is>
      </c>
      <c r="D166" s="1" t="inlineStr">
        <is>
          <t>TUNON_PAR</t>
        </is>
      </c>
      <c r="E166" s="1" t="inlineStr">
        <is>
          <t>TUNON</t>
        </is>
      </c>
      <c r="F166" s="1" t="inlineStr">
        <is>
          <t>BAC_TOU</t>
        </is>
      </c>
      <c r="G166" s="1" t="inlineStr">
        <is>
          <t>B3</t>
        </is>
      </c>
      <c r="H166" s="1" t="inlineStr">
        <is>
          <t>ALT</t>
        </is>
      </c>
      <c r="I166" s="1" t="inlineStr">
        <is>
          <t>2027</t>
        </is>
      </c>
      <c r="J166" s="1" t="n">
        <v>0</v>
      </c>
      <c r="K166" s="1" t="n">
        <v>44.54</v>
      </c>
      <c r="L166" s="1" t="n">
        <v>8004.64</v>
      </c>
      <c r="M166" s="1" t="n">
        <v>356526.6656</v>
      </c>
      <c r="O166" s="25">
        <f>_CALC_MOTEUR!AE166</f>
        <v/>
      </c>
      <c r="P166" s="25">
        <f>_CALC_MOTEUR!AF166</f>
        <v/>
      </c>
      <c r="Q166" s="27">
        <f>_CALC_MOTEUR!AG166</f>
        <v/>
      </c>
      <c r="R166" s="25">
        <f>_CALC_MOTEUR!AH166</f>
        <v/>
      </c>
      <c r="S166" s="25">
        <f>R166-M166</f>
        <v/>
      </c>
    </row>
    <row r="167">
      <c r="A167" s="9" t="inlineStr">
        <is>
          <t>2027BUD_V1</t>
        </is>
      </c>
      <c r="B167" s="1" t="inlineStr">
        <is>
          <t>V01</t>
        </is>
      </c>
      <c r="C167" s="1" t="inlineStr">
        <is>
          <t>12</t>
        </is>
      </c>
      <c r="D167" s="1" t="inlineStr">
        <is>
          <t>TUNON_LYO</t>
        </is>
      </c>
      <c r="E167" s="1" t="inlineStr">
        <is>
          <t>TUNON</t>
        </is>
      </c>
      <c r="F167" s="1" t="inlineStr">
        <is>
          <t>BAC_TOU</t>
        </is>
      </c>
      <c r="G167" s="1" t="inlineStr">
        <is>
          <t>B1</t>
        </is>
      </c>
      <c r="H167" s="1" t="inlineStr">
        <is>
          <t>ALT</t>
        </is>
      </c>
      <c r="I167" s="1" t="inlineStr">
        <is>
          <t>2027</t>
        </is>
      </c>
      <c r="J167" s="1" t="n">
        <v>44.464894073</v>
      </c>
      <c r="K167" s="1" t="n">
        <v>44.464894073</v>
      </c>
      <c r="L167" s="1" t="n">
        <v>7504.35</v>
      </c>
      <c r="M167" s="1" t="n">
        <v>337681.968304184</v>
      </c>
      <c r="O167" s="25">
        <f>_CALC_MOTEUR!AE167</f>
        <v/>
      </c>
      <c r="P167" s="25">
        <f>_CALC_MOTEUR!AF167</f>
        <v/>
      </c>
      <c r="Q167" s="27">
        <f>_CALC_MOTEUR!AG167</f>
        <v/>
      </c>
      <c r="R167" s="25">
        <f>_CALC_MOTEUR!AH167</f>
        <v/>
      </c>
      <c r="S167" s="25">
        <f>R167-M167</f>
        <v/>
      </c>
    </row>
    <row r="168">
      <c r="A168" s="9" t="inlineStr">
        <is>
          <t>2027BUD_V1</t>
        </is>
      </c>
      <c r="B168" s="1" t="inlineStr">
        <is>
          <t>V02</t>
        </is>
      </c>
      <c r="C168" s="1" t="inlineStr">
        <is>
          <t>12</t>
        </is>
      </c>
      <c r="D168" s="1" t="inlineStr">
        <is>
          <t>TUNON_LYO</t>
        </is>
      </c>
      <c r="E168" s="1" t="inlineStr">
        <is>
          <t>TUNON</t>
        </is>
      </c>
      <c r="F168" s="1" t="inlineStr">
        <is>
          <t>BAC_TOU</t>
        </is>
      </c>
      <c r="G168" s="1" t="inlineStr">
        <is>
          <t>B1</t>
        </is>
      </c>
      <c r="H168" s="1" t="inlineStr">
        <is>
          <t>ALT</t>
        </is>
      </c>
      <c r="I168" s="1" t="inlineStr">
        <is>
          <t>2027</t>
        </is>
      </c>
      <c r="J168" s="1" t="n">
        <v>51.849738529</v>
      </c>
      <c r="K168" s="1" t="n">
        <v>51.849738529</v>
      </c>
      <c r="L168" s="1" t="n">
        <v>7620.1125</v>
      </c>
      <c r="M168" s="1" t="n">
        <v>399767.317157087</v>
      </c>
      <c r="O168" s="25">
        <f>_CALC_MOTEUR!AE168</f>
        <v/>
      </c>
      <c r="P168" s="25">
        <f>_CALC_MOTEUR!AF168</f>
        <v/>
      </c>
      <c r="Q168" s="27">
        <f>_CALC_MOTEUR!AG168</f>
        <v/>
      </c>
      <c r="R168" s="25">
        <f>_CALC_MOTEUR!AH168</f>
        <v/>
      </c>
      <c r="S168" s="25">
        <f>R168-M168</f>
        <v/>
      </c>
    </row>
    <row r="169">
      <c r="A169" s="9" t="inlineStr">
        <is>
          <t>2027BUD_V1</t>
        </is>
      </c>
      <c r="B169" s="1" t="inlineStr">
        <is>
          <t>V03</t>
        </is>
      </c>
      <c r="C169" s="1" t="inlineStr">
        <is>
          <t>12</t>
        </is>
      </c>
      <c r="D169" s="1" t="inlineStr">
        <is>
          <t>TUNON_LYO</t>
        </is>
      </c>
      <c r="E169" s="1" t="inlineStr">
        <is>
          <t>TUNON</t>
        </is>
      </c>
      <c r="F169" s="1" t="inlineStr">
        <is>
          <t>BAC_TOU</t>
        </is>
      </c>
      <c r="G169" s="1" t="inlineStr">
        <is>
          <t>B1</t>
        </is>
      </c>
      <c r="H169" s="1" t="inlineStr">
        <is>
          <t>ALT</t>
        </is>
      </c>
      <c r="I169" s="1" t="inlineStr">
        <is>
          <t>2027</t>
        </is>
      </c>
      <c r="J169" s="1" t="n">
        <v>39.172033311</v>
      </c>
      <c r="K169" s="1" t="n">
        <v>39.172033311</v>
      </c>
      <c r="L169" s="1" t="n">
        <v>7504.35</v>
      </c>
      <c r="M169" s="1" t="n">
        <v>297486.131172328</v>
      </c>
      <c r="O169" s="25">
        <f>_CALC_MOTEUR!AE169</f>
        <v/>
      </c>
      <c r="P169" s="25">
        <f>_CALC_MOTEUR!AF169</f>
        <v/>
      </c>
      <c r="Q169" s="27">
        <f>_CALC_MOTEUR!AG169</f>
        <v/>
      </c>
      <c r="R169" s="25">
        <f>_CALC_MOTEUR!AH169</f>
        <v/>
      </c>
      <c r="S169" s="25">
        <f>R169-M169</f>
        <v/>
      </c>
    </row>
    <row r="170">
      <c r="A170" s="9" t="inlineStr">
        <is>
          <t>2027BUD_V1</t>
        </is>
      </c>
      <c r="B170" s="1" t="inlineStr">
        <is>
          <t>V01</t>
        </is>
      </c>
      <c r="C170" s="1" t="inlineStr">
        <is>
          <t>12</t>
        </is>
      </c>
      <c r="D170" s="1" t="inlineStr">
        <is>
          <t>TUNON_LYO</t>
        </is>
      </c>
      <c r="E170" s="1" t="inlineStr">
        <is>
          <t>TUNON</t>
        </is>
      </c>
      <c r="F170" s="1" t="inlineStr">
        <is>
          <t>BAC_TOU</t>
        </is>
      </c>
      <c r="G170" s="1" t="inlineStr">
        <is>
          <t>B2</t>
        </is>
      </c>
      <c r="H170" s="1" t="inlineStr">
        <is>
          <t>ALT</t>
        </is>
      </c>
      <c r="I170" s="1" t="inlineStr">
        <is>
          <t>2027</t>
        </is>
      </c>
      <c r="J170" s="1" t="n">
        <v>0</v>
      </c>
      <c r="K170" s="1" t="n">
        <v>39.2</v>
      </c>
      <c r="L170" s="1" t="n">
        <v>7504.35</v>
      </c>
      <c r="M170" s="1" t="n">
        <v>294170.52</v>
      </c>
      <c r="O170" s="25">
        <f>_CALC_MOTEUR!AE170</f>
        <v/>
      </c>
      <c r="P170" s="25">
        <f>_CALC_MOTEUR!AF170</f>
        <v/>
      </c>
      <c r="Q170" s="27">
        <f>_CALC_MOTEUR!AG170</f>
        <v/>
      </c>
      <c r="R170" s="25">
        <f>_CALC_MOTEUR!AH170</f>
        <v/>
      </c>
      <c r="S170" s="25">
        <f>R170-M170</f>
        <v/>
      </c>
    </row>
    <row r="171">
      <c r="A171" s="9" t="inlineStr">
        <is>
          <t>2027BUD_V1</t>
        </is>
      </c>
      <c r="B171" s="1" t="inlineStr">
        <is>
          <t>V02</t>
        </is>
      </c>
      <c r="C171" s="1" t="inlineStr">
        <is>
          <t>12</t>
        </is>
      </c>
      <c r="D171" s="1" t="inlineStr">
        <is>
          <t>TUNON_LYO</t>
        </is>
      </c>
      <c r="E171" s="1" t="inlineStr">
        <is>
          <t>TUNON</t>
        </is>
      </c>
      <c r="F171" s="1" t="inlineStr">
        <is>
          <t>BAC_TOU</t>
        </is>
      </c>
      <c r="G171" s="1" t="inlineStr">
        <is>
          <t>B2</t>
        </is>
      </c>
      <c r="H171" s="1" t="inlineStr">
        <is>
          <t>ALT</t>
        </is>
      </c>
      <c r="I171" s="1" t="inlineStr">
        <is>
          <t>2027</t>
        </is>
      </c>
      <c r="J171" s="1" t="n">
        <v>0</v>
      </c>
      <c r="K171" s="1" t="n">
        <v>39.6</v>
      </c>
      <c r="L171" s="1" t="n">
        <v>7620.1125</v>
      </c>
      <c r="M171" s="1" t="n">
        <v>301756.455</v>
      </c>
      <c r="O171" s="25">
        <f>_CALC_MOTEUR!AE171</f>
        <v/>
      </c>
      <c r="P171" s="25">
        <f>_CALC_MOTEUR!AF171</f>
        <v/>
      </c>
      <c r="Q171" s="27">
        <f>_CALC_MOTEUR!AG171</f>
        <v/>
      </c>
      <c r="R171" s="25">
        <f>_CALC_MOTEUR!AH171</f>
        <v/>
      </c>
      <c r="S171" s="25">
        <f>R171-M171</f>
        <v/>
      </c>
    </row>
    <row r="172">
      <c r="A172" s="9" t="inlineStr">
        <is>
          <t>2027BUD_V1</t>
        </is>
      </c>
      <c r="B172" s="1" t="inlineStr">
        <is>
          <t>V03</t>
        </is>
      </c>
      <c r="C172" s="1" t="inlineStr">
        <is>
          <t>12</t>
        </is>
      </c>
      <c r="D172" s="1" t="inlineStr">
        <is>
          <t>TUNON_LYO</t>
        </is>
      </c>
      <c r="E172" s="1" t="inlineStr">
        <is>
          <t>TUNON</t>
        </is>
      </c>
      <c r="F172" s="1" t="inlineStr">
        <is>
          <t>BAC_TOU</t>
        </is>
      </c>
      <c r="G172" s="1" t="inlineStr">
        <is>
          <t>B2</t>
        </is>
      </c>
      <c r="H172" s="1" t="inlineStr">
        <is>
          <t>ALT</t>
        </is>
      </c>
      <c r="I172" s="1" t="inlineStr">
        <is>
          <t>2027</t>
        </is>
      </c>
      <c r="J172" s="1" t="n">
        <v>0</v>
      </c>
      <c r="K172" s="1" t="n">
        <v>38.6</v>
      </c>
      <c r="L172" s="1" t="n">
        <v>7504.35</v>
      </c>
      <c r="M172" s="1" t="n">
        <v>289667.91</v>
      </c>
      <c r="O172" s="25">
        <f>_CALC_MOTEUR!AE172</f>
        <v/>
      </c>
      <c r="P172" s="25">
        <f>_CALC_MOTEUR!AF172</f>
        <v/>
      </c>
      <c r="Q172" s="27">
        <f>_CALC_MOTEUR!AG172</f>
        <v/>
      </c>
      <c r="R172" s="25">
        <f>_CALC_MOTEUR!AH172</f>
        <v/>
      </c>
      <c r="S172" s="25">
        <f>R172-M172</f>
        <v/>
      </c>
    </row>
    <row r="173">
      <c r="A173" s="9" t="inlineStr">
        <is>
          <t>2027BUD_V1</t>
        </is>
      </c>
      <c r="B173" s="1" t="inlineStr">
        <is>
          <t>V01</t>
        </is>
      </c>
      <c r="C173" s="1" t="inlineStr">
        <is>
          <t>12</t>
        </is>
      </c>
      <c r="D173" s="1" t="inlineStr">
        <is>
          <t>TUNON_LYO</t>
        </is>
      </c>
      <c r="E173" s="1" t="inlineStr">
        <is>
          <t>TUNON</t>
        </is>
      </c>
      <c r="F173" s="1" t="inlineStr">
        <is>
          <t>BAC_TOU</t>
        </is>
      </c>
      <c r="G173" s="1" t="inlineStr">
        <is>
          <t>B3</t>
        </is>
      </c>
      <c r="H173" s="1" t="inlineStr">
        <is>
          <t>ALT</t>
        </is>
      </c>
      <c r="I173" s="1" t="inlineStr">
        <is>
          <t>2027</t>
        </is>
      </c>
      <c r="J173" s="1" t="n">
        <v>0</v>
      </c>
      <c r="K173" s="1" t="n">
        <v>38.195</v>
      </c>
      <c r="L173" s="1" t="n">
        <v>7504.35</v>
      </c>
      <c r="M173" s="1" t="n">
        <v>286628.64825</v>
      </c>
      <c r="O173" s="25">
        <f>_CALC_MOTEUR!AE173</f>
        <v/>
      </c>
      <c r="P173" s="25">
        <f>_CALC_MOTEUR!AF173</f>
        <v/>
      </c>
      <c r="Q173" s="27">
        <f>_CALC_MOTEUR!AG173</f>
        <v/>
      </c>
      <c r="R173" s="25">
        <f>_CALC_MOTEUR!AH173</f>
        <v/>
      </c>
      <c r="S173" s="25">
        <f>R173-M173</f>
        <v/>
      </c>
    </row>
    <row r="174">
      <c r="A174" s="9" t="inlineStr">
        <is>
          <t>2027BUD_V1</t>
        </is>
      </c>
      <c r="B174" s="1" t="inlineStr">
        <is>
          <t>V02</t>
        </is>
      </c>
      <c r="C174" s="1" t="inlineStr">
        <is>
          <t>12</t>
        </is>
      </c>
      <c r="D174" s="1" t="inlineStr">
        <is>
          <t>TUNON_LYO</t>
        </is>
      </c>
      <c r="E174" s="1" t="inlineStr">
        <is>
          <t>TUNON</t>
        </is>
      </c>
      <c r="F174" s="1" t="inlineStr">
        <is>
          <t>BAC_TOU</t>
        </is>
      </c>
      <c r="G174" s="1" t="inlineStr">
        <is>
          <t>B3</t>
        </is>
      </c>
      <c r="H174" s="1" t="inlineStr">
        <is>
          <t>ALT</t>
        </is>
      </c>
      <c r="I174" s="1" t="inlineStr">
        <is>
          <t>2027</t>
        </is>
      </c>
      <c r="J174" s="1" t="n">
        <v>0</v>
      </c>
      <c r="K174" s="1" t="n">
        <v>38.585</v>
      </c>
      <c r="L174" s="1" t="n">
        <v>7620.1125</v>
      </c>
      <c r="M174" s="1" t="n">
        <v>294022.0408125</v>
      </c>
      <c r="O174" s="25">
        <f>_CALC_MOTEUR!AE174</f>
        <v/>
      </c>
      <c r="P174" s="25">
        <f>_CALC_MOTEUR!AF174</f>
        <v/>
      </c>
      <c r="Q174" s="27">
        <f>_CALC_MOTEUR!AG174</f>
        <v/>
      </c>
      <c r="R174" s="25">
        <f>_CALC_MOTEUR!AH174</f>
        <v/>
      </c>
      <c r="S174" s="25">
        <f>R174-M174</f>
        <v/>
      </c>
    </row>
    <row r="175">
      <c r="A175" s="10" t="inlineStr">
        <is>
          <t>2027BUD_V1</t>
        </is>
      </c>
      <c r="B175" s="10" t="inlineStr">
        <is>
          <t>V03</t>
        </is>
      </c>
      <c r="C175" s="10" t="inlineStr">
        <is>
          <t>12</t>
        </is>
      </c>
      <c r="D175" s="10" t="inlineStr">
        <is>
          <t>TUNON_LYO</t>
        </is>
      </c>
      <c r="E175" s="10" t="inlineStr">
        <is>
          <t>TUNON</t>
        </is>
      </c>
      <c r="F175" s="10" t="inlineStr">
        <is>
          <t>BAC_TOU</t>
        </is>
      </c>
      <c r="G175" s="10" t="inlineStr">
        <is>
          <t>B3</t>
        </is>
      </c>
      <c r="H175" s="10" t="inlineStr">
        <is>
          <t>ALT</t>
        </is>
      </c>
      <c r="I175" s="10" t="inlineStr">
        <is>
          <t>2027</t>
        </is>
      </c>
      <c r="J175" s="10" t="n">
        <v>0</v>
      </c>
      <c r="K175" s="10" t="n">
        <v>37.61</v>
      </c>
      <c r="L175" s="10" t="n">
        <v>7504.35</v>
      </c>
      <c r="M175" s="10" t="n">
        <v>282238.6035</v>
      </c>
      <c r="O175" s="25">
        <f>_CALC_MOTEUR!AE175</f>
        <v/>
      </c>
      <c r="P175" s="25">
        <f>_CALC_MOTEUR!AF175</f>
        <v/>
      </c>
      <c r="Q175" s="27">
        <f>_CALC_MOTEUR!AG175</f>
        <v/>
      </c>
      <c r="R175" s="25">
        <f>_CALC_MOTEUR!AH175</f>
        <v/>
      </c>
      <c r="S175" s="25">
        <f>R175-M175</f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2" sqref="A2"/>
    </sheetView>
  </sheetViews>
  <sheetFormatPr baseColWidth="10" defaultRowHeight="14.25"/>
  <cols>
    <col width="9.265625" bestFit="1" customWidth="1" min="1" max="1"/>
    <col width="8.06640625" bestFit="1" customWidth="1" min="2" max="2"/>
    <col width="7.9296875" bestFit="1" customWidth="1" min="3" max="3"/>
    <col width="6.265625" bestFit="1" customWidth="1" min="4" max="4"/>
    <col width="7.796875" bestFit="1" customWidth="1" min="5" max="5"/>
    <col width="11.46484375" bestFit="1" customWidth="1" min="6" max="6"/>
    <col width="9.1328125" bestFit="1" customWidth="1" min="7" max="7"/>
    <col width="8.9296875" bestFit="1" customWidth="1" min="8" max="8"/>
    <col width="8.86328125" bestFit="1" customWidth="1" min="9" max="9"/>
    <col width="9.86328125" bestFit="1" customWidth="1" min="10" max="10"/>
    <col width="8.1328125" bestFit="1" customWidth="1" min="11" max="11"/>
    <col width="4.73046875" bestFit="1" customWidth="1" min="12" max="13"/>
  </cols>
  <sheetData>
    <row r="1">
      <c r="A1" s="9" t="inlineStr">
        <is>
          <t>SCENARIO</t>
        </is>
      </c>
      <c r="B1" s="1" t="inlineStr">
        <is>
          <t>VERSION</t>
        </is>
      </c>
      <c r="C1" s="1" t="inlineStr">
        <is>
          <t>PERIODE</t>
        </is>
      </c>
      <c r="D1" s="1" t="inlineStr">
        <is>
          <t>ENTITY</t>
        </is>
      </c>
      <c r="E1" s="1" t="inlineStr">
        <is>
          <t>MARQUE</t>
        </is>
      </c>
      <c r="F1" s="1" t="inlineStr">
        <is>
          <t>PROGRAMME</t>
        </is>
      </c>
      <c r="G1" s="1" t="inlineStr">
        <is>
          <t>AN_ETUDE</t>
        </is>
      </c>
      <c r="H1" s="1" t="inlineStr">
        <is>
          <t>MODALITE</t>
        </is>
      </c>
      <c r="I1" s="1" t="inlineStr">
        <is>
          <t>EXERCICE</t>
        </is>
      </c>
      <c r="J1" s="1" t="inlineStr">
        <is>
          <t>NOUVEAUX</t>
        </is>
      </c>
      <c r="K1" s="1" t="inlineStr">
        <is>
          <t>EFFECTIF</t>
        </is>
      </c>
      <c r="L1" s="1" t="inlineStr">
        <is>
          <t>PRIX</t>
        </is>
      </c>
      <c r="M1" s="1" t="inlineStr">
        <is>
          <t>CA</t>
        </is>
      </c>
    </row>
    <row r="2">
      <c r="A2" s="10" t="n">
        <v>1000</v>
      </c>
      <c r="B2" s="10" t="n">
        <v>1000</v>
      </c>
      <c r="C2" s="10" t="n">
        <v>1000</v>
      </c>
      <c r="D2" s="10" t="n">
        <v>1000</v>
      </c>
      <c r="E2" s="10" t="n">
        <v>1000</v>
      </c>
      <c r="F2" s="10" t="n">
        <v>1000</v>
      </c>
      <c r="G2" s="10" t="n">
        <v>1000</v>
      </c>
      <c r="H2" s="10" t="n">
        <v>1000</v>
      </c>
      <c r="I2" s="10" t="n">
        <v>1000</v>
      </c>
      <c r="J2" s="10" t="n">
        <v>1000</v>
      </c>
      <c r="K2" s="10" t="n">
        <v>1000</v>
      </c>
      <c r="L2" s="10" t="n">
        <v>1000</v>
      </c>
      <c r="M2" s="10" t="n">
        <v>1000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75"/>
  <sheetViews>
    <sheetView workbookViewId="0">
      <selection activeCell="A2" sqref="A2"/>
    </sheetView>
  </sheetViews>
  <sheetFormatPr baseColWidth="10" defaultRowHeight="14.25"/>
  <sheetData>
    <row r="1">
      <c r="A1" s="1" t="inlineStr">
        <is>
          <t>Entity</t>
        </is>
      </c>
      <c r="B1" s="1" t="inlineStr">
        <is>
          <t>Account</t>
        </is>
      </c>
      <c r="C1" s="1" t="inlineStr">
        <is>
          <t>EXERCICE</t>
        </is>
      </c>
      <c r="D1" s="1" t="inlineStr">
        <is>
          <t>Scenario</t>
        </is>
      </c>
      <c r="E1" s="1" t="inlineStr">
        <is>
          <t>Period</t>
        </is>
      </c>
      <c r="F1" s="1" t="inlineStr">
        <is>
          <t>Amount</t>
        </is>
      </c>
    </row>
    <row r="2">
      <c r="A2" s="1" t="inlineStr">
        <is>
          <t>MBWAY_PAR</t>
        </is>
      </c>
      <c r="B2" s="1" t="inlineStr">
        <is>
          <t>7062</t>
        </is>
      </c>
      <c r="C2" s="1" t="inlineStr">
        <is>
          <t>2024</t>
        </is>
      </c>
      <c r="D2" s="1" t="inlineStr">
        <is>
          <t>2027BUD_V1</t>
        </is>
      </c>
      <c r="E2" s="1" t="inlineStr">
        <is>
          <t>12</t>
        </is>
      </c>
      <c r="F2" s="1" t="n">
        <v>2197935</v>
      </c>
    </row>
    <row r="3">
      <c r="A3" s="1" t="inlineStr">
        <is>
          <t>MBWAY_LYO</t>
        </is>
      </c>
      <c r="B3" s="1" t="inlineStr">
        <is>
          <t>7062</t>
        </is>
      </c>
      <c r="C3" s="1" t="inlineStr">
        <is>
          <t>2024</t>
        </is>
      </c>
      <c r="D3" s="1" t="inlineStr">
        <is>
          <t>2027BUD_V1</t>
        </is>
      </c>
      <c r="E3" s="1" t="inlineStr">
        <is>
          <t>12</t>
        </is>
      </c>
      <c r="F3" s="1" t="n">
        <v>1748910</v>
      </c>
    </row>
    <row r="4">
      <c r="A4" s="1" t="inlineStr">
        <is>
          <t>MBWAY_NAN</t>
        </is>
      </c>
      <c r="B4" s="1" t="inlineStr">
        <is>
          <t>7062</t>
        </is>
      </c>
      <c r="C4" s="1" t="inlineStr">
        <is>
          <t>2024</t>
        </is>
      </c>
      <c r="D4" s="1" t="inlineStr">
        <is>
          <t>2027BUD_V1</t>
        </is>
      </c>
      <c r="E4" s="1" t="inlineStr">
        <is>
          <t>12</t>
        </is>
      </c>
      <c r="F4" s="1" t="n">
        <v>1510769</v>
      </c>
    </row>
    <row r="5">
      <c r="A5" s="1" t="inlineStr">
        <is>
          <t>MBWAY_BOR</t>
        </is>
      </c>
      <c r="B5" s="1" t="inlineStr">
        <is>
          <t>7062</t>
        </is>
      </c>
      <c r="C5" s="1" t="inlineStr">
        <is>
          <t>2024</t>
        </is>
      </c>
      <c r="D5" s="1" t="inlineStr">
        <is>
          <t>2027BUD_V1</t>
        </is>
      </c>
      <c r="E5" s="1" t="inlineStr">
        <is>
          <t>12</t>
        </is>
      </c>
      <c r="F5" s="1" t="n">
        <v>1240125</v>
      </c>
    </row>
    <row r="6">
      <c r="A6" s="1" t="inlineStr">
        <is>
          <t>ISCOM_PAR</t>
        </is>
      </c>
      <c r="B6" s="1" t="inlineStr">
        <is>
          <t>7062</t>
        </is>
      </c>
      <c r="C6" s="1" t="inlineStr">
        <is>
          <t>2024</t>
        </is>
      </c>
      <c r="D6" s="1" t="inlineStr">
        <is>
          <t>2027BUD_V1</t>
        </is>
      </c>
      <c r="E6" s="1" t="inlineStr">
        <is>
          <t>12</t>
        </is>
      </c>
      <c r="F6" s="1" t="n">
        <v>2038946</v>
      </c>
    </row>
    <row r="7">
      <c r="A7" s="1" t="inlineStr">
        <is>
          <t>ISCOM_LIL</t>
        </is>
      </c>
      <c r="B7" s="1" t="inlineStr">
        <is>
          <t>7062</t>
        </is>
      </c>
      <c r="C7" s="1" t="inlineStr">
        <is>
          <t>2024</t>
        </is>
      </c>
      <c r="D7" s="1" t="inlineStr">
        <is>
          <t>2027BUD_V1</t>
        </is>
      </c>
      <c r="E7" s="1" t="inlineStr">
        <is>
          <t>12</t>
        </is>
      </c>
      <c r="F7" s="1" t="n">
        <v>1227617</v>
      </c>
    </row>
    <row r="8">
      <c r="A8" s="1" t="inlineStr">
        <is>
          <t>ISCOM_TLS</t>
        </is>
      </c>
      <c r="B8" s="1" t="inlineStr">
        <is>
          <t>7062</t>
        </is>
      </c>
      <c r="C8" s="1" t="inlineStr">
        <is>
          <t>2024</t>
        </is>
      </c>
      <c r="D8" s="1" t="inlineStr">
        <is>
          <t>2027BUD_V1</t>
        </is>
      </c>
      <c r="E8" s="1" t="inlineStr">
        <is>
          <t>12</t>
        </is>
      </c>
      <c r="F8" s="1" t="n">
        <v>1140192</v>
      </c>
    </row>
    <row r="9">
      <c r="A9" s="1" t="inlineStr">
        <is>
          <t>IPAC_NAN</t>
        </is>
      </c>
      <c r="B9" s="1" t="inlineStr">
        <is>
          <t>7062</t>
        </is>
      </c>
      <c r="C9" s="1" t="inlineStr">
        <is>
          <t>2024</t>
        </is>
      </c>
      <c r="D9" s="1" t="inlineStr">
        <is>
          <t>2027BUD_V1</t>
        </is>
      </c>
      <c r="E9" s="1" t="inlineStr">
        <is>
          <t>12</t>
        </is>
      </c>
      <c r="F9" s="1" t="n">
        <v>903346</v>
      </c>
    </row>
    <row r="10">
      <c r="A10" s="1" t="inlineStr">
        <is>
          <t>IPAC_REN</t>
        </is>
      </c>
      <c r="B10" s="1" t="inlineStr">
        <is>
          <t>7062</t>
        </is>
      </c>
      <c r="C10" s="1" t="inlineStr">
        <is>
          <t>2024</t>
        </is>
      </c>
      <c r="D10" s="1" t="inlineStr">
        <is>
          <t>2027BUD_V1</t>
        </is>
      </c>
      <c r="E10" s="1" t="inlineStr">
        <is>
          <t>12</t>
        </is>
      </c>
      <c r="F10" s="1" t="n">
        <v>692462</v>
      </c>
    </row>
    <row r="11">
      <c r="A11" s="1" t="inlineStr">
        <is>
          <t>IPAC_MTP</t>
        </is>
      </c>
      <c r="B11" s="1" t="inlineStr">
        <is>
          <t>7062</t>
        </is>
      </c>
      <c r="C11" s="1" t="inlineStr">
        <is>
          <t>2024</t>
        </is>
      </c>
      <c r="D11" s="1" t="inlineStr">
        <is>
          <t>2027BUD_V1</t>
        </is>
      </c>
      <c r="E11" s="1" t="inlineStr">
        <is>
          <t>12</t>
        </is>
      </c>
      <c r="F11" s="1" t="n">
        <v>692462</v>
      </c>
    </row>
    <row r="12">
      <c r="A12" s="1" t="inlineStr">
        <is>
          <t>PIGIER_LYO</t>
        </is>
      </c>
      <c r="B12" s="1" t="inlineStr">
        <is>
          <t>7062</t>
        </is>
      </c>
      <c r="C12" s="1" t="inlineStr">
        <is>
          <t>2024</t>
        </is>
      </c>
      <c r="D12" s="1" t="inlineStr">
        <is>
          <t>2027BUD_V1</t>
        </is>
      </c>
      <c r="E12" s="1" t="inlineStr">
        <is>
          <t>12</t>
        </is>
      </c>
      <c r="F12" s="1" t="n">
        <v>1105509</v>
      </c>
    </row>
    <row r="13">
      <c r="A13" s="1" t="inlineStr">
        <is>
          <t>PIGIER_BOR</t>
        </is>
      </c>
      <c r="B13" s="1" t="inlineStr">
        <is>
          <t>7062</t>
        </is>
      </c>
      <c r="C13" s="1" t="inlineStr">
        <is>
          <t>2024</t>
        </is>
      </c>
      <c r="D13" s="1" t="inlineStr">
        <is>
          <t>2027BUD_V1</t>
        </is>
      </c>
      <c r="E13" s="1" t="inlineStr">
        <is>
          <t>12</t>
        </is>
      </c>
      <c r="F13" s="1" t="n">
        <v>796823</v>
      </c>
    </row>
    <row r="14">
      <c r="A14" s="1" t="inlineStr">
        <is>
          <t>TUNON_PAR</t>
        </is>
      </c>
      <c r="B14" s="1" t="inlineStr">
        <is>
          <t>7062</t>
        </is>
      </c>
      <c r="C14" s="1" t="inlineStr">
        <is>
          <t>2024</t>
        </is>
      </c>
      <c r="D14" s="1" t="inlineStr">
        <is>
          <t>2027BUD_V1</t>
        </is>
      </c>
      <c r="E14" s="1" t="inlineStr">
        <is>
          <t>12</t>
        </is>
      </c>
      <c r="F14" s="1" t="n">
        <v>962905</v>
      </c>
    </row>
    <row r="15">
      <c r="A15" s="1" t="inlineStr">
        <is>
          <t>TUNON_LYO</t>
        </is>
      </c>
      <c r="B15" s="1" t="inlineStr">
        <is>
          <t>7062</t>
        </is>
      </c>
      <c r="C15" s="1" t="inlineStr">
        <is>
          <t>2024</t>
        </is>
      </c>
      <c r="D15" s="1" t="inlineStr">
        <is>
          <t>2027BUD_V1</t>
        </is>
      </c>
      <c r="E15" s="1" t="inlineStr">
        <is>
          <t>12</t>
        </is>
      </c>
      <c r="F15" s="1" t="n">
        <v>765352</v>
      </c>
    </row>
    <row r="16">
      <c r="A16" s="1" t="inlineStr">
        <is>
          <t>MBWAY_PAR</t>
        </is>
      </c>
      <c r="B16" s="1" t="inlineStr">
        <is>
          <t>7062</t>
        </is>
      </c>
      <c r="C16" s="1" t="inlineStr">
        <is>
          <t>2025</t>
        </is>
      </c>
      <c r="D16" s="1" t="inlineStr">
        <is>
          <t>2027BUD_V1</t>
        </is>
      </c>
      <c r="E16" s="1" t="inlineStr">
        <is>
          <t>12</t>
        </is>
      </c>
      <c r="F16" s="1" t="n">
        <v>2329811</v>
      </c>
    </row>
    <row r="17">
      <c r="A17" s="1" t="inlineStr">
        <is>
          <t>MBWAY_LYO</t>
        </is>
      </c>
      <c r="B17" s="1" t="inlineStr">
        <is>
          <t>7062</t>
        </is>
      </c>
      <c r="C17" s="1" t="inlineStr">
        <is>
          <t>2025</t>
        </is>
      </c>
      <c r="D17" s="1" t="inlineStr">
        <is>
          <t>2027BUD_V1</t>
        </is>
      </c>
      <c r="E17" s="1" t="inlineStr">
        <is>
          <t>12</t>
        </is>
      </c>
      <c r="F17" s="1" t="n">
        <v>1853844</v>
      </c>
    </row>
    <row r="18">
      <c r="A18" s="1" t="inlineStr">
        <is>
          <t>MBWAY_NAN</t>
        </is>
      </c>
      <c r="B18" s="1" t="inlineStr">
        <is>
          <t>7062</t>
        </is>
      </c>
      <c r="C18" s="1" t="inlineStr">
        <is>
          <t>2025</t>
        </is>
      </c>
      <c r="D18" s="1" t="inlineStr">
        <is>
          <t>2027BUD_V1</t>
        </is>
      </c>
      <c r="E18" s="1" t="inlineStr">
        <is>
          <t>12</t>
        </is>
      </c>
      <c r="F18" s="1" t="n">
        <v>1601415</v>
      </c>
    </row>
    <row r="19">
      <c r="A19" s="1" t="inlineStr">
        <is>
          <t>MBWAY_BOR</t>
        </is>
      </c>
      <c r="B19" s="1" t="inlineStr">
        <is>
          <t>7062</t>
        </is>
      </c>
      <c r="C19" s="1" t="inlineStr">
        <is>
          <t>2025</t>
        </is>
      </c>
      <c r="D19" s="1" t="inlineStr">
        <is>
          <t>2027BUD_V1</t>
        </is>
      </c>
      <c r="E19" s="1" t="inlineStr">
        <is>
          <t>12</t>
        </is>
      </c>
      <c r="F19" s="1" t="n">
        <v>1314533</v>
      </c>
    </row>
    <row r="20">
      <c r="A20" s="1" t="inlineStr">
        <is>
          <t>ISCOM_PAR</t>
        </is>
      </c>
      <c r="B20" s="1" t="inlineStr">
        <is>
          <t>7062</t>
        </is>
      </c>
      <c r="C20" s="1" t="inlineStr">
        <is>
          <t>2025</t>
        </is>
      </c>
      <c r="D20" s="1" t="inlineStr">
        <is>
          <t>2027BUD_V1</t>
        </is>
      </c>
      <c r="E20" s="1" t="inlineStr">
        <is>
          <t>12</t>
        </is>
      </c>
      <c r="F20" s="1" t="n">
        <v>2161283</v>
      </c>
    </row>
    <row r="21">
      <c r="A21" s="1" t="inlineStr">
        <is>
          <t>ISCOM_LIL</t>
        </is>
      </c>
      <c r="B21" s="1" t="inlineStr">
        <is>
          <t>7062</t>
        </is>
      </c>
      <c r="C21" s="1" t="inlineStr">
        <is>
          <t>2025</t>
        </is>
      </c>
      <c r="D21" s="1" t="inlineStr">
        <is>
          <t>2027BUD_V1</t>
        </is>
      </c>
      <c r="E21" s="1" t="inlineStr">
        <is>
          <t>12</t>
        </is>
      </c>
      <c r="F21" s="1" t="n">
        <v>1301274</v>
      </c>
    </row>
    <row r="22">
      <c r="A22" s="1" t="inlineStr">
        <is>
          <t>ISCOM_TLS</t>
        </is>
      </c>
      <c r="B22" s="1" t="inlineStr">
        <is>
          <t>7062</t>
        </is>
      </c>
      <c r="C22" s="1" t="inlineStr">
        <is>
          <t>2025</t>
        </is>
      </c>
      <c r="D22" s="1" t="inlineStr">
        <is>
          <t>2027BUD_V1</t>
        </is>
      </c>
      <c r="E22" s="1" t="inlineStr">
        <is>
          <t>12</t>
        </is>
      </c>
      <c r="F22" s="1" t="n">
        <v>1208604</v>
      </c>
    </row>
    <row r="23">
      <c r="A23" s="1" t="inlineStr">
        <is>
          <t>IPAC_NAN</t>
        </is>
      </c>
      <c r="B23" s="1" t="inlineStr">
        <is>
          <t>7062</t>
        </is>
      </c>
      <c r="C23" s="1" t="inlineStr">
        <is>
          <t>2025</t>
        </is>
      </c>
      <c r="D23" s="1" t="inlineStr">
        <is>
          <t>2027BUD_V1</t>
        </is>
      </c>
      <c r="E23" s="1" t="inlineStr">
        <is>
          <t>12</t>
        </is>
      </c>
      <c r="F23" s="1" t="n">
        <v>957547</v>
      </c>
    </row>
    <row r="24">
      <c r="A24" s="1" t="inlineStr">
        <is>
          <t>IPAC_REN</t>
        </is>
      </c>
      <c r="B24" s="1" t="inlineStr">
        <is>
          <t>7062</t>
        </is>
      </c>
      <c r="C24" s="1" t="inlineStr">
        <is>
          <t>2025</t>
        </is>
      </c>
      <c r="D24" s="1" t="inlineStr">
        <is>
          <t>2027BUD_V1</t>
        </is>
      </c>
      <c r="E24" s="1" t="inlineStr">
        <is>
          <t>12</t>
        </is>
      </c>
      <c r="F24" s="1" t="n">
        <v>734009</v>
      </c>
    </row>
    <row r="25">
      <c r="A25" s="1" t="inlineStr">
        <is>
          <t>IPAC_MTP</t>
        </is>
      </c>
      <c r="B25" s="1" t="inlineStr">
        <is>
          <t>7062</t>
        </is>
      </c>
      <c r="C25" s="1" t="inlineStr">
        <is>
          <t>2025</t>
        </is>
      </c>
      <c r="D25" s="1" t="inlineStr">
        <is>
          <t>2027BUD_V1</t>
        </is>
      </c>
      <c r="E25" s="1" t="inlineStr">
        <is>
          <t>12</t>
        </is>
      </c>
      <c r="F25" s="1" t="n">
        <v>734009</v>
      </c>
    </row>
    <row r="26">
      <c r="A26" s="1" t="inlineStr">
        <is>
          <t>PIGIER_LYO</t>
        </is>
      </c>
      <c r="B26" s="1" t="inlineStr">
        <is>
          <t>7062</t>
        </is>
      </c>
      <c r="C26" s="1" t="inlineStr">
        <is>
          <t>2025</t>
        </is>
      </c>
      <c r="D26" s="1" t="inlineStr">
        <is>
          <t>2027BUD_V1</t>
        </is>
      </c>
      <c r="E26" s="1" t="inlineStr">
        <is>
          <t>12</t>
        </is>
      </c>
      <c r="F26" s="1" t="n">
        <v>1171840</v>
      </c>
    </row>
    <row r="27">
      <c r="A27" s="1" t="inlineStr">
        <is>
          <t>PIGIER_BOR</t>
        </is>
      </c>
      <c r="B27" s="1" t="inlineStr">
        <is>
          <t>7062</t>
        </is>
      </c>
      <c r="C27" s="1" t="inlineStr">
        <is>
          <t>2025</t>
        </is>
      </c>
      <c r="D27" s="1" t="inlineStr">
        <is>
          <t>2027BUD_V1</t>
        </is>
      </c>
      <c r="E27" s="1" t="inlineStr">
        <is>
          <t>12</t>
        </is>
      </c>
      <c r="F27" s="1" t="n">
        <v>844632</v>
      </c>
    </row>
    <row r="28">
      <c r="A28" s="1" t="inlineStr">
        <is>
          <t>TUNON_PAR</t>
        </is>
      </c>
      <c r="B28" s="1" t="inlineStr">
        <is>
          <t>7062</t>
        </is>
      </c>
      <c r="C28" s="1" t="inlineStr">
        <is>
          <t>2025</t>
        </is>
      </c>
      <c r="D28" s="1" t="inlineStr">
        <is>
          <t>2027BUD_V1</t>
        </is>
      </c>
      <c r="E28" s="1" t="inlineStr">
        <is>
          <t>12</t>
        </is>
      </c>
      <c r="F28" s="1" t="n">
        <v>1020679</v>
      </c>
    </row>
    <row r="29">
      <c r="A29" s="1" t="inlineStr">
        <is>
          <t>TUNON_LYO</t>
        </is>
      </c>
      <c r="B29" s="1" t="inlineStr">
        <is>
          <t>7062</t>
        </is>
      </c>
      <c r="C29" s="1" t="inlineStr">
        <is>
          <t>2025</t>
        </is>
      </c>
      <c r="D29" s="1" t="inlineStr">
        <is>
          <t>2027BUD_V1</t>
        </is>
      </c>
      <c r="E29" s="1" t="inlineStr">
        <is>
          <t>12</t>
        </is>
      </c>
      <c r="F29" s="1" t="n">
        <v>811274</v>
      </c>
    </row>
    <row r="30">
      <c r="A30" s="1" t="inlineStr">
        <is>
          <t>MBWAY_PAR</t>
        </is>
      </c>
      <c r="B30" s="1" t="inlineStr">
        <is>
          <t>7062</t>
        </is>
      </c>
      <c r="C30" s="1" t="inlineStr">
        <is>
          <t>2026</t>
        </is>
      </c>
      <c r="D30" s="1" t="inlineStr">
        <is>
          <t>2027BUD_V1</t>
        </is>
      </c>
      <c r="E30" s="1" t="inlineStr">
        <is>
          <t>12</t>
        </is>
      </c>
      <c r="F30" s="1" t="n">
        <v>2469600</v>
      </c>
    </row>
    <row r="31">
      <c r="A31" s="1" t="inlineStr">
        <is>
          <t>MBWAY_LYO</t>
        </is>
      </c>
      <c r="B31" s="1" t="inlineStr">
        <is>
          <t>7062</t>
        </is>
      </c>
      <c r="C31" s="1" t="inlineStr">
        <is>
          <t>2026</t>
        </is>
      </c>
      <c r="D31" s="1" t="inlineStr">
        <is>
          <t>2027BUD_V1</t>
        </is>
      </c>
      <c r="E31" s="1" t="inlineStr">
        <is>
          <t>12</t>
        </is>
      </c>
      <c r="F31" s="1" t="n">
        <v>1965075</v>
      </c>
    </row>
    <row r="32">
      <c r="A32" s="1" t="inlineStr">
        <is>
          <t>MBWAY_NAN</t>
        </is>
      </c>
      <c r="B32" s="1" t="inlineStr">
        <is>
          <t>7062</t>
        </is>
      </c>
      <c r="C32" s="1" t="inlineStr">
        <is>
          <t>2026</t>
        </is>
      </c>
      <c r="D32" s="1" t="inlineStr">
        <is>
          <t>2027BUD_V1</t>
        </is>
      </c>
      <c r="E32" s="1" t="inlineStr">
        <is>
          <t>12</t>
        </is>
      </c>
      <c r="F32" s="1" t="n">
        <v>1697500</v>
      </c>
    </row>
    <row r="33">
      <c r="A33" s="1" t="inlineStr">
        <is>
          <t>MBWAY_BOR</t>
        </is>
      </c>
      <c r="B33" s="1" t="inlineStr">
        <is>
          <t>7062</t>
        </is>
      </c>
      <c r="C33" s="1" t="inlineStr">
        <is>
          <t>2026</t>
        </is>
      </c>
      <c r="D33" s="1" t="inlineStr">
        <is>
          <t>2027BUD_V1</t>
        </is>
      </c>
      <c r="E33" s="1" t="inlineStr">
        <is>
          <t>12</t>
        </is>
      </c>
      <c r="F33" s="1" t="n">
        <v>1393405</v>
      </c>
    </row>
    <row r="34">
      <c r="A34" s="1" t="inlineStr">
        <is>
          <t>ISCOM_PAR</t>
        </is>
      </c>
      <c r="B34" s="1" t="inlineStr">
        <is>
          <t>7062</t>
        </is>
      </c>
      <c r="C34" s="1" t="inlineStr">
        <is>
          <t>2026</t>
        </is>
      </c>
      <c r="D34" s="1" t="inlineStr">
        <is>
          <t>2027BUD_V1</t>
        </is>
      </c>
      <c r="E34" s="1" t="inlineStr">
        <is>
          <t>12</t>
        </is>
      </c>
      <c r="F34" s="1" t="n">
        <v>2290960</v>
      </c>
    </row>
    <row r="35">
      <c r="A35" s="1" t="inlineStr">
        <is>
          <t>ISCOM_LIL</t>
        </is>
      </c>
      <c r="B35" s="1" t="inlineStr">
        <is>
          <t>7062</t>
        </is>
      </c>
      <c r="C35" s="1" t="inlineStr">
        <is>
          <t>2026</t>
        </is>
      </c>
      <c r="D35" s="1" t="inlineStr">
        <is>
          <t>2027BUD_V1</t>
        </is>
      </c>
      <c r="E35" s="1" t="inlineStr">
        <is>
          <t>12</t>
        </is>
      </c>
      <c r="F35" s="1" t="n">
        <v>1379350</v>
      </c>
    </row>
    <row r="36">
      <c r="A36" s="1" t="inlineStr">
        <is>
          <t>ISCOM_TLS</t>
        </is>
      </c>
      <c r="B36" s="1" t="inlineStr">
        <is>
          <t>7062</t>
        </is>
      </c>
      <c r="C36" s="1" t="inlineStr">
        <is>
          <t>2026</t>
        </is>
      </c>
      <c r="D36" s="1" t="inlineStr">
        <is>
          <t>2027BUD_V1</t>
        </is>
      </c>
      <c r="E36" s="1" t="inlineStr">
        <is>
          <t>12</t>
        </is>
      </c>
      <c r="F36" s="1" t="n">
        <v>1281120</v>
      </c>
    </row>
    <row r="37">
      <c r="A37" s="1" t="inlineStr">
        <is>
          <t>IPAC_NAN</t>
        </is>
      </c>
      <c r="B37" s="1" t="inlineStr">
        <is>
          <t>7062</t>
        </is>
      </c>
      <c r="C37" s="1" t="inlineStr">
        <is>
          <t>2026</t>
        </is>
      </c>
      <c r="D37" s="1" t="inlineStr">
        <is>
          <t>2027BUD_V1</t>
        </is>
      </c>
      <c r="E37" s="1" t="inlineStr">
        <is>
          <t>12</t>
        </is>
      </c>
      <c r="F37" s="1" t="n">
        <v>1015000</v>
      </c>
    </row>
    <row r="38">
      <c r="A38" s="1" t="inlineStr">
        <is>
          <t>IPAC_REN</t>
        </is>
      </c>
      <c r="B38" s="1" t="inlineStr">
        <is>
          <t>7062</t>
        </is>
      </c>
      <c r="C38" s="1" t="inlineStr">
        <is>
          <t>2026</t>
        </is>
      </c>
      <c r="D38" s="1" t="inlineStr">
        <is>
          <t>2027BUD_V1</t>
        </is>
      </c>
      <c r="E38" s="1" t="inlineStr">
        <is>
          <t>12</t>
        </is>
      </c>
      <c r="F38" s="1" t="n">
        <v>778050</v>
      </c>
    </row>
    <row r="39">
      <c r="A39" s="1" t="inlineStr">
        <is>
          <t>IPAC_MTP</t>
        </is>
      </c>
      <c r="B39" s="1" t="inlineStr">
        <is>
          <t>7062</t>
        </is>
      </c>
      <c r="C39" s="1" t="inlineStr">
        <is>
          <t>2026</t>
        </is>
      </c>
      <c r="D39" s="1" t="inlineStr">
        <is>
          <t>2027BUD_V1</t>
        </is>
      </c>
      <c r="E39" s="1" t="inlineStr">
        <is>
          <t>12</t>
        </is>
      </c>
      <c r="F39" s="1" t="n">
        <v>778050</v>
      </c>
    </row>
    <row r="40">
      <c r="A40" s="1" t="inlineStr">
        <is>
          <t>PIGIER_LYO</t>
        </is>
      </c>
      <c r="B40" s="1" t="inlineStr">
        <is>
          <t>7062</t>
        </is>
      </c>
      <c r="C40" s="1" t="inlineStr">
        <is>
          <t>2026</t>
        </is>
      </c>
      <c r="D40" s="1" t="inlineStr">
        <is>
          <t>2027BUD_V1</t>
        </is>
      </c>
      <c r="E40" s="1" t="inlineStr">
        <is>
          <t>12</t>
        </is>
      </c>
      <c r="F40" s="1" t="n">
        <v>1242150</v>
      </c>
    </row>
    <row r="41">
      <c r="A41" s="1" t="inlineStr">
        <is>
          <t>PIGIER_BOR</t>
        </is>
      </c>
      <c r="B41" s="1" t="inlineStr">
        <is>
          <t>7062</t>
        </is>
      </c>
      <c r="C41" s="1" t="inlineStr">
        <is>
          <t>2026</t>
        </is>
      </c>
      <c r="D41" s="1" t="inlineStr">
        <is>
          <t>2027BUD_V1</t>
        </is>
      </c>
      <c r="E41" s="1" t="inlineStr">
        <is>
          <t>12</t>
        </is>
      </c>
      <c r="F41" s="1" t="n">
        <v>895310</v>
      </c>
    </row>
    <row r="42">
      <c r="A42" s="1" t="inlineStr">
        <is>
          <t>TUNON_PAR</t>
        </is>
      </c>
      <c r="B42" s="1" t="inlineStr">
        <is>
          <t>7062</t>
        </is>
      </c>
      <c r="C42" s="1" t="inlineStr">
        <is>
          <t>2026</t>
        </is>
      </c>
      <c r="D42" s="1" t="inlineStr">
        <is>
          <t>2027BUD_V1</t>
        </is>
      </c>
      <c r="E42" s="1" t="inlineStr">
        <is>
          <t>12</t>
        </is>
      </c>
      <c r="F42" s="1" t="n">
        <v>1081920</v>
      </c>
    </row>
    <row r="43">
      <c r="A43" s="1" t="inlineStr">
        <is>
          <t>TUNON_LYO</t>
        </is>
      </c>
      <c r="B43" s="1" t="inlineStr">
        <is>
          <t>7062</t>
        </is>
      </c>
      <c r="C43" s="1" t="inlineStr">
        <is>
          <t>2026</t>
        </is>
      </c>
      <c r="D43" s="1" t="inlineStr">
        <is>
          <t>2027BUD_V1</t>
        </is>
      </c>
      <c r="E43" s="1" t="inlineStr">
        <is>
          <t>12</t>
        </is>
      </c>
      <c r="F43" s="1" t="n">
        <v>859950</v>
      </c>
    </row>
    <row r="44">
      <c r="A44" s="1" t="inlineStr">
        <is>
          <t>MBWAY_PAR</t>
        </is>
      </c>
      <c r="B44" s="1" t="inlineStr">
        <is>
          <t>706</t>
        </is>
      </c>
      <c r="C44" s="1" t="inlineStr">
        <is>
          <t>2024</t>
        </is>
      </c>
      <c r="D44" s="1" t="inlineStr">
        <is>
          <t>2027BUD_V1</t>
        </is>
      </c>
      <c r="E44" s="1" t="inlineStr">
        <is>
          <t>12</t>
        </is>
      </c>
      <c r="F44" s="1" t="n">
        <v>583126</v>
      </c>
    </row>
    <row r="45">
      <c r="A45" s="1" t="inlineStr">
        <is>
          <t>MBWAY_LYO</t>
        </is>
      </c>
      <c r="B45" s="1" t="inlineStr">
        <is>
          <t>706</t>
        </is>
      </c>
      <c r="C45" s="1" t="inlineStr">
        <is>
          <t>2024</t>
        </is>
      </c>
      <c r="D45" s="1" t="inlineStr">
        <is>
          <t>2027BUD_V1</t>
        </is>
      </c>
      <c r="E45" s="1" t="inlineStr">
        <is>
          <t>12</t>
        </is>
      </c>
      <c r="F45" s="1" t="n">
        <v>462576</v>
      </c>
    </row>
    <row r="46">
      <c r="A46" s="1" t="inlineStr">
        <is>
          <t>MBWAY_NAN</t>
        </is>
      </c>
      <c r="B46" s="1" t="inlineStr">
        <is>
          <t>706</t>
        </is>
      </c>
      <c r="C46" s="1" t="inlineStr">
        <is>
          <t>2024</t>
        </is>
      </c>
      <c r="D46" s="1" t="inlineStr">
        <is>
          <t>2027BUD_V1</t>
        </is>
      </c>
      <c r="E46" s="1" t="inlineStr">
        <is>
          <t>12</t>
        </is>
      </c>
      <c r="F46" s="1" t="n">
        <v>400498</v>
      </c>
    </row>
    <row r="47">
      <c r="A47" s="1" t="inlineStr">
        <is>
          <t>MBWAY_BOR</t>
        </is>
      </c>
      <c r="B47" s="1" t="inlineStr">
        <is>
          <t>706</t>
        </is>
      </c>
      <c r="C47" s="1" t="inlineStr">
        <is>
          <t>2024</t>
        </is>
      </c>
      <c r="D47" s="1" t="inlineStr">
        <is>
          <t>2027BUD_V1</t>
        </is>
      </c>
      <c r="E47" s="1" t="inlineStr">
        <is>
          <t>12</t>
        </is>
      </c>
      <c r="F47" s="1" t="n">
        <v>330211</v>
      </c>
    </row>
    <row r="48">
      <c r="A48" s="1" t="inlineStr">
        <is>
          <t>ISCOM_PAR</t>
        </is>
      </c>
      <c r="B48" s="1" t="inlineStr">
        <is>
          <t>706</t>
        </is>
      </c>
      <c r="C48" s="1" t="inlineStr">
        <is>
          <t>2024</t>
        </is>
      </c>
      <c r="D48" s="1" t="inlineStr">
        <is>
          <t>2027BUD_V1</t>
        </is>
      </c>
      <c r="E48" s="1" t="inlineStr">
        <is>
          <t>12</t>
        </is>
      </c>
      <c r="F48" s="1" t="n">
        <v>538270</v>
      </c>
    </row>
    <row r="49">
      <c r="A49" s="1" t="inlineStr">
        <is>
          <t>ISCOM_LIL</t>
        </is>
      </c>
      <c r="B49" s="1" t="inlineStr">
        <is>
          <t>706</t>
        </is>
      </c>
      <c r="C49" s="1" t="inlineStr">
        <is>
          <t>2024</t>
        </is>
      </c>
      <c r="D49" s="1" t="inlineStr">
        <is>
          <t>2027BUD_V1</t>
        </is>
      </c>
      <c r="E49" s="1" t="inlineStr">
        <is>
          <t>12</t>
        </is>
      </c>
      <c r="F49" s="1" t="n">
        <v>327074</v>
      </c>
    </row>
    <row r="50">
      <c r="A50" s="1" t="inlineStr">
        <is>
          <t>ISCOM_TLS</t>
        </is>
      </c>
      <c r="B50" s="1" t="inlineStr">
        <is>
          <t>706</t>
        </is>
      </c>
      <c r="C50" s="1" t="inlineStr">
        <is>
          <t>2024</t>
        </is>
      </c>
      <c r="D50" s="1" t="inlineStr">
        <is>
          <t>2027BUD_V1</t>
        </is>
      </c>
      <c r="E50" s="1" t="inlineStr">
        <is>
          <t>12</t>
        </is>
      </c>
      <c r="F50" s="1" t="n">
        <v>301175</v>
      </c>
    </row>
    <row r="51">
      <c r="A51" s="1" t="inlineStr">
        <is>
          <t>MBWAY_PAR</t>
        </is>
      </c>
      <c r="B51" s="1" t="inlineStr">
        <is>
          <t>706</t>
        </is>
      </c>
      <c r="C51" s="1" t="inlineStr">
        <is>
          <t>2025</t>
        </is>
      </c>
      <c r="D51" s="1" t="inlineStr">
        <is>
          <t>2027BUD_V1</t>
        </is>
      </c>
      <c r="E51" s="1" t="inlineStr">
        <is>
          <t>12</t>
        </is>
      </c>
      <c r="F51" s="1" t="n">
        <v>618113</v>
      </c>
    </row>
    <row r="52">
      <c r="A52" s="1" t="inlineStr">
        <is>
          <t>MBWAY_LYO</t>
        </is>
      </c>
      <c r="B52" s="1" t="inlineStr">
        <is>
          <t>706</t>
        </is>
      </c>
      <c r="C52" s="1" t="inlineStr">
        <is>
          <t>2025</t>
        </is>
      </c>
      <c r="D52" s="1" t="inlineStr">
        <is>
          <t>2027BUD_V1</t>
        </is>
      </c>
      <c r="E52" s="1" t="inlineStr">
        <is>
          <t>12</t>
        </is>
      </c>
      <c r="F52" s="1" t="n">
        <v>490330</v>
      </c>
    </row>
    <row r="53">
      <c r="A53" s="1" t="inlineStr">
        <is>
          <t>MBWAY_NAN</t>
        </is>
      </c>
      <c r="B53" s="1" t="inlineStr">
        <is>
          <t>706</t>
        </is>
      </c>
      <c r="C53" s="1" t="inlineStr">
        <is>
          <t>2025</t>
        </is>
      </c>
      <c r="D53" s="1" t="inlineStr">
        <is>
          <t>2027BUD_V1</t>
        </is>
      </c>
      <c r="E53" s="1" t="inlineStr">
        <is>
          <t>12</t>
        </is>
      </c>
      <c r="F53" s="1" t="n">
        <v>424528</v>
      </c>
    </row>
    <row r="54">
      <c r="A54" s="1" t="inlineStr">
        <is>
          <t>MBWAY_BOR</t>
        </is>
      </c>
      <c r="B54" s="1" t="inlineStr">
        <is>
          <t>706</t>
        </is>
      </c>
      <c r="C54" s="1" t="inlineStr">
        <is>
          <t>2025</t>
        </is>
      </c>
      <c r="D54" s="1" t="inlineStr">
        <is>
          <t>2027BUD_V1</t>
        </is>
      </c>
      <c r="E54" s="1" t="inlineStr">
        <is>
          <t>12</t>
        </is>
      </c>
      <c r="F54" s="1" t="n">
        <v>350024</v>
      </c>
    </row>
    <row r="55">
      <c r="A55" s="1" t="inlineStr">
        <is>
          <t>ISCOM_PAR</t>
        </is>
      </c>
      <c r="B55" s="1" t="inlineStr">
        <is>
          <t>706</t>
        </is>
      </c>
      <c r="C55" s="1" t="inlineStr">
        <is>
          <t>2025</t>
        </is>
      </c>
      <c r="D55" s="1" t="inlineStr">
        <is>
          <t>2027BUD_V1</t>
        </is>
      </c>
      <c r="E55" s="1" t="inlineStr">
        <is>
          <t>12</t>
        </is>
      </c>
      <c r="F55" s="1" t="n">
        <v>570566</v>
      </c>
    </row>
    <row r="56">
      <c r="A56" s="1" t="inlineStr">
        <is>
          <t>ISCOM_LIL</t>
        </is>
      </c>
      <c r="B56" s="1" t="inlineStr">
        <is>
          <t>706</t>
        </is>
      </c>
      <c r="C56" s="1" t="inlineStr">
        <is>
          <t>2025</t>
        </is>
      </c>
      <c r="D56" s="1" t="inlineStr">
        <is>
          <t>2027BUD_V1</t>
        </is>
      </c>
      <c r="E56" s="1" t="inlineStr">
        <is>
          <t>12</t>
        </is>
      </c>
      <c r="F56" s="1" t="n">
        <v>346698</v>
      </c>
    </row>
    <row r="57">
      <c r="A57" s="1" t="inlineStr">
        <is>
          <t>ISCOM_TLS</t>
        </is>
      </c>
      <c r="B57" s="1" t="inlineStr">
        <is>
          <t>706</t>
        </is>
      </c>
      <c r="C57" s="1" t="inlineStr">
        <is>
          <t>2025</t>
        </is>
      </c>
      <c r="D57" s="1" t="inlineStr">
        <is>
          <t>2027BUD_V1</t>
        </is>
      </c>
      <c r="E57" s="1" t="inlineStr">
        <is>
          <t>12</t>
        </is>
      </c>
      <c r="F57" s="1" t="n">
        <v>319245</v>
      </c>
    </row>
    <row r="58">
      <c r="A58" s="1" t="inlineStr">
        <is>
          <t>MBWAY_PAR</t>
        </is>
      </c>
      <c r="B58" s="1" t="inlineStr">
        <is>
          <t>706</t>
        </is>
      </c>
      <c r="C58" s="1" t="inlineStr">
        <is>
          <t>2026</t>
        </is>
      </c>
      <c r="D58" s="1" t="inlineStr">
        <is>
          <t>2027BUD_V1</t>
        </is>
      </c>
      <c r="E58" s="1" t="inlineStr">
        <is>
          <t>12</t>
        </is>
      </c>
      <c r="F58" s="1" t="n">
        <v>655200</v>
      </c>
    </row>
    <row r="59">
      <c r="A59" s="1" t="inlineStr">
        <is>
          <t>MBWAY_LYO</t>
        </is>
      </c>
      <c r="B59" s="1" t="inlineStr">
        <is>
          <t>706</t>
        </is>
      </c>
      <c r="C59" s="1" t="inlineStr">
        <is>
          <t>2026</t>
        </is>
      </c>
      <c r="D59" s="1" t="inlineStr">
        <is>
          <t>2027BUD_V1</t>
        </is>
      </c>
      <c r="E59" s="1" t="inlineStr">
        <is>
          <t>12</t>
        </is>
      </c>
      <c r="F59" s="1" t="n">
        <v>519750</v>
      </c>
    </row>
    <row r="60">
      <c r="A60" s="1" t="inlineStr">
        <is>
          <t>MBWAY_NAN</t>
        </is>
      </c>
      <c r="B60" s="1" t="inlineStr">
        <is>
          <t>706</t>
        </is>
      </c>
      <c r="C60" s="1" t="inlineStr">
        <is>
          <t>2026</t>
        </is>
      </c>
      <c r="D60" s="1" t="inlineStr">
        <is>
          <t>2027BUD_V1</t>
        </is>
      </c>
      <c r="E60" s="1" t="inlineStr">
        <is>
          <t>12</t>
        </is>
      </c>
      <c r="F60" s="1" t="n">
        <v>450000</v>
      </c>
    </row>
    <row r="61">
      <c r="A61" s="1" t="inlineStr">
        <is>
          <t>MBWAY_BOR</t>
        </is>
      </c>
      <c r="B61" s="1" t="inlineStr">
        <is>
          <t>706</t>
        </is>
      </c>
      <c r="C61" s="1" t="inlineStr">
        <is>
          <t>2026</t>
        </is>
      </c>
      <c r="D61" s="1" t="inlineStr">
        <is>
          <t>2027BUD_V1</t>
        </is>
      </c>
      <c r="E61" s="1" t="inlineStr">
        <is>
          <t>12</t>
        </is>
      </c>
      <c r="F61" s="1" t="n">
        <v>371025</v>
      </c>
    </row>
    <row r="62">
      <c r="A62" s="1" t="inlineStr">
        <is>
          <t>ISCOM_PAR</t>
        </is>
      </c>
      <c r="B62" s="1" t="inlineStr">
        <is>
          <t>706</t>
        </is>
      </c>
      <c r="C62" s="1" t="inlineStr">
        <is>
          <t>2026</t>
        </is>
      </c>
      <c r="D62" s="1" t="inlineStr">
        <is>
          <t>2027BUD_V1</t>
        </is>
      </c>
      <c r="E62" s="1" t="inlineStr">
        <is>
          <t>12</t>
        </is>
      </c>
      <c r="F62" s="1" t="n">
        <v>604800</v>
      </c>
    </row>
    <row r="63">
      <c r="A63" s="1" t="inlineStr">
        <is>
          <t>ISCOM_LIL</t>
        </is>
      </c>
      <c r="B63" s="1" t="inlineStr">
        <is>
          <t>706</t>
        </is>
      </c>
      <c r="C63" s="1" t="inlineStr">
        <is>
          <t>2026</t>
        </is>
      </c>
      <c r="D63" s="1" t="inlineStr">
        <is>
          <t>2027BUD_V1</t>
        </is>
      </c>
      <c r="E63" s="1" t="inlineStr">
        <is>
          <t>12</t>
        </is>
      </c>
      <c r="F63" s="1" t="n">
        <v>367500</v>
      </c>
    </row>
    <row r="64">
      <c r="A64" s="1" t="inlineStr">
        <is>
          <t>ISCOM_TLS</t>
        </is>
      </c>
      <c r="B64" s="1" t="inlineStr">
        <is>
          <t>706</t>
        </is>
      </c>
      <c r="C64" s="1" t="inlineStr">
        <is>
          <t>2026</t>
        </is>
      </c>
      <c r="D64" s="1" t="inlineStr">
        <is>
          <t>2027BUD_V1</t>
        </is>
      </c>
      <c r="E64" s="1" t="inlineStr">
        <is>
          <t>12</t>
        </is>
      </c>
      <c r="F64" s="1" t="n">
        <v>338400</v>
      </c>
    </row>
    <row r="65">
      <c r="A65" s="1" t="inlineStr">
        <is>
          <t>MBWAY_PAR</t>
        </is>
      </c>
      <c r="B65" s="1" t="inlineStr">
        <is>
          <t>708</t>
        </is>
      </c>
      <c r="C65" s="1" t="inlineStr">
        <is>
          <t>2024</t>
        </is>
      </c>
      <c r="D65" s="1" t="inlineStr">
        <is>
          <t>2027BUD_V1</t>
        </is>
      </c>
      <c r="E65" s="1" t="inlineStr">
        <is>
          <t>12</t>
        </is>
      </c>
      <c r="F65" s="1" t="n">
        <v>12496</v>
      </c>
    </row>
    <row r="66">
      <c r="A66" s="1" t="inlineStr">
        <is>
          <t>MBWAY_LYO</t>
        </is>
      </c>
      <c r="B66" s="1" t="inlineStr">
        <is>
          <t>708</t>
        </is>
      </c>
      <c r="C66" s="1" t="inlineStr">
        <is>
          <t>2024</t>
        </is>
      </c>
      <c r="D66" s="1" t="inlineStr">
        <is>
          <t>2027BUD_V1</t>
        </is>
      </c>
      <c r="E66" s="1" t="inlineStr">
        <is>
          <t>12</t>
        </is>
      </c>
      <c r="F66" s="1" t="n">
        <v>10573</v>
      </c>
    </row>
    <row r="67">
      <c r="A67" s="1" t="inlineStr">
        <is>
          <t>MBWAY_NAN</t>
        </is>
      </c>
      <c r="B67" s="1" t="inlineStr">
        <is>
          <t>708</t>
        </is>
      </c>
      <c r="C67" s="1" t="inlineStr">
        <is>
          <t>2024</t>
        </is>
      </c>
      <c r="D67" s="1" t="inlineStr">
        <is>
          <t>2027BUD_V1</t>
        </is>
      </c>
      <c r="E67" s="1" t="inlineStr">
        <is>
          <t>12</t>
        </is>
      </c>
      <c r="F67" s="1" t="n">
        <v>9612</v>
      </c>
    </row>
    <row r="68">
      <c r="A68" s="1" t="inlineStr">
        <is>
          <t>MBWAY_BOR</t>
        </is>
      </c>
      <c r="B68" s="1" t="inlineStr">
        <is>
          <t>708</t>
        </is>
      </c>
      <c r="C68" s="1" t="inlineStr">
        <is>
          <t>2024</t>
        </is>
      </c>
      <c r="D68" s="1" t="inlineStr">
        <is>
          <t>2027BUD_V1</t>
        </is>
      </c>
      <c r="E68" s="1" t="inlineStr">
        <is>
          <t>12</t>
        </is>
      </c>
      <c r="F68" s="1" t="n">
        <v>8170</v>
      </c>
    </row>
    <row r="69">
      <c r="A69" s="1" t="inlineStr">
        <is>
          <t>ISCOM_PAR</t>
        </is>
      </c>
      <c r="B69" s="1" t="inlineStr">
        <is>
          <t>708</t>
        </is>
      </c>
      <c r="C69" s="1" t="inlineStr">
        <is>
          <t>2024</t>
        </is>
      </c>
      <c r="D69" s="1" t="inlineStr">
        <is>
          <t>2027BUD_V1</t>
        </is>
      </c>
      <c r="E69" s="1" t="inlineStr">
        <is>
          <t>12</t>
        </is>
      </c>
      <c r="F69" s="1" t="n">
        <v>11534</v>
      </c>
    </row>
    <row r="70">
      <c r="A70" s="1" t="inlineStr">
        <is>
          <t>ISCOM_LIL</t>
        </is>
      </c>
      <c r="B70" s="1" t="inlineStr">
        <is>
          <t>708</t>
        </is>
      </c>
      <c r="C70" s="1" t="inlineStr">
        <is>
          <t>2024</t>
        </is>
      </c>
      <c r="D70" s="1" t="inlineStr">
        <is>
          <t>2027BUD_V1</t>
        </is>
      </c>
      <c r="E70" s="1" t="inlineStr">
        <is>
          <t>12</t>
        </is>
      </c>
      <c r="F70" s="1" t="n">
        <v>8010</v>
      </c>
    </row>
    <row r="71">
      <c r="A71" s="1" t="inlineStr">
        <is>
          <t>ISCOM_TLS</t>
        </is>
      </c>
      <c r="B71" s="1" t="inlineStr">
        <is>
          <t>708</t>
        </is>
      </c>
      <c r="C71" s="1" t="inlineStr">
        <is>
          <t>2024</t>
        </is>
      </c>
      <c r="D71" s="1" t="inlineStr">
        <is>
          <t>2027BUD_V1</t>
        </is>
      </c>
      <c r="E71" s="1" t="inlineStr">
        <is>
          <t>12</t>
        </is>
      </c>
      <c r="F71" s="1" t="n">
        <v>7529</v>
      </c>
    </row>
    <row r="72">
      <c r="A72" s="1" t="inlineStr">
        <is>
          <t>IPAC_NAN</t>
        </is>
      </c>
      <c r="B72" s="1" t="inlineStr">
        <is>
          <t>708</t>
        </is>
      </c>
      <c r="C72" s="1" t="inlineStr">
        <is>
          <t>2024</t>
        </is>
      </c>
      <c r="D72" s="1" t="inlineStr">
        <is>
          <t>2027BUD_V1</t>
        </is>
      </c>
      <c r="E72" s="1" t="inlineStr">
        <is>
          <t>12</t>
        </is>
      </c>
      <c r="F72" s="1" t="n">
        <v>4005</v>
      </c>
    </row>
    <row r="73">
      <c r="A73" s="1" t="inlineStr">
        <is>
          <t>IPAC_REN</t>
        </is>
      </c>
      <c r="B73" s="1" t="inlineStr">
        <is>
          <t>708</t>
        </is>
      </c>
      <c r="C73" s="1" t="inlineStr">
        <is>
          <t>2024</t>
        </is>
      </c>
      <c r="D73" s="1" t="inlineStr">
        <is>
          <t>2027BUD_V1</t>
        </is>
      </c>
      <c r="E73" s="1" t="inlineStr">
        <is>
          <t>12</t>
        </is>
      </c>
      <c r="F73" s="1" t="n">
        <v>3204</v>
      </c>
    </row>
    <row r="74">
      <c r="A74" s="1" t="inlineStr">
        <is>
          <t>IPAC_MTP</t>
        </is>
      </c>
      <c r="B74" s="1" t="inlineStr">
        <is>
          <t>708</t>
        </is>
      </c>
      <c r="C74" s="1" t="inlineStr">
        <is>
          <t>2024</t>
        </is>
      </c>
      <c r="D74" s="1" t="inlineStr">
        <is>
          <t>2027BUD_V1</t>
        </is>
      </c>
      <c r="E74" s="1" t="inlineStr">
        <is>
          <t>12</t>
        </is>
      </c>
      <c r="F74" s="1" t="n">
        <v>3204</v>
      </c>
    </row>
    <row r="75">
      <c r="A75" s="1" t="inlineStr">
        <is>
          <t>PIGIER_LYO</t>
        </is>
      </c>
      <c r="B75" s="1" t="inlineStr">
        <is>
          <t>708</t>
        </is>
      </c>
      <c r="C75" s="1" t="inlineStr">
        <is>
          <t>2024</t>
        </is>
      </c>
      <c r="D75" s="1" t="inlineStr">
        <is>
          <t>2027BUD_V1</t>
        </is>
      </c>
      <c r="E75" s="1" t="inlineStr">
        <is>
          <t>12</t>
        </is>
      </c>
      <c r="F75" s="1" t="n">
        <v>7369</v>
      </c>
    </row>
    <row r="76">
      <c r="A76" s="1" t="inlineStr">
        <is>
          <t>PIGIER_BOR</t>
        </is>
      </c>
      <c r="B76" s="1" t="inlineStr">
        <is>
          <t>708</t>
        </is>
      </c>
      <c r="C76" s="1" t="inlineStr">
        <is>
          <t>2024</t>
        </is>
      </c>
      <c r="D76" s="1" t="inlineStr">
        <is>
          <t>2027BUD_V1</t>
        </is>
      </c>
      <c r="E76" s="1" t="inlineStr">
        <is>
          <t>12</t>
        </is>
      </c>
      <c r="F76" s="1" t="n">
        <v>5767</v>
      </c>
    </row>
    <row r="77">
      <c r="A77" s="1" t="inlineStr">
        <is>
          <t>TUNON_PAR</t>
        </is>
      </c>
      <c r="B77" s="1" t="inlineStr">
        <is>
          <t>708</t>
        </is>
      </c>
      <c r="C77" s="1" t="inlineStr">
        <is>
          <t>2024</t>
        </is>
      </c>
      <c r="D77" s="1" t="inlineStr">
        <is>
          <t>2027BUD_V1</t>
        </is>
      </c>
      <c r="E77" s="1" t="inlineStr">
        <is>
          <t>12</t>
        </is>
      </c>
      <c r="F77" s="1" t="n">
        <v>3765</v>
      </c>
    </row>
    <row r="78">
      <c r="A78" s="1" t="inlineStr">
        <is>
          <t>TUNON_LYO</t>
        </is>
      </c>
      <c r="B78" s="1" t="inlineStr">
        <is>
          <t>708</t>
        </is>
      </c>
      <c r="C78" s="1" t="inlineStr">
        <is>
          <t>2024</t>
        </is>
      </c>
      <c r="D78" s="1" t="inlineStr">
        <is>
          <t>2027BUD_V1</t>
        </is>
      </c>
      <c r="E78" s="1" t="inlineStr">
        <is>
          <t>12</t>
        </is>
      </c>
      <c r="F78" s="1" t="n">
        <v>3204</v>
      </c>
    </row>
    <row r="79">
      <c r="A79" s="1" t="inlineStr">
        <is>
          <t>MBWAY_PAR</t>
        </is>
      </c>
      <c r="B79" s="1" t="inlineStr">
        <is>
          <t>708</t>
        </is>
      </c>
      <c r="C79" s="1" t="inlineStr">
        <is>
          <t>2025</t>
        </is>
      </c>
      <c r="D79" s="1" t="inlineStr">
        <is>
          <t>2027BUD_V1</t>
        </is>
      </c>
      <c r="E79" s="1" t="inlineStr">
        <is>
          <t>12</t>
        </is>
      </c>
      <c r="F79" s="1" t="n">
        <v>13245</v>
      </c>
    </row>
    <row r="80">
      <c r="A80" s="1" t="inlineStr">
        <is>
          <t>MBWAY_LYO</t>
        </is>
      </c>
      <c r="B80" s="1" t="inlineStr">
        <is>
          <t>708</t>
        </is>
      </c>
      <c r="C80" s="1" t="inlineStr">
        <is>
          <t>2025</t>
        </is>
      </c>
      <c r="D80" s="1" t="inlineStr">
        <is>
          <t>2027BUD_V1</t>
        </is>
      </c>
      <c r="E80" s="1" t="inlineStr">
        <is>
          <t>12</t>
        </is>
      </c>
      <c r="F80" s="1" t="n">
        <v>11208</v>
      </c>
    </row>
    <row r="81">
      <c r="A81" s="1" t="inlineStr">
        <is>
          <t>MBWAY_NAN</t>
        </is>
      </c>
      <c r="B81" s="1" t="inlineStr">
        <is>
          <t>708</t>
        </is>
      </c>
      <c r="C81" s="1" t="inlineStr">
        <is>
          <t>2025</t>
        </is>
      </c>
      <c r="D81" s="1" t="inlineStr">
        <is>
          <t>2027BUD_V1</t>
        </is>
      </c>
      <c r="E81" s="1" t="inlineStr">
        <is>
          <t>12</t>
        </is>
      </c>
      <c r="F81" s="1" t="n">
        <v>10189</v>
      </c>
    </row>
    <row r="82">
      <c r="A82" s="1" t="inlineStr">
        <is>
          <t>MBWAY_BOR</t>
        </is>
      </c>
      <c r="B82" s="1" t="inlineStr">
        <is>
          <t>708</t>
        </is>
      </c>
      <c r="C82" s="1" t="inlineStr">
        <is>
          <t>2025</t>
        </is>
      </c>
      <c r="D82" s="1" t="inlineStr">
        <is>
          <t>2027BUD_V1</t>
        </is>
      </c>
      <c r="E82" s="1" t="inlineStr">
        <is>
          <t>12</t>
        </is>
      </c>
      <c r="F82" s="1" t="n">
        <v>8660</v>
      </c>
    </row>
    <row r="83">
      <c r="A83" s="1" t="inlineStr">
        <is>
          <t>ISCOM_PAR</t>
        </is>
      </c>
      <c r="B83" s="1" t="inlineStr">
        <is>
          <t>708</t>
        </is>
      </c>
      <c r="C83" s="1" t="inlineStr">
        <is>
          <t>2025</t>
        </is>
      </c>
      <c r="D83" s="1" t="inlineStr">
        <is>
          <t>2027BUD_V1</t>
        </is>
      </c>
      <c r="E83" s="1" t="inlineStr">
        <is>
          <t>12</t>
        </is>
      </c>
      <c r="F83" s="1" t="n">
        <v>12226</v>
      </c>
    </row>
    <row r="84">
      <c r="A84" s="1" t="inlineStr">
        <is>
          <t>ISCOM_LIL</t>
        </is>
      </c>
      <c r="B84" s="1" t="inlineStr">
        <is>
          <t>708</t>
        </is>
      </c>
      <c r="C84" s="1" t="inlineStr">
        <is>
          <t>2025</t>
        </is>
      </c>
      <c r="D84" s="1" t="inlineStr">
        <is>
          <t>2027BUD_V1</t>
        </is>
      </c>
      <c r="E84" s="1" t="inlineStr">
        <is>
          <t>12</t>
        </is>
      </c>
      <c r="F84" s="1" t="n">
        <v>8491</v>
      </c>
    </row>
    <row r="85">
      <c r="A85" s="1" t="inlineStr">
        <is>
          <t>ISCOM_TLS</t>
        </is>
      </c>
      <c r="B85" s="1" t="inlineStr">
        <is>
          <t>708</t>
        </is>
      </c>
      <c r="C85" s="1" t="inlineStr">
        <is>
          <t>2025</t>
        </is>
      </c>
      <c r="D85" s="1" t="inlineStr">
        <is>
          <t>2027BUD_V1</t>
        </is>
      </c>
      <c r="E85" s="1" t="inlineStr">
        <is>
          <t>12</t>
        </is>
      </c>
      <c r="F85" s="1" t="n">
        <v>7981</v>
      </c>
    </row>
    <row r="86">
      <c r="A86" s="1" t="inlineStr">
        <is>
          <t>IPAC_NAN</t>
        </is>
      </c>
      <c r="B86" s="1" t="inlineStr">
        <is>
          <t>708</t>
        </is>
      </c>
      <c r="C86" s="1" t="inlineStr">
        <is>
          <t>2025</t>
        </is>
      </c>
      <c r="D86" s="1" t="inlineStr">
        <is>
          <t>2027BUD_V1</t>
        </is>
      </c>
      <c r="E86" s="1" t="inlineStr">
        <is>
          <t>12</t>
        </is>
      </c>
      <c r="F86" s="1" t="n">
        <v>4245</v>
      </c>
    </row>
    <row r="87">
      <c r="A87" s="1" t="inlineStr">
        <is>
          <t>IPAC_REN</t>
        </is>
      </c>
      <c r="B87" s="1" t="inlineStr">
        <is>
          <t>708</t>
        </is>
      </c>
      <c r="C87" s="1" t="inlineStr">
        <is>
          <t>2025</t>
        </is>
      </c>
      <c r="D87" s="1" t="inlineStr">
        <is>
          <t>2027BUD_V1</t>
        </is>
      </c>
      <c r="E87" s="1" t="inlineStr">
        <is>
          <t>12</t>
        </is>
      </c>
      <c r="F87" s="1" t="n">
        <v>3396</v>
      </c>
    </row>
    <row r="88">
      <c r="A88" s="1" t="inlineStr">
        <is>
          <t>IPAC_MTP</t>
        </is>
      </c>
      <c r="B88" s="1" t="inlineStr">
        <is>
          <t>708</t>
        </is>
      </c>
      <c r="C88" s="1" t="inlineStr">
        <is>
          <t>2025</t>
        </is>
      </c>
      <c r="D88" s="1" t="inlineStr">
        <is>
          <t>2027BUD_V1</t>
        </is>
      </c>
      <c r="E88" s="1" t="inlineStr">
        <is>
          <t>12</t>
        </is>
      </c>
      <c r="F88" s="1" t="n">
        <v>3396</v>
      </c>
    </row>
    <row r="89">
      <c r="A89" s="1" t="inlineStr">
        <is>
          <t>PIGIER_LYO</t>
        </is>
      </c>
      <c r="B89" s="1" t="inlineStr">
        <is>
          <t>708</t>
        </is>
      </c>
      <c r="C89" s="1" t="inlineStr">
        <is>
          <t>2025</t>
        </is>
      </c>
      <c r="D89" s="1" t="inlineStr">
        <is>
          <t>2027BUD_V1</t>
        </is>
      </c>
      <c r="E89" s="1" t="inlineStr">
        <is>
          <t>12</t>
        </is>
      </c>
      <c r="F89" s="1" t="n">
        <v>7811</v>
      </c>
    </row>
    <row r="90">
      <c r="A90" s="1" t="inlineStr">
        <is>
          <t>PIGIER_BOR</t>
        </is>
      </c>
      <c r="B90" s="1" t="inlineStr">
        <is>
          <t>708</t>
        </is>
      </c>
      <c r="C90" s="1" t="inlineStr">
        <is>
          <t>2025</t>
        </is>
      </c>
      <c r="D90" s="1" t="inlineStr">
        <is>
          <t>2027BUD_V1</t>
        </is>
      </c>
      <c r="E90" s="1" t="inlineStr">
        <is>
          <t>12</t>
        </is>
      </c>
      <c r="F90" s="1" t="n">
        <v>6113</v>
      </c>
    </row>
    <row r="91">
      <c r="A91" s="1" t="inlineStr">
        <is>
          <t>TUNON_PAR</t>
        </is>
      </c>
      <c r="B91" s="1" t="inlineStr">
        <is>
          <t>708</t>
        </is>
      </c>
      <c r="C91" s="1" t="inlineStr">
        <is>
          <t>2025</t>
        </is>
      </c>
      <c r="D91" s="1" t="inlineStr">
        <is>
          <t>2027BUD_V1</t>
        </is>
      </c>
      <c r="E91" s="1" t="inlineStr">
        <is>
          <t>12</t>
        </is>
      </c>
      <c r="F91" s="1" t="n">
        <v>3991</v>
      </c>
    </row>
    <row r="92">
      <c r="A92" s="1" t="inlineStr">
        <is>
          <t>TUNON_LYO</t>
        </is>
      </c>
      <c r="B92" s="1" t="inlineStr">
        <is>
          <t>708</t>
        </is>
      </c>
      <c r="C92" s="1" t="inlineStr">
        <is>
          <t>2025</t>
        </is>
      </c>
      <c r="D92" s="1" t="inlineStr">
        <is>
          <t>2027BUD_V1</t>
        </is>
      </c>
      <c r="E92" s="1" t="inlineStr">
        <is>
          <t>12</t>
        </is>
      </c>
      <c r="F92" s="1" t="n">
        <v>3396</v>
      </c>
    </row>
    <row r="93">
      <c r="A93" s="1" t="inlineStr">
        <is>
          <t>MBWAY_PAR</t>
        </is>
      </c>
      <c r="B93" s="1" t="inlineStr">
        <is>
          <t>708</t>
        </is>
      </c>
      <c r="C93" s="1" t="inlineStr">
        <is>
          <t>2026</t>
        </is>
      </c>
      <c r="D93" s="1" t="inlineStr">
        <is>
          <t>2027BUD_V1</t>
        </is>
      </c>
      <c r="E93" s="1" t="inlineStr">
        <is>
          <t>12</t>
        </is>
      </c>
      <c r="F93" s="1" t="n">
        <v>14040</v>
      </c>
    </row>
    <row r="94">
      <c r="A94" s="1" t="inlineStr">
        <is>
          <t>MBWAY_LYO</t>
        </is>
      </c>
      <c r="B94" s="1" t="inlineStr">
        <is>
          <t>708</t>
        </is>
      </c>
      <c r="C94" s="1" t="inlineStr">
        <is>
          <t>2026</t>
        </is>
      </c>
      <c r="D94" s="1" t="inlineStr">
        <is>
          <t>2027BUD_V1</t>
        </is>
      </c>
      <c r="E94" s="1" t="inlineStr">
        <is>
          <t>12</t>
        </is>
      </c>
      <c r="F94" s="1" t="n">
        <v>11880</v>
      </c>
    </row>
    <row r="95">
      <c r="A95" s="1" t="inlineStr">
        <is>
          <t>MBWAY_NAN</t>
        </is>
      </c>
      <c r="B95" s="1" t="inlineStr">
        <is>
          <t>708</t>
        </is>
      </c>
      <c r="C95" s="1" t="inlineStr">
        <is>
          <t>2026</t>
        </is>
      </c>
      <c r="D95" s="1" t="inlineStr">
        <is>
          <t>2027BUD_V1</t>
        </is>
      </c>
      <c r="E95" s="1" t="inlineStr">
        <is>
          <t>12</t>
        </is>
      </c>
      <c r="F95" s="1" t="n">
        <v>10800</v>
      </c>
    </row>
    <row r="96">
      <c r="A96" s="1" t="inlineStr">
        <is>
          <t>MBWAY_BOR</t>
        </is>
      </c>
      <c r="B96" s="1" t="inlineStr">
        <is>
          <t>708</t>
        </is>
      </c>
      <c r="C96" s="1" t="inlineStr">
        <is>
          <t>2026</t>
        </is>
      </c>
      <c r="D96" s="1" t="inlineStr">
        <is>
          <t>2027BUD_V1</t>
        </is>
      </c>
      <c r="E96" s="1" t="inlineStr">
        <is>
          <t>12</t>
        </is>
      </c>
      <c r="F96" s="1" t="n">
        <v>9180</v>
      </c>
    </row>
    <row r="97">
      <c r="A97" s="1" t="inlineStr">
        <is>
          <t>ISCOM_PAR</t>
        </is>
      </c>
      <c r="B97" s="1" t="inlineStr">
        <is>
          <t>708</t>
        </is>
      </c>
      <c r="C97" s="1" t="inlineStr">
        <is>
          <t>2026</t>
        </is>
      </c>
      <c r="D97" s="1" t="inlineStr">
        <is>
          <t>2027BUD_V1</t>
        </is>
      </c>
      <c r="E97" s="1" t="inlineStr">
        <is>
          <t>12</t>
        </is>
      </c>
      <c r="F97" s="1" t="n">
        <v>12960</v>
      </c>
    </row>
    <row r="98">
      <c r="A98" s="1" t="inlineStr">
        <is>
          <t>ISCOM_LIL</t>
        </is>
      </c>
      <c r="B98" s="1" t="inlineStr">
        <is>
          <t>708</t>
        </is>
      </c>
      <c r="C98" s="1" t="inlineStr">
        <is>
          <t>2026</t>
        </is>
      </c>
      <c r="D98" s="1" t="inlineStr">
        <is>
          <t>2027BUD_V1</t>
        </is>
      </c>
      <c r="E98" s="1" t="inlineStr">
        <is>
          <t>12</t>
        </is>
      </c>
      <c r="F98" s="1" t="n">
        <v>9000</v>
      </c>
    </row>
    <row r="99">
      <c r="A99" s="1" t="inlineStr">
        <is>
          <t>ISCOM_TLS</t>
        </is>
      </c>
      <c r="B99" s="1" t="inlineStr">
        <is>
          <t>708</t>
        </is>
      </c>
      <c r="C99" s="1" t="inlineStr">
        <is>
          <t>2026</t>
        </is>
      </c>
      <c r="D99" s="1" t="inlineStr">
        <is>
          <t>2027BUD_V1</t>
        </is>
      </c>
      <c r="E99" s="1" t="inlineStr">
        <is>
          <t>12</t>
        </is>
      </c>
      <c r="F99" s="1" t="n">
        <v>8460</v>
      </c>
    </row>
    <row r="100">
      <c r="A100" s="1" t="inlineStr">
        <is>
          <t>IPAC_NAN</t>
        </is>
      </c>
      <c r="B100" s="1" t="inlineStr">
        <is>
          <t>708</t>
        </is>
      </c>
      <c r="C100" s="1" t="inlineStr">
        <is>
          <t>2026</t>
        </is>
      </c>
      <c r="D100" s="1" t="inlineStr">
        <is>
          <t>2027BUD_V1</t>
        </is>
      </c>
      <c r="E100" s="1" t="inlineStr">
        <is>
          <t>12</t>
        </is>
      </c>
      <c r="F100" s="1" t="n">
        <v>4500</v>
      </c>
    </row>
    <row r="101">
      <c r="A101" s="1" t="inlineStr">
        <is>
          <t>IPAC_REN</t>
        </is>
      </c>
      <c r="B101" s="1" t="inlineStr">
        <is>
          <t>708</t>
        </is>
      </c>
      <c r="C101" s="1" t="inlineStr">
        <is>
          <t>2026</t>
        </is>
      </c>
      <c r="D101" s="1" t="inlineStr">
        <is>
          <t>2027BUD_V1</t>
        </is>
      </c>
      <c r="E101" s="1" t="inlineStr">
        <is>
          <t>12</t>
        </is>
      </c>
      <c r="F101" s="1" t="n">
        <v>3600</v>
      </c>
    </row>
    <row r="102">
      <c r="A102" s="1" t="inlineStr">
        <is>
          <t>IPAC_MTP</t>
        </is>
      </c>
      <c r="B102" s="1" t="inlineStr">
        <is>
          <t>708</t>
        </is>
      </c>
      <c r="C102" s="1" t="inlineStr">
        <is>
          <t>2026</t>
        </is>
      </c>
      <c r="D102" s="1" t="inlineStr">
        <is>
          <t>2027BUD_V1</t>
        </is>
      </c>
      <c r="E102" s="1" t="inlineStr">
        <is>
          <t>12</t>
        </is>
      </c>
      <c r="F102" s="1" t="n">
        <v>3600</v>
      </c>
    </row>
    <row r="103">
      <c r="A103" s="1" t="inlineStr">
        <is>
          <t>PIGIER_LYO</t>
        </is>
      </c>
      <c r="B103" s="1" t="inlineStr">
        <is>
          <t>708</t>
        </is>
      </c>
      <c r="C103" s="1" t="inlineStr">
        <is>
          <t>2026</t>
        </is>
      </c>
      <c r="D103" s="1" t="inlineStr">
        <is>
          <t>2027BUD_V1</t>
        </is>
      </c>
      <c r="E103" s="1" t="inlineStr">
        <is>
          <t>12</t>
        </is>
      </c>
      <c r="F103" s="1" t="n">
        <v>8280</v>
      </c>
    </row>
    <row r="104">
      <c r="A104" s="1" t="inlineStr">
        <is>
          <t>PIGIER_BOR</t>
        </is>
      </c>
      <c r="B104" s="1" t="inlineStr">
        <is>
          <t>708</t>
        </is>
      </c>
      <c r="C104" s="1" t="inlineStr">
        <is>
          <t>2026</t>
        </is>
      </c>
      <c r="D104" s="1" t="inlineStr">
        <is>
          <t>2027BUD_V1</t>
        </is>
      </c>
      <c r="E104" s="1" t="inlineStr">
        <is>
          <t>12</t>
        </is>
      </c>
      <c r="F104" s="1" t="n">
        <v>6480</v>
      </c>
    </row>
    <row r="105">
      <c r="A105" s="1" t="inlineStr">
        <is>
          <t>TUNON_PAR</t>
        </is>
      </c>
      <c r="B105" s="1" t="inlineStr">
        <is>
          <t>708</t>
        </is>
      </c>
      <c r="C105" s="1" t="inlineStr">
        <is>
          <t>2026</t>
        </is>
      </c>
      <c r="D105" s="1" t="inlineStr">
        <is>
          <t>2027BUD_V1</t>
        </is>
      </c>
      <c r="E105" s="1" t="inlineStr">
        <is>
          <t>12</t>
        </is>
      </c>
      <c r="F105" s="1" t="n">
        <v>4230</v>
      </c>
    </row>
    <row r="106">
      <c r="A106" s="1" t="inlineStr">
        <is>
          <t>TUNON_LYO</t>
        </is>
      </c>
      <c r="B106" s="1" t="inlineStr">
        <is>
          <t>708</t>
        </is>
      </c>
      <c r="C106" s="1" t="inlineStr">
        <is>
          <t>2026</t>
        </is>
      </c>
      <c r="D106" s="1" t="inlineStr">
        <is>
          <t>2027BUD_V1</t>
        </is>
      </c>
      <c r="E106" s="1" t="inlineStr">
        <is>
          <t>12</t>
        </is>
      </c>
      <c r="F106" s="1" t="n">
        <v>3600</v>
      </c>
    </row>
    <row r="107">
      <c r="A107" s="1" t="inlineStr">
        <is>
          <t>MBWAY_PAR</t>
        </is>
      </c>
      <c r="B107" s="1" t="inlineStr">
        <is>
          <t>621</t>
        </is>
      </c>
      <c r="C107" s="1" t="inlineStr">
        <is>
          <t>2024</t>
        </is>
      </c>
      <c r="D107" s="1" t="inlineStr">
        <is>
          <t>2027BUD_V1</t>
        </is>
      </c>
      <c r="E107" s="1" t="inlineStr">
        <is>
          <t>12</t>
        </is>
      </c>
      <c r="F107" s="1" t="n">
        <v>165271</v>
      </c>
    </row>
    <row r="108">
      <c r="A108" s="1" t="inlineStr">
        <is>
          <t>MBWAY_LYO</t>
        </is>
      </c>
      <c r="B108" s="1" t="inlineStr">
        <is>
          <t>621</t>
        </is>
      </c>
      <c r="C108" s="1" t="inlineStr">
        <is>
          <t>2024</t>
        </is>
      </c>
      <c r="D108" s="1" t="inlineStr">
        <is>
          <t>2027BUD_V1</t>
        </is>
      </c>
      <c r="E108" s="1" t="inlineStr">
        <is>
          <t>12</t>
        </is>
      </c>
      <c r="F108" s="1" t="n">
        <v>143235</v>
      </c>
    </row>
    <row r="109">
      <c r="A109" s="1" t="inlineStr">
        <is>
          <t>MBWAY_NAN</t>
        </is>
      </c>
      <c r="B109" s="1" t="inlineStr">
        <is>
          <t>621</t>
        </is>
      </c>
      <c r="C109" s="1" t="inlineStr">
        <is>
          <t>2024</t>
        </is>
      </c>
      <c r="D109" s="1" t="inlineStr">
        <is>
          <t>2027BUD_V1</t>
        </is>
      </c>
      <c r="E109" s="1" t="inlineStr">
        <is>
          <t>12</t>
        </is>
      </c>
      <c r="F109" s="1" t="n">
        <v>132216</v>
      </c>
    </row>
    <row r="110">
      <c r="A110" s="1" t="inlineStr">
        <is>
          <t>MBWAY_BOR</t>
        </is>
      </c>
      <c r="B110" s="1" t="inlineStr">
        <is>
          <t>621</t>
        </is>
      </c>
      <c r="C110" s="1" t="inlineStr">
        <is>
          <t>2024</t>
        </is>
      </c>
      <c r="D110" s="1" t="inlineStr">
        <is>
          <t>2027BUD_V1</t>
        </is>
      </c>
      <c r="E110" s="1" t="inlineStr">
        <is>
          <t>12</t>
        </is>
      </c>
      <c r="F110" s="1" t="n">
        <v>110180</v>
      </c>
    </row>
    <row r="111">
      <c r="A111" s="1" t="inlineStr">
        <is>
          <t>ISCOM_PAR</t>
        </is>
      </c>
      <c r="B111" s="1" t="inlineStr">
        <is>
          <t>621</t>
        </is>
      </c>
      <c r="C111" s="1" t="inlineStr">
        <is>
          <t>2024</t>
        </is>
      </c>
      <c r="D111" s="1" t="inlineStr">
        <is>
          <t>2027BUD_V1</t>
        </is>
      </c>
      <c r="E111" s="1" t="inlineStr">
        <is>
          <t>12</t>
        </is>
      </c>
      <c r="F111" s="1" t="n">
        <v>165271</v>
      </c>
    </row>
    <row r="112">
      <c r="A112" s="1" t="inlineStr">
        <is>
          <t>ISCOM_LIL</t>
        </is>
      </c>
      <c r="B112" s="1" t="inlineStr">
        <is>
          <t>621</t>
        </is>
      </c>
      <c r="C112" s="1" t="inlineStr">
        <is>
          <t>2024</t>
        </is>
      </c>
      <c r="D112" s="1" t="inlineStr">
        <is>
          <t>2027BUD_V1</t>
        </is>
      </c>
      <c r="E112" s="1" t="inlineStr">
        <is>
          <t>12</t>
        </is>
      </c>
      <c r="F112" s="1" t="n">
        <v>110180</v>
      </c>
    </row>
    <row r="113">
      <c r="A113" s="1" t="inlineStr">
        <is>
          <t>ISCOM_TLS</t>
        </is>
      </c>
      <c r="B113" s="1" t="inlineStr">
        <is>
          <t>621</t>
        </is>
      </c>
      <c r="C113" s="1" t="inlineStr">
        <is>
          <t>2024</t>
        </is>
      </c>
      <c r="D113" s="1" t="inlineStr">
        <is>
          <t>2027BUD_V1</t>
        </is>
      </c>
      <c r="E113" s="1" t="inlineStr">
        <is>
          <t>12</t>
        </is>
      </c>
      <c r="F113" s="1" t="n">
        <v>110180</v>
      </c>
    </row>
    <row r="114">
      <c r="A114" s="1" t="inlineStr">
        <is>
          <t>IPAC_NAN</t>
        </is>
      </c>
      <c r="B114" s="1" t="inlineStr">
        <is>
          <t>621</t>
        </is>
      </c>
      <c r="C114" s="1" t="inlineStr">
        <is>
          <t>2024</t>
        </is>
      </c>
      <c r="D114" s="1" t="inlineStr">
        <is>
          <t>2027BUD_V1</t>
        </is>
      </c>
      <c r="E114" s="1" t="inlineStr">
        <is>
          <t>12</t>
        </is>
      </c>
      <c r="F114" s="1" t="n">
        <v>66108</v>
      </c>
    </row>
    <row r="115">
      <c r="A115" s="1" t="inlineStr">
        <is>
          <t>IPAC_REN</t>
        </is>
      </c>
      <c r="B115" s="1" t="inlineStr">
        <is>
          <t>621</t>
        </is>
      </c>
      <c r="C115" s="1" t="inlineStr">
        <is>
          <t>2024</t>
        </is>
      </c>
      <c r="D115" s="1" t="inlineStr">
        <is>
          <t>2027BUD_V1</t>
        </is>
      </c>
      <c r="E115" s="1" t="inlineStr">
        <is>
          <t>12</t>
        </is>
      </c>
      <c r="F115" s="1" t="n">
        <v>66108</v>
      </c>
    </row>
    <row r="116">
      <c r="A116" s="1" t="inlineStr">
        <is>
          <t>IPAC_MTP</t>
        </is>
      </c>
      <c r="B116" s="1" t="inlineStr">
        <is>
          <t>621</t>
        </is>
      </c>
      <c r="C116" s="1" t="inlineStr">
        <is>
          <t>2024</t>
        </is>
      </c>
      <c r="D116" s="1" t="inlineStr">
        <is>
          <t>2027BUD_V1</t>
        </is>
      </c>
      <c r="E116" s="1" t="inlineStr">
        <is>
          <t>12</t>
        </is>
      </c>
      <c r="F116" s="1" t="n">
        <v>66108</v>
      </c>
    </row>
    <row r="117">
      <c r="A117" s="1" t="inlineStr">
        <is>
          <t>PIGIER_LYO</t>
        </is>
      </c>
      <c r="B117" s="1" t="inlineStr">
        <is>
          <t>621</t>
        </is>
      </c>
      <c r="C117" s="1" t="inlineStr">
        <is>
          <t>2024</t>
        </is>
      </c>
      <c r="D117" s="1" t="inlineStr">
        <is>
          <t>2027BUD_V1</t>
        </is>
      </c>
      <c r="E117" s="1" t="inlineStr">
        <is>
          <t>12</t>
        </is>
      </c>
      <c r="F117" s="1" t="n">
        <v>88144</v>
      </c>
    </row>
    <row r="118">
      <c r="A118" s="1" t="inlineStr">
        <is>
          <t>PIGIER_BOR</t>
        </is>
      </c>
      <c r="B118" s="1" t="inlineStr">
        <is>
          <t>621</t>
        </is>
      </c>
      <c r="C118" s="1" t="inlineStr">
        <is>
          <t>2024</t>
        </is>
      </c>
      <c r="D118" s="1" t="inlineStr">
        <is>
          <t>2027BUD_V1</t>
        </is>
      </c>
      <c r="E118" s="1" t="inlineStr">
        <is>
          <t>12</t>
        </is>
      </c>
      <c r="F118" s="1" t="n">
        <v>88144</v>
      </c>
    </row>
    <row r="119">
      <c r="A119" s="1" t="inlineStr">
        <is>
          <t>TUNON_PAR</t>
        </is>
      </c>
      <c r="B119" s="1" t="inlineStr">
        <is>
          <t>621</t>
        </is>
      </c>
      <c r="C119" s="1" t="inlineStr">
        <is>
          <t>2024</t>
        </is>
      </c>
      <c r="D119" s="1" t="inlineStr">
        <is>
          <t>2027BUD_V1</t>
        </is>
      </c>
      <c r="E119" s="1" t="inlineStr">
        <is>
          <t>12</t>
        </is>
      </c>
      <c r="F119" s="1" t="n">
        <v>66108</v>
      </c>
    </row>
    <row r="120">
      <c r="A120" s="1" t="inlineStr">
        <is>
          <t>TUNON_LYO</t>
        </is>
      </c>
      <c r="B120" s="1" t="inlineStr">
        <is>
          <t>621</t>
        </is>
      </c>
      <c r="C120" s="1" t="inlineStr">
        <is>
          <t>2024</t>
        </is>
      </c>
      <c r="D120" s="1" t="inlineStr">
        <is>
          <t>2027BUD_V1</t>
        </is>
      </c>
      <c r="E120" s="1" t="inlineStr">
        <is>
          <t>12</t>
        </is>
      </c>
      <c r="F120" s="1" t="n">
        <v>66108</v>
      </c>
    </row>
    <row r="121">
      <c r="A121" s="1" t="inlineStr">
        <is>
          <t>MBWAY_PAR</t>
        </is>
      </c>
      <c r="B121" s="1" t="inlineStr">
        <is>
          <t>621</t>
        </is>
      </c>
      <c r="C121" s="1" t="inlineStr">
        <is>
          <t>2025</t>
        </is>
      </c>
      <c r="D121" s="1" t="inlineStr">
        <is>
          <t>2027BUD_V1</t>
        </is>
      </c>
      <c r="E121" s="1" t="inlineStr">
        <is>
          <t>12</t>
        </is>
      </c>
      <c r="F121" s="1" t="n">
        <v>172844</v>
      </c>
    </row>
    <row r="122">
      <c r="A122" s="1" t="inlineStr">
        <is>
          <t>MBWAY_LYO</t>
        </is>
      </c>
      <c r="B122" s="1" t="inlineStr">
        <is>
          <t>621</t>
        </is>
      </c>
      <c r="C122" s="1" t="inlineStr">
        <is>
          <t>2025</t>
        </is>
      </c>
      <c r="D122" s="1" t="inlineStr">
        <is>
          <t>2027BUD_V1</t>
        </is>
      </c>
      <c r="E122" s="1" t="inlineStr">
        <is>
          <t>12</t>
        </is>
      </c>
      <c r="F122" s="1" t="n">
        <v>149798</v>
      </c>
    </row>
    <row r="123">
      <c r="A123" s="1" t="inlineStr">
        <is>
          <t>MBWAY_NAN</t>
        </is>
      </c>
      <c r="B123" s="1" t="inlineStr">
        <is>
          <t>621</t>
        </is>
      </c>
      <c r="C123" s="1" t="inlineStr">
        <is>
          <t>2025</t>
        </is>
      </c>
      <c r="D123" s="1" t="inlineStr">
        <is>
          <t>2027BUD_V1</t>
        </is>
      </c>
      <c r="E123" s="1" t="inlineStr">
        <is>
          <t>12</t>
        </is>
      </c>
      <c r="F123" s="1" t="n">
        <v>138275</v>
      </c>
    </row>
    <row r="124">
      <c r="A124" s="1" t="inlineStr">
        <is>
          <t>MBWAY_BOR</t>
        </is>
      </c>
      <c r="B124" s="1" t="inlineStr">
        <is>
          <t>621</t>
        </is>
      </c>
      <c r="C124" s="1" t="inlineStr">
        <is>
          <t>2025</t>
        </is>
      </c>
      <c r="D124" s="1" t="inlineStr">
        <is>
          <t>2027BUD_V1</t>
        </is>
      </c>
      <c r="E124" s="1" t="inlineStr">
        <is>
          <t>12</t>
        </is>
      </c>
      <c r="F124" s="1" t="n">
        <v>115229</v>
      </c>
    </row>
    <row r="125">
      <c r="A125" s="1" t="inlineStr">
        <is>
          <t>ISCOM_PAR</t>
        </is>
      </c>
      <c r="B125" s="1" t="inlineStr">
        <is>
          <t>621</t>
        </is>
      </c>
      <c r="C125" s="1" t="inlineStr">
        <is>
          <t>2025</t>
        </is>
      </c>
      <c r="D125" s="1" t="inlineStr">
        <is>
          <t>2027BUD_V1</t>
        </is>
      </c>
      <c r="E125" s="1" t="inlineStr">
        <is>
          <t>12</t>
        </is>
      </c>
      <c r="F125" s="1" t="n">
        <v>172844</v>
      </c>
    </row>
    <row r="126">
      <c r="A126" s="1" t="inlineStr">
        <is>
          <t>ISCOM_LIL</t>
        </is>
      </c>
      <c r="B126" s="1" t="inlineStr">
        <is>
          <t>621</t>
        </is>
      </c>
      <c r="C126" s="1" t="inlineStr">
        <is>
          <t>2025</t>
        </is>
      </c>
      <c r="D126" s="1" t="inlineStr">
        <is>
          <t>2027BUD_V1</t>
        </is>
      </c>
      <c r="E126" s="1" t="inlineStr">
        <is>
          <t>12</t>
        </is>
      </c>
      <c r="F126" s="1" t="n">
        <v>115229</v>
      </c>
    </row>
    <row r="127">
      <c r="A127" s="1" t="inlineStr">
        <is>
          <t>ISCOM_TLS</t>
        </is>
      </c>
      <c r="B127" s="1" t="inlineStr">
        <is>
          <t>621</t>
        </is>
      </c>
      <c r="C127" s="1" t="inlineStr">
        <is>
          <t>2025</t>
        </is>
      </c>
      <c r="D127" s="1" t="inlineStr">
        <is>
          <t>2027BUD_V1</t>
        </is>
      </c>
      <c r="E127" s="1" t="inlineStr">
        <is>
          <t>12</t>
        </is>
      </c>
      <c r="F127" s="1" t="n">
        <v>115229</v>
      </c>
    </row>
    <row r="128">
      <c r="A128" s="1" t="inlineStr">
        <is>
          <t>IPAC_NAN</t>
        </is>
      </c>
      <c r="B128" s="1" t="inlineStr">
        <is>
          <t>621</t>
        </is>
      </c>
      <c r="C128" s="1" t="inlineStr">
        <is>
          <t>2025</t>
        </is>
      </c>
      <c r="D128" s="1" t="inlineStr">
        <is>
          <t>2027BUD_V1</t>
        </is>
      </c>
      <c r="E128" s="1" t="inlineStr">
        <is>
          <t>12</t>
        </is>
      </c>
      <c r="F128" s="1" t="n">
        <v>69137</v>
      </c>
    </row>
    <row r="129">
      <c r="A129" s="1" t="inlineStr">
        <is>
          <t>IPAC_REN</t>
        </is>
      </c>
      <c r="B129" s="1" t="inlineStr">
        <is>
          <t>621</t>
        </is>
      </c>
      <c r="C129" s="1" t="inlineStr">
        <is>
          <t>2025</t>
        </is>
      </c>
      <c r="D129" s="1" t="inlineStr">
        <is>
          <t>2027BUD_V1</t>
        </is>
      </c>
      <c r="E129" s="1" t="inlineStr">
        <is>
          <t>12</t>
        </is>
      </c>
      <c r="F129" s="1" t="n">
        <v>69137</v>
      </c>
    </row>
    <row r="130">
      <c r="A130" s="1" t="inlineStr">
        <is>
          <t>IPAC_MTP</t>
        </is>
      </c>
      <c r="B130" s="1" t="inlineStr">
        <is>
          <t>621</t>
        </is>
      </c>
      <c r="C130" s="1" t="inlineStr">
        <is>
          <t>2025</t>
        </is>
      </c>
      <c r="D130" s="1" t="inlineStr">
        <is>
          <t>2027BUD_V1</t>
        </is>
      </c>
      <c r="E130" s="1" t="inlineStr">
        <is>
          <t>12</t>
        </is>
      </c>
      <c r="F130" s="1" t="n">
        <v>69137</v>
      </c>
    </row>
    <row r="131">
      <c r="A131" s="1" t="inlineStr">
        <is>
          <t>PIGIER_LYO</t>
        </is>
      </c>
      <c r="B131" s="1" t="inlineStr">
        <is>
          <t>621</t>
        </is>
      </c>
      <c r="C131" s="1" t="inlineStr">
        <is>
          <t>2025</t>
        </is>
      </c>
      <c r="D131" s="1" t="inlineStr">
        <is>
          <t>2027BUD_V1</t>
        </is>
      </c>
      <c r="E131" s="1" t="inlineStr">
        <is>
          <t>12</t>
        </is>
      </c>
      <c r="F131" s="1" t="n">
        <v>92183</v>
      </c>
    </row>
    <row r="132">
      <c r="A132" s="1" t="inlineStr">
        <is>
          <t>PIGIER_BOR</t>
        </is>
      </c>
      <c r="B132" s="1" t="inlineStr">
        <is>
          <t>621</t>
        </is>
      </c>
      <c r="C132" s="1" t="inlineStr">
        <is>
          <t>2025</t>
        </is>
      </c>
      <c r="D132" s="1" t="inlineStr">
        <is>
          <t>2027BUD_V1</t>
        </is>
      </c>
      <c r="E132" s="1" t="inlineStr">
        <is>
          <t>12</t>
        </is>
      </c>
      <c r="F132" s="1" t="n">
        <v>92183</v>
      </c>
    </row>
    <row r="133">
      <c r="A133" s="1" t="inlineStr">
        <is>
          <t>TUNON_PAR</t>
        </is>
      </c>
      <c r="B133" s="1" t="inlineStr">
        <is>
          <t>621</t>
        </is>
      </c>
      <c r="C133" s="1" t="inlineStr">
        <is>
          <t>2025</t>
        </is>
      </c>
      <c r="D133" s="1" t="inlineStr">
        <is>
          <t>2027BUD_V1</t>
        </is>
      </c>
      <c r="E133" s="1" t="inlineStr">
        <is>
          <t>12</t>
        </is>
      </c>
      <c r="F133" s="1" t="n">
        <v>69137</v>
      </c>
    </row>
    <row r="134">
      <c r="A134" s="1" t="inlineStr">
        <is>
          <t>TUNON_LYO</t>
        </is>
      </c>
      <c r="B134" s="1" t="inlineStr">
        <is>
          <t>621</t>
        </is>
      </c>
      <c r="C134" s="1" t="inlineStr">
        <is>
          <t>2025</t>
        </is>
      </c>
      <c r="D134" s="1" t="inlineStr">
        <is>
          <t>2027BUD_V1</t>
        </is>
      </c>
      <c r="E134" s="1" t="inlineStr">
        <is>
          <t>12</t>
        </is>
      </c>
      <c r="F134" s="1" t="n">
        <v>69137</v>
      </c>
    </row>
    <row r="135">
      <c r="A135" s="1" t="inlineStr">
        <is>
          <t>MBWAY_PAR</t>
        </is>
      </c>
      <c r="B135" s="1" t="inlineStr">
        <is>
          <t>621</t>
        </is>
      </c>
      <c r="C135" s="1" t="inlineStr">
        <is>
          <t>2026</t>
        </is>
      </c>
      <c r="D135" s="1" t="inlineStr">
        <is>
          <t>2027BUD_V1</t>
        </is>
      </c>
      <c r="E135" s="1" t="inlineStr">
        <is>
          <t>12</t>
        </is>
      </c>
      <c r="F135" s="1" t="n">
        <v>181094</v>
      </c>
    </row>
    <row r="136">
      <c r="A136" s="1" t="inlineStr">
        <is>
          <t>MBWAY_LYO</t>
        </is>
      </c>
      <c r="B136" s="1" t="inlineStr">
        <is>
          <t>621</t>
        </is>
      </c>
      <c r="C136" s="1" t="inlineStr">
        <is>
          <t>2026</t>
        </is>
      </c>
      <c r="D136" s="1" t="inlineStr">
        <is>
          <t>2027BUD_V1</t>
        </is>
      </c>
      <c r="E136" s="1" t="inlineStr">
        <is>
          <t>12</t>
        </is>
      </c>
      <c r="F136" s="1" t="n">
        <v>156948</v>
      </c>
    </row>
    <row r="137">
      <c r="A137" s="1" t="inlineStr">
        <is>
          <t>MBWAY_NAN</t>
        </is>
      </c>
      <c r="B137" s="1" t="inlineStr">
        <is>
          <t>621</t>
        </is>
      </c>
      <c r="C137" s="1" t="inlineStr">
        <is>
          <t>2026</t>
        </is>
      </c>
      <c r="D137" s="1" t="inlineStr">
        <is>
          <t>2027BUD_V1</t>
        </is>
      </c>
      <c r="E137" s="1" t="inlineStr">
        <is>
          <t>12</t>
        </is>
      </c>
      <c r="F137" s="1" t="n">
        <v>144875</v>
      </c>
    </row>
    <row r="138">
      <c r="A138" s="1" t="inlineStr">
        <is>
          <t>MBWAY_BOR</t>
        </is>
      </c>
      <c r="B138" s="1" t="inlineStr">
        <is>
          <t>621</t>
        </is>
      </c>
      <c r="C138" s="1" t="inlineStr">
        <is>
          <t>2026</t>
        </is>
      </c>
      <c r="D138" s="1" t="inlineStr">
        <is>
          <t>2027BUD_V1</t>
        </is>
      </c>
      <c r="E138" s="1" t="inlineStr">
        <is>
          <t>12</t>
        </is>
      </c>
      <c r="F138" s="1" t="n">
        <v>120729</v>
      </c>
    </row>
    <row r="139">
      <c r="A139" s="1" t="inlineStr">
        <is>
          <t>ISCOM_PAR</t>
        </is>
      </c>
      <c r="B139" s="1" t="inlineStr">
        <is>
          <t>621</t>
        </is>
      </c>
      <c r="C139" s="1" t="inlineStr">
        <is>
          <t>2026</t>
        </is>
      </c>
      <c r="D139" s="1" t="inlineStr">
        <is>
          <t>2027BUD_V1</t>
        </is>
      </c>
      <c r="E139" s="1" t="inlineStr">
        <is>
          <t>12</t>
        </is>
      </c>
      <c r="F139" s="1" t="n">
        <v>181094</v>
      </c>
    </row>
    <row r="140">
      <c r="A140" s="1" t="inlineStr">
        <is>
          <t>ISCOM_LIL</t>
        </is>
      </c>
      <c r="B140" s="1" t="inlineStr">
        <is>
          <t>621</t>
        </is>
      </c>
      <c r="C140" s="1" t="inlineStr">
        <is>
          <t>2026</t>
        </is>
      </c>
      <c r="D140" s="1" t="inlineStr">
        <is>
          <t>2027BUD_V1</t>
        </is>
      </c>
      <c r="E140" s="1" t="inlineStr">
        <is>
          <t>12</t>
        </is>
      </c>
      <c r="F140" s="1" t="n">
        <v>120729</v>
      </c>
    </row>
    <row r="141">
      <c r="A141" s="1" t="inlineStr">
        <is>
          <t>ISCOM_TLS</t>
        </is>
      </c>
      <c r="B141" s="1" t="inlineStr">
        <is>
          <t>621</t>
        </is>
      </c>
      <c r="C141" s="1" t="inlineStr">
        <is>
          <t>2026</t>
        </is>
      </c>
      <c r="D141" s="1" t="inlineStr">
        <is>
          <t>2027BUD_V1</t>
        </is>
      </c>
      <c r="E141" s="1" t="inlineStr">
        <is>
          <t>12</t>
        </is>
      </c>
      <c r="F141" s="1" t="n">
        <v>120729</v>
      </c>
    </row>
    <row r="142">
      <c r="A142" s="1" t="inlineStr">
        <is>
          <t>IPAC_NAN</t>
        </is>
      </c>
      <c r="B142" s="1" t="inlineStr">
        <is>
          <t>621</t>
        </is>
      </c>
      <c r="C142" s="1" t="inlineStr">
        <is>
          <t>2026</t>
        </is>
      </c>
      <c r="D142" s="1" t="inlineStr">
        <is>
          <t>2027BUD_V1</t>
        </is>
      </c>
      <c r="E142" s="1" t="inlineStr">
        <is>
          <t>12</t>
        </is>
      </c>
      <c r="F142" s="1" t="n">
        <v>72438</v>
      </c>
    </row>
    <row r="143">
      <c r="A143" s="1" t="inlineStr">
        <is>
          <t>IPAC_REN</t>
        </is>
      </c>
      <c r="B143" s="1" t="inlineStr">
        <is>
          <t>621</t>
        </is>
      </c>
      <c r="C143" s="1" t="inlineStr">
        <is>
          <t>2026</t>
        </is>
      </c>
      <c r="D143" s="1" t="inlineStr">
        <is>
          <t>2027BUD_V1</t>
        </is>
      </c>
      <c r="E143" s="1" t="inlineStr">
        <is>
          <t>12</t>
        </is>
      </c>
      <c r="F143" s="1" t="n">
        <v>72438</v>
      </c>
    </row>
    <row r="144">
      <c r="A144" s="1" t="inlineStr">
        <is>
          <t>IPAC_MTP</t>
        </is>
      </c>
      <c r="B144" s="1" t="inlineStr">
        <is>
          <t>621</t>
        </is>
      </c>
      <c r="C144" s="1" t="inlineStr">
        <is>
          <t>2026</t>
        </is>
      </c>
      <c r="D144" s="1" t="inlineStr">
        <is>
          <t>2027BUD_V1</t>
        </is>
      </c>
      <c r="E144" s="1" t="inlineStr">
        <is>
          <t>12</t>
        </is>
      </c>
      <c r="F144" s="1" t="n">
        <v>72438</v>
      </c>
    </row>
    <row r="145">
      <c r="A145" s="1" t="inlineStr">
        <is>
          <t>PIGIER_LYO</t>
        </is>
      </c>
      <c r="B145" s="1" t="inlineStr">
        <is>
          <t>621</t>
        </is>
      </c>
      <c r="C145" s="1" t="inlineStr">
        <is>
          <t>2026</t>
        </is>
      </c>
      <c r="D145" s="1" t="inlineStr">
        <is>
          <t>2027BUD_V1</t>
        </is>
      </c>
      <c r="E145" s="1" t="inlineStr">
        <is>
          <t>12</t>
        </is>
      </c>
      <c r="F145" s="1" t="n">
        <v>96583</v>
      </c>
    </row>
    <row r="146">
      <c r="A146" s="1" t="inlineStr">
        <is>
          <t>PIGIER_BOR</t>
        </is>
      </c>
      <c r="B146" s="1" t="inlineStr">
        <is>
          <t>621</t>
        </is>
      </c>
      <c r="C146" s="1" t="inlineStr">
        <is>
          <t>2026</t>
        </is>
      </c>
      <c r="D146" s="1" t="inlineStr">
        <is>
          <t>2027BUD_V1</t>
        </is>
      </c>
      <c r="E146" s="1" t="inlineStr">
        <is>
          <t>12</t>
        </is>
      </c>
      <c r="F146" s="1" t="n">
        <v>96583</v>
      </c>
    </row>
    <row r="147">
      <c r="A147" s="1" t="inlineStr">
        <is>
          <t>TUNON_PAR</t>
        </is>
      </c>
      <c r="B147" s="1" t="inlineStr">
        <is>
          <t>621</t>
        </is>
      </c>
      <c r="C147" s="1" t="inlineStr">
        <is>
          <t>2026</t>
        </is>
      </c>
      <c r="D147" s="1" t="inlineStr">
        <is>
          <t>2027BUD_V1</t>
        </is>
      </c>
      <c r="E147" s="1" t="inlineStr">
        <is>
          <t>12</t>
        </is>
      </c>
      <c r="F147" s="1" t="n">
        <v>72438</v>
      </c>
    </row>
    <row r="148">
      <c r="A148" s="1" t="inlineStr">
        <is>
          <t>TUNON_LYO</t>
        </is>
      </c>
      <c r="B148" s="1" t="inlineStr">
        <is>
          <t>621</t>
        </is>
      </c>
      <c r="C148" s="1" t="inlineStr">
        <is>
          <t>2026</t>
        </is>
      </c>
      <c r="D148" s="1" t="inlineStr">
        <is>
          <t>2027BUD_V1</t>
        </is>
      </c>
      <c r="E148" s="1" t="inlineStr">
        <is>
          <t>12</t>
        </is>
      </c>
      <c r="F148" s="1" t="n">
        <v>72438</v>
      </c>
    </row>
    <row r="149">
      <c r="A149" s="1" t="inlineStr">
        <is>
          <t>MBWAY_PAR</t>
        </is>
      </c>
      <c r="B149" s="1" t="inlineStr">
        <is>
          <t>604</t>
        </is>
      </c>
      <c r="C149" s="1" t="inlineStr">
        <is>
          <t>2024</t>
        </is>
      </c>
      <c r="D149" s="1" t="inlineStr">
        <is>
          <t>2027BUD_V1</t>
        </is>
      </c>
      <c r="E149" s="1" t="inlineStr">
        <is>
          <t>12</t>
        </is>
      </c>
      <c r="F149" s="1" t="n">
        <v>77832</v>
      </c>
    </row>
    <row r="150">
      <c r="A150" s="1" t="inlineStr">
        <is>
          <t>MBWAY_LYO</t>
        </is>
      </c>
      <c r="B150" s="1" t="inlineStr">
        <is>
          <t>604</t>
        </is>
      </c>
      <c r="C150" s="1" t="inlineStr">
        <is>
          <t>2024</t>
        </is>
      </c>
      <c r="D150" s="1" t="inlineStr">
        <is>
          <t>2027BUD_V1</t>
        </is>
      </c>
      <c r="E150" s="1" t="inlineStr">
        <is>
          <t>12</t>
        </is>
      </c>
      <c r="F150" s="1" t="n">
        <v>66015</v>
      </c>
    </row>
    <row r="151">
      <c r="A151" s="1" t="inlineStr">
        <is>
          <t>MBWAY_NAN</t>
        </is>
      </c>
      <c r="B151" s="1" t="inlineStr">
        <is>
          <t>604</t>
        </is>
      </c>
      <c r="C151" s="1" t="inlineStr">
        <is>
          <t>2024</t>
        </is>
      </c>
      <c r="D151" s="1" t="inlineStr">
        <is>
          <t>2027BUD_V1</t>
        </is>
      </c>
      <c r="E151" s="1" t="inlineStr">
        <is>
          <t>12</t>
        </is>
      </c>
      <c r="F151" s="1" t="n">
        <v>59902</v>
      </c>
    </row>
    <row r="152">
      <c r="A152" s="1" t="inlineStr">
        <is>
          <t>MBWAY_BOR</t>
        </is>
      </c>
      <c r="B152" s="1" t="inlineStr">
        <is>
          <t>604</t>
        </is>
      </c>
      <c r="C152" s="1" t="inlineStr">
        <is>
          <t>2024</t>
        </is>
      </c>
      <c r="D152" s="1" t="inlineStr">
        <is>
          <t>2027BUD_V1</t>
        </is>
      </c>
      <c r="E152" s="1" t="inlineStr">
        <is>
          <t>12</t>
        </is>
      </c>
      <c r="F152" s="1" t="n">
        <v>50734</v>
      </c>
    </row>
    <row r="153">
      <c r="A153" s="1" t="inlineStr">
        <is>
          <t>ISCOM_PAR</t>
        </is>
      </c>
      <c r="B153" s="1" t="inlineStr">
        <is>
          <t>604</t>
        </is>
      </c>
      <c r="C153" s="1" t="inlineStr">
        <is>
          <t>2024</t>
        </is>
      </c>
      <c r="D153" s="1" t="inlineStr">
        <is>
          <t>2027BUD_V1</t>
        </is>
      </c>
      <c r="E153" s="1" t="inlineStr">
        <is>
          <t>12</t>
        </is>
      </c>
      <c r="F153" s="1" t="n">
        <v>72127</v>
      </c>
    </row>
    <row r="154">
      <c r="A154" s="1" t="inlineStr">
        <is>
          <t>ISCOM_LIL</t>
        </is>
      </c>
      <c r="B154" s="1" t="inlineStr">
        <is>
          <t>604</t>
        </is>
      </c>
      <c r="C154" s="1" t="inlineStr">
        <is>
          <t>2024</t>
        </is>
      </c>
      <c r="D154" s="1" t="inlineStr">
        <is>
          <t>2027BUD_V1</t>
        </is>
      </c>
      <c r="E154" s="1" t="inlineStr">
        <is>
          <t>12</t>
        </is>
      </c>
      <c r="F154" s="1" t="n">
        <v>49715</v>
      </c>
    </row>
    <row r="155">
      <c r="A155" s="1" t="inlineStr">
        <is>
          <t>ISCOM_TLS</t>
        </is>
      </c>
      <c r="B155" s="1" t="inlineStr">
        <is>
          <t>604</t>
        </is>
      </c>
      <c r="C155" s="1" t="inlineStr">
        <is>
          <t>2024</t>
        </is>
      </c>
      <c r="D155" s="1" t="inlineStr">
        <is>
          <t>2027BUD_V1</t>
        </is>
      </c>
      <c r="E155" s="1" t="inlineStr">
        <is>
          <t>12</t>
        </is>
      </c>
      <c r="F155" s="1" t="n">
        <v>47066</v>
      </c>
    </row>
    <row r="156">
      <c r="A156" s="1" t="inlineStr">
        <is>
          <t>IPAC_NAN</t>
        </is>
      </c>
      <c r="B156" s="1" t="inlineStr">
        <is>
          <t>604</t>
        </is>
      </c>
      <c r="C156" s="1" t="inlineStr">
        <is>
          <t>2024</t>
        </is>
      </c>
      <c r="D156" s="1" t="inlineStr">
        <is>
          <t>2027BUD_V1</t>
        </is>
      </c>
      <c r="E156" s="1" t="inlineStr">
        <is>
          <t>12</t>
        </is>
      </c>
      <c r="F156" s="1" t="n">
        <v>29544</v>
      </c>
    </row>
    <row r="157">
      <c r="A157" s="1" t="inlineStr">
        <is>
          <t>IPAC_REN</t>
        </is>
      </c>
      <c r="B157" s="1" t="inlineStr">
        <is>
          <t>604</t>
        </is>
      </c>
      <c r="C157" s="1" t="inlineStr">
        <is>
          <t>2024</t>
        </is>
      </c>
      <c r="D157" s="1" t="inlineStr">
        <is>
          <t>2027BUD_V1</t>
        </is>
      </c>
      <c r="E157" s="1" t="inlineStr">
        <is>
          <t>12</t>
        </is>
      </c>
      <c r="F157" s="1" t="n">
        <v>23839</v>
      </c>
    </row>
    <row r="158">
      <c r="A158" s="1" t="inlineStr">
        <is>
          <t>IPAC_MTP</t>
        </is>
      </c>
      <c r="B158" s="1" t="inlineStr">
        <is>
          <t>604</t>
        </is>
      </c>
      <c r="C158" s="1" t="inlineStr">
        <is>
          <t>2024</t>
        </is>
      </c>
      <c r="D158" s="1" t="inlineStr">
        <is>
          <t>2027BUD_V1</t>
        </is>
      </c>
      <c r="E158" s="1" t="inlineStr">
        <is>
          <t>12</t>
        </is>
      </c>
      <c r="F158" s="1" t="n">
        <v>23839</v>
      </c>
    </row>
    <row r="159">
      <c r="A159" s="1" t="inlineStr">
        <is>
          <t>PIGIER_LYO</t>
        </is>
      </c>
      <c r="B159" s="1" t="inlineStr">
        <is>
          <t>604</t>
        </is>
      </c>
      <c r="C159" s="1" t="inlineStr">
        <is>
          <t>2024</t>
        </is>
      </c>
      <c r="D159" s="1" t="inlineStr">
        <is>
          <t>2027BUD_V1</t>
        </is>
      </c>
      <c r="E159" s="1" t="inlineStr">
        <is>
          <t>12</t>
        </is>
      </c>
      <c r="F159" s="1" t="n">
        <v>37082</v>
      </c>
    </row>
    <row r="160">
      <c r="A160" s="1" t="inlineStr">
        <is>
          <t>PIGIER_BOR</t>
        </is>
      </c>
      <c r="B160" s="1" t="inlineStr">
        <is>
          <t>604</t>
        </is>
      </c>
      <c r="C160" s="1" t="inlineStr">
        <is>
          <t>2024</t>
        </is>
      </c>
      <c r="D160" s="1" t="inlineStr">
        <is>
          <t>2027BUD_V1</t>
        </is>
      </c>
      <c r="E160" s="1" t="inlineStr">
        <is>
          <t>12</t>
        </is>
      </c>
      <c r="F160" s="1" t="n">
        <v>28932</v>
      </c>
    </row>
    <row r="161">
      <c r="A161" s="1" t="inlineStr">
        <is>
          <t>TUNON_PAR</t>
        </is>
      </c>
      <c r="B161" s="1" t="inlineStr">
        <is>
          <t>604</t>
        </is>
      </c>
      <c r="C161" s="1" t="inlineStr">
        <is>
          <t>2024</t>
        </is>
      </c>
      <c r="D161" s="1" t="inlineStr">
        <is>
          <t>2027BUD_V1</t>
        </is>
      </c>
      <c r="E161" s="1" t="inlineStr">
        <is>
          <t>12</t>
        </is>
      </c>
      <c r="F161" s="1" t="n">
        <v>28117</v>
      </c>
    </row>
    <row r="162">
      <c r="A162" s="1" t="inlineStr">
        <is>
          <t>TUNON_LYO</t>
        </is>
      </c>
      <c r="B162" s="1" t="inlineStr">
        <is>
          <t>604</t>
        </is>
      </c>
      <c r="C162" s="1" t="inlineStr">
        <is>
          <t>2024</t>
        </is>
      </c>
      <c r="D162" s="1" t="inlineStr">
        <is>
          <t>2027BUD_V1</t>
        </is>
      </c>
      <c r="E162" s="1" t="inlineStr">
        <is>
          <t>12</t>
        </is>
      </c>
      <c r="F162" s="1" t="n">
        <v>23839</v>
      </c>
    </row>
    <row r="163">
      <c r="A163" s="1" t="inlineStr">
        <is>
          <t>MBWAY_PAR</t>
        </is>
      </c>
      <c r="B163" s="1" t="inlineStr">
        <is>
          <t>604</t>
        </is>
      </c>
      <c r="C163" s="1" t="inlineStr">
        <is>
          <t>2025</t>
        </is>
      </c>
      <c r="D163" s="1" t="inlineStr">
        <is>
          <t>2027BUD_V1</t>
        </is>
      </c>
      <c r="E163" s="1" t="inlineStr">
        <is>
          <t>12</t>
        </is>
      </c>
      <c r="F163" s="1" t="n">
        <v>81399</v>
      </c>
    </row>
    <row r="164">
      <c r="A164" s="1" t="inlineStr">
        <is>
          <t>MBWAY_LYO</t>
        </is>
      </c>
      <c r="B164" s="1" t="inlineStr">
        <is>
          <t>604</t>
        </is>
      </c>
      <c r="C164" s="1" t="inlineStr">
        <is>
          <t>2025</t>
        </is>
      </c>
      <c r="D164" s="1" t="inlineStr">
        <is>
          <t>2027BUD_V1</t>
        </is>
      </c>
      <c r="E164" s="1" t="inlineStr">
        <is>
          <t>12</t>
        </is>
      </c>
      <c r="F164" s="1" t="n">
        <v>69040</v>
      </c>
    </row>
    <row r="165">
      <c r="A165" s="1" t="inlineStr">
        <is>
          <t>MBWAY_NAN</t>
        </is>
      </c>
      <c r="B165" s="1" t="inlineStr">
        <is>
          <t>604</t>
        </is>
      </c>
      <c r="C165" s="1" t="inlineStr">
        <is>
          <t>2025</t>
        </is>
      </c>
      <c r="D165" s="1" t="inlineStr">
        <is>
          <t>2027BUD_V1</t>
        </is>
      </c>
      <c r="E165" s="1" t="inlineStr">
        <is>
          <t>12</t>
        </is>
      </c>
      <c r="F165" s="1" t="n">
        <v>62647</v>
      </c>
    </row>
    <row r="166">
      <c r="A166" s="1" t="inlineStr">
        <is>
          <t>MBWAY_BOR</t>
        </is>
      </c>
      <c r="B166" s="1" t="inlineStr">
        <is>
          <t>604</t>
        </is>
      </c>
      <c r="C166" s="1" t="inlineStr">
        <is>
          <t>2025</t>
        </is>
      </c>
      <c r="D166" s="1" t="inlineStr">
        <is>
          <t>2027BUD_V1</t>
        </is>
      </c>
      <c r="E166" s="1" t="inlineStr">
        <is>
          <t>12</t>
        </is>
      </c>
      <c r="F166" s="1" t="n">
        <v>53058</v>
      </c>
    </row>
    <row r="167">
      <c r="A167" s="1" t="inlineStr">
        <is>
          <t>ISCOM_PAR</t>
        </is>
      </c>
      <c r="B167" s="1" t="inlineStr">
        <is>
          <t>604</t>
        </is>
      </c>
      <c r="C167" s="1" t="inlineStr">
        <is>
          <t>2025</t>
        </is>
      </c>
      <c r="D167" s="1" t="inlineStr">
        <is>
          <t>2027BUD_V1</t>
        </is>
      </c>
      <c r="E167" s="1" t="inlineStr">
        <is>
          <t>12</t>
        </is>
      </c>
      <c r="F167" s="1" t="n">
        <v>75432</v>
      </c>
    </row>
    <row r="168">
      <c r="A168" s="1" t="inlineStr">
        <is>
          <t>ISCOM_LIL</t>
        </is>
      </c>
      <c r="B168" s="1" t="inlineStr">
        <is>
          <t>604</t>
        </is>
      </c>
      <c r="C168" s="1" t="inlineStr">
        <is>
          <t>2025</t>
        </is>
      </c>
      <c r="D168" s="1" t="inlineStr">
        <is>
          <t>2027BUD_V1</t>
        </is>
      </c>
      <c r="E168" s="1" t="inlineStr">
        <is>
          <t>12</t>
        </is>
      </c>
      <c r="F168" s="1" t="n">
        <v>51993</v>
      </c>
    </row>
    <row r="169">
      <c r="A169" s="1" t="inlineStr">
        <is>
          <t>ISCOM_TLS</t>
        </is>
      </c>
      <c r="B169" s="1" t="inlineStr">
        <is>
          <t>604</t>
        </is>
      </c>
      <c r="C169" s="1" t="inlineStr">
        <is>
          <t>2025</t>
        </is>
      </c>
      <c r="D169" s="1" t="inlineStr">
        <is>
          <t>2027BUD_V1</t>
        </is>
      </c>
      <c r="E169" s="1" t="inlineStr">
        <is>
          <t>12</t>
        </is>
      </c>
      <c r="F169" s="1" t="n">
        <v>49223</v>
      </c>
    </row>
    <row r="170">
      <c r="A170" s="1" t="inlineStr">
        <is>
          <t>IPAC_NAN</t>
        </is>
      </c>
      <c r="B170" s="1" t="inlineStr">
        <is>
          <t>604</t>
        </is>
      </c>
      <c r="C170" s="1" t="inlineStr">
        <is>
          <t>2025</t>
        </is>
      </c>
      <c r="D170" s="1" t="inlineStr">
        <is>
          <t>2027BUD_V1</t>
        </is>
      </c>
      <c r="E170" s="1" t="inlineStr">
        <is>
          <t>12</t>
        </is>
      </c>
      <c r="F170" s="1" t="n">
        <v>30897</v>
      </c>
    </row>
    <row r="171">
      <c r="A171" s="1" t="inlineStr">
        <is>
          <t>IPAC_REN</t>
        </is>
      </c>
      <c r="B171" s="1" t="inlineStr">
        <is>
          <t>604</t>
        </is>
      </c>
      <c r="C171" s="1" t="inlineStr">
        <is>
          <t>2025</t>
        </is>
      </c>
      <c r="D171" s="1" t="inlineStr">
        <is>
          <t>2027BUD_V1</t>
        </is>
      </c>
      <c r="E171" s="1" t="inlineStr">
        <is>
          <t>12</t>
        </is>
      </c>
      <c r="F171" s="1" t="n">
        <v>24931</v>
      </c>
    </row>
    <row r="172">
      <c r="A172" s="1" t="inlineStr">
        <is>
          <t>IPAC_MTP</t>
        </is>
      </c>
      <c r="B172" s="1" t="inlineStr">
        <is>
          <t>604</t>
        </is>
      </c>
      <c r="C172" s="1" t="inlineStr">
        <is>
          <t>2025</t>
        </is>
      </c>
      <c r="D172" s="1" t="inlineStr">
        <is>
          <t>2027BUD_V1</t>
        </is>
      </c>
      <c r="E172" s="1" t="inlineStr">
        <is>
          <t>12</t>
        </is>
      </c>
      <c r="F172" s="1" t="n">
        <v>24931</v>
      </c>
    </row>
    <row r="173">
      <c r="A173" s="1" t="inlineStr">
        <is>
          <t>PIGIER_LYO</t>
        </is>
      </c>
      <c r="B173" s="1" t="inlineStr">
        <is>
          <t>604</t>
        </is>
      </c>
      <c r="C173" s="1" t="inlineStr">
        <is>
          <t>2025</t>
        </is>
      </c>
      <c r="D173" s="1" t="inlineStr">
        <is>
          <t>2027BUD_V1</t>
        </is>
      </c>
      <c r="E173" s="1" t="inlineStr">
        <is>
          <t>12</t>
        </is>
      </c>
      <c r="F173" s="1" t="n">
        <v>38782</v>
      </c>
    </row>
    <row r="174">
      <c r="A174" s="1" t="inlineStr">
        <is>
          <t>PIGIER_BOR</t>
        </is>
      </c>
      <c r="B174" s="1" t="inlineStr">
        <is>
          <t>604</t>
        </is>
      </c>
      <c r="C174" s="1" t="inlineStr">
        <is>
          <t>2025</t>
        </is>
      </c>
      <c r="D174" s="1" t="inlineStr">
        <is>
          <t>2027BUD_V1</t>
        </is>
      </c>
      <c r="E174" s="1" t="inlineStr">
        <is>
          <t>12</t>
        </is>
      </c>
      <c r="F174" s="1" t="n">
        <v>30258</v>
      </c>
    </row>
    <row r="175">
      <c r="A175" s="1" t="inlineStr">
        <is>
          <t>TUNON_PAR</t>
        </is>
      </c>
      <c r="B175" s="1" t="inlineStr">
        <is>
          <t>604</t>
        </is>
      </c>
      <c r="C175" s="1" t="inlineStr">
        <is>
          <t>2025</t>
        </is>
      </c>
      <c r="D175" s="1" t="inlineStr">
        <is>
          <t>2027BUD_V1</t>
        </is>
      </c>
      <c r="E175" s="1" t="inlineStr">
        <is>
          <t>12</t>
        </is>
      </c>
      <c r="F175" s="1" t="n">
        <v>29406</v>
      </c>
    </row>
    <row r="176">
      <c r="A176" s="1" t="inlineStr">
        <is>
          <t>TUNON_LYO</t>
        </is>
      </c>
      <c r="B176" s="1" t="inlineStr">
        <is>
          <t>604</t>
        </is>
      </c>
      <c r="C176" s="1" t="inlineStr">
        <is>
          <t>2025</t>
        </is>
      </c>
      <c r="D176" s="1" t="inlineStr">
        <is>
          <t>2027BUD_V1</t>
        </is>
      </c>
      <c r="E176" s="1" t="inlineStr">
        <is>
          <t>12</t>
        </is>
      </c>
      <c r="F176" s="1" t="n">
        <v>24931</v>
      </c>
    </row>
    <row r="177">
      <c r="A177" s="1" t="inlineStr">
        <is>
          <t>MBWAY_PAR</t>
        </is>
      </c>
      <c r="B177" s="1" t="inlineStr">
        <is>
          <t>604</t>
        </is>
      </c>
      <c r="C177" s="1" t="inlineStr">
        <is>
          <t>2026</t>
        </is>
      </c>
      <c r="D177" s="1" t="inlineStr">
        <is>
          <t>2027BUD_V1</t>
        </is>
      </c>
      <c r="E177" s="1" t="inlineStr">
        <is>
          <t>12</t>
        </is>
      </c>
      <c r="F177" s="1" t="n">
        <v>85284</v>
      </c>
    </row>
    <row r="178">
      <c r="A178" s="1" t="inlineStr">
        <is>
          <t>MBWAY_LYO</t>
        </is>
      </c>
      <c r="B178" s="1" t="inlineStr">
        <is>
          <t>604</t>
        </is>
      </c>
      <c r="C178" s="1" t="inlineStr">
        <is>
          <t>2026</t>
        </is>
      </c>
      <c r="D178" s="1" t="inlineStr">
        <is>
          <t>2027BUD_V1</t>
        </is>
      </c>
      <c r="E178" s="1" t="inlineStr">
        <is>
          <t>12</t>
        </is>
      </c>
      <c r="F178" s="1" t="n">
        <v>72335</v>
      </c>
    </row>
    <row r="179">
      <c r="A179" s="1" t="inlineStr">
        <is>
          <t>MBWAY_NAN</t>
        </is>
      </c>
      <c r="B179" s="1" t="inlineStr">
        <is>
          <t>604</t>
        </is>
      </c>
      <c r="C179" s="1" t="inlineStr">
        <is>
          <t>2026</t>
        </is>
      </c>
      <c r="D179" s="1" t="inlineStr">
        <is>
          <t>2027BUD_V1</t>
        </is>
      </c>
      <c r="E179" s="1" t="inlineStr">
        <is>
          <t>12</t>
        </is>
      </c>
      <c r="F179" s="1" t="n">
        <v>65638</v>
      </c>
    </row>
    <row r="180">
      <c r="A180" s="1" t="inlineStr">
        <is>
          <t>MBWAY_BOR</t>
        </is>
      </c>
      <c r="B180" s="1" t="inlineStr">
        <is>
          <t>604</t>
        </is>
      </c>
      <c r="C180" s="1" t="inlineStr">
        <is>
          <t>2026</t>
        </is>
      </c>
      <c r="D180" s="1" t="inlineStr">
        <is>
          <t>2027BUD_V1</t>
        </is>
      </c>
      <c r="E180" s="1" t="inlineStr">
        <is>
          <t>12</t>
        </is>
      </c>
      <c r="F180" s="1" t="n">
        <v>55591</v>
      </c>
    </row>
    <row r="181">
      <c r="A181" s="1" t="inlineStr">
        <is>
          <t>ISCOM_PAR</t>
        </is>
      </c>
      <c r="B181" s="1" t="inlineStr">
        <is>
          <t>604</t>
        </is>
      </c>
      <c r="C181" s="1" t="inlineStr">
        <is>
          <t>2026</t>
        </is>
      </c>
      <c r="D181" s="1" t="inlineStr">
        <is>
          <t>2027BUD_V1</t>
        </is>
      </c>
      <c r="E181" s="1" t="inlineStr">
        <is>
          <t>12</t>
        </is>
      </c>
      <c r="F181" s="1" t="n">
        <v>79033</v>
      </c>
    </row>
    <row r="182">
      <c r="A182" s="1" t="inlineStr">
        <is>
          <t>ISCOM_LIL</t>
        </is>
      </c>
      <c r="B182" s="1" t="inlineStr">
        <is>
          <t>604</t>
        </is>
      </c>
      <c r="C182" s="1" t="inlineStr">
        <is>
          <t>2026</t>
        </is>
      </c>
      <c r="D182" s="1" t="inlineStr">
        <is>
          <t>2027BUD_V1</t>
        </is>
      </c>
      <c r="E182" s="1" t="inlineStr">
        <is>
          <t>12</t>
        </is>
      </c>
      <c r="F182" s="1" t="n">
        <v>54475</v>
      </c>
    </row>
    <row r="183">
      <c r="A183" s="1" t="inlineStr">
        <is>
          <t>ISCOM_TLS</t>
        </is>
      </c>
      <c r="B183" s="1" t="inlineStr">
        <is>
          <t>604</t>
        </is>
      </c>
      <c r="C183" s="1" t="inlineStr">
        <is>
          <t>2026</t>
        </is>
      </c>
      <c r="D183" s="1" t="inlineStr">
        <is>
          <t>2027BUD_V1</t>
        </is>
      </c>
      <c r="E183" s="1" t="inlineStr">
        <is>
          <t>12</t>
        </is>
      </c>
      <c r="F183" s="1" t="n">
        <v>51572</v>
      </c>
    </row>
    <row r="184">
      <c r="A184" s="1" t="inlineStr">
        <is>
          <t>IPAC_NAN</t>
        </is>
      </c>
      <c r="B184" s="1" t="inlineStr">
        <is>
          <t>604</t>
        </is>
      </c>
      <c r="C184" s="1" t="inlineStr">
        <is>
          <t>2026</t>
        </is>
      </c>
      <c r="D184" s="1" t="inlineStr">
        <is>
          <t>2027BUD_V1</t>
        </is>
      </c>
      <c r="E184" s="1" t="inlineStr">
        <is>
          <t>12</t>
        </is>
      </c>
      <c r="F184" s="1" t="n">
        <v>32372</v>
      </c>
    </row>
    <row r="185">
      <c r="A185" s="1" t="inlineStr">
        <is>
          <t>IPAC_REN</t>
        </is>
      </c>
      <c r="B185" s="1" t="inlineStr">
        <is>
          <t>604</t>
        </is>
      </c>
      <c r="C185" s="1" t="inlineStr">
        <is>
          <t>2026</t>
        </is>
      </c>
      <c r="D185" s="1" t="inlineStr">
        <is>
          <t>2027BUD_V1</t>
        </is>
      </c>
      <c r="E185" s="1" t="inlineStr">
        <is>
          <t>12</t>
        </is>
      </c>
      <c r="F185" s="1" t="n">
        <v>26121</v>
      </c>
    </row>
    <row r="186">
      <c r="A186" s="1" t="inlineStr">
        <is>
          <t>IPAC_MTP</t>
        </is>
      </c>
      <c r="B186" s="1" t="inlineStr">
        <is>
          <t>604</t>
        </is>
      </c>
      <c r="C186" s="1" t="inlineStr">
        <is>
          <t>2026</t>
        </is>
      </c>
      <c r="D186" s="1" t="inlineStr">
        <is>
          <t>2027BUD_V1</t>
        </is>
      </c>
      <c r="E186" s="1" t="inlineStr">
        <is>
          <t>12</t>
        </is>
      </c>
      <c r="F186" s="1" t="n">
        <v>26121</v>
      </c>
    </row>
    <row r="187">
      <c r="A187" s="1" t="inlineStr">
        <is>
          <t>PIGIER_LYO</t>
        </is>
      </c>
      <c r="B187" s="1" t="inlineStr">
        <is>
          <t>604</t>
        </is>
      </c>
      <c r="C187" s="1" t="inlineStr">
        <is>
          <t>2026</t>
        </is>
      </c>
      <c r="D187" s="1" t="inlineStr">
        <is>
          <t>2027BUD_V1</t>
        </is>
      </c>
      <c r="E187" s="1" t="inlineStr">
        <is>
          <t>12</t>
        </is>
      </c>
      <c r="F187" s="1" t="n">
        <v>40633</v>
      </c>
    </row>
    <row r="188">
      <c r="A188" s="1" t="inlineStr">
        <is>
          <t>PIGIER_BOR</t>
        </is>
      </c>
      <c r="B188" s="1" t="inlineStr">
        <is>
          <t>604</t>
        </is>
      </c>
      <c r="C188" s="1" t="inlineStr">
        <is>
          <t>2026</t>
        </is>
      </c>
      <c r="D188" s="1" t="inlineStr">
        <is>
          <t>2027BUD_V1</t>
        </is>
      </c>
      <c r="E188" s="1" t="inlineStr">
        <is>
          <t>12</t>
        </is>
      </c>
      <c r="F188" s="1" t="n">
        <v>31703</v>
      </c>
    </row>
    <row r="189">
      <c r="A189" s="1" t="inlineStr">
        <is>
          <t>TUNON_PAR</t>
        </is>
      </c>
      <c r="B189" s="1" t="inlineStr">
        <is>
          <t>604</t>
        </is>
      </c>
      <c r="C189" s="1" t="inlineStr">
        <is>
          <t>2026</t>
        </is>
      </c>
      <c r="D189" s="1" t="inlineStr">
        <is>
          <t>2027BUD_V1</t>
        </is>
      </c>
      <c r="E189" s="1" t="inlineStr">
        <is>
          <t>12</t>
        </is>
      </c>
      <c r="F189" s="1" t="n">
        <v>30809</v>
      </c>
    </row>
    <row r="190">
      <c r="A190" s="1" t="inlineStr">
        <is>
          <t>TUNON_LYO</t>
        </is>
      </c>
      <c r="B190" s="1" t="inlineStr">
        <is>
          <t>604</t>
        </is>
      </c>
      <c r="C190" s="1" t="inlineStr">
        <is>
          <t>2026</t>
        </is>
      </c>
      <c r="D190" s="1" t="inlineStr">
        <is>
          <t>2027BUD_V1</t>
        </is>
      </c>
      <c r="E190" s="1" t="inlineStr">
        <is>
          <t>12</t>
        </is>
      </c>
      <c r="F190" s="1" t="n">
        <v>26121</v>
      </c>
    </row>
    <row r="191">
      <c r="A191" s="1" t="inlineStr">
        <is>
          <t>MBWAY_PAR</t>
        </is>
      </c>
      <c r="B191" s="1" t="inlineStr">
        <is>
          <t>6063</t>
        </is>
      </c>
      <c r="C191" s="1" t="inlineStr">
        <is>
          <t>2024</t>
        </is>
      </c>
      <c r="D191" s="1" t="inlineStr">
        <is>
          <t>2027BUD_V1</t>
        </is>
      </c>
      <c r="E191" s="1" t="inlineStr">
        <is>
          <t>12</t>
        </is>
      </c>
      <c r="F191" s="1" t="n">
        <v>51888</v>
      </c>
    </row>
    <row r="192">
      <c r="A192" s="1" t="inlineStr">
        <is>
          <t>MBWAY_LYO</t>
        </is>
      </c>
      <c r="B192" s="1" t="inlineStr">
        <is>
          <t>6063</t>
        </is>
      </c>
      <c r="C192" s="1" t="inlineStr">
        <is>
          <t>2024</t>
        </is>
      </c>
      <c r="D192" s="1" t="inlineStr">
        <is>
          <t>2027BUD_V1</t>
        </is>
      </c>
      <c r="E192" s="1" t="inlineStr">
        <is>
          <t>12</t>
        </is>
      </c>
      <c r="F192" s="1" t="n">
        <v>44010</v>
      </c>
    </row>
    <row r="193">
      <c r="A193" s="1" t="inlineStr">
        <is>
          <t>MBWAY_NAN</t>
        </is>
      </c>
      <c r="B193" s="1" t="inlineStr">
        <is>
          <t>6063</t>
        </is>
      </c>
      <c r="C193" s="1" t="inlineStr">
        <is>
          <t>2024</t>
        </is>
      </c>
      <c r="D193" s="1" t="inlineStr">
        <is>
          <t>2027BUD_V1</t>
        </is>
      </c>
      <c r="E193" s="1" t="inlineStr">
        <is>
          <t>12</t>
        </is>
      </c>
      <c r="F193" s="1" t="n">
        <v>39935</v>
      </c>
    </row>
    <row r="194">
      <c r="A194" s="1" t="inlineStr">
        <is>
          <t>MBWAY_BOR</t>
        </is>
      </c>
      <c r="B194" s="1" t="inlineStr">
        <is>
          <t>6063</t>
        </is>
      </c>
      <c r="C194" s="1" t="inlineStr">
        <is>
          <t>2024</t>
        </is>
      </c>
      <c r="D194" s="1" t="inlineStr">
        <is>
          <t>2027BUD_V1</t>
        </is>
      </c>
      <c r="E194" s="1" t="inlineStr">
        <is>
          <t>12</t>
        </is>
      </c>
      <c r="F194" s="1" t="n">
        <v>33822</v>
      </c>
    </row>
    <row r="195">
      <c r="A195" s="1" t="inlineStr">
        <is>
          <t>ISCOM_PAR</t>
        </is>
      </c>
      <c r="B195" s="1" t="inlineStr">
        <is>
          <t>6063</t>
        </is>
      </c>
      <c r="C195" s="1" t="inlineStr">
        <is>
          <t>2024</t>
        </is>
      </c>
      <c r="D195" s="1" t="inlineStr">
        <is>
          <t>2027BUD_V1</t>
        </is>
      </c>
      <c r="E195" s="1" t="inlineStr">
        <is>
          <t>12</t>
        </is>
      </c>
      <c r="F195" s="1" t="n">
        <v>48085</v>
      </c>
    </row>
    <row r="196">
      <c r="A196" s="1" t="inlineStr">
        <is>
          <t>ISCOM_LIL</t>
        </is>
      </c>
      <c r="B196" s="1" t="inlineStr">
        <is>
          <t>6063</t>
        </is>
      </c>
      <c r="C196" s="1" t="inlineStr">
        <is>
          <t>2024</t>
        </is>
      </c>
      <c r="D196" s="1" t="inlineStr">
        <is>
          <t>2027BUD_V1</t>
        </is>
      </c>
      <c r="E196" s="1" t="inlineStr">
        <is>
          <t>12</t>
        </is>
      </c>
      <c r="F196" s="1" t="n">
        <v>33143</v>
      </c>
    </row>
    <row r="197">
      <c r="A197" s="1" t="inlineStr">
        <is>
          <t>ISCOM_TLS</t>
        </is>
      </c>
      <c r="B197" s="1" t="inlineStr">
        <is>
          <t>6063</t>
        </is>
      </c>
      <c r="C197" s="1" t="inlineStr">
        <is>
          <t>2024</t>
        </is>
      </c>
      <c r="D197" s="1" t="inlineStr">
        <is>
          <t>2027BUD_V1</t>
        </is>
      </c>
      <c r="E197" s="1" t="inlineStr">
        <is>
          <t>12</t>
        </is>
      </c>
      <c r="F197" s="1" t="n">
        <v>31377</v>
      </c>
    </row>
    <row r="198">
      <c r="A198" s="1" t="inlineStr">
        <is>
          <t>IPAC_NAN</t>
        </is>
      </c>
      <c r="B198" s="1" t="inlineStr">
        <is>
          <t>6063</t>
        </is>
      </c>
      <c r="C198" s="1" t="inlineStr">
        <is>
          <t>2024</t>
        </is>
      </c>
      <c r="D198" s="1" t="inlineStr">
        <is>
          <t>2027BUD_V1</t>
        </is>
      </c>
      <c r="E198" s="1" t="inlineStr">
        <is>
          <t>12</t>
        </is>
      </c>
      <c r="F198" s="1" t="n">
        <v>19696</v>
      </c>
    </row>
    <row r="199">
      <c r="A199" s="1" t="inlineStr">
        <is>
          <t>IPAC_REN</t>
        </is>
      </c>
      <c r="B199" s="1" t="inlineStr">
        <is>
          <t>6063</t>
        </is>
      </c>
      <c r="C199" s="1" t="inlineStr">
        <is>
          <t>2024</t>
        </is>
      </c>
      <c r="D199" s="1" t="inlineStr">
        <is>
          <t>2027BUD_V1</t>
        </is>
      </c>
      <c r="E199" s="1" t="inlineStr">
        <is>
          <t>12</t>
        </is>
      </c>
      <c r="F199" s="1" t="n">
        <v>15892</v>
      </c>
    </row>
    <row r="200">
      <c r="A200" s="1" t="inlineStr">
        <is>
          <t>IPAC_MTP</t>
        </is>
      </c>
      <c r="B200" s="1" t="inlineStr">
        <is>
          <t>6063</t>
        </is>
      </c>
      <c r="C200" s="1" t="inlineStr">
        <is>
          <t>2024</t>
        </is>
      </c>
      <c r="D200" s="1" t="inlineStr">
        <is>
          <t>2027BUD_V1</t>
        </is>
      </c>
      <c r="E200" s="1" t="inlineStr">
        <is>
          <t>12</t>
        </is>
      </c>
      <c r="F200" s="1" t="n">
        <v>15892</v>
      </c>
    </row>
    <row r="201">
      <c r="A201" s="1" t="inlineStr">
        <is>
          <t>PIGIER_LYO</t>
        </is>
      </c>
      <c r="B201" s="1" t="inlineStr">
        <is>
          <t>6063</t>
        </is>
      </c>
      <c r="C201" s="1" t="inlineStr">
        <is>
          <t>2024</t>
        </is>
      </c>
      <c r="D201" s="1" t="inlineStr">
        <is>
          <t>2027BUD_V1</t>
        </is>
      </c>
      <c r="E201" s="1" t="inlineStr">
        <is>
          <t>12</t>
        </is>
      </c>
      <c r="F201" s="1" t="n">
        <v>24722</v>
      </c>
    </row>
    <row r="202">
      <c r="A202" s="1" t="inlineStr">
        <is>
          <t>PIGIER_BOR</t>
        </is>
      </c>
      <c r="B202" s="1" t="inlineStr">
        <is>
          <t>6063</t>
        </is>
      </c>
      <c r="C202" s="1" t="inlineStr">
        <is>
          <t>2024</t>
        </is>
      </c>
      <c r="D202" s="1" t="inlineStr">
        <is>
          <t>2027BUD_V1</t>
        </is>
      </c>
      <c r="E202" s="1" t="inlineStr">
        <is>
          <t>12</t>
        </is>
      </c>
      <c r="F202" s="1" t="n">
        <v>19288</v>
      </c>
    </row>
    <row r="203">
      <c r="A203" s="1" t="inlineStr">
        <is>
          <t>TUNON_PAR</t>
        </is>
      </c>
      <c r="B203" s="1" t="inlineStr">
        <is>
          <t>6063</t>
        </is>
      </c>
      <c r="C203" s="1" t="inlineStr">
        <is>
          <t>2024</t>
        </is>
      </c>
      <c r="D203" s="1" t="inlineStr">
        <is>
          <t>2027BUD_V1</t>
        </is>
      </c>
      <c r="E203" s="1" t="inlineStr">
        <is>
          <t>12</t>
        </is>
      </c>
      <c r="F203" s="1" t="n">
        <v>18745</v>
      </c>
    </row>
    <row r="204">
      <c r="A204" s="1" t="inlineStr">
        <is>
          <t>TUNON_LYO</t>
        </is>
      </c>
      <c r="B204" s="1" t="inlineStr">
        <is>
          <t>6063</t>
        </is>
      </c>
      <c r="C204" s="1" t="inlineStr">
        <is>
          <t>2024</t>
        </is>
      </c>
      <c r="D204" s="1" t="inlineStr">
        <is>
          <t>2027BUD_V1</t>
        </is>
      </c>
      <c r="E204" s="1" t="inlineStr">
        <is>
          <t>12</t>
        </is>
      </c>
      <c r="F204" s="1" t="n">
        <v>15892</v>
      </c>
    </row>
    <row r="205">
      <c r="A205" s="1" t="inlineStr">
        <is>
          <t>MBWAY_PAR</t>
        </is>
      </c>
      <c r="B205" s="1" t="inlineStr">
        <is>
          <t>6063</t>
        </is>
      </c>
      <c r="C205" s="1" t="inlineStr">
        <is>
          <t>2025</t>
        </is>
      </c>
      <c r="D205" s="1" t="inlineStr">
        <is>
          <t>2027BUD_V1</t>
        </is>
      </c>
      <c r="E205" s="1" t="inlineStr">
        <is>
          <t>12</t>
        </is>
      </c>
      <c r="F205" s="1" t="n">
        <v>54266</v>
      </c>
    </row>
    <row r="206">
      <c r="A206" s="1" t="inlineStr">
        <is>
          <t>MBWAY_LYO</t>
        </is>
      </c>
      <c r="B206" s="1" t="inlineStr">
        <is>
          <t>6063</t>
        </is>
      </c>
      <c r="C206" s="1" t="inlineStr">
        <is>
          <t>2025</t>
        </is>
      </c>
      <c r="D206" s="1" t="inlineStr">
        <is>
          <t>2027BUD_V1</t>
        </is>
      </c>
      <c r="E206" s="1" t="inlineStr">
        <is>
          <t>12</t>
        </is>
      </c>
      <c r="F206" s="1" t="n">
        <v>46027</v>
      </c>
    </row>
    <row r="207">
      <c r="A207" s="1" t="inlineStr">
        <is>
          <t>MBWAY_NAN</t>
        </is>
      </c>
      <c r="B207" s="1" t="inlineStr">
        <is>
          <t>6063</t>
        </is>
      </c>
      <c r="C207" s="1" t="inlineStr">
        <is>
          <t>2025</t>
        </is>
      </c>
      <c r="D207" s="1" t="inlineStr">
        <is>
          <t>2027BUD_V1</t>
        </is>
      </c>
      <c r="E207" s="1" t="inlineStr">
        <is>
          <t>12</t>
        </is>
      </c>
      <c r="F207" s="1" t="n">
        <v>41765</v>
      </c>
    </row>
    <row r="208">
      <c r="A208" s="1" t="inlineStr">
        <is>
          <t>MBWAY_BOR</t>
        </is>
      </c>
      <c r="B208" s="1" t="inlineStr">
        <is>
          <t>6063</t>
        </is>
      </c>
      <c r="C208" s="1" t="inlineStr">
        <is>
          <t>2025</t>
        </is>
      </c>
      <c r="D208" s="1" t="inlineStr">
        <is>
          <t>2027BUD_V1</t>
        </is>
      </c>
      <c r="E208" s="1" t="inlineStr">
        <is>
          <t>12</t>
        </is>
      </c>
      <c r="F208" s="1" t="n">
        <v>35372</v>
      </c>
    </row>
    <row r="209">
      <c r="A209" s="1" t="inlineStr">
        <is>
          <t>ISCOM_PAR</t>
        </is>
      </c>
      <c r="B209" s="1" t="inlineStr">
        <is>
          <t>6063</t>
        </is>
      </c>
      <c r="C209" s="1" t="inlineStr">
        <is>
          <t>2025</t>
        </is>
      </c>
      <c r="D209" s="1" t="inlineStr">
        <is>
          <t>2027BUD_V1</t>
        </is>
      </c>
      <c r="E209" s="1" t="inlineStr">
        <is>
          <t>12</t>
        </is>
      </c>
      <c r="F209" s="1" t="n">
        <v>50288</v>
      </c>
    </row>
    <row r="210">
      <c r="A210" s="1" t="inlineStr">
        <is>
          <t>ISCOM_LIL</t>
        </is>
      </c>
      <c r="B210" s="1" t="inlineStr">
        <is>
          <t>6063</t>
        </is>
      </c>
      <c r="C210" s="1" t="inlineStr">
        <is>
          <t>2025</t>
        </is>
      </c>
      <c r="D210" s="1" t="inlineStr">
        <is>
          <t>2027BUD_V1</t>
        </is>
      </c>
      <c r="E210" s="1" t="inlineStr">
        <is>
          <t>12</t>
        </is>
      </c>
      <c r="F210" s="1" t="n">
        <v>34662</v>
      </c>
    </row>
    <row r="211">
      <c r="A211" s="1" t="inlineStr">
        <is>
          <t>ISCOM_TLS</t>
        </is>
      </c>
      <c r="B211" s="1" t="inlineStr">
        <is>
          <t>6063</t>
        </is>
      </c>
      <c r="C211" s="1" t="inlineStr">
        <is>
          <t>2025</t>
        </is>
      </c>
      <c r="D211" s="1" t="inlineStr">
        <is>
          <t>2027BUD_V1</t>
        </is>
      </c>
      <c r="E211" s="1" t="inlineStr">
        <is>
          <t>12</t>
        </is>
      </c>
      <c r="F211" s="1" t="n">
        <v>32815</v>
      </c>
    </row>
    <row r="212">
      <c r="A212" s="1" t="inlineStr">
        <is>
          <t>IPAC_NAN</t>
        </is>
      </c>
      <c r="B212" s="1" t="inlineStr">
        <is>
          <t>6063</t>
        </is>
      </c>
      <c r="C212" s="1" t="inlineStr">
        <is>
          <t>2025</t>
        </is>
      </c>
      <c r="D212" s="1" t="inlineStr">
        <is>
          <t>2027BUD_V1</t>
        </is>
      </c>
      <c r="E212" s="1" t="inlineStr">
        <is>
          <t>12</t>
        </is>
      </c>
      <c r="F212" s="1" t="n">
        <v>20598</v>
      </c>
    </row>
    <row r="213">
      <c r="A213" s="1" t="inlineStr">
        <is>
          <t>IPAC_REN</t>
        </is>
      </c>
      <c r="B213" s="1" t="inlineStr">
        <is>
          <t>6063</t>
        </is>
      </c>
      <c r="C213" s="1" t="inlineStr">
        <is>
          <t>2025</t>
        </is>
      </c>
      <c r="D213" s="1" t="inlineStr">
        <is>
          <t>2027BUD_V1</t>
        </is>
      </c>
      <c r="E213" s="1" t="inlineStr">
        <is>
          <t>12</t>
        </is>
      </c>
      <c r="F213" s="1" t="n">
        <v>16621</v>
      </c>
    </row>
    <row r="214">
      <c r="A214" s="1" t="inlineStr">
        <is>
          <t>IPAC_MTP</t>
        </is>
      </c>
      <c r="B214" s="1" t="inlineStr">
        <is>
          <t>6063</t>
        </is>
      </c>
      <c r="C214" s="1" t="inlineStr">
        <is>
          <t>2025</t>
        </is>
      </c>
      <c r="D214" s="1" t="inlineStr">
        <is>
          <t>2027BUD_V1</t>
        </is>
      </c>
      <c r="E214" s="1" t="inlineStr">
        <is>
          <t>12</t>
        </is>
      </c>
      <c r="F214" s="1" t="n">
        <v>16621</v>
      </c>
    </row>
    <row r="215">
      <c r="A215" s="1" t="inlineStr">
        <is>
          <t>PIGIER_LYO</t>
        </is>
      </c>
      <c r="B215" s="1" t="inlineStr">
        <is>
          <t>6063</t>
        </is>
      </c>
      <c r="C215" s="1" t="inlineStr">
        <is>
          <t>2025</t>
        </is>
      </c>
      <c r="D215" s="1" t="inlineStr">
        <is>
          <t>2027BUD_V1</t>
        </is>
      </c>
      <c r="E215" s="1" t="inlineStr">
        <is>
          <t>12</t>
        </is>
      </c>
      <c r="F215" s="1" t="n">
        <v>25854</v>
      </c>
    </row>
    <row r="216">
      <c r="A216" s="1" t="inlineStr">
        <is>
          <t>PIGIER_BOR</t>
        </is>
      </c>
      <c r="B216" s="1" t="inlineStr">
        <is>
          <t>6063</t>
        </is>
      </c>
      <c r="C216" s="1" t="inlineStr">
        <is>
          <t>2025</t>
        </is>
      </c>
      <c r="D216" s="1" t="inlineStr">
        <is>
          <t>2027BUD_V1</t>
        </is>
      </c>
      <c r="E216" s="1" t="inlineStr">
        <is>
          <t>12</t>
        </is>
      </c>
      <c r="F216" s="1" t="n">
        <v>20172</v>
      </c>
    </row>
    <row r="217">
      <c r="A217" s="1" t="inlineStr">
        <is>
          <t>TUNON_PAR</t>
        </is>
      </c>
      <c r="B217" s="1" t="inlineStr">
        <is>
          <t>6063</t>
        </is>
      </c>
      <c r="C217" s="1" t="inlineStr">
        <is>
          <t>2025</t>
        </is>
      </c>
      <c r="D217" s="1" t="inlineStr">
        <is>
          <t>2027BUD_V1</t>
        </is>
      </c>
      <c r="E217" s="1" t="inlineStr">
        <is>
          <t>12</t>
        </is>
      </c>
      <c r="F217" s="1" t="n">
        <v>19604</v>
      </c>
    </row>
    <row r="218">
      <c r="A218" s="1" t="inlineStr">
        <is>
          <t>TUNON_LYO</t>
        </is>
      </c>
      <c r="B218" s="1" t="inlineStr">
        <is>
          <t>6063</t>
        </is>
      </c>
      <c r="C218" s="1" t="inlineStr">
        <is>
          <t>2025</t>
        </is>
      </c>
      <c r="D218" s="1" t="inlineStr">
        <is>
          <t>2027BUD_V1</t>
        </is>
      </c>
      <c r="E218" s="1" t="inlineStr">
        <is>
          <t>12</t>
        </is>
      </c>
      <c r="F218" s="1" t="n">
        <v>16621</v>
      </c>
    </row>
    <row r="219">
      <c r="A219" s="1" t="inlineStr">
        <is>
          <t>MBWAY_PAR</t>
        </is>
      </c>
      <c r="B219" s="1" t="inlineStr">
        <is>
          <t>6063</t>
        </is>
      </c>
      <c r="C219" s="1" t="inlineStr">
        <is>
          <t>2026</t>
        </is>
      </c>
      <c r="D219" s="1" t="inlineStr">
        <is>
          <t>2027BUD_V1</t>
        </is>
      </c>
      <c r="E219" s="1" t="inlineStr">
        <is>
          <t>12</t>
        </is>
      </c>
      <c r="F219" s="1" t="n">
        <v>56856</v>
      </c>
    </row>
    <row r="220">
      <c r="A220" s="1" t="inlineStr">
        <is>
          <t>MBWAY_LYO</t>
        </is>
      </c>
      <c r="B220" s="1" t="inlineStr">
        <is>
          <t>6063</t>
        </is>
      </c>
      <c r="C220" s="1" t="inlineStr">
        <is>
          <t>2026</t>
        </is>
      </c>
      <c r="D220" s="1" t="inlineStr">
        <is>
          <t>2027BUD_V1</t>
        </is>
      </c>
      <c r="E220" s="1" t="inlineStr">
        <is>
          <t>12</t>
        </is>
      </c>
      <c r="F220" s="1" t="n">
        <v>48224</v>
      </c>
    </row>
    <row r="221">
      <c r="A221" s="1" t="inlineStr">
        <is>
          <t>MBWAY_NAN</t>
        </is>
      </c>
      <c r="B221" s="1" t="inlineStr">
        <is>
          <t>6063</t>
        </is>
      </c>
      <c r="C221" s="1" t="inlineStr">
        <is>
          <t>2026</t>
        </is>
      </c>
      <c r="D221" s="1" t="inlineStr">
        <is>
          <t>2027BUD_V1</t>
        </is>
      </c>
      <c r="E221" s="1" t="inlineStr">
        <is>
          <t>12</t>
        </is>
      </c>
      <c r="F221" s="1" t="n">
        <v>43758</v>
      </c>
    </row>
    <row r="222">
      <c r="A222" s="1" t="inlineStr">
        <is>
          <t>MBWAY_BOR</t>
        </is>
      </c>
      <c r="B222" s="1" t="inlineStr">
        <is>
          <t>6063</t>
        </is>
      </c>
      <c r="C222" s="1" t="inlineStr">
        <is>
          <t>2026</t>
        </is>
      </c>
      <c r="D222" s="1" t="inlineStr">
        <is>
          <t>2027BUD_V1</t>
        </is>
      </c>
      <c r="E222" s="1" t="inlineStr">
        <is>
          <t>12</t>
        </is>
      </c>
      <c r="F222" s="1" t="n">
        <v>37061</v>
      </c>
    </row>
    <row r="223">
      <c r="A223" s="1" t="inlineStr">
        <is>
          <t>ISCOM_PAR</t>
        </is>
      </c>
      <c r="B223" s="1" t="inlineStr">
        <is>
          <t>6063</t>
        </is>
      </c>
      <c r="C223" s="1" t="inlineStr">
        <is>
          <t>2026</t>
        </is>
      </c>
      <c r="D223" s="1" t="inlineStr">
        <is>
          <t>2027BUD_V1</t>
        </is>
      </c>
      <c r="E223" s="1" t="inlineStr">
        <is>
          <t>12</t>
        </is>
      </c>
      <c r="F223" s="1" t="n">
        <v>52689</v>
      </c>
    </row>
    <row r="224">
      <c r="A224" s="1" t="inlineStr">
        <is>
          <t>ISCOM_LIL</t>
        </is>
      </c>
      <c r="B224" s="1" t="inlineStr">
        <is>
          <t>6063</t>
        </is>
      </c>
      <c r="C224" s="1" t="inlineStr">
        <is>
          <t>2026</t>
        </is>
      </c>
      <c r="D224" s="1" t="inlineStr">
        <is>
          <t>2027BUD_V1</t>
        </is>
      </c>
      <c r="E224" s="1" t="inlineStr">
        <is>
          <t>12</t>
        </is>
      </c>
      <c r="F224" s="1" t="n">
        <v>36316</v>
      </c>
    </row>
    <row r="225">
      <c r="A225" s="1" t="inlineStr">
        <is>
          <t>ISCOM_TLS</t>
        </is>
      </c>
      <c r="B225" s="1" t="inlineStr">
        <is>
          <t>6063</t>
        </is>
      </c>
      <c r="C225" s="1" t="inlineStr">
        <is>
          <t>2026</t>
        </is>
      </c>
      <c r="D225" s="1" t="inlineStr">
        <is>
          <t>2027BUD_V1</t>
        </is>
      </c>
      <c r="E225" s="1" t="inlineStr">
        <is>
          <t>12</t>
        </is>
      </c>
      <c r="F225" s="1" t="n">
        <v>34382</v>
      </c>
    </row>
    <row r="226">
      <c r="A226" s="1" t="inlineStr">
        <is>
          <t>IPAC_NAN</t>
        </is>
      </c>
      <c r="B226" s="1" t="inlineStr">
        <is>
          <t>6063</t>
        </is>
      </c>
      <c r="C226" s="1" t="inlineStr">
        <is>
          <t>2026</t>
        </is>
      </c>
      <c r="D226" s="1" t="inlineStr">
        <is>
          <t>2027BUD_V1</t>
        </is>
      </c>
      <c r="E226" s="1" t="inlineStr">
        <is>
          <t>12</t>
        </is>
      </c>
      <c r="F226" s="1" t="n">
        <v>21582</v>
      </c>
    </row>
    <row r="227">
      <c r="A227" s="1" t="inlineStr">
        <is>
          <t>IPAC_REN</t>
        </is>
      </c>
      <c r="B227" s="1" t="inlineStr">
        <is>
          <t>6063</t>
        </is>
      </c>
      <c r="C227" s="1" t="inlineStr">
        <is>
          <t>2026</t>
        </is>
      </c>
      <c r="D227" s="1" t="inlineStr">
        <is>
          <t>2027BUD_V1</t>
        </is>
      </c>
      <c r="E227" s="1" t="inlineStr">
        <is>
          <t>12</t>
        </is>
      </c>
      <c r="F227" s="1" t="n">
        <v>17414</v>
      </c>
    </row>
    <row r="228">
      <c r="A228" s="1" t="inlineStr">
        <is>
          <t>IPAC_MTP</t>
        </is>
      </c>
      <c r="B228" s="1" t="inlineStr">
        <is>
          <t>6063</t>
        </is>
      </c>
      <c r="C228" s="1" t="inlineStr">
        <is>
          <t>2026</t>
        </is>
      </c>
      <c r="D228" s="1" t="inlineStr">
        <is>
          <t>2027BUD_V1</t>
        </is>
      </c>
      <c r="E228" s="1" t="inlineStr">
        <is>
          <t>12</t>
        </is>
      </c>
      <c r="F228" s="1" t="n">
        <v>17414</v>
      </c>
    </row>
    <row r="229">
      <c r="A229" s="1" t="inlineStr">
        <is>
          <t>PIGIER_LYO</t>
        </is>
      </c>
      <c r="B229" s="1" t="inlineStr">
        <is>
          <t>6063</t>
        </is>
      </c>
      <c r="C229" s="1" t="inlineStr">
        <is>
          <t>2026</t>
        </is>
      </c>
      <c r="D229" s="1" t="inlineStr">
        <is>
          <t>2027BUD_V1</t>
        </is>
      </c>
      <c r="E229" s="1" t="inlineStr">
        <is>
          <t>12</t>
        </is>
      </c>
      <c r="F229" s="1" t="n">
        <v>27089</v>
      </c>
    </row>
    <row r="230">
      <c r="A230" s="1" t="inlineStr">
        <is>
          <t>PIGIER_BOR</t>
        </is>
      </c>
      <c r="B230" s="1" t="inlineStr">
        <is>
          <t>6063</t>
        </is>
      </c>
      <c r="C230" s="1" t="inlineStr">
        <is>
          <t>2026</t>
        </is>
      </c>
      <c r="D230" s="1" t="inlineStr">
        <is>
          <t>2027BUD_V1</t>
        </is>
      </c>
      <c r="E230" s="1" t="inlineStr">
        <is>
          <t>12</t>
        </is>
      </c>
      <c r="F230" s="1" t="n">
        <v>21135</v>
      </c>
    </row>
    <row r="231">
      <c r="A231" s="1" t="inlineStr">
        <is>
          <t>TUNON_PAR</t>
        </is>
      </c>
      <c r="B231" s="1" t="inlineStr">
        <is>
          <t>6063</t>
        </is>
      </c>
      <c r="C231" s="1" t="inlineStr">
        <is>
          <t>2026</t>
        </is>
      </c>
      <c r="D231" s="1" t="inlineStr">
        <is>
          <t>2027BUD_V1</t>
        </is>
      </c>
      <c r="E231" s="1" t="inlineStr">
        <is>
          <t>12</t>
        </is>
      </c>
      <c r="F231" s="1" t="n">
        <v>20540</v>
      </c>
    </row>
    <row r="232">
      <c r="A232" s="1" t="inlineStr">
        <is>
          <t>TUNON_LYO</t>
        </is>
      </c>
      <c r="B232" s="1" t="inlineStr">
        <is>
          <t>6063</t>
        </is>
      </c>
      <c r="C232" s="1" t="inlineStr">
        <is>
          <t>2026</t>
        </is>
      </c>
      <c r="D232" s="1" t="inlineStr">
        <is>
          <t>2027BUD_V1</t>
        </is>
      </c>
      <c r="E232" s="1" t="inlineStr">
        <is>
          <t>12</t>
        </is>
      </c>
      <c r="F232" s="1" t="n">
        <v>17414</v>
      </c>
    </row>
    <row r="233">
      <c r="A233" s="1" t="inlineStr">
        <is>
          <t>MBWAY_PAR</t>
        </is>
      </c>
      <c r="B233" s="1" t="inlineStr">
        <is>
          <t>6231</t>
        </is>
      </c>
      <c r="C233" s="1" t="inlineStr">
        <is>
          <t>2024</t>
        </is>
      </c>
      <c r="D233" s="1" t="inlineStr">
        <is>
          <t>2027BUD_V1</t>
        </is>
      </c>
      <c r="E233" s="1" t="inlineStr">
        <is>
          <t>12</t>
        </is>
      </c>
      <c r="F233" s="1" t="n">
        <v>56438</v>
      </c>
    </row>
    <row r="234">
      <c r="A234" s="1" t="inlineStr">
        <is>
          <t>MBWAY_LYO</t>
        </is>
      </c>
      <c r="B234" s="1" t="inlineStr">
        <is>
          <t>6231</t>
        </is>
      </c>
      <c r="C234" s="1" t="inlineStr">
        <is>
          <t>2024</t>
        </is>
      </c>
      <c r="D234" s="1" t="inlineStr">
        <is>
          <t>2027BUD_V1</t>
        </is>
      </c>
      <c r="E234" s="1" t="inlineStr">
        <is>
          <t>12</t>
        </is>
      </c>
      <c r="F234" s="1" t="n">
        <v>34532</v>
      </c>
    </row>
    <row r="235">
      <c r="A235" s="1" t="inlineStr">
        <is>
          <t>MBWAY_NAN</t>
        </is>
      </c>
      <c r="B235" s="1" t="inlineStr">
        <is>
          <t>6231</t>
        </is>
      </c>
      <c r="C235" s="1" t="inlineStr">
        <is>
          <t>2024</t>
        </is>
      </c>
      <c r="D235" s="1" t="inlineStr">
        <is>
          <t>2027BUD_V1</t>
        </is>
      </c>
      <c r="E235" s="1" t="inlineStr">
        <is>
          <t>12</t>
        </is>
      </c>
      <c r="F235" s="1" t="n">
        <v>26060</v>
      </c>
    </row>
    <row r="236">
      <c r="A236" s="1" t="inlineStr">
        <is>
          <t>MBWAY_BOR</t>
        </is>
      </c>
      <c r="B236" s="1" t="inlineStr">
        <is>
          <t>6231</t>
        </is>
      </c>
      <c r="C236" s="1" t="inlineStr">
        <is>
          <t>2024</t>
        </is>
      </c>
      <c r="D236" s="1" t="inlineStr">
        <is>
          <t>2027BUD_V1</t>
        </is>
      </c>
      <c r="E236" s="1" t="inlineStr">
        <is>
          <t>12</t>
        </is>
      </c>
      <c r="F236" s="1" t="n">
        <v>20597</v>
      </c>
    </row>
    <row r="237">
      <c r="A237" s="1" t="inlineStr">
        <is>
          <t>ISCOM_PAR</t>
        </is>
      </c>
      <c r="B237" s="1" t="inlineStr">
        <is>
          <t>6231</t>
        </is>
      </c>
      <c r="C237" s="1" t="inlineStr">
        <is>
          <t>2024</t>
        </is>
      </c>
      <c r="D237" s="1" t="inlineStr">
        <is>
          <t>2027BUD_V1</t>
        </is>
      </c>
      <c r="E237" s="1" t="inlineStr">
        <is>
          <t>12</t>
        </is>
      </c>
      <c r="F237" s="1" t="n">
        <v>50248</v>
      </c>
    </row>
    <row r="238">
      <c r="A238" s="1" t="inlineStr">
        <is>
          <t>ISCOM_LIL</t>
        </is>
      </c>
      <c r="B238" s="1" t="inlineStr">
        <is>
          <t>6231</t>
        </is>
      </c>
      <c r="C238" s="1" t="inlineStr">
        <is>
          <t>2024</t>
        </is>
      </c>
      <c r="D238" s="1" t="inlineStr">
        <is>
          <t>2027BUD_V1</t>
        </is>
      </c>
      <c r="E238" s="1" t="inlineStr">
        <is>
          <t>12</t>
        </is>
      </c>
      <c r="F238" s="1" t="n">
        <v>20843</v>
      </c>
    </row>
    <row r="239">
      <c r="A239" s="1" t="inlineStr">
        <is>
          <t>ISCOM_TLS</t>
        </is>
      </c>
      <c r="B239" s="1" t="inlineStr">
        <is>
          <t>6231</t>
        </is>
      </c>
      <c r="C239" s="1" t="inlineStr">
        <is>
          <t>2024</t>
        </is>
      </c>
      <c r="D239" s="1" t="inlineStr">
        <is>
          <t>2027BUD_V1</t>
        </is>
      </c>
      <c r="E239" s="1" t="inlineStr">
        <is>
          <t>12</t>
        </is>
      </c>
      <c r="F239" s="1" t="n">
        <v>18251</v>
      </c>
    </row>
    <row r="240">
      <c r="A240" s="1" t="inlineStr">
        <is>
          <t>IPAC_NAN</t>
        </is>
      </c>
      <c r="B240" s="1" t="inlineStr">
        <is>
          <t>6231</t>
        </is>
      </c>
      <c r="C240" s="1" t="inlineStr">
        <is>
          <t>2024</t>
        </is>
      </c>
      <c r="D240" s="1" t="inlineStr">
        <is>
          <t>2027BUD_V1</t>
        </is>
      </c>
      <c r="E240" s="1" t="inlineStr">
        <is>
          <t>12</t>
        </is>
      </c>
      <c r="F240" s="1" t="n">
        <v>17983</v>
      </c>
    </row>
    <row r="241">
      <c r="A241" s="1" t="inlineStr">
        <is>
          <t>IPAC_REN</t>
        </is>
      </c>
      <c r="B241" s="1" t="inlineStr">
        <is>
          <t>6231</t>
        </is>
      </c>
      <c r="C241" s="1" t="inlineStr">
        <is>
          <t>2024</t>
        </is>
      </c>
      <c r="D241" s="1" t="inlineStr">
        <is>
          <t>2027BUD_V1</t>
        </is>
      </c>
      <c r="E241" s="1" t="inlineStr">
        <is>
          <t>12</t>
        </is>
      </c>
      <c r="F241" s="1" t="n">
        <v>12341</v>
      </c>
    </row>
    <row r="242">
      <c r="A242" s="1" t="inlineStr">
        <is>
          <t>IPAC_MTP</t>
        </is>
      </c>
      <c r="B242" s="1" t="inlineStr">
        <is>
          <t>6231</t>
        </is>
      </c>
      <c r="C242" s="1" t="inlineStr">
        <is>
          <t>2024</t>
        </is>
      </c>
      <c r="D242" s="1" t="inlineStr">
        <is>
          <t>2027BUD_V1</t>
        </is>
      </c>
      <c r="E242" s="1" t="inlineStr">
        <is>
          <t>12</t>
        </is>
      </c>
      <c r="F242" s="1" t="n">
        <v>12543</v>
      </c>
    </row>
    <row r="243">
      <c r="A243" s="1" t="inlineStr">
        <is>
          <t>PIGIER_LYO</t>
        </is>
      </c>
      <c r="B243" s="1" t="inlineStr">
        <is>
          <t>6231</t>
        </is>
      </c>
      <c r="C243" s="1" t="inlineStr">
        <is>
          <t>2024</t>
        </is>
      </c>
      <c r="D243" s="1" t="inlineStr">
        <is>
          <t>2027BUD_V1</t>
        </is>
      </c>
      <c r="E243" s="1" t="inlineStr">
        <is>
          <t>12</t>
        </is>
      </c>
      <c r="F243" s="1" t="n">
        <v>30258</v>
      </c>
    </row>
    <row r="244">
      <c r="A244" s="1" t="inlineStr">
        <is>
          <t>PIGIER_BOR</t>
        </is>
      </c>
      <c r="B244" s="1" t="inlineStr">
        <is>
          <t>6231</t>
        </is>
      </c>
      <c r="C244" s="1" t="inlineStr">
        <is>
          <t>2024</t>
        </is>
      </c>
      <c r="D244" s="1" t="inlineStr">
        <is>
          <t>2027BUD_V1</t>
        </is>
      </c>
      <c r="E244" s="1" t="inlineStr">
        <is>
          <t>12</t>
        </is>
      </c>
      <c r="F244" s="1" t="n">
        <v>18155</v>
      </c>
    </row>
    <row r="245">
      <c r="A245" s="1" t="inlineStr">
        <is>
          <t>TUNON_PAR</t>
        </is>
      </c>
      <c r="B245" s="1" t="inlineStr">
        <is>
          <t>6231</t>
        </is>
      </c>
      <c r="C245" s="1" t="inlineStr">
        <is>
          <t>2024</t>
        </is>
      </c>
      <c r="D245" s="1" t="inlineStr">
        <is>
          <t>2027BUD_V1</t>
        </is>
      </c>
      <c r="E245" s="1" t="inlineStr">
        <is>
          <t>12</t>
        </is>
      </c>
      <c r="F245" s="1" t="n">
        <v>24992</v>
      </c>
    </row>
    <row r="246">
      <c r="A246" s="1" t="inlineStr">
        <is>
          <t>TUNON_LYO</t>
        </is>
      </c>
      <c r="B246" s="1" t="inlineStr">
        <is>
          <t>6231</t>
        </is>
      </c>
      <c r="C246" s="1" t="inlineStr">
        <is>
          <t>2024</t>
        </is>
      </c>
      <c r="D246" s="1" t="inlineStr">
        <is>
          <t>2027BUD_V1</t>
        </is>
      </c>
      <c r="E246" s="1" t="inlineStr">
        <is>
          <t>12</t>
        </is>
      </c>
      <c r="F246" s="1" t="n">
        <v>15578</v>
      </c>
    </row>
    <row r="247">
      <c r="A247" s="1" t="inlineStr">
        <is>
          <t>MBWAY_PAR</t>
        </is>
      </c>
      <c r="B247" s="1" t="inlineStr">
        <is>
          <t>6231</t>
        </is>
      </c>
      <c r="C247" s="1" t="inlineStr">
        <is>
          <t>2025</t>
        </is>
      </c>
      <c r="D247" s="1" t="inlineStr">
        <is>
          <t>2027BUD_V1</t>
        </is>
      </c>
      <c r="E247" s="1" t="inlineStr">
        <is>
          <t>12</t>
        </is>
      </c>
      <c r="F247" s="1" t="n">
        <v>62082</v>
      </c>
    </row>
    <row r="248">
      <c r="A248" s="1" t="inlineStr">
        <is>
          <t>MBWAY_LYO</t>
        </is>
      </c>
      <c r="B248" s="1" t="inlineStr">
        <is>
          <t>6231</t>
        </is>
      </c>
      <c r="C248" s="1" t="inlineStr">
        <is>
          <t>2025</t>
        </is>
      </c>
      <c r="D248" s="1" t="inlineStr">
        <is>
          <t>2027BUD_V1</t>
        </is>
      </c>
      <c r="E248" s="1" t="inlineStr">
        <is>
          <t>12</t>
        </is>
      </c>
      <c r="F248" s="1" t="n">
        <v>37985</v>
      </c>
    </row>
    <row r="249">
      <c r="A249" s="1" t="inlineStr">
        <is>
          <t>MBWAY_NAN</t>
        </is>
      </c>
      <c r="B249" s="1" t="inlineStr">
        <is>
          <t>6231</t>
        </is>
      </c>
      <c r="C249" s="1" t="inlineStr">
        <is>
          <t>2025</t>
        </is>
      </c>
      <c r="D249" s="1" t="inlineStr">
        <is>
          <t>2027BUD_V1</t>
        </is>
      </c>
      <c r="E249" s="1" t="inlineStr">
        <is>
          <t>12</t>
        </is>
      </c>
      <c r="F249" s="1" t="n">
        <v>28666</v>
      </c>
    </row>
    <row r="250">
      <c r="A250" s="1" t="inlineStr">
        <is>
          <t>MBWAY_BOR</t>
        </is>
      </c>
      <c r="B250" s="1" t="inlineStr">
        <is>
          <t>6231</t>
        </is>
      </c>
      <c r="C250" s="1" t="inlineStr">
        <is>
          <t>2025</t>
        </is>
      </c>
      <c r="D250" s="1" t="inlineStr">
        <is>
          <t>2027BUD_V1</t>
        </is>
      </c>
      <c r="E250" s="1" t="inlineStr">
        <is>
          <t>12</t>
        </is>
      </c>
      <c r="F250" s="1" t="n">
        <v>22657</v>
      </c>
    </row>
    <row r="251">
      <c r="A251" s="1" t="inlineStr">
        <is>
          <t>ISCOM_PAR</t>
        </is>
      </c>
      <c r="B251" s="1" t="inlineStr">
        <is>
          <t>6231</t>
        </is>
      </c>
      <c r="C251" s="1" t="inlineStr">
        <is>
          <t>2025</t>
        </is>
      </c>
      <c r="D251" s="1" t="inlineStr">
        <is>
          <t>2027BUD_V1</t>
        </is>
      </c>
      <c r="E251" s="1" t="inlineStr">
        <is>
          <t>12</t>
        </is>
      </c>
      <c r="F251" s="1" t="n">
        <v>55272</v>
      </c>
    </row>
    <row r="252">
      <c r="A252" s="1" t="inlineStr">
        <is>
          <t>ISCOM_LIL</t>
        </is>
      </c>
      <c r="B252" s="1" t="inlineStr">
        <is>
          <t>6231</t>
        </is>
      </c>
      <c r="C252" s="1" t="inlineStr">
        <is>
          <t>2025</t>
        </is>
      </c>
      <c r="D252" s="1" t="inlineStr">
        <is>
          <t>2027BUD_V1</t>
        </is>
      </c>
      <c r="E252" s="1" t="inlineStr">
        <is>
          <t>12</t>
        </is>
      </c>
      <c r="F252" s="1" t="n">
        <v>22927</v>
      </c>
    </row>
    <row r="253">
      <c r="A253" s="1" t="inlineStr">
        <is>
          <t>ISCOM_TLS</t>
        </is>
      </c>
      <c r="B253" s="1" t="inlineStr">
        <is>
          <t>6231</t>
        </is>
      </c>
      <c r="C253" s="1" t="inlineStr">
        <is>
          <t>2025</t>
        </is>
      </c>
      <c r="D253" s="1" t="inlineStr">
        <is>
          <t>2027BUD_V1</t>
        </is>
      </c>
      <c r="E253" s="1" t="inlineStr">
        <is>
          <t>12</t>
        </is>
      </c>
      <c r="F253" s="1" t="n">
        <v>20076</v>
      </c>
    </row>
    <row r="254">
      <c r="A254" s="1" t="inlineStr">
        <is>
          <t>IPAC_NAN</t>
        </is>
      </c>
      <c r="B254" s="1" t="inlineStr">
        <is>
          <t>6231</t>
        </is>
      </c>
      <c r="C254" s="1" t="inlineStr">
        <is>
          <t>2025</t>
        </is>
      </c>
      <c r="D254" s="1" t="inlineStr">
        <is>
          <t>2027BUD_V1</t>
        </is>
      </c>
      <c r="E254" s="1" t="inlineStr">
        <is>
          <t>12</t>
        </is>
      </c>
      <c r="F254" s="1" t="n">
        <v>19782</v>
      </c>
    </row>
    <row r="255">
      <c r="A255" s="1" t="inlineStr">
        <is>
          <t>IPAC_REN</t>
        </is>
      </c>
      <c r="B255" s="1" t="inlineStr">
        <is>
          <t>6231</t>
        </is>
      </c>
      <c r="C255" s="1" t="inlineStr">
        <is>
          <t>2025</t>
        </is>
      </c>
      <c r="D255" s="1" t="inlineStr">
        <is>
          <t>2027BUD_V1</t>
        </is>
      </c>
      <c r="E255" s="1" t="inlineStr">
        <is>
          <t>12</t>
        </is>
      </c>
      <c r="F255" s="1" t="n">
        <v>13575</v>
      </c>
    </row>
    <row r="256">
      <c r="A256" s="1" t="inlineStr">
        <is>
          <t>IPAC_MTP</t>
        </is>
      </c>
      <c r="B256" s="1" t="inlineStr">
        <is>
          <t>6231</t>
        </is>
      </c>
      <c r="C256" s="1" t="inlineStr">
        <is>
          <t>2025</t>
        </is>
      </c>
      <c r="D256" s="1" t="inlineStr">
        <is>
          <t>2027BUD_V1</t>
        </is>
      </c>
      <c r="E256" s="1" t="inlineStr">
        <is>
          <t>12</t>
        </is>
      </c>
      <c r="F256" s="1" t="n">
        <v>13798</v>
      </c>
    </row>
    <row r="257">
      <c r="A257" s="1" t="inlineStr">
        <is>
          <t>PIGIER_LYO</t>
        </is>
      </c>
      <c r="B257" s="1" t="inlineStr">
        <is>
          <t>6231</t>
        </is>
      </c>
      <c r="C257" s="1" t="inlineStr">
        <is>
          <t>2025</t>
        </is>
      </c>
      <c r="D257" s="1" t="inlineStr">
        <is>
          <t>2027BUD_V1</t>
        </is>
      </c>
      <c r="E257" s="1" t="inlineStr">
        <is>
          <t>12</t>
        </is>
      </c>
      <c r="F257" s="1" t="n">
        <v>33284</v>
      </c>
    </row>
    <row r="258">
      <c r="A258" s="1" t="inlineStr">
        <is>
          <t>PIGIER_BOR</t>
        </is>
      </c>
      <c r="B258" s="1" t="inlineStr">
        <is>
          <t>6231</t>
        </is>
      </c>
      <c r="C258" s="1" t="inlineStr">
        <is>
          <t>2025</t>
        </is>
      </c>
      <c r="D258" s="1" t="inlineStr">
        <is>
          <t>2027BUD_V1</t>
        </is>
      </c>
      <c r="E258" s="1" t="inlineStr">
        <is>
          <t>12</t>
        </is>
      </c>
      <c r="F258" s="1" t="n">
        <v>19971</v>
      </c>
    </row>
    <row r="259">
      <c r="A259" s="1" t="inlineStr">
        <is>
          <t>TUNON_PAR</t>
        </is>
      </c>
      <c r="B259" s="1" t="inlineStr">
        <is>
          <t>6231</t>
        </is>
      </c>
      <c r="C259" s="1" t="inlineStr">
        <is>
          <t>2025</t>
        </is>
      </c>
      <c r="D259" s="1" t="inlineStr">
        <is>
          <t>2027BUD_V1</t>
        </is>
      </c>
      <c r="E259" s="1" t="inlineStr">
        <is>
          <t>12</t>
        </is>
      </c>
      <c r="F259" s="1" t="n">
        <v>27491</v>
      </c>
    </row>
    <row r="260">
      <c r="A260" s="1" t="inlineStr">
        <is>
          <t>TUNON_LYO</t>
        </is>
      </c>
      <c r="B260" s="1" t="inlineStr">
        <is>
          <t>6231</t>
        </is>
      </c>
      <c r="C260" s="1" t="inlineStr">
        <is>
          <t>2025</t>
        </is>
      </c>
      <c r="D260" s="1" t="inlineStr">
        <is>
          <t>2027BUD_V1</t>
        </is>
      </c>
      <c r="E260" s="1" t="inlineStr">
        <is>
          <t>12</t>
        </is>
      </c>
      <c r="F260" s="1" t="n">
        <v>17136</v>
      </c>
    </row>
    <row r="261">
      <c r="A261" s="1" t="inlineStr">
        <is>
          <t>MBWAY_PAR</t>
        </is>
      </c>
      <c r="B261" s="1" t="inlineStr">
        <is>
          <t>6231</t>
        </is>
      </c>
      <c r="C261" s="1" t="inlineStr">
        <is>
          <t>2026</t>
        </is>
      </c>
      <c r="D261" s="1" t="inlineStr">
        <is>
          <t>2027BUD_V1</t>
        </is>
      </c>
      <c r="E261" s="1" t="inlineStr">
        <is>
          <t>12</t>
        </is>
      </c>
      <c r="F261" s="1" t="n">
        <v>68291</v>
      </c>
    </row>
    <row r="262">
      <c r="A262" s="1" t="inlineStr">
        <is>
          <t>MBWAY_LYO</t>
        </is>
      </c>
      <c r="B262" s="1" t="inlineStr">
        <is>
          <t>6231</t>
        </is>
      </c>
      <c r="C262" s="1" t="inlineStr">
        <is>
          <t>2026</t>
        </is>
      </c>
      <c r="D262" s="1" t="inlineStr">
        <is>
          <t>2027BUD_V1</t>
        </is>
      </c>
      <c r="E262" s="1" t="inlineStr">
        <is>
          <t>12</t>
        </is>
      </c>
      <c r="F262" s="1" t="n">
        <v>41783</v>
      </c>
    </row>
    <row r="263">
      <c r="A263" s="1" t="inlineStr">
        <is>
          <t>MBWAY_NAN</t>
        </is>
      </c>
      <c r="B263" s="1" t="inlineStr">
        <is>
          <t>6231</t>
        </is>
      </c>
      <c r="C263" s="1" t="inlineStr">
        <is>
          <t>2026</t>
        </is>
      </c>
      <c r="D263" s="1" t="inlineStr">
        <is>
          <t>2027BUD_V1</t>
        </is>
      </c>
      <c r="E263" s="1" t="inlineStr">
        <is>
          <t>12</t>
        </is>
      </c>
      <c r="F263" s="1" t="n">
        <v>31533</v>
      </c>
    </row>
    <row r="264">
      <c r="A264" s="1" t="inlineStr">
        <is>
          <t>MBWAY_BOR</t>
        </is>
      </c>
      <c r="B264" s="1" t="inlineStr">
        <is>
          <t>6231</t>
        </is>
      </c>
      <c r="C264" s="1" t="inlineStr">
        <is>
          <t>2026</t>
        </is>
      </c>
      <c r="D264" s="1" t="inlineStr">
        <is>
          <t>2027BUD_V1</t>
        </is>
      </c>
      <c r="E264" s="1" t="inlineStr">
        <is>
          <t>12</t>
        </is>
      </c>
      <c r="F264" s="1" t="n">
        <v>24923</v>
      </c>
    </row>
    <row r="265">
      <c r="A265" s="1" t="inlineStr">
        <is>
          <t>ISCOM_PAR</t>
        </is>
      </c>
      <c r="B265" s="1" t="inlineStr">
        <is>
          <t>6231</t>
        </is>
      </c>
      <c r="C265" s="1" t="inlineStr">
        <is>
          <t>2026</t>
        </is>
      </c>
      <c r="D265" s="1" t="inlineStr">
        <is>
          <t>2027BUD_V1</t>
        </is>
      </c>
      <c r="E265" s="1" t="inlineStr">
        <is>
          <t>12</t>
        </is>
      </c>
      <c r="F265" s="1" t="n">
        <v>60800</v>
      </c>
    </row>
    <row r="266">
      <c r="A266" s="1" t="inlineStr">
        <is>
          <t>ISCOM_LIL</t>
        </is>
      </c>
      <c r="B266" s="1" t="inlineStr">
        <is>
          <t>6231</t>
        </is>
      </c>
      <c r="C266" s="1" t="inlineStr">
        <is>
          <t>2026</t>
        </is>
      </c>
      <c r="D266" s="1" t="inlineStr">
        <is>
          <t>2027BUD_V1</t>
        </is>
      </c>
      <c r="E266" s="1" t="inlineStr">
        <is>
          <t>12</t>
        </is>
      </c>
      <c r="F266" s="1" t="n">
        <v>25220</v>
      </c>
    </row>
    <row r="267">
      <c r="A267" s="1" t="inlineStr">
        <is>
          <t>ISCOM_TLS</t>
        </is>
      </c>
      <c r="B267" s="1" t="inlineStr">
        <is>
          <t>6231</t>
        </is>
      </c>
      <c r="C267" s="1" t="inlineStr">
        <is>
          <t>2026</t>
        </is>
      </c>
      <c r="D267" s="1" t="inlineStr">
        <is>
          <t>2027BUD_V1</t>
        </is>
      </c>
      <c r="E267" s="1" t="inlineStr">
        <is>
          <t>12</t>
        </is>
      </c>
      <c r="F267" s="1" t="n">
        <v>22083</v>
      </c>
    </row>
    <row r="268">
      <c r="A268" s="1" t="inlineStr">
        <is>
          <t>IPAC_NAN</t>
        </is>
      </c>
      <c r="B268" s="1" t="inlineStr">
        <is>
          <t>6231</t>
        </is>
      </c>
      <c r="C268" s="1" t="inlineStr">
        <is>
          <t>2026</t>
        </is>
      </c>
      <c r="D268" s="1" t="inlineStr">
        <is>
          <t>2027BUD_V1</t>
        </is>
      </c>
      <c r="E268" s="1" t="inlineStr">
        <is>
          <t>12</t>
        </is>
      </c>
      <c r="F268" s="1" t="n">
        <v>21760</v>
      </c>
    </row>
    <row r="269">
      <c r="A269" s="1" t="inlineStr">
        <is>
          <t>IPAC_REN</t>
        </is>
      </c>
      <c r="B269" s="1" t="inlineStr">
        <is>
          <t>6231</t>
        </is>
      </c>
      <c r="C269" s="1" t="inlineStr">
        <is>
          <t>2026</t>
        </is>
      </c>
      <c r="D269" s="1" t="inlineStr">
        <is>
          <t>2027BUD_V1</t>
        </is>
      </c>
      <c r="E269" s="1" t="inlineStr">
        <is>
          <t>12</t>
        </is>
      </c>
      <c r="F269" s="1" t="n">
        <v>14933</v>
      </c>
    </row>
    <row r="270">
      <c r="A270" s="1" t="inlineStr">
        <is>
          <t>IPAC_MTP</t>
        </is>
      </c>
      <c r="B270" s="1" t="inlineStr">
        <is>
          <t>6231</t>
        </is>
      </c>
      <c r="C270" s="1" t="inlineStr">
        <is>
          <t>2026</t>
        </is>
      </c>
      <c r="D270" s="1" t="inlineStr">
        <is>
          <t>2027BUD_V1</t>
        </is>
      </c>
      <c r="E270" s="1" t="inlineStr">
        <is>
          <t>12</t>
        </is>
      </c>
      <c r="F270" s="1" t="n">
        <v>15178</v>
      </c>
    </row>
    <row r="271">
      <c r="A271" s="1" t="inlineStr">
        <is>
          <t>PIGIER_LYO</t>
        </is>
      </c>
      <c r="B271" s="1" t="inlineStr">
        <is>
          <t>6231</t>
        </is>
      </c>
      <c r="C271" s="1" t="inlineStr">
        <is>
          <t>2026</t>
        </is>
      </c>
      <c r="D271" s="1" t="inlineStr">
        <is>
          <t>2027BUD_V1</t>
        </is>
      </c>
      <c r="E271" s="1" t="inlineStr">
        <is>
          <t>12</t>
        </is>
      </c>
      <c r="F271" s="1" t="n">
        <v>36612</v>
      </c>
    </row>
    <row r="272">
      <c r="A272" s="1" t="inlineStr">
        <is>
          <t>PIGIER_BOR</t>
        </is>
      </c>
      <c r="B272" s="1" t="inlineStr">
        <is>
          <t>6231</t>
        </is>
      </c>
      <c r="C272" s="1" t="inlineStr">
        <is>
          <t>2026</t>
        </is>
      </c>
      <c r="D272" s="1" t="inlineStr">
        <is>
          <t>2027BUD_V1</t>
        </is>
      </c>
      <c r="E272" s="1" t="inlineStr">
        <is>
          <t>12</t>
        </is>
      </c>
      <c r="F272" s="1" t="n">
        <v>21968</v>
      </c>
    </row>
    <row r="273">
      <c r="A273" s="1" t="inlineStr">
        <is>
          <t>TUNON_PAR</t>
        </is>
      </c>
      <c r="B273" s="1" t="inlineStr">
        <is>
          <t>6231</t>
        </is>
      </c>
      <c r="C273" s="1" t="inlineStr">
        <is>
          <t>2026</t>
        </is>
      </c>
      <c r="D273" s="1" t="inlineStr">
        <is>
          <t>2027BUD_V1</t>
        </is>
      </c>
      <c r="E273" s="1" t="inlineStr">
        <is>
          <t>12</t>
        </is>
      </c>
      <c r="F273" s="1" t="n">
        <v>30240</v>
      </c>
    </row>
    <row r="274">
      <c r="A274" s="1" t="inlineStr">
        <is>
          <t>TUNON_LYO</t>
        </is>
      </c>
      <c r="B274" s="1" t="inlineStr">
        <is>
          <t>6231</t>
        </is>
      </c>
      <c r="C274" s="1" t="inlineStr">
        <is>
          <t>2026</t>
        </is>
      </c>
      <c r="D274" s="1" t="inlineStr">
        <is>
          <t>2027BUD_V1</t>
        </is>
      </c>
      <c r="E274" s="1" t="inlineStr">
        <is>
          <t>12</t>
        </is>
      </c>
      <c r="F274" s="1" t="n">
        <v>18850</v>
      </c>
    </row>
    <row r="275">
      <c r="A275" s="1" t="inlineStr">
        <is>
          <t>MBWAY_PAR</t>
        </is>
      </c>
      <c r="B275" s="1" t="inlineStr">
        <is>
          <t>6411</t>
        </is>
      </c>
      <c r="C275" s="1" t="inlineStr">
        <is>
          <t>2024</t>
        </is>
      </c>
      <c r="D275" s="1" t="inlineStr">
        <is>
          <t>2027BUD_V1</t>
        </is>
      </c>
      <c r="E275" s="1" t="inlineStr">
        <is>
          <t>12</t>
        </is>
      </c>
      <c r="F275" s="1" t="n">
        <v>552322</v>
      </c>
    </row>
    <row r="276">
      <c r="A276" s="1" t="inlineStr">
        <is>
          <t>MBWAY_LYO</t>
        </is>
      </c>
      <c r="B276" s="1" t="inlineStr">
        <is>
          <t>6411</t>
        </is>
      </c>
      <c r="C276" s="1" t="inlineStr">
        <is>
          <t>2024</t>
        </is>
      </c>
      <c r="D276" s="1" t="inlineStr">
        <is>
          <t>2027BUD_V1</t>
        </is>
      </c>
      <c r="E276" s="1" t="inlineStr">
        <is>
          <t>12</t>
        </is>
      </c>
      <c r="F276" s="1" t="n">
        <v>330938</v>
      </c>
    </row>
    <row r="277">
      <c r="A277" s="1" t="inlineStr">
        <is>
          <t>MBWAY_NAN</t>
        </is>
      </c>
      <c r="B277" s="1" t="inlineStr">
        <is>
          <t>6411</t>
        </is>
      </c>
      <c r="C277" s="1" t="inlineStr">
        <is>
          <t>2024</t>
        </is>
      </c>
      <c r="D277" s="1" t="inlineStr">
        <is>
          <t>2027BUD_V1</t>
        </is>
      </c>
      <c r="E277" s="1" t="inlineStr">
        <is>
          <t>12</t>
        </is>
      </c>
      <c r="F277" s="1" t="n">
        <v>272751</v>
      </c>
    </row>
    <row r="278">
      <c r="A278" s="1" t="inlineStr">
        <is>
          <t>MBWAY_BOR</t>
        </is>
      </c>
      <c r="B278" s="1" t="inlineStr">
        <is>
          <t>6411</t>
        </is>
      </c>
      <c r="C278" s="1" t="inlineStr">
        <is>
          <t>2024</t>
        </is>
      </c>
      <c r="D278" s="1" t="inlineStr">
        <is>
          <t>2027BUD_V1</t>
        </is>
      </c>
      <c r="E278" s="1" t="inlineStr">
        <is>
          <t>12</t>
        </is>
      </c>
      <c r="F278" s="1" t="n">
        <v>238657</v>
      </c>
    </row>
    <row r="279">
      <c r="A279" s="1" t="inlineStr">
        <is>
          <t>ISCOM_PAR</t>
        </is>
      </c>
      <c r="B279" s="1" t="inlineStr">
        <is>
          <t>6411</t>
        </is>
      </c>
      <c r="C279" s="1" t="inlineStr">
        <is>
          <t>2024</t>
        </is>
      </c>
      <c r="D279" s="1" t="inlineStr">
        <is>
          <t>2027BUD_V1</t>
        </is>
      </c>
      <c r="E279" s="1" t="inlineStr">
        <is>
          <t>12</t>
        </is>
      </c>
      <c r="F279" s="1" t="n">
        <v>552322</v>
      </c>
    </row>
    <row r="280">
      <c r="A280" s="1" t="inlineStr">
        <is>
          <t>ISCOM_LIL</t>
        </is>
      </c>
      <c r="B280" s="1" t="inlineStr">
        <is>
          <t>6411</t>
        </is>
      </c>
      <c r="C280" s="1" t="inlineStr">
        <is>
          <t>2024</t>
        </is>
      </c>
      <c r="D280" s="1" t="inlineStr">
        <is>
          <t>2027BUD_V1</t>
        </is>
      </c>
      <c r="E280" s="1" t="inlineStr">
        <is>
          <t>12</t>
        </is>
      </c>
      <c r="F280" s="1" t="n">
        <v>209109</v>
      </c>
    </row>
    <row r="281">
      <c r="A281" s="1" t="inlineStr">
        <is>
          <t>ISCOM_TLS</t>
        </is>
      </c>
      <c r="B281" s="1" t="inlineStr">
        <is>
          <t>6411</t>
        </is>
      </c>
      <c r="C281" s="1" t="inlineStr">
        <is>
          <t>2024</t>
        </is>
      </c>
      <c r="D281" s="1" t="inlineStr">
        <is>
          <t>2027BUD_V1</t>
        </is>
      </c>
      <c r="E281" s="1" t="inlineStr">
        <is>
          <t>12</t>
        </is>
      </c>
      <c r="F281" s="1" t="n">
        <v>204564</v>
      </c>
    </row>
    <row r="282">
      <c r="A282" s="1" t="inlineStr">
        <is>
          <t>IPAC_NAN</t>
        </is>
      </c>
      <c r="B282" s="1" t="inlineStr">
        <is>
          <t>6411</t>
        </is>
      </c>
      <c r="C282" s="1" t="inlineStr">
        <is>
          <t>2024</t>
        </is>
      </c>
      <c r="D282" s="1" t="inlineStr">
        <is>
          <t>2027BUD_V1</t>
        </is>
      </c>
      <c r="E282" s="1" t="inlineStr">
        <is>
          <t>12</t>
        </is>
      </c>
      <c r="F282" s="1" t="n">
        <v>136376</v>
      </c>
    </row>
    <row r="283">
      <c r="A283" s="1" t="inlineStr">
        <is>
          <t>IPAC_REN</t>
        </is>
      </c>
      <c r="B283" s="1" t="inlineStr">
        <is>
          <t>6411</t>
        </is>
      </c>
      <c r="C283" s="1" t="inlineStr">
        <is>
          <t>2024</t>
        </is>
      </c>
      <c r="D283" s="1" t="inlineStr">
        <is>
          <t>2027BUD_V1</t>
        </is>
      </c>
      <c r="E283" s="1" t="inlineStr">
        <is>
          <t>12</t>
        </is>
      </c>
      <c r="F283" s="1" t="n">
        <v>120011</v>
      </c>
    </row>
    <row r="284">
      <c r="A284" s="1" t="inlineStr">
        <is>
          <t>IPAC_MTP</t>
        </is>
      </c>
      <c r="B284" s="1" t="inlineStr">
        <is>
          <t>6411</t>
        </is>
      </c>
      <c r="C284" s="1" t="inlineStr">
        <is>
          <t>2024</t>
        </is>
      </c>
      <c r="D284" s="1" t="inlineStr">
        <is>
          <t>2027BUD_V1</t>
        </is>
      </c>
      <c r="E284" s="1" t="inlineStr">
        <is>
          <t>12</t>
        </is>
      </c>
      <c r="F284" s="1" t="n">
        <v>120011</v>
      </c>
    </row>
    <row r="285">
      <c r="A285" s="1" t="inlineStr">
        <is>
          <t>PIGIER_LYO</t>
        </is>
      </c>
      <c r="B285" s="1" t="inlineStr">
        <is>
          <t>6411</t>
        </is>
      </c>
      <c r="C285" s="1" t="inlineStr">
        <is>
          <t>2024</t>
        </is>
      </c>
      <c r="D285" s="1" t="inlineStr">
        <is>
          <t>2027BUD_V1</t>
        </is>
      </c>
      <c r="E285" s="1" t="inlineStr">
        <is>
          <t>12</t>
        </is>
      </c>
      <c r="F285" s="1" t="n">
        <v>203654</v>
      </c>
    </row>
    <row r="286">
      <c r="A286" s="1" t="inlineStr">
        <is>
          <t>PIGIER_BOR</t>
        </is>
      </c>
      <c r="B286" s="1" t="inlineStr">
        <is>
          <t>6411</t>
        </is>
      </c>
      <c r="C286" s="1" t="inlineStr">
        <is>
          <t>2024</t>
        </is>
      </c>
      <c r="D286" s="1" t="inlineStr">
        <is>
          <t>2027BUD_V1</t>
        </is>
      </c>
      <c r="E286" s="1" t="inlineStr">
        <is>
          <t>12</t>
        </is>
      </c>
      <c r="F286" s="1" t="n">
        <v>190926</v>
      </c>
    </row>
    <row r="287">
      <c r="A287" s="1" t="inlineStr">
        <is>
          <t>TUNON_PAR</t>
        </is>
      </c>
      <c r="B287" s="1" t="inlineStr">
        <is>
          <t>6411</t>
        </is>
      </c>
      <c r="C287" s="1" t="inlineStr">
        <is>
          <t>2024</t>
        </is>
      </c>
      <c r="D287" s="1" t="inlineStr">
        <is>
          <t>2027BUD_V1</t>
        </is>
      </c>
      <c r="E287" s="1" t="inlineStr">
        <is>
          <t>12</t>
        </is>
      </c>
      <c r="F287" s="1" t="n">
        <v>220929</v>
      </c>
    </row>
    <row r="288">
      <c r="A288" s="1" t="inlineStr">
        <is>
          <t>TUNON_LYO</t>
        </is>
      </c>
      <c r="B288" s="1" t="inlineStr">
        <is>
          <t>6411</t>
        </is>
      </c>
      <c r="C288" s="1" t="inlineStr">
        <is>
          <t>2024</t>
        </is>
      </c>
      <c r="D288" s="1" t="inlineStr">
        <is>
          <t>2027BUD_V1</t>
        </is>
      </c>
      <c r="E288" s="1" t="inlineStr">
        <is>
          <t>12</t>
        </is>
      </c>
      <c r="F288" s="1" t="n">
        <v>152741</v>
      </c>
    </row>
    <row r="289">
      <c r="A289" s="1" t="inlineStr">
        <is>
          <t>MBWAY_PAR</t>
        </is>
      </c>
      <c r="B289" s="1" t="inlineStr">
        <is>
          <t>6411</t>
        </is>
      </c>
      <c r="C289" s="1" t="inlineStr">
        <is>
          <t>2025</t>
        </is>
      </c>
      <c r="D289" s="1" t="inlineStr">
        <is>
          <t>2027BUD_V1</t>
        </is>
      </c>
      <c r="E289" s="1" t="inlineStr">
        <is>
          <t>12</t>
        </is>
      </c>
      <c r="F289" s="1" t="n">
        <v>577630</v>
      </c>
    </row>
    <row r="290">
      <c r="A290" s="1" t="inlineStr">
        <is>
          <t>MBWAY_LYO</t>
        </is>
      </c>
      <c r="B290" s="1" t="inlineStr">
        <is>
          <t>6411</t>
        </is>
      </c>
      <c r="C290" s="1" t="inlineStr">
        <is>
          <t>2025</t>
        </is>
      </c>
      <c r="D290" s="1" t="inlineStr">
        <is>
          <t>2027BUD_V1</t>
        </is>
      </c>
      <c r="E290" s="1" t="inlineStr">
        <is>
          <t>12</t>
        </is>
      </c>
      <c r="F290" s="1" t="n">
        <v>346103</v>
      </c>
    </row>
    <row r="291">
      <c r="A291" s="1" t="inlineStr">
        <is>
          <t>MBWAY_NAN</t>
        </is>
      </c>
      <c r="B291" s="1" t="inlineStr">
        <is>
          <t>6411</t>
        </is>
      </c>
      <c r="C291" s="1" t="inlineStr">
        <is>
          <t>2025</t>
        </is>
      </c>
      <c r="D291" s="1" t="inlineStr">
        <is>
          <t>2027BUD_V1</t>
        </is>
      </c>
      <c r="E291" s="1" t="inlineStr">
        <is>
          <t>12</t>
        </is>
      </c>
      <c r="F291" s="1" t="n">
        <v>285249</v>
      </c>
    </row>
    <row r="292">
      <c r="A292" s="1" t="inlineStr">
        <is>
          <t>MBWAY_BOR</t>
        </is>
      </c>
      <c r="B292" s="1" t="inlineStr">
        <is>
          <t>6411</t>
        </is>
      </c>
      <c r="C292" s="1" t="inlineStr">
        <is>
          <t>2025</t>
        </is>
      </c>
      <c r="D292" s="1" t="inlineStr">
        <is>
          <t>2027BUD_V1</t>
        </is>
      </c>
      <c r="E292" s="1" t="inlineStr">
        <is>
          <t>12</t>
        </is>
      </c>
      <c r="F292" s="1" t="n">
        <v>249593</v>
      </c>
    </row>
    <row r="293">
      <c r="A293" s="1" t="inlineStr">
        <is>
          <t>ISCOM_PAR</t>
        </is>
      </c>
      <c r="B293" s="1" t="inlineStr">
        <is>
          <t>6411</t>
        </is>
      </c>
      <c r="C293" s="1" t="inlineStr">
        <is>
          <t>2025</t>
        </is>
      </c>
      <c r="D293" s="1" t="inlineStr">
        <is>
          <t>2027BUD_V1</t>
        </is>
      </c>
      <c r="E293" s="1" t="inlineStr">
        <is>
          <t>12</t>
        </is>
      </c>
      <c r="F293" s="1" t="n">
        <v>577630</v>
      </c>
    </row>
    <row r="294">
      <c r="A294" s="1" t="inlineStr">
        <is>
          <t>ISCOM_LIL</t>
        </is>
      </c>
      <c r="B294" s="1" t="inlineStr">
        <is>
          <t>6411</t>
        </is>
      </c>
      <c r="C294" s="1" t="inlineStr">
        <is>
          <t>2025</t>
        </is>
      </c>
      <c r="D294" s="1" t="inlineStr">
        <is>
          <t>2027BUD_V1</t>
        </is>
      </c>
      <c r="E294" s="1" t="inlineStr">
        <is>
          <t>12</t>
        </is>
      </c>
      <c r="F294" s="1" t="n">
        <v>218691</v>
      </c>
    </row>
    <row r="295">
      <c r="A295" s="1" t="inlineStr">
        <is>
          <t>ISCOM_TLS</t>
        </is>
      </c>
      <c r="B295" s="1" t="inlineStr">
        <is>
          <t>6411</t>
        </is>
      </c>
      <c r="C295" s="1" t="inlineStr">
        <is>
          <t>2025</t>
        </is>
      </c>
      <c r="D295" s="1" t="inlineStr">
        <is>
          <t>2027BUD_V1</t>
        </is>
      </c>
      <c r="E295" s="1" t="inlineStr">
        <is>
          <t>12</t>
        </is>
      </c>
      <c r="F295" s="1" t="n">
        <v>213937</v>
      </c>
    </row>
    <row r="296">
      <c r="A296" s="1" t="inlineStr">
        <is>
          <t>IPAC_NAN</t>
        </is>
      </c>
      <c r="B296" s="1" t="inlineStr">
        <is>
          <t>6411</t>
        </is>
      </c>
      <c r="C296" s="1" t="inlineStr">
        <is>
          <t>2025</t>
        </is>
      </c>
      <c r="D296" s="1" t="inlineStr">
        <is>
          <t>2027BUD_V1</t>
        </is>
      </c>
      <c r="E296" s="1" t="inlineStr">
        <is>
          <t>12</t>
        </is>
      </c>
      <c r="F296" s="1" t="n">
        <v>142625</v>
      </c>
    </row>
    <row r="297">
      <c r="A297" s="1" t="inlineStr">
        <is>
          <t>IPAC_REN</t>
        </is>
      </c>
      <c r="B297" s="1" t="inlineStr">
        <is>
          <t>6411</t>
        </is>
      </c>
      <c r="C297" s="1" t="inlineStr">
        <is>
          <t>2025</t>
        </is>
      </c>
      <c r="D297" s="1" t="inlineStr">
        <is>
          <t>2027BUD_V1</t>
        </is>
      </c>
      <c r="E297" s="1" t="inlineStr">
        <is>
          <t>12</t>
        </is>
      </c>
      <c r="F297" s="1" t="n">
        <v>125510</v>
      </c>
    </row>
    <row r="298">
      <c r="A298" s="1" t="inlineStr">
        <is>
          <t>IPAC_MTP</t>
        </is>
      </c>
      <c r="B298" s="1" t="inlineStr">
        <is>
          <t>6411</t>
        </is>
      </c>
      <c r="C298" s="1" t="inlineStr">
        <is>
          <t>2025</t>
        </is>
      </c>
      <c r="D298" s="1" t="inlineStr">
        <is>
          <t>2027BUD_V1</t>
        </is>
      </c>
      <c r="E298" s="1" t="inlineStr">
        <is>
          <t>12</t>
        </is>
      </c>
      <c r="F298" s="1" t="n">
        <v>125510</v>
      </c>
    </row>
    <row r="299">
      <c r="A299" s="1" t="inlineStr">
        <is>
          <t>PIGIER_LYO</t>
        </is>
      </c>
      <c r="B299" s="1" t="inlineStr">
        <is>
          <t>6411</t>
        </is>
      </c>
      <c r="C299" s="1" t="inlineStr">
        <is>
          <t>2025</t>
        </is>
      </c>
      <c r="D299" s="1" t="inlineStr">
        <is>
          <t>2027BUD_V1</t>
        </is>
      </c>
      <c r="E299" s="1" t="inlineStr">
        <is>
          <t>12</t>
        </is>
      </c>
      <c r="F299" s="1" t="n">
        <v>212986</v>
      </c>
    </row>
    <row r="300">
      <c r="A300" s="1" t="inlineStr">
        <is>
          <t>PIGIER_BOR</t>
        </is>
      </c>
      <c r="B300" s="1" t="inlineStr">
        <is>
          <t>6411</t>
        </is>
      </c>
      <c r="C300" s="1" t="inlineStr">
        <is>
          <t>2025</t>
        </is>
      </c>
      <c r="D300" s="1" t="inlineStr">
        <is>
          <t>2027BUD_V1</t>
        </is>
      </c>
      <c r="E300" s="1" t="inlineStr">
        <is>
          <t>12</t>
        </is>
      </c>
      <c r="F300" s="1" t="n">
        <v>199675</v>
      </c>
    </row>
    <row r="301">
      <c r="A301" s="1" t="inlineStr">
        <is>
          <t>TUNON_PAR</t>
        </is>
      </c>
      <c r="B301" s="1" t="inlineStr">
        <is>
          <t>6411</t>
        </is>
      </c>
      <c r="C301" s="1" t="inlineStr">
        <is>
          <t>2025</t>
        </is>
      </c>
      <c r="D301" s="1" t="inlineStr">
        <is>
          <t>2027BUD_V1</t>
        </is>
      </c>
      <c r="E301" s="1" t="inlineStr">
        <is>
          <t>12</t>
        </is>
      </c>
      <c r="F301" s="1" t="n">
        <v>231052</v>
      </c>
    </row>
    <row r="302">
      <c r="A302" s="1" t="inlineStr">
        <is>
          <t>TUNON_LYO</t>
        </is>
      </c>
      <c r="B302" s="1" t="inlineStr">
        <is>
          <t>6411</t>
        </is>
      </c>
      <c r="C302" s="1" t="inlineStr">
        <is>
          <t>2025</t>
        </is>
      </c>
      <c r="D302" s="1" t="inlineStr">
        <is>
          <t>2027BUD_V1</t>
        </is>
      </c>
      <c r="E302" s="1" t="inlineStr">
        <is>
          <t>12</t>
        </is>
      </c>
      <c r="F302" s="1" t="n">
        <v>159740</v>
      </c>
    </row>
    <row r="303">
      <c r="A303" s="1" t="inlineStr">
        <is>
          <t>MBWAY_PAR</t>
        </is>
      </c>
      <c r="B303" s="1" t="inlineStr">
        <is>
          <t>6411</t>
        </is>
      </c>
      <c r="C303" s="1" t="inlineStr">
        <is>
          <t>2026</t>
        </is>
      </c>
      <c r="D303" s="1" t="inlineStr">
        <is>
          <t>2027BUD_V1</t>
        </is>
      </c>
      <c r="E303" s="1" t="inlineStr">
        <is>
          <t>12</t>
        </is>
      </c>
      <c r="F303" s="1" t="n">
        <v>605202</v>
      </c>
    </row>
    <row r="304">
      <c r="A304" s="1" t="inlineStr">
        <is>
          <t>MBWAY_LYO</t>
        </is>
      </c>
      <c r="B304" s="1" t="inlineStr">
        <is>
          <t>6411</t>
        </is>
      </c>
      <c r="C304" s="1" t="inlineStr">
        <is>
          <t>2026</t>
        </is>
      </c>
      <c r="D304" s="1" t="inlineStr">
        <is>
          <t>2027BUD_V1</t>
        </is>
      </c>
      <c r="E304" s="1" t="inlineStr">
        <is>
          <t>12</t>
        </is>
      </c>
      <c r="F304" s="1" t="n">
        <v>362623</v>
      </c>
    </row>
    <row r="305">
      <c r="A305" s="1" t="inlineStr">
        <is>
          <t>MBWAY_NAN</t>
        </is>
      </c>
      <c r="B305" s="1" t="inlineStr">
        <is>
          <t>6411</t>
        </is>
      </c>
      <c r="C305" s="1" t="inlineStr">
        <is>
          <t>2026</t>
        </is>
      </c>
      <c r="D305" s="1" t="inlineStr">
        <is>
          <t>2027BUD_V1</t>
        </is>
      </c>
      <c r="E305" s="1" t="inlineStr">
        <is>
          <t>12</t>
        </is>
      </c>
      <c r="F305" s="1" t="n">
        <v>298865</v>
      </c>
    </row>
    <row r="306">
      <c r="A306" s="1" t="inlineStr">
        <is>
          <t>MBWAY_BOR</t>
        </is>
      </c>
      <c r="B306" s="1" t="inlineStr">
        <is>
          <t>6411</t>
        </is>
      </c>
      <c r="C306" s="1" t="inlineStr">
        <is>
          <t>2026</t>
        </is>
      </c>
      <c r="D306" s="1" t="inlineStr">
        <is>
          <t>2027BUD_V1</t>
        </is>
      </c>
      <c r="E306" s="1" t="inlineStr">
        <is>
          <t>12</t>
        </is>
      </c>
      <c r="F306" s="1" t="n">
        <v>261507</v>
      </c>
    </row>
    <row r="307">
      <c r="A307" s="1" t="inlineStr">
        <is>
          <t>ISCOM_PAR</t>
        </is>
      </c>
      <c r="B307" s="1" t="inlineStr">
        <is>
          <t>6411</t>
        </is>
      </c>
      <c r="C307" s="1" t="inlineStr">
        <is>
          <t>2026</t>
        </is>
      </c>
      <c r="D307" s="1" t="inlineStr">
        <is>
          <t>2027BUD_V1</t>
        </is>
      </c>
      <c r="E307" s="1" t="inlineStr">
        <is>
          <t>12</t>
        </is>
      </c>
      <c r="F307" s="1" t="n">
        <v>605202</v>
      </c>
    </row>
    <row r="308">
      <c r="A308" s="1" t="inlineStr">
        <is>
          <t>ISCOM_LIL</t>
        </is>
      </c>
      <c r="B308" s="1" t="inlineStr">
        <is>
          <t>6411</t>
        </is>
      </c>
      <c r="C308" s="1" t="inlineStr">
        <is>
          <t>2026</t>
        </is>
      </c>
      <c r="D308" s="1" t="inlineStr">
        <is>
          <t>2027BUD_V1</t>
        </is>
      </c>
      <c r="E308" s="1" t="inlineStr">
        <is>
          <t>12</t>
        </is>
      </c>
      <c r="F308" s="1" t="n">
        <v>229130</v>
      </c>
    </row>
    <row r="309">
      <c r="A309" s="1" t="inlineStr">
        <is>
          <t>ISCOM_TLS</t>
        </is>
      </c>
      <c r="B309" s="1" t="inlineStr">
        <is>
          <t>6411</t>
        </is>
      </c>
      <c r="C309" s="1" t="inlineStr">
        <is>
          <t>2026</t>
        </is>
      </c>
      <c r="D309" s="1" t="inlineStr">
        <is>
          <t>2027BUD_V1</t>
        </is>
      </c>
      <c r="E309" s="1" t="inlineStr">
        <is>
          <t>12</t>
        </is>
      </c>
      <c r="F309" s="1" t="n">
        <v>224149</v>
      </c>
    </row>
    <row r="310">
      <c r="A310" s="1" t="inlineStr">
        <is>
          <t>IPAC_NAN</t>
        </is>
      </c>
      <c r="B310" s="1" t="inlineStr">
        <is>
          <t>6411</t>
        </is>
      </c>
      <c r="C310" s="1" t="inlineStr">
        <is>
          <t>2026</t>
        </is>
      </c>
      <c r="D310" s="1" t="inlineStr">
        <is>
          <t>2027BUD_V1</t>
        </is>
      </c>
      <c r="E310" s="1" t="inlineStr">
        <is>
          <t>12</t>
        </is>
      </c>
      <c r="F310" s="1" t="n">
        <v>149433</v>
      </c>
    </row>
    <row r="311">
      <c r="A311" s="1" t="inlineStr">
        <is>
          <t>IPAC_REN</t>
        </is>
      </c>
      <c r="B311" s="1" t="inlineStr">
        <is>
          <t>6411</t>
        </is>
      </c>
      <c r="C311" s="1" t="inlineStr">
        <is>
          <t>2026</t>
        </is>
      </c>
      <c r="D311" s="1" t="inlineStr">
        <is>
          <t>2027BUD_V1</t>
        </is>
      </c>
      <c r="E311" s="1" t="inlineStr">
        <is>
          <t>12</t>
        </is>
      </c>
      <c r="F311" s="1" t="n">
        <v>131501</v>
      </c>
    </row>
    <row r="312">
      <c r="A312" s="1" t="inlineStr">
        <is>
          <t>IPAC_MTP</t>
        </is>
      </c>
      <c r="B312" s="1" t="inlineStr">
        <is>
          <t>6411</t>
        </is>
      </c>
      <c r="C312" s="1" t="inlineStr">
        <is>
          <t>2026</t>
        </is>
      </c>
      <c r="D312" s="1" t="inlineStr">
        <is>
          <t>2027BUD_V1</t>
        </is>
      </c>
      <c r="E312" s="1" t="inlineStr">
        <is>
          <t>12</t>
        </is>
      </c>
      <c r="F312" s="1" t="n">
        <v>131501</v>
      </c>
    </row>
    <row r="313">
      <c r="A313" s="1" t="inlineStr">
        <is>
          <t>PIGIER_LYO</t>
        </is>
      </c>
      <c r="B313" s="1" t="inlineStr">
        <is>
          <t>6411</t>
        </is>
      </c>
      <c r="C313" s="1" t="inlineStr">
        <is>
          <t>2026</t>
        </is>
      </c>
      <c r="D313" s="1" t="inlineStr">
        <is>
          <t>2027BUD_V1</t>
        </is>
      </c>
      <c r="E313" s="1" t="inlineStr">
        <is>
          <t>12</t>
        </is>
      </c>
      <c r="F313" s="1" t="n">
        <v>223153</v>
      </c>
    </row>
    <row r="314">
      <c r="A314" s="1" t="inlineStr">
        <is>
          <t>PIGIER_BOR</t>
        </is>
      </c>
      <c r="B314" s="1" t="inlineStr">
        <is>
          <t>6411</t>
        </is>
      </c>
      <c r="C314" s="1" t="inlineStr">
        <is>
          <t>2026</t>
        </is>
      </c>
      <c r="D314" s="1" t="inlineStr">
        <is>
          <t>2027BUD_V1</t>
        </is>
      </c>
      <c r="E314" s="1" t="inlineStr">
        <is>
          <t>12</t>
        </is>
      </c>
      <c r="F314" s="1" t="n">
        <v>209206</v>
      </c>
    </row>
    <row r="315">
      <c r="A315" s="1" t="inlineStr">
        <is>
          <t>TUNON_PAR</t>
        </is>
      </c>
      <c r="B315" s="1" t="inlineStr">
        <is>
          <t>6411</t>
        </is>
      </c>
      <c r="C315" s="1" t="inlineStr">
        <is>
          <t>2026</t>
        </is>
      </c>
      <c r="D315" s="1" t="inlineStr">
        <is>
          <t>2027BUD_V1</t>
        </is>
      </c>
      <c r="E315" s="1" t="inlineStr">
        <is>
          <t>12</t>
        </is>
      </c>
      <c r="F315" s="1" t="n">
        <v>242081</v>
      </c>
    </row>
    <row r="316">
      <c r="A316" s="1" t="inlineStr">
        <is>
          <t>TUNON_LYO</t>
        </is>
      </c>
      <c r="B316" s="1" t="inlineStr">
        <is>
          <t>6411</t>
        </is>
      </c>
      <c r="C316" s="1" t="inlineStr">
        <is>
          <t>2026</t>
        </is>
      </c>
      <c r="D316" s="1" t="inlineStr">
        <is>
          <t>2027BUD_V1</t>
        </is>
      </c>
      <c r="E316" s="1" t="inlineStr">
        <is>
          <t>12</t>
        </is>
      </c>
      <c r="F316" s="1" t="n">
        <v>167364</v>
      </c>
    </row>
    <row r="317">
      <c r="A317" s="1" t="inlineStr">
        <is>
          <t>MBWAY_PAR</t>
        </is>
      </c>
      <c r="B317" s="1" t="inlineStr">
        <is>
          <t>6413</t>
        </is>
      </c>
      <c r="C317" s="1" t="inlineStr">
        <is>
          <t>2024</t>
        </is>
      </c>
      <c r="D317" s="1" t="inlineStr">
        <is>
          <t>2027BUD_V1</t>
        </is>
      </c>
      <c r="E317" s="1" t="inlineStr">
        <is>
          <t>12</t>
        </is>
      </c>
      <c r="F317" s="1" t="n">
        <v>318872</v>
      </c>
    </row>
    <row r="318">
      <c r="A318" s="1" t="inlineStr">
        <is>
          <t>MBWAY_LYO</t>
        </is>
      </c>
      <c r="B318" s="1" t="inlineStr">
        <is>
          <t>6413</t>
        </is>
      </c>
      <c r="C318" s="1" t="inlineStr">
        <is>
          <t>2024</t>
        </is>
      </c>
      <c r="D318" s="1" t="inlineStr">
        <is>
          <t>2027BUD_V1</t>
        </is>
      </c>
      <c r="E318" s="1" t="inlineStr">
        <is>
          <t>12</t>
        </is>
      </c>
      <c r="F318" s="1" t="n">
        <v>186982</v>
      </c>
    </row>
    <row r="319">
      <c r="A319" s="1" t="inlineStr">
        <is>
          <t>MBWAY_NAN</t>
        </is>
      </c>
      <c r="B319" s="1" t="inlineStr">
        <is>
          <t>6413</t>
        </is>
      </c>
      <c r="C319" s="1" t="inlineStr">
        <is>
          <t>2024</t>
        </is>
      </c>
      <c r="D319" s="1" t="inlineStr">
        <is>
          <t>2027BUD_V1</t>
        </is>
      </c>
      <c r="E319" s="1" t="inlineStr">
        <is>
          <t>12</t>
        </is>
      </c>
      <c r="F319" s="1" t="n">
        <v>151490</v>
      </c>
    </row>
    <row r="320">
      <c r="A320" s="1" t="inlineStr">
        <is>
          <t>MBWAY_BOR</t>
        </is>
      </c>
      <c r="B320" s="1" t="inlineStr">
        <is>
          <t>6413</t>
        </is>
      </c>
      <c r="C320" s="1" t="inlineStr">
        <is>
          <t>2024</t>
        </is>
      </c>
      <c r="D320" s="1" t="inlineStr">
        <is>
          <t>2027BUD_V1</t>
        </is>
      </c>
      <c r="E320" s="1" t="inlineStr">
        <is>
          <t>12</t>
        </is>
      </c>
      <c r="F320" s="1" t="n">
        <v>134718</v>
      </c>
    </row>
    <row r="321">
      <c r="A321" s="1" t="inlineStr">
        <is>
          <t>ISCOM_PAR</t>
        </is>
      </c>
      <c r="B321" s="1" t="inlineStr">
        <is>
          <t>6413</t>
        </is>
      </c>
      <c r="C321" s="1" t="inlineStr">
        <is>
          <t>2024</t>
        </is>
      </c>
      <c r="D321" s="1" t="inlineStr">
        <is>
          <t>2027BUD_V1</t>
        </is>
      </c>
      <c r="E321" s="1" t="inlineStr">
        <is>
          <t>12</t>
        </is>
      </c>
      <c r="F321" s="1" t="n">
        <v>295499</v>
      </c>
    </row>
    <row r="322">
      <c r="A322" s="1" t="inlineStr">
        <is>
          <t>ISCOM_LIL</t>
        </is>
      </c>
      <c r="B322" s="1" t="inlineStr">
        <is>
          <t>6413</t>
        </is>
      </c>
      <c r="C322" s="1" t="inlineStr">
        <is>
          <t>2024</t>
        </is>
      </c>
      <c r="D322" s="1" t="inlineStr">
        <is>
          <t>2027BUD_V1</t>
        </is>
      </c>
      <c r="E322" s="1" t="inlineStr">
        <is>
          <t>12</t>
        </is>
      </c>
      <c r="F322" s="1" t="n">
        <v>115669</v>
      </c>
    </row>
    <row r="323">
      <c r="A323" s="1" t="inlineStr">
        <is>
          <t>ISCOM_TLS</t>
        </is>
      </c>
      <c r="B323" s="1" t="inlineStr">
        <is>
          <t>6413</t>
        </is>
      </c>
      <c r="C323" s="1" t="inlineStr">
        <is>
          <t>2024</t>
        </is>
      </c>
      <c r="D323" s="1" t="inlineStr">
        <is>
          <t>2027BUD_V1</t>
        </is>
      </c>
      <c r="E323" s="1" t="inlineStr">
        <is>
          <t>12</t>
        </is>
      </c>
      <c r="F323" s="1" t="n">
        <v>107125</v>
      </c>
    </row>
    <row r="324">
      <c r="A324" s="1" t="inlineStr">
        <is>
          <t>IPAC_NAN</t>
        </is>
      </c>
      <c r="B324" s="1" t="inlineStr">
        <is>
          <t>6413</t>
        </is>
      </c>
      <c r="C324" s="1" t="inlineStr">
        <is>
          <t>2024</t>
        </is>
      </c>
      <c r="D324" s="1" t="inlineStr">
        <is>
          <t>2027BUD_V1</t>
        </is>
      </c>
      <c r="E324" s="1" t="inlineStr">
        <is>
          <t>12</t>
        </is>
      </c>
      <c r="F324" s="1" t="n">
        <v>74715</v>
      </c>
    </row>
    <row r="325">
      <c r="A325" s="1" t="inlineStr">
        <is>
          <t>IPAC_REN</t>
        </is>
      </c>
      <c r="B325" s="1" t="inlineStr">
        <is>
          <t>6413</t>
        </is>
      </c>
      <c r="C325" s="1" t="inlineStr">
        <is>
          <t>2024</t>
        </is>
      </c>
      <c r="D325" s="1" t="inlineStr">
        <is>
          <t>2027BUD_V1</t>
        </is>
      </c>
      <c r="E325" s="1" t="inlineStr">
        <is>
          <t>12</t>
        </is>
      </c>
      <c r="F325" s="1" t="n">
        <v>53053</v>
      </c>
    </row>
    <row r="326">
      <c r="A326" s="1" t="inlineStr">
        <is>
          <t>IPAC_MTP</t>
        </is>
      </c>
      <c r="B326" s="1" t="inlineStr">
        <is>
          <t>6413</t>
        </is>
      </c>
      <c r="C326" s="1" t="inlineStr">
        <is>
          <t>2024</t>
        </is>
      </c>
      <c r="D326" s="1" t="inlineStr">
        <is>
          <t>2027BUD_V1</t>
        </is>
      </c>
      <c r="E326" s="1" t="inlineStr">
        <is>
          <t>12</t>
        </is>
      </c>
      <c r="F326" s="1" t="n">
        <v>53053</v>
      </c>
    </row>
    <row r="327">
      <c r="A327" s="1" t="inlineStr">
        <is>
          <t>PIGIER_LYO</t>
        </is>
      </c>
      <c r="B327" s="1" t="inlineStr">
        <is>
          <t>6413</t>
        </is>
      </c>
      <c r="C327" s="1" t="inlineStr">
        <is>
          <t>2024</t>
        </is>
      </c>
      <c r="D327" s="1" t="inlineStr">
        <is>
          <t>2027BUD_V1</t>
        </is>
      </c>
      <c r="E327" s="1" t="inlineStr">
        <is>
          <t>12</t>
        </is>
      </c>
      <c r="F327" s="1" t="n">
        <v>105033</v>
      </c>
    </row>
    <row r="328">
      <c r="A328" s="1" t="inlineStr">
        <is>
          <t>PIGIER_BOR</t>
        </is>
      </c>
      <c r="B328" s="1" t="inlineStr">
        <is>
          <t>6413</t>
        </is>
      </c>
      <c r="C328" s="1" t="inlineStr">
        <is>
          <t>2024</t>
        </is>
      </c>
      <c r="D328" s="1" t="inlineStr">
        <is>
          <t>2027BUD_V1</t>
        </is>
      </c>
      <c r="E328" s="1" t="inlineStr">
        <is>
          <t>12</t>
        </is>
      </c>
      <c r="F328" s="1" t="n">
        <v>76827</v>
      </c>
    </row>
    <row r="329">
      <c r="A329" s="1" t="inlineStr">
        <is>
          <t>TUNON_PAR</t>
        </is>
      </c>
      <c r="B329" s="1" t="inlineStr">
        <is>
          <t>6413</t>
        </is>
      </c>
      <c r="C329" s="1" t="inlineStr">
        <is>
          <t>2024</t>
        </is>
      </c>
      <c r="D329" s="1" t="inlineStr">
        <is>
          <t>2027BUD_V1</t>
        </is>
      </c>
      <c r="E329" s="1" t="inlineStr">
        <is>
          <t>12</t>
        </is>
      </c>
      <c r="F329" s="1" t="n">
        <v>115195</v>
      </c>
    </row>
    <row r="330">
      <c r="A330" s="1" t="inlineStr">
        <is>
          <t>TUNON_LYO</t>
        </is>
      </c>
      <c r="B330" s="1" t="inlineStr">
        <is>
          <t>6413</t>
        </is>
      </c>
      <c r="C330" s="1" t="inlineStr">
        <is>
          <t>2024</t>
        </is>
      </c>
      <c r="D330" s="1" t="inlineStr">
        <is>
          <t>2027BUD_V1</t>
        </is>
      </c>
      <c r="E330" s="1" t="inlineStr">
        <is>
          <t>12</t>
        </is>
      </c>
      <c r="F330" s="1" t="n">
        <v>67521</v>
      </c>
    </row>
    <row r="331">
      <c r="A331" s="1" t="inlineStr">
        <is>
          <t>MBWAY_PAR</t>
        </is>
      </c>
      <c r="B331" s="1" t="inlineStr">
        <is>
          <t>6413</t>
        </is>
      </c>
      <c r="C331" s="1" t="inlineStr">
        <is>
          <t>2025</t>
        </is>
      </c>
      <c r="D331" s="1" t="inlineStr">
        <is>
          <t>2027BUD_V1</t>
        </is>
      </c>
      <c r="E331" s="1" t="inlineStr">
        <is>
          <t>12</t>
        </is>
      </c>
      <c r="F331" s="1" t="n">
        <v>333483</v>
      </c>
    </row>
    <row r="332">
      <c r="A332" s="1" t="inlineStr">
        <is>
          <t>MBWAY_LYO</t>
        </is>
      </c>
      <c r="B332" s="1" t="inlineStr">
        <is>
          <t>6413</t>
        </is>
      </c>
      <c r="C332" s="1" t="inlineStr">
        <is>
          <t>2025</t>
        </is>
      </c>
      <c r="D332" s="1" t="inlineStr">
        <is>
          <t>2027BUD_V1</t>
        </is>
      </c>
      <c r="E332" s="1" t="inlineStr">
        <is>
          <t>12</t>
        </is>
      </c>
      <c r="F332" s="1" t="n">
        <v>195550</v>
      </c>
    </row>
    <row r="333">
      <c r="A333" s="1" t="inlineStr">
        <is>
          <t>MBWAY_NAN</t>
        </is>
      </c>
      <c r="B333" s="1" t="inlineStr">
        <is>
          <t>6413</t>
        </is>
      </c>
      <c r="C333" s="1" t="inlineStr">
        <is>
          <t>2025</t>
        </is>
      </c>
      <c r="D333" s="1" t="inlineStr">
        <is>
          <t>2027BUD_V1</t>
        </is>
      </c>
      <c r="E333" s="1" t="inlineStr">
        <is>
          <t>12</t>
        </is>
      </c>
      <c r="F333" s="1" t="n">
        <v>158432</v>
      </c>
    </row>
    <row r="334">
      <c r="A334" s="1" t="inlineStr">
        <is>
          <t>MBWAY_BOR</t>
        </is>
      </c>
      <c r="B334" s="1" t="inlineStr">
        <is>
          <t>6413</t>
        </is>
      </c>
      <c r="C334" s="1" t="inlineStr">
        <is>
          <t>2025</t>
        </is>
      </c>
      <c r="D334" s="1" t="inlineStr">
        <is>
          <t>2027BUD_V1</t>
        </is>
      </c>
      <c r="E334" s="1" t="inlineStr">
        <is>
          <t>12</t>
        </is>
      </c>
      <c r="F334" s="1" t="n">
        <v>140891</v>
      </c>
    </row>
    <row r="335">
      <c r="A335" s="1" t="inlineStr">
        <is>
          <t>ISCOM_PAR</t>
        </is>
      </c>
      <c r="B335" s="1" t="inlineStr">
        <is>
          <t>6413</t>
        </is>
      </c>
      <c r="C335" s="1" t="inlineStr">
        <is>
          <t>2025</t>
        </is>
      </c>
      <c r="D335" s="1" t="inlineStr">
        <is>
          <t>2027BUD_V1</t>
        </is>
      </c>
      <c r="E335" s="1" t="inlineStr">
        <is>
          <t>12</t>
        </is>
      </c>
      <c r="F335" s="1" t="n">
        <v>309039</v>
      </c>
    </row>
    <row r="336">
      <c r="A336" s="1" t="inlineStr">
        <is>
          <t>ISCOM_LIL</t>
        </is>
      </c>
      <c r="B336" s="1" t="inlineStr">
        <is>
          <t>6413</t>
        </is>
      </c>
      <c r="C336" s="1" t="inlineStr">
        <is>
          <t>2025</t>
        </is>
      </c>
      <c r="D336" s="1" t="inlineStr">
        <is>
          <t>2027BUD_V1</t>
        </is>
      </c>
      <c r="E336" s="1" t="inlineStr">
        <is>
          <t>12</t>
        </is>
      </c>
      <c r="F336" s="1" t="n">
        <v>120969</v>
      </c>
    </row>
    <row r="337">
      <c r="A337" s="1" t="inlineStr">
        <is>
          <t>ISCOM_TLS</t>
        </is>
      </c>
      <c r="B337" s="1" t="inlineStr">
        <is>
          <t>6413</t>
        </is>
      </c>
      <c r="C337" s="1" t="inlineStr">
        <is>
          <t>2025</t>
        </is>
      </c>
      <c r="D337" s="1" t="inlineStr">
        <is>
          <t>2027BUD_V1</t>
        </is>
      </c>
      <c r="E337" s="1" t="inlineStr">
        <is>
          <t>12</t>
        </is>
      </c>
      <c r="F337" s="1" t="n">
        <v>112034</v>
      </c>
    </row>
    <row r="338">
      <c r="A338" s="1" t="inlineStr">
        <is>
          <t>IPAC_NAN</t>
        </is>
      </c>
      <c r="B338" s="1" t="inlineStr">
        <is>
          <t>6413</t>
        </is>
      </c>
      <c r="C338" s="1" t="inlineStr">
        <is>
          <t>2025</t>
        </is>
      </c>
      <c r="D338" s="1" t="inlineStr">
        <is>
          <t>2027BUD_V1</t>
        </is>
      </c>
      <c r="E338" s="1" t="inlineStr">
        <is>
          <t>12</t>
        </is>
      </c>
      <c r="F338" s="1" t="n">
        <v>78138</v>
      </c>
    </row>
    <row r="339">
      <c r="A339" s="1" t="inlineStr">
        <is>
          <t>IPAC_REN</t>
        </is>
      </c>
      <c r="B339" s="1" t="inlineStr">
        <is>
          <t>6413</t>
        </is>
      </c>
      <c r="C339" s="1" t="inlineStr">
        <is>
          <t>2025</t>
        </is>
      </c>
      <c r="D339" s="1" t="inlineStr">
        <is>
          <t>2027BUD_V1</t>
        </is>
      </c>
      <c r="E339" s="1" t="inlineStr">
        <is>
          <t>12</t>
        </is>
      </c>
      <c r="F339" s="1" t="n">
        <v>55484</v>
      </c>
    </row>
    <row r="340">
      <c r="A340" s="1" t="inlineStr">
        <is>
          <t>IPAC_MTP</t>
        </is>
      </c>
      <c r="B340" s="1" t="inlineStr">
        <is>
          <t>6413</t>
        </is>
      </c>
      <c r="C340" s="1" t="inlineStr">
        <is>
          <t>2025</t>
        </is>
      </c>
      <c r="D340" s="1" t="inlineStr">
        <is>
          <t>2027BUD_V1</t>
        </is>
      </c>
      <c r="E340" s="1" t="inlineStr">
        <is>
          <t>12</t>
        </is>
      </c>
      <c r="F340" s="1" t="n">
        <v>55484</v>
      </c>
    </row>
    <row r="341">
      <c r="A341" s="1" t="inlineStr">
        <is>
          <t>PIGIER_LYO</t>
        </is>
      </c>
      <c r="B341" s="1" t="inlineStr">
        <is>
          <t>6413</t>
        </is>
      </c>
      <c r="C341" s="1" t="inlineStr">
        <is>
          <t>2025</t>
        </is>
      </c>
      <c r="D341" s="1" t="inlineStr">
        <is>
          <t>2027BUD_V1</t>
        </is>
      </c>
      <c r="E341" s="1" t="inlineStr">
        <is>
          <t>12</t>
        </is>
      </c>
      <c r="F341" s="1" t="n">
        <v>109846</v>
      </c>
    </row>
    <row r="342">
      <c r="A342" s="1" t="inlineStr">
        <is>
          <t>PIGIER_BOR</t>
        </is>
      </c>
      <c r="B342" s="1" t="inlineStr">
        <is>
          <t>6413</t>
        </is>
      </c>
      <c r="C342" s="1" t="inlineStr">
        <is>
          <t>2025</t>
        </is>
      </c>
      <c r="D342" s="1" t="inlineStr">
        <is>
          <t>2027BUD_V1</t>
        </is>
      </c>
      <c r="E342" s="1" t="inlineStr">
        <is>
          <t>12</t>
        </is>
      </c>
      <c r="F342" s="1" t="n">
        <v>80348</v>
      </c>
    </row>
    <row r="343">
      <c r="A343" s="1" t="inlineStr">
        <is>
          <t>TUNON_PAR</t>
        </is>
      </c>
      <c r="B343" s="1" t="inlineStr">
        <is>
          <t>6413</t>
        </is>
      </c>
      <c r="C343" s="1" t="inlineStr">
        <is>
          <t>2025</t>
        </is>
      </c>
      <c r="D343" s="1" t="inlineStr">
        <is>
          <t>2027BUD_V1</t>
        </is>
      </c>
      <c r="E343" s="1" t="inlineStr">
        <is>
          <t>12</t>
        </is>
      </c>
      <c r="F343" s="1" t="n">
        <v>120473</v>
      </c>
    </row>
    <row r="344">
      <c r="A344" s="1" t="inlineStr">
        <is>
          <t>TUNON_LYO</t>
        </is>
      </c>
      <c r="B344" s="1" t="inlineStr">
        <is>
          <t>6413</t>
        </is>
      </c>
      <c r="C344" s="1" t="inlineStr">
        <is>
          <t>2025</t>
        </is>
      </c>
      <c r="D344" s="1" t="inlineStr">
        <is>
          <t>2027BUD_V1</t>
        </is>
      </c>
      <c r="E344" s="1" t="inlineStr">
        <is>
          <t>12</t>
        </is>
      </c>
      <c r="F344" s="1" t="n">
        <v>70615</v>
      </c>
    </row>
    <row r="345">
      <c r="A345" s="1" t="inlineStr">
        <is>
          <t>MBWAY_PAR</t>
        </is>
      </c>
      <c r="B345" s="1" t="inlineStr">
        <is>
          <t>6413</t>
        </is>
      </c>
      <c r="C345" s="1" t="inlineStr">
        <is>
          <t>2026</t>
        </is>
      </c>
      <c r="D345" s="1" t="inlineStr">
        <is>
          <t>2027BUD_V1</t>
        </is>
      </c>
      <c r="E345" s="1" t="inlineStr">
        <is>
          <t>12</t>
        </is>
      </c>
      <c r="F345" s="1" t="n">
        <v>349401</v>
      </c>
    </row>
    <row r="346">
      <c r="A346" s="1" t="inlineStr">
        <is>
          <t>MBWAY_LYO</t>
        </is>
      </c>
      <c r="B346" s="1" t="inlineStr">
        <is>
          <t>6413</t>
        </is>
      </c>
      <c r="C346" s="1" t="inlineStr">
        <is>
          <t>2026</t>
        </is>
      </c>
      <c r="D346" s="1" t="inlineStr">
        <is>
          <t>2027BUD_V1</t>
        </is>
      </c>
      <c r="E346" s="1" t="inlineStr">
        <is>
          <t>12</t>
        </is>
      </c>
      <c r="F346" s="1" t="n">
        <v>204885</v>
      </c>
    </row>
    <row r="347">
      <c r="A347" s="1" t="inlineStr">
        <is>
          <t>MBWAY_NAN</t>
        </is>
      </c>
      <c r="B347" s="1" t="inlineStr">
        <is>
          <t>6413</t>
        </is>
      </c>
      <c r="C347" s="1" t="inlineStr">
        <is>
          <t>2026</t>
        </is>
      </c>
      <c r="D347" s="1" t="inlineStr">
        <is>
          <t>2027BUD_V1</t>
        </is>
      </c>
      <c r="E347" s="1" t="inlineStr">
        <is>
          <t>12</t>
        </is>
      </c>
      <c r="F347" s="1" t="n">
        <v>165994</v>
      </c>
    </row>
    <row r="348">
      <c r="A348" s="1" t="inlineStr">
        <is>
          <t>MBWAY_BOR</t>
        </is>
      </c>
      <c r="B348" s="1" t="inlineStr">
        <is>
          <t>6413</t>
        </is>
      </c>
      <c r="C348" s="1" t="inlineStr">
        <is>
          <t>2026</t>
        </is>
      </c>
      <c r="D348" s="1" t="inlineStr">
        <is>
          <t>2027BUD_V1</t>
        </is>
      </c>
      <c r="E348" s="1" t="inlineStr">
        <is>
          <t>12</t>
        </is>
      </c>
      <c r="F348" s="1" t="n">
        <v>147616</v>
      </c>
    </row>
    <row r="349">
      <c r="A349" s="1" t="inlineStr">
        <is>
          <t>ISCOM_PAR</t>
        </is>
      </c>
      <c r="B349" s="1" t="inlineStr">
        <is>
          <t>6413</t>
        </is>
      </c>
      <c r="C349" s="1" t="inlineStr">
        <is>
          <t>2026</t>
        </is>
      </c>
      <c r="D349" s="1" t="inlineStr">
        <is>
          <t>2027BUD_V1</t>
        </is>
      </c>
      <c r="E349" s="1" t="inlineStr">
        <is>
          <t>12</t>
        </is>
      </c>
      <c r="F349" s="1" t="n">
        <v>323791</v>
      </c>
    </row>
    <row r="350">
      <c r="A350" s="1" t="inlineStr">
        <is>
          <t>ISCOM_LIL</t>
        </is>
      </c>
      <c r="B350" s="1" t="inlineStr">
        <is>
          <t>6413</t>
        </is>
      </c>
      <c r="C350" s="1" t="inlineStr">
        <is>
          <t>2026</t>
        </is>
      </c>
      <c r="D350" s="1" t="inlineStr">
        <is>
          <t>2027BUD_V1</t>
        </is>
      </c>
      <c r="E350" s="1" t="inlineStr">
        <is>
          <t>12</t>
        </is>
      </c>
      <c r="F350" s="1" t="n">
        <v>126743</v>
      </c>
    </row>
    <row r="351">
      <c r="A351" s="1" t="inlineStr">
        <is>
          <t>ISCOM_TLS</t>
        </is>
      </c>
      <c r="B351" s="1" t="inlineStr">
        <is>
          <t>6413</t>
        </is>
      </c>
      <c r="C351" s="1" t="inlineStr">
        <is>
          <t>2026</t>
        </is>
      </c>
      <c r="D351" s="1" t="inlineStr">
        <is>
          <t>2027BUD_V1</t>
        </is>
      </c>
      <c r="E351" s="1" t="inlineStr">
        <is>
          <t>12</t>
        </is>
      </c>
      <c r="F351" s="1" t="n">
        <v>117382</v>
      </c>
    </row>
    <row r="352">
      <c r="A352" s="1" t="inlineStr">
        <is>
          <t>IPAC_NAN</t>
        </is>
      </c>
      <c r="B352" s="1" t="inlineStr">
        <is>
          <t>6413</t>
        </is>
      </c>
      <c r="C352" s="1" t="inlineStr">
        <is>
          <t>2026</t>
        </is>
      </c>
      <c r="D352" s="1" t="inlineStr">
        <is>
          <t>2027BUD_V1</t>
        </is>
      </c>
      <c r="E352" s="1" t="inlineStr">
        <is>
          <t>12</t>
        </is>
      </c>
      <c r="F352" s="1" t="n">
        <v>81868</v>
      </c>
    </row>
    <row r="353">
      <c r="A353" s="1" t="inlineStr">
        <is>
          <t>IPAC_REN</t>
        </is>
      </c>
      <c r="B353" s="1" t="inlineStr">
        <is>
          <t>6413</t>
        </is>
      </c>
      <c r="C353" s="1" t="inlineStr">
        <is>
          <t>2026</t>
        </is>
      </c>
      <c r="D353" s="1" t="inlineStr">
        <is>
          <t>2027BUD_V1</t>
        </is>
      </c>
      <c r="E353" s="1" t="inlineStr">
        <is>
          <t>12</t>
        </is>
      </c>
      <c r="F353" s="1" t="n">
        <v>58132</v>
      </c>
    </row>
    <row r="354">
      <c r="A354" s="1" t="inlineStr">
        <is>
          <t>IPAC_MTP</t>
        </is>
      </c>
      <c r="B354" s="1" t="inlineStr">
        <is>
          <t>6413</t>
        </is>
      </c>
      <c r="C354" s="1" t="inlineStr">
        <is>
          <t>2026</t>
        </is>
      </c>
      <c r="D354" s="1" t="inlineStr">
        <is>
          <t>2027BUD_V1</t>
        </is>
      </c>
      <c r="E354" s="1" t="inlineStr">
        <is>
          <t>12</t>
        </is>
      </c>
      <c r="F354" s="1" t="n">
        <v>58132</v>
      </c>
    </row>
    <row r="355">
      <c r="A355" s="1" t="inlineStr">
        <is>
          <t>PIGIER_LYO</t>
        </is>
      </c>
      <c r="B355" s="1" t="inlineStr">
        <is>
          <t>6413</t>
        </is>
      </c>
      <c r="C355" s="1" t="inlineStr">
        <is>
          <t>2026</t>
        </is>
      </c>
      <c r="D355" s="1" t="inlineStr">
        <is>
          <t>2027BUD_V1</t>
        </is>
      </c>
      <c r="E355" s="1" t="inlineStr">
        <is>
          <t>12</t>
        </is>
      </c>
      <c r="F355" s="1" t="n">
        <v>115089</v>
      </c>
    </row>
    <row r="356">
      <c r="A356" s="1" t="inlineStr">
        <is>
          <t>PIGIER_BOR</t>
        </is>
      </c>
      <c r="B356" s="1" t="inlineStr">
        <is>
          <t>6413</t>
        </is>
      </c>
      <c r="C356" s="1" t="inlineStr">
        <is>
          <t>2026</t>
        </is>
      </c>
      <c r="D356" s="1" t="inlineStr">
        <is>
          <t>2027BUD_V1</t>
        </is>
      </c>
      <c r="E356" s="1" t="inlineStr">
        <is>
          <t>12</t>
        </is>
      </c>
      <c r="F356" s="1" t="n">
        <v>84183</v>
      </c>
    </row>
    <row r="357">
      <c r="A357" s="1" t="inlineStr">
        <is>
          <t>TUNON_PAR</t>
        </is>
      </c>
      <c r="B357" s="1" t="inlineStr">
        <is>
          <t>6413</t>
        </is>
      </c>
      <c r="C357" s="1" t="inlineStr">
        <is>
          <t>2026</t>
        </is>
      </c>
      <c r="D357" s="1" t="inlineStr">
        <is>
          <t>2027BUD_V1</t>
        </is>
      </c>
      <c r="E357" s="1" t="inlineStr">
        <is>
          <t>12</t>
        </is>
      </c>
      <c r="F357" s="1" t="n">
        <v>126224</v>
      </c>
    </row>
    <row r="358">
      <c r="A358" s="1" t="inlineStr">
        <is>
          <t>TUNON_LYO</t>
        </is>
      </c>
      <c r="B358" s="1" t="inlineStr">
        <is>
          <t>6413</t>
        </is>
      </c>
      <c r="C358" s="1" t="inlineStr">
        <is>
          <t>2026</t>
        </is>
      </c>
      <c r="D358" s="1" t="inlineStr">
        <is>
          <t>2027BUD_V1</t>
        </is>
      </c>
      <c r="E358" s="1" t="inlineStr">
        <is>
          <t>12</t>
        </is>
      </c>
      <c r="F358" s="1" t="n">
        <v>73986</v>
      </c>
    </row>
    <row r="359">
      <c r="A359" s="1" t="inlineStr">
        <is>
          <t>GRP</t>
        </is>
      </c>
      <c r="B359" s="1" t="inlineStr">
        <is>
          <t>6414</t>
        </is>
      </c>
      <c r="C359" s="1" t="inlineStr">
        <is>
          <t>2024</t>
        </is>
      </c>
      <c r="D359" s="1" t="inlineStr">
        <is>
          <t>2027BUD_V1</t>
        </is>
      </c>
      <c r="E359" s="1" t="inlineStr">
        <is>
          <t>12</t>
        </is>
      </c>
      <c r="F359" s="1" t="n">
        <v>1134071</v>
      </c>
    </row>
    <row r="360">
      <c r="A360" s="1" t="inlineStr">
        <is>
          <t>GRP</t>
        </is>
      </c>
      <c r="B360" s="1" t="inlineStr">
        <is>
          <t>6414</t>
        </is>
      </c>
      <c r="C360" s="1" t="inlineStr">
        <is>
          <t>2025</t>
        </is>
      </c>
      <c r="D360" s="1" t="inlineStr">
        <is>
          <t>2027BUD_V1</t>
        </is>
      </c>
      <c r="E360" s="1" t="inlineStr">
        <is>
          <t>12</t>
        </is>
      </c>
      <c r="F360" s="1" t="n">
        <v>1186037</v>
      </c>
    </row>
    <row r="361">
      <c r="A361" s="1" t="inlineStr">
        <is>
          <t>GRP</t>
        </is>
      </c>
      <c r="B361" s="1" t="inlineStr">
        <is>
          <t>6414</t>
        </is>
      </c>
      <c r="C361" s="1" t="inlineStr">
        <is>
          <t>2026</t>
        </is>
      </c>
      <c r="D361" s="1" t="inlineStr">
        <is>
          <t>2027BUD_V1</t>
        </is>
      </c>
      <c r="E361" s="1" t="inlineStr">
        <is>
          <t>12</t>
        </is>
      </c>
      <c r="F361" s="1" t="n">
        <v>1242649</v>
      </c>
    </row>
    <row r="362">
      <c r="A362" s="1" t="inlineStr">
        <is>
          <t>MBWAY_PAR</t>
        </is>
      </c>
      <c r="B362" s="1" t="inlineStr">
        <is>
          <t>645</t>
        </is>
      </c>
      <c r="C362" s="1" t="inlineStr">
        <is>
          <t>2024</t>
        </is>
      </c>
      <c r="D362" s="1" t="inlineStr">
        <is>
          <t>2027BUD_V1</t>
        </is>
      </c>
      <c r="E362" s="1" t="inlineStr">
        <is>
          <t>12</t>
        </is>
      </c>
      <c r="F362" s="1" t="n">
        <v>496023</v>
      </c>
    </row>
    <row r="363">
      <c r="A363" s="1" t="inlineStr">
        <is>
          <t>MBWAY_LYO</t>
        </is>
      </c>
      <c r="B363" s="1" t="inlineStr">
        <is>
          <t>645</t>
        </is>
      </c>
      <c r="C363" s="1" t="inlineStr">
        <is>
          <t>2024</t>
        </is>
      </c>
      <c r="D363" s="1" t="inlineStr">
        <is>
          <t>2027BUD_V1</t>
        </is>
      </c>
      <c r="E363" s="1" t="inlineStr">
        <is>
          <t>12</t>
        </is>
      </c>
      <c r="F363" s="1" t="n">
        <v>290862</v>
      </c>
    </row>
    <row r="364">
      <c r="A364" s="1" t="inlineStr">
        <is>
          <t>MBWAY_NAN</t>
        </is>
      </c>
      <c r="B364" s="1" t="inlineStr">
        <is>
          <t>645</t>
        </is>
      </c>
      <c r="C364" s="1" t="inlineStr">
        <is>
          <t>2024</t>
        </is>
      </c>
      <c r="D364" s="1" t="inlineStr">
        <is>
          <t>2027BUD_V1</t>
        </is>
      </c>
      <c r="E364" s="1" t="inlineStr">
        <is>
          <t>12</t>
        </is>
      </c>
      <c r="F364" s="1" t="n">
        <v>235652</v>
      </c>
    </row>
    <row r="365">
      <c r="A365" s="1" t="inlineStr">
        <is>
          <t>MBWAY_BOR</t>
        </is>
      </c>
      <c r="B365" s="1" t="inlineStr">
        <is>
          <t>645</t>
        </is>
      </c>
      <c r="C365" s="1" t="inlineStr">
        <is>
          <t>2024</t>
        </is>
      </c>
      <c r="D365" s="1" t="inlineStr">
        <is>
          <t>2027BUD_V1</t>
        </is>
      </c>
      <c r="E365" s="1" t="inlineStr">
        <is>
          <t>12</t>
        </is>
      </c>
      <c r="F365" s="1" t="n">
        <v>209562</v>
      </c>
    </row>
    <row r="366">
      <c r="A366" s="1" t="inlineStr">
        <is>
          <t>ISCOM_PAR</t>
        </is>
      </c>
      <c r="B366" s="1" t="inlineStr">
        <is>
          <t>645</t>
        </is>
      </c>
      <c r="C366" s="1" t="inlineStr">
        <is>
          <t>2024</t>
        </is>
      </c>
      <c r="D366" s="1" t="inlineStr">
        <is>
          <t>2027BUD_V1</t>
        </is>
      </c>
      <c r="E366" s="1" t="inlineStr">
        <is>
          <t>12</t>
        </is>
      </c>
      <c r="F366" s="1" t="n">
        <v>459665</v>
      </c>
    </row>
    <row r="367">
      <c r="A367" s="1" t="inlineStr">
        <is>
          <t>ISCOM_LIL</t>
        </is>
      </c>
      <c r="B367" s="1" t="inlineStr">
        <is>
          <t>645</t>
        </is>
      </c>
      <c r="C367" s="1" t="inlineStr">
        <is>
          <t>2024</t>
        </is>
      </c>
      <c r="D367" s="1" t="inlineStr">
        <is>
          <t>2027BUD_V1</t>
        </is>
      </c>
      <c r="E367" s="1" t="inlineStr">
        <is>
          <t>12</t>
        </is>
      </c>
      <c r="F367" s="1" t="n">
        <v>179929</v>
      </c>
    </row>
    <row r="368">
      <c r="A368" s="1" t="inlineStr">
        <is>
          <t>ISCOM_TLS</t>
        </is>
      </c>
      <c r="B368" s="1" t="inlineStr">
        <is>
          <t>645</t>
        </is>
      </c>
      <c r="C368" s="1" t="inlineStr">
        <is>
          <t>2024</t>
        </is>
      </c>
      <c r="D368" s="1" t="inlineStr">
        <is>
          <t>2027BUD_V1</t>
        </is>
      </c>
      <c r="E368" s="1" t="inlineStr">
        <is>
          <t>12</t>
        </is>
      </c>
      <c r="F368" s="1" t="n">
        <v>166639</v>
      </c>
    </row>
    <row r="369">
      <c r="A369" s="1" t="inlineStr">
        <is>
          <t>IPAC_NAN</t>
        </is>
      </c>
      <c r="B369" s="1" t="inlineStr">
        <is>
          <t>645</t>
        </is>
      </c>
      <c r="C369" s="1" t="inlineStr">
        <is>
          <t>2024</t>
        </is>
      </c>
      <c r="D369" s="1" t="inlineStr">
        <is>
          <t>2027BUD_V1</t>
        </is>
      </c>
      <c r="E369" s="1" t="inlineStr">
        <is>
          <t>12</t>
        </is>
      </c>
      <c r="F369" s="1" t="n">
        <v>116223</v>
      </c>
    </row>
    <row r="370">
      <c r="A370" s="1" t="inlineStr">
        <is>
          <t>IPAC_REN</t>
        </is>
      </c>
      <c r="B370" s="1" t="inlineStr">
        <is>
          <t>645</t>
        </is>
      </c>
      <c r="C370" s="1" t="inlineStr">
        <is>
          <t>2024</t>
        </is>
      </c>
      <c r="D370" s="1" t="inlineStr">
        <is>
          <t>2027BUD_V1</t>
        </is>
      </c>
      <c r="E370" s="1" t="inlineStr">
        <is>
          <t>12</t>
        </is>
      </c>
      <c r="F370" s="1" t="n">
        <v>82526</v>
      </c>
    </row>
    <row r="371">
      <c r="A371" s="1" t="inlineStr">
        <is>
          <t>IPAC_MTP</t>
        </is>
      </c>
      <c r="B371" s="1" t="inlineStr">
        <is>
          <t>645</t>
        </is>
      </c>
      <c r="C371" s="1" t="inlineStr">
        <is>
          <t>2024</t>
        </is>
      </c>
      <c r="D371" s="1" t="inlineStr">
        <is>
          <t>2027BUD_V1</t>
        </is>
      </c>
      <c r="E371" s="1" t="inlineStr">
        <is>
          <t>12</t>
        </is>
      </c>
      <c r="F371" s="1" t="n">
        <v>82526</v>
      </c>
    </row>
    <row r="372">
      <c r="A372" s="1" t="inlineStr">
        <is>
          <t>PIGIER_LYO</t>
        </is>
      </c>
      <c r="B372" s="1" t="inlineStr">
        <is>
          <t>645</t>
        </is>
      </c>
      <c r="C372" s="1" t="inlineStr">
        <is>
          <t>2024</t>
        </is>
      </c>
      <c r="D372" s="1" t="inlineStr">
        <is>
          <t>2027BUD_V1</t>
        </is>
      </c>
      <c r="E372" s="1" t="inlineStr">
        <is>
          <t>12</t>
        </is>
      </c>
      <c r="F372" s="1" t="n">
        <v>163385</v>
      </c>
    </row>
    <row r="373">
      <c r="A373" s="1" t="inlineStr">
        <is>
          <t>PIGIER_BOR</t>
        </is>
      </c>
      <c r="B373" s="1" t="inlineStr">
        <is>
          <t>645</t>
        </is>
      </c>
      <c r="C373" s="1" t="inlineStr">
        <is>
          <t>2024</t>
        </is>
      </c>
      <c r="D373" s="1" t="inlineStr">
        <is>
          <t>2027BUD_V1</t>
        </is>
      </c>
      <c r="E373" s="1" t="inlineStr">
        <is>
          <t>12</t>
        </is>
      </c>
      <c r="F373" s="1" t="n">
        <v>119509</v>
      </c>
    </row>
    <row r="374">
      <c r="A374" s="1" t="inlineStr">
        <is>
          <t>TUNON_PAR</t>
        </is>
      </c>
      <c r="B374" s="1" t="inlineStr">
        <is>
          <t>645</t>
        </is>
      </c>
      <c r="C374" s="1" t="inlineStr">
        <is>
          <t>2024</t>
        </is>
      </c>
      <c r="D374" s="1" t="inlineStr">
        <is>
          <t>2027BUD_V1</t>
        </is>
      </c>
      <c r="E374" s="1" t="inlineStr">
        <is>
          <t>12</t>
        </is>
      </c>
      <c r="F374" s="1" t="n">
        <v>179192</v>
      </c>
    </row>
    <row r="375">
      <c r="A375" s="1" t="inlineStr">
        <is>
          <t>TUNON_LYO</t>
        </is>
      </c>
      <c r="B375" s="1" t="inlineStr">
        <is>
          <t>645</t>
        </is>
      </c>
      <c r="C375" s="1" t="inlineStr">
        <is>
          <t>2024</t>
        </is>
      </c>
      <c r="D375" s="1" t="inlineStr">
        <is>
          <t>2027BUD_V1</t>
        </is>
      </c>
      <c r="E375" s="1" t="inlineStr">
        <is>
          <t>12</t>
        </is>
      </c>
      <c r="F375" s="1" t="n">
        <v>105033</v>
      </c>
    </row>
    <row r="376">
      <c r="A376" s="1" t="inlineStr">
        <is>
          <t>MBWAY_PAR</t>
        </is>
      </c>
      <c r="B376" s="1" t="inlineStr">
        <is>
          <t>645</t>
        </is>
      </c>
      <c r="C376" s="1" t="inlineStr">
        <is>
          <t>2025</t>
        </is>
      </c>
      <c r="D376" s="1" t="inlineStr">
        <is>
          <t>2027BUD_V1</t>
        </is>
      </c>
      <c r="E376" s="1" t="inlineStr">
        <is>
          <t>12</t>
        </is>
      </c>
      <c r="F376" s="1" t="n">
        <v>518752</v>
      </c>
    </row>
    <row r="377">
      <c r="A377" s="1" t="inlineStr">
        <is>
          <t>MBWAY_LYO</t>
        </is>
      </c>
      <c r="B377" s="1" t="inlineStr">
        <is>
          <t>645</t>
        </is>
      </c>
      <c r="C377" s="1" t="inlineStr">
        <is>
          <t>2025</t>
        </is>
      </c>
      <c r="D377" s="1" t="inlineStr">
        <is>
          <t>2027BUD_V1</t>
        </is>
      </c>
      <c r="E377" s="1" t="inlineStr">
        <is>
          <t>12</t>
        </is>
      </c>
      <c r="F377" s="1" t="n">
        <v>304190</v>
      </c>
    </row>
    <row r="378">
      <c r="A378" s="1" t="inlineStr">
        <is>
          <t>MBWAY_NAN</t>
        </is>
      </c>
      <c r="B378" s="1" t="inlineStr">
        <is>
          <t>645</t>
        </is>
      </c>
      <c r="C378" s="1" t="inlineStr">
        <is>
          <t>2025</t>
        </is>
      </c>
      <c r="D378" s="1" t="inlineStr">
        <is>
          <t>2027BUD_V1</t>
        </is>
      </c>
      <c r="E378" s="1" t="inlineStr">
        <is>
          <t>12</t>
        </is>
      </c>
      <c r="F378" s="1" t="n">
        <v>246450</v>
      </c>
    </row>
    <row r="379">
      <c r="A379" s="1" t="inlineStr">
        <is>
          <t>MBWAY_BOR</t>
        </is>
      </c>
      <c r="B379" s="1" t="inlineStr">
        <is>
          <t>645</t>
        </is>
      </c>
      <c r="C379" s="1" t="inlineStr">
        <is>
          <t>2025</t>
        </is>
      </c>
      <c r="D379" s="1" t="inlineStr">
        <is>
          <t>2027BUD_V1</t>
        </is>
      </c>
      <c r="E379" s="1" t="inlineStr">
        <is>
          <t>12</t>
        </is>
      </c>
      <c r="F379" s="1" t="n">
        <v>219164</v>
      </c>
    </row>
    <row r="380">
      <c r="A380" s="1" t="inlineStr">
        <is>
          <t>ISCOM_PAR</t>
        </is>
      </c>
      <c r="B380" s="1" t="inlineStr">
        <is>
          <t>645</t>
        </is>
      </c>
      <c r="C380" s="1" t="inlineStr">
        <is>
          <t>2025</t>
        </is>
      </c>
      <c r="D380" s="1" t="inlineStr">
        <is>
          <t>2027BUD_V1</t>
        </is>
      </c>
      <c r="E380" s="1" t="inlineStr">
        <is>
          <t>12</t>
        </is>
      </c>
      <c r="F380" s="1" t="n">
        <v>480728</v>
      </c>
    </row>
    <row r="381">
      <c r="A381" s="1" t="inlineStr">
        <is>
          <t>ISCOM_LIL</t>
        </is>
      </c>
      <c r="B381" s="1" t="inlineStr">
        <is>
          <t>645</t>
        </is>
      </c>
      <c r="C381" s="1" t="inlineStr">
        <is>
          <t>2025</t>
        </is>
      </c>
      <c r="D381" s="1" t="inlineStr">
        <is>
          <t>2027BUD_V1</t>
        </is>
      </c>
      <c r="E381" s="1" t="inlineStr">
        <is>
          <t>12</t>
        </is>
      </c>
      <c r="F381" s="1" t="n">
        <v>188174</v>
      </c>
    </row>
    <row r="382">
      <c r="A382" s="1" t="inlineStr">
        <is>
          <t>ISCOM_TLS</t>
        </is>
      </c>
      <c r="B382" s="1" t="inlineStr">
        <is>
          <t>645</t>
        </is>
      </c>
      <c r="C382" s="1" t="inlineStr">
        <is>
          <t>2025</t>
        </is>
      </c>
      <c r="D382" s="1" t="inlineStr">
        <is>
          <t>2027BUD_V1</t>
        </is>
      </c>
      <c r="E382" s="1" t="inlineStr">
        <is>
          <t>12</t>
        </is>
      </c>
      <c r="F382" s="1" t="n">
        <v>174275</v>
      </c>
    </row>
    <row r="383">
      <c r="A383" s="1" t="inlineStr">
        <is>
          <t>IPAC_NAN</t>
        </is>
      </c>
      <c r="B383" s="1" t="inlineStr">
        <is>
          <t>645</t>
        </is>
      </c>
      <c r="C383" s="1" t="inlineStr">
        <is>
          <t>2025</t>
        </is>
      </c>
      <c r="D383" s="1" t="inlineStr">
        <is>
          <t>2027BUD_V1</t>
        </is>
      </c>
      <c r="E383" s="1" t="inlineStr">
        <is>
          <t>12</t>
        </is>
      </c>
      <c r="F383" s="1" t="n">
        <v>121548</v>
      </c>
    </row>
    <row r="384">
      <c r="A384" s="1" t="inlineStr">
        <is>
          <t>IPAC_REN</t>
        </is>
      </c>
      <c r="B384" s="1" t="inlineStr">
        <is>
          <t>645</t>
        </is>
      </c>
      <c r="C384" s="1" t="inlineStr">
        <is>
          <t>2025</t>
        </is>
      </c>
      <c r="D384" s="1" t="inlineStr">
        <is>
          <t>2027BUD_V1</t>
        </is>
      </c>
      <c r="E384" s="1" t="inlineStr">
        <is>
          <t>12</t>
        </is>
      </c>
      <c r="F384" s="1" t="n">
        <v>86308</v>
      </c>
    </row>
    <row r="385">
      <c r="A385" s="1" t="inlineStr">
        <is>
          <t>IPAC_MTP</t>
        </is>
      </c>
      <c r="B385" s="1" t="inlineStr">
        <is>
          <t>645</t>
        </is>
      </c>
      <c r="C385" s="1" t="inlineStr">
        <is>
          <t>2025</t>
        </is>
      </c>
      <c r="D385" s="1" t="inlineStr">
        <is>
          <t>2027BUD_V1</t>
        </is>
      </c>
      <c r="E385" s="1" t="inlineStr">
        <is>
          <t>12</t>
        </is>
      </c>
      <c r="F385" s="1" t="n">
        <v>86308</v>
      </c>
    </row>
    <row r="386">
      <c r="A386" s="1" t="inlineStr">
        <is>
          <t>PIGIER_LYO</t>
        </is>
      </c>
      <c r="B386" s="1" t="inlineStr">
        <is>
          <t>645</t>
        </is>
      </c>
      <c r="C386" s="1" t="inlineStr">
        <is>
          <t>2025</t>
        </is>
      </c>
      <c r="D386" s="1" t="inlineStr">
        <is>
          <t>2027BUD_V1</t>
        </is>
      </c>
      <c r="E386" s="1" t="inlineStr">
        <is>
          <t>12</t>
        </is>
      </c>
      <c r="F386" s="1" t="n">
        <v>170872</v>
      </c>
    </row>
    <row r="387">
      <c r="A387" s="1" t="inlineStr">
        <is>
          <t>PIGIER_BOR</t>
        </is>
      </c>
      <c r="B387" s="1" t="inlineStr">
        <is>
          <t>645</t>
        </is>
      </c>
      <c r="C387" s="1" t="inlineStr">
        <is>
          <t>2025</t>
        </is>
      </c>
      <c r="D387" s="1" t="inlineStr">
        <is>
          <t>2027BUD_V1</t>
        </is>
      </c>
      <c r="E387" s="1" t="inlineStr">
        <is>
          <t>12</t>
        </is>
      </c>
      <c r="F387" s="1" t="n">
        <v>124985</v>
      </c>
    </row>
    <row r="388">
      <c r="A388" s="1" t="inlineStr">
        <is>
          <t>TUNON_PAR</t>
        </is>
      </c>
      <c r="B388" s="1" t="inlineStr">
        <is>
          <t>645</t>
        </is>
      </c>
      <c r="C388" s="1" t="inlineStr">
        <is>
          <t>2025</t>
        </is>
      </c>
      <c r="D388" s="1" t="inlineStr">
        <is>
          <t>2027BUD_V1</t>
        </is>
      </c>
      <c r="E388" s="1" t="inlineStr">
        <is>
          <t>12</t>
        </is>
      </c>
      <c r="F388" s="1" t="n">
        <v>187402</v>
      </c>
    </row>
    <row r="389">
      <c r="A389" s="1" t="inlineStr">
        <is>
          <t>TUNON_LYO</t>
        </is>
      </c>
      <c r="B389" s="1" t="inlineStr">
        <is>
          <t>645</t>
        </is>
      </c>
      <c r="C389" s="1" t="inlineStr">
        <is>
          <t>2025</t>
        </is>
      </c>
      <c r="D389" s="1" t="inlineStr">
        <is>
          <t>2027BUD_V1</t>
        </is>
      </c>
      <c r="E389" s="1" t="inlineStr">
        <is>
          <t>12</t>
        </is>
      </c>
      <c r="F389" s="1" t="n">
        <v>109846</v>
      </c>
    </row>
    <row r="390">
      <c r="A390" s="1" t="inlineStr">
        <is>
          <t>MBWAY_PAR</t>
        </is>
      </c>
      <c r="B390" s="1" t="inlineStr">
        <is>
          <t>645</t>
        </is>
      </c>
      <c r="C390" s="1" t="inlineStr">
        <is>
          <t>2026</t>
        </is>
      </c>
      <c r="D390" s="1" t="inlineStr">
        <is>
          <t>2027BUD_V1</t>
        </is>
      </c>
      <c r="E390" s="1" t="inlineStr">
        <is>
          <t>12</t>
        </is>
      </c>
      <c r="F390" s="1" t="n">
        <v>543513</v>
      </c>
    </row>
    <row r="391">
      <c r="A391" s="1" t="inlineStr">
        <is>
          <t>MBWAY_LYO</t>
        </is>
      </c>
      <c r="B391" s="1" t="inlineStr">
        <is>
          <t>645</t>
        </is>
      </c>
      <c r="C391" s="1" t="inlineStr">
        <is>
          <t>2026</t>
        </is>
      </c>
      <c r="D391" s="1" t="inlineStr">
        <is>
          <t>2027BUD_V1</t>
        </is>
      </c>
      <c r="E391" s="1" t="inlineStr">
        <is>
          <t>12</t>
        </is>
      </c>
      <c r="F391" s="1" t="n">
        <v>318709</v>
      </c>
    </row>
    <row r="392">
      <c r="A392" s="1" t="inlineStr">
        <is>
          <t>MBWAY_NAN</t>
        </is>
      </c>
      <c r="B392" s="1" t="inlineStr">
        <is>
          <t>645</t>
        </is>
      </c>
      <c r="C392" s="1" t="inlineStr">
        <is>
          <t>2026</t>
        </is>
      </c>
      <c r="D392" s="1" t="inlineStr">
        <is>
          <t>2027BUD_V1</t>
        </is>
      </c>
      <c r="E392" s="1" t="inlineStr">
        <is>
          <t>12</t>
        </is>
      </c>
      <c r="F392" s="1" t="n">
        <v>258214</v>
      </c>
    </row>
    <row r="393">
      <c r="A393" s="1" t="inlineStr">
        <is>
          <t>MBWAY_BOR</t>
        </is>
      </c>
      <c r="B393" s="1" t="inlineStr">
        <is>
          <t>645</t>
        </is>
      </c>
      <c r="C393" s="1" t="inlineStr">
        <is>
          <t>2026</t>
        </is>
      </c>
      <c r="D393" s="1" t="inlineStr">
        <is>
          <t>2027BUD_V1</t>
        </is>
      </c>
      <c r="E393" s="1" t="inlineStr">
        <is>
          <t>12</t>
        </is>
      </c>
      <c r="F393" s="1" t="n">
        <v>229626</v>
      </c>
    </row>
    <row r="394">
      <c r="A394" s="1" t="inlineStr">
        <is>
          <t>ISCOM_PAR</t>
        </is>
      </c>
      <c r="B394" s="1" t="inlineStr">
        <is>
          <t>645</t>
        </is>
      </c>
      <c r="C394" s="1" t="inlineStr">
        <is>
          <t>2026</t>
        </is>
      </c>
      <c r="D394" s="1" t="inlineStr">
        <is>
          <t>2027BUD_V1</t>
        </is>
      </c>
      <c r="E394" s="1" t="inlineStr">
        <is>
          <t>12</t>
        </is>
      </c>
      <c r="F394" s="1" t="n">
        <v>503674</v>
      </c>
    </row>
    <row r="395">
      <c r="A395" s="1" t="inlineStr">
        <is>
          <t>ISCOM_LIL</t>
        </is>
      </c>
      <c r="B395" s="1" t="inlineStr">
        <is>
          <t>645</t>
        </is>
      </c>
      <c r="C395" s="1" t="inlineStr">
        <is>
          <t>2026</t>
        </is>
      </c>
      <c r="D395" s="1" t="inlineStr">
        <is>
          <t>2027BUD_V1</t>
        </is>
      </c>
      <c r="E395" s="1" t="inlineStr">
        <is>
          <t>12</t>
        </is>
      </c>
      <c r="F395" s="1" t="n">
        <v>197156</v>
      </c>
    </row>
    <row r="396">
      <c r="A396" s="1" t="inlineStr">
        <is>
          <t>ISCOM_TLS</t>
        </is>
      </c>
      <c r="B396" s="1" t="inlineStr">
        <is>
          <t>645</t>
        </is>
      </c>
      <c r="C396" s="1" t="inlineStr">
        <is>
          <t>2026</t>
        </is>
      </c>
      <c r="D396" s="1" t="inlineStr">
        <is>
          <t>2027BUD_V1</t>
        </is>
      </c>
      <c r="E396" s="1" t="inlineStr">
        <is>
          <t>12</t>
        </is>
      </c>
      <c r="F396" s="1" t="n">
        <v>182594</v>
      </c>
    </row>
    <row r="397">
      <c r="A397" s="1" t="inlineStr">
        <is>
          <t>IPAC_NAN</t>
        </is>
      </c>
      <c r="B397" s="1" t="inlineStr">
        <is>
          <t>645</t>
        </is>
      </c>
      <c r="C397" s="1" t="inlineStr">
        <is>
          <t>2026</t>
        </is>
      </c>
      <c r="D397" s="1" t="inlineStr">
        <is>
          <t>2027BUD_V1</t>
        </is>
      </c>
      <c r="E397" s="1" t="inlineStr">
        <is>
          <t>12</t>
        </is>
      </c>
      <c r="F397" s="1" t="n">
        <v>127350</v>
      </c>
    </row>
    <row r="398">
      <c r="A398" s="1" t="inlineStr">
        <is>
          <t>IPAC_REN</t>
        </is>
      </c>
      <c r="B398" s="1" t="inlineStr">
        <is>
          <t>645</t>
        </is>
      </c>
      <c r="C398" s="1" t="inlineStr">
        <is>
          <t>2026</t>
        </is>
      </c>
      <c r="D398" s="1" t="inlineStr">
        <is>
          <t>2027BUD_V1</t>
        </is>
      </c>
      <c r="E398" s="1" t="inlineStr">
        <is>
          <t>12</t>
        </is>
      </c>
      <c r="F398" s="1" t="n">
        <v>90427</v>
      </c>
    </row>
    <row r="399">
      <c r="A399" s="1" t="inlineStr">
        <is>
          <t>IPAC_MTP</t>
        </is>
      </c>
      <c r="B399" s="1" t="inlineStr">
        <is>
          <t>645</t>
        </is>
      </c>
      <c r="C399" s="1" t="inlineStr">
        <is>
          <t>2026</t>
        </is>
      </c>
      <c r="D399" s="1" t="inlineStr">
        <is>
          <t>2027BUD_V1</t>
        </is>
      </c>
      <c r="E399" s="1" t="inlineStr">
        <is>
          <t>12</t>
        </is>
      </c>
      <c r="F399" s="1" t="n">
        <v>90427</v>
      </c>
    </row>
    <row r="400">
      <c r="A400" s="1" t="inlineStr">
        <is>
          <t>PIGIER_LYO</t>
        </is>
      </c>
      <c r="B400" s="1" t="inlineStr">
        <is>
          <t>645</t>
        </is>
      </c>
      <c r="C400" s="1" t="inlineStr">
        <is>
          <t>2026</t>
        </is>
      </c>
      <c r="D400" s="1" t="inlineStr">
        <is>
          <t>2027BUD_V1</t>
        </is>
      </c>
      <c r="E400" s="1" t="inlineStr">
        <is>
          <t>12</t>
        </is>
      </c>
      <c r="F400" s="1" t="n">
        <v>179028</v>
      </c>
    </row>
    <row r="401">
      <c r="A401" s="1" t="inlineStr">
        <is>
          <t>PIGIER_BOR</t>
        </is>
      </c>
      <c r="B401" s="1" t="inlineStr">
        <is>
          <t>645</t>
        </is>
      </c>
      <c r="C401" s="1" t="inlineStr">
        <is>
          <t>2026</t>
        </is>
      </c>
      <c r="D401" s="1" t="inlineStr">
        <is>
          <t>2027BUD_V1</t>
        </is>
      </c>
      <c r="E401" s="1" t="inlineStr">
        <is>
          <t>12</t>
        </is>
      </c>
      <c r="F401" s="1" t="n">
        <v>130951</v>
      </c>
    </row>
    <row r="402">
      <c r="A402" s="1" t="inlineStr">
        <is>
          <t>TUNON_PAR</t>
        </is>
      </c>
      <c r="B402" s="1" t="inlineStr">
        <is>
          <t>645</t>
        </is>
      </c>
      <c r="C402" s="1" t="inlineStr">
        <is>
          <t>2026</t>
        </is>
      </c>
      <c r="D402" s="1" t="inlineStr">
        <is>
          <t>2027BUD_V1</t>
        </is>
      </c>
      <c r="E402" s="1" t="inlineStr">
        <is>
          <t>12</t>
        </is>
      </c>
      <c r="F402" s="1" t="n">
        <v>196348</v>
      </c>
    </row>
    <row r="403">
      <c r="A403" s="1" t="inlineStr">
        <is>
          <t>TUNON_LYO</t>
        </is>
      </c>
      <c r="B403" s="1" t="inlineStr">
        <is>
          <t>645</t>
        </is>
      </c>
      <c r="C403" s="1" t="inlineStr">
        <is>
          <t>2026</t>
        </is>
      </c>
      <c r="D403" s="1" t="inlineStr">
        <is>
          <t>2027BUD_V1</t>
        </is>
      </c>
      <c r="E403" s="1" t="inlineStr">
        <is>
          <t>12</t>
        </is>
      </c>
      <c r="F403" s="1" t="n">
        <v>115089</v>
      </c>
    </row>
    <row r="404">
      <c r="A404" s="1" t="inlineStr">
        <is>
          <t>MBWAY_PAR</t>
        </is>
      </c>
      <c r="B404" s="1" t="inlineStr">
        <is>
          <t>613</t>
        </is>
      </c>
      <c r="C404" s="1" t="inlineStr">
        <is>
          <t>2024</t>
        </is>
      </c>
      <c r="D404" s="1" t="inlineStr">
        <is>
          <t>2027BUD_V1</t>
        </is>
      </c>
      <c r="E404" s="1" t="inlineStr">
        <is>
          <t>12</t>
        </is>
      </c>
      <c r="F404" s="1" t="n">
        <v>341140</v>
      </c>
    </row>
    <row r="405">
      <c r="A405" s="1" t="inlineStr">
        <is>
          <t>MBWAY_LYO</t>
        </is>
      </c>
      <c r="B405" s="1" t="inlineStr">
        <is>
          <t>613</t>
        </is>
      </c>
      <c r="C405" s="1" t="inlineStr">
        <is>
          <t>2024</t>
        </is>
      </c>
      <c r="D405" s="1" t="inlineStr">
        <is>
          <t>2027BUD_V1</t>
        </is>
      </c>
      <c r="E405" s="1" t="inlineStr">
        <is>
          <t>12</t>
        </is>
      </c>
      <c r="F405" s="1" t="n">
        <v>204403</v>
      </c>
    </row>
    <row r="406">
      <c r="A406" s="1" t="inlineStr">
        <is>
          <t>MBWAY_NAN</t>
        </is>
      </c>
      <c r="B406" s="1" t="inlineStr">
        <is>
          <t>613</t>
        </is>
      </c>
      <c r="C406" s="1" t="inlineStr">
        <is>
          <t>2024</t>
        </is>
      </c>
      <c r="D406" s="1" t="inlineStr">
        <is>
          <t>2027BUD_V1</t>
        </is>
      </c>
      <c r="E406" s="1" t="inlineStr">
        <is>
          <t>12</t>
        </is>
      </c>
      <c r="F406" s="1" t="n">
        <v>168464</v>
      </c>
    </row>
    <row r="407">
      <c r="A407" s="1" t="inlineStr">
        <is>
          <t>MBWAY_BOR</t>
        </is>
      </c>
      <c r="B407" s="1" t="inlineStr">
        <is>
          <t>613</t>
        </is>
      </c>
      <c r="C407" s="1" t="inlineStr">
        <is>
          <t>2024</t>
        </is>
      </c>
      <c r="D407" s="1" t="inlineStr">
        <is>
          <t>2027BUD_V1</t>
        </is>
      </c>
      <c r="E407" s="1" t="inlineStr">
        <is>
          <t>12</t>
        </is>
      </c>
      <c r="F407" s="1" t="n">
        <v>147406</v>
      </c>
    </row>
    <row r="408">
      <c r="A408" s="1" t="inlineStr">
        <is>
          <t>ISCOM_PAR</t>
        </is>
      </c>
      <c r="B408" s="1" t="inlineStr">
        <is>
          <t>613</t>
        </is>
      </c>
      <c r="C408" s="1" t="inlineStr">
        <is>
          <t>2024</t>
        </is>
      </c>
      <c r="D408" s="1" t="inlineStr">
        <is>
          <t>2027BUD_V1</t>
        </is>
      </c>
      <c r="E408" s="1" t="inlineStr">
        <is>
          <t>12</t>
        </is>
      </c>
      <c r="F408" s="1" t="n">
        <v>341140</v>
      </c>
    </row>
    <row r="409">
      <c r="A409" s="1" t="inlineStr">
        <is>
          <t>ISCOM_LIL</t>
        </is>
      </c>
      <c r="B409" s="1" t="inlineStr">
        <is>
          <t>613</t>
        </is>
      </c>
      <c r="C409" s="1" t="inlineStr">
        <is>
          <t>2024</t>
        </is>
      </c>
      <c r="D409" s="1" t="inlineStr">
        <is>
          <t>2027BUD_V1</t>
        </is>
      </c>
      <c r="E409" s="1" t="inlineStr">
        <is>
          <t>12</t>
        </is>
      </c>
      <c r="F409" s="1" t="n">
        <v>129156</v>
      </c>
    </row>
    <row r="410">
      <c r="A410" s="1" t="inlineStr">
        <is>
          <t>ISCOM_TLS</t>
        </is>
      </c>
      <c r="B410" s="1" t="inlineStr">
        <is>
          <t>613</t>
        </is>
      </c>
      <c r="C410" s="1" t="inlineStr">
        <is>
          <t>2024</t>
        </is>
      </c>
      <c r="D410" s="1" t="inlineStr">
        <is>
          <t>2027BUD_V1</t>
        </is>
      </c>
      <c r="E410" s="1" t="inlineStr">
        <is>
          <t>12</t>
        </is>
      </c>
      <c r="F410" s="1" t="n">
        <v>126348</v>
      </c>
    </row>
    <row r="411">
      <c r="A411" s="1" t="inlineStr">
        <is>
          <t>IPAC_NAN</t>
        </is>
      </c>
      <c r="B411" s="1" t="inlineStr">
        <is>
          <t>613</t>
        </is>
      </c>
      <c r="C411" s="1" t="inlineStr">
        <is>
          <t>2024</t>
        </is>
      </c>
      <c r="D411" s="1" t="inlineStr">
        <is>
          <t>2027BUD_V1</t>
        </is>
      </c>
      <c r="E411" s="1" t="inlineStr">
        <is>
          <t>12</t>
        </is>
      </c>
      <c r="F411" s="1" t="n">
        <v>84232</v>
      </c>
    </row>
    <row r="412">
      <c r="A412" s="1" t="inlineStr">
        <is>
          <t>IPAC_REN</t>
        </is>
      </c>
      <c r="B412" s="1" t="inlineStr">
        <is>
          <t>613</t>
        </is>
      </c>
      <c r="C412" s="1" t="inlineStr">
        <is>
          <t>2024</t>
        </is>
      </c>
      <c r="D412" s="1" t="inlineStr">
        <is>
          <t>2027BUD_V1</t>
        </is>
      </c>
      <c r="E412" s="1" t="inlineStr">
        <is>
          <t>12</t>
        </is>
      </c>
      <c r="F412" s="1" t="n">
        <v>74124</v>
      </c>
    </row>
    <row r="413">
      <c r="A413" s="1" t="inlineStr">
        <is>
          <t>IPAC_MTP</t>
        </is>
      </c>
      <c r="B413" s="1" t="inlineStr">
        <is>
          <t>613</t>
        </is>
      </c>
      <c r="C413" s="1" t="inlineStr">
        <is>
          <t>2024</t>
        </is>
      </c>
      <c r="D413" s="1" t="inlineStr">
        <is>
          <t>2027BUD_V1</t>
        </is>
      </c>
      <c r="E413" s="1" t="inlineStr">
        <is>
          <t>12</t>
        </is>
      </c>
      <c r="F413" s="1" t="n">
        <v>74124</v>
      </c>
    </row>
    <row r="414">
      <c r="A414" s="1" t="inlineStr">
        <is>
          <t>PIGIER_LYO</t>
        </is>
      </c>
      <c r="B414" s="1" t="inlineStr">
        <is>
          <t>613</t>
        </is>
      </c>
      <c r="C414" s="1" t="inlineStr">
        <is>
          <t>2024</t>
        </is>
      </c>
      <c r="D414" s="1" t="inlineStr">
        <is>
          <t>2027BUD_V1</t>
        </is>
      </c>
      <c r="E414" s="1" t="inlineStr">
        <is>
          <t>12</t>
        </is>
      </c>
      <c r="F414" s="1" t="n">
        <v>125787</v>
      </c>
    </row>
    <row r="415">
      <c r="A415" s="1" t="inlineStr">
        <is>
          <t>PIGIER_BOR</t>
        </is>
      </c>
      <c r="B415" s="1" t="inlineStr">
        <is>
          <t>613</t>
        </is>
      </c>
      <c r="C415" s="1" t="inlineStr">
        <is>
          <t>2024</t>
        </is>
      </c>
      <c r="D415" s="1" t="inlineStr">
        <is>
          <t>2027BUD_V1</t>
        </is>
      </c>
      <c r="E415" s="1" t="inlineStr">
        <is>
          <t>12</t>
        </is>
      </c>
      <c r="F415" s="1" t="n">
        <v>117925</v>
      </c>
    </row>
    <row r="416">
      <c r="A416" s="1" t="inlineStr">
        <is>
          <t>TUNON_PAR</t>
        </is>
      </c>
      <c r="B416" s="1" t="inlineStr">
        <is>
          <t>613</t>
        </is>
      </c>
      <c r="C416" s="1" t="inlineStr">
        <is>
          <t>2024</t>
        </is>
      </c>
      <c r="D416" s="1" t="inlineStr">
        <is>
          <t>2027BUD_V1</t>
        </is>
      </c>
      <c r="E416" s="1" t="inlineStr">
        <is>
          <t>12</t>
        </is>
      </c>
      <c r="F416" s="1" t="n">
        <v>136456</v>
      </c>
    </row>
    <row r="417">
      <c r="A417" s="1" t="inlineStr">
        <is>
          <t>TUNON_LYO</t>
        </is>
      </c>
      <c r="B417" s="1" t="inlineStr">
        <is>
          <t>613</t>
        </is>
      </c>
      <c r="C417" s="1" t="inlineStr">
        <is>
          <t>2024</t>
        </is>
      </c>
      <c r="D417" s="1" t="inlineStr">
        <is>
          <t>2027BUD_V1</t>
        </is>
      </c>
      <c r="E417" s="1" t="inlineStr">
        <is>
          <t>12</t>
        </is>
      </c>
      <c r="F417" s="1" t="n">
        <v>94340</v>
      </c>
    </row>
    <row r="418">
      <c r="A418" s="1" t="inlineStr">
        <is>
          <t>MBWAY_PAR</t>
        </is>
      </c>
      <c r="B418" s="1" t="inlineStr">
        <is>
          <t>613</t>
        </is>
      </c>
      <c r="C418" s="1" t="inlineStr">
        <is>
          <t>2025</t>
        </is>
      </c>
      <c r="D418" s="1" t="inlineStr">
        <is>
          <t>2027BUD_V1</t>
        </is>
      </c>
      <c r="E418" s="1" t="inlineStr">
        <is>
          <t>12</t>
        </is>
      </c>
      <c r="F418" s="1" t="n">
        <v>356772</v>
      </c>
    </row>
    <row r="419">
      <c r="A419" s="1" t="inlineStr">
        <is>
          <t>MBWAY_LYO</t>
        </is>
      </c>
      <c r="B419" s="1" t="inlineStr">
        <is>
          <t>613</t>
        </is>
      </c>
      <c r="C419" s="1" t="inlineStr">
        <is>
          <t>2025</t>
        </is>
      </c>
      <c r="D419" s="1" t="inlineStr">
        <is>
          <t>2027BUD_V1</t>
        </is>
      </c>
      <c r="E419" s="1" t="inlineStr">
        <is>
          <t>12</t>
        </is>
      </c>
      <c r="F419" s="1" t="n">
        <v>213769</v>
      </c>
    </row>
    <row r="420">
      <c r="A420" s="1" t="inlineStr">
        <is>
          <t>MBWAY_NAN</t>
        </is>
      </c>
      <c r="B420" s="1" t="inlineStr">
        <is>
          <t>613</t>
        </is>
      </c>
      <c r="C420" s="1" t="inlineStr">
        <is>
          <t>2025</t>
        </is>
      </c>
      <c r="D420" s="1" t="inlineStr">
        <is>
          <t>2027BUD_V1</t>
        </is>
      </c>
      <c r="E420" s="1" t="inlineStr">
        <is>
          <t>12</t>
        </is>
      </c>
      <c r="F420" s="1" t="n">
        <v>176184</v>
      </c>
    </row>
    <row r="421">
      <c r="A421" s="1" t="inlineStr">
        <is>
          <t>MBWAY_BOR</t>
        </is>
      </c>
      <c r="B421" s="1" t="inlineStr">
        <is>
          <t>613</t>
        </is>
      </c>
      <c r="C421" s="1" t="inlineStr">
        <is>
          <t>2025</t>
        </is>
      </c>
      <c r="D421" s="1" t="inlineStr">
        <is>
          <t>2027BUD_V1</t>
        </is>
      </c>
      <c r="E421" s="1" t="inlineStr">
        <is>
          <t>12</t>
        </is>
      </c>
      <c r="F421" s="1" t="n">
        <v>154161</v>
      </c>
    </row>
    <row r="422">
      <c r="A422" s="1" t="inlineStr">
        <is>
          <t>ISCOM_PAR</t>
        </is>
      </c>
      <c r="B422" s="1" t="inlineStr">
        <is>
          <t>613</t>
        </is>
      </c>
      <c r="C422" s="1" t="inlineStr">
        <is>
          <t>2025</t>
        </is>
      </c>
      <c r="D422" s="1" t="inlineStr">
        <is>
          <t>2027BUD_V1</t>
        </is>
      </c>
      <c r="E422" s="1" t="inlineStr">
        <is>
          <t>12</t>
        </is>
      </c>
      <c r="F422" s="1" t="n">
        <v>356772</v>
      </c>
    </row>
    <row r="423">
      <c r="A423" s="1" t="inlineStr">
        <is>
          <t>ISCOM_LIL</t>
        </is>
      </c>
      <c r="B423" s="1" t="inlineStr">
        <is>
          <t>613</t>
        </is>
      </c>
      <c r="C423" s="1" t="inlineStr">
        <is>
          <t>2025</t>
        </is>
      </c>
      <c r="D423" s="1" t="inlineStr">
        <is>
          <t>2027BUD_V1</t>
        </is>
      </c>
      <c r="E423" s="1" t="inlineStr">
        <is>
          <t>12</t>
        </is>
      </c>
      <c r="F423" s="1" t="n">
        <v>135074</v>
      </c>
    </row>
    <row r="424">
      <c r="A424" s="1" t="inlineStr">
        <is>
          <t>ISCOM_TLS</t>
        </is>
      </c>
      <c r="B424" s="1" t="inlineStr">
        <is>
          <t>613</t>
        </is>
      </c>
      <c r="C424" s="1" t="inlineStr">
        <is>
          <t>2025</t>
        </is>
      </c>
      <c r="D424" s="1" t="inlineStr">
        <is>
          <t>2027BUD_V1</t>
        </is>
      </c>
      <c r="E424" s="1" t="inlineStr">
        <is>
          <t>12</t>
        </is>
      </c>
      <c r="F424" s="1" t="n">
        <v>132138</v>
      </c>
    </row>
    <row r="425">
      <c r="A425" s="1" t="inlineStr">
        <is>
          <t>IPAC_NAN</t>
        </is>
      </c>
      <c r="B425" s="1" t="inlineStr">
        <is>
          <t>613</t>
        </is>
      </c>
      <c r="C425" s="1" t="inlineStr">
        <is>
          <t>2025</t>
        </is>
      </c>
      <c r="D425" s="1" t="inlineStr">
        <is>
          <t>2027BUD_V1</t>
        </is>
      </c>
      <c r="E425" s="1" t="inlineStr">
        <is>
          <t>12</t>
        </is>
      </c>
      <c r="F425" s="1" t="n">
        <v>88092</v>
      </c>
    </row>
    <row r="426">
      <c r="A426" s="1" t="inlineStr">
        <is>
          <t>IPAC_REN</t>
        </is>
      </c>
      <c r="B426" s="1" t="inlineStr">
        <is>
          <t>613</t>
        </is>
      </c>
      <c r="C426" s="1" t="inlineStr">
        <is>
          <t>2025</t>
        </is>
      </c>
      <c r="D426" s="1" t="inlineStr">
        <is>
          <t>2027BUD_V1</t>
        </is>
      </c>
      <c r="E426" s="1" t="inlineStr">
        <is>
          <t>12</t>
        </is>
      </c>
      <c r="F426" s="1" t="n">
        <v>77521</v>
      </c>
    </row>
    <row r="427">
      <c r="A427" s="1" t="inlineStr">
        <is>
          <t>IPAC_MTP</t>
        </is>
      </c>
      <c r="B427" s="1" t="inlineStr">
        <is>
          <t>613</t>
        </is>
      </c>
      <c r="C427" s="1" t="inlineStr">
        <is>
          <t>2025</t>
        </is>
      </c>
      <c r="D427" s="1" t="inlineStr">
        <is>
          <t>2027BUD_V1</t>
        </is>
      </c>
      <c r="E427" s="1" t="inlineStr">
        <is>
          <t>12</t>
        </is>
      </c>
      <c r="F427" s="1" t="n">
        <v>77521</v>
      </c>
    </row>
    <row r="428">
      <c r="A428" s="1" t="inlineStr">
        <is>
          <t>PIGIER_LYO</t>
        </is>
      </c>
      <c r="B428" s="1" t="inlineStr">
        <is>
          <t>613</t>
        </is>
      </c>
      <c r="C428" s="1" t="inlineStr">
        <is>
          <t>2025</t>
        </is>
      </c>
      <c r="D428" s="1" t="inlineStr">
        <is>
          <t>2027BUD_V1</t>
        </is>
      </c>
      <c r="E428" s="1" t="inlineStr">
        <is>
          <t>12</t>
        </is>
      </c>
      <c r="F428" s="1" t="n">
        <v>131550</v>
      </c>
    </row>
    <row r="429">
      <c r="A429" s="1" t="inlineStr">
        <is>
          <t>PIGIER_BOR</t>
        </is>
      </c>
      <c r="B429" s="1" t="inlineStr">
        <is>
          <t>613</t>
        </is>
      </c>
      <c r="C429" s="1" t="inlineStr">
        <is>
          <t>2025</t>
        </is>
      </c>
      <c r="D429" s="1" t="inlineStr">
        <is>
          <t>2027BUD_V1</t>
        </is>
      </c>
      <c r="E429" s="1" t="inlineStr">
        <is>
          <t>12</t>
        </is>
      </c>
      <c r="F429" s="1" t="n">
        <v>123328</v>
      </c>
    </row>
    <row r="430">
      <c r="A430" s="1" t="inlineStr">
        <is>
          <t>TUNON_PAR</t>
        </is>
      </c>
      <c r="B430" s="1" t="inlineStr">
        <is>
          <t>613</t>
        </is>
      </c>
      <c r="C430" s="1" t="inlineStr">
        <is>
          <t>2025</t>
        </is>
      </c>
      <c r="D430" s="1" t="inlineStr">
        <is>
          <t>2027BUD_V1</t>
        </is>
      </c>
      <c r="E430" s="1" t="inlineStr">
        <is>
          <t>12</t>
        </is>
      </c>
      <c r="F430" s="1" t="n">
        <v>142709</v>
      </c>
    </row>
    <row r="431">
      <c r="A431" s="1" t="inlineStr">
        <is>
          <t>TUNON_LYO</t>
        </is>
      </c>
      <c r="B431" s="1" t="inlineStr">
        <is>
          <t>613</t>
        </is>
      </c>
      <c r="C431" s="1" t="inlineStr">
        <is>
          <t>2025</t>
        </is>
      </c>
      <c r="D431" s="1" t="inlineStr">
        <is>
          <t>2027BUD_V1</t>
        </is>
      </c>
      <c r="E431" s="1" t="inlineStr">
        <is>
          <t>12</t>
        </is>
      </c>
      <c r="F431" s="1" t="n">
        <v>98663</v>
      </c>
    </row>
    <row r="432">
      <c r="A432" s="1" t="inlineStr">
        <is>
          <t>MBWAY_PAR</t>
        </is>
      </c>
      <c r="B432" s="1" t="inlineStr">
        <is>
          <t>613</t>
        </is>
      </c>
      <c r="C432" s="1" t="inlineStr">
        <is>
          <t>2026</t>
        </is>
      </c>
      <c r="D432" s="1" t="inlineStr">
        <is>
          <t>2027BUD_V1</t>
        </is>
      </c>
      <c r="E432" s="1" t="inlineStr">
        <is>
          <t>12</t>
        </is>
      </c>
      <c r="F432" s="1" t="n">
        <v>373801</v>
      </c>
    </row>
    <row r="433">
      <c r="A433" s="1" t="inlineStr">
        <is>
          <t>MBWAY_LYO</t>
        </is>
      </c>
      <c r="B433" s="1" t="inlineStr">
        <is>
          <t>613</t>
        </is>
      </c>
      <c r="C433" s="1" t="inlineStr">
        <is>
          <t>2026</t>
        </is>
      </c>
      <c r="D433" s="1" t="inlineStr">
        <is>
          <t>2027BUD_V1</t>
        </is>
      </c>
      <c r="E433" s="1" t="inlineStr">
        <is>
          <t>12</t>
        </is>
      </c>
      <c r="F433" s="1" t="n">
        <v>223973</v>
      </c>
    </row>
    <row r="434">
      <c r="A434" s="1" t="inlineStr">
        <is>
          <t>MBWAY_NAN</t>
        </is>
      </c>
      <c r="B434" s="1" t="inlineStr">
        <is>
          <t>613</t>
        </is>
      </c>
      <c r="C434" s="1" t="inlineStr">
        <is>
          <t>2026</t>
        </is>
      </c>
      <c r="D434" s="1" t="inlineStr">
        <is>
          <t>2027BUD_V1</t>
        </is>
      </c>
      <c r="E434" s="1" t="inlineStr">
        <is>
          <t>12</t>
        </is>
      </c>
      <c r="F434" s="1" t="n">
        <v>184593</v>
      </c>
    </row>
    <row r="435">
      <c r="A435" s="1" t="inlineStr">
        <is>
          <t>MBWAY_BOR</t>
        </is>
      </c>
      <c r="B435" s="1" t="inlineStr">
        <is>
          <t>613</t>
        </is>
      </c>
      <c r="C435" s="1" t="inlineStr">
        <is>
          <t>2026</t>
        </is>
      </c>
      <c r="D435" s="1" t="inlineStr">
        <is>
          <t>2027BUD_V1</t>
        </is>
      </c>
      <c r="E435" s="1" t="inlineStr">
        <is>
          <t>12</t>
        </is>
      </c>
      <c r="F435" s="1" t="n">
        <v>161519</v>
      </c>
    </row>
    <row r="436">
      <c r="A436" s="1" t="inlineStr">
        <is>
          <t>ISCOM_PAR</t>
        </is>
      </c>
      <c r="B436" s="1" t="inlineStr">
        <is>
          <t>613</t>
        </is>
      </c>
      <c r="C436" s="1" t="inlineStr">
        <is>
          <t>2026</t>
        </is>
      </c>
      <c r="D436" s="1" t="inlineStr">
        <is>
          <t>2027BUD_V1</t>
        </is>
      </c>
      <c r="E436" s="1" t="inlineStr">
        <is>
          <t>12</t>
        </is>
      </c>
      <c r="F436" s="1" t="n">
        <v>373801</v>
      </c>
    </row>
    <row r="437">
      <c r="A437" s="1" t="inlineStr">
        <is>
          <t>ISCOM_LIL</t>
        </is>
      </c>
      <c r="B437" s="1" t="inlineStr">
        <is>
          <t>613</t>
        </is>
      </c>
      <c r="C437" s="1" t="inlineStr">
        <is>
          <t>2026</t>
        </is>
      </c>
      <c r="D437" s="1" t="inlineStr">
        <is>
          <t>2027BUD_V1</t>
        </is>
      </c>
      <c r="E437" s="1" t="inlineStr">
        <is>
          <t>12</t>
        </is>
      </c>
      <c r="F437" s="1" t="n">
        <v>141521</v>
      </c>
    </row>
    <row r="438">
      <c r="A438" s="1" t="inlineStr">
        <is>
          <t>ISCOM_TLS</t>
        </is>
      </c>
      <c r="B438" s="1" t="inlineStr">
        <is>
          <t>613</t>
        </is>
      </c>
      <c r="C438" s="1" t="inlineStr">
        <is>
          <t>2026</t>
        </is>
      </c>
      <c r="D438" s="1" t="inlineStr">
        <is>
          <t>2027BUD_V1</t>
        </is>
      </c>
      <c r="E438" s="1" t="inlineStr">
        <is>
          <t>12</t>
        </is>
      </c>
      <c r="F438" s="1" t="n">
        <v>138445</v>
      </c>
    </row>
    <row r="439">
      <c r="A439" s="1" t="inlineStr">
        <is>
          <t>IPAC_NAN</t>
        </is>
      </c>
      <c r="B439" s="1" t="inlineStr">
        <is>
          <t>613</t>
        </is>
      </c>
      <c r="C439" s="1" t="inlineStr">
        <is>
          <t>2026</t>
        </is>
      </c>
      <c r="D439" s="1" t="inlineStr">
        <is>
          <t>2027BUD_V1</t>
        </is>
      </c>
      <c r="E439" s="1" t="inlineStr">
        <is>
          <t>12</t>
        </is>
      </c>
      <c r="F439" s="1" t="n">
        <v>92297</v>
      </c>
    </row>
    <row r="440">
      <c r="A440" s="1" t="inlineStr">
        <is>
          <t>IPAC_REN</t>
        </is>
      </c>
      <c r="B440" s="1" t="inlineStr">
        <is>
          <t>613</t>
        </is>
      </c>
      <c r="C440" s="1" t="inlineStr">
        <is>
          <t>2026</t>
        </is>
      </c>
      <c r="D440" s="1" t="inlineStr">
        <is>
          <t>2027BUD_V1</t>
        </is>
      </c>
      <c r="E440" s="1" t="inlineStr">
        <is>
          <t>12</t>
        </is>
      </c>
      <c r="F440" s="1" t="n">
        <v>81221</v>
      </c>
    </row>
    <row r="441">
      <c r="A441" s="1" t="inlineStr">
        <is>
          <t>IPAC_MTP</t>
        </is>
      </c>
      <c r="B441" s="1" t="inlineStr">
        <is>
          <t>613</t>
        </is>
      </c>
      <c r="C441" s="1" t="inlineStr">
        <is>
          <t>2026</t>
        </is>
      </c>
      <c r="D441" s="1" t="inlineStr">
        <is>
          <t>2027BUD_V1</t>
        </is>
      </c>
      <c r="E441" s="1" t="inlineStr">
        <is>
          <t>12</t>
        </is>
      </c>
      <c r="F441" s="1" t="n">
        <v>81221</v>
      </c>
    </row>
    <row r="442">
      <c r="A442" s="1" t="inlineStr">
        <is>
          <t>PIGIER_LYO</t>
        </is>
      </c>
      <c r="B442" s="1" t="inlineStr">
        <is>
          <t>613</t>
        </is>
      </c>
      <c r="C442" s="1" t="inlineStr">
        <is>
          <t>2026</t>
        </is>
      </c>
      <c r="D442" s="1" t="inlineStr">
        <is>
          <t>2027BUD_V1</t>
        </is>
      </c>
      <c r="E442" s="1" t="inlineStr">
        <is>
          <t>12</t>
        </is>
      </c>
      <c r="F442" s="1" t="n">
        <v>137830</v>
      </c>
    </row>
    <row r="443">
      <c r="A443" s="1" t="inlineStr">
        <is>
          <t>PIGIER_BOR</t>
        </is>
      </c>
      <c r="B443" s="1" t="inlineStr">
        <is>
          <t>613</t>
        </is>
      </c>
      <c r="C443" s="1" t="inlineStr">
        <is>
          <t>2026</t>
        </is>
      </c>
      <c r="D443" s="1" t="inlineStr">
        <is>
          <t>2027BUD_V1</t>
        </is>
      </c>
      <c r="E443" s="1" t="inlineStr">
        <is>
          <t>12</t>
        </is>
      </c>
      <c r="F443" s="1" t="n">
        <v>129215</v>
      </c>
    </row>
    <row r="444">
      <c r="A444" s="1" t="inlineStr">
        <is>
          <t>TUNON_PAR</t>
        </is>
      </c>
      <c r="B444" s="1" t="inlineStr">
        <is>
          <t>613</t>
        </is>
      </c>
      <c r="C444" s="1" t="inlineStr">
        <is>
          <t>2026</t>
        </is>
      </c>
      <c r="D444" s="1" t="inlineStr">
        <is>
          <t>2027BUD_V1</t>
        </is>
      </c>
      <c r="E444" s="1" t="inlineStr">
        <is>
          <t>12</t>
        </is>
      </c>
      <c r="F444" s="1" t="n">
        <v>149520</v>
      </c>
    </row>
    <row r="445">
      <c r="A445" s="1" t="inlineStr">
        <is>
          <t>TUNON_LYO</t>
        </is>
      </c>
      <c r="B445" s="1" t="inlineStr">
        <is>
          <t>613</t>
        </is>
      </c>
      <c r="C445" s="1" t="inlineStr">
        <is>
          <t>2026</t>
        </is>
      </c>
      <c r="D445" s="1" t="inlineStr">
        <is>
          <t>2027BUD_V1</t>
        </is>
      </c>
      <c r="E445" s="1" t="inlineStr">
        <is>
          <t>12</t>
        </is>
      </c>
      <c r="F445" s="1" t="n">
        <v>103372</v>
      </c>
    </row>
    <row r="446">
      <c r="A446" s="1" t="inlineStr">
        <is>
          <t>MBWAY_PAR</t>
        </is>
      </c>
      <c r="B446" s="1" t="inlineStr">
        <is>
          <t>615</t>
        </is>
      </c>
      <c r="C446" s="1" t="inlineStr">
        <is>
          <t>2024</t>
        </is>
      </c>
      <c r="D446" s="1" t="inlineStr">
        <is>
          <t>2027BUD_V1</t>
        </is>
      </c>
      <c r="E446" s="1" t="inlineStr">
        <is>
          <t>12</t>
        </is>
      </c>
      <c r="F446" s="1" t="n">
        <v>48734</v>
      </c>
    </row>
    <row r="447">
      <c r="A447" s="1" t="inlineStr">
        <is>
          <t>MBWAY_LYO</t>
        </is>
      </c>
      <c r="B447" s="1" t="inlineStr">
        <is>
          <t>615</t>
        </is>
      </c>
      <c r="C447" s="1" t="inlineStr">
        <is>
          <t>2024</t>
        </is>
      </c>
      <c r="D447" s="1" t="inlineStr">
        <is>
          <t>2027BUD_V1</t>
        </is>
      </c>
      <c r="E447" s="1" t="inlineStr">
        <is>
          <t>12</t>
        </is>
      </c>
      <c r="F447" s="1" t="n">
        <v>29200</v>
      </c>
    </row>
    <row r="448">
      <c r="A448" s="1" t="inlineStr">
        <is>
          <t>MBWAY_NAN</t>
        </is>
      </c>
      <c r="B448" s="1" t="inlineStr">
        <is>
          <t>615</t>
        </is>
      </c>
      <c r="C448" s="1" t="inlineStr">
        <is>
          <t>2024</t>
        </is>
      </c>
      <c r="D448" s="1" t="inlineStr">
        <is>
          <t>2027BUD_V1</t>
        </is>
      </c>
      <c r="E448" s="1" t="inlineStr">
        <is>
          <t>12</t>
        </is>
      </c>
      <c r="F448" s="1" t="n">
        <v>24066</v>
      </c>
    </row>
    <row r="449">
      <c r="A449" s="1" t="inlineStr">
        <is>
          <t>MBWAY_BOR</t>
        </is>
      </c>
      <c r="B449" s="1" t="inlineStr">
        <is>
          <t>615</t>
        </is>
      </c>
      <c r="C449" s="1" t="inlineStr">
        <is>
          <t>2024</t>
        </is>
      </c>
      <c r="D449" s="1" t="inlineStr">
        <is>
          <t>2027BUD_V1</t>
        </is>
      </c>
      <c r="E449" s="1" t="inlineStr">
        <is>
          <t>12</t>
        </is>
      </c>
      <c r="F449" s="1" t="n">
        <v>21058</v>
      </c>
    </row>
    <row r="450">
      <c r="A450" s="1" t="inlineStr">
        <is>
          <t>ISCOM_PAR</t>
        </is>
      </c>
      <c r="B450" s="1" t="inlineStr">
        <is>
          <t>615</t>
        </is>
      </c>
      <c r="C450" s="1" t="inlineStr">
        <is>
          <t>2024</t>
        </is>
      </c>
      <c r="D450" s="1" t="inlineStr">
        <is>
          <t>2027BUD_V1</t>
        </is>
      </c>
      <c r="E450" s="1" t="inlineStr">
        <is>
          <t>12</t>
        </is>
      </c>
      <c r="F450" s="1" t="n">
        <v>48734</v>
      </c>
    </row>
    <row r="451">
      <c r="A451" s="1" t="inlineStr">
        <is>
          <t>ISCOM_LIL</t>
        </is>
      </c>
      <c r="B451" s="1" t="inlineStr">
        <is>
          <t>615</t>
        </is>
      </c>
      <c r="C451" s="1" t="inlineStr">
        <is>
          <t>2024</t>
        </is>
      </c>
      <c r="D451" s="1" t="inlineStr">
        <is>
          <t>2027BUD_V1</t>
        </is>
      </c>
      <c r="E451" s="1" t="inlineStr">
        <is>
          <t>12</t>
        </is>
      </c>
      <c r="F451" s="1" t="n">
        <v>18451</v>
      </c>
    </row>
    <row r="452">
      <c r="A452" s="1" t="inlineStr">
        <is>
          <t>ISCOM_TLS</t>
        </is>
      </c>
      <c r="B452" s="1" t="inlineStr">
        <is>
          <t>615</t>
        </is>
      </c>
      <c r="C452" s="1" t="inlineStr">
        <is>
          <t>2024</t>
        </is>
      </c>
      <c r="D452" s="1" t="inlineStr">
        <is>
          <t>2027BUD_V1</t>
        </is>
      </c>
      <c r="E452" s="1" t="inlineStr">
        <is>
          <t>12</t>
        </is>
      </c>
      <c r="F452" s="1" t="n">
        <v>18050</v>
      </c>
    </row>
    <row r="453">
      <c r="A453" s="1" t="inlineStr">
        <is>
          <t>IPAC_NAN</t>
        </is>
      </c>
      <c r="B453" s="1" t="inlineStr">
        <is>
          <t>615</t>
        </is>
      </c>
      <c r="C453" s="1" t="inlineStr">
        <is>
          <t>2024</t>
        </is>
      </c>
      <c r="D453" s="1" t="inlineStr">
        <is>
          <t>2027BUD_V1</t>
        </is>
      </c>
      <c r="E453" s="1" t="inlineStr">
        <is>
          <t>12</t>
        </is>
      </c>
      <c r="F453" s="1" t="n">
        <v>12033</v>
      </c>
    </row>
    <row r="454">
      <c r="A454" s="1" t="inlineStr">
        <is>
          <t>IPAC_REN</t>
        </is>
      </c>
      <c r="B454" s="1" t="inlineStr">
        <is>
          <t>615</t>
        </is>
      </c>
      <c r="C454" s="1" t="inlineStr">
        <is>
          <t>2024</t>
        </is>
      </c>
      <c r="D454" s="1" t="inlineStr">
        <is>
          <t>2027BUD_V1</t>
        </is>
      </c>
      <c r="E454" s="1" t="inlineStr">
        <is>
          <t>12</t>
        </is>
      </c>
      <c r="F454" s="1" t="n">
        <v>10589</v>
      </c>
    </row>
    <row r="455">
      <c r="A455" s="1" t="inlineStr">
        <is>
          <t>IPAC_MTP</t>
        </is>
      </c>
      <c r="B455" s="1" t="inlineStr">
        <is>
          <t>615</t>
        </is>
      </c>
      <c r="C455" s="1" t="inlineStr">
        <is>
          <t>2024</t>
        </is>
      </c>
      <c r="D455" s="1" t="inlineStr">
        <is>
          <t>2027BUD_V1</t>
        </is>
      </c>
      <c r="E455" s="1" t="inlineStr">
        <is>
          <t>12</t>
        </is>
      </c>
      <c r="F455" s="1" t="n">
        <v>10589</v>
      </c>
    </row>
    <row r="456">
      <c r="A456" s="1" t="inlineStr">
        <is>
          <t>PIGIER_LYO</t>
        </is>
      </c>
      <c r="B456" s="1" t="inlineStr">
        <is>
          <t>615</t>
        </is>
      </c>
      <c r="C456" s="1" t="inlineStr">
        <is>
          <t>2024</t>
        </is>
      </c>
      <c r="D456" s="1" t="inlineStr">
        <is>
          <t>2027BUD_V1</t>
        </is>
      </c>
      <c r="E456" s="1" t="inlineStr">
        <is>
          <t>12</t>
        </is>
      </c>
      <c r="F456" s="1" t="n">
        <v>17970</v>
      </c>
    </row>
    <row r="457">
      <c r="A457" s="1" t="inlineStr">
        <is>
          <t>PIGIER_BOR</t>
        </is>
      </c>
      <c r="B457" s="1" t="inlineStr">
        <is>
          <t>615</t>
        </is>
      </c>
      <c r="C457" s="1" t="inlineStr">
        <is>
          <t>2024</t>
        </is>
      </c>
      <c r="D457" s="1" t="inlineStr">
        <is>
          <t>2027BUD_V1</t>
        </is>
      </c>
      <c r="E457" s="1" t="inlineStr">
        <is>
          <t>12</t>
        </is>
      </c>
      <c r="F457" s="1" t="n">
        <v>16846</v>
      </c>
    </row>
    <row r="458">
      <c r="A458" s="1" t="inlineStr">
        <is>
          <t>TUNON_PAR</t>
        </is>
      </c>
      <c r="B458" s="1" t="inlineStr">
        <is>
          <t>615</t>
        </is>
      </c>
      <c r="C458" s="1" t="inlineStr">
        <is>
          <t>2024</t>
        </is>
      </c>
      <c r="D458" s="1" t="inlineStr">
        <is>
          <t>2027BUD_V1</t>
        </is>
      </c>
      <c r="E458" s="1" t="inlineStr">
        <is>
          <t>12</t>
        </is>
      </c>
      <c r="F458" s="1" t="n">
        <v>19494</v>
      </c>
    </row>
    <row r="459">
      <c r="A459" s="1" t="inlineStr">
        <is>
          <t>TUNON_LYO</t>
        </is>
      </c>
      <c r="B459" s="1" t="inlineStr">
        <is>
          <t>615</t>
        </is>
      </c>
      <c r="C459" s="1" t="inlineStr">
        <is>
          <t>2024</t>
        </is>
      </c>
      <c r="D459" s="1" t="inlineStr">
        <is>
          <t>2027BUD_V1</t>
        </is>
      </c>
      <c r="E459" s="1" t="inlineStr">
        <is>
          <t>12</t>
        </is>
      </c>
      <c r="F459" s="1" t="n">
        <v>13477</v>
      </c>
    </row>
    <row r="460">
      <c r="A460" s="1" t="inlineStr">
        <is>
          <t>MBWAY_PAR</t>
        </is>
      </c>
      <c r="B460" s="1" t="inlineStr">
        <is>
          <t>615</t>
        </is>
      </c>
      <c r="C460" s="1" t="inlineStr">
        <is>
          <t>2025</t>
        </is>
      </c>
      <c r="D460" s="1" t="inlineStr">
        <is>
          <t>2027BUD_V1</t>
        </is>
      </c>
      <c r="E460" s="1" t="inlineStr">
        <is>
          <t>12</t>
        </is>
      </c>
      <c r="F460" s="1" t="n">
        <v>50967</v>
      </c>
    </row>
    <row r="461">
      <c r="A461" s="1" t="inlineStr">
        <is>
          <t>MBWAY_LYO</t>
        </is>
      </c>
      <c r="B461" s="1" t="inlineStr">
        <is>
          <t>615</t>
        </is>
      </c>
      <c r="C461" s="1" t="inlineStr">
        <is>
          <t>2025</t>
        </is>
      </c>
      <c r="D461" s="1" t="inlineStr">
        <is>
          <t>2027BUD_V1</t>
        </is>
      </c>
      <c r="E461" s="1" t="inlineStr">
        <is>
          <t>12</t>
        </is>
      </c>
      <c r="F461" s="1" t="n">
        <v>30538</v>
      </c>
    </row>
    <row r="462">
      <c r="A462" s="1" t="inlineStr">
        <is>
          <t>MBWAY_NAN</t>
        </is>
      </c>
      <c r="B462" s="1" t="inlineStr">
        <is>
          <t>615</t>
        </is>
      </c>
      <c r="C462" s="1" t="inlineStr">
        <is>
          <t>2025</t>
        </is>
      </c>
      <c r="D462" s="1" t="inlineStr">
        <is>
          <t>2027BUD_V1</t>
        </is>
      </c>
      <c r="E462" s="1" t="inlineStr">
        <is>
          <t>12</t>
        </is>
      </c>
      <c r="F462" s="1" t="n">
        <v>25169</v>
      </c>
    </row>
    <row r="463">
      <c r="A463" s="1" t="inlineStr">
        <is>
          <t>MBWAY_BOR</t>
        </is>
      </c>
      <c r="B463" s="1" t="inlineStr">
        <is>
          <t>615</t>
        </is>
      </c>
      <c r="C463" s="1" t="inlineStr">
        <is>
          <t>2025</t>
        </is>
      </c>
      <c r="D463" s="1" t="inlineStr">
        <is>
          <t>2027BUD_V1</t>
        </is>
      </c>
      <c r="E463" s="1" t="inlineStr">
        <is>
          <t>12</t>
        </is>
      </c>
      <c r="F463" s="1" t="n">
        <v>22023</v>
      </c>
    </row>
    <row r="464">
      <c r="A464" s="1" t="inlineStr">
        <is>
          <t>ISCOM_PAR</t>
        </is>
      </c>
      <c r="B464" s="1" t="inlineStr">
        <is>
          <t>615</t>
        </is>
      </c>
      <c r="C464" s="1" t="inlineStr">
        <is>
          <t>2025</t>
        </is>
      </c>
      <c r="D464" s="1" t="inlineStr">
        <is>
          <t>2027BUD_V1</t>
        </is>
      </c>
      <c r="E464" s="1" t="inlineStr">
        <is>
          <t>12</t>
        </is>
      </c>
      <c r="F464" s="1" t="n">
        <v>50967</v>
      </c>
    </row>
    <row r="465">
      <c r="A465" s="1" t="inlineStr">
        <is>
          <t>ISCOM_LIL</t>
        </is>
      </c>
      <c r="B465" s="1" t="inlineStr">
        <is>
          <t>615</t>
        </is>
      </c>
      <c r="C465" s="1" t="inlineStr">
        <is>
          <t>2025</t>
        </is>
      </c>
      <c r="D465" s="1" t="inlineStr">
        <is>
          <t>2027BUD_V1</t>
        </is>
      </c>
      <c r="E465" s="1" t="inlineStr">
        <is>
          <t>12</t>
        </is>
      </c>
      <c r="F465" s="1" t="n">
        <v>19296</v>
      </c>
    </row>
    <row r="466">
      <c r="A466" s="1" t="inlineStr">
        <is>
          <t>ISCOM_TLS</t>
        </is>
      </c>
      <c r="B466" s="1" t="inlineStr">
        <is>
          <t>615</t>
        </is>
      </c>
      <c r="C466" s="1" t="inlineStr">
        <is>
          <t>2025</t>
        </is>
      </c>
      <c r="D466" s="1" t="inlineStr">
        <is>
          <t>2027BUD_V1</t>
        </is>
      </c>
      <c r="E466" s="1" t="inlineStr">
        <is>
          <t>12</t>
        </is>
      </c>
      <c r="F466" s="1" t="n">
        <v>18877</v>
      </c>
    </row>
    <row r="467">
      <c r="A467" s="1" t="inlineStr">
        <is>
          <t>IPAC_NAN</t>
        </is>
      </c>
      <c r="B467" s="1" t="inlineStr">
        <is>
          <t>615</t>
        </is>
      </c>
      <c r="C467" s="1" t="inlineStr">
        <is>
          <t>2025</t>
        </is>
      </c>
      <c r="D467" s="1" t="inlineStr">
        <is>
          <t>2027BUD_V1</t>
        </is>
      </c>
      <c r="E467" s="1" t="inlineStr">
        <is>
          <t>12</t>
        </is>
      </c>
      <c r="F467" s="1" t="n">
        <v>12585</v>
      </c>
    </row>
    <row r="468">
      <c r="A468" s="1" t="inlineStr">
        <is>
          <t>IPAC_REN</t>
        </is>
      </c>
      <c r="B468" s="1" t="inlineStr">
        <is>
          <t>615</t>
        </is>
      </c>
      <c r="C468" s="1" t="inlineStr">
        <is>
          <t>2025</t>
        </is>
      </c>
      <c r="D468" s="1" t="inlineStr">
        <is>
          <t>2027BUD_V1</t>
        </is>
      </c>
      <c r="E468" s="1" t="inlineStr">
        <is>
          <t>12</t>
        </is>
      </c>
      <c r="F468" s="1" t="n">
        <v>11074</v>
      </c>
    </row>
    <row r="469">
      <c r="A469" s="1" t="inlineStr">
        <is>
          <t>IPAC_MTP</t>
        </is>
      </c>
      <c r="B469" s="1" t="inlineStr">
        <is>
          <t>615</t>
        </is>
      </c>
      <c r="C469" s="1" t="inlineStr">
        <is>
          <t>2025</t>
        </is>
      </c>
      <c r="D469" s="1" t="inlineStr">
        <is>
          <t>2027BUD_V1</t>
        </is>
      </c>
      <c r="E469" s="1" t="inlineStr">
        <is>
          <t>12</t>
        </is>
      </c>
      <c r="F469" s="1" t="n">
        <v>11074</v>
      </c>
    </row>
    <row r="470">
      <c r="A470" s="1" t="inlineStr">
        <is>
          <t>PIGIER_LYO</t>
        </is>
      </c>
      <c r="B470" s="1" t="inlineStr">
        <is>
          <t>615</t>
        </is>
      </c>
      <c r="C470" s="1" t="inlineStr">
        <is>
          <t>2025</t>
        </is>
      </c>
      <c r="D470" s="1" t="inlineStr">
        <is>
          <t>2027BUD_V1</t>
        </is>
      </c>
      <c r="E470" s="1" t="inlineStr">
        <is>
          <t>12</t>
        </is>
      </c>
      <c r="F470" s="1" t="n">
        <v>18793</v>
      </c>
    </row>
    <row r="471">
      <c r="A471" s="1" t="inlineStr">
        <is>
          <t>PIGIER_BOR</t>
        </is>
      </c>
      <c r="B471" s="1" t="inlineStr">
        <is>
          <t>615</t>
        </is>
      </c>
      <c r="C471" s="1" t="inlineStr">
        <is>
          <t>2025</t>
        </is>
      </c>
      <c r="D471" s="1" t="inlineStr">
        <is>
          <t>2027BUD_V1</t>
        </is>
      </c>
      <c r="E471" s="1" t="inlineStr">
        <is>
          <t>12</t>
        </is>
      </c>
      <c r="F471" s="1" t="n">
        <v>17618</v>
      </c>
    </row>
    <row r="472">
      <c r="A472" s="1" t="inlineStr">
        <is>
          <t>TUNON_PAR</t>
        </is>
      </c>
      <c r="B472" s="1" t="inlineStr">
        <is>
          <t>615</t>
        </is>
      </c>
      <c r="C472" s="1" t="inlineStr">
        <is>
          <t>2025</t>
        </is>
      </c>
      <c r="D472" s="1" t="inlineStr">
        <is>
          <t>2027BUD_V1</t>
        </is>
      </c>
      <c r="E472" s="1" t="inlineStr">
        <is>
          <t>12</t>
        </is>
      </c>
      <c r="F472" s="1" t="n">
        <v>20387</v>
      </c>
    </row>
    <row r="473">
      <c r="A473" s="1" t="inlineStr">
        <is>
          <t>TUNON_LYO</t>
        </is>
      </c>
      <c r="B473" s="1" t="inlineStr">
        <is>
          <t>615</t>
        </is>
      </c>
      <c r="C473" s="1" t="inlineStr">
        <is>
          <t>2025</t>
        </is>
      </c>
      <c r="D473" s="1" t="inlineStr">
        <is>
          <t>2027BUD_V1</t>
        </is>
      </c>
      <c r="E473" s="1" t="inlineStr">
        <is>
          <t>12</t>
        </is>
      </c>
      <c r="F473" s="1" t="n">
        <v>14095</v>
      </c>
    </row>
    <row r="474">
      <c r="A474" s="1" t="inlineStr">
        <is>
          <t>MBWAY_PAR</t>
        </is>
      </c>
      <c r="B474" s="1" t="inlineStr">
        <is>
          <t>615</t>
        </is>
      </c>
      <c r="C474" s="1" t="inlineStr">
        <is>
          <t>2026</t>
        </is>
      </c>
      <c r="D474" s="1" t="inlineStr">
        <is>
          <t>2027BUD_V1</t>
        </is>
      </c>
      <c r="E474" s="1" t="inlineStr">
        <is>
          <t>12</t>
        </is>
      </c>
      <c r="F474" s="1" t="n">
        <v>53400</v>
      </c>
    </row>
    <row r="475">
      <c r="A475" s="1" t="inlineStr">
        <is>
          <t>MBWAY_LYO</t>
        </is>
      </c>
      <c r="B475" s="1" t="inlineStr">
        <is>
          <t>615</t>
        </is>
      </c>
      <c r="C475" s="1" t="inlineStr">
        <is>
          <t>2026</t>
        </is>
      </c>
      <c r="D475" s="1" t="inlineStr">
        <is>
          <t>2027BUD_V1</t>
        </is>
      </c>
      <c r="E475" s="1" t="inlineStr">
        <is>
          <t>12</t>
        </is>
      </c>
      <c r="F475" s="1" t="n">
        <v>31996</v>
      </c>
    </row>
    <row r="476">
      <c r="A476" s="1" t="inlineStr">
        <is>
          <t>MBWAY_NAN</t>
        </is>
      </c>
      <c r="B476" s="1" t="inlineStr">
        <is>
          <t>615</t>
        </is>
      </c>
      <c r="C476" s="1" t="inlineStr">
        <is>
          <t>2026</t>
        </is>
      </c>
      <c r="D476" s="1" t="inlineStr">
        <is>
          <t>2027BUD_V1</t>
        </is>
      </c>
      <c r="E476" s="1" t="inlineStr">
        <is>
          <t>12</t>
        </is>
      </c>
      <c r="F476" s="1" t="n">
        <v>26370</v>
      </c>
    </row>
    <row r="477">
      <c r="A477" s="1" t="inlineStr">
        <is>
          <t>MBWAY_BOR</t>
        </is>
      </c>
      <c r="B477" s="1" t="inlineStr">
        <is>
          <t>615</t>
        </is>
      </c>
      <c r="C477" s="1" t="inlineStr">
        <is>
          <t>2026</t>
        </is>
      </c>
      <c r="D477" s="1" t="inlineStr">
        <is>
          <t>2027BUD_V1</t>
        </is>
      </c>
      <c r="E477" s="1" t="inlineStr">
        <is>
          <t>12</t>
        </is>
      </c>
      <c r="F477" s="1" t="n">
        <v>23074</v>
      </c>
    </row>
    <row r="478">
      <c r="A478" s="1" t="inlineStr">
        <is>
          <t>ISCOM_PAR</t>
        </is>
      </c>
      <c r="B478" s="1" t="inlineStr">
        <is>
          <t>615</t>
        </is>
      </c>
      <c r="C478" s="1" t="inlineStr">
        <is>
          <t>2026</t>
        </is>
      </c>
      <c r="D478" s="1" t="inlineStr">
        <is>
          <t>2027BUD_V1</t>
        </is>
      </c>
      <c r="E478" s="1" t="inlineStr">
        <is>
          <t>12</t>
        </is>
      </c>
      <c r="F478" s="1" t="n">
        <v>53400</v>
      </c>
    </row>
    <row r="479">
      <c r="A479" s="1" t="inlineStr">
        <is>
          <t>ISCOM_LIL</t>
        </is>
      </c>
      <c r="B479" s="1" t="inlineStr">
        <is>
          <t>615</t>
        </is>
      </c>
      <c r="C479" s="1" t="inlineStr">
        <is>
          <t>2026</t>
        </is>
      </c>
      <c r="D479" s="1" t="inlineStr">
        <is>
          <t>2027BUD_V1</t>
        </is>
      </c>
      <c r="E479" s="1" t="inlineStr">
        <is>
          <t>12</t>
        </is>
      </c>
      <c r="F479" s="1" t="n">
        <v>20217</v>
      </c>
    </row>
    <row r="480">
      <c r="A480" s="1" t="inlineStr">
        <is>
          <t>ISCOM_TLS</t>
        </is>
      </c>
      <c r="B480" s="1" t="inlineStr">
        <is>
          <t>615</t>
        </is>
      </c>
      <c r="C480" s="1" t="inlineStr">
        <is>
          <t>2026</t>
        </is>
      </c>
      <c r="D480" s="1" t="inlineStr">
        <is>
          <t>2027BUD_V1</t>
        </is>
      </c>
      <c r="E480" s="1" t="inlineStr">
        <is>
          <t>12</t>
        </is>
      </c>
      <c r="F480" s="1" t="n">
        <v>19778</v>
      </c>
    </row>
    <row r="481">
      <c r="A481" s="1" t="inlineStr">
        <is>
          <t>IPAC_NAN</t>
        </is>
      </c>
      <c r="B481" s="1" t="inlineStr">
        <is>
          <t>615</t>
        </is>
      </c>
      <c r="C481" s="1" t="inlineStr">
        <is>
          <t>2026</t>
        </is>
      </c>
      <c r="D481" s="1" t="inlineStr">
        <is>
          <t>2027BUD_V1</t>
        </is>
      </c>
      <c r="E481" s="1" t="inlineStr">
        <is>
          <t>12</t>
        </is>
      </c>
      <c r="F481" s="1" t="n">
        <v>13185</v>
      </c>
    </row>
    <row r="482">
      <c r="A482" s="1" t="inlineStr">
        <is>
          <t>IPAC_REN</t>
        </is>
      </c>
      <c r="B482" s="1" t="inlineStr">
        <is>
          <t>615</t>
        </is>
      </c>
      <c r="C482" s="1" t="inlineStr">
        <is>
          <t>2026</t>
        </is>
      </c>
      <c r="D482" s="1" t="inlineStr">
        <is>
          <t>2027BUD_V1</t>
        </is>
      </c>
      <c r="E482" s="1" t="inlineStr">
        <is>
          <t>12</t>
        </is>
      </c>
      <c r="F482" s="1" t="n">
        <v>11603</v>
      </c>
    </row>
    <row r="483">
      <c r="A483" s="1" t="inlineStr">
        <is>
          <t>IPAC_MTP</t>
        </is>
      </c>
      <c r="B483" s="1" t="inlineStr">
        <is>
          <t>615</t>
        </is>
      </c>
      <c r="C483" s="1" t="inlineStr">
        <is>
          <t>2026</t>
        </is>
      </c>
      <c r="D483" s="1" t="inlineStr">
        <is>
          <t>2027BUD_V1</t>
        </is>
      </c>
      <c r="E483" s="1" t="inlineStr">
        <is>
          <t>12</t>
        </is>
      </c>
      <c r="F483" s="1" t="n">
        <v>11603</v>
      </c>
    </row>
    <row r="484">
      <c r="A484" s="1" t="inlineStr">
        <is>
          <t>PIGIER_LYO</t>
        </is>
      </c>
      <c r="B484" s="1" t="inlineStr">
        <is>
          <t>615</t>
        </is>
      </c>
      <c r="C484" s="1" t="inlineStr">
        <is>
          <t>2026</t>
        </is>
      </c>
      <c r="D484" s="1" t="inlineStr">
        <is>
          <t>2027BUD_V1</t>
        </is>
      </c>
      <c r="E484" s="1" t="inlineStr">
        <is>
          <t>12</t>
        </is>
      </c>
      <c r="F484" s="1" t="n">
        <v>19690</v>
      </c>
    </row>
    <row r="485">
      <c r="A485" s="1" t="inlineStr">
        <is>
          <t>PIGIER_BOR</t>
        </is>
      </c>
      <c r="B485" s="1" t="inlineStr">
        <is>
          <t>615</t>
        </is>
      </c>
      <c r="C485" s="1" t="inlineStr">
        <is>
          <t>2026</t>
        </is>
      </c>
      <c r="D485" s="1" t="inlineStr">
        <is>
          <t>2027BUD_V1</t>
        </is>
      </c>
      <c r="E485" s="1" t="inlineStr">
        <is>
          <t>12</t>
        </is>
      </c>
      <c r="F485" s="1" t="n">
        <v>18459</v>
      </c>
    </row>
    <row r="486">
      <c r="A486" s="1" t="inlineStr">
        <is>
          <t>TUNON_PAR</t>
        </is>
      </c>
      <c r="B486" s="1" t="inlineStr">
        <is>
          <t>615</t>
        </is>
      </c>
      <c r="C486" s="1" t="inlineStr">
        <is>
          <t>2026</t>
        </is>
      </c>
      <c r="D486" s="1" t="inlineStr">
        <is>
          <t>2027BUD_V1</t>
        </is>
      </c>
      <c r="E486" s="1" t="inlineStr">
        <is>
          <t>12</t>
        </is>
      </c>
      <c r="F486" s="1" t="n">
        <v>21360</v>
      </c>
    </row>
    <row r="487">
      <c r="A487" s="1" t="inlineStr">
        <is>
          <t>TUNON_LYO</t>
        </is>
      </c>
      <c r="B487" s="1" t="inlineStr">
        <is>
          <t>615</t>
        </is>
      </c>
      <c r="C487" s="1" t="inlineStr">
        <is>
          <t>2026</t>
        </is>
      </c>
      <c r="D487" s="1" t="inlineStr">
        <is>
          <t>2027BUD_V1</t>
        </is>
      </c>
      <c r="E487" s="1" t="inlineStr">
        <is>
          <t>12</t>
        </is>
      </c>
      <c r="F487" s="1" t="n">
        <v>14767</v>
      </c>
    </row>
    <row r="488">
      <c r="A488" s="1" t="inlineStr">
        <is>
          <t>MBWAY_PAR</t>
        </is>
      </c>
      <c r="B488" s="1" t="inlineStr">
        <is>
          <t>616</t>
        </is>
      </c>
      <c r="C488" s="1" t="inlineStr">
        <is>
          <t>2024</t>
        </is>
      </c>
      <c r="D488" s="1" t="inlineStr">
        <is>
          <t>2027BUD_V1</t>
        </is>
      </c>
      <c r="E488" s="1" t="inlineStr">
        <is>
          <t>12</t>
        </is>
      </c>
      <c r="F488" s="1" t="n">
        <v>35430</v>
      </c>
    </row>
    <row r="489">
      <c r="A489" s="1" t="inlineStr">
        <is>
          <t>MBWAY_LYO</t>
        </is>
      </c>
      <c r="B489" s="1" t="inlineStr">
        <is>
          <t>616</t>
        </is>
      </c>
      <c r="C489" s="1" t="inlineStr">
        <is>
          <t>2024</t>
        </is>
      </c>
      <c r="D489" s="1" t="inlineStr">
        <is>
          <t>2027BUD_V1</t>
        </is>
      </c>
      <c r="E489" s="1" t="inlineStr">
        <is>
          <t>12</t>
        </is>
      </c>
      <c r="F489" s="1" t="n">
        <v>20776</v>
      </c>
    </row>
    <row r="490">
      <c r="A490" s="1" t="inlineStr">
        <is>
          <t>MBWAY_NAN</t>
        </is>
      </c>
      <c r="B490" s="1" t="inlineStr">
        <is>
          <t>616</t>
        </is>
      </c>
      <c r="C490" s="1" t="inlineStr">
        <is>
          <t>2024</t>
        </is>
      </c>
      <c r="D490" s="1" t="inlineStr">
        <is>
          <t>2027BUD_V1</t>
        </is>
      </c>
      <c r="E490" s="1" t="inlineStr">
        <is>
          <t>12</t>
        </is>
      </c>
      <c r="F490" s="1" t="n">
        <v>16832</v>
      </c>
    </row>
    <row r="491">
      <c r="A491" s="1" t="inlineStr">
        <is>
          <t>MBWAY_BOR</t>
        </is>
      </c>
      <c r="B491" s="1" t="inlineStr">
        <is>
          <t>616</t>
        </is>
      </c>
      <c r="C491" s="1" t="inlineStr">
        <is>
          <t>2024</t>
        </is>
      </c>
      <c r="D491" s="1" t="inlineStr">
        <is>
          <t>2027BUD_V1</t>
        </is>
      </c>
      <c r="E491" s="1" t="inlineStr">
        <is>
          <t>12</t>
        </is>
      </c>
      <c r="F491" s="1" t="n">
        <v>14969</v>
      </c>
    </row>
    <row r="492">
      <c r="A492" s="1" t="inlineStr">
        <is>
          <t>ISCOM_PAR</t>
        </is>
      </c>
      <c r="B492" s="1" t="inlineStr">
        <is>
          <t>616</t>
        </is>
      </c>
      <c r="C492" s="1" t="inlineStr">
        <is>
          <t>2024</t>
        </is>
      </c>
      <c r="D492" s="1" t="inlineStr">
        <is>
          <t>2027BUD_V1</t>
        </is>
      </c>
      <c r="E492" s="1" t="inlineStr">
        <is>
          <t>12</t>
        </is>
      </c>
      <c r="F492" s="1" t="n">
        <v>32833</v>
      </c>
    </row>
    <row r="493">
      <c r="A493" s="1" t="inlineStr">
        <is>
          <t>ISCOM_LIL</t>
        </is>
      </c>
      <c r="B493" s="1" t="inlineStr">
        <is>
          <t>616</t>
        </is>
      </c>
      <c r="C493" s="1" t="inlineStr">
        <is>
          <t>2024</t>
        </is>
      </c>
      <c r="D493" s="1" t="inlineStr">
        <is>
          <t>2027BUD_V1</t>
        </is>
      </c>
      <c r="E493" s="1" t="inlineStr">
        <is>
          <t>12</t>
        </is>
      </c>
      <c r="F493" s="1" t="n">
        <v>12852</v>
      </c>
    </row>
    <row r="494">
      <c r="A494" s="1" t="inlineStr">
        <is>
          <t>ISCOM_TLS</t>
        </is>
      </c>
      <c r="B494" s="1" t="inlineStr">
        <is>
          <t>616</t>
        </is>
      </c>
      <c r="C494" s="1" t="inlineStr">
        <is>
          <t>2024</t>
        </is>
      </c>
      <c r="D494" s="1" t="inlineStr">
        <is>
          <t>2027BUD_V1</t>
        </is>
      </c>
      <c r="E494" s="1" t="inlineStr">
        <is>
          <t>12</t>
        </is>
      </c>
      <c r="F494" s="1" t="n">
        <v>11903</v>
      </c>
    </row>
    <row r="495">
      <c r="A495" s="1" t="inlineStr">
        <is>
          <t>IPAC_NAN</t>
        </is>
      </c>
      <c r="B495" s="1" t="inlineStr">
        <is>
          <t>616</t>
        </is>
      </c>
      <c r="C495" s="1" t="inlineStr">
        <is>
          <t>2024</t>
        </is>
      </c>
      <c r="D495" s="1" t="inlineStr">
        <is>
          <t>2027BUD_V1</t>
        </is>
      </c>
      <c r="E495" s="1" t="inlineStr">
        <is>
          <t>12</t>
        </is>
      </c>
      <c r="F495" s="1" t="n">
        <v>8302</v>
      </c>
    </row>
    <row r="496">
      <c r="A496" s="1" t="inlineStr">
        <is>
          <t>IPAC_REN</t>
        </is>
      </c>
      <c r="B496" s="1" t="inlineStr">
        <is>
          <t>616</t>
        </is>
      </c>
      <c r="C496" s="1" t="inlineStr">
        <is>
          <t>2024</t>
        </is>
      </c>
      <c r="D496" s="1" t="inlineStr">
        <is>
          <t>2027BUD_V1</t>
        </is>
      </c>
      <c r="E496" s="1" t="inlineStr">
        <is>
          <t>12</t>
        </is>
      </c>
      <c r="F496" s="1" t="n">
        <v>5895</v>
      </c>
    </row>
    <row r="497">
      <c r="A497" s="1" t="inlineStr">
        <is>
          <t>IPAC_MTP</t>
        </is>
      </c>
      <c r="B497" s="1" t="inlineStr">
        <is>
          <t>616</t>
        </is>
      </c>
      <c r="C497" s="1" t="inlineStr">
        <is>
          <t>2024</t>
        </is>
      </c>
      <c r="D497" s="1" t="inlineStr">
        <is>
          <t>2027BUD_V1</t>
        </is>
      </c>
      <c r="E497" s="1" t="inlineStr">
        <is>
          <t>12</t>
        </is>
      </c>
      <c r="F497" s="1" t="n">
        <v>5895</v>
      </c>
    </row>
    <row r="498">
      <c r="A498" s="1" t="inlineStr">
        <is>
          <t>PIGIER_LYO</t>
        </is>
      </c>
      <c r="B498" s="1" t="inlineStr">
        <is>
          <t>616</t>
        </is>
      </c>
      <c r="C498" s="1" t="inlineStr">
        <is>
          <t>2024</t>
        </is>
      </c>
      <c r="D498" s="1" t="inlineStr">
        <is>
          <t>2027BUD_V1</t>
        </is>
      </c>
      <c r="E498" s="1" t="inlineStr">
        <is>
          <t>12</t>
        </is>
      </c>
      <c r="F498" s="1" t="n">
        <v>11670</v>
      </c>
    </row>
    <row r="499">
      <c r="A499" s="1" t="inlineStr">
        <is>
          <t>PIGIER_BOR</t>
        </is>
      </c>
      <c r="B499" s="1" t="inlineStr">
        <is>
          <t>616</t>
        </is>
      </c>
      <c r="C499" s="1" t="inlineStr">
        <is>
          <t>2024</t>
        </is>
      </c>
      <c r="D499" s="1" t="inlineStr">
        <is>
          <t>2027BUD_V1</t>
        </is>
      </c>
      <c r="E499" s="1" t="inlineStr">
        <is>
          <t>12</t>
        </is>
      </c>
      <c r="F499" s="1" t="n">
        <v>8536</v>
      </c>
    </row>
    <row r="500">
      <c r="A500" s="1" t="inlineStr">
        <is>
          <t>TUNON_PAR</t>
        </is>
      </c>
      <c r="B500" s="1" t="inlineStr">
        <is>
          <t>616</t>
        </is>
      </c>
      <c r="C500" s="1" t="inlineStr">
        <is>
          <t>2024</t>
        </is>
      </c>
      <c r="D500" s="1" t="inlineStr">
        <is>
          <t>2027BUD_V1</t>
        </is>
      </c>
      <c r="E500" s="1" t="inlineStr">
        <is>
          <t>12</t>
        </is>
      </c>
      <c r="F500" s="1" t="n">
        <v>12799</v>
      </c>
    </row>
    <row r="501">
      <c r="A501" s="1" t="inlineStr">
        <is>
          <t>TUNON_LYO</t>
        </is>
      </c>
      <c r="B501" s="1" t="inlineStr">
        <is>
          <t>616</t>
        </is>
      </c>
      <c r="C501" s="1" t="inlineStr">
        <is>
          <t>2024</t>
        </is>
      </c>
      <c r="D501" s="1" t="inlineStr">
        <is>
          <t>2027BUD_V1</t>
        </is>
      </c>
      <c r="E501" s="1" t="inlineStr">
        <is>
          <t>12</t>
        </is>
      </c>
      <c r="F501" s="1" t="n">
        <v>7502</v>
      </c>
    </row>
    <row r="502">
      <c r="A502" s="1" t="inlineStr">
        <is>
          <t>MBWAY_PAR</t>
        </is>
      </c>
      <c r="B502" s="1" t="inlineStr">
        <is>
          <t>616</t>
        </is>
      </c>
      <c r="C502" s="1" t="inlineStr">
        <is>
          <t>2025</t>
        </is>
      </c>
      <c r="D502" s="1" t="inlineStr">
        <is>
          <t>2027BUD_V1</t>
        </is>
      </c>
      <c r="E502" s="1" t="inlineStr">
        <is>
          <t>12</t>
        </is>
      </c>
      <c r="F502" s="1" t="n">
        <v>37054</v>
      </c>
    </row>
    <row r="503">
      <c r="A503" s="1" t="inlineStr">
        <is>
          <t>MBWAY_LYO</t>
        </is>
      </c>
      <c r="B503" s="1" t="inlineStr">
        <is>
          <t>616</t>
        </is>
      </c>
      <c r="C503" s="1" t="inlineStr">
        <is>
          <t>2025</t>
        </is>
      </c>
      <c r="D503" s="1" t="inlineStr">
        <is>
          <t>2027BUD_V1</t>
        </is>
      </c>
      <c r="E503" s="1" t="inlineStr">
        <is>
          <t>12</t>
        </is>
      </c>
      <c r="F503" s="1" t="n">
        <v>21728</v>
      </c>
    </row>
    <row r="504">
      <c r="A504" s="1" t="inlineStr">
        <is>
          <t>MBWAY_NAN</t>
        </is>
      </c>
      <c r="B504" s="1" t="inlineStr">
        <is>
          <t>616</t>
        </is>
      </c>
      <c r="C504" s="1" t="inlineStr">
        <is>
          <t>2025</t>
        </is>
      </c>
      <c r="D504" s="1" t="inlineStr">
        <is>
          <t>2027BUD_V1</t>
        </is>
      </c>
      <c r="E504" s="1" t="inlineStr">
        <is>
          <t>12</t>
        </is>
      </c>
      <c r="F504" s="1" t="n">
        <v>17604</v>
      </c>
    </row>
    <row r="505">
      <c r="A505" s="1" t="inlineStr">
        <is>
          <t>MBWAY_BOR</t>
        </is>
      </c>
      <c r="B505" s="1" t="inlineStr">
        <is>
          <t>616</t>
        </is>
      </c>
      <c r="C505" s="1" t="inlineStr">
        <is>
          <t>2025</t>
        </is>
      </c>
      <c r="D505" s="1" t="inlineStr">
        <is>
          <t>2027BUD_V1</t>
        </is>
      </c>
      <c r="E505" s="1" t="inlineStr">
        <is>
          <t>12</t>
        </is>
      </c>
      <c r="F505" s="1" t="n">
        <v>15655</v>
      </c>
    </row>
    <row r="506">
      <c r="A506" s="1" t="inlineStr">
        <is>
          <t>ISCOM_PAR</t>
        </is>
      </c>
      <c r="B506" s="1" t="inlineStr">
        <is>
          <t>616</t>
        </is>
      </c>
      <c r="C506" s="1" t="inlineStr">
        <is>
          <t>2025</t>
        </is>
      </c>
      <c r="D506" s="1" t="inlineStr">
        <is>
          <t>2027BUD_V1</t>
        </is>
      </c>
      <c r="E506" s="1" t="inlineStr">
        <is>
          <t>12</t>
        </is>
      </c>
      <c r="F506" s="1" t="n">
        <v>34338</v>
      </c>
    </row>
    <row r="507">
      <c r="A507" s="1" t="inlineStr">
        <is>
          <t>ISCOM_LIL</t>
        </is>
      </c>
      <c r="B507" s="1" t="inlineStr">
        <is>
          <t>616</t>
        </is>
      </c>
      <c r="C507" s="1" t="inlineStr">
        <is>
          <t>2025</t>
        </is>
      </c>
      <c r="D507" s="1" t="inlineStr">
        <is>
          <t>2027BUD_V1</t>
        </is>
      </c>
      <c r="E507" s="1" t="inlineStr">
        <is>
          <t>12</t>
        </is>
      </c>
      <c r="F507" s="1" t="n">
        <v>13441</v>
      </c>
    </row>
    <row r="508">
      <c r="A508" s="1" t="inlineStr">
        <is>
          <t>ISCOM_TLS</t>
        </is>
      </c>
      <c r="B508" s="1" t="inlineStr">
        <is>
          <t>616</t>
        </is>
      </c>
      <c r="C508" s="1" t="inlineStr">
        <is>
          <t>2025</t>
        </is>
      </c>
      <c r="D508" s="1" t="inlineStr">
        <is>
          <t>2027BUD_V1</t>
        </is>
      </c>
      <c r="E508" s="1" t="inlineStr">
        <is>
          <t>12</t>
        </is>
      </c>
      <c r="F508" s="1" t="n">
        <v>12448</v>
      </c>
    </row>
    <row r="509">
      <c r="A509" s="1" t="inlineStr">
        <is>
          <t>IPAC_NAN</t>
        </is>
      </c>
      <c r="B509" s="1" t="inlineStr">
        <is>
          <t>616</t>
        </is>
      </c>
      <c r="C509" s="1" t="inlineStr">
        <is>
          <t>2025</t>
        </is>
      </c>
      <c r="D509" s="1" t="inlineStr">
        <is>
          <t>2027BUD_V1</t>
        </is>
      </c>
      <c r="E509" s="1" t="inlineStr">
        <is>
          <t>12</t>
        </is>
      </c>
      <c r="F509" s="1" t="n">
        <v>8682</v>
      </c>
    </row>
    <row r="510">
      <c r="A510" s="1" t="inlineStr">
        <is>
          <t>IPAC_REN</t>
        </is>
      </c>
      <c r="B510" s="1" t="inlineStr">
        <is>
          <t>616</t>
        </is>
      </c>
      <c r="C510" s="1" t="inlineStr">
        <is>
          <t>2025</t>
        </is>
      </c>
      <c r="D510" s="1" t="inlineStr">
        <is>
          <t>2027BUD_V1</t>
        </is>
      </c>
      <c r="E510" s="1" t="inlineStr">
        <is>
          <t>12</t>
        </is>
      </c>
      <c r="F510" s="1" t="n">
        <v>6165</v>
      </c>
    </row>
    <row r="511">
      <c r="A511" s="1" t="inlineStr">
        <is>
          <t>IPAC_MTP</t>
        </is>
      </c>
      <c r="B511" s="1" t="inlineStr">
        <is>
          <t>616</t>
        </is>
      </c>
      <c r="C511" s="1" t="inlineStr">
        <is>
          <t>2025</t>
        </is>
      </c>
      <c r="D511" s="1" t="inlineStr">
        <is>
          <t>2027BUD_V1</t>
        </is>
      </c>
      <c r="E511" s="1" t="inlineStr">
        <is>
          <t>12</t>
        </is>
      </c>
      <c r="F511" s="1" t="n">
        <v>6165</v>
      </c>
    </row>
    <row r="512">
      <c r="A512" s="1" t="inlineStr">
        <is>
          <t>PIGIER_LYO</t>
        </is>
      </c>
      <c r="B512" s="1" t="inlineStr">
        <is>
          <t>616</t>
        </is>
      </c>
      <c r="C512" s="1" t="inlineStr">
        <is>
          <t>2025</t>
        </is>
      </c>
      <c r="D512" s="1" t="inlineStr">
        <is>
          <t>2027BUD_V1</t>
        </is>
      </c>
      <c r="E512" s="1" t="inlineStr">
        <is>
          <t>12</t>
        </is>
      </c>
      <c r="F512" s="1" t="n">
        <v>12205</v>
      </c>
    </row>
    <row r="513">
      <c r="A513" s="1" t="inlineStr">
        <is>
          <t>PIGIER_BOR</t>
        </is>
      </c>
      <c r="B513" s="1" t="inlineStr">
        <is>
          <t>616</t>
        </is>
      </c>
      <c r="C513" s="1" t="inlineStr">
        <is>
          <t>2025</t>
        </is>
      </c>
      <c r="D513" s="1" t="inlineStr">
        <is>
          <t>2027BUD_V1</t>
        </is>
      </c>
      <c r="E513" s="1" t="inlineStr">
        <is>
          <t>12</t>
        </is>
      </c>
      <c r="F513" s="1" t="n">
        <v>8928</v>
      </c>
    </row>
    <row r="514">
      <c r="A514" s="1" t="inlineStr">
        <is>
          <t>TUNON_PAR</t>
        </is>
      </c>
      <c r="B514" s="1" t="inlineStr">
        <is>
          <t>616</t>
        </is>
      </c>
      <c r="C514" s="1" t="inlineStr">
        <is>
          <t>2025</t>
        </is>
      </c>
      <c r="D514" s="1" t="inlineStr">
        <is>
          <t>2027BUD_V1</t>
        </is>
      </c>
      <c r="E514" s="1" t="inlineStr">
        <is>
          <t>12</t>
        </is>
      </c>
      <c r="F514" s="1" t="n">
        <v>13386</v>
      </c>
    </row>
    <row r="515">
      <c r="A515" s="1" t="inlineStr">
        <is>
          <t>TUNON_LYO</t>
        </is>
      </c>
      <c r="B515" s="1" t="inlineStr">
        <is>
          <t>616</t>
        </is>
      </c>
      <c r="C515" s="1" t="inlineStr">
        <is>
          <t>2025</t>
        </is>
      </c>
      <c r="D515" s="1" t="inlineStr">
        <is>
          <t>2027BUD_V1</t>
        </is>
      </c>
      <c r="E515" s="1" t="inlineStr">
        <is>
          <t>12</t>
        </is>
      </c>
      <c r="F515" s="1" t="n">
        <v>7846</v>
      </c>
    </row>
    <row r="516">
      <c r="A516" s="1" t="inlineStr">
        <is>
          <t>MBWAY_PAR</t>
        </is>
      </c>
      <c r="B516" s="1" t="inlineStr">
        <is>
          <t>616</t>
        </is>
      </c>
      <c r="C516" s="1" t="inlineStr">
        <is>
          <t>2026</t>
        </is>
      </c>
      <c r="D516" s="1" t="inlineStr">
        <is>
          <t>2027BUD_V1</t>
        </is>
      </c>
      <c r="E516" s="1" t="inlineStr">
        <is>
          <t>12</t>
        </is>
      </c>
      <c r="F516" s="1" t="n">
        <v>38822</v>
      </c>
    </row>
    <row r="517">
      <c r="A517" s="1" t="inlineStr">
        <is>
          <t>MBWAY_LYO</t>
        </is>
      </c>
      <c r="B517" s="1" t="inlineStr">
        <is>
          <t>616</t>
        </is>
      </c>
      <c r="C517" s="1" t="inlineStr">
        <is>
          <t>2026</t>
        </is>
      </c>
      <c r="D517" s="1" t="inlineStr">
        <is>
          <t>2027BUD_V1</t>
        </is>
      </c>
      <c r="E517" s="1" t="inlineStr">
        <is>
          <t>12</t>
        </is>
      </c>
      <c r="F517" s="1" t="n">
        <v>22765</v>
      </c>
    </row>
    <row r="518">
      <c r="A518" s="1" t="inlineStr">
        <is>
          <t>MBWAY_NAN</t>
        </is>
      </c>
      <c r="B518" s="1" t="inlineStr">
        <is>
          <t>616</t>
        </is>
      </c>
      <c r="C518" s="1" t="inlineStr">
        <is>
          <t>2026</t>
        </is>
      </c>
      <c r="D518" s="1" t="inlineStr">
        <is>
          <t>2027BUD_V1</t>
        </is>
      </c>
      <c r="E518" s="1" t="inlineStr">
        <is>
          <t>12</t>
        </is>
      </c>
      <c r="F518" s="1" t="n">
        <v>18444</v>
      </c>
    </row>
    <row r="519">
      <c r="A519" s="1" t="inlineStr">
        <is>
          <t>MBWAY_BOR</t>
        </is>
      </c>
      <c r="B519" s="1" t="inlineStr">
        <is>
          <t>616</t>
        </is>
      </c>
      <c r="C519" s="1" t="inlineStr">
        <is>
          <t>2026</t>
        </is>
      </c>
      <c r="D519" s="1" t="inlineStr">
        <is>
          <t>2027BUD_V1</t>
        </is>
      </c>
      <c r="E519" s="1" t="inlineStr">
        <is>
          <t>12</t>
        </is>
      </c>
      <c r="F519" s="1" t="n">
        <v>16402</v>
      </c>
    </row>
    <row r="520">
      <c r="A520" s="1" t="inlineStr">
        <is>
          <t>ISCOM_PAR</t>
        </is>
      </c>
      <c r="B520" s="1" t="inlineStr">
        <is>
          <t>616</t>
        </is>
      </c>
      <c r="C520" s="1" t="inlineStr">
        <is>
          <t>2026</t>
        </is>
      </c>
      <c r="D520" s="1" t="inlineStr">
        <is>
          <t>2027BUD_V1</t>
        </is>
      </c>
      <c r="E520" s="1" t="inlineStr">
        <is>
          <t>12</t>
        </is>
      </c>
      <c r="F520" s="1" t="n">
        <v>35977</v>
      </c>
    </row>
    <row r="521">
      <c r="A521" s="1" t="inlineStr">
        <is>
          <t>ISCOM_LIL</t>
        </is>
      </c>
      <c r="B521" s="1" t="inlineStr">
        <is>
          <t>616</t>
        </is>
      </c>
      <c r="C521" s="1" t="inlineStr">
        <is>
          <t>2026</t>
        </is>
      </c>
      <c r="D521" s="1" t="inlineStr">
        <is>
          <t>2027BUD_V1</t>
        </is>
      </c>
      <c r="E521" s="1" t="inlineStr">
        <is>
          <t>12</t>
        </is>
      </c>
      <c r="F521" s="1" t="n">
        <v>14083</v>
      </c>
    </row>
    <row r="522">
      <c r="A522" s="1" t="inlineStr">
        <is>
          <t>ISCOM_TLS</t>
        </is>
      </c>
      <c r="B522" s="1" t="inlineStr">
        <is>
          <t>616</t>
        </is>
      </c>
      <c r="C522" s="1" t="inlineStr">
        <is>
          <t>2026</t>
        </is>
      </c>
      <c r="D522" s="1" t="inlineStr">
        <is>
          <t>2027BUD_V1</t>
        </is>
      </c>
      <c r="E522" s="1" t="inlineStr">
        <is>
          <t>12</t>
        </is>
      </c>
      <c r="F522" s="1" t="n">
        <v>13042</v>
      </c>
    </row>
    <row r="523">
      <c r="A523" s="1" t="inlineStr">
        <is>
          <t>IPAC_NAN</t>
        </is>
      </c>
      <c r="B523" s="1" t="inlineStr">
        <is>
          <t>616</t>
        </is>
      </c>
      <c r="C523" s="1" t="inlineStr">
        <is>
          <t>2026</t>
        </is>
      </c>
      <c r="D523" s="1" t="inlineStr">
        <is>
          <t>2027BUD_V1</t>
        </is>
      </c>
      <c r="E523" s="1" t="inlineStr">
        <is>
          <t>12</t>
        </is>
      </c>
      <c r="F523" s="1" t="n">
        <v>9096</v>
      </c>
    </row>
    <row r="524">
      <c r="A524" s="1" t="inlineStr">
        <is>
          <t>IPAC_REN</t>
        </is>
      </c>
      <c r="B524" s="1" t="inlineStr">
        <is>
          <t>616</t>
        </is>
      </c>
      <c r="C524" s="1" t="inlineStr">
        <is>
          <t>2026</t>
        </is>
      </c>
      <c r="D524" s="1" t="inlineStr">
        <is>
          <t>2027BUD_V1</t>
        </is>
      </c>
      <c r="E524" s="1" t="inlineStr">
        <is>
          <t>12</t>
        </is>
      </c>
      <c r="F524" s="1" t="n">
        <v>6459</v>
      </c>
    </row>
    <row r="525">
      <c r="A525" s="1" t="inlineStr">
        <is>
          <t>IPAC_MTP</t>
        </is>
      </c>
      <c r="B525" s="1" t="inlineStr">
        <is>
          <t>616</t>
        </is>
      </c>
      <c r="C525" s="1" t="inlineStr">
        <is>
          <t>2026</t>
        </is>
      </c>
      <c r="D525" s="1" t="inlineStr">
        <is>
          <t>2027BUD_V1</t>
        </is>
      </c>
      <c r="E525" s="1" t="inlineStr">
        <is>
          <t>12</t>
        </is>
      </c>
      <c r="F525" s="1" t="n">
        <v>6459</v>
      </c>
    </row>
    <row r="526">
      <c r="A526" s="1" t="inlineStr">
        <is>
          <t>PIGIER_LYO</t>
        </is>
      </c>
      <c r="B526" s="1" t="inlineStr">
        <is>
          <t>616</t>
        </is>
      </c>
      <c r="C526" s="1" t="inlineStr">
        <is>
          <t>2026</t>
        </is>
      </c>
      <c r="D526" s="1" t="inlineStr">
        <is>
          <t>2027BUD_V1</t>
        </is>
      </c>
      <c r="E526" s="1" t="inlineStr">
        <is>
          <t>12</t>
        </is>
      </c>
      <c r="F526" s="1" t="n">
        <v>12788</v>
      </c>
    </row>
    <row r="527">
      <c r="A527" s="1" t="inlineStr">
        <is>
          <t>PIGIER_BOR</t>
        </is>
      </c>
      <c r="B527" s="1" t="inlineStr">
        <is>
          <t>616</t>
        </is>
      </c>
      <c r="C527" s="1" t="inlineStr">
        <is>
          <t>2026</t>
        </is>
      </c>
      <c r="D527" s="1" t="inlineStr">
        <is>
          <t>2027BUD_V1</t>
        </is>
      </c>
      <c r="E527" s="1" t="inlineStr">
        <is>
          <t>12</t>
        </is>
      </c>
      <c r="F527" s="1" t="n">
        <v>9354</v>
      </c>
    </row>
    <row r="528">
      <c r="A528" s="1" t="inlineStr">
        <is>
          <t>TUNON_PAR</t>
        </is>
      </c>
      <c r="B528" s="1" t="inlineStr">
        <is>
          <t>616</t>
        </is>
      </c>
      <c r="C528" s="1" t="inlineStr">
        <is>
          <t>2026</t>
        </is>
      </c>
      <c r="D528" s="1" t="inlineStr">
        <is>
          <t>2027BUD_V1</t>
        </is>
      </c>
      <c r="E528" s="1" t="inlineStr">
        <is>
          <t>12</t>
        </is>
      </c>
      <c r="F528" s="1" t="n">
        <v>14025</v>
      </c>
    </row>
    <row r="529">
      <c r="A529" s="1" t="inlineStr">
        <is>
          <t>TUNON_LYO</t>
        </is>
      </c>
      <c r="B529" s="1" t="inlineStr">
        <is>
          <t>616</t>
        </is>
      </c>
      <c r="C529" s="1" t="inlineStr">
        <is>
          <t>2026</t>
        </is>
      </c>
      <c r="D529" s="1" t="inlineStr">
        <is>
          <t>2027BUD_V1</t>
        </is>
      </c>
      <c r="E529" s="1" t="inlineStr">
        <is>
          <t>12</t>
        </is>
      </c>
      <c r="F529" s="1" t="n">
        <v>8221</v>
      </c>
    </row>
    <row r="530">
      <c r="A530" s="1" t="inlineStr">
        <is>
          <t>GRP</t>
        </is>
      </c>
      <c r="B530" s="1" t="inlineStr">
        <is>
          <t>6226</t>
        </is>
      </c>
      <c r="C530" s="1" t="inlineStr">
        <is>
          <t>2024</t>
        </is>
      </c>
      <c r="D530" s="1" t="inlineStr">
        <is>
          <t>2027BUD_V1</t>
        </is>
      </c>
      <c r="E530" s="1" t="inlineStr">
        <is>
          <t>12</t>
        </is>
      </c>
      <c r="F530" s="1" t="n">
        <v>515487</v>
      </c>
    </row>
    <row r="531">
      <c r="A531" s="1" t="inlineStr">
        <is>
          <t>GRP</t>
        </is>
      </c>
      <c r="B531" s="1" t="inlineStr">
        <is>
          <t>6226</t>
        </is>
      </c>
      <c r="C531" s="1" t="inlineStr">
        <is>
          <t>2025</t>
        </is>
      </c>
      <c r="D531" s="1" t="inlineStr">
        <is>
          <t>2027BUD_V1</t>
        </is>
      </c>
      <c r="E531" s="1" t="inlineStr">
        <is>
          <t>12</t>
        </is>
      </c>
      <c r="F531" s="1" t="n">
        <v>539108</v>
      </c>
    </row>
    <row r="532">
      <c r="A532" s="1" t="inlineStr">
        <is>
          <t>GRP</t>
        </is>
      </c>
      <c r="B532" s="1" t="inlineStr">
        <is>
          <t>6226</t>
        </is>
      </c>
      <c r="C532" s="1" t="inlineStr">
        <is>
          <t>2026</t>
        </is>
      </c>
      <c r="D532" s="1" t="inlineStr">
        <is>
          <t>2027BUD_V1</t>
        </is>
      </c>
      <c r="E532" s="1" t="inlineStr">
        <is>
          <t>12</t>
        </is>
      </c>
      <c r="F532" s="1" t="n">
        <v>564841</v>
      </c>
    </row>
    <row r="533">
      <c r="A533" s="1" t="inlineStr">
        <is>
          <t>GRP</t>
        </is>
      </c>
      <c r="B533" s="1" t="inlineStr">
        <is>
          <t>6236</t>
        </is>
      </c>
      <c r="C533" s="1" t="inlineStr">
        <is>
          <t>2024</t>
        </is>
      </c>
      <c r="D533" s="1" t="inlineStr">
        <is>
          <t>2027BUD_V1</t>
        </is>
      </c>
      <c r="E533" s="1" t="inlineStr">
        <is>
          <t>12</t>
        </is>
      </c>
      <c r="F533" s="1" t="n">
        <v>499926</v>
      </c>
    </row>
    <row r="534">
      <c r="A534" s="1" t="inlineStr">
        <is>
          <t>GRP</t>
        </is>
      </c>
      <c r="B534" s="1" t="inlineStr">
        <is>
          <t>6236</t>
        </is>
      </c>
      <c r="C534" s="1" t="inlineStr">
        <is>
          <t>2025</t>
        </is>
      </c>
      <c r="D534" s="1" t="inlineStr">
        <is>
          <t>2027BUD_V1</t>
        </is>
      </c>
      <c r="E534" s="1" t="inlineStr">
        <is>
          <t>12</t>
        </is>
      </c>
      <c r="F534" s="1" t="n">
        <v>580167</v>
      </c>
    </row>
    <row r="535">
      <c r="A535" s="1" t="inlineStr">
        <is>
          <t>GRP</t>
        </is>
      </c>
      <c r="B535" s="1" t="inlineStr">
        <is>
          <t>6236</t>
        </is>
      </c>
      <c r="C535" s="1" t="inlineStr">
        <is>
          <t>2026</t>
        </is>
      </c>
      <c r="D535" s="1" t="inlineStr">
        <is>
          <t>2027BUD_V1</t>
        </is>
      </c>
      <c r="E535" s="1" t="inlineStr">
        <is>
          <t>12</t>
        </is>
      </c>
      <c r="F535" s="1" t="n">
        <v>676344</v>
      </c>
    </row>
    <row r="536">
      <c r="A536" s="1" t="inlineStr">
        <is>
          <t>MBWAY_PAR</t>
        </is>
      </c>
      <c r="B536" s="1" t="inlineStr">
        <is>
          <t>625</t>
        </is>
      </c>
      <c r="C536" s="1" t="inlineStr">
        <is>
          <t>2024</t>
        </is>
      </c>
      <c r="D536" s="1" t="inlineStr">
        <is>
          <t>2027BUD_V1</t>
        </is>
      </c>
      <c r="E536" s="1" t="inlineStr">
        <is>
          <t>12</t>
        </is>
      </c>
      <c r="F536" s="1" t="n">
        <v>53145</v>
      </c>
    </row>
    <row r="537">
      <c r="A537" s="1" t="inlineStr">
        <is>
          <t>MBWAY_LYO</t>
        </is>
      </c>
      <c r="B537" s="1" t="inlineStr">
        <is>
          <t>625</t>
        </is>
      </c>
      <c r="C537" s="1" t="inlineStr">
        <is>
          <t>2024</t>
        </is>
      </c>
      <c r="D537" s="1" t="inlineStr">
        <is>
          <t>2027BUD_V1</t>
        </is>
      </c>
      <c r="E537" s="1" t="inlineStr">
        <is>
          <t>12</t>
        </is>
      </c>
      <c r="F537" s="1" t="n">
        <v>31164</v>
      </c>
    </row>
    <row r="538">
      <c r="A538" s="1" t="inlineStr">
        <is>
          <t>MBWAY_NAN</t>
        </is>
      </c>
      <c r="B538" s="1" t="inlineStr">
        <is>
          <t>625</t>
        </is>
      </c>
      <c r="C538" s="1" t="inlineStr">
        <is>
          <t>2024</t>
        </is>
      </c>
      <c r="D538" s="1" t="inlineStr">
        <is>
          <t>2027BUD_V1</t>
        </is>
      </c>
      <c r="E538" s="1" t="inlineStr">
        <is>
          <t>12</t>
        </is>
      </c>
      <c r="F538" s="1" t="n">
        <v>25248</v>
      </c>
    </row>
    <row r="539">
      <c r="A539" s="1" t="inlineStr">
        <is>
          <t>MBWAY_BOR</t>
        </is>
      </c>
      <c r="B539" s="1" t="inlineStr">
        <is>
          <t>625</t>
        </is>
      </c>
      <c r="C539" s="1" t="inlineStr">
        <is>
          <t>2024</t>
        </is>
      </c>
      <c r="D539" s="1" t="inlineStr">
        <is>
          <t>2027BUD_V1</t>
        </is>
      </c>
      <c r="E539" s="1" t="inlineStr">
        <is>
          <t>12</t>
        </is>
      </c>
      <c r="F539" s="1" t="n">
        <v>22453</v>
      </c>
    </row>
    <row r="540">
      <c r="A540" s="1" t="inlineStr">
        <is>
          <t>ISCOM_PAR</t>
        </is>
      </c>
      <c r="B540" s="1" t="inlineStr">
        <is>
          <t>625</t>
        </is>
      </c>
      <c r="C540" s="1" t="inlineStr">
        <is>
          <t>2024</t>
        </is>
      </c>
      <c r="D540" s="1" t="inlineStr">
        <is>
          <t>2027BUD_V1</t>
        </is>
      </c>
      <c r="E540" s="1" t="inlineStr">
        <is>
          <t>12</t>
        </is>
      </c>
      <c r="F540" s="1" t="n">
        <v>49250</v>
      </c>
    </row>
    <row r="541">
      <c r="A541" s="1" t="inlineStr">
        <is>
          <t>ISCOM_LIL</t>
        </is>
      </c>
      <c r="B541" s="1" t="inlineStr">
        <is>
          <t>625</t>
        </is>
      </c>
      <c r="C541" s="1" t="inlineStr">
        <is>
          <t>2024</t>
        </is>
      </c>
      <c r="D541" s="1" t="inlineStr">
        <is>
          <t>2027BUD_V1</t>
        </is>
      </c>
      <c r="E541" s="1" t="inlineStr">
        <is>
          <t>12</t>
        </is>
      </c>
      <c r="F541" s="1" t="n">
        <v>19278</v>
      </c>
    </row>
    <row r="542">
      <c r="A542" s="1" t="inlineStr">
        <is>
          <t>ISCOM_TLS</t>
        </is>
      </c>
      <c r="B542" s="1" t="inlineStr">
        <is>
          <t>625</t>
        </is>
      </c>
      <c r="C542" s="1" t="inlineStr">
        <is>
          <t>2024</t>
        </is>
      </c>
      <c r="D542" s="1" t="inlineStr">
        <is>
          <t>2027BUD_V1</t>
        </is>
      </c>
      <c r="E542" s="1" t="inlineStr">
        <is>
          <t>12</t>
        </is>
      </c>
      <c r="F542" s="1" t="n">
        <v>17854</v>
      </c>
    </row>
    <row r="543">
      <c r="A543" s="1" t="inlineStr">
        <is>
          <t>IPAC_NAN</t>
        </is>
      </c>
      <c r="B543" s="1" t="inlineStr">
        <is>
          <t>625</t>
        </is>
      </c>
      <c r="C543" s="1" t="inlineStr">
        <is>
          <t>2024</t>
        </is>
      </c>
      <c r="D543" s="1" t="inlineStr">
        <is>
          <t>2027BUD_V1</t>
        </is>
      </c>
      <c r="E543" s="1" t="inlineStr">
        <is>
          <t>12</t>
        </is>
      </c>
      <c r="F543" s="1" t="n">
        <v>12452</v>
      </c>
    </row>
    <row r="544">
      <c r="A544" s="1" t="inlineStr">
        <is>
          <t>IPAC_REN</t>
        </is>
      </c>
      <c r="B544" s="1" t="inlineStr">
        <is>
          <t>625</t>
        </is>
      </c>
      <c r="C544" s="1" t="inlineStr">
        <is>
          <t>2024</t>
        </is>
      </c>
      <c r="D544" s="1" t="inlineStr">
        <is>
          <t>2027BUD_V1</t>
        </is>
      </c>
      <c r="E544" s="1" t="inlineStr">
        <is>
          <t>12</t>
        </is>
      </c>
      <c r="F544" s="1" t="n">
        <v>8842</v>
      </c>
    </row>
    <row r="545">
      <c r="A545" s="1" t="inlineStr">
        <is>
          <t>IPAC_MTP</t>
        </is>
      </c>
      <c r="B545" s="1" t="inlineStr">
        <is>
          <t>625</t>
        </is>
      </c>
      <c r="C545" s="1" t="inlineStr">
        <is>
          <t>2024</t>
        </is>
      </c>
      <c r="D545" s="1" t="inlineStr">
        <is>
          <t>2027BUD_V1</t>
        </is>
      </c>
      <c r="E545" s="1" t="inlineStr">
        <is>
          <t>12</t>
        </is>
      </c>
      <c r="F545" s="1" t="n">
        <v>8842</v>
      </c>
    </row>
    <row r="546">
      <c r="A546" s="1" t="inlineStr">
        <is>
          <t>PIGIER_LYO</t>
        </is>
      </c>
      <c r="B546" s="1" t="inlineStr">
        <is>
          <t>625</t>
        </is>
      </c>
      <c r="C546" s="1" t="inlineStr">
        <is>
          <t>2024</t>
        </is>
      </c>
      <c r="D546" s="1" t="inlineStr">
        <is>
          <t>2027BUD_V1</t>
        </is>
      </c>
      <c r="E546" s="1" t="inlineStr">
        <is>
          <t>12</t>
        </is>
      </c>
      <c r="F546" s="1" t="n">
        <v>17506</v>
      </c>
    </row>
    <row r="547">
      <c r="A547" s="1" t="inlineStr">
        <is>
          <t>PIGIER_BOR</t>
        </is>
      </c>
      <c r="B547" s="1" t="inlineStr">
        <is>
          <t>625</t>
        </is>
      </c>
      <c r="C547" s="1" t="inlineStr">
        <is>
          <t>2024</t>
        </is>
      </c>
      <c r="D547" s="1" t="inlineStr">
        <is>
          <t>2027BUD_V1</t>
        </is>
      </c>
      <c r="E547" s="1" t="inlineStr">
        <is>
          <t>12</t>
        </is>
      </c>
      <c r="F547" s="1" t="n">
        <v>12805</v>
      </c>
    </row>
    <row r="548">
      <c r="A548" s="1" t="inlineStr">
        <is>
          <t>TUNON_PAR</t>
        </is>
      </c>
      <c r="B548" s="1" t="inlineStr">
        <is>
          <t>625</t>
        </is>
      </c>
      <c r="C548" s="1" t="inlineStr">
        <is>
          <t>2024</t>
        </is>
      </c>
      <c r="D548" s="1" t="inlineStr">
        <is>
          <t>2027BUD_V1</t>
        </is>
      </c>
      <c r="E548" s="1" t="inlineStr">
        <is>
          <t>12</t>
        </is>
      </c>
      <c r="F548" s="1" t="n">
        <v>19199</v>
      </c>
    </row>
    <row r="549">
      <c r="A549" s="1" t="inlineStr">
        <is>
          <t>TUNON_LYO</t>
        </is>
      </c>
      <c r="B549" s="1" t="inlineStr">
        <is>
          <t>625</t>
        </is>
      </c>
      <c r="C549" s="1" t="inlineStr">
        <is>
          <t>2024</t>
        </is>
      </c>
      <c r="D549" s="1" t="inlineStr">
        <is>
          <t>2027BUD_V1</t>
        </is>
      </c>
      <c r="E549" s="1" t="inlineStr">
        <is>
          <t>12</t>
        </is>
      </c>
      <c r="F549" s="1" t="n">
        <v>11254</v>
      </c>
    </row>
    <row r="550">
      <c r="A550" s="1" t="inlineStr">
        <is>
          <t>MBWAY_PAR</t>
        </is>
      </c>
      <c r="B550" s="1" t="inlineStr">
        <is>
          <t>625</t>
        </is>
      </c>
      <c r="C550" s="1" t="inlineStr">
        <is>
          <t>2025</t>
        </is>
      </c>
      <c r="D550" s="1" t="inlineStr">
        <is>
          <t>2027BUD_V1</t>
        </is>
      </c>
      <c r="E550" s="1" t="inlineStr">
        <is>
          <t>12</t>
        </is>
      </c>
      <c r="F550" s="1" t="n">
        <v>55581</v>
      </c>
    </row>
    <row r="551">
      <c r="A551" s="1" t="inlineStr">
        <is>
          <t>MBWAY_LYO</t>
        </is>
      </c>
      <c r="B551" s="1" t="inlineStr">
        <is>
          <t>625</t>
        </is>
      </c>
      <c r="C551" s="1" t="inlineStr">
        <is>
          <t>2025</t>
        </is>
      </c>
      <c r="D551" s="1" t="inlineStr">
        <is>
          <t>2027BUD_V1</t>
        </is>
      </c>
      <c r="E551" s="1" t="inlineStr">
        <is>
          <t>12</t>
        </is>
      </c>
      <c r="F551" s="1" t="n">
        <v>32592</v>
      </c>
    </row>
    <row r="552">
      <c r="A552" s="1" t="inlineStr">
        <is>
          <t>MBWAY_NAN</t>
        </is>
      </c>
      <c r="B552" s="1" t="inlineStr">
        <is>
          <t>625</t>
        </is>
      </c>
      <c r="C552" s="1" t="inlineStr">
        <is>
          <t>2025</t>
        </is>
      </c>
      <c r="D552" s="1" t="inlineStr">
        <is>
          <t>2027BUD_V1</t>
        </is>
      </c>
      <c r="E552" s="1" t="inlineStr">
        <is>
          <t>12</t>
        </is>
      </c>
      <c r="F552" s="1" t="n">
        <v>26405</v>
      </c>
    </row>
    <row r="553">
      <c r="A553" s="1" t="inlineStr">
        <is>
          <t>MBWAY_BOR</t>
        </is>
      </c>
      <c r="B553" s="1" t="inlineStr">
        <is>
          <t>625</t>
        </is>
      </c>
      <c r="C553" s="1" t="inlineStr">
        <is>
          <t>2025</t>
        </is>
      </c>
      <c r="D553" s="1" t="inlineStr">
        <is>
          <t>2027BUD_V1</t>
        </is>
      </c>
      <c r="E553" s="1" t="inlineStr">
        <is>
          <t>12</t>
        </is>
      </c>
      <c r="F553" s="1" t="n">
        <v>23482</v>
      </c>
    </row>
    <row r="554">
      <c r="A554" s="1" t="inlineStr">
        <is>
          <t>ISCOM_PAR</t>
        </is>
      </c>
      <c r="B554" s="1" t="inlineStr">
        <is>
          <t>625</t>
        </is>
      </c>
      <c r="C554" s="1" t="inlineStr">
        <is>
          <t>2025</t>
        </is>
      </c>
      <c r="D554" s="1" t="inlineStr">
        <is>
          <t>2027BUD_V1</t>
        </is>
      </c>
      <c r="E554" s="1" t="inlineStr">
        <is>
          <t>12</t>
        </is>
      </c>
      <c r="F554" s="1" t="n">
        <v>51507</v>
      </c>
    </row>
    <row r="555">
      <c r="A555" s="1" t="inlineStr">
        <is>
          <t>ISCOM_LIL</t>
        </is>
      </c>
      <c r="B555" s="1" t="inlineStr">
        <is>
          <t>625</t>
        </is>
      </c>
      <c r="C555" s="1" t="inlineStr">
        <is>
          <t>2025</t>
        </is>
      </c>
      <c r="D555" s="1" t="inlineStr">
        <is>
          <t>2027BUD_V1</t>
        </is>
      </c>
      <c r="E555" s="1" t="inlineStr">
        <is>
          <t>12</t>
        </is>
      </c>
      <c r="F555" s="1" t="n">
        <v>20161</v>
      </c>
    </row>
    <row r="556">
      <c r="A556" s="1" t="inlineStr">
        <is>
          <t>ISCOM_TLS</t>
        </is>
      </c>
      <c r="B556" s="1" t="inlineStr">
        <is>
          <t>625</t>
        </is>
      </c>
      <c r="C556" s="1" t="inlineStr">
        <is>
          <t>2025</t>
        </is>
      </c>
      <c r="D556" s="1" t="inlineStr">
        <is>
          <t>2027BUD_V1</t>
        </is>
      </c>
      <c r="E556" s="1" t="inlineStr">
        <is>
          <t>12</t>
        </is>
      </c>
      <c r="F556" s="1" t="n">
        <v>18672</v>
      </c>
    </row>
    <row r="557">
      <c r="A557" s="1" t="inlineStr">
        <is>
          <t>IPAC_NAN</t>
        </is>
      </c>
      <c r="B557" s="1" t="inlineStr">
        <is>
          <t>625</t>
        </is>
      </c>
      <c r="C557" s="1" t="inlineStr">
        <is>
          <t>2025</t>
        </is>
      </c>
      <c r="D557" s="1" t="inlineStr">
        <is>
          <t>2027BUD_V1</t>
        </is>
      </c>
      <c r="E557" s="1" t="inlineStr">
        <is>
          <t>12</t>
        </is>
      </c>
      <c r="F557" s="1" t="n">
        <v>13023</v>
      </c>
    </row>
    <row r="558">
      <c r="A558" s="1" t="inlineStr">
        <is>
          <t>IPAC_REN</t>
        </is>
      </c>
      <c r="B558" s="1" t="inlineStr">
        <is>
          <t>625</t>
        </is>
      </c>
      <c r="C558" s="1" t="inlineStr">
        <is>
          <t>2025</t>
        </is>
      </c>
      <c r="D558" s="1" t="inlineStr">
        <is>
          <t>2027BUD_V1</t>
        </is>
      </c>
      <c r="E558" s="1" t="inlineStr">
        <is>
          <t>12</t>
        </is>
      </c>
      <c r="F558" s="1" t="n">
        <v>9247</v>
      </c>
    </row>
    <row r="559">
      <c r="A559" s="1" t="inlineStr">
        <is>
          <t>IPAC_MTP</t>
        </is>
      </c>
      <c r="B559" s="1" t="inlineStr">
        <is>
          <t>625</t>
        </is>
      </c>
      <c r="C559" s="1" t="inlineStr">
        <is>
          <t>2025</t>
        </is>
      </c>
      <c r="D559" s="1" t="inlineStr">
        <is>
          <t>2027BUD_V1</t>
        </is>
      </c>
      <c r="E559" s="1" t="inlineStr">
        <is>
          <t>12</t>
        </is>
      </c>
      <c r="F559" s="1" t="n">
        <v>9247</v>
      </c>
    </row>
    <row r="560">
      <c r="A560" s="1" t="inlineStr">
        <is>
          <t>PIGIER_LYO</t>
        </is>
      </c>
      <c r="B560" s="1" t="inlineStr">
        <is>
          <t>625</t>
        </is>
      </c>
      <c r="C560" s="1" t="inlineStr">
        <is>
          <t>2025</t>
        </is>
      </c>
      <c r="D560" s="1" t="inlineStr">
        <is>
          <t>2027BUD_V1</t>
        </is>
      </c>
      <c r="E560" s="1" t="inlineStr">
        <is>
          <t>12</t>
        </is>
      </c>
      <c r="F560" s="1" t="n">
        <v>18308</v>
      </c>
    </row>
    <row r="561">
      <c r="A561" s="1" t="inlineStr">
        <is>
          <t>PIGIER_BOR</t>
        </is>
      </c>
      <c r="B561" s="1" t="inlineStr">
        <is>
          <t>625</t>
        </is>
      </c>
      <c r="C561" s="1" t="inlineStr">
        <is>
          <t>2025</t>
        </is>
      </c>
      <c r="D561" s="1" t="inlineStr">
        <is>
          <t>2027BUD_V1</t>
        </is>
      </c>
      <c r="E561" s="1" t="inlineStr">
        <is>
          <t>12</t>
        </is>
      </c>
      <c r="F561" s="1" t="n">
        <v>13391</v>
      </c>
    </row>
    <row r="562">
      <c r="A562" s="1" t="inlineStr">
        <is>
          <t>TUNON_PAR</t>
        </is>
      </c>
      <c r="B562" s="1" t="inlineStr">
        <is>
          <t>625</t>
        </is>
      </c>
      <c r="C562" s="1" t="inlineStr">
        <is>
          <t>2025</t>
        </is>
      </c>
      <c r="D562" s="1" t="inlineStr">
        <is>
          <t>2027BUD_V1</t>
        </is>
      </c>
      <c r="E562" s="1" t="inlineStr">
        <is>
          <t>12</t>
        </is>
      </c>
      <c r="F562" s="1" t="n">
        <v>20079</v>
      </c>
    </row>
    <row r="563">
      <c r="A563" s="1" t="inlineStr">
        <is>
          <t>TUNON_LYO</t>
        </is>
      </c>
      <c r="B563" s="1" t="inlineStr">
        <is>
          <t>625</t>
        </is>
      </c>
      <c r="C563" s="1" t="inlineStr">
        <is>
          <t>2025</t>
        </is>
      </c>
      <c r="D563" s="1" t="inlineStr">
        <is>
          <t>2027BUD_V1</t>
        </is>
      </c>
      <c r="E563" s="1" t="inlineStr">
        <is>
          <t>12</t>
        </is>
      </c>
      <c r="F563" s="1" t="n">
        <v>11769</v>
      </c>
    </row>
    <row r="564">
      <c r="A564" s="1" t="inlineStr">
        <is>
          <t>MBWAY_PAR</t>
        </is>
      </c>
      <c r="B564" s="1" t="inlineStr">
        <is>
          <t>625</t>
        </is>
      </c>
      <c r="C564" s="1" t="inlineStr">
        <is>
          <t>2026</t>
        </is>
      </c>
      <c r="D564" s="1" t="inlineStr">
        <is>
          <t>2027BUD_V1</t>
        </is>
      </c>
      <c r="E564" s="1" t="inlineStr">
        <is>
          <t>12</t>
        </is>
      </c>
      <c r="F564" s="1" t="n">
        <v>58234</v>
      </c>
    </row>
    <row r="565">
      <c r="A565" s="1" t="inlineStr">
        <is>
          <t>MBWAY_LYO</t>
        </is>
      </c>
      <c r="B565" s="1" t="inlineStr">
        <is>
          <t>625</t>
        </is>
      </c>
      <c r="C565" s="1" t="inlineStr">
        <is>
          <t>2026</t>
        </is>
      </c>
      <c r="D565" s="1" t="inlineStr">
        <is>
          <t>2027BUD_V1</t>
        </is>
      </c>
      <c r="E565" s="1" t="inlineStr">
        <is>
          <t>12</t>
        </is>
      </c>
      <c r="F565" s="1" t="n">
        <v>34147</v>
      </c>
    </row>
    <row r="566">
      <c r="A566" s="1" t="inlineStr">
        <is>
          <t>MBWAY_NAN</t>
        </is>
      </c>
      <c r="B566" s="1" t="inlineStr">
        <is>
          <t>625</t>
        </is>
      </c>
      <c r="C566" s="1" t="inlineStr">
        <is>
          <t>2026</t>
        </is>
      </c>
      <c r="D566" s="1" t="inlineStr">
        <is>
          <t>2027BUD_V1</t>
        </is>
      </c>
      <c r="E566" s="1" t="inlineStr">
        <is>
          <t>12</t>
        </is>
      </c>
      <c r="F566" s="1" t="n">
        <v>27666</v>
      </c>
    </row>
    <row r="567">
      <c r="A567" s="1" t="inlineStr">
        <is>
          <t>MBWAY_BOR</t>
        </is>
      </c>
      <c r="B567" s="1" t="inlineStr">
        <is>
          <t>625</t>
        </is>
      </c>
      <c r="C567" s="1" t="inlineStr">
        <is>
          <t>2026</t>
        </is>
      </c>
      <c r="D567" s="1" t="inlineStr">
        <is>
          <t>2027BUD_V1</t>
        </is>
      </c>
      <c r="E567" s="1" t="inlineStr">
        <is>
          <t>12</t>
        </is>
      </c>
      <c r="F567" s="1" t="n">
        <v>24603</v>
      </c>
    </row>
    <row r="568">
      <c r="A568" s="1" t="inlineStr">
        <is>
          <t>ISCOM_PAR</t>
        </is>
      </c>
      <c r="B568" s="1" t="inlineStr">
        <is>
          <t>625</t>
        </is>
      </c>
      <c r="C568" s="1" t="inlineStr">
        <is>
          <t>2026</t>
        </is>
      </c>
      <c r="D568" s="1" t="inlineStr">
        <is>
          <t>2027BUD_V1</t>
        </is>
      </c>
      <c r="E568" s="1" t="inlineStr">
        <is>
          <t>12</t>
        </is>
      </c>
      <c r="F568" s="1" t="n">
        <v>53965</v>
      </c>
    </row>
    <row r="569">
      <c r="A569" s="1" t="inlineStr">
        <is>
          <t>ISCOM_LIL</t>
        </is>
      </c>
      <c r="B569" s="1" t="inlineStr">
        <is>
          <t>625</t>
        </is>
      </c>
      <c r="C569" s="1" t="inlineStr">
        <is>
          <t>2026</t>
        </is>
      </c>
      <c r="D569" s="1" t="inlineStr">
        <is>
          <t>2027BUD_V1</t>
        </is>
      </c>
      <c r="E569" s="1" t="inlineStr">
        <is>
          <t>12</t>
        </is>
      </c>
      <c r="F569" s="1" t="n">
        <v>21124</v>
      </c>
    </row>
    <row r="570">
      <c r="A570" s="1" t="inlineStr">
        <is>
          <t>ISCOM_TLS</t>
        </is>
      </c>
      <c r="B570" s="1" t="inlineStr">
        <is>
          <t>625</t>
        </is>
      </c>
      <c r="C570" s="1" t="inlineStr">
        <is>
          <t>2026</t>
        </is>
      </c>
      <c r="D570" s="1" t="inlineStr">
        <is>
          <t>2027BUD_V1</t>
        </is>
      </c>
      <c r="E570" s="1" t="inlineStr">
        <is>
          <t>12</t>
        </is>
      </c>
      <c r="F570" s="1" t="n">
        <v>19564</v>
      </c>
    </row>
    <row r="571">
      <c r="A571" s="1" t="inlineStr">
        <is>
          <t>IPAC_NAN</t>
        </is>
      </c>
      <c r="B571" s="1" t="inlineStr">
        <is>
          <t>625</t>
        </is>
      </c>
      <c r="C571" s="1" t="inlineStr">
        <is>
          <t>2026</t>
        </is>
      </c>
      <c r="D571" s="1" t="inlineStr">
        <is>
          <t>2027BUD_V1</t>
        </is>
      </c>
      <c r="E571" s="1" t="inlineStr">
        <is>
          <t>12</t>
        </is>
      </c>
      <c r="F571" s="1" t="n">
        <v>13645</v>
      </c>
    </row>
    <row r="572">
      <c r="A572" s="1" t="inlineStr">
        <is>
          <t>IPAC_REN</t>
        </is>
      </c>
      <c r="B572" s="1" t="inlineStr">
        <is>
          <t>625</t>
        </is>
      </c>
      <c r="C572" s="1" t="inlineStr">
        <is>
          <t>2026</t>
        </is>
      </c>
      <c r="D572" s="1" t="inlineStr">
        <is>
          <t>2027BUD_V1</t>
        </is>
      </c>
      <c r="E572" s="1" t="inlineStr">
        <is>
          <t>12</t>
        </is>
      </c>
      <c r="F572" s="1" t="n">
        <v>9689</v>
      </c>
    </row>
    <row r="573">
      <c r="A573" s="1" t="inlineStr">
        <is>
          <t>IPAC_MTP</t>
        </is>
      </c>
      <c r="B573" s="1" t="inlineStr">
        <is>
          <t>625</t>
        </is>
      </c>
      <c r="C573" s="1" t="inlineStr">
        <is>
          <t>2026</t>
        </is>
      </c>
      <c r="D573" s="1" t="inlineStr">
        <is>
          <t>2027BUD_V1</t>
        </is>
      </c>
      <c r="E573" s="1" t="inlineStr">
        <is>
          <t>12</t>
        </is>
      </c>
      <c r="F573" s="1" t="n">
        <v>9689</v>
      </c>
    </row>
    <row r="574">
      <c r="A574" s="1" t="inlineStr">
        <is>
          <t>PIGIER_LYO</t>
        </is>
      </c>
      <c r="B574" s="1" t="inlineStr">
        <is>
          <t>625</t>
        </is>
      </c>
      <c r="C574" s="1" t="inlineStr">
        <is>
          <t>2026</t>
        </is>
      </c>
      <c r="D574" s="1" t="inlineStr">
        <is>
          <t>2027BUD_V1</t>
        </is>
      </c>
      <c r="E574" s="1" t="inlineStr">
        <is>
          <t>12</t>
        </is>
      </c>
      <c r="F574" s="1" t="n">
        <v>19182</v>
      </c>
    </row>
    <row r="575">
      <c r="A575" s="1" t="inlineStr">
        <is>
          <t>PIGIER_BOR</t>
        </is>
      </c>
      <c r="B575" s="1" t="inlineStr">
        <is>
          <t>625</t>
        </is>
      </c>
      <c r="C575" s="1" t="inlineStr">
        <is>
          <t>2026</t>
        </is>
      </c>
      <c r="D575" s="1" t="inlineStr">
        <is>
          <t>2027BUD_V1</t>
        </is>
      </c>
      <c r="E575" s="1" t="inlineStr">
        <is>
          <t>12</t>
        </is>
      </c>
      <c r="F575" s="1" t="n">
        <v>14030</v>
      </c>
    </row>
    <row r="576">
      <c r="A576" s="1" t="inlineStr">
        <is>
          <t>TUNON_PAR</t>
        </is>
      </c>
      <c r="B576" s="1" t="inlineStr">
        <is>
          <t>625</t>
        </is>
      </c>
      <c r="C576" s="1" t="inlineStr">
        <is>
          <t>2026</t>
        </is>
      </c>
      <c r="D576" s="1" t="inlineStr">
        <is>
          <t>2027BUD_V1</t>
        </is>
      </c>
      <c r="E576" s="1" t="inlineStr">
        <is>
          <t>12</t>
        </is>
      </c>
      <c r="F576" s="1" t="n">
        <v>21037</v>
      </c>
    </row>
    <row r="577">
      <c r="A577" s="1" t="inlineStr">
        <is>
          <t>TUNON_LYO</t>
        </is>
      </c>
      <c r="B577" s="1" t="inlineStr">
        <is>
          <t>625</t>
        </is>
      </c>
      <c r="C577" s="1" t="inlineStr">
        <is>
          <t>2026</t>
        </is>
      </c>
      <c r="D577" s="1" t="inlineStr">
        <is>
          <t>2027BUD_V1</t>
        </is>
      </c>
      <c r="E577" s="1" t="inlineStr">
        <is>
          <t>12</t>
        </is>
      </c>
      <c r="F577" s="1" t="n">
        <v>12331</v>
      </c>
    </row>
    <row r="578">
      <c r="A578" s="1" t="inlineStr">
        <is>
          <t>GRP</t>
        </is>
      </c>
      <c r="B578" s="1" t="inlineStr">
        <is>
          <t>626</t>
        </is>
      </c>
      <c r="C578" s="1" t="inlineStr">
        <is>
          <t>2024</t>
        </is>
      </c>
      <c r="D578" s="1" t="inlineStr">
        <is>
          <t>2027BUD_V1</t>
        </is>
      </c>
      <c r="E578" s="1" t="inlineStr">
        <is>
          <t>12</t>
        </is>
      </c>
      <c r="F578" s="1" t="n">
        <v>412389</v>
      </c>
    </row>
    <row r="579">
      <c r="A579" s="1" t="inlineStr">
        <is>
          <t>GRP</t>
        </is>
      </c>
      <c r="B579" s="1" t="inlineStr">
        <is>
          <t>626</t>
        </is>
      </c>
      <c r="C579" s="1" t="inlineStr">
        <is>
          <t>2025</t>
        </is>
      </c>
      <c r="D579" s="1" t="inlineStr">
        <is>
          <t>2027BUD_V1</t>
        </is>
      </c>
      <c r="E579" s="1" t="inlineStr">
        <is>
          <t>12</t>
        </is>
      </c>
      <c r="F579" s="1" t="n">
        <v>431286</v>
      </c>
    </row>
    <row r="580">
      <c r="A580" s="1" t="inlineStr">
        <is>
          <t>GRP</t>
        </is>
      </c>
      <c r="B580" s="1" t="inlineStr">
        <is>
          <t>626</t>
        </is>
      </c>
      <c r="C580" s="1" t="inlineStr">
        <is>
          <t>2026</t>
        </is>
      </c>
      <c r="D580" s="1" t="inlineStr">
        <is>
          <t>2027BUD_V1</t>
        </is>
      </c>
      <c r="E580" s="1" t="inlineStr">
        <is>
          <t>12</t>
        </is>
      </c>
      <c r="F580" s="1" t="n">
        <v>451872</v>
      </c>
    </row>
    <row r="581">
      <c r="A581" s="1" t="inlineStr">
        <is>
          <t>GRP</t>
        </is>
      </c>
      <c r="B581" s="1" t="inlineStr">
        <is>
          <t>6281</t>
        </is>
      </c>
      <c r="C581" s="1" t="inlineStr">
        <is>
          <t>2024</t>
        </is>
      </c>
      <c r="D581" s="1" t="inlineStr">
        <is>
          <t>2027BUD_V1</t>
        </is>
      </c>
      <c r="E581" s="1" t="inlineStr">
        <is>
          <t>12</t>
        </is>
      </c>
      <c r="F581" s="1" t="n">
        <v>164956</v>
      </c>
    </row>
    <row r="582">
      <c r="A582" s="1" t="inlineStr">
        <is>
          <t>GRP</t>
        </is>
      </c>
      <c r="B582" s="1" t="inlineStr">
        <is>
          <t>6281</t>
        </is>
      </c>
      <c r="C582" s="1" t="inlineStr">
        <is>
          <t>2025</t>
        </is>
      </c>
      <c r="D582" s="1" t="inlineStr">
        <is>
          <t>2027BUD_V1</t>
        </is>
      </c>
      <c r="E582" s="1" t="inlineStr">
        <is>
          <t>12</t>
        </is>
      </c>
      <c r="F582" s="1" t="n">
        <v>172514</v>
      </c>
    </row>
    <row r="583">
      <c r="A583" s="1" t="inlineStr">
        <is>
          <t>GRP</t>
        </is>
      </c>
      <c r="B583" s="1" t="inlineStr">
        <is>
          <t>6281</t>
        </is>
      </c>
      <c r="C583" s="1" t="inlineStr">
        <is>
          <t>2026</t>
        </is>
      </c>
      <c r="D583" s="1" t="inlineStr">
        <is>
          <t>2027BUD_V1</t>
        </is>
      </c>
      <c r="E583" s="1" t="inlineStr">
        <is>
          <t>12</t>
        </is>
      </c>
      <c r="F583" s="1" t="n">
        <v>180749</v>
      </c>
    </row>
    <row r="584">
      <c r="A584" s="1" t="inlineStr">
        <is>
          <t>GRP</t>
        </is>
      </c>
      <c r="B584" s="1" t="inlineStr">
        <is>
          <t>6331</t>
        </is>
      </c>
      <c r="C584" s="1" t="inlineStr">
        <is>
          <t>2024</t>
        </is>
      </c>
      <c r="D584" s="1" t="inlineStr">
        <is>
          <t>2027BUD_V1</t>
        </is>
      </c>
      <c r="E584" s="1" t="inlineStr">
        <is>
          <t>12</t>
        </is>
      </c>
      <c r="F584" s="1" t="n">
        <v>309292</v>
      </c>
    </row>
    <row r="585">
      <c r="A585" s="1" t="inlineStr">
        <is>
          <t>GRP</t>
        </is>
      </c>
      <c r="B585" s="1" t="inlineStr">
        <is>
          <t>6331</t>
        </is>
      </c>
      <c r="C585" s="1" t="inlineStr">
        <is>
          <t>2025</t>
        </is>
      </c>
      <c r="D585" s="1" t="inlineStr">
        <is>
          <t>2027BUD_V1</t>
        </is>
      </c>
      <c r="E585" s="1" t="inlineStr">
        <is>
          <t>12</t>
        </is>
      </c>
      <c r="F585" s="1" t="n">
        <v>323465</v>
      </c>
    </row>
    <row r="586">
      <c r="A586" s="1" t="inlineStr">
        <is>
          <t>GRP</t>
        </is>
      </c>
      <c r="B586" s="1" t="inlineStr">
        <is>
          <t>6331</t>
        </is>
      </c>
      <c r="C586" s="1" t="inlineStr">
        <is>
          <t>2026</t>
        </is>
      </c>
      <c r="D586" s="1" t="inlineStr">
        <is>
          <t>2027BUD_V1</t>
        </is>
      </c>
      <c r="E586" s="1" t="inlineStr">
        <is>
          <t>12</t>
        </is>
      </c>
      <c r="F586" s="1" t="n">
        <v>338904</v>
      </c>
    </row>
    <row r="587">
      <c r="A587" s="1" t="inlineStr">
        <is>
          <t>MBWAY_PAR</t>
        </is>
      </c>
      <c r="B587" s="1" t="inlineStr">
        <is>
          <t>63511</t>
        </is>
      </c>
      <c r="C587" s="1" t="inlineStr">
        <is>
          <t>2024</t>
        </is>
      </c>
      <c r="D587" s="1" t="inlineStr">
        <is>
          <t>2027BUD_V1</t>
        </is>
      </c>
      <c r="E587" s="1" t="inlineStr">
        <is>
          <t>12</t>
        </is>
      </c>
      <c r="F587" s="1" t="n">
        <v>32490</v>
      </c>
    </row>
    <row r="588">
      <c r="A588" s="1" t="inlineStr">
        <is>
          <t>MBWAY_LYO</t>
        </is>
      </c>
      <c r="B588" s="1" t="inlineStr">
        <is>
          <t>63511</t>
        </is>
      </c>
      <c r="C588" s="1" t="inlineStr">
        <is>
          <t>2024</t>
        </is>
      </c>
      <c r="D588" s="1" t="inlineStr">
        <is>
          <t>2027BUD_V1</t>
        </is>
      </c>
      <c r="E588" s="1" t="inlineStr">
        <is>
          <t>12</t>
        </is>
      </c>
      <c r="F588" s="1" t="n">
        <v>19467</v>
      </c>
    </row>
    <row r="589">
      <c r="A589" s="1" t="inlineStr">
        <is>
          <t>MBWAY_NAN</t>
        </is>
      </c>
      <c r="B589" s="1" t="inlineStr">
        <is>
          <t>63511</t>
        </is>
      </c>
      <c r="C589" s="1" t="inlineStr">
        <is>
          <t>2024</t>
        </is>
      </c>
      <c r="D589" s="1" t="inlineStr">
        <is>
          <t>2027BUD_V1</t>
        </is>
      </c>
      <c r="E589" s="1" t="inlineStr">
        <is>
          <t>12</t>
        </is>
      </c>
      <c r="F589" s="1" t="n">
        <v>16044</v>
      </c>
    </row>
    <row r="590">
      <c r="A590" s="1" t="inlineStr">
        <is>
          <t>MBWAY_BOR</t>
        </is>
      </c>
      <c r="B590" s="1" t="inlineStr">
        <is>
          <t>63511</t>
        </is>
      </c>
      <c r="C590" s="1" t="inlineStr">
        <is>
          <t>2024</t>
        </is>
      </c>
      <c r="D590" s="1" t="inlineStr">
        <is>
          <t>2027BUD_V1</t>
        </is>
      </c>
      <c r="E590" s="1" t="inlineStr">
        <is>
          <t>12</t>
        </is>
      </c>
      <c r="F590" s="1" t="n">
        <v>14039</v>
      </c>
    </row>
    <row r="591">
      <c r="A591" s="1" t="inlineStr">
        <is>
          <t>ISCOM_PAR</t>
        </is>
      </c>
      <c r="B591" s="1" t="inlineStr">
        <is>
          <t>63511</t>
        </is>
      </c>
      <c r="C591" s="1" t="inlineStr">
        <is>
          <t>2024</t>
        </is>
      </c>
      <c r="D591" s="1" t="inlineStr">
        <is>
          <t>2027BUD_V1</t>
        </is>
      </c>
      <c r="E591" s="1" t="inlineStr">
        <is>
          <t>12</t>
        </is>
      </c>
      <c r="F591" s="1" t="n">
        <v>32490</v>
      </c>
    </row>
    <row r="592">
      <c r="A592" s="1" t="inlineStr">
        <is>
          <t>ISCOM_LIL</t>
        </is>
      </c>
      <c r="B592" s="1" t="inlineStr">
        <is>
          <t>63511</t>
        </is>
      </c>
      <c r="C592" s="1" t="inlineStr">
        <is>
          <t>2024</t>
        </is>
      </c>
      <c r="D592" s="1" t="inlineStr">
        <is>
          <t>2027BUD_V1</t>
        </is>
      </c>
      <c r="E592" s="1" t="inlineStr">
        <is>
          <t>12</t>
        </is>
      </c>
      <c r="F592" s="1" t="n">
        <v>12301</v>
      </c>
    </row>
    <row r="593">
      <c r="A593" s="1" t="inlineStr">
        <is>
          <t>ISCOM_TLS</t>
        </is>
      </c>
      <c r="B593" s="1" t="inlineStr">
        <is>
          <t>63511</t>
        </is>
      </c>
      <c r="C593" s="1" t="inlineStr">
        <is>
          <t>2024</t>
        </is>
      </c>
      <c r="D593" s="1" t="inlineStr">
        <is>
          <t>2027BUD_V1</t>
        </is>
      </c>
      <c r="E593" s="1" t="inlineStr">
        <is>
          <t>12</t>
        </is>
      </c>
      <c r="F593" s="1" t="n">
        <v>12033</v>
      </c>
    </row>
    <row r="594">
      <c r="A594" s="1" t="inlineStr">
        <is>
          <t>IPAC_NAN</t>
        </is>
      </c>
      <c r="B594" s="1" t="inlineStr">
        <is>
          <t>63511</t>
        </is>
      </c>
      <c r="C594" s="1" t="inlineStr">
        <is>
          <t>2024</t>
        </is>
      </c>
      <c r="D594" s="1" t="inlineStr">
        <is>
          <t>2027BUD_V1</t>
        </is>
      </c>
      <c r="E594" s="1" t="inlineStr">
        <is>
          <t>12</t>
        </is>
      </c>
      <c r="F594" s="1" t="n">
        <v>8022</v>
      </c>
    </row>
    <row r="595">
      <c r="A595" s="1" t="inlineStr">
        <is>
          <t>IPAC_REN</t>
        </is>
      </c>
      <c r="B595" s="1" t="inlineStr">
        <is>
          <t>63511</t>
        </is>
      </c>
      <c r="C595" s="1" t="inlineStr">
        <is>
          <t>2024</t>
        </is>
      </c>
      <c r="D595" s="1" t="inlineStr">
        <is>
          <t>2027BUD_V1</t>
        </is>
      </c>
      <c r="E595" s="1" t="inlineStr">
        <is>
          <t>12</t>
        </is>
      </c>
      <c r="F595" s="1" t="n">
        <v>7059</v>
      </c>
    </row>
    <row r="596">
      <c r="A596" s="1" t="inlineStr">
        <is>
          <t>IPAC_MTP</t>
        </is>
      </c>
      <c r="B596" s="1" t="inlineStr">
        <is>
          <t>63511</t>
        </is>
      </c>
      <c r="C596" s="1" t="inlineStr">
        <is>
          <t>2024</t>
        </is>
      </c>
      <c r="D596" s="1" t="inlineStr">
        <is>
          <t>2027BUD_V1</t>
        </is>
      </c>
      <c r="E596" s="1" t="inlineStr">
        <is>
          <t>12</t>
        </is>
      </c>
      <c r="F596" s="1" t="n">
        <v>7059</v>
      </c>
    </row>
    <row r="597">
      <c r="A597" s="1" t="inlineStr">
        <is>
          <t>PIGIER_LYO</t>
        </is>
      </c>
      <c r="B597" s="1" t="inlineStr">
        <is>
          <t>63511</t>
        </is>
      </c>
      <c r="C597" s="1" t="inlineStr">
        <is>
          <t>2024</t>
        </is>
      </c>
      <c r="D597" s="1" t="inlineStr">
        <is>
          <t>2027BUD_V1</t>
        </is>
      </c>
      <c r="E597" s="1" t="inlineStr">
        <is>
          <t>12</t>
        </is>
      </c>
      <c r="F597" s="1" t="n">
        <v>11980</v>
      </c>
    </row>
    <row r="598">
      <c r="A598" s="1" t="inlineStr">
        <is>
          <t>PIGIER_BOR</t>
        </is>
      </c>
      <c r="B598" s="1" t="inlineStr">
        <is>
          <t>63511</t>
        </is>
      </c>
      <c r="C598" s="1" t="inlineStr">
        <is>
          <t>2024</t>
        </is>
      </c>
      <c r="D598" s="1" t="inlineStr">
        <is>
          <t>2027BUD_V1</t>
        </is>
      </c>
      <c r="E598" s="1" t="inlineStr">
        <is>
          <t>12</t>
        </is>
      </c>
      <c r="F598" s="1" t="n">
        <v>11231</v>
      </c>
    </row>
    <row r="599">
      <c r="A599" s="1" t="inlineStr">
        <is>
          <t>TUNON_PAR</t>
        </is>
      </c>
      <c r="B599" s="1" t="inlineStr">
        <is>
          <t>63511</t>
        </is>
      </c>
      <c r="C599" s="1" t="inlineStr">
        <is>
          <t>2024</t>
        </is>
      </c>
      <c r="D599" s="1" t="inlineStr">
        <is>
          <t>2027BUD_V1</t>
        </is>
      </c>
      <c r="E599" s="1" t="inlineStr">
        <is>
          <t>12</t>
        </is>
      </c>
      <c r="F599" s="1" t="n">
        <v>12996</v>
      </c>
    </row>
    <row r="600">
      <c r="A600" s="1" t="inlineStr">
        <is>
          <t>TUNON_LYO</t>
        </is>
      </c>
      <c r="B600" s="1" t="inlineStr">
        <is>
          <t>63511</t>
        </is>
      </c>
      <c r="C600" s="1" t="inlineStr">
        <is>
          <t>2024</t>
        </is>
      </c>
      <c r="D600" s="1" t="inlineStr">
        <is>
          <t>2027BUD_V1</t>
        </is>
      </c>
      <c r="E600" s="1" t="inlineStr">
        <is>
          <t>12</t>
        </is>
      </c>
      <c r="F600" s="1" t="n">
        <v>8985</v>
      </c>
    </row>
    <row r="601">
      <c r="A601" s="1" t="inlineStr">
        <is>
          <t>MBWAY_PAR</t>
        </is>
      </c>
      <c r="B601" s="1" t="inlineStr">
        <is>
          <t>63511</t>
        </is>
      </c>
      <c r="C601" s="1" t="inlineStr">
        <is>
          <t>2025</t>
        </is>
      </c>
      <c r="D601" s="1" t="inlineStr">
        <is>
          <t>2027BUD_V1</t>
        </is>
      </c>
      <c r="E601" s="1" t="inlineStr">
        <is>
          <t>12</t>
        </is>
      </c>
      <c r="F601" s="1" t="n">
        <v>33978</v>
      </c>
    </row>
    <row r="602">
      <c r="A602" s="1" t="inlineStr">
        <is>
          <t>MBWAY_LYO</t>
        </is>
      </c>
      <c r="B602" s="1" t="inlineStr">
        <is>
          <t>63511</t>
        </is>
      </c>
      <c r="C602" s="1" t="inlineStr">
        <is>
          <t>2025</t>
        </is>
      </c>
      <c r="D602" s="1" t="inlineStr">
        <is>
          <t>2027BUD_V1</t>
        </is>
      </c>
      <c r="E602" s="1" t="inlineStr">
        <is>
          <t>12</t>
        </is>
      </c>
      <c r="F602" s="1" t="n">
        <v>20359</v>
      </c>
    </row>
    <row r="603">
      <c r="A603" s="1" t="inlineStr">
        <is>
          <t>MBWAY_NAN</t>
        </is>
      </c>
      <c r="B603" s="1" t="inlineStr">
        <is>
          <t>63511</t>
        </is>
      </c>
      <c r="C603" s="1" t="inlineStr">
        <is>
          <t>2025</t>
        </is>
      </c>
      <c r="D603" s="1" t="inlineStr">
        <is>
          <t>2027BUD_V1</t>
        </is>
      </c>
      <c r="E603" s="1" t="inlineStr">
        <is>
          <t>12</t>
        </is>
      </c>
      <c r="F603" s="1" t="n">
        <v>16779</v>
      </c>
    </row>
    <row r="604">
      <c r="A604" s="1" t="inlineStr">
        <is>
          <t>MBWAY_BOR</t>
        </is>
      </c>
      <c r="B604" s="1" t="inlineStr">
        <is>
          <t>63511</t>
        </is>
      </c>
      <c r="C604" s="1" t="inlineStr">
        <is>
          <t>2025</t>
        </is>
      </c>
      <c r="D604" s="1" t="inlineStr">
        <is>
          <t>2027BUD_V1</t>
        </is>
      </c>
      <c r="E604" s="1" t="inlineStr">
        <is>
          <t>12</t>
        </is>
      </c>
      <c r="F604" s="1" t="n">
        <v>14682</v>
      </c>
    </row>
    <row r="605">
      <c r="A605" s="1" t="inlineStr">
        <is>
          <t>ISCOM_PAR</t>
        </is>
      </c>
      <c r="B605" s="1" t="inlineStr">
        <is>
          <t>63511</t>
        </is>
      </c>
      <c r="C605" s="1" t="inlineStr">
        <is>
          <t>2025</t>
        </is>
      </c>
      <c r="D605" s="1" t="inlineStr">
        <is>
          <t>2027BUD_V1</t>
        </is>
      </c>
      <c r="E605" s="1" t="inlineStr">
        <is>
          <t>12</t>
        </is>
      </c>
      <c r="F605" s="1" t="n">
        <v>33978</v>
      </c>
    </row>
    <row r="606">
      <c r="A606" s="1" t="inlineStr">
        <is>
          <t>ISCOM_LIL</t>
        </is>
      </c>
      <c r="B606" s="1" t="inlineStr">
        <is>
          <t>63511</t>
        </is>
      </c>
      <c r="C606" s="1" t="inlineStr">
        <is>
          <t>2025</t>
        </is>
      </c>
      <c r="D606" s="1" t="inlineStr">
        <is>
          <t>2027BUD_V1</t>
        </is>
      </c>
      <c r="E606" s="1" t="inlineStr">
        <is>
          <t>12</t>
        </is>
      </c>
      <c r="F606" s="1" t="n">
        <v>12864</v>
      </c>
    </row>
    <row r="607">
      <c r="A607" s="1" t="inlineStr">
        <is>
          <t>ISCOM_TLS</t>
        </is>
      </c>
      <c r="B607" s="1" t="inlineStr">
        <is>
          <t>63511</t>
        </is>
      </c>
      <c r="C607" s="1" t="inlineStr">
        <is>
          <t>2025</t>
        </is>
      </c>
      <c r="D607" s="1" t="inlineStr">
        <is>
          <t>2027BUD_V1</t>
        </is>
      </c>
      <c r="E607" s="1" t="inlineStr">
        <is>
          <t>12</t>
        </is>
      </c>
      <c r="F607" s="1" t="n">
        <v>12585</v>
      </c>
    </row>
    <row r="608">
      <c r="A608" s="1" t="inlineStr">
        <is>
          <t>IPAC_NAN</t>
        </is>
      </c>
      <c r="B608" s="1" t="inlineStr">
        <is>
          <t>63511</t>
        </is>
      </c>
      <c r="C608" s="1" t="inlineStr">
        <is>
          <t>2025</t>
        </is>
      </c>
      <c r="D608" s="1" t="inlineStr">
        <is>
          <t>2027BUD_V1</t>
        </is>
      </c>
      <c r="E608" s="1" t="inlineStr">
        <is>
          <t>12</t>
        </is>
      </c>
      <c r="F608" s="1" t="n">
        <v>8390</v>
      </c>
    </row>
    <row r="609">
      <c r="A609" s="1" t="inlineStr">
        <is>
          <t>IPAC_REN</t>
        </is>
      </c>
      <c r="B609" s="1" t="inlineStr">
        <is>
          <t>63511</t>
        </is>
      </c>
      <c r="C609" s="1" t="inlineStr">
        <is>
          <t>2025</t>
        </is>
      </c>
      <c r="D609" s="1" t="inlineStr">
        <is>
          <t>2027BUD_V1</t>
        </is>
      </c>
      <c r="E609" s="1" t="inlineStr">
        <is>
          <t>12</t>
        </is>
      </c>
      <c r="F609" s="1" t="n">
        <v>7383</v>
      </c>
    </row>
    <row r="610">
      <c r="A610" s="1" t="inlineStr">
        <is>
          <t>IPAC_MTP</t>
        </is>
      </c>
      <c r="B610" s="1" t="inlineStr">
        <is>
          <t>63511</t>
        </is>
      </c>
      <c r="C610" s="1" t="inlineStr">
        <is>
          <t>2025</t>
        </is>
      </c>
      <c r="D610" s="1" t="inlineStr">
        <is>
          <t>2027BUD_V1</t>
        </is>
      </c>
      <c r="E610" s="1" t="inlineStr">
        <is>
          <t>12</t>
        </is>
      </c>
      <c r="F610" s="1" t="n">
        <v>7383</v>
      </c>
    </row>
    <row r="611">
      <c r="A611" s="1" t="inlineStr">
        <is>
          <t>PIGIER_LYO</t>
        </is>
      </c>
      <c r="B611" s="1" t="inlineStr">
        <is>
          <t>63511</t>
        </is>
      </c>
      <c r="C611" s="1" t="inlineStr">
        <is>
          <t>2025</t>
        </is>
      </c>
      <c r="D611" s="1" t="inlineStr">
        <is>
          <t>2027BUD_V1</t>
        </is>
      </c>
      <c r="E611" s="1" t="inlineStr">
        <is>
          <t>12</t>
        </is>
      </c>
      <c r="F611" s="1" t="n">
        <v>12529</v>
      </c>
    </row>
    <row r="612">
      <c r="A612" s="1" t="inlineStr">
        <is>
          <t>PIGIER_BOR</t>
        </is>
      </c>
      <c r="B612" s="1" t="inlineStr">
        <is>
          <t>63511</t>
        </is>
      </c>
      <c r="C612" s="1" t="inlineStr">
        <is>
          <t>2025</t>
        </is>
      </c>
      <c r="D612" s="1" t="inlineStr">
        <is>
          <t>2027BUD_V1</t>
        </is>
      </c>
      <c r="E612" s="1" t="inlineStr">
        <is>
          <t>12</t>
        </is>
      </c>
      <c r="F612" s="1" t="n">
        <v>11746</v>
      </c>
    </row>
    <row r="613">
      <c r="A613" s="1" t="inlineStr">
        <is>
          <t>TUNON_PAR</t>
        </is>
      </c>
      <c r="B613" s="1" t="inlineStr">
        <is>
          <t>63511</t>
        </is>
      </c>
      <c r="C613" s="1" t="inlineStr">
        <is>
          <t>2025</t>
        </is>
      </c>
      <c r="D613" s="1" t="inlineStr">
        <is>
          <t>2027BUD_V1</t>
        </is>
      </c>
      <c r="E613" s="1" t="inlineStr">
        <is>
          <t>12</t>
        </is>
      </c>
      <c r="F613" s="1" t="n">
        <v>13591</v>
      </c>
    </row>
    <row r="614">
      <c r="A614" s="1" t="inlineStr">
        <is>
          <t>TUNON_LYO</t>
        </is>
      </c>
      <c r="B614" s="1" t="inlineStr">
        <is>
          <t>63511</t>
        </is>
      </c>
      <c r="C614" s="1" t="inlineStr">
        <is>
          <t>2025</t>
        </is>
      </c>
      <c r="D614" s="1" t="inlineStr">
        <is>
          <t>2027BUD_V1</t>
        </is>
      </c>
      <c r="E614" s="1" t="inlineStr">
        <is>
          <t>12</t>
        </is>
      </c>
      <c r="F614" s="1" t="n">
        <v>9396</v>
      </c>
    </row>
    <row r="615">
      <c r="A615" s="1" t="inlineStr">
        <is>
          <t>MBWAY_PAR</t>
        </is>
      </c>
      <c r="B615" s="1" t="inlineStr">
        <is>
          <t>63511</t>
        </is>
      </c>
      <c r="C615" s="1" t="inlineStr">
        <is>
          <t>2026</t>
        </is>
      </c>
      <c r="D615" s="1" t="inlineStr">
        <is>
          <t>2027BUD_V1</t>
        </is>
      </c>
      <c r="E615" s="1" t="inlineStr">
        <is>
          <t>12</t>
        </is>
      </c>
      <c r="F615" s="1" t="n">
        <v>35600</v>
      </c>
    </row>
    <row r="616">
      <c r="A616" s="1" t="inlineStr">
        <is>
          <t>MBWAY_LYO</t>
        </is>
      </c>
      <c r="B616" s="1" t="inlineStr">
        <is>
          <t>63511</t>
        </is>
      </c>
      <c r="C616" s="1" t="inlineStr">
        <is>
          <t>2026</t>
        </is>
      </c>
      <c r="D616" s="1" t="inlineStr">
        <is>
          <t>2027BUD_V1</t>
        </is>
      </c>
      <c r="E616" s="1" t="inlineStr">
        <is>
          <t>12</t>
        </is>
      </c>
      <c r="F616" s="1" t="n">
        <v>21331</v>
      </c>
    </row>
    <row r="617">
      <c r="A617" s="1" t="inlineStr">
        <is>
          <t>MBWAY_NAN</t>
        </is>
      </c>
      <c r="B617" s="1" t="inlineStr">
        <is>
          <t>63511</t>
        </is>
      </c>
      <c r="C617" s="1" t="inlineStr">
        <is>
          <t>2026</t>
        </is>
      </c>
      <c r="D617" s="1" t="inlineStr">
        <is>
          <t>2027BUD_V1</t>
        </is>
      </c>
      <c r="E617" s="1" t="inlineStr">
        <is>
          <t>12</t>
        </is>
      </c>
      <c r="F617" s="1" t="n">
        <v>17580</v>
      </c>
    </row>
    <row r="618">
      <c r="A618" s="1" t="inlineStr">
        <is>
          <t>MBWAY_BOR</t>
        </is>
      </c>
      <c r="B618" s="1" t="inlineStr">
        <is>
          <t>63511</t>
        </is>
      </c>
      <c r="C618" s="1" t="inlineStr">
        <is>
          <t>2026</t>
        </is>
      </c>
      <c r="D618" s="1" t="inlineStr">
        <is>
          <t>2027BUD_V1</t>
        </is>
      </c>
      <c r="E618" s="1" t="inlineStr">
        <is>
          <t>12</t>
        </is>
      </c>
      <c r="F618" s="1" t="n">
        <v>15383</v>
      </c>
    </row>
    <row r="619">
      <c r="A619" s="1" t="inlineStr">
        <is>
          <t>ISCOM_PAR</t>
        </is>
      </c>
      <c r="B619" s="1" t="inlineStr">
        <is>
          <t>63511</t>
        </is>
      </c>
      <c r="C619" s="1" t="inlineStr">
        <is>
          <t>2026</t>
        </is>
      </c>
      <c r="D619" s="1" t="inlineStr">
        <is>
          <t>2027BUD_V1</t>
        </is>
      </c>
      <c r="E619" s="1" t="inlineStr">
        <is>
          <t>12</t>
        </is>
      </c>
      <c r="F619" s="1" t="n">
        <v>35600</v>
      </c>
    </row>
    <row r="620">
      <c r="A620" s="1" t="inlineStr">
        <is>
          <t>ISCOM_LIL</t>
        </is>
      </c>
      <c r="B620" s="1" t="inlineStr">
        <is>
          <t>63511</t>
        </is>
      </c>
      <c r="C620" s="1" t="inlineStr">
        <is>
          <t>2026</t>
        </is>
      </c>
      <c r="D620" s="1" t="inlineStr">
        <is>
          <t>2027BUD_V1</t>
        </is>
      </c>
      <c r="E620" s="1" t="inlineStr">
        <is>
          <t>12</t>
        </is>
      </c>
      <c r="F620" s="1" t="n">
        <v>13478</v>
      </c>
    </row>
    <row r="621">
      <c r="A621" s="1" t="inlineStr">
        <is>
          <t>ISCOM_TLS</t>
        </is>
      </c>
      <c r="B621" s="1" t="inlineStr">
        <is>
          <t>63511</t>
        </is>
      </c>
      <c r="C621" s="1" t="inlineStr">
        <is>
          <t>2026</t>
        </is>
      </c>
      <c r="D621" s="1" t="inlineStr">
        <is>
          <t>2027BUD_V1</t>
        </is>
      </c>
      <c r="E621" s="1" t="inlineStr">
        <is>
          <t>12</t>
        </is>
      </c>
      <c r="F621" s="1" t="n">
        <v>13185</v>
      </c>
    </row>
    <row r="622">
      <c r="A622" s="1" t="inlineStr">
        <is>
          <t>IPAC_NAN</t>
        </is>
      </c>
      <c r="B622" s="1" t="inlineStr">
        <is>
          <t>63511</t>
        </is>
      </c>
      <c r="C622" s="1" t="inlineStr">
        <is>
          <t>2026</t>
        </is>
      </c>
      <c r="D622" s="1" t="inlineStr">
        <is>
          <t>2027BUD_V1</t>
        </is>
      </c>
      <c r="E622" s="1" t="inlineStr">
        <is>
          <t>12</t>
        </is>
      </c>
      <c r="F622" s="1" t="n">
        <v>8790</v>
      </c>
    </row>
    <row r="623">
      <c r="A623" s="1" t="inlineStr">
        <is>
          <t>IPAC_REN</t>
        </is>
      </c>
      <c r="B623" s="1" t="inlineStr">
        <is>
          <t>63511</t>
        </is>
      </c>
      <c r="C623" s="1" t="inlineStr">
        <is>
          <t>2026</t>
        </is>
      </c>
      <c r="D623" s="1" t="inlineStr">
        <is>
          <t>2027BUD_V1</t>
        </is>
      </c>
      <c r="E623" s="1" t="inlineStr">
        <is>
          <t>12</t>
        </is>
      </c>
      <c r="F623" s="1" t="n">
        <v>7735</v>
      </c>
    </row>
    <row r="624">
      <c r="A624" s="1" t="inlineStr">
        <is>
          <t>IPAC_MTP</t>
        </is>
      </c>
      <c r="B624" s="1" t="inlineStr">
        <is>
          <t>63511</t>
        </is>
      </c>
      <c r="C624" s="1" t="inlineStr">
        <is>
          <t>2026</t>
        </is>
      </c>
      <c r="D624" s="1" t="inlineStr">
        <is>
          <t>2027BUD_V1</t>
        </is>
      </c>
      <c r="E624" s="1" t="inlineStr">
        <is>
          <t>12</t>
        </is>
      </c>
      <c r="F624" s="1" t="n">
        <v>7735</v>
      </c>
    </row>
    <row r="625">
      <c r="A625" s="1" t="inlineStr">
        <is>
          <t>PIGIER_LYO</t>
        </is>
      </c>
      <c r="B625" s="1" t="inlineStr">
        <is>
          <t>63511</t>
        </is>
      </c>
      <c r="C625" s="1" t="inlineStr">
        <is>
          <t>2026</t>
        </is>
      </c>
      <c r="D625" s="1" t="inlineStr">
        <is>
          <t>2027BUD_V1</t>
        </is>
      </c>
      <c r="E625" s="1" t="inlineStr">
        <is>
          <t>12</t>
        </is>
      </c>
      <c r="F625" s="1" t="n">
        <v>13127</v>
      </c>
    </row>
    <row r="626">
      <c r="A626" s="1" t="inlineStr">
        <is>
          <t>PIGIER_BOR</t>
        </is>
      </c>
      <c r="B626" s="1" t="inlineStr">
        <is>
          <t>63511</t>
        </is>
      </c>
      <c r="C626" s="1" t="inlineStr">
        <is>
          <t>2026</t>
        </is>
      </c>
      <c r="D626" s="1" t="inlineStr">
        <is>
          <t>2027BUD_V1</t>
        </is>
      </c>
      <c r="E626" s="1" t="inlineStr">
        <is>
          <t>12</t>
        </is>
      </c>
      <c r="F626" s="1" t="n">
        <v>12306</v>
      </c>
    </row>
    <row r="627">
      <c r="A627" s="1" t="inlineStr">
        <is>
          <t>TUNON_PAR</t>
        </is>
      </c>
      <c r="B627" s="1" t="inlineStr">
        <is>
          <t>63511</t>
        </is>
      </c>
      <c r="C627" s="1" t="inlineStr">
        <is>
          <t>2026</t>
        </is>
      </c>
      <c r="D627" s="1" t="inlineStr">
        <is>
          <t>2027BUD_V1</t>
        </is>
      </c>
      <c r="E627" s="1" t="inlineStr">
        <is>
          <t>12</t>
        </is>
      </c>
      <c r="F627" s="1" t="n">
        <v>14240</v>
      </c>
    </row>
    <row r="628">
      <c r="A628" s="1" t="inlineStr">
        <is>
          <t>TUNON_LYO</t>
        </is>
      </c>
      <c r="B628" s="1" t="inlineStr">
        <is>
          <t>63511</t>
        </is>
      </c>
      <c r="C628" s="1" t="inlineStr">
        <is>
          <t>2026</t>
        </is>
      </c>
      <c r="D628" s="1" t="inlineStr">
        <is>
          <t>2027BUD_V1</t>
        </is>
      </c>
      <c r="E628" s="1" t="inlineStr">
        <is>
          <t>12</t>
        </is>
      </c>
      <c r="F628" s="1" t="n">
        <v>9845</v>
      </c>
    </row>
    <row r="629">
      <c r="A629" s="1" t="inlineStr">
        <is>
          <t>GRP</t>
        </is>
      </c>
      <c r="B629" s="1" t="inlineStr">
        <is>
          <t>6333</t>
        </is>
      </c>
      <c r="C629" s="1" t="inlineStr">
        <is>
          <t>2024</t>
        </is>
      </c>
      <c r="D629" s="1" t="inlineStr">
        <is>
          <t>2027BUD_V1</t>
        </is>
      </c>
      <c r="E629" s="1" t="inlineStr">
        <is>
          <t>12</t>
        </is>
      </c>
      <c r="F629" s="1" t="n">
        <v>103097</v>
      </c>
    </row>
    <row r="630">
      <c r="A630" s="1" t="inlineStr">
        <is>
          <t>GRP</t>
        </is>
      </c>
      <c r="B630" s="1" t="inlineStr">
        <is>
          <t>6333</t>
        </is>
      </c>
      <c r="C630" s="1" t="inlineStr">
        <is>
          <t>2025</t>
        </is>
      </c>
      <c r="D630" s="1" t="inlineStr">
        <is>
          <t>2027BUD_V1</t>
        </is>
      </c>
      <c r="E630" s="1" t="inlineStr">
        <is>
          <t>12</t>
        </is>
      </c>
      <c r="F630" s="1" t="n">
        <v>107822</v>
      </c>
    </row>
    <row r="631">
      <c r="A631" s="1" t="inlineStr">
        <is>
          <t>GRP</t>
        </is>
      </c>
      <c r="B631" s="1" t="inlineStr">
        <is>
          <t>6333</t>
        </is>
      </c>
      <c r="C631" s="1" t="inlineStr">
        <is>
          <t>2026</t>
        </is>
      </c>
      <c r="D631" s="1" t="inlineStr">
        <is>
          <t>2027BUD_V1</t>
        </is>
      </c>
      <c r="E631" s="1" t="inlineStr">
        <is>
          <t>12</t>
        </is>
      </c>
      <c r="F631" s="1" t="n">
        <v>112968</v>
      </c>
    </row>
    <row r="632">
      <c r="A632" s="1" t="inlineStr">
        <is>
          <t>MBWAY_PAR</t>
        </is>
      </c>
      <c r="B632" s="1" t="inlineStr">
        <is>
          <t>6811</t>
        </is>
      </c>
      <c r="C632" s="1" t="inlineStr">
        <is>
          <t>2024</t>
        </is>
      </c>
      <c r="D632" s="1" t="inlineStr">
        <is>
          <t>2027BUD_V1</t>
        </is>
      </c>
      <c r="E632" s="1" t="inlineStr">
        <is>
          <t>12</t>
        </is>
      </c>
      <c r="F632" s="1" t="n">
        <v>137849</v>
      </c>
    </row>
    <row r="633">
      <c r="A633" s="1" t="inlineStr">
        <is>
          <t>MBWAY_LYO</t>
        </is>
      </c>
      <c r="B633" s="1" t="inlineStr">
        <is>
          <t>6811</t>
        </is>
      </c>
      <c r="C633" s="1" t="inlineStr">
        <is>
          <t>2024</t>
        </is>
      </c>
      <c r="D633" s="1" t="inlineStr">
        <is>
          <t>2027BUD_V1</t>
        </is>
      </c>
      <c r="E633" s="1" t="inlineStr">
        <is>
          <t>12</t>
        </is>
      </c>
      <c r="F633" s="1" t="n">
        <v>119469</v>
      </c>
    </row>
    <row r="634">
      <c r="A634" s="1" t="inlineStr">
        <is>
          <t>MBWAY_NAN</t>
        </is>
      </c>
      <c r="B634" s="1" t="inlineStr">
        <is>
          <t>6811</t>
        </is>
      </c>
      <c r="C634" s="1" t="inlineStr">
        <is>
          <t>2024</t>
        </is>
      </c>
      <c r="D634" s="1" t="inlineStr">
        <is>
          <t>2027BUD_V1</t>
        </is>
      </c>
      <c r="E634" s="1" t="inlineStr">
        <is>
          <t>12</t>
        </is>
      </c>
      <c r="F634" s="1" t="n">
        <v>110279</v>
      </c>
    </row>
    <row r="635">
      <c r="A635" s="1" t="inlineStr">
        <is>
          <t>MBWAY_BOR</t>
        </is>
      </c>
      <c r="B635" s="1" t="inlineStr">
        <is>
          <t>6811</t>
        </is>
      </c>
      <c r="C635" s="1" t="inlineStr">
        <is>
          <t>2024</t>
        </is>
      </c>
      <c r="D635" s="1" t="inlineStr">
        <is>
          <t>2027BUD_V1</t>
        </is>
      </c>
      <c r="E635" s="1" t="inlineStr">
        <is>
          <t>12</t>
        </is>
      </c>
      <c r="F635" s="1" t="n">
        <v>91900</v>
      </c>
    </row>
    <row r="636">
      <c r="A636" s="1" t="inlineStr">
        <is>
          <t>ISCOM_PAR</t>
        </is>
      </c>
      <c r="B636" s="1" t="inlineStr">
        <is>
          <t>6811</t>
        </is>
      </c>
      <c r="C636" s="1" t="inlineStr">
        <is>
          <t>2024</t>
        </is>
      </c>
      <c r="D636" s="1" t="inlineStr">
        <is>
          <t>2027BUD_V1</t>
        </is>
      </c>
      <c r="E636" s="1" t="inlineStr">
        <is>
          <t>12</t>
        </is>
      </c>
      <c r="F636" s="1" t="n">
        <v>137849</v>
      </c>
    </row>
    <row r="637">
      <c r="A637" s="1" t="inlineStr">
        <is>
          <t>ISCOM_LIL</t>
        </is>
      </c>
      <c r="B637" s="1" t="inlineStr">
        <is>
          <t>6811</t>
        </is>
      </c>
      <c r="C637" s="1" t="inlineStr">
        <is>
          <t>2024</t>
        </is>
      </c>
      <c r="D637" s="1" t="inlineStr">
        <is>
          <t>2027BUD_V1</t>
        </is>
      </c>
      <c r="E637" s="1" t="inlineStr">
        <is>
          <t>12</t>
        </is>
      </c>
      <c r="F637" s="1" t="n">
        <v>91900</v>
      </c>
    </row>
    <row r="638">
      <c r="A638" s="1" t="inlineStr">
        <is>
          <t>ISCOM_TLS</t>
        </is>
      </c>
      <c r="B638" s="1" t="inlineStr">
        <is>
          <t>6811</t>
        </is>
      </c>
      <c r="C638" s="1" t="inlineStr">
        <is>
          <t>2024</t>
        </is>
      </c>
      <c r="D638" s="1" t="inlineStr">
        <is>
          <t>2027BUD_V1</t>
        </is>
      </c>
      <c r="E638" s="1" t="inlineStr">
        <is>
          <t>12</t>
        </is>
      </c>
      <c r="F638" s="1" t="n">
        <v>91900</v>
      </c>
    </row>
    <row r="639">
      <c r="A639" s="1" t="inlineStr">
        <is>
          <t>IPAC_NAN</t>
        </is>
      </c>
      <c r="B639" s="1" t="inlineStr">
        <is>
          <t>6811</t>
        </is>
      </c>
      <c r="C639" s="1" t="inlineStr">
        <is>
          <t>2024</t>
        </is>
      </c>
      <c r="D639" s="1" t="inlineStr">
        <is>
          <t>2027BUD_V1</t>
        </is>
      </c>
      <c r="E639" s="1" t="inlineStr">
        <is>
          <t>12</t>
        </is>
      </c>
      <c r="F639" s="1" t="n">
        <v>55140</v>
      </c>
    </row>
    <row r="640">
      <c r="A640" s="1" t="inlineStr">
        <is>
          <t>IPAC_REN</t>
        </is>
      </c>
      <c r="B640" s="1" t="inlineStr">
        <is>
          <t>6811</t>
        </is>
      </c>
      <c r="C640" s="1" t="inlineStr">
        <is>
          <t>2024</t>
        </is>
      </c>
      <c r="D640" s="1" t="inlineStr">
        <is>
          <t>2027BUD_V1</t>
        </is>
      </c>
      <c r="E640" s="1" t="inlineStr">
        <is>
          <t>12</t>
        </is>
      </c>
      <c r="F640" s="1" t="n">
        <v>55140</v>
      </c>
    </row>
    <row r="641">
      <c r="A641" s="1" t="inlineStr">
        <is>
          <t>IPAC_MTP</t>
        </is>
      </c>
      <c r="B641" s="1" t="inlineStr">
        <is>
          <t>6811</t>
        </is>
      </c>
      <c r="C641" s="1" t="inlineStr">
        <is>
          <t>2024</t>
        </is>
      </c>
      <c r="D641" s="1" t="inlineStr">
        <is>
          <t>2027BUD_V1</t>
        </is>
      </c>
      <c r="E641" s="1" t="inlineStr">
        <is>
          <t>12</t>
        </is>
      </c>
      <c r="F641" s="1" t="n">
        <v>55140</v>
      </c>
    </row>
    <row r="642">
      <c r="A642" s="1" t="inlineStr">
        <is>
          <t>PIGIER_LYO</t>
        </is>
      </c>
      <c r="B642" s="1" t="inlineStr">
        <is>
          <t>6811</t>
        </is>
      </c>
      <c r="C642" s="1" t="inlineStr">
        <is>
          <t>2024</t>
        </is>
      </c>
      <c r="D642" s="1" t="inlineStr">
        <is>
          <t>2027BUD_V1</t>
        </is>
      </c>
      <c r="E642" s="1" t="inlineStr">
        <is>
          <t>12</t>
        </is>
      </c>
      <c r="F642" s="1" t="n">
        <v>73520</v>
      </c>
    </row>
    <row r="643">
      <c r="A643" s="1" t="inlineStr">
        <is>
          <t>PIGIER_BOR</t>
        </is>
      </c>
      <c r="B643" s="1" t="inlineStr">
        <is>
          <t>6811</t>
        </is>
      </c>
      <c r="C643" s="1" t="inlineStr">
        <is>
          <t>2024</t>
        </is>
      </c>
      <c r="D643" s="1" t="inlineStr">
        <is>
          <t>2027BUD_V1</t>
        </is>
      </c>
      <c r="E643" s="1" t="inlineStr">
        <is>
          <t>12</t>
        </is>
      </c>
      <c r="F643" s="1" t="n">
        <v>73520</v>
      </c>
    </row>
    <row r="644">
      <c r="A644" s="1" t="inlineStr">
        <is>
          <t>TUNON_PAR</t>
        </is>
      </c>
      <c r="B644" s="1" t="inlineStr">
        <is>
          <t>6811</t>
        </is>
      </c>
      <c r="C644" s="1" t="inlineStr">
        <is>
          <t>2024</t>
        </is>
      </c>
      <c r="D644" s="1" t="inlineStr">
        <is>
          <t>2027BUD_V1</t>
        </is>
      </c>
      <c r="E644" s="1" t="inlineStr">
        <is>
          <t>12</t>
        </is>
      </c>
      <c r="F644" s="1" t="n">
        <v>55140</v>
      </c>
    </row>
    <row r="645">
      <c r="A645" s="1" t="inlineStr">
        <is>
          <t>TUNON_LYO</t>
        </is>
      </c>
      <c r="B645" s="1" t="inlineStr">
        <is>
          <t>6811</t>
        </is>
      </c>
      <c r="C645" s="1" t="inlineStr">
        <is>
          <t>2024</t>
        </is>
      </c>
      <c r="D645" s="1" t="inlineStr">
        <is>
          <t>2027BUD_V1</t>
        </is>
      </c>
      <c r="E645" s="1" t="inlineStr">
        <is>
          <t>12</t>
        </is>
      </c>
      <c r="F645" s="1" t="n">
        <v>55140</v>
      </c>
    </row>
    <row r="646">
      <c r="A646" s="1" t="inlineStr">
        <is>
          <t>MBWAY_PAR</t>
        </is>
      </c>
      <c r="B646" s="1" t="inlineStr">
        <is>
          <t>6811</t>
        </is>
      </c>
      <c r="C646" s="1" t="inlineStr">
        <is>
          <t>2025</t>
        </is>
      </c>
      <c r="D646" s="1" t="inlineStr">
        <is>
          <t>2027BUD_V1</t>
        </is>
      </c>
      <c r="E646" s="1" t="inlineStr">
        <is>
          <t>12</t>
        </is>
      </c>
      <c r="F646" s="1" t="n">
        <v>146120</v>
      </c>
    </row>
    <row r="647">
      <c r="A647" s="1" t="inlineStr">
        <is>
          <t>MBWAY_LYO</t>
        </is>
      </c>
      <c r="B647" s="1" t="inlineStr">
        <is>
          <t>6811</t>
        </is>
      </c>
      <c r="C647" s="1" t="inlineStr">
        <is>
          <t>2025</t>
        </is>
      </c>
      <c r="D647" s="1" t="inlineStr">
        <is>
          <t>2027BUD_V1</t>
        </is>
      </c>
      <c r="E647" s="1" t="inlineStr">
        <is>
          <t>12</t>
        </is>
      </c>
      <c r="F647" s="1" t="n">
        <v>126638</v>
      </c>
    </row>
    <row r="648">
      <c r="A648" s="1" t="inlineStr">
        <is>
          <t>MBWAY_NAN</t>
        </is>
      </c>
      <c r="B648" s="1" t="inlineStr">
        <is>
          <t>6811</t>
        </is>
      </c>
      <c r="C648" s="1" t="inlineStr">
        <is>
          <t>2025</t>
        </is>
      </c>
      <c r="D648" s="1" t="inlineStr">
        <is>
          <t>2027BUD_V1</t>
        </is>
      </c>
      <c r="E648" s="1" t="inlineStr">
        <is>
          <t>12</t>
        </is>
      </c>
      <c r="F648" s="1" t="n">
        <v>116896</v>
      </c>
    </row>
    <row r="649">
      <c r="A649" s="1" t="inlineStr">
        <is>
          <t>MBWAY_BOR</t>
        </is>
      </c>
      <c r="B649" s="1" t="inlineStr">
        <is>
          <t>6811</t>
        </is>
      </c>
      <c r="C649" s="1" t="inlineStr">
        <is>
          <t>2025</t>
        </is>
      </c>
      <c r="D649" s="1" t="inlineStr">
        <is>
          <t>2027BUD_V1</t>
        </is>
      </c>
      <c r="E649" s="1" t="inlineStr">
        <is>
          <t>12</t>
        </is>
      </c>
      <c r="F649" s="1" t="n">
        <v>97413</v>
      </c>
    </row>
    <row r="650">
      <c r="A650" s="1" t="inlineStr">
        <is>
          <t>ISCOM_PAR</t>
        </is>
      </c>
      <c r="B650" s="1" t="inlineStr">
        <is>
          <t>6811</t>
        </is>
      </c>
      <c r="C650" s="1" t="inlineStr">
        <is>
          <t>2025</t>
        </is>
      </c>
      <c r="D650" s="1" t="inlineStr">
        <is>
          <t>2027BUD_V1</t>
        </is>
      </c>
      <c r="E650" s="1" t="inlineStr">
        <is>
          <t>12</t>
        </is>
      </c>
      <c r="F650" s="1" t="n">
        <v>146120</v>
      </c>
    </row>
    <row r="651">
      <c r="A651" s="1" t="inlineStr">
        <is>
          <t>ISCOM_LIL</t>
        </is>
      </c>
      <c r="B651" s="1" t="inlineStr">
        <is>
          <t>6811</t>
        </is>
      </c>
      <c r="C651" s="1" t="inlineStr">
        <is>
          <t>2025</t>
        </is>
      </c>
      <c r="D651" s="1" t="inlineStr">
        <is>
          <t>2027BUD_V1</t>
        </is>
      </c>
      <c r="E651" s="1" t="inlineStr">
        <is>
          <t>12</t>
        </is>
      </c>
      <c r="F651" s="1" t="n">
        <v>97413</v>
      </c>
    </row>
    <row r="652">
      <c r="A652" s="1" t="inlineStr">
        <is>
          <t>ISCOM_TLS</t>
        </is>
      </c>
      <c r="B652" s="1" t="inlineStr">
        <is>
          <t>6811</t>
        </is>
      </c>
      <c r="C652" s="1" t="inlineStr">
        <is>
          <t>2025</t>
        </is>
      </c>
      <c r="D652" s="1" t="inlineStr">
        <is>
          <t>2027BUD_V1</t>
        </is>
      </c>
      <c r="E652" s="1" t="inlineStr">
        <is>
          <t>12</t>
        </is>
      </c>
      <c r="F652" s="1" t="n">
        <v>97413</v>
      </c>
    </row>
    <row r="653">
      <c r="A653" s="1" t="inlineStr">
        <is>
          <t>IPAC_NAN</t>
        </is>
      </c>
      <c r="B653" s="1" t="inlineStr">
        <is>
          <t>6811</t>
        </is>
      </c>
      <c r="C653" s="1" t="inlineStr">
        <is>
          <t>2025</t>
        </is>
      </c>
      <c r="D653" s="1" t="inlineStr">
        <is>
          <t>2027BUD_V1</t>
        </is>
      </c>
      <c r="E653" s="1" t="inlineStr">
        <is>
          <t>12</t>
        </is>
      </c>
      <c r="F653" s="1" t="n">
        <v>58448</v>
      </c>
    </row>
    <row r="654">
      <c r="A654" s="1" t="inlineStr">
        <is>
          <t>IPAC_REN</t>
        </is>
      </c>
      <c r="B654" s="1" t="inlineStr">
        <is>
          <t>6811</t>
        </is>
      </c>
      <c r="C654" s="1" t="inlineStr">
        <is>
          <t>2025</t>
        </is>
      </c>
      <c r="D654" s="1" t="inlineStr">
        <is>
          <t>2027BUD_V1</t>
        </is>
      </c>
      <c r="E654" s="1" t="inlineStr">
        <is>
          <t>12</t>
        </is>
      </c>
      <c r="F654" s="1" t="n">
        <v>58448</v>
      </c>
    </row>
    <row r="655">
      <c r="A655" s="1" t="inlineStr">
        <is>
          <t>IPAC_MTP</t>
        </is>
      </c>
      <c r="B655" s="1" t="inlineStr">
        <is>
          <t>6811</t>
        </is>
      </c>
      <c r="C655" s="1" t="inlineStr">
        <is>
          <t>2025</t>
        </is>
      </c>
      <c r="D655" s="1" t="inlineStr">
        <is>
          <t>2027BUD_V1</t>
        </is>
      </c>
      <c r="E655" s="1" t="inlineStr">
        <is>
          <t>12</t>
        </is>
      </c>
      <c r="F655" s="1" t="n">
        <v>58448</v>
      </c>
    </row>
    <row r="656">
      <c r="A656" s="1" t="inlineStr">
        <is>
          <t>PIGIER_LYO</t>
        </is>
      </c>
      <c r="B656" s="1" t="inlineStr">
        <is>
          <t>6811</t>
        </is>
      </c>
      <c r="C656" s="1" t="inlineStr">
        <is>
          <t>2025</t>
        </is>
      </c>
      <c r="D656" s="1" t="inlineStr">
        <is>
          <t>2027BUD_V1</t>
        </is>
      </c>
      <c r="E656" s="1" t="inlineStr">
        <is>
          <t>12</t>
        </is>
      </c>
      <c r="F656" s="1" t="n">
        <v>77931</v>
      </c>
    </row>
    <row r="657">
      <c r="A657" s="1" t="inlineStr">
        <is>
          <t>PIGIER_BOR</t>
        </is>
      </c>
      <c r="B657" s="1" t="inlineStr">
        <is>
          <t>6811</t>
        </is>
      </c>
      <c r="C657" s="1" t="inlineStr">
        <is>
          <t>2025</t>
        </is>
      </c>
      <c r="D657" s="1" t="inlineStr">
        <is>
          <t>2027BUD_V1</t>
        </is>
      </c>
      <c r="E657" s="1" t="inlineStr">
        <is>
          <t>12</t>
        </is>
      </c>
      <c r="F657" s="1" t="n">
        <v>77931</v>
      </c>
    </row>
    <row r="658">
      <c r="A658" s="1" t="inlineStr">
        <is>
          <t>TUNON_PAR</t>
        </is>
      </c>
      <c r="B658" s="1" t="inlineStr">
        <is>
          <t>6811</t>
        </is>
      </c>
      <c r="C658" s="1" t="inlineStr">
        <is>
          <t>2025</t>
        </is>
      </c>
      <c r="D658" s="1" t="inlineStr">
        <is>
          <t>2027BUD_V1</t>
        </is>
      </c>
      <c r="E658" s="1" t="inlineStr">
        <is>
          <t>12</t>
        </is>
      </c>
      <c r="F658" s="1" t="n">
        <v>58448</v>
      </c>
    </row>
    <row r="659">
      <c r="A659" s="1" t="inlineStr">
        <is>
          <t>TUNON_LYO</t>
        </is>
      </c>
      <c r="B659" s="1" t="inlineStr">
        <is>
          <t>6811</t>
        </is>
      </c>
      <c r="C659" s="1" t="inlineStr">
        <is>
          <t>2025</t>
        </is>
      </c>
      <c r="D659" s="1" t="inlineStr">
        <is>
          <t>2027BUD_V1</t>
        </is>
      </c>
      <c r="E659" s="1" t="inlineStr">
        <is>
          <t>12</t>
        </is>
      </c>
      <c r="F659" s="1" t="n">
        <v>58448</v>
      </c>
    </row>
    <row r="660">
      <c r="A660" s="1" t="inlineStr">
        <is>
          <t>MBWAY_PAR</t>
        </is>
      </c>
      <c r="B660" s="1" t="inlineStr">
        <is>
          <t>6811</t>
        </is>
      </c>
      <c r="C660" s="1" t="inlineStr">
        <is>
          <t>2026</t>
        </is>
      </c>
      <c r="D660" s="1" t="inlineStr">
        <is>
          <t>2027BUD_V1</t>
        </is>
      </c>
      <c r="E660" s="1" t="inlineStr">
        <is>
          <t>12</t>
        </is>
      </c>
      <c r="F660" s="1" t="n">
        <v>154887</v>
      </c>
    </row>
    <row r="661">
      <c r="A661" s="1" t="inlineStr">
        <is>
          <t>MBWAY_LYO</t>
        </is>
      </c>
      <c r="B661" s="1" t="inlineStr">
        <is>
          <t>6811</t>
        </is>
      </c>
      <c r="C661" s="1" t="inlineStr">
        <is>
          <t>2026</t>
        </is>
      </c>
      <c r="D661" s="1" t="inlineStr">
        <is>
          <t>2027BUD_V1</t>
        </is>
      </c>
      <c r="E661" s="1" t="inlineStr">
        <is>
          <t>12</t>
        </is>
      </c>
      <c r="F661" s="1" t="n">
        <v>134236</v>
      </c>
    </row>
    <row r="662">
      <c r="A662" s="1" t="inlineStr">
        <is>
          <t>MBWAY_NAN</t>
        </is>
      </c>
      <c r="B662" s="1" t="inlineStr">
        <is>
          <t>6811</t>
        </is>
      </c>
      <c r="C662" s="1" t="inlineStr">
        <is>
          <t>2026</t>
        </is>
      </c>
      <c r="D662" s="1" t="inlineStr">
        <is>
          <t>2027BUD_V1</t>
        </is>
      </c>
      <c r="E662" s="1" t="inlineStr">
        <is>
          <t>12</t>
        </is>
      </c>
      <c r="F662" s="1" t="n">
        <v>123910</v>
      </c>
    </row>
    <row r="663">
      <c r="A663" s="1" t="inlineStr">
        <is>
          <t>MBWAY_BOR</t>
        </is>
      </c>
      <c r="B663" s="1" t="inlineStr">
        <is>
          <t>6811</t>
        </is>
      </c>
      <c r="C663" s="1" t="inlineStr">
        <is>
          <t>2026</t>
        </is>
      </c>
      <c r="D663" s="1" t="inlineStr">
        <is>
          <t>2027BUD_V1</t>
        </is>
      </c>
      <c r="E663" s="1" t="inlineStr">
        <is>
          <t>12</t>
        </is>
      </c>
      <c r="F663" s="1" t="n">
        <v>103258</v>
      </c>
    </row>
    <row r="664">
      <c r="A664" s="1" t="inlineStr">
        <is>
          <t>ISCOM_PAR</t>
        </is>
      </c>
      <c r="B664" s="1" t="inlineStr">
        <is>
          <t>6811</t>
        </is>
      </c>
      <c r="C664" s="1" t="inlineStr">
        <is>
          <t>2026</t>
        </is>
      </c>
      <c r="D664" s="1" t="inlineStr">
        <is>
          <t>2027BUD_V1</t>
        </is>
      </c>
      <c r="E664" s="1" t="inlineStr">
        <is>
          <t>12</t>
        </is>
      </c>
      <c r="F664" s="1" t="n">
        <v>154887</v>
      </c>
    </row>
    <row r="665">
      <c r="A665" s="1" t="inlineStr">
        <is>
          <t>ISCOM_LIL</t>
        </is>
      </c>
      <c r="B665" s="1" t="inlineStr">
        <is>
          <t>6811</t>
        </is>
      </c>
      <c r="C665" s="1" t="inlineStr">
        <is>
          <t>2026</t>
        </is>
      </c>
      <c r="D665" s="1" t="inlineStr">
        <is>
          <t>2027BUD_V1</t>
        </is>
      </c>
      <c r="E665" s="1" t="inlineStr">
        <is>
          <t>12</t>
        </is>
      </c>
      <c r="F665" s="1" t="n">
        <v>103258</v>
      </c>
    </row>
    <row r="666">
      <c r="A666" s="1" t="inlineStr">
        <is>
          <t>ISCOM_TLS</t>
        </is>
      </c>
      <c r="B666" s="1" t="inlineStr">
        <is>
          <t>6811</t>
        </is>
      </c>
      <c r="C666" s="1" t="inlineStr">
        <is>
          <t>2026</t>
        </is>
      </c>
      <c r="D666" s="1" t="inlineStr">
        <is>
          <t>2027BUD_V1</t>
        </is>
      </c>
      <c r="E666" s="1" t="inlineStr">
        <is>
          <t>12</t>
        </is>
      </c>
      <c r="F666" s="1" t="n">
        <v>103258</v>
      </c>
    </row>
    <row r="667">
      <c r="A667" s="1" t="inlineStr">
        <is>
          <t>IPAC_NAN</t>
        </is>
      </c>
      <c r="B667" s="1" t="inlineStr">
        <is>
          <t>6811</t>
        </is>
      </c>
      <c r="C667" s="1" t="inlineStr">
        <is>
          <t>2026</t>
        </is>
      </c>
      <c r="D667" s="1" t="inlineStr">
        <is>
          <t>2027BUD_V1</t>
        </is>
      </c>
      <c r="E667" s="1" t="inlineStr">
        <is>
          <t>12</t>
        </is>
      </c>
      <c r="F667" s="1" t="n">
        <v>61955</v>
      </c>
    </row>
    <row r="668">
      <c r="A668" s="1" t="inlineStr">
        <is>
          <t>IPAC_REN</t>
        </is>
      </c>
      <c r="B668" s="1" t="inlineStr">
        <is>
          <t>6811</t>
        </is>
      </c>
      <c r="C668" s="1" t="inlineStr">
        <is>
          <t>2026</t>
        </is>
      </c>
      <c r="D668" s="1" t="inlineStr">
        <is>
          <t>2027BUD_V1</t>
        </is>
      </c>
      <c r="E668" s="1" t="inlineStr">
        <is>
          <t>12</t>
        </is>
      </c>
      <c r="F668" s="1" t="n">
        <v>61955</v>
      </c>
    </row>
    <row r="669">
      <c r="A669" s="1" t="inlineStr">
        <is>
          <t>IPAC_MTP</t>
        </is>
      </c>
      <c r="B669" s="1" t="inlineStr">
        <is>
          <t>6811</t>
        </is>
      </c>
      <c r="C669" s="1" t="inlineStr">
        <is>
          <t>2026</t>
        </is>
      </c>
      <c r="D669" s="1" t="inlineStr">
        <is>
          <t>2027BUD_V1</t>
        </is>
      </c>
      <c r="E669" s="1" t="inlineStr">
        <is>
          <t>12</t>
        </is>
      </c>
      <c r="F669" s="1" t="n">
        <v>61955</v>
      </c>
    </row>
    <row r="670">
      <c r="A670" s="1" t="inlineStr">
        <is>
          <t>PIGIER_LYO</t>
        </is>
      </c>
      <c r="B670" s="1" t="inlineStr">
        <is>
          <t>6811</t>
        </is>
      </c>
      <c r="C670" s="1" t="inlineStr">
        <is>
          <t>2026</t>
        </is>
      </c>
      <c r="D670" s="1" t="inlineStr">
        <is>
          <t>2027BUD_V1</t>
        </is>
      </c>
      <c r="E670" s="1" t="inlineStr">
        <is>
          <t>12</t>
        </is>
      </c>
      <c r="F670" s="1" t="n">
        <v>82607</v>
      </c>
    </row>
    <row r="671">
      <c r="A671" s="1" t="inlineStr">
        <is>
          <t>PIGIER_BOR</t>
        </is>
      </c>
      <c r="B671" s="1" t="inlineStr">
        <is>
          <t>6811</t>
        </is>
      </c>
      <c r="C671" s="1" t="inlineStr">
        <is>
          <t>2026</t>
        </is>
      </c>
      <c r="D671" s="1" t="inlineStr">
        <is>
          <t>2027BUD_V1</t>
        </is>
      </c>
      <c r="E671" s="1" t="inlineStr">
        <is>
          <t>12</t>
        </is>
      </c>
      <c r="F671" s="1" t="n">
        <v>82607</v>
      </c>
    </row>
    <row r="672">
      <c r="A672" s="1" t="inlineStr">
        <is>
          <t>TUNON_PAR</t>
        </is>
      </c>
      <c r="B672" s="1" t="inlineStr">
        <is>
          <t>6811</t>
        </is>
      </c>
      <c r="C672" s="1" t="inlineStr">
        <is>
          <t>2026</t>
        </is>
      </c>
      <c r="D672" s="1" t="inlineStr">
        <is>
          <t>2027BUD_V1</t>
        </is>
      </c>
      <c r="E672" s="1" t="inlineStr">
        <is>
          <t>12</t>
        </is>
      </c>
      <c r="F672" s="1" t="n">
        <v>61955</v>
      </c>
    </row>
    <row r="673">
      <c r="A673" s="1" t="inlineStr">
        <is>
          <t>TUNON_LYO</t>
        </is>
      </c>
      <c r="B673" s="1" t="inlineStr">
        <is>
          <t>6811</t>
        </is>
      </c>
      <c r="C673" s="1" t="inlineStr">
        <is>
          <t>2026</t>
        </is>
      </c>
      <c r="D673" s="1" t="inlineStr">
        <is>
          <t>2027BUD_V1</t>
        </is>
      </c>
      <c r="E673" s="1" t="inlineStr">
        <is>
          <t>12</t>
        </is>
      </c>
      <c r="F673" s="1" t="n">
        <v>61955</v>
      </c>
    </row>
    <row r="674">
      <c r="A674" s="1" t="inlineStr">
        <is>
          <t>GRP</t>
        </is>
      </c>
      <c r="B674" s="1" t="inlineStr">
        <is>
          <t>TEC_PL</t>
        </is>
      </c>
      <c r="C674" s="1" t="inlineStr">
        <is>
          <t>2027</t>
        </is>
      </c>
      <c r="D674" s="1" t="inlineStr">
        <is>
          <t>2027BUD_V1</t>
        </is>
      </c>
      <c r="E674" s="1" t="inlineStr">
        <is>
          <t>12</t>
        </is>
      </c>
      <c r="F674" s="1" t="n">
        <v>0.05</v>
      </c>
    </row>
    <row r="675">
      <c r="A675" s="1" t="inlineStr">
        <is>
          <t>GRP</t>
        </is>
      </c>
      <c r="B675" s="1" t="inlineStr">
        <is>
          <t>TEC_EBITDA</t>
        </is>
      </c>
      <c r="C675" s="1" t="inlineStr">
        <is>
          <t>2027</t>
        </is>
      </c>
      <c r="D675" s="1" t="inlineStr">
        <is>
          <t>2027BUD_V1</t>
        </is>
      </c>
      <c r="E675" s="1" t="inlineStr">
        <is>
          <t>12</t>
        </is>
      </c>
      <c r="F675" t="n">
        <v>0.15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2" sqref="A2"/>
    </sheetView>
  </sheetViews>
  <sheetFormatPr baseColWidth="10" defaultRowHeight="14.25"/>
  <sheetData>
    <row r="1">
      <c r="A1" s="1" t="inlineStr">
        <is>
          <t>Entity</t>
        </is>
      </c>
      <c r="B1" s="1" t="inlineStr">
        <is>
          <t>Account</t>
        </is>
      </c>
      <c r="C1" s="1" t="inlineStr">
        <is>
          <t>EXERCICE</t>
        </is>
      </c>
      <c r="D1" s="1" t="inlineStr">
        <is>
          <t>Scenario</t>
        </is>
      </c>
      <c r="E1" s="1" t="inlineStr">
        <is>
          <t>Period</t>
        </is>
      </c>
      <c r="F1" s="1" t="inlineStr">
        <is>
          <t>Amount</t>
        </is>
      </c>
    </row>
    <row r="2">
      <c r="A2" t="n">
        <v>1000</v>
      </c>
      <c r="B2" t="n">
        <v>1000</v>
      </c>
      <c r="C2" t="n">
        <v>1000</v>
      </c>
      <c r="D2" t="n">
        <v>1000</v>
      </c>
      <c r="E2" t="n">
        <v>1000</v>
      </c>
      <c r="F2" t="n">
        <v>1000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347"/>
  <sheetViews>
    <sheetView workbookViewId="0">
      <selection activeCell="A1" sqref="A1"/>
    </sheetView>
  </sheetViews>
  <sheetFormatPr baseColWidth="10" defaultRowHeight="14.25"/>
  <cols>
    <col width="15" customWidth="1" min="8" max="8"/>
    <col width="13" customWidth="1" min="9" max="9"/>
  </cols>
  <sheetData>
    <row r="1">
      <c r="A1" s="1" t="inlineStr">
        <is>
          <t>ENTITY</t>
        </is>
      </c>
      <c r="B1" s="1" t="inlineStr">
        <is>
          <t>ACCOUNT</t>
        </is>
      </c>
      <c r="C1" s="1" t="inlineStr">
        <is>
          <t>EXERCICE</t>
        </is>
      </c>
      <c r="D1" s="1" t="inlineStr">
        <is>
          <t>VERSION</t>
        </is>
      </c>
      <c r="E1" s="1" t="inlineStr">
        <is>
          <t>SCENARIO</t>
        </is>
      </c>
      <c r="F1" s="1" t="inlineStr">
        <is>
          <t>PERIOD</t>
        </is>
      </c>
      <c r="G1" s="1" t="inlineStr">
        <is>
          <t>AMOUNT</t>
        </is>
      </c>
      <c r="H1" s="24" t="inlineStr">
        <is>
          <t>🟢 AMOUNT (live)</t>
        </is>
      </c>
      <c r="I1" s="24" t="inlineStr">
        <is>
          <t>Δ vs Tagetik</t>
        </is>
      </c>
    </row>
    <row r="2">
      <c r="A2" s="1" t="inlineStr">
        <is>
          <t>MBWAY_PAR</t>
        </is>
      </c>
      <c r="B2" s="1" t="inlineStr">
        <is>
          <t>7062</t>
        </is>
      </c>
      <c r="C2" s="1" t="inlineStr">
        <is>
          <t>2024</t>
        </is>
      </c>
      <c r="D2" s="1" t="inlineStr">
        <is>
          <t>ACT</t>
        </is>
      </c>
      <c r="E2" s="1" t="inlineStr">
        <is>
          <t>2027BUD_V1</t>
        </is>
      </c>
      <c r="F2" s="1" t="inlineStr">
        <is>
          <t>12</t>
        </is>
      </c>
      <c r="G2" s="1" t="n">
        <v>2197935</v>
      </c>
      <c r="H2" s="25">
        <f>_CALC_PNL!P2</f>
        <v/>
      </c>
      <c r="I2" s="25">
        <f>IF(_CALC_PNL!E2=1,H2-G2,"")</f>
        <v/>
      </c>
    </row>
    <row r="3">
      <c r="A3" s="1" t="inlineStr">
        <is>
          <t>MBWAY_LYO</t>
        </is>
      </c>
      <c r="B3" s="1" t="inlineStr">
        <is>
          <t>7062</t>
        </is>
      </c>
      <c r="C3" s="1" t="inlineStr">
        <is>
          <t>2024</t>
        </is>
      </c>
      <c r="D3" s="1" t="inlineStr">
        <is>
          <t>ACT</t>
        </is>
      </c>
      <c r="E3" s="1" t="inlineStr">
        <is>
          <t>2027BUD_V1</t>
        </is>
      </c>
      <c r="F3" s="1" t="inlineStr">
        <is>
          <t>12</t>
        </is>
      </c>
      <c r="G3" s="1" t="n">
        <v>1748910</v>
      </c>
      <c r="H3" s="25">
        <f>_CALC_PNL!P3</f>
        <v/>
      </c>
      <c r="I3" s="25">
        <f>IF(_CALC_PNL!E3=1,H3-G3,"")</f>
        <v/>
      </c>
    </row>
    <row r="4">
      <c r="A4" s="1" t="inlineStr">
        <is>
          <t>MBWAY_NAN</t>
        </is>
      </c>
      <c r="B4" s="1" t="inlineStr">
        <is>
          <t>7062</t>
        </is>
      </c>
      <c r="C4" s="1" t="inlineStr">
        <is>
          <t>2024</t>
        </is>
      </c>
      <c r="D4" s="1" t="inlineStr">
        <is>
          <t>ACT</t>
        </is>
      </c>
      <c r="E4" s="1" t="inlineStr">
        <is>
          <t>2027BUD_V1</t>
        </is>
      </c>
      <c r="F4" s="1" t="inlineStr">
        <is>
          <t>12</t>
        </is>
      </c>
      <c r="G4" s="1" t="n">
        <v>1510769</v>
      </c>
      <c r="H4" s="25">
        <f>_CALC_PNL!P4</f>
        <v/>
      </c>
      <c r="I4" s="25">
        <f>IF(_CALC_PNL!E4=1,H4-G4,"")</f>
        <v/>
      </c>
    </row>
    <row r="5">
      <c r="A5" s="1" t="inlineStr">
        <is>
          <t>MBWAY_BOR</t>
        </is>
      </c>
      <c r="B5" s="1" t="inlineStr">
        <is>
          <t>7062</t>
        </is>
      </c>
      <c r="C5" s="1" t="inlineStr">
        <is>
          <t>2024</t>
        </is>
      </c>
      <c r="D5" s="1" t="inlineStr">
        <is>
          <t>ACT</t>
        </is>
      </c>
      <c r="E5" s="1" t="inlineStr">
        <is>
          <t>2027BUD_V1</t>
        </is>
      </c>
      <c r="F5" s="1" t="inlineStr">
        <is>
          <t>12</t>
        </is>
      </c>
      <c r="G5" s="1" t="n">
        <v>1240125</v>
      </c>
      <c r="H5" s="25">
        <f>_CALC_PNL!P5</f>
        <v/>
      </c>
      <c r="I5" s="25">
        <f>IF(_CALC_PNL!E5=1,H5-G5,"")</f>
        <v/>
      </c>
    </row>
    <row r="6">
      <c r="A6" s="1" t="inlineStr">
        <is>
          <t>ISCOM_PAR</t>
        </is>
      </c>
      <c r="B6" s="1" t="inlineStr">
        <is>
          <t>7062</t>
        </is>
      </c>
      <c r="C6" s="1" t="inlineStr">
        <is>
          <t>2024</t>
        </is>
      </c>
      <c r="D6" s="1" t="inlineStr">
        <is>
          <t>ACT</t>
        </is>
      </c>
      <c r="E6" s="1" t="inlineStr">
        <is>
          <t>2027BUD_V1</t>
        </is>
      </c>
      <c r="F6" s="1" t="inlineStr">
        <is>
          <t>12</t>
        </is>
      </c>
      <c r="G6" s="1" t="n">
        <v>2038946</v>
      </c>
      <c r="H6" s="25">
        <f>_CALC_PNL!P6</f>
        <v/>
      </c>
      <c r="I6" s="25">
        <f>IF(_CALC_PNL!E6=1,H6-G6,"")</f>
        <v/>
      </c>
    </row>
    <row r="7">
      <c r="A7" s="1" t="inlineStr">
        <is>
          <t>ISCOM_LIL</t>
        </is>
      </c>
      <c r="B7" s="1" t="inlineStr">
        <is>
          <t>7062</t>
        </is>
      </c>
      <c r="C7" s="1" t="inlineStr">
        <is>
          <t>2024</t>
        </is>
      </c>
      <c r="D7" s="1" t="inlineStr">
        <is>
          <t>ACT</t>
        </is>
      </c>
      <c r="E7" s="1" t="inlineStr">
        <is>
          <t>2027BUD_V1</t>
        </is>
      </c>
      <c r="F7" s="1" t="inlineStr">
        <is>
          <t>12</t>
        </is>
      </c>
      <c r="G7" s="1" t="n">
        <v>1227617</v>
      </c>
      <c r="H7" s="25">
        <f>_CALC_PNL!P7</f>
        <v/>
      </c>
      <c r="I7" s="25">
        <f>IF(_CALC_PNL!E7=1,H7-G7,"")</f>
        <v/>
      </c>
    </row>
    <row r="8">
      <c r="A8" s="1" t="inlineStr">
        <is>
          <t>ISCOM_TLS</t>
        </is>
      </c>
      <c r="B8" s="1" t="inlineStr">
        <is>
          <t>7062</t>
        </is>
      </c>
      <c r="C8" s="1" t="inlineStr">
        <is>
          <t>2024</t>
        </is>
      </c>
      <c r="D8" s="1" t="inlineStr">
        <is>
          <t>ACT</t>
        </is>
      </c>
      <c r="E8" s="1" t="inlineStr">
        <is>
          <t>2027BUD_V1</t>
        </is>
      </c>
      <c r="F8" s="1" t="inlineStr">
        <is>
          <t>12</t>
        </is>
      </c>
      <c r="G8" s="1" t="n">
        <v>1140192</v>
      </c>
      <c r="H8" s="25">
        <f>_CALC_PNL!P8</f>
        <v/>
      </c>
      <c r="I8" s="25">
        <f>IF(_CALC_PNL!E8=1,H8-G8,"")</f>
        <v/>
      </c>
    </row>
    <row r="9">
      <c r="A9" s="1" t="inlineStr">
        <is>
          <t>IPAC_NAN</t>
        </is>
      </c>
      <c r="B9" s="1" t="inlineStr">
        <is>
          <t>7062</t>
        </is>
      </c>
      <c r="C9" s="1" t="inlineStr">
        <is>
          <t>2024</t>
        </is>
      </c>
      <c r="D9" s="1" t="inlineStr">
        <is>
          <t>ACT</t>
        </is>
      </c>
      <c r="E9" s="1" t="inlineStr">
        <is>
          <t>2027BUD_V1</t>
        </is>
      </c>
      <c r="F9" s="1" t="inlineStr">
        <is>
          <t>12</t>
        </is>
      </c>
      <c r="G9" s="1" t="n">
        <v>903346</v>
      </c>
      <c r="H9" s="25">
        <f>_CALC_PNL!P9</f>
        <v/>
      </c>
      <c r="I9" s="25">
        <f>IF(_CALC_PNL!E9=1,H9-G9,"")</f>
        <v/>
      </c>
    </row>
    <row r="10">
      <c r="A10" s="1" t="inlineStr">
        <is>
          <t>IPAC_REN</t>
        </is>
      </c>
      <c r="B10" s="1" t="inlineStr">
        <is>
          <t>7062</t>
        </is>
      </c>
      <c r="C10" s="1" t="inlineStr">
        <is>
          <t>2024</t>
        </is>
      </c>
      <c r="D10" s="1" t="inlineStr">
        <is>
          <t>ACT</t>
        </is>
      </c>
      <c r="E10" s="1" t="inlineStr">
        <is>
          <t>2027BUD_V1</t>
        </is>
      </c>
      <c r="F10" s="1" t="inlineStr">
        <is>
          <t>12</t>
        </is>
      </c>
      <c r="G10" s="1" t="n">
        <v>692462</v>
      </c>
      <c r="H10" s="25">
        <f>_CALC_PNL!P10</f>
        <v/>
      </c>
      <c r="I10" s="25">
        <f>IF(_CALC_PNL!E10=1,H10-G10,"")</f>
        <v/>
      </c>
    </row>
    <row r="11">
      <c r="A11" s="1" t="inlineStr">
        <is>
          <t>IPAC_MTP</t>
        </is>
      </c>
      <c r="B11" s="1" t="inlineStr">
        <is>
          <t>7062</t>
        </is>
      </c>
      <c r="C11" s="1" t="inlineStr">
        <is>
          <t>2024</t>
        </is>
      </c>
      <c r="D11" s="1" t="inlineStr">
        <is>
          <t>ACT</t>
        </is>
      </c>
      <c r="E11" s="1" t="inlineStr">
        <is>
          <t>2027BUD_V1</t>
        </is>
      </c>
      <c r="F11" s="1" t="inlineStr">
        <is>
          <t>12</t>
        </is>
      </c>
      <c r="G11" s="1" t="n">
        <v>692462</v>
      </c>
      <c r="H11" s="25">
        <f>_CALC_PNL!P11</f>
        <v/>
      </c>
      <c r="I11" s="25">
        <f>IF(_CALC_PNL!E11=1,H11-G11,"")</f>
        <v/>
      </c>
    </row>
    <row r="12">
      <c r="A12" s="1" t="inlineStr">
        <is>
          <t>PIGIER_LYO</t>
        </is>
      </c>
      <c r="B12" s="1" t="inlineStr">
        <is>
          <t>7062</t>
        </is>
      </c>
      <c r="C12" s="1" t="inlineStr">
        <is>
          <t>2024</t>
        </is>
      </c>
      <c r="D12" s="1" t="inlineStr">
        <is>
          <t>ACT</t>
        </is>
      </c>
      <c r="E12" s="1" t="inlineStr">
        <is>
          <t>2027BUD_V1</t>
        </is>
      </c>
      <c r="F12" s="1" t="inlineStr">
        <is>
          <t>12</t>
        </is>
      </c>
      <c r="G12" s="1" t="n">
        <v>1105509</v>
      </c>
      <c r="H12" s="25">
        <f>_CALC_PNL!P12</f>
        <v/>
      </c>
      <c r="I12" s="25">
        <f>IF(_CALC_PNL!E12=1,H12-G12,"")</f>
        <v/>
      </c>
    </row>
    <row r="13">
      <c r="A13" s="1" t="inlineStr">
        <is>
          <t>PIGIER_BOR</t>
        </is>
      </c>
      <c r="B13" s="1" t="inlineStr">
        <is>
          <t>7062</t>
        </is>
      </c>
      <c r="C13" s="1" t="inlineStr">
        <is>
          <t>2024</t>
        </is>
      </c>
      <c r="D13" s="1" t="inlineStr">
        <is>
          <t>ACT</t>
        </is>
      </c>
      <c r="E13" s="1" t="inlineStr">
        <is>
          <t>2027BUD_V1</t>
        </is>
      </c>
      <c r="F13" s="1" t="inlineStr">
        <is>
          <t>12</t>
        </is>
      </c>
      <c r="G13" s="1" t="n">
        <v>796823</v>
      </c>
      <c r="H13" s="25">
        <f>_CALC_PNL!P13</f>
        <v/>
      </c>
      <c r="I13" s="25">
        <f>IF(_CALC_PNL!E13=1,H13-G13,"")</f>
        <v/>
      </c>
    </row>
    <row r="14">
      <c r="A14" s="1" t="inlineStr">
        <is>
          <t>TUNON_PAR</t>
        </is>
      </c>
      <c r="B14" s="1" t="inlineStr">
        <is>
          <t>7062</t>
        </is>
      </c>
      <c r="C14" s="1" t="inlineStr">
        <is>
          <t>2024</t>
        </is>
      </c>
      <c r="D14" s="1" t="inlineStr">
        <is>
          <t>ACT</t>
        </is>
      </c>
      <c r="E14" s="1" t="inlineStr">
        <is>
          <t>2027BUD_V1</t>
        </is>
      </c>
      <c r="F14" s="1" t="inlineStr">
        <is>
          <t>12</t>
        </is>
      </c>
      <c r="G14" s="1" t="n">
        <v>962905</v>
      </c>
      <c r="H14" s="25">
        <f>_CALC_PNL!P14</f>
        <v/>
      </c>
      <c r="I14" s="25">
        <f>IF(_CALC_PNL!E14=1,H14-G14,"")</f>
        <v/>
      </c>
    </row>
    <row r="15">
      <c r="A15" s="1" t="inlineStr">
        <is>
          <t>TUNON_LYO</t>
        </is>
      </c>
      <c r="B15" s="1" t="inlineStr">
        <is>
          <t>7062</t>
        </is>
      </c>
      <c r="C15" s="1" t="inlineStr">
        <is>
          <t>2024</t>
        </is>
      </c>
      <c r="D15" s="1" t="inlineStr">
        <is>
          <t>ACT</t>
        </is>
      </c>
      <c r="E15" s="1" t="inlineStr">
        <is>
          <t>2027BUD_V1</t>
        </is>
      </c>
      <c r="F15" s="1" t="inlineStr">
        <is>
          <t>12</t>
        </is>
      </c>
      <c r="G15" s="1" t="n">
        <v>765352</v>
      </c>
      <c r="H15" s="25">
        <f>_CALC_PNL!P15</f>
        <v/>
      </c>
      <c r="I15" s="25">
        <f>IF(_CALC_PNL!E15=1,H15-G15,"")</f>
        <v/>
      </c>
    </row>
    <row r="16">
      <c r="A16" s="1" t="inlineStr">
        <is>
          <t>MBWAY_PAR</t>
        </is>
      </c>
      <c r="B16" s="1" t="inlineStr">
        <is>
          <t>7062</t>
        </is>
      </c>
      <c r="C16" s="1" t="inlineStr">
        <is>
          <t>2025</t>
        </is>
      </c>
      <c r="D16" s="1" t="inlineStr">
        <is>
          <t>ACT</t>
        </is>
      </c>
      <c r="E16" s="1" t="inlineStr">
        <is>
          <t>2027BUD_V1</t>
        </is>
      </c>
      <c r="F16" s="1" t="inlineStr">
        <is>
          <t>12</t>
        </is>
      </c>
      <c r="G16" s="1" t="n">
        <v>2329811</v>
      </c>
      <c r="H16" s="25">
        <f>_CALC_PNL!P16</f>
        <v/>
      </c>
      <c r="I16" s="25">
        <f>IF(_CALC_PNL!E16=1,H16-G16,"")</f>
        <v/>
      </c>
    </row>
    <row r="17">
      <c r="A17" s="1" t="inlineStr">
        <is>
          <t>MBWAY_LYO</t>
        </is>
      </c>
      <c r="B17" s="1" t="inlineStr">
        <is>
          <t>7062</t>
        </is>
      </c>
      <c r="C17" s="1" t="inlineStr">
        <is>
          <t>2025</t>
        </is>
      </c>
      <c r="D17" s="1" t="inlineStr">
        <is>
          <t>ACT</t>
        </is>
      </c>
      <c r="E17" s="1" t="inlineStr">
        <is>
          <t>2027BUD_V1</t>
        </is>
      </c>
      <c r="F17" s="1" t="inlineStr">
        <is>
          <t>12</t>
        </is>
      </c>
      <c r="G17" s="1" t="n">
        <v>1853844</v>
      </c>
      <c r="H17" s="25">
        <f>_CALC_PNL!P17</f>
        <v/>
      </c>
      <c r="I17" s="25">
        <f>IF(_CALC_PNL!E17=1,H17-G17,"")</f>
        <v/>
      </c>
    </row>
    <row r="18">
      <c r="A18" s="1" t="inlineStr">
        <is>
          <t>MBWAY_NAN</t>
        </is>
      </c>
      <c r="B18" s="1" t="inlineStr">
        <is>
          <t>7062</t>
        </is>
      </c>
      <c r="C18" s="1" t="inlineStr">
        <is>
          <t>2025</t>
        </is>
      </c>
      <c r="D18" s="1" t="inlineStr">
        <is>
          <t>ACT</t>
        </is>
      </c>
      <c r="E18" s="1" t="inlineStr">
        <is>
          <t>2027BUD_V1</t>
        </is>
      </c>
      <c r="F18" s="1" t="inlineStr">
        <is>
          <t>12</t>
        </is>
      </c>
      <c r="G18" s="1" t="n">
        <v>1601415</v>
      </c>
      <c r="H18" s="25">
        <f>_CALC_PNL!P18</f>
        <v/>
      </c>
      <c r="I18" s="25">
        <f>IF(_CALC_PNL!E18=1,H18-G18,"")</f>
        <v/>
      </c>
    </row>
    <row r="19">
      <c r="A19" s="1" t="inlineStr">
        <is>
          <t>MBWAY_BOR</t>
        </is>
      </c>
      <c r="B19" s="1" t="inlineStr">
        <is>
          <t>7062</t>
        </is>
      </c>
      <c r="C19" s="1" t="inlineStr">
        <is>
          <t>2025</t>
        </is>
      </c>
      <c r="D19" s="1" t="inlineStr">
        <is>
          <t>ACT</t>
        </is>
      </c>
      <c r="E19" s="1" t="inlineStr">
        <is>
          <t>2027BUD_V1</t>
        </is>
      </c>
      <c r="F19" s="1" t="inlineStr">
        <is>
          <t>12</t>
        </is>
      </c>
      <c r="G19" s="1" t="n">
        <v>1314533</v>
      </c>
      <c r="H19" s="25">
        <f>_CALC_PNL!P19</f>
        <v/>
      </c>
      <c r="I19" s="25">
        <f>IF(_CALC_PNL!E19=1,H19-G19,"")</f>
        <v/>
      </c>
    </row>
    <row r="20">
      <c r="A20" s="1" t="inlineStr">
        <is>
          <t>ISCOM_PAR</t>
        </is>
      </c>
      <c r="B20" s="1" t="inlineStr">
        <is>
          <t>7062</t>
        </is>
      </c>
      <c r="C20" s="1" t="inlineStr">
        <is>
          <t>2025</t>
        </is>
      </c>
      <c r="D20" s="1" t="inlineStr">
        <is>
          <t>ACT</t>
        </is>
      </c>
      <c r="E20" s="1" t="inlineStr">
        <is>
          <t>2027BUD_V1</t>
        </is>
      </c>
      <c r="F20" s="1" t="inlineStr">
        <is>
          <t>12</t>
        </is>
      </c>
      <c r="G20" s="1" t="n">
        <v>2161283</v>
      </c>
      <c r="H20" s="25">
        <f>_CALC_PNL!P20</f>
        <v/>
      </c>
      <c r="I20" s="25">
        <f>IF(_CALC_PNL!E20=1,H20-G20,"")</f>
        <v/>
      </c>
    </row>
    <row r="21">
      <c r="A21" s="1" t="inlineStr">
        <is>
          <t>ISCOM_LIL</t>
        </is>
      </c>
      <c r="B21" s="1" t="inlineStr">
        <is>
          <t>7062</t>
        </is>
      </c>
      <c r="C21" s="1" t="inlineStr">
        <is>
          <t>2025</t>
        </is>
      </c>
      <c r="D21" s="1" t="inlineStr">
        <is>
          <t>ACT</t>
        </is>
      </c>
      <c r="E21" s="1" t="inlineStr">
        <is>
          <t>2027BUD_V1</t>
        </is>
      </c>
      <c r="F21" s="1" t="inlineStr">
        <is>
          <t>12</t>
        </is>
      </c>
      <c r="G21" s="1" t="n">
        <v>1301274</v>
      </c>
      <c r="H21" s="25">
        <f>_CALC_PNL!P21</f>
        <v/>
      </c>
      <c r="I21" s="25">
        <f>IF(_CALC_PNL!E21=1,H21-G21,"")</f>
        <v/>
      </c>
    </row>
    <row r="22">
      <c r="A22" s="1" t="inlineStr">
        <is>
          <t>ISCOM_TLS</t>
        </is>
      </c>
      <c r="B22" s="1" t="inlineStr">
        <is>
          <t>7062</t>
        </is>
      </c>
      <c r="C22" s="1" t="inlineStr">
        <is>
          <t>2025</t>
        </is>
      </c>
      <c r="D22" s="1" t="inlineStr">
        <is>
          <t>ACT</t>
        </is>
      </c>
      <c r="E22" s="1" t="inlineStr">
        <is>
          <t>2027BUD_V1</t>
        </is>
      </c>
      <c r="F22" s="1" t="inlineStr">
        <is>
          <t>12</t>
        </is>
      </c>
      <c r="G22" s="1" t="n">
        <v>1208604</v>
      </c>
      <c r="H22" s="25">
        <f>_CALC_PNL!P22</f>
        <v/>
      </c>
      <c r="I22" s="25">
        <f>IF(_CALC_PNL!E22=1,H22-G22,"")</f>
        <v/>
      </c>
    </row>
    <row r="23">
      <c r="A23" s="1" t="inlineStr">
        <is>
          <t>IPAC_NAN</t>
        </is>
      </c>
      <c r="B23" s="1" t="inlineStr">
        <is>
          <t>7062</t>
        </is>
      </c>
      <c r="C23" s="1" t="inlineStr">
        <is>
          <t>2025</t>
        </is>
      </c>
      <c r="D23" s="1" t="inlineStr">
        <is>
          <t>ACT</t>
        </is>
      </c>
      <c r="E23" s="1" t="inlineStr">
        <is>
          <t>2027BUD_V1</t>
        </is>
      </c>
      <c r="F23" s="1" t="inlineStr">
        <is>
          <t>12</t>
        </is>
      </c>
      <c r="G23" s="1" t="n">
        <v>957547</v>
      </c>
      <c r="H23" s="25">
        <f>_CALC_PNL!P23</f>
        <v/>
      </c>
      <c r="I23" s="25">
        <f>IF(_CALC_PNL!E23=1,H23-G23,"")</f>
        <v/>
      </c>
    </row>
    <row r="24">
      <c r="A24" s="1" t="inlineStr">
        <is>
          <t>IPAC_REN</t>
        </is>
      </c>
      <c r="B24" s="1" t="inlineStr">
        <is>
          <t>7062</t>
        </is>
      </c>
      <c r="C24" s="1" t="inlineStr">
        <is>
          <t>2025</t>
        </is>
      </c>
      <c r="D24" s="1" t="inlineStr">
        <is>
          <t>ACT</t>
        </is>
      </c>
      <c r="E24" s="1" t="inlineStr">
        <is>
          <t>2027BUD_V1</t>
        </is>
      </c>
      <c r="F24" s="1" t="inlineStr">
        <is>
          <t>12</t>
        </is>
      </c>
      <c r="G24" s="1" t="n">
        <v>734009</v>
      </c>
      <c r="H24" s="25">
        <f>_CALC_PNL!P24</f>
        <v/>
      </c>
      <c r="I24" s="25">
        <f>IF(_CALC_PNL!E24=1,H24-G24,"")</f>
        <v/>
      </c>
    </row>
    <row r="25">
      <c r="A25" s="1" t="inlineStr">
        <is>
          <t>IPAC_MTP</t>
        </is>
      </c>
      <c r="B25" s="1" t="inlineStr">
        <is>
          <t>7062</t>
        </is>
      </c>
      <c r="C25" s="1" t="inlineStr">
        <is>
          <t>2025</t>
        </is>
      </c>
      <c r="D25" s="1" t="inlineStr">
        <is>
          <t>ACT</t>
        </is>
      </c>
      <c r="E25" s="1" t="inlineStr">
        <is>
          <t>2027BUD_V1</t>
        </is>
      </c>
      <c r="F25" s="1" t="inlineStr">
        <is>
          <t>12</t>
        </is>
      </c>
      <c r="G25" s="1" t="n">
        <v>734009</v>
      </c>
      <c r="H25" s="25">
        <f>_CALC_PNL!P25</f>
        <v/>
      </c>
      <c r="I25" s="25">
        <f>IF(_CALC_PNL!E25=1,H25-G25,"")</f>
        <v/>
      </c>
    </row>
    <row r="26">
      <c r="A26" s="1" t="inlineStr">
        <is>
          <t>PIGIER_LYO</t>
        </is>
      </c>
      <c r="B26" s="1" t="inlineStr">
        <is>
          <t>7062</t>
        </is>
      </c>
      <c r="C26" s="1" t="inlineStr">
        <is>
          <t>2025</t>
        </is>
      </c>
      <c r="D26" s="1" t="inlineStr">
        <is>
          <t>ACT</t>
        </is>
      </c>
      <c r="E26" s="1" t="inlineStr">
        <is>
          <t>2027BUD_V1</t>
        </is>
      </c>
      <c r="F26" s="1" t="inlineStr">
        <is>
          <t>12</t>
        </is>
      </c>
      <c r="G26" s="1" t="n">
        <v>1171840</v>
      </c>
      <c r="H26" s="25">
        <f>_CALC_PNL!P26</f>
        <v/>
      </c>
      <c r="I26" s="25">
        <f>IF(_CALC_PNL!E26=1,H26-G26,"")</f>
        <v/>
      </c>
    </row>
    <row r="27">
      <c r="A27" s="1" t="inlineStr">
        <is>
          <t>PIGIER_BOR</t>
        </is>
      </c>
      <c r="B27" s="1" t="inlineStr">
        <is>
          <t>7062</t>
        </is>
      </c>
      <c r="C27" s="1" t="inlineStr">
        <is>
          <t>2025</t>
        </is>
      </c>
      <c r="D27" s="1" t="inlineStr">
        <is>
          <t>ACT</t>
        </is>
      </c>
      <c r="E27" s="1" t="inlineStr">
        <is>
          <t>2027BUD_V1</t>
        </is>
      </c>
      <c r="F27" s="1" t="inlineStr">
        <is>
          <t>12</t>
        </is>
      </c>
      <c r="G27" s="1" t="n">
        <v>844632</v>
      </c>
      <c r="H27" s="25">
        <f>_CALC_PNL!P27</f>
        <v/>
      </c>
      <c r="I27" s="25">
        <f>IF(_CALC_PNL!E27=1,H27-G27,"")</f>
        <v/>
      </c>
    </row>
    <row r="28">
      <c r="A28" s="1" t="inlineStr">
        <is>
          <t>TUNON_PAR</t>
        </is>
      </c>
      <c r="B28" s="1" t="inlineStr">
        <is>
          <t>7062</t>
        </is>
      </c>
      <c r="C28" s="1" t="inlineStr">
        <is>
          <t>2025</t>
        </is>
      </c>
      <c r="D28" s="1" t="inlineStr">
        <is>
          <t>ACT</t>
        </is>
      </c>
      <c r="E28" s="1" t="inlineStr">
        <is>
          <t>2027BUD_V1</t>
        </is>
      </c>
      <c r="F28" s="1" t="inlineStr">
        <is>
          <t>12</t>
        </is>
      </c>
      <c r="G28" s="1" t="n">
        <v>1020679</v>
      </c>
      <c r="H28" s="25">
        <f>_CALC_PNL!P28</f>
        <v/>
      </c>
      <c r="I28" s="25">
        <f>IF(_CALC_PNL!E28=1,H28-G28,"")</f>
        <v/>
      </c>
    </row>
    <row r="29">
      <c r="A29" s="1" t="inlineStr">
        <is>
          <t>TUNON_LYO</t>
        </is>
      </c>
      <c r="B29" s="1" t="inlineStr">
        <is>
          <t>7062</t>
        </is>
      </c>
      <c r="C29" s="1" t="inlineStr">
        <is>
          <t>2025</t>
        </is>
      </c>
      <c r="D29" s="1" t="inlineStr">
        <is>
          <t>ACT</t>
        </is>
      </c>
      <c r="E29" s="1" t="inlineStr">
        <is>
          <t>2027BUD_V1</t>
        </is>
      </c>
      <c r="F29" s="1" t="inlineStr">
        <is>
          <t>12</t>
        </is>
      </c>
      <c r="G29" s="1" t="n">
        <v>811274</v>
      </c>
      <c r="H29" s="25">
        <f>_CALC_PNL!P29</f>
        <v/>
      </c>
      <c r="I29" s="25">
        <f>IF(_CALC_PNL!E29=1,H29-G29,"")</f>
        <v/>
      </c>
    </row>
    <row r="30">
      <c r="A30" s="1" t="inlineStr">
        <is>
          <t>MBWAY_PAR</t>
        </is>
      </c>
      <c r="B30" s="1" t="inlineStr">
        <is>
          <t>7062</t>
        </is>
      </c>
      <c r="C30" s="1" t="inlineStr">
        <is>
          <t>2026</t>
        </is>
      </c>
      <c r="D30" s="1" t="inlineStr">
        <is>
          <t>ACT</t>
        </is>
      </c>
      <c r="E30" s="1" t="inlineStr">
        <is>
          <t>2027BUD_V1</t>
        </is>
      </c>
      <c r="F30" s="1" t="inlineStr">
        <is>
          <t>12</t>
        </is>
      </c>
      <c r="G30" s="1" t="n">
        <v>2469600</v>
      </c>
      <c r="H30" s="25">
        <f>_CALC_PNL!P30</f>
        <v/>
      </c>
      <c r="I30" s="25">
        <f>IF(_CALC_PNL!E30=1,H30-G30,"")</f>
        <v/>
      </c>
    </row>
    <row r="31">
      <c r="A31" s="1" t="inlineStr">
        <is>
          <t>MBWAY_LYO</t>
        </is>
      </c>
      <c r="B31" s="1" t="inlineStr">
        <is>
          <t>7062</t>
        </is>
      </c>
      <c r="C31" s="1" t="inlineStr">
        <is>
          <t>2026</t>
        </is>
      </c>
      <c r="D31" s="1" t="inlineStr">
        <is>
          <t>ACT</t>
        </is>
      </c>
      <c r="E31" s="1" t="inlineStr">
        <is>
          <t>2027BUD_V1</t>
        </is>
      </c>
      <c r="F31" s="1" t="inlineStr">
        <is>
          <t>12</t>
        </is>
      </c>
      <c r="G31" s="1" t="n">
        <v>1965075</v>
      </c>
      <c r="H31" s="25">
        <f>_CALC_PNL!P31</f>
        <v/>
      </c>
      <c r="I31" s="25">
        <f>IF(_CALC_PNL!E31=1,H31-G31,"")</f>
        <v/>
      </c>
    </row>
    <row r="32">
      <c r="A32" s="1" t="inlineStr">
        <is>
          <t>MBWAY_NAN</t>
        </is>
      </c>
      <c r="B32" s="1" t="inlineStr">
        <is>
          <t>7062</t>
        </is>
      </c>
      <c r="C32" s="1" t="inlineStr">
        <is>
          <t>2026</t>
        </is>
      </c>
      <c r="D32" s="1" t="inlineStr">
        <is>
          <t>ACT</t>
        </is>
      </c>
      <c r="E32" s="1" t="inlineStr">
        <is>
          <t>2027BUD_V1</t>
        </is>
      </c>
      <c r="F32" s="1" t="inlineStr">
        <is>
          <t>12</t>
        </is>
      </c>
      <c r="G32" s="1" t="n">
        <v>1697500</v>
      </c>
      <c r="H32" s="25">
        <f>_CALC_PNL!P32</f>
        <v/>
      </c>
      <c r="I32" s="25">
        <f>IF(_CALC_PNL!E32=1,H32-G32,"")</f>
        <v/>
      </c>
    </row>
    <row r="33">
      <c r="A33" s="1" t="inlineStr">
        <is>
          <t>MBWAY_BOR</t>
        </is>
      </c>
      <c r="B33" s="1" t="inlineStr">
        <is>
          <t>7062</t>
        </is>
      </c>
      <c r="C33" s="1" t="inlineStr">
        <is>
          <t>2026</t>
        </is>
      </c>
      <c r="D33" s="1" t="inlineStr">
        <is>
          <t>ACT</t>
        </is>
      </c>
      <c r="E33" s="1" t="inlineStr">
        <is>
          <t>2027BUD_V1</t>
        </is>
      </c>
      <c r="F33" s="1" t="inlineStr">
        <is>
          <t>12</t>
        </is>
      </c>
      <c r="G33" s="1" t="n">
        <v>1393405</v>
      </c>
      <c r="H33" s="25">
        <f>_CALC_PNL!P33</f>
        <v/>
      </c>
      <c r="I33" s="25">
        <f>IF(_CALC_PNL!E33=1,H33-G33,"")</f>
        <v/>
      </c>
    </row>
    <row r="34">
      <c r="A34" s="1" t="inlineStr">
        <is>
          <t>ISCOM_PAR</t>
        </is>
      </c>
      <c r="B34" s="1" t="inlineStr">
        <is>
          <t>7062</t>
        </is>
      </c>
      <c r="C34" s="1" t="inlineStr">
        <is>
          <t>2026</t>
        </is>
      </c>
      <c r="D34" s="1" t="inlineStr">
        <is>
          <t>ACT</t>
        </is>
      </c>
      <c r="E34" s="1" t="inlineStr">
        <is>
          <t>2027BUD_V1</t>
        </is>
      </c>
      <c r="F34" s="1" t="inlineStr">
        <is>
          <t>12</t>
        </is>
      </c>
      <c r="G34" s="1" t="n">
        <v>2290960</v>
      </c>
      <c r="H34" s="25">
        <f>_CALC_PNL!P34</f>
        <v/>
      </c>
      <c r="I34" s="25">
        <f>IF(_CALC_PNL!E34=1,H34-G34,"")</f>
        <v/>
      </c>
    </row>
    <row r="35">
      <c r="A35" s="1" t="inlineStr">
        <is>
          <t>ISCOM_LIL</t>
        </is>
      </c>
      <c r="B35" s="1" t="inlineStr">
        <is>
          <t>7062</t>
        </is>
      </c>
      <c r="C35" s="1" t="inlineStr">
        <is>
          <t>2026</t>
        </is>
      </c>
      <c r="D35" s="1" t="inlineStr">
        <is>
          <t>ACT</t>
        </is>
      </c>
      <c r="E35" s="1" t="inlineStr">
        <is>
          <t>2027BUD_V1</t>
        </is>
      </c>
      <c r="F35" s="1" t="inlineStr">
        <is>
          <t>12</t>
        </is>
      </c>
      <c r="G35" s="1" t="n">
        <v>1379350</v>
      </c>
      <c r="H35" s="25">
        <f>_CALC_PNL!P35</f>
        <v/>
      </c>
      <c r="I35" s="25">
        <f>IF(_CALC_PNL!E35=1,H35-G35,"")</f>
        <v/>
      </c>
    </row>
    <row r="36">
      <c r="A36" s="1" t="inlineStr">
        <is>
          <t>ISCOM_TLS</t>
        </is>
      </c>
      <c r="B36" s="1" t="inlineStr">
        <is>
          <t>7062</t>
        </is>
      </c>
      <c r="C36" s="1" t="inlineStr">
        <is>
          <t>2026</t>
        </is>
      </c>
      <c r="D36" s="1" t="inlineStr">
        <is>
          <t>ACT</t>
        </is>
      </c>
      <c r="E36" s="1" t="inlineStr">
        <is>
          <t>2027BUD_V1</t>
        </is>
      </c>
      <c r="F36" s="1" t="inlineStr">
        <is>
          <t>12</t>
        </is>
      </c>
      <c r="G36" s="1" t="n">
        <v>1281120</v>
      </c>
      <c r="H36" s="25">
        <f>_CALC_PNL!P36</f>
        <v/>
      </c>
      <c r="I36" s="25">
        <f>IF(_CALC_PNL!E36=1,H36-G36,"")</f>
        <v/>
      </c>
    </row>
    <row r="37">
      <c r="A37" s="1" t="inlineStr">
        <is>
          <t>IPAC_NAN</t>
        </is>
      </c>
      <c r="B37" s="1" t="inlineStr">
        <is>
          <t>7062</t>
        </is>
      </c>
      <c r="C37" s="1" t="inlineStr">
        <is>
          <t>2026</t>
        </is>
      </c>
      <c r="D37" s="1" t="inlineStr">
        <is>
          <t>ACT</t>
        </is>
      </c>
      <c r="E37" s="1" t="inlineStr">
        <is>
          <t>2027BUD_V1</t>
        </is>
      </c>
      <c r="F37" s="1" t="inlineStr">
        <is>
          <t>12</t>
        </is>
      </c>
      <c r="G37" s="1" t="n">
        <v>1015000</v>
      </c>
      <c r="H37" s="25">
        <f>_CALC_PNL!P37</f>
        <v/>
      </c>
      <c r="I37" s="25">
        <f>IF(_CALC_PNL!E37=1,H37-G37,"")</f>
        <v/>
      </c>
    </row>
    <row r="38">
      <c r="A38" s="1" t="inlineStr">
        <is>
          <t>IPAC_REN</t>
        </is>
      </c>
      <c r="B38" s="1" t="inlineStr">
        <is>
          <t>7062</t>
        </is>
      </c>
      <c r="C38" s="1" t="inlineStr">
        <is>
          <t>2026</t>
        </is>
      </c>
      <c r="D38" s="1" t="inlineStr">
        <is>
          <t>ACT</t>
        </is>
      </c>
      <c r="E38" s="1" t="inlineStr">
        <is>
          <t>2027BUD_V1</t>
        </is>
      </c>
      <c r="F38" s="1" t="inlineStr">
        <is>
          <t>12</t>
        </is>
      </c>
      <c r="G38" s="1" t="n">
        <v>778050</v>
      </c>
      <c r="H38" s="25">
        <f>_CALC_PNL!P38</f>
        <v/>
      </c>
      <c r="I38" s="25">
        <f>IF(_CALC_PNL!E38=1,H38-G38,"")</f>
        <v/>
      </c>
    </row>
    <row r="39">
      <c r="A39" s="1" t="inlineStr">
        <is>
          <t>IPAC_MTP</t>
        </is>
      </c>
      <c r="B39" s="1" t="inlineStr">
        <is>
          <t>7062</t>
        </is>
      </c>
      <c r="C39" s="1" t="inlineStr">
        <is>
          <t>2026</t>
        </is>
      </c>
      <c r="D39" s="1" t="inlineStr">
        <is>
          <t>ACT</t>
        </is>
      </c>
      <c r="E39" s="1" t="inlineStr">
        <is>
          <t>2027BUD_V1</t>
        </is>
      </c>
      <c r="F39" s="1" t="inlineStr">
        <is>
          <t>12</t>
        </is>
      </c>
      <c r="G39" s="1" t="n">
        <v>778050</v>
      </c>
      <c r="H39" s="25">
        <f>_CALC_PNL!P39</f>
        <v/>
      </c>
      <c r="I39" s="25">
        <f>IF(_CALC_PNL!E39=1,H39-G39,"")</f>
        <v/>
      </c>
    </row>
    <row r="40">
      <c r="A40" s="1" t="inlineStr">
        <is>
          <t>PIGIER_LYO</t>
        </is>
      </c>
      <c r="B40" s="1" t="inlineStr">
        <is>
          <t>7062</t>
        </is>
      </c>
      <c r="C40" s="1" t="inlineStr">
        <is>
          <t>2026</t>
        </is>
      </c>
      <c r="D40" s="1" t="inlineStr">
        <is>
          <t>ACT</t>
        </is>
      </c>
      <c r="E40" s="1" t="inlineStr">
        <is>
          <t>2027BUD_V1</t>
        </is>
      </c>
      <c r="F40" s="1" t="inlineStr">
        <is>
          <t>12</t>
        </is>
      </c>
      <c r="G40" s="1" t="n">
        <v>1242150</v>
      </c>
      <c r="H40" s="25">
        <f>_CALC_PNL!P40</f>
        <v/>
      </c>
      <c r="I40" s="25">
        <f>IF(_CALC_PNL!E40=1,H40-G40,"")</f>
        <v/>
      </c>
    </row>
    <row r="41">
      <c r="A41" s="1" t="inlineStr">
        <is>
          <t>PIGIER_BOR</t>
        </is>
      </c>
      <c r="B41" s="1" t="inlineStr">
        <is>
          <t>7062</t>
        </is>
      </c>
      <c r="C41" s="1" t="inlineStr">
        <is>
          <t>2026</t>
        </is>
      </c>
      <c r="D41" s="1" t="inlineStr">
        <is>
          <t>ACT</t>
        </is>
      </c>
      <c r="E41" s="1" t="inlineStr">
        <is>
          <t>2027BUD_V1</t>
        </is>
      </c>
      <c r="F41" s="1" t="inlineStr">
        <is>
          <t>12</t>
        </is>
      </c>
      <c r="G41" s="1" t="n">
        <v>895310</v>
      </c>
      <c r="H41" s="25">
        <f>_CALC_PNL!P41</f>
        <v/>
      </c>
      <c r="I41" s="25">
        <f>IF(_CALC_PNL!E41=1,H41-G41,"")</f>
        <v/>
      </c>
    </row>
    <row r="42">
      <c r="A42" s="1" t="inlineStr">
        <is>
          <t>TUNON_PAR</t>
        </is>
      </c>
      <c r="B42" s="1" t="inlineStr">
        <is>
          <t>7062</t>
        </is>
      </c>
      <c r="C42" s="1" t="inlineStr">
        <is>
          <t>2026</t>
        </is>
      </c>
      <c r="D42" s="1" t="inlineStr">
        <is>
          <t>ACT</t>
        </is>
      </c>
      <c r="E42" s="1" t="inlineStr">
        <is>
          <t>2027BUD_V1</t>
        </is>
      </c>
      <c r="F42" s="1" t="inlineStr">
        <is>
          <t>12</t>
        </is>
      </c>
      <c r="G42" s="1" t="n">
        <v>1081920</v>
      </c>
      <c r="H42" s="25">
        <f>_CALC_PNL!P42</f>
        <v/>
      </c>
      <c r="I42" s="25">
        <f>IF(_CALC_PNL!E42=1,H42-G42,"")</f>
        <v/>
      </c>
    </row>
    <row r="43">
      <c r="A43" s="1" t="inlineStr">
        <is>
          <t>TUNON_LYO</t>
        </is>
      </c>
      <c r="B43" s="1" t="inlineStr">
        <is>
          <t>7062</t>
        </is>
      </c>
      <c r="C43" s="1" t="inlineStr">
        <is>
          <t>2026</t>
        </is>
      </c>
      <c r="D43" s="1" t="inlineStr">
        <is>
          <t>ACT</t>
        </is>
      </c>
      <c r="E43" s="1" t="inlineStr">
        <is>
          <t>2027BUD_V1</t>
        </is>
      </c>
      <c r="F43" s="1" t="inlineStr">
        <is>
          <t>12</t>
        </is>
      </c>
      <c r="G43" s="1" t="n">
        <v>859950</v>
      </c>
      <c r="H43" s="25">
        <f>_CALC_PNL!P43</f>
        <v/>
      </c>
      <c r="I43" s="25">
        <f>IF(_CALC_PNL!E43=1,H43-G43,"")</f>
        <v/>
      </c>
    </row>
    <row r="44">
      <c r="A44" s="1" t="inlineStr">
        <is>
          <t>MBWAY_PAR</t>
        </is>
      </c>
      <c r="B44" s="1" t="inlineStr">
        <is>
          <t>706</t>
        </is>
      </c>
      <c r="C44" s="1" t="inlineStr">
        <is>
          <t>2024</t>
        </is>
      </c>
      <c r="D44" s="1" t="inlineStr">
        <is>
          <t>ACT</t>
        </is>
      </c>
      <c r="E44" s="1" t="inlineStr">
        <is>
          <t>2027BUD_V1</t>
        </is>
      </c>
      <c r="F44" s="1" t="inlineStr">
        <is>
          <t>12</t>
        </is>
      </c>
      <c r="G44" s="1" t="n">
        <v>583126</v>
      </c>
      <c r="H44" s="25">
        <f>_CALC_PNL!P44</f>
        <v/>
      </c>
      <c r="I44" s="25">
        <f>IF(_CALC_PNL!E44=1,H44-G44,"")</f>
        <v/>
      </c>
    </row>
    <row r="45">
      <c r="A45" s="1" t="inlineStr">
        <is>
          <t>MBWAY_LYO</t>
        </is>
      </c>
      <c r="B45" s="1" t="inlineStr">
        <is>
          <t>706</t>
        </is>
      </c>
      <c r="C45" s="1" t="inlineStr">
        <is>
          <t>2024</t>
        </is>
      </c>
      <c r="D45" s="1" t="inlineStr">
        <is>
          <t>ACT</t>
        </is>
      </c>
      <c r="E45" s="1" t="inlineStr">
        <is>
          <t>2027BUD_V1</t>
        </is>
      </c>
      <c r="F45" s="1" t="inlineStr">
        <is>
          <t>12</t>
        </is>
      </c>
      <c r="G45" s="1" t="n">
        <v>462576</v>
      </c>
      <c r="H45" s="25">
        <f>_CALC_PNL!P45</f>
        <v/>
      </c>
      <c r="I45" s="25">
        <f>IF(_CALC_PNL!E45=1,H45-G45,"")</f>
        <v/>
      </c>
    </row>
    <row r="46">
      <c r="A46" s="1" t="inlineStr">
        <is>
          <t>MBWAY_NAN</t>
        </is>
      </c>
      <c r="B46" s="1" t="inlineStr">
        <is>
          <t>706</t>
        </is>
      </c>
      <c r="C46" s="1" t="inlineStr">
        <is>
          <t>2024</t>
        </is>
      </c>
      <c r="D46" s="1" t="inlineStr">
        <is>
          <t>ACT</t>
        </is>
      </c>
      <c r="E46" s="1" t="inlineStr">
        <is>
          <t>2027BUD_V1</t>
        </is>
      </c>
      <c r="F46" s="1" t="inlineStr">
        <is>
          <t>12</t>
        </is>
      </c>
      <c r="G46" s="1" t="n">
        <v>400498</v>
      </c>
      <c r="H46" s="25">
        <f>_CALC_PNL!P46</f>
        <v/>
      </c>
      <c r="I46" s="25">
        <f>IF(_CALC_PNL!E46=1,H46-G46,"")</f>
        <v/>
      </c>
    </row>
    <row r="47">
      <c r="A47" s="1" t="inlineStr">
        <is>
          <t>MBWAY_BOR</t>
        </is>
      </c>
      <c r="B47" s="1" t="inlineStr">
        <is>
          <t>706</t>
        </is>
      </c>
      <c r="C47" s="1" t="inlineStr">
        <is>
          <t>2024</t>
        </is>
      </c>
      <c r="D47" s="1" t="inlineStr">
        <is>
          <t>ACT</t>
        </is>
      </c>
      <c r="E47" s="1" t="inlineStr">
        <is>
          <t>2027BUD_V1</t>
        </is>
      </c>
      <c r="F47" s="1" t="inlineStr">
        <is>
          <t>12</t>
        </is>
      </c>
      <c r="G47" s="1" t="n">
        <v>330211</v>
      </c>
      <c r="H47" s="25">
        <f>_CALC_PNL!P47</f>
        <v/>
      </c>
      <c r="I47" s="25">
        <f>IF(_CALC_PNL!E47=1,H47-G47,"")</f>
        <v/>
      </c>
    </row>
    <row r="48">
      <c r="A48" s="1" t="inlineStr">
        <is>
          <t>ISCOM_PAR</t>
        </is>
      </c>
      <c r="B48" s="1" t="inlineStr">
        <is>
          <t>706</t>
        </is>
      </c>
      <c r="C48" s="1" t="inlineStr">
        <is>
          <t>2024</t>
        </is>
      </c>
      <c r="D48" s="1" t="inlineStr">
        <is>
          <t>ACT</t>
        </is>
      </c>
      <c r="E48" s="1" t="inlineStr">
        <is>
          <t>2027BUD_V1</t>
        </is>
      </c>
      <c r="F48" s="1" t="inlineStr">
        <is>
          <t>12</t>
        </is>
      </c>
      <c r="G48" s="1" t="n">
        <v>538270</v>
      </c>
      <c r="H48" s="25">
        <f>_CALC_PNL!P48</f>
        <v/>
      </c>
      <c r="I48" s="25">
        <f>IF(_CALC_PNL!E48=1,H48-G48,"")</f>
        <v/>
      </c>
    </row>
    <row r="49">
      <c r="A49" s="1" t="inlineStr">
        <is>
          <t>ISCOM_LIL</t>
        </is>
      </c>
      <c r="B49" s="1" t="inlineStr">
        <is>
          <t>706</t>
        </is>
      </c>
      <c r="C49" s="1" t="inlineStr">
        <is>
          <t>2024</t>
        </is>
      </c>
      <c r="D49" s="1" t="inlineStr">
        <is>
          <t>ACT</t>
        </is>
      </c>
      <c r="E49" s="1" t="inlineStr">
        <is>
          <t>2027BUD_V1</t>
        </is>
      </c>
      <c r="F49" s="1" t="inlineStr">
        <is>
          <t>12</t>
        </is>
      </c>
      <c r="G49" s="1" t="n">
        <v>327074</v>
      </c>
      <c r="H49" s="25">
        <f>_CALC_PNL!P49</f>
        <v/>
      </c>
      <c r="I49" s="25">
        <f>IF(_CALC_PNL!E49=1,H49-G49,"")</f>
        <v/>
      </c>
    </row>
    <row r="50">
      <c r="A50" s="1" t="inlineStr">
        <is>
          <t>ISCOM_TLS</t>
        </is>
      </c>
      <c r="B50" s="1" t="inlineStr">
        <is>
          <t>706</t>
        </is>
      </c>
      <c r="C50" s="1" t="inlineStr">
        <is>
          <t>2024</t>
        </is>
      </c>
      <c r="D50" s="1" t="inlineStr">
        <is>
          <t>ACT</t>
        </is>
      </c>
      <c r="E50" s="1" t="inlineStr">
        <is>
          <t>2027BUD_V1</t>
        </is>
      </c>
      <c r="F50" s="1" t="inlineStr">
        <is>
          <t>12</t>
        </is>
      </c>
      <c r="G50" s="1" t="n">
        <v>301175</v>
      </c>
      <c r="H50" s="25">
        <f>_CALC_PNL!P50</f>
        <v/>
      </c>
      <c r="I50" s="25">
        <f>IF(_CALC_PNL!E50=1,H50-G50,"")</f>
        <v/>
      </c>
    </row>
    <row r="51">
      <c r="A51" s="1" t="inlineStr">
        <is>
          <t>MBWAY_PAR</t>
        </is>
      </c>
      <c r="B51" s="1" t="inlineStr">
        <is>
          <t>706</t>
        </is>
      </c>
      <c r="C51" s="1" t="inlineStr">
        <is>
          <t>2025</t>
        </is>
      </c>
      <c r="D51" s="1" t="inlineStr">
        <is>
          <t>ACT</t>
        </is>
      </c>
      <c r="E51" s="1" t="inlineStr">
        <is>
          <t>2027BUD_V1</t>
        </is>
      </c>
      <c r="F51" s="1" t="inlineStr">
        <is>
          <t>12</t>
        </is>
      </c>
      <c r="G51" s="1" t="n">
        <v>618113</v>
      </c>
      <c r="H51" s="25">
        <f>_CALC_PNL!P51</f>
        <v/>
      </c>
      <c r="I51" s="25">
        <f>IF(_CALC_PNL!E51=1,H51-G51,"")</f>
        <v/>
      </c>
    </row>
    <row r="52">
      <c r="A52" s="1" t="inlineStr">
        <is>
          <t>MBWAY_LYO</t>
        </is>
      </c>
      <c r="B52" s="1" t="inlineStr">
        <is>
          <t>706</t>
        </is>
      </c>
      <c r="C52" s="1" t="inlineStr">
        <is>
          <t>2025</t>
        </is>
      </c>
      <c r="D52" s="1" t="inlineStr">
        <is>
          <t>ACT</t>
        </is>
      </c>
      <c r="E52" s="1" t="inlineStr">
        <is>
          <t>2027BUD_V1</t>
        </is>
      </c>
      <c r="F52" s="1" t="inlineStr">
        <is>
          <t>12</t>
        </is>
      </c>
      <c r="G52" s="1" t="n">
        <v>490330</v>
      </c>
      <c r="H52" s="25">
        <f>_CALC_PNL!P52</f>
        <v/>
      </c>
      <c r="I52" s="25">
        <f>IF(_CALC_PNL!E52=1,H52-G52,"")</f>
        <v/>
      </c>
    </row>
    <row r="53">
      <c r="A53" s="1" t="inlineStr">
        <is>
          <t>MBWAY_NAN</t>
        </is>
      </c>
      <c r="B53" s="1" t="inlineStr">
        <is>
          <t>706</t>
        </is>
      </c>
      <c r="C53" s="1" t="inlineStr">
        <is>
          <t>2025</t>
        </is>
      </c>
      <c r="D53" s="1" t="inlineStr">
        <is>
          <t>ACT</t>
        </is>
      </c>
      <c r="E53" s="1" t="inlineStr">
        <is>
          <t>2027BUD_V1</t>
        </is>
      </c>
      <c r="F53" s="1" t="inlineStr">
        <is>
          <t>12</t>
        </is>
      </c>
      <c r="G53" s="1" t="n">
        <v>424528</v>
      </c>
      <c r="H53" s="25">
        <f>_CALC_PNL!P53</f>
        <v/>
      </c>
      <c r="I53" s="25">
        <f>IF(_CALC_PNL!E53=1,H53-G53,"")</f>
        <v/>
      </c>
    </row>
    <row r="54">
      <c r="A54" s="1" t="inlineStr">
        <is>
          <t>MBWAY_BOR</t>
        </is>
      </c>
      <c r="B54" s="1" t="inlineStr">
        <is>
          <t>706</t>
        </is>
      </c>
      <c r="C54" s="1" t="inlineStr">
        <is>
          <t>2025</t>
        </is>
      </c>
      <c r="D54" s="1" t="inlineStr">
        <is>
          <t>ACT</t>
        </is>
      </c>
      <c r="E54" s="1" t="inlineStr">
        <is>
          <t>2027BUD_V1</t>
        </is>
      </c>
      <c r="F54" s="1" t="inlineStr">
        <is>
          <t>12</t>
        </is>
      </c>
      <c r="G54" s="1" t="n">
        <v>350024</v>
      </c>
      <c r="H54" s="25">
        <f>_CALC_PNL!P54</f>
        <v/>
      </c>
      <c r="I54" s="25">
        <f>IF(_CALC_PNL!E54=1,H54-G54,"")</f>
        <v/>
      </c>
    </row>
    <row r="55">
      <c r="A55" s="1" t="inlineStr">
        <is>
          <t>ISCOM_PAR</t>
        </is>
      </c>
      <c r="B55" s="1" t="inlineStr">
        <is>
          <t>706</t>
        </is>
      </c>
      <c r="C55" s="1" t="inlineStr">
        <is>
          <t>2025</t>
        </is>
      </c>
      <c r="D55" s="1" t="inlineStr">
        <is>
          <t>ACT</t>
        </is>
      </c>
      <c r="E55" s="1" t="inlineStr">
        <is>
          <t>2027BUD_V1</t>
        </is>
      </c>
      <c r="F55" s="1" t="inlineStr">
        <is>
          <t>12</t>
        </is>
      </c>
      <c r="G55" s="1" t="n">
        <v>570566</v>
      </c>
      <c r="H55" s="25">
        <f>_CALC_PNL!P55</f>
        <v/>
      </c>
      <c r="I55" s="25">
        <f>IF(_CALC_PNL!E55=1,H55-G55,"")</f>
        <v/>
      </c>
    </row>
    <row r="56">
      <c r="A56" s="1" t="inlineStr">
        <is>
          <t>ISCOM_LIL</t>
        </is>
      </c>
      <c r="B56" s="1" t="inlineStr">
        <is>
          <t>706</t>
        </is>
      </c>
      <c r="C56" s="1" t="inlineStr">
        <is>
          <t>2025</t>
        </is>
      </c>
      <c r="D56" s="1" t="inlineStr">
        <is>
          <t>ACT</t>
        </is>
      </c>
      <c r="E56" s="1" t="inlineStr">
        <is>
          <t>2027BUD_V1</t>
        </is>
      </c>
      <c r="F56" s="1" t="inlineStr">
        <is>
          <t>12</t>
        </is>
      </c>
      <c r="G56" s="1" t="n">
        <v>346698</v>
      </c>
      <c r="H56" s="25">
        <f>_CALC_PNL!P56</f>
        <v/>
      </c>
      <c r="I56" s="25">
        <f>IF(_CALC_PNL!E56=1,H56-G56,"")</f>
        <v/>
      </c>
    </row>
    <row r="57">
      <c r="A57" s="1" t="inlineStr">
        <is>
          <t>ISCOM_TLS</t>
        </is>
      </c>
      <c r="B57" s="1" t="inlineStr">
        <is>
          <t>706</t>
        </is>
      </c>
      <c r="C57" s="1" t="inlineStr">
        <is>
          <t>2025</t>
        </is>
      </c>
      <c r="D57" s="1" t="inlineStr">
        <is>
          <t>ACT</t>
        </is>
      </c>
      <c r="E57" s="1" t="inlineStr">
        <is>
          <t>2027BUD_V1</t>
        </is>
      </c>
      <c r="F57" s="1" t="inlineStr">
        <is>
          <t>12</t>
        </is>
      </c>
      <c r="G57" s="1" t="n">
        <v>319245</v>
      </c>
      <c r="H57" s="25">
        <f>_CALC_PNL!P57</f>
        <v/>
      </c>
      <c r="I57" s="25">
        <f>IF(_CALC_PNL!E57=1,H57-G57,"")</f>
        <v/>
      </c>
    </row>
    <row r="58">
      <c r="A58" s="1" t="inlineStr">
        <is>
          <t>MBWAY_PAR</t>
        </is>
      </c>
      <c r="B58" s="1" t="inlineStr">
        <is>
          <t>706</t>
        </is>
      </c>
      <c r="C58" s="1" t="inlineStr">
        <is>
          <t>2026</t>
        </is>
      </c>
      <c r="D58" s="1" t="inlineStr">
        <is>
          <t>ACT</t>
        </is>
      </c>
      <c r="E58" s="1" t="inlineStr">
        <is>
          <t>2027BUD_V1</t>
        </is>
      </c>
      <c r="F58" s="1" t="inlineStr">
        <is>
          <t>12</t>
        </is>
      </c>
      <c r="G58" s="1" t="n">
        <v>655200</v>
      </c>
      <c r="H58" s="25">
        <f>_CALC_PNL!P58</f>
        <v/>
      </c>
      <c r="I58" s="25">
        <f>IF(_CALC_PNL!E58=1,H58-G58,"")</f>
        <v/>
      </c>
    </row>
    <row r="59">
      <c r="A59" s="1" t="inlineStr">
        <is>
          <t>MBWAY_LYO</t>
        </is>
      </c>
      <c r="B59" s="1" t="inlineStr">
        <is>
          <t>706</t>
        </is>
      </c>
      <c r="C59" s="1" t="inlineStr">
        <is>
          <t>2026</t>
        </is>
      </c>
      <c r="D59" s="1" t="inlineStr">
        <is>
          <t>ACT</t>
        </is>
      </c>
      <c r="E59" s="1" t="inlineStr">
        <is>
          <t>2027BUD_V1</t>
        </is>
      </c>
      <c r="F59" s="1" t="inlineStr">
        <is>
          <t>12</t>
        </is>
      </c>
      <c r="G59" s="1" t="n">
        <v>519750</v>
      </c>
      <c r="H59" s="25">
        <f>_CALC_PNL!P59</f>
        <v/>
      </c>
      <c r="I59" s="25">
        <f>IF(_CALC_PNL!E59=1,H59-G59,"")</f>
        <v/>
      </c>
    </row>
    <row r="60">
      <c r="A60" s="1" t="inlineStr">
        <is>
          <t>MBWAY_NAN</t>
        </is>
      </c>
      <c r="B60" s="1" t="inlineStr">
        <is>
          <t>706</t>
        </is>
      </c>
      <c r="C60" s="1" t="inlineStr">
        <is>
          <t>2026</t>
        </is>
      </c>
      <c r="D60" s="1" t="inlineStr">
        <is>
          <t>ACT</t>
        </is>
      </c>
      <c r="E60" s="1" t="inlineStr">
        <is>
          <t>2027BUD_V1</t>
        </is>
      </c>
      <c r="F60" s="1" t="inlineStr">
        <is>
          <t>12</t>
        </is>
      </c>
      <c r="G60" s="1" t="n">
        <v>450000</v>
      </c>
      <c r="H60" s="25">
        <f>_CALC_PNL!P60</f>
        <v/>
      </c>
      <c r="I60" s="25">
        <f>IF(_CALC_PNL!E60=1,H60-G60,"")</f>
        <v/>
      </c>
    </row>
    <row r="61">
      <c r="A61" s="1" t="inlineStr">
        <is>
          <t>MBWAY_BOR</t>
        </is>
      </c>
      <c r="B61" s="1" t="inlineStr">
        <is>
          <t>706</t>
        </is>
      </c>
      <c r="C61" s="1" t="inlineStr">
        <is>
          <t>2026</t>
        </is>
      </c>
      <c r="D61" s="1" t="inlineStr">
        <is>
          <t>ACT</t>
        </is>
      </c>
      <c r="E61" s="1" t="inlineStr">
        <is>
          <t>2027BUD_V1</t>
        </is>
      </c>
      <c r="F61" s="1" t="inlineStr">
        <is>
          <t>12</t>
        </is>
      </c>
      <c r="G61" s="1" t="n">
        <v>371025</v>
      </c>
      <c r="H61" s="25">
        <f>_CALC_PNL!P61</f>
        <v/>
      </c>
      <c r="I61" s="25">
        <f>IF(_CALC_PNL!E61=1,H61-G61,"")</f>
        <v/>
      </c>
    </row>
    <row r="62">
      <c r="A62" s="1" t="inlineStr">
        <is>
          <t>ISCOM_PAR</t>
        </is>
      </c>
      <c r="B62" s="1" t="inlineStr">
        <is>
          <t>706</t>
        </is>
      </c>
      <c r="C62" s="1" t="inlineStr">
        <is>
          <t>2026</t>
        </is>
      </c>
      <c r="D62" s="1" t="inlineStr">
        <is>
          <t>ACT</t>
        </is>
      </c>
      <c r="E62" s="1" t="inlineStr">
        <is>
          <t>2027BUD_V1</t>
        </is>
      </c>
      <c r="F62" s="1" t="inlineStr">
        <is>
          <t>12</t>
        </is>
      </c>
      <c r="G62" s="1" t="n">
        <v>604800</v>
      </c>
      <c r="H62" s="25">
        <f>_CALC_PNL!P62</f>
        <v/>
      </c>
      <c r="I62" s="25">
        <f>IF(_CALC_PNL!E62=1,H62-G62,"")</f>
        <v/>
      </c>
    </row>
    <row r="63">
      <c r="A63" s="1" t="inlineStr">
        <is>
          <t>ISCOM_LIL</t>
        </is>
      </c>
      <c r="B63" s="1" t="inlineStr">
        <is>
          <t>706</t>
        </is>
      </c>
      <c r="C63" s="1" t="inlineStr">
        <is>
          <t>2026</t>
        </is>
      </c>
      <c r="D63" s="1" t="inlineStr">
        <is>
          <t>ACT</t>
        </is>
      </c>
      <c r="E63" s="1" t="inlineStr">
        <is>
          <t>2027BUD_V1</t>
        </is>
      </c>
      <c r="F63" s="1" t="inlineStr">
        <is>
          <t>12</t>
        </is>
      </c>
      <c r="G63" s="1" t="n">
        <v>367500</v>
      </c>
      <c r="H63" s="25">
        <f>_CALC_PNL!P63</f>
        <v/>
      </c>
      <c r="I63" s="25">
        <f>IF(_CALC_PNL!E63=1,H63-G63,"")</f>
        <v/>
      </c>
    </row>
    <row r="64">
      <c r="A64" s="1" t="inlineStr">
        <is>
          <t>ISCOM_TLS</t>
        </is>
      </c>
      <c r="B64" s="1" t="inlineStr">
        <is>
          <t>706</t>
        </is>
      </c>
      <c r="C64" s="1" t="inlineStr">
        <is>
          <t>2026</t>
        </is>
      </c>
      <c r="D64" s="1" t="inlineStr">
        <is>
          <t>ACT</t>
        </is>
      </c>
      <c r="E64" s="1" t="inlineStr">
        <is>
          <t>2027BUD_V1</t>
        </is>
      </c>
      <c r="F64" s="1" t="inlineStr">
        <is>
          <t>12</t>
        </is>
      </c>
      <c r="G64" s="1" t="n">
        <v>338400</v>
      </c>
      <c r="H64" s="25">
        <f>_CALC_PNL!P64</f>
        <v/>
      </c>
      <c r="I64" s="25">
        <f>IF(_CALC_PNL!E64=1,H64-G64,"")</f>
        <v/>
      </c>
    </row>
    <row r="65">
      <c r="A65" s="1" t="inlineStr">
        <is>
          <t>MBWAY_PAR</t>
        </is>
      </c>
      <c r="B65" s="1" t="inlineStr">
        <is>
          <t>708</t>
        </is>
      </c>
      <c r="C65" s="1" t="inlineStr">
        <is>
          <t>2024</t>
        </is>
      </c>
      <c r="D65" s="1" t="inlineStr">
        <is>
          <t>ACT</t>
        </is>
      </c>
      <c r="E65" s="1" t="inlineStr">
        <is>
          <t>2027BUD_V1</t>
        </is>
      </c>
      <c r="F65" s="1" t="inlineStr">
        <is>
          <t>12</t>
        </is>
      </c>
      <c r="G65" s="1" t="n">
        <v>12496</v>
      </c>
      <c r="H65" s="25">
        <f>_CALC_PNL!P65</f>
        <v/>
      </c>
      <c r="I65" s="25">
        <f>IF(_CALC_PNL!E65=1,H65-G65,"")</f>
        <v/>
      </c>
    </row>
    <row r="66">
      <c r="A66" s="1" t="inlineStr">
        <is>
          <t>MBWAY_LYO</t>
        </is>
      </c>
      <c r="B66" s="1" t="inlineStr">
        <is>
          <t>708</t>
        </is>
      </c>
      <c r="C66" s="1" t="inlineStr">
        <is>
          <t>2024</t>
        </is>
      </c>
      <c r="D66" s="1" t="inlineStr">
        <is>
          <t>ACT</t>
        </is>
      </c>
      <c r="E66" s="1" t="inlineStr">
        <is>
          <t>2027BUD_V1</t>
        </is>
      </c>
      <c r="F66" s="1" t="inlineStr">
        <is>
          <t>12</t>
        </is>
      </c>
      <c r="G66" s="1" t="n">
        <v>10573</v>
      </c>
      <c r="H66" s="25">
        <f>_CALC_PNL!P66</f>
        <v/>
      </c>
      <c r="I66" s="25">
        <f>IF(_CALC_PNL!E66=1,H66-G66,"")</f>
        <v/>
      </c>
    </row>
    <row r="67">
      <c r="A67" s="1" t="inlineStr">
        <is>
          <t>MBWAY_NAN</t>
        </is>
      </c>
      <c r="B67" s="1" t="inlineStr">
        <is>
          <t>708</t>
        </is>
      </c>
      <c r="C67" s="1" t="inlineStr">
        <is>
          <t>2024</t>
        </is>
      </c>
      <c r="D67" s="1" t="inlineStr">
        <is>
          <t>ACT</t>
        </is>
      </c>
      <c r="E67" s="1" t="inlineStr">
        <is>
          <t>2027BUD_V1</t>
        </is>
      </c>
      <c r="F67" s="1" t="inlineStr">
        <is>
          <t>12</t>
        </is>
      </c>
      <c r="G67" s="1" t="n">
        <v>9612</v>
      </c>
      <c r="H67" s="25">
        <f>_CALC_PNL!P67</f>
        <v/>
      </c>
      <c r="I67" s="25">
        <f>IF(_CALC_PNL!E67=1,H67-G67,"")</f>
        <v/>
      </c>
    </row>
    <row r="68">
      <c r="A68" s="1" t="inlineStr">
        <is>
          <t>MBWAY_BOR</t>
        </is>
      </c>
      <c r="B68" s="1" t="inlineStr">
        <is>
          <t>708</t>
        </is>
      </c>
      <c r="C68" s="1" t="inlineStr">
        <is>
          <t>2024</t>
        </is>
      </c>
      <c r="D68" s="1" t="inlineStr">
        <is>
          <t>ACT</t>
        </is>
      </c>
      <c r="E68" s="1" t="inlineStr">
        <is>
          <t>2027BUD_V1</t>
        </is>
      </c>
      <c r="F68" s="1" t="inlineStr">
        <is>
          <t>12</t>
        </is>
      </c>
      <c r="G68" s="1" t="n">
        <v>8170</v>
      </c>
      <c r="H68" s="25">
        <f>_CALC_PNL!P68</f>
        <v/>
      </c>
      <c r="I68" s="25">
        <f>IF(_CALC_PNL!E68=1,H68-G68,"")</f>
        <v/>
      </c>
    </row>
    <row r="69">
      <c r="A69" s="1" t="inlineStr">
        <is>
          <t>ISCOM_PAR</t>
        </is>
      </c>
      <c r="B69" s="1" t="inlineStr">
        <is>
          <t>708</t>
        </is>
      </c>
      <c r="C69" s="1" t="inlineStr">
        <is>
          <t>2024</t>
        </is>
      </c>
      <c r="D69" s="1" t="inlineStr">
        <is>
          <t>ACT</t>
        </is>
      </c>
      <c r="E69" s="1" t="inlineStr">
        <is>
          <t>2027BUD_V1</t>
        </is>
      </c>
      <c r="F69" s="1" t="inlineStr">
        <is>
          <t>12</t>
        </is>
      </c>
      <c r="G69" s="1" t="n">
        <v>11534</v>
      </c>
      <c r="H69" s="25">
        <f>_CALC_PNL!P69</f>
        <v/>
      </c>
      <c r="I69" s="25">
        <f>IF(_CALC_PNL!E69=1,H69-G69,"")</f>
        <v/>
      </c>
    </row>
    <row r="70">
      <c r="A70" s="1" t="inlineStr">
        <is>
          <t>ISCOM_LIL</t>
        </is>
      </c>
      <c r="B70" s="1" t="inlineStr">
        <is>
          <t>708</t>
        </is>
      </c>
      <c r="C70" s="1" t="inlineStr">
        <is>
          <t>2024</t>
        </is>
      </c>
      <c r="D70" s="1" t="inlineStr">
        <is>
          <t>ACT</t>
        </is>
      </c>
      <c r="E70" s="1" t="inlineStr">
        <is>
          <t>2027BUD_V1</t>
        </is>
      </c>
      <c r="F70" s="1" t="inlineStr">
        <is>
          <t>12</t>
        </is>
      </c>
      <c r="G70" s="1" t="n">
        <v>8010</v>
      </c>
      <c r="H70" s="25">
        <f>_CALC_PNL!P70</f>
        <v/>
      </c>
      <c r="I70" s="25">
        <f>IF(_CALC_PNL!E70=1,H70-G70,"")</f>
        <v/>
      </c>
    </row>
    <row r="71">
      <c r="A71" s="1" t="inlineStr">
        <is>
          <t>ISCOM_TLS</t>
        </is>
      </c>
      <c r="B71" s="1" t="inlineStr">
        <is>
          <t>708</t>
        </is>
      </c>
      <c r="C71" s="1" t="inlineStr">
        <is>
          <t>2024</t>
        </is>
      </c>
      <c r="D71" s="1" t="inlineStr">
        <is>
          <t>ACT</t>
        </is>
      </c>
      <c r="E71" s="1" t="inlineStr">
        <is>
          <t>2027BUD_V1</t>
        </is>
      </c>
      <c r="F71" s="1" t="inlineStr">
        <is>
          <t>12</t>
        </is>
      </c>
      <c r="G71" s="1" t="n">
        <v>7529</v>
      </c>
      <c r="H71" s="25">
        <f>_CALC_PNL!P71</f>
        <v/>
      </c>
      <c r="I71" s="25">
        <f>IF(_CALC_PNL!E71=1,H71-G71,"")</f>
        <v/>
      </c>
    </row>
    <row r="72">
      <c r="A72" s="1" t="inlineStr">
        <is>
          <t>IPAC_NAN</t>
        </is>
      </c>
      <c r="B72" s="1" t="inlineStr">
        <is>
          <t>708</t>
        </is>
      </c>
      <c r="C72" s="1" t="inlineStr">
        <is>
          <t>2024</t>
        </is>
      </c>
      <c r="D72" s="1" t="inlineStr">
        <is>
          <t>ACT</t>
        </is>
      </c>
      <c r="E72" s="1" t="inlineStr">
        <is>
          <t>2027BUD_V1</t>
        </is>
      </c>
      <c r="F72" s="1" t="inlineStr">
        <is>
          <t>12</t>
        </is>
      </c>
      <c r="G72" s="1" t="n">
        <v>4005</v>
      </c>
      <c r="H72" s="25">
        <f>_CALC_PNL!P72</f>
        <v/>
      </c>
      <c r="I72" s="25">
        <f>IF(_CALC_PNL!E72=1,H72-G72,"")</f>
        <v/>
      </c>
    </row>
    <row r="73">
      <c r="A73" s="1" t="inlineStr">
        <is>
          <t>IPAC_REN</t>
        </is>
      </c>
      <c r="B73" s="1" t="inlineStr">
        <is>
          <t>708</t>
        </is>
      </c>
      <c r="C73" s="1" t="inlineStr">
        <is>
          <t>2024</t>
        </is>
      </c>
      <c r="D73" s="1" t="inlineStr">
        <is>
          <t>ACT</t>
        </is>
      </c>
      <c r="E73" s="1" t="inlineStr">
        <is>
          <t>2027BUD_V1</t>
        </is>
      </c>
      <c r="F73" s="1" t="inlineStr">
        <is>
          <t>12</t>
        </is>
      </c>
      <c r="G73" s="1" t="n">
        <v>3204</v>
      </c>
      <c r="H73" s="25">
        <f>_CALC_PNL!P73</f>
        <v/>
      </c>
      <c r="I73" s="25">
        <f>IF(_CALC_PNL!E73=1,H73-G73,"")</f>
        <v/>
      </c>
    </row>
    <row r="74">
      <c r="A74" s="1" t="inlineStr">
        <is>
          <t>IPAC_MTP</t>
        </is>
      </c>
      <c r="B74" s="1" t="inlineStr">
        <is>
          <t>708</t>
        </is>
      </c>
      <c r="C74" s="1" t="inlineStr">
        <is>
          <t>2024</t>
        </is>
      </c>
      <c r="D74" s="1" t="inlineStr">
        <is>
          <t>ACT</t>
        </is>
      </c>
      <c r="E74" s="1" t="inlineStr">
        <is>
          <t>2027BUD_V1</t>
        </is>
      </c>
      <c r="F74" s="1" t="inlineStr">
        <is>
          <t>12</t>
        </is>
      </c>
      <c r="G74" s="1" t="n">
        <v>3204</v>
      </c>
      <c r="H74" s="25">
        <f>_CALC_PNL!P74</f>
        <v/>
      </c>
      <c r="I74" s="25">
        <f>IF(_CALC_PNL!E74=1,H74-G74,"")</f>
        <v/>
      </c>
    </row>
    <row r="75">
      <c r="A75" s="1" t="inlineStr">
        <is>
          <t>PIGIER_LYO</t>
        </is>
      </c>
      <c r="B75" s="1" t="inlineStr">
        <is>
          <t>708</t>
        </is>
      </c>
      <c r="C75" s="1" t="inlineStr">
        <is>
          <t>2024</t>
        </is>
      </c>
      <c r="D75" s="1" t="inlineStr">
        <is>
          <t>ACT</t>
        </is>
      </c>
      <c r="E75" s="1" t="inlineStr">
        <is>
          <t>2027BUD_V1</t>
        </is>
      </c>
      <c r="F75" s="1" t="inlineStr">
        <is>
          <t>12</t>
        </is>
      </c>
      <c r="G75" s="1" t="n">
        <v>7369</v>
      </c>
      <c r="H75" s="25">
        <f>_CALC_PNL!P75</f>
        <v/>
      </c>
      <c r="I75" s="25">
        <f>IF(_CALC_PNL!E75=1,H75-G75,"")</f>
        <v/>
      </c>
    </row>
    <row r="76">
      <c r="A76" s="1" t="inlineStr">
        <is>
          <t>PIGIER_BOR</t>
        </is>
      </c>
      <c r="B76" s="1" t="inlineStr">
        <is>
          <t>708</t>
        </is>
      </c>
      <c r="C76" s="1" t="inlineStr">
        <is>
          <t>2024</t>
        </is>
      </c>
      <c r="D76" s="1" t="inlineStr">
        <is>
          <t>ACT</t>
        </is>
      </c>
      <c r="E76" s="1" t="inlineStr">
        <is>
          <t>2027BUD_V1</t>
        </is>
      </c>
      <c r="F76" s="1" t="inlineStr">
        <is>
          <t>12</t>
        </is>
      </c>
      <c r="G76" s="1" t="n">
        <v>5767</v>
      </c>
      <c r="H76" s="25">
        <f>_CALC_PNL!P76</f>
        <v/>
      </c>
      <c r="I76" s="25">
        <f>IF(_CALC_PNL!E76=1,H76-G76,"")</f>
        <v/>
      </c>
    </row>
    <row r="77">
      <c r="A77" s="1" t="inlineStr">
        <is>
          <t>TUNON_PAR</t>
        </is>
      </c>
      <c r="B77" s="1" t="inlineStr">
        <is>
          <t>708</t>
        </is>
      </c>
      <c r="C77" s="1" t="inlineStr">
        <is>
          <t>2024</t>
        </is>
      </c>
      <c r="D77" s="1" t="inlineStr">
        <is>
          <t>ACT</t>
        </is>
      </c>
      <c r="E77" s="1" t="inlineStr">
        <is>
          <t>2027BUD_V1</t>
        </is>
      </c>
      <c r="F77" s="1" t="inlineStr">
        <is>
          <t>12</t>
        </is>
      </c>
      <c r="G77" s="1" t="n">
        <v>3765</v>
      </c>
      <c r="H77" s="25">
        <f>_CALC_PNL!P77</f>
        <v/>
      </c>
      <c r="I77" s="25">
        <f>IF(_CALC_PNL!E77=1,H77-G77,"")</f>
        <v/>
      </c>
    </row>
    <row r="78">
      <c r="A78" s="1" t="inlineStr">
        <is>
          <t>TUNON_LYO</t>
        </is>
      </c>
      <c r="B78" s="1" t="inlineStr">
        <is>
          <t>708</t>
        </is>
      </c>
      <c r="C78" s="1" t="inlineStr">
        <is>
          <t>2024</t>
        </is>
      </c>
      <c r="D78" s="1" t="inlineStr">
        <is>
          <t>ACT</t>
        </is>
      </c>
      <c r="E78" s="1" t="inlineStr">
        <is>
          <t>2027BUD_V1</t>
        </is>
      </c>
      <c r="F78" s="1" t="inlineStr">
        <is>
          <t>12</t>
        </is>
      </c>
      <c r="G78" s="1" t="n">
        <v>3204</v>
      </c>
      <c r="H78" s="25">
        <f>_CALC_PNL!P78</f>
        <v/>
      </c>
      <c r="I78" s="25">
        <f>IF(_CALC_PNL!E78=1,H78-G78,"")</f>
        <v/>
      </c>
    </row>
    <row r="79">
      <c r="A79" s="1" t="inlineStr">
        <is>
          <t>MBWAY_PAR</t>
        </is>
      </c>
      <c r="B79" s="1" t="inlineStr">
        <is>
          <t>708</t>
        </is>
      </c>
      <c r="C79" s="1" t="inlineStr">
        <is>
          <t>2025</t>
        </is>
      </c>
      <c r="D79" s="1" t="inlineStr">
        <is>
          <t>ACT</t>
        </is>
      </c>
      <c r="E79" s="1" t="inlineStr">
        <is>
          <t>2027BUD_V1</t>
        </is>
      </c>
      <c r="F79" s="1" t="inlineStr">
        <is>
          <t>12</t>
        </is>
      </c>
      <c r="G79" s="1" t="n">
        <v>13245</v>
      </c>
      <c r="H79" s="25">
        <f>_CALC_PNL!P79</f>
        <v/>
      </c>
      <c r="I79" s="25">
        <f>IF(_CALC_PNL!E79=1,H79-G79,"")</f>
        <v/>
      </c>
    </row>
    <row r="80">
      <c r="A80" s="1" t="inlineStr">
        <is>
          <t>MBWAY_LYO</t>
        </is>
      </c>
      <c r="B80" s="1" t="inlineStr">
        <is>
          <t>708</t>
        </is>
      </c>
      <c r="C80" s="1" t="inlineStr">
        <is>
          <t>2025</t>
        </is>
      </c>
      <c r="D80" s="1" t="inlineStr">
        <is>
          <t>ACT</t>
        </is>
      </c>
      <c r="E80" s="1" t="inlineStr">
        <is>
          <t>2027BUD_V1</t>
        </is>
      </c>
      <c r="F80" s="1" t="inlineStr">
        <is>
          <t>12</t>
        </is>
      </c>
      <c r="G80" s="1" t="n">
        <v>11208</v>
      </c>
      <c r="H80" s="25">
        <f>_CALC_PNL!P80</f>
        <v/>
      </c>
      <c r="I80" s="25">
        <f>IF(_CALC_PNL!E80=1,H80-G80,"")</f>
        <v/>
      </c>
    </row>
    <row r="81">
      <c r="A81" s="1" t="inlineStr">
        <is>
          <t>MBWAY_NAN</t>
        </is>
      </c>
      <c r="B81" s="1" t="inlineStr">
        <is>
          <t>708</t>
        </is>
      </c>
      <c r="C81" s="1" t="inlineStr">
        <is>
          <t>2025</t>
        </is>
      </c>
      <c r="D81" s="1" t="inlineStr">
        <is>
          <t>ACT</t>
        </is>
      </c>
      <c r="E81" s="1" t="inlineStr">
        <is>
          <t>2027BUD_V1</t>
        </is>
      </c>
      <c r="F81" s="1" t="inlineStr">
        <is>
          <t>12</t>
        </is>
      </c>
      <c r="G81" s="1" t="n">
        <v>10189</v>
      </c>
      <c r="H81" s="25">
        <f>_CALC_PNL!P81</f>
        <v/>
      </c>
      <c r="I81" s="25">
        <f>IF(_CALC_PNL!E81=1,H81-G81,"")</f>
        <v/>
      </c>
    </row>
    <row r="82">
      <c r="A82" s="1" t="inlineStr">
        <is>
          <t>MBWAY_BOR</t>
        </is>
      </c>
      <c r="B82" s="1" t="inlineStr">
        <is>
          <t>708</t>
        </is>
      </c>
      <c r="C82" s="1" t="inlineStr">
        <is>
          <t>2025</t>
        </is>
      </c>
      <c r="D82" s="1" t="inlineStr">
        <is>
          <t>ACT</t>
        </is>
      </c>
      <c r="E82" s="1" t="inlineStr">
        <is>
          <t>2027BUD_V1</t>
        </is>
      </c>
      <c r="F82" s="1" t="inlineStr">
        <is>
          <t>12</t>
        </is>
      </c>
      <c r="G82" s="1" t="n">
        <v>8660</v>
      </c>
      <c r="H82" s="25">
        <f>_CALC_PNL!P82</f>
        <v/>
      </c>
      <c r="I82" s="25">
        <f>IF(_CALC_PNL!E82=1,H82-G82,"")</f>
        <v/>
      </c>
    </row>
    <row r="83">
      <c r="A83" s="1" t="inlineStr">
        <is>
          <t>ISCOM_PAR</t>
        </is>
      </c>
      <c r="B83" s="1" t="inlineStr">
        <is>
          <t>708</t>
        </is>
      </c>
      <c r="C83" s="1" t="inlineStr">
        <is>
          <t>2025</t>
        </is>
      </c>
      <c r="D83" s="1" t="inlineStr">
        <is>
          <t>ACT</t>
        </is>
      </c>
      <c r="E83" s="1" t="inlineStr">
        <is>
          <t>2027BUD_V1</t>
        </is>
      </c>
      <c r="F83" s="1" t="inlineStr">
        <is>
          <t>12</t>
        </is>
      </c>
      <c r="G83" s="1" t="n">
        <v>12226</v>
      </c>
      <c r="H83" s="25">
        <f>_CALC_PNL!P83</f>
        <v/>
      </c>
      <c r="I83" s="25">
        <f>IF(_CALC_PNL!E83=1,H83-G83,"")</f>
        <v/>
      </c>
    </row>
    <row r="84">
      <c r="A84" s="1" t="inlineStr">
        <is>
          <t>ISCOM_LIL</t>
        </is>
      </c>
      <c r="B84" s="1" t="inlineStr">
        <is>
          <t>708</t>
        </is>
      </c>
      <c r="C84" s="1" t="inlineStr">
        <is>
          <t>2025</t>
        </is>
      </c>
      <c r="D84" s="1" t="inlineStr">
        <is>
          <t>ACT</t>
        </is>
      </c>
      <c r="E84" s="1" t="inlineStr">
        <is>
          <t>2027BUD_V1</t>
        </is>
      </c>
      <c r="F84" s="1" t="inlineStr">
        <is>
          <t>12</t>
        </is>
      </c>
      <c r="G84" s="1" t="n">
        <v>8491</v>
      </c>
      <c r="H84" s="25">
        <f>_CALC_PNL!P84</f>
        <v/>
      </c>
      <c r="I84" s="25">
        <f>IF(_CALC_PNL!E84=1,H84-G84,"")</f>
        <v/>
      </c>
    </row>
    <row r="85">
      <c r="A85" s="1" t="inlineStr">
        <is>
          <t>ISCOM_TLS</t>
        </is>
      </c>
      <c r="B85" s="1" t="inlineStr">
        <is>
          <t>708</t>
        </is>
      </c>
      <c r="C85" s="1" t="inlineStr">
        <is>
          <t>2025</t>
        </is>
      </c>
      <c r="D85" s="1" t="inlineStr">
        <is>
          <t>ACT</t>
        </is>
      </c>
      <c r="E85" s="1" t="inlineStr">
        <is>
          <t>2027BUD_V1</t>
        </is>
      </c>
      <c r="F85" s="1" t="inlineStr">
        <is>
          <t>12</t>
        </is>
      </c>
      <c r="G85" s="1" t="n">
        <v>7981</v>
      </c>
      <c r="H85" s="25">
        <f>_CALC_PNL!P85</f>
        <v/>
      </c>
      <c r="I85" s="25">
        <f>IF(_CALC_PNL!E85=1,H85-G85,"")</f>
        <v/>
      </c>
    </row>
    <row r="86">
      <c r="A86" s="1" t="inlineStr">
        <is>
          <t>IPAC_NAN</t>
        </is>
      </c>
      <c r="B86" s="1" t="inlineStr">
        <is>
          <t>708</t>
        </is>
      </c>
      <c r="C86" s="1" t="inlineStr">
        <is>
          <t>2025</t>
        </is>
      </c>
      <c r="D86" s="1" t="inlineStr">
        <is>
          <t>ACT</t>
        </is>
      </c>
      <c r="E86" s="1" t="inlineStr">
        <is>
          <t>2027BUD_V1</t>
        </is>
      </c>
      <c r="F86" s="1" t="inlineStr">
        <is>
          <t>12</t>
        </is>
      </c>
      <c r="G86" s="1" t="n">
        <v>4245</v>
      </c>
      <c r="H86" s="25">
        <f>_CALC_PNL!P86</f>
        <v/>
      </c>
      <c r="I86" s="25">
        <f>IF(_CALC_PNL!E86=1,H86-G86,"")</f>
        <v/>
      </c>
    </row>
    <row r="87">
      <c r="A87" s="1" t="inlineStr">
        <is>
          <t>IPAC_REN</t>
        </is>
      </c>
      <c r="B87" s="1" t="inlineStr">
        <is>
          <t>708</t>
        </is>
      </c>
      <c r="C87" s="1" t="inlineStr">
        <is>
          <t>2025</t>
        </is>
      </c>
      <c r="D87" s="1" t="inlineStr">
        <is>
          <t>ACT</t>
        </is>
      </c>
      <c r="E87" s="1" t="inlineStr">
        <is>
          <t>2027BUD_V1</t>
        </is>
      </c>
      <c r="F87" s="1" t="inlineStr">
        <is>
          <t>12</t>
        </is>
      </c>
      <c r="G87" s="1" t="n">
        <v>3396</v>
      </c>
      <c r="H87" s="25">
        <f>_CALC_PNL!P87</f>
        <v/>
      </c>
      <c r="I87" s="25">
        <f>IF(_CALC_PNL!E87=1,H87-G87,"")</f>
        <v/>
      </c>
    </row>
    <row r="88">
      <c r="A88" s="1" t="inlineStr">
        <is>
          <t>IPAC_MTP</t>
        </is>
      </c>
      <c r="B88" s="1" t="inlineStr">
        <is>
          <t>708</t>
        </is>
      </c>
      <c r="C88" s="1" t="inlineStr">
        <is>
          <t>2025</t>
        </is>
      </c>
      <c r="D88" s="1" t="inlineStr">
        <is>
          <t>ACT</t>
        </is>
      </c>
      <c r="E88" s="1" t="inlineStr">
        <is>
          <t>2027BUD_V1</t>
        </is>
      </c>
      <c r="F88" s="1" t="inlineStr">
        <is>
          <t>12</t>
        </is>
      </c>
      <c r="G88" s="1" t="n">
        <v>3396</v>
      </c>
      <c r="H88" s="25">
        <f>_CALC_PNL!P88</f>
        <v/>
      </c>
      <c r="I88" s="25">
        <f>IF(_CALC_PNL!E88=1,H88-G88,"")</f>
        <v/>
      </c>
    </row>
    <row r="89">
      <c r="A89" s="1" t="inlineStr">
        <is>
          <t>PIGIER_LYO</t>
        </is>
      </c>
      <c r="B89" s="1" t="inlineStr">
        <is>
          <t>708</t>
        </is>
      </c>
      <c r="C89" s="1" t="inlineStr">
        <is>
          <t>2025</t>
        </is>
      </c>
      <c r="D89" s="1" t="inlineStr">
        <is>
          <t>ACT</t>
        </is>
      </c>
      <c r="E89" s="1" t="inlineStr">
        <is>
          <t>2027BUD_V1</t>
        </is>
      </c>
      <c r="F89" s="1" t="inlineStr">
        <is>
          <t>12</t>
        </is>
      </c>
      <c r="G89" s="1" t="n">
        <v>7811</v>
      </c>
      <c r="H89" s="25">
        <f>_CALC_PNL!P89</f>
        <v/>
      </c>
      <c r="I89" s="25">
        <f>IF(_CALC_PNL!E89=1,H89-G89,"")</f>
        <v/>
      </c>
    </row>
    <row r="90">
      <c r="A90" s="1" t="inlineStr">
        <is>
          <t>PIGIER_BOR</t>
        </is>
      </c>
      <c r="B90" s="1" t="inlineStr">
        <is>
          <t>708</t>
        </is>
      </c>
      <c r="C90" s="1" t="inlineStr">
        <is>
          <t>2025</t>
        </is>
      </c>
      <c r="D90" s="1" t="inlineStr">
        <is>
          <t>ACT</t>
        </is>
      </c>
      <c r="E90" s="1" t="inlineStr">
        <is>
          <t>2027BUD_V1</t>
        </is>
      </c>
      <c r="F90" s="1" t="inlineStr">
        <is>
          <t>12</t>
        </is>
      </c>
      <c r="G90" s="1" t="n">
        <v>6113</v>
      </c>
      <c r="H90" s="25">
        <f>_CALC_PNL!P90</f>
        <v/>
      </c>
      <c r="I90" s="25">
        <f>IF(_CALC_PNL!E90=1,H90-G90,"")</f>
        <v/>
      </c>
    </row>
    <row r="91">
      <c r="A91" s="1" t="inlineStr">
        <is>
          <t>TUNON_PAR</t>
        </is>
      </c>
      <c r="B91" s="1" t="inlineStr">
        <is>
          <t>708</t>
        </is>
      </c>
      <c r="C91" s="1" t="inlineStr">
        <is>
          <t>2025</t>
        </is>
      </c>
      <c r="D91" s="1" t="inlineStr">
        <is>
          <t>ACT</t>
        </is>
      </c>
      <c r="E91" s="1" t="inlineStr">
        <is>
          <t>2027BUD_V1</t>
        </is>
      </c>
      <c r="F91" s="1" t="inlineStr">
        <is>
          <t>12</t>
        </is>
      </c>
      <c r="G91" s="1" t="n">
        <v>3991</v>
      </c>
      <c r="H91" s="25">
        <f>_CALC_PNL!P91</f>
        <v/>
      </c>
      <c r="I91" s="25">
        <f>IF(_CALC_PNL!E91=1,H91-G91,"")</f>
        <v/>
      </c>
    </row>
    <row r="92">
      <c r="A92" s="1" t="inlineStr">
        <is>
          <t>TUNON_LYO</t>
        </is>
      </c>
      <c r="B92" s="1" t="inlineStr">
        <is>
          <t>708</t>
        </is>
      </c>
      <c r="C92" s="1" t="inlineStr">
        <is>
          <t>2025</t>
        </is>
      </c>
      <c r="D92" s="1" t="inlineStr">
        <is>
          <t>ACT</t>
        </is>
      </c>
      <c r="E92" s="1" t="inlineStr">
        <is>
          <t>2027BUD_V1</t>
        </is>
      </c>
      <c r="F92" s="1" t="inlineStr">
        <is>
          <t>12</t>
        </is>
      </c>
      <c r="G92" s="1" t="n">
        <v>3396</v>
      </c>
      <c r="H92" s="25">
        <f>_CALC_PNL!P92</f>
        <v/>
      </c>
      <c r="I92" s="25">
        <f>IF(_CALC_PNL!E92=1,H92-G92,"")</f>
        <v/>
      </c>
    </row>
    <row r="93">
      <c r="A93" s="1" t="inlineStr">
        <is>
          <t>MBWAY_PAR</t>
        </is>
      </c>
      <c r="B93" s="1" t="inlineStr">
        <is>
          <t>708</t>
        </is>
      </c>
      <c r="C93" s="1" t="inlineStr">
        <is>
          <t>2026</t>
        </is>
      </c>
      <c r="D93" s="1" t="inlineStr">
        <is>
          <t>ACT</t>
        </is>
      </c>
      <c r="E93" s="1" t="inlineStr">
        <is>
          <t>2027BUD_V1</t>
        </is>
      </c>
      <c r="F93" s="1" t="inlineStr">
        <is>
          <t>12</t>
        </is>
      </c>
      <c r="G93" s="1" t="n">
        <v>14040</v>
      </c>
      <c r="H93" s="25">
        <f>_CALC_PNL!P93</f>
        <v/>
      </c>
      <c r="I93" s="25">
        <f>IF(_CALC_PNL!E93=1,H93-G93,"")</f>
        <v/>
      </c>
    </row>
    <row r="94">
      <c r="A94" s="1" t="inlineStr">
        <is>
          <t>MBWAY_LYO</t>
        </is>
      </c>
      <c r="B94" s="1" t="inlineStr">
        <is>
          <t>708</t>
        </is>
      </c>
      <c r="C94" s="1" t="inlineStr">
        <is>
          <t>2026</t>
        </is>
      </c>
      <c r="D94" s="1" t="inlineStr">
        <is>
          <t>ACT</t>
        </is>
      </c>
      <c r="E94" s="1" t="inlineStr">
        <is>
          <t>2027BUD_V1</t>
        </is>
      </c>
      <c r="F94" s="1" t="inlineStr">
        <is>
          <t>12</t>
        </is>
      </c>
      <c r="G94" s="1" t="n">
        <v>11880</v>
      </c>
      <c r="H94" s="25">
        <f>_CALC_PNL!P94</f>
        <v/>
      </c>
      <c r="I94" s="25">
        <f>IF(_CALC_PNL!E94=1,H94-G94,"")</f>
        <v/>
      </c>
    </row>
    <row r="95">
      <c r="A95" s="1" t="inlineStr">
        <is>
          <t>MBWAY_NAN</t>
        </is>
      </c>
      <c r="B95" s="1" t="inlineStr">
        <is>
          <t>708</t>
        </is>
      </c>
      <c r="C95" s="1" t="inlineStr">
        <is>
          <t>2026</t>
        </is>
      </c>
      <c r="D95" s="1" t="inlineStr">
        <is>
          <t>ACT</t>
        </is>
      </c>
      <c r="E95" s="1" t="inlineStr">
        <is>
          <t>2027BUD_V1</t>
        </is>
      </c>
      <c r="F95" s="1" t="inlineStr">
        <is>
          <t>12</t>
        </is>
      </c>
      <c r="G95" s="1" t="n">
        <v>10800</v>
      </c>
      <c r="H95" s="25">
        <f>_CALC_PNL!P95</f>
        <v/>
      </c>
      <c r="I95" s="25">
        <f>IF(_CALC_PNL!E95=1,H95-G95,"")</f>
        <v/>
      </c>
    </row>
    <row r="96">
      <c r="A96" s="1" t="inlineStr">
        <is>
          <t>MBWAY_BOR</t>
        </is>
      </c>
      <c r="B96" s="1" t="inlineStr">
        <is>
          <t>708</t>
        </is>
      </c>
      <c r="C96" s="1" t="inlineStr">
        <is>
          <t>2026</t>
        </is>
      </c>
      <c r="D96" s="1" t="inlineStr">
        <is>
          <t>ACT</t>
        </is>
      </c>
      <c r="E96" s="1" t="inlineStr">
        <is>
          <t>2027BUD_V1</t>
        </is>
      </c>
      <c r="F96" s="1" t="inlineStr">
        <is>
          <t>12</t>
        </is>
      </c>
      <c r="G96" s="1" t="n">
        <v>9180</v>
      </c>
      <c r="H96" s="25">
        <f>_CALC_PNL!P96</f>
        <v/>
      </c>
      <c r="I96" s="25">
        <f>IF(_CALC_PNL!E96=1,H96-G96,"")</f>
        <v/>
      </c>
    </row>
    <row r="97">
      <c r="A97" s="1" t="inlineStr">
        <is>
          <t>ISCOM_PAR</t>
        </is>
      </c>
      <c r="B97" s="1" t="inlineStr">
        <is>
          <t>708</t>
        </is>
      </c>
      <c r="C97" s="1" t="inlineStr">
        <is>
          <t>2026</t>
        </is>
      </c>
      <c r="D97" s="1" t="inlineStr">
        <is>
          <t>ACT</t>
        </is>
      </c>
      <c r="E97" s="1" t="inlineStr">
        <is>
          <t>2027BUD_V1</t>
        </is>
      </c>
      <c r="F97" s="1" t="inlineStr">
        <is>
          <t>12</t>
        </is>
      </c>
      <c r="G97" s="1" t="n">
        <v>12960</v>
      </c>
      <c r="H97" s="25">
        <f>_CALC_PNL!P97</f>
        <v/>
      </c>
      <c r="I97" s="25">
        <f>IF(_CALC_PNL!E97=1,H97-G97,"")</f>
        <v/>
      </c>
    </row>
    <row r="98">
      <c r="A98" s="1" t="inlineStr">
        <is>
          <t>ISCOM_LIL</t>
        </is>
      </c>
      <c r="B98" s="1" t="inlineStr">
        <is>
          <t>708</t>
        </is>
      </c>
      <c r="C98" s="1" t="inlineStr">
        <is>
          <t>2026</t>
        </is>
      </c>
      <c r="D98" s="1" t="inlineStr">
        <is>
          <t>ACT</t>
        </is>
      </c>
      <c r="E98" s="1" t="inlineStr">
        <is>
          <t>2027BUD_V1</t>
        </is>
      </c>
      <c r="F98" s="1" t="inlineStr">
        <is>
          <t>12</t>
        </is>
      </c>
      <c r="G98" s="1" t="n">
        <v>9000</v>
      </c>
      <c r="H98" s="25">
        <f>_CALC_PNL!P98</f>
        <v/>
      </c>
      <c r="I98" s="25">
        <f>IF(_CALC_PNL!E98=1,H98-G98,"")</f>
        <v/>
      </c>
    </row>
    <row r="99">
      <c r="A99" s="1" t="inlineStr">
        <is>
          <t>ISCOM_TLS</t>
        </is>
      </c>
      <c r="B99" s="1" t="inlineStr">
        <is>
          <t>708</t>
        </is>
      </c>
      <c r="C99" s="1" t="inlineStr">
        <is>
          <t>2026</t>
        </is>
      </c>
      <c r="D99" s="1" t="inlineStr">
        <is>
          <t>ACT</t>
        </is>
      </c>
      <c r="E99" s="1" t="inlineStr">
        <is>
          <t>2027BUD_V1</t>
        </is>
      </c>
      <c r="F99" s="1" t="inlineStr">
        <is>
          <t>12</t>
        </is>
      </c>
      <c r="G99" s="1" t="n">
        <v>8460</v>
      </c>
      <c r="H99" s="25">
        <f>_CALC_PNL!P99</f>
        <v/>
      </c>
      <c r="I99" s="25">
        <f>IF(_CALC_PNL!E99=1,H99-G99,"")</f>
        <v/>
      </c>
    </row>
    <row r="100">
      <c r="A100" s="1" t="inlineStr">
        <is>
          <t>IPAC_NAN</t>
        </is>
      </c>
      <c r="B100" s="1" t="inlineStr">
        <is>
          <t>708</t>
        </is>
      </c>
      <c r="C100" s="1" t="inlineStr">
        <is>
          <t>2026</t>
        </is>
      </c>
      <c r="D100" s="1" t="inlineStr">
        <is>
          <t>ACT</t>
        </is>
      </c>
      <c r="E100" s="1" t="inlineStr">
        <is>
          <t>2027BUD_V1</t>
        </is>
      </c>
      <c r="F100" s="1" t="inlineStr">
        <is>
          <t>12</t>
        </is>
      </c>
      <c r="G100" s="1" t="n">
        <v>4500</v>
      </c>
      <c r="H100" s="25">
        <f>_CALC_PNL!P100</f>
        <v/>
      </c>
      <c r="I100" s="25">
        <f>IF(_CALC_PNL!E100=1,H100-G100,"")</f>
        <v/>
      </c>
    </row>
    <row r="101">
      <c r="A101" s="1" t="inlineStr">
        <is>
          <t>IPAC_REN</t>
        </is>
      </c>
      <c r="B101" s="1" t="inlineStr">
        <is>
          <t>708</t>
        </is>
      </c>
      <c r="C101" s="1" t="inlineStr">
        <is>
          <t>2026</t>
        </is>
      </c>
      <c r="D101" s="1" t="inlineStr">
        <is>
          <t>ACT</t>
        </is>
      </c>
      <c r="E101" s="1" t="inlineStr">
        <is>
          <t>2027BUD_V1</t>
        </is>
      </c>
      <c r="F101" s="1" t="inlineStr">
        <is>
          <t>12</t>
        </is>
      </c>
      <c r="G101" s="1" t="n">
        <v>3600</v>
      </c>
      <c r="H101" s="25">
        <f>_CALC_PNL!P101</f>
        <v/>
      </c>
      <c r="I101" s="25">
        <f>IF(_CALC_PNL!E101=1,H101-G101,"")</f>
        <v/>
      </c>
    </row>
    <row r="102">
      <c r="A102" s="1" t="inlineStr">
        <is>
          <t>IPAC_MTP</t>
        </is>
      </c>
      <c r="B102" s="1" t="inlineStr">
        <is>
          <t>708</t>
        </is>
      </c>
      <c r="C102" s="1" t="inlineStr">
        <is>
          <t>2026</t>
        </is>
      </c>
      <c r="D102" s="1" t="inlineStr">
        <is>
          <t>ACT</t>
        </is>
      </c>
      <c r="E102" s="1" t="inlineStr">
        <is>
          <t>2027BUD_V1</t>
        </is>
      </c>
      <c r="F102" s="1" t="inlineStr">
        <is>
          <t>12</t>
        </is>
      </c>
      <c r="G102" s="1" t="n">
        <v>3600</v>
      </c>
      <c r="H102" s="25">
        <f>_CALC_PNL!P102</f>
        <v/>
      </c>
      <c r="I102" s="25">
        <f>IF(_CALC_PNL!E102=1,H102-G102,"")</f>
        <v/>
      </c>
    </row>
    <row r="103">
      <c r="A103" s="1" t="inlineStr">
        <is>
          <t>PIGIER_LYO</t>
        </is>
      </c>
      <c r="B103" s="1" t="inlineStr">
        <is>
          <t>708</t>
        </is>
      </c>
      <c r="C103" s="1" t="inlineStr">
        <is>
          <t>2026</t>
        </is>
      </c>
      <c r="D103" s="1" t="inlineStr">
        <is>
          <t>ACT</t>
        </is>
      </c>
      <c r="E103" s="1" t="inlineStr">
        <is>
          <t>2027BUD_V1</t>
        </is>
      </c>
      <c r="F103" s="1" t="inlineStr">
        <is>
          <t>12</t>
        </is>
      </c>
      <c r="G103" s="1" t="n">
        <v>8280</v>
      </c>
      <c r="H103" s="25">
        <f>_CALC_PNL!P103</f>
        <v/>
      </c>
      <c r="I103" s="25">
        <f>IF(_CALC_PNL!E103=1,H103-G103,"")</f>
        <v/>
      </c>
    </row>
    <row r="104">
      <c r="A104" s="1" t="inlineStr">
        <is>
          <t>PIGIER_BOR</t>
        </is>
      </c>
      <c r="B104" s="1" t="inlineStr">
        <is>
          <t>708</t>
        </is>
      </c>
      <c r="C104" s="1" t="inlineStr">
        <is>
          <t>2026</t>
        </is>
      </c>
      <c r="D104" s="1" t="inlineStr">
        <is>
          <t>ACT</t>
        </is>
      </c>
      <c r="E104" s="1" t="inlineStr">
        <is>
          <t>2027BUD_V1</t>
        </is>
      </c>
      <c r="F104" s="1" t="inlineStr">
        <is>
          <t>12</t>
        </is>
      </c>
      <c r="G104" s="1" t="n">
        <v>6480</v>
      </c>
      <c r="H104" s="25">
        <f>_CALC_PNL!P104</f>
        <v/>
      </c>
      <c r="I104" s="25">
        <f>IF(_CALC_PNL!E104=1,H104-G104,"")</f>
        <v/>
      </c>
    </row>
    <row r="105">
      <c r="A105" s="1" t="inlineStr">
        <is>
          <t>TUNON_PAR</t>
        </is>
      </c>
      <c r="B105" s="1" t="inlineStr">
        <is>
          <t>708</t>
        </is>
      </c>
      <c r="C105" s="1" t="inlineStr">
        <is>
          <t>2026</t>
        </is>
      </c>
      <c r="D105" s="1" t="inlineStr">
        <is>
          <t>ACT</t>
        </is>
      </c>
      <c r="E105" s="1" t="inlineStr">
        <is>
          <t>2027BUD_V1</t>
        </is>
      </c>
      <c r="F105" s="1" t="inlineStr">
        <is>
          <t>12</t>
        </is>
      </c>
      <c r="G105" s="1" t="n">
        <v>4230</v>
      </c>
      <c r="H105" s="25">
        <f>_CALC_PNL!P105</f>
        <v/>
      </c>
      <c r="I105" s="25">
        <f>IF(_CALC_PNL!E105=1,H105-G105,"")</f>
        <v/>
      </c>
    </row>
    <row r="106">
      <c r="A106" s="1" t="inlineStr">
        <is>
          <t>TUNON_LYO</t>
        </is>
      </c>
      <c r="B106" s="1" t="inlineStr">
        <is>
          <t>708</t>
        </is>
      </c>
      <c r="C106" s="1" t="inlineStr">
        <is>
          <t>2026</t>
        </is>
      </c>
      <c r="D106" s="1" t="inlineStr">
        <is>
          <t>ACT</t>
        </is>
      </c>
      <c r="E106" s="1" t="inlineStr">
        <is>
          <t>2027BUD_V1</t>
        </is>
      </c>
      <c r="F106" s="1" t="inlineStr">
        <is>
          <t>12</t>
        </is>
      </c>
      <c r="G106" s="1" t="n">
        <v>3600</v>
      </c>
      <c r="H106" s="25">
        <f>_CALC_PNL!P106</f>
        <v/>
      </c>
      <c r="I106" s="25">
        <f>IF(_CALC_PNL!E106=1,H106-G106,"")</f>
        <v/>
      </c>
    </row>
    <row r="107">
      <c r="A107" s="1" t="inlineStr">
        <is>
          <t>MBWAY_PAR</t>
        </is>
      </c>
      <c r="B107" s="1" t="inlineStr">
        <is>
          <t>621</t>
        </is>
      </c>
      <c r="C107" s="1" t="inlineStr">
        <is>
          <t>2024</t>
        </is>
      </c>
      <c r="D107" s="1" t="inlineStr">
        <is>
          <t>ACT</t>
        </is>
      </c>
      <c r="E107" s="1" t="inlineStr">
        <is>
          <t>2027BUD_V1</t>
        </is>
      </c>
      <c r="F107" s="1" t="inlineStr">
        <is>
          <t>12</t>
        </is>
      </c>
      <c r="G107" s="1" t="n">
        <v>165271</v>
      </c>
      <c r="H107" s="25">
        <f>_CALC_PNL!P107</f>
        <v/>
      </c>
      <c r="I107" s="25">
        <f>IF(_CALC_PNL!E107=1,H107-G107,"")</f>
        <v/>
      </c>
    </row>
    <row r="108">
      <c r="A108" s="1" t="inlineStr">
        <is>
          <t>MBWAY_LYO</t>
        </is>
      </c>
      <c r="B108" s="1" t="inlineStr">
        <is>
          <t>621</t>
        </is>
      </c>
      <c r="C108" s="1" t="inlineStr">
        <is>
          <t>2024</t>
        </is>
      </c>
      <c r="D108" s="1" t="inlineStr">
        <is>
          <t>ACT</t>
        </is>
      </c>
      <c r="E108" s="1" t="inlineStr">
        <is>
          <t>2027BUD_V1</t>
        </is>
      </c>
      <c r="F108" s="1" t="inlineStr">
        <is>
          <t>12</t>
        </is>
      </c>
      <c r="G108" s="1" t="n">
        <v>143235</v>
      </c>
      <c r="H108" s="25">
        <f>_CALC_PNL!P108</f>
        <v/>
      </c>
      <c r="I108" s="25">
        <f>IF(_CALC_PNL!E108=1,H108-G108,"")</f>
        <v/>
      </c>
    </row>
    <row r="109">
      <c r="A109" s="1" t="inlineStr">
        <is>
          <t>MBWAY_NAN</t>
        </is>
      </c>
      <c r="B109" s="1" t="inlineStr">
        <is>
          <t>621</t>
        </is>
      </c>
      <c r="C109" s="1" t="inlineStr">
        <is>
          <t>2024</t>
        </is>
      </c>
      <c r="D109" s="1" t="inlineStr">
        <is>
          <t>ACT</t>
        </is>
      </c>
      <c r="E109" s="1" t="inlineStr">
        <is>
          <t>2027BUD_V1</t>
        </is>
      </c>
      <c r="F109" s="1" t="inlineStr">
        <is>
          <t>12</t>
        </is>
      </c>
      <c r="G109" s="1" t="n">
        <v>132216</v>
      </c>
      <c r="H109" s="25">
        <f>_CALC_PNL!P109</f>
        <v/>
      </c>
      <c r="I109" s="25">
        <f>IF(_CALC_PNL!E109=1,H109-G109,"")</f>
        <v/>
      </c>
    </row>
    <row r="110">
      <c r="A110" s="1" t="inlineStr">
        <is>
          <t>MBWAY_BOR</t>
        </is>
      </c>
      <c r="B110" s="1" t="inlineStr">
        <is>
          <t>621</t>
        </is>
      </c>
      <c r="C110" s="1" t="inlineStr">
        <is>
          <t>2024</t>
        </is>
      </c>
      <c r="D110" s="1" t="inlineStr">
        <is>
          <t>ACT</t>
        </is>
      </c>
      <c r="E110" s="1" t="inlineStr">
        <is>
          <t>2027BUD_V1</t>
        </is>
      </c>
      <c r="F110" s="1" t="inlineStr">
        <is>
          <t>12</t>
        </is>
      </c>
      <c r="G110" s="1" t="n">
        <v>110180</v>
      </c>
      <c r="H110" s="25">
        <f>_CALC_PNL!P110</f>
        <v/>
      </c>
      <c r="I110" s="25">
        <f>IF(_CALC_PNL!E110=1,H110-G110,"")</f>
        <v/>
      </c>
    </row>
    <row r="111">
      <c r="A111" s="1" t="inlineStr">
        <is>
          <t>ISCOM_PAR</t>
        </is>
      </c>
      <c r="B111" s="1" t="inlineStr">
        <is>
          <t>621</t>
        </is>
      </c>
      <c r="C111" s="1" t="inlineStr">
        <is>
          <t>2024</t>
        </is>
      </c>
      <c r="D111" s="1" t="inlineStr">
        <is>
          <t>ACT</t>
        </is>
      </c>
      <c r="E111" s="1" t="inlineStr">
        <is>
          <t>2027BUD_V1</t>
        </is>
      </c>
      <c r="F111" s="1" t="inlineStr">
        <is>
          <t>12</t>
        </is>
      </c>
      <c r="G111" s="1" t="n">
        <v>165271</v>
      </c>
      <c r="H111" s="25">
        <f>_CALC_PNL!P111</f>
        <v/>
      </c>
      <c r="I111" s="25">
        <f>IF(_CALC_PNL!E111=1,H111-G111,"")</f>
        <v/>
      </c>
    </row>
    <row r="112">
      <c r="A112" s="1" t="inlineStr">
        <is>
          <t>ISCOM_LIL</t>
        </is>
      </c>
      <c r="B112" s="1" t="inlineStr">
        <is>
          <t>621</t>
        </is>
      </c>
      <c r="C112" s="1" t="inlineStr">
        <is>
          <t>2024</t>
        </is>
      </c>
      <c r="D112" s="1" t="inlineStr">
        <is>
          <t>ACT</t>
        </is>
      </c>
      <c r="E112" s="1" t="inlineStr">
        <is>
          <t>2027BUD_V1</t>
        </is>
      </c>
      <c r="F112" s="1" t="inlineStr">
        <is>
          <t>12</t>
        </is>
      </c>
      <c r="G112" s="1" t="n">
        <v>110180</v>
      </c>
      <c r="H112" s="25">
        <f>_CALC_PNL!P112</f>
        <v/>
      </c>
      <c r="I112" s="25">
        <f>IF(_CALC_PNL!E112=1,H112-G112,"")</f>
        <v/>
      </c>
    </row>
    <row r="113">
      <c r="A113" s="1" t="inlineStr">
        <is>
          <t>ISCOM_TLS</t>
        </is>
      </c>
      <c r="B113" s="1" t="inlineStr">
        <is>
          <t>621</t>
        </is>
      </c>
      <c r="C113" s="1" t="inlineStr">
        <is>
          <t>2024</t>
        </is>
      </c>
      <c r="D113" s="1" t="inlineStr">
        <is>
          <t>ACT</t>
        </is>
      </c>
      <c r="E113" s="1" t="inlineStr">
        <is>
          <t>2027BUD_V1</t>
        </is>
      </c>
      <c r="F113" s="1" t="inlineStr">
        <is>
          <t>12</t>
        </is>
      </c>
      <c r="G113" s="1" t="n">
        <v>110180</v>
      </c>
      <c r="H113" s="25">
        <f>_CALC_PNL!P113</f>
        <v/>
      </c>
      <c r="I113" s="25">
        <f>IF(_CALC_PNL!E113=1,H113-G113,"")</f>
        <v/>
      </c>
    </row>
    <row r="114">
      <c r="A114" s="1" t="inlineStr">
        <is>
          <t>IPAC_NAN</t>
        </is>
      </c>
      <c r="B114" s="1" t="inlineStr">
        <is>
          <t>621</t>
        </is>
      </c>
      <c r="C114" s="1" t="inlineStr">
        <is>
          <t>2024</t>
        </is>
      </c>
      <c r="D114" s="1" t="inlineStr">
        <is>
          <t>ACT</t>
        </is>
      </c>
      <c r="E114" s="1" t="inlineStr">
        <is>
          <t>2027BUD_V1</t>
        </is>
      </c>
      <c r="F114" s="1" t="inlineStr">
        <is>
          <t>12</t>
        </is>
      </c>
      <c r="G114" s="1" t="n">
        <v>66108</v>
      </c>
      <c r="H114" s="25">
        <f>_CALC_PNL!P114</f>
        <v/>
      </c>
      <c r="I114" s="25">
        <f>IF(_CALC_PNL!E114=1,H114-G114,"")</f>
        <v/>
      </c>
    </row>
    <row r="115">
      <c r="A115" s="1" t="inlineStr">
        <is>
          <t>IPAC_REN</t>
        </is>
      </c>
      <c r="B115" s="1" t="inlineStr">
        <is>
          <t>621</t>
        </is>
      </c>
      <c r="C115" s="1" t="inlineStr">
        <is>
          <t>2024</t>
        </is>
      </c>
      <c r="D115" s="1" t="inlineStr">
        <is>
          <t>ACT</t>
        </is>
      </c>
      <c r="E115" s="1" t="inlineStr">
        <is>
          <t>2027BUD_V1</t>
        </is>
      </c>
      <c r="F115" s="1" t="inlineStr">
        <is>
          <t>12</t>
        </is>
      </c>
      <c r="G115" s="1" t="n">
        <v>66108</v>
      </c>
      <c r="H115" s="25">
        <f>_CALC_PNL!P115</f>
        <v/>
      </c>
      <c r="I115" s="25">
        <f>IF(_CALC_PNL!E115=1,H115-G115,"")</f>
        <v/>
      </c>
    </row>
    <row r="116">
      <c r="A116" s="1" t="inlineStr">
        <is>
          <t>IPAC_MTP</t>
        </is>
      </c>
      <c r="B116" s="1" t="inlineStr">
        <is>
          <t>621</t>
        </is>
      </c>
      <c r="C116" s="1" t="inlineStr">
        <is>
          <t>2024</t>
        </is>
      </c>
      <c r="D116" s="1" t="inlineStr">
        <is>
          <t>ACT</t>
        </is>
      </c>
      <c r="E116" s="1" t="inlineStr">
        <is>
          <t>2027BUD_V1</t>
        </is>
      </c>
      <c r="F116" s="1" t="inlineStr">
        <is>
          <t>12</t>
        </is>
      </c>
      <c r="G116" s="1" t="n">
        <v>66108</v>
      </c>
      <c r="H116" s="25">
        <f>_CALC_PNL!P116</f>
        <v/>
      </c>
      <c r="I116" s="25">
        <f>IF(_CALC_PNL!E116=1,H116-G116,"")</f>
        <v/>
      </c>
    </row>
    <row r="117">
      <c r="A117" s="1" t="inlineStr">
        <is>
          <t>PIGIER_LYO</t>
        </is>
      </c>
      <c r="B117" s="1" t="inlineStr">
        <is>
          <t>621</t>
        </is>
      </c>
      <c r="C117" s="1" t="inlineStr">
        <is>
          <t>2024</t>
        </is>
      </c>
      <c r="D117" s="1" t="inlineStr">
        <is>
          <t>ACT</t>
        </is>
      </c>
      <c r="E117" s="1" t="inlineStr">
        <is>
          <t>2027BUD_V1</t>
        </is>
      </c>
      <c r="F117" s="1" t="inlineStr">
        <is>
          <t>12</t>
        </is>
      </c>
      <c r="G117" s="1" t="n">
        <v>88144</v>
      </c>
      <c r="H117" s="25">
        <f>_CALC_PNL!P117</f>
        <v/>
      </c>
      <c r="I117" s="25">
        <f>IF(_CALC_PNL!E117=1,H117-G117,"")</f>
        <v/>
      </c>
    </row>
    <row r="118">
      <c r="A118" s="1" t="inlineStr">
        <is>
          <t>PIGIER_BOR</t>
        </is>
      </c>
      <c r="B118" s="1" t="inlineStr">
        <is>
          <t>621</t>
        </is>
      </c>
      <c r="C118" s="1" t="inlineStr">
        <is>
          <t>2024</t>
        </is>
      </c>
      <c r="D118" s="1" t="inlineStr">
        <is>
          <t>ACT</t>
        </is>
      </c>
      <c r="E118" s="1" t="inlineStr">
        <is>
          <t>2027BUD_V1</t>
        </is>
      </c>
      <c r="F118" s="1" t="inlineStr">
        <is>
          <t>12</t>
        </is>
      </c>
      <c r="G118" s="1" t="n">
        <v>88144</v>
      </c>
      <c r="H118" s="25">
        <f>_CALC_PNL!P118</f>
        <v/>
      </c>
      <c r="I118" s="25">
        <f>IF(_CALC_PNL!E118=1,H118-G118,"")</f>
        <v/>
      </c>
    </row>
    <row r="119">
      <c r="A119" s="1" t="inlineStr">
        <is>
          <t>TUNON_PAR</t>
        </is>
      </c>
      <c r="B119" s="1" t="inlineStr">
        <is>
          <t>621</t>
        </is>
      </c>
      <c r="C119" s="1" t="inlineStr">
        <is>
          <t>2024</t>
        </is>
      </c>
      <c r="D119" s="1" t="inlineStr">
        <is>
          <t>ACT</t>
        </is>
      </c>
      <c r="E119" s="1" t="inlineStr">
        <is>
          <t>2027BUD_V1</t>
        </is>
      </c>
      <c r="F119" s="1" t="inlineStr">
        <is>
          <t>12</t>
        </is>
      </c>
      <c r="G119" s="1" t="n">
        <v>66108</v>
      </c>
      <c r="H119" s="25">
        <f>_CALC_PNL!P119</f>
        <v/>
      </c>
      <c r="I119" s="25">
        <f>IF(_CALC_PNL!E119=1,H119-G119,"")</f>
        <v/>
      </c>
    </row>
    <row r="120">
      <c r="A120" s="1" t="inlineStr">
        <is>
          <t>TUNON_LYO</t>
        </is>
      </c>
      <c r="B120" s="1" t="inlineStr">
        <is>
          <t>621</t>
        </is>
      </c>
      <c r="C120" s="1" t="inlineStr">
        <is>
          <t>2024</t>
        </is>
      </c>
      <c r="D120" s="1" t="inlineStr">
        <is>
          <t>ACT</t>
        </is>
      </c>
      <c r="E120" s="1" t="inlineStr">
        <is>
          <t>2027BUD_V1</t>
        </is>
      </c>
      <c r="F120" s="1" t="inlineStr">
        <is>
          <t>12</t>
        </is>
      </c>
      <c r="G120" s="1" t="n">
        <v>66108</v>
      </c>
      <c r="H120" s="25">
        <f>_CALC_PNL!P120</f>
        <v/>
      </c>
      <c r="I120" s="25">
        <f>IF(_CALC_PNL!E120=1,H120-G120,"")</f>
        <v/>
      </c>
    </row>
    <row r="121">
      <c r="A121" s="1" t="inlineStr">
        <is>
          <t>MBWAY_PAR</t>
        </is>
      </c>
      <c r="B121" s="1" t="inlineStr">
        <is>
          <t>621</t>
        </is>
      </c>
      <c r="C121" s="1" t="inlineStr">
        <is>
          <t>2025</t>
        </is>
      </c>
      <c r="D121" s="1" t="inlineStr">
        <is>
          <t>ACT</t>
        </is>
      </c>
      <c r="E121" s="1" t="inlineStr">
        <is>
          <t>2027BUD_V1</t>
        </is>
      </c>
      <c r="F121" s="1" t="inlineStr">
        <is>
          <t>12</t>
        </is>
      </c>
      <c r="G121" s="1" t="n">
        <v>172844</v>
      </c>
      <c r="H121" s="25">
        <f>_CALC_PNL!P121</f>
        <v/>
      </c>
      <c r="I121" s="25">
        <f>IF(_CALC_PNL!E121=1,H121-G121,"")</f>
        <v/>
      </c>
    </row>
    <row r="122">
      <c r="A122" s="1" t="inlineStr">
        <is>
          <t>MBWAY_LYO</t>
        </is>
      </c>
      <c r="B122" s="1" t="inlineStr">
        <is>
          <t>621</t>
        </is>
      </c>
      <c r="C122" s="1" t="inlineStr">
        <is>
          <t>2025</t>
        </is>
      </c>
      <c r="D122" s="1" t="inlineStr">
        <is>
          <t>ACT</t>
        </is>
      </c>
      <c r="E122" s="1" t="inlineStr">
        <is>
          <t>2027BUD_V1</t>
        </is>
      </c>
      <c r="F122" s="1" t="inlineStr">
        <is>
          <t>12</t>
        </is>
      </c>
      <c r="G122" s="1" t="n">
        <v>149798</v>
      </c>
      <c r="H122" s="25">
        <f>_CALC_PNL!P122</f>
        <v/>
      </c>
      <c r="I122" s="25">
        <f>IF(_CALC_PNL!E122=1,H122-G122,"")</f>
        <v/>
      </c>
    </row>
    <row r="123">
      <c r="A123" s="1" t="inlineStr">
        <is>
          <t>MBWAY_NAN</t>
        </is>
      </c>
      <c r="B123" s="1" t="inlineStr">
        <is>
          <t>621</t>
        </is>
      </c>
      <c r="C123" s="1" t="inlineStr">
        <is>
          <t>2025</t>
        </is>
      </c>
      <c r="D123" s="1" t="inlineStr">
        <is>
          <t>ACT</t>
        </is>
      </c>
      <c r="E123" s="1" t="inlineStr">
        <is>
          <t>2027BUD_V1</t>
        </is>
      </c>
      <c r="F123" s="1" t="inlineStr">
        <is>
          <t>12</t>
        </is>
      </c>
      <c r="G123" s="1" t="n">
        <v>138275</v>
      </c>
      <c r="H123" s="25">
        <f>_CALC_PNL!P123</f>
        <v/>
      </c>
      <c r="I123" s="25">
        <f>IF(_CALC_PNL!E123=1,H123-G123,"")</f>
        <v/>
      </c>
    </row>
    <row r="124">
      <c r="A124" s="1" t="inlineStr">
        <is>
          <t>MBWAY_BOR</t>
        </is>
      </c>
      <c r="B124" s="1" t="inlineStr">
        <is>
          <t>621</t>
        </is>
      </c>
      <c r="C124" s="1" t="inlineStr">
        <is>
          <t>2025</t>
        </is>
      </c>
      <c r="D124" s="1" t="inlineStr">
        <is>
          <t>ACT</t>
        </is>
      </c>
      <c r="E124" s="1" t="inlineStr">
        <is>
          <t>2027BUD_V1</t>
        </is>
      </c>
      <c r="F124" s="1" t="inlineStr">
        <is>
          <t>12</t>
        </is>
      </c>
      <c r="G124" s="1" t="n">
        <v>115229</v>
      </c>
      <c r="H124" s="25">
        <f>_CALC_PNL!P124</f>
        <v/>
      </c>
      <c r="I124" s="25">
        <f>IF(_CALC_PNL!E124=1,H124-G124,"")</f>
        <v/>
      </c>
    </row>
    <row r="125">
      <c r="A125" s="1" t="inlineStr">
        <is>
          <t>ISCOM_PAR</t>
        </is>
      </c>
      <c r="B125" s="1" t="inlineStr">
        <is>
          <t>621</t>
        </is>
      </c>
      <c r="C125" s="1" t="inlineStr">
        <is>
          <t>2025</t>
        </is>
      </c>
      <c r="D125" s="1" t="inlineStr">
        <is>
          <t>ACT</t>
        </is>
      </c>
      <c r="E125" s="1" t="inlineStr">
        <is>
          <t>2027BUD_V1</t>
        </is>
      </c>
      <c r="F125" s="1" t="inlineStr">
        <is>
          <t>12</t>
        </is>
      </c>
      <c r="G125" s="1" t="n">
        <v>172844</v>
      </c>
      <c r="H125" s="25">
        <f>_CALC_PNL!P125</f>
        <v/>
      </c>
      <c r="I125" s="25">
        <f>IF(_CALC_PNL!E125=1,H125-G125,"")</f>
        <v/>
      </c>
    </row>
    <row r="126">
      <c r="A126" s="1" t="inlineStr">
        <is>
          <t>ISCOM_LIL</t>
        </is>
      </c>
      <c r="B126" s="1" t="inlineStr">
        <is>
          <t>621</t>
        </is>
      </c>
      <c r="C126" s="1" t="inlineStr">
        <is>
          <t>2025</t>
        </is>
      </c>
      <c r="D126" s="1" t="inlineStr">
        <is>
          <t>ACT</t>
        </is>
      </c>
      <c r="E126" s="1" t="inlineStr">
        <is>
          <t>2027BUD_V1</t>
        </is>
      </c>
      <c r="F126" s="1" t="inlineStr">
        <is>
          <t>12</t>
        </is>
      </c>
      <c r="G126" s="1" t="n">
        <v>115229</v>
      </c>
      <c r="H126" s="25">
        <f>_CALC_PNL!P126</f>
        <v/>
      </c>
      <c r="I126" s="25">
        <f>IF(_CALC_PNL!E126=1,H126-G126,"")</f>
        <v/>
      </c>
    </row>
    <row r="127">
      <c r="A127" s="1" t="inlineStr">
        <is>
          <t>ISCOM_TLS</t>
        </is>
      </c>
      <c r="B127" s="1" t="inlineStr">
        <is>
          <t>621</t>
        </is>
      </c>
      <c r="C127" s="1" t="inlineStr">
        <is>
          <t>2025</t>
        </is>
      </c>
      <c r="D127" s="1" t="inlineStr">
        <is>
          <t>ACT</t>
        </is>
      </c>
      <c r="E127" s="1" t="inlineStr">
        <is>
          <t>2027BUD_V1</t>
        </is>
      </c>
      <c r="F127" s="1" t="inlineStr">
        <is>
          <t>12</t>
        </is>
      </c>
      <c r="G127" s="1" t="n">
        <v>115229</v>
      </c>
      <c r="H127" s="25">
        <f>_CALC_PNL!P127</f>
        <v/>
      </c>
      <c r="I127" s="25">
        <f>IF(_CALC_PNL!E127=1,H127-G127,"")</f>
        <v/>
      </c>
    </row>
    <row r="128">
      <c r="A128" s="1" t="inlineStr">
        <is>
          <t>IPAC_NAN</t>
        </is>
      </c>
      <c r="B128" s="1" t="inlineStr">
        <is>
          <t>621</t>
        </is>
      </c>
      <c r="C128" s="1" t="inlineStr">
        <is>
          <t>2025</t>
        </is>
      </c>
      <c r="D128" s="1" t="inlineStr">
        <is>
          <t>ACT</t>
        </is>
      </c>
      <c r="E128" s="1" t="inlineStr">
        <is>
          <t>2027BUD_V1</t>
        </is>
      </c>
      <c r="F128" s="1" t="inlineStr">
        <is>
          <t>12</t>
        </is>
      </c>
      <c r="G128" s="1" t="n">
        <v>69137</v>
      </c>
      <c r="H128" s="25">
        <f>_CALC_PNL!P128</f>
        <v/>
      </c>
      <c r="I128" s="25">
        <f>IF(_CALC_PNL!E128=1,H128-G128,"")</f>
        <v/>
      </c>
    </row>
    <row r="129">
      <c r="A129" s="1" t="inlineStr">
        <is>
          <t>IPAC_REN</t>
        </is>
      </c>
      <c r="B129" s="1" t="inlineStr">
        <is>
          <t>621</t>
        </is>
      </c>
      <c r="C129" s="1" t="inlineStr">
        <is>
          <t>2025</t>
        </is>
      </c>
      <c r="D129" s="1" t="inlineStr">
        <is>
          <t>ACT</t>
        </is>
      </c>
      <c r="E129" s="1" t="inlineStr">
        <is>
          <t>2027BUD_V1</t>
        </is>
      </c>
      <c r="F129" s="1" t="inlineStr">
        <is>
          <t>12</t>
        </is>
      </c>
      <c r="G129" s="1" t="n">
        <v>69137</v>
      </c>
      <c r="H129" s="25">
        <f>_CALC_PNL!P129</f>
        <v/>
      </c>
      <c r="I129" s="25">
        <f>IF(_CALC_PNL!E129=1,H129-G129,"")</f>
        <v/>
      </c>
    </row>
    <row r="130">
      <c r="A130" s="1" t="inlineStr">
        <is>
          <t>IPAC_MTP</t>
        </is>
      </c>
      <c r="B130" s="1" t="inlineStr">
        <is>
          <t>621</t>
        </is>
      </c>
      <c r="C130" s="1" t="inlineStr">
        <is>
          <t>2025</t>
        </is>
      </c>
      <c r="D130" s="1" t="inlineStr">
        <is>
          <t>ACT</t>
        </is>
      </c>
      <c r="E130" s="1" t="inlineStr">
        <is>
          <t>2027BUD_V1</t>
        </is>
      </c>
      <c r="F130" s="1" t="inlineStr">
        <is>
          <t>12</t>
        </is>
      </c>
      <c r="G130" s="1" t="n">
        <v>69137</v>
      </c>
      <c r="H130" s="25">
        <f>_CALC_PNL!P130</f>
        <v/>
      </c>
      <c r="I130" s="25">
        <f>IF(_CALC_PNL!E130=1,H130-G130,"")</f>
        <v/>
      </c>
    </row>
    <row r="131">
      <c r="A131" s="1" t="inlineStr">
        <is>
          <t>PIGIER_LYO</t>
        </is>
      </c>
      <c r="B131" s="1" t="inlineStr">
        <is>
          <t>621</t>
        </is>
      </c>
      <c r="C131" s="1" t="inlineStr">
        <is>
          <t>2025</t>
        </is>
      </c>
      <c r="D131" s="1" t="inlineStr">
        <is>
          <t>ACT</t>
        </is>
      </c>
      <c r="E131" s="1" t="inlineStr">
        <is>
          <t>2027BUD_V1</t>
        </is>
      </c>
      <c r="F131" s="1" t="inlineStr">
        <is>
          <t>12</t>
        </is>
      </c>
      <c r="G131" s="1" t="n">
        <v>92183</v>
      </c>
      <c r="H131" s="25">
        <f>_CALC_PNL!P131</f>
        <v/>
      </c>
      <c r="I131" s="25">
        <f>IF(_CALC_PNL!E131=1,H131-G131,"")</f>
        <v/>
      </c>
    </row>
    <row r="132">
      <c r="A132" s="1" t="inlineStr">
        <is>
          <t>PIGIER_BOR</t>
        </is>
      </c>
      <c r="B132" s="1" t="inlineStr">
        <is>
          <t>621</t>
        </is>
      </c>
      <c r="C132" s="1" t="inlineStr">
        <is>
          <t>2025</t>
        </is>
      </c>
      <c r="D132" s="1" t="inlineStr">
        <is>
          <t>ACT</t>
        </is>
      </c>
      <c r="E132" s="1" t="inlineStr">
        <is>
          <t>2027BUD_V1</t>
        </is>
      </c>
      <c r="F132" s="1" t="inlineStr">
        <is>
          <t>12</t>
        </is>
      </c>
      <c r="G132" s="1" t="n">
        <v>92183</v>
      </c>
      <c r="H132" s="25">
        <f>_CALC_PNL!P132</f>
        <v/>
      </c>
      <c r="I132" s="25">
        <f>IF(_CALC_PNL!E132=1,H132-G132,"")</f>
        <v/>
      </c>
    </row>
    <row r="133">
      <c r="A133" s="1" t="inlineStr">
        <is>
          <t>TUNON_PAR</t>
        </is>
      </c>
      <c r="B133" s="1" t="inlineStr">
        <is>
          <t>621</t>
        </is>
      </c>
      <c r="C133" s="1" t="inlineStr">
        <is>
          <t>2025</t>
        </is>
      </c>
      <c r="D133" s="1" t="inlineStr">
        <is>
          <t>ACT</t>
        </is>
      </c>
      <c r="E133" s="1" t="inlineStr">
        <is>
          <t>2027BUD_V1</t>
        </is>
      </c>
      <c r="F133" s="1" t="inlineStr">
        <is>
          <t>12</t>
        </is>
      </c>
      <c r="G133" s="1" t="n">
        <v>69137</v>
      </c>
      <c r="H133" s="25">
        <f>_CALC_PNL!P133</f>
        <v/>
      </c>
      <c r="I133" s="25">
        <f>IF(_CALC_PNL!E133=1,H133-G133,"")</f>
        <v/>
      </c>
    </row>
    <row r="134">
      <c r="A134" s="1" t="inlineStr">
        <is>
          <t>TUNON_LYO</t>
        </is>
      </c>
      <c r="B134" s="1" t="inlineStr">
        <is>
          <t>621</t>
        </is>
      </c>
      <c r="C134" s="1" t="inlineStr">
        <is>
          <t>2025</t>
        </is>
      </c>
      <c r="D134" s="1" t="inlineStr">
        <is>
          <t>ACT</t>
        </is>
      </c>
      <c r="E134" s="1" t="inlineStr">
        <is>
          <t>2027BUD_V1</t>
        </is>
      </c>
      <c r="F134" s="1" t="inlineStr">
        <is>
          <t>12</t>
        </is>
      </c>
      <c r="G134" s="1" t="n">
        <v>69137</v>
      </c>
      <c r="H134" s="25">
        <f>_CALC_PNL!P134</f>
        <v/>
      </c>
      <c r="I134" s="25">
        <f>IF(_CALC_PNL!E134=1,H134-G134,"")</f>
        <v/>
      </c>
    </row>
    <row r="135">
      <c r="A135" s="1" t="inlineStr">
        <is>
          <t>MBWAY_PAR</t>
        </is>
      </c>
      <c r="B135" s="1" t="inlineStr">
        <is>
          <t>621</t>
        </is>
      </c>
      <c r="C135" s="1" t="inlineStr">
        <is>
          <t>2026</t>
        </is>
      </c>
      <c r="D135" s="1" t="inlineStr">
        <is>
          <t>ACT</t>
        </is>
      </c>
      <c r="E135" s="1" t="inlineStr">
        <is>
          <t>2027BUD_V1</t>
        </is>
      </c>
      <c r="F135" s="1" t="inlineStr">
        <is>
          <t>12</t>
        </is>
      </c>
      <c r="G135" s="1" t="n">
        <v>181094</v>
      </c>
      <c r="H135" s="25">
        <f>_CALC_PNL!P135</f>
        <v/>
      </c>
      <c r="I135" s="25">
        <f>IF(_CALC_PNL!E135=1,H135-G135,"")</f>
        <v/>
      </c>
    </row>
    <row r="136">
      <c r="A136" s="1" t="inlineStr">
        <is>
          <t>MBWAY_LYO</t>
        </is>
      </c>
      <c r="B136" s="1" t="inlineStr">
        <is>
          <t>621</t>
        </is>
      </c>
      <c r="C136" s="1" t="inlineStr">
        <is>
          <t>2026</t>
        </is>
      </c>
      <c r="D136" s="1" t="inlineStr">
        <is>
          <t>ACT</t>
        </is>
      </c>
      <c r="E136" s="1" t="inlineStr">
        <is>
          <t>2027BUD_V1</t>
        </is>
      </c>
      <c r="F136" s="1" t="inlineStr">
        <is>
          <t>12</t>
        </is>
      </c>
      <c r="G136" s="1" t="n">
        <v>156948</v>
      </c>
      <c r="H136" s="25">
        <f>_CALC_PNL!P136</f>
        <v/>
      </c>
      <c r="I136" s="25">
        <f>IF(_CALC_PNL!E136=1,H136-G136,"")</f>
        <v/>
      </c>
    </row>
    <row r="137">
      <c r="A137" s="1" t="inlineStr">
        <is>
          <t>MBWAY_NAN</t>
        </is>
      </c>
      <c r="B137" s="1" t="inlineStr">
        <is>
          <t>621</t>
        </is>
      </c>
      <c r="C137" s="1" t="inlineStr">
        <is>
          <t>2026</t>
        </is>
      </c>
      <c r="D137" s="1" t="inlineStr">
        <is>
          <t>ACT</t>
        </is>
      </c>
      <c r="E137" s="1" t="inlineStr">
        <is>
          <t>2027BUD_V1</t>
        </is>
      </c>
      <c r="F137" s="1" t="inlineStr">
        <is>
          <t>12</t>
        </is>
      </c>
      <c r="G137" s="1" t="n">
        <v>144875</v>
      </c>
      <c r="H137" s="25">
        <f>_CALC_PNL!P137</f>
        <v/>
      </c>
      <c r="I137" s="25">
        <f>IF(_CALC_PNL!E137=1,H137-G137,"")</f>
        <v/>
      </c>
    </row>
    <row r="138">
      <c r="A138" s="1" t="inlineStr">
        <is>
          <t>MBWAY_BOR</t>
        </is>
      </c>
      <c r="B138" s="1" t="inlineStr">
        <is>
          <t>621</t>
        </is>
      </c>
      <c r="C138" s="1" t="inlineStr">
        <is>
          <t>2026</t>
        </is>
      </c>
      <c r="D138" s="1" t="inlineStr">
        <is>
          <t>ACT</t>
        </is>
      </c>
      <c r="E138" s="1" t="inlineStr">
        <is>
          <t>2027BUD_V1</t>
        </is>
      </c>
      <c r="F138" s="1" t="inlineStr">
        <is>
          <t>12</t>
        </is>
      </c>
      <c r="G138" s="1" t="n">
        <v>120729</v>
      </c>
      <c r="H138" s="25">
        <f>_CALC_PNL!P138</f>
        <v/>
      </c>
      <c r="I138" s="25">
        <f>IF(_CALC_PNL!E138=1,H138-G138,"")</f>
        <v/>
      </c>
    </row>
    <row r="139">
      <c r="A139" s="1" t="inlineStr">
        <is>
          <t>ISCOM_PAR</t>
        </is>
      </c>
      <c r="B139" s="1" t="inlineStr">
        <is>
          <t>621</t>
        </is>
      </c>
      <c r="C139" s="1" t="inlineStr">
        <is>
          <t>2026</t>
        </is>
      </c>
      <c r="D139" s="1" t="inlineStr">
        <is>
          <t>ACT</t>
        </is>
      </c>
      <c r="E139" s="1" t="inlineStr">
        <is>
          <t>2027BUD_V1</t>
        </is>
      </c>
      <c r="F139" s="1" t="inlineStr">
        <is>
          <t>12</t>
        </is>
      </c>
      <c r="G139" s="1" t="n">
        <v>181094</v>
      </c>
      <c r="H139" s="25">
        <f>_CALC_PNL!P139</f>
        <v/>
      </c>
      <c r="I139" s="25">
        <f>IF(_CALC_PNL!E139=1,H139-G139,"")</f>
        <v/>
      </c>
    </row>
    <row r="140">
      <c r="A140" s="1" t="inlineStr">
        <is>
          <t>ISCOM_LIL</t>
        </is>
      </c>
      <c r="B140" s="1" t="inlineStr">
        <is>
          <t>621</t>
        </is>
      </c>
      <c r="C140" s="1" t="inlineStr">
        <is>
          <t>2026</t>
        </is>
      </c>
      <c r="D140" s="1" t="inlineStr">
        <is>
          <t>ACT</t>
        </is>
      </c>
      <c r="E140" s="1" t="inlineStr">
        <is>
          <t>2027BUD_V1</t>
        </is>
      </c>
      <c r="F140" s="1" t="inlineStr">
        <is>
          <t>12</t>
        </is>
      </c>
      <c r="G140" s="1" t="n">
        <v>120729</v>
      </c>
      <c r="H140" s="25">
        <f>_CALC_PNL!P140</f>
        <v/>
      </c>
      <c r="I140" s="25">
        <f>IF(_CALC_PNL!E140=1,H140-G140,"")</f>
        <v/>
      </c>
    </row>
    <row r="141">
      <c r="A141" s="1" t="inlineStr">
        <is>
          <t>ISCOM_TLS</t>
        </is>
      </c>
      <c r="B141" s="1" t="inlineStr">
        <is>
          <t>621</t>
        </is>
      </c>
      <c r="C141" s="1" t="inlineStr">
        <is>
          <t>2026</t>
        </is>
      </c>
      <c r="D141" s="1" t="inlineStr">
        <is>
          <t>ACT</t>
        </is>
      </c>
      <c r="E141" s="1" t="inlineStr">
        <is>
          <t>2027BUD_V1</t>
        </is>
      </c>
      <c r="F141" s="1" t="inlineStr">
        <is>
          <t>12</t>
        </is>
      </c>
      <c r="G141" s="1" t="n">
        <v>120729</v>
      </c>
      <c r="H141" s="25">
        <f>_CALC_PNL!P141</f>
        <v/>
      </c>
      <c r="I141" s="25">
        <f>IF(_CALC_PNL!E141=1,H141-G141,"")</f>
        <v/>
      </c>
    </row>
    <row r="142">
      <c r="A142" s="1" t="inlineStr">
        <is>
          <t>IPAC_NAN</t>
        </is>
      </c>
      <c r="B142" s="1" t="inlineStr">
        <is>
          <t>621</t>
        </is>
      </c>
      <c r="C142" s="1" t="inlineStr">
        <is>
          <t>2026</t>
        </is>
      </c>
      <c r="D142" s="1" t="inlineStr">
        <is>
          <t>ACT</t>
        </is>
      </c>
      <c r="E142" s="1" t="inlineStr">
        <is>
          <t>2027BUD_V1</t>
        </is>
      </c>
      <c r="F142" s="1" t="inlineStr">
        <is>
          <t>12</t>
        </is>
      </c>
      <c r="G142" s="1" t="n">
        <v>72438</v>
      </c>
      <c r="H142" s="25">
        <f>_CALC_PNL!P142</f>
        <v/>
      </c>
      <c r="I142" s="25">
        <f>IF(_CALC_PNL!E142=1,H142-G142,"")</f>
        <v/>
      </c>
    </row>
    <row r="143">
      <c r="A143" s="1" t="inlineStr">
        <is>
          <t>IPAC_REN</t>
        </is>
      </c>
      <c r="B143" s="1" t="inlineStr">
        <is>
          <t>621</t>
        </is>
      </c>
      <c r="C143" s="1" t="inlineStr">
        <is>
          <t>2026</t>
        </is>
      </c>
      <c r="D143" s="1" t="inlineStr">
        <is>
          <t>ACT</t>
        </is>
      </c>
      <c r="E143" s="1" t="inlineStr">
        <is>
          <t>2027BUD_V1</t>
        </is>
      </c>
      <c r="F143" s="1" t="inlineStr">
        <is>
          <t>12</t>
        </is>
      </c>
      <c r="G143" s="1" t="n">
        <v>72438</v>
      </c>
      <c r="H143" s="25">
        <f>_CALC_PNL!P143</f>
        <v/>
      </c>
      <c r="I143" s="25">
        <f>IF(_CALC_PNL!E143=1,H143-G143,"")</f>
        <v/>
      </c>
    </row>
    <row r="144">
      <c r="A144" s="1" t="inlineStr">
        <is>
          <t>IPAC_MTP</t>
        </is>
      </c>
      <c r="B144" s="1" t="inlineStr">
        <is>
          <t>621</t>
        </is>
      </c>
      <c r="C144" s="1" t="inlineStr">
        <is>
          <t>2026</t>
        </is>
      </c>
      <c r="D144" s="1" t="inlineStr">
        <is>
          <t>ACT</t>
        </is>
      </c>
      <c r="E144" s="1" t="inlineStr">
        <is>
          <t>2027BUD_V1</t>
        </is>
      </c>
      <c r="F144" s="1" t="inlineStr">
        <is>
          <t>12</t>
        </is>
      </c>
      <c r="G144" s="1" t="n">
        <v>72438</v>
      </c>
      <c r="H144" s="25">
        <f>_CALC_PNL!P144</f>
        <v/>
      </c>
      <c r="I144" s="25">
        <f>IF(_CALC_PNL!E144=1,H144-G144,"")</f>
        <v/>
      </c>
    </row>
    <row r="145">
      <c r="A145" s="1" t="inlineStr">
        <is>
          <t>PIGIER_LYO</t>
        </is>
      </c>
      <c r="B145" s="1" t="inlineStr">
        <is>
          <t>621</t>
        </is>
      </c>
      <c r="C145" s="1" t="inlineStr">
        <is>
          <t>2026</t>
        </is>
      </c>
      <c r="D145" s="1" t="inlineStr">
        <is>
          <t>ACT</t>
        </is>
      </c>
      <c r="E145" s="1" t="inlineStr">
        <is>
          <t>2027BUD_V1</t>
        </is>
      </c>
      <c r="F145" s="1" t="inlineStr">
        <is>
          <t>12</t>
        </is>
      </c>
      <c r="G145" s="1" t="n">
        <v>96583</v>
      </c>
      <c r="H145" s="25">
        <f>_CALC_PNL!P145</f>
        <v/>
      </c>
      <c r="I145" s="25">
        <f>IF(_CALC_PNL!E145=1,H145-G145,"")</f>
        <v/>
      </c>
    </row>
    <row r="146">
      <c r="A146" s="1" t="inlineStr">
        <is>
          <t>PIGIER_BOR</t>
        </is>
      </c>
      <c r="B146" s="1" t="inlineStr">
        <is>
          <t>621</t>
        </is>
      </c>
      <c r="C146" s="1" t="inlineStr">
        <is>
          <t>2026</t>
        </is>
      </c>
      <c r="D146" s="1" t="inlineStr">
        <is>
          <t>ACT</t>
        </is>
      </c>
      <c r="E146" s="1" t="inlineStr">
        <is>
          <t>2027BUD_V1</t>
        </is>
      </c>
      <c r="F146" s="1" t="inlineStr">
        <is>
          <t>12</t>
        </is>
      </c>
      <c r="G146" s="1" t="n">
        <v>96583</v>
      </c>
      <c r="H146" s="25">
        <f>_CALC_PNL!P146</f>
        <v/>
      </c>
      <c r="I146" s="25">
        <f>IF(_CALC_PNL!E146=1,H146-G146,"")</f>
        <v/>
      </c>
    </row>
    <row r="147">
      <c r="A147" s="1" t="inlineStr">
        <is>
          <t>TUNON_PAR</t>
        </is>
      </c>
      <c r="B147" s="1" t="inlineStr">
        <is>
          <t>621</t>
        </is>
      </c>
      <c r="C147" s="1" t="inlineStr">
        <is>
          <t>2026</t>
        </is>
      </c>
      <c r="D147" s="1" t="inlineStr">
        <is>
          <t>ACT</t>
        </is>
      </c>
      <c r="E147" s="1" t="inlineStr">
        <is>
          <t>2027BUD_V1</t>
        </is>
      </c>
      <c r="F147" s="1" t="inlineStr">
        <is>
          <t>12</t>
        </is>
      </c>
      <c r="G147" s="1" t="n">
        <v>72438</v>
      </c>
      <c r="H147" s="25">
        <f>_CALC_PNL!P147</f>
        <v/>
      </c>
      <c r="I147" s="25">
        <f>IF(_CALC_PNL!E147=1,H147-G147,"")</f>
        <v/>
      </c>
    </row>
    <row r="148">
      <c r="A148" s="1" t="inlineStr">
        <is>
          <t>TUNON_LYO</t>
        </is>
      </c>
      <c r="B148" s="1" t="inlineStr">
        <is>
          <t>621</t>
        </is>
      </c>
      <c r="C148" s="1" t="inlineStr">
        <is>
          <t>2026</t>
        </is>
      </c>
      <c r="D148" s="1" t="inlineStr">
        <is>
          <t>ACT</t>
        </is>
      </c>
      <c r="E148" s="1" t="inlineStr">
        <is>
          <t>2027BUD_V1</t>
        </is>
      </c>
      <c r="F148" s="1" t="inlineStr">
        <is>
          <t>12</t>
        </is>
      </c>
      <c r="G148" s="1" t="n">
        <v>72438</v>
      </c>
      <c r="H148" s="25">
        <f>_CALC_PNL!P148</f>
        <v/>
      </c>
      <c r="I148" s="25">
        <f>IF(_CALC_PNL!E148=1,H148-G148,"")</f>
        <v/>
      </c>
    </row>
    <row r="149">
      <c r="A149" s="1" t="inlineStr">
        <is>
          <t>MBWAY_PAR</t>
        </is>
      </c>
      <c r="B149" s="1" t="inlineStr">
        <is>
          <t>604</t>
        </is>
      </c>
      <c r="C149" s="1" t="inlineStr">
        <is>
          <t>2024</t>
        </is>
      </c>
      <c r="D149" s="1" t="inlineStr">
        <is>
          <t>ACT</t>
        </is>
      </c>
      <c r="E149" s="1" t="inlineStr">
        <is>
          <t>2027BUD_V1</t>
        </is>
      </c>
      <c r="F149" s="1" t="inlineStr">
        <is>
          <t>12</t>
        </is>
      </c>
      <c r="G149" s="1" t="n">
        <v>77832</v>
      </c>
      <c r="H149" s="25">
        <f>_CALC_PNL!P149</f>
        <v/>
      </c>
      <c r="I149" s="25">
        <f>IF(_CALC_PNL!E149=1,H149-G149,"")</f>
        <v/>
      </c>
    </row>
    <row r="150">
      <c r="A150" s="1" t="inlineStr">
        <is>
          <t>MBWAY_LYO</t>
        </is>
      </c>
      <c r="B150" s="1" t="inlineStr">
        <is>
          <t>604</t>
        </is>
      </c>
      <c r="C150" s="1" t="inlineStr">
        <is>
          <t>2024</t>
        </is>
      </c>
      <c r="D150" s="1" t="inlineStr">
        <is>
          <t>ACT</t>
        </is>
      </c>
      <c r="E150" s="1" t="inlineStr">
        <is>
          <t>2027BUD_V1</t>
        </is>
      </c>
      <c r="F150" s="1" t="inlineStr">
        <is>
          <t>12</t>
        </is>
      </c>
      <c r="G150" s="1" t="n">
        <v>66015</v>
      </c>
      <c r="H150" s="25">
        <f>_CALC_PNL!P150</f>
        <v/>
      </c>
      <c r="I150" s="25">
        <f>IF(_CALC_PNL!E150=1,H150-G150,"")</f>
        <v/>
      </c>
    </row>
    <row r="151">
      <c r="A151" s="1" t="inlineStr">
        <is>
          <t>MBWAY_NAN</t>
        </is>
      </c>
      <c r="B151" s="1" t="inlineStr">
        <is>
          <t>604</t>
        </is>
      </c>
      <c r="C151" s="1" t="inlineStr">
        <is>
          <t>2024</t>
        </is>
      </c>
      <c r="D151" s="1" t="inlineStr">
        <is>
          <t>ACT</t>
        </is>
      </c>
      <c r="E151" s="1" t="inlineStr">
        <is>
          <t>2027BUD_V1</t>
        </is>
      </c>
      <c r="F151" s="1" t="inlineStr">
        <is>
          <t>12</t>
        </is>
      </c>
      <c r="G151" s="1" t="n">
        <v>59902</v>
      </c>
      <c r="H151" s="25">
        <f>_CALC_PNL!P151</f>
        <v/>
      </c>
      <c r="I151" s="25">
        <f>IF(_CALC_PNL!E151=1,H151-G151,"")</f>
        <v/>
      </c>
    </row>
    <row r="152">
      <c r="A152" s="1" t="inlineStr">
        <is>
          <t>MBWAY_BOR</t>
        </is>
      </c>
      <c r="B152" s="1" t="inlineStr">
        <is>
          <t>604</t>
        </is>
      </c>
      <c r="C152" s="1" t="inlineStr">
        <is>
          <t>2024</t>
        </is>
      </c>
      <c r="D152" s="1" t="inlineStr">
        <is>
          <t>ACT</t>
        </is>
      </c>
      <c r="E152" s="1" t="inlineStr">
        <is>
          <t>2027BUD_V1</t>
        </is>
      </c>
      <c r="F152" s="1" t="inlineStr">
        <is>
          <t>12</t>
        </is>
      </c>
      <c r="G152" s="1" t="n">
        <v>50734</v>
      </c>
      <c r="H152" s="25">
        <f>_CALC_PNL!P152</f>
        <v/>
      </c>
      <c r="I152" s="25">
        <f>IF(_CALC_PNL!E152=1,H152-G152,"")</f>
        <v/>
      </c>
    </row>
    <row r="153">
      <c r="A153" s="1" t="inlineStr">
        <is>
          <t>ISCOM_PAR</t>
        </is>
      </c>
      <c r="B153" s="1" t="inlineStr">
        <is>
          <t>604</t>
        </is>
      </c>
      <c r="C153" s="1" t="inlineStr">
        <is>
          <t>2024</t>
        </is>
      </c>
      <c r="D153" s="1" t="inlineStr">
        <is>
          <t>ACT</t>
        </is>
      </c>
      <c r="E153" s="1" t="inlineStr">
        <is>
          <t>2027BUD_V1</t>
        </is>
      </c>
      <c r="F153" s="1" t="inlineStr">
        <is>
          <t>12</t>
        </is>
      </c>
      <c r="G153" s="1" t="n">
        <v>72127</v>
      </c>
      <c r="H153" s="25">
        <f>_CALC_PNL!P153</f>
        <v/>
      </c>
      <c r="I153" s="25">
        <f>IF(_CALC_PNL!E153=1,H153-G153,"")</f>
        <v/>
      </c>
    </row>
    <row r="154">
      <c r="A154" s="1" t="inlineStr">
        <is>
          <t>ISCOM_LIL</t>
        </is>
      </c>
      <c r="B154" s="1" t="inlineStr">
        <is>
          <t>604</t>
        </is>
      </c>
      <c r="C154" s="1" t="inlineStr">
        <is>
          <t>2024</t>
        </is>
      </c>
      <c r="D154" s="1" t="inlineStr">
        <is>
          <t>ACT</t>
        </is>
      </c>
      <c r="E154" s="1" t="inlineStr">
        <is>
          <t>2027BUD_V1</t>
        </is>
      </c>
      <c r="F154" s="1" t="inlineStr">
        <is>
          <t>12</t>
        </is>
      </c>
      <c r="G154" s="1" t="n">
        <v>49715</v>
      </c>
      <c r="H154" s="25">
        <f>_CALC_PNL!P154</f>
        <v/>
      </c>
      <c r="I154" s="25">
        <f>IF(_CALC_PNL!E154=1,H154-G154,"")</f>
        <v/>
      </c>
    </row>
    <row r="155">
      <c r="A155" s="1" t="inlineStr">
        <is>
          <t>ISCOM_TLS</t>
        </is>
      </c>
      <c r="B155" s="1" t="inlineStr">
        <is>
          <t>604</t>
        </is>
      </c>
      <c r="C155" s="1" t="inlineStr">
        <is>
          <t>2024</t>
        </is>
      </c>
      <c r="D155" s="1" t="inlineStr">
        <is>
          <t>ACT</t>
        </is>
      </c>
      <c r="E155" s="1" t="inlineStr">
        <is>
          <t>2027BUD_V1</t>
        </is>
      </c>
      <c r="F155" s="1" t="inlineStr">
        <is>
          <t>12</t>
        </is>
      </c>
      <c r="G155" s="1" t="n">
        <v>47066</v>
      </c>
      <c r="H155" s="25">
        <f>_CALC_PNL!P155</f>
        <v/>
      </c>
      <c r="I155" s="25">
        <f>IF(_CALC_PNL!E155=1,H155-G155,"")</f>
        <v/>
      </c>
    </row>
    <row r="156">
      <c r="A156" s="1" t="inlineStr">
        <is>
          <t>IPAC_NAN</t>
        </is>
      </c>
      <c r="B156" s="1" t="inlineStr">
        <is>
          <t>604</t>
        </is>
      </c>
      <c r="C156" s="1" t="inlineStr">
        <is>
          <t>2024</t>
        </is>
      </c>
      <c r="D156" s="1" t="inlineStr">
        <is>
          <t>ACT</t>
        </is>
      </c>
      <c r="E156" s="1" t="inlineStr">
        <is>
          <t>2027BUD_V1</t>
        </is>
      </c>
      <c r="F156" s="1" t="inlineStr">
        <is>
          <t>12</t>
        </is>
      </c>
      <c r="G156" s="1" t="n">
        <v>29544</v>
      </c>
      <c r="H156" s="25">
        <f>_CALC_PNL!P156</f>
        <v/>
      </c>
      <c r="I156" s="25">
        <f>IF(_CALC_PNL!E156=1,H156-G156,"")</f>
        <v/>
      </c>
    </row>
    <row r="157">
      <c r="A157" s="1" t="inlineStr">
        <is>
          <t>IPAC_REN</t>
        </is>
      </c>
      <c r="B157" s="1" t="inlineStr">
        <is>
          <t>604</t>
        </is>
      </c>
      <c r="C157" s="1" t="inlineStr">
        <is>
          <t>2024</t>
        </is>
      </c>
      <c r="D157" s="1" t="inlineStr">
        <is>
          <t>ACT</t>
        </is>
      </c>
      <c r="E157" s="1" t="inlineStr">
        <is>
          <t>2027BUD_V1</t>
        </is>
      </c>
      <c r="F157" s="1" t="inlineStr">
        <is>
          <t>12</t>
        </is>
      </c>
      <c r="G157" s="1" t="n">
        <v>23839</v>
      </c>
      <c r="H157" s="25">
        <f>_CALC_PNL!P157</f>
        <v/>
      </c>
      <c r="I157" s="25">
        <f>IF(_CALC_PNL!E157=1,H157-G157,"")</f>
        <v/>
      </c>
    </row>
    <row r="158">
      <c r="A158" s="1" t="inlineStr">
        <is>
          <t>IPAC_MTP</t>
        </is>
      </c>
      <c r="B158" s="1" t="inlineStr">
        <is>
          <t>604</t>
        </is>
      </c>
      <c r="C158" s="1" t="inlineStr">
        <is>
          <t>2024</t>
        </is>
      </c>
      <c r="D158" s="1" t="inlineStr">
        <is>
          <t>ACT</t>
        </is>
      </c>
      <c r="E158" s="1" t="inlineStr">
        <is>
          <t>2027BUD_V1</t>
        </is>
      </c>
      <c r="F158" s="1" t="inlineStr">
        <is>
          <t>12</t>
        </is>
      </c>
      <c r="G158" s="1" t="n">
        <v>23839</v>
      </c>
      <c r="H158" s="25">
        <f>_CALC_PNL!P158</f>
        <v/>
      </c>
      <c r="I158" s="25">
        <f>IF(_CALC_PNL!E158=1,H158-G158,"")</f>
        <v/>
      </c>
    </row>
    <row r="159">
      <c r="A159" s="1" t="inlineStr">
        <is>
          <t>PIGIER_LYO</t>
        </is>
      </c>
      <c r="B159" s="1" t="inlineStr">
        <is>
          <t>604</t>
        </is>
      </c>
      <c r="C159" s="1" t="inlineStr">
        <is>
          <t>2024</t>
        </is>
      </c>
      <c r="D159" s="1" t="inlineStr">
        <is>
          <t>ACT</t>
        </is>
      </c>
      <c r="E159" s="1" t="inlineStr">
        <is>
          <t>2027BUD_V1</t>
        </is>
      </c>
      <c r="F159" s="1" t="inlineStr">
        <is>
          <t>12</t>
        </is>
      </c>
      <c r="G159" s="1" t="n">
        <v>37082</v>
      </c>
      <c r="H159" s="25">
        <f>_CALC_PNL!P159</f>
        <v/>
      </c>
      <c r="I159" s="25">
        <f>IF(_CALC_PNL!E159=1,H159-G159,"")</f>
        <v/>
      </c>
    </row>
    <row r="160">
      <c r="A160" s="1" t="inlineStr">
        <is>
          <t>PIGIER_BOR</t>
        </is>
      </c>
      <c r="B160" s="1" t="inlineStr">
        <is>
          <t>604</t>
        </is>
      </c>
      <c r="C160" s="1" t="inlineStr">
        <is>
          <t>2024</t>
        </is>
      </c>
      <c r="D160" s="1" t="inlineStr">
        <is>
          <t>ACT</t>
        </is>
      </c>
      <c r="E160" s="1" t="inlineStr">
        <is>
          <t>2027BUD_V1</t>
        </is>
      </c>
      <c r="F160" s="1" t="inlineStr">
        <is>
          <t>12</t>
        </is>
      </c>
      <c r="G160" s="1" t="n">
        <v>28932</v>
      </c>
      <c r="H160" s="25">
        <f>_CALC_PNL!P160</f>
        <v/>
      </c>
      <c r="I160" s="25">
        <f>IF(_CALC_PNL!E160=1,H160-G160,"")</f>
        <v/>
      </c>
    </row>
    <row r="161">
      <c r="A161" s="1" t="inlineStr">
        <is>
          <t>TUNON_PAR</t>
        </is>
      </c>
      <c r="B161" s="1" t="inlineStr">
        <is>
          <t>604</t>
        </is>
      </c>
      <c r="C161" s="1" t="inlineStr">
        <is>
          <t>2024</t>
        </is>
      </c>
      <c r="D161" s="1" t="inlineStr">
        <is>
          <t>ACT</t>
        </is>
      </c>
      <c r="E161" s="1" t="inlineStr">
        <is>
          <t>2027BUD_V1</t>
        </is>
      </c>
      <c r="F161" s="1" t="inlineStr">
        <is>
          <t>12</t>
        </is>
      </c>
      <c r="G161" s="1" t="n">
        <v>28117</v>
      </c>
      <c r="H161" s="25">
        <f>_CALC_PNL!P161</f>
        <v/>
      </c>
      <c r="I161" s="25">
        <f>IF(_CALC_PNL!E161=1,H161-G161,"")</f>
        <v/>
      </c>
    </row>
    <row r="162">
      <c r="A162" s="1" t="inlineStr">
        <is>
          <t>TUNON_LYO</t>
        </is>
      </c>
      <c r="B162" s="1" t="inlineStr">
        <is>
          <t>604</t>
        </is>
      </c>
      <c r="C162" s="1" t="inlineStr">
        <is>
          <t>2024</t>
        </is>
      </c>
      <c r="D162" s="1" t="inlineStr">
        <is>
          <t>ACT</t>
        </is>
      </c>
      <c r="E162" s="1" t="inlineStr">
        <is>
          <t>2027BUD_V1</t>
        </is>
      </c>
      <c r="F162" s="1" t="inlineStr">
        <is>
          <t>12</t>
        </is>
      </c>
      <c r="G162" s="1" t="n">
        <v>23839</v>
      </c>
      <c r="H162" s="25">
        <f>_CALC_PNL!P162</f>
        <v/>
      </c>
      <c r="I162" s="25">
        <f>IF(_CALC_PNL!E162=1,H162-G162,"")</f>
        <v/>
      </c>
    </row>
    <row r="163">
      <c r="A163" s="1" t="inlineStr">
        <is>
          <t>MBWAY_PAR</t>
        </is>
      </c>
      <c r="B163" s="1" t="inlineStr">
        <is>
          <t>604</t>
        </is>
      </c>
      <c r="C163" s="1" t="inlineStr">
        <is>
          <t>2025</t>
        </is>
      </c>
      <c r="D163" s="1" t="inlineStr">
        <is>
          <t>ACT</t>
        </is>
      </c>
      <c r="E163" s="1" t="inlineStr">
        <is>
          <t>2027BUD_V1</t>
        </is>
      </c>
      <c r="F163" s="1" t="inlineStr">
        <is>
          <t>12</t>
        </is>
      </c>
      <c r="G163" s="1" t="n">
        <v>81399</v>
      </c>
      <c r="H163" s="25">
        <f>_CALC_PNL!P163</f>
        <v/>
      </c>
      <c r="I163" s="25">
        <f>IF(_CALC_PNL!E163=1,H163-G163,"")</f>
        <v/>
      </c>
    </row>
    <row r="164">
      <c r="A164" s="1" t="inlineStr">
        <is>
          <t>MBWAY_LYO</t>
        </is>
      </c>
      <c r="B164" s="1" t="inlineStr">
        <is>
          <t>604</t>
        </is>
      </c>
      <c r="C164" s="1" t="inlineStr">
        <is>
          <t>2025</t>
        </is>
      </c>
      <c r="D164" s="1" t="inlineStr">
        <is>
          <t>ACT</t>
        </is>
      </c>
      <c r="E164" s="1" t="inlineStr">
        <is>
          <t>2027BUD_V1</t>
        </is>
      </c>
      <c r="F164" s="1" t="inlineStr">
        <is>
          <t>12</t>
        </is>
      </c>
      <c r="G164" s="1" t="n">
        <v>69040</v>
      </c>
      <c r="H164" s="25">
        <f>_CALC_PNL!P164</f>
        <v/>
      </c>
      <c r="I164" s="25">
        <f>IF(_CALC_PNL!E164=1,H164-G164,"")</f>
        <v/>
      </c>
    </row>
    <row r="165">
      <c r="A165" s="1" t="inlineStr">
        <is>
          <t>MBWAY_NAN</t>
        </is>
      </c>
      <c r="B165" s="1" t="inlineStr">
        <is>
          <t>604</t>
        </is>
      </c>
      <c r="C165" s="1" t="inlineStr">
        <is>
          <t>2025</t>
        </is>
      </c>
      <c r="D165" s="1" t="inlineStr">
        <is>
          <t>ACT</t>
        </is>
      </c>
      <c r="E165" s="1" t="inlineStr">
        <is>
          <t>2027BUD_V1</t>
        </is>
      </c>
      <c r="F165" s="1" t="inlineStr">
        <is>
          <t>12</t>
        </is>
      </c>
      <c r="G165" s="1" t="n">
        <v>62647</v>
      </c>
      <c r="H165" s="25">
        <f>_CALC_PNL!P165</f>
        <v/>
      </c>
      <c r="I165" s="25">
        <f>IF(_CALC_PNL!E165=1,H165-G165,"")</f>
        <v/>
      </c>
    </row>
    <row r="166">
      <c r="A166" s="1" t="inlineStr">
        <is>
          <t>MBWAY_BOR</t>
        </is>
      </c>
      <c r="B166" s="1" t="inlineStr">
        <is>
          <t>604</t>
        </is>
      </c>
      <c r="C166" s="1" t="inlineStr">
        <is>
          <t>2025</t>
        </is>
      </c>
      <c r="D166" s="1" t="inlineStr">
        <is>
          <t>ACT</t>
        </is>
      </c>
      <c r="E166" s="1" t="inlineStr">
        <is>
          <t>2027BUD_V1</t>
        </is>
      </c>
      <c r="F166" s="1" t="inlineStr">
        <is>
          <t>12</t>
        </is>
      </c>
      <c r="G166" s="1" t="n">
        <v>53058</v>
      </c>
      <c r="H166" s="25">
        <f>_CALC_PNL!P166</f>
        <v/>
      </c>
      <c r="I166" s="25">
        <f>IF(_CALC_PNL!E166=1,H166-G166,"")</f>
        <v/>
      </c>
    </row>
    <row r="167">
      <c r="A167" s="1" t="inlineStr">
        <is>
          <t>ISCOM_PAR</t>
        </is>
      </c>
      <c r="B167" s="1" t="inlineStr">
        <is>
          <t>604</t>
        </is>
      </c>
      <c r="C167" s="1" t="inlineStr">
        <is>
          <t>2025</t>
        </is>
      </c>
      <c r="D167" s="1" t="inlineStr">
        <is>
          <t>ACT</t>
        </is>
      </c>
      <c r="E167" s="1" t="inlineStr">
        <is>
          <t>2027BUD_V1</t>
        </is>
      </c>
      <c r="F167" s="1" t="inlineStr">
        <is>
          <t>12</t>
        </is>
      </c>
      <c r="G167" s="1" t="n">
        <v>75432</v>
      </c>
      <c r="H167" s="25">
        <f>_CALC_PNL!P167</f>
        <v/>
      </c>
      <c r="I167" s="25">
        <f>IF(_CALC_PNL!E167=1,H167-G167,"")</f>
        <v/>
      </c>
    </row>
    <row r="168">
      <c r="A168" s="1" t="inlineStr">
        <is>
          <t>ISCOM_LIL</t>
        </is>
      </c>
      <c r="B168" s="1" t="inlineStr">
        <is>
          <t>604</t>
        </is>
      </c>
      <c r="C168" s="1" t="inlineStr">
        <is>
          <t>2025</t>
        </is>
      </c>
      <c r="D168" s="1" t="inlineStr">
        <is>
          <t>ACT</t>
        </is>
      </c>
      <c r="E168" s="1" t="inlineStr">
        <is>
          <t>2027BUD_V1</t>
        </is>
      </c>
      <c r="F168" s="1" t="inlineStr">
        <is>
          <t>12</t>
        </is>
      </c>
      <c r="G168" s="1" t="n">
        <v>51993</v>
      </c>
      <c r="H168" s="25">
        <f>_CALC_PNL!P168</f>
        <v/>
      </c>
      <c r="I168" s="25">
        <f>IF(_CALC_PNL!E168=1,H168-G168,"")</f>
        <v/>
      </c>
    </row>
    <row r="169">
      <c r="A169" s="1" t="inlineStr">
        <is>
          <t>ISCOM_TLS</t>
        </is>
      </c>
      <c r="B169" s="1" t="inlineStr">
        <is>
          <t>604</t>
        </is>
      </c>
      <c r="C169" s="1" t="inlineStr">
        <is>
          <t>2025</t>
        </is>
      </c>
      <c r="D169" s="1" t="inlineStr">
        <is>
          <t>ACT</t>
        </is>
      </c>
      <c r="E169" s="1" t="inlineStr">
        <is>
          <t>2027BUD_V1</t>
        </is>
      </c>
      <c r="F169" s="1" t="inlineStr">
        <is>
          <t>12</t>
        </is>
      </c>
      <c r="G169" s="1" t="n">
        <v>49223</v>
      </c>
      <c r="H169" s="25">
        <f>_CALC_PNL!P169</f>
        <v/>
      </c>
      <c r="I169" s="25">
        <f>IF(_CALC_PNL!E169=1,H169-G169,"")</f>
        <v/>
      </c>
    </row>
    <row r="170">
      <c r="A170" s="1" t="inlineStr">
        <is>
          <t>IPAC_NAN</t>
        </is>
      </c>
      <c r="B170" s="1" t="inlineStr">
        <is>
          <t>604</t>
        </is>
      </c>
      <c r="C170" s="1" t="inlineStr">
        <is>
          <t>2025</t>
        </is>
      </c>
      <c r="D170" s="1" t="inlineStr">
        <is>
          <t>ACT</t>
        </is>
      </c>
      <c r="E170" s="1" t="inlineStr">
        <is>
          <t>2027BUD_V1</t>
        </is>
      </c>
      <c r="F170" s="1" t="inlineStr">
        <is>
          <t>12</t>
        </is>
      </c>
      <c r="G170" s="1" t="n">
        <v>30897</v>
      </c>
      <c r="H170" s="25">
        <f>_CALC_PNL!P170</f>
        <v/>
      </c>
      <c r="I170" s="25">
        <f>IF(_CALC_PNL!E170=1,H170-G170,"")</f>
        <v/>
      </c>
    </row>
    <row r="171">
      <c r="A171" s="1" t="inlineStr">
        <is>
          <t>IPAC_REN</t>
        </is>
      </c>
      <c r="B171" s="1" t="inlineStr">
        <is>
          <t>604</t>
        </is>
      </c>
      <c r="C171" s="1" t="inlineStr">
        <is>
          <t>2025</t>
        </is>
      </c>
      <c r="D171" s="1" t="inlineStr">
        <is>
          <t>ACT</t>
        </is>
      </c>
      <c r="E171" s="1" t="inlineStr">
        <is>
          <t>2027BUD_V1</t>
        </is>
      </c>
      <c r="F171" s="1" t="inlineStr">
        <is>
          <t>12</t>
        </is>
      </c>
      <c r="G171" s="1" t="n">
        <v>24931</v>
      </c>
      <c r="H171" s="25">
        <f>_CALC_PNL!P171</f>
        <v/>
      </c>
      <c r="I171" s="25">
        <f>IF(_CALC_PNL!E171=1,H171-G171,"")</f>
        <v/>
      </c>
    </row>
    <row r="172">
      <c r="A172" s="1" t="inlineStr">
        <is>
          <t>IPAC_MTP</t>
        </is>
      </c>
      <c r="B172" s="1" t="inlineStr">
        <is>
          <t>604</t>
        </is>
      </c>
      <c r="C172" s="1" t="inlineStr">
        <is>
          <t>2025</t>
        </is>
      </c>
      <c r="D172" s="1" t="inlineStr">
        <is>
          <t>ACT</t>
        </is>
      </c>
      <c r="E172" s="1" t="inlineStr">
        <is>
          <t>2027BUD_V1</t>
        </is>
      </c>
      <c r="F172" s="1" t="inlineStr">
        <is>
          <t>12</t>
        </is>
      </c>
      <c r="G172" s="1" t="n">
        <v>24931</v>
      </c>
      <c r="H172" s="25">
        <f>_CALC_PNL!P172</f>
        <v/>
      </c>
      <c r="I172" s="25">
        <f>IF(_CALC_PNL!E172=1,H172-G172,"")</f>
        <v/>
      </c>
    </row>
    <row r="173">
      <c r="A173" s="1" t="inlineStr">
        <is>
          <t>PIGIER_LYO</t>
        </is>
      </c>
      <c r="B173" s="1" t="inlineStr">
        <is>
          <t>604</t>
        </is>
      </c>
      <c r="C173" s="1" t="inlineStr">
        <is>
          <t>2025</t>
        </is>
      </c>
      <c r="D173" s="1" t="inlineStr">
        <is>
          <t>ACT</t>
        </is>
      </c>
      <c r="E173" s="1" t="inlineStr">
        <is>
          <t>2027BUD_V1</t>
        </is>
      </c>
      <c r="F173" s="1" t="inlineStr">
        <is>
          <t>12</t>
        </is>
      </c>
      <c r="G173" s="1" t="n">
        <v>38782</v>
      </c>
      <c r="H173" s="25">
        <f>_CALC_PNL!P173</f>
        <v/>
      </c>
      <c r="I173" s="25">
        <f>IF(_CALC_PNL!E173=1,H173-G173,"")</f>
        <v/>
      </c>
    </row>
    <row r="174">
      <c r="A174" s="1" t="inlineStr">
        <is>
          <t>PIGIER_BOR</t>
        </is>
      </c>
      <c r="B174" s="1" t="inlineStr">
        <is>
          <t>604</t>
        </is>
      </c>
      <c r="C174" s="1" t="inlineStr">
        <is>
          <t>2025</t>
        </is>
      </c>
      <c r="D174" s="1" t="inlineStr">
        <is>
          <t>ACT</t>
        </is>
      </c>
      <c r="E174" s="1" t="inlineStr">
        <is>
          <t>2027BUD_V1</t>
        </is>
      </c>
      <c r="F174" s="1" t="inlineStr">
        <is>
          <t>12</t>
        </is>
      </c>
      <c r="G174" s="1" t="n">
        <v>30258</v>
      </c>
      <c r="H174" s="25">
        <f>_CALC_PNL!P174</f>
        <v/>
      </c>
      <c r="I174" s="25">
        <f>IF(_CALC_PNL!E174=1,H174-G174,"")</f>
        <v/>
      </c>
    </row>
    <row r="175">
      <c r="A175" s="1" t="inlineStr">
        <is>
          <t>TUNON_PAR</t>
        </is>
      </c>
      <c r="B175" s="1" t="inlineStr">
        <is>
          <t>604</t>
        </is>
      </c>
      <c r="C175" s="1" t="inlineStr">
        <is>
          <t>2025</t>
        </is>
      </c>
      <c r="D175" s="1" t="inlineStr">
        <is>
          <t>ACT</t>
        </is>
      </c>
      <c r="E175" s="1" t="inlineStr">
        <is>
          <t>2027BUD_V1</t>
        </is>
      </c>
      <c r="F175" s="1" t="inlineStr">
        <is>
          <t>12</t>
        </is>
      </c>
      <c r="G175" s="1" t="n">
        <v>29406</v>
      </c>
      <c r="H175" s="25">
        <f>_CALC_PNL!P175</f>
        <v/>
      </c>
      <c r="I175" s="25">
        <f>IF(_CALC_PNL!E175=1,H175-G175,"")</f>
        <v/>
      </c>
    </row>
    <row r="176">
      <c r="A176" s="1" t="inlineStr">
        <is>
          <t>TUNON_LYO</t>
        </is>
      </c>
      <c r="B176" s="1" t="inlineStr">
        <is>
          <t>604</t>
        </is>
      </c>
      <c r="C176" s="1" t="inlineStr">
        <is>
          <t>2025</t>
        </is>
      </c>
      <c r="D176" s="1" t="inlineStr">
        <is>
          <t>ACT</t>
        </is>
      </c>
      <c r="E176" s="1" t="inlineStr">
        <is>
          <t>2027BUD_V1</t>
        </is>
      </c>
      <c r="F176" s="1" t="inlineStr">
        <is>
          <t>12</t>
        </is>
      </c>
      <c r="G176" s="1" t="n">
        <v>24931</v>
      </c>
      <c r="H176" s="25">
        <f>_CALC_PNL!P176</f>
        <v/>
      </c>
      <c r="I176" s="25">
        <f>IF(_CALC_PNL!E176=1,H176-G176,"")</f>
        <v/>
      </c>
    </row>
    <row r="177">
      <c r="A177" s="1" t="inlineStr">
        <is>
          <t>MBWAY_PAR</t>
        </is>
      </c>
      <c r="B177" s="1" t="inlineStr">
        <is>
          <t>604</t>
        </is>
      </c>
      <c r="C177" s="1" t="inlineStr">
        <is>
          <t>2026</t>
        </is>
      </c>
      <c r="D177" s="1" t="inlineStr">
        <is>
          <t>ACT</t>
        </is>
      </c>
      <c r="E177" s="1" t="inlineStr">
        <is>
          <t>2027BUD_V1</t>
        </is>
      </c>
      <c r="F177" s="1" t="inlineStr">
        <is>
          <t>12</t>
        </is>
      </c>
      <c r="G177" s="1" t="n">
        <v>85284</v>
      </c>
      <c r="H177" s="25">
        <f>_CALC_PNL!P177</f>
        <v/>
      </c>
      <c r="I177" s="25">
        <f>IF(_CALC_PNL!E177=1,H177-G177,"")</f>
        <v/>
      </c>
    </row>
    <row r="178">
      <c r="A178" s="1" t="inlineStr">
        <is>
          <t>MBWAY_LYO</t>
        </is>
      </c>
      <c r="B178" s="1" t="inlineStr">
        <is>
          <t>604</t>
        </is>
      </c>
      <c r="C178" s="1" t="inlineStr">
        <is>
          <t>2026</t>
        </is>
      </c>
      <c r="D178" s="1" t="inlineStr">
        <is>
          <t>ACT</t>
        </is>
      </c>
      <c r="E178" s="1" t="inlineStr">
        <is>
          <t>2027BUD_V1</t>
        </is>
      </c>
      <c r="F178" s="1" t="inlineStr">
        <is>
          <t>12</t>
        </is>
      </c>
      <c r="G178" s="1" t="n">
        <v>72335</v>
      </c>
      <c r="H178" s="25">
        <f>_CALC_PNL!P178</f>
        <v/>
      </c>
      <c r="I178" s="25">
        <f>IF(_CALC_PNL!E178=1,H178-G178,"")</f>
        <v/>
      </c>
    </row>
    <row r="179">
      <c r="A179" s="1" t="inlineStr">
        <is>
          <t>MBWAY_NAN</t>
        </is>
      </c>
      <c r="B179" s="1" t="inlineStr">
        <is>
          <t>604</t>
        </is>
      </c>
      <c r="C179" s="1" t="inlineStr">
        <is>
          <t>2026</t>
        </is>
      </c>
      <c r="D179" s="1" t="inlineStr">
        <is>
          <t>ACT</t>
        </is>
      </c>
      <c r="E179" s="1" t="inlineStr">
        <is>
          <t>2027BUD_V1</t>
        </is>
      </c>
      <c r="F179" s="1" t="inlineStr">
        <is>
          <t>12</t>
        </is>
      </c>
      <c r="G179" s="1" t="n">
        <v>65638</v>
      </c>
      <c r="H179" s="25">
        <f>_CALC_PNL!P179</f>
        <v/>
      </c>
      <c r="I179" s="25">
        <f>IF(_CALC_PNL!E179=1,H179-G179,"")</f>
        <v/>
      </c>
    </row>
    <row r="180">
      <c r="A180" s="1" t="inlineStr">
        <is>
          <t>MBWAY_BOR</t>
        </is>
      </c>
      <c r="B180" s="1" t="inlineStr">
        <is>
          <t>604</t>
        </is>
      </c>
      <c r="C180" s="1" t="inlineStr">
        <is>
          <t>2026</t>
        </is>
      </c>
      <c r="D180" s="1" t="inlineStr">
        <is>
          <t>ACT</t>
        </is>
      </c>
      <c r="E180" s="1" t="inlineStr">
        <is>
          <t>2027BUD_V1</t>
        </is>
      </c>
      <c r="F180" s="1" t="inlineStr">
        <is>
          <t>12</t>
        </is>
      </c>
      <c r="G180" s="1" t="n">
        <v>55591</v>
      </c>
      <c r="H180" s="25">
        <f>_CALC_PNL!P180</f>
        <v/>
      </c>
      <c r="I180" s="25">
        <f>IF(_CALC_PNL!E180=1,H180-G180,"")</f>
        <v/>
      </c>
    </row>
    <row r="181">
      <c r="A181" s="1" t="inlineStr">
        <is>
          <t>ISCOM_PAR</t>
        </is>
      </c>
      <c r="B181" s="1" t="inlineStr">
        <is>
          <t>604</t>
        </is>
      </c>
      <c r="C181" s="1" t="inlineStr">
        <is>
          <t>2026</t>
        </is>
      </c>
      <c r="D181" s="1" t="inlineStr">
        <is>
          <t>ACT</t>
        </is>
      </c>
      <c r="E181" s="1" t="inlineStr">
        <is>
          <t>2027BUD_V1</t>
        </is>
      </c>
      <c r="F181" s="1" t="inlineStr">
        <is>
          <t>12</t>
        </is>
      </c>
      <c r="G181" s="1" t="n">
        <v>79033</v>
      </c>
      <c r="H181" s="25">
        <f>_CALC_PNL!P181</f>
        <v/>
      </c>
      <c r="I181" s="25">
        <f>IF(_CALC_PNL!E181=1,H181-G181,"")</f>
        <v/>
      </c>
    </row>
    <row r="182">
      <c r="A182" s="1" t="inlineStr">
        <is>
          <t>ISCOM_LIL</t>
        </is>
      </c>
      <c r="B182" s="1" t="inlineStr">
        <is>
          <t>604</t>
        </is>
      </c>
      <c r="C182" s="1" t="inlineStr">
        <is>
          <t>2026</t>
        </is>
      </c>
      <c r="D182" s="1" t="inlineStr">
        <is>
          <t>ACT</t>
        </is>
      </c>
      <c r="E182" s="1" t="inlineStr">
        <is>
          <t>2027BUD_V1</t>
        </is>
      </c>
      <c r="F182" s="1" t="inlineStr">
        <is>
          <t>12</t>
        </is>
      </c>
      <c r="G182" s="1" t="n">
        <v>54475</v>
      </c>
      <c r="H182" s="25">
        <f>_CALC_PNL!P182</f>
        <v/>
      </c>
      <c r="I182" s="25">
        <f>IF(_CALC_PNL!E182=1,H182-G182,"")</f>
        <v/>
      </c>
    </row>
    <row r="183">
      <c r="A183" s="1" t="inlineStr">
        <is>
          <t>ISCOM_TLS</t>
        </is>
      </c>
      <c r="B183" s="1" t="inlineStr">
        <is>
          <t>604</t>
        </is>
      </c>
      <c r="C183" s="1" t="inlineStr">
        <is>
          <t>2026</t>
        </is>
      </c>
      <c r="D183" s="1" t="inlineStr">
        <is>
          <t>ACT</t>
        </is>
      </c>
      <c r="E183" s="1" t="inlineStr">
        <is>
          <t>2027BUD_V1</t>
        </is>
      </c>
      <c r="F183" s="1" t="inlineStr">
        <is>
          <t>12</t>
        </is>
      </c>
      <c r="G183" s="1" t="n">
        <v>51572</v>
      </c>
      <c r="H183" s="25">
        <f>_CALC_PNL!P183</f>
        <v/>
      </c>
      <c r="I183" s="25">
        <f>IF(_CALC_PNL!E183=1,H183-G183,"")</f>
        <v/>
      </c>
    </row>
    <row r="184">
      <c r="A184" s="1" t="inlineStr">
        <is>
          <t>IPAC_NAN</t>
        </is>
      </c>
      <c r="B184" s="1" t="inlineStr">
        <is>
          <t>604</t>
        </is>
      </c>
      <c r="C184" s="1" t="inlineStr">
        <is>
          <t>2026</t>
        </is>
      </c>
      <c r="D184" s="1" t="inlineStr">
        <is>
          <t>ACT</t>
        </is>
      </c>
      <c r="E184" s="1" t="inlineStr">
        <is>
          <t>2027BUD_V1</t>
        </is>
      </c>
      <c r="F184" s="1" t="inlineStr">
        <is>
          <t>12</t>
        </is>
      </c>
      <c r="G184" s="1" t="n">
        <v>32372</v>
      </c>
      <c r="H184" s="25">
        <f>_CALC_PNL!P184</f>
        <v/>
      </c>
      <c r="I184" s="25">
        <f>IF(_CALC_PNL!E184=1,H184-G184,"")</f>
        <v/>
      </c>
    </row>
    <row r="185">
      <c r="A185" s="1" t="inlineStr">
        <is>
          <t>IPAC_REN</t>
        </is>
      </c>
      <c r="B185" s="1" t="inlineStr">
        <is>
          <t>604</t>
        </is>
      </c>
      <c r="C185" s="1" t="inlineStr">
        <is>
          <t>2026</t>
        </is>
      </c>
      <c r="D185" s="1" t="inlineStr">
        <is>
          <t>ACT</t>
        </is>
      </c>
      <c r="E185" s="1" t="inlineStr">
        <is>
          <t>2027BUD_V1</t>
        </is>
      </c>
      <c r="F185" s="1" t="inlineStr">
        <is>
          <t>12</t>
        </is>
      </c>
      <c r="G185" s="1" t="n">
        <v>26121</v>
      </c>
      <c r="H185" s="25">
        <f>_CALC_PNL!P185</f>
        <v/>
      </c>
      <c r="I185" s="25">
        <f>IF(_CALC_PNL!E185=1,H185-G185,"")</f>
        <v/>
      </c>
    </row>
    <row r="186">
      <c r="A186" s="1" t="inlineStr">
        <is>
          <t>IPAC_MTP</t>
        </is>
      </c>
      <c r="B186" s="1" t="inlineStr">
        <is>
          <t>604</t>
        </is>
      </c>
      <c r="C186" s="1" t="inlineStr">
        <is>
          <t>2026</t>
        </is>
      </c>
      <c r="D186" s="1" t="inlineStr">
        <is>
          <t>ACT</t>
        </is>
      </c>
      <c r="E186" s="1" t="inlineStr">
        <is>
          <t>2027BUD_V1</t>
        </is>
      </c>
      <c r="F186" s="1" t="inlineStr">
        <is>
          <t>12</t>
        </is>
      </c>
      <c r="G186" s="1" t="n">
        <v>26121</v>
      </c>
      <c r="H186" s="25">
        <f>_CALC_PNL!P186</f>
        <v/>
      </c>
      <c r="I186" s="25">
        <f>IF(_CALC_PNL!E186=1,H186-G186,"")</f>
        <v/>
      </c>
    </row>
    <row r="187">
      <c r="A187" s="1" t="inlineStr">
        <is>
          <t>PIGIER_LYO</t>
        </is>
      </c>
      <c r="B187" s="1" t="inlineStr">
        <is>
          <t>604</t>
        </is>
      </c>
      <c r="C187" s="1" t="inlineStr">
        <is>
          <t>2026</t>
        </is>
      </c>
      <c r="D187" s="1" t="inlineStr">
        <is>
          <t>ACT</t>
        </is>
      </c>
      <c r="E187" s="1" t="inlineStr">
        <is>
          <t>2027BUD_V1</t>
        </is>
      </c>
      <c r="F187" s="1" t="inlineStr">
        <is>
          <t>12</t>
        </is>
      </c>
      <c r="G187" s="1" t="n">
        <v>40633</v>
      </c>
      <c r="H187" s="25">
        <f>_CALC_PNL!P187</f>
        <v/>
      </c>
      <c r="I187" s="25">
        <f>IF(_CALC_PNL!E187=1,H187-G187,"")</f>
        <v/>
      </c>
    </row>
    <row r="188">
      <c r="A188" s="1" t="inlineStr">
        <is>
          <t>PIGIER_BOR</t>
        </is>
      </c>
      <c r="B188" s="1" t="inlineStr">
        <is>
          <t>604</t>
        </is>
      </c>
      <c r="C188" s="1" t="inlineStr">
        <is>
          <t>2026</t>
        </is>
      </c>
      <c r="D188" s="1" t="inlineStr">
        <is>
          <t>ACT</t>
        </is>
      </c>
      <c r="E188" s="1" t="inlineStr">
        <is>
          <t>2027BUD_V1</t>
        </is>
      </c>
      <c r="F188" s="1" t="inlineStr">
        <is>
          <t>12</t>
        </is>
      </c>
      <c r="G188" s="1" t="n">
        <v>31703</v>
      </c>
      <c r="H188" s="25">
        <f>_CALC_PNL!P188</f>
        <v/>
      </c>
      <c r="I188" s="25">
        <f>IF(_CALC_PNL!E188=1,H188-G188,"")</f>
        <v/>
      </c>
    </row>
    <row r="189">
      <c r="A189" s="1" t="inlineStr">
        <is>
          <t>TUNON_PAR</t>
        </is>
      </c>
      <c r="B189" s="1" t="inlineStr">
        <is>
          <t>604</t>
        </is>
      </c>
      <c r="C189" s="1" t="inlineStr">
        <is>
          <t>2026</t>
        </is>
      </c>
      <c r="D189" s="1" t="inlineStr">
        <is>
          <t>ACT</t>
        </is>
      </c>
      <c r="E189" s="1" t="inlineStr">
        <is>
          <t>2027BUD_V1</t>
        </is>
      </c>
      <c r="F189" s="1" t="inlineStr">
        <is>
          <t>12</t>
        </is>
      </c>
      <c r="G189" s="1" t="n">
        <v>30809</v>
      </c>
      <c r="H189" s="25">
        <f>_CALC_PNL!P189</f>
        <v/>
      </c>
      <c r="I189" s="25">
        <f>IF(_CALC_PNL!E189=1,H189-G189,"")</f>
        <v/>
      </c>
    </row>
    <row r="190">
      <c r="A190" s="1" t="inlineStr">
        <is>
          <t>TUNON_LYO</t>
        </is>
      </c>
      <c r="B190" s="1" t="inlineStr">
        <is>
          <t>604</t>
        </is>
      </c>
      <c r="C190" s="1" t="inlineStr">
        <is>
          <t>2026</t>
        </is>
      </c>
      <c r="D190" s="1" t="inlineStr">
        <is>
          <t>ACT</t>
        </is>
      </c>
      <c r="E190" s="1" t="inlineStr">
        <is>
          <t>2027BUD_V1</t>
        </is>
      </c>
      <c r="F190" s="1" t="inlineStr">
        <is>
          <t>12</t>
        </is>
      </c>
      <c r="G190" s="1" t="n">
        <v>26121</v>
      </c>
      <c r="H190" s="25">
        <f>_CALC_PNL!P190</f>
        <v/>
      </c>
      <c r="I190" s="25">
        <f>IF(_CALC_PNL!E190=1,H190-G190,"")</f>
        <v/>
      </c>
    </row>
    <row r="191">
      <c r="A191" s="1" t="inlineStr">
        <is>
          <t>MBWAY_PAR</t>
        </is>
      </c>
      <c r="B191" s="1" t="inlineStr">
        <is>
          <t>6063</t>
        </is>
      </c>
      <c r="C191" s="1" t="inlineStr">
        <is>
          <t>2024</t>
        </is>
      </c>
      <c r="D191" s="1" t="inlineStr">
        <is>
          <t>ACT</t>
        </is>
      </c>
      <c r="E191" s="1" t="inlineStr">
        <is>
          <t>2027BUD_V1</t>
        </is>
      </c>
      <c r="F191" s="1" t="inlineStr">
        <is>
          <t>12</t>
        </is>
      </c>
      <c r="G191" s="1" t="n">
        <v>51888</v>
      </c>
      <c r="H191" s="25">
        <f>_CALC_PNL!P191</f>
        <v/>
      </c>
      <c r="I191" s="25">
        <f>IF(_CALC_PNL!E191=1,H191-G191,"")</f>
        <v/>
      </c>
    </row>
    <row r="192">
      <c r="A192" s="1" t="inlineStr">
        <is>
          <t>MBWAY_LYO</t>
        </is>
      </c>
      <c r="B192" s="1" t="inlineStr">
        <is>
          <t>6063</t>
        </is>
      </c>
      <c r="C192" s="1" t="inlineStr">
        <is>
          <t>2024</t>
        </is>
      </c>
      <c r="D192" s="1" t="inlineStr">
        <is>
          <t>ACT</t>
        </is>
      </c>
      <c r="E192" s="1" t="inlineStr">
        <is>
          <t>2027BUD_V1</t>
        </is>
      </c>
      <c r="F192" s="1" t="inlineStr">
        <is>
          <t>12</t>
        </is>
      </c>
      <c r="G192" s="1" t="n">
        <v>44010</v>
      </c>
      <c r="H192" s="25">
        <f>_CALC_PNL!P192</f>
        <v/>
      </c>
      <c r="I192" s="25">
        <f>IF(_CALC_PNL!E192=1,H192-G192,"")</f>
        <v/>
      </c>
    </row>
    <row r="193">
      <c r="A193" s="1" t="inlineStr">
        <is>
          <t>MBWAY_NAN</t>
        </is>
      </c>
      <c r="B193" s="1" t="inlineStr">
        <is>
          <t>6063</t>
        </is>
      </c>
      <c r="C193" s="1" t="inlineStr">
        <is>
          <t>2024</t>
        </is>
      </c>
      <c r="D193" s="1" t="inlineStr">
        <is>
          <t>ACT</t>
        </is>
      </c>
      <c r="E193" s="1" t="inlineStr">
        <is>
          <t>2027BUD_V1</t>
        </is>
      </c>
      <c r="F193" s="1" t="inlineStr">
        <is>
          <t>12</t>
        </is>
      </c>
      <c r="G193" s="1" t="n">
        <v>39935</v>
      </c>
      <c r="H193" s="25">
        <f>_CALC_PNL!P193</f>
        <v/>
      </c>
      <c r="I193" s="25">
        <f>IF(_CALC_PNL!E193=1,H193-G193,"")</f>
        <v/>
      </c>
    </row>
    <row r="194">
      <c r="A194" s="1" t="inlineStr">
        <is>
          <t>MBWAY_BOR</t>
        </is>
      </c>
      <c r="B194" s="1" t="inlineStr">
        <is>
          <t>6063</t>
        </is>
      </c>
      <c r="C194" s="1" t="inlineStr">
        <is>
          <t>2024</t>
        </is>
      </c>
      <c r="D194" s="1" t="inlineStr">
        <is>
          <t>ACT</t>
        </is>
      </c>
      <c r="E194" s="1" t="inlineStr">
        <is>
          <t>2027BUD_V1</t>
        </is>
      </c>
      <c r="F194" s="1" t="inlineStr">
        <is>
          <t>12</t>
        </is>
      </c>
      <c r="G194" s="1" t="n">
        <v>33822</v>
      </c>
      <c r="H194" s="25">
        <f>_CALC_PNL!P194</f>
        <v/>
      </c>
      <c r="I194" s="25">
        <f>IF(_CALC_PNL!E194=1,H194-G194,"")</f>
        <v/>
      </c>
    </row>
    <row r="195">
      <c r="A195" s="1" t="inlineStr">
        <is>
          <t>ISCOM_PAR</t>
        </is>
      </c>
      <c r="B195" s="1" t="inlineStr">
        <is>
          <t>6063</t>
        </is>
      </c>
      <c r="C195" s="1" t="inlineStr">
        <is>
          <t>2024</t>
        </is>
      </c>
      <c r="D195" s="1" t="inlineStr">
        <is>
          <t>ACT</t>
        </is>
      </c>
      <c r="E195" s="1" t="inlineStr">
        <is>
          <t>2027BUD_V1</t>
        </is>
      </c>
      <c r="F195" s="1" t="inlineStr">
        <is>
          <t>12</t>
        </is>
      </c>
      <c r="G195" s="1" t="n">
        <v>48085</v>
      </c>
      <c r="H195" s="25">
        <f>_CALC_PNL!P195</f>
        <v/>
      </c>
      <c r="I195" s="25">
        <f>IF(_CALC_PNL!E195=1,H195-G195,"")</f>
        <v/>
      </c>
    </row>
    <row r="196">
      <c r="A196" s="1" t="inlineStr">
        <is>
          <t>ISCOM_LIL</t>
        </is>
      </c>
      <c r="B196" s="1" t="inlineStr">
        <is>
          <t>6063</t>
        </is>
      </c>
      <c r="C196" s="1" t="inlineStr">
        <is>
          <t>2024</t>
        </is>
      </c>
      <c r="D196" s="1" t="inlineStr">
        <is>
          <t>ACT</t>
        </is>
      </c>
      <c r="E196" s="1" t="inlineStr">
        <is>
          <t>2027BUD_V1</t>
        </is>
      </c>
      <c r="F196" s="1" t="inlineStr">
        <is>
          <t>12</t>
        </is>
      </c>
      <c r="G196" s="1" t="n">
        <v>33143</v>
      </c>
      <c r="H196" s="25">
        <f>_CALC_PNL!P196</f>
        <v/>
      </c>
      <c r="I196" s="25">
        <f>IF(_CALC_PNL!E196=1,H196-G196,"")</f>
        <v/>
      </c>
    </row>
    <row r="197">
      <c r="A197" s="1" t="inlineStr">
        <is>
          <t>ISCOM_TLS</t>
        </is>
      </c>
      <c r="B197" s="1" t="inlineStr">
        <is>
          <t>6063</t>
        </is>
      </c>
      <c r="C197" s="1" t="inlineStr">
        <is>
          <t>2024</t>
        </is>
      </c>
      <c r="D197" s="1" t="inlineStr">
        <is>
          <t>ACT</t>
        </is>
      </c>
      <c r="E197" s="1" t="inlineStr">
        <is>
          <t>2027BUD_V1</t>
        </is>
      </c>
      <c r="F197" s="1" t="inlineStr">
        <is>
          <t>12</t>
        </is>
      </c>
      <c r="G197" s="1" t="n">
        <v>31377</v>
      </c>
      <c r="H197" s="25">
        <f>_CALC_PNL!P197</f>
        <v/>
      </c>
      <c r="I197" s="25">
        <f>IF(_CALC_PNL!E197=1,H197-G197,"")</f>
        <v/>
      </c>
    </row>
    <row r="198">
      <c r="A198" s="1" t="inlineStr">
        <is>
          <t>IPAC_NAN</t>
        </is>
      </c>
      <c r="B198" s="1" t="inlineStr">
        <is>
          <t>6063</t>
        </is>
      </c>
      <c r="C198" s="1" t="inlineStr">
        <is>
          <t>2024</t>
        </is>
      </c>
      <c r="D198" s="1" t="inlineStr">
        <is>
          <t>ACT</t>
        </is>
      </c>
      <c r="E198" s="1" t="inlineStr">
        <is>
          <t>2027BUD_V1</t>
        </is>
      </c>
      <c r="F198" s="1" t="inlineStr">
        <is>
          <t>12</t>
        </is>
      </c>
      <c r="G198" s="1" t="n">
        <v>19696</v>
      </c>
      <c r="H198" s="25">
        <f>_CALC_PNL!P198</f>
        <v/>
      </c>
      <c r="I198" s="25">
        <f>IF(_CALC_PNL!E198=1,H198-G198,"")</f>
        <v/>
      </c>
    </row>
    <row r="199">
      <c r="A199" s="1" t="inlineStr">
        <is>
          <t>IPAC_REN</t>
        </is>
      </c>
      <c r="B199" s="1" t="inlineStr">
        <is>
          <t>6063</t>
        </is>
      </c>
      <c r="C199" s="1" t="inlineStr">
        <is>
          <t>2024</t>
        </is>
      </c>
      <c r="D199" s="1" t="inlineStr">
        <is>
          <t>ACT</t>
        </is>
      </c>
      <c r="E199" s="1" t="inlineStr">
        <is>
          <t>2027BUD_V1</t>
        </is>
      </c>
      <c r="F199" s="1" t="inlineStr">
        <is>
          <t>12</t>
        </is>
      </c>
      <c r="G199" s="1" t="n">
        <v>15892</v>
      </c>
      <c r="H199" s="25">
        <f>_CALC_PNL!P199</f>
        <v/>
      </c>
      <c r="I199" s="25">
        <f>IF(_CALC_PNL!E199=1,H199-G199,"")</f>
        <v/>
      </c>
    </row>
    <row r="200">
      <c r="A200" s="1" t="inlineStr">
        <is>
          <t>IPAC_MTP</t>
        </is>
      </c>
      <c r="B200" s="1" t="inlineStr">
        <is>
          <t>6063</t>
        </is>
      </c>
      <c r="C200" s="1" t="inlineStr">
        <is>
          <t>2024</t>
        </is>
      </c>
      <c r="D200" s="1" t="inlineStr">
        <is>
          <t>ACT</t>
        </is>
      </c>
      <c r="E200" s="1" t="inlineStr">
        <is>
          <t>2027BUD_V1</t>
        </is>
      </c>
      <c r="F200" s="1" t="inlineStr">
        <is>
          <t>12</t>
        </is>
      </c>
      <c r="G200" s="1" t="n">
        <v>15892</v>
      </c>
      <c r="H200" s="25">
        <f>_CALC_PNL!P200</f>
        <v/>
      </c>
      <c r="I200" s="25">
        <f>IF(_CALC_PNL!E200=1,H200-G200,"")</f>
        <v/>
      </c>
    </row>
    <row r="201">
      <c r="A201" s="1" t="inlineStr">
        <is>
          <t>PIGIER_LYO</t>
        </is>
      </c>
      <c r="B201" s="1" t="inlineStr">
        <is>
          <t>6063</t>
        </is>
      </c>
      <c r="C201" s="1" t="inlineStr">
        <is>
          <t>2024</t>
        </is>
      </c>
      <c r="D201" s="1" t="inlineStr">
        <is>
          <t>ACT</t>
        </is>
      </c>
      <c r="E201" s="1" t="inlineStr">
        <is>
          <t>2027BUD_V1</t>
        </is>
      </c>
      <c r="F201" s="1" t="inlineStr">
        <is>
          <t>12</t>
        </is>
      </c>
      <c r="G201" s="1" t="n">
        <v>24722</v>
      </c>
      <c r="H201" s="25">
        <f>_CALC_PNL!P201</f>
        <v/>
      </c>
      <c r="I201" s="25">
        <f>IF(_CALC_PNL!E201=1,H201-G201,"")</f>
        <v/>
      </c>
    </row>
    <row r="202">
      <c r="A202" s="1" t="inlineStr">
        <is>
          <t>PIGIER_BOR</t>
        </is>
      </c>
      <c r="B202" s="1" t="inlineStr">
        <is>
          <t>6063</t>
        </is>
      </c>
      <c r="C202" s="1" t="inlineStr">
        <is>
          <t>2024</t>
        </is>
      </c>
      <c r="D202" s="1" t="inlineStr">
        <is>
          <t>ACT</t>
        </is>
      </c>
      <c r="E202" s="1" t="inlineStr">
        <is>
          <t>2027BUD_V1</t>
        </is>
      </c>
      <c r="F202" s="1" t="inlineStr">
        <is>
          <t>12</t>
        </is>
      </c>
      <c r="G202" s="1" t="n">
        <v>19288</v>
      </c>
      <c r="H202" s="25">
        <f>_CALC_PNL!P202</f>
        <v/>
      </c>
      <c r="I202" s="25">
        <f>IF(_CALC_PNL!E202=1,H202-G202,"")</f>
        <v/>
      </c>
    </row>
    <row r="203">
      <c r="A203" s="1" t="inlineStr">
        <is>
          <t>TUNON_PAR</t>
        </is>
      </c>
      <c r="B203" s="1" t="inlineStr">
        <is>
          <t>6063</t>
        </is>
      </c>
      <c r="C203" s="1" t="inlineStr">
        <is>
          <t>2024</t>
        </is>
      </c>
      <c r="D203" s="1" t="inlineStr">
        <is>
          <t>ACT</t>
        </is>
      </c>
      <c r="E203" s="1" t="inlineStr">
        <is>
          <t>2027BUD_V1</t>
        </is>
      </c>
      <c r="F203" s="1" t="inlineStr">
        <is>
          <t>12</t>
        </is>
      </c>
      <c r="G203" s="1" t="n">
        <v>18745</v>
      </c>
      <c r="H203" s="25">
        <f>_CALC_PNL!P203</f>
        <v/>
      </c>
      <c r="I203" s="25">
        <f>IF(_CALC_PNL!E203=1,H203-G203,"")</f>
        <v/>
      </c>
    </row>
    <row r="204">
      <c r="A204" s="1" t="inlineStr">
        <is>
          <t>TUNON_LYO</t>
        </is>
      </c>
      <c r="B204" s="1" t="inlineStr">
        <is>
          <t>6063</t>
        </is>
      </c>
      <c r="C204" s="1" t="inlineStr">
        <is>
          <t>2024</t>
        </is>
      </c>
      <c r="D204" s="1" t="inlineStr">
        <is>
          <t>ACT</t>
        </is>
      </c>
      <c r="E204" s="1" t="inlineStr">
        <is>
          <t>2027BUD_V1</t>
        </is>
      </c>
      <c r="F204" s="1" t="inlineStr">
        <is>
          <t>12</t>
        </is>
      </c>
      <c r="G204" s="1" t="n">
        <v>15892</v>
      </c>
      <c r="H204" s="25">
        <f>_CALC_PNL!P204</f>
        <v/>
      </c>
      <c r="I204" s="25">
        <f>IF(_CALC_PNL!E204=1,H204-G204,"")</f>
        <v/>
      </c>
    </row>
    <row r="205">
      <c r="A205" s="1" t="inlineStr">
        <is>
          <t>MBWAY_PAR</t>
        </is>
      </c>
      <c r="B205" s="1" t="inlineStr">
        <is>
          <t>6063</t>
        </is>
      </c>
      <c r="C205" s="1" t="inlineStr">
        <is>
          <t>2025</t>
        </is>
      </c>
      <c r="D205" s="1" t="inlineStr">
        <is>
          <t>ACT</t>
        </is>
      </c>
      <c r="E205" s="1" t="inlineStr">
        <is>
          <t>2027BUD_V1</t>
        </is>
      </c>
      <c r="F205" s="1" t="inlineStr">
        <is>
          <t>12</t>
        </is>
      </c>
      <c r="G205" s="1" t="n">
        <v>54266</v>
      </c>
      <c r="H205" s="25">
        <f>_CALC_PNL!P205</f>
        <v/>
      </c>
      <c r="I205" s="25">
        <f>IF(_CALC_PNL!E205=1,H205-G205,"")</f>
        <v/>
      </c>
    </row>
    <row r="206">
      <c r="A206" s="1" t="inlineStr">
        <is>
          <t>MBWAY_LYO</t>
        </is>
      </c>
      <c r="B206" s="1" t="inlineStr">
        <is>
          <t>6063</t>
        </is>
      </c>
      <c r="C206" s="1" t="inlineStr">
        <is>
          <t>2025</t>
        </is>
      </c>
      <c r="D206" s="1" t="inlineStr">
        <is>
          <t>ACT</t>
        </is>
      </c>
      <c r="E206" s="1" t="inlineStr">
        <is>
          <t>2027BUD_V1</t>
        </is>
      </c>
      <c r="F206" s="1" t="inlineStr">
        <is>
          <t>12</t>
        </is>
      </c>
      <c r="G206" s="1" t="n">
        <v>46027</v>
      </c>
      <c r="H206" s="25">
        <f>_CALC_PNL!P206</f>
        <v/>
      </c>
      <c r="I206" s="25">
        <f>IF(_CALC_PNL!E206=1,H206-G206,"")</f>
        <v/>
      </c>
    </row>
    <row r="207">
      <c r="A207" s="1" t="inlineStr">
        <is>
          <t>MBWAY_NAN</t>
        </is>
      </c>
      <c r="B207" s="1" t="inlineStr">
        <is>
          <t>6063</t>
        </is>
      </c>
      <c r="C207" s="1" t="inlineStr">
        <is>
          <t>2025</t>
        </is>
      </c>
      <c r="D207" s="1" t="inlineStr">
        <is>
          <t>ACT</t>
        </is>
      </c>
      <c r="E207" s="1" t="inlineStr">
        <is>
          <t>2027BUD_V1</t>
        </is>
      </c>
      <c r="F207" s="1" t="inlineStr">
        <is>
          <t>12</t>
        </is>
      </c>
      <c r="G207" s="1" t="n">
        <v>41765</v>
      </c>
      <c r="H207" s="25">
        <f>_CALC_PNL!P207</f>
        <v/>
      </c>
      <c r="I207" s="25">
        <f>IF(_CALC_PNL!E207=1,H207-G207,"")</f>
        <v/>
      </c>
    </row>
    <row r="208">
      <c r="A208" s="1" t="inlineStr">
        <is>
          <t>MBWAY_BOR</t>
        </is>
      </c>
      <c r="B208" s="1" t="inlineStr">
        <is>
          <t>6063</t>
        </is>
      </c>
      <c r="C208" s="1" t="inlineStr">
        <is>
          <t>2025</t>
        </is>
      </c>
      <c r="D208" s="1" t="inlineStr">
        <is>
          <t>ACT</t>
        </is>
      </c>
      <c r="E208" s="1" t="inlineStr">
        <is>
          <t>2027BUD_V1</t>
        </is>
      </c>
      <c r="F208" s="1" t="inlineStr">
        <is>
          <t>12</t>
        </is>
      </c>
      <c r="G208" s="1" t="n">
        <v>35372</v>
      </c>
      <c r="H208" s="25">
        <f>_CALC_PNL!P208</f>
        <v/>
      </c>
      <c r="I208" s="25">
        <f>IF(_CALC_PNL!E208=1,H208-G208,"")</f>
        <v/>
      </c>
    </row>
    <row r="209">
      <c r="A209" s="1" t="inlineStr">
        <is>
          <t>ISCOM_PAR</t>
        </is>
      </c>
      <c r="B209" s="1" t="inlineStr">
        <is>
          <t>6063</t>
        </is>
      </c>
      <c r="C209" s="1" t="inlineStr">
        <is>
          <t>2025</t>
        </is>
      </c>
      <c r="D209" s="1" t="inlineStr">
        <is>
          <t>ACT</t>
        </is>
      </c>
      <c r="E209" s="1" t="inlineStr">
        <is>
          <t>2027BUD_V1</t>
        </is>
      </c>
      <c r="F209" s="1" t="inlineStr">
        <is>
          <t>12</t>
        </is>
      </c>
      <c r="G209" s="1" t="n">
        <v>50288</v>
      </c>
      <c r="H209" s="25">
        <f>_CALC_PNL!P209</f>
        <v/>
      </c>
      <c r="I209" s="25">
        <f>IF(_CALC_PNL!E209=1,H209-G209,"")</f>
        <v/>
      </c>
    </row>
    <row r="210">
      <c r="A210" s="1" t="inlineStr">
        <is>
          <t>ISCOM_LIL</t>
        </is>
      </c>
      <c r="B210" s="1" t="inlineStr">
        <is>
          <t>6063</t>
        </is>
      </c>
      <c r="C210" s="1" t="inlineStr">
        <is>
          <t>2025</t>
        </is>
      </c>
      <c r="D210" s="1" t="inlineStr">
        <is>
          <t>ACT</t>
        </is>
      </c>
      <c r="E210" s="1" t="inlineStr">
        <is>
          <t>2027BUD_V1</t>
        </is>
      </c>
      <c r="F210" s="1" t="inlineStr">
        <is>
          <t>12</t>
        </is>
      </c>
      <c r="G210" s="1" t="n">
        <v>34662</v>
      </c>
      <c r="H210" s="25">
        <f>_CALC_PNL!P210</f>
        <v/>
      </c>
      <c r="I210" s="25">
        <f>IF(_CALC_PNL!E210=1,H210-G210,"")</f>
        <v/>
      </c>
    </row>
    <row r="211">
      <c r="A211" s="1" t="inlineStr">
        <is>
          <t>ISCOM_TLS</t>
        </is>
      </c>
      <c r="B211" s="1" t="inlineStr">
        <is>
          <t>6063</t>
        </is>
      </c>
      <c r="C211" s="1" t="inlineStr">
        <is>
          <t>2025</t>
        </is>
      </c>
      <c r="D211" s="1" t="inlineStr">
        <is>
          <t>ACT</t>
        </is>
      </c>
      <c r="E211" s="1" t="inlineStr">
        <is>
          <t>2027BUD_V1</t>
        </is>
      </c>
      <c r="F211" s="1" t="inlineStr">
        <is>
          <t>12</t>
        </is>
      </c>
      <c r="G211" s="1" t="n">
        <v>32815</v>
      </c>
      <c r="H211" s="25">
        <f>_CALC_PNL!P211</f>
        <v/>
      </c>
      <c r="I211" s="25">
        <f>IF(_CALC_PNL!E211=1,H211-G211,"")</f>
        <v/>
      </c>
    </row>
    <row r="212">
      <c r="A212" s="1" t="inlineStr">
        <is>
          <t>IPAC_NAN</t>
        </is>
      </c>
      <c r="B212" s="1" t="inlineStr">
        <is>
          <t>6063</t>
        </is>
      </c>
      <c r="C212" s="1" t="inlineStr">
        <is>
          <t>2025</t>
        </is>
      </c>
      <c r="D212" s="1" t="inlineStr">
        <is>
          <t>ACT</t>
        </is>
      </c>
      <c r="E212" s="1" t="inlineStr">
        <is>
          <t>2027BUD_V1</t>
        </is>
      </c>
      <c r="F212" s="1" t="inlineStr">
        <is>
          <t>12</t>
        </is>
      </c>
      <c r="G212" s="1" t="n">
        <v>20598</v>
      </c>
      <c r="H212" s="25">
        <f>_CALC_PNL!P212</f>
        <v/>
      </c>
      <c r="I212" s="25">
        <f>IF(_CALC_PNL!E212=1,H212-G212,"")</f>
        <v/>
      </c>
    </row>
    <row r="213">
      <c r="A213" s="1" t="inlineStr">
        <is>
          <t>IPAC_REN</t>
        </is>
      </c>
      <c r="B213" s="1" t="inlineStr">
        <is>
          <t>6063</t>
        </is>
      </c>
      <c r="C213" s="1" t="inlineStr">
        <is>
          <t>2025</t>
        </is>
      </c>
      <c r="D213" s="1" t="inlineStr">
        <is>
          <t>ACT</t>
        </is>
      </c>
      <c r="E213" s="1" t="inlineStr">
        <is>
          <t>2027BUD_V1</t>
        </is>
      </c>
      <c r="F213" s="1" t="inlineStr">
        <is>
          <t>12</t>
        </is>
      </c>
      <c r="G213" s="1" t="n">
        <v>16621</v>
      </c>
      <c r="H213" s="25">
        <f>_CALC_PNL!P213</f>
        <v/>
      </c>
      <c r="I213" s="25">
        <f>IF(_CALC_PNL!E213=1,H213-G213,"")</f>
        <v/>
      </c>
    </row>
    <row r="214">
      <c r="A214" s="1" t="inlineStr">
        <is>
          <t>IPAC_MTP</t>
        </is>
      </c>
      <c r="B214" s="1" t="inlineStr">
        <is>
          <t>6063</t>
        </is>
      </c>
      <c r="C214" s="1" t="inlineStr">
        <is>
          <t>2025</t>
        </is>
      </c>
      <c r="D214" s="1" t="inlineStr">
        <is>
          <t>ACT</t>
        </is>
      </c>
      <c r="E214" s="1" t="inlineStr">
        <is>
          <t>2027BUD_V1</t>
        </is>
      </c>
      <c r="F214" s="1" t="inlineStr">
        <is>
          <t>12</t>
        </is>
      </c>
      <c r="G214" s="1" t="n">
        <v>16621</v>
      </c>
      <c r="H214" s="25">
        <f>_CALC_PNL!P214</f>
        <v/>
      </c>
      <c r="I214" s="25">
        <f>IF(_CALC_PNL!E214=1,H214-G214,"")</f>
        <v/>
      </c>
    </row>
    <row r="215">
      <c r="A215" s="1" t="inlineStr">
        <is>
          <t>PIGIER_LYO</t>
        </is>
      </c>
      <c r="B215" s="1" t="inlineStr">
        <is>
          <t>6063</t>
        </is>
      </c>
      <c r="C215" s="1" t="inlineStr">
        <is>
          <t>2025</t>
        </is>
      </c>
      <c r="D215" s="1" t="inlineStr">
        <is>
          <t>ACT</t>
        </is>
      </c>
      <c r="E215" s="1" t="inlineStr">
        <is>
          <t>2027BUD_V1</t>
        </is>
      </c>
      <c r="F215" s="1" t="inlineStr">
        <is>
          <t>12</t>
        </is>
      </c>
      <c r="G215" s="1" t="n">
        <v>25854</v>
      </c>
      <c r="H215" s="25">
        <f>_CALC_PNL!P215</f>
        <v/>
      </c>
      <c r="I215" s="25">
        <f>IF(_CALC_PNL!E215=1,H215-G215,"")</f>
        <v/>
      </c>
    </row>
    <row r="216">
      <c r="A216" s="1" t="inlineStr">
        <is>
          <t>PIGIER_BOR</t>
        </is>
      </c>
      <c r="B216" s="1" t="inlineStr">
        <is>
          <t>6063</t>
        </is>
      </c>
      <c r="C216" s="1" t="inlineStr">
        <is>
          <t>2025</t>
        </is>
      </c>
      <c r="D216" s="1" t="inlineStr">
        <is>
          <t>ACT</t>
        </is>
      </c>
      <c r="E216" s="1" t="inlineStr">
        <is>
          <t>2027BUD_V1</t>
        </is>
      </c>
      <c r="F216" s="1" t="inlineStr">
        <is>
          <t>12</t>
        </is>
      </c>
      <c r="G216" s="1" t="n">
        <v>20172</v>
      </c>
      <c r="H216" s="25">
        <f>_CALC_PNL!P216</f>
        <v/>
      </c>
      <c r="I216" s="25">
        <f>IF(_CALC_PNL!E216=1,H216-G216,"")</f>
        <v/>
      </c>
    </row>
    <row r="217">
      <c r="A217" s="1" t="inlineStr">
        <is>
          <t>TUNON_PAR</t>
        </is>
      </c>
      <c r="B217" s="1" t="inlineStr">
        <is>
          <t>6063</t>
        </is>
      </c>
      <c r="C217" s="1" t="inlineStr">
        <is>
          <t>2025</t>
        </is>
      </c>
      <c r="D217" s="1" t="inlineStr">
        <is>
          <t>ACT</t>
        </is>
      </c>
      <c r="E217" s="1" t="inlineStr">
        <is>
          <t>2027BUD_V1</t>
        </is>
      </c>
      <c r="F217" s="1" t="inlineStr">
        <is>
          <t>12</t>
        </is>
      </c>
      <c r="G217" s="1" t="n">
        <v>19604</v>
      </c>
      <c r="H217" s="25">
        <f>_CALC_PNL!P217</f>
        <v/>
      </c>
      <c r="I217" s="25">
        <f>IF(_CALC_PNL!E217=1,H217-G217,"")</f>
        <v/>
      </c>
    </row>
    <row r="218">
      <c r="A218" s="1" t="inlineStr">
        <is>
          <t>TUNON_LYO</t>
        </is>
      </c>
      <c r="B218" s="1" t="inlineStr">
        <is>
          <t>6063</t>
        </is>
      </c>
      <c r="C218" s="1" t="inlineStr">
        <is>
          <t>2025</t>
        </is>
      </c>
      <c r="D218" s="1" t="inlineStr">
        <is>
          <t>ACT</t>
        </is>
      </c>
      <c r="E218" s="1" t="inlineStr">
        <is>
          <t>2027BUD_V1</t>
        </is>
      </c>
      <c r="F218" s="1" t="inlineStr">
        <is>
          <t>12</t>
        </is>
      </c>
      <c r="G218" s="1" t="n">
        <v>16621</v>
      </c>
      <c r="H218" s="25">
        <f>_CALC_PNL!P218</f>
        <v/>
      </c>
      <c r="I218" s="25">
        <f>IF(_CALC_PNL!E218=1,H218-G218,"")</f>
        <v/>
      </c>
    </row>
    <row r="219">
      <c r="A219" s="1" t="inlineStr">
        <is>
          <t>MBWAY_PAR</t>
        </is>
      </c>
      <c r="B219" s="1" t="inlineStr">
        <is>
          <t>6063</t>
        </is>
      </c>
      <c r="C219" s="1" t="inlineStr">
        <is>
          <t>2026</t>
        </is>
      </c>
      <c r="D219" s="1" t="inlineStr">
        <is>
          <t>ACT</t>
        </is>
      </c>
      <c r="E219" s="1" t="inlineStr">
        <is>
          <t>2027BUD_V1</t>
        </is>
      </c>
      <c r="F219" s="1" t="inlineStr">
        <is>
          <t>12</t>
        </is>
      </c>
      <c r="G219" s="1" t="n">
        <v>56856</v>
      </c>
      <c r="H219" s="25">
        <f>_CALC_PNL!P219</f>
        <v/>
      </c>
      <c r="I219" s="25">
        <f>IF(_CALC_PNL!E219=1,H219-G219,"")</f>
        <v/>
      </c>
    </row>
    <row r="220">
      <c r="A220" s="1" t="inlineStr">
        <is>
          <t>MBWAY_LYO</t>
        </is>
      </c>
      <c r="B220" s="1" t="inlineStr">
        <is>
          <t>6063</t>
        </is>
      </c>
      <c r="C220" s="1" t="inlineStr">
        <is>
          <t>2026</t>
        </is>
      </c>
      <c r="D220" s="1" t="inlineStr">
        <is>
          <t>ACT</t>
        </is>
      </c>
      <c r="E220" s="1" t="inlineStr">
        <is>
          <t>2027BUD_V1</t>
        </is>
      </c>
      <c r="F220" s="1" t="inlineStr">
        <is>
          <t>12</t>
        </is>
      </c>
      <c r="G220" s="1" t="n">
        <v>48224</v>
      </c>
      <c r="H220" s="25">
        <f>_CALC_PNL!P220</f>
        <v/>
      </c>
      <c r="I220" s="25">
        <f>IF(_CALC_PNL!E220=1,H220-G220,"")</f>
        <v/>
      </c>
    </row>
    <row r="221">
      <c r="A221" s="1" t="inlineStr">
        <is>
          <t>MBWAY_NAN</t>
        </is>
      </c>
      <c r="B221" s="1" t="inlineStr">
        <is>
          <t>6063</t>
        </is>
      </c>
      <c r="C221" s="1" t="inlineStr">
        <is>
          <t>2026</t>
        </is>
      </c>
      <c r="D221" s="1" t="inlineStr">
        <is>
          <t>ACT</t>
        </is>
      </c>
      <c r="E221" s="1" t="inlineStr">
        <is>
          <t>2027BUD_V1</t>
        </is>
      </c>
      <c r="F221" s="1" t="inlineStr">
        <is>
          <t>12</t>
        </is>
      </c>
      <c r="G221" s="1" t="n">
        <v>43758</v>
      </c>
      <c r="H221" s="25">
        <f>_CALC_PNL!P221</f>
        <v/>
      </c>
      <c r="I221" s="25">
        <f>IF(_CALC_PNL!E221=1,H221-G221,"")</f>
        <v/>
      </c>
    </row>
    <row r="222">
      <c r="A222" s="1" t="inlineStr">
        <is>
          <t>MBWAY_BOR</t>
        </is>
      </c>
      <c r="B222" s="1" t="inlineStr">
        <is>
          <t>6063</t>
        </is>
      </c>
      <c r="C222" s="1" t="inlineStr">
        <is>
          <t>2026</t>
        </is>
      </c>
      <c r="D222" s="1" t="inlineStr">
        <is>
          <t>ACT</t>
        </is>
      </c>
      <c r="E222" s="1" t="inlineStr">
        <is>
          <t>2027BUD_V1</t>
        </is>
      </c>
      <c r="F222" s="1" t="inlineStr">
        <is>
          <t>12</t>
        </is>
      </c>
      <c r="G222" s="1" t="n">
        <v>37061</v>
      </c>
      <c r="H222" s="25">
        <f>_CALC_PNL!P222</f>
        <v/>
      </c>
      <c r="I222" s="25">
        <f>IF(_CALC_PNL!E222=1,H222-G222,"")</f>
        <v/>
      </c>
    </row>
    <row r="223">
      <c r="A223" s="1" t="inlineStr">
        <is>
          <t>ISCOM_PAR</t>
        </is>
      </c>
      <c r="B223" s="1" t="inlineStr">
        <is>
          <t>6063</t>
        </is>
      </c>
      <c r="C223" s="1" t="inlineStr">
        <is>
          <t>2026</t>
        </is>
      </c>
      <c r="D223" s="1" t="inlineStr">
        <is>
          <t>ACT</t>
        </is>
      </c>
      <c r="E223" s="1" t="inlineStr">
        <is>
          <t>2027BUD_V1</t>
        </is>
      </c>
      <c r="F223" s="1" t="inlineStr">
        <is>
          <t>12</t>
        </is>
      </c>
      <c r="G223" s="1" t="n">
        <v>52689</v>
      </c>
      <c r="H223" s="25">
        <f>_CALC_PNL!P223</f>
        <v/>
      </c>
      <c r="I223" s="25">
        <f>IF(_CALC_PNL!E223=1,H223-G223,"")</f>
        <v/>
      </c>
    </row>
    <row r="224">
      <c r="A224" s="1" t="inlineStr">
        <is>
          <t>ISCOM_LIL</t>
        </is>
      </c>
      <c r="B224" s="1" t="inlineStr">
        <is>
          <t>6063</t>
        </is>
      </c>
      <c r="C224" s="1" t="inlineStr">
        <is>
          <t>2026</t>
        </is>
      </c>
      <c r="D224" s="1" t="inlineStr">
        <is>
          <t>ACT</t>
        </is>
      </c>
      <c r="E224" s="1" t="inlineStr">
        <is>
          <t>2027BUD_V1</t>
        </is>
      </c>
      <c r="F224" s="1" t="inlineStr">
        <is>
          <t>12</t>
        </is>
      </c>
      <c r="G224" s="1" t="n">
        <v>36316</v>
      </c>
      <c r="H224" s="25">
        <f>_CALC_PNL!P224</f>
        <v/>
      </c>
      <c r="I224" s="25">
        <f>IF(_CALC_PNL!E224=1,H224-G224,"")</f>
        <v/>
      </c>
    </row>
    <row r="225">
      <c r="A225" s="1" t="inlineStr">
        <is>
          <t>ISCOM_TLS</t>
        </is>
      </c>
      <c r="B225" s="1" t="inlineStr">
        <is>
          <t>6063</t>
        </is>
      </c>
      <c r="C225" s="1" t="inlineStr">
        <is>
          <t>2026</t>
        </is>
      </c>
      <c r="D225" s="1" t="inlineStr">
        <is>
          <t>ACT</t>
        </is>
      </c>
      <c r="E225" s="1" t="inlineStr">
        <is>
          <t>2027BUD_V1</t>
        </is>
      </c>
      <c r="F225" s="1" t="inlineStr">
        <is>
          <t>12</t>
        </is>
      </c>
      <c r="G225" s="1" t="n">
        <v>34382</v>
      </c>
      <c r="H225" s="25">
        <f>_CALC_PNL!P225</f>
        <v/>
      </c>
      <c r="I225" s="25">
        <f>IF(_CALC_PNL!E225=1,H225-G225,"")</f>
        <v/>
      </c>
    </row>
    <row r="226">
      <c r="A226" s="1" t="inlineStr">
        <is>
          <t>IPAC_NAN</t>
        </is>
      </c>
      <c r="B226" s="1" t="inlineStr">
        <is>
          <t>6063</t>
        </is>
      </c>
      <c r="C226" s="1" t="inlineStr">
        <is>
          <t>2026</t>
        </is>
      </c>
      <c r="D226" s="1" t="inlineStr">
        <is>
          <t>ACT</t>
        </is>
      </c>
      <c r="E226" s="1" t="inlineStr">
        <is>
          <t>2027BUD_V1</t>
        </is>
      </c>
      <c r="F226" s="1" t="inlineStr">
        <is>
          <t>12</t>
        </is>
      </c>
      <c r="G226" s="1" t="n">
        <v>21582</v>
      </c>
      <c r="H226" s="25">
        <f>_CALC_PNL!P226</f>
        <v/>
      </c>
      <c r="I226" s="25">
        <f>IF(_CALC_PNL!E226=1,H226-G226,"")</f>
        <v/>
      </c>
    </row>
    <row r="227">
      <c r="A227" s="1" t="inlineStr">
        <is>
          <t>IPAC_REN</t>
        </is>
      </c>
      <c r="B227" s="1" t="inlineStr">
        <is>
          <t>6063</t>
        </is>
      </c>
      <c r="C227" s="1" t="inlineStr">
        <is>
          <t>2026</t>
        </is>
      </c>
      <c r="D227" s="1" t="inlineStr">
        <is>
          <t>ACT</t>
        </is>
      </c>
      <c r="E227" s="1" t="inlineStr">
        <is>
          <t>2027BUD_V1</t>
        </is>
      </c>
      <c r="F227" s="1" t="inlineStr">
        <is>
          <t>12</t>
        </is>
      </c>
      <c r="G227" s="1" t="n">
        <v>17414</v>
      </c>
      <c r="H227" s="25">
        <f>_CALC_PNL!P227</f>
        <v/>
      </c>
      <c r="I227" s="25">
        <f>IF(_CALC_PNL!E227=1,H227-G227,"")</f>
        <v/>
      </c>
    </row>
    <row r="228">
      <c r="A228" s="1" t="inlineStr">
        <is>
          <t>IPAC_MTP</t>
        </is>
      </c>
      <c r="B228" s="1" t="inlineStr">
        <is>
          <t>6063</t>
        </is>
      </c>
      <c r="C228" s="1" t="inlineStr">
        <is>
          <t>2026</t>
        </is>
      </c>
      <c r="D228" s="1" t="inlineStr">
        <is>
          <t>ACT</t>
        </is>
      </c>
      <c r="E228" s="1" t="inlineStr">
        <is>
          <t>2027BUD_V1</t>
        </is>
      </c>
      <c r="F228" s="1" t="inlineStr">
        <is>
          <t>12</t>
        </is>
      </c>
      <c r="G228" s="1" t="n">
        <v>17414</v>
      </c>
      <c r="H228" s="25">
        <f>_CALC_PNL!P228</f>
        <v/>
      </c>
      <c r="I228" s="25">
        <f>IF(_CALC_PNL!E228=1,H228-G228,"")</f>
        <v/>
      </c>
    </row>
    <row r="229">
      <c r="A229" s="1" t="inlineStr">
        <is>
          <t>PIGIER_LYO</t>
        </is>
      </c>
      <c r="B229" s="1" t="inlineStr">
        <is>
          <t>6063</t>
        </is>
      </c>
      <c r="C229" s="1" t="inlineStr">
        <is>
          <t>2026</t>
        </is>
      </c>
      <c r="D229" s="1" t="inlineStr">
        <is>
          <t>ACT</t>
        </is>
      </c>
      <c r="E229" s="1" t="inlineStr">
        <is>
          <t>2027BUD_V1</t>
        </is>
      </c>
      <c r="F229" s="1" t="inlineStr">
        <is>
          <t>12</t>
        </is>
      </c>
      <c r="G229" s="1" t="n">
        <v>27089</v>
      </c>
      <c r="H229" s="25">
        <f>_CALC_PNL!P229</f>
        <v/>
      </c>
      <c r="I229" s="25">
        <f>IF(_CALC_PNL!E229=1,H229-G229,"")</f>
        <v/>
      </c>
    </row>
    <row r="230">
      <c r="A230" s="1" t="inlineStr">
        <is>
          <t>PIGIER_BOR</t>
        </is>
      </c>
      <c r="B230" s="1" t="inlineStr">
        <is>
          <t>6063</t>
        </is>
      </c>
      <c r="C230" s="1" t="inlineStr">
        <is>
          <t>2026</t>
        </is>
      </c>
      <c r="D230" s="1" t="inlineStr">
        <is>
          <t>ACT</t>
        </is>
      </c>
      <c r="E230" s="1" t="inlineStr">
        <is>
          <t>2027BUD_V1</t>
        </is>
      </c>
      <c r="F230" s="1" t="inlineStr">
        <is>
          <t>12</t>
        </is>
      </c>
      <c r="G230" s="1" t="n">
        <v>21135</v>
      </c>
      <c r="H230" s="25">
        <f>_CALC_PNL!P230</f>
        <v/>
      </c>
      <c r="I230" s="25">
        <f>IF(_CALC_PNL!E230=1,H230-G230,"")</f>
        <v/>
      </c>
    </row>
    <row r="231">
      <c r="A231" s="1" t="inlineStr">
        <is>
          <t>TUNON_PAR</t>
        </is>
      </c>
      <c r="B231" s="1" t="inlineStr">
        <is>
          <t>6063</t>
        </is>
      </c>
      <c r="C231" s="1" t="inlineStr">
        <is>
          <t>2026</t>
        </is>
      </c>
      <c r="D231" s="1" t="inlineStr">
        <is>
          <t>ACT</t>
        </is>
      </c>
      <c r="E231" s="1" t="inlineStr">
        <is>
          <t>2027BUD_V1</t>
        </is>
      </c>
      <c r="F231" s="1" t="inlineStr">
        <is>
          <t>12</t>
        </is>
      </c>
      <c r="G231" s="1" t="n">
        <v>20540</v>
      </c>
      <c r="H231" s="25">
        <f>_CALC_PNL!P231</f>
        <v/>
      </c>
      <c r="I231" s="25">
        <f>IF(_CALC_PNL!E231=1,H231-G231,"")</f>
        <v/>
      </c>
    </row>
    <row r="232">
      <c r="A232" s="1" t="inlineStr">
        <is>
          <t>TUNON_LYO</t>
        </is>
      </c>
      <c r="B232" s="1" t="inlineStr">
        <is>
          <t>6063</t>
        </is>
      </c>
      <c r="C232" s="1" t="inlineStr">
        <is>
          <t>2026</t>
        </is>
      </c>
      <c r="D232" s="1" t="inlineStr">
        <is>
          <t>ACT</t>
        </is>
      </c>
      <c r="E232" s="1" t="inlineStr">
        <is>
          <t>2027BUD_V1</t>
        </is>
      </c>
      <c r="F232" s="1" t="inlineStr">
        <is>
          <t>12</t>
        </is>
      </c>
      <c r="G232" s="1" t="n">
        <v>17414</v>
      </c>
      <c r="H232" s="25">
        <f>_CALC_PNL!P232</f>
        <v/>
      </c>
      <c r="I232" s="25">
        <f>IF(_CALC_PNL!E232=1,H232-G232,"")</f>
        <v/>
      </c>
    </row>
    <row r="233">
      <c r="A233" s="1" t="inlineStr">
        <is>
          <t>MBWAY_PAR</t>
        </is>
      </c>
      <c r="B233" s="1" t="inlineStr">
        <is>
          <t>6231</t>
        </is>
      </c>
      <c r="C233" s="1" t="inlineStr">
        <is>
          <t>2024</t>
        </is>
      </c>
      <c r="D233" s="1" t="inlineStr">
        <is>
          <t>ACT</t>
        </is>
      </c>
      <c r="E233" s="1" t="inlineStr">
        <is>
          <t>2027BUD_V1</t>
        </is>
      </c>
      <c r="F233" s="1" t="inlineStr">
        <is>
          <t>12</t>
        </is>
      </c>
      <c r="G233" s="1" t="n">
        <v>56438</v>
      </c>
      <c r="H233" s="25">
        <f>_CALC_PNL!P233</f>
        <v/>
      </c>
      <c r="I233" s="25">
        <f>IF(_CALC_PNL!E233=1,H233-G233,"")</f>
        <v/>
      </c>
    </row>
    <row r="234">
      <c r="A234" s="1" t="inlineStr">
        <is>
          <t>MBWAY_LYO</t>
        </is>
      </c>
      <c r="B234" s="1" t="inlineStr">
        <is>
          <t>6231</t>
        </is>
      </c>
      <c r="C234" s="1" t="inlineStr">
        <is>
          <t>2024</t>
        </is>
      </c>
      <c r="D234" s="1" t="inlineStr">
        <is>
          <t>ACT</t>
        </is>
      </c>
      <c r="E234" s="1" t="inlineStr">
        <is>
          <t>2027BUD_V1</t>
        </is>
      </c>
      <c r="F234" s="1" t="inlineStr">
        <is>
          <t>12</t>
        </is>
      </c>
      <c r="G234" s="1" t="n">
        <v>34532</v>
      </c>
      <c r="H234" s="25">
        <f>_CALC_PNL!P234</f>
        <v/>
      </c>
      <c r="I234" s="25">
        <f>IF(_CALC_PNL!E234=1,H234-G234,"")</f>
        <v/>
      </c>
    </row>
    <row r="235">
      <c r="A235" s="1" t="inlineStr">
        <is>
          <t>MBWAY_NAN</t>
        </is>
      </c>
      <c r="B235" s="1" t="inlineStr">
        <is>
          <t>6231</t>
        </is>
      </c>
      <c r="C235" s="1" t="inlineStr">
        <is>
          <t>2024</t>
        </is>
      </c>
      <c r="D235" s="1" t="inlineStr">
        <is>
          <t>ACT</t>
        </is>
      </c>
      <c r="E235" s="1" t="inlineStr">
        <is>
          <t>2027BUD_V1</t>
        </is>
      </c>
      <c r="F235" s="1" t="inlineStr">
        <is>
          <t>12</t>
        </is>
      </c>
      <c r="G235" s="1" t="n">
        <v>26060</v>
      </c>
      <c r="H235" s="25">
        <f>_CALC_PNL!P235</f>
        <v/>
      </c>
      <c r="I235" s="25">
        <f>IF(_CALC_PNL!E235=1,H235-G235,"")</f>
        <v/>
      </c>
    </row>
    <row r="236">
      <c r="A236" s="1" t="inlineStr">
        <is>
          <t>MBWAY_BOR</t>
        </is>
      </c>
      <c r="B236" s="1" t="inlineStr">
        <is>
          <t>6231</t>
        </is>
      </c>
      <c r="C236" s="1" t="inlineStr">
        <is>
          <t>2024</t>
        </is>
      </c>
      <c r="D236" s="1" t="inlineStr">
        <is>
          <t>ACT</t>
        </is>
      </c>
      <c r="E236" s="1" t="inlineStr">
        <is>
          <t>2027BUD_V1</t>
        </is>
      </c>
      <c r="F236" s="1" t="inlineStr">
        <is>
          <t>12</t>
        </is>
      </c>
      <c r="G236" s="1" t="n">
        <v>20597</v>
      </c>
      <c r="H236" s="25">
        <f>_CALC_PNL!P236</f>
        <v/>
      </c>
      <c r="I236" s="25">
        <f>IF(_CALC_PNL!E236=1,H236-G236,"")</f>
        <v/>
      </c>
    </row>
    <row r="237">
      <c r="A237" s="1" t="inlineStr">
        <is>
          <t>ISCOM_PAR</t>
        </is>
      </c>
      <c r="B237" s="1" t="inlineStr">
        <is>
          <t>6231</t>
        </is>
      </c>
      <c r="C237" s="1" t="inlineStr">
        <is>
          <t>2024</t>
        </is>
      </c>
      <c r="D237" s="1" t="inlineStr">
        <is>
          <t>ACT</t>
        </is>
      </c>
      <c r="E237" s="1" t="inlineStr">
        <is>
          <t>2027BUD_V1</t>
        </is>
      </c>
      <c r="F237" s="1" t="inlineStr">
        <is>
          <t>12</t>
        </is>
      </c>
      <c r="G237" s="1" t="n">
        <v>50248</v>
      </c>
      <c r="H237" s="25">
        <f>_CALC_PNL!P237</f>
        <v/>
      </c>
      <c r="I237" s="25">
        <f>IF(_CALC_PNL!E237=1,H237-G237,"")</f>
        <v/>
      </c>
    </row>
    <row r="238">
      <c r="A238" s="1" t="inlineStr">
        <is>
          <t>ISCOM_LIL</t>
        </is>
      </c>
      <c r="B238" s="1" t="inlineStr">
        <is>
          <t>6231</t>
        </is>
      </c>
      <c r="C238" s="1" t="inlineStr">
        <is>
          <t>2024</t>
        </is>
      </c>
      <c r="D238" s="1" t="inlineStr">
        <is>
          <t>ACT</t>
        </is>
      </c>
      <c r="E238" s="1" t="inlineStr">
        <is>
          <t>2027BUD_V1</t>
        </is>
      </c>
      <c r="F238" s="1" t="inlineStr">
        <is>
          <t>12</t>
        </is>
      </c>
      <c r="G238" s="1" t="n">
        <v>20843</v>
      </c>
      <c r="H238" s="25">
        <f>_CALC_PNL!P238</f>
        <v/>
      </c>
      <c r="I238" s="25">
        <f>IF(_CALC_PNL!E238=1,H238-G238,"")</f>
        <v/>
      </c>
    </row>
    <row r="239">
      <c r="A239" s="1" t="inlineStr">
        <is>
          <t>ISCOM_TLS</t>
        </is>
      </c>
      <c r="B239" s="1" t="inlineStr">
        <is>
          <t>6231</t>
        </is>
      </c>
      <c r="C239" s="1" t="inlineStr">
        <is>
          <t>2024</t>
        </is>
      </c>
      <c r="D239" s="1" t="inlineStr">
        <is>
          <t>ACT</t>
        </is>
      </c>
      <c r="E239" s="1" t="inlineStr">
        <is>
          <t>2027BUD_V1</t>
        </is>
      </c>
      <c r="F239" s="1" t="inlineStr">
        <is>
          <t>12</t>
        </is>
      </c>
      <c r="G239" s="1" t="n">
        <v>18251</v>
      </c>
      <c r="H239" s="25">
        <f>_CALC_PNL!P239</f>
        <v/>
      </c>
      <c r="I239" s="25">
        <f>IF(_CALC_PNL!E239=1,H239-G239,"")</f>
        <v/>
      </c>
    </row>
    <row r="240">
      <c r="A240" s="1" t="inlineStr">
        <is>
          <t>IPAC_NAN</t>
        </is>
      </c>
      <c r="B240" s="1" t="inlineStr">
        <is>
          <t>6231</t>
        </is>
      </c>
      <c r="C240" s="1" t="inlineStr">
        <is>
          <t>2024</t>
        </is>
      </c>
      <c r="D240" s="1" t="inlineStr">
        <is>
          <t>ACT</t>
        </is>
      </c>
      <c r="E240" s="1" t="inlineStr">
        <is>
          <t>2027BUD_V1</t>
        </is>
      </c>
      <c r="F240" s="1" t="inlineStr">
        <is>
          <t>12</t>
        </is>
      </c>
      <c r="G240" s="1" t="n">
        <v>17983</v>
      </c>
      <c r="H240" s="25">
        <f>_CALC_PNL!P240</f>
        <v/>
      </c>
      <c r="I240" s="25">
        <f>IF(_CALC_PNL!E240=1,H240-G240,"")</f>
        <v/>
      </c>
    </row>
    <row r="241">
      <c r="A241" s="1" t="inlineStr">
        <is>
          <t>IPAC_REN</t>
        </is>
      </c>
      <c r="B241" s="1" t="inlineStr">
        <is>
          <t>6231</t>
        </is>
      </c>
      <c r="C241" s="1" t="inlineStr">
        <is>
          <t>2024</t>
        </is>
      </c>
      <c r="D241" s="1" t="inlineStr">
        <is>
          <t>ACT</t>
        </is>
      </c>
      <c r="E241" s="1" t="inlineStr">
        <is>
          <t>2027BUD_V1</t>
        </is>
      </c>
      <c r="F241" s="1" t="inlineStr">
        <is>
          <t>12</t>
        </is>
      </c>
      <c r="G241" s="1" t="n">
        <v>12341</v>
      </c>
      <c r="H241" s="25">
        <f>_CALC_PNL!P241</f>
        <v/>
      </c>
      <c r="I241" s="25">
        <f>IF(_CALC_PNL!E241=1,H241-G241,"")</f>
        <v/>
      </c>
    </row>
    <row r="242">
      <c r="A242" s="1" t="inlineStr">
        <is>
          <t>IPAC_MTP</t>
        </is>
      </c>
      <c r="B242" s="1" t="inlineStr">
        <is>
          <t>6231</t>
        </is>
      </c>
      <c r="C242" s="1" t="inlineStr">
        <is>
          <t>2024</t>
        </is>
      </c>
      <c r="D242" s="1" t="inlineStr">
        <is>
          <t>ACT</t>
        </is>
      </c>
      <c r="E242" s="1" t="inlineStr">
        <is>
          <t>2027BUD_V1</t>
        </is>
      </c>
      <c r="F242" s="1" t="inlineStr">
        <is>
          <t>12</t>
        </is>
      </c>
      <c r="G242" s="1" t="n">
        <v>12543</v>
      </c>
      <c r="H242" s="25">
        <f>_CALC_PNL!P242</f>
        <v/>
      </c>
      <c r="I242" s="25">
        <f>IF(_CALC_PNL!E242=1,H242-G242,"")</f>
        <v/>
      </c>
    </row>
    <row r="243">
      <c r="A243" s="1" t="inlineStr">
        <is>
          <t>PIGIER_LYO</t>
        </is>
      </c>
      <c r="B243" s="1" t="inlineStr">
        <is>
          <t>6231</t>
        </is>
      </c>
      <c r="C243" s="1" t="inlineStr">
        <is>
          <t>2024</t>
        </is>
      </c>
      <c r="D243" s="1" t="inlineStr">
        <is>
          <t>ACT</t>
        </is>
      </c>
      <c r="E243" s="1" t="inlineStr">
        <is>
          <t>2027BUD_V1</t>
        </is>
      </c>
      <c r="F243" s="1" t="inlineStr">
        <is>
          <t>12</t>
        </is>
      </c>
      <c r="G243" s="1" t="n">
        <v>30258</v>
      </c>
      <c r="H243" s="25">
        <f>_CALC_PNL!P243</f>
        <v/>
      </c>
      <c r="I243" s="25">
        <f>IF(_CALC_PNL!E243=1,H243-G243,"")</f>
        <v/>
      </c>
    </row>
    <row r="244">
      <c r="A244" s="1" t="inlineStr">
        <is>
          <t>PIGIER_BOR</t>
        </is>
      </c>
      <c r="B244" s="1" t="inlineStr">
        <is>
          <t>6231</t>
        </is>
      </c>
      <c r="C244" s="1" t="inlineStr">
        <is>
          <t>2024</t>
        </is>
      </c>
      <c r="D244" s="1" t="inlineStr">
        <is>
          <t>ACT</t>
        </is>
      </c>
      <c r="E244" s="1" t="inlineStr">
        <is>
          <t>2027BUD_V1</t>
        </is>
      </c>
      <c r="F244" s="1" t="inlineStr">
        <is>
          <t>12</t>
        </is>
      </c>
      <c r="G244" s="1" t="n">
        <v>18155</v>
      </c>
      <c r="H244" s="25">
        <f>_CALC_PNL!P244</f>
        <v/>
      </c>
      <c r="I244" s="25">
        <f>IF(_CALC_PNL!E244=1,H244-G244,"")</f>
        <v/>
      </c>
    </row>
    <row r="245">
      <c r="A245" s="1" t="inlineStr">
        <is>
          <t>TUNON_PAR</t>
        </is>
      </c>
      <c r="B245" s="1" t="inlineStr">
        <is>
          <t>6231</t>
        </is>
      </c>
      <c r="C245" s="1" t="inlineStr">
        <is>
          <t>2024</t>
        </is>
      </c>
      <c r="D245" s="1" t="inlineStr">
        <is>
          <t>ACT</t>
        </is>
      </c>
      <c r="E245" s="1" t="inlineStr">
        <is>
          <t>2027BUD_V1</t>
        </is>
      </c>
      <c r="F245" s="1" t="inlineStr">
        <is>
          <t>12</t>
        </is>
      </c>
      <c r="G245" s="1" t="n">
        <v>24992</v>
      </c>
      <c r="H245" s="25">
        <f>_CALC_PNL!P245</f>
        <v/>
      </c>
      <c r="I245" s="25">
        <f>IF(_CALC_PNL!E245=1,H245-G245,"")</f>
        <v/>
      </c>
    </row>
    <row r="246">
      <c r="A246" s="1" t="inlineStr">
        <is>
          <t>TUNON_LYO</t>
        </is>
      </c>
      <c r="B246" s="1" t="inlineStr">
        <is>
          <t>6231</t>
        </is>
      </c>
      <c r="C246" s="1" t="inlineStr">
        <is>
          <t>2024</t>
        </is>
      </c>
      <c r="D246" s="1" t="inlineStr">
        <is>
          <t>ACT</t>
        </is>
      </c>
      <c r="E246" s="1" t="inlineStr">
        <is>
          <t>2027BUD_V1</t>
        </is>
      </c>
      <c r="F246" s="1" t="inlineStr">
        <is>
          <t>12</t>
        </is>
      </c>
      <c r="G246" s="1" t="n">
        <v>15578</v>
      </c>
      <c r="H246" s="25">
        <f>_CALC_PNL!P246</f>
        <v/>
      </c>
      <c r="I246" s="25">
        <f>IF(_CALC_PNL!E246=1,H246-G246,"")</f>
        <v/>
      </c>
    </row>
    <row r="247">
      <c r="A247" s="1" t="inlineStr">
        <is>
          <t>MBWAY_PAR</t>
        </is>
      </c>
      <c r="B247" s="1" t="inlineStr">
        <is>
          <t>6231</t>
        </is>
      </c>
      <c r="C247" s="1" t="inlineStr">
        <is>
          <t>2025</t>
        </is>
      </c>
      <c r="D247" s="1" t="inlineStr">
        <is>
          <t>ACT</t>
        </is>
      </c>
      <c r="E247" s="1" t="inlineStr">
        <is>
          <t>2027BUD_V1</t>
        </is>
      </c>
      <c r="F247" s="1" t="inlineStr">
        <is>
          <t>12</t>
        </is>
      </c>
      <c r="G247" s="1" t="n">
        <v>62082</v>
      </c>
      <c r="H247" s="25">
        <f>_CALC_PNL!P247</f>
        <v/>
      </c>
      <c r="I247" s="25">
        <f>IF(_CALC_PNL!E247=1,H247-G247,"")</f>
        <v/>
      </c>
    </row>
    <row r="248">
      <c r="A248" s="1" t="inlineStr">
        <is>
          <t>MBWAY_LYO</t>
        </is>
      </c>
      <c r="B248" s="1" t="inlineStr">
        <is>
          <t>6231</t>
        </is>
      </c>
      <c r="C248" s="1" t="inlineStr">
        <is>
          <t>2025</t>
        </is>
      </c>
      <c r="D248" s="1" t="inlineStr">
        <is>
          <t>ACT</t>
        </is>
      </c>
      <c r="E248" s="1" t="inlineStr">
        <is>
          <t>2027BUD_V1</t>
        </is>
      </c>
      <c r="F248" s="1" t="inlineStr">
        <is>
          <t>12</t>
        </is>
      </c>
      <c r="G248" s="1" t="n">
        <v>37985</v>
      </c>
      <c r="H248" s="25">
        <f>_CALC_PNL!P248</f>
        <v/>
      </c>
      <c r="I248" s="25">
        <f>IF(_CALC_PNL!E248=1,H248-G248,"")</f>
        <v/>
      </c>
    </row>
    <row r="249">
      <c r="A249" s="1" t="inlineStr">
        <is>
          <t>MBWAY_NAN</t>
        </is>
      </c>
      <c r="B249" s="1" t="inlineStr">
        <is>
          <t>6231</t>
        </is>
      </c>
      <c r="C249" s="1" t="inlineStr">
        <is>
          <t>2025</t>
        </is>
      </c>
      <c r="D249" s="1" t="inlineStr">
        <is>
          <t>ACT</t>
        </is>
      </c>
      <c r="E249" s="1" t="inlineStr">
        <is>
          <t>2027BUD_V1</t>
        </is>
      </c>
      <c r="F249" s="1" t="inlineStr">
        <is>
          <t>12</t>
        </is>
      </c>
      <c r="G249" s="1" t="n">
        <v>28666</v>
      </c>
      <c r="H249" s="25">
        <f>_CALC_PNL!P249</f>
        <v/>
      </c>
      <c r="I249" s="25">
        <f>IF(_CALC_PNL!E249=1,H249-G249,"")</f>
        <v/>
      </c>
    </row>
    <row r="250">
      <c r="A250" s="1" t="inlineStr">
        <is>
          <t>MBWAY_BOR</t>
        </is>
      </c>
      <c r="B250" s="1" t="inlineStr">
        <is>
          <t>6231</t>
        </is>
      </c>
      <c r="C250" s="1" t="inlineStr">
        <is>
          <t>2025</t>
        </is>
      </c>
      <c r="D250" s="1" t="inlineStr">
        <is>
          <t>ACT</t>
        </is>
      </c>
      <c r="E250" s="1" t="inlineStr">
        <is>
          <t>2027BUD_V1</t>
        </is>
      </c>
      <c r="F250" s="1" t="inlineStr">
        <is>
          <t>12</t>
        </is>
      </c>
      <c r="G250" s="1" t="n">
        <v>22657</v>
      </c>
      <c r="H250" s="25">
        <f>_CALC_PNL!P250</f>
        <v/>
      </c>
      <c r="I250" s="25">
        <f>IF(_CALC_PNL!E250=1,H250-G250,"")</f>
        <v/>
      </c>
    </row>
    <row r="251">
      <c r="A251" s="1" t="inlineStr">
        <is>
          <t>ISCOM_PAR</t>
        </is>
      </c>
      <c r="B251" s="1" t="inlineStr">
        <is>
          <t>6231</t>
        </is>
      </c>
      <c r="C251" s="1" t="inlineStr">
        <is>
          <t>2025</t>
        </is>
      </c>
      <c r="D251" s="1" t="inlineStr">
        <is>
          <t>ACT</t>
        </is>
      </c>
      <c r="E251" s="1" t="inlineStr">
        <is>
          <t>2027BUD_V1</t>
        </is>
      </c>
      <c r="F251" s="1" t="inlineStr">
        <is>
          <t>12</t>
        </is>
      </c>
      <c r="G251" s="1" t="n">
        <v>55272</v>
      </c>
      <c r="H251" s="25">
        <f>_CALC_PNL!P251</f>
        <v/>
      </c>
      <c r="I251" s="25">
        <f>IF(_CALC_PNL!E251=1,H251-G251,"")</f>
        <v/>
      </c>
    </row>
    <row r="252">
      <c r="A252" s="1" t="inlineStr">
        <is>
          <t>ISCOM_LIL</t>
        </is>
      </c>
      <c r="B252" s="1" t="inlineStr">
        <is>
          <t>6231</t>
        </is>
      </c>
      <c r="C252" s="1" t="inlineStr">
        <is>
          <t>2025</t>
        </is>
      </c>
      <c r="D252" s="1" t="inlineStr">
        <is>
          <t>ACT</t>
        </is>
      </c>
      <c r="E252" s="1" t="inlineStr">
        <is>
          <t>2027BUD_V1</t>
        </is>
      </c>
      <c r="F252" s="1" t="inlineStr">
        <is>
          <t>12</t>
        </is>
      </c>
      <c r="G252" s="1" t="n">
        <v>22927</v>
      </c>
      <c r="H252" s="25">
        <f>_CALC_PNL!P252</f>
        <v/>
      </c>
      <c r="I252" s="25">
        <f>IF(_CALC_PNL!E252=1,H252-G252,"")</f>
        <v/>
      </c>
    </row>
    <row r="253">
      <c r="A253" s="1" t="inlineStr">
        <is>
          <t>ISCOM_TLS</t>
        </is>
      </c>
      <c r="B253" s="1" t="inlineStr">
        <is>
          <t>6231</t>
        </is>
      </c>
      <c r="C253" s="1" t="inlineStr">
        <is>
          <t>2025</t>
        </is>
      </c>
      <c r="D253" s="1" t="inlineStr">
        <is>
          <t>ACT</t>
        </is>
      </c>
      <c r="E253" s="1" t="inlineStr">
        <is>
          <t>2027BUD_V1</t>
        </is>
      </c>
      <c r="F253" s="1" t="inlineStr">
        <is>
          <t>12</t>
        </is>
      </c>
      <c r="G253" s="1" t="n">
        <v>20076</v>
      </c>
      <c r="H253" s="25">
        <f>_CALC_PNL!P253</f>
        <v/>
      </c>
      <c r="I253" s="25">
        <f>IF(_CALC_PNL!E253=1,H253-G253,"")</f>
        <v/>
      </c>
    </row>
    <row r="254">
      <c r="A254" s="1" t="inlineStr">
        <is>
          <t>IPAC_NAN</t>
        </is>
      </c>
      <c r="B254" s="1" t="inlineStr">
        <is>
          <t>6231</t>
        </is>
      </c>
      <c r="C254" s="1" t="inlineStr">
        <is>
          <t>2025</t>
        </is>
      </c>
      <c r="D254" s="1" t="inlineStr">
        <is>
          <t>ACT</t>
        </is>
      </c>
      <c r="E254" s="1" t="inlineStr">
        <is>
          <t>2027BUD_V1</t>
        </is>
      </c>
      <c r="F254" s="1" t="inlineStr">
        <is>
          <t>12</t>
        </is>
      </c>
      <c r="G254" s="1" t="n">
        <v>19782</v>
      </c>
      <c r="H254" s="25">
        <f>_CALC_PNL!P254</f>
        <v/>
      </c>
      <c r="I254" s="25">
        <f>IF(_CALC_PNL!E254=1,H254-G254,"")</f>
        <v/>
      </c>
    </row>
    <row r="255">
      <c r="A255" s="1" t="inlineStr">
        <is>
          <t>IPAC_REN</t>
        </is>
      </c>
      <c r="B255" s="1" t="inlineStr">
        <is>
          <t>6231</t>
        </is>
      </c>
      <c r="C255" s="1" t="inlineStr">
        <is>
          <t>2025</t>
        </is>
      </c>
      <c r="D255" s="1" t="inlineStr">
        <is>
          <t>ACT</t>
        </is>
      </c>
      <c r="E255" s="1" t="inlineStr">
        <is>
          <t>2027BUD_V1</t>
        </is>
      </c>
      <c r="F255" s="1" t="inlineStr">
        <is>
          <t>12</t>
        </is>
      </c>
      <c r="G255" s="1" t="n">
        <v>13575</v>
      </c>
      <c r="H255" s="25">
        <f>_CALC_PNL!P255</f>
        <v/>
      </c>
      <c r="I255" s="25">
        <f>IF(_CALC_PNL!E255=1,H255-G255,"")</f>
        <v/>
      </c>
    </row>
    <row r="256">
      <c r="A256" s="1" t="inlineStr">
        <is>
          <t>IPAC_MTP</t>
        </is>
      </c>
      <c r="B256" s="1" t="inlineStr">
        <is>
          <t>6231</t>
        </is>
      </c>
      <c r="C256" s="1" t="inlineStr">
        <is>
          <t>2025</t>
        </is>
      </c>
      <c r="D256" s="1" t="inlineStr">
        <is>
          <t>ACT</t>
        </is>
      </c>
      <c r="E256" s="1" t="inlineStr">
        <is>
          <t>2027BUD_V1</t>
        </is>
      </c>
      <c r="F256" s="1" t="inlineStr">
        <is>
          <t>12</t>
        </is>
      </c>
      <c r="G256" s="1" t="n">
        <v>13798</v>
      </c>
      <c r="H256" s="25">
        <f>_CALC_PNL!P256</f>
        <v/>
      </c>
      <c r="I256" s="25">
        <f>IF(_CALC_PNL!E256=1,H256-G256,"")</f>
        <v/>
      </c>
    </row>
    <row r="257">
      <c r="A257" s="1" t="inlineStr">
        <is>
          <t>PIGIER_LYO</t>
        </is>
      </c>
      <c r="B257" s="1" t="inlineStr">
        <is>
          <t>6231</t>
        </is>
      </c>
      <c r="C257" s="1" t="inlineStr">
        <is>
          <t>2025</t>
        </is>
      </c>
      <c r="D257" s="1" t="inlineStr">
        <is>
          <t>ACT</t>
        </is>
      </c>
      <c r="E257" s="1" t="inlineStr">
        <is>
          <t>2027BUD_V1</t>
        </is>
      </c>
      <c r="F257" s="1" t="inlineStr">
        <is>
          <t>12</t>
        </is>
      </c>
      <c r="G257" s="1" t="n">
        <v>33284</v>
      </c>
      <c r="H257" s="25">
        <f>_CALC_PNL!P257</f>
        <v/>
      </c>
      <c r="I257" s="25">
        <f>IF(_CALC_PNL!E257=1,H257-G257,"")</f>
        <v/>
      </c>
    </row>
    <row r="258">
      <c r="A258" s="1" t="inlineStr">
        <is>
          <t>PIGIER_BOR</t>
        </is>
      </c>
      <c r="B258" s="1" t="inlineStr">
        <is>
          <t>6231</t>
        </is>
      </c>
      <c r="C258" s="1" t="inlineStr">
        <is>
          <t>2025</t>
        </is>
      </c>
      <c r="D258" s="1" t="inlineStr">
        <is>
          <t>ACT</t>
        </is>
      </c>
      <c r="E258" s="1" t="inlineStr">
        <is>
          <t>2027BUD_V1</t>
        </is>
      </c>
      <c r="F258" s="1" t="inlineStr">
        <is>
          <t>12</t>
        </is>
      </c>
      <c r="G258" s="1" t="n">
        <v>19971</v>
      </c>
      <c r="H258" s="25">
        <f>_CALC_PNL!P258</f>
        <v/>
      </c>
      <c r="I258" s="25">
        <f>IF(_CALC_PNL!E258=1,H258-G258,"")</f>
        <v/>
      </c>
    </row>
    <row r="259">
      <c r="A259" s="1" t="inlineStr">
        <is>
          <t>TUNON_PAR</t>
        </is>
      </c>
      <c r="B259" s="1" t="inlineStr">
        <is>
          <t>6231</t>
        </is>
      </c>
      <c r="C259" s="1" t="inlineStr">
        <is>
          <t>2025</t>
        </is>
      </c>
      <c r="D259" s="1" t="inlineStr">
        <is>
          <t>ACT</t>
        </is>
      </c>
      <c r="E259" s="1" t="inlineStr">
        <is>
          <t>2027BUD_V1</t>
        </is>
      </c>
      <c r="F259" s="1" t="inlineStr">
        <is>
          <t>12</t>
        </is>
      </c>
      <c r="G259" s="1" t="n">
        <v>27491</v>
      </c>
      <c r="H259" s="25">
        <f>_CALC_PNL!P259</f>
        <v/>
      </c>
      <c r="I259" s="25">
        <f>IF(_CALC_PNL!E259=1,H259-G259,"")</f>
        <v/>
      </c>
    </row>
    <row r="260">
      <c r="A260" s="1" t="inlineStr">
        <is>
          <t>TUNON_LYO</t>
        </is>
      </c>
      <c r="B260" s="1" t="inlineStr">
        <is>
          <t>6231</t>
        </is>
      </c>
      <c r="C260" s="1" t="inlineStr">
        <is>
          <t>2025</t>
        </is>
      </c>
      <c r="D260" s="1" t="inlineStr">
        <is>
          <t>ACT</t>
        </is>
      </c>
      <c r="E260" s="1" t="inlineStr">
        <is>
          <t>2027BUD_V1</t>
        </is>
      </c>
      <c r="F260" s="1" t="inlineStr">
        <is>
          <t>12</t>
        </is>
      </c>
      <c r="G260" s="1" t="n">
        <v>17136</v>
      </c>
      <c r="H260" s="25">
        <f>_CALC_PNL!P260</f>
        <v/>
      </c>
      <c r="I260" s="25">
        <f>IF(_CALC_PNL!E260=1,H260-G260,"")</f>
        <v/>
      </c>
    </row>
    <row r="261">
      <c r="A261" s="1" t="inlineStr">
        <is>
          <t>MBWAY_PAR</t>
        </is>
      </c>
      <c r="B261" s="1" t="inlineStr">
        <is>
          <t>6231</t>
        </is>
      </c>
      <c r="C261" s="1" t="inlineStr">
        <is>
          <t>2026</t>
        </is>
      </c>
      <c r="D261" s="1" t="inlineStr">
        <is>
          <t>ACT</t>
        </is>
      </c>
      <c r="E261" s="1" t="inlineStr">
        <is>
          <t>2027BUD_V1</t>
        </is>
      </c>
      <c r="F261" s="1" t="inlineStr">
        <is>
          <t>12</t>
        </is>
      </c>
      <c r="G261" s="1" t="n">
        <v>68291</v>
      </c>
      <c r="H261" s="25">
        <f>_CALC_PNL!P261</f>
        <v/>
      </c>
      <c r="I261" s="25">
        <f>IF(_CALC_PNL!E261=1,H261-G261,"")</f>
        <v/>
      </c>
    </row>
    <row r="262">
      <c r="A262" s="1" t="inlineStr">
        <is>
          <t>MBWAY_LYO</t>
        </is>
      </c>
      <c r="B262" s="1" t="inlineStr">
        <is>
          <t>6231</t>
        </is>
      </c>
      <c r="C262" s="1" t="inlineStr">
        <is>
          <t>2026</t>
        </is>
      </c>
      <c r="D262" s="1" t="inlineStr">
        <is>
          <t>ACT</t>
        </is>
      </c>
      <c r="E262" s="1" t="inlineStr">
        <is>
          <t>2027BUD_V1</t>
        </is>
      </c>
      <c r="F262" s="1" t="inlineStr">
        <is>
          <t>12</t>
        </is>
      </c>
      <c r="G262" s="1" t="n">
        <v>41783</v>
      </c>
      <c r="H262" s="25">
        <f>_CALC_PNL!P262</f>
        <v/>
      </c>
      <c r="I262" s="25">
        <f>IF(_CALC_PNL!E262=1,H262-G262,"")</f>
        <v/>
      </c>
    </row>
    <row r="263">
      <c r="A263" s="1" t="inlineStr">
        <is>
          <t>MBWAY_NAN</t>
        </is>
      </c>
      <c r="B263" s="1" t="inlineStr">
        <is>
          <t>6231</t>
        </is>
      </c>
      <c r="C263" s="1" t="inlineStr">
        <is>
          <t>2026</t>
        </is>
      </c>
      <c r="D263" s="1" t="inlineStr">
        <is>
          <t>ACT</t>
        </is>
      </c>
      <c r="E263" s="1" t="inlineStr">
        <is>
          <t>2027BUD_V1</t>
        </is>
      </c>
      <c r="F263" s="1" t="inlineStr">
        <is>
          <t>12</t>
        </is>
      </c>
      <c r="G263" s="1" t="n">
        <v>31533</v>
      </c>
      <c r="H263" s="25">
        <f>_CALC_PNL!P263</f>
        <v/>
      </c>
      <c r="I263" s="25">
        <f>IF(_CALC_PNL!E263=1,H263-G263,"")</f>
        <v/>
      </c>
    </row>
    <row r="264">
      <c r="A264" s="1" t="inlineStr">
        <is>
          <t>MBWAY_BOR</t>
        </is>
      </c>
      <c r="B264" s="1" t="inlineStr">
        <is>
          <t>6231</t>
        </is>
      </c>
      <c r="C264" s="1" t="inlineStr">
        <is>
          <t>2026</t>
        </is>
      </c>
      <c r="D264" s="1" t="inlineStr">
        <is>
          <t>ACT</t>
        </is>
      </c>
      <c r="E264" s="1" t="inlineStr">
        <is>
          <t>2027BUD_V1</t>
        </is>
      </c>
      <c r="F264" s="1" t="inlineStr">
        <is>
          <t>12</t>
        </is>
      </c>
      <c r="G264" s="1" t="n">
        <v>24923</v>
      </c>
      <c r="H264" s="25">
        <f>_CALC_PNL!P264</f>
        <v/>
      </c>
      <c r="I264" s="25">
        <f>IF(_CALC_PNL!E264=1,H264-G264,"")</f>
        <v/>
      </c>
    </row>
    <row r="265">
      <c r="A265" s="1" t="inlineStr">
        <is>
          <t>ISCOM_PAR</t>
        </is>
      </c>
      <c r="B265" s="1" t="inlineStr">
        <is>
          <t>6231</t>
        </is>
      </c>
      <c r="C265" s="1" t="inlineStr">
        <is>
          <t>2026</t>
        </is>
      </c>
      <c r="D265" s="1" t="inlineStr">
        <is>
          <t>ACT</t>
        </is>
      </c>
      <c r="E265" s="1" t="inlineStr">
        <is>
          <t>2027BUD_V1</t>
        </is>
      </c>
      <c r="F265" s="1" t="inlineStr">
        <is>
          <t>12</t>
        </is>
      </c>
      <c r="G265" s="1" t="n">
        <v>60800</v>
      </c>
      <c r="H265" s="25">
        <f>_CALC_PNL!P265</f>
        <v/>
      </c>
      <c r="I265" s="25">
        <f>IF(_CALC_PNL!E265=1,H265-G265,"")</f>
        <v/>
      </c>
    </row>
    <row r="266">
      <c r="A266" s="1" t="inlineStr">
        <is>
          <t>ISCOM_LIL</t>
        </is>
      </c>
      <c r="B266" s="1" t="inlineStr">
        <is>
          <t>6231</t>
        </is>
      </c>
      <c r="C266" s="1" t="inlineStr">
        <is>
          <t>2026</t>
        </is>
      </c>
      <c r="D266" s="1" t="inlineStr">
        <is>
          <t>ACT</t>
        </is>
      </c>
      <c r="E266" s="1" t="inlineStr">
        <is>
          <t>2027BUD_V1</t>
        </is>
      </c>
      <c r="F266" s="1" t="inlineStr">
        <is>
          <t>12</t>
        </is>
      </c>
      <c r="G266" s="1" t="n">
        <v>25220</v>
      </c>
      <c r="H266" s="25">
        <f>_CALC_PNL!P266</f>
        <v/>
      </c>
      <c r="I266" s="25">
        <f>IF(_CALC_PNL!E266=1,H266-G266,"")</f>
        <v/>
      </c>
    </row>
    <row r="267">
      <c r="A267" s="1" t="inlineStr">
        <is>
          <t>ISCOM_TLS</t>
        </is>
      </c>
      <c r="B267" s="1" t="inlineStr">
        <is>
          <t>6231</t>
        </is>
      </c>
      <c r="C267" s="1" t="inlineStr">
        <is>
          <t>2026</t>
        </is>
      </c>
      <c r="D267" s="1" t="inlineStr">
        <is>
          <t>ACT</t>
        </is>
      </c>
      <c r="E267" s="1" t="inlineStr">
        <is>
          <t>2027BUD_V1</t>
        </is>
      </c>
      <c r="F267" s="1" t="inlineStr">
        <is>
          <t>12</t>
        </is>
      </c>
      <c r="G267" s="1" t="n">
        <v>22083</v>
      </c>
      <c r="H267" s="25">
        <f>_CALC_PNL!P267</f>
        <v/>
      </c>
      <c r="I267" s="25">
        <f>IF(_CALC_PNL!E267=1,H267-G267,"")</f>
        <v/>
      </c>
    </row>
    <row r="268">
      <c r="A268" s="1" t="inlineStr">
        <is>
          <t>IPAC_NAN</t>
        </is>
      </c>
      <c r="B268" s="1" t="inlineStr">
        <is>
          <t>6231</t>
        </is>
      </c>
      <c r="C268" s="1" t="inlineStr">
        <is>
          <t>2026</t>
        </is>
      </c>
      <c r="D268" s="1" t="inlineStr">
        <is>
          <t>ACT</t>
        </is>
      </c>
      <c r="E268" s="1" t="inlineStr">
        <is>
          <t>2027BUD_V1</t>
        </is>
      </c>
      <c r="F268" s="1" t="inlineStr">
        <is>
          <t>12</t>
        </is>
      </c>
      <c r="G268" s="1" t="n">
        <v>21760</v>
      </c>
      <c r="H268" s="25">
        <f>_CALC_PNL!P268</f>
        <v/>
      </c>
      <c r="I268" s="25">
        <f>IF(_CALC_PNL!E268=1,H268-G268,"")</f>
        <v/>
      </c>
    </row>
    <row r="269">
      <c r="A269" s="1" t="inlineStr">
        <is>
          <t>IPAC_REN</t>
        </is>
      </c>
      <c r="B269" s="1" t="inlineStr">
        <is>
          <t>6231</t>
        </is>
      </c>
      <c r="C269" s="1" t="inlineStr">
        <is>
          <t>2026</t>
        </is>
      </c>
      <c r="D269" s="1" t="inlineStr">
        <is>
          <t>ACT</t>
        </is>
      </c>
      <c r="E269" s="1" t="inlineStr">
        <is>
          <t>2027BUD_V1</t>
        </is>
      </c>
      <c r="F269" s="1" t="inlineStr">
        <is>
          <t>12</t>
        </is>
      </c>
      <c r="G269" s="1" t="n">
        <v>14933</v>
      </c>
      <c r="H269" s="25">
        <f>_CALC_PNL!P269</f>
        <v/>
      </c>
      <c r="I269" s="25">
        <f>IF(_CALC_PNL!E269=1,H269-G269,"")</f>
        <v/>
      </c>
    </row>
    <row r="270">
      <c r="A270" s="1" t="inlineStr">
        <is>
          <t>IPAC_MTP</t>
        </is>
      </c>
      <c r="B270" s="1" t="inlineStr">
        <is>
          <t>6231</t>
        </is>
      </c>
      <c r="C270" s="1" t="inlineStr">
        <is>
          <t>2026</t>
        </is>
      </c>
      <c r="D270" s="1" t="inlineStr">
        <is>
          <t>ACT</t>
        </is>
      </c>
      <c r="E270" s="1" t="inlineStr">
        <is>
          <t>2027BUD_V1</t>
        </is>
      </c>
      <c r="F270" s="1" t="inlineStr">
        <is>
          <t>12</t>
        </is>
      </c>
      <c r="G270" s="1" t="n">
        <v>15178</v>
      </c>
      <c r="H270" s="25">
        <f>_CALC_PNL!P270</f>
        <v/>
      </c>
      <c r="I270" s="25">
        <f>IF(_CALC_PNL!E270=1,H270-G270,"")</f>
        <v/>
      </c>
    </row>
    <row r="271">
      <c r="A271" s="1" t="inlineStr">
        <is>
          <t>PIGIER_LYO</t>
        </is>
      </c>
      <c r="B271" s="1" t="inlineStr">
        <is>
          <t>6231</t>
        </is>
      </c>
      <c r="C271" s="1" t="inlineStr">
        <is>
          <t>2026</t>
        </is>
      </c>
      <c r="D271" s="1" t="inlineStr">
        <is>
          <t>ACT</t>
        </is>
      </c>
      <c r="E271" s="1" t="inlineStr">
        <is>
          <t>2027BUD_V1</t>
        </is>
      </c>
      <c r="F271" s="1" t="inlineStr">
        <is>
          <t>12</t>
        </is>
      </c>
      <c r="G271" s="1" t="n">
        <v>36612</v>
      </c>
      <c r="H271" s="25">
        <f>_CALC_PNL!P271</f>
        <v/>
      </c>
      <c r="I271" s="25">
        <f>IF(_CALC_PNL!E271=1,H271-G271,"")</f>
        <v/>
      </c>
    </row>
    <row r="272">
      <c r="A272" s="1" t="inlineStr">
        <is>
          <t>PIGIER_BOR</t>
        </is>
      </c>
      <c r="B272" s="1" t="inlineStr">
        <is>
          <t>6231</t>
        </is>
      </c>
      <c r="C272" s="1" t="inlineStr">
        <is>
          <t>2026</t>
        </is>
      </c>
      <c r="D272" s="1" t="inlineStr">
        <is>
          <t>ACT</t>
        </is>
      </c>
      <c r="E272" s="1" t="inlineStr">
        <is>
          <t>2027BUD_V1</t>
        </is>
      </c>
      <c r="F272" s="1" t="inlineStr">
        <is>
          <t>12</t>
        </is>
      </c>
      <c r="G272" s="1" t="n">
        <v>21968</v>
      </c>
      <c r="H272" s="25">
        <f>_CALC_PNL!P272</f>
        <v/>
      </c>
      <c r="I272" s="25">
        <f>IF(_CALC_PNL!E272=1,H272-G272,"")</f>
        <v/>
      </c>
    </row>
    <row r="273">
      <c r="A273" s="1" t="inlineStr">
        <is>
          <t>TUNON_PAR</t>
        </is>
      </c>
      <c r="B273" s="1" t="inlineStr">
        <is>
          <t>6231</t>
        </is>
      </c>
      <c r="C273" s="1" t="inlineStr">
        <is>
          <t>2026</t>
        </is>
      </c>
      <c r="D273" s="1" t="inlineStr">
        <is>
          <t>ACT</t>
        </is>
      </c>
      <c r="E273" s="1" t="inlineStr">
        <is>
          <t>2027BUD_V1</t>
        </is>
      </c>
      <c r="F273" s="1" t="inlineStr">
        <is>
          <t>12</t>
        </is>
      </c>
      <c r="G273" s="1" t="n">
        <v>30240</v>
      </c>
      <c r="H273" s="25">
        <f>_CALC_PNL!P273</f>
        <v/>
      </c>
      <c r="I273" s="25">
        <f>IF(_CALC_PNL!E273=1,H273-G273,"")</f>
        <v/>
      </c>
    </row>
    <row r="274">
      <c r="A274" s="1" t="inlineStr">
        <is>
          <t>TUNON_LYO</t>
        </is>
      </c>
      <c r="B274" s="1" t="inlineStr">
        <is>
          <t>6231</t>
        </is>
      </c>
      <c r="C274" s="1" t="inlineStr">
        <is>
          <t>2026</t>
        </is>
      </c>
      <c r="D274" s="1" t="inlineStr">
        <is>
          <t>ACT</t>
        </is>
      </c>
      <c r="E274" s="1" t="inlineStr">
        <is>
          <t>2027BUD_V1</t>
        </is>
      </c>
      <c r="F274" s="1" t="inlineStr">
        <is>
          <t>12</t>
        </is>
      </c>
      <c r="G274" s="1" t="n">
        <v>18850</v>
      </c>
      <c r="H274" s="25">
        <f>_CALC_PNL!P274</f>
        <v/>
      </c>
      <c r="I274" s="25">
        <f>IF(_CALC_PNL!E274=1,H274-G274,"")</f>
        <v/>
      </c>
    </row>
    <row r="275">
      <c r="A275" s="1" t="inlineStr">
        <is>
          <t>MBWAY_PAR</t>
        </is>
      </c>
      <c r="B275" s="1" t="inlineStr">
        <is>
          <t>6411</t>
        </is>
      </c>
      <c r="C275" s="1" t="inlineStr">
        <is>
          <t>2024</t>
        </is>
      </c>
      <c r="D275" s="1" t="inlineStr">
        <is>
          <t>ACT</t>
        </is>
      </c>
      <c r="E275" s="1" t="inlineStr">
        <is>
          <t>2027BUD_V1</t>
        </is>
      </c>
      <c r="F275" s="1" t="inlineStr">
        <is>
          <t>12</t>
        </is>
      </c>
      <c r="G275" s="1" t="n">
        <v>552322</v>
      </c>
      <c r="H275" s="25">
        <f>_CALC_PNL!P275</f>
        <v/>
      </c>
      <c r="I275" s="25">
        <f>IF(_CALC_PNL!E275=1,H275-G275,"")</f>
        <v/>
      </c>
    </row>
    <row r="276">
      <c r="A276" s="1" t="inlineStr">
        <is>
          <t>MBWAY_LYO</t>
        </is>
      </c>
      <c r="B276" s="1" t="inlineStr">
        <is>
          <t>6411</t>
        </is>
      </c>
      <c r="C276" s="1" t="inlineStr">
        <is>
          <t>2024</t>
        </is>
      </c>
      <c r="D276" s="1" t="inlineStr">
        <is>
          <t>ACT</t>
        </is>
      </c>
      <c r="E276" s="1" t="inlineStr">
        <is>
          <t>2027BUD_V1</t>
        </is>
      </c>
      <c r="F276" s="1" t="inlineStr">
        <is>
          <t>12</t>
        </is>
      </c>
      <c r="G276" s="1" t="n">
        <v>330938</v>
      </c>
      <c r="H276" s="25">
        <f>_CALC_PNL!P276</f>
        <v/>
      </c>
      <c r="I276" s="25">
        <f>IF(_CALC_PNL!E276=1,H276-G276,"")</f>
        <v/>
      </c>
    </row>
    <row r="277">
      <c r="A277" s="1" t="inlineStr">
        <is>
          <t>MBWAY_NAN</t>
        </is>
      </c>
      <c r="B277" s="1" t="inlineStr">
        <is>
          <t>6411</t>
        </is>
      </c>
      <c r="C277" s="1" t="inlineStr">
        <is>
          <t>2024</t>
        </is>
      </c>
      <c r="D277" s="1" t="inlineStr">
        <is>
          <t>ACT</t>
        </is>
      </c>
      <c r="E277" s="1" t="inlineStr">
        <is>
          <t>2027BUD_V1</t>
        </is>
      </c>
      <c r="F277" s="1" t="inlineStr">
        <is>
          <t>12</t>
        </is>
      </c>
      <c r="G277" s="1" t="n">
        <v>272751</v>
      </c>
      <c r="H277" s="25">
        <f>_CALC_PNL!P277</f>
        <v/>
      </c>
      <c r="I277" s="25">
        <f>IF(_CALC_PNL!E277=1,H277-G277,"")</f>
        <v/>
      </c>
    </row>
    <row r="278">
      <c r="A278" s="1" t="inlineStr">
        <is>
          <t>MBWAY_BOR</t>
        </is>
      </c>
      <c r="B278" s="1" t="inlineStr">
        <is>
          <t>6411</t>
        </is>
      </c>
      <c r="C278" s="1" t="inlineStr">
        <is>
          <t>2024</t>
        </is>
      </c>
      <c r="D278" s="1" t="inlineStr">
        <is>
          <t>ACT</t>
        </is>
      </c>
      <c r="E278" s="1" t="inlineStr">
        <is>
          <t>2027BUD_V1</t>
        </is>
      </c>
      <c r="F278" s="1" t="inlineStr">
        <is>
          <t>12</t>
        </is>
      </c>
      <c r="G278" s="1" t="n">
        <v>238657</v>
      </c>
      <c r="H278" s="25">
        <f>_CALC_PNL!P278</f>
        <v/>
      </c>
      <c r="I278" s="25">
        <f>IF(_CALC_PNL!E278=1,H278-G278,"")</f>
        <v/>
      </c>
    </row>
    <row r="279">
      <c r="A279" s="1" t="inlineStr">
        <is>
          <t>ISCOM_PAR</t>
        </is>
      </c>
      <c r="B279" s="1" t="inlineStr">
        <is>
          <t>6411</t>
        </is>
      </c>
      <c r="C279" s="1" t="inlineStr">
        <is>
          <t>2024</t>
        </is>
      </c>
      <c r="D279" s="1" t="inlineStr">
        <is>
          <t>ACT</t>
        </is>
      </c>
      <c r="E279" s="1" t="inlineStr">
        <is>
          <t>2027BUD_V1</t>
        </is>
      </c>
      <c r="F279" s="1" t="inlineStr">
        <is>
          <t>12</t>
        </is>
      </c>
      <c r="G279" s="1" t="n">
        <v>552322</v>
      </c>
      <c r="H279" s="25">
        <f>_CALC_PNL!P279</f>
        <v/>
      </c>
      <c r="I279" s="25">
        <f>IF(_CALC_PNL!E279=1,H279-G279,"")</f>
        <v/>
      </c>
    </row>
    <row r="280">
      <c r="A280" s="1" t="inlineStr">
        <is>
          <t>ISCOM_LIL</t>
        </is>
      </c>
      <c r="B280" s="1" t="inlineStr">
        <is>
          <t>6411</t>
        </is>
      </c>
      <c r="C280" s="1" t="inlineStr">
        <is>
          <t>2024</t>
        </is>
      </c>
      <c r="D280" s="1" t="inlineStr">
        <is>
          <t>ACT</t>
        </is>
      </c>
      <c r="E280" s="1" t="inlineStr">
        <is>
          <t>2027BUD_V1</t>
        </is>
      </c>
      <c r="F280" s="1" t="inlineStr">
        <is>
          <t>12</t>
        </is>
      </c>
      <c r="G280" s="1" t="n">
        <v>209109</v>
      </c>
      <c r="H280" s="25">
        <f>_CALC_PNL!P280</f>
        <v/>
      </c>
      <c r="I280" s="25">
        <f>IF(_CALC_PNL!E280=1,H280-G280,"")</f>
        <v/>
      </c>
    </row>
    <row r="281">
      <c r="A281" s="1" t="inlineStr">
        <is>
          <t>ISCOM_TLS</t>
        </is>
      </c>
      <c r="B281" s="1" t="inlineStr">
        <is>
          <t>6411</t>
        </is>
      </c>
      <c r="C281" s="1" t="inlineStr">
        <is>
          <t>2024</t>
        </is>
      </c>
      <c r="D281" s="1" t="inlineStr">
        <is>
          <t>ACT</t>
        </is>
      </c>
      <c r="E281" s="1" t="inlineStr">
        <is>
          <t>2027BUD_V1</t>
        </is>
      </c>
      <c r="F281" s="1" t="inlineStr">
        <is>
          <t>12</t>
        </is>
      </c>
      <c r="G281" s="1" t="n">
        <v>204564</v>
      </c>
      <c r="H281" s="25">
        <f>_CALC_PNL!P281</f>
        <v/>
      </c>
      <c r="I281" s="25">
        <f>IF(_CALC_PNL!E281=1,H281-G281,"")</f>
        <v/>
      </c>
    </row>
    <row r="282">
      <c r="A282" s="1" t="inlineStr">
        <is>
          <t>IPAC_NAN</t>
        </is>
      </c>
      <c r="B282" s="1" t="inlineStr">
        <is>
          <t>6411</t>
        </is>
      </c>
      <c r="C282" s="1" t="inlineStr">
        <is>
          <t>2024</t>
        </is>
      </c>
      <c r="D282" s="1" t="inlineStr">
        <is>
          <t>ACT</t>
        </is>
      </c>
      <c r="E282" s="1" t="inlineStr">
        <is>
          <t>2027BUD_V1</t>
        </is>
      </c>
      <c r="F282" s="1" t="inlineStr">
        <is>
          <t>12</t>
        </is>
      </c>
      <c r="G282" s="1" t="n">
        <v>136376</v>
      </c>
      <c r="H282" s="25">
        <f>_CALC_PNL!P282</f>
        <v/>
      </c>
      <c r="I282" s="25">
        <f>IF(_CALC_PNL!E282=1,H282-G282,"")</f>
        <v/>
      </c>
    </row>
    <row r="283">
      <c r="A283" s="1" t="inlineStr">
        <is>
          <t>IPAC_REN</t>
        </is>
      </c>
      <c r="B283" s="1" t="inlineStr">
        <is>
          <t>6411</t>
        </is>
      </c>
      <c r="C283" s="1" t="inlineStr">
        <is>
          <t>2024</t>
        </is>
      </c>
      <c r="D283" s="1" t="inlineStr">
        <is>
          <t>ACT</t>
        </is>
      </c>
      <c r="E283" s="1" t="inlineStr">
        <is>
          <t>2027BUD_V1</t>
        </is>
      </c>
      <c r="F283" s="1" t="inlineStr">
        <is>
          <t>12</t>
        </is>
      </c>
      <c r="G283" s="1" t="n">
        <v>120011</v>
      </c>
      <c r="H283" s="25">
        <f>_CALC_PNL!P283</f>
        <v/>
      </c>
      <c r="I283" s="25">
        <f>IF(_CALC_PNL!E283=1,H283-G283,"")</f>
        <v/>
      </c>
    </row>
    <row r="284">
      <c r="A284" s="1" t="inlineStr">
        <is>
          <t>IPAC_MTP</t>
        </is>
      </c>
      <c r="B284" s="1" t="inlineStr">
        <is>
          <t>6411</t>
        </is>
      </c>
      <c r="C284" s="1" t="inlineStr">
        <is>
          <t>2024</t>
        </is>
      </c>
      <c r="D284" s="1" t="inlineStr">
        <is>
          <t>ACT</t>
        </is>
      </c>
      <c r="E284" s="1" t="inlineStr">
        <is>
          <t>2027BUD_V1</t>
        </is>
      </c>
      <c r="F284" s="1" t="inlineStr">
        <is>
          <t>12</t>
        </is>
      </c>
      <c r="G284" s="1" t="n">
        <v>120011</v>
      </c>
      <c r="H284" s="25">
        <f>_CALC_PNL!P284</f>
        <v/>
      </c>
      <c r="I284" s="25">
        <f>IF(_CALC_PNL!E284=1,H284-G284,"")</f>
        <v/>
      </c>
    </row>
    <row r="285">
      <c r="A285" s="1" t="inlineStr">
        <is>
          <t>PIGIER_LYO</t>
        </is>
      </c>
      <c r="B285" s="1" t="inlineStr">
        <is>
          <t>6411</t>
        </is>
      </c>
      <c r="C285" s="1" t="inlineStr">
        <is>
          <t>2024</t>
        </is>
      </c>
      <c r="D285" s="1" t="inlineStr">
        <is>
          <t>ACT</t>
        </is>
      </c>
      <c r="E285" s="1" t="inlineStr">
        <is>
          <t>2027BUD_V1</t>
        </is>
      </c>
      <c r="F285" s="1" t="inlineStr">
        <is>
          <t>12</t>
        </is>
      </c>
      <c r="G285" s="1" t="n">
        <v>203654</v>
      </c>
      <c r="H285" s="25">
        <f>_CALC_PNL!P285</f>
        <v/>
      </c>
      <c r="I285" s="25">
        <f>IF(_CALC_PNL!E285=1,H285-G285,"")</f>
        <v/>
      </c>
    </row>
    <row r="286">
      <c r="A286" s="1" t="inlineStr">
        <is>
          <t>PIGIER_BOR</t>
        </is>
      </c>
      <c r="B286" s="1" t="inlineStr">
        <is>
          <t>6411</t>
        </is>
      </c>
      <c r="C286" s="1" t="inlineStr">
        <is>
          <t>2024</t>
        </is>
      </c>
      <c r="D286" s="1" t="inlineStr">
        <is>
          <t>ACT</t>
        </is>
      </c>
      <c r="E286" s="1" t="inlineStr">
        <is>
          <t>2027BUD_V1</t>
        </is>
      </c>
      <c r="F286" s="1" t="inlineStr">
        <is>
          <t>12</t>
        </is>
      </c>
      <c r="G286" s="1" t="n">
        <v>190926</v>
      </c>
      <c r="H286" s="25">
        <f>_CALC_PNL!P286</f>
        <v/>
      </c>
      <c r="I286" s="25">
        <f>IF(_CALC_PNL!E286=1,H286-G286,"")</f>
        <v/>
      </c>
    </row>
    <row r="287">
      <c r="A287" s="1" t="inlineStr">
        <is>
          <t>TUNON_PAR</t>
        </is>
      </c>
      <c r="B287" s="1" t="inlineStr">
        <is>
          <t>6411</t>
        </is>
      </c>
      <c r="C287" s="1" t="inlineStr">
        <is>
          <t>2024</t>
        </is>
      </c>
      <c r="D287" s="1" t="inlineStr">
        <is>
          <t>ACT</t>
        </is>
      </c>
      <c r="E287" s="1" t="inlineStr">
        <is>
          <t>2027BUD_V1</t>
        </is>
      </c>
      <c r="F287" s="1" t="inlineStr">
        <is>
          <t>12</t>
        </is>
      </c>
      <c r="G287" s="1" t="n">
        <v>220929</v>
      </c>
      <c r="H287" s="25">
        <f>_CALC_PNL!P287</f>
        <v/>
      </c>
      <c r="I287" s="25">
        <f>IF(_CALC_PNL!E287=1,H287-G287,"")</f>
        <v/>
      </c>
    </row>
    <row r="288">
      <c r="A288" s="1" t="inlineStr">
        <is>
          <t>TUNON_LYO</t>
        </is>
      </c>
      <c r="B288" s="1" t="inlineStr">
        <is>
          <t>6411</t>
        </is>
      </c>
      <c r="C288" s="1" t="inlineStr">
        <is>
          <t>2024</t>
        </is>
      </c>
      <c r="D288" s="1" t="inlineStr">
        <is>
          <t>ACT</t>
        </is>
      </c>
      <c r="E288" s="1" t="inlineStr">
        <is>
          <t>2027BUD_V1</t>
        </is>
      </c>
      <c r="F288" s="1" t="inlineStr">
        <is>
          <t>12</t>
        </is>
      </c>
      <c r="G288" s="1" t="n">
        <v>152741</v>
      </c>
      <c r="H288" s="25">
        <f>_CALC_PNL!P288</f>
        <v/>
      </c>
      <c r="I288" s="25">
        <f>IF(_CALC_PNL!E288=1,H288-G288,"")</f>
        <v/>
      </c>
    </row>
    <row r="289">
      <c r="A289" s="1" t="inlineStr">
        <is>
          <t>MBWAY_PAR</t>
        </is>
      </c>
      <c r="B289" s="1" t="inlineStr">
        <is>
          <t>6411</t>
        </is>
      </c>
      <c r="C289" s="1" t="inlineStr">
        <is>
          <t>2025</t>
        </is>
      </c>
      <c r="D289" s="1" t="inlineStr">
        <is>
          <t>ACT</t>
        </is>
      </c>
      <c r="E289" s="1" t="inlineStr">
        <is>
          <t>2027BUD_V1</t>
        </is>
      </c>
      <c r="F289" s="1" t="inlineStr">
        <is>
          <t>12</t>
        </is>
      </c>
      <c r="G289" s="1" t="n">
        <v>577630</v>
      </c>
      <c r="H289" s="25">
        <f>_CALC_PNL!P289</f>
        <v/>
      </c>
      <c r="I289" s="25">
        <f>IF(_CALC_PNL!E289=1,H289-G289,"")</f>
        <v/>
      </c>
    </row>
    <row r="290">
      <c r="A290" s="1" t="inlineStr">
        <is>
          <t>MBWAY_LYO</t>
        </is>
      </c>
      <c r="B290" s="1" t="inlineStr">
        <is>
          <t>6411</t>
        </is>
      </c>
      <c r="C290" s="1" t="inlineStr">
        <is>
          <t>2025</t>
        </is>
      </c>
      <c r="D290" s="1" t="inlineStr">
        <is>
          <t>ACT</t>
        </is>
      </c>
      <c r="E290" s="1" t="inlineStr">
        <is>
          <t>2027BUD_V1</t>
        </is>
      </c>
      <c r="F290" s="1" t="inlineStr">
        <is>
          <t>12</t>
        </is>
      </c>
      <c r="G290" s="1" t="n">
        <v>346103</v>
      </c>
      <c r="H290" s="25">
        <f>_CALC_PNL!P290</f>
        <v/>
      </c>
      <c r="I290" s="25">
        <f>IF(_CALC_PNL!E290=1,H290-G290,"")</f>
        <v/>
      </c>
    </row>
    <row r="291">
      <c r="A291" s="1" t="inlineStr">
        <is>
          <t>MBWAY_NAN</t>
        </is>
      </c>
      <c r="B291" s="1" t="inlineStr">
        <is>
          <t>6411</t>
        </is>
      </c>
      <c r="C291" s="1" t="inlineStr">
        <is>
          <t>2025</t>
        </is>
      </c>
      <c r="D291" s="1" t="inlineStr">
        <is>
          <t>ACT</t>
        </is>
      </c>
      <c r="E291" s="1" t="inlineStr">
        <is>
          <t>2027BUD_V1</t>
        </is>
      </c>
      <c r="F291" s="1" t="inlineStr">
        <is>
          <t>12</t>
        </is>
      </c>
      <c r="G291" s="1" t="n">
        <v>285249</v>
      </c>
      <c r="H291" s="25">
        <f>_CALC_PNL!P291</f>
        <v/>
      </c>
      <c r="I291" s="25">
        <f>IF(_CALC_PNL!E291=1,H291-G291,"")</f>
        <v/>
      </c>
    </row>
    <row r="292">
      <c r="A292" s="1" t="inlineStr">
        <is>
          <t>MBWAY_BOR</t>
        </is>
      </c>
      <c r="B292" s="1" t="inlineStr">
        <is>
          <t>6411</t>
        </is>
      </c>
      <c r="C292" s="1" t="inlineStr">
        <is>
          <t>2025</t>
        </is>
      </c>
      <c r="D292" s="1" t="inlineStr">
        <is>
          <t>ACT</t>
        </is>
      </c>
      <c r="E292" s="1" t="inlineStr">
        <is>
          <t>2027BUD_V1</t>
        </is>
      </c>
      <c r="F292" s="1" t="inlineStr">
        <is>
          <t>12</t>
        </is>
      </c>
      <c r="G292" s="1" t="n">
        <v>249593</v>
      </c>
      <c r="H292" s="25">
        <f>_CALC_PNL!P292</f>
        <v/>
      </c>
      <c r="I292" s="25">
        <f>IF(_CALC_PNL!E292=1,H292-G292,"")</f>
        <v/>
      </c>
    </row>
    <row r="293">
      <c r="A293" s="1" t="inlineStr">
        <is>
          <t>ISCOM_PAR</t>
        </is>
      </c>
      <c r="B293" s="1" t="inlineStr">
        <is>
          <t>6411</t>
        </is>
      </c>
      <c r="C293" s="1" t="inlineStr">
        <is>
          <t>2025</t>
        </is>
      </c>
      <c r="D293" s="1" t="inlineStr">
        <is>
          <t>ACT</t>
        </is>
      </c>
      <c r="E293" s="1" t="inlineStr">
        <is>
          <t>2027BUD_V1</t>
        </is>
      </c>
      <c r="F293" s="1" t="inlineStr">
        <is>
          <t>12</t>
        </is>
      </c>
      <c r="G293" s="1" t="n">
        <v>577630</v>
      </c>
      <c r="H293" s="25">
        <f>_CALC_PNL!P293</f>
        <v/>
      </c>
      <c r="I293" s="25">
        <f>IF(_CALC_PNL!E293=1,H293-G293,"")</f>
        <v/>
      </c>
    </row>
    <row r="294">
      <c r="A294" s="1" t="inlineStr">
        <is>
          <t>ISCOM_LIL</t>
        </is>
      </c>
      <c r="B294" s="1" t="inlineStr">
        <is>
          <t>6411</t>
        </is>
      </c>
      <c r="C294" s="1" t="inlineStr">
        <is>
          <t>2025</t>
        </is>
      </c>
      <c r="D294" s="1" t="inlineStr">
        <is>
          <t>ACT</t>
        </is>
      </c>
      <c r="E294" s="1" t="inlineStr">
        <is>
          <t>2027BUD_V1</t>
        </is>
      </c>
      <c r="F294" s="1" t="inlineStr">
        <is>
          <t>12</t>
        </is>
      </c>
      <c r="G294" s="1" t="n">
        <v>218691</v>
      </c>
      <c r="H294" s="25">
        <f>_CALC_PNL!P294</f>
        <v/>
      </c>
      <c r="I294" s="25">
        <f>IF(_CALC_PNL!E294=1,H294-G294,"")</f>
        <v/>
      </c>
    </row>
    <row r="295">
      <c r="A295" s="1" t="inlineStr">
        <is>
          <t>ISCOM_TLS</t>
        </is>
      </c>
      <c r="B295" s="1" t="inlineStr">
        <is>
          <t>6411</t>
        </is>
      </c>
      <c r="C295" s="1" t="inlineStr">
        <is>
          <t>2025</t>
        </is>
      </c>
      <c r="D295" s="1" t="inlineStr">
        <is>
          <t>ACT</t>
        </is>
      </c>
      <c r="E295" s="1" t="inlineStr">
        <is>
          <t>2027BUD_V1</t>
        </is>
      </c>
      <c r="F295" s="1" t="inlineStr">
        <is>
          <t>12</t>
        </is>
      </c>
      <c r="G295" s="1" t="n">
        <v>213937</v>
      </c>
      <c r="H295" s="25">
        <f>_CALC_PNL!P295</f>
        <v/>
      </c>
      <c r="I295" s="25">
        <f>IF(_CALC_PNL!E295=1,H295-G295,"")</f>
        <v/>
      </c>
    </row>
    <row r="296">
      <c r="A296" s="1" t="inlineStr">
        <is>
          <t>IPAC_NAN</t>
        </is>
      </c>
      <c r="B296" s="1" t="inlineStr">
        <is>
          <t>6411</t>
        </is>
      </c>
      <c r="C296" s="1" t="inlineStr">
        <is>
          <t>2025</t>
        </is>
      </c>
      <c r="D296" s="1" t="inlineStr">
        <is>
          <t>ACT</t>
        </is>
      </c>
      <c r="E296" s="1" t="inlineStr">
        <is>
          <t>2027BUD_V1</t>
        </is>
      </c>
      <c r="F296" s="1" t="inlineStr">
        <is>
          <t>12</t>
        </is>
      </c>
      <c r="G296" s="1" t="n">
        <v>142625</v>
      </c>
      <c r="H296" s="25">
        <f>_CALC_PNL!P296</f>
        <v/>
      </c>
      <c r="I296" s="25">
        <f>IF(_CALC_PNL!E296=1,H296-G296,"")</f>
        <v/>
      </c>
    </row>
    <row r="297">
      <c r="A297" s="1" t="inlineStr">
        <is>
          <t>IPAC_REN</t>
        </is>
      </c>
      <c r="B297" s="1" t="inlineStr">
        <is>
          <t>6411</t>
        </is>
      </c>
      <c r="C297" s="1" t="inlineStr">
        <is>
          <t>2025</t>
        </is>
      </c>
      <c r="D297" s="1" t="inlineStr">
        <is>
          <t>ACT</t>
        </is>
      </c>
      <c r="E297" s="1" t="inlineStr">
        <is>
          <t>2027BUD_V1</t>
        </is>
      </c>
      <c r="F297" s="1" t="inlineStr">
        <is>
          <t>12</t>
        </is>
      </c>
      <c r="G297" s="1" t="n">
        <v>125510</v>
      </c>
      <c r="H297" s="25">
        <f>_CALC_PNL!P297</f>
        <v/>
      </c>
      <c r="I297" s="25">
        <f>IF(_CALC_PNL!E297=1,H297-G297,"")</f>
        <v/>
      </c>
    </row>
    <row r="298">
      <c r="A298" s="1" t="inlineStr">
        <is>
          <t>IPAC_MTP</t>
        </is>
      </c>
      <c r="B298" s="1" t="inlineStr">
        <is>
          <t>6411</t>
        </is>
      </c>
      <c r="C298" s="1" t="inlineStr">
        <is>
          <t>2025</t>
        </is>
      </c>
      <c r="D298" s="1" t="inlineStr">
        <is>
          <t>ACT</t>
        </is>
      </c>
      <c r="E298" s="1" t="inlineStr">
        <is>
          <t>2027BUD_V1</t>
        </is>
      </c>
      <c r="F298" s="1" t="inlineStr">
        <is>
          <t>12</t>
        </is>
      </c>
      <c r="G298" s="1" t="n">
        <v>125510</v>
      </c>
      <c r="H298" s="25">
        <f>_CALC_PNL!P298</f>
        <v/>
      </c>
      <c r="I298" s="25">
        <f>IF(_CALC_PNL!E298=1,H298-G298,"")</f>
        <v/>
      </c>
    </row>
    <row r="299">
      <c r="A299" s="1" t="inlineStr">
        <is>
          <t>PIGIER_LYO</t>
        </is>
      </c>
      <c r="B299" s="1" t="inlineStr">
        <is>
          <t>6411</t>
        </is>
      </c>
      <c r="C299" s="1" t="inlineStr">
        <is>
          <t>2025</t>
        </is>
      </c>
      <c r="D299" s="1" t="inlineStr">
        <is>
          <t>ACT</t>
        </is>
      </c>
      <c r="E299" s="1" t="inlineStr">
        <is>
          <t>2027BUD_V1</t>
        </is>
      </c>
      <c r="F299" s="1" t="inlineStr">
        <is>
          <t>12</t>
        </is>
      </c>
      <c r="G299" s="1" t="n">
        <v>212986</v>
      </c>
      <c r="H299" s="25">
        <f>_CALC_PNL!P299</f>
        <v/>
      </c>
      <c r="I299" s="25">
        <f>IF(_CALC_PNL!E299=1,H299-G299,"")</f>
        <v/>
      </c>
    </row>
    <row r="300">
      <c r="A300" s="1" t="inlineStr">
        <is>
          <t>PIGIER_BOR</t>
        </is>
      </c>
      <c r="B300" s="1" t="inlineStr">
        <is>
          <t>6411</t>
        </is>
      </c>
      <c r="C300" s="1" t="inlineStr">
        <is>
          <t>2025</t>
        </is>
      </c>
      <c r="D300" s="1" t="inlineStr">
        <is>
          <t>ACT</t>
        </is>
      </c>
      <c r="E300" s="1" t="inlineStr">
        <is>
          <t>2027BUD_V1</t>
        </is>
      </c>
      <c r="F300" s="1" t="inlineStr">
        <is>
          <t>12</t>
        </is>
      </c>
      <c r="G300" s="1" t="n">
        <v>199675</v>
      </c>
      <c r="H300" s="25">
        <f>_CALC_PNL!P300</f>
        <v/>
      </c>
      <c r="I300" s="25">
        <f>IF(_CALC_PNL!E300=1,H300-G300,"")</f>
        <v/>
      </c>
    </row>
    <row r="301">
      <c r="A301" s="1" t="inlineStr">
        <is>
          <t>TUNON_PAR</t>
        </is>
      </c>
      <c r="B301" s="1" t="inlineStr">
        <is>
          <t>6411</t>
        </is>
      </c>
      <c r="C301" s="1" t="inlineStr">
        <is>
          <t>2025</t>
        </is>
      </c>
      <c r="D301" s="1" t="inlineStr">
        <is>
          <t>ACT</t>
        </is>
      </c>
      <c r="E301" s="1" t="inlineStr">
        <is>
          <t>2027BUD_V1</t>
        </is>
      </c>
      <c r="F301" s="1" t="inlineStr">
        <is>
          <t>12</t>
        </is>
      </c>
      <c r="G301" s="1" t="n">
        <v>231052</v>
      </c>
      <c r="H301" s="25">
        <f>_CALC_PNL!P301</f>
        <v/>
      </c>
      <c r="I301" s="25">
        <f>IF(_CALC_PNL!E301=1,H301-G301,"")</f>
        <v/>
      </c>
    </row>
    <row r="302">
      <c r="A302" s="1" t="inlineStr">
        <is>
          <t>TUNON_LYO</t>
        </is>
      </c>
      <c r="B302" s="1" t="inlineStr">
        <is>
          <t>6411</t>
        </is>
      </c>
      <c r="C302" s="1" t="inlineStr">
        <is>
          <t>2025</t>
        </is>
      </c>
      <c r="D302" s="1" t="inlineStr">
        <is>
          <t>ACT</t>
        </is>
      </c>
      <c r="E302" s="1" t="inlineStr">
        <is>
          <t>2027BUD_V1</t>
        </is>
      </c>
      <c r="F302" s="1" t="inlineStr">
        <is>
          <t>12</t>
        </is>
      </c>
      <c r="G302" s="1" t="n">
        <v>159740</v>
      </c>
      <c r="H302" s="25">
        <f>_CALC_PNL!P302</f>
        <v/>
      </c>
      <c r="I302" s="25">
        <f>IF(_CALC_PNL!E302=1,H302-G302,"")</f>
        <v/>
      </c>
    </row>
    <row r="303">
      <c r="A303" s="1" t="inlineStr">
        <is>
          <t>MBWAY_PAR</t>
        </is>
      </c>
      <c r="B303" s="1" t="inlineStr">
        <is>
          <t>6411</t>
        </is>
      </c>
      <c r="C303" s="1" t="inlineStr">
        <is>
          <t>2026</t>
        </is>
      </c>
      <c r="D303" s="1" t="inlineStr">
        <is>
          <t>ACT</t>
        </is>
      </c>
      <c r="E303" s="1" t="inlineStr">
        <is>
          <t>2027BUD_V1</t>
        </is>
      </c>
      <c r="F303" s="1" t="inlineStr">
        <is>
          <t>12</t>
        </is>
      </c>
      <c r="G303" s="1" t="n">
        <v>605202</v>
      </c>
      <c r="H303" s="25">
        <f>_CALC_PNL!P303</f>
        <v/>
      </c>
      <c r="I303" s="25">
        <f>IF(_CALC_PNL!E303=1,H303-G303,"")</f>
        <v/>
      </c>
    </row>
    <row r="304">
      <c r="A304" s="1" t="inlineStr">
        <is>
          <t>MBWAY_LYO</t>
        </is>
      </c>
      <c r="B304" s="1" t="inlineStr">
        <is>
          <t>6411</t>
        </is>
      </c>
      <c r="C304" s="1" t="inlineStr">
        <is>
          <t>2026</t>
        </is>
      </c>
      <c r="D304" s="1" t="inlineStr">
        <is>
          <t>ACT</t>
        </is>
      </c>
      <c r="E304" s="1" t="inlineStr">
        <is>
          <t>2027BUD_V1</t>
        </is>
      </c>
      <c r="F304" s="1" t="inlineStr">
        <is>
          <t>12</t>
        </is>
      </c>
      <c r="G304" s="1" t="n">
        <v>362623</v>
      </c>
      <c r="H304" s="25">
        <f>_CALC_PNL!P304</f>
        <v/>
      </c>
      <c r="I304" s="25">
        <f>IF(_CALC_PNL!E304=1,H304-G304,"")</f>
        <v/>
      </c>
    </row>
    <row r="305">
      <c r="A305" s="1" t="inlineStr">
        <is>
          <t>MBWAY_NAN</t>
        </is>
      </c>
      <c r="B305" s="1" t="inlineStr">
        <is>
          <t>6411</t>
        </is>
      </c>
      <c r="C305" s="1" t="inlineStr">
        <is>
          <t>2026</t>
        </is>
      </c>
      <c r="D305" s="1" t="inlineStr">
        <is>
          <t>ACT</t>
        </is>
      </c>
      <c r="E305" s="1" t="inlineStr">
        <is>
          <t>2027BUD_V1</t>
        </is>
      </c>
      <c r="F305" s="1" t="inlineStr">
        <is>
          <t>12</t>
        </is>
      </c>
      <c r="G305" s="1" t="n">
        <v>298865</v>
      </c>
      <c r="H305" s="25">
        <f>_CALC_PNL!P305</f>
        <v/>
      </c>
      <c r="I305" s="25">
        <f>IF(_CALC_PNL!E305=1,H305-G305,"")</f>
        <v/>
      </c>
    </row>
    <row r="306">
      <c r="A306" s="1" t="inlineStr">
        <is>
          <t>MBWAY_BOR</t>
        </is>
      </c>
      <c r="B306" s="1" t="inlineStr">
        <is>
          <t>6411</t>
        </is>
      </c>
      <c r="C306" s="1" t="inlineStr">
        <is>
          <t>2026</t>
        </is>
      </c>
      <c r="D306" s="1" t="inlineStr">
        <is>
          <t>ACT</t>
        </is>
      </c>
      <c r="E306" s="1" t="inlineStr">
        <is>
          <t>2027BUD_V1</t>
        </is>
      </c>
      <c r="F306" s="1" t="inlineStr">
        <is>
          <t>12</t>
        </is>
      </c>
      <c r="G306" s="1" t="n">
        <v>261507</v>
      </c>
      <c r="H306" s="25">
        <f>_CALC_PNL!P306</f>
        <v/>
      </c>
      <c r="I306" s="25">
        <f>IF(_CALC_PNL!E306=1,H306-G306,"")</f>
        <v/>
      </c>
    </row>
    <row r="307">
      <c r="A307" s="1" t="inlineStr">
        <is>
          <t>ISCOM_PAR</t>
        </is>
      </c>
      <c r="B307" s="1" t="inlineStr">
        <is>
          <t>6411</t>
        </is>
      </c>
      <c r="C307" s="1" t="inlineStr">
        <is>
          <t>2026</t>
        </is>
      </c>
      <c r="D307" s="1" t="inlineStr">
        <is>
          <t>ACT</t>
        </is>
      </c>
      <c r="E307" s="1" t="inlineStr">
        <is>
          <t>2027BUD_V1</t>
        </is>
      </c>
      <c r="F307" s="1" t="inlineStr">
        <is>
          <t>12</t>
        </is>
      </c>
      <c r="G307" s="1" t="n">
        <v>605202</v>
      </c>
      <c r="H307" s="25">
        <f>_CALC_PNL!P307</f>
        <v/>
      </c>
      <c r="I307" s="25">
        <f>IF(_CALC_PNL!E307=1,H307-G307,"")</f>
        <v/>
      </c>
    </row>
    <row r="308">
      <c r="A308" s="1" t="inlineStr">
        <is>
          <t>ISCOM_LIL</t>
        </is>
      </c>
      <c r="B308" s="1" t="inlineStr">
        <is>
          <t>6411</t>
        </is>
      </c>
      <c r="C308" s="1" t="inlineStr">
        <is>
          <t>2026</t>
        </is>
      </c>
      <c r="D308" s="1" t="inlineStr">
        <is>
          <t>ACT</t>
        </is>
      </c>
      <c r="E308" s="1" t="inlineStr">
        <is>
          <t>2027BUD_V1</t>
        </is>
      </c>
      <c r="F308" s="1" t="inlineStr">
        <is>
          <t>12</t>
        </is>
      </c>
      <c r="G308" s="1" t="n">
        <v>229130</v>
      </c>
      <c r="H308" s="25">
        <f>_CALC_PNL!P308</f>
        <v/>
      </c>
      <c r="I308" s="25">
        <f>IF(_CALC_PNL!E308=1,H308-G308,"")</f>
        <v/>
      </c>
    </row>
    <row r="309">
      <c r="A309" s="1" t="inlineStr">
        <is>
          <t>ISCOM_TLS</t>
        </is>
      </c>
      <c r="B309" s="1" t="inlineStr">
        <is>
          <t>6411</t>
        </is>
      </c>
      <c r="C309" s="1" t="inlineStr">
        <is>
          <t>2026</t>
        </is>
      </c>
      <c r="D309" s="1" t="inlineStr">
        <is>
          <t>ACT</t>
        </is>
      </c>
      <c r="E309" s="1" t="inlineStr">
        <is>
          <t>2027BUD_V1</t>
        </is>
      </c>
      <c r="F309" s="1" t="inlineStr">
        <is>
          <t>12</t>
        </is>
      </c>
      <c r="G309" s="1" t="n">
        <v>224149</v>
      </c>
      <c r="H309" s="25">
        <f>_CALC_PNL!P309</f>
        <v/>
      </c>
      <c r="I309" s="25">
        <f>IF(_CALC_PNL!E309=1,H309-G309,"")</f>
        <v/>
      </c>
    </row>
    <row r="310">
      <c r="A310" s="1" t="inlineStr">
        <is>
          <t>IPAC_NAN</t>
        </is>
      </c>
      <c r="B310" s="1" t="inlineStr">
        <is>
          <t>6411</t>
        </is>
      </c>
      <c r="C310" s="1" t="inlineStr">
        <is>
          <t>2026</t>
        </is>
      </c>
      <c r="D310" s="1" t="inlineStr">
        <is>
          <t>ACT</t>
        </is>
      </c>
      <c r="E310" s="1" t="inlineStr">
        <is>
          <t>2027BUD_V1</t>
        </is>
      </c>
      <c r="F310" s="1" t="inlineStr">
        <is>
          <t>12</t>
        </is>
      </c>
      <c r="G310" s="1" t="n">
        <v>149433</v>
      </c>
      <c r="H310" s="25">
        <f>_CALC_PNL!P310</f>
        <v/>
      </c>
      <c r="I310" s="25">
        <f>IF(_CALC_PNL!E310=1,H310-G310,"")</f>
        <v/>
      </c>
    </row>
    <row r="311">
      <c r="A311" s="1" t="inlineStr">
        <is>
          <t>IPAC_REN</t>
        </is>
      </c>
      <c r="B311" s="1" t="inlineStr">
        <is>
          <t>6411</t>
        </is>
      </c>
      <c r="C311" s="1" t="inlineStr">
        <is>
          <t>2026</t>
        </is>
      </c>
      <c r="D311" s="1" t="inlineStr">
        <is>
          <t>ACT</t>
        </is>
      </c>
      <c r="E311" s="1" t="inlineStr">
        <is>
          <t>2027BUD_V1</t>
        </is>
      </c>
      <c r="F311" s="1" t="inlineStr">
        <is>
          <t>12</t>
        </is>
      </c>
      <c r="G311" s="1" t="n">
        <v>131501</v>
      </c>
      <c r="H311" s="25">
        <f>_CALC_PNL!P311</f>
        <v/>
      </c>
      <c r="I311" s="25">
        <f>IF(_CALC_PNL!E311=1,H311-G311,"")</f>
        <v/>
      </c>
    </row>
    <row r="312">
      <c r="A312" s="1" t="inlineStr">
        <is>
          <t>IPAC_MTP</t>
        </is>
      </c>
      <c r="B312" s="1" t="inlineStr">
        <is>
          <t>6411</t>
        </is>
      </c>
      <c r="C312" s="1" t="inlineStr">
        <is>
          <t>2026</t>
        </is>
      </c>
      <c r="D312" s="1" t="inlineStr">
        <is>
          <t>ACT</t>
        </is>
      </c>
      <c r="E312" s="1" t="inlineStr">
        <is>
          <t>2027BUD_V1</t>
        </is>
      </c>
      <c r="F312" s="1" t="inlineStr">
        <is>
          <t>12</t>
        </is>
      </c>
      <c r="G312" s="1" t="n">
        <v>131501</v>
      </c>
      <c r="H312" s="25">
        <f>_CALC_PNL!P312</f>
        <v/>
      </c>
      <c r="I312" s="25">
        <f>IF(_CALC_PNL!E312=1,H312-G312,"")</f>
        <v/>
      </c>
    </row>
    <row r="313">
      <c r="A313" s="1" t="inlineStr">
        <is>
          <t>PIGIER_LYO</t>
        </is>
      </c>
      <c r="B313" s="1" t="inlineStr">
        <is>
          <t>6411</t>
        </is>
      </c>
      <c r="C313" s="1" t="inlineStr">
        <is>
          <t>2026</t>
        </is>
      </c>
      <c r="D313" s="1" t="inlineStr">
        <is>
          <t>ACT</t>
        </is>
      </c>
      <c r="E313" s="1" t="inlineStr">
        <is>
          <t>2027BUD_V1</t>
        </is>
      </c>
      <c r="F313" s="1" t="inlineStr">
        <is>
          <t>12</t>
        </is>
      </c>
      <c r="G313" s="1" t="n">
        <v>223153</v>
      </c>
      <c r="H313" s="25">
        <f>_CALC_PNL!P313</f>
        <v/>
      </c>
      <c r="I313" s="25">
        <f>IF(_CALC_PNL!E313=1,H313-G313,"")</f>
        <v/>
      </c>
    </row>
    <row r="314">
      <c r="A314" s="1" t="inlineStr">
        <is>
          <t>PIGIER_BOR</t>
        </is>
      </c>
      <c r="B314" s="1" t="inlineStr">
        <is>
          <t>6411</t>
        </is>
      </c>
      <c r="C314" s="1" t="inlineStr">
        <is>
          <t>2026</t>
        </is>
      </c>
      <c r="D314" s="1" t="inlineStr">
        <is>
          <t>ACT</t>
        </is>
      </c>
      <c r="E314" s="1" t="inlineStr">
        <is>
          <t>2027BUD_V1</t>
        </is>
      </c>
      <c r="F314" s="1" t="inlineStr">
        <is>
          <t>12</t>
        </is>
      </c>
      <c r="G314" s="1" t="n">
        <v>209206</v>
      </c>
      <c r="H314" s="25">
        <f>_CALC_PNL!P314</f>
        <v/>
      </c>
      <c r="I314" s="25">
        <f>IF(_CALC_PNL!E314=1,H314-G314,"")</f>
        <v/>
      </c>
    </row>
    <row r="315">
      <c r="A315" s="1" t="inlineStr">
        <is>
          <t>TUNON_PAR</t>
        </is>
      </c>
      <c r="B315" s="1" t="inlineStr">
        <is>
          <t>6411</t>
        </is>
      </c>
      <c r="C315" s="1" t="inlineStr">
        <is>
          <t>2026</t>
        </is>
      </c>
      <c r="D315" s="1" t="inlineStr">
        <is>
          <t>ACT</t>
        </is>
      </c>
      <c r="E315" s="1" t="inlineStr">
        <is>
          <t>2027BUD_V1</t>
        </is>
      </c>
      <c r="F315" s="1" t="inlineStr">
        <is>
          <t>12</t>
        </is>
      </c>
      <c r="G315" s="1" t="n">
        <v>242081</v>
      </c>
      <c r="H315" s="25">
        <f>_CALC_PNL!P315</f>
        <v/>
      </c>
      <c r="I315" s="25">
        <f>IF(_CALC_PNL!E315=1,H315-G315,"")</f>
        <v/>
      </c>
    </row>
    <row r="316">
      <c r="A316" s="1" t="inlineStr">
        <is>
          <t>TUNON_LYO</t>
        </is>
      </c>
      <c r="B316" s="1" t="inlineStr">
        <is>
          <t>6411</t>
        </is>
      </c>
      <c r="C316" s="1" t="inlineStr">
        <is>
          <t>2026</t>
        </is>
      </c>
      <c r="D316" s="1" t="inlineStr">
        <is>
          <t>ACT</t>
        </is>
      </c>
      <c r="E316" s="1" t="inlineStr">
        <is>
          <t>2027BUD_V1</t>
        </is>
      </c>
      <c r="F316" s="1" t="inlineStr">
        <is>
          <t>12</t>
        </is>
      </c>
      <c r="G316" s="1" t="n">
        <v>167364</v>
      </c>
      <c r="H316" s="25">
        <f>_CALC_PNL!P316</f>
        <v/>
      </c>
      <c r="I316" s="25">
        <f>IF(_CALC_PNL!E316=1,H316-G316,"")</f>
        <v/>
      </c>
    </row>
    <row r="317">
      <c r="A317" s="1" t="inlineStr">
        <is>
          <t>MBWAY_PAR</t>
        </is>
      </c>
      <c r="B317" s="1" t="inlineStr">
        <is>
          <t>6413</t>
        </is>
      </c>
      <c r="C317" s="1" t="inlineStr">
        <is>
          <t>2024</t>
        </is>
      </c>
      <c r="D317" s="1" t="inlineStr">
        <is>
          <t>ACT</t>
        </is>
      </c>
      <c r="E317" s="1" t="inlineStr">
        <is>
          <t>2027BUD_V1</t>
        </is>
      </c>
      <c r="F317" s="1" t="inlineStr">
        <is>
          <t>12</t>
        </is>
      </c>
      <c r="G317" s="1" t="n">
        <v>318872</v>
      </c>
      <c r="H317" s="25">
        <f>_CALC_PNL!P317</f>
        <v/>
      </c>
      <c r="I317" s="25">
        <f>IF(_CALC_PNL!E317=1,H317-G317,"")</f>
        <v/>
      </c>
    </row>
    <row r="318">
      <c r="A318" s="1" t="inlineStr">
        <is>
          <t>MBWAY_LYO</t>
        </is>
      </c>
      <c r="B318" s="1" t="inlineStr">
        <is>
          <t>6413</t>
        </is>
      </c>
      <c r="C318" s="1" t="inlineStr">
        <is>
          <t>2024</t>
        </is>
      </c>
      <c r="D318" s="1" t="inlineStr">
        <is>
          <t>ACT</t>
        </is>
      </c>
      <c r="E318" s="1" t="inlineStr">
        <is>
          <t>2027BUD_V1</t>
        </is>
      </c>
      <c r="F318" s="1" t="inlineStr">
        <is>
          <t>12</t>
        </is>
      </c>
      <c r="G318" s="1" t="n">
        <v>186982</v>
      </c>
      <c r="H318" s="25">
        <f>_CALC_PNL!P318</f>
        <v/>
      </c>
      <c r="I318" s="25">
        <f>IF(_CALC_PNL!E318=1,H318-G318,"")</f>
        <v/>
      </c>
    </row>
    <row r="319">
      <c r="A319" s="1" t="inlineStr">
        <is>
          <t>MBWAY_NAN</t>
        </is>
      </c>
      <c r="B319" s="1" t="inlineStr">
        <is>
          <t>6413</t>
        </is>
      </c>
      <c r="C319" s="1" t="inlineStr">
        <is>
          <t>2024</t>
        </is>
      </c>
      <c r="D319" s="1" t="inlineStr">
        <is>
          <t>ACT</t>
        </is>
      </c>
      <c r="E319" s="1" t="inlineStr">
        <is>
          <t>2027BUD_V1</t>
        </is>
      </c>
      <c r="F319" s="1" t="inlineStr">
        <is>
          <t>12</t>
        </is>
      </c>
      <c r="G319" s="1" t="n">
        <v>151490</v>
      </c>
      <c r="H319" s="25">
        <f>_CALC_PNL!P319</f>
        <v/>
      </c>
      <c r="I319" s="25">
        <f>IF(_CALC_PNL!E319=1,H319-G319,"")</f>
        <v/>
      </c>
    </row>
    <row r="320">
      <c r="A320" s="1" t="inlineStr">
        <is>
          <t>MBWAY_BOR</t>
        </is>
      </c>
      <c r="B320" s="1" t="inlineStr">
        <is>
          <t>6413</t>
        </is>
      </c>
      <c r="C320" s="1" t="inlineStr">
        <is>
          <t>2024</t>
        </is>
      </c>
      <c r="D320" s="1" t="inlineStr">
        <is>
          <t>ACT</t>
        </is>
      </c>
      <c r="E320" s="1" t="inlineStr">
        <is>
          <t>2027BUD_V1</t>
        </is>
      </c>
      <c r="F320" s="1" t="inlineStr">
        <is>
          <t>12</t>
        </is>
      </c>
      <c r="G320" s="1" t="n">
        <v>134718</v>
      </c>
      <c r="H320" s="25">
        <f>_CALC_PNL!P320</f>
        <v/>
      </c>
      <c r="I320" s="25">
        <f>IF(_CALC_PNL!E320=1,H320-G320,"")</f>
        <v/>
      </c>
    </row>
    <row r="321">
      <c r="A321" s="1" t="inlineStr">
        <is>
          <t>ISCOM_PAR</t>
        </is>
      </c>
      <c r="B321" s="1" t="inlineStr">
        <is>
          <t>6413</t>
        </is>
      </c>
      <c r="C321" s="1" t="inlineStr">
        <is>
          <t>2024</t>
        </is>
      </c>
      <c r="D321" s="1" t="inlineStr">
        <is>
          <t>ACT</t>
        </is>
      </c>
      <c r="E321" s="1" t="inlineStr">
        <is>
          <t>2027BUD_V1</t>
        </is>
      </c>
      <c r="F321" s="1" t="inlineStr">
        <is>
          <t>12</t>
        </is>
      </c>
      <c r="G321" s="1" t="n">
        <v>295499</v>
      </c>
      <c r="H321" s="25">
        <f>_CALC_PNL!P321</f>
        <v/>
      </c>
      <c r="I321" s="25">
        <f>IF(_CALC_PNL!E321=1,H321-G321,"")</f>
        <v/>
      </c>
    </row>
    <row r="322">
      <c r="A322" s="1" t="inlineStr">
        <is>
          <t>ISCOM_LIL</t>
        </is>
      </c>
      <c r="B322" s="1" t="inlineStr">
        <is>
          <t>6413</t>
        </is>
      </c>
      <c r="C322" s="1" t="inlineStr">
        <is>
          <t>2024</t>
        </is>
      </c>
      <c r="D322" s="1" t="inlineStr">
        <is>
          <t>ACT</t>
        </is>
      </c>
      <c r="E322" s="1" t="inlineStr">
        <is>
          <t>2027BUD_V1</t>
        </is>
      </c>
      <c r="F322" s="1" t="inlineStr">
        <is>
          <t>12</t>
        </is>
      </c>
      <c r="G322" s="1" t="n">
        <v>115669</v>
      </c>
      <c r="H322" s="25">
        <f>_CALC_PNL!P322</f>
        <v/>
      </c>
      <c r="I322" s="25">
        <f>IF(_CALC_PNL!E322=1,H322-G322,"")</f>
        <v/>
      </c>
    </row>
    <row r="323">
      <c r="A323" s="1" t="inlineStr">
        <is>
          <t>ISCOM_TLS</t>
        </is>
      </c>
      <c r="B323" s="1" t="inlineStr">
        <is>
          <t>6413</t>
        </is>
      </c>
      <c r="C323" s="1" t="inlineStr">
        <is>
          <t>2024</t>
        </is>
      </c>
      <c r="D323" s="1" t="inlineStr">
        <is>
          <t>ACT</t>
        </is>
      </c>
      <c r="E323" s="1" t="inlineStr">
        <is>
          <t>2027BUD_V1</t>
        </is>
      </c>
      <c r="F323" s="1" t="inlineStr">
        <is>
          <t>12</t>
        </is>
      </c>
      <c r="G323" s="1" t="n">
        <v>107125</v>
      </c>
      <c r="H323" s="25">
        <f>_CALC_PNL!P323</f>
        <v/>
      </c>
      <c r="I323" s="25">
        <f>IF(_CALC_PNL!E323=1,H323-G323,"")</f>
        <v/>
      </c>
    </row>
    <row r="324">
      <c r="A324" s="1" t="inlineStr">
        <is>
          <t>IPAC_NAN</t>
        </is>
      </c>
      <c r="B324" s="1" t="inlineStr">
        <is>
          <t>6413</t>
        </is>
      </c>
      <c r="C324" s="1" t="inlineStr">
        <is>
          <t>2024</t>
        </is>
      </c>
      <c r="D324" s="1" t="inlineStr">
        <is>
          <t>ACT</t>
        </is>
      </c>
      <c r="E324" s="1" t="inlineStr">
        <is>
          <t>2027BUD_V1</t>
        </is>
      </c>
      <c r="F324" s="1" t="inlineStr">
        <is>
          <t>12</t>
        </is>
      </c>
      <c r="G324" s="1" t="n">
        <v>74715</v>
      </c>
      <c r="H324" s="25">
        <f>_CALC_PNL!P324</f>
        <v/>
      </c>
      <c r="I324" s="25">
        <f>IF(_CALC_PNL!E324=1,H324-G324,"")</f>
        <v/>
      </c>
    </row>
    <row r="325">
      <c r="A325" s="1" t="inlineStr">
        <is>
          <t>IPAC_REN</t>
        </is>
      </c>
      <c r="B325" s="1" t="inlineStr">
        <is>
          <t>6413</t>
        </is>
      </c>
      <c r="C325" s="1" t="inlineStr">
        <is>
          <t>2024</t>
        </is>
      </c>
      <c r="D325" s="1" t="inlineStr">
        <is>
          <t>ACT</t>
        </is>
      </c>
      <c r="E325" s="1" t="inlineStr">
        <is>
          <t>2027BUD_V1</t>
        </is>
      </c>
      <c r="F325" s="1" t="inlineStr">
        <is>
          <t>12</t>
        </is>
      </c>
      <c r="G325" s="1" t="n">
        <v>53053</v>
      </c>
      <c r="H325" s="25">
        <f>_CALC_PNL!P325</f>
        <v/>
      </c>
      <c r="I325" s="25">
        <f>IF(_CALC_PNL!E325=1,H325-G325,"")</f>
        <v/>
      </c>
    </row>
    <row r="326">
      <c r="A326" s="1" t="inlineStr">
        <is>
          <t>IPAC_MTP</t>
        </is>
      </c>
      <c r="B326" s="1" t="inlineStr">
        <is>
          <t>6413</t>
        </is>
      </c>
      <c r="C326" s="1" t="inlineStr">
        <is>
          <t>2024</t>
        </is>
      </c>
      <c r="D326" s="1" t="inlineStr">
        <is>
          <t>ACT</t>
        </is>
      </c>
      <c r="E326" s="1" t="inlineStr">
        <is>
          <t>2027BUD_V1</t>
        </is>
      </c>
      <c r="F326" s="1" t="inlineStr">
        <is>
          <t>12</t>
        </is>
      </c>
      <c r="G326" s="1" t="n">
        <v>53053</v>
      </c>
      <c r="H326" s="25">
        <f>_CALC_PNL!P326</f>
        <v/>
      </c>
      <c r="I326" s="25">
        <f>IF(_CALC_PNL!E326=1,H326-G326,"")</f>
        <v/>
      </c>
    </row>
    <row r="327">
      <c r="A327" s="1" t="inlineStr">
        <is>
          <t>PIGIER_LYO</t>
        </is>
      </c>
      <c r="B327" s="1" t="inlineStr">
        <is>
          <t>6413</t>
        </is>
      </c>
      <c r="C327" s="1" t="inlineStr">
        <is>
          <t>2024</t>
        </is>
      </c>
      <c r="D327" s="1" t="inlineStr">
        <is>
          <t>ACT</t>
        </is>
      </c>
      <c r="E327" s="1" t="inlineStr">
        <is>
          <t>2027BUD_V1</t>
        </is>
      </c>
      <c r="F327" s="1" t="inlineStr">
        <is>
          <t>12</t>
        </is>
      </c>
      <c r="G327" s="1" t="n">
        <v>105033</v>
      </c>
      <c r="H327" s="25">
        <f>_CALC_PNL!P327</f>
        <v/>
      </c>
      <c r="I327" s="25">
        <f>IF(_CALC_PNL!E327=1,H327-G327,"")</f>
        <v/>
      </c>
    </row>
    <row r="328">
      <c r="A328" s="1" t="inlineStr">
        <is>
          <t>PIGIER_BOR</t>
        </is>
      </c>
      <c r="B328" s="1" t="inlineStr">
        <is>
          <t>6413</t>
        </is>
      </c>
      <c r="C328" s="1" t="inlineStr">
        <is>
          <t>2024</t>
        </is>
      </c>
      <c r="D328" s="1" t="inlineStr">
        <is>
          <t>ACT</t>
        </is>
      </c>
      <c r="E328" s="1" t="inlineStr">
        <is>
          <t>2027BUD_V1</t>
        </is>
      </c>
      <c r="F328" s="1" t="inlineStr">
        <is>
          <t>12</t>
        </is>
      </c>
      <c r="G328" s="1" t="n">
        <v>76827</v>
      </c>
      <c r="H328" s="25">
        <f>_CALC_PNL!P328</f>
        <v/>
      </c>
      <c r="I328" s="25">
        <f>IF(_CALC_PNL!E328=1,H328-G328,"")</f>
        <v/>
      </c>
    </row>
    <row r="329">
      <c r="A329" s="1" t="inlineStr">
        <is>
          <t>TUNON_PAR</t>
        </is>
      </c>
      <c r="B329" s="1" t="inlineStr">
        <is>
          <t>6413</t>
        </is>
      </c>
      <c r="C329" s="1" t="inlineStr">
        <is>
          <t>2024</t>
        </is>
      </c>
      <c r="D329" s="1" t="inlineStr">
        <is>
          <t>ACT</t>
        </is>
      </c>
      <c r="E329" s="1" t="inlineStr">
        <is>
          <t>2027BUD_V1</t>
        </is>
      </c>
      <c r="F329" s="1" t="inlineStr">
        <is>
          <t>12</t>
        </is>
      </c>
      <c r="G329" s="1" t="n">
        <v>115195</v>
      </c>
      <c r="H329" s="25">
        <f>_CALC_PNL!P329</f>
        <v/>
      </c>
      <c r="I329" s="25">
        <f>IF(_CALC_PNL!E329=1,H329-G329,"")</f>
        <v/>
      </c>
    </row>
    <row r="330">
      <c r="A330" s="1" t="inlineStr">
        <is>
          <t>TUNON_LYO</t>
        </is>
      </c>
      <c r="B330" s="1" t="inlineStr">
        <is>
          <t>6413</t>
        </is>
      </c>
      <c r="C330" s="1" t="inlineStr">
        <is>
          <t>2024</t>
        </is>
      </c>
      <c r="D330" s="1" t="inlineStr">
        <is>
          <t>ACT</t>
        </is>
      </c>
      <c r="E330" s="1" t="inlineStr">
        <is>
          <t>2027BUD_V1</t>
        </is>
      </c>
      <c r="F330" s="1" t="inlineStr">
        <is>
          <t>12</t>
        </is>
      </c>
      <c r="G330" s="1" t="n">
        <v>67521</v>
      </c>
      <c r="H330" s="25">
        <f>_CALC_PNL!P330</f>
        <v/>
      </c>
      <c r="I330" s="25">
        <f>IF(_CALC_PNL!E330=1,H330-G330,"")</f>
        <v/>
      </c>
    </row>
    <row r="331">
      <c r="A331" s="1" t="inlineStr">
        <is>
          <t>MBWAY_PAR</t>
        </is>
      </c>
      <c r="B331" s="1" t="inlineStr">
        <is>
          <t>6413</t>
        </is>
      </c>
      <c r="C331" s="1" t="inlineStr">
        <is>
          <t>2025</t>
        </is>
      </c>
      <c r="D331" s="1" t="inlineStr">
        <is>
          <t>ACT</t>
        </is>
      </c>
      <c r="E331" s="1" t="inlineStr">
        <is>
          <t>2027BUD_V1</t>
        </is>
      </c>
      <c r="F331" s="1" t="inlineStr">
        <is>
          <t>12</t>
        </is>
      </c>
      <c r="G331" s="1" t="n">
        <v>333483</v>
      </c>
      <c r="H331" s="25">
        <f>_CALC_PNL!P331</f>
        <v/>
      </c>
      <c r="I331" s="25">
        <f>IF(_CALC_PNL!E331=1,H331-G331,"")</f>
        <v/>
      </c>
    </row>
    <row r="332">
      <c r="A332" s="1" t="inlineStr">
        <is>
          <t>MBWAY_LYO</t>
        </is>
      </c>
      <c r="B332" s="1" t="inlineStr">
        <is>
          <t>6413</t>
        </is>
      </c>
      <c r="C332" s="1" t="inlineStr">
        <is>
          <t>2025</t>
        </is>
      </c>
      <c r="D332" s="1" t="inlineStr">
        <is>
          <t>ACT</t>
        </is>
      </c>
      <c r="E332" s="1" t="inlineStr">
        <is>
          <t>2027BUD_V1</t>
        </is>
      </c>
      <c r="F332" s="1" t="inlineStr">
        <is>
          <t>12</t>
        </is>
      </c>
      <c r="G332" s="1" t="n">
        <v>195550</v>
      </c>
      <c r="H332" s="25">
        <f>_CALC_PNL!P332</f>
        <v/>
      </c>
      <c r="I332" s="25">
        <f>IF(_CALC_PNL!E332=1,H332-G332,"")</f>
        <v/>
      </c>
    </row>
    <row r="333">
      <c r="A333" s="1" t="inlineStr">
        <is>
          <t>MBWAY_NAN</t>
        </is>
      </c>
      <c r="B333" s="1" t="inlineStr">
        <is>
          <t>6413</t>
        </is>
      </c>
      <c r="C333" s="1" t="inlineStr">
        <is>
          <t>2025</t>
        </is>
      </c>
      <c r="D333" s="1" t="inlineStr">
        <is>
          <t>ACT</t>
        </is>
      </c>
      <c r="E333" s="1" t="inlineStr">
        <is>
          <t>2027BUD_V1</t>
        </is>
      </c>
      <c r="F333" s="1" t="inlineStr">
        <is>
          <t>12</t>
        </is>
      </c>
      <c r="G333" s="1" t="n">
        <v>158432</v>
      </c>
      <c r="H333" s="25">
        <f>_CALC_PNL!P333</f>
        <v/>
      </c>
      <c r="I333" s="25">
        <f>IF(_CALC_PNL!E333=1,H333-G333,"")</f>
        <v/>
      </c>
    </row>
    <row r="334">
      <c r="A334" s="1" t="inlineStr">
        <is>
          <t>MBWAY_BOR</t>
        </is>
      </c>
      <c r="B334" s="1" t="inlineStr">
        <is>
          <t>6413</t>
        </is>
      </c>
      <c r="C334" s="1" t="inlineStr">
        <is>
          <t>2025</t>
        </is>
      </c>
      <c r="D334" s="1" t="inlineStr">
        <is>
          <t>ACT</t>
        </is>
      </c>
      <c r="E334" s="1" t="inlineStr">
        <is>
          <t>2027BUD_V1</t>
        </is>
      </c>
      <c r="F334" s="1" t="inlineStr">
        <is>
          <t>12</t>
        </is>
      </c>
      <c r="G334" s="1" t="n">
        <v>140891</v>
      </c>
      <c r="H334" s="25">
        <f>_CALC_PNL!P334</f>
        <v/>
      </c>
      <c r="I334" s="25">
        <f>IF(_CALC_PNL!E334=1,H334-G334,"")</f>
        <v/>
      </c>
    </row>
    <row r="335">
      <c r="A335" s="1" t="inlineStr">
        <is>
          <t>ISCOM_PAR</t>
        </is>
      </c>
      <c r="B335" s="1" t="inlineStr">
        <is>
          <t>6413</t>
        </is>
      </c>
      <c r="C335" s="1" t="inlineStr">
        <is>
          <t>2025</t>
        </is>
      </c>
      <c r="D335" s="1" t="inlineStr">
        <is>
          <t>ACT</t>
        </is>
      </c>
      <c r="E335" s="1" t="inlineStr">
        <is>
          <t>2027BUD_V1</t>
        </is>
      </c>
      <c r="F335" s="1" t="inlineStr">
        <is>
          <t>12</t>
        </is>
      </c>
      <c r="G335" s="1" t="n">
        <v>309039</v>
      </c>
      <c r="H335" s="25">
        <f>_CALC_PNL!P335</f>
        <v/>
      </c>
      <c r="I335" s="25">
        <f>IF(_CALC_PNL!E335=1,H335-G335,"")</f>
        <v/>
      </c>
    </row>
    <row r="336">
      <c r="A336" s="1" t="inlineStr">
        <is>
          <t>ISCOM_LIL</t>
        </is>
      </c>
      <c r="B336" s="1" t="inlineStr">
        <is>
          <t>6413</t>
        </is>
      </c>
      <c r="C336" s="1" t="inlineStr">
        <is>
          <t>2025</t>
        </is>
      </c>
      <c r="D336" s="1" t="inlineStr">
        <is>
          <t>ACT</t>
        </is>
      </c>
      <c r="E336" s="1" t="inlineStr">
        <is>
          <t>2027BUD_V1</t>
        </is>
      </c>
      <c r="F336" s="1" t="inlineStr">
        <is>
          <t>12</t>
        </is>
      </c>
      <c r="G336" s="1" t="n">
        <v>120969</v>
      </c>
      <c r="H336" s="25">
        <f>_CALC_PNL!P336</f>
        <v/>
      </c>
      <c r="I336" s="25">
        <f>IF(_CALC_PNL!E336=1,H336-G336,"")</f>
        <v/>
      </c>
    </row>
    <row r="337">
      <c r="A337" s="1" t="inlineStr">
        <is>
          <t>ISCOM_TLS</t>
        </is>
      </c>
      <c r="B337" s="1" t="inlineStr">
        <is>
          <t>6413</t>
        </is>
      </c>
      <c r="C337" s="1" t="inlineStr">
        <is>
          <t>2025</t>
        </is>
      </c>
      <c r="D337" s="1" t="inlineStr">
        <is>
          <t>ACT</t>
        </is>
      </c>
      <c r="E337" s="1" t="inlineStr">
        <is>
          <t>2027BUD_V1</t>
        </is>
      </c>
      <c r="F337" s="1" t="inlineStr">
        <is>
          <t>12</t>
        </is>
      </c>
      <c r="G337" s="1" t="n">
        <v>112034</v>
      </c>
      <c r="H337" s="25">
        <f>_CALC_PNL!P337</f>
        <v/>
      </c>
      <c r="I337" s="25">
        <f>IF(_CALC_PNL!E337=1,H337-G337,"")</f>
        <v/>
      </c>
    </row>
    <row r="338">
      <c r="A338" s="1" t="inlineStr">
        <is>
          <t>IPAC_NAN</t>
        </is>
      </c>
      <c r="B338" s="1" t="inlineStr">
        <is>
          <t>6413</t>
        </is>
      </c>
      <c r="C338" s="1" t="inlineStr">
        <is>
          <t>2025</t>
        </is>
      </c>
      <c r="D338" s="1" t="inlineStr">
        <is>
          <t>ACT</t>
        </is>
      </c>
      <c r="E338" s="1" t="inlineStr">
        <is>
          <t>2027BUD_V1</t>
        </is>
      </c>
      <c r="F338" s="1" t="inlineStr">
        <is>
          <t>12</t>
        </is>
      </c>
      <c r="G338" s="1" t="n">
        <v>78138</v>
      </c>
      <c r="H338" s="25">
        <f>_CALC_PNL!P338</f>
        <v/>
      </c>
      <c r="I338" s="25">
        <f>IF(_CALC_PNL!E338=1,H338-G338,"")</f>
        <v/>
      </c>
    </row>
    <row r="339">
      <c r="A339" s="1" t="inlineStr">
        <is>
          <t>IPAC_REN</t>
        </is>
      </c>
      <c r="B339" s="1" t="inlineStr">
        <is>
          <t>6413</t>
        </is>
      </c>
      <c r="C339" s="1" t="inlineStr">
        <is>
          <t>2025</t>
        </is>
      </c>
      <c r="D339" s="1" t="inlineStr">
        <is>
          <t>ACT</t>
        </is>
      </c>
      <c r="E339" s="1" t="inlineStr">
        <is>
          <t>2027BUD_V1</t>
        </is>
      </c>
      <c r="F339" s="1" t="inlineStr">
        <is>
          <t>12</t>
        </is>
      </c>
      <c r="G339" s="1" t="n">
        <v>55484</v>
      </c>
      <c r="H339" s="25">
        <f>_CALC_PNL!P339</f>
        <v/>
      </c>
      <c r="I339" s="25">
        <f>IF(_CALC_PNL!E339=1,H339-G339,"")</f>
        <v/>
      </c>
    </row>
    <row r="340">
      <c r="A340" s="1" t="inlineStr">
        <is>
          <t>IPAC_MTP</t>
        </is>
      </c>
      <c r="B340" s="1" t="inlineStr">
        <is>
          <t>6413</t>
        </is>
      </c>
      <c r="C340" s="1" t="inlineStr">
        <is>
          <t>2025</t>
        </is>
      </c>
      <c r="D340" s="1" t="inlineStr">
        <is>
          <t>ACT</t>
        </is>
      </c>
      <c r="E340" s="1" t="inlineStr">
        <is>
          <t>2027BUD_V1</t>
        </is>
      </c>
      <c r="F340" s="1" t="inlineStr">
        <is>
          <t>12</t>
        </is>
      </c>
      <c r="G340" s="1" t="n">
        <v>55484</v>
      </c>
      <c r="H340" s="25">
        <f>_CALC_PNL!P340</f>
        <v/>
      </c>
      <c r="I340" s="25">
        <f>IF(_CALC_PNL!E340=1,H340-G340,"")</f>
        <v/>
      </c>
    </row>
    <row r="341">
      <c r="A341" s="1" t="inlineStr">
        <is>
          <t>PIGIER_LYO</t>
        </is>
      </c>
      <c r="B341" s="1" t="inlineStr">
        <is>
          <t>6413</t>
        </is>
      </c>
      <c r="C341" s="1" t="inlineStr">
        <is>
          <t>2025</t>
        </is>
      </c>
      <c r="D341" s="1" t="inlineStr">
        <is>
          <t>ACT</t>
        </is>
      </c>
      <c r="E341" s="1" t="inlineStr">
        <is>
          <t>2027BUD_V1</t>
        </is>
      </c>
      <c r="F341" s="1" t="inlineStr">
        <is>
          <t>12</t>
        </is>
      </c>
      <c r="G341" s="1" t="n">
        <v>109846</v>
      </c>
      <c r="H341" s="25">
        <f>_CALC_PNL!P341</f>
        <v/>
      </c>
      <c r="I341" s="25">
        <f>IF(_CALC_PNL!E341=1,H341-G341,"")</f>
        <v/>
      </c>
    </row>
    <row r="342">
      <c r="A342" s="1" t="inlineStr">
        <is>
          <t>PIGIER_BOR</t>
        </is>
      </c>
      <c r="B342" s="1" t="inlineStr">
        <is>
          <t>6413</t>
        </is>
      </c>
      <c r="C342" s="1" t="inlineStr">
        <is>
          <t>2025</t>
        </is>
      </c>
      <c r="D342" s="1" t="inlineStr">
        <is>
          <t>ACT</t>
        </is>
      </c>
      <c r="E342" s="1" t="inlineStr">
        <is>
          <t>2027BUD_V1</t>
        </is>
      </c>
      <c r="F342" s="1" t="inlineStr">
        <is>
          <t>12</t>
        </is>
      </c>
      <c r="G342" s="1" t="n">
        <v>80348</v>
      </c>
      <c r="H342" s="25">
        <f>_CALC_PNL!P342</f>
        <v/>
      </c>
      <c r="I342" s="25">
        <f>IF(_CALC_PNL!E342=1,H342-G342,"")</f>
        <v/>
      </c>
    </row>
    <row r="343">
      <c r="A343" s="1" t="inlineStr">
        <is>
          <t>TUNON_PAR</t>
        </is>
      </c>
      <c r="B343" s="1" t="inlineStr">
        <is>
          <t>6413</t>
        </is>
      </c>
      <c r="C343" s="1" t="inlineStr">
        <is>
          <t>2025</t>
        </is>
      </c>
      <c r="D343" s="1" t="inlineStr">
        <is>
          <t>ACT</t>
        </is>
      </c>
      <c r="E343" s="1" t="inlineStr">
        <is>
          <t>2027BUD_V1</t>
        </is>
      </c>
      <c r="F343" s="1" t="inlineStr">
        <is>
          <t>12</t>
        </is>
      </c>
      <c r="G343" s="1" t="n">
        <v>120473</v>
      </c>
      <c r="H343" s="25">
        <f>_CALC_PNL!P343</f>
        <v/>
      </c>
      <c r="I343" s="25">
        <f>IF(_CALC_PNL!E343=1,H343-G343,"")</f>
        <v/>
      </c>
    </row>
    <row r="344">
      <c r="A344" s="1" t="inlineStr">
        <is>
          <t>TUNON_LYO</t>
        </is>
      </c>
      <c r="B344" s="1" t="inlineStr">
        <is>
          <t>6413</t>
        </is>
      </c>
      <c r="C344" s="1" t="inlineStr">
        <is>
          <t>2025</t>
        </is>
      </c>
      <c r="D344" s="1" t="inlineStr">
        <is>
          <t>ACT</t>
        </is>
      </c>
      <c r="E344" s="1" t="inlineStr">
        <is>
          <t>2027BUD_V1</t>
        </is>
      </c>
      <c r="F344" s="1" t="inlineStr">
        <is>
          <t>12</t>
        </is>
      </c>
      <c r="G344" s="1" t="n">
        <v>70615</v>
      </c>
      <c r="H344" s="25">
        <f>_CALC_PNL!P344</f>
        <v/>
      </c>
      <c r="I344" s="25">
        <f>IF(_CALC_PNL!E344=1,H344-G344,"")</f>
        <v/>
      </c>
    </row>
    <row r="345">
      <c r="A345" s="1" t="inlineStr">
        <is>
          <t>MBWAY_PAR</t>
        </is>
      </c>
      <c r="B345" s="1" t="inlineStr">
        <is>
          <t>6413</t>
        </is>
      </c>
      <c r="C345" s="1" t="inlineStr">
        <is>
          <t>2026</t>
        </is>
      </c>
      <c r="D345" s="1" t="inlineStr">
        <is>
          <t>ACT</t>
        </is>
      </c>
      <c r="E345" s="1" t="inlineStr">
        <is>
          <t>2027BUD_V1</t>
        </is>
      </c>
      <c r="F345" s="1" t="inlineStr">
        <is>
          <t>12</t>
        </is>
      </c>
      <c r="G345" s="1" t="n">
        <v>349401</v>
      </c>
      <c r="H345" s="25">
        <f>_CALC_PNL!P345</f>
        <v/>
      </c>
      <c r="I345" s="25">
        <f>IF(_CALC_PNL!E345=1,H345-G345,"")</f>
        <v/>
      </c>
    </row>
    <row r="346">
      <c r="A346" s="1" t="inlineStr">
        <is>
          <t>MBWAY_LYO</t>
        </is>
      </c>
      <c r="B346" s="1" t="inlineStr">
        <is>
          <t>6413</t>
        </is>
      </c>
      <c r="C346" s="1" t="inlineStr">
        <is>
          <t>2026</t>
        </is>
      </c>
      <c r="D346" s="1" t="inlineStr">
        <is>
          <t>ACT</t>
        </is>
      </c>
      <c r="E346" s="1" t="inlineStr">
        <is>
          <t>2027BUD_V1</t>
        </is>
      </c>
      <c r="F346" s="1" t="inlineStr">
        <is>
          <t>12</t>
        </is>
      </c>
      <c r="G346" s="1" t="n">
        <v>204885</v>
      </c>
      <c r="H346" s="25">
        <f>_CALC_PNL!P346</f>
        <v/>
      </c>
      <c r="I346" s="25">
        <f>IF(_CALC_PNL!E346=1,H346-G346,"")</f>
        <v/>
      </c>
    </row>
    <row r="347">
      <c r="A347" s="1" t="inlineStr">
        <is>
          <t>MBWAY_NAN</t>
        </is>
      </c>
      <c r="B347" s="1" t="inlineStr">
        <is>
          <t>6413</t>
        </is>
      </c>
      <c r="C347" s="1" t="inlineStr">
        <is>
          <t>2026</t>
        </is>
      </c>
      <c r="D347" s="1" t="inlineStr">
        <is>
          <t>ACT</t>
        </is>
      </c>
      <c r="E347" s="1" t="inlineStr">
        <is>
          <t>2027BUD_V1</t>
        </is>
      </c>
      <c r="F347" s="1" t="inlineStr">
        <is>
          <t>12</t>
        </is>
      </c>
      <c r="G347" s="1" t="n">
        <v>165994</v>
      </c>
      <c r="H347" s="25">
        <f>_CALC_PNL!P347</f>
        <v/>
      </c>
      <c r="I347" s="25">
        <f>IF(_CALC_PNL!E347=1,H347-G347,"")</f>
        <v/>
      </c>
    </row>
    <row r="348">
      <c r="A348" s="1" t="inlineStr">
        <is>
          <t>MBWAY_BOR</t>
        </is>
      </c>
      <c r="B348" s="1" t="inlineStr">
        <is>
          <t>6413</t>
        </is>
      </c>
      <c r="C348" s="1" t="inlineStr">
        <is>
          <t>2026</t>
        </is>
      </c>
      <c r="D348" s="1" t="inlineStr">
        <is>
          <t>ACT</t>
        </is>
      </c>
      <c r="E348" s="1" t="inlineStr">
        <is>
          <t>2027BUD_V1</t>
        </is>
      </c>
      <c r="F348" s="1" t="inlineStr">
        <is>
          <t>12</t>
        </is>
      </c>
      <c r="G348" s="1" t="n">
        <v>147616</v>
      </c>
      <c r="H348" s="25">
        <f>_CALC_PNL!P348</f>
        <v/>
      </c>
      <c r="I348" s="25">
        <f>IF(_CALC_PNL!E348=1,H348-G348,"")</f>
        <v/>
      </c>
    </row>
    <row r="349">
      <c r="A349" s="1" t="inlineStr">
        <is>
          <t>ISCOM_PAR</t>
        </is>
      </c>
      <c r="B349" s="1" t="inlineStr">
        <is>
          <t>6413</t>
        </is>
      </c>
      <c r="C349" s="1" t="inlineStr">
        <is>
          <t>2026</t>
        </is>
      </c>
      <c r="D349" s="1" t="inlineStr">
        <is>
          <t>ACT</t>
        </is>
      </c>
      <c r="E349" s="1" t="inlineStr">
        <is>
          <t>2027BUD_V1</t>
        </is>
      </c>
      <c r="F349" s="1" t="inlineStr">
        <is>
          <t>12</t>
        </is>
      </c>
      <c r="G349" s="1" t="n">
        <v>323791</v>
      </c>
      <c r="H349" s="25">
        <f>_CALC_PNL!P349</f>
        <v/>
      </c>
      <c r="I349" s="25">
        <f>IF(_CALC_PNL!E349=1,H349-G349,"")</f>
        <v/>
      </c>
    </row>
    <row r="350">
      <c r="A350" s="1" t="inlineStr">
        <is>
          <t>ISCOM_LIL</t>
        </is>
      </c>
      <c r="B350" s="1" t="inlineStr">
        <is>
          <t>6413</t>
        </is>
      </c>
      <c r="C350" s="1" t="inlineStr">
        <is>
          <t>2026</t>
        </is>
      </c>
      <c r="D350" s="1" t="inlineStr">
        <is>
          <t>ACT</t>
        </is>
      </c>
      <c r="E350" s="1" t="inlineStr">
        <is>
          <t>2027BUD_V1</t>
        </is>
      </c>
      <c r="F350" s="1" t="inlineStr">
        <is>
          <t>12</t>
        </is>
      </c>
      <c r="G350" s="1" t="n">
        <v>126743</v>
      </c>
      <c r="H350" s="25">
        <f>_CALC_PNL!P350</f>
        <v/>
      </c>
      <c r="I350" s="25">
        <f>IF(_CALC_PNL!E350=1,H350-G350,"")</f>
        <v/>
      </c>
    </row>
    <row r="351">
      <c r="A351" s="1" t="inlineStr">
        <is>
          <t>ISCOM_TLS</t>
        </is>
      </c>
      <c r="B351" s="1" t="inlineStr">
        <is>
          <t>6413</t>
        </is>
      </c>
      <c r="C351" s="1" t="inlineStr">
        <is>
          <t>2026</t>
        </is>
      </c>
      <c r="D351" s="1" t="inlineStr">
        <is>
          <t>ACT</t>
        </is>
      </c>
      <c r="E351" s="1" t="inlineStr">
        <is>
          <t>2027BUD_V1</t>
        </is>
      </c>
      <c r="F351" s="1" t="inlineStr">
        <is>
          <t>12</t>
        </is>
      </c>
      <c r="G351" s="1" t="n">
        <v>117382</v>
      </c>
      <c r="H351" s="25">
        <f>_CALC_PNL!P351</f>
        <v/>
      </c>
      <c r="I351" s="25">
        <f>IF(_CALC_PNL!E351=1,H351-G351,"")</f>
        <v/>
      </c>
    </row>
    <row r="352">
      <c r="A352" s="1" t="inlineStr">
        <is>
          <t>IPAC_NAN</t>
        </is>
      </c>
      <c r="B352" s="1" t="inlineStr">
        <is>
          <t>6413</t>
        </is>
      </c>
      <c r="C352" s="1" t="inlineStr">
        <is>
          <t>2026</t>
        </is>
      </c>
      <c r="D352" s="1" t="inlineStr">
        <is>
          <t>ACT</t>
        </is>
      </c>
      <c r="E352" s="1" t="inlineStr">
        <is>
          <t>2027BUD_V1</t>
        </is>
      </c>
      <c r="F352" s="1" t="inlineStr">
        <is>
          <t>12</t>
        </is>
      </c>
      <c r="G352" s="1" t="n">
        <v>81868</v>
      </c>
      <c r="H352" s="25">
        <f>_CALC_PNL!P352</f>
        <v/>
      </c>
      <c r="I352" s="25">
        <f>IF(_CALC_PNL!E352=1,H352-G352,"")</f>
        <v/>
      </c>
    </row>
    <row r="353">
      <c r="A353" s="1" t="inlineStr">
        <is>
          <t>IPAC_REN</t>
        </is>
      </c>
      <c r="B353" s="1" t="inlineStr">
        <is>
          <t>6413</t>
        </is>
      </c>
      <c r="C353" s="1" t="inlineStr">
        <is>
          <t>2026</t>
        </is>
      </c>
      <c r="D353" s="1" t="inlineStr">
        <is>
          <t>ACT</t>
        </is>
      </c>
      <c r="E353" s="1" t="inlineStr">
        <is>
          <t>2027BUD_V1</t>
        </is>
      </c>
      <c r="F353" s="1" t="inlineStr">
        <is>
          <t>12</t>
        </is>
      </c>
      <c r="G353" s="1" t="n">
        <v>58132</v>
      </c>
      <c r="H353" s="25">
        <f>_CALC_PNL!P353</f>
        <v/>
      </c>
      <c r="I353" s="25">
        <f>IF(_CALC_PNL!E353=1,H353-G353,"")</f>
        <v/>
      </c>
    </row>
    <row r="354">
      <c r="A354" s="1" t="inlineStr">
        <is>
          <t>IPAC_MTP</t>
        </is>
      </c>
      <c r="B354" s="1" t="inlineStr">
        <is>
          <t>6413</t>
        </is>
      </c>
      <c r="C354" s="1" t="inlineStr">
        <is>
          <t>2026</t>
        </is>
      </c>
      <c r="D354" s="1" t="inlineStr">
        <is>
          <t>ACT</t>
        </is>
      </c>
      <c r="E354" s="1" t="inlineStr">
        <is>
          <t>2027BUD_V1</t>
        </is>
      </c>
      <c r="F354" s="1" t="inlineStr">
        <is>
          <t>12</t>
        </is>
      </c>
      <c r="G354" s="1" t="n">
        <v>58132</v>
      </c>
      <c r="H354" s="25">
        <f>_CALC_PNL!P354</f>
        <v/>
      </c>
      <c r="I354" s="25">
        <f>IF(_CALC_PNL!E354=1,H354-G354,"")</f>
        <v/>
      </c>
    </row>
    <row r="355">
      <c r="A355" s="1" t="inlineStr">
        <is>
          <t>PIGIER_LYO</t>
        </is>
      </c>
      <c r="B355" s="1" t="inlineStr">
        <is>
          <t>6413</t>
        </is>
      </c>
      <c r="C355" s="1" t="inlineStr">
        <is>
          <t>2026</t>
        </is>
      </c>
      <c r="D355" s="1" t="inlineStr">
        <is>
          <t>ACT</t>
        </is>
      </c>
      <c r="E355" s="1" t="inlineStr">
        <is>
          <t>2027BUD_V1</t>
        </is>
      </c>
      <c r="F355" s="1" t="inlineStr">
        <is>
          <t>12</t>
        </is>
      </c>
      <c r="G355" s="1" t="n">
        <v>115089</v>
      </c>
      <c r="H355" s="25">
        <f>_CALC_PNL!P355</f>
        <v/>
      </c>
      <c r="I355" s="25">
        <f>IF(_CALC_PNL!E355=1,H355-G355,"")</f>
        <v/>
      </c>
    </row>
    <row r="356">
      <c r="A356" s="1" t="inlineStr">
        <is>
          <t>PIGIER_BOR</t>
        </is>
      </c>
      <c r="B356" s="1" t="inlineStr">
        <is>
          <t>6413</t>
        </is>
      </c>
      <c r="C356" s="1" t="inlineStr">
        <is>
          <t>2026</t>
        </is>
      </c>
      <c r="D356" s="1" t="inlineStr">
        <is>
          <t>ACT</t>
        </is>
      </c>
      <c r="E356" s="1" t="inlineStr">
        <is>
          <t>2027BUD_V1</t>
        </is>
      </c>
      <c r="F356" s="1" t="inlineStr">
        <is>
          <t>12</t>
        </is>
      </c>
      <c r="G356" s="1" t="n">
        <v>84183</v>
      </c>
      <c r="H356" s="25">
        <f>_CALC_PNL!P356</f>
        <v/>
      </c>
      <c r="I356" s="25">
        <f>IF(_CALC_PNL!E356=1,H356-G356,"")</f>
        <v/>
      </c>
    </row>
    <row r="357">
      <c r="A357" s="1" t="inlineStr">
        <is>
          <t>TUNON_PAR</t>
        </is>
      </c>
      <c r="B357" s="1" t="inlineStr">
        <is>
          <t>6413</t>
        </is>
      </c>
      <c r="C357" s="1" t="inlineStr">
        <is>
          <t>2026</t>
        </is>
      </c>
      <c r="D357" s="1" t="inlineStr">
        <is>
          <t>ACT</t>
        </is>
      </c>
      <c r="E357" s="1" t="inlineStr">
        <is>
          <t>2027BUD_V1</t>
        </is>
      </c>
      <c r="F357" s="1" t="inlineStr">
        <is>
          <t>12</t>
        </is>
      </c>
      <c r="G357" s="1" t="n">
        <v>126224</v>
      </c>
      <c r="H357" s="25">
        <f>_CALC_PNL!P357</f>
        <v/>
      </c>
      <c r="I357" s="25">
        <f>IF(_CALC_PNL!E357=1,H357-G357,"")</f>
        <v/>
      </c>
    </row>
    <row r="358">
      <c r="A358" s="1" t="inlineStr">
        <is>
          <t>TUNON_LYO</t>
        </is>
      </c>
      <c r="B358" s="1" t="inlineStr">
        <is>
          <t>6413</t>
        </is>
      </c>
      <c r="C358" s="1" t="inlineStr">
        <is>
          <t>2026</t>
        </is>
      </c>
      <c r="D358" s="1" t="inlineStr">
        <is>
          <t>ACT</t>
        </is>
      </c>
      <c r="E358" s="1" t="inlineStr">
        <is>
          <t>2027BUD_V1</t>
        </is>
      </c>
      <c r="F358" s="1" t="inlineStr">
        <is>
          <t>12</t>
        </is>
      </c>
      <c r="G358" s="1" t="n">
        <v>73986</v>
      </c>
      <c r="H358" s="25">
        <f>_CALC_PNL!P358</f>
        <v/>
      </c>
      <c r="I358" s="25">
        <f>IF(_CALC_PNL!E358=1,H358-G358,"")</f>
        <v/>
      </c>
    </row>
    <row r="359">
      <c r="A359" s="1" t="inlineStr">
        <is>
          <t>GRP</t>
        </is>
      </c>
      <c r="B359" s="1" t="inlineStr">
        <is>
          <t>6414</t>
        </is>
      </c>
      <c r="C359" s="1" t="inlineStr">
        <is>
          <t>2024</t>
        </is>
      </c>
      <c r="D359" s="1" t="inlineStr">
        <is>
          <t>ACT</t>
        </is>
      </c>
      <c r="E359" s="1" t="inlineStr">
        <is>
          <t>2027BUD_V1</t>
        </is>
      </c>
      <c r="F359" s="1" t="inlineStr">
        <is>
          <t>12</t>
        </is>
      </c>
      <c r="G359" s="1" t="n">
        <v>1134071</v>
      </c>
      <c r="H359" s="25">
        <f>_CALC_PNL!P359</f>
        <v/>
      </c>
      <c r="I359" s="25">
        <f>IF(_CALC_PNL!E359=1,H359-G359,"")</f>
        <v/>
      </c>
    </row>
    <row r="360">
      <c r="A360" s="1" t="inlineStr">
        <is>
          <t>GRP</t>
        </is>
      </c>
      <c r="B360" s="1" t="inlineStr">
        <is>
          <t>6414</t>
        </is>
      </c>
      <c r="C360" s="1" t="inlineStr">
        <is>
          <t>2025</t>
        </is>
      </c>
      <c r="D360" s="1" t="inlineStr">
        <is>
          <t>ACT</t>
        </is>
      </c>
      <c r="E360" s="1" t="inlineStr">
        <is>
          <t>2027BUD_V1</t>
        </is>
      </c>
      <c r="F360" s="1" t="inlineStr">
        <is>
          <t>12</t>
        </is>
      </c>
      <c r="G360" s="1" t="n">
        <v>1186037</v>
      </c>
      <c r="H360" s="25">
        <f>_CALC_PNL!P360</f>
        <v/>
      </c>
      <c r="I360" s="25">
        <f>IF(_CALC_PNL!E360=1,H360-G360,"")</f>
        <v/>
      </c>
    </row>
    <row r="361">
      <c r="A361" s="1" t="inlineStr">
        <is>
          <t>GRP</t>
        </is>
      </c>
      <c r="B361" s="1" t="inlineStr">
        <is>
          <t>6414</t>
        </is>
      </c>
      <c r="C361" s="1" t="inlineStr">
        <is>
          <t>2026</t>
        </is>
      </c>
      <c r="D361" s="1" t="inlineStr">
        <is>
          <t>ACT</t>
        </is>
      </c>
      <c r="E361" s="1" t="inlineStr">
        <is>
          <t>2027BUD_V1</t>
        </is>
      </c>
      <c r="F361" s="1" t="inlineStr">
        <is>
          <t>12</t>
        </is>
      </c>
      <c r="G361" s="1" t="n">
        <v>1242649</v>
      </c>
      <c r="H361" s="25">
        <f>_CALC_PNL!P361</f>
        <v/>
      </c>
      <c r="I361" s="25">
        <f>IF(_CALC_PNL!E361=1,H361-G361,"")</f>
        <v/>
      </c>
    </row>
    <row r="362">
      <c r="A362" s="1" t="inlineStr">
        <is>
          <t>MBWAY_PAR</t>
        </is>
      </c>
      <c r="B362" s="1" t="inlineStr">
        <is>
          <t>645</t>
        </is>
      </c>
      <c r="C362" s="1" t="inlineStr">
        <is>
          <t>2024</t>
        </is>
      </c>
      <c r="D362" s="1" t="inlineStr">
        <is>
          <t>ACT</t>
        </is>
      </c>
      <c r="E362" s="1" t="inlineStr">
        <is>
          <t>2027BUD_V1</t>
        </is>
      </c>
      <c r="F362" s="1" t="inlineStr">
        <is>
          <t>12</t>
        </is>
      </c>
      <c r="G362" s="1" t="n">
        <v>496023</v>
      </c>
      <c r="H362" s="25">
        <f>_CALC_PNL!P362</f>
        <v/>
      </c>
      <c r="I362" s="25">
        <f>IF(_CALC_PNL!E362=1,H362-G362,"")</f>
        <v/>
      </c>
    </row>
    <row r="363">
      <c r="A363" s="1" t="inlineStr">
        <is>
          <t>MBWAY_LYO</t>
        </is>
      </c>
      <c r="B363" s="1" t="inlineStr">
        <is>
          <t>645</t>
        </is>
      </c>
      <c r="C363" s="1" t="inlineStr">
        <is>
          <t>2024</t>
        </is>
      </c>
      <c r="D363" s="1" t="inlineStr">
        <is>
          <t>ACT</t>
        </is>
      </c>
      <c r="E363" s="1" t="inlineStr">
        <is>
          <t>2027BUD_V1</t>
        </is>
      </c>
      <c r="F363" s="1" t="inlineStr">
        <is>
          <t>12</t>
        </is>
      </c>
      <c r="G363" s="1" t="n">
        <v>290862</v>
      </c>
      <c r="H363" s="25">
        <f>_CALC_PNL!P363</f>
        <v/>
      </c>
      <c r="I363" s="25">
        <f>IF(_CALC_PNL!E363=1,H363-G363,"")</f>
        <v/>
      </c>
    </row>
    <row r="364">
      <c r="A364" s="1" t="inlineStr">
        <is>
          <t>MBWAY_NAN</t>
        </is>
      </c>
      <c r="B364" s="1" t="inlineStr">
        <is>
          <t>645</t>
        </is>
      </c>
      <c r="C364" s="1" t="inlineStr">
        <is>
          <t>2024</t>
        </is>
      </c>
      <c r="D364" s="1" t="inlineStr">
        <is>
          <t>ACT</t>
        </is>
      </c>
      <c r="E364" s="1" t="inlineStr">
        <is>
          <t>2027BUD_V1</t>
        </is>
      </c>
      <c r="F364" s="1" t="inlineStr">
        <is>
          <t>12</t>
        </is>
      </c>
      <c r="G364" s="1" t="n">
        <v>235652</v>
      </c>
      <c r="H364" s="25">
        <f>_CALC_PNL!P364</f>
        <v/>
      </c>
      <c r="I364" s="25">
        <f>IF(_CALC_PNL!E364=1,H364-G364,"")</f>
        <v/>
      </c>
    </row>
    <row r="365">
      <c r="A365" s="1" t="inlineStr">
        <is>
          <t>MBWAY_BOR</t>
        </is>
      </c>
      <c r="B365" s="1" t="inlineStr">
        <is>
          <t>645</t>
        </is>
      </c>
      <c r="C365" s="1" t="inlineStr">
        <is>
          <t>2024</t>
        </is>
      </c>
      <c r="D365" s="1" t="inlineStr">
        <is>
          <t>ACT</t>
        </is>
      </c>
      <c r="E365" s="1" t="inlineStr">
        <is>
          <t>2027BUD_V1</t>
        </is>
      </c>
      <c r="F365" s="1" t="inlineStr">
        <is>
          <t>12</t>
        </is>
      </c>
      <c r="G365" s="1" t="n">
        <v>209562</v>
      </c>
      <c r="H365" s="25">
        <f>_CALC_PNL!P365</f>
        <v/>
      </c>
      <c r="I365" s="25">
        <f>IF(_CALC_PNL!E365=1,H365-G365,"")</f>
        <v/>
      </c>
    </row>
    <row r="366">
      <c r="A366" s="1" t="inlineStr">
        <is>
          <t>ISCOM_PAR</t>
        </is>
      </c>
      <c r="B366" s="1" t="inlineStr">
        <is>
          <t>645</t>
        </is>
      </c>
      <c r="C366" s="1" t="inlineStr">
        <is>
          <t>2024</t>
        </is>
      </c>
      <c r="D366" s="1" t="inlineStr">
        <is>
          <t>ACT</t>
        </is>
      </c>
      <c r="E366" s="1" t="inlineStr">
        <is>
          <t>2027BUD_V1</t>
        </is>
      </c>
      <c r="F366" s="1" t="inlineStr">
        <is>
          <t>12</t>
        </is>
      </c>
      <c r="G366" s="1" t="n">
        <v>459665</v>
      </c>
      <c r="H366" s="25">
        <f>_CALC_PNL!P366</f>
        <v/>
      </c>
      <c r="I366" s="25">
        <f>IF(_CALC_PNL!E366=1,H366-G366,"")</f>
        <v/>
      </c>
    </row>
    <row r="367">
      <c r="A367" s="1" t="inlineStr">
        <is>
          <t>ISCOM_LIL</t>
        </is>
      </c>
      <c r="B367" s="1" t="inlineStr">
        <is>
          <t>645</t>
        </is>
      </c>
      <c r="C367" s="1" t="inlineStr">
        <is>
          <t>2024</t>
        </is>
      </c>
      <c r="D367" s="1" t="inlineStr">
        <is>
          <t>ACT</t>
        </is>
      </c>
      <c r="E367" s="1" t="inlineStr">
        <is>
          <t>2027BUD_V1</t>
        </is>
      </c>
      <c r="F367" s="1" t="inlineStr">
        <is>
          <t>12</t>
        </is>
      </c>
      <c r="G367" s="1" t="n">
        <v>179929</v>
      </c>
      <c r="H367" s="25">
        <f>_CALC_PNL!P367</f>
        <v/>
      </c>
      <c r="I367" s="25">
        <f>IF(_CALC_PNL!E367=1,H367-G367,"")</f>
        <v/>
      </c>
    </row>
    <row r="368">
      <c r="A368" s="1" t="inlineStr">
        <is>
          <t>ISCOM_TLS</t>
        </is>
      </c>
      <c r="B368" s="1" t="inlineStr">
        <is>
          <t>645</t>
        </is>
      </c>
      <c r="C368" s="1" t="inlineStr">
        <is>
          <t>2024</t>
        </is>
      </c>
      <c r="D368" s="1" t="inlineStr">
        <is>
          <t>ACT</t>
        </is>
      </c>
      <c r="E368" s="1" t="inlineStr">
        <is>
          <t>2027BUD_V1</t>
        </is>
      </c>
      <c r="F368" s="1" t="inlineStr">
        <is>
          <t>12</t>
        </is>
      </c>
      <c r="G368" s="1" t="n">
        <v>166639</v>
      </c>
      <c r="H368" s="25">
        <f>_CALC_PNL!P368</f>
        <v/>
      </c>
      <c r="I368" s="25">
        <f>IF(_CALC_PNL!E368=1,H368-G368,"")</f>
        <v/>
      </c>
    </row>
    <row r="369">
      <c r="A369" s="1" t="inlineStr">
        <is>
          <t>IPAC_NAN</t>
        </is>
      </c>
      <c r="B369" s="1" t="inlineStr">
        <is>
          <t>645</t>
        </is>
      </c>
      <c r="C369" s="1" t="inlineStr">
        <is>
          <t>2024</t>
        </is>
      </c>
      <c r="D369" s="1" t="inlineStr">
        <is>
          <t>ACT</t>
        </is>
      </c>
      <c r="E369" s="1" t="inlineStr">
        <is>
          <t>2027BUD_V1</t>
        </is>
      </c>
      <c r="F369" s="1" t="inlineStr">
        <is>
          <t>12</t>
        </is>
      </c>
      <c r="G369" s="1" t="n">
        <v>116223</v>
      </c>
      <c r="H369" s="25">
        <f>_CALC_PNL!P369</f>
        <v/>
      </c>
      <c r="I369" s="25">
        <f>IF(_CALC_PNL!E369=1,H369-G369,"")</f>
        <v/>
      </c>
    </row>
    <row r="370">
      <c r="A370" s="1" t="inlineStr">
        <is>
          <t>IPAC_REN</t>
        </is>
      </c>
      <c r="B370" s="1" t="inlineStr">
        <is>
          <t>645</t>
        </is>
      </c>
      <c r="C370" s="1" t="inlineStr">
        <is>
          <t>2024</t>
        </is>
      </c>
      <c r="D370" s="1" t="inlineStr">
        <is>
          <t>ACT</t>
        </is>
      </c>
      <c r="E370" s="1" t="inlineStr">
        <is>
          <t>2027BUD_V1</t>
        </is>
      </c>
      <c r="F370" s="1" t="inlineStr">
        <is>
          <t>12</t>
        </is>
      </c>
      <c r="G370" s="1" t="n">
        <v>82526</v>
      </c>
      <c r="H370" s="25">
        <f>_CALC_PNL!P370</f>
        <v/>
      </c>
      <c r="I370" s="25">
        <f>IF(_CALC_PNL!E370=1,H370-G370,"")</f>
        <v/>
      </c>
    </row>
    <row r="371">
      <c r="A371" s="1" t="inlineStr">
        <is>
          <t>IPAC_MTP</t>
        </is>
      </c>
      <c r="B371" s="1" t="inlineStr">
        <is>
          <t>645</t>
        </is>
      </c>
      <c r="C371" s="1" t="inlineStr">
        <is>
          <t>2024</t>
        </is>
      </c>
      <c r="D371" s="1" t="inlineStr">
        <is>
          <t>ACT</t>
        </is>
      </c>
      <c r="E371" s="1" t="inlineStr">
        <is>
          <t>2027BUD_V1</t>
        </is>
      </c>
      <c r="F371" s="1" t="inlineStr">
        <is>
          <t>12</t>
        </is>
      </c>
      <c r="G371" s="1" t="n">
        <v>82526</v>
      </c>
      <c r="H371" s="25">
        <f>_CALC_PNL!P371</f>
        <v/>
      </c>
      <c r="I371" s="25">
        <f>IF(_CALC_PNL!E371=1,H371-G371,"")</f>
        <v/>
      </c>
    </row>
    <row r="372">
      <c r="A372" s="1" t="inlineStr">
        <is>
          <t>PIGIER_LYO</t>
        </is>
      </c>
      <c r="B372" s="1" t="inlineStr">
        <is>
          <t>645</t>
        </is>
      </c>
      <c r="C372" s="1" t="inlineStr">
        <is>
          <t>2024</t>
        </is>
      </c>
      <c r="D372" s="1" t="inlineStr">
        <is>
          <t>ACT</t>
        </is>
      </c>
      <c r="E372" s="1" t="inlineStr">
        <is>
          <t>2027BUD_V1</t>
        </is>
      </c>
      <c r="F372" s="1" t="inlineStr">
        <is>
          <t>12</t>
        </is>
      </c>
      <c r="G372" s="1" t="n">
        <v>163385</v>
      </c>
      <c r="H372" s="25">
        <f>_CALC_PNL!P372</f>
        <v/>
      </c>
      <c r="I372" s="25">
        <f>IF(_CALC_PNL!E372=1,H372-G372,"")</f>
        <v/>
      </c>
    </row>
    <row r="373">
      <c r="A373" s="1" t="inlineStr">
        <is>
          <t>PIGIER_BOR</t>
        </is>
      </c>
      <c r="B373" s="1" t="inlineStr">
        <is>
          <t>645</t>
        </is>
      </c>
      <c r="C373" s="1" t="inlineStr">
        <is>
          <t>2024</t>
        </is>
      </c>
      <c r="D373" s="1" t="inlineStr">
        <is>
          <t>ACT</t>
        </is>
      </c>
      <c r="E373" s="1" t="inlineStr">
        <is>
          <t>2027BUD_V1</t>
        </is>
      </c>
      <c r="F373" s="1" t="inlineStr">
        <is>
          <t>12</t>
        </is>
      </c>
      <c r="G373" s="1" t="n">
        <v>119509</v>
      </c>
      <c r="H373" s="25">
        <f>_CALC_PNL!P373</f>
        <v/>
      </c>
      <c r="I373" s="25">
        <f>IF(_CALC_PNL!E373=1,H373-G373,"")</f>
        <v/>
      </c>
    </row>
    <row r="374">
      <c r="A374" s="1" t="inlineStr">
        <is>
          <t>TUNON_PAR</t>
        </is>
      </c>
      <c r="B374" s="1" t="inlineStr">
        <is>
          <t>645</t>
        </is>
      </c>
      <c r="C374" s="1" t="inlineStr">
        <is>
          <t>2024</t>
        </is>
      </c>
      <c r="D374" s="1" t="inlineStr">
        <is>
          <t>ACT</t>
        </is>
      </c>
      <c r="E374" s="1" t="inlineStr">
        <is>
          <t>2027BUD_V1</t>
        </is>
      </c>
      <c r="F374" s="1" t="inlineStr">
        <is>
          <t>12</t>
        </is>
      </c>
      <c r="G374" s="1" t="n">
        <v>179192</v>
      </c>
      <c r="H374" s="25">
        <f>_CALC_PNL!P374</f>
        <v/>
      </c>
      <c r="I374" s="25">
        <f>IF(_CALC_PNL!E374=1,H374-G374,"")</f>
        <v/>
      </c>
    </row>
    <row r="375">
      <c r="A375" s="1" t="inlineStr">
        <is>
          <t>TUNON_LYO</t>
        </is>
      </c>
      <c r="B375" s="1" t="inlineStr">
        <is>
          <t>645</t>
        </is>
      </c>
      <c r="C375" s="1" t="inlineStr">
        <is>
          <t>2024</t>
        </is>
      </c>
      <c r="D375" s="1" t="inlineStr">
        <is>
          <t>ACT</t>
        </is>
      </c>
      <c r="E375" s="1" t="inlineStr">
        <is>
          <t>2027BUD_V1</t>
        </is>
      </c>
      <c r="F375" s="1" t="inlineStr">
        <is>
          <t>12</t>
        </is>
      </c>
      <c r="G375" s="1" t="n">
        <v>105033</v>
      </c>
      <c r="H375" s="25">
        <f>_CALC_PNL!P375</f>
        <v/>
      </c>
      <c r="I375" s="25">
        <f>IF(_CALC_PNL!E375=1,H375-G375,"")</f>
        <v/>
      </c>
    </row>
    <row r="376">
      <c r="A376" s="1" t="inlineStr">
        <is>
          <t>MBWAY_PAR</t>
        </is>
      </c>
      <c r="B376" s="1" t="inlineStr">
        <is>
          <t>645</t>
        </is>
      </c>
      <c r="C376" s="1" t="inlineStr">
        <is>
          <t>2025</t>
        </is>
      </c>
      <c r="D376" s="1" t="inlineStr">
        <is>
          <t>ACT</t>
        </is>
      </c>
      <c r="E376" s="1" t="inlineStr">
        <is>
          <t>2027BUD_V1</t>
        </is>
      </c>
      <c r="F376" s="1" t="inlineStr">
        <is>
          <t>12</t>
        </is>
      </c>
      <c r="G376" s="1" t="n">
        <v>518752</v>
      </c>
      <c r="H376" s="25">
        <f>_CALC_PNL!P376</f>
        <v/>
      </c>
      <c r="I376" s="25">
        <f>IF(_CALC_PNL!E376=1,H376-G376,"")</f>
        <v/>
      </c>
    </row>
    <row r="377">
      <c r="A377" s="1" t="inlineStr">
        <is>
          <t>MBWAY_LYO</t>
        </is>
      </c>
      <c r="B377" s="1" t="inlineStr">
        <is>
          <t>645</t>
        </is>
      </c>
      <c r="C377" s="1" t="inlineStr">
        <is>
          <t>2025</t>
        </is>
      </c>
      <c r="D377" s="1" t="inlineStr">
        <is>
          <t>ACT</t>
        </is>
      </c>
      <c r="E377" s="1" t="inlineStr">
        <is>
          <t>2027BUD_V1</t>
        </is>
      </c>
      <c r="F377" s="1" t="inlineStr">
        <is>
          <t>12</t>
        </is>
      </c>
      <c r="G377" s="1" t="n">
        <v>304190</v>
      </c>
      <c r="H377" s="25">
        <f>_CALC_PNL!P377</f>
        <v/>
      </c>
      <c r="I377" s="25">
        <f>IF(_CALC_PNL!E377=1,H377-G377,"")</f>
        <v/>
      </c>
    </row>
    <row r="378">
      <c r="A378" s="1" t="inlineStr">
        <is>
          <t>MBWAY_NAN</t>
        </is>
      </c>
      <c r="B378" s="1" t="inlineStr">
        <is>
          <t>645</t>
        </is>
      </c>
      <c r="C378" s="1" t="inlineStr">
        <is>
          <t>2025</t>
        </is>
      </c>
      <c r="D378" s="1" t="inlineStr">
        <is>
          <t>ACT</t>
        </is>
      </c>
      <c r="E378" s="1" t="inlineStr">
        <is>
          <t>2027BUD_V1</t>
        </is>
      </c>
      <c r="F378" s="1" t="inlineStr">
        <is>
          <t>12</t>
        </is>
      </c>
      <c r="G378" s="1" t="n">
        <v>246450</v>
      </c>
      <c r="H378" s="25">
        <f>_CALC_PNL!P378</f>
        <v/>
      </c>
      <c r="I378" s="25">
        <f>IF(_CALC_PNL!E378=1,H378-G378,"")</f>
        <v/>
      </c>
    </row>
    <row r="379">
      <c r="A379" s="1" t="inlineStr">
        <is>
          <t>MBWAY_BOR</t>
        </is>
      </c>
      <c r="B379" s="1" t="inlineStr">
        <is>
          <t>645</t>
        </is>
      </c>
      <c r="C379" s="1" t="inlineStr">
        <is>
          <t>2025</t>
        </is>
      </c>
      <c r="D379" s="1" t="inlineStr">
        <is>
          <t>ACT</t>
        </is>
      </c>
      <c r="E379" s="1" t="inlineStr">
        <is>
          <t>2027BUD_V1</t>
        </is>
      </c>
      <c r="F379" s="1" t="inlineStr">
        <is>
          <t>12</t>
        </is>
      </c>
      <c r="G379" s="1" t="n">
        <v>219164</v>
      </c>
      <c r="H379" s="25">
        <f>_CALC_PNL!P379</f>
        <v/>
      </c>
      <c r="I379" s="25">
        <f>IF(_CALC_PNL!E379=1,H379-G379,"")</f>
        <v/>
      </c>
    </row>
    <row r="380">
      <c r="A380" s="1" t="inlineStr">
        <is>
          <t>ISCOM_PAR</t>
        </is>
      </c>
      <c r="B380" s="1" t="inlineStr">
        <is>
          <t>645</t>
        </is>
      </c>
      <c r="C380" s="1" t="inlineStr">
        <is>
          <t>2025</t>
        </is>
      </c>
      <c r="D380" s="1" t="inlineStr">
        <is>
          <t>ACT</t>
        </is>
      </c>
      <c r="E380" s="1" t="inlineStr">
        <is>
          <t>2027BUD_V1</t>
        </is>
      </c>
      <c r="F380" s="1" t="inlineStr">
        <is>
          <t>12</t>
        </is>
      </c>
      <c r="G380" s="1" t="n">
        <v>480728</v>
      </c>
      <c r="H380" s="25">
        <f>_CALC_PNL!P380</f>
        <v/>
      </c>
      <c r="I380" s="25">
        <f>IF(_CALC_PNL!E380=1,H380-G380,"")</f>
        <v/>
      </c>
    </row>
    <row r="381">
      <c r="A381" s="1" t="inlineStr">
        <is>
          <t>ISCOM_LIL</t>
        </is>
      </c>
      <c r="B381" s="1" t="inlineStr">
        <is>
          <t>645</t>
        </is>
      </c>
      <c r="C381" s="1" t="inlineStr">
        <is>
          <t>2025</t>
        </is>
      </c>
      <c r="D381" s="1" t="inlineStr">
        <is>
          <t>ACT</t>
        </is>
      </c>
      <c r="E381" s="1" t="inlineStr">
        <is>
          <t>2027BUD_V1</t>
        </is>
      </c>
      <c r="F381" s="1" t="inlineStr">
        <is>
          <t>12</t>
        </is>
      </c>
      <c r="G381" s="1" t="n">
        <v>188174</v>
      </c>
      <c r="H381" s="25">
        <f>_CALC_PNL!P381</f>
        <v/>
      </c>
      <c r="I381" s="25">
        <f>IF(_CALC_PNL!E381=1,H381-G381,"")</f>
        <v/>
      </c>
    </row>
    <row r="382">
      <c r="A382" s="1" t="inlineStr">
        <is>
          <t>ISCOM_TLS</t>
        </is>
      </c>
      <c r="B382" s="1" t="inlineStr">
        <is>
          <t>645</t>
        </is>
      </c>
      <c r="C382" s="1" t="inlineStr">
        <is>
          <t>2025</t>
        </is>
      </c>
      <c r="D382" s="1" t="inlineStr">
        <is>
          <t>ACT</t>
        </is>
      </c>
      <c r="E382" s="1" t="inlineStr">
        <is>
          <t>2027BUD_V1</t>
        </is>
      </c>
      <c r="F382" s="1" t="inlineStr">
        <is>
          <t>12</t>
        </is>
      </c>
      <c r="G382" s="1" t="n">
        <v>174275</v>
      </c>
      <c r="H382" s="25">
        <f>_CALC_PNL!P382</f>
        <v/>
      </c>
      <c r="I382" s="25">
        <f>IF(_CALC_PNL!E382=1,H382-G382,"")</f>
        <v/>
      </c>
    </row>
    <row r="383">
      <c r="A383" s="1" t="inlineStr">
        <is>
          <t>IPAC_NAN</t>
        </is>
      </c>
      <c r="B383" s="1" t="inlineStr">
        <is>
          <t>645</t>
        </is>
      </c>
      <c r="C383" s="1" t="inlineStr">
        <is>
          <t>2025</t>
        </is>
      </c>
      <c r="D383" s="1" t="inlineStr">
        <is>
          <t>ACT</t>
        </is>
      </c>
      <c r="E383" s="1" t="inlineStr">
        <is>
          <t>2027BUD_V1</t>
        </is>
      </c>
      <c r="F383" s="1" t="inlineStr">
        <is>
          <t>12</t>
        </is>
      </c>
      <c r="G383" s="1" t="n">
        <v>121548</v>
      </c>
      <c r="H383" s="25">
        <f>_CALC_PNL!P383</f>
        <v/>
      </c>
      <c r="I383" s="25">
        <f>IF(_CALC_PNL!E383=1,H383-G383,"")</f>
        <v/>
      </c>
    </row>
    <row r="384">
      <c r="A384" s="1" t="inlineStr">
        <is>
          <t>IPAC_REN</t>
        </is>
      </c>
      <c r="B384" s="1" t="inlineStr">
        <is>
          <t>645</t>
        </is>
      </c>
      <c r="C384" s="1" t="inlineStr">
        <is>
          <t>2025</t>
        </is>
      </c>
      <c r="D384" s="1" t="inlineStr">
        <is>
          <t>ACT</t>
        </is>
      </c>
      <c r="E384" s="1" t="inlineStr">
        <is>
          <t>2027BUD_V1</t>
        </is>
      </c>
      <c r="F384" s="1" t="inlineStr">
        <is>
          <t>12</t>
        </is>
      </c>
      <c r="G384" s="1" t="n">
        <v>86308</v>
      </c>
      <c r="H384" s="25">
        <f>_CALC_PNL!P384</f>
        <v/>
      </c>
      <c r="I384" s="25">
        <f>IF(_CALC_PNL!E384=1,H384-G384,"")</f>
        <v/>
      </c>
    </row>
    <row r="385">
      <c r="A385" s="1" t="inlineStr">
        <is>
          <t>IPAC_MTP</t>
        </is>
      </c>
      <c r="B385" s="1" t="inlineStr">
        <is>
          <t>645</t>
        </is>
      </c>
      <c r="C385" s="1" t="inlineStr">
        <is>
          <t>2025</t>
        </is>
      </c>
      <c r="D385" s="1" t="inlineStr">
        <is>
          <t>ACT</t>
        </is>
      </c>
      <c r="E385" s="1" t="inlineStr">
        <is>
          <t>2027BUD_V1</t>
        </is>
      </c>
      <c r="F385" s="1" t="inlineStr">
        <is>
          <t>12</t>
        </is>
      </c>
      <c r="G385" s="1" t="n">
        <v>86308</v>
      </c>
      <c r="H385" s="25">
        <f>_CALC_PNL!P385</f>
        <v/>
      </c>
      <c r="I385" s="25">
        <f>IF(_CALC_PNL!E385=1,H385-G385,"")</f>
        <v/>
      </c>
    </row>
    <row r="386">
      <c r="A386" s="1" t="inlineStr">
        <is>
          <t>PIGIER_LYO</t>
        </is>
      </c>
      <c r="B386" s="1" t="inlineStr">
        <is>
          <t>645</t>
        </is>
      </c>
      <c r="C386" s="1" t="inlineStr">
        <is>
          <t>2025</t>
        </is>
      </c>
      <c r="D386" s="1" t="inlineStr">
        <is>
          <t>ACT</t>
        </is>
      </c>
      <c r="E386" s="1" t="inlineStr">
        <is>
          <t>2027BUD_V1</t>
        </is>
      </c>
      <c r="F386" s="1" t="inlineStr">
        <is>
          <t>12</t>
        </is>
      </c>
      <c r="G386" s="1" t="n">
        <v>170872</v>
      </c>
      <c r="H386" s="25">
        <f>_CALC_PNL!P386</f>
        <v/>
      </c>
      <c r="I386" s="25">
        <f>IF(_CALC_PNL!E386=1,H386-G386,"")</f>
        <v/>
      </c>
    </row>
    <row r="387">
      <c r="A387" s="1" t="inlineStr">
        <is>
          <t>PIGIER_BOR</t>
        </is>
      </c>
      <c r="B387" s="1" t="inlineStr">
        <is>
          <t>645</t>
        </is>
      </c>
      <c r="C387" s="1" t="inlineStr">
        <is>
          <t>2025</t>
        </is>
      </c>
      <c r="D387" s="1" t="inlineStr">
        <is>
          <t>ACT</t>
        </is>
      </c>
      <c r="E387" s="1" t="inlineStr">
        <is>
          <t>2027BUD_V1</t>
        </is>
      </c>
      <c r="F387" s="1" t="inlineStr">
        <is>
          <t>12</t>
        </is>
      </c>
      <c r="G387" s="1" t="n">
        <v>124985</v>
      </c>
      <c r="H387" s="25">
        <f>_CALC_PNL!P387</f>
        <v/>
      </c>
      <c r="I387" s="25">
        <f>IF(_CALC_PNL!E387=1,H387-G387,"")</f>
        <v/>
      </c>
    </row>
    <row r="388">
      <c r="A388" s="1" t="inlineStr">
        <is>
          <t>TUNON_PAR</t>
        </is>
      </c>
      <c r="B388" s="1" t="inlineStr">
        <is>
          <t>645</t>
        </is>
      </c>
      <c r="C388" s="1" t="inlineStr">
        <is>
          <t>2025</t>
        </is>
      </c>
      <c r="D388" s="1" t="inlineStr">
        <is>
          <t>ACT</t>
        </is>
      </c>
      <c r="E388" s="1" t="inlineStr">
        <is>
          <t>2027BUD_V1</t>
        </is>
      </c>
      <c r="F388" s="1" t="inlineStr">
        <is>
          <t>12</t>
        </is>
      </c>
      <c r="G388" s="1" t="n">
        <v>187402</v>
      </c>
      <c r="H388" s="25">
        <f>_CALC_PNL!P388</f>
        <v/>
      </c>
      <c r="I388" s="25">
        <f>IF(_CALC_PNL!E388=1,H388-G388,"")</f>
        <v/>
      </c>
    </row>
    <row r="389">
      <c r="A389" s="1" t="inlineStr">
        <is>
          <t>TUNON_LYO</t>
        </is>
      </c>
      <c r="B389" s="1" t="inlineStr">
        <is>
          <t>645</t>
        </is>
      </c>
      <c r="C389" s="1" t="inlineStr">
        <is>
          <t>2025</t>
        </is>
      </c>
      <c r="D389" s="1" t="inlineStr">
        <is>
          <t>ACT</t>
        </is>
      </c>
      <c r="E389" s="1" t="inlineStr">
        <is>
          <t>2027BUD_V1</t>
        </is>
      </c>
      <c r="F389" s="1" t="inlineStr">
        <is>
          <t>12</t>
        </is>
      </c>
      <c r="G389" s="1" t="n">
        <v>109846</v>
      </c>
      <c r="H389" s="25">
        <f>_CALC_PNL!P389</f>
        <v/>
      </c>
      <c r="I389" s="25">
        <f>IF(_CALC_PNL!E389=1,H389-G389,"")</f>
        <v/>
      </c>
    </row>
    <row r="390">
      <c r="A390" s="1" t="inlineStr">
        <is>
          <t>MBWAY_PAR</t>
        </is>
      </c>
      <c r="B390" s="1" t="inlineStr">
        <is>
          <t>645</t>
        </is>
      </c>
      <c r="C390" s="1" t="inlineStr">
        <is>
          <t>2026</t>
        </is>
      </c>
      <c r="D390" s="1" t="inlineStr">
        <is>
          <t>ACT</t>
        </is>
      </c>
      <c r="E390" s="1" t="inlineStr">
        <is>
          <t>2027BUD_V1</t>
        </is>
      </c>
      <c r="F390" s="1" t="inlineStr">
        <is>
          <t>12</t>
        </is>
      </c>
      <c r="G390" s="1" t="n">
        <v>543513</v>
      </c>
      <c r="H390" s="25">
        <f>_CALC_PNL!P390</f>
        <v/>
      </c>
      <c r="I390" s="25">
        <f>IF(_CALC_PNL!E390=1,H390-G390,"")</f>
        <v/>
      </c>
    </row>
    <row r="391">
      <c r="A391" s="1" t="inlineStr">
        <is>
          <t>MBWAY_LYO</t>
        </is>
      </c>
      <c r="B391" s="1" t="inlineStr">
        <is>
          <t>645</t>
        </is>
      </c>
      <c r="C391" s="1" t="inlineStr">
        <is>
          <t>2026</t>
        </is>
      </c>
      <c r="D391" s="1" t="inlineStr">
        <is>
          <t>ACT</t>
        </is>
      </c>
      <c r="E391" s="1" t="inlineStr">
        <is>
          <t>2027BUD_V1</t>
        </is>
      </c>
      <c r="F391" s="1" t="inlineStr">
        <is>
          <t>12</t>
        </is>
      </c>
      <c r="G391" s="1" t="n">
        <v>318709</v>
      </c>
      <c r="H391" s="25">
        <f>_CALC_PNL!P391</f>
        <v/>
      </c>
      <c r="I391" s="25">
        <f>IF(_CALC_PNL!E391=1,H391-G391,"")</f>
        <v/>
      </c>
    </row>
    <row r="392">
      <c r="A392" s="1" t="inlineStr">
        <is>
          <t>MBWAY_NAN</t>
        </is>
      </c>
      <c r="B392" s="1" t="inlineStr">
        <is>
          <t>645</t>
        </is>
      </c>
      <c r="C392" s="1" t="inlineStr">
        <is>
          <t>2026</t>
        </is>
      </c>
      <c r="D392" s="1" t="inlineStr">
        <is>
          <t>ACT</t>
        </is>
      </c>
      <c r="E392" s="1" t="inlineStr">
        <is>
          <t>2027BUD_V1</t>
        </is>
      </c>
      <c r="F392" s="1" t="inlineStr">
        <is>
          <t>12</t>
        </is>
      </c>
      <c r="G392" s="1" t="n">
        <v>258214</v>
      </c>
      <c r="H392" s="25">
        <f>_CALC_PNL!P392</f>
        <v/>
      </c>
      <c r="I392" s="25">
        <f>IF(_CALC_PNL!E392=1,H392-G392,"")</f>
        <v/>
      </c>
    </row>
    <row r="393">
      <c r="A393" s="1" t="inlineStr">
        <is>
          <t>MBWAY_BOR</t>
        </is>
      </c>
      <c r="B393" s="1" t="inlineStr">
        <is>
          <t>645</t>
        </is>
      </c>
      <c r="C393" s="1" t="inlineStr">
        <is>
          <t>2026</t>
        </is>
      </c>
      <c r="D393" s="1" t="inlineStr">
        <is>
          <t>ACT</t>
        </is>
      </c>
      <c r="E393" s="1" t="inlineStr">
        <is>
          <t>2027BUD_V1</t>
        </is>
      </c>
      <c r="F393" s="1" t="inlineStr">
        <is>
          <t>12</t>
        </is>
      </c>
      <c r="G393" s="1" t="n">
        <v>229626</v>
      </c>
      <c r="H393" s="25">
        <f>_CALC_PNL!P393</f>
        <v/>
      </c>
      <c r="I393" s="25">
        <f>IF(_CALC_PNL!E393=1,H393-G393,"")</f>
        <v/>
      </c>
    </row>
    <row r="394">
      <c r="A394" s="1" t="inlineStr">
        <is>
          <t>ISCOM_PAR</t>
        </is>
      </c>
      <c r="B394" s="1" t="inlineStr">
        <is>
          <t>645</t>
        </is>
      </c>
      <c r="C394" s="1" t="inlineStr">
        <is>
          <t>2026</t>
        </is>
      </c>
      <c r="D394" s="1" t="inlineStr">
        <is>
          <t>ACT</t>
        </is>
      </c>
      <c r="E394" s="1" t="inlineStr">
        <is>
          <t>2027BUD_V1</t>
        </is>
      </c>
      <c r="F394" s="1" t="inlineStr">
        <is>
          <t>12</t>
        </is>
      </c>
      <c r="G394" s="1" t="n">
        <v>503674</v>
      </c>
      <c r="H394" s="25">
        <f>_CALC_PNL!P394</f>
        <v/>
      </c>
      <c r="I394" s="25">
        <f>IF(_CALC_PNL!E394=1,H394-G394,"")</f>
        <v/>
      </c>
    </row>
    <row r="395">
      <c r="A395" s="1" t="inlineStr">
        <is>
          <t>ISCOM_LIL</t>
        </is>
      </c>
      <c r="B395" s="1" t="inlineStr">
        <is>
          <t>645</t>
        </is>
      </c>
      <c r="C395" s="1" t="inlineStr">
        <is>
          <t>2026</t>
        </is>
      </c>
      <c r="D395" s="1" t="inlineStr">
        <is>
          <t>ACT</t>
        </is>
      </c>
      <c r="E395" s="1" t="inlineStr">
        <is>
          <t>2027BUD_V1</t>
        </is>
      </c>
      <c r="F395" s="1" t="inlineStr">
        <is>
          <t>12</t>
        </is>
      </c>
      <c r="G395" s="1" t="n">
        <v>197156</v>
      </c>
      <c r="H395" s="25">
        <f>_CALC_PNL!P395</f>
        <v/>
      </c>
      <c r="I395" s="25">
        <f>IF(_CALC_PNL!E395=1,H395-G395,"")</f>
        <v/>
      </c>
    </row>
    <row r="396">
      <c r="A396" s="1" t="inlineStr">
        <is>
          <t>ISCOM_TLS</t>
        </is>
      </c>
      <c r="B396" s="1" t="inlineStr">
        <is>
          <t>645</t>
        </is>
      </c>
      <c r="C396" s="1" t="inlineStr">
        <is>
          <t>2026</t>
        </is>
      </c>
      <c r="D396" s="1" t="inlineStr">
        <is>
          <t>ACT</t>
        </is>
      </c>
      <c r="E396" s="1" t="inlineStr">
        <is>
          <t>2027BUD_V1</t>
        </is>
      </c>
      <c r="F396" s="1" t="inlineStr">
        <is>
          <t>12</t>
        </is>
      </c>
      <c r="G396" s="1" t="n">
        <v>182594</v>
      </c>
      <c r="H396" s="25">
        <f>_CALC_PNL!P396</f>
        <v/>
      </c>
      <c r="I396" s="25">
        <f>IF(_CALC_PNL!E396=1,H396-G396,"")</f>
        <v/>
      </c>
    </row>
    <row r="397">
      <c r="A397" s="1" t="inlineStr">
        <is>
          <t>IPAC_NAN</t>
        </is>
      </c>
      <c r="B397" s="1" t="inlineStr">
        <is>
          <t>645</t>
        </is>
      </c>
      <c r="C397" s="1" t="inlineStr">
        <is>
          <t>2026</t>
        </is>
      </c>
      <c r="D397" s="1" t="inlineStr">
        <is>
          <t>ACT</t>
        </is>
      </c>
      <c r="E397" s="1" t="inlineStr">
        <is>
          <t>2027BUD_V1</t>
        </is>
      </c>
      <c r="F397" s="1" t="inlineStr">
        <is>
          <t>12</t>
        </is>
      </c>
      <c r="G397" s="1" t="n">
        <v>127350</v>
      </c>
      <c r="H397" s="25">
        <f>_CALC_PNL!P397</f>
        <v/>
      </c>
      <c r="I397" s="25">
        <f>IF(_CALC_PNL!E397=1,H397-G397,"")</f>
        <v/>
      </c>
    </row>
    <row r="398">
      <c r="A398" s="1" t="inlineStr">
        <is>
          <t>IPAC_REN</t>
        </is>
      </c>
      <c r="B398" s="1" t="inlineStr">
        <is>
          <t>645</t>
        </is>
      </c>
      <c r="C398" s="1" t="inlineStr">
        <is>
          <t>2026</t>
        </is>
      </c>
      <c r="D398" s="1" t="inlineStr">
        <is>
          <t>ACT</t>
        </is>
      </c>
      <c r="E398" s="1" t="inlineStr">
        <is>
          <t>2027BUD_V1</t>
        </is>
      </c>
      <c r="F398" s="1" t="inlineStr">
        <is>
          <t>12</t>
        </is>
      </c>
      <c r="G398" s="1" t="n">
        <v>90427</v>
      </c>
      <c r="H398" s="25">
        <f>_CALC_PNL!P398</f>
        <v/>
      </c>
      <c r="I398" s="25">
        <f>IF(_CALC_PNL!E398=1,H398-G398,"")</f>
        <v/>
      </c>
    </row>
    <row r="399">
      <c r="A399" s="1" t="inlineStr">
        <is>
          <t>IPAC_MTP</t>
        </is>
      </c>
      <c r="B399" s="1" t="inlineStr">
        <is>
          <t>645</t>
        </is>
      </c>
      <c r="C399" s="1" t="inlineStr">
        <is>
          <t>2026</t>
        </is>
      </c>
      <c r="D399" s="1" t="inlineStr">
        <is>
          <t>ACT</t>
        </is>
      </c>
      <c r="E399" s="1" t="inlineStr">
        <is>
          <t>2027BUD_V1</t>
        </is>
      </c>
      <c r="F399" s="1" t="inlineStr">
        <is>
          <t>12</t>
        </is>
      </c>
      <c r="G399" s="1" t="n">
        <v>90427</v>
      </c>
      <c r="H399" s="25">
        <f>_CALC_PNL!P399</f>
        <v/>
      </c>
      <c r="I399" s="25">
        <f>IF(_CALC_PNL!E399=1,H399-G399,"")</f>
        <v/>
      </c>
    </row>
    <row r="400">
      <c r="A400" s="1" t="inlineStr">
        <is>
          <t>PIGIER_LYO</t>
        </is>
      </c>
      <c r="B400" s="1" t="inlineStr">
        <is>
          <t>645</t>
        </is>
      </c>
      <c r="C400" s="1" t="inlineStr">
        <is>
          <t>2026</t>
        </is>
      </c>
      <c r="D400" s="1" t="inlineStr">
        <is>
          <t>ACT</t>
        </is>
      </c>
      <c r="E400" s="1" t="inlineStr">
        <is>
          <t>2027BUD_V1</t>
        </is>
      </c>
      <c r="F400" s="1" t="inlineStr">
        <is>
          <t>12</t>
        </is>
      </c>
      <c r="G400" s="1" t="n">
        <v>179028</v>
      </c>
      <c r="H400" s="25">
        <f>_CALC_PNL!P400</f>
        <v/>
      </c>
      <c r="I400" s="25">
        <f>IF(_CALC_PNL!E400=1,H400-G400,"")</f>
        <v/>
      </c>
    </row>
    <row r="401">
      <c r="A401" s="1" t="inlineStr">
        <is>
          <t>PIGIER_BOR</t>
        </is>
      </c>
      <c r="B401" s="1" t="inlineStr">
        <is>
          <t>645</t>
        </is>
      </c>
      <c r="C401" s="1" t="inlineStr">
        <is>
          <t>2026</t>
        </is>
      </c>
      <c r="D401" s="1" t="inlineStr">
        <is>
          <t>ACT</t>
        </is>
      </c>
      <c r="E401" s="1" t="inlineStr">
        <is>
          <t>2027BUD_V1</t>
        </is>
      </c>
      <c r="F401" s="1" t="inlineStr">
        <is>
          <t>12</t>
        </is>
      </c>
      <c r="G401" s="1" t="n">
        <v>130951</v>
      </c>
      <c r="H401" s="25">
        <f>_CALC_PNL!P401</f>
        <v/>
      </c>
      <c r="I401" s="25">
        <f>IF(_CALC_PNL!E401=1,H401-G401,"")</f>
        <v/>
      </c>
    </row>
    <row r="402">
      <c r="A402" s="1" t="inlineStr">
        <is>
          <t>TUNON_PAR</t>
        </is>
      </c>
      <c r="B402" s="1" t="inlineStr">
        <is>
          <t>645</t>
        </is>
      </c>
      <c r="C402" s="1" t="inlineStr">
        <is>
          <t>2026</t>
        </is>
      </c>
      <c r="D402" s="1" t="inlineStr">
        <is>
          <t>ACT</t>
        </is>
      </c>
      <c r="E402" s="1" t="inlineStr">
        <is>
          <t>2027BUD_V1</t>
        </is>
      </c>
      <c r="F402" s="1" t="inlineStr">
        <is>
          <t>12</t>
        </is>
      </c>
      <c r="G402" s="1" t="n">
        <v>196348</v>
      </c>
      <c r="H402" s="25">
        <f>_CALC_PNL!P402</f>
        <v/>
      </c>
      <c r="I402" s="25">
        <f>IF(_CALC_PNL!E402=1,H402-G402,"")</f>
        <v/>
      </c>
    </row>
    <row r="403">
      <c r="A403" s="1" t="inlineStr">
        <is>
          <t>TUNON_LYO</t>
        </is>
      </c>
      <c r="B403" s="1" t="inlineStr">
        <is>
          <t>645</t>
        </is>
      </c>
      <c r="C403" s="1" t="inlineStr">
        <is>
          <t>2026</t>
        </is>
      </c>
      <c r="D403" s="1" t="inlineStr">
        <is>
          <t>ACT</t>
        </is>
      </c>
      <c r="E403" s="1" t="inlineStr">
        <is>
          <t>2027BUD_V1</t>
        </is>
      </c>
      <c r="F403" s="1" t="inlineStr">
        <is>
          <t>12</t>
        </is>
      </c>
      <c r="G403" s="1" t="n">
        <v>115089</v>
      </c>
      <c r="H403" s="25">
        <f>_CALC_PNL!P403</f>
        <v/>
      </c>
      <c r="I403" s="25">
        <f>IF(_CALC_PNL!E403=1,H403-G403,"")</f>
        <v/>
      </c>
    </row>
    <row r="404">
      <c r="A404" s="1" t="inlineStr">
        <is>
          <t>MBWAY_PAR</t>
        </is>
      </c>
      <c r="B404" s="1" t="inlineStr">
        <is>
          <t>613</t>
        </is>
      </c>
      <c r="C404" s="1" t="inlineStr">
        <is>
          <t>2024</t>
        </is>
      </c>
      <c r="D404" s="1" t="inlineStr">
        <is>
          <t>ACT</t>
        </is>
      </c>
      <c r="E404" s="1" t="inlineStr">
        <is>
          <t>2027BUD_V1</t>
        </is>
      </c>
      <c r="F404" s="1" t="inlineStr">
        <is>
          <t>12</t>
        </is>
      </c>
      <c r="G404" s="1" t="n">
        <v>341140</v>
      </c>
      <c r="H404" s="25">
        <f>_CALC_PNL!P404</f>
        <v/>
      </c>
      <c r="I404" s="25">
        <f>IF(_CALC_PNL!E404=1,H404-G404,"")</f>
        <v/>
      </c>
    </row>
    <row r="405">
      <c r="A405" s="1" t="inlineStr">
        <is>
          <t>MBWAY_LYO</t>
        </is>
      </c>
      <c r="B405" s="1" t="inlineStr">
        <is>
          <t>613</t>
        </is>
      </c>
      <c r="C405" s="1" t="inlineStr">
        <is>
          <t>2024</t>
        </is>
      </c>
      <c r="D405" s="1" t="inlineStr">
        <is>
          <t>ACT</t>
        </is>
      </c>
      <c r="E405" s="1" t="inlineStr">
        <is>
          <t>2027BUD_V1</t>
        </is>
      </c>
      <c r="F405" s="1" t="inlineStr">
        <is>
          <t>12</t>
        </is>
      </c>
      <c r="G405" s="1" t="n">
        <v>204403</v>
      </c>
      <c r="H405" s="25">
        <f>_CALC_PNL!P405</f>
        <v/>
      </c>
      <c r="I405" s="25">
        <f>IF(_CALC_PNL!E405=1,H405-G405,"")</f>
        <v/>
      </c>
    </row>
    <row r="406">
      <c r="A406" s="1" t="inlineStr">
        <is>
          <t>MBWAY_NAN</t>
        </is>
      </c>
      <c r="B406" s="1" t="inlineStr">
        <is>
          <t>613</t>
        </is>
      </c>
      <c r="C406" s="1" t="inlineStr">
        <is>
          <t>2024</t>
        </is>
      </c>
      <c r="D406" s="1" t="inlineStr">
        <is>
          <t>ACT</t>
        </is>
      </c>
      <c r="E406" s="1" t="inlineStr">
        <is>
          <t>2027BUD_V1</t>
        </is>
      </c>
      <c r="F406" s="1" t="inlineStr">
        <is>
          <t>12</t>
        </is>
      </c>
      <c r="G406" s="1" t="n">
        <v>168464</v>
      </c>
      <c r="H406" s="25">
        <f>_CALC_PNL!P406</f>
        <v/>
      </c>
      <c r="I406" s="25">
        <f>IF(_CALC_PNL!E406=1,H406-G406,"")</f>
        <v/>
      </c>
    </row>
    <row r="407">
      <c r="A407" s="1" t="inlineStr">
        <is>
          <t>MBWAY_BOR</t>
        </is>
      </c>
      <c r="B407" s="1" t="inlineStr">
        <is>
          <t>613</t>
        </is>
      </c>
      <c r="C407" s="1" t="inlineStr">
        <is>
          <t>2024</t>
        </is>
      </c>
      <c r="D407" s="1" t="inlineStr">
        <is>
          <t>ACT</t>
        </is>
      </c>
      <c r="E407" s="1" t="inlineStr">
        <is>
          <t>2027BUD_V1</t>
        </is>
      </c>
      <c r="F407" s="1" t="inlineStr">
        <is>
          <t>12</t>
        </is>
      </c>
      <c r="G407" s="1" t="n">
        <v>147406</v>
      </c>
      <c r="H407" s="25">
        <f>_CALC_PNL!P407</f>
        <v/>
      </c>
      <c r="I407" s="25">
        <f>IF(_CALC_PNL!E407=1,H407-G407,"")</f>
        <v/>
      </c>
    </row>
    <row r="408">
      <c r="A408" s="1" t="inlineStr">
        <is>
          <t>ISCOM_PAR</t>
        </is>
      </c>
      <c r="B408" s="1" t="inlineStr">
        <is>
          <t>613</t>
        </is>
      </c>
      <c r="C408" s="1" t="inlineStr">
        <is>
          <t>2024</t>
        </is>
      </c>
      <c r="D408" s="1" t="inlineStr">
        <is>
          <t>ACT</t>
        </is>
      </c>
      <c r="E408" s="1" t="inlineStr">
        <is>
          <t>2027BUD_V1</t>
        </is>
      </c>
      <c r="F408" s="1" t="inlineStr">
        <is>
          <t>12</t>
        </is>
      </c>
      <c r="G408" s="1" t="n">
        <v>341140</v>
      </c>
      <c r="H408" s="25">
        <f>_CALC_PNL!P408</f>
        <v/>
      </c>
      <c r="I408" s="25">
        <f>IF(_CALC_PNL!E408=1,H408-G408,"")</f>
        <v/>
      </c>
    </row>
    <row r="409">
      <c r="A409" s="1" t="inlineStr">
        <is>
          <t>ISCOM_LIL</t>
        </is>
      </c>
      <c r="B409" s="1" t="inlineStr">
        <is>
          <t>613</t>
        </is>
      </c>
      <c r="C409" s="1" t="inlineStr">
        <is>
          <t>2024</t>
        </is>
      </c>
      <c r="D409" s="1" t="inlineStr">
        <is>
          <t>ACT</t>
        </is>
      </c>
      <c r="E409" s="1" t="inlineStr">
        <is>
          <t>2027BUD_V1</t>
        </is>
      </c>
      <c r="F409" s="1" t="inlineStr">
        <is>
          <t>12</t>
        </is>
      </c>
      <c r="G409" s="1" t="n">
        <v>129156</v>
      </c>
      <c r="H409" s="25">
        <f>_CALC_PNL!P409</f>
        <v/>
      </c>
      <c r="I409" s="25">
        <f>IF(_CALC_PNL!E409=1,H409-G409,"")</f>
        <v/>
      </c>
    </row>
    <row r="410">
      <c r="A410" s="1" t="inlineStr">
        <is>
          <t>ISCOM_TLS</t>
        </is>
      </c>
      <c r="B410" s="1" t="inlineStr">
        <is>
          <t>613</t>
        </is>
      </c>
      <c r="C410" s="1" t="inlineStr">
        <is>
          <t>2024</t>
        </is>
      </c>
      <c r="D410" s="1" t="inlineStr">
        <is>
          <t>ACT</t>
        </is>
      </c>
      <c r="E410" s="1" t="inlineStr">
        <is>
          <t>2027BUD_V1</t>
        </is>
      </c>
      <c r="F410" s="1" t="inlineStr">
        <is>
          <t>12</t>
        </is>
      </c>
      <c r="G410" s="1" t="n">
        <v>126348</v>
      </c>
      <c r="H410" s="25">
        <f>_CALC_PNL!P410</f>
        <v/>
      </c>
      <c r="I410" s="25">
        <f>IF(_CALC_PNL!E410=1,H410-G410,"")</f>
        <v/>
      </c>
    </row>
    <row r="411">
      <c r="A411" s="1" t="inlineStr">
        <is>
          <t>IPAC_NAN</t>
        </is>
      </c>
      <c r="B411" s="1" t="inlineStr">
        <is>
          <t>613</t>
        </is>
      </c>
      <c r="C411" s="1" t="inlineStr">
        <is>
          <t>2024</t>
        </is>
      </c>
      <c r="D411" s="1" t="inlineStr">
        <is>
          <t>ACT</t>
        </is>
      </c>
      <c r="E411" s="1" t="inlineStr">
        <is>
          <t>2027BUD_V1</t>
        </is>
      </c>
      <c r="F411" s="1" t="inlineStr">
        <is>
          <t>12</t>
        </is>
      </c>
      <c r="G411" s="1" t="n">
        <v>84232</v>
      </c>
      <c r="H411" s="25">
        <f>_CALC_PNL!P411</f>
        <v/>
      </c>
      <c r="I411" s="25">
        <f>IF(_CALC_PNL!E411=1,H411-G411,"")</f>
        <v/>
      </c>
    </row>
    <row r="412">
      <c r="A412" s="1" t="inlineStr">
        <is>
          <t>IPAC_REN</t>
        </is>
      </c>
      <c r="B412" s="1" t="inlineStr">
        <is>
          <t>613</t>
        </is>
      </c>
      <c r="C412" s="1" t="inlineStr">
        <is>
          <t>2024</t>
        </is>
      </c>
      <c r="D412" s="1" t="inlineStr">
        <is>
          <t>ACT</t>
        </is>
      </c>
      <c r="E412" s="1" t="inlineStr">
        <is>
          <t>2027BUD_V1</t>
        </is>
      </c>
      <c r="F412" s="1" t="inlineStr">
        <is>
          <t>12</t>
        </is>
      </c>
      <c r="G412" s="1" t="n">
        <v>74124</v>
      </c>
      <c r="H412" s="25">
        <f>_CALC_PNL!P412</f>
        <v/>
      </c>
      <c r="I412" s="25">
        <f>IF(_CALC_PNL!E412=1,H412-G412,"")</f>
        <v/>
      </c>
    </row>
    <row r="413">
      <c r="A413" s="1" t="inlineStr">
        <is>
          <t>IPAC_MTP</t>
        </is>
      </c>
      <c r="B413" s="1" t="inlineStr">
        <is>
          <t>613</t>
        </is>
      </c>
      <c r="C413" s="1" t="inlineStr">
        <is>
          <t>2024</t>
        </is>
      </c>
      <c r="D413" s="1" t="inlineStr">
        <is>
          <t>ACT</t>
        </is>
      </c>
      <c r="E413" s="1" t="inlineStr">
        <is>
          <t>2027BUD_V1</t>
        </is>
      </c>
      <c r="F413" s="1" t="inlineStr">
        <is>
          <t>12</t>
        </is>
      </c>
      <c r="G413" s="1" t="n">
        <v>74124</v>
      </c>
      <c r="H413" s="25">
        <f>_CALC_PNL!P413</f>
        <v/>
      </c>
      <c r="I413" s="25">
        <f>IF(_CALC_PNL!E413=1,H413-G413,"")</f>
        <v/>
      </c>
    </row>
    <row r="414">
      <c r="A414" s="1" t="inlineStr">
        <is>
          <t>PIGIER_LYO</t>
        </is>
      </c>
      <c r="B414" s="1" t="inlineStr">
        <is>
          <t>613</t>
        </is>
      </c>
      <c r="C414" s="1" t="inlineStr">
        <is>
          <t>2024</t>
        </is>
      </c>
      <c r="D414" s="1" t="inlineStr">
        <is>
          <t>ACT</t>
        </is>
      </c>
      <c r="E414" s="1" t="inlineStr">
        <is>
          <t>2027BUD_V1</t>
        </is>
      </c>
      <c r="F414" s="1" t="inlineStr">
        <is>
          <t>12</t>
        </is>
      </c>
      <c r="G414" s="1" t="n">
        <v>125787</v>
      </c>
      <c r="H414" s="25">
        <f>_CALC_PNL!P414</f>
        <v/>
      </c>
      <c r="I414" s="25">
        <f>IF(_CALC_PNL!E414=1,H414-G414,"")</f>
        <v/>
      </c>
    </row>
    <row r="415">
      <c r="A415" s="1" t="inlineStr">
        <is>
          <t>PIGIER_BOR</t>
        </is>
      </c>
      <c r="B415" s="1" t="inlineStr">
        <is>
          <t>613</t>
        </is>
      </c>
      <c r="C415" s="1" t="inlineStr">
        <is>
          <t>2024</t>
        </is>
      </c>
      <c r="D415" s="1" t="inlineStr">
        <is>
          <t>ACT</t>
        </is>
      </c>
      <c r="E415" s="1" t="inlineStr">
        <is>
          <t>2027BUD_V1</t>
        </is>
      </c>
      <c r="F415" s="1" t="inlineStr">
        <is>
          <t>12</t>
        </is>
      </c>
      <c r="G415" s="1" t="n">
        <v>117925</v>
      </c>
      <c r="H415" s="25">
        <f>_CALC_PNL!P415</f>
        <v/>
      </c>
      <c r="I415" s="25">
        <f>IF(_CALC_PNL!E415=1,H415-G415,"")</f>
        <v/>
      </c>
    </row>
    <row r="416">
      <c r="A416" s="1" t="inlineStr">
        <is>
          <t>TUNON_PAR</t>
        </is>
      </c>
      <c r="B416" s="1" t="inlineStr">
        <is>
          <t>613</t>
        </is>
      </c>
      <c r="C416" s="1" t="inlineStr">
        <is>
          <t>2024</t>
        </is>
      </c>
      <c r="D416" s="1" t="inlineStr">
        <is>
          <t>ACT</t>
        </is>
      </c>
      <c r="E416" s="1" t="inlineStr">
        <is>
          <t>2027BUD_V1</t>
        </is>
      </c>
      <c r="F416" s="1" t="inlineStr">
        <is>
          <t>12</t>
        </is>
      </c>
      <c r="G416" s="1" t="n">
        <v>136456</v>
      </c>
      <c r="H416" s="25">
        <f>_CALC_PNL!P416</f>
        <v/>
      </c>
      <c r="I416" s="25">
        <f>IF(_CALC_PNL!E416=1,H416-G416,"")</f>
        <v/>
      </c>
    </row>
    <row r="417">
      <c r="A417" s="1" t="inlineStr">
        <is>
          <t>TUNON_LYO</t>
        </is>
      </c>
      <c r="B417" s="1" t="inlineStr">
        <is>
          <t>613</t>
        </is>
      </c>
      <c r="C417" s="1" t="inlineStr">
        <is>
          <t>2024</t>
        </is>
      </c>
      <c r="D417" s="1" t="inlineStr">
        <is>
          <t>ACT</t>
        </is>
      </c>
      <c r="E417" s="1" t="inlineStr">
        <is>
          <t>2027BUD_V1</t>
        </is>
      </c>
      <c r="F417" s="1" t="inlineStr">
        <is>
          <t>12</t>
        </is>
      </c>
      <c r="G417" s="1" t="n">
        <v>94340</v>
      </c>
      <c r="H417" s="25">
        <f>_CALC_PNL!P417</f>
        <v/>
      </c>
      <c r="I417" s="25">
        <f>IF(_CALC_PNL!E417=1,H417-G417,"")</f>
        <v/>
      </c>
    </row>
    <row r="418">
      <c r="A418" s="1" t="inlineStr">
        <is>
          <t>MBWAY_PAR</t>
        </is>
      </c>
      <c r="B418" s="1" t="inlineStr">
        <is>
          <t>613</t>
        </is>
      </c>
      <c r="C418" s="1" t="inlineStr">
        <is>
          <t>2025</t>
        </is>
      </c>
      <c r="D418" s="1" t="inlineStr">
        <is>
          <t>ACT</t>
        </is>
      </c>
      <c r="E418" s="1" t="inlineStr">
        <is>
          <t>2027BUD_V1</t>
        </is>
      </c>
      <c r="F418" s="1" t="inlineStr">
        <is>
          <t>12</t>
        </is>
      </c>
      <c r="G418" s="1" t="n">
        <v>356772</v>
      </c>
      <c r="H418" s="25">
        <f>_CALC_PNL!P418</f>
        <v/>
      </c>
      <c r="I418" s="25">
        <f>IF(_CALC_PNL!E418=1,H418-G418,"")</f>
        <v/>
      </c>
    </row>
    <row r="419">
      <c r="A419" s="1" t="inlineStr">
        <is>
          <t>MBWAY_LYO</t>
        </is>
      </c>
      <c r="B419" s="1" t="inlineStr">
        <is>
          <t>613</t>
        </is>
      </c>
      <c r="C419" s="1" t="inlineStr">
        <is>
          <t>2025</t>
        </is>
      </c>
      <c r="D419" s="1" t="inlineStr">
        <is>
          <t>ACT</t>
        </is>
      </c>
      <c r="E419" s="1" t="inlineStr">
        <is>
          <t>2027BUD_V1</t>
        </is>
      </c>
      <c r="F419" s="1" t="inlineStr">
        <is>
          <t>12</t>
        </is>
      </c>
      <c r="G419" s="1" t="n">
        <v>213769</v>
      </c>
      <c r="H419" s="25">
        <f>_CALC_PNL!P419</f>
        <v/>
      </c>
      <c r="I419" s="25">
        <f>IF(_CALC_PNL!E419=1,H419-G419,"")</f>
        <v/>
      </c>
    </row>
    <row r="420">
      <c r="A420" s="1" t="inlineStr">
        <is>
          <t>MBWAY_NAN</t>
        </is>
      </c>
      <c r="B420" s="1" t="inlineStr">
        <is>
          <t>613</t>
        </is>
      </c>
      <c r="C420" s="1" t="inlineStr">
        <is>
          <t>2025</t>
        </is>
      </c>
      <c r="D420" s="1" t="inlineStr">
        <is>
          <t>ACT</t>
        </is>
      </c>
      <c r="E420" s="1" t="inlineStr">
        <is>
          <t>2027BUD_V1</t>
        </is>
      </c>
      <c r="F420" s="1" t="inlineStr">
        <is>
          <t>12</t>
        </is>
      </c>
      <c r="G420" s="1" t="n">
        <v>176184</v>
      </c>
      <c r="H420" s="25">
        <f>_CALC_PNL!P420</f>
        <v/>
      </c>
      <c r="I420" s="25">
        <f>IF(_CALC_PNL!E420=1,H420-G420,"")</f>
        <v/>
      </c>
    </row>
    <row r="421">
      <c r="A421" s="1" t="inlineStr">
        <is>
          <t>MBWAY_BOR</t>
        </is>
      </c>
      <c r="B421" s="1" t="inlineStr">
        <is>
          <t>613</t>
        </is>
      </c>
      <c r="C421" s="1" t="inlineStr">
        <is>
          <t>2025</t>
        </is>
      </c>
      <c r="D421" s="1" t="inlineStr">
        <is>
          <t>ACT</t>
        </is>
      </c>
      <c r="E421" s="1" t="inlineStr">
        <is>
          <t>2027BUD_V1</t>
        </is>
      </c>
      <c r="F421" s="1" t="inlineStr">
        <is>
          <t>12</t>
        </is>
      </c>
      <c r="G421" s="1" t="n">
        <v>154161</v>
      </c>
      <c r="H421" s="25">
        <f>_CALC_PNL!P421</f>
        <v/>
      </c>
      <c r="I421" s="25">
        <f>IF(_CALC_PNL!E421=1,H421-G421,"")</f>
        <v/>
      </c>
    </row>
    <row r="422">
      <c r="A422" s="1" t="inlineStr">
        <is>
          <t>ISCOM_PAR</t>
        </is>
      </c>
      <c r="B422" s="1" t="inlineStr">
        <is>
          <t>613</t>
        </is>
      </c>
      <c r="C422" s="1" t="inlineStr">
        <is>
          <t>2025</t>
        </is>
      </c>
      <c r="D422" s="1" t="inlineStr">
        <is>
          <t>ACT</t>
        </is>
      </c>
      <c r="E422" s="1" t="inlineStr">
        <is>
          <t>2027BUD_V1</t>
        </is>
      </c>
      <c r="F422" s="1" t="inlineStr">
        <is>
          <t>12</t>
        </is>
      </c>
      <c r="G422" s="1" t="n">
        <v>356772</v>
      </c>
      <c r="H422" s="25">
        <f>_CALC_PNL!P422</f>
        <v/>
      </c>
      <c r="I422" s="25">
        <f>IF(_CALC_PNL!E422=1,H422-G422,"")</f>
        <v/>
      </c>
    </row>
    <row r="423">
      <c r="A423" s="1" t="inlineStr">
        <is>
          <t>ISCOM_LIL</t>
        </is>
      </c>
      <c r="B423" s="1" t="inlineStr">
        <is>
          <t>613</t>
        </is>
      </c>
      <c r="C423" s="1" t="inlineStr">
        <is>
          <t>2025</t>
        </is>
      </c>
      <c r="D423" s="1" t="inlineStr">
        <is>
          <t>ACT</t>
        </is>
      </c>
      <c r="E423" s="1" t="inlineStr">
        <is>
          <t>2027BUD_V1</t>
        </is>
      </c>
      <c r="F423" s="1" t="inlineStr">
        <is>
          <t>12</t>
        </is>
      </c>
      <c r="G423" s="1" t="n">
        <v>135074</v>
      </c>
      <c r="H423" s="25">
        <f>_CALC_PNL!P423</f>
        <v/>
      </c>
      <c r="I423" s="25">
        <f>IF(_CALC_PNL!E423=1,H423-G423,"")</f>
        <v/>
      </c>
    </row>
    <row r="424">
      <c r="A424" s="1" t="inlineStr">
        <is>
          <t>ISCOM_TLS</t>
        </is>
      </c>
      <c r="B424" s="1" t="inlineStr">
        <is>
          <t>613</t>
        </is>
      </c>
      <c r="C424" s="1" t="inlineStr">
        <is>
          <t>2025</t>
        </is>
      </c>
      <c r="D424" s="1" t="inlineStr">
        <is>
          <t>ACT</t>
        </is>
      </c>
      <c r="E424" s="1" t="inlineStr">
        <is>
          <t>2027BUD_V1</t>
        </is>
      </c>
      <c r="F424" s="1" t="inlineStr">
        <is>
          <t>12</t>
        </is>
      </c>
      <c r="G424" s="1" t="n">
        <v>132138</v>
      </c>
      <c r="H424" s="25">
        <f>_CALC_PNL!P424</f>
        <v/>
      </c>
      <c r="I424" s="25">
        <f>IF(_CALC_PNL!E424=1,H424-G424,"")</f>
        <v/>
      </c>
    </row>
    <row r="425">
      <c r="A425" s="1" t="inlineStr">
        <is>
          <t>IPAC_NAN</t>
        </is>
      </c>
      <c r="B425" s="1" t="inlineStr">
        <is>
          <t>613</t>
        </is>
      </c>
      <c r="C425" s="1" t="inlineStr">
        <is>
          <t>2025</t>
        </is>
      </c>
      <c r="D425" s="1" t="inlineStr">
        <is>
          <t>ACT</t>
        </is>
      </c>
      <c r="E425" s="1" t="inlineStr">
        <is>
          <t>2027BUD_V1</t>
        </is>
      </c>
      <c r="F425" s="1" t="inlineStr">
        <is>
          <t>12</t>
        </is>
      </c>
      <c r="G425" s="1" t="n">
        <v>88092</v>
      </c>
      <c r="H425" s="25">
        <f>_CALC_PNL!P425</f>
        <v/>
      </c>
      <c r="I425" s="25">
        <f>IF(_CALC_PNL!E425=1,H425-G425,"")</f>
        <v/>
      </c>
    </row>
    <row r="426">
      <c r="A426" s="1" t="inlineStr">
        <is>
          <t>IPAC_REN</t>
        </is>
      </c>
      <c r="B426" s="1" t="inlineStr">
        <is>
          <t>613</t>
        </is>
      </c>
      <c r="C426" s="1" t="inlineStr">
        <is>
          <t>2025</t>
        </is>
      </c>
      <c r="D426" s="1" t="inlineStr">
        <is>
          <t>ACT</t>
        </is>
      </c>
      <c r="E426" s="1" t="inlineStr">
        <is>
          <t>2027BUD_V1</t>
        </is>
      </c>
      <c r="F426" s="1" t="inlineStr">
        <is>
          <t>12</t>
        </is>
      </c>
      <c r="G426" s="1" t="n">
        <v>77521</v>
      </c>
      <c r="H426" s="25">
        <f>_CALC_PNL!P426</f>
        <v/>
      </c>
      <c r="I426" s="25">
        <f>IF(_CALC_PNL!E426=1,H426-G426,"")</f>
        <v/>
      </c>
    </row>
    <row r="427">
      <c r="A427" s="1" t="inlineStr">
        <is>
          <t>IPAC_MTP</t>
        </is>
      </c>
      <c r="B427" s="1" t="inlineStr">
        <is>
          <t>613</t>
        </is>
      </c>
      <c r="C427" s="1" t="inlineStr">
        <is>
          <t>2025</t>
        </is>
      </c>
      <c r="D427" s="1" t="inlineStr">
        <is>
          <t>ACT</t>
        </is>
      </c>
      <c r="E427" s="1" t="inlineStr">
        <is>
          <t>2027BUD_V1</t>
        </is>
      </c>
      <c r="F427" s="1" t="inlineStr">
        <is>
          <t>12</t>
        </is>
      </c>
      <c r="G427" s="1" t="n">
        <v>77521</v>
      </c>
      <c r="H427" s="25">
        <f>_CALC_PNL!P427</f>
        <v/>
      </c>
      <c r="I427" s="25">
        <f>IF(_CALC_PNL!E427=1,H427-G427,"")</f>
        <v/>
      </c>
    </row>
    <row r="428">
      <c r="A428" s="1" t="inlineStr">
        <is>
          <t>PIGIER_LYO</t>
        </is>
      </c>
      <c r="B428" s="1" t="inlineStr">
        <is>
          <t>613</t>
        </is>
      </c>
      <c r="C428" s="1" t="inlineStr">
        <is>
          <t>2025</t>
        </is>
      </c>
      <c r="D428" s="1" t="inlineStr">
        <is>
          <t>ACT</t>
        </is>
      </c>
      <c r="E428" s="1" t="inlineStr">
        <is>
          <t>2027BUD_V1</t>
        </is>
      </c>
      <c r="F428" s="1" t="inlineStr">
        <is>
          <t>12</t>
        </is>
      </c>
      <c r="G428" s="1" t="n">
        <v>131550</v>
      </c>
      <c r="H428" s="25">
        <f>_CALC_PNL!P428</f>
        <v/>
      </c>
      <c r="I428" s="25">
        <f>IF(_CALC_PNL!E428=1,H428-G428,"")</f>
        <v/>
      </c>
    </row>
    <row r="429">
      <c r="A429" s="1" t="inlineStr">
        <is>
          <t>PIGIER_BOR</t>
        </is>
      </c>
      <c r="B429" s="1" t="inlineStr">
        <is>
          <t>613</t>
        </is>
      </c>
      <c r="C429" s="1" t="inlineStr">
        <is>
          <t>2025</t>
        </is>
      </c>
      <c r="D429" s="1" t="inlineStr">
        <is>
          <t>ACT</t>
        </is>
      </c>
      <c r="E429" s="1" t="inlineStr">
        <is>
          <t>2027BUD_V1</t>
        </is>
      </c>
      <c r="F429" s="1" t="inlineStr">
        <is>
          <t>12</t>
        </is>
      </c>
      <c r="G429" s="1" t="n">
        <v>123328</v>
      </c>
      <c r="H429" s="25">
        <f>_CALC_PNL!P429</f>
        <v/>
      </c>
      <c r="I429" s="25">
        <f>IF(_CALC_PNL!E429=1,H429-G429,"")</f>
        <v/>
      </c>
    </row>
    <row r="430">
      <c r="A430" s="1" t="inlineStr">
        <is>
          <t>TUNON_PAR</t>
        </is>
      </c>
      <c r="B430" s="1" t="inlineStr">
        <is>
          <t>613</t>
        </is>
      </c>
      <c r="C430" s="1" t="inlineStr">
        <is>
          <t>2025</t>
        </is>
      </c>
      <c r="D430" s="1" t="inlineStr">
        <is>
          <t>ACT</t>
        </is>
      </c>
      <c r="E430" s="1" t="inlineStr">
        <is>
          <t>2027BUD_V1</t>
        </is>
      </c>
      <c r="F430" s="1" t="inlineStr">
        <is>
          <t>12</t>
        </is>
      </c>
      <c r="G430" s="1" t="n">
        <v>142709</v>
      </c>
      <c r="H430" s="25">
        <f>_CALC_PNL!P430</f>
        <v/>
      </c>
      <c r="I430" s="25">
        <f>IF(_CALC_PNL!E430=1,H430-G430,"")</f>
        <v/>
      </c>
    </row>
    <row r="431">
      <c r="A431" s="1" t="inlineStr">
        <is>
          <t>TUNON_LYO</t>
        </is>
      </c>
      <c r="B431" s="1" t="inlineStr">
        <is>
          <t>613</t>
        </is>
      </c>
      <c r="C431" s="1" t="inlineStr">
        <is>
          <t>2025</t>
        </is>
      </c>
      <c r="D431" s="1" t="inlineStr">
        <is>
          <t>ACT</t>
        </is>
      </c>
      <c r="E431" s="1" t="inlineStr">
        <is>
          <t>2027BUD_V1</t>
        </is>
      </c>
      <c r="F431" s="1" t="inlineStr">
        <is>
          <t>12</t>
        </is>
      </c>
      <c r="G431" s="1" t="n">
        <v>98663</v>
      </c>
      <c r="H431" s="25">
        <f>_CALC_PNL!P431</f>
        <v/>
      </c>
      <c r="I431" s="25">
        <f>IF(_CALC_PNL!E431=1,H431-G431,"")</f>
        <v/>
      </c>
    </row>
    <row r="432">
      <c r="A432" s="1" t="inlineStr">
        <is>
          <t>MBWAY_PAR</t>
        </is>
      </c>
      <c r="B432" s="1" t="inlineStr">
        <is>
          <t>613</t>
        </is>
      </c>
      <c r="C432" s="1" t="inlineStr">
        <is>
          <t>2026</t>
        </is>
      </c>
      <c r="D432" s="1" t="inlineStr">
        <is>
          <t>ACT</t>
        </is>
      </c>
      <c r="E432" s="1" t="inlineStr">
        <is>
          <t>2027BUD_V1</t>
        </is>
      </c>
      <c r="F432" s="1" t="inlineStr">
        <is>
          <t>12</t>
        </is>
      </c>
      <c r="G432" s="1" t="n">
        <v>373801</v>
      </c>
      <c r="H432" s="25">
        <f>_CALC_PNL!P432</f>
        <v/>
      </c>
      <c r="I432" s="25">
        <f>IF(_CALC_PNL!E432=1,H432-G432,"")</f>
        <v/>
      </c>
    </row>
    <row r="433">
      <c r="A433" s="1" t="inlineStr">
        <is>
          <t>MBWAY_LYO</t>
        </is>
      </c>
      <c r="B433" s="1" t="inlineStr">
        <is>
          <t>613</t>
        </is>
      </c>
      <c r="C433" s="1" t="inlineStr">
        <is>
          <t>2026</t>
        </is>
      </c>
      <c r="D433" s="1" t="inlineStr">
        <is>
          <t>ACT</t>
        </is>
      </c>
      <c r="E433" s="1" t="inlineStr">
        <is>
          <t>2027BUD_V1</t>
        </is>
      </c>
      <c r="F433" s="1" t="inlineStr">
        <is>
          <t>12</t>
        </is>
      </c>
      <c r="G433" s="1" t="n">
        <v>223973</v>
      </c>
      <c r="H433" s="25">
        <f>_CALC_PNL!P433</f>
        <v/>
      </c>
      <c r="I433" s="25">
        <f>IF(_CALC_PNL!E433=1,H433-G433,"")</f>
        <v/>
      </c>
    </row>
    <row r="434">
      <c r="A434" s="1" t="inlineStr">
        <is>
          <t>MBWAY_NAN</t>
        </is>
      </c>
      <c r="B434" s="1" t="inlineStr">
        <is>
          <t>613</t>
        </is>
      </c>
      <c r="C434" s="1" t="inlineStr">
        <is>
          <t>2026</t>
        </is>
      </c>
      <c r="D434" s="1" t="inlineStr">
        <is>
          <t>ACT</t>
        </is>
      </c>
      <c r="E434" s="1" t="inlineStr">
        <is>
          <t>2027BUD_V1</t>
        </is>
      </c>
      <c r="F434" s="1" t="inlineStr">
        <is>
          <t>12</t>
        </is>
      </c>
      <c r="G434" s="1" t="n">
        <v>184593</v>
      </c>
      <c r="H434" s="25">
        <f>_CALC_PNL!P434</f>
        <v/>
      </c>
      <c r="I434" s="25">
        <f>IF(_CALC_PNL!E434=1,H434-G434,"")</f>
        <v/>
      </c>
    </row>
    <row r="435">
      <c r="A435" s="1" t="inlineStr">
        <is>
          <t>MBWAY_BOR</t>
        </is>
      </c>
      <c r="B435" s="1" t="inlineStr">
        <is>
          <t>613</t>
        </is>
      </c>
      <c r="C435" s="1" t="inlineStr">
        <is>
          <t>2026</t>
        </is>
      </c>
      <c r="D435" s="1" t="inlineStr">
        <is>
          <t>ACT</t>
        </is>
      </c>
      <c r="E435" s="1" t="inlineStr">
        <is>
          <t>2027BUD_V1</t>
        </is>
      </c>
      <c r="F435" s="1" t="inlineStr">
        <is>
          <t>12</t>
        </is>
      </c>
      <c r="G435" s="1" t="n">
        <v>161519</v>
      </c>
      <c r="H435" s="25">
        <f>_CALC_PNL!P435</f>
        <v/>
      </c>
      <c r="I435" s="25">
        <f>IF(_CALC_PNL!E435=1,H435-G435,"")</f>
        <v/>
      </c>
    </row>
    <row r="436">
      <c r="A436" s="1" t="inlineStr">
        <is>
          <t>ISCOM_PAR</t>
        </is>
      </c>
      <c r="B436" s="1" t="inlineStr">
        <is>
          <t>613</t>
        </is>
      </c>
      <c r="C436" s="1" t="inlineStr">
        <is>
          <t>2026</t>
        </is>
      </c>
      <c r="D436" s="1" t="inlineStr">
        <is>
          <t>ACT</t>
        </is>
      </c>
      <c r="E436" s="1" t="inlineStr">
        <is>
          <t>2027BUD_V1</t>
        </is>
      </c>
      <c r="F436" s="1" t="inlineStr">
        <is>
          <t>12</t>
        </is>
      </c>
      <c r="G436" s="1" t="n">
        <v>373801</v>
      </c>
      <c r="H436" s="25">
        <f>_CALC_PNL!P436</f>
        <v/>
      </c>
      <c r="I436" s="25">
        <f>IF(_CALC_PNL!E436=1,H436-G436,"")</f>
        <v/>
      </c>
    </row>
    <row r="437">
      <c r="A437" s="1" t="inlineStr">
        <is>
          <t>ISCOM_LIL</t>
        </is>
      </c>
      <c r="B437" s="1" t="inlineStr">
        <is>
          <t>613</t>
        </is>
      </c>
      <c r="C437" s="1" t="inlineStr">
        <is>
          <t>2026</t>
        </is>
      </c>
      <c r="D437" s="1" t="inlineStr">
        <is>
          <t>ACT</t>
        </is>
      </c>
      <c r="E437" s="1" t="inlineStr">
        <is>
          <t>2027BUD_V1</t>
        </is>
      </c>
      <c r="F437" s="1" t="inlineStr">
        <is>
          <t>12</t>
        </is>
      </c>
      <c r="G437" s="1" t="n">
        <v>141521</v>
      </c>
      <c r="H437" s="25">
        <f>_CALC_PNL!P437</f>
        <v/>
      </c>
      <c r="I437" s="25">
        <f>IF(_CALC_PNL!E437=1,H437-G437,"")</f>
        <v/>
      </c>
    </row>
    <row r="438">
      <c r="A438" s="1" t="inlineStr">
        <is>
          <t>ISCOM_TLS</t>
        </is>
      </c>
      <c r="B438" s="1" t="inlineStr">
        <is>
          <t>613</t>
        </is>
      </c>
      <c r="C438" s="1" t="inlineStr">
        <is>
          <t>2026</t>
        </is>
      </c>
      <c r="D438" s="1" t="inlineStr">
        <is>
          <t>ACT</t>
        </is>
      </c>
      <c r="E438" s="1" t="inlineStr">
        <is>
          <t>2027BUD_V1</t>
        </is>
      </c>
      <c r="F438" s="1" t="inlineStr">
        <is>
          <t>12</t>
        </is>
      </c>
      <c r="G438" s="1" t="n">
        <v>138445</v>
      </c>
      <c r="H438" s="25">
        <f>_CALC_PNL!P438</f>
        <v/>
      </c>
      <c r="I438" s="25">
        <f>IF(_CALC_PNL!E438=1,H438-G438,"")</f>
        <v/>
      </c>
    </row>
    <row r="439">
      <c r="A439" s="1" t="inlineStr">
        <is>
          <t>IPAC_NAN</t>
        </is>
      </c>
      <c r="B439" s="1" t="inlineStr">
        <is>
          <t>613</t>
        </is>
      </c>
      <c r="C439" s="1" t="inlineStr">
        <is>
          <t>2026</t>
        </is>
      </c>
      <c r="D439" s="1" t="inlineStr">
        <is>
          <t>ACT</t>
        </is>
      </c>
      <c r="E439" s="1" t="inlineStr">
        <is>
          <t>2027BUD_V1</t>
        </is>
      </c>
      <c r="F439" s="1" t="inlineStr">
        <is>
          <t>12</t>
        </is>
      </c>
      <c r="G439" s="1" t="n">
        <v>92297</v>
      </c>
      <c r="H439" s="25">
        <f>_CALC_PNL!P439</f>
        <v/>
      </c>
      <c r="I439" s="25">
        <f>IF(_CALC_PNL!E439=1,H439-G439,"")</f>
        <v/>
      </c>
    </row>
    <row r="440">
      <c r="A440" s="1" t="inlineStr">
        <is>
          <t>IPAC_REN</t>
        </is>
      </c>
      <c r="B440" s="1" t="inlineStr">
        <is>
          <t>613</t>
        </is>
      </c>
      <c r="C440" s="1" t="inlineStr">
        <is>
          <t>2026</t>
        </is>
      </c>
      <c r="D440" s="1" t="inlineStr">
        <is>
          <t>ACT</t>
        </is>
      </c>
      <c r="E440" s="1" t="inlineStr">
        <is>
          <t>2027BUD_V1</t>
        </is>
      </c>
      <c r="F440" s="1" t="inlineStr">
        <is>
          <t>12</t>
        </is>
      </c>
      <c r="G440" s="1" t="n">
        <v>81221</v>
      </c>
      <c r="H440" s="25">
        <f>_CALC_PNL!P440</f>
        <v/>
      </c>
      <c r="I440" s="25">
        <f>IF(_CALC_PNL!E440=1,H440-G440,"")</f>
        <v/>
      </c>
    </row>
    <row r="441">
      <c r="A441" s="1" t="inlineStr">
        <is>
          <t>IPAC_MTP</t>
        </is>
      </c>
      <c r="B441" s="1" t="inlineStr">
        <is>
          <t>613</t>
        </is>
      </c>
      <c r="C441" s="1" t="inlineStr">
        <is>
          <t>2026</t>
        </is>
      </c>
      <c r="D441" s="1" t="inlineStr">
        <is>
          <t>ACT</t>
        </is>
      </c>
      <c r="E441" s="1" t="inlineStr">
        <is>
          <t>2027BUD_V1</t>
        </is>
      </c>
      <c r="F441" s="1" t="inlineStr">
        <is>
          <t>12</t>
        </is>
      </c>
      <c r="G441" s="1" t="n">
        <v>81221</v>
      </c>
      <c r="H441" s="25">
        <f>_CALC_PNL!P441</f>
        <v/>
      </c>
      <c r="I441" s="25">
        <f>IF(_CALC_PNL!E441=1,H441-G441,"")</f>
        <v/>
      </c>
    </row>
    <row r="442">
      <c r="A442" s="1" t="inlineStr">
        <is>
          <t>PIGIER_LYO</t>
        </is>
      </c>
      <c r="B442" s="1" t="inlineStr">
        <is>
          <t>613</t>
        </is>
      </c>
      <c r="C442" s="1" t="inlineStr">
        <is>
          <t>2026</t>
        </is>
      </c>
      <c r="D442" s="1" t="inlineStr">
        <is>
          <t>ACT</t>
        </is>
      </c>
      <c r="E442" s="1" t="inlineStr">
        <is>
          <t>2027BUD_V1</t>
        </is>
      </c>
      <c r="F442" s="1" t="inlineStr">
        <is>
          <t>12</t>
        </is>
      </c>
      <c r="G442" s="1" t="n">
        <v>137830</v>
      </c>
      <c r="H442" s="25">
        <f>_CALC_PNL!P442</f>
        <v/>
      </c>
      <c r="I442" s="25">
        <f>IF(_CALC_PNL!E442=1,H442-G442,"")</f>
        <v/>
      </c>
    </row>
    <row r="443">
      <c r="A443" s="1" t="inlineStr">
        <is>
          <t>PIGIER_BOR</t>
        </is>
      </c>
      <c r="B443" s="1" t="inlineStr">
        <is>
          <t>613</t>
        </is>
      </c>
      <c r="C443" s="1" t="inlineStr">
        <is>
          <t>2026</t>
        </is>
      </c>
      <c r="D443" s="1" t="inlineStr">
        <is>
          <t>ACT</t>
        </is>
      </c>
      <c r="E443" s="1" t="inlineStr">
        <is>
          <t>2027BUD_V1</t>
        </is>
      </c>
      <c r="F443" s="1" t="inlineStr">
        <is>
          <t>12</t>
        </is>
      </c>
      <c r="G443" s="1" t="n">
        <v>129215</v>
      </c>
      <c r="H443" s="25">
        <f>_CALC_PNL!P443</f>
        <v/>
      </c>
      <c r="I443" s="25">
        <f>IF(_CALC_PNL!E443=1,H443-G443,"")</f>
        <v/>
      </c>
    </row>
    <row r="444">
      <c r="A444" s="1" t="inlineStr">
        <is>
          <t>TUNON_PAR</t>
        </is>
      </c>
      <c r="B444" s="1" t="inlineStr">
        <is>
          <t>613</t>
        </is>
      </c>
      <c r="C444" s="1" t="inlineStr">
        <is>
          <t>2026</t>
        </is>
      </c>
      <c r="D444" s="1" t="inlineStr">
        <is>
          <t>ACT</t>
        </is>
      </c>
      <c r="E444" s="1" t="inlineStr">
        <is>
          <t>2027BUD_V1</t>
        </is>
      </c>
      <c r="F444" s="1" t="inlineStr">
        <is>
          <t>12</t>
        </is>
      </c>
      <c r="G444" s="1" t="n">
        <v>149520</v>
      </c>
      <c r="H444" s="25">
        <f>_CALC_PNL!P444</f>
        <v/>
      </c>
      <c r="I444" s="25">
        <f>IF(_CALC_PNL!E444=1,H444-G444,"")</f>
        <v/>
      </c>
    </row>
    <row r="445">
      <c r="A445" s="1" t="inlineStr">
        <is>
          <t>TUNON_LYO</t>
        </is>
      </c>
      <c r="B445" s="1" t="inlineStr">
        <is>
          <t>613</t>
        </is>
      </c>
      <c r="C445" s="1" t="inlineStr">
        <is>
          <t>2026</t>
        </is>
      </c>
      <c r="D445" s="1" t="inlineStr">
        <is>
          <t>ACT</t>
        </is>
      </c>
      <c r="E445" s="1" t="inlineStr">
        <is>
          <t>2027BUD_V1</t>
        </is>
      </c>
      <c r="F445" s="1" t="inlineStr">
        <is>
          <t>12</t>
        </is>
      </c>
      <c r="G445" s="1" t="n">
        <v>103372</v>
      </c>
      <c r="H445" s="25">
        <f>_CALC_PNL!P445</f>
        <v/>
      </c>
      <c r="I445" s="25">
        <f>IF(_CALC_PNL!E445=1,H445-G445,"")</f>
        <v/>
      </c>
    </row>
    <row r="446">
      <c r="A446" s="1" t="inlineStr">
        <is>
          <t>MBWAY_PAR</t>
        </is>
      </c>
      <c r="B446" s="1" t="inlineStr">
        <is>
          <t>615</t>
        </is>
      </c>
      <c r="C446" s="1" t="inlineStr">
        <is>
          <t>2024</t>
        </is>
      </c>
      <c r="D446" s="1" t="inlineStr">
        <is>
          <t>ACT</t>
        </is>
      </c>
      <c r="E446" s="1" t="inlineStr">
        <is>
          <t>2027BUD_V1</t>
        </is>
      </c>
      <c r="F446" s="1" t="inlineStr">
        <is>
          <t>12</t>
        </is>
      </c>
      <c r="G446" s="1" t="n">
        <v>48734</v>
      </c>
      <c r="H446" s="25">
        <f>_CALC_PNL!P446</f>
        <v/>
      </c>
      <c r="I446" s="25">
        <f>IF(_CALC_PNL!E446=1,H446-G446,"")</f>
        <v/>
      </c>
    </row>
    <row r="447">
      <c r="A447" s="1" t="inlineStr">
        <is>
          <t>MBWAY_LYO</t>
        </is>
      </c>
      <c r="B447" s="1" t="inlineStr">
        <is>
          <t>615</t>
        </is>
      </c>
      <c r="C447" s="1" t="inlineStr">
        <is>
          <t>2024</t>
        </is>
      </c>
      <c r="D447" s="1" t="inlineStr">
        <is>
          <t>ACT</t>
        </is>
      </c>
      <c r="E447" s="1" t="inlineStr">
        <is>
          <t>2027BUD_V1</t>
        </is>
      </c>
      <c r="F447" s="1" t="inlineStr">
        <is>
          <t>12</t>
        </is>
      </c>
      <c r="G447" s="1" t="n">
        <v>29200</v>
      </c>
      <c r="H447" s="25">
        <f>_CALC_PNL!P447</f>
        <v/>
      </c>
      <c r="I447" s="25">
        <f>IF(_CALC_PNL!E447=1,H447-G447,"")</f>
        <v/>
      </c>
    </row>
    <row r="448">
      <c r="A448" s="1" t="inlineStr">
        <is>
          <t>MBWAY_NAN</t>
        </is>
      </c>
      <c r="B448" s="1" t="inlineStr">
        <is>
          <t>615</t>
        </is>
      </c>
      <c r="C448" s="1" t="inlineStr">
        <is>
          <t>2024</t>
        </is>
      </c>
      <c r="D448" s="1" t="inlineStr">
        <is>
          <t>ACT</t>
        </is>
      </c>
      <c r="E448" s="1" t="inlineStr">
        <is>
          <t>2027BUD_V1</t>
        </is>
      </c>
      <c r="F448" s="1" t="inlineStr">
        <is>
          <t>12</t>
        </is>
      </c>
      <c r="G448" s="1" t="n">
        <v>24066</v>
      </c>
      <c r="H448" s="25">
        <f>_CALC_PNL!P448</f>
        <v/>
      </c>
      <c r="I448" s="25">
        <f>IF(_CALC_PNL!E448=1,H448-G448,"")</f>
        <v/>
      </c>
    </row>
    <row r="449">
      <c r="A449" s="1" t="inlineStr">
        <is>
          <t>MBWAY_BOR</t>
        </is>
      </c>
      <c r="B449" s="1" t="inlineStr">
        <is>
          <t>615</t>
        </is>
      </c>
      <c r="C449" s="1" t="inlineStr">
        <is>
          <t>2024</t>
        </is>
      </c>
      <c r="D449" s="1" t="inlineStr">
        <is>
          <t>ACT</t>
        </is>
      </c>
      <c r="E449" s="1" t="inlineStr">
        <is>
          <t>2027BUD_V1</t>
        </is>
      </c>
      <c r="F449" s="1" t="inlineStr">
        <is>
          <t>12</t>
        </is>
      </c>
      <c r="G449" s="1" t="n">
        <v>21058</v>
      </c>
      <c r="H449" s="25">
        <f>_CALC_PNL!P449</f>
        <v/>
      </c>
      <c r="I449" s="25">
        <f>IF(_CALC_PNL!E449=1,H449-G449,"")</f>
        <v/>
      </c>
    </row>
    <row r="450">
      <c r="A450" s="1" t="inlineStr">
        <is>
          <t>ISCOM_PAR</t>
        </is>
      </c>
      <c r="B450" s="1" t="inlineStr">
        <is>
          <t>615</t>
        </is>
      </c>
      <c r="C450" s="1" t="inlineStr">
        <is>
          <t>2024</t>
        </is>
      </c>
      <c r="D450" s="1" t="inlineStr">
        <is>
          <t>ACT</t>
        </is>
      </c>
      <c r="E450" s="1" t="inlineStr">
        <is>
          <t>2027BUD_V1</t>
        </is>
      </c>
      <c r="F450" s="1" t="inlineStr">
        <is>
          <t>12</t>
        </is>
      </c>
      <c r="G450" s="1" t="n">
        <v>48734</v>
      </c>
      <c r="H450" s="25">
        <f>_CALC_PNL!P450</f>
        <v/>
      </c>
      <c r="I450" s="25">
        <f>IF(_CALC_PNL!E450=1,H450-G450,"")</f>
        <v/>
      </c>
    </row>
    <row r="451">
      <c r="A451" s="1" t="inlineStr">
        <is>
          <t>ISCOM_LIL</t>
        </is>
      </c>
      <c r="B451" s="1" t="inlineStr">
        <is>
          <t>615</t>
        </is>
      </c>
      <c r="C451" s="1" t="inlineStr">
        <is>
          <t>2024</t>
        </is>
      </c>
      <c r="D451" s="1" t="inlineStr">
        <is>
          <t>ACT</t>
        </is>
      </c>
      <c r="E451" s="1" t="inlineStr">
        <is>
          <t>2027BUD_V1</t>
        </is>
      </c>
      <c r="F451" s="1" t="inlineStr">
        <is>
          <t>12</t>
        </is>
      </c>
      <c r="G451" s="1" t="n">
        <v>18451</v>
      </c>
      <c r="H451" s="25">
        <f>_CALC_PNL!P451</f>
        <v/>
      </c>
      <c r="I451" s="25">
        <f>IF(_CALC_PNL!E451=1,H451-G451,"")</f>
        <v/>
      </c>
    </row>
    <row r="452">
      <c r="A452" s="1" t="inlineStr">
        <is>
          <t>ISCOM_TLS</t>
        </is>
      </c>
      <c r="B452" s="1" t="inlineStr">
        <is>
          <t>615</t>
        </is>
      </c>
      <c r="C452" s="1" t="inlineStr">
        <is>
          <t>2024</t>
        </is>
      </c>
      <c r="D452" s="1" t="inlineStr">
        <is>
          <t>ACT</t>
        </is>
      </c>
      <c r="E452" s="1" t="inlineStr">
        <is>
          <t>2027BUD_V1</t>
        </is>
      </c>
      <c r="F452" s="1" t="inlineStr">
        <is>
          <t>12</t>
        </is>
      </c>
      <c r="G452" s="1" t="n">
        <v>18050</v>
      </c>
      <c r="H452" s="25">
        <f>_CALC_PNL!P452</f>
        <v/>
      </c>
      <c r="I452" s="25">
        <f>IF(_CALC_PNL!E452=1,H452-G452,"")</f>
        <v/>
      </c>
    </row>
    <row r="453">
      <c r="A453" s="1" t="inlineStr">
        <is>
          <t>IPAC_NAN</t>
        </is>
      </c>
      <c r="B453" s="1" t="inlineStr">
        <is>
          <t>615</t>
        </is>
      </c>
      <c r="C453" s="1" t="inlineStr">
        <is>
          <t>2024</t>
        </is>
      </c>
      <c r="D453" s="1" t="inlineStr">
        <is>
          <t>ACT</t>
        </is>
      </c>
      <c r="E453" s="1" t="inlineStr">
        <is>
          <t>2027BUD_V1</t>
        </is>
      </c>
      <c r="F453" s="1" t="inlineStr">
        <is>
          <t>12</t>
        </is>
      </c>
      <c r="G453" s="1" t="n">
        <v>12033</v>
      </c>
      <c r="H453" s="25">
        <f>_CALC_PNL!P453</f>
        <v/>
      </c>
      <c r="I453" s="25">
        <f>IF(_CALC_PNL!E453=1,H453-G453,"")</f>
        <v/>
      </c>
    </row>
    <row r="454">
      <c r="A454" s="1" t="inlineStr">
        <is>
          <t>IPAC_REN</t>
        </is>
      </c>
      <c r="B454" s="1" t="inlineStr">
        <is>
          <t>615</t>
        </is>
      </c>
      <c r="C454" s="1" t="inlineStr">
        <is>
          <t>2024</t>
        </is>
      </c>
      <c r="D454" s="1" t="inlineStr">
        <is>
          <t>ACT</t>
        </is>
      </c>
      <c r="E454" s="1" t="inlineStr">
        <is>
          <t>2027BUD_V1</t>
        </is>
      </c>
      <c r="F454" s="1" t="inlineStr">
        <is>
          <t>12</t>
        </is>
      </c>
      <c r="G454" s="1" t="n">
        <v>10589</v>
      </c>
      <c r="H454" s="25">
        <f>_CALC_PNL!P454</f>
        <v/>
      </c>
      <c r="I454" s="25">
        <f>IF(_CALC_PNL!E454=1,H454-G454,"")</f>
        <v/>
      </c>
    </row>
    <row r="455">
      <c r="A455" s="1" t="inlineStr">
        <is>
          <t>IPAC_MTP</t>
        </is>
      </c>
      <c r="B455" s="1" t="inlineStr">
        <is>
          <t>615</t>
        </is>
      </c>
      <c r="C455" s="1" t="inlineStr">
        <is>
          <t>2024</t>
        </is>
      </c>
      <c r="D455" s="1" t="inlineStr">
        <is>
          <t>ACT</t>
        </is>
      </c>
      <c r="E455" s="1" t="inlineStr">
        <is>
          <t>2027BUD_V1</t>
        </is>
      </c>
      <c r="F455" s="1" t="inlineStr">
        <is>
          <t>12</t>
        </is>
      </c>
      <c r="G455" s="1" t="n">
        <v>10589</v>
      </c>
      <c r="H455" s="25">
        <f>_CALC_PNL!P455</f>
        <v/>
      </c>
      <c r="I455" s="25">
        <f>IF(_CALC_PNL!E455=1,H455-G455,"")</f>
        <v/>
      </c>
    </row>
    <row r="456">
      <c r="A456" s="1" t="inlineStr">
        <is>
          <t>PIGIER_LYO</t>
        </is>
      </c>
      <c r="B456" s="1" t="inlineStr">
        <is>
          <t>615</t>
        </is>
      </c>
      <c r="C456" s="1" t="inlineStr">
        <is>
          <t>2024</t>
        </is>
      </c>
      <c r="D456" s="1" t="inlineStr">
        <is>
          <t>ACT</t>
        </is>
      </c>
      <c r="E456" s="1" t="inlineStr">
        <is>
          <t>2027BUD_V1</t>
        </is>
      </c>
      <c r="F456" s="1" t="inlineStr">
        <is>
          <t>12</t>
        </is>
      </c>
      <c r="G456" s="1" t="n">
        <v>17970</v>
      </c>
      <c r="H456" s="25">
        <f>_CALC_PNL!P456</f>
        <v/>
      </c>
      <c r="I456" s="25">
        <f>IF(_CALC_PNL!E456=1,H456-G456,"")</f>
        <v/>
      </c>
    </row>
    <row r="457">
      <c r="A457" s="1" t="inlineStr">
        <is>
          <t>PIGIER_BOR</t>
        </is>
      </c>
      <c r="B457" s="1" t="inlineStr">
        <is>
          <t>615</t>
        </is>
      </c>
      <c r="C457" s="1" t="inlineStr">
        <is>
          <t>2024</t>
        </is>
      </c>
      <c r="D457" s="1" t="inlineStr">
        <is>
          <t>ACT</t>
        </is>
      </c>
      <c r="E457" s="1" t="inlineStr">
        <is>
          <t>2027BUD_V1</t>
        </is>
      </c>
      <c r="F457" s="1" t="inlineStr">
        <is>
          <t>12</t>
        </is>
      </c>
      <c r="G457" s="1" t="n">
        <v>16846</v>
      </c>
      <c r="H457" s="25">
        <f>_CALC_PNL!P457</f>
        <v/>
      </c>
      <c r="I457" s="25">
        <f>IF(_CALC_PNL!E457=1,H457-G457,"")</f>
        <v/>
      </c>
    </row>
    <row r="458">
      <c r="A458" s="1" t="inlineStr">
        <is>
          <t>TUNON_PAR</t>
        </is>
      </c>
      <c r="B458" s="1" t="inlineStr">
        <is>
          <t>615</t>
        </is>
      </c>
      <c r="C458" s="1" t="inlineStr">
        <is>
          <t>2024</t>
        </is>
      </c>
      <c r="D458" s="1" t="inlineStr">
        <is>
          <t>ACT</t>
        </is>
      </c>
      <c r="E458" s="1" t="inlineStr">
        <is>
          <t>2027BUD_V1</t>
        </is>
      </c>
      <c r="F458" s="1" t="inlineStr">
        <is>
          <t>12</t>
        </is>
      </c>
      <c r="G458" s="1" t="n">
        <v>19494</v>
      </c>
      <c r="H458" s="25">
        <f>_CALC_PNL!P458</f>
        <v/>
      </c>
      <c r="I458" s="25">
        <f>IF(_CALC_PNL!E458=1,H458-G458,"")</f>
        <v/>
      </c>
    </row>
    <row r="459">
      <c r="A459" s="1" t="inlineStr">
        <is>
          <t>TUNON_LYO</t>
        </is>
      </c>
      <c r="B459" s="1" t="inlineStr">
        <is>
          <t>615</t>
        </is>
      </c>
      <c r="C459" s="1" t="inlineStr">
        <is>
          <t>2024</t>
        </is>
      </c>
      <c r="D459" s="1" t="inlineStr">
        <is>
          <t>ACT</t>
        </is>
      </c>
      <c r="E459" s="1" t="inlineStr">
        <is>
          <t>2027BUD_V1</t>
        </is>
      </c>
      <c r="F459" s="1" t="inlineStr">
        <is>
          <t>12</t>
        </is>
      </c>
      <c r="G459" s="1" t="n">
        <v>13477</v>
      </c>
      <c r="H459" s="25">
        <f>_CALC_PNL!P459</f>
        <v/>
      </c>
      <c r="I459" s="25">
        <f>IF(_CALC_PNL!E459=1,H459-G459,"")</f>
        <v/>
      </c>
    </row>
    <row r="460">
      <c r="A460" s="1" t="inlineStr">
        <is>
          <t>MBWAY_PAR</t>
        </is>
      </c>
      <c r="B460" s="1" t="inlineStr">
        <is>
          <t>615</t>
        </is>
      </c>
      <c r="C460" s="1" t="inlineStr">
        <is>
          <t>2025</t>
        </is>
      </c>
      <c r="D460" s="1" t="inlineStr">
        <is>
          <t>ACT</t>
        </is>
      </c>
      <c r="E460" s="1" t="inlineStr">
        <is>
          <t>2027BUD_V1</t>
        </is>
      </c>
      <c r="F460" s="1" t="inlineStr">
        <is>
          <t>12</t>
        </is>
      </c>
      <c r="G460" s="1" t="n">
        <v>50967</v>
      </c>
      <c r="H460" s="25">
        <f>_CALC_PNL!P460</f>
        <v/>
      </c>
      <c r="I460" s="25">
        <f>IF(_CALC_PNL!E460=1,H460-G460,"")</f>
        <v/>
      </c>
    </row>
    <row r="461">
      <c r="A461" s="1" t="inlineStr">
        <is>
          <t>MBWAY_LYO</t>
        </is>
      </c>
      <c r="B461" s="1" t="inlineStr">
        <is>
          <t>615</t>
        </is>
      </c>
      <c r="C461" s="1" t="inlineStr">
        <is>
          <t>2025</t>
        </is>
      </c>
      <c r="D461" s="1" t="inlineStr">
        <is>
          <t>ACT</t>
        </is>
      </c>
      <c r="E461" s="1" t="inlineStr">
        <is>
          <t>2027BUD_V1</t>
        </is>
      </c>
      <c r="F461" s="1" t="inlineStr">
        <is>
          <t>12</t>
        </is>
      </c>
      <c r="G461" s="1" t="n">
        <v>30538</v>
      </c>
      <c r="H461" s="25">
        <f>_CALC_PNL!P461</f>
        <v/>
      </c>
      <c r="I461" s="25">
        <f>IF(_CALC_PNL!E461=1,H461-G461,"")</f>
        <v/>
      </c>
    </row>
    <row r="462">
      <c r="A462" s="1" t="inlineStr">
        <is>
          <t>MBWAY_NAN</t>
        </is>
      </c>
      <c r="B462" s="1" t="inlineStr">
        <is>
          <t>615</t>
        </is>
      </c>
      <c r="C462" s="1" t="inlineStr">
        <is>
          <t>2025</t>
        </is>
      </c>
      <c r="D462" s="1" t="inlineStr">
        <is>
          <t>ACT</t>
        </is>
      </c>
      <c r="E462" s="1" t="inlineStr">
        <is>
          <t>2027BUD_V1</t>
        </is>
      </c>
      <c r="F462" s="1" t="inlineStr">
        <is>
          <t>12</t>
        </is>
      </c>
      <c r="G462" s="1" t="n">
        <v>25169</v>
      </c>
      <c r="H462" s="25">
        <f>_CALC_PNL!P462</f>
        <v/>
      </c>
      <c r="I462" s="25">
        <f>IF(_CALC_PNL!E462=1,H462-G462,"")</f>
        <v/>
      </c>
    </row>
    <row r="463">
      <c r="A463" s="1" t="inlineStr">
        <is>
          <t>MBWAY_BOR</t>
        </is>
      </c>
      <c r="B463" s="1" t="inlineStr">
        <is>
          <t>615</t>
        </is>
      </c>
      <c r="C463" s="1" t="inlineStr">
        <is>
          <t>2025</t>
        </is>
      </c>
      <c r="D463" s="1" t="inlineStr">
        <is>
          <t>ACT</t>
        </is>
      </c>
      <c r="E463" s="1" t="inlineStr">
        <is>
          <t>2027BUD_V1</t>
        </is>
      </c>
      <c r="F463" s="1" t="inlineStr">
        <is>
          <t>12</t>
        </is>
      </c>
      <c r="G463" s="1" t="n">
        <v>22023</v>
      </c>
      <c r="H463" s="25">
        <f>_CALC_PNL!P463</f>
        <v/>
      </c>
      <c r="I463" s="25">
        <f>IF(_CALC_PNL!E463=1,H463-G463,"")</f>
        <v/>
      </c>
    </row>
    <row r="464">
      <c r="A464" s="1" t="inlineStr">
        <is>
          <t>ISCOM_PAR</t>
        </is>
      </c>
      <c r="B464" s="1" t="inlineStr">
        <is>
          <t>615</t>
        </is>
      </c>
      <c r="C464" s="1" t="inlineStr">
        <is>
          <t>2025</t>
        </is>
      </c>
      <c r="D464" s="1" t="inlineStr">
        <is>
          <t>ACT</t>
        </is>
      </c>
      <c r="E464" s="1" t="inlineStr">
        <is>
          <t>2027BUD_V1</t>
        </is>
      </c>
      <c r="F464" s="1" t="inlineStr">
        <is>
          <t>12</t>
        </is>
      </c>
      <c r="G464" s="1" t="n">
        <v>50967</v>
      </c>
      <c r="H464" s="25">
        <f>_CALC_PNL!P464</f>
        <v/>
      </c>
      <c r="I464" s="25">
        <f>IF(_CALC_PNL!E464=1,H464-G464,"")</f>
        <v/>
      </c>
    </row>
    <row r="465">
      <c r="A465" s="1" t="inlineStr">
        <is>
          <t>ISCOM_LIL</t>
        </is>
      </c>
      <c r="B465" s="1" t="inlineStr">
        <is>
          <t>615</t>
        </is>
      </c>
      <c r="C465" s="1" t="inlineStr">
        <is>
          <t>2025</t>
        </is>
      </c>
      <c r="D465" s="1" t="inlineStr">
        <is>
          <t>ACT</t>
        </is>
      </c>
      <c r="E465" s="1" t="inlineStr">
        <is>
          <t>2027BUD_V1</t>
        </is>
      </c>
      <c r="F465" s="1" t="inlineStr">
        <is>
          <t>12</t>
        </is>
      </c>
      <c r="G465" s="1" t="n">
        <v>19296</v>
      </c>
      <c r="H465" s="25">
        <f>_CALC_PNL!P465</f>
        <v/>
      </c>
      <c r="I465" s="25">
        <f>IF(_CALC_PNL!E465=1,H465-G465,"")</f>
        <v/>
      </c>
    </row>
    <row r="466">
      <c r="A466" s="1" t="inlineStr">
        <is>
          <t>ISCOM_TLS</t>
        </is>
      </c>
      <c r="B466" s="1" t="inlineStr">
        <is>
          <t>615</t>
        </is>
      </c>
      <c r="C466" s="1" t="inlineStr">
        <is>
          <t>2025</t>
        </is>
      </c>
      <c r="D466" s="1" t="inlineStr">
        <is>
          <t>ACT</t>
        </is>
      </c>
      <c r="E466" s="1" t="inlineStr">
        <is>
          <t>2027BUD_V1</t>
        </is>
      </c>
      <c r="F466" s="1" t="inlineStr">
        <is>
          <t>12</t>
        </is>
      </c>
      <c r="G466" s="1" t="n">
        <v>18877</v>
      </c>
      <c r="H466" s="25">
        <f>_CALC_PNL!P466</f>
        <v/>
      </c>
      <c r="I466" s="25">
        <f>IF(_CALC_PNL!E466=1,H466-G466,"")</f>
        <v/>
      </c>
    </row>
    <row r="467">
      <c r="A467" s="1" t="inlineStr">
        <is>
          <t>IPAC_NAN</t>
        </is>
      </c>
      <c r="B467" s="1" t="inlineStr">
        <is>
          <t>615</t>
        </is>
      </c>
      <c r="C467" s="1" t="inlineStr">
        <is>
          <t>2025</t>
        </is>
      </c>
      <c r="D467" s="1" t="inlineStr">
        <is>
          <t>ACT</t>
        </is>
      </c>
      <c r="E467" s="1" t="inlineStr">
        <is>
          <t>2027BUD_V1</t>
        </is>
      </c>
      <c r="F467" s="1" t="inlineStr">
        <is>
          <t>12</t>
        </is>
      </c>
      <c r="G467" s="1" t="n">
        <v>12585</v>
      </c>
      <c r="H467" s="25">
        <f>_CALC_PNL!P467</f>
        <v/>
      </c>
      <c r="I467" s="25">
        <f>IF(_CALC_PNL!E467=1,H467-G467,"")</f>
        <v/>
      </c>
    </row>
    <row r="468">
      <c r="A468" s="1" t="inlineStr">
        <is>
          <t>IPAC_REN</t>
        </is>
      </c>
      <c r="B468" s="1" t="inlineStr">
        <is>
          <t>615</t>
        </is>
      </c>
      <c r="C468" s="1" t="inlineStr">
        <is>
          <t>2025</t>
        </is>
      </c>
      <c r="D468" s="1" t="inlineStr">
        <is>
          <t>ACT</t>
        </is>
      </c>
      <c r="E468" s="1" t="inlineStr">
        <is>
          <t>2027BUD_V1</t>
        </is>
      </c>
      <c r="F468" s="1" t="inlineStr">
        <is>
          <t>12</t>
        </is>
      </c>
      <c r="G468" s="1" t="n">
        <v>11074</v>
      </c>
      <c r="H468" s="25">
        <f>_CALC_PNL!P468</f>
        <v/>
      </c>
      <c r="I468" s="25">
        <f>IF(_CALC_PNL!E468=1,H468-G468,"")</f>
        <v/>
      </c>
    </row>
    <row r="469">
      <c r="A469" s="1" t="inlineStr">
        <is>
          <t>IPAC_MTP</t>
        </is>
      </c>
      <c r="B469" s="1" t="inlineStr">
        <is>
          <t>615</t>
        </is>
      </c>
      <c r="C469" s="1" t="inlineStr">
        <is>
          <t>2025</t>
        </is>
      </c>
      <c r="D469" s="1" t="inlineStr">
        <is>
          <t>ACT</t>
        </is>
      </c>
      <c r="E469" s="1" t="inlineStr">
        <is>
          <t>2027BUD_V1</t>
        </is>
      </c>
      <c r="F469" s="1" t="inlineStr">
        <is>
          <t>12</t>
        </is>
      </c>
      <c r="G469" s="1" t="n">
        <v>11074</v>
      </c>
      <c r="H469" s="25">
        <f>_CALC_PNL!P469</f>
        <v/>
      </c>
      <c r="I469" s="25">
        <f>IF(_CALC_PNL!E469=1,H469-G469,"")</f>
        <v/>
      </c>
    </row>
    <row r="470">
      <c r="A470" s="1" t="inlineStr">
        <is>
          <t>PIGIER_LYO</t>
        </is>
      </c>
      <c r="B470" s="1" t="inlineStr">
        <is>
          <t>615</t>
        </is>
      </c>
      <c r="C470" s="1" t="inlineStr">
        <is>
          <t>2025</t>
        </is>
      </c>
      <c r="D470" s="1" t="inlineStr">
        <is>
          <t>ACT</t>
        </is>
      </c>
      <c r="E470" s="1" t="inlineStr">
        <is>
          <t>2027BUD_V1</t>
        </is>
      </c>
      <c r="F470" s="1" t="inlineStr">
        <is>
          <t>12</t>
        </is>
      </c>
      <c r="G470" s="1" t="n">
        <v>18793</v>
      </c>
      <c r="H470" s="25">
        <f>_CALC_PNL!P470</f>
        <v/>
      </c>
      <c r="I470" s="25">
        <f>IF(_CALC_PNL!E470=1,H470-G470,"")</f>
        <v/>
      </c>
    </row>
    <row r="471">
      <c r="A471" s="1" t="inlineStr">
        <is>
          <t>PIGIER_BOR</t>
        </is>
      </c>
      <c r="B471" s="1" t="inlineStr">
        <is>
          <t>615</t>
        </is>
      </c>
      <c r="C471" s="1" t="inlineStr">
        <is>
          <t>2025</t>
        </is>
      </c>
      <c r="D471" s="1" t="inlineStr">
        <is>
          <t>ACT</t>
        </is>
      </c>
      <c r="E471" s="1" t="inlineStr">
        <is>
          <t>2027BUD_V1</t>
        </is>
      </c>
      <c r="F471" s="1" t="inlineStr">
        <is>
          <t>12</t>
        </is>
      </c>
      <c r="G471" s="1" t="n">
        <v>17618</v>
      </c>
      <c r="H471" s="25">
        <f>_CALC_PNL!P471</f>
        <v/>
      </c>
      <c r="I471" s="25">
        <f>IF(_CALC_PNL!E471=1,H471-G471,"")</f>
        <v/>
      </c>
    </row>
    <row r="472">
      <c r="A472" s="1" t="inlineStr">
        <is>
          <t>TUNON_PAR</t>
        </is>
      </c>
      <c r="B472" s="1" t="inlineStr">
        <is>
          <t>615</t>
        </is>
      </c>
      <c r="C472" s="1" t="inlineStr">
        <is>
          <t>2025</t>
        </is>
      </c>
      <c r="D472" s="1" t="inlineStr">
        <is>
          <t>ACT</t>
        </is>
      </c>
      <c r="E472" s="1" t="inlineStr">
        <is>
          <t>2027BUD_V1</t>
        </is>
      </c>
      <c r="F472" s="1" t="inlineStr">
        <is>
          <t>12</t>
        </is>
      </c>
      <c r="G472" s="1" t="n">
        <v>20387</v>
      </c>
      <c r="H472" s="25">
        <f>_CALC_PNL!P472</f>
        <v/>
      </c>
      <c r="I472" s="25">
        <f>IF(_CALC_PNL!E472=1,H472-G472,"")</f>
        <v/>
      </c>
    </row>
    <row r="473">
      <c r="A473" s="1" t="inlineStr">
        <is>
          <t>TUNON_LYO</t>
        </is>
      </c>
      <c r="B473" s="1" t="inlineStr">
        <is>
          <t>615</t>
        </is>
      </c>
      <c r="C473" s="1" t="inlineStr">
        <is>
          <t>2025</t>
        </is>
      </c>
      <c r="D473" s="1" t="inlineStr">
        <is>
          <t>ACT</t>
        </is>
      </c>
      <c r="E473" s="1" t="inlineStr">
        <is>
          <t>2027BUD_V1</t>
        </is>
      </c>
      <c r="F473" s="1" t="inlineStr">
        <is>
          <t>12</t>
        </is>
      </c>
      <c r="G473" s="1" t="n">
        <v>14095</v>
      </c>
      <c r="H473" s="25">
        <f>_CALC_PNL!P473</f>
        <v/>
      </c>
      <c r="I473" s="25">
        <f>IF(_CALC_PNL!E473=1,H473-G473,"")</f>
        <v/>
      </c>
    </row>
    <row r="474">
      <c r="A474" s="1" t="inlineStr">
        <is>
          <t>MBWAY_PAR</t>
        </is>
      </c>
      <c r="B474" s="1" t="inlineStr">
        <is>
          <t>615</t>
        </is>
      </c>
      <c r="C474" s="1" t="inlineStr">
        <is>
          <t>2026</t>
        </is>
      </c>
      <c r="D474" s="1" t="inlineStr">
        <is>
          <t>ACT</t>
        </is>
      </c>
      <c r="E474" s="1" t="inlineStr">
        <is>
          <t>2027BUD_V1</t>
        </is>
      </c>
      <c r="F474" s="1" t="inlineStr">
        <is>
          <t>12</t>
        </is>
      </c>
      <c r="G474" s="1" t="n">
        <v>53400</v>
      </c>
      <c r="H474" s="25">
        <f>_CALC_PNL!P474</f>
        <v/>
      </c>
      <c r="I474" s="25">
        <f>IF(_CALC_PNL!E474=1,H474-G474,"")</f>
        <v/>
      </c>
    </row>
    <row r="475">
      <c r="A475" s="1" t="inlineStr">
        <is>
          <t>MBWAY_LYO</t>
        </is>
      </c>
      <c r="B475" s="1" t="inlineStr">
        <is>
          <t>615</t>
        </is>
      </c>
      <c r="C475" s="1" t="inlineStr">
        <is>
          <t>2026</t>
        </is>
      </c>
      <c r="D475" s="1" t="inlineStr">
        <is>
          <t>ACT</t>
        </is>
      </c>
      <c r="E475" s="1" t="inlineStr">
        <is>
          <t>2027BUD_V1</t>
        </is>
      </c>
      <c r="F475" s="1" t="inlineStr">
        <is>
          <t>12</t>
        </is>
      </c>
      <c r="G475" s="1" t="n">
        <v>31996</v>
      </c>
      <c r="H475" s="25">
        <f>_CALC_PNL!P475</f>
        <v/>
      </c>
      <c r="I475" s="25">
        <f>IF(_CALC_PNL!E475=1,H475-G475,"")</f>
        <v/>
      </c>
    </row>
    <row r="476">
      <c r="A476" s="1" t="inlineStr">
        <is>
          <t>MBWAY_NAN</t>
        </is>
      </c>
      <c r="B476" s="1" t="inlineStr">
        <is>
          <t>615</t>
        </is>
      </c>
      <c r="C476" s="1" t="inlineStr">
        <is>
          <t>2026</t>
        </is>
      </c>
      <c r="D476" s="1" t="inlineStr">
        <is>
          <t>ACT</t>
        </is>
      </c>
      <c r="E476" s="1" t="inlineStr">
        <is>
          <t>2027BUD_V1</t>
        </is>
      </c>
      <c r="F476" s="1" t="inlineStr">
        <is>
          <t>12</t>
        </is>
      </c>
      <c r="G476" s="1" t="n">
        <v>26370</v>
      </c>
      <c r="H476" s="25">
        <f>_CALC_PNL!P476</f>
        <v/>
      </c>
      <c r="I476" s="25">
        <f>IF(_CALC_PNL!E476=1,H476-G476,"")</f>
        <v/>
      </c>
    </row>
    <row r="477">
      <c r="A477" s="1" t="inlineStr">
        <is>
          <t>MBWAY_BOR</t>
        </is>
      </c>
      <c r="B477" s="1" t="inlineStr">
        <is>
          <t>615</t>
        </is>
      </c>
      <c r="C477" s="1" t="inlineStr">
        <is>
          <t>2026</t>
        </is>
      </c>
      <c r="D477" s="1" t="inlineStr">
        <is>
          <t>ACT</t>
        </is>
      </c>
      <c r="E477" s="1" t="inlineStr">
        <is>
          <t>2027BUD_V1</t>
        </is>
      </c>
      <c r="F477" s="1" t="inlineStr">
        <is>
          <t>12</t>
        </is>
      </c>
      <c r="G477" s="1" t="n">
        <v>23074</v>
      </c>
      <c r="H477" s="25">
        <f>_CALC_PNL!P477</f>
        <v/>
      </c>
      <c r="I477" s="25">
        <f>IF(_CALC_PNL!E477=1,H477-G477,"")</f>
        <v/>
      </c>
    </row>
    <row r="478">
      <c r="A478" s="1" t="inlineStr">
        <is>
          <t>ISCOM_PAR</t>
        </is>
      </c>
      <c r="B478" s="1" t="inlineStr">
        <is>
          <t>615</t>
        </is>
      </c>
      <c r="C478" s="1" t="inlineStr">
        <is>
          <t>2026</t>
        </is>
      </c>
      <c r="D478" s="1" t="inlineStr">
        <is>
          <t>ACT</t>
        </is>
      </c>
      <c r="E478" s="1" t="inlineStr">
        <is>
          <t>2027BUD_V1</t>
        </is>
      </c>
      <c r="F478" s="1" t="inlineStr">
        <is>
          <t>12</t>
        </is>
      </c>
      <c r="G478" s="1" t="n">
        <v>53400</v>
      </c>
      <c r="H478" s="25">
        <f>_CALC_PNL!P478</f>
        <v/>
      </c>
      <c r="I478" s="25">
        <f>IF(_CALC_PNL!E478=1,H478-G478,"")</f>
        <v/>
      </c>
    </row>
    <row r="479">
      <c r="A479" s="1" t="inlineStr">
        <is>
          <t>ISCOM_LIL</t>
        </is>
      </c>
      <c r="B479" s="1" t="inlineStr">
        <is>
          <t>615</t>
        </is>
      </c>
      <c r="C479" s="1" t="inlineStr">
        <is>
          <t>2026</t>
        </is>
      </c>
      <c r="D479" s="1" t="inlineStr">
        <is>
          <t>ACT</t>
        </is>
      </c>
      <c r="E479" s="1" t="inlineStr">
        <is>
          <t>2027BUD_V1</t>
        </is>
      </c>
      <c r="F479" s="1" t="inlineStr">
        <is>
          <t>12</t>
        </is>
      </c>
      <c r="G479" s="1" t="n">
        <v>20217</v>
      </c>
      <c r="H479" s="25">
        <f>_CALC_PNL!P479</f>
        <v/>
      </c>
      <c r="I479" s="25">
        <f>IF(_CALC_PNL!E479=1,H479-G479,"")</f>
        <v/>
      </c>
    </row>
    <row r="480">
      <c r="A480" s="1" t="inlineStr">
        <is>
          <t>ISCOM_TLS</t>
        </is>
      </c>
      <c r="B480" s="1" t="inlineStr">
        <is>
          <t>615</t>
        </is>
      </c>
      <c r="C480" s="1" t="inlineStr">
        <is>
          <t>2026</t>
        </is>
      </c>
      <c r="D480" s="1" t="inlineStr">
        <is>
          <t>ACT</t>
        </is>
      </c>
      <c r="E480" s="1" t="inlineStr">
        <is>
          <t>2027BUD_V1</t>
        </is>
      </c>
      <c r="F480" s="1" t="inlineStr">
        <is>
          <t>12</t>
        </is>
      </c>
      <c r="G480" s="1" t="n">
        <v>19778</v>
      </c>
      <c r="H480" s="25">
        <f>_CALC_PNL!P480</f>
        <v/>
      </c>
      <c r="I480" s="25">
        <f>IF(_CALC_PNL!E480=1,H480-G480,"")</f>
        <v/>
      </c>
    </row>
    <row r="481">
      <c r="A481" s="1" t="inlineStr">
        <is>
          <t>IPAC_NAN</t>
        </is>
      </c>
      <c r="B481" s="1" t="inlineStr">
        <is>
          <t>615</t>
        </is>
      </c>
      <c r="C481" s="1" t="inlineStr">
        <is>
          <t>2026</t>
        </is>
      </c>
      <c r="D481" s="1" t="inlineStr">
        <is>
          <t>ACT</t>
        </is>
      </c>
      <c r="E481" s="1" t="inlineStr">
        <is>
          <t>2027BUD_V1</t>
        </is>
      </c>
      <c r="F481" s="1" t="inlineStr">
        <is>
          <t>12</t>
        </is>
      </c>
      <c r="G481" s="1" t="n">
        <v>13185</v>
      </c>
      <c r="H481" s="25">
        <f>_CALC_PNL!P481</f>
        <v/>
      </c>
      <c r="I481" s="25">
        <f>IF(_CALC_PNL!E481=1,H481-G481,"")</f>
        <v/>
      </c>
    </row>
    <row r="482">
      <c r="A482" s="1" t="inlineStr">
        <is>
          <t>IPAC_REN</t>
        </is>
      </c>
      <c r="B482" s="1" t="inlineStr">
        <is>
          <t>615</t>
        </is>
      </c>
      <c r="C482" s="1" t="inlineStr">
        <is>
          <t>2026</t>
        </is>
      </c>
      <c r="D482" s="1" t="inlineStr">
        <is>
          <t>ACT</t>
        </is>
      </c>
      <c r="E482" s="1" t="inlineStr">
        <is>
          <t>2027BUD_V1</t>
        </is>
      </c>
      <c r="F482" s="1" t="inlineStr">
        <is>
          <t>12</t>
        </is>
      </c>
      <c r="G482" s="1" t="n">
        <v>11603</v>
      </c>
      <c r="H482" s="25">
        <f>_CALC_PNL!P482</f>
        <v/>
      </c>
      <c r="I482" s="25">
        <f>IF(_CALC_PNL!E482=1,H482-G482,"")</f>
        <v/>
      </c>
    </row>
    <row r="483">
      <c r="A483" s="1" t="inlineStr">
        <is>
          <t>IPAC_MTP</t>
        </is>
      </c>
      <c r="B483" s="1" t="inlineStr">
        <is>
          <t>615</t>
        </is>
      </c>
      <c r="C483" s="1" t="inlineStr">
        <is>
          <t>2026</t>
        </is>
      </c>
      <c r="D483" s="1" t="inlineStr">
        <is>
          <t>ACT</t>
        </is>
      </c>
      <c r="E483" s="1" t="inlineStr">
        <is>
          <t>2027BUD_V1</t>
        </is>
      </c>
      <c r="F483" s="1" t="inlineStr">
        <is>
          <t>12</t>
        </is>
      </c>
      <c r="G483" s="1" t="n">
        <v>11603</v>
      </c>
      <c r="H483" s="25">
        <f>_CALC_PNL!P483</f>
        <v/>
      </c>
      <c r="I483" s="25">
        <f>IF(_CALC_PNL!E483=1,H483-G483,"")</f>
        <v/>
      </c>
    </row>
    <row r="484">
      <c r="A484" s="1" t="inlineStr">
        <is>
          <t>PIGIER_LYO</t>
        </is>
      </c>
      <c r="B484" s="1" t="inlineStr">
        <is>
          <t>615</t>
        </is>
      </c>
      <c r="C484" s="1" t="inlineStr">
        <is>
          <t>2026</t>
        </is>
      </c>
      <c r="D484" s="1" t="inlineStr">
        <is>
          <t>ACT</t>
        </is>
      </c>
      <c r="E484" s="1" t="inlineStr">
        <is>
          <t>2027BUD_V1</t>
        </is>
      </c>
      <c r="F484" s="1" t="inlineStr">
        <is>
          <t>12</t>
        </is>
      </c>
      <c r="G484" s="1" t="n">
        <v>19690</v>
      </c>
      <c r="H484" s="25">
        <f>_CALC_PNL!P484</f>
        <v/>
      </c>
      <c r="I484" s="25">
        <f>IF(_CALC_PNL!E484=1,H484-G484,"")</f>
        <v/>
      </c>
    </row>
    <row r="485">
      <c r="A485" s="1" t="inlineStr">
        <is>
          <t>PIGIER_BOR</t>
        </is>
      </c>
      <c r="B485" s="1" t="inlineStr">
        <is>
          <t>615</t>
        </is>
      </c>
      <c r="C485" s="1" t="inlineStr">
        <is>
          <t>2026</t>
        </is>
      </c>
      <c r="D485" s="1" t="inlineStr">
        <is>
          <t>ACT</t>
        </is>
      </c>
      <c r="E485" s="1" t="inlineStr">
        <is>
          <t>2027BUD_V1</t>
        </is>
      </c>
      <c r="F485" s="1" t="inlineStr">
        <is>
          <t>12</t>
        </is>
      </c>
      <c r="G485" s="1" t="n">
        <v>18459</v>
      </c>
      <c r="H485" s="25">
        <f>_CALC_PNL!P485</f>
        <v/>
      </c>
      <c r="I485" s="25">
        <f>IF(_CALC_PNL!E485=1,H485-G485,"")</f>
        <v/>
      </c>
    </row>
    <row r="486">
      <c r="A486" s="1" t="inlineStr">
        <is>
          <t>TUNON_PAR</t>
        </is>
      </c>
      <c r="B486" s="1" t="inlineStr">
        <is>
          <t>615</t>
        </is>
      </c>
      <c r="C486" s="1" t="inlineStr">
        <is>
          <t>2026</t>
        </is>
      </c>
      <c r="D486" s="1" t="inlineStr">
        <is>
          <t>ACT</t>
        </is>
      </c>
      <c r="E486" s="1" t="inlineStr">
        <is>
          <t>2027BUD_V1</t>
        </is>
      </c>
      <c r="F486" s="1" t="inlineStr">
        <is>
          <t>12</t>
        </is>
      </c>
      <c r="G486" s="1" t="n">
        <v>21360</v>
      </c>
      <c r="H486" s="25">
        <f>_CALC_PNL!P486</f>
        <v/>
      </c>
      <c r="I486" s="25">
        <f>IF(_CALC_PNL!E486=1,H486-G486,"")</f>
        <v/>
      </c>
    </row>
    <row r="487">
      <c r="A487" s="1" t="inlineStr">
        <is>
          <t>TUNON_LYO</t>
        </is>
      </c>
      <c r="B487" s="1" t="inlineStr">
        <is>
          <t>615</t>
        </is>
      </c>
      <c r="C487" s="1" t="inlineStr">
        <is>
          <t>2026</t>
        </is>
      </c>
      <c r="D487" s="1" t="inlineStr">
        <is>
          <t>ACT</t>
        </is>
      </c>
      <c r="E487" s="1" t="inlineStr">
        <is>
          <t>2027BUD_V1</t>
        </is>
      </c>
      <c r="F487" s="1" t="inlineStr">
        <is>
          <t>12</t>
        </is>
      </c>
      <c r="G487" s="1" t="n">
        <v>14767</v>
      </c>
      <c r="H487" s="25">
        <f>_CALC_PNL!P487</f>
        <v/>
      </c>
      <c r="I487" s="25">
        <f>IF(_CALC_PNL!E487=1,H487-G487,"")</f>
        <v/>
      </c>
    </row>
    <row r="488">
      <c r="A488" s="1" t="inlineStr">
        <is>
          <t>MBWAY_PAR</t>
        </is>
      </c>
      <c r="B488" s="1" t="inlineStr">
        <is>
          <t>616</t>
        </is>
      </c>
      <c r="C488" s="1" t="inlineStr">
        <is>
          <t>2024</t>
        </is>
      </c>
      <c r="D488" s="1" t="inlineStr">
        <is>
          <t>ACT</t>
        </is>
      </c>
      <c r="E488" s="1" t="inlineStr">
        <is>
          <t>2027BUD_V1</t>
        </is>
      </c>
      <c r="F488" s="1" t="inlineStr">
        <is>
          <t>12</t>
        </is>
      </c>
      <c r="G488" s="1" t="n">
        <v>35430</v>
      </c>
      <c r="H488" s="25">
        <f>_CALC_PNL!P488</f>
        <v/>
      </c>
      <c r="I488" s="25">
        <f>IF(_CALC_PNL!E488=1,H488-G488,"")</f>
        <v/>
      </c>
    </row>
    <row r="489">
      <c r="A489" s="1" t="inlineStr">
        <is>
          <t>MBWAY_LYO</t>
        </is>
      </c>
      <c r="B489" s="1" t="inlineStr">
        <is>
          <t>616</t>
        </is>
      </c>
      <c r="C489" s="1" t="inlineStr">
        <is>
          <t>2024</t>
        </is>
      </c>
      <c r="D489" s="1" t="inlineStr">
        <is>
          <t>ACT</t>
        </is>
      </c>
      <c r="E489" s="1" t="inlineStr">
        <is>
          <t>2027BUD_V1</t>
        </is>
      </c>
      <c r="F489" s="1" t="inlineStr">
        <is>
          <t>12</t>
        </is>
      </c>
      <c r="G489" s="1" t="n">
        <v>20776</v>
      </c>
      <c r="H489" s="25">
        <f>_CALC_PNL!P489</f>
        <v/>
      </c>
      <c r="I489" s="25">
        <f>IF(_CALC_PNL!E489=1,H489-G489,"")</f>
        <v/>
      </c>
    </row>
    <row r="490">
      <c r="A490" s="1" t="inlineStr">
        <is>
          <t>MBWAY_NAN</t>
        </is>
      </c>
      <c r="B490" s="1" t="inlineStr">
        <is>
          <t>616</t>
        </is>
      </c>
      <c r="C490" s="1" t="inlineStr">
        <is>
          <t>2024</t>
        </is>
      </c>
      <c r="D490" s="1" t="inlineStr">
        <is>
          <t>ACT</t>
        </is>
      </c>
      <c r="E490" s="1" t="inlineStr">
        <is>
          <t>2027BUD_V1</t>
        </is>
      </c>
      <c r="F490" s="1" t="inlineStr">
        <is>
          <t>12</t>
        </is>
      </c>
      <c r="G490" s="1" t="n">
        <v>16832</v>
      </c>
      <c r="H490" s="25">
        <f>_CALC_PNL!P490</f>
        <v/>
      </c>
      <c r="I490" s="25">
        <f>IF(_CALC_PNL!E490=1,H490-G490,"")</f>
        <v/>
      </c>
    </row>
    <row r="491">
      <c r="A491" s="1" t="inlineStr">
        <is>
          <t>MBWAY_BOR</t>
        </is>
      </c>
      <c r="B491" s="1" t="inlineStr">
        <is>
          <t>616</t>
        </is>
      </c>
      <c r="C491" s="1" t="inlineStr">
        <is>
          <t>2024</t>
        </is>
      </c>
      <c r="D491" s="1" t="inlineStr">
        <is>
          <t>ACT</t>
        </is>
      </c>
      <c r="E491" s="1" t="inlineStr">
        <is>
          <t>2027BUD_V1</t>
        </is>
      </c>
      <c r="F491" s="1" t="inlineStr">
        <is>
          <t>12</t>
        </is>
      </c>
      <c r="G491" s="1" t="n">
        <v>14969</v>
      </c>
      <c r="H491" s="25">
        <f>_CALC_PNL!P491</f>
        <v/>
      </c>
      <c r="I491" s="25">
        <f>IF(_CALC_PNL!E491=1,H491-G491,"")</f>
        <v/>
      </c>
    </row>
    <row r="492">
      <c r="A492" s="1" t="inlineStr">
        <is>
          <t>ISCOM_PAR</t>
        </is>
      </c>
      <c r="B492" s="1" t="inlineStr">
        <is>
          <t>616</t>
        </is>
      </c>
      <c r="C492" s="1" t="inlineStr">
        <is>
          <t>2024</t>
        </is>
      </c>
      <c r="D492" s="1" t="inlineStr">
        <is>
          <t>ACT</t>
        </is>
      </c>
      <c r="E492" s="1" t="inlineStr">
        <is>
          <t>2027BUD_V1</t>
        </is>
      </c>
      <c r="F492" s="1" t="inlineStr">
        <is>
          <t>12</t>
        </is>
      </c>
      <c r="G492" s="1" t="n">
        <v>32833</v>
      </c>
      <c r="H492" s="25">
        <f>_CALC_PNL!P492</f>
        <v/>
      </c>
      <c r="I492" s="25">
        <f>IF(_CALC_PNL!E492=1,H492-G492,"")</f>
        <v/>
      </c>
    </row>
    <row r="493">
      <c r="A493" s="1" t="inlineStr">
        <is>
          <t>ISCOM_LIL</t>
        </is>
      </c>
      <c r="B493" s="1" t="inlineStr">
        <is>
          <t>616</t>
        </is>
      </c>
      <c r="C493" s="1" t="inlineStr">
        <is>
          <t>2024</t>
        </is>
      </c>
      <c r="D493" s="1" t="inlineStr">
        <is>
          <t>ACT</t>
        </is>
      </c>
      <c r="E493" s="1" t="inlineStr">
        <is>
          <t>2027BUD_V1</t>
        </is>
      </c>
      <c r="F493" s="1" t="inlineStr">
        <is>
          <t>12</t>
        </is>
      </c>
      <c r="G493" s="1" t="n">
        <v>12852</v>
      </c>
      <c r="H493" s="25">
        <f>_CALC_PNL!P493</f>
        <v/>
      </c>
      <c r="I493" s="25">
        <f>IF(_CALC_PNL!E493=1,H493-G493,"")</f>
        <v/>
      </c>
    </row>
    <row r="494">
      <c r="A494" s="1" t="inlineStr">
        <is>
          <t>ISCOM_TLS</t>
        </is>
      </c>
      <c r="B494" s="1" t="inlineStr">
        <is>
          <t>616</t>
        </is>
      </c>
      <c r="C494" s="1" t="inlineStr">
        <is>
          <t>2024</t>
        </is>
      </c>
      <c r="D494" s="1" t="inlineStr">
        <is>
          <t>ACT</t>
        </is>
      </c>
      <c r="E494" s="1" t="inlineStr">
        <is>
          <t>2027BUD_V1</t>
        </is>
      </c>
      <c r="F494" s="1" t="inlineStr">
        <is>
          <t>12</t>
        </is>
      </c>
      <c r="G494" s="1" t="n">
        <v>11903</v>
      </c>
      <c r="H494" s="25">
        <f>_CALC_PNL!P494</f>
        <v/>
      </c>
      <c r="I494" s="25">
        <f>IF(_CALC_PNL!E494=1,H494-G494,"")</f>
        <v/>
      </c>
    </row>
    <row r="495">
      <c r="A495" s="1" t="inlineStr">
        <is>
          <t>IPAC_NAN</t>
        </is>
      </c>
      <c r="B495" s="1" t="inlineStr">
        <is>
          <t>616</t>
        </is>
      </c>
      <c r="C495" s="1" t="inlineStr">
        <is>
          <t>2024</t>
        </is>
      </c>
      <c r="D495" s="1" t="inlineStr">
        <is>
          <t>ACT</t>
        </is>
      </c>
      <c r="E495" s="1" t="inlineStr">
        <is>
          <t>2027BUD_V1</t>
        </is>
      </c>
      <c r="F495" s="1" t="inlineStr">
        <is>
          <t>12</t>
        </is>
      </c>
      <c r="G495" s="1" t="n">
        <v>8302</v>
      </c>
      <c r="H495" s="25">
        <f>_CALC_PNL!P495</f>
        <v/>
      </c>
      <c r="I495" s="25">
        <f>IF(_CALC_PNL!E495=1,H495-G495,"")</f>
        <v/>
      </c>
    </row>
    <row r="496">
      <c r="A496" s="1" t="inlineStr">
        <is>
          <t>IPAC_REN</t>
        </is>
      </c>
      <c r="B496" s="1" t="inlineStr">
        <is>
          <t>616</t>
        </is>
      </c>
      <c r="C496" s="1" t="inlineStr">
        <is>
          <t>2024</t>
        </is>
      </c>
      <c r="D496" s="1" t="inlineStr">
        <is>
          <t>ACT</t>
        </is>
      </c>
      <c r="E496" s="1" t="inlineStr">
        <is>
          <t>2027BUD_V1</t>
        </is>
      </c>
      <c r="F496" s="1" t="inlineStr">
        <is>
          <t>12</t>
        </is>
      </c>
      <c r="G496" s="1" t="n">
        <v>5895</v>
      </c>
      <c r="H496" s="25">
        <f>_CALC_PNL!P496</f>
        <v/>
      </c>
      <c r="I496" s="25">
        <f>IF(_CALC_PNL!E496=1,H496-G496,"")</f>
        <v/>
      </c>
    </row>
    <row r="497">
      <c r="A497" s="1" t="inlineStr">
        <is>
          <t>IPAC_MTP</t>
        </is>
      </c>
      <c r="B497" s="1" t="inlineStr">
        <is>
          <t>616</t>
        </is>
      </c>
      <c r="C497" s="1" t="inlineStr">
        <is>
          <t>2024</t>
        </is>
      </c>
      <c r="D497" s="1" t="inlineStr">
        <is>
          <t>ACT</t>
        </is>
      </c>
      <c r="E497" s="1" t="inlineStr">
        <is>
          <t>2027BUD_V1</t>
        </is>
      </c>
      <c r="F497" s="1" t="inlineStr">
        <is>
          <t>12</t>
        </is>
      </c>
      <c r="G497" s="1" t="n">
        <v>5895</v>
      </c>
      <c r="H497" s="25">
        <f>_CALC_PNL!P497</f>
        <v/>
      </c>
      <c r="I497" s="25">
        <f>IF(_CALC_PNL!E497=1,H497-G497,"")</f>
        <v/>
      </c>
    </row>
    <row r="498">
      <c r="A498" s="1" t="inlineStr">
        <is>
          <t>PIGIER_LYO</t>
        </is>
      </c>
      <c r="B498" s="1" t="inlineStr">
        <is>
          <t>616</t>
        </is>
      </c>
      <c r="C498" s="1" t="inlineStr">
        <is>
          <t>2024</t>
        </is>
      </c>
      <c r="D498" s="1" t="inlineStr">
        <is>
          <t>ACT</t>
        </is>
      </c>
      <c r="E498" s="1" t="inlineStr">
        <is>
          <t>2027BUD_V1</t>
        </is>
      </c>
      <c r="F498" s="1" t="inlineStr">
        <is>
          <t>12</t>
        </is>
      </c>
      <c r="G498" s="1" t="n">
        <v>11670</v>
      </c>
      <c r="H498" s="25">
        <f>_CALC_PNL!P498</f>
        <v/>
      </c>
      <c r="I498" s="25">
        <f>IF(_CALC_PNL!E498=1,H498-G498,"")</f>
        <v/>
      </c>
    </row>
    <row r="499">
      <c r="A499" s="1" t="inlineStr">
        <is>
          <t>PIGIER_BOR</t>
        </is>
      </c>
      <c r="B499" s="1" t="inlineStr">
        <is>
          <t>616</t>
        </is>
      </c>
      <c r="C499" s="1" t="inlineStr">
        <is>
          <t>2024</t>
        </is>
      </c>
      <c r="D499" s="1" t="inlineStr">
        <is>
          <t>ACT</t>
        </is>
      </c>
      <c r="E499" s="1" t="inlineStr">
        <is>
          <t>2027BUD_V1</t>
        </is>
      </c>
      <c r="F499" s="1" t="inlineStr">
        <is>
          <t>12</t>
        </is>
      </c>
      <c r="G499" s="1" t="n">
        <v>8536</v>
      </c>
      <c r="H499" s="25">
        <f>_CALC_PNL!P499</f>
        <v/>
      </c>
      <c r="I499" s="25">
        <f>IF(_CALC_PNL!E499=1,H499-G499,"")</f>
        <v/>
      </c>
    </row>
    <row r="500">
      <c r="A500" s="1" t="inlineStr">
        <is>
          <t>TUNON_PAR</t>
        </is>
      </c>
      <c r="B500" s="1" t="inlineStr">
        <is>
          <t>616</t>
        </is>
      </c>
      <c r="C500" s="1" t="inlineStr">
        <is>
          <t>2024</t>
        </is>
      </c>
      <c r="D500" s="1" t="inlineStr">
        <is>
          <t>ACT</t>
        </is>
      </c>
      <c r="E500" s="1" t="inlineStr">
        <is>
          <t>2027BUD_V1</t>
        </is>
      </c>
      <c r="F500" s="1" t="inlineStr">
        <is>
          <t>12</t>
        </is>
      </c>
      <c r="G500" s="1" t="n">
        <v>12799</v>
      </c>
      <c r="H500" s="25">
        <f>_CALC_PNL!P500</f>
        <v/>
      </c>
      <c r="I500" s="25">
        <f>IF(_CALC_PNL!E500=1,H500-G500,"")</f>
        <v/>
      </c>
    </row>
    <row r="501">
      <c r="A501" s="1" t="inlineStr">
        <is>
          <t>TUNON_LYO</t>
        </is>
      </c>
      <c r="B501" s="1" t="inlineStr">
        <is>
          <t>616</t>
        </is>
      </c>
      <c r="C501" s="1" t="inlineStr">
        <is>
          <t>2024</t>
        </is>
      </c>
      <c r="D501" s="1" t="inlineStr">
        <is>
          <t>ACT</t>
        </is>
      </c>
      <c r="E501" s="1" t="inlineStr">
        <is>
          <t>2027BUD_V1</t>
        </is>
      </c>
      <c r="F501" s="1" t="inlineStr">
        <is>
          <t>12</t>
        </is>
      </c>
      <c r="G501" s="1" t="n">
        <v>7502</v>
      </c>
      <c r="H501" s="25">
        <f>_CALC_PNL!P501</f>
        <v/>
      </c>
      <c r="I501" s="25">
        <f>IF(_CALC_PNL!E501=1,H501-G501,"")</f>
        <v/>
      </c>
    </row>
    <row r="502">
      <c r="A502" s="1" t="inlineStr">
        <is>
          <t>MBWAY_PAR</t>
        </is>
      </c>
      <c r="B502" s="1" t="inlineStr">
        <is>
          <t>616</t>
        </is>
      </c>
      <c r="C502" s="1" t="inlineStr">
        <is>
          <t>2025</t>
        </is>
      </c>
      <c r="D502" s="1" t="inlineStr">
        <is>
          <t>ACT</t>
        </is>
      </c>
      <c r="E502" s="1" t="inlineStr">
        <is>
          <t>2027BUD_V1</t>
        </is>
      </c>
      <c r="F502" s="1" t="inlineStr">
        <is>
          <t>12</t>
        </is>
      </c>
      <c r="G502" s="1" t="n">
        <v>37054</v>
      </c>
      <c r="H502" s="25">
        <f>_CALC_PNL!P502</f>
        <v/>
      </c>
      <c r="I502" s="25">
        <f>IF(_CALC_PNL!E502=1,H502-G502,"")</f>
        <v/>
      </c>
    </row>
    <row r="503">
      <c r="A503" s="1" t="inlineStr">
        <is>
          <t>MBWAY_LYO</t>
        </is>
      </c>
      <c r="B503" s="1" t="inlineStr">
        <is>
          <t>616</t>
        </is>
      </c>
      <c r="C503" s="1" t="inlineStr">
        <is>
          <t>2025</t>
        </is>
      </c>
      <c r="D503" s="1" t="inlineStr">
        <is>
          <t>ACT</t>
        </is>
      </c>
      <c r="E503" s="1" t="inlineStr">
        <is>
          <t>2027BUD_V1</t>
        </is>
      </c>
      <c r="F503" s="1" t="inlineStr">
        <is>
          <t>12</t>
        </is>
      </c>
      <c r="G503" s="1" t="n">
        <v>21728</v>
      </c>
      <c r="H503" s="25">
        <f>_CALC_PNL!P503</f>
        <v/>
      </c>
      <c r="I503" s="25">
        <f>IF(_CALC_PNL!E503=1,H503-G503,"")</f>
        <v/>
      </c>
    </row>
    <row r="504">
      <c r="A504" s="1" t="inlineStr">
        <is>
          <t>MBWAY_NAN</t>
        </is>
      </c>
      <c r="B504" s="1" t="inlineStr">
        <is>
          <t>616</t>
        </is>
      </c>
      <c r="C504" s="1" t="inlineStr">
        <is>
          <t>2025</t>
        </is>
      </c>
      <c r="D504" s="1" t="inlineStr">
        <is>
          <t>ACT</t>
        </is>
      </c>
      <c r="E504" s="1" t="inlineStr">
        <is>
          <t>2027BUD_V1</t>
        </is>
      </c>
      <c r="F504" s="1" t="inlineStr">
        <is>
          <t>12</t>
        </is>
      </c>
      <c r="G504" s="1" t="n">
        <v>17604</v>
      </c>
      <c r="H504" s="25">
        <f>_CALC_PNL!P504</f>
        <v/>
      </c>
      <c r="I504" s="25">
        <f>IF(_CALC_PNL!E504=1,H504-G504,"")</f>
        <v/>
      </c>
    </row>
    <row r="505">
      <c r="A505" s="1" t="inlineStr">
        <is>
          <t>MBWAY_BOR</t>
        </is>
      </c>
      <c r="B505" s="1" t="inlineStr">
        <is>
          <t>616</t>
        </is>
      </c>
      <c r="C505" s="1" t="inlineStr">
        <is>
          <t>2025</t>
        </is>
      </c>
      <c r="D505" s="1" t="inlineStr">
        <is>
          <t>ACT</t>
        </is>
      </c>
      <c r="E505" s="1" t="inlineStr">
        <is>
          <t>2027BUD_V1</t>
        </is>
      </c>
      <c r="F505" s="1" t="inlineStr">
        <is>
          <t>12</t>
        </is>
      </c>
      <c r="G505" s="1" t="n">
        <v>15655</v>
      </c>
      <c r="H505" s="25">
        <f>_CALC_PNL!P505</f>
        <v/>
      </c>
      <c r="I505" s="25">
        <f>IF(_CALC_PNL!E505=1,H505-G505,"")</f>
        <v/>
      </c>
    </row>
    <row r="506">
      <c r="A506" s="1" t="inlineStr">
        <is>
          <t>ISCOM_PAR</t>
        </is>
      </c>
      <c r="B506" s="1" t="inlineStr">
        <is>
          <t>616</t>
        </is>
      </c>
      <c r="C506" s="1" t="inlineStr">
        <is>
          <t>2025</t>
        </is>
      </c>
      <c r="D506" s="1" t="inlineStr">
        <is>
          <t>ACT</t>
        </is>
      </c>
      <c r="E506" s="1" t="inlineStr">
        <is>
          <t>2027BUD_V1</t>
        </is>
      </c>
      <c r="F506" s="1" t="inlineStr">
        <is>
          <t>12</t>
        </is>
      </c>
      <c r="G506" s="1" t="n">
        <v>34338</v>
      </c>
      <c r="H506" s="25">
        <f>_CALC_PNL!P506</f>
        <v/>
      </c>
      <c r="I506" s="25">
        <f>IF(_CALC_PNL!E506=1,H506-G506,"")</f>
        <v/>
      </c>
    </row>
    <row r="507">
      <c r="A507" s="1" t="inlineStr">
        <is>
          <t>ISCOM_LIL</t>
        </is>
      </c>
      <c r="B507" s="1" t="inlineStr">
        <is>
          <t>616</t>
        </is>
      </c>
      <c r="C507" s="1" t="inlineStr">
        <is>
          <t>2025</t>
        </is>
      </c>
      <c r="D507" s="1" t="inlineStr">
        <is>
          <t>ACT</t>
        </is>
      </c>
      <c r="E507" s="1" t="inlineStr">
        <is>
          <t>2027BUD_V1</t>
        </is>
      </c>
      <c r="F507" s="1" t="inlineStr">
        <is>
          <t>12</t>
        </is>
      </c>
      <c r="G507" s="1" t="n">
        <v>13441</v>
      </c>
      <c r="H507" s="25">
        <f>_CALC_PNL!P507</f>
        <v/>
      </c>
      <c r="I507" s="25">
        <f>IF(_CALC_PNL!E507=1,H507-G507,"")</f>
        <v/>
      </c>
    </row>
    <row r="508">
      <c r="A508" s="1" t="inlineStr">
        <is>
          <t>ISCOM_TLS</t>
        </is>
      </c>
      <c r="B508" s="1" t="inlineStr">
        <is>
          <t>616</t>
        </is>
      </c>
      <c r="C508" s="1" t="inlineStr">
        <is>
          <t>2025</t>
        </is>
      </c>
      <c r="D508" s="1" t="inlineStr">
        <is>
          <t>ACT</t>
        </is>
      </c>
      <c r="E508" s="1" t="inlineStr">
        <is>
          <t>2027BUD_V1</t>
        </is>
      </c>
      <c r="F508" s="1" t="inlineStr">
        <is>
          <t>12</t>
        </is>
      </c>
      <c r="G508" s="1" t="n">
        <v>12448</v>
      </c>
      <c r="H508" s="25">
        <f>_CALC_PNL!P508</f>
        <v/>
      </c>
      <c r="I508" s="25">
        <f>IF(_CALC_PNL!E508=1,H508-G508,"")</f>
        <v/>
      </c>
    </row>
    <row r="509">
      <c r="A509" s="1" t="inlineStr">
        <is>
          <t>IPAC_NAN</t>
        </is>
      </c>
      <c r="B509" s="1" t="inlineStr">
        <is>
          <t>616</t>
        </is>
      </c>
      <c r="C509" s="1" t="inlineStr">
        <is>
          <t>2025</t>
        </is>
      </c>
      <c r="D509" s="1" t="inlineStr">
        <is>
          <t>ACT</t>
        </is>
      </c>
      <c r="E509" s="1" t="inlineStr">
        <is>
          <t>2027BUD_V1</t>
        </is>
      </c>
      <c r="F509" s="1" t="inlineStr">
        <is>
          <t>12</t>
        </is>
      </c>
      <c r="G509" s="1" t="n">
        <v>8682</v>
      </c>
      <c r="H509" s="25">
        <f>_CALC_PNL!P509</f>
        <v/>
      </c>
      <c r="I509" s="25">
        <f>IF(_CALC_PNL!E509=1,H509-G509,"")</f>
        <v/>
      </c>
    </row>
    <row r="510">
      <c r="A510" s="1" t="inlineStr">
        <is>
          <t>IPAC_REN</t>
        </is>
      </c>
      <c r="B510" s="1" t="inlineStr">
        <is>
          <t>616</t>
        </is>
      </c>
      <c r="C510" s="1" t="inlineStr">
        <is>
          <t>2025</t>
        </is>
      </c>
      <c r="D510" s="1" t="inlineStr">
        <is>
          <t>ACT</t>
        </is>
      </c>
      <c r="E510" s="1" t="inlineStr">
        <is>
          <t>2027BUD_V1</t>
        </is>
      </c>
      <c r="F510" s="1" t="inlineStr">
        <is>
          <t>12</t>
        </is>
      </c>
      <c r="G510" s="1" t="n">
        <v>6165</v>
      </c>
      <c r="H510" s="25">
        <f>_CALC_PNL!P510</f>
        <v/>
      </c>
      <c r="I510" s="25">
        <f>IF(_CALC_PNL!E510=1,H510-G510,"")</f>
        <v/>
      </c>
    </row>
    <row r="511">
      <c r="A511" s="1" t="inlineStr">
        <is>
          <t>IPAC_MTP</t>
        </is>
      </c>
      <c r="B511" s="1" t="inlineStr">
        <is>
          <t>616</t>
        </is>
      </c>
      <c r="C511" s="1" t="inlineStr">
        <is>
          <t>2025</t>
        </is>
      </c>
      <c r="D511" s="1" t="inlineStr">
        <is>
          <t>ACT</t>
        </is>
      </c>
      <c r="E511" s="1" t="inlineStr">
        <is>
          <t>2027BUD_V1</t>
        </is>
      </c>
      <c r="F511" s="1" t="inlineStr">
        <is>
          <t>12</t>
        </is>
      </c>
      <c r="G511" s="1" t="n">
        <v>6165</v>
      </c>
      <c r="H511" s="25">
        <f>_CALC_PNL!P511</f>
        <v/>
      </c>
      <c r="I511" s="25">
        <f>IF(_CALC_PNL!E511=1,H511-G511,"")</f>
        <v/>
      </c>
    </row>
    <row r="512">
      <c r="A512" s="1" t="inlineStr">
        <is>
          <t>PIGIER_LYO</t>
        </is>
      </c>
      <c r="B512" s="1" t="inlineStr">
        <is>
          <t>616</t>
        </is>
      </c>
      <c r="C512" s="1" t="inlineStr">
        <is>
          <t>2025</t>
        </is>
      </c>
      <c r="D512" s="1" t="inlineStr">
        <is>
          <t>ACT</t>
        </is>
      </c>
      <c r="E512" s="1" t="inlineStr">
        <is>
          <t>2027BUD_V1</t>
        </is>
      </c>
      <c r="F512" s="1" t="inlineStr">
        <is>
          <t>12</t>
        </is>
      </c>
      <c r="G512" s="1" t="n">
        <v>12205</v>
      </c>
      <c r="H512" s="25">
        <f>_CALC_PNL!P512</f>
        <v/>
      </c>
      <c r="I512" s="25">
        <f>IF(_CALC_PNL!E512=1,H512-G512,"")</f>
        <v/>
      </c>
    </row>
    <row r="513">
      <c r="A513" s="1" t="inlineStr">
        <is>
          <t>PIGIER_BOR</t>
        </is>
      </c>
      <c r="B513" s="1" t="inlineStr">
        <is>
          <t>616</t>
        </is>
      </c>
      <c r="C513" s="1" t="inlineStr">
        <is>
          <t>2025</t>
        </is>
      </c>
      <c r="D513" s="1" t="inlineStr">
        <is>
          <t>ACT</t>
        </is>
      </c>
      <c r="E513" s="1" t="inlineStr">
        <is>
          <t>2027BUD_V1</t>
        </is>
      </c>
      <c r="F513" s="1" t="inlineStr">
        <is>
          <t>12</t>
        </is>
      </c>
      <c r="G513" s="1" t="n">
        <v>8928</v>
      </c>
      <c r="H513" s="25">
        <f>_CALC_PNL!P513</f>
        <v/>
      </c>
      <c r="I513" s="25">
        <f>IF(_CALC_PNL!E513=1,H513-G513,"")</f>
        <v/>
      </c>
    </row>
    <row r="514">
      <c r="A514" s="1" t="inlineStr">
        <is>
          <t>TUNON_PAR</t>
        </is>
      </c>
      <c r="B514" s="1" t="inlineStr">
        <is>
          <t>616</t>
        </is>
      </c>
      <c r="C514" s="1" t="inlineStr">
        <is>
          <t>2025</t>
        </is>
      </c>
      <c r="D514" s="1" t="inlineStr">
        <is>
          <t>ACT</t>
        </is>
      </c>
      <c r="E514" s="1" t="inlineStr">
        <is>
          <t>2027BUD_V1</t>
        </is>
      </c>
      <c r="F514" s="1" t="inlineStr">
        <is>
          <t>12</t>
        </is>
      </c>
      <c r="G514" s="1" t="n">
        <v>13386</v>
      </c>
      <c r="H514" s="25">
        <f>_CALC_PNL!P514</f>
        <v/>
      </c>
      <c r="I514" s="25">
        <f>IF(_CALC_PNL!E514=1,H514-G514,"")</f>
        <v/>
      </c>
    </row>
    <row r="515">
      <c r="A515" s="1" t="inlineStr">
        <is>
          <t>TUNON_LYO</t>
        </is>
      </c>
      <c r="B515" s="1" t="inlineStr">
        <is>
          <t>616</t>
        </is>
      </c>
      <c r="C515" s="1" t="inlineStr">
        <is>
          <t>2025</t>
        </is>
      </c>
      <c r="D515" s="1" t="inlineStr">
        <is>
          <t>ACT</t>
        </is>
      </c>
      <c r="E515" s="1" t="inlineStr">
        <is>
          <t>2027BUD_V1</t>
        </is>
      </c>
      <c r="F515" s="1" t="inlineStr">
        <is>
          <t>12</t>
        </is>
      </c>
      <c r="G515" s="1" t="n">
        <v>7846</v>
      </c>
      <c r="H515" s="25">
        <f>_CALC_PNL!P515</f>
        <v/>
      </c>
      <c r="I515" s="25">
        <f>IF(_CALC_PNL!E515=1,H515-G515,"")</f>
        <v/>
      </c>
    </row>
    <row r="516">
      <c r="A516" s="1" t="inlineStr">
        <is>
          <t>MBWAY_PAR</t>
        </is>
      </c>
      <c r="B516" s="1" t="inlineStr">
        <is>
          <t>616</t>
        </is>
      </c>
      <c r="C516" s="1" t="inlineStr">
        <is>
          <t>2026</t>
        </is>
      </c>
      <c r="D516" s="1" t="inlineStr">
        <is>
          <t>ACT</t>
        </is>
      </c>
      <c r="E516" s="1" t="inlineStr">
        <is>
          <t>2027BUD_V1</t>
        </is>
      </c>
      <c r="F516" s="1" t="inlineStr">
        <is>
          <t>12</t>
        </is>
      </c>
      <c r="G516" s="1" t="n">
        <v>38822</v>
      </c>
      <c r="H516" s="25">
        <f>_CALC_PNL!P516</f>
        <v/>
      </c>
      <c r="I516" s="25">
        <f>IF(_CALC_PNL!E516=1,H516-G516,"")</f>
        <v/>
      </c>
    </row>
    <row r="517">
      <c r="A517" s="1" t="inlineStr">
        <is>
          <t>MBWAY_LYO</t>
        </is>
      </c>
      <c r="B517" s="1" t="inlineStr">
        <is>
          <t>616</t>
        </is>
      </c>
      <c r="C517" s="1" t="inlineStr">
        <is>
          <t>2026</t>
        </is>
      </c>
      <c r="D517" s="1" t="inlineStr">
        <is>
          <t>ACT</t>
        </is>
      </c>
      <c r="E517" s="1" t="inlineStr">
        <is>
          <t>2027BUD_V1</t>
        </is>
      </c>
      <c r="F517" s="1" t="inlineStr">
        <is>
          <t>12</t>
        </is>
      </c>
      <c r="G517" s="1" t="n">
        <v>22765</v>
      </c>
      <c r="H517" s="25">
        <f>_CALC_PNL!P517</f>
        <v/>
      </c>
      <c r="I517" s="25">
        <f>IF(_CALC_PNL!E517=1,H517-G517,"")</f>
        <v/>
      </c>
    </row>
    <row r="518">
      <c r="A518" s="1" t="inlineStr">
        <is>
          <t>MBWAY_NAN</t>
        </is>
      </c>
      <c r="B518" s="1" t="inlineStr">
        <is>
          <t>616</t>
        </is>
      </c>
      <c r="C518" s="1" t="inlineStr">
        <is>
          <t>2026</t>
        </is>
      </c>
      <c r="D518" s="1" t="inlineStr">
        <is>
          <t>ACT</t>
        </is>
      </c>
      <c r="E518" s="1" t="inlineStr">
        <is>
          <t>2027BUD_V1</t>
        </is>
      </c>
      <c r="F518" s="1" t="inlineStr">
        <is>
          <t>12</t>
        </is>
      </c>
      <c r="G518" s="1" t="n">
        <v>18444</v>
      </c>
      <c r="H518" s="25">
        <f>_CALC_PNL!P518</f>
        <v/>
      </c>
      <c r="I518" s="25">
        <f>IF(_CALC_PNL!E518=1,H518-G518,"")</f>
        <v/>
      </c>
    </row>
    <row r="519">
      <c r="A519" s="1" t="inlineStr">
        <is>
          <t>MBWAY_BOR</t>
        </is>
      </c>
      <c r="B519" s="1" t="inlineStr">
        <is>
          <t>616</t>
        </is>
      </c>
      <c r="C519" s="1" t="inlineStr">
        <is>
          <t>2026</t>
        </is>
      </c>
      <c r="D519" s="1" t="inlineStr">
        <is>
          <t>ACT</t>
        </is>
      </c>
      <c r="E519" s="1" t="inlineStr">
        <is>
          <t>2027BUD_V1</t>
        </is>
      </c>
      <c r="F519" s="1" t="inlineStr">
        <is>
          <t>12</t>
        </is>
      </c>
      <c r="G519" s="1" t="n">
        <v>16402</v>
      </c>
      <c r="H519" s="25">
        <f>_CALC_PNL!P519</f>
        <v/>
      </c>
      <c r="I519" s="25">
        <f>IF(_CALC_PNL!E519=1,H519-G519,"")</f>
        <v/>
      </c>
    </row>
    <row r="520">
      <c r="A520" s="1" t="inlineStr">
        <is>
          <t>ISCOM_PAR</t>
        </is>
      </c>
      <c r="B520" s="1" t="inlineStr">
        <is>
          <t>616</t>
        </is>
      </c>
      <c r="C520" s="1" t="inlineStr">
        <is>
          <t>2026</t>
        </is>
      </c>
      <c r="D520" s="1" t="inlineStr">
        <is>
          <t>ACT</t>
        </is>
      </c>
      <c r="E520" s="1" t="inlineStr">
        <is>
          <t>2027BUD_V1</t>
        </is>
      </c>
      <c r="F520" s="1" t="inlineStr">
        <is>
          <t>12</t>
        </is>
      </c>
      <c r="G520" s="1" t="n">
        <v>35977</v>
      </c>
      <c r="H520" s="25">
        <f>_CALC_PNL!P520</f>
        <v/>
      </c>
      <c r="I520" s="25">
        <f>IF(_CALC_PNL!E520=1,H520-G520,"")</f>
        <v/>
      </c>
    </row>
    <row r="521">
      <c r="A521" s="1" t="inlineStr">
        <is>
          <t>ISCOM_LIL</t>
        </is>
      </c>
      <c r="B521" s="1" t="inlineStr">
        <is>
          <t>616</t>
        </is>
      </c>
      <c r="C521" s="1" t="inlineStr">
        <is>
          <t>2026</t>
        </is>
      </c>
      <c r="D521" s="1" t="inlineStr">
        <is>
          <t>ACT</t>
        </is>
      </c>
      <c r="E521" s="1" t="inlineStr">
        <is>
          <t>2027BUD_V1</t>
        </is>
      </c>
      <c r="F521" s="1" t="inlineStr">
        <is>
          <t>12</t>
        </is>
      </c>
      <c r="G521" s="1" t="n">
        <v>14083</v>
      </c>
      <c r="H521" s="25">
        <f>_CALC_PNL!P521</f>
        <v/>
      </c>
      <c r="I521" s="25">
        <f>IF(_CALC_PNL!E521=1,H521-G521,"")</f>
        <v/>
      </c>
    </row>
    <row r="522">
      <c r="A522" s="1" t="inlineStr">
        <is>
          <t>ISCOM_TLS</t>
        </is>
      </c>
      <c r="B522" s="1" t="inlineStr">
        <is>
          <t>616</t>
        </is>
      </c>
      <c r="C522" s="1" t="inlineStr">
        <is>
          <t>2026</t>
        </is>
      </c>
      <c r="D522" s="1" t="inlineStr">
        <is>
          <t>ACT</t>
        </is>
      </c>
      <c r="E522" s="1" t="inlineStr">
        <is>
          <t>2027BUD_V1</t>
        </is>
      </c>
      <c r="F522" s="1" t="inlineStr">
        <is>
          <t>12</t>
        </is>
      </c>
      <c r="G522" s="1" t="n">
        <v>13042</v>
      </c>
      <c r="H522" s="25">
        <f>_CALC_PNL!P522</f>
        <v/>
      </c>
      <c r="I522" s="25">
        <f>IF(_CALC_PNL!E522=1,H522-G522,"")</f>
        <v/>
      </c>
    </row>
    <row r="523">
      <c r="A523" s="1" t="inlineStr">
        <is>
          <t>IPAC_NAN</t>
        </is>
      </c>
      <c r="B523" s="1" t="inlineStr">
        <is>
          <t>616</t>
        </is>
      </c>
      <c r="C523" s="1" t="inlineStr">
        <is>
          <t>2026</t>
        </is>
      </c>
      <c r="D523" s="1" t="inlineStr">
        <is>
          <t>ACT</t>
        </is>
      </c>
      <c r="E523" s="1" t="inlineStr">
        <is>
          <t>2027BUD_V1</t>
        </is>
      </c>
      <c r="F523" s="1" t="inlineStr">
        <is>
          <t>12</t>
        </is>
      </c>
      <c r="G523" s="1" t="n">
        <v>9096</v>
      </c>
      <c r="H523" s="25">
        <f>_CALC_PNL!P523</f>
        <v/>
      </c>
      <c r="I523" s="25">
        <f>IF(_CALC_PNL!E523=1,H523-G523,"")</f>
        <v/>
      </c>
    </row>
    <row r="524">
      <c r="A524" s="1" t="inlineStr">
        <is>
          <t>IPAC_REN</t>
        </is>
      </c>
      <c r="B524" s="1" t="inlineStr">
        <is>
          <t>616</t>
        </is>
      </c>
      <c r="C524" s="1" t="inlineStr">
        <is>
          <t>2026</t>
        </is>
      </c>
      <c r="D524" s="1" t="inlineStr">
        <is>
          <t>ACT</t>
        </is>
      </c>
      <c r="E524" s="1" t="inlineStr">
        <is>
          <t>2027BUD_V1</t>
        </is>
      </c>
      <c r="F524" s="1" t="inlineStr">
        <is>
          <t>12</t>
        </is>
      </c>
      <c r="G524" s="1" t="n">
        <v>6459</v>
      </c>
      <c r="H524" s="25">
        <f>_CALC_PNL!P524</f>
        <v/>
      </c>
      <c r="I524" s="25">
        <f>IF(_CALC_PNL!E524=1,H524-G524,"")</f>
        <v/>
      </c>
    </row>
    <row r="525">
      <c r="A525" s="1" t="inlineStr">
        <is>
          <t>IPAC_MTP</t>
        </is>
      </c>
      <c r="B525" s="1" t="inlineStr">
        <is>
          <t>616</t>
        </is>
      </c>
      <c r="C525" s="1" t="inlineStr">
        <is>
          <t>2026</t>
        </is>
      </c>
      <c r="D525" s="1" t="inlineStr">
        <is>
          <t>ACT</t>
        </is>
      </c>
      <c r="E525" s="1" t="inlineStr">
        <is>
          <t>2027BUD_V1</t>
        </is>
      </c>
      <c r="F525" s="1" t="inlineStr">
        <is>
          <t>12</t>
        </is>
      </c>
      <c r="G525" s="1" t="n">
        <v>6459</v>
      </c>
      <c r="H525" s="25">
        <f>_CALC_PNL!P525</f>
        <v/>
      </c>
      <c r="I525" s="25">
        <f>IF(_CALC_PNL!E525=1,H525-G525,"")</f>
        <v/>
      </c>
    </row>
    <row r="526">
      <c r="A526" s="1" t="inlineStr">
        <is>
          <t>PIGIER_LYO</t>
        </is>
      </c>
      <c r="B526" s="1" t="inlineStr">
        <is>
          <t>616</t>
        </is>
      </c>
      <c r="C526" s="1" t="inlineStr">
        <is>
          <t>2026</t>
        </is>
      </c>
      <c r="D526" s="1" t="inlineStr">
        <is>
          <t>ACT</t>
        </is>
      </c>
      <c r="E526" s="1" t="inlineStr">
        <is>
          <t>2027BUD_V1</t>
        </is>
      </c>
      <c r="F526" s="1" t="inlineStr">
        <is>
          <t>12</t>
        </is>
      </c>
      <c r="G526" s="1" t="n">
        <v>12788</v>
      </c>
      <c r="H526" s="25">
        <f>_CALC_PNL!P526</f>
        <v/>
      </c>
      <c r="I526" s="25">
        <f>IF(_CALC_PNL!E526=1,H526-G526,"")</f>
        <v/>
      </c>
    </row>
    <row r="527">
      <c r="A527" s="1" t="inlineStr">
        <is>
          <t>PIGIER_BOR</t>
        </is>
      </c>
      <c r="B527" s="1" t="inlineStr">
        <is>
          <t>616</t>
        </is>
      </c>
      <c r="C527" s="1" t="inlineStr">
        <is>
          <t>2026</t>
        </is>
      </c>
      <c r="D527" s="1" t="inlineStr">
        <is>
          <t>ACT</t>
        </is>
      </c>
      <c r="E527" s="1" t="inlineStr">
        <is>
          <t>2027BUD_V1</t>
        </is>
      </c>
      <c r="F527" s="1" t="inlineStr">
        <is>
          <t>12</t>
        </is>
      </c>
      <c r="G527" s="1" t="n">
        <v>9354</v>
      </c>
      <c r="H527" s="25">
        <f>_CALC_PNL!P527</f>
        <v/>
      </c>
      <c r="I527" s="25">
        <f>IF(_CALC_PNL!E527=1,H527-G527,"")</f>
        <v/>
      </c>
    </row>
    <row r="528">
      <c r="A528" s="1" t="inlineStr">
        <is>
          <t>TUNON_PAR</t>
        </is>
      </c>
      <c r="B528" s="1" t="inlineStr">
        <is>
          <t>616</t>
        </is>
      </c>
      <c r="C528" s="1" t="inlineStr">
        <is>
          <t>2026</t>
        </is>
      </c>
      <c r="D528" s="1" t="inlineStr">
        <is>
          <t>ACT</t>
        </is>
      </c>
      <c r="E528" s="1" t="inlineStr">
        <is>
          <t>2027BUD_V1</t>
        </is>
      </c>
      <c r="F528" s="1" t="inlineStr">
        <is>
          <t>12</t>
        </is>
      </c>
      <c r="G528" s="1" t="n">
        <v>14025</v>
      </c>
      <c r="H528" s="25">
        <f>_CALC_PNL!P528</f>
        <v/>
      </c>
      <c r="I528" s="25">
        <f>IF(_CALC_PNL!E528=1,H528-G528,"")</f>
        <v/>
      </c>
    </row>
    <row r="529">
      <c r="A529" s="1" t="inlineStr">
        <is>
          <t>TUNON_LYO</t>
        </is>
      </c>
      <c r="B529" s="1" t="inlineStr">
        <is>
          <t>616</t>
        </is>
      </c>
      <c r="C529" s="1" t="inlineStr">
        <is>
          <t>2026</t>
        </is>
      </c>
      <c r="D529" s="1" t="inlineStr">
        <is>
          <t>ACT</t>
        </is>
      </c>
      <c r="E529" s="1" t="inlineStr">
        <is>
          <t>2027BUD_V1</t>
        </is>
      </c>
      <c r="F529" s="1" t="inlineStr">
        <is>
          <t>12</t>
        </is>
      </c>
      <c r="G529" s="1" t="n">
        <v>8221</v>
      </c>
      <c r="H529" s="25">
        <f>_CALC_PNL!P529</f>
        <v/>
      </c>
      <c r="I529" s="25">
        <f>IF(_CALC_PNL!E529=1,H529-G529,"")</f>
        <v/>
      </c>
    </row>
    <row r="530">
      <c r="A530" s="1" t="inlineStr">
        <is>
          <t>GRP</t>
        </is>
      </c>
      <c r="B530" s="1" t="inlineStr">
        <is>
          <t>6226</t>
        </is>
      </c>
      <c r="C530" s="1" t="inlineStr">
        <is>
          <t>2024</t>
        </is>
      </c>
      <c r="D530" s="1" t="inlineStr">
        <is>
          <t>ACT</t>
        </is>
      </c>
      <c r="E530" s="1" t="inlineStr">
        <is>
          <t>2027BUD_V1</t>
        </is>
      </c>
      <c r="F530" s="1" t="inlineStr">
        <is>
          <t>12</t>
        </is>
      </c>
      <c r="G530" s="1" t="n">
        <v>515487</v>
      </c>
      <c r="H530" s="25">
        <f>_CALC_PNL!P530</f>
        <v/>
      </c>
      <c r="I530" s="25">
        <f>IF(_CALC_PNL!E530=1,H530-G530,"")</f>
        <v/>
      </c>
    </row>
    <row r="531">
      <c r="A531" s="1" t="inlineStr">
        <is>
          <t>GRP</t>
        </is>
      </c>
      <c r="B531" s="1" t="inlineStr">
        <is>
          <t>6226</t>
        </is>
      </c>
      <c r="C531" s="1" t="inlineStr">
        <is>
          <t>2025</t>
        </is>
      </c>
      <c r="D531" s="1" t="inlineStr">
        <is>
          <t>ACT</t>
        </is>
      </c>
      <c r="E531" s="1" t="inlineStr">
        <is>
          <t>2027BUD_V1</t>
        </is>
      </c>
      <c r="F531" s="1" t="inlineStr">
        <is>
          <t>12</t>
        </is>
      </c>
      <c r="G531" s="1" t="n">
        <v>539108</v>
      </c>
      <c r="H531" s="25">
        <f>_CALC_PNL!P531</f>
        <v/>
      </c>
      <c r="I531" s="25">
        <f>IF(_CALC_PNL!E531=1,H531-G531,"")</f>
        <v/>
      </c>
    </row>
    <row r="532">
      <c r="A532" s="1" t="inlineStr">
        <is>
          <t>GRP</t>
        </is>
      </c>
      <c r="B532" s="1" t="inlineStr">
        <is>
          <t>6226</t>
        </is>
      </c>
      <c r="C532" s="1" t="inlineStr">
        <is>
          <t>2026</t>
        </is>
      </c>
      <c r="D532" s="1" t="inlineStr">
        <is>
          <t>ACT</t>
        </is>
      </c>
      <c r="E532" s="1" t="inlineStr">
        <is>
          <t>2027BUD_V1</t>
        </is>
      </c>
      <c r="F532" s="1" t="inlineStr">
        <is>
          <t>12</t>
        </is>
      </c>
      <c r="G532" s="1" t="n">
        <v>564841</v>
      </c>
      <c r="H532" s="25">
        <f>_CALC_PNL!P532</f>
        <v/>
      </c>
      <c r="I532" s="25">
        <f>IF(_CALC_PNL!E532=1,H532-G532,"")</f>
        <v/>
      </c>
    </row>
    <row r="533">
      <c r="A533" s="1" t="inlineStr">
        <is>
          <t>GRP</t>
        </is>
      </c>
      <c r="B533" s="1" t="inlineStr">
        <is>
          <t>6236</t>
        </is>
      </c>
      <c r="C533" s="1" t="inlineStr">
        <is>
          <t>2024</t>
        </is>
      </c>
      <c r="D533" s="1" t="inlineStr">
        <is>
          <t>ACT</t>
        </is>
      </c>
      <c r="E533" s="1" t="inlineStr">
        <is>
          <t>2027BUD_V1</t>
        </is>
      </c>
      <c r="F533" s="1" t="inlineStr">
        <is>
          <t>12</t>
        </is>
      </c>
      <c r="G533" s="1" t="n">
        <v>499926</v>
      </c>
      <c r="H533" s="25">
        <f>_CALC_PNL!P533</f>
        <v/>
      </c>
      <c r="I533" s="25">
        <f>IF(_CALC_PNL!E533=1,H533-G533,"")</f>
        <v/>
      </c>
    </row>
    <row r="534">
      <c r="A534" s="1" t="inlineStr">
        <is>
          <t>GRP</t>
        </is>
      </c>
      <c r="B534" s="1" t="inlineStr">
        <is>
          <t>6236</t>
        </is>
      </c>
      <c r="C534" s="1" t="inlineStr">
        <is>
          <t>2025</t>
        </is>
      </c>
      <c r="D534" s="1" t="inlineStr">
        <is>
          <t>ACT</t>
        </is>
      </c>
      <c r="E534" s="1" t="inlineStr">
        <is>
          <t>2027BUD_V1</t>
        </is>
      </c>
      <c r="F534" s="1" t="inlineStr">
        <is>
          <t>12</t>
        </is>
      </c>
      <c r="G534" s="1" t="n">
        <v>580167</v>
      </c>
      <c r="H534" s="25">
        <f>_CALC_PNL!P534</f>
        <v/>
      </c>
      <c r="I534" s="25">
        <f>IF(_CALC_PNL!E534=1,H534-G534,"")</f>
        <v/>
      </c>
    </row>
    <row r="535">
      <c r="A535" s="1" t="inlineStr">
        <is>
          <t>GRP</t>
        </is>
      </c>
      <c r="B535" s="1" t="inlineStr">
        <is>
          <t>6236</t>
        </is>
      </c>
      <c r="C535" s="1" t="inlineStr">
        <is>
          <t>2026</t>
        </is>
      </c>
      <c r="D535" s="1" t="inlineStr">
        <is>
          <t>ACT</t>
        </is>
      </c>
      <c r="E535" s="1" t="inlineStr">
        <is>
          <t>2027BUD_V1</t>
        </is>
      </c>
      <c r="F535" s="1" t="inlineStr">
        <is>
          <t>12</t>
        </is>
      </c>
      <c r="G535" s="1" t="n">
        <v>676344</v>
      </c>
      <c r="H535" s="25">
        <f>_CALC_PNL!P535</f>
        <v/>
      </c>
      <c r="I535" s="25">
        <f>IF(_CALC_PNL!E535=1,H535-G535,"")</f>
        <v/>
      </c>
    </row>
    <row r="536">
      <c r="A536" s="1" t="inlineStr">
        <is>
          <t>MBWAY_PAR</t>
        </is>
      </c>
      <c r="B536" s="1" t="inlineStr">
        <is>
          <t>625</t>
        </is>
      </c>
      <c r="C536" s="1" t="inlineStr">
        <is>
          <t>2024</t>
        </is>
      </c>
      <c r="D536" s="1" t="inlineStr">
        <is>
          <t>ACT</t>
        </is>
      </c>
      <c r="E536" s="1" t="inlineStr">
        <is>
          <t>2027BUD_V1</t>
        </is>
      </c>
      <c r="F536" s="1" t="inlineStr">
        <is>
          <t>12</t>
        </is>
      </c>
      <c r="G536" s="1" t="n">
        <v>53145</v>
      </c>
      <c r="H536" s="25">
        <f>_CALC_PNL!P536</f>
        <v/>
      </c>
      <c r="I536" s="25">
        <f>IF(_CALC_PNL!E536=1,H536-G536,"")</f>
        <v/>
      </c>
    </row>
    <row r="537">
      <c r="A537" s="1" t="inlineStr">
        <is>
          <t>MBWAY_LYO</t>
        </is>
      </c>
      <c r="B537" s="1" t="inlineStr">
        <is>
          <t>625</t>
        </is>
      </c>
      <c r="C537" s="1" t="inlineStr">
        <is>
          <t>2024</t>
        </is>
      </c>
      <c r="D537" s="1" t="inlineStr">
        <is>
          <t>ACT</t>
        </is>
      </c>
      <c r="E537" s="1" t="inlineStr">
        <is>
          <t>2027BUD_V1</t>
        </is>
      </c>
      <c r="F537" s="1" t="inlineStr">
        <is>
          <t>12</t>
        </is>
      </c>
      <c r="G537" s="1" t="n">
        <v>31164</v>
      </c>
      <c r="H537" s="25">
        <f>_CALC_PNL!P537</f>
        <v/>
      </c>
      <c r="I537" s="25">
        <f>IF(_CALC_PNL!E537=1,H537-G537,"")</f>
        <v/>
      </c>
    </row>
    <row r="538">
      <c r="A538" s="1" t="inlineStr">
        <is>
          <t>MBWAY_NAN</t>
        </is>
      </c>
      <c r="B538" s="1" t="inlineStr">
        <is>
          <t>625</t>
        </is>
      </c>
      <c r="C538" s="1" t="inlineStr">
        <is>
          <t>2024</t>
        </is>
      </c>
      <c r="D538" s="1" t="inlineStr">
        <is>
          <t>ACT</t>
        </is>
      </c>
      <c r="E538" s="1" t="inlineStr">
        <is>
          <t>2027BUD_V1</t>
        </is>
      </c>
      <c r="F538" s="1" t="inlineStr">
        <is>
          <t>12</t>
        </is>
      </c>
      <c r="G538" s="1" t="n">
        <v>25248</v>
      </c>
      <c r="H538" s="25">
        <f>_CALC_PNL!P538</f>
        <v/>
      </c>
      <c r="I538" s="25">
        <f>IF(_CALC_PNL!E538=1,H538-G538,"")</f>
        <v/>
      </c>
    </row>
    <row r="539">
      <c r="A539" s="1" t="inlineStr">
        <is>
          <t>MBWAY_BOR</t>
        </is>
      </c>
      <c r="B539" s="1" t="inlineStr">
        <is>
          <t>625</t>
        </is>
      </c>
      <c r="C539" s="1" t="inlineStr">
        <is>
          <t>2024</t>
        </is>
      </c>
      <c r="D539" s="1" t="inlineStr">
        <is>
          <t>ACT</t>
        </is>
      </c>
      <c r="E539" s="1" t="inlineStr">
        <is>
          <t>2027BUD_V1</t>
        </is>
      </c>
      <c r="F539" s="1" t="inlineStr">
        <is>
          <t>12</t>
        </is>
      </c>
      <c r="G539" s="1" t="n">
        <v>22453</v>
      </c>
      <c r="H539" s="25">
        <f>_CALC_PNL!P539</f>
        <v/>
      </c>
      <c r="I539" s="25">
        <f>IF(_CALC_PNL!E539=1,H539-G539,"")</f>
        <v/>
      </c>
    </row>
    <row r="540">
      <c r="A540" s="1" t="inlineStr">
        <is>
          <t>ISCOM_PAR</t>
        </is>
      </c>
      <c r="B540" s="1" t="inlineStr">
        <is>
          <t>625</t>
        </is>
      </c>
      <c r="C540" s="1" t="inlineStr">
        <is>
          <t>2024</t>
        </is>
      </c>
      <c r="D540" s="1" t="inlineStr">
        <is>
          <t>ACT</t>
        </is>
      </c>
      <c r="E540" s="1" t="inlineStr">
        <is>
          <t>2027BUD_V1</t>
        </is>
      </c>
      <c r="F540" s="1" t="inlineStr">
        <is>
          <t>12</t>
        </is>
      </c>
      <c r="G540" s="1" t="n">
        <v>49250</v>
      </c>
      <c r="H540" s="25">
        <f>_CALC_PNL!P540</f>
        <v/>
      </c>
      <c r="I540" s="25">
        <f>IF(_CALC_PNL!E540=1,H540-G540,"")</f>
        <v/>
      </c>
    </row>
    <row r="541">
      <c r="A541" s="1" t="inlineStr">
        <is>
          <t>ISCOM_LIL</t>
        </is>
      </c>
      <c r="B541" s="1" t="inlineStr">
        <is>
          <t>625</t>
        </is>
      </c>
      <c r="C541" s="1" t="inlineStr">
        <is>
          <t>2024</t>
        </is>
      </c>
      <c r="D541" s="1" t="inlineStr">
        <is>
          <t>ACT</t>
        </is>
      </c>
      <c r="E541" s="1" t="inlineStr">
        <is>
          <t>2027BUD_V1</t>
        </is>
      </c>
      <c r="F541" s="1" t="inlineStr">
        <is>
          <t>12</t>
        </is>
      </c>
      <c r="G541" s="1" t="n">
        <v>19278</v>
      </c>
      <c r="H541" s="25">
        <f>_CALC_PNL!P541</f>
        <v/>
      </c>
      <c r="I541" s="25">
        <f>IF(_CALC_PNL!E541=1,H541-G541,"")</f>
        <v/>
      </c>
    </row>
    <row r="542">
      <c r="A542" s="1" t="inlineStr">
        <is>
          <t>ISCOM_TLS</t>
        </is>
      </c>
      <c r="B542" s="1" t="inlineStr">
        <is>
          <t>625</t>
        </is>
      </c>
      <c r="C542" s="1" t="inlineStr">
        <is>
          <t>2024</t>
        </is>
      </c>
      <c r="D542" s="1" t="inlineStr">
        <is>
          <t>ACT</t>
        </is>
      </c>
      <c r="E542" s="1" t="inlineStr">
        <is>
          <t>2027BUD_V1</t>
        </is>
      </c>
      <c r="F542" s="1" t="inlineStr">
        <is>
          <t>12</t>
        </is>
      </c>
      <c r="G542" s="1" t="n">
        <v>17854</v>
      </c>
      <c r="H542" s="25">
        <f>_CALC_PNL!P542</f>
        <v/>
      </c>
      <c r="I542" s="25">
        <f>IF(_CALC_PNL!E542=1,H542-G542,"")</f>
        <v/>
      </c>
    </row>
    <row r="543">
      <c r="A543" s="1" t="inlineStr">
        <is>
          <t>IPAC_NAN</t>
        </is>
      </c>
      <c r="B543" s="1" t="inlineStr">
        <is>
          <t>625</t>
        </is>
      </c>
      <c r="C543" s="1" t="inlineStr">
        <is>
          <t>2024</t>
        </is>
      </c>
      <c r="D543" s="1" t="inlineStr">
        <is>
          <t>ACT</t>
        </is>
      </c>
      <c r="E543" s="1" t="inlineStr">
        <is>
          <t>2027BUD_V1</t>
        </is>
      </c>
      <c r="F543" s="1" t="inlineStr">
        <is>
          <t>12</t>
        </is>
      </c>
      <c r="G543" s="1" t="n">
        <v>12452</v>
      </c>
      <c r="H543" s="25">
        <f>_CALC_PNL!P543</f>
        <v/>
      </c>
      <c r="I543" s="25">
        <f>IF(_CALC_PNL!E543=1,H543-G543,"")</f>
        <v/>
      </c>
    </row>
    <row r="544">
      <c r="A544" s="1" t="inlineStr">
        <is>
          <t>IPAC_REN</t>
        </is>
      </c>
      <c r="B544" s="1" t="inlineStr">
        <is>
          <t>625</t>
        </is>
      </c>
      <c r="C544" s="1" t="inlineStr">
        <is>
          <t>2024</t>
        </is>
      </c>
      <c r="D544" s="1" t="inlineStr">
        <is>
          <t>ACT</t>
        </is>
      </c>
      <c r="E544" s="1" t="inlineStr">
        <is>
          <t>2027BUD_V1</t>
        </is>
      </c>
      <c r="F544" s="1" t="inlineStr">
        <is>
          <t>12</t>
        </is>
      </c>
      <c r="G544" s="1" t="n">
        <v>8842</v>
      </c>
      <c r="H544" s="25">
        <f>_CALC_PNL!P544</f>
        <v/>
      </c>
      <c r="I544" s="25">
        <f>IF(_CALC_PNL!E544=1,H544-G544,"")</f>
        <v/>
      </c>
    </row>
    <row r="545">
      <c r="A545" s="1" t="inlineStr">
        <is>
          <t>IPAC_MTP</t>
        </is>
      </c>
      <c r="B545" s="1" t="inlineStr">
        <is>
          <t>625</t>
        </is>
      </c>
      <c r="C545" s="1" t="inlineStr">
        <is>
          <t>2024</t>
        </is>
      </c>
      <c r="D545" s="1" t="inlineStr">
        <is>
          <t>ACT</t>
        </is>
      </c>
      <c r="E545" s="1" t="inlineStr">
        <is>
          <t>2027BUD_V1</t>
        </is>
      </c>
      <c r="F545" s="1" t="inlineStr">
        <is>
          <t>12</t>
        </is>
      </c>
      <c r="G545" s="1" t="n">
        <v>8842</v>
      </c>
      <c r="H545" s="25">
        <f>_CALC_PNL!P545</f>
        <v/>
      </c>
      <c r="I545" s="25">
        <f>IF(_CALC_PNL!E545=1,H545-G545,"")</f>
        <v/>
      </c>
    </row>
    <row r="546">
      <c r="A546" s="1" t="inlineStr">
        <is>
          <t>PIGIER_LYO</t>
        </is>
      </c>
      <c r="B546" s="1" t="inlineStr">
        <is>
          <t>625</t>
        </is>
      </c>
      <c r="C546" s="1" t="inlineStr">
        <is>
          <t>2024</t>
        </is>
      </c>
      <c r="D546" s="1" t="inlineStr">
        <is>
          <t>ACT</t>
        </is>
      </c>
      <c r="E546" s="1" t="inlineStr">
        <is>
          <t>2027BUD_V1</t>
        </is>
      </c>
      <c r="F546" s="1" t="inlineStr">
        <is>
          <t>12</t>
        </is>
      </c>
      <c r="G546" s="1" t="n">
        <v>17506</v>
      </c>
      <c r="H546" s="25">
        <f>_CALC_PNL!P546</f>
        <v/>
      </c>
      <c r="I546" s="25">
        <f>IF(_CALC_PNL!E546=1,H546-G546,"")</f>
        <v/>
      </c>
    </row>
    <row r="547">
      <c r="A547" s="1" t="inlineStr">
        <is>
          <t>PIGIER_BOR</t>
        </is>
      </c>
      <c r="B547" s="1" t="inlineStr">
        <is>
          <t>625</t>
        </is>
      </c>
      <c r="C547" s="1" t="inlineStr">
        <is>
          <t>2024</t>
        </is>
      </c>
      <c r="D547" s="1" t="inlineStr">
        <is>
          <t>ACT</t>
        </is>
      </c>
      <c r="E547" s="1" t="inlineStr">
        <is>
          <t>2027BUD_V1</t>
        </is>
      </c>
      <c r="F547" s="1" t="inlineStr">
        <is>
          <t>12</t>
        </is>
      </c>
      <c r="G547" s="1" t="n">
        <v>12805</v>
      </c>
      <c r="H547" s="25">
        <f>_CALC_PNL!P547</f>
        <v/>
      </c>
      <c r="I547" s="25">
        <f>IF(_CALC_PNL!E547=1,H547-G547,"")</f>
        <v/>
      </c>
    </row>
    <row r="548">
      <c r="A548" s="1" t="inlineStr">
        <is>
          <t>TUNON_PAR</t>
        </is>
      </c>
      <c r="B548" s="1" t="inlineStr">
        <is>
          <t>625</t>
        </is>
      </c>
      <c r="C548" s="1" t="inlineStr">
        <is>
          <t>2024</t>
        </is>
      </c>
      <c r="D548" s="1" t="inlineStr">
        <is>
          <t>ACT</t>
        </is>
      </c>
      <c r="E548" s="1" t="inlineStr">
        <is>
          <t>2027BUD_V1</t>
        </is>
      </c>
      <c r="F548" s="1" t="inlineStr">
        <is>
          <t>12</t>
        </is>
      </c>
      <c r="G548" s="1" t="n">
        <v>19199</v>
      </c>
      <c r="H548" s="25">
        <f>_CALC_PNL!P548</f>
        <v/>
      </c>
      <c r="I548" s="25">
        <f>IF(_CALC_PNL!E548=1,H548-G548,"")</f>
        <v/>
      </c>
    </row>
    <row r="549">
      <c r="A549" s="1" t="inlineStr">
        <is>
          <t>TUNON_LYO</t>
        </is>
      </c>
      <c r="B549" s="1" t="inlineStr">
        <is>
          <t>625</t>
        </is>
      </c>
      <c r="C549" s="1" t="inlineStr">
        <is>
          <t>2024</t>
        </is>
      </c>
      <c r="D549" s="1" t="inlineStr">
        <is>
          <t>ACT</t>
        </is>
      </c>
      <c r="E549" s="1" t="inlineStr">
        <is>
          <t>2027BUD_V1</t>
        </is>
      </c>
      <c r="F549" s="1" t="inlineStr">
        <is>
          <t>12</t>
        </is>
      </c>
      <c r="G549" s="1" t="n">
        <v>11254</v>
      </c>
      <c r="H549" s="25">
        <f>_CALC_PNL!P549</f>
        <v/>
      </c>
      <c r="I549" s="25">
        <f>IF(_CALC_PNL!E549=1,H549-G549,"")</f>
        <v/>
      </c>
    </row>
    <row r="550">
      <c r="A550" s="1" t="inlineStr">
        <is>
          <t>MBWAY_PAR</t>
        </is>
      </c>
      <c r="B550" s="1" t="inlineStr">
        <is>
          <t>625</t>
        </is>
      </c>
      <c r="C550" s="1" t="inlineStr">
        <is>
          <t>2025</t>
        </is>
      </c>
      <c r="D550" s="1" t="inlineStr">
        <is>
          <t>ACT</t>
        </is>
      </c>
      <c r="E550" s="1" t="inlineStr">
        <is>
          <t>2027BUD_V1</t>
        </is>
      </c>
      <c r="F550" s="1" t="inlineStr">
        <is>
          <t>12</t>
        </is>
      </c>
      <c r="G550" s="1" t="n">
        <v>55581</v>
      </c>
      <c r="H550" s="25">
        <f>_CALC_PNL!P550</f>
        <v/>
      </c>
      <c r="I550" s="25">
        <f>IF(_CALC_PNL!E550=1,H550-G550,"")</f>
        <v/>
      </c>
    </row>
    <row r="551">
      <c r="A551" s="1" t="inlineStr">
        <is>
          <t>MBWAY_LYO</t>
        </is>
      </c>
      <c r="B551" s="1" t="inlineStr">
        <is>
          <t>625</t>
        </is>
      </c>
      <c r="C551" s="1" t="inlineStr">
        <is>
          <t>2025</t>
        </is>
      </c>
      <c r="D551" s="1" t="inlineStr">
        <is>
          <t>ACT</t>
        </is>
      </c>
      <c r="E551" s="1" t="inlineStr">
        <is>
          <t>2027BUD_V1</t>
        </is>
      </c>
      <c r="F551" s="1" t="inlineStr">
        <is>
          <t>12</t>
        </is>
      </c>
      <c r="G551" s="1" t="n">
        <v>32592</v>
      </c>
      <c r="H551" s="25">
        <f>_CALC_PNL!P551</f>
        <v/>
      </c>
      <c r="I551" s="25">
        <f>IF(_CALC_PNL!E551=1,H551-G551,"")</f>
        <v/>
      </c>
    </row>
    <row r="552">
      <c r="A552" s="1" t="inlineStr">
        <is>
          <t>MBWAY_NAN</t>
        </is>
      </c>
      <c r="B552" s="1" t="inlineStr">
        <is>
          <t>625</t>
        </is>
      </c>
      <c r="C552" s="1" t="inlineStr">
        <is>
          <t>2025</t>
        </is>
      </c>
      <c r="D552" s="1" t="inlineStr">
        <is>
          <t>ACT</t>
        </is>
      </c>
      <c r="E552" s="1" t="inlineStr">
        <is>
          <t>2027BUD_V1</t>
        </is>
      </c>
      <c r="F552" s="1" t="inlineStr">
        <is>
          <t>12</t>
        </is>
      </c>
      <c r="G552" s="1" t="n">
        <v>26405</v>
      </c>
      <c r="H552" s="25">
        <f>_CALC_PNL!P552</f>
        <v/>
      </c>
      <c r="I552" s="25">
        <f>IF(_CALC_PNL!E552=1,H552-G552,"")</f>
        <v/>
      </c>
    </row>
    <row r="553">
      <c r="A553" s="1" t="inlineStr">
        <is>
          <t>MBWAY_BOR</t>
        </is>
      </c>
      <c r="B553" s="1" t="inlineStr">
        <is>
          <t>625</t>
        </is>
      </c>
      <c r="C553" s="1" t="inlineStr">
        <is>
          <t>2025</t>
        </is>
      </c>
      <c r="D553" s="1" t="inlineStr">
        <is>
          <t>ACT</t>
        </is>
      </c>
      <c r="E553" s="1" t="inlineStr">
        <is>
          <t>2027BUD_V1</t>
        </is>
      </c>
      <c r="F553" s="1" t="inlineStr">
        <is>
          <t>12</t>
        </is>
      </c>
      <c r="G553" s="1" t="n">
        <v>23482</v>
      </c>
      <c r="H553" s="25">
        <f>_CALC_PNL!P553</f>
        <v/>
      </c>
      <c r="I553" s="25">
        <f>IF(_CALC_PNL!E553=1,H553-G553,"")</f>
        <v/>
      </c>
    </row>
    <row r="554">
      <c r="A554" s="1" t="inlineStr">
        <is>
          <t>ISCOM_PAR</t>
        </is>
      </c>
      <c r="B554" s="1" t="inlineStr">
        <is>
          <t>625</t>
        </is>
      </c>
      <c r="C554" s="1" t="inlineStr">
        <is>
          <t>2025</t>
        </is>
      </c>
      <c r="D554" s="1" t="inlineStr">
        <is>
          <t>ACT</t>
        </is>
      </c>
      <c r="E554" s="1" t="inlineStr">
        <is>
          <t>2027BUD_V1</t>
        </is>
      </c>
      <c r="F554" s="1" t="inlineStr">
        <is>
          <t>12</t>
        </is>
      </c>
      <c r="G554" s="1" t="n">
        <v>51507</v>
      </c>
      <c r="H554" s="25">
        <f>_CALC_PNL!P554</f>
        <v/>
      </c>
      <c r="I554" s="25">
        <f>IF(_CALC_PNL!E554=1,H554-G554,"")</f>
        <v/>
      </c>
    </row>
    <row r="555">
      <c r="A555" s="1" t="inlineStr">
        <is>
          <t>ISCOM_LIL</t>
        </is>
      </c>
      <c r="B555" s="1" t="inlineStr">
        <is>
          <t>625</t>
        </is>
      </c>
      <c r="C555" s="1" t="inlineStr">
        <is>
          <t>2025</t>
        </is>
      </c>
      <c r="D555" s="1" t="inlineStr">
        <is>
          <t>ACT</t>
        </is>
      </c>
      <c r="E555" s="1" t="inlineStr">
        <is>
          <t>2027BUD_V1</t>
        </is>
      </c>
      <c r="F555" s="1" t="inlineStr">
        <is>
          <t>12</t>
        </is>
      </c>
      <c r="G555" s="1" t="n">
        <v>20161</v>
      </c>
      <c r="H555" s="25">
        <f>_CALC_PNL!P555</f>
        <v/>
      </c>
      <c r="I555" s="25">
        <f>IF(_CALC_PNL!E555=1,H555-G555,"")</f>
        <v/>
      </c>
    </row>
    <row r="556">
      <c r="A556" s="1" t="inlineStr">
        <is>
          <t>ISCOM_TLS</t>
        </is>
      </c>
      <c r="B556" s="1" t="inlineStr">
        <is>
          <t>625</t>
        </is>
      </c>
      <c r="C556" s="1" t="inlineStr">
        <is>
          <t>2025</t>
        </is>
      </c>
      <c r="D556" s="1" t="inlineStr">
        <is>
          <t>ACT</t>
        </is>
      </c>
      <c r="E556" s="1" t="inlineStr">
        <is>
          <t>2027BUD_V1</t>
        </is>
      </c>
      <c r="F556" s="1" t="inlineStr">
        <is>
          <t>12</t>
        </is>
      </c>
      <c r="G556" s="1" t="n">
        <v>18672</v>
      </c>
      <c r="H556" s="25">
        <f>_CALC_PNL!P556</f>
        <v/>
      </c>
      <c r="I556" s="25">
        <f>IF(_CALC_PNL!E556=1,H556-G556,"")</f>
        <v/>
      </c>
    </row>
    <row r="557">
      <c r="A557" s="1" t="inlineStr">
        <is>
          <t>IPAC_NAN</t>
        </is>
      </c>
      <c r="B557" s="1" t="inlineStr">
        <is>
          <t>625</t>
        </is>
      </c>
      <c r="C557" s="1" t="inlineStr">
        <is>
          <t>2025</t>
        </is>
      </c>
      <c r="D557" s="1" t="inlineStr">
        <is>
          <t>ACT</t>
        </is>
      </c>
      <c r="E557" s="1" t="inlineStr">
        <is>
          <t>2027BUD_V1</t>
        </is>
      </c>
      <c r="F557" s="1" t="inlineStr">
        <is>
          <t>12</t>
        </is>
      </c>
      <c r="G557" s="1" t="n">
        <v>13023</v>
      </c>
      <c r="H557" s="25">
        <f>_CALC_PNL!P557</f>
        <v/>
      </c>
      <c r="I557" s="25">
        <f>IF(_CALC_PNL!E557=1,H557-G557,"")</f>
        <v/>
      </c>
    </row>
    <row r="558">
      <c r="A558" s="1" t="inlineStr">
        <is>
          <t>IPAC_REN</t>
        </is>
      </c>
      <c r="B558" s="1" t="inlineStr">
        <is>
          <t>625</t>
        </is>
      </c>
      <c r="C558" s="1" t="inlineStr">
        <is>
          <t>2025</t>
        </is>
      </c>
      <c r="D558" s="1" t="inlineStr">
        <is>
          <t>ACT</t>
        </is>
      </c>
      <c r="E558" s="1" t="inlineStr">
        <is>
          <t>2027BUD_V1</t>
        </is>
      </c>
      <c r="F558" s="1" t="inlineStr">
        <is>
          <t>12</t>
        </is>
      </c>
      <c r="G558" s="1" t="n">
        <v>9247</v>
      </c>
      <c r="H558" s="25">
        <f>_CALC_PNL!P558</f>
        <v/>
      </c>
      <c r="I558" s="25">
        <f>IF(_CALC_PNL!E558=1,H558-G558,"")</f>
        <v/>
      </c>
    </row>
    <row r="559">
      <c r="A559" s="1" t="inlineStr">
        <is>
          <t>IPAC_MTP</t>
        </is>
      </c>
      <c r="B559" s="1" t="inlineStr">
        <is>
          <t>625</t>
        </is>
      </c>
      <c r="C559" s="1" t="inlineStr">
        <is>
          <t>2025</t>
        </is>
      </c>
      <c r="D559" s="1" t="inlineStr">
        <is>
          <t>ACT</t>
        </is>
      </c>
      <c r="E559" s="1" t="inlineStr">
        <is>
          <t>2027BUD_V1</t>
        </is>
      </c>
      <c r="F559" s="1" t="inlineStr">
        <is>
          <t>12</t>
        </is>
      </c>
      <c r="G559" s="1" t="n">
        <v>9247</v>
      </c>
      <c r="H559" s="25">
        <f>_CALC_PNL!P559</f>
        <v/>
      </c>
      <c r="I559" s="25">
        <f>IF(_CALC_PNL!E559=1,H559-G559,"")</f>
        <v/>
      </c>
    </row>
    <row r="560">
      <c r="A560" s="1" t="inlineStr">
        <is>
          <t>PIGIER_LYO</t>
        </is>
      </c>
      <c r="B560" s="1" t="inlineStr">
        <is>
          <t>625</t>
        </is>
      </c>
      <c r="C560" s="1" t="inlineStr">
        <is>
          <t>2025</t>
        </is>
      </c>
      <c r="D560" s="1" t="inlineStr">
        <is>
          <t>ACT</t>
        </is>
      </c>
      <c r="E560" s="1" t="inlineStr">
        <is>
          <t>2027BUD_V1</t>
        </is>
      </c>
      <c r="F560" s="1" t="inlineStr">
        <is>
          <t>12</t>
        </is>
      </c>
      <c r="G560" s="1" t="n">
        <v>18308</v>
      </c>
      <c r="H560" s="25">
        <f>_CALC_PNL!P560</f>
        <v/>
      </c>
      <c r="I560" s="25">
        <f>IF(_CALC_PNL!E560=1,H560-G560,"")</f>
        <v/>
      </c>
    </row>
    <row r="561">
      <c r="A561" s="1" t="inlineStr">
        <is>
          <t>PIGIER_BOR</t>
        </is>
      </c>
      <c r="B561" s="1" t="inlineStr">
        <is>
          <t>625</t>
        </is>
      </c>
      <c r="C561" s="1" t="inlineStr">
        <is>
          <t>2025</t>
        </is>
      </c>
      <c r="D561" s="1" t="inlineStr">
        <is>
          <t>ACT</t>
        </is>
      </c>
      <c r="E561" s="1" t="inlineStr">
        <is>
          <t>2027BUD_V1</t>
        </is>
      </c>
      <c r="F561" s="1" t="inlineStr">
        <is>
          <t>12</t>
        </is>
      </c>
      <c r="G561" s="1" t="n">
        <v>13391</v>
      </c>
      <c r="H561" s="25">
        <f>_CALC_PNL!P561</f>
        <v/>
      </c>
      <c r="I561" s="25">
        <f>IF(_CALC_PNL!E561=1,H561-G561,"")</f>
        <v/>
      </c>
    </row>
    <row r="562">
      <c r="A562" s="1" t="inlineStr">
        <is>
          <t>TUNON_PAR</t>
        </is>
      </c>
      <c r="B562" s="1" t="inlineStr">
        <is>
          <t>625</t>
        </is>
      </c>
      <c r="C562" s="1" t="inlineStr">
        <is>
          <t>2025</t>
        </is>
      </c>
      <c r="D562" s="1" t="inlineStr">
        <is>
          <t>ACT</t>
        </is>
      </c>
      <c r="E562" s="1" t="inlineStr">
        <is>
          <t>2027BUD_V1</t>
        </is>
      </c>
      <c r="F562" s="1" t="inlineStr">
        <is>
          <t>12</t>
        </is>
      </c>
      <c r="G562" s="1" t="n">
        <v>20079</v>
      </c>
      <c r="H562" s="25">
        <f>_CALC_PNL!P562</f>
        <v/>
      </c>
      <c r="I562" s="25">
        <f>IF(_CALC_PNL!E562=1,H562-G562,"")</f>
        <v/>
      </c>
    </row>
    <row r="563">
      <c r="A563" s="1" t="inlineStr">
        <is>
          <t>TUNON_LYO</t>
        </is>
      </c>
      <c r="B563" s="1" t="inlineStr">
        <is>
          <t>625</t>
        </is>
      </c>
      <c r="C563" s="1" t="inlineStr">
        <is>
          <t>2025</t>
        </is>
      </c>
      <c r="D563" s="1" t="inlineStr">
        <is>
          <t>ACT</t>
        </is>
      </c>
      <c r="E563" s="1" t="inlineStr">
        <is>
          <t>2027BUD_V1</t>
        </is>
      </c>
      <c r="F563" s="1" t="inlineStr">
        <is>
          <t>12</t>
        </is>
      </c>
      <c r="G563" s="1" t="n">
        <v>11769</v>
      </c>
      <c r="H563" s="25">
        <f>_CALC_PNL!P563</f>
        <v/>
      </c>
      <c r="I563" s="25">
        <f>IF(_CALC_PNL!E563=1,H563-G563,"")</f>
        <v/>
      </c>
    </row>
    <row r="564">
      <c r="A564" s="1" t="inlineStr">
        <is>
          <t>MBWAY_PAR</t>
        </is>
      </c>
      <c r="B564" s="1" t="inlineStr">
        <is>
          <t>625</t>
        </is>
      </c>
      <c r="C564" s="1" t="inlineStr">
        <is>
          <t>2026</t>
        </is>
      </c>
      <c r="D564" s="1" t="inlineStr">
        <is>
          <t>ACT</t>
        </is>
      </c>
      <c r="E564" s="1" t="inlineStr">
        <is>
          <t>2027BUD_V1</t>
        </is>
      </c>
      <c r="F564" s="1" t="inlineStr">
        <is>
          <t>12</t>
        </is>
      </c>
      <c r="G564" s="1" t="n">
        <v>58234</v>
      </c>
      <c r="H564" s="25">
        <f>_CALC_PNL!P564</f>
        <v/>
      </c>
      <c r="I564" s="25">
        <f>IF(_CALC_PNL!E564=1,H564-G564,"")</f>
        <v/>
      </c>
    </row>
    <row r="565">
      <c r="A565" s="1" t="inlineStr">
        <is>
          <t>MBWAY_LYO</t>
        </is>
      </c>
      <c r="B565" s="1" t="inlineStr">
        <is>
          <t>625</t>
        </is>
      </c>
      <c r="C565" s="1" t="inlineStr">
        <is>
          <t>2026</t>
        </is>
      </c>
      <c r="D565" s="1" t="inlineStr">
        <is>
          <t>ACT</t>
        </is>
      </c>
      <c r="E565" s="1" t="inlineStr">
        <is>
          <t>2027BUD_V1</t>
        </is>
      </c>
      <c r="F565" s="1" t="inlineStr">
        <is>
          <t>12</t>
        </is>
      </c>
      <c r="G565" s="1" t="n">
        <v>34147</v>
      </c>
      <c r="H565" s="25">
        <f>_CALC_PNL!P565</f>
        <v/>
      </c>
      <c r="I565" s="25">
        <f>IF(_CALC_PNL!E565=1,H565-G565,"")</f>
        <v/>
      </c>
    </row>
    <row r="566">
      <c r="A566" s="1" t="inlineStr">
        <is>
          <t>MBWAY_NAN</t>
        </is>
      </c>
      <c r="B566" s="1" t="inlineStr">
        <is>
          <t>625</t>
        </is>
      </c>
      <c r="C566" s="1" t="inlineStr">
        <is>
          <t>2026</t>
        </is>
      </c>
      <c r="D566" s="1" t="inlineStr">
        <is>
          <t>ACT</t>
        </is>
      </c>
      <c r="E566" s="1" t="inlineStr">
        <is>
          <t>2027BUD_V1</t>
        </is>
      </c>
      <c r="F566" s="1" t="inlineStr">
        <is>
          <t>12</t>
        </is>
      </c>
      <c r="G566" s="1" t="n">
        <v>27666</v>
      </c>
      <c r="H566" s="25">
        <f>_CALC_PNL!P566</f>
        <v/>
      </c>
      <c r="I566" s="25">
        <f>IF(_CALC_PNL!E566=1,H566-G566,"")</f>
        <v/>
      </c>
    </row>
    <row r="567">
      <c r="A567" s="1" t="inlineStr">
        <is>
          <t>MBWAY_BOR</t>
        </is>
      </c>
      <c r="B567" s="1" t="inlineStr">
        <is>
          <t>625</t>
        </is>
      </c>
      <c r="C567" s="1" t="inlineStr">
        <is>
          <t>2026</t>
        </is>
      </c>
      <c r="D567" s="1" t="inlineStr">
        <is>
          <t>ACT</t>
        </is>
      </c>
      <c r="E567" s="1" t="inlineStr">
        <is>
          <t>2027BUD_V1</t>
        </is>
      </c>
      <c r="F567" s="1" t="inlineStr">
        <is>
          <t>12</t>
        </is>
      </c>
      <c r="G567" s="1" t="n">
        <v>24603</v>
      </c>
      <c r="H567" s="25">
        <f>_CALC_PNL!P567</f>
        <v/>
      </c>
      <c r="I567" s="25">
        <f>IF(_CALC_PNL!E567=1,H567-G567,"")</f>
        <v/>
      </c>
    </row>
    <row r="568">
      <c r="A568" s="1" t="inlineStr">
        <is>
          <t>ISCOM_PAR</t>
        </is>
      </c>
      <c r="B568" s="1" t="inlineStr">
        <is>
          <t>625</t>
        </is>
      </c>
      <c r="C568" s="1" t="inlineStr">
        <is>
          <t>2026</t>
        </is>
      </c>
      <c r="D568" s="1" t="inlineStr">
        <is>
          <t>ACT</t>
        </is>
      </c>
      <c r="E568" s="1" t="inlineStr">
        <is>
          <t>2027BUD_V1</t>
        </is>
      </c>
      <c r="F568" s="1" t="inlineStr">
        <is>
          <t>12</t>
        </is>
      </c>
      <c r="G568" s="1" t="n">
        <v>53965</v>
      </c>
      <c r="H568" s="25">
        <f>_CALC_PNL!P568</f>
        <v/>
      </c>
      <c r="I568" s="25">
        <f>IF(_CALC_PNL!E568=1,H568-G568,"")</f>
        <v/>
      </c>
    </row>
    <row r="569">
      <c r="A569" s="1" t="inlineStr">
        <is>
          <t>ISCOM_LIL</t>
        </is>
      </c>
      <c r="B569" s="1" t="inlineStr">
        <is>
          <t>625</t>
        </is>
      </c>
      <c r="C569" s="1" t="inlineStr">
        <is>
          <t>2026</t>
        </is>
      </c>
      <c r="D569" s="1" t="inlineStr">
        <is>
          <t>ACT</t>
        </is>
      </c>
      <c r="E569" s="1" t="inlineStr">
        <is>
          <t>2027BUD_V1</t>
        </is>
      </c>
      <c r="F569" s="1" t="inlineStr">
        <is>
          <t>12</t>
        </is>
      </c>
      <c r="G569" s="1" t="n">
        <v>21124</v>
      </c>
      <c r="H569" s="25">
        <f>_CALC_PNL!P569</f>
        <v/>
      </c>
      <c r="I569" s="25">
        <f>IF(_CALC_PNL!E569=1,H569-G569,"")</f>
        <v/>
      </c>
    </row>
    <row r="570">
      <c r="A570" s="1" t="inlineStr">
        <is>
          <t>ISCOM_TLS</t>
        </is>
      </c>
      <c r="B570" s="1" t="inlineStr">
        <is>
          <t>625</t>
        </is>
      </c>
      <c r="C570" s="1" t="inlineStr">
        <is>
          <t>2026</t>
        </is>
      </c>
      <c r="D570" s="1" t="inlineStr">
        <is>
          <t>ACT</t>
        </is>
      </c>
      <c r="E570" s="1" t="inlineStr">
        <is>
          <t>2027BUD_V1</t>
        </is>
      </c>
      <c r="F570" s="1" t="inlineStr">
        <is>
          <t>12</t>
        </is>
      </c>
      <c r="G570" s="1" t="n">
        <v>19564</v>
      </c>
      <c r="H570" s="25">
        <f>_CALC_PNL!P570</f>
        <v/>
      </c>
      <c r="I570" s="25">
        <f>IF(_CALC_PNL!E570=1,H570-G570,"")</f>
        <v/>
      </c>
    </row>
    <row r="571">
      <c r="A571" s="1" t="inlineStr">
        <is>
          <t>IPAC_NAN</t>
        </is>
      </c>
      <c r="B571" s="1" t="inlineStr">
        <is>
          <t>625</t>
        </is>
      </c>
      <c r="C571" s="1" t="inlineStr">
        <is>
          <t>2026</t>
        </is>
      </c>
      <c r="D571" s="1" t="inlineStr">
        <is>
          <t>ACT</t>
        </is>
      </c>
      <c r="E571" s="1" t="inlineStr">
        <is>
          <t>2027BUD_V1</t>
        </is>
      </c>
      <c r="F571" s="1" t="inlineStr">
        <is>
          <t>12</t>
        </is>
      </c>
      <c r="G571" s="1" t="n">
        <v>13645</v>
      </c>
      <c r="H571" s="25">
        <f>_CALC_PNL!P571</f>
        <v/>
      </c>
      <c r="I571" s="25">
        <f>IF(_CALC_PNL!E571=1,H571-G571,"")</f>
        <v/>
      </c>
    </row>
    <row r="572">
      <c r="A572" s="1" t="inlineStr">
        <is>
          <t>IPAC_REN</t>
        </is>
      </c>
      <c r="B572" s="1" t="inlineStr">
        <is>
          <t>625</t>
        </is>
      </c>
      <c r="C572" s="1" t="inlineStr">
        <is>
          <t>2026</t>
        </is>
      </c>
      <c r="D572" s="1" t="inlineStr">
        <is>
          <t>ACT</t>
        </is>
      </c>
      <c r="E572" s="1" t="inlineStr">
        <is>
          <t>2027BUD_V1</t>
        </is>
      </c>
      <c r="F572" s="1" t="inlineStr">
        <is>
          <t>12</t>
        </is>
      </c>
      <c r="G572" s="1" t="n">
        <v>9689</v>
      </c>
      <c r="H572" s="25">
        <f>_CALC_PNL!P572</f>
        <v/>
      </c>
      <c r="I572" s="25">
        <f>IF(_CALC_PNL!E572=1,H572-G572,"")</f>
        <v/>
      </c>
    </row>
    <row r="573">
      <c r="A573" s="1" t="inlineStr">
        <is>
          <t>IPAC_MTP</t>
        </is>
      </c>
      <c r="B573" s="1" t="inlineStr">
        <is>
          <t>625</t>
        </is>
      </c>
      <c r="C573" s="1" t="inlineStr">
        <is>
          <t>2026</t>
        </is>
      </c>
      <c r="D573" s="1" t="inlineStr">
        <is>
          <t>ACT</t>
        </is>
      </c>
      <c r="E573" s="1" t="inlineStr">
        <is>
          <t>2027BUD_V1</t>
        </is>
      </c>
      <c r="F573" s="1" t="inlineStr">
        <is>
          <t>12</t>
        </is>
      </c>
      <c r="G573" s="1" t="n">
        <v>9689</v>
      </c>
      <c r="H573" s="25">
        <f>_CALC_PNL!P573</f>
        <v/>
      </c>
      <c r="I573" s="25">
        <f>IF(_CALC_PNL!E573=1,H573-G573,"")</f>
        <v/>
      </c>
    </row>
    <row r="574">
      <c r="A574" s="1" t="inlineStr">
        <is>
          <t>PIGIER_LYO</t>
        </is>
      </c>
      <c r="B574" s="1" t="inlineStr">
        <is>
          <t>625</t>
        </is>
      </c>
      <c r="C574" s="1" t="inlineStr">
        <is>
          <t>2026</t>
        </is>
      </c>
      <c r="D574" s="1" t="inlineStr">
        <is>
          <t>ACT</t>
        </is>
      </c>
      <c r="E574" s="1" t="inlineStr">
        <is>
          <t>2027BUD_V1</t>
        </is>
      </c>
      <c r="F574" s="1" t="inlineStr">
        <is>
          <t>12</t>
        </is>
      </c>
      <c r="G574" s="1" t="n">
        <v>19182</v>
      </c>
      <c r="H574" s="25">
        <f>_CALC_PNL!P574</f>
        <v/>
      </c>
      <c r="I574" s="25">
        <f>IF(_CALC_PNL!E574=1,H574-G574,"")</f>
        <v/>
      </c>
    </row>
    <row r="575">
      <c r="A575" s="1" t="inlineStr">
        <is>
          <t>PIGIER_BOR</t>
        </is>
      </c>
      <c r="B575" s="1" t="inlineStr">
        <is>
          <t>625</t>
        </is>
      </c>
      <c r="C575" s="1" t="inlineStr">
        <is>
          <t>2026</t>
        </is>
      </c>
      <c r="D575" s="1" t="inlineStr">
        <is>
          <t>ACT</t>
        </is>
      </c>
      <c r="E575" s="1" t="inlineStr">
        <is>
          <t>2027BUD_V1</t>
        </is>
      </c>
      <c r="F575" s="1" t="inlineStr">
        <is>
          <t>12</t>
        </is>
      </c>
      <c r="G575" s="1" t="n">
        <v>14030</v>
      </c>
      <c r="H575" s="25">
        <f>_CALC_PNL!P575</f>
        <v/>
      </c>
      <c r="I575" s="25">
        <f>IF(_CALC_PNL!E575=1,H575-G575,"")</f>
        <v/>
      </c>
    </row>
    <row r="576">
      <c r="A576" s="1" t="inlineStr">
        <is>
          <t>TUNON_PAR</t>
        </is>
      </c>
      <c r="B576" s="1" t="inlineStr">
        <is>
          <t>625</t>
        </is>
      </c>
      <c r="C576" s="1" t="inlineStr">
        <is>
          <t>2026</t>
        </is>
      </c>
      <c r="D576" s="1" t="inlineStr">
        <is>
          <t>ACT</t>
        </is>
      </c>
      <c r="E576" s="1" t="inlineStr">
        <is>
          <t>2027BUD_V1</t>
        </is>
      </c>
      <c r="F576" s="1" t="inlineStr">
        <is>
          <t>12</t>
        </is>
      </c>
      <c r="G576" s="1" t="n">
        <v>21037</v>
      </c>
      <c r="H576" s="25">
        <f>_CALC_PNL!P576</f>
        <v/>
      </c>
      <c r="I576" s="25">
        <f>IF(_CALC_PNL!E576=1,H576-G576,"")</f>
        <v/>
      </c>
    </row>
    <row r="577">
      <c r="A577" s="1" t="inlineStr">
        <is>
          <t>TUNON_LYO</t>
        </is>
      </c>
      <c r="B577" s="1" t="inlineStr">
        <is>
          <t>625</t>
        </is>
      </c>
      <c r="C577" s="1" t="inlineStr">
        <is>
          <t>2026</t>
        </is>
      </c>
      <c r="D577" s="1" t="inlineStr">
        <is>
          <t>ACT</t>
        </is>
      </c>
      <c r="E577" s="1" t="inlineStr">
        <is>
          <t>2027BUD_V1</t>
        </is>
      </c>
      <c r="F577" s="1" t="inlineStr">
        <is>
          <t>12</t>
        </is>
      </c>
      <c r="G577" s="1" t="n">
        <v>12331</v>
      </c>
      <c r="H577" s="25">
        <f>_CALC_PNL!P577</f>
        <v/>
      </c>
      <c r="I577" s="25">
        <f>IF(_CALC_PNL!E577=1,H577-G577,"")</f>
        <v/>
      </c>
    </row>
    <row r="578">
      <c r="A578" s="1" t="inlineStr">
        <is>
          <t>GRP</t>
        </is>
      </c>
      <c r="B578" s="1" t="inlineStr">
        <is>
          <t>626</t>
        </is>
      </c>
      <c r="C578" s="1" t="inlineStr">
        <is>
          <t>2024</t>
        </is>
      </c>
      <c r="D578" s="1" t="inlineStr">
        <is>
          <t>ACT</t>
        </is>
      </c>
      <c r="E578" s="1" t="inlineStr">
        <is>
          <t>2027BUD_V1</t>
        </is>
      </c>
      <c r="F578" s="1" t="inlineStr">
        <is>
          <t>12</t>
        </is>
      </c>
      <c r="G578" s="1" t="n">
        <v>412389</v>
      </c>
      <c r="H578" s="25">
        <f>_CALC_PNL!P578</f>
        <v/>
      </c>
      <c r="I578" s="25">
        <f>IF(_CALC_PNL!E578=1,H578-G578,"")</f>
        <v/>
      </c>
    </row>
    <row r="579">
      <c r="A579" s="1" t="inlineStr">
        <is>
          <t>GRP</t>
        </is>
      </c>
      <c r="B579" s="1" t="inlineStr">
        <is>
          <t>626</t>
        </is>
      </c>
      <c r="C579" s="1" t="inlineStr">
        <is>
          <t>2025</t>
        </is>
      </c>
      <c r="D579" s="1" t="inlineStr">
        <is>
          <t>ACT</t>
        </is>
      </c>
      <c r="E579" s="1" t="inlineStr">
        <is>
          <t>2027BUD_V1</t>
        </is>
      </c>
      <c r="F579" s="1" t="inlineStr">
        <is>
          <t>12</t>
        </is>
      </c>
      <c r="G579" s="1" t="n">
        <v>431286</v>
      </c>
      <c r="H579" s="25">
        <f>_CALC_PNL!P579</f>
        <v/>
      </c>
      <c r="I579" s="25">
        <f>IF(_CALC_PNL!E579=1,H579-G579,"")</f>
        <v/>
      </c>
    </row>
    <row r="580">
      <c r="A580" s="1" t="inlineStr">
        <is>
          <t>GRP</t>
        </is>
      </c>
      <c r="B580" s="1" t="inlineStr">
        <is>
          <t>626</t>
        </is>
      </c>
      <c r="C580" s="1" t="inlineStr">
        <is>
          <t>2026</t>
        </is>
      </c>
      <c r="D580" s="1" t="inlineStr">
        <is>
          <t>ACT</t>
        </is>
      </c>
      <c r="E580" s="1" t="inlineStr">
        <is>
          <t>2027BUD_V1</t>
        </is>
      </c>
      <c r="F580" s="1" t="inlineStr">
        <is>
          <t>12</t>
        </is>
      </c>
      <c r="G580" s="1" t="n">
        <v>451872</v>
      </c>
      <c r="H580" s="25">
        <f>_CALC_PNL!P580</f>
        <v/>
      </c>
      <c r="I580" s="25">
        <f>IF(_CALC_PNL!E580=1,H580-G580,"")</f>
        <v/>
      </c>
    </row>
    <row r="581">
      <c r="A581" s="1" t="inlineStr">
        <is>
          <t>GRP</t>
        </is>
      </c>
      <c r="B581" s="1" t="inlineStr">
        <is>
          <t>6281</t>
        </is>
      </c>
      <c r="C581" s="1" t="inlineStr">
        <is>
          <t>2024</t>
        </is>
      </c>
      <c r="D581" s="1" t="inlineStr">
        <is>
          <t>ACT</t>
        </is>
      </c>
      <c r="E581" s="1" t="inlineStr">
        <is>
          <t>2027BUD_V1</t>
        </is>
      </c>
      <c r="F581" s="1" t="inlineStr">
        <is>
          <t>12</t>
        </is>
      </c>
      <c r="G581" s="1" t="n">
        <v>164956</v>
      </c>
      <c r="H581" s="25">
        <f>_CALC_PNL!P581</f>
        <v/>
      </c>
      <c r="I581" s="25">
        <f>IF(_CALC_PNL!E581=1,H581-G581,"")</f>
        <v/>
      </c>
    </row>
    <row r="582">
      <c r="A582" s="1" t="inlineStr">
        <is>
          <t>GRP</t>
        </is>
      </c>
      <c r="B582" s="1" t="inlineStr">
        <is>
          <t>6281</t>
        </is>
      </c>
      <c r="C582" s="1" t="inlineStr">
        <is>
          <t>2025</t>
        </is>
      </c>
      <c r="D582" s="1" t="inlineStr">
        <is>
          <t>ACT</t>
        </is>
      </c>
      <c r="E582" s="1" t="inlineStr">
        <is>
          <t>2027BUD_V1</t>
        </is>
      </c>
      <c r="F582" s="1" t="inlineStr">
        <is>
          <t>12</t>
        </is>
      </c>
      <c r="G582" s="1" t="n">
        <v>172514</v>
      </c>
      <c r="H582" s="25">
        <f>_CALC_PNL!P582</f>
        <v/>
      </c>
      <c r="I582" s="25">
        <f>IF(_CALC_PNL!E582=1,H582-G582,"")</f>
        <v/>
      </c>
    </row>
    <row r="583">
      <c r="A583" s="1" t="inlineStr">
        <is>
          <t>GRP</t>
        </is>
      </c>
      <c r="B583" s="1" t="inlineStr">
        <is>
          <t>6281</t>
        </is>
      </c>
      <c r="C583" s="1" t="inlineStr">
        <is>
          <t>2026</t>
        </is>
      </c>
      <c r="D583" s="1" t="inlineStr">
        <is>
          <t>ACT</t>
        </is>
      </c>
      <c r="E583" s="1" t="inlineStr">
        <is>
          <t>2027BUD_V1</t>
        </is>
      </c>
      <c r="F583" s="1" t="inlineStr">
        <is>
          <t>12</t>
        </is>
      </c>
      <c r="G583" s="1" t="n">
        <v>180749</v>
      </c>
      <c r="H583" s="25">
        <f>_CALC_PNL!P583</f>
        <v/>
      </c>
      <c r="I583" s="25">
        <f>IF(_CALC_PNL!E583=1,H583-G583,"")</f>
        <v/>
      </c>
    </row>
    <row r="584">
      <c r="A584" s="1" t="inlineStr">
        <is>
          <t>GRP</t>
        </is>
      </c>
      <c r="B584" s="1" t="inlineStr">
        <is>
          <t>6331</t>
        </is>
      </c>
      <c r="C584" s="1" t="inlineStr">
        <is>
          <t>2024</t>
        </is>
      </c>
      <c r="D584" s="1" t="inlineStr">
        <is>
          <t>ACT</t>
        </is>
      </c>
      <c r="E584" s="1" t="inlineStr">
        <is>
          <t>2027BUD_V1</t>
        </is>
      </c>
      <c r="F584" s="1" t="inlineStr">
        <is>
          <t>12</t>
        </is>
      </c>
      <c r="G584" s="1" t="n">
        <v>309292</v>
      </c>
      <c r="H584" s="25">
        <f>_CALC_PNL!P584</f>
        <v/>
      </c>
      <c r="I584" s="25">
        <f>IF(_CALC_PNL!E584=1,H584-G584,"")</f>
        <v/>
      </c>
    </row>
    <row r="585">
      <c r="A585" s="1" t="inlineStr">
        <is>
          <t>GRP</t>
        </is>
      </c>
      <c r="B585" s="1" t="inlineStr">
        <is>
          <t>6331</t>
        </is>
      </c>
      <c r="C585" s="1" t="inlineStr">
        <is>
          <t>2025</t>
        </is>
      </c>
      <c r="D585" s="1" t="inlineStr">
        <is>
          <t>ACT</t>
        </is>
      </c>
      <c r="E585" s="1" t="inlineStr">
        <is>
          <t>2027BUD_V1</t>
        </is>
      </c>
      <c r="F585" s="1" t="inlineStr">
        <is>
          <t>12</t>
        </is>
      </c>
      <c r="G585" s="1" t="n">
        <v>323465</v>
      </c>
      <c r="H585" s="25">
        <f>_CALC_PNL!P585</f>
        <v/>
      </c>
      <c r="I585" s="25">
        <f>IF(_CALC_PNL!E585=1,H585-G585,"")</f>
        <v/>
      </c>
    </row>
    <row r="586">
      <c r="A586" s="1" t="inlineStr">
        <is>
          <t>GRP</t>
        </is>
      </c>
      <c r="B586" s="1" t="inlineStr">
        <is>
          <t>6331</t>
        </is>
      </c>
      <c r="C586" s="1" t="inlineStr">
        <is>
          <t>2026</t>
        </is>
      </c>
      <c r="D586" s="1" t="inlineStr">
        <is>
          <t>ACT</t>
        </is>
      </c>
      <c r="E586" s="1" t="inlineStr">
        <is>
          <t>2027BUD_V1</t>
        </is>
      </c>
      <c r="F586" s="1" t="inlineStr">
        <is>
          <t>12</t>
        </is>
      </c>
      <c r="G586" s="1" t="n">
        <v>338904</v>
      </c>
      <c r="H586" s="25">
        <f>_CALC_PNL!P586</f>
        <v/>
      </c>
      <c r="I586" s="25">
        <f>IF(_CALC_PNL!E586=1,H586-G586,"")</f>
        <v/>
      </c>
    </row>
    <row r="587">
      <c r="A587" s="1" t="inlineStr">
        <is>
          <t>MBWAY_PAR</t>
        </is>
      </c>
      <c r="B587" s="1" t="inlineStr">
        <is>
          <t>63511</t>
        </is>
      </c>
      <c r="C587" s="1" t="inlineStr">
        <is>
          <t>2024</t>
        </is>
      </c>
      <c r="D587" s="1" t="inlineStr">
        <is>
          <t>ACT</t>
        </is>
      </c>
      <c r="E587" s="1" t="inlineStr">
        <is>
          <t>2027BUD_V1</t>
        </is>
      </c>
      <c r="F587" s="1" t="inlineStr">
        <is>
          <t>12</t>
        </is>
      </c>
      <c r="G587" s="1" t="n">
        <v>32490</v>
      </c>
      <c r="H587" s="25">
        <f>_CALC_PNL!P587</f>
        <v/>
      </c>
      <c r="I587" s="25">
        <f>IF(_CALC_PNL!E587=1,H587-G587,"")</f>
        <v/>
      </c>
    </row>
    <row r="588">
      <c r="A588" s="1" t="inlineStr">
        <is>
          <t>MBWAY_LYO</t>
        </is>
      </c>
      <c r="B588" s="1" t="inlineStr">
        <is>
          <t>63511</t>
        </is>
      </c>
      <c r="C588" s="1" t="inlineStr">
        <is>
          <t>2024</t>
        </is>
      </c>
      <c r="D588" s="1" t="inlineStr">
        <is>
          <t>ACT</t>
        </is>
      </c>
      <c r="E588" s="1" t="inlineStr">
        <is>
          <t>2027BUD_V1</t>
        </is>
      </c>
      <c r="F588" s="1" t="inlineStr">
        <is>
          <t>12</t>
        </is>
      </c>
      <c r="G588" s="1" t="n">
        <v>19467</v>
      </c>
      <c r="H588" s="25">
        <f>_CALC_PNL!P588</f>
        <v/>
      </c>
      <c r="I588" s="25">
        <f>IF(_CALC_PNL!E588=1,H588-G588,"")</f>
        <v/>
      </c>
    </row>
    <row r="589">
      <c r="A589" s="1" t="inlineStr">
        <is>
          <t>MBWAY_NAN</t>
        </is>
      </c>
      <c r="B589" s="1" t="inlineStr">
        <is>
          <t>63511</t>
        </is>
      </c>
      <c r="C589" s="1" t="inlineStr">
        <is>
          <t>2024</t>
        </is>
      </c>
      <c r="D589" s="1" t="inlineStr">
        <is>
          <t>ACT</t>
        </is>
      </c>
      <c r="E589" s="1" t="inlineStr">
        <is>
          <t>2027BUD_V1</t>
        </is>
      </c>
      <c r="F589" s="1" t="inlineStr">
        <is>
          <t>12</t>
        </is>
      </c>
      <c r="G589" s="1" t="n">
        <v>16044</v>
      </c>
      <c r="H589" s="25">
        <f>_CALC_PNL!P589</f>
        <v/>
      </c>
      <c r="I589" s="25">
        <f>IF(_CALC_PNL!E589=1,H589-G589,"")</f>
        <v/>
      </c>
    </row>
    <row r="590">
      <c r="A590" s="1" t="inlineStr">
        <is>
          <t>MBWAY_BOR</t>
        </is>
      </c>
      <c r="B590" s="1" t="inlineStr">
        <is>
          <t>63511</t>
        </is>
      </c>
      <c r="C590" s="1" t="inlineStr">
        <is>
          <t>2024</t>
        </is>
      </c>
      <c r="D590" s="1" t="inlineStr">
        <is>
          <t>ACT</t>
        </is>
      </c>
      <c r="E590" s="1" t="inlineStr">
        <is>
          <t>2027BUD_V1</t>
        </is>
      </c>
      <c r="F590" s="1" t="inlineStr">
        <is>
          <t>12</t>
        </is>
      </c>
      <c r="G590" s="1" t="n">
        <v>14039</v>
      </c>
      <c r="H590" s="25">
        <f>_CALC_PNL!P590</f>
        <v/>
      </c>
      <c r="I590" s="25">
        <f>IF(_CALC_PNL!E590=1,H590-G590,"")</f>
        <v/>
      </c>
    </row>
    <row r="591">
      <c r="A591" s="1" t="inlineStr">
        <is>
          <t>ISCOM_PAR</t>
        </is>
      </c>
      <c r="B591" s="1" t="inlineStr">
        <is>
          <t>63511</t>
        </is>
      </c>
      <c r="C591" s="1" t="inlineStr">
        <is>
          <t>2024</t>
        </is>
      </c>
      <c r="D591" s="1" t="inlineStr">
        <is>
          <t>ACT</t>
        </is>
      </c>
      <c r="E591" s="1" t="inlineStr">
        <is>
          <t>2027BUD_V1</t>
        </is>
      </c>
      <c r="F591" s="1" t="inlineStr">
        <is>
          <t>12</t>
        </is>
      </c>
      <c r="G591" s="1" t="n">
        <v>32490</v>
      </c>
      <c r="H591" s="25">
        <f>_CALC_PNL!P591</f>
        <v/>
      </c>
      <c r="I591" s="25">
        <f>IF(_CALC_PNL!E591=1,H591-G591,"")</f>
        <v/>
      </c>
    </row>
    <row r="592">
      <c r="A592" s="1" t="inlineStr">
        <is>
          <t>ISCOM_LIL</t>
        </is>
      </c>
      <c r="B592" s="1" t="inlineStr">
        <is>
          <t>63511</t>
        </is>
      </c>
      <c r="C592" s="1" t="inlineStr">
        <is>
          <t>2024</t>
        </is>
      </c>
      <c r="D592" s="1" t="inlineStr">
        <is>
          <t>ACT</t>
        </is>
      </c>
      <c r="E592" s="1" t="inlineStr">
        <is>
          <t>2027BUD_V1</t>
        </is>
      </c>
      <c r="F592" s="1" t="inlineStr">
        <is>
          <t>12</t>
        </is>
      </c>
      <c r="G592" s="1" t="n">
        <v>12301</v>
      </c>
      <c r="H592" s="25">
        <f>_CALC_PNL!P592</f>
        <v/>
      </c>
      <c r="I592" s="25">
        <f>IF(_CALC_PNL!E592=1,H592-G592,"")</f>
        <v/>
      </c>
    </row>
    <row r="593">
      <c r="A593" s="1" t="inlineStr">
        <is>
          <t>ISCOM_TLS</t>
        </is>
      </c>
      <c r="B593" s="1" t="inlineStr">
        <is>
          <t>63511</t>
        </is>
      </c>
      <c r="C593" s="1" t="inlineStr">
        <is>
          <t>2024</t>
        </is>
      </c>
      <c r="D593" s="1" t="inlineStr">
        <is>
          <t>ACT</t>
        </is>
      </c>
      <c r="E593" s="1" t="inlineStr">
        <is>
          <t>2027BUD_V1</t>
        </is>
      </c>
      <c r="F593" s="1" t="inlineStr">
        <is>
          <t>12</t>
        </is>
      </c>
      <c r="G593" s="1" t="n">
        <v>12033</v>
      </c>
      <c r="H593" s="25">
        <f>_CALC_PNL!P593</f>
        <v/>
      </c>
      <c r="I593" s="25">
        <f>IF(_CALC_PNL!E593=1,H593-G593,"")</f>
        <v/>
      </c>
    </row>
    <row r="594">
      <c r="A594" s="1" t="inlineStr">
        <is>
          <t>IPAC_NAN</t>
        </is>
      </c>
      <c r="B594" s="1" t="inlineStr">
        <is>
          <t>63511</t>
        </is>
      </c>
      <c r="C594" s="1" t="inlineStr">
        <is>
          <t>2024</t>
        </is>
      </c>
      <c r="D594" s="1" t="inlineStr">
        <is>
          <t>ACT</t>
        </is>
      </c>
      <c r="E594" s="1" t="inlineStr">
        <is>
          <t>2027BUD_V1</t>
        </is>
      </c>
      <c r="F594" s="1" t="inlineStr">
        <is>
          <t>12</t>
        </is>
      </c>
      <c r="G594" s="1" t="n">
        <v>8022</v>
      </c>
      <c r="H594" s="25">
        <f>_CALC_PNL!P594</f>
        <v/>
      </c>
      <c r="I594" s="25">
        <f>IF(_CALC_PNL!E594=1,H594-G594,"")</f>
        <v/>
      </c>
    </row>
    <row r="595">
      <c r="A595" s="1" t="inlineStr">
        <is>
          <t>IPAC_REN</t>
        </is>
      </c>
      <c r="B595" s="1" t="inlineStr">
        <is>
          <t>63511</t>
        </is>
      </c>
      <c r="C595" s="1" t="inlineStr">
        <is>
          <t>2024</t>
        </is>
      </c>
      <c r="D595" s="1" t="inlineStr">
        <is>
          <t>ACT</t>
        </is>
      </c>
      <c r="E595" s="1" t="inlineStr">
        <is>
          <t>2027BUD_V1</t>
        </is>
      </c>
      <c r="F595" s="1" t="inlineStr">
        <is>
          <t>12</t>
        </is>
      </c>
      <c r="G595" s="1" t="n">
        <v>7059</v>
      </c>
      <c r="H595" s="25">
        <f>_CALC_PNL!P595</f>
        <v/>
      </c>
      <c r="I595" s="25">
        <f>IF(_CALC_PNL!E595=1,H595-G595,"")</f>
        <v/>
      </c>
    </row>
    <row r="596">
      <c r="A596" s="1" t="inlineStr">
        <is>
          <t>IPAC_MTP</t>
        </is>
      </c>
      <c r="B596" s="1" t="inlineStr">
        <is>
          <t>63511</t>
        </is>
      </c>
      <c r="C596" s="1" t="inlineStr">
        <is>
          <t>2024</t>
        </is>
      </c>
      <c r="D596" s="1" t="inlineStr">
        <is>
          <t>ACT</t>
        </is>
      </c>
      <c r="E596" s="1" t="inlineStr">
        <is>
          <t>2027BUD_V1</t>
        </is>
      </c>
      <c r="F596" s="1" t="inlineStr">
        <is>
          <t>12</t>
        </is>
      </c>
      <c r="G596" s="1" t="n">
        <v>7059</v>
      </c>
      <c r="H596" s="25">
        <f>_CALC_PNL!P596</f>
        <v/>
      </c>
      <c r="I596" s="25">
        <f>IF(_CALC_PNL!E596=1,H596-G596,"")</f>
        <v/>
      </c>
    </row>
    <row r="597">
      <c r="A597" s="1" t="inlineStr">
        <is>
          <t>PIGIER_LYO</t>
        </is>
      </c>
      <c r="B597" s="1" t="inlineStr">
        <is>
          <t>63511</t>
        </is>
      </c>
      <c r="C597" s="1" t="inlineStr">
        <is>
          <t>2024</t>
        </is>
      </c>
      <c r="D597" s="1" t="inlineStr">
        <is>
          <t>ACT</t>
        </is>
      </c>
      <c r="E597" s="1" t="inlineStr">
        <is>
          <t>2027BUD_V1</t>
        </is>
      </c>
      <c r="F597" s="1" t="inlineStr">
        <is>
          <t>12</t>
        </is>
      </c>
      <c r="G597" s="1" t="n">
        <v>11980</v>
      </c>
      <c r="H597" s="25">
        <f>_CALC_PNL!P597</f>
        <v/>
      </c>
      <c r="I597" s="25">
        <f>IF(_CALC_PNL!E597=1,H597-G597,"")</f>
        <v/>
      </c>
    </row>
    <row r="598">
      <c r="A598" s="1" t="inlineStr">
        <is>
          <t>PIGIER_BOR</t>
        </is>
      </c>
      <c r="B598" s="1" t="inlineStr">
        <is>
          <t>63511</t>
        </is>
      </c>
      <c r="C598" s="1" t="inlineStr">
        <is>
          <t>2024</t>
        </is>
      </c>
      <c r="D598" s="1" t="inlineStr">
        <is>
          <t>ACT</t>
        </is>
      </c>
      <c r="E598" s="1" t="inlineStr">
        <is>
          <t>2027BUD_V1</t>
        </is>
      </c>
      <c r="F598" s="1" t="inlineStr">
        <is>
          <t>12</t>
        </is>
      </c>
      <c r="G598" s="1" t="n">
        <v>11231</v>
      </c>
      <c r="H598" s="25">
        <f>_CALC_PNL!P598</f>
        <v/>
      </c>
      <c r="I598" s="25">
        <f>IF(_CALC_PNL!E598=1,H598-G598,"")</f>
        <v/>
      </c>
    </row>
    <row r="599">
      <c r="A599" s="1" t="inlineStr">
        <is>
          <t>TUNON_PAR</t>
        </is>
      </c>
      <c r="B599" s="1" t="inlineStr">
        <is>
          <t>63511</t>
        </is>
      </c>
      <c r="C599" s="1" t="inlineStr">
        <is>
          <t>2024</t>
        </is>
      </c>
      <c r="D599" s="1" t="inlineStr">
        <is>
          <t>ACT</t>
        </is>
      </c>
      <c r="E599" s="1" t="inlineStr">
        <is>
          <t>2027BUD_V1</t>
        </is>
      </c>
      <c r="F599" s="1" t="inlineStr">
        <is>
          <t>12</t>
        </is>
      </c>
      <c r="G599" s="1" t="n">
        <v>12996</v>
      </c>
      <c r="H599" s="25">
        <f>_CALC_PNL!P599</f>
        <v/>
      </c>
      <c r="I599" s="25">
        <f>IF(_CALC_PNL!E599=1,H599-G599,"")</f>
        <v/>
      </c>
    </row>
    <row r="600">
      <c r="A600" s="1" t="inlineStr">
        <is>
          <t>TUNON_LYO</t>
        </is>
      </c>
      <c r="B600" s="1" t="inlineStr">
        <is>
          <t>63511</t>
        </is>
      </c>
      <c r="C600" s="1" t="inlineStr">
        <is>
          <t>2024</t>
        </is>
      </c>
      <c r="D600" s="1" t="inlineStr">
        <is>
          <t>ACT</t>
        </is>
      </c>
      <c r="E600" s="1" t="inlineStr">
        <is>
          <t>2027BUD_V1</t>
        </is>
      </c>
      <c r="F600" s="1" t="inlineStr">
        <is>
          <t>12</t>
        </is>
      </c>
      <c r="G600" s="1" t="n">
        <v>8985</v>
      </c>
      <c r="H600" s="25">
        <f>_CALC_PNL!P600</f>
        <v/>
      </c>
      <c r="I600" s="25">
        <f>IF(_CALC_PNL!E600=1,H600-G600,"")</f>
        <v/>
      </c>
    </row>
    <row r="601">
      <c r="A601" s="1" t="inlineStr">
        <is>
          <t>MBWAY_PAR</t>
        </is>
      </c>
      <c r="B601" s="1" t="inlineStr">
        <is>
          <t>63511</t>
        </is>
      </c>
      <c r="C601" s="1" t="inlineStr">
        <is>
          <t>2025</t>
        </is>
      </c>
      <c r="D601" s="1" t="inlineStr">
        <is>
          <t>ACT</t>
        </is>
      </c>
      <c r="E601" s="1" t="inlineStr">
        <is>
          <t>2027BUD_V1</t>
        </is>
      </c>
      <c r="F601" s="1" t="inlineStr">
        <is>
          <t>12</t>
        </is>
      </c>
      <c r="G601" s="1" t="n">
        <v>33978</v>
      </c>
      <c r="H601" s="25">
        <f>_CALC_PNL!P601</f>
        <v/>
      </c>
      <c r="I601" s="25">
        <f>IF(_CALC_PNL!E601=1,H601-G601,"")</f>
        <v/>
      </c>
    </row>
    <row r="602">
      <c r="A602" s="1" t="inlineStr">
        <is>
          <t>MBWAY_LYO</t>
        </is>
      </c>
      <c r="B602" s="1" t="inlineStr">
        <is>
          <t>63511</t>
        </is>
      </c>
      <c r="C602" s="1" t="inlineStr">
        <is>
          <t>2025</t>
        </is>
      </c>
      <c r="D602" s="1" t="inlineStr">
        <is>
          <t>ACT</t>
        </is>
      </c>
      <c r="E602" s="1" t="inlineStr">
        <is>
          <t>2027BUD_V1</t>
        </is>
      </c>
      <c r="F602" s="1" t="inlineStr">
        <is>
          <t>12</t>
        </is>
      </c>
      <c r="G602" s="1" t="n">
        <v>20359</v>
      </c>
      <c r="H602" s="25">
        <f>_CALC_PNL!P602</f>
        <v/>
      </c>
      <c r="I602" s="25">
        <f>IF(_CALC_PNL!E602=1,H602-G602,"")</f>
        <v/>
      </c>
    </row>
    <row r="603">
      <c r="A603" s="1" t="inlineStr">
        <is>
          <t>MBWAY_NAN</t>
        </is>
      </c>
      <c r="B603" s="1" t="inlineStr">
        <is>
          <t>63511</t>
        </is>
      </c>
      <c r="C603" s="1" t="inlineStr">
        <is>
          <t>2025</t>
        </is>
      </c>
      <c r="D603" s="1" t="inlineStr">
        <is>
          <t>ACT</t>
        </is>
      </c>
      <c r="E603" s="1" t="inlineStr">
        <is>
          <t>2027BUD_V1</t>
        </is>
      </c>
      <c r="F603" s="1" t="inlineStr">
        <is>
          <t>12</t>
        </is>
      </c>
      <c r="G603" s="1" t="n">
        <v>16779</v>
      </c>
      <c r="H603" s="25">
        <f>_CALC_PNL!P603</f>
        <v/>
      </c>
      <c r="I603" s="25">
        <f>IF(_CALC_PNL!E603=1,H603-G603,"")</f>
        <v/>
      </c>
    </row>
    <row r="604">
      <c r="A604" s="1" t="inlineStr">
        <is>
          <t>MBWAY_BOR</t>
        </is>
      </c>
      <c r="B604" s="1" t="inlineStr">
        <is>
          <t>63511</t>
        </is>
      </c>
      <c r="C604" s="1" t="inlineStr">
        <is>
          <t>2025</t>
        </is>
      </c>
      <c r="D604" s="1" t="inlineStr">
        <is>
          <t>ACT</t>
        </is>
      </c>
      <c r="E604" s="1" t="inlineStr">
        <is>
          <t>2027BUD_V1</t>
        </is>
      </c>
      <c r="F604" s="1" t="inlineStr">
        <is>
          <t>12</t>
        </is>
      </c>
      <c r="G604" s="1" t="n">
        <v>14682</v>
      </c>
      <c r="H604" s="25">
        <f>_CALC_PNL!P604</f>
        <v/>
      </c>
      <c r="I604" s="25">
        <f>IF(_CALC_PNL!E604=1,H604-G604,"")</f>
        <v/>
      </c>
    </row>
    <row r="605">
      <c r="A605" s="1" t="inlineStr">
        <is>
          <t>ISCOM_PAR</t>
        </is>
      </c>
      <c r="B605" s="1" t="inlineStr">
        <is>
          <t>63511</t>
        </is>
      </c>
      <c r="C605" s="1" t="inlineStr">
        <is>
          <t>2025</t>
        </is>
      </c>
      <c r="D605" s="1" t="inlineStr">
        <is>
          <t>ACT</t>
        </is>
      </c>
      <c r="E605" s="1" t="inlineStr">
        <is>
          <t>2027BUD_V1</t>
        </is>
      </c>
      <c r="F605" s="1" t="inlineStr">
        <is>
          <t>12</t>
        </is>
      </c>
      <c r="G605" s="1" t="n">
        <v>33978</v>
      </c>
      <c r="H605" s="25">
        <f>_CALC_PNL!P605</f>
        <v/>
      </c>
      <c r="I605" s="25">
        <f>IF(_CALC_PNL!E605=1,H605-G605,"")</f>
        <v/>
      </c>
    </row>
    <row r="606">
      <c r="A606" s="1" t="inlineStr">
        <is>
          <t>ISCOM_LIL</t>
        </is>
      </c>
      <c r="B606" s="1" t="inlineStr">
        <is>
          <t>63511</t>
        </is>
      </c>
      <c r="C606" s="1" t="inlineStr">
        <is>
          <t>2025</t>
        </is>
      </c>
      <c r="D606" s="1" t="inlineStr">
        <is>
          <t>ACT</t>
        </is>
      </c>
      <c r="E606" s="1" t="inlineStr">
        <is>
          <t>2027BUD_V1</t>
        </is>
      </c>
      <c r="F606" s="1" t="inlineStr">
        <is>
          <t>12</t>
        </is>
      </c>
      <c r="G606" s="1" t="n">
        <v>12864</v>
      </c>
      <c r="H606" s="25">
        <f>_CALC_PNL!P606</f>
        <v/>
      </c>
      <c r="I606" s="25">
        <f>IF(_CALC_PNL!E606=1,H606-G606,"")</f>
        <v/>
      </c>
    </row>
    <row r="607">
      <c r="A607" s="1" t="inlineStr">
        <is>
          <t>ISCOM_TLS</t>
        </is>
      </c>
      <c r="B607" s="1" t="inlineStr">
        <is>
          <t>63511</t>
        </is>
      </c>
      <c r="C607" s="1" t="inlineStr">
        <is>
          <t>2025</t>
        </is>
      </c>
      <c r="D607" s="1" t="inlineStr">
        <is>
          <t>ACT</t>
        </is>
      </c>
      <c r="E607" s="1" t="inlineStr">
        <is>
          <t>2027BUD_V1</t>
        </is>
      </c>
      <c r="F607" s="1" t="inlineStr">
        <is>
          <t>12</t>
        </is>
      </c>
      <c r="G607" s="1" t="n">
        <v>12585</v>
      </c>
      <c r="H607" s="25">
        <f>_CALC_PNL!P607</f>
        <v/>
      </c>
      <c r="I607" s="25">
        <f>IF(_CALC_PNL!E607=1,H607-G607,"")</f>
        <v/>
      </c>
    </row>
    <row r="608">
      <c r="A608" s="1" t="inlineStr">
        <is>
          <t>IPAC_NAN</t>
        </is>
      </c>
      <c r="B608" s="1" t="inlineStr">
        <is>
          <t>63511</t>
        </is>
      </c>
      <c r="C608" s="1" t="inlineStr">
        <is>
          <t>2025</t>
        </is>
      </c>
      <c r="D608" s="1" t="inlineStr">
        <is>
          <t>ACT</t>
        </is>
      </c>
      <c r="E608" s="1" t="inlineStr">
        <is>
          <t>2027BUD_V1</t>
        </is>
      </c>
      <c r="F608" s="1" t="inlineStr">
        <is>
          <t>12</t>
        </is>
      </c>
      <c r="G608" s="1" t="n">
        <v>8390</v>
      </c>
      <c r="H608" s="25">
        <f>_CALC_PNL!P608</f>
        <v/>
      </c>
      <c r="I608" s="25">
        <f>IF(_CALC_PNL!E608=1,H608-G608,"")</f>
        <v/>
      </c>
    </row>
    <row r="609">
      <c r="A609" s="1" t="inlineStr">
        <is>
          <t>IPAC_REN</t>
        </is>
      </c>
      <c r="B609" s="1" t="inlineStr">
        <is>
          <t>63511</t>
        </is>
      </c>
      <c r="C609" s="1" t="inlineStr">
        <is>
          <t>2025</t>
        </is>
      </c>
      <c r="D609" s="1" t="inlineStr">
        <is>
          <t>ACT</t>
        </is>
      </c>
      <c r="E609" s="1" t="inlineStr">
        <is>
          <t>2027BUD_V1</t>
        </is>
      </c>
      <c r="F609" s="1" t="inlineStr">
        <is>
          <t>12</t>
        </is>
      </c>
      <c r="G609" s="1" t="n">
        <v>7383</v>
      </c>
      <c r="H609" s="25">
        <f>_CALC_PNL!P609</f>
        <v/>
      </c>
      <c r="I609" s="25">
        <f>IF(_CALC_PNL!E609=1,H609-G609,"")</f>
        <v/>
      </c>
    </row>
    <row r="610">
      <c r="A610" s="1" t="inlineStr">
        <is>
          <t>IPAC_MTP</t>
        </is>
      </c>
      <c r="B610" s="1" t="inlineStr">
        <is>
          <t>63511</t>
        </is>
      </c>
      <c r="C610" s="1" t="inlineStr">
        <is>
          <t>2025</t>
        </is>
      </c>
      <c r="D610" s="1" t="inlineStr">
        <is>
          <t>ACT</t>
        </is>
      </c>
      <c r="E610" s="1" t="inlineStr">
        <is>
          <t>2027BUD_V1</t>
        </is>
      </c>
      <c r="F610" s="1" t="inlineStr">
        <is>
          <t>12</t>
        </is>
      </c>
      <c r="G610" s="1" t="n">
        <v>7383</v>
      </c>
      <c r="H610" s="25">
        <f>_CALC_PNL!P610</f>
        <v/>
      </c>
      <c r="I610" s="25">
        <f>IF(_CALC_PNL!E610=1,H610-G610,"")</f>
        <v/>
      </c>
    </row>
    <row r="611">
      <c r="A611" s="1" t="inlineStr">
        <is>
          <t>PIGIER_LYO</t>
        </is>
      </c>
      <c r="B611" s="1" t="inlineStr">
        <is>
          <t>63511</t>
        </is>
      </c>
      <c r="C611" s="1" t="inlineStr">
        <is>
          <t>2025</t>
        </is>
      </c>
      <c r="D611" s="1" t="inlineStr">
        <is>
          <t>ACT</t>
        </is>
      </c>
      <c r="E611" s="1" t="inlineStr">
        <is>
          <t>2027BUD_V1</t>
        </is>
      </c>
      <c r="F611" s="1" t="inlineStr">
        <is>
          <t>12</t>
        </is>
      </c>
      <c r="G611" s="1" t="n">
        <v>12529</v>
      </c>
      <c r="H611" s="25">
        <f>_CALC_PNL!P611</f>
        <v/>
      </c>
      <c r="I611" s="25">
        <f>IF(_CALC_PNL!E611=1,H611-G611,"")</f>
        <v/>
      </c>
    </row>
    <row r="612">
      <c r="A612" s="1" t="inlineStr">
        <is>
          <t>PIGIER_BOR</t>
        </is>
      </c>
      <c r="B612" s="1" t="inlineStr">
        <is>
          <t>63511</t>
        </is>
      </c>
      <c r="C612" s="1" t="inlineStr">
        <is>
          <t>2025</t>
        </is>
      </c>
      <c r="D612" s="1" t="inlineStr">
        <is>
          <t>ACT</t>
        </is>
      </c>
      <c r="E612" s="1" t="inlineStr">
        <is>
          <t>2027BUD_V1</t>
        </is>
      </c>
      <c r="F612" s="1" t="inlineStr">
        <is>
          <t>12</t>
        </is>
      </c>
      <c r="G612" s="1" t="n">
        <v>11746</v>
      </c>
      <c r="H612" s="25">
        <f>_CALC_PNL!P612</f>
        <v/>
      </c>
      <c r="I612" s="25">
        <f>IF(_CALC_PNL!E612=1,H612-G612,"")</f>
        <v/>
      </c>
    </row>
    <row r="613">
      <c r="A613" s="1" t="inlineStr">
        <is>
          <t>TUNON_PAR</t>
        </is>
      </c>
      <c r="B613" s="1" t="inlineStr">
        <is>
          <t>63511</t>
        </is>
      </c>
      <c r="C613" s="1" t="inlineStr">
        <is>
          <t>2025</t>
        </is>
      </c>
      <c r="D613" s="1" t="inlineStr">
        <is>
          <t>ACT</t>
        </is>
      </c>
      <c r="E613" s="1" t="inlineStr">
        <is>
          <t>2027BUD_V1</t>
        </is>
      </c>
      <c r="F613" s="1" t="inlineStr">
        <is>
          <t>12</t>
        </is>
      </c>
      <c r="G613" s="1" t="n">
        <v>13591</v>
      </c>
      <c r="H613" s="25">
        <f>_CALC_PNL!P613</f>
        <v/>
      </c>
      <c r="I613" s="25">
        <f>IF(_CALC_PNL!E613=1,H613-G613,"")</f>
        <v/>
      </c>
    </row>
    <row r="614">
      <c r="A614" s="1" t="inlineStr">
        <is>
          <t>TUNON_LYO</t>
        </is>
      </c>
      <c r="B614" s="1" t="inlineStr">
        <is>
          <t>63511</t>
        </is>
      </c>
      <c r="C614" s="1" t="inlineStr">
        <is>
          <t>2025</t>
        </is>
      </c>
      <c r="D614" s="1" t="inlineStr">
        <is>
          <t>ACT</t>
        </is>
      </c>
      <c r="E614" s="1" t="inlineStr">
        <is>
          <t>2027BUD_V1</t>
        </is>
      </c>
      <c r="F614" s="1" t="inlineStr">
        <is>
          <t>12</t>
        </is>
      </c>
      <c r="G614" s="1" t="n">
        <v>9396</v>
      </c>
      <c r="H614" s="25">
        <f>_CALC_PNL!P614</f>
        <v/>
      </c>
      <c r="I614" s="25">
        <f>IF(_CALC_PNL!E614=1,H614-G614,"")</f>
        <v/>
      </c>
    </row>
    <row r="615">
      <c r="A615" s="1" t="inlineStr">
        <is>
          <t>MBWAY_PAR</t>
        </is>
      </c>
      <c r="B615" s="1" t="inlineStr">
        <is>
          <t>63511</t>
        </is>
      </c>
      <c r="C615" s="1" t="inlineStr">
        <is>
          <t>2026</t>
        </is>
      </c>
      <c r="D615" s="1" t="inlineStr">
        <is>
          <t>ACT</t>
        </is>
      </c>
      <c r="E615" s="1" t="inlineStr">
        <is>
          <t>2027BUD_V1</t>
        </is>
      </c>
      <c r="F615" s="1" t="inlineStr">
        <is>
          <t>12</t>
        </is>
      </c>
      <c r="G615" s="1" t="n">
        <v>35600</v>
      </c>
      <c r="H615" s="25">
        <f>_CALC_PNL!P615</f>
        <v/>
      </c>
      <c r="I615" s="25">
        <f>IF(_CALC_PNL!E615=1,H615-G615,"")</f>
        <v/>
      </c>
    </row>
    <row r="616">
      <c r="A616" s="1" t="inlineStr">
        <is>
          <t>MBWAY_LYO</t>
        </is>
      </c>
      <c r="B616" s="1" t="inlineStr">
        <is>
          <t>63511</t>
        </is>
      </c>
      <c r="C616" s="1" t="inlineStr">
        <is>
          <t>2026</t>
        </is>
      </c>
      <c r="D616" s="1" t="inlineStr">
        <is>
          <t>ACT</t>
        </is>
      </c>
      <c r="E616" s="1" t="inlineStr">
        <is>
          <t>2027BUD_V1</t>
        </is>
      </c>
      <c r="F616" s="1" t="inlineStr">
        <is>
          <t>12</t>
        </is>
      </c>
      <c r="G616" s="1" t="n">
        <v>21331</v>
      </c>
      <c r="H616" s="25">
        <f>_CALC_PNL!P616</f>
        <v/>
      </c>
      <c r="I616" s="25">
        <f>IF(_CALC_PNL!E616=1,H616-G616,"")</f>
        <v/>
      </c>
    </row>
    <row r="617">
      <c r="A617" s="1" t="inlineStr">
        <is>
          <t>MBWAY_NAN</t>
        </is>
      </c>
      <c r="B617" s="1" t="inlineStr">
        <is>
          <t>63511</t>
        </is>
      </c>
      <c r="C617" s="1" t="inlineStr">
        <is>
          <t>2026</t>
        </is>
      </c>
      <c r="D617" s="1" t="inlineStr">
        <is>
          <t>ACT</t>
        </is>
      </c>
      <c r="E617" s="1" t="inlineStr">
        <is>
          <t>2027BUD_V1</t>
        </is>
      </c>
      <c r="F617" s="1" t="inlineStr">
        <is>
          <t>12</t>
        </is>
      </c>
      <c r="G617" s="1" t="n">
        <v>17580</v>
      </c>
      <c r="H617" s="25">
        <f>_CALC_PNL!P617</f>
        <v/>
      </c>
      <c r="I617" s="25">
        <f>IF(_CALC_PNL!E617=1,H617-G617,"")</f>
        <v/>
      </c>
    </row>
    <row r="618">
      <c r="A618" s="1" t="inlineStr">
        <is>
          <t>MBWAY_BOR</t>
        </is>
      </c>
      <c r="B618" s="1" t="inlineStr">
        <is>
          <t>63511</t>
        </is>
      </c>
      <c r="C618" s="1" t="inlineStr">
        <is>
          <t>2026</t>
        </is>
      </c>
      <c r="D618" s="1" t="inlineStr">
        <is>
          <t>ACT</t>
        </is>
      </c>
      <c r="E618" s="1" t="inlineStr">
        <is>
          <t>2027BUD_V1</t>
        </is>
      </c>
      <c r="F618" s="1" t="inlineStr">
        <is>
          <t>12</t>
        </is>
      </c>
      <c r="G618" s="1" t="n">
        <v>15383</v>
      </c>
      <c r="H618" s="25">
        <f>_CALC_PNL!P618</f>
        <v/>
      </c>
      <c r="I618" s="25">
        <f>IF(_CALC_PNL!E618=1,H618-G618,"")</f>
        <v/>
      </c>
    </row>
    <row r="619">
      <c r="A619" s="1" t="inlineStr">
        <is>
          <t>ISCOM_PAR</t>
        </is>
      </c>
      <c r="B619" s="1" t="inlineStr">
        <is>
          <t>63511</t>
        </is>
      </c>
      <c r="C619" s="1" t="inlineStr">
        <is>
          <t>2026</t>
        </is>
      </c>
      <c r="D619" s="1" t="inlineStr">
        <is>
          <t>ACT</t>
        </is>
      </c>
      <c r="E619" s="1" t="inlineStr">
        <is>
          <t>2027BUD_V1</t>
        </is>
      </c>
      <c r="F619" s="1" t="inlineStr">
        <is>
          <t>12</t>
        </is>
      </c>
      <c r="G619" s="1" t="n">
        <v>35600</v>
      </c>
      <c r="H619" s="25">
        <f>_CALC_PNL!P619</f>
        <v/>
      </c>
      <c r="I619" s="25">
        <f>IF(_CALC_PNL!E619=1,H619-G619,"")</f>
        <v/>
      </c>
    </row>
    <row r="620">
      <c r="A620" s="1" t="inlineStr">
        <is>
          <t>ISCOM_LIL</t>
        </is>
      </c>
      <c r="B620" s="1" t="inlineStr">
        <is>
          <t>63511</t>
        </is>
      </c>
      <c r="C620" s="1" t="inlineStr">
        <is>
          <t>2026</t>
        </is>
      </c>
      <c r="D620" s="1" t="inlineStr">
        <is>
          <t>ACT</t>
        </is>
      </c>
      <c r="E620" s="1" t="inlineStr">
        <is>
          <t>2027BUD_V1</t>
        </is>
      </c>
      <c r="F620" s="1" t="inlineStr">
        <is>
          <t>12</t>
        </is>
      </c>
      <c r="G620" s="1" t="n">
        <v>13478</v>
      </c>
      <c r="H620" s="25">
        <f>_CALC_PNL!P620</f>
        <v/>
      </c>
      <c r="I620" s="25">
        <f>IF(_CALC_PNL!E620=1,H620-G620,"")</f>
        <v/>
      </c>
    </row>
    <row r="621">
      <c r="A621" s="1" t="inlineStr">
        <is>
          <t>ISCOM_TLS</t>
        </is>
      </c>
      <c r="B621" s="1" t="inlineStr">
        <is>
          <t>63511</t>
        </is>
      </c>
      <c r="C621" s="1" t="inlineStr">
        <is>
          <t>2026</t>
        </is>
      </c>
      <c r="D621" s="1" t="inlineStr">
        <is>
          <t>ACT</t>
        </is>
      </c>
      <c r="E621" s="1" t="inlineStr">
        <is>
          <t>2027BUD_V1</t>
        </is>
      </c>
      <c r="F621" s="1" t="inlineStr">
        <is>
          <t>12</t>
        </is>
      </c>
      <c r="G621" s="1" t="n">
        <v>13185</v>
      </c>
      <c r="H621" s="25">
        <f>_CALC_PNL!P621</f>
        <v/>
      </c>
      <c r="I621" s="25">
        <f>IF(_CALC_PNL!E621=1,H621-G621,"")</f>
        <v/>
      </c>
    </row>
    <row r="622">
      <c r="A622" s="1" t="inlineStr">
        <is>
          <t>IPAC_NAN</t>
        </is>
      </c>
      <c r="B622" s="1" t="inlineStr">
        <is>
          <t>63511</t>
        </is>
      </c>
      <c r="C622" s="1" t="inlineStr">
        <is>
          <t>2026</t>
        </is>
      </c>
      <c r="D622" s="1" t="inlineStr">
        <is>
          <t>ACT</t>
        </is>
      </c>
      <c r="E622" s="1" t="inlineStr">
        <is>
          <t>2027BUD_V1</t>
        </is>
      </c>
      <c r="F622" s="1" t="inlineStr">
        <is>
          <t>12</t>
        </is>
      </c>
      <c r="G622" s="1" t="n">
        <v>8790</v>
      </c>
      <c r="H622" s="25">
        <f>_CALC_PNL!P622</f>
        <v/>
      </c>
      <c r="I622" s="25">
        <f>IF(_CALC_PNL!E622=1,H622-G622,"")</f>
        <v/>
      </c>
    </row>
    <row r="623">
      <c r="A623" s="1" t="inlineStr">
        <is>
          <t>IPAC_REN</t>
        </is>
      </c>
      <c r="B623" s="1" t="inlineStr">
        <is>
          <t>63511</t>
        </is>
      </c>
      <c r="C623" s="1" t="inlineStr">
        <is>
          <t>2026</t>
        </is>
      </c>
      <c r="D623" s="1" t="inlineStr">
        <is>
          <t>ACT</t>
        </is>
      </c>
      <c r="E623" s="1" t="inlineStr">
        <is>
          <t>2027BUD_V1</t>
        </is>
      </c>
      <c r="F623" s="1" t="inlineStr">
        <is>
          <t>12</t>
        </is>
      </c>
      <c r="G623" s="1" t="n">
        <v>7735</v>
      </c>
      <c r="H623" s="25">
        <f>_CALC_PNL!P623</f>
        <v/>
      </c>
      <c r="I623" s="25">
        <f>IF(_CALC_PNL!E623=1,H623-G623,"")</f>
        <v/>
      </c>
    </row>
    <row r="624">
      <c r="A624" s="1" t="inlineStr">
        <is>
          <t>IPAC_MTP</t>
        </is>
      </c>
      <c r="B624" s="1" t="inlineStr">
        <is>
          <t>63511</t>
        </is>
      </c>
      <c r="C624" s="1" t="inlineStr">
        <is>
          <t>2026</t>
        </is>
      </c>
      <c r="D624" s="1" t="inlineStr">
        <is>
          <t>ACT</t>
        </is>
      </c>
      <c r="E624" s="1" t="inlineStr">
        <is>
          <t>2027BUD_V1</t>
        </is>
      </c>
      <c r="F624" s="1" t="inlineStr">
        <is>
          <t>12</t>
        </is>
      </c>
      <c r="G624" s="1" t="n">
        <v>7735</v>
      </c>
      <c r="H624" s="25">
        <f>_CALC_PNL!P624</f>
        <v/>
      </c>
      <c r="I624" s="25">
        <f>IF(_CALC_PNL!E624=1,H624-G624,"")</f>
        <v/>
      </c>
    </row>
    <row r="625">
      <c r="A625" s="1" t="inlineStr">
        <is>
          <t>PIGIER_LYO</t>
        </is>
      </c>
      <c r="B625" s="1" t="inlineStr">
        <is>
          <t>63511</t>
        </is>
      </c>
      <c r="C625" s="1" t="inlineStr">
        <is>
          <t>2026</t>
        </is>
      </c>
      <c r="D625" s="1" t="inlineStr">
        <is>
          <t>ACT</t>
        </is>
      </c>
      <c r="E625" s="1" t="inlineStr">
        <is>
          <t>2027BUD_V1</t>
        </is>
      </c>
      <c r="F625" s="1" t="inlineStr">
        <is>
          <t>12</t>
        </is>
      </c>
      <c r="G625" s="1" t="n">
        <v>13127</v>
      </c>
      <c r="H625" s="25">
        <f>_CALC_PNL!P625</f>
        <v/>
      </c>
      <c r="I625" s="25">
        <f>IF(_CALC_PNL!E625=1,H625-G625,"")</f>
        <v/>
      </c>
    </row>
    <row r="626">
      <c r="A626" s="1" t="inlineStr">
        <is>
          <t>PIGIER_BOR</t>
        </is>
      </c>
      <c r="B626" s="1" t="inlineStr">
        <is>
          <t>63511</t>
        </is>
      </c>
      <c r="C626" s="1" t="inlineStr">
        <is>
          <t>2026</t>
        </is>
      </c>
      <c r="D626" s="1" t="inlineStr">
        <is>
          <t>ACT</t>
        </is>
      </c>
      <c r="E626" s="1" t="inlineStr">
        <is>
          <t>2027BUD_V1</t>
        </is>
      </c>
      <c r="F626" s="1" t="inlineStr">
        <is>
          <t>12</t>
        </is>
      </c>
      <c r="G626" s="1" t="n">
        <v>12306</v>
      </c>
      <c r="H626" s="25">
        <f>_CALC_PNL!P626</f>
        <v/>
      </c>
      <c r="I626" s="25">
        <f>IF(_CALC_PNL!E626=1,H626-G626,"")</f>
        <v/>
      </c>
    </row>
    <row r="627">
      <c r="A627" s="1" t="inlineStr">
        <is>
          <t>TUNON_PAR</t>
        </is>
      </c>
      <c r="B627" s="1" t="inlineStr">
        <is>
          <t>63511</t>
        </is>
      </c>
      <c r="C627" s="1" t="inlineStr">
        <is>
          <t>2026</t>
        </is>
      </c>
      <c r="D627" s="1" t="inlineStr">
        <is>
          <t>ACT</t>
        </is>
      </c>
      <c r="E627" s="1" t="inlineStr">
        <is>
          <t>2027BUD_V1</t>
        </is>
      </c>
      <c r="F627" s="1" t="inlineStr">
        <is>
          <t>12</t>
        </is>
      </c>
      <c r="G627" s="1" t="n">
        <v>14240</v>
      </c>
      <c r="H627" s="25">
        <f>_CALC_PNL!P627</f>
        <v/>
      </c>
      <c r="I627" s="25">
        <f>IF(_CALC_PNL!E627=1,H627-G627,"")</f>
        <v/>
      </c>
    </row>
    <row r="628">
      <c r="A628" s="1" t="inlineStr">
        <is>
          <t>TUNON_LYO</t>
        </is>
      </c>
      <c r="B628" s="1" t="inlineStr">
        <is>
          <t>63511</t>
        </is>
      </c>
      <c r="C628" s="1" t="inlineStr">
        <is>
          <t>2026</t>
        </is>
      </c>
      <c r="D628" s="1" t="inlineStr">
        <is>
          <t>ACT</t>
        </is>
      </c>
      <c r="E628" s="1" t="inlineStr">
        <is>
          <t>2027BUD_V1</t>
        </is>
      </c>
      <c r="F628" s="1" t="inlineStr">
        <is>
          <t>12</t>
        </is>
      </c>
      <c r="G628" s="1" t="n">
        <v>9845</v>
      </c>
      <c r="H628" s="25">
        <f>_CALC_PNL!P628</f>
        <v/>
      </c>
      <c r="I628" s="25">
        <f>IF(_CALC_PNL!E628=1,H628-G628,"")</f>
        <v/>
      </c>
    </row>
    <row r="629">
      <c r="A629" s="1" t="inlineStr">
        <is>
          <t>GRP</t>
        </is>
      </c>
      <c r="B629" s="1" t="inlineStr">
        <is>
          <t>6333</t>
        </is>
      </c>
      <c r="C629" s="1" t="inlineStr">
        <is>
          <t>2024</t>
        </is>
      </c>
      <c r="D629" s="1" t="inlineStr">
        <is>
          <t>ACT</t>
        </is>
      </c>
      <c r="E629" s="1" t="inlineStr">
        <is>
          <t>2027BUD_V1</t>
        </is>
      </c>
      <c r="F629" s="1" t="inlineStr">
        <is>
          <t>12</t>
        </is>
      </c>
      <c r="G629" s="1" t="n">
        <v>103097</v>
      </c>
      <c r="H629" s="25">
        <f>_CALC_PNL!P629</f>
        <v/>
      </c>
      <c r="I629" s="25">
        <f>IF(_CALC_PNL!E629=1,H629-G629,"")</f>
        <v/>
      </c>
    </row>
    <row r="630">
      <c r="A630" s="1" t="inlineStr">
        <is>
          <t>GRP</t>
        </is>
      </c>
      <c r="B630" s="1" t="inlineStr">
        <is>
          <t>6333</t>
        </is>
      </c>
      <c r="C630" s="1" t="inlineStr">
        <is>
          <t>2025</t>
        </is>
      </c>
      <c r="D630" s="1" t="inlineStr">
        <is>
          <t>ACT</t>
        </is>
      </c>
      <c r="E630" s="1" t="inlineStr">
        <is>
          <t>2027BUD_V1</t>
        </is>
      </c>
      <c r="F630" s="1" t="inlineStr">
        <is>
          <t>12</t>
        </is>
      </c>
      <c r="G630" s="1" t="n">
        <v>107822</v>
      </c>
      <c r="H630" s="25">
        <f>_CALC_PNL!P630</f>
        <v/>
      </c>
      <c r="I630" s="25">
        <f>IF(_CALC_PNL!E630=1,H630-G630,"")</f>
        <v/>
      </c>
    </row>
    <row r="631">
      <c r="A631" s="1" t="inlineStr">
        <is>
          <t>GRP</t>
        </is>
      </c>
      <c r="B631" s="1" t="inlineStr">
        <is>
          <t>6333</t>
        </is>
      </c>
      <c r="C631" s="1" t="inlineStr">
        <is>
          <t>2026</t>
        </is>
      </c>
      <c r="D631" s="1" t="inlineStr">
        <is>
          <t>ACT</t>
        </is>
      </c>
      <c r="E631" s="1" t="inlineStr">
        <is>
          <t>2027BUD_V1</t>
        </is>
      </c>
      <c r="F631" s="1" t="inlineStr">
        <is>
          <t>12</t>
        </is>
      </c>
      <c r="G631" s="1" t="n">
        <v>112968</v>
      </c>
      <c r="H631" s="25">
        <f>_CALC_PNL!P631</f>
        <v/>
      </c>
      <c r="I631" s="25">
        <f>IF(_CALC_PNL!E631=1,H631-G631,"")</f>
        <v/>
      </c>
    </row>
    <row r="632">
      <c r="A632" s="1" t="inlineStr">
        <is>
          <t>MBWAY_PAR</t>
        </is>
      </c>
      <c r="B632" s="1" t="inlineStr">
        <is>
          <t>6811</t>
        </is>
      </c>
      <c r="C632" s="1" t="inlineStr">
        <is>
          <t>2024</t>
        </is>
      </c>
      <c r="D632" s="1" t="inlineStr">
        <is>
          <t>ACT</t>
        </is>
      </c>
      <c r="E632" s="1" t="inlineStr">
        <is>
          <t>2027BUD_V1</t>
        </is>
      </c>
      <c r="F632" s="1" t="inlineStr">
        <is>
          <t>12</t>
        </is>
      </c>
      <c r="G632" s="1" t="n">
        <v>137849</v>
      </c>
      <c r="H632" s="25">
        <f>_CALC_PNL!P632</f>
        <v/>
      </c>
      <c r="I632" s="25">
        <f>IF(_CALC_PNL!E632=1,H632-G632,"")</f>
        <v/>
      </c>
    </row>
    <row r="633">
      <c r="A633" s="1" t="inlineStr">
        <is>
          <t>MBWAY_LYO</t>
        </is>
      </c>
      <c r="B633" s="1" t="inlineStr">
        <is>
          <t>6811</t>
        </is>
      </c>
      <c r="C633" s="1" t="inlineStr">
        <is>
          <t>2024</t>
        </is>
      </c>
      <c r="D633" s="1" t="inlineStr">
        <is>
          <t>ACT</t>
        </is>
      </c>
      <c r="E633" s="1" t="inlineStr">
        <is>
          <t>2027BUD_V1</t>
        </is>
      </c>
      <c r="F633" s="1" t="inlineStr">
        <is>
          <t>12</t>
        </is>
      </c>
      <c r="G633" s="1" t="n">
        <v>119469</v>
      </c>
      <c r="H633" s="25">
        <f>_CALC_PNL!P633</f>
        <v/>
      </c>
      <c r="I633" s="25">
        <f>IF(_CALC_PNL!E633=1,H633-G633,"")</f>
        <v/>
      </c>
    </row>
    <row r="634">
      <c r="A634" s="1" t="inlineStr">
        <is>
          <t>MBWAY_NAN</t>
        </is>
      </c>
      <c r="B634" s="1" t="inlineStr">
        <is>
          <t>6811</t>
        </is>
      </c>
      <c r="C634" s="1" t="inlineStr">
        <is>
          <t>2024</t>
        </is>
      </c>
      <c r="D634" s="1" t="inlineStr">
        <is>
          <t>ACT</t>
        </is>
      </c>
      <c r="E634" s="1" t="inlineStr">
        <is>
          <t>2027BUD_V1</t>
        </is>
      </c>
      <c r="F634" s="1" t="inlineStr">
        <is>
          <t>12</t>
        </is>
      </c>
      <c r="G634" s="1" t="n">
        <v>110279</v>
      </c>
      <c r="H634" s="25">
        <f>_CALC_PNL!P634</f>
        <v/>
      </c>
      <c r="I634" s="25">
        <f>IF(_CALC_PNL!E634=1,H634-G634,"")</f>
        <v/>
      </c>
    </row>
    <row r="635">
      <c r="A635" s="1" t="inlineStr">
        <is>
          <t>MBWAY_BOR</t>
        </is>
      </c>
      <c r="B635" s="1" t="inlineStr">
        <is>
          <t>6811</t>
        </is>
      </c>
      <c r="C635" s="1" t="inlineStr">
        <is>
          <t>2024</t>
        </is>
      </c>
      <c r="D635" s="1" t="inlineStr">
        <is>
          <t>ACT</t>
        </is>
      </c>
      <c r="E635" s="1" t="inlineStr">
        <is>
          <t>2027BUD_V1</t>
        </is>
      </c>
      <c r="F635" s="1" t="inlineStr">
        <is>
          <t>12</t>
        </is>
      </c>
      <c r="G635" s="1" t="n">
        <v>91900</v>
      </c>
      <c r="H635" s="25">
        <f>_CALC_PNL!P635</f>
        <v/>
      </c>
      <c r="I635" s="25">
        <f>IF(_CALC_PNL!E635=1,H635-G635,"")</f>
        <v/>
      </c>
    </row>
    <row r="636">
      <c r="A636" s="1" t="inlineStr">
        <is>
          <t>ISCOM_PAR</t>
        </is>
      </c>
      <c r="B636" s="1" t="inlineStr">
        <is>
          <t>6811</t>
        </is>
      </c>
      <c r="C636" s="1" t="inlineStr">
        <is>
          <t>2024</t>
        </is>
      </c>
      <c r="D636" s="1" t="inlineStr">
        <is>
          <t>ACT</t>
        </is>
      </c>
      <c r="E636" s="1" t="inlineStr">
        <is>
          <t>2027BUD_V1</t>
        </is>
      </c>
      <c r="F636" s="1" t="inlineStr">
        <is>
          <t>12</t>
        </is>
      </c>
      <c r="G636" s="1" t="n">
        <v>137849</v>
      </c>
      <c r="H636" s="25">
        <f>_CALC_PNL!P636</f>
        <v/>
      </c>
      <c r="I636" s="25">
        <f>IF(_CALC_PNL!E636=1,H636-G636,"")</f>
        <v/>
      </c>
    </row>
    <row r="637">
      <c r="A637" s="1" t="inlineStr">
        <is>
          <t>ISCOM_LIL</t>
        </is>
      </c>
      <c r="B637" s="1" t="inlineStr">
        <is>
          <t>6811</t>
        </is>
      </c>
      <c r="C637" s="1" t="inlineStr">
        <is>
          <t>2024</t>
        </is>
      </c>
      <c r="D637" s="1" t="inlineStr">
        <is>
          <t>ACT</t>
        </is>
      </c>
      <c r="E637" s="1" t="inlineStr">
        <is>
          <t>2027BUD_V1</t>
        </is>
      </c>
      <c r="F637" s="1" t="inlineStr">
        <is>
          <t>12</t>
        </is>
      </c>
      <c r="G637" s="1" t="n">
        <v>91900</v>
      </c>
      <c r="H637" s="25">
        <f>_CALC_PNL!P637</f>
        <v/>
      </c>
      <c r="I637" s="25">
        <f>IF(_CALC_PNL!E637=1,H637-G637,"")</f>
        <v/>
      </c>
    </row>
    <row r="638">
      <c r="A638" s="1" t="inlineStr">
        <is>
          <t>ISCOM_TLS</t>
        </is>
      </c>
      <c r="B638" s="1" t="inlineStr">
        <is>
          <t>6811</t>
        </is>
      </c>
      <c r="C638" s="1" t="inlineStr">
        <is>
          <t>2024</t>
        </is>
      </c>
      <c r="D638" s="1" t="inlineStr">
        <is>
          <t>ACT</t>
        </is>
      </c>
      <c r="E638" s="1" t="inlineStr">
        <is>
          <t>2027BUD_V1</t>
        </is>
      </c>
      <c r="F638" s="1" t="inlineStr">
        <is>
          <t>12</t>
        </is>
      </c>
      <c r="G638" s="1" t="n">
        <v>91900</v>
      </c>
      <c r="H638" s="25">
        <f>_CALC_PNL!P638</f>
        <v/>
      </c>
      <c r="I638" s="25">
        <f>IF(_CALC_PNL!E638=1,H638-G638,"")</f>
        <v/>
      </c>
    </row>
    <row r="639">
      <c r="A639" s="1" t="inlineStr">
        <is>
          <t>IPAC_NAN</t>
        </is>
      </c>
      <c r="B639" s="1" t="inlineStr">
        <is>
          <t>6811</t>
        </is>
      </c>
      <c r="C639" s="1" t="inlineStr">
        <is>
          <t>2024</t>
        </is>
      </c>
      <c r="D639" s="1" t="inlineStr">
        <is>
          <t>ACT</t>
        </is>
      </c>
      <c r="E639" s="1" t="inlineStr">
        <is>
          <t>2027BUD_V1</t>
        </is>
      </c>
      <c r="F639" s="1" t="inlineStr">
        <is>
          <t>12</t>
        </is>
      </c>
      <c r="G639" s="1" t="n">
        <v>55140</v>
      </c>
      <c r="H639" s="25">
        <f>_CALC_PNL!P639</f>
        <v/>
      </c>
      <c r="I639" s="25">
        <f>IF(_CALC_PNL!E639=1,H639-G639,"")</f>
        <v/>
      </c>
    </row>
    <row r="640">
      <c r="A640" s="1" t="inlineStr">
        <is>
          <t>IPAC_REN</t>
        </is>
      </c>
      <c r="B640" s="1" t="inlineStr">
        <is>
          <t>6811</t>
        </is>
      </c>
      <c r="C640" s="1" t="inlineStr">
        <is>
          <t>2024</t>
        </is>
      </c>
      <c r="D640" s="1" t="inlineStr">
        <is>
          <t>ACT</t>
        </is>
      </c>
      <c r="E640" s="1" t="inlineStr">
        <is>
          <t>2027BUD_V1</t>
        </is>
      </c>
      <c r="F640" s="1" t="inlineStr">
        <is>
          <t>12</t>
        </is>
      </c>
      <c r="G640" s="1" t="n">
        <v>55140</v>
      </c>
      <c r="H640" s="25">
        <f>_CALC_PNL!P640</f>
        <v/>
      </c>
      <c r="I640" s="25">
        <f>IF(_CALC_PNL!E640=1,H640-G640,"")</f>
        <v/>
      </c>
    </row>
    <row r="641">
      <c r="A641" s="1" t="inlineStr">
        <is>
          <t>IPAC_MTP</t>
        </is>
      </c>
      <c r="B641" s="1" t="inlineStr">
        <is>
          <t>6811</t>
        </is>
      </c>
      <c r="C641" s="1" t="inlineStr">
        <is>
          <t>2024</t>
        </is>
      </c>
      <c r="D641" s="1" t="inlineStr">
        <is>
          <t>ACT</t>
        </is>
      </c>
      <c r="E641" s="1" t="inlineStr">
        <is>
          <t>2027BUD_V1</t>
        </is>
      </c>
      <c r="F641" s="1" t="inlineStr">
        <is>
          <t>12</t>
        </is>
      </c>
      <c r="G641" s="1" t="n">
        <v>55140</v>
      </c>
      <c r="H641" s="25">
        <f>_CALC_PNL!P641</f>
        <v/>
      </c>
      <c r="I641" s="25">
        <f>IF(_CALC_PNL!E641=1,H641-G641,"")</f>
        <v/>
      </c>
    </row>
    <row r="642">
      <c r="A642" s="1" t="inlineStr">
        <is>
          <t>PIGIER_LYO</t>
        </is>
      </c>
      <c r="B642" s="1" t="inlineStr">
        <is>
          <t>6811</t>
        </is>
      </c>
      <c r="C642" s="1" t="inlineStr">
        <is>
          <t>2024</t>
        </is>
      </c>
      <c r="D642" s="1" t="inlineStr">
        <is>
          <t>ACT</t>
        </is>
      </c>
      <c r="E642" s="1" t="inlineStr">
        <is>
          <t>2027BUD_V1</t>
        </is>
      </c>
      <c r="F642" s="1" t="inlineStr">
        <is>
          <t>12</t>
        </is>
      </c>
      <c r="G642" s="1" t="n">
        <v>73520</v>
      </c>
      <c r="H642" s="25">
        <f>_CALC_PNL!P642</f>
        <v/>
      </c>
      <c r="I642" s="25">
        <f>IF(_CALC_PNL!E642=1,H642-G642,"")</f>
        <v/>
      </c>
    </row>
    <row r="643">
      <c r="A643" s="1" t="inlineStr">
        <is>
          <t>PIGIER_BOR</t>
        </is>
      </c>
      <c r="B643" s="1" t="inlineStr">
        <is>
          <t>6811</t>
        </is>
      </c>
      <c r="C643" s="1" t="inlineStr">
        <is>
          <t>2024</t>
        </is>
      </c>
      <c r="D643" s="1" t="inlineStr">
        <is>
          <t>ACT</t>
        </is>
      </c>
      <c r="E643" s="1" t="inlineStr">
        <is>
          <t>2027BUD_V1</t>
        </is>
      </c>
      <c r="F643" s="1" t="inlineStr">
        <is>
          <t>12</t>
        </is>
      </c>
      <c r="G643" s="1" t="n">
        <v>73520</v>
      </c>
      <c r="H643" s="25">
        <f>_CALC_PNL!P643</f>
        <v/>
      </c>
      <c r="I643" s="25">
        <f>IF(_CALC_PNL!E643=1,H643-G643,"")</f>
        <v/>
      </c>
    </row>
    <row r="644">
      <c r="A644" s="1" t="inlineStr">
        <is>
          <t>TUNON_PAR</t>
        </is>
      </c>
      <c r="B644" s="1" t="inlineStr">
        <is>
          <t>6811</t>
        </is>
      </c>
      <c r="C644" s="1" t="inlineStr">
        <is>
          <t>2024</t>
        </is>
      </c>
      <c r="D644" s="1" t="inlineStr">
        <is>
          <t>ACT</t>
        </is>
      </c>
      <c r="E644" s="1" t="inlineStr">
        <is>
          <t>2027BUD_V1</t>
        </is>
      </c>
      <c r="F644" s="1" t="inlineStr">
        <is>
          <t>12</t>
        </is>
      </c>
      <c r="G644" s="1" t="n">
        <v>55140</v>
      </c>
      <c r="H644" s="25">
        <f>_CALC_PNL!P644</f>
        <v/>
      </c>
      <c r="I644" s="25">
        <f>IF(_CALC_PNL!E644=1,H644-G644,"")</f>
        <v/>
      </c>
    </row>
    <row r="645">
      <c r="A645" s="1" t="inlineStr">
        <is>
          <t>TUNON_LYO</t>
        </is>
      </c>
      <c r="B645" s="1" t="inlineStr">
        <is>
          <t>6811</t>
        </is>
      </c>
      <c r="C645" s="1" t="inlineStr">
        <is>
          <t>2024</t>
        </is>
      </c>
      <c r="D645" s="1" t="inlineStr">
        <is>
          <t>ACT</t>
        </is>
      </c>
      <c r="E645" s="1" t="inlineStr">
        <is>
          <t>2027BUD_V1</t>
        </is>
      </c>
      <c r="F645" s="1" t="inlineStr">
        <is>
          <t>12</t>
        </is>
      </c>
      <c r="G645" s="1" t="n">
        <v>55140</v>
      </c>
      <c r="H645" s="25">
        <f>_CALC_PNL!P645</f>
        <v/>
      </c>
      <c r="I645" s="25">
        <f>IF(_CALC_PNL!E645=1,H645-G645,"")</f>
        <v/>
      </c>
    </row>
    <row r="646">
      <c r="A646" s="1" t="inlineStr">
        <is>
          <t>MBWAY_PAR</t>
        </is>
      </c>
      <c r="B646" s="1" t="inlineStr">
        <is>
          <t>6811</t>
        </is>
      </c>
      <c r="C646" s="1" t="inlineStr">
        <is>
          <t>2025</t>
        </is>
      </c>
      <c r="D646" s="1" t="inlineStr">
        <is>
          <t>ACT</t>
        </is>
      </c>
      <c r="E646" s="1" t="inlineStr">
        <is>
          <t>2027BUD_V1</t>
        </is>
      </c>
      <c r="F646" s="1" t="inlineStr">
        <is>
          <t>12</t>
        </is>
      </c>
      <c r="G646" s="1" t="n">
        <v>146120</v>
      </c>
      <c r="H646" s="25">
        <f>_CALC_PNL!P646</f>
        <v/>
      </c>
      <c r="I646" s="25">
        <f>IF(_CALC_PNL!E646=1,H646-G646,"")</f>
        <v/>
      </c>
    </row>
    <row r="647">
      <c r="A647" s="1" t="inlineStr">
        <is>
          <t>MBWAY_LYO</t>
        </is>
      </c>
      <c r="B647" s="1" t="inlineStr">
        <is>
          <t>6811</t>
        </is>
      </c>
      <c r="C647" s="1" t="inlineStr">
        <is>
          <t>2025</t>
        </is>
      </c>
      <c r="D647" s="1" t="inlineStr">
        <is>
          <t>ACT</t>
        </is>
      </c>
      <c r="E647" s="1" t="inlineStr">
        <is>
          <t>2027BUD_V1</t>
        </is>
      </c>
      <c r="F647" s="1" t="inlineStr">
        <is>
          <t>12</t>
        </is>
      </c>
      <c r="G647" s="1" t="n">
        <v>126638</v>
      </c>
      <c r="H647" s="25">
        <f>_CALC_PNL!P647</f>
        <v/>
      </c>
      <c r="I647" s="25">
        <f>IF(_CALC_PNL!E647=1,H647-G647,"")</f>
        <v/>
      </c>
    </row>
    <row r="648">
      <c r="A648" s="1" t="inlineStr">
        <is>
          <t>MBWAY_NAN</t>
        </is>
      </c>
      <c r="B648" s="1" t="inlineStr">
        <is>
          <t>6811</t>
        </is>
      </c>
      <c r="C648" s="1" t="inlineStr">
        <is>
          <t>2025</t>
        </is>
      </c>
      <c r="D648" s="1" t="inlineStr">
        <is>
          <t>ACT</t>
        </is>
      </c>
      <c r="E648" s="1" t="inlineStr">
        <is>
          <t>2027BUD_V1</t>
        </is>
      </c>
      <c r="F648" s="1" t="inlineStr">
        <is>
          <t>12</t>
        </is>
      </c>
      <c r="G648" s="1" t="n">
        <v>116896</v>
      </c>
      <c r="H648" s="25">
        <f>_CALC_PNL!P648</f>
        <v/>
      </c>
      <c r="I648" s="25">
        <f>IF(_CALC_PNL!E648=1,H648-G648,"")</f>
        <v/>
      </c>
    </row>
    <row r="649">
      <c r="A649" s="1" t="inlineStr">
        <is>
          <t>MBWAY_BOR</t>
        </is>
      </c>
      <c r="B649" s="1" t="inlineStr">
        <is>
          <t>6811</t>
        </is>
      </c>
      <c r="C649" s="1" t="inlineStr">
        <is>
          <t>2025</t>
        </is>
      </c>
      <c r="D649" s="1" t="inlineStr">
        <is>
          <t>ACT</t>
        </is>
      </c>
      <c r="E649" s="1" t="inlineStr">
        <is>
          <t>2027BUD_V1</t>
        </is>
      </c>
      <c r="F649" s="1" t="inlineStr">
        <is>
          <t>12</t>
        </is>
      </c>
      <c r="G649" s="1" t="n">
        <v>97413</v>
      </c>
      <c r="H649" s="25">
        <f>_CALC_PNL!P649</f>
        <v/>
      </c>
      <c r="I649" s="25">
        <f>IF(_CALC_PNL!E649=1,H649-G649,"")</f>
        <v/>
      </c>
    </row>
    <row r="650">
      <c r="A650" s="1" t="inlineStr">
        <is>
          <t>ISCOM_PAR</t>
        </is>
      </c>
      <c r="B650" s="1" t="inlineStr">
        <is>
          <t>6811</t>
        </is>
      </c>
      <c r="C650" s="1" t="inlineStr">
        <is>
          <t>2025</t>
        </is>
      </c>
      <c r="D650" s="1" t="inlineStr">
        <is>
          <t>ACT</t>
        </is>
      </c>
      <c r="E650" s="1" t="inlineStr">
        <is>
          <t>2027BUD_V1</t>
        </is>
      </c>
      <c r="F650" s="1" t="inlineStr">
        <is>
          <t>12</t>
        </is>
      </c>
      <c r="G650" s="1" t="n">
        <v>146120</v>
      </c>
      <c r="H650" s="25">
        <f>_CALC_PNL!P650</f>
        <v/>
      </c>
      <c r="I650" s="25">
        <f>IF(_CALC_PNL!E650=1,H650-G650,"")</f>
        <v/>
      </c>
    </row>
    <row r="651">
      <c r="A651" s="1" t="inlineStr">
        <is>
          <t>ISCOM_LIL</t>
        </is>
      </c>
      <c r="B651" s="1" t="inlineStr">
        <is>
          <t>6811</t>
        </is>
      </c>
      <c r="C651" s="1" t="inlineStr">
        <is>
          <t>2025</t>
        </is>
      </c>
      <c r="D651" s="1" t="inlineStr">
        <is>
          <t>ACT</t>
        </is>
      </c>
      <c r="E651" s="1" t="inlineStr">
        <is>
          <t>2027BUD_V1</t>
        </is>
      </c>
      <c r="F651" s="1" t="inlineStr">
        <is>
          <t>12</t>
        </is>
      </c>
      <c r="G651" s="1" t="n">
        <v>97413</v>
      </c>
      <c r="H651" s="25">
        <f>_CALC_PNL!P651</f>
        <v/>
      </c>
      <c r="I651" s="25">
        <f>IF(_CALC_PNL!E651=1,H651-G651,"")</f>
        <v/>
      </c>
    </row>
    <row r="652">
      <c r="A652" s="1" t="inlineStr">
        <is>
          <t>ISCOM_TLS</t>
        </is>
      </c>
      <c r="B652" s="1" t="inlineStr">
        <is>
          <t>6811</t>
        </is>
      </c>
      <c r="C652" s="1" t="inlineStr">
        <is>
          <t>2025</t>
        </is>
      </c>
      <c r="D652" s="1" t="inlineStr">
        <is>
          <t>ACT</t>
        </is>
      </c>
      <c r="E652" s="1" t="inlineStr">
        <is>
          <t>2027BUD_V1</t>
        </is>
      </c>
      <c r="F652" s="1" t="inlineStr">
        <is>
          <t>12</t>
        </is>
      </c>
      <c r="G652" s="1" t="n">
        <v>97413</v>
      </c>
      <c r="H652" s="25">
        <f>_CALC_PNL!P652</f>
        <v/>
      </c>
      <c r="I652" s="25">
        <f>IF(_CALC_PNL!E652=1,H652-G652,"")</f>
        <v/>
      </c>
    </row>
    <row r="653">
      <c r="A653" s="1" t="inlineStr">
        <is>
          <t>IPAC_NAN</t>
        </is>
      </c>
      <c r="B653" s="1" t="inlineStr">
        <is>
          <t>6811</t>
        </is>
      </c>
      <c r="C653" s="1" t="inlineStr">
        <is>
          <t>2025</t>
        </is>
      </c>
      <c r="D653" s="1" t="inlineStr">
        <is>
          <t>ACT</t>
        </is>
      </c>
      <c r="E653" s="1" t="inlineStr">
        <is>
          <t>2027BUD_V1</t>
        </is>
      </c>
      <c r="F653" s="1" t="inlineStr">
        <is>
          <t>12</t>
        </is>
      </c>
      <c r="G653" s="1" t="n">
        <v>58448</v>
      </c>
      <c r="H653" s="25">
        <f>_CALC_PNL!P653</f>
        <v/>
      </c>
      <c r="I653" s="25">
        <f>IF(_CALC_PNL!E653=1,H653-G653,"")</f>
        <v/>
      </c>
    </row>
    <row r="654">
      <c r="A654" s="1" t="inlineStr">
        <is>
          <t>IPAC_REN</t>
        </is>
      </c>
      <c r="B654" s="1" t="inlineStr">
        <is>
          <t>6811</t>
        </is>
      </c>
      <c r="C654" s="1" t="inlineStr">
        <is>
          <t>2025</t>
        </is>
      </c>
      <c r="D654" s="1" t="inlineStr">
        <is>
          <t>ACT</t>
        </is>
      </c>
      <c r="E654" s="1" t="inlineStr">
        <is>
          <t>2027BUD_V1</t>
        </is>
      </c>
      <c r="F654" s="1" t="inlineStr">
        <is>
          <t>12</t>
        </is>
      </c>
      <c r="G654" s="1" t="n">
        <v>58448</v>
      </c>
      <c r="H654" s="25">
        <f>_CALC_PNL!P654</f>
        <v/>
      </c>
      <c r="I654" s="25">
        <f>IF(_CALC_PNL!E654=1,H654-G654,"")</f>
        <v/>
      </c>
    </row>
    <row r="655">
      <c r="A655" s="1" t="inlineStr">
        <is>
          <t>IPAC_MTP</t>
        </is>
      </c>
      <c r="B655" s="1" t="inlineStr">
        <is>
          <t>6811</t>
        </is>
      </c>
      <c r="C655" s="1" t="inlineStr">
        <is>
          <t>2025</t>
        </is>
      </c>
      <c r="D655" s="1" t="inlineStr">
        <is>
          <t>ACT</t>
        </is>
      </c>
      <c r="E655" s="1" t="inlineStr">
        <is>
          <t>2027BUD_V1</t>
        </is>
      </c>
      <c r="F655" s="1" t="inlineStr">
        <is>
          <t>12</t>
        </is>
      </c>
      <c r="G655" s="1" t="n">
        <v>58448</v>
      </c>
      <c r="H655" s="25">
        <f>_CALC_PNL!P655</f>
        <v/>
      </c>
      <c r="I655" s="25">
        <f>IF(_CALC_PNL!E655=1,H655-G655,"")</f>
        <v/>
      </c>
    </row>
    <row r="656">
      <c r="A656" s="1" t="inlineStr">
        <is>
          <t>PIGIER_LYO</t>
        </is>
      </c>
      <c r="B656" s="1" t="inlineStr">
        <is>
          <t>6811</t>
        </is>
      </c>
      <c r="C656" s="1" t="inlineStr">
        <is>
          <t>2025</t>
        </is>
      </c>
      <c r="D656" s="1" t="inlineStr">
        <is>
          <t>ACT</t>
        </is>
      </c>
      <c r="E656" s="1" t="inlineStr">
        <is>
          <t>2027BUD_V1</t>
        </is>
      </c>
      <c r="F656" s="1" t="inlineStr">
        <is>
          <t>12</t>
        </is>
      </c>
      <c r="G656" s="1" t="n">
        <v>77931</v>
      </c>
      <c r="H656" s="25">
        <f>_CALC_PNL!P656</f>
        <v/>
      </c>
      <c r="I656" s="25">
        <f>IF(_CALC_PNL!E656=1,H656-G656,"")</f>
        <v/>
      </c>
    </row>
    <row r="657">
      <c r="A657" s="1" t="inlineStr">
        <is>
          <t>PIGIER_BOR</t>
        </is>
      </c>
      <c r="B657" s="1" t="inlineStr">
        <is>
          <t>6811</t>
        </is>
      </c>
      <c r="C657" s="1" t="inlineStr">
        <is>
          <t>2025</t>
        </is>
      </c>
      <c r="D657" s="1" t="inlineStr">
        <is>
          <t>ACT</t>
        </is>
      </c>
      <c r="E657" s="1" t="inlineStr">
        <is>
          <t>2027BUD_V1</t>
        </is>
      </c>
      <c r="F657" s="1" t="inlineStr">
        <is>
          <t>12</t>
        </is>
      </c>
      <c r="G657" s="1" t="n">
        <v>77931</v>
      </c>
      <c r="H657" s="25">
        <f>_CALC_PNL!P657</f>
        <v/>
      </c>
      <c r="I657" s="25">
        <f>IF(_CALC_PNL!E657=1,H657-G657,"")</f>
        <v/>
      </c>
    </row>
    <row r="658">
      <c r="A658" s="1" t="inlineStr">
        <is>
          <t>TUNON_PAR</t>
        </is>
      </c>
      <c r="B658" s="1" t="inlineStr">
        <is>
          <t>6811</t>
        </is>
      </c>
      <c r="C658" s="1" t="inlineStr">
        <is>
          <t>2025</t>
        </is>
      </c>
      <c r="D658" s="1" t="inlineStr">
        <is>
          <t>ACT</t>
        </is>
      </c>
      <c r="E658" s="1" t="inlineStr">
        <is>
          <t>2027BUD_V1</t>
        </is>
      </c>
      <c r="F658" s="1" t="inlineStr">
        <is>
          <t>12</t>
        </is>
      </c>
      <c r="G658" s="1" t="n">
        <v>58448</v>
      </c>
      <c r="H658" s="25">
        <f>_CALC_PNL!P658</f>
        <v/>
      </c>
      <c r="I658" s="25">
        <f>IF(_CALC_PNL!E658=1,H658-G658,"")</f>
        <v/>
      </c>
    </row>
    <row r="659">
      <c r="A659" s="1" t="inlineStr">
        <is>
          <t>TUNON_LYO</t>
        </is>
      </c>
      <c r="B659" s="1" t="inlineStr">
        <is>
          <t>6811</t>
        </is>
      </c>
      <c r="C659" s="1" t="inlineStr">
        <is>
          <t>2025</t>
        </is>
      </c>
      <c r="D659" s="1" t="inlineStr">
        <is>
          <t>ACT</t>
        </is>
      </c>
      <c r="E659" s="1" t="inlineStr">
        <is>
          <t>2027BUD_V1</t>
        </is>
      </c>
      <c r="F659" s="1" t="inlineStr">
        <is>
          <t>12</t>
        </is>
      </c>
      <c r="G659" s="1" t="n">
        <v>58448</v>
      </c>
      <c r="H659" s="25">
        <f>_CALC_PNL!P659</f>
        <v/>
      </c>
      <c r="I659" s="25">
        <f>IF(_CALC_PNL!E659=1,H659-G659,"")</f>
        <v/>
      </c>
    </row>
    <row r="660">
      <c r="A660" s="1" t="inlineStr">
        <is>
          <t>MBWAY_PAR</t>
        </is>
      </c>
      <c r="B660" s="1" t="inlineStr">
        <is>
          <t>6811</t>
        </is>
      </c>
      <c r="C660" s="1" t="inlineStr">
        <is>
          <t>2026</t>
        </is>
      </c>
      <c r="D660" s="1" t="inlineStr">
        <is>
          <t>ACT</t>
        </is>
      </c>
      <c r="E660" s="1" t="inlineStr">
        <is>
          <t>2027BUD_V1</t>
        </is>
      </c>
      <c r="F660" s="1" t="inlineStr">
        <is>
          <t>12</t>
        </is>
      </c>
      <c r="G660" s="1" t="n">
        <v>154887</v>
      </c>
      <c r="H660" s="25">
        <f>_CALC_PNL!P660</f>
        <v/>
      </c>
      <c r="I660" s="25">
        <f>IF(_CALC_PNL!E660=1,H660-G660,"")</f>
        <v/>
      </c>
    </row>
    <row r="661">
      <c r="A661" s="1" t="inlineStr">
        <is>
          <t>MBWAY_LYO</t>
        </is>
      </c>
      <c r="B661" s="1" t="inlineStr">
        <is>
          <t>6811</t>
        </is>
      </c>
      <c r="C661" s="1" t="inlineStr">
        <is>
          <t>2026</t>
        </is>
      </c>
      <c r="D661" s="1" t="inlineStr">
        <is>
          <t>ACT</t>
        </is>
      </c>
      <c r="E661" s="1" t="inlineStr">
        <is>
          <t>2027BUD_V1</t>
        </is>
      </c>
      <c r="F661" s="1" t="inlineStr">
        <is>
          <t>12</t>
        </is>
      </c>
      <c r="G661" s="1" t="n">
        <v>134236</v>
      </c>
      <c r="H661" s="25">
        <f>_CALC_PNL!P661</f>
        <v/>
      </c>
      <c r="I661" s="25">
        <f>IF(_CALC_PNL!E661=1,H661-G661,"")</f>
        <v/>
      </c>
    </row>
    <row r="662">
      <c r="A662" s="1" t="inlineStr">
        <is>
          <t>MBWAY_NAN</t>
        </is>
      </c>
      <c r="B662" s="1" t="inlineStr">
        <is>
          <t>6811</t>
        </is>
      </c>
      <c r="C662" s="1" t="inlineStr">
        <is>
          <t>2026</t>
        </is>
      </c>
      <c r="D662" s="1" t="inlineStr">
        <is>
          <t>ACT</t>
        </is>
      </c>
      <c r="E662" s="1" t="inlineStr">
        <is>
          <t>2027BUD_V1</t>
        </is>
      </c>
      <c r="F662" s="1" t="inlineStr">
        <is>
          <t>12</t>
        </is>
      </c>
      <c r="G662" s="1" t="n">
        <v>123910</v>
      </c>
      <c r="H662" s="25">
        <f>_CALC_PNL!P662</f>
        <v/>
      </c>
      <c r="I662" s="25">
        <f>IF(_CALC_PNL!E662=1,H662-G662,"")</f>
        <v/>
      </c>
    </row>
    <row r="663">
      <c r="A663" s="1" t="inlineStr">
        <is>
          <t>MBWAY_BOR</t>
        </is>
      </c>
      <c r="B663" s="1" t="inlineStr">
        <is>
          <t>6811</t>
        </is>
      </c>
      <c r="C663" s="1" t="inlineStr">
        <is>
          <t>2026</t>
        </is>
      </c>
      <c r="D663" s="1" t="inlineStr">
        <is>
          <t>ACT</t>
        </is>
      </c>
      <c r="E663" s="1" t="inlineStr">
        <is>
          <t>2027BUD_V1</t>
        </is>
      </c>
      <c r="F663" s="1" t="inlineStr">
        <is>
          <t>12</t>
        </is>
      </c>
      <c r="G663" s="1" t="n">
        <v>103258</v>
      </c>
      <c r="H663" s="25">
        <f>_CALC_PNL!P663</f>
        <v/>
      </c>
      <c r="I663" s="25">
        <f>IF(_CALC_PNL!E663=1,H663-G663,"")</f>
        <v/>
      </c>
    </row>
    <row r="664">
      <c r="A664" s="1" t="inlineStr">
        <is>
          <t>ISCOM_PAR</t>
        </is>
      </c>
      <c r="B664" s="1" t="inlineStr">
        <is>
          <t>6811</t>
        </is>
      </c>
      <c r="C664" s="1" t="inlineStr">
        <is>
          <t>2026</t>
        </is>
      </c>
      <c r="D664" s="1" t="inlineStr">
        <is>
          <t>ACT</t>
        </is>
      </c>
      <c r="E664" s="1" t="inlineStr">
        <is>
          <t>2027BUD_V1</t>
        </is>
      </c>
      <c r="F664" s="1" t="inlineStr">
        <is>
          <t>12</t>
        </is>
      </c>
      <c r="G664" s="1" t="n">
        <v>154887</v>
      </c>
      <c r="H664" s="25">
        <f>_CALC_PNL!P664</f>
        <v/>
      </c>
      <c r="I664" s="25">
        <f>IF(_CALC_PNL!E664=1,H664-G664,"")</f>
        <v/>
      </c>
    </row>
    <row r="665">
      <c r="A665" s="1" t="inlineStr">
        <is>
          <t>ISCOM_LIL</t>
        </is>
      </c>
      <c r="B665" s="1" t="inlineStr">
        <is>
          <t>6811</t>
        </is>
      </c>
      <c r="C665" s="1" t="inlineStr">
        <is>
          <t>2026</t>
        </is>
      </c>
      <c r="D665" s="1" t="inlineStr">
        <is>
          <t>ACT</t>
        </is>
      </c>
      <c r="E665" s="1" t="inlineStr">
        <is>
          <t>2027BUD_V1</t>
        </is>
      </c>
      <c r="F665" s="1" t="inlineStr">
        <is>
          <t>12</t>
        </is>
      </c>
      <c r="G665" s="1" t="n">
        <v>103258</v>
      </c>
      <c r="H665" s="25">
        <f>_CALC_PNL!P665</f>
        <v/>
      </c>
      <c r="I665" s="25">
        <f>IF(_CALC_PNL!E665=1,H665-G665,"")</f>
        <v/>
      </c>
    </row>
    <row r="666">
      <c r="A666" s="1" t="inlineStr">
        <is>
          <t>ISCOM_TLS</t>
        </is>
      </c>
      <c r="B666" s="1" t="inlineStr">
        <is>
          <t>6811</t>
        </is>
      </c>
      <c r="C666" s="1" t="inlineStr">
        <is>
          <t>2026</t>
        </is>
      </c>
      <c r="D666" s="1" t="inlineStr">
        <is>
          <t>ACT</t>
        </is>
      </c>
      <c r="E666" s="1" t="inlineStr">
        <is>
          <t>2027BUD_V1</t>
        </is>
      </c>
      <c r="F666" s="1" t="inlineStr">
        <is>
          <t>12</t>
        </is>
      </c>
      <c r="G666" s="1" t="n">
        <v>103258</v>
      </c>
      <c r="H666" s="25">
        <f>_CALC_PNL!P666</f>
        <v/>
      </c>
      <c r="I666" s="25">
        <f>IF(_CALC_PNL!E666=1,H666-G666,"")</f>
        <v/>
      </c>
    </row>
    <row r="667">
      <c r="A667" s="1" t="inlineStr">
        <is>
          <t>IPAC_NAN</t>
        </is>
      </c>
      <c r="B667" s="1" t="inlineStr">
        <is>
          <t>6811</t>
        </is>
      </c>
      <c r="C667" s="1" t="inlineStr">
        <is>
          <t>2026</t>
        </is>
      </c>
      <c r="D667" s="1" t="inlineStr">
        <is>
          <t>ACT</t>
        </is>
      </c>
      <c r="E667" s="1" t="inlineStr">
        <is>
          <t>2027BUD_V1</t>
        </is>
      </c>
      <c r="F667" s="1" t="inlineStr">
        <is>
          <t>12</t>
        </is>
      </c>
      <c r="G667" s="1" t="n">
        <v>61955</v>
      </c>
      <c r="H667" s="25">
        <f>_CALC_PNL!P667</f>
        <v/>
      </c>
      <c r="I667" s="25">
        <f>IF(_CALC_PNL!E667=1,H667-G667,"")</f>
        <v/>
      </c>
    </row>
    <row r="668">
      <c r="A668" s="1" t="inlineStr">
        <is>
          <t>IPAC_REN</t>
        </is>
      </c>
      <c r="B668" s="1" t="inlineStr">
        <is>
          <t>6811</t>
        </is>
      </c>
      <c r="C668" s="1" t="inlineStr">
        <is>
          <t>2026</t>
        </is>
      </c>
      <c r="D668" s="1" t="inlineStr">
        <is>
          <t>ACT</t>
        </is>
      </c>
      <c r="E668" s="1" t="inlineStr">
        <is>
          <t>2027BUD_V1</t>
        </is>
      </c>
      <c r="F668" s="1" t="inlineStr">
        <is>
          <t>12</t>
        </is>
      </c>
      <c r="G668" s="1" t="n">
        <v>61955</v>
      </c>
      <c r="H668" s="25">
        <f>_CALC_PNL!P668</f>
        <v/>
      </c>
      <c r="I668" s="25">
        <f>IF(_CALC_PNL!E668=1,H668-G668,"")</f>
        <v/>
      </c>
    </row>
    <row r="669">
      <c r="A669" s="1" t="inlineStr">
        <is>
          <t>IPAC_MTP</t>
        </is>
      </c>
      <c r="B669" s="1" t="inlineStr">
        <is>
          <t>6811</t>
        </is>
      </c>
      <c r="C669" s="1" t="inlineStr">
        <is>
          <t>2026</t>
        </is>
      </c>
      <c r="D669" s="1" t="inlineStr">
        <is>
          <t>ACT</t>
        </is>
      </c>
      <c r="E669" s="1" t="inlineStr">
        <is>
          <t>2027BUD_V1</t>
        </is>
      </c>
      <c r="F669" s="1" t="inlineStr">
        <is>
          <t>12</t>
        </is>
      </c>
      <c r="G669" s="1" t="n">
        <v>61955</v>
      </c>
      <c r="H669" s="25">
        <f>_CALC_PNL!P669</f>
        <v/>
      </c>
      <c r="I669" s="25">
        <f>IF(_CALC_PNL!E669=1,H669-G669,"")</f>
        <v/>
      </c>
    </row>
    <row r="670">
      <c r="A670" s="1" t="inlineStr">
        <is>
          <t>PIGIER_LYO</t>
        </is>
      </c>
      <c r="B670" s="1" t="inlineStr">
        <is>
          <t>6811</t>
        </is>
      </c>
      <c r="C670" s="1" t="inlineStr">
        <is>
          <t>2026</t>
        </is>
      </c>
      <c r="D670" s="1" t="inlineStr">
        <is>
          <t>ACT</t>
        </is>
      </c>
      <c r="E670" s="1" t="inlineStr">
        <is>
          <t>2027BUD_V1</t>
        </is>
      </c>
      <c r="F670" s="1" t="inlineStr">
        <is>
          <t>12</t>
        </is>
      </c>
      <c r="G670" s="1" t="n">
        <v>82607</v>
      </c>
      <c r="H670" s="25">
        <f>_CALC_PNL!P670</f>
        <v/>
      </c>
      <c r="I670" s="25">
        <f>IF(_CALC_PNL!E670=1,H670-G670,"")</f>
        <v/>
      </c>
    </row>
    <row r="671">
      <c r="A671" s="1" t="inlineStr">
        <is>
          <t>PIGIER_BOR</t>
        </is>
      </c>
      <c r="B671" s="1" t="inlineStr">
        <is>
          <t>6811</t>
        </is>
      </c>
      <c r="C671" s="1" t="inlineStr">
        <is>
          <t>2026</t>
        </is>
      </c>
      <c r="D671" s="1" t="inlineStr">
        <is>
          <t>ACT</t>
        </is>
      </c>
      <c r="E671" s="1" t="inlineStr">
        <is>
          <t>2027BUD_V1</t>
        </is>
      </c>
      <c r="F671" s="1" t="inlineStr">
        <is>
          <t>12</t>
        </is>
      </c>
      <c r="G671" s="1" t="n">
        <v>82607</v>
      </c>
      <c r="H671" s="25">
        <f>_CALC_PNL!P671</f>
        <v/>
      </c>
      <c r="I671" s="25">
        <f>IF(_CALC_PNL!E671=1,H671-G671,"")</f>
        <v/>
      </c>
    </row>
    <row r="672">
      <c r="A672" s="1" t="inlineStr">
        <is>
          <t>TUNON_PAR</t>
        </is>
      </c>
      <c r="B672" s="1" t="inlineStr">
        <is>
          <t>6811</t>
        </is>
      </c>
      <c r="C672" s="1" t="inlineStr">
        <is>
          <t>2026</t>
        </is>
      </c>
      <c r="D672" s="1" t="inlineStr">
        <is>
          <t>ACT</t>
        </is>
      </c>
      <c r="E672" s="1" t="inlineStr">
        <is>
          <t>2027BUD_V1</t>
        </is>
      </c>
      <c r="F672" s="1" t="inlineStr">
        <is>
          <t>12</t>
        </is>
      </c>
      <c r="G672" s="1" t="n">
        <v>61955</v>
      </c>
      <c r="H672" s="25">
        <f>_CALC_PNL!P672</f>
        <v/>
      </c>
      <c r="I672" s="25">
        <f>IF(_CALC_PNL!E672=1,H672-G672,"")</f>
        <v/>
      </c>
    </row>
    <row r="673">
      <c r="A673" s="1" t="inlineStr">
        <is>
          <t>TUNON_LYO</t>
        </is>
      </c>
      <c r="B673" s="1" t="inlineStr">
        <is>
          <t>6811</t>
        </is>
      </c>
      <c r="C673" s="1" t="inlineStr">
        <is>
          <t>2026</t>
        </is>
      </c>
      <c r="D673" s="1" t="inlineStr">
        <is>
          <t>ACT</t>
        </is>
      </c>
      <c r="E673" s="1" t="inlineStr">
        <is>
          <t>2027BUD_V1</t>
        </is>
      </c>
      <c r="F673" s="1" t="inlineStr">
        <is>
          <t>12</t>
        </is>
      </c>
      <c r="G673" s="1" t="n">
        <v>61955</v>
      </c>
      <c r="H673" s="25">
        <f>_CALC_PNL!P673</f>
        <v/>
      </c>
      <c r="I673" s="25">
        <f>IF(_CALC_PNL!E673=1,H673-G673,"")</f>
        <v/>
      </c>
    </row>
    <row r="674">
      <c r="A674" s="1" t="inlineStr">
        <is>
          <t>GRP</t>
        </is>
      </c>
      <c r="B674" s="1" t="inlineStr">
        <is>
          <t>TEC_PL</t>
        </is>
      </c>
      <c r="C674" s="1" t="inlineStr">
        <is>
          <t>2027</t>
        </is>
      </c>
      <c r="D674" s="1" t="inlineStr">
        <is>
          <t>ACT</t>
        </is>
      </c>
      <c r="E674" s="1" t="inlineStr">
        <is>
          <t>2027BUD_V1</t>
        </is>
      </c>
      <c r="F674" s="1" t="inlineStr">
        <is>
          <t>12</t>
        </is>
      </c>
      <c r="G674" s="1" t="n">
        <v>0.05</v>
      </c>
      <c r="H674" s="25">
        <f>_CALC_PNL!P674</f>
        <v/>
      </c>
      <c r="I674" s="25">
        <f>IF(_CALC_PNL!E674=1,H674-G674,"")</f>
        <v/>
      </c>
    </row>
    <row r="675">
      <c r="A675" s="1" t="inlineStr">
        <is>
          <t>GRP</t>
        </is>
      </c>
      <c r="B675" s="1" t="inlineStr">
        <is>
          <t>TEC_EBITDA</t>
        </is>
      </c>
      <c r="C675" s="1" t="inlineStr">
        <is>
          <t>2027</t>
        </is>
      </c>
      <c r="D675" s="1" t="inlineStr">
        <is>
          <t>ACT</t>
        </is>
      </c>
      <c r="E675" s="1" t="inlineStr">
        <is>
          <t>2027BUD_V1</t>
        </is>
      </c>
      <c r="F675" s="1" t="inlineStr">
        <is>
          <t>12</t>
        </is>
      </c>
      <c r="G675" s="1" t="n">
        <v>0.15</v>
      </c>
      <c r="H675" s="25">
        <f>_CALC_PNL!P675</f>
        <v/>
      </c>
      <c r="I675" s="25">
        <f>IF(_CALC_PNL!E675=1,H675-G675,"")</f>
        <v/>
      </c>
    </row>
    <row r="676">
      <c r="A676" s="1" t="inlineStr">
        <is>
          <t>IPAC_NAN</t>
        </is>
      </c>
      <c r="B676" s="1" t="inlineStr">
        <is>
          <t>6413</t>
        </is>
      </c>
      <c r="C676" s="1" t="inlineStr">
        <is>
          <t>2027</t>
        </is>
      </c>
      <c r="D676" s="1" t="inlineStr">
        <is>
          <t>V01</t>
        </is>
      </c>
      <c r="E676" s="1" t="inlineStr">
        <is>
          <t>2027BUD_V1</t>
        </is>
      </c>
      <c r="F676" s="1" t="inlineStr">
        <is>
          <t>12</t>
        </is>
      </c>
      <c r="G676" s="1" t="n">
        <v>87271.288</v>
      </c>
      <c r="H676" s="25">
        <f>_CALC_PNL!P676</f>
        <v/>
      </c>
      <c r="I676" s="25">
        <f>IF(_CALC_PNL!E676=1,H676-G676,"")</f>
        <v/>
      </c>
    </row>
    <row r="677">
      <c r="A677" s="1" t="inlineStr">
        <is>
          <t>IPAC_NAN</t>
        </is>
      </c>
      <c r="B677" s="1" t="inlineStr">
        <is>
          <t>6413</t>
        </is>
      </c>
      <c r="C677" s="1" t="inlineStr">
        <is>
          <t>2027</t>
        </is>
      </c>
      <c r="D677" s="1" t="inlineStr">
        <is>
          <t>V02</t>
        </is>
      </c>
      <c r="E677" s="1" t="inlineStr">
        <is>
          <t>2027BUD_V1</t>
        </is>
      </c>
      <c r="F677" s="1" t="inlineStr">
        <is>
          <t>12</t>
        </is>
      </c>
      <c r="G677" s="1" t="n">
        <v>86010.5208</v>
      </c>
      <c r="H677" s="25">
        <f>_CALC_PNL!P677</f>
        <v/>
      </c>
      <c r="I677" s="25">
        <f>IF(_CALC_PNL!E677=1,H677-G677,"")</f>
        <v/>
      </c>
    </row>
    <row r="678">
      <c r="A678" s="1" t="inlineStr">
        <is>
          <t>IPAC_NAN</t>
        </is>
      </c>
      <c r="B678" s="1" t="inlineStr">
        <is>
          <t>6413</t>
        </is>
      </c>
      <c r="C678" s="1" t="inlineStr">
        <is>
          <t>2027</t>
        </is>
      </c>
      <c r="D678" s="1" t="inlineStr">
        <is>
          <t>V03</t>
        </is>
      </c>
      <c r="E678" s="1" t="inlineStr">
        <is>
          <t>2027BUD_V1</t>
        </is>
      </c>
      <c r="F678" s="1" t="inlineStr">
        <is>
          <t>12</t>
        </is>
      </c>
      <c r="G678" s="1" t="n">
        <v>88540.242</v>
      </c>
      <c r="H678" s="25">
        <f>_CALC_PNL!P678</f>
        <v/>
      </c>
      <c r="I678" s="25">
        <f>IF(_CALC_PNL!E678=1,H678-G678,"")</f>
        <v/>
      </c>
    </row>
    <row r="679">
      <c r="A679" s="1" t="inlineStr">
        <is>
          <t>IPAC_REN</t>
        </is>
      </c>
      <c r="B679" s="1" t="inlineStr">
        <is>
          <t>6413</t>
        </is>
      </c>
      <c r="C679" s="1" t="inlineStr">
        <is>
          <t>2027</t>
        </is>
      </c>
      <c r="D679" s="1" t="inlineStr">
        <is>
          <t>V01</t>
        </is>
      </c>
      <c r="E679" s="1" t="inlineStr">
        <is>
          <t>2027BUD_V1</t>
        </is>
      </c>
      <c r="F679" s="1" t="inlineStr">
        <is>
          <t>12</t>
        </is>
      </c>
      <c r="G679" s="1" t="n">
        <v>61968.712</v>
      </c>
      <c r="H679" s="25">
        <f>_CALC_PNL!P679</f>
        <v/>
      </c>
      <c r="I679" s="25">
        <f>IF(_CALC_PNL!E679=1,H679-G679,"")</f>
        <v/>
      </c>
    </row>
    <row r="680">
      <c r="A680" s="1" t="inlineStr">
        <is>
          <t>IPAC_REN</t>
        </is>
      </c>
      <c r="B680" s="1" t="inlineStr">
        <is>
          <t>6413</t>
        </is>
      </c>
      <c r="C680" s="1" t="inlineStr">
        <is>
          <t>2027</t>
        </is>
      </c>
      <c r="D680" s="1" t="inlineStr">
        <is>
          <t>V02</t>
        </is>
      </c>
      <c r="E680" s="1" t="inlineStr">
        <is>
          <t>2027BUD_V1</t>
        </is>
      </c>
      <c r="F680" s="1" t="inlineStr">
        <is>
          <t>12</t>
        </is>
      </c>
      <c r="G680" s="1" t="n">
        <v>61073.4792</v>
      </c>
      <c r="H680" s="25">
        <f>_CALC_PNL!P680</f>
        <v/>
      </c>
      <c r="I680" s="25">
        <f>IF(_CALC_PNL!E680=1,H680-G680,"")</f>
        <v/>
      </c>
    </row>
    <row r="681">
      <c r="A681" s="1" t="inlineStr">
        <is>
          <t>IPAC_REN</t>
        </is>
      </c>
      <c r="B681" s="1" t="inlineStr">
        <is>
          <t>6413</t>
        </is>
      </c>
      <c r="C681" s="1" t="inlineStr">
        <is>
          <t>2027</t>
        </is>
      </c>
      <c r="D681" s="1" t="inlineStr">
        <is>
          <t>V03</t>
        </is>
      </c>
      <c r="E681" s="1" t="inlineStr">
        <is>
          <t>2027BUD_V1</t>
        </is>
      </c>
      <c r="F681" s="1" t="inlineStr">
        <is>
          <t>12</t>
        </is>
      </c>
      <c r="G681" s="1" t="n">
        <v>62869.758</v>
      </c>
      <c r="H681" s="25">
        <f>_CALC_PNL!P681</f>
        <v/>
      </c>
      <c r="I681" s="25">
        <f>IF(_CALC_PNL!E681=1,H681-G681,"")</f>
        <v/>
      </c>
    </row>
    <row r="682">
      <c r="A682" s="1" t="inlineStr">
        <is>
          <t>IPAC_MTP</t>
        </is>
      </c>
      <c r="B682" s="1" t="inlineStr">
        <is>
          <t>6413</t>
        </is>
      </c>
      <c r="C682" s="1" t="inlineStr">
        <is>
          <t>2027</t>
        </is>
      </c>
      <c r="D682" s="1" t="inlineStr">
        <is>
          <t>V01</t>
        </is>
      </c>
      <c r="E682" s="1" t="inlineStr">
        <is>
          <t>2027BUD_V1</t>
        </is>
      </c>
      <c r="F682" s="1" t="inlineStr">
        <is>
          <t>12</t>
        </is>
      </c>
      <c r="G682" s="1" t="n">
        <v>61968.712</v>
      </c>
      <c r="H682" s="25">
        <f>_CALC_PNL!P682</f>
        <v/>
      </c>
      <c r="I682" s="25">
        <f>IF(_CALC_PNL!E682=1,H682-G682,"")</f>
        <v/>
      </c>
    </row>
    <row r="683">
      <c r="A683" s="1" t="inlineStr">
        <is>
          <t>IPAC_MTP</t>
        </is>
      </c>
      <c r="B683" s="1" t="inlineStr">
        <is>
          <t>6413</t>
        </is>
      </c>
      <c r="C683" s="1" t="inlineStr">
        <is>
          <t>2027</t>
        </is>
      </c>
      <c r="D683" s="1" t="inlineStr">
        <is>
          <t>V02</t>
        </is>
      </c>
      <c r="E683" s="1" t="inlineStr">
        <is>
          <t>2027BUD_V1</t>
        </is>
      </c>
      <c r="F683" s="1" t="inlineStr">
        <is>
          <t>12</t>
        </is>
      </c>
      <c r="G683" s="1" t="n">
        <v>61073.4792</v>
      </c>
      <c r="H683" s="25">
        <f>_CALC_PNL!P683</f>
        <v/>
      </c>
      <c r="I683" s="25">
        <f>IF(_CALC_PNL!E683=1,H683-G683,"")</f>
        <v/>
      </c>
    </row>
    <row r="684">
      <c r="A684" s="1" t="inlineStr">
        <is>
          <t>IPAC_MTP</t>
        </is>
      </c>
      <c r="B684" s="1" t="inlineStr">
        <is>
          <t>6413</t>
        </is>
      </c>
      <c r="C684" s="1" t="inlineStr">
        <is>
          <t>2027</t>
        </is>
      </c>
      <c r="D684" s="1" t="inlineStr">
        <is>
          <t>V03</t>
        </is>
      </c>
      <c r="E684" s="1" t="inlineStr">
        <is>
          <t>2027BUD_V1</t>
        </is>
      </c>
      <c r="F684" s="1" t="inlineStr">
        <is>
          <t>12</t>
        </is>
      </c>
      <c r="G684" s="1" t="n">
        <v>62869.758</v>
      </c>
      <c r="H684" s="25">
        <f>_CALC_PNL!P684</f>
        <v/>
      </c>
      <c r="I684" s="25">
        <f>IF(_CALC_PNL!E684=1,H684-G684,"")</f>
        <v/>
      </c>
    </row>
    <row r="685">
      <c r="A685" s="1" t="inlineStr">
        <is>
          <t>PIGIER_LYO</t>
        </is>
      </c>
      <c r="B685" s="1" t="inlineStr">
        <is>
          <t>6413</t>
        </is>
      </c>
      <c r="C685" s="1" t="inlineStr">
        <is>
          <t>2027</t>
        </is>
      </c>
      <c r="D685" s="1" t="inlineStr">
        <is>
          <t>V01</t>
        </is>
      </c>
      <c r="E685" s="1" t="inlineStr">
        <is>
          <t>2027BUD_V1</t>
        </is>
      </c>
      <c r="F685" s="1" t="inlineStr">
        <is>
          <t>12</t>
        </is>
      </c>
      <c r="G685" s="1" t="n">
        <v>122684.874</v>
      </c>
      <c r="H685" s="25">
        <f>_CALC_PNL!P685</f>
        <v/>
      </c>
      <c r="I685" s="25">
        <f>IF(_CALC_PNL!E685=1,H685-G685,"")</f>
        <v/>
      </c>
    </row>
    <row r="686">
      <c r="A686" s="1" t="inlineStr">
        <is>
          <t>PIGIER_LYO</t>
        </is>
      </c>
      <c r="B686" s="1" t="inlineStr">
        <is>
          <t>6413</t>
        </is>
      </c>
      <c r="C686" s="1" t="inlineStr">
        <is>
          <t>2027</t>
        </is>
      </c>
      <c r="D686" s="1" t="inlineStr">
        <is>
          <t>V02</t>
        </is>
      </c>
      <c r="E686" s="1" t="inlineStr">
        <is>
          <t>2027BUD_V1</t>
        </is>
      </c>
      <c r="F686" s="1" t="inlineStr">
        <is>
          <t>12</t>
        </is>
      </c>
      <c r="G686" s="1" t="n">
        <v>120912.5034</v>
      </c>
      <c r="H686" s="25">
        <f>_CALC_PNL!P686</f>
        <v/>
      </c>
      <c r="I686" s="25">
        <f>IF(_CALC_PNL!E686=1,H686-G686,"")</f>
        <v/>
      </c>
    </row>
    <row r="687">
      <c r="A687" s="1" t="inlineStr">
        <is>
          <t>PIGIER_LYO</t>
        </is>
      </c>
      <c r="B687" s="1" t="inlineStr">
        <is>
          <t>6413</t>
        </is>
      </c>
      <c r="C687" s="1" t="inlineStr">
        <is>
          <t>2027</t>
        </is>
      </c>
      <c r="D687" s="1" t="inlineStr">
        <is>
          <t>V03</t>
        </is>
      </c>
      <c r="E687" s="1" t="inlineStr">
        <is>
          <t>2027BUD_V1</t>
        </is>
      </c>
      <c r="F687" s="1" t="inlineStr">
        <is>
          <t>12</t>
        </is>
      </c>
      <c r="G687" s="1" t="n">
        <v>124468.7535</v>
      </c>
      <c r="H687" s="25">
        <f>_CALC_PNL!P687</f>
        <v/>
      </c>
      <c r="I687" s="25">
        <f>IF(_CALC_PNL!E687=1,H687-G687,"")</f>
        <v/>
      </c>
    </row>
    <row r="688">
      <c r="A688" s="1" t="inlineStr">
        <is>
          <t>PIGIER_BOR</t>
        </is>
      </c>
      <c r="B688" s="1" t="inlineStr">
        <is>
          <t>6413</t>
        </is>
      </c>
      <c r="C688" s="1" t="inlineStr">
        <is>
          <t>2027</t>
        </is>
      </c>
      <c r="D688" s="1" t="inlineStr">
        <is>
          <t>V01</t>
        </is>
      </c>
      <c r="E688" s="1" t="inlineStr">
        <is>
          <t>2027BUD_V1</t>
        </is>
      </c>
      <c r="F688" s="1" t="inlineStr">
        <is>
          <t>12</t>
        </is>
      </c>
      <c r="G688" s="1" t="n">
        <v>89739.07799999999</v>
      </c>
      <c r="H688" s="25">
        <f>_CALC_PNL!P688</f>
        <v/>
      </c>
      <c r="I688" s="25">
        <f>IF(_CALC_PNL!E688=1,H688-G688,"")</f>
        <v/>
      </c>
    </row>
    <row r="689">
      <c r="A689" s="1" t="inlineStr">
        <is>
          <t>PIGIER_BOR</t>
        </is>
      </c>
      <c r="B689" s="1" t="inlineStr">
        <is>
          <t>6413</t>
        </is>
      </c>
      <c r="C689" s="1" t="inlineStr">
        <is>
          <t>2027</t>
        </is>
      </c>
      <c r="D689" s="1" t="inlineStr">
        <is>
          <t>V02</t>
        </is>
      </c>
      <c r="E689" s="1" t="inlineStr">
        <is>
          <t>2027BUD_V1</t>
        </is>
      </c>
      <c r="F689" s="1" t="inlineStr">
        <is>
          <t>12</t>
        </is>
      </c>
      <c r="G689" s="1" t="n">
        <v>88442.65979999999</v>
      </c>
      <c r="H689" s="25">
        <f>_CALC_PNL!P689</f>
        <v/>
      </c>
      <c r="I689" s="25">
        <f>IF(_CALC_PNL!E689=1,H689-G689,"")</f>
        <v/>
      </c>
    </row>
    <row r="690">
      <c r="A690" s="1" t="inlineStr">
        <is>
          <t>PIGIER_BOR</t>
        </is>
      </c>
      <c r="B690" s="1" t="inlineStr">
        <is>
          <t>6413</t>
        </is>
      </c>
      <c r="C690" s="1" t="inlineStr">
        <is>
          <t>2027</t>
        </is>
      </c>
      <c r="D690" s="1" t="inlineStr">
        <is>
          <t>V03</t>
        </is>
      </c>
      <c r="E690" s="1" t="inlineStr">
        <is>
          <t>2027BUD_V1</t>
        </is>
      </c>
      <c r="F690" s="1" t="inlineStr">
        <is>
          <t>12</t>
        </is>
      </c>
      <c r="G690" s="1" t="n">
        <v>91043.9145</v>
      </c>
      <c r="H690" s="25">
        <f>_CALC_PNL!P690</f>
        <v/>
      </c>
      <c r="I690" s="25">
        <f>IF(_CALC_PNL!E690=1,H690-G690,"")</f>
        <v/>
      </c>
    </row>
    <row r="691">
      <c r="A691" s="1" t="inlineStr">
        <is>
          <t>TUNON_PAR</t>
        </is>
      </c>
      <c r="B691" s="1" t="inlineStr">
        <is>
          <t>6413</t>
        </is>
      </c>
      <c r="C691" s="1" t="inlineStr">
        <is>
          <t>2027</t>
        </is>
      </c>
      <c r="D691" s="1" t="inlineStr">
        <is>
          <t>V01</t>
        </is>
      </c>
      <c r="E691" s="1" t="inlineStr">
        <is>
          <t>2027BUD_V1</t>
        </is>
      </c>
      <c r="F691" s="1" t="inlineStr">
        <is>
          <t>12</t>
        </is>
      </c>
      <c r="G691" s="1" t="n">
        <v>134554.784</v>
      </c>
      <c r="H691" s="25">
        <f>_CALC_PNL!P691</f>
        <v/>
      </c>
      <c r="I691" s="25">
        <f>IF(_CALC_PNL!E691=1,H691-G691,"")</f>
        <v/>
      </c>
    </row>
    <row r="692">
      <c r="A692" s="1" t="inlineStr">
        <is>
          <t>TUNON_PAR</t>
        </is>
      </c>
      <c r="B692" s="1" t="inlineStr">
        <is>
          <t>6413</t>
        </is>
      </c>
      <c r="C692" s="1" t="inlineStr">
        <is>
          <t>2027</t>
        </is>
      </c>
      <c r="D692" s="1" t="inlineStr">
        <is>
          <t>V02</t>
        </is>
      </c>
      <c r="E692" s="1" t="inlineStr">
        <is>
          <t>2027BUD_V1</t>
        </is>
      </c>
      <c r="F692" s="1" t="inlineStr">
        <is>
          <t>12</t>
        </is>
      </c>
      <c r="G692" s="1" t="n">
        <v>132610.9344</v>
      </c>
      <c r="H692" s="25">
        <f>_CALC_PNL!P692</f>
        <v/>
      </c>
      <c r="I692" s="25">
        <f>IF(_CALC_PNL!E692=1,H692-G692,"")</f>
        <v/>
      </c>
    </row>
    <row r="693">
      <c r="A693" s="1" t="inlineStr">
        <is>
          <t>TUNON_PAR</t>
        </is>
      </c>
      <c r="B693" s="1" t="inlineStr">
        <is>
          <t>6413</t>
        </is>
      </c>
      <c r="C693" s="1" t="inlineStr">
        <is>
          <t>2027</t>
        </is>
      </c>
      <c r="D693" s="1" t="inlineStr">
        <is>
          <t>V03</t>
        </is>
      </c>
      <c r="E693" s="1" t="inlineStr">
        <is>
          <t>2027BUD_V1</t>
        </is>
      </c>
      <c r="F693" s="1" t="inlineStr">
        <is>
          <t>12</t>
        </is>
      </c>
      <c r="G693" s="1" t="n">
        <v>136511.256</v>
      </c>
      <c r="H693" s="25">
        <f>_CALC_PNL!P693</f>
        <v/>
      </c>
      <c r="I693" s="25">
        <f>IF(_CALC_PNL!E693=1,H693-G693,"")</f>
        <v/>
      </c>
    </row>
    <row r="694">
      <c r="A694" s="1" t="inlineStr">
        <is>
          <t>TUNON_LYO</t>
        </is>
      </c>
      <c r="B694" s="1" t="inlineStr">
        <is>
          <t>6413</t>
        </is>
      </c>
      <c r="C694" s="1" t="inlineStr">
        <is>
          <t>2027</t>
        </is>
      </c>
      <c r="D694" s="1" t="inlineStr">
        <is>
          <t>V01</t>
        </is>
      </c>
      <c r="E694" s="1" t="inlineStr">
        <is>
          <t>2027BUD_V1</t>
        </is>
      </c>
      <c r="F694" s="1" t="inlineStr">
        <is>
          <t>12</t>
        </is>
      </c>
      <c r="G694" s="1" t="n">
        <v>78869.076</v>
      </c>
      <c r="H694" s="25">
        <f>_CALC_PNL!P694</f>
        <v/>
      </c>
      <c r="I694" s="25">
        <f>IF(_CALC_PNL!E694=1,H694-G694,"")</f>
        <v/>
      </c>
    </row>
    <row r="695">
      <c r="A695" s="1" t="inlineStr">
        <is>
          <t>TUNON_LYO</t>
        </is>
      </c>
      <c r="B695" s="1" t="inlineStr">
        <is>
          <t>6413</t>
        </is>
      </c>
      <c r="C695" s="1" t="inlineStr">
        <is>
          <t>2027</t>
        </is>
      </c>
      <c r="D695" s="1" t="inlineStr">
        <is>
          <t>V02</t>
        </is>
      </c>
      <c r="E695" s="1" t="inlineStr">
        <is>
          <t>2027BUD_V1</t>
        </is>
      </c>
      <c r="F695" s="1" t="inlineStr">
        <is>
          <t>12</t>
        </is>
      </c>
      <c r="G695" s="1" t="n">
        <v>77729.69160000001</v>
      </c>
      <c r="H695" s="25">
        <f>_CALC_PNL!P695</f>
        <v/>
      </c>
      <c r="I695" s="25">
        <f>IF(_CALC_PNL!E695=1,H695-G695,"")</f>
        <v/>
      </c>
    </row>
    <row r="696">
      <c r="A696" s="1" t="inlineStr">
        <is>
          <t>TUNON_LYO</t>
        </is>
      </c>
      <c r="B696" s="1" t="inlineStr">
        <is>
          <t>6413</t>
        </is>
      </c>
      <c r="C696" s="1" t="inlineStr">
        <is>
          <t>2027</t>
        </is>
      </c>
      <c r="D696" s="1" t="inlineStr">
        <is>
          <t>V03</t>
        </is>
      </c>
      <c r="E696" s="1" t="inlineStr">
        <is>
          <t>2027BUD_V1</t>
        </is>
      </c>
      <c r="F696" s="1" t="inlineStr">
        <is>
          <t>12</t>
        </is>
      </c>
      <c r="G696" s="1" t="n">
        <v>80015.859</v>
      </c>
      <c r="H696" s="25">
        <f>_CALC_PNL!P696</f>
        <v/>
      </c>
      <c r="I696" s="25">
        <f>IF(_CALC_PNL!E696=1,H696-G696,"")</f>
        <v/>
      </c>
    </row>
    <row r="697">
      <c r="A697" s="1" t="inlineStr">
        <is>
          <t>GRP</t>
        </is>
      </c>
      <c r="B697" s="1" t="inlineStr">
        <is>
          <t>6414</t>
        </is>
      </c>
      <c r="C697" s="1" t="inlineStr">
        <is>
          <t>2027</t>
        </is>
      </c>
      <c r="D697" s="1" t="inlineStr">
        <is>
          <t>V01</t>
        </is>
      </c>
      <c r="E697" s="1" t="inlineStr">
        <is>
          <t>2027BUD_V1</t>
        </is>
      </c>
      <c r="F697" s="1" t="inlineStr">
        <is>
          <t>12</t>
        </is>
      </c>
      <c r="G697" s="1" t="n">
        <v>1324663.834</v>
      </c>
      <c r="H697" s="25">
        <f>_CALC_PNL!P697</f>
        <v/>
      </c>
      <c r="I697" s="25">
        <f>IF(_CALC_PNL!E697=1,H697-G697,"")</f>
        <v/>
      </c>
    </row>
    <row r="698">
      <c r="A698" s="1" t="inlineStr">
        <is>
          <t>GRP</t>
        </is>
      </c>
      <c r="B698" s="1" t="inlineStr">
        <is>
          <t>6414</t>
        </is>
      </c>
      <c r="C698" s="1" t="inlineStr">
        <is>
          <t>2027</t>
        </is>
      </c>
      <c r="D698" s="1" t="inlineStr">
        <is>
          <t>V02</t>
        </is>
      </c>
      <c r="E698" s="1" t="inlineStr">
        <is>
          <t>2027BUD_V1</t>
        </is>
      </c>
      <c r="F698" s="1" t="inlineStr">
        <is>
          <t>12</t>
        </is>
      </c>
      <c r="G698" s="1" t="n">
        <v>1305527.0394</v>
      </c>
      <c r="H698" s="25">
        <f>_CALC_PNL!P698</f>
        <v/>
      </c>
      <c r="I698" s="25">
        <f>IF(_CALC_PNL!E698=1,H698-G698,"")</f>
        <v/>
      </c>
    </row>
    <row r="699">
      <c r="A699" s="1" t="inlineStr">
        <is>
          <t>GRP</t>
        </is>
      </c>
      <c r="B699" s="1" t="inlineStr">
        <is>
          <t>6414</t>
        </is>
      </c>
      <c r="C699" s="1" t="inlineStr">
        <is>
          <t>2027</t>
        </is>
      </c>
      <c r="D699" s="1" t="inlineStr">
        <is>
          <t>V03</t>
        </is>
      </c>
      <c r="E699" s="1" t="inlineStr">
        <is>
          <t>2027BUD_V1</t>
        </is>
      </c>
      <c r="F699" s="1" t="inlineStr">
        <is>
          <t>12</t>
        </is>
      </c>
      <c r="G699" s="1" t="n">
        <v>1343924.8935</v>
      </c>
      <c r="H699" s="25">
        <f>_CALC_PNL!P699</f>
        <v/>
      </c>
      <c r="I699" s="25">
        <f>IF(_CALC_PNL!E699=1,H699-G699,"")</f>
        <v/>
      </c>
    </row>
    <row r="700">
      <c r="A700" s="1" t="inlineStr">
        <is>
          <t>MBWAY_PAR</t>
        </is>
      </c>
      <c r="B700" s="1" t="inlineStr">
        <is>
          <t>645</t>
        </is>
      </c>
      <c r="C700" s="1" t="inlineStr">
        <is>
          <t>2027</t>
        </is>
      </c>
      <c r="D700" s="1" t="inlineStr">
        <is>
          <t>V01</t>
        </is>
      </c>
      <c r="E700" s="1" t="inlineStr">
        <is>
          <t>2027BUD_V1</t>
        </is>
      </c>
      <c r="F700" s="1" t="inlineStr">
        <is>
          <t>12</t>
        </is>
      </c>
      <c r="G700" s="1" t="n">
        <v>579384.858</v>
      </c>
      <c r="H700" s="25">
        <f>_CALC_PNL!P700</f>
        <v/>
      </c>
      <c r="I700" s="25">
        <f>IF(_CALC_PNL!E700=1,H700-G700,"")</f>
        <v/>
      </c>
    </row>
    <row r="701">
      <c r="A701" s="1" t="inlineStr">
        <is>
          <t>MBWAY_PAR</t>
        </is>
      </c>
      <c r="B701" s="1" t="inlineStr">
        <is>
          <t>645</t>
        </is>
      </c>
      <c r="C701" s="1" t="inlineStr">
        <is>
          <t>2027</t>
        </is>
      </c>
      <c r="D701" s="1" t="inlineStr">
        <is>
          <t>V02</t>
        </is>
      </c>
      <c r="E701" s="1" t="inlineStr">
        <is>
          <t>2027BUD_V1</t>
        </is>
      </c>
      <c r="F701" s="1" t="inlineStr">
        <is>
          <t>12</t>
        </is>
      </c>
      <c r="G701" s="1" t="n">
        <v>571014.7578</v>
      </c>
      <c r="H701" s="25">
        <f>_CALC_PNL!P701</f>
        <v/>
      </c>
      <c r="I701" s="25">
        <f>IF(_CALC_PNL!E701=1,H701-G701,"")</f>
        <v/>
      </c>
    </row>
    <row r="702">
      <c r="A702" s="1" t="inlineStr">
        <is>
          <t>MBWAY_PAR</t>
        </is>
      </c>
      <c r="B702" s="1" t="inlineStr">
        <is>
          <t>645</t>
        </is>
      </c>
      <c r="C702" s="1" t="inlineStr">
        <is>
          <t>2027</t>
        </is>
      </c>
      <c r="D702" s="1" t="inlineStr">
        <is>
          <t>V03</t>
        </is>
      </c>
      <c r="E702" s="1" t="inlineStr">
        <is>
          <t>2027BUD_V1</t>
        </is>
      </c>
      <c r="F702" s="1" t="inlineStr">
        <is>
          <t>12</t>
        </is>
      </c>
      <c r="G702" s="1" t="n">
        <v>587809.3095</v>
      </c>
      <c r="H702" s="25">
        <f>_CALC_PNL!P702</f>
        <v/>
      </c>
      <c r="I702" s="25">
        <f>IF(_CALC_PNL!E702=1,H702-G702,"")</f>
        <v/>
      </c>
    </row>
    <row r="703">
      <c r="A703" s="1" t="inlineStr">
        <is>
          <t>MBWAY_LYO</t>
        </is>
      </c>
      <c r="B703" s="1" t="inlineStr">
        <is>
          <t>645</t>
        </is>
      </c>
      <c r="C703" s="1" t="inlineStr">
        <is>
          <t>2027</t>
        </is>
      </c>
      <c r="D703" s="1" t="inlineStr">
        <is>
          <t>V01</t>
        </is>
      </c>
      <c r="E703" s="1" t="inlineStr">
        <is>
          <t>2027BUD_V1</t>
        </is>
      </c>
      <c r="F703" s="1" t="inlineStr">
        <is>
          <t>12</t>
        </is>
      </c>
      <c r="G703" s="1" t="n">
        <v>339743.794</v>
      </c>
      <c r="H703" s="25">
        <f>_CALC_PNL!P703</f>
        <v/>
      </c>
      <c r="I703" s="25">
        <f>IF(_CALC_PNL!E703=1,H703-G703,"")</f>
        <v/>
      </c>
    </row>
    <row r="704">
      <c r="A704" s="1" t="inlineStr">
        <is>
          <t>MBWAY_LYO</t>
        </is>
      </c>
      <c r="B704" s="1" t="inlineStr">
        <is>
          <t>645</t>
        </is>
      </c>
      <c r="C704" s="1" t="inlineStr">
        <is>
          <t>2027</t>
        </is>
      </c>
      <c r="D704" s="1" t="inlineStr">
        <is>
          <t>V02</t>
        </is>
      </c>
      <c r="E704" s="1" t="inlineStr">
        <is>
          <t>2027BUD_V1</t>
        </is>
      </c>
      <c r="F704" s="1" t="inlineStr">
        <is>
          <t>12</t>
        </is>
      </c>
      <c r="G704" s="1" t="n">
        <v>334835.6754</v>
      </c>
      <c r="H704" s="25">
        <f>_CALC_PNL!P704</f>
        <v/>
      </c>
      <c r="I704" s="25">
        <f>IF(_CALC_PNL!E704=1,H704-G704,"")</f>
        <v/>
      </c>
    </row>
    <row r="705">
      <c r="A705" s="1" t="inlineStr">
        <is>
          <t>MBWAY_LYO</t>
        </is>
      </c>
      <c r="B705" s="1" t="inlineStr">
        <is>
          <t>645</t>
        </is>
      </c>
      <c r="C705" s="1" t="inlineStr">
        <is>
          <t>2027</t>
        </is>
      </c>
      <c r="D705" s="1" t="inlineStr">
        <is>
          <t>V03</t>
        </is>
      </c>
      <c r="E705" s="1" t="inlineStr">
        <is>
          <t>2027BUD_V1</t>
        </is>
      </c>
      <c r="F705" s="1" t="inlineStr">
        <is>
          <t>12</t>
        </is>
      </c>
      <c r="G705" s="1" t="n">
        <v>344683.7835</v>
      </c>
      <c r="H705" s="25">
        <f>_CALC_PNL!P705</f>
        <v/>
      </c>
      <c r="I705" s="25">
        <f>IF(_CALC_PNL!E705=1,H705-G705,"")</f>
        <v/>
      </c>
    </row>
    <row r="706">
      <c r="A706" s="1" t="inlineStr">
        <is>
          <t>MBWAY_NAN</t>
        </is>
      </c>
      <c r="B706" s="1" t="inlineStr">
        <is>
          <t>645</t>
        </is>
      </c>
      <c r="C706" s="1" t="inlineStr">
        <is>
          <t>2027</t>
        </is>
      </c>
      <c r="D706" s="1" t="inlineStr">
        <is>
          <t>V01</t>
        </is>
      </c>
      <c r="E706" s="1" t="inlineStr">
        <is>
          <t>2027BUD_V1</t>
        </is>
      </c>
      <c r="F706" s="1" t="inlineStr">
        <is>
          <t>12</t>
        </is>
      </c>
      <c r="G706" s="1" t="n">
        <v>275256.124</v>
      </c>
      <c r="H706" s="25">
        <f>_CALC_PNL!P706</f>
        <v/>
      </c>
      <c r="I706" s="25">
        <f>IF(_CALC_PNL!E706=1,H706-G706,"")</f>
        <v/>
      </c>
    </row>
    <row r="707">
      <c r="A707" s="1" t="inlineStr">
        <is>
          <t>MBWAY_NAN</t>
        </is>
      </c>
      <c r="B707" s="1" t="inlineStr">
        <is>
          <t>645</t>
        </is>
      </c>
      <c r="C707" s="1" t="inlineStr">
        <is>
          <t>2027</t>
        </is>
      </c>
      <c r="D707" s="1" t="inlineStr">
        <is>
          <t>V02</t>
        </is>
      </c>
      <c r="E707" s="1" t="inlineStr">
        <is>
          <t>2027BUD_V1</t>
        </is>
      </c>
      <c r="F707" s="1" t="inlineStr">
        <is>
          <t>12</t>
        </is>
      </c>
      <c r="G707" s="1" t="n">
        <v>271279.6284</v>
      </c>
      <c r="H707" s="25">
        <f>_CALC_PNL!P707</f>
        <v/>
      </c>
      <c r="I707" s="25">
        <f>IF(_CALC_PNL!E707=1,H707-G707,"")</f>
        <v/>
      </c>
    </row>
    <row r="708">
      <c r="A708" s="1" t="inlineStr">
        <is>
          <t>MBWAY_NAN</t>
        </is>
      </c>
      <c r="B708" s="1" t="inlineStr">
        <is>
          <t>645</t>
        </is>
      </c>
      <c r="C708" s="1" t="inlineStr">
        <is>
          <t>2027</t>
        </is>
      </c>
      <c r="D708" s="1" t="inlineStr">
        <is>
          <t>V03</t>
        </is>
      </c>
      <c r="E708" s="1" t="inlineStr">
        <is>
          <t>2027BUD_V1</t>
        </is>
      </c>
      <c r="F708" s="1" t="inlineStr">
        <is>
          <t>12</t>
        </is>
      </c>
      <c r="G708" s="1" t="n">
        <v>279258.441</v>
      </c>
      <c r="H708" s="25">
        <f>_CALC_PNL!P708</f>
        <v/>
      </c>
      <c r="I708" s="25">
        <f>IF(_CALC_PNL!E708=1,H708-G708,"")</f>
        <v/>
      </c>
    </row>
    <row r="709">
      <c r="A709" s="1" t="inlineStr">
        <is>
          <t>MBWAY_BOR</t>
        </is>
      </c>
      <c r="B709" s="1" t="inlineStr">
        <is>
          <t>645</t>
        </is>
      </c>
      <c r="C709" s="1" t="inlineStr">
        <is>
          <t>2027</t>
        </is>
      </c>
      <c r="D709" s="1" t="inlineStr">
        <is>
          <t>V01</t>
        </is>
      </c>
      <c r="E709" s="1" t="inlineStr">
        <is>
          <t>2027BUD_V1</t>
        </is>
      </c>
      <c r="F709" s="1" t="inlineStr">
        <is>
          <t>12</t>
        </is>
      </c>
      <c r="G709" s="1" t="n">
        <v>244781.316</v>
      </c>
      <c r="H709" s="25">
        <f>_CALC_PNL!P709</f>
        <v/>
      </c>
      <c r="I709" s="25">
        <f>IF(_CALC_PNL!E709=1,H709-G709,"")</f>
        <v/>
      </c>
    </row>
    <row r="710">
      <c r="A710" s="1" t="inlineStr">
        <is>
          <t>MBWAY_BOR</t>
        </is>
      </c>
      <c r="B710" s="1" t="inlineStr">
        <is>
          <t>645</t>
        </is>
      </c>
      <c r="C710" s="1" t="inlineStr">
        <is>
          <t>2027</t>
        </is>
      </c>
      <c r="D710" s="1" t="inlineStr">
        <is>
          <t>V02</t>
        </is>
      </c>
      <c r="E710" s="1" t="inlineStr">
        <is>
          <t>2027BUD_V1</t>
        </is>
      </c>
      <c r="F710" s="1" t="inlineStr">
        <is>
          <t>12</t>
        </is>
      </c>
      <c r="G710" s="1" t="n">
        <v>241245.0756</v>
      </c>
      <c r="H710" s="25">
        <f>_CALC_PNL!P710</f>
        <v/>
      </c>
      <c r="I710" s="25">
        <f>IF(_CALC_PNL!E710=1,H710-G710,"")</f>
        <v/>
      </c>
    </row>
    <row r="711">
      <c r="A711" s="1" t="inlineStr">
        <is>
          <t>MBWAY_BOR</t>
        </is>
      </c>
      <c r="B711" s="1" t="inlineStr">
        <is>
          <t>645</t>
        </is>
      </c>
      <c r="C711" s="1" t="inlineStr">
        <is>
          <t>2027</t>
        </is>
      </c>
      <c r="D711" s="1" t="inlineStr">
        <is>
          <t>V03</t>
        </is>
      </c>
      <c r="E711" s="1" t="inlineStr">
        <is>
          <t>2027BUD_V1</t>
        </is>
      </c>
      <c r="F711" s="1" t="inlineStr">
        <is>
          <t>12</t>
        </is>
      </c>
      <c r="G711" s="1" t="n">
        <v>248340.519</v>
      </c>
      <c r="H711" s="25">
        <f>_CALC_PNL!P711</f>
        <v/>
      </c>
      <c r="I711" s="25">
        <f>IF(_CALC_PNL!E711=1,H711-G711,"")</f>
        <v/>
      </c>
    </row>
    <row r="712">
      <c r="A712" s="1" t="inlineStr">
        <is>
          <t>ISCOM_PAR</t>
        </is>
      </c>
      <c r="B712" s="1" t="inlineStr">
        <is>
          <t>645</t>
        </is>
      </c>
      <c r="C712" s="1" t="inlineStr">
        <is>
          <t>2027</t>
        </is>
      </c>
      <c r="D712" s="1" t="inlineStr">
        <is>
          <t>V01</t>
        </is>
      </c>
      <c r="E712" s="1" t="inlineStr">
        <is>
          <t>2027BUD_V1</t>
        </is>
      </c>
      <c r="F712" s="1" t="inlineStr">
        <is>
          <t>12</t>
        </is>
      </c>
      <c r="G712" s="1" t="n">
        <v>536916.4840000001</v>
      </c>
      <c r="H712" s="25">
        <f>_CALC_PNL!P712</f>
        <v/>
      </c>
      <c r="I712" s="25">
        <f>IF(_CALC_PNL!E712=1,H712-G712,"")</f>
        <v/>
      </c>
    </row>
    <row r="713">
      <c r="A713" s="1" t="inlineStr">
        <is>
          <t>ISCOM_PAR</t>
        </is>
      </c>
      <c r="B713" s="1" t="inlineStr">
        <is>
          <t>645</t>
        </is>
      </c>
      <c r="C713" s="1" t="inlineStr">
        <is>
          <t>2027</t>
        </is>
      </c>
      <c r="D713" s="1" t="inlineStr">
        <is>
          <t>V02</t>
        </is>
      </c>
      <c r="E713" s="1" t="inlineStr">
        <is>
          <t>2027BUD_V1</t>
        </is>
      </c>
      <c r="F713" s="1" t="inlineStr">
        <is>
          <t>12</t>
        </is>
      </c>
      <c r="G713" s="1" t="n">
        <v>529159.9044</v>
      </c>
      <c r="H713" s="25">
        <f>_CALC_PNL!P713</f>
        <v/>
      </c>
      <c r="I713" s="25">
        <f>IF(_CALC_PNL!E713=1,H713-G713,"")</f>
        <v/>
      </c>
    </row>
    <row r="714">
      <c r="A714" s="1" t="inlineStr">
        <is>
          <t>ISCOM_PAR</t>
        </is>
      </c>
      <c r="B714" s="1" t="inlineStr">
        <is>
          <t>645</t>
        </is>
      </c>
      <c r="C714" s="1" t="inlineStr">
        <is>
          <t>2027</t>
        </is>
      </c>
      <c r="D714" s="1" t="inlineStr">
        <is>
          <t>V03</t>
        </is>
      </c>
      <c r="E714" s="1" t="inlineStr">
        <is>
          <t>2027BUD_V1</t>
        </is>
      </c>
      <c r="F714" s="1" t="inlineStr">
        <is>
          <t>12</t>
        </is>
      </c>
      <c r="G714" s="1" t="n">
        <v>544723.431</v>
      </c>
      <c r="H714" s="25">
        <f>_CALC_PNL!P714</f>
        <v/>
      </c>
      <c r="I714" s="25">
        <f>IF(_CALC_PNL!E714=1,H714-G714,"")</f>
        <v/>
      </c>
    </row>
    <row r="715">
      <c r="A715" s="1" t="inlineStr">
        <is>
          <t>ISCOM_LIL</t>
        </is>
      </c>
      <c r="B715" s="1" t="inlineStr">
        <is>
          <t>645</t>
        </is>
      </c>
      <c r="C715" s="1" t="inlineStr">
        <is>
          <t>2027</t>
        </is>
      </c>
      <c r="D715" s="1" t="inlineStr">
        <is>
          <t>V01</t>
        </is>
      </c>
      <c r="E715" s="1" t="inlineStr">
        <is>
          <t>2027BUD_V1</t>
        </is>
      </c>
      <c r="F715" s="1" t="inlineStr">
        <is>
          <t>12</t>
        </is>
      </c>
      <c r="G715" s="1" t="n">
        <v>210168.296</v>
      </c>
      <c r="H715" s="25">
        <f>_CALC_PNL!P715</f>
        <v/>
      </c>
      <c r="I715" s="25">
        <f>IF(_CALC_PNL!E715=1,H715-G715,"")</f>
        <v/>
      </c>
    </row>
    <row r="716">
      <c r="A716" s="1" t="inlineStr">
        <is>
          <t>ISCOM_LIL</t>
        </is>
      </c>
      <c r="B716" s="1" t="inlineStr">
        <is>
          <t>645</t>
        </is>
      </c>
      <c r="C716" s="1" t="inlineStr">
        <is>
          <t>2027</t>
        </is>
      </c>
      <c r="D716" s="1" t="inlineStr">
        <is>
          <t>V02</t>
        </is>
      </c>
      <c r="E716" s="1" t="inlineStr">
        <is>
          <t>2027BUD_V1</t>
        </is>
      </c>
      <c r="F716" s="1" t="inlineStr">
        <is>
          <t>12</t>
        </is>
      </c>
      <c r="G716" s="1" t="n">
        <v>207132.0936</v>
      </c>
      <c r="H716" s="25">
        <f>_CALC_PNL!P716</f>
        <v/>
      </c>
      <c r="I716" s="25">
        <f>IF(_CALC_PNL!E716=1,H716-G716,"")</f>
        <v/>
      </c>
    </row>
    <row r="717">
      <c r="A717" s="1" t="inlineStr">
        <is>
          <t>ISCOM_LIL</t>
        </is>
      </c>
      <c r="B717" s="1" t="inlineStr">
        <is>
          <t>645</t>
        </is>
      </c>
      <c r="C717" s="1" t="inlineStr">
        <is>
          <t>2027</t>
        </is>
      </c>
      <c r="D717" s="1" t="inlineStr">
        <is>
          <t>V03</t>
        </is>
      </c>
      <c r="E717" s="1" t="inlineStr">
        <is>
          <t>2027BUD_V1</t>
        </is>
      </c>
      <c r="F717" s="1" t="inlineStr">
        <is>
          <t>12</t>
        </is>
      </c>
      <c r="G717" s="1" t="n">
        <v>213224.214</v>
      </c>
      <c r="H717" s="25">
        <f>_CALC_PNL!P717</f>
        <v/>
      </c>
      <c r="I717" s="25">
        <f>IF(_CALC_PNL!E717=1,H717-G717,"")</f>
        <v/>
      </c>
    </row>
    <row r="718">
      <c r="A718" s="1" t="inlineStr">
        <is>
          <t>ISCOM_TLS</t>
        </is>
      </c>
      <c r="B718" s="1" t="inlineStr">
        <is>
          <t>645</t>
        </is>
      </c>
      <c r="C718" s="1" t="inlineStr">
        <is>
          <t>2027</t>
        </is>
      </c>
      <c r="D718" s="1" t="inlineStr">
        <is>
          <t>V01</t>
        </is>
      </c>
      <c r="E718" s="1" t="inlineStr">
        <is>
          <t>2027BUD_V1</t>
        </is>
      </c>
      <c r="F718" s="1" t="inlineStr">
        <is>
          <t>12</t>
        </is>
      </c>
      <c r="G718" s="1" t="n">
        <v>194645.204</v>
      </c>
      <c r="H718" s="25">
        <f>_CALC_PNL!P718</f>
        <v/>
      </c>
      <c r="I718" s="25">
        <f>IF(_CALC_PNL!E718=1,H718-G718,"")</f>
        <v/>
      </c>
    </row>
    <row r="719">
      <c r="A719" s="1" t="inlineStr">
        <is>
          <t>ISCOM_TLS</t>
        </is>
      </c>
      <c r="B719" s="1" t="inlineStr">
        <is>
          <t>645</t>
        </is>
      </c>
      <c r="C719" s="1" t="inlineStr">
        <is>
          <t>2027</t>
        </is>
      </c>
      <c r="D719" s="1" t="inlineStr">
        <is>
          <t>V02</t>
        </is>
      </c>
      <c r="E719" s="1" t="inlineStr">
        <is>
          <t>2027BUD_V1</t>
        </is>
      </c>
      <c r="F719" s="1" t="inlineStr">
        <is>
          <t>12</t>
        </is>
      </c>
      <c r="G719" s="1" t="n">
        <v>191833.2564</v>
      </c>
      <c r="H719" s="25">
        <f>_CALC_PNL!P719</f>
        <v/>
      </c>
      <c r="I719" s="25">
        <f>IF(_CALC_PNL!E719=1,H719-G719,"")</f>
        <v/>
      </c>
    </row>
    <row r="720">
      <c r="A720" s="1" t="inlineStr">
        <is>
          <t>ISCOM_TLS</t>
        </is>
      </c>
      <c r="B720" s="1" t="inlineStr">
        <is>
          <t>645</t>
        </is>
      </c>
      <c r="C720" s="1" t="inlineStr">
        <is>
          <t>2027</t>
        </is>
      </c>
      <c r="D720" s="1" t="inlineStr">
        <is>
          <t>V03</t>
        </is>
      </c>
      <c r="E720" s="1" t="inlineStr">
        <is>
          <t>2027BUD_V1</t>
        </is>
      </c>
      <c r="F720" s="1" t="inlineStr">
        <is>
          <t>12</t>
        </is>
      </c>
      <c r="G720" s="1" t="n">
        <v>197475.411</v>
      </c>
      <c r="H720" s="25">
        <f>_CALC_PNL!P720</f>
        <v/>
      </c>
      <c r="I720" s="25">
        <f>IF(_CALC_PNL!E720=1,H720-G720,"")</f>
        <v/>
      </c>
    </row>
    <row r="721">
      <c r="A721" s="1" t="inlineStr">
        <is>
          <t>IPAC_NAN</t>
        </is>
      </c>
      <c r="B721" s="1" t="inlineStr">
        <is>
          <t>645</t>
        </is>
      </c>
      <c r="C721" s="1" t="inlineStr">
        <is>
          <t>2027</t>
        </is>
      </c>
      <c r="D721" s="1" t="inlineStr">
        <is>
          <t>V01</t>
        </is>
      </c>
      <c r="E721" s="1" t="inlineStr">
        <is>
          <t>2027BUD_V1</t>
        </is>
      </c>
      <c r="F721" s="1" t="inlineStr">
        <is>
          <t>12</t>
        </is>
      </c>
      <c r="G721" s="1" t="n">
        <v>135755.1</v>
      </c>
      <c r="H721" s="25">
        <f>_CALC_PNL!P721</f>
        <v/>
      </c>
      <c r="I721" s="25">
        <f>IF(_CALC_PNL!E721=1,H721-G721,"")</f>
        <v/>
      </c>
    </row>
    <row r="722">
      <c r="A722" s="1" t="inlineStr">
        <is>
          <t>IPAC_NAN</t>
        </is>
      </c>
      <c r="B722" s="1" t="inlineStr">
        <is>
          <t>645</t>
        </is>
      </c>
      <c r="C722" s="1" t="inlineStr">
        <is>
          <t>2027</t>
        </is>
      </c>
      <c r="D722" s="1" t="inlineStr">
        <is>
          <t>V02</t>
        </is>
      </c>
      <c r="E722" s="1" t="inlineStr">
        <is>
          <t>2027BUD_V1</t>
        </is>
      </c>
      <c r="F722" s="1" t="inlineStr">
        <is>
          <t>12</t>
        </is>
      </c>
      <c r="G722" s="1" t="n">
        <v>133793.91</v>
      </c>
      <c r="H722" s="25">
        <f>_CALC_PNL!P722</f>
        <v/>
      </c>
      <c r="I722" s="25">
        <f>IF(_CALC_PNL!E722=1,H722-G722,"")</f>
        <v/>
      </c>
    </row>
    <row r="723">
      <c r="A723" s="1" t="inlineStr">
        <is>
          <t>IPAC_NAN</t>
        </is>
      </c>
      <c r="B723" s="1" t="inlineStr">
        <is>
          <t>645</t>
        </is>
      </c>
      <c r="C723" s="1" t="inlineStr">
        <is>
          <t>2027</t>
        </is>
      </c>
      <c r="D723" s="1" t="inlineStr">
        <is>
          <t>V03</t>
        </is>
      </c>
      <c r="E723" s="1" t="inlineStr">
        <is>
          <t>2027BUD_V1</t>
        </is>
      </c>
      <c r="F723" s="1" t="inlineStr">
        <is>
          <t>12</t>
        </is>
      </c>
      <c r="G723" s="1" t="n">
        <v>137729.025</v>
      </c>
      <c r="H723" s="25">
        <f>_CALC_PNL!P723</f>
        <v/>
      </c>
      <c r="I723" s="25">
        <f>IF(_CALC_PNL!E723=1,H723-G723,"")</f>
        <v/>
      </c>
    </row>
    <row r="724">
      <c r="A724" s="1" t="inlineStr">
        <is>
          <t>IPAC_REN</t>
        </is>
      </c>
      <c r="B724" s="1" t="inlineStr">
        <is>
          <t>645</t>
        </is>
      </c>
      <c r="C724" s="1" t="inlineStr">
        <is>
          <t>2027</t>
        </is>
      </c>
      <c r="D724" s="1" t="inlineStr">
        <is>
          <t>V01</t>
        </is>
      </c>
      <c r="E724" s="1" t="inlineStr">
        <is>
          <t>2027BUD_V1</t>
        </is>
      </c>
      <c r="F724" s="1" t="inlineStr">
        <is>
          <t>12</t>
        </is>
      </c>
      <c r="G724" s="1" t="n">
        <v>96395.182</v>
      </c>
      <c r="H724" s="25">
        <f>_CALC_PNL!P724</f>
        <v/>
      </c>
      <c r="I724" s="25">
        <f>IF(_CALC_PNL!E724=1,H724-G724,"")</f>
        <v/>
      </c>
    </row>
    <row r="725">
      <c r="A725" s="1" t="inlineStr">
        <is>
          <t>IPAC_REN</t>
        </is>
      </c>
      <c r="B725" s="1" t="inlineStr">
        <is>
          <t>645</t>
        </is>
      </c>
      <c r="C725" s="1" t="inlineStr">
        <is>
          <t>2027</t>
        </is>
      </c>
      <c r="D725" s="1" t="inlineStr">
        <is>
          <t>V02</t>
        </is>
      </c>
      <c r="E725" s="1" t="inlineStr">
        <is>
          <t>2027BUD_V1</t>
        </is>
      </c>
      <c r="F725" s="1" t="inlineStr">
        <is>
          <t>12</t>
        </is>
      </c>
      <c r="G725" s="1" t="n">
        <v>95002.60619999999</v>
      </c>
      <c r="H725" s="25">
        <f>_CALC_PNL!P725</f>
        <v/>
      </c>
      <c r="I725" s="25">
        <f>IF(_CALC_PNL!E725=1,H725-G725,"")</f>
        <v/>
      </c>
    </row>
    <row r="726">
      <c r="A726" s="1" t="inlineStr">
        <is>
          <t>IPAC_REN</t>
        </is>
      </c>
      <c r="B726" s="1" t="inlineStr">
        <is>
          <t>645</t>
        </is>
      </c>
      <c r="C726" s="1" t="inlineStr">
        <is>
          <t>2027</t>
        </is>
      </c>
      <c r="D726" s="1" t="inlineStr">
        <is>
          <t>V03</t>
        </is>
      </c>
      <c r="E726" s="1" t="inlineStr">
        <is>
          <t>2027BUD_V1</t>
        </is>
      </c>
      <c r="F726" s="1" t="inlineStr">
        <is>
          <t>12</t>
        </is>
      </c>
      <c r="G726" s="1" t="n">
        <v>97796.8005</v>
      </c>
      <c r="H726" s="25">
        <f>_CALC_PNL!P726</f>
        <v/>
      </c>
      <c r="I726" s="25">
        <f>IF(_CALC_PNL!E726=1,H726-G726,"")</f>
        <v/>
      </c>
    </row>
    <row r="727">
      <c r="A727" s="1" t="inlineStr">
        <is>
          <t>IPAC_MTP</t>
        </is>
      </c>
      <c r="B727" s="1" t="inlineStr">
        <is>
          <t>645</t>
        </is>
      </c>
      <c r="C727" s="1" t="inlineStr">
        <is>
          <t>2027</t>
        </is>
      </c>
      <c r="D727" s="1" t="inlineStr">
        <is>
          <t>V01</t>
        </is>
      </c>
      <c r="E727" s="1" t="inlineStr">
        <is>
          <t>2027BUD_V1</t>
        </is>
      </c>
      <c r="F727" s="1" t="inlineStr">
        <is>
          <t>12</t>
        </is>
      </c>
      <c r="G727" s="1" t="n">
        <v>96395.182</v>
      </c>
      <c r="H727" s="25">
        <f>_CALC_PNL!P727</f>
        <v/>
      </c>
      <c r="I727" s="25">
        <f>IF(_CALC_PNL!E727=1,H727-G727,"")</f>
        <v/>
      </c>
    </row>
    <row r="728">
      <c r="A728" s="1" t="inlineStr">
        <is>
          <t>IPAC_MTP</t>
        </is>
      </c>
      <c r="B728" s="1" t="inlineStr">
        <is>
          <t>645</t>
        </is>
      </c>
      <c r="C728" s="1" t="inlineStr">
        <is>
          <t>2027</t>
        </is>
      </c>
      <c r="D728" s="1" t="inlineStr">
        <is>
          <t>V02</t>
        </is>
      </c>
      <c r="E728" s="1" t="inlineStr">
        <is>
          <t>2027BUD_V1</t>
        </is>
      </c>
      <c r="F728" s="1" t="inlineStr">
        <is>
          <t>12</t>
        </is>
      </c>
      <c r="G728" s="1" t="n">
        <v>95002.60619999999</v>
      </c>
      <c r="H728" s="25">
        <f>_CALC_PNL!P728</f>
        <v/>
      </c>
      <c r="I728" s="25">
        <f>IF(_CALC_PNL!E728=1,H728-G728,"")</f>
        <v/>
      </c>
    </row>
    <row r="729">
      <c r="A729" s="1" t="inlineStr">
        <is>
          <t>IPAC_MTP</t>
        </is>
      </c>
      <c r="B729" s="1" t="inlineStr">
        <is>
          <t>645</t>
        </is>
      </c>
      <c r="C729" s="1" t="inlineStr">
        <is>
          <t>2027</t>
        </is>
      </c>
      <c r="D729" s="1" t="inlineStr">
        <is>
          <t>V03</t>
        </is>
      </c>
      <c r="E729" s="1" t="inlineStr">
        <is>
          <t>2027BUD_V1</t>
        </is>
      </c>
      <c r="F729" s="1" t="inlineStr">
        <is>
          <t>12</t>
        </is>
      </c>
      <c r="G729" s="1" t="n">
        <v>97796.8005</v>
      </c>
      <c r="H729" s="25">
        <f>_CALC_PNL!P729</f>
        <v/>
      </c>
      <c r="I729" s="25">
        <f>IF(_CALC_PNL!E729=1,H729-G729,"")</f>
        <v/>
      </c>
    </row>
    <row r="730">
      <c r="A730" s="1" t="inlineStr">
        <is>
          <t>PIGIER_LYO</t>
        </is>
      </c>
      <c r="B730" s="1" t="inlineStr">
        <is>
          <t>645</t>
        </is>
      </c>
      <c r="C730" s="1" t="inlineStr">
        <is>
          <t>2027</t>
        </is>
      </c>
      <c r="D730" s="1" t="inlineStr">
        <is>
          <t>V01</t>
        </is>
      </c>
      <c r="E730" s="1" t="inlineStr">
        <is>
          <t>2027BUD_V1</t>
        </is>
      </c>
      <c r="F730" s="1" t="inlineStr">
        <is>
          <t>12</t>
        </is>
      </c>
      <c r="G730" s="1" t="n">
        <v>190843.848</v>
      </c>
      <c r="H730" s="25">
        <f>_CALC_PNL!P730</f>
        <v/>
      </c>
      <c r="I730" s="25">
        <f>IF(_CALC_PNL!E730=1,H730-G730,"")</f>
        <v/>
      </c>
    </row>
    <row r="731">
      <c r="A731" s="1" t="inlineStr">
        <is>
          <t>PIGIER_LYO</t>
        </is>
      </c>
      <c r="B731" s="1" t="inlineStr">
        <is>
          <t>645</t>
        </is>
      </c>
      <c r="C731" s="1" t="inlineStr">
        <is>
          <t>2027</t>
        </is>
      </c>
      <c r="D731" s="1" t="inlineStr">
        <is>
          <t>V02</t>
        </is>
      </c>
      <c r="E731" s="1" t="inlineStr">
        <is>
          <t>2027BUD_V1</t>
        </is>
      </c>
      <c r="F731" s="1" t="inlineStr">
        <is>
          <t>12</t>
        </is>
      </c>
      <c r="G731" s="1" t="n">
        <v>188086.8168</v>
      </c>
      <c r="H731" s="25">
        <f>_CALC_PNL!P731</f>
        <v/>
      </c>
      <c r="I731" s="25">
        <f>IF(_CALC_PNL!E731=1,H731-G731,"")</f>
        <v/>
      </c>
    </row>
    <row r="732">
      <c r="A732" s="1" t="inlineStr">
        <is>
          <t>PIGIER_LYO</t>
        </is>
      </c>
      <c r="B732" s="1" t="inlineStr">
        <is>
          <t>645</t>
        </is>
      </c>
      <c r="C732" s="1" t="inlineStr">
        <is>
          <t>2027</t>
        </is>
      </c>
      <c r="D732" s="1" t="inlineStr">
        <is>
          <t>V03</t>
        </is>
      </c>
      <c r="E732" s="1" t="inlineStr">
        <is>
          <t>2027BUD_V1</t>
        </is>
      </c>
      <c r="F732" s="1" t="inlineStr">
        <is>
          <t>12</t>
        </is>
      </c>
      <c r="G732" s="1" t="n">
        <v>193618.782</v>
      </c>
      <c r="H732" s="25">
        <f>_CALC_PNL!P732</f>
        <v/>
      </c>
      <c r="I732" s="25">
        <f>IF(_CALC_PNL!E732=1,H732-G732,"")</f>
        <v/>
      </c>
    </row>
    <row r="733">
      <c r="A733" s="1" t="inlineStr">
        <is>
          <t>PIGIER_BOR</t>
        </is>
      </c>
      <c r="B733" s="1" t="inlineStr">
        <is>
          <t>645</t>
        </is>
      </c>
      <c r="C733" s="1" t="inlineStr">
        <is>
          <t>2027</t>
        </is>
      </c>
      <c r="D733" s="1" t="inlineStr">
        <is>
          <t>V01</t>
        </is>
      </c>
      <c r="E733" s="1" t="inlineStr">
        <is>
          <t>2027BUD_V1</t>
        </is>
      </c>
      <c r="F733" s="1" t="inlineStr">
        <is>
          <t>12</t>
        </is>
      </c>
      <c r="G733" s="1" t="n">
        <v>139593.766</v>
      </c>
      <c r="H733" s="25">
        <f>_CALC_PNL!P733</f>
        <v/>
      </c>
      <c r="I733" s="25">
        <f>IF(_CALC_PNL!E733=1,H733-G733,"")</f>
        <v/>
      </c>
    </row>
    <row r="734">
      <c r="A734" s="1" t="inlineStr">
        <is>
          <t>PIGIER_BOR</t>
        </is>
      </c>
      <c r="B734" s="1" t="inlineStr">
        <is>
          <t>645</t>
        </is>
      </c>
      <c r="C734" s="1" t="inlineStr">
        <is>
          <t>2027</t>
        </is>
      </c>
      <c r="D734" s="1" t="inlineStr">
        <is>
          <t>V02</t>
        </is>
      </c>
      <c r="E734" s="1" t="inlineStr">
        <is>
          <t>2027BUD_V1</t>
        </is>
      </c>
      <c r="F734" s="1" t="inlineStr">
        <is>
          <t>12</t>
        </is>
      </c>
      <c r="G734" s="1" t="n">
        <v>137577.1206</v>
      </c>
      <c r="H734" s="25">
        <f>_CALC_PNL!P734</f>
        <v/>
      </c>
      <c r="I734" s="25">
        <f>IF(_CALC_PNL!E734=1,H734-G734,"")</f>
        <v/>
      </c>
    </row>
    <row r="735">
      <c r="A735" s="1" t="inlineStr">
        <is>
          <t>PIGIER_BOR</t>
        </is>
      </c>
      <c r="B735" s="1" t="inlineStr">
        <is>
          <t>645</t>
        </is>
      </c>
      <c r="C735" s="1" t="inlineStr">
        <is>
          <t>2027</t>
        </is>
      </c>
      <c r="D735" s="1" t="inlineStr">
        <is>
          <t>V03</t>
        </is>
      </c>
      <c r="E735" s="1" t="inlineStr">
        <is>
          <t>2027BUD_V1</t>
        </is>
      </c>
      <c r="F735" s="1" t="inlineStr">
        <is>
          <t>12</t>
        </is>
      </c>
      <c r="G735" s="1" t="n">
        <v>141623.5065</v>
      </c>
      <c r="H735" s="25">
        <f>_CALC_PNL!P735</f>
        <v/>
      </c>
      <c r="I735" s="25">
        <f>IF(_CALC_PNL!E735=1,H735-G735,"")</f>
        <v/>
      </c>
    </row>
    <row r="736">
      <c r="A736" s="1" t="inlineStr">
        <is>
          <t>TUNON_PAR</t>
        </is>
      </c>
      <c r="B736" s="1" t="inlineStr">
        <is>
          <t>645</t>
        </is>
      </c>
      <c r="C736" s="1" t="inlineStr">
        <is>
          <t>2027</t>
        </is>
      </c>
      <c r="D736" s="1" t="inlineStr">
        <is>
          <t>V01</t>
        </is>
      </c>
      <c r="E736" s="1" t="inlineStr">
        <is>
          <t>2027BUD_V1</t>
        </is>
      </c>
      <c r="F736" s="1" t="inlineStr">
        <is>
          <t>12</t>
        </is>
      </c>
      <c r="G736" s="1" t="n">
        <v>209306.968</v>
      </c>
      <c r="H736" s="25">
        <f>_CALC_PNL!P736</f>
        <v/>
      </c>
      <c r="I736" s="25">
        <f>IF(_CALC_PNL!E736=1,H736-G736,"")</f>
        <v/>
      </c>
    </row>
    <row r="737">
      <c r="A737" s="1" t="inlineStr">
        <is>
          <t>TUNON_PAR</t>
        </is>
      </c>
      <c r="B737" s="1" t="inlineStr">
        <is>
          <t>645</t>
        </is>
      </c>
      <c r="C737" s="1" t="inlineStr">
        <is>
          <t>2027</t>
        </is>
      </c>
      <c r="D737" s="1" t="inlineStr">
        <is>
          <t>V02</t>
        </is>
      </c>
      <c r="E737" s="1" t="inlineStr">
        <is>
          <t>2027BUD_V1</t>
        </is>
      </c>
      <c r="F737" s="1" t="inlineStr">
        <is>
          <t>12</t>
        </is>
      </c>
      <c r="G737" s="1" t="n">
        <v>206283.2088</v>
      </c>
      <c r="H737" s="25">
        <f>_CALC_PNL!P737</f>
        <v/>
      </c>
      <c r="I737" s="25">
        <f>IF(_CALC_PNL!E737=1,H737-G737,"")</f>
        <v/>
      </c>
    </row>
    <row r="738">
      <c r="A738" s="1" t="inlineStr">
        <is>
          <t>TUNON_PAR</t>
        </is>
      </c>
      <c r="B738" s="1" t="inlineStr">
        <is>
          <t>645</t>
        </is>
      </c>
      <c r="C738" s="1" t="inlineStr">
        <is>
          <t>2027</t>
        </is>
      </c>
      <c r="D738" s="1" t="inlineStr">
        <is>
          <t>V03</t>
        </is>
      </c>
      <c r="E738" s="1" t="inlineStr">
        <is>
          <t>2027BUD_V1</t>
        </is>
      </c>
      <c r="F738" s="1" t="inlineStr">
        <is>
          <t>12</t>
        </is>
      </c>
      <c r="G738" s="1" t="n">
        <v>212350.362</v>
      </c>
      <c r="H738" s="25">
        <f>_CALC_PNL!P738</f>
        <v/>
      </c>
      <c r="I738" s="25">
        <f>IF(_CALC_PNL!E738=1,H738-G738,"")</f>
        <v/>
      </c>
    </row>
    <row r="739">
      <c r="A739" s="1" t="inlineStr">
        <is>
          <t>TUNON_LYO</t>
        </is>
      </c>
      <c r="B739" s="1" t="inlineStr">
        <is>
          <t>645</t>
        </is>
      </c>
      <c r="C739" s="1" t="inlineStr">
        <is>
          <t>2027</t>
        </is>
      </c>
      <c r="D739" s="1" t="inlineStr">
        <is>
          <t>V01</t>
        </is>
      </c>
      <c r="E739" s="1" t="inlineStr">
        <is>
          <t>2027BUD_V1</t>
        </is>
      </c>
      <c r="F739" s="1" t="inlineStr">
        <is>
          <t>12</t>
        </is>
      </c>
      <c r="G739" s="1" t="n">
        <v>122684.874</v>
      </c>
      <c r="H739" s="25">
        <f>_CALC_PNL!P739</f>
        <v/>
      </c>
      <c r="I739" s="25">
        <f>IF(_CALC_PNL!E739=1,H739-G739,"")</f>
        <v/>
      </c>
    </row>
    <row r="740">
      <c r="A740" s="1" t="inlineStr">
        <is>
          <t>TUNON_LYO</t>
        </is>
      </c>
      <c r="B740" s="1" t="inlineStr">
        <is>
          <t>645</t>
        </is>
      </c>
      <c r="C740" s="1" t="inlineStr">
        <is>
          <t>2027</t>
        </is>
      </c>
      <c r="D740" s="1" t="inlineStr">
        <is>
          <t>V02</t>
        </is>
      </c>
      <c r="E740" s="1" t="inlineStr">
        <is>
          <t>2027BUD_V1</t>
        </is>
      </c>
      <c r="F740" s="1" t="inlineStr">
        <is>
          <t>12</t>
        </is>
      </c>
      <c r="G740" s="1" t="n">
        <v>120912.5034</v>
      </c>
      <c r="H740" s="25">
        <f>_CALC_PNL!P740</f>
        <v/>
      </c>
      <c r="I740" s="25">
        <f>IF(_CALC_PNL!E740=1,H740-G740,"")</f>
        <v/>
      </c>
    </row>
    <row r="741">
      <c r="A741" s="1" t="inlineStr">
        <is>
          <t>TUNON_LYO</t>
        </is>
      </c>
      <c r="B741" s="1" t="inlineStr">
        <is>
          <t>645</t>
        </is>
      </c>
      <c r="C741" s="1" t="inlineStr">
        <is>
          <t>2027</t>
        </is>
      </c>
      <c r="D741" s="1" t="inlineStr">
        <is>
          <t>V03</t>
        </is>
      </c>
      <c r="E741" s="1" t="inlineStr">
        <is>
          <t>2027BUD_V1</t>
        </is>
      </c>
      <c r="F741" s="1" t="inlineStr">
        <is>
          <t>12</t>
        </is>
      </c>
      <c r="G741" s="1" t="n">
        <v>124468.7535</v>
      </c>
      <c r="H741" s="25">
        <f>_CALC_PNL!P741</f>
        <v/>
      </c>
      <c r="I741" s="25">
        <f>IF(_CALC_PNL!E741=1,H741-G741,"")</f>
        <v/>
      </c>
    </row>
    <row r="742">
      <c r="A742" s="1" t="inlineStr">
        <is>
          <t>MBWAY_PAR</t>
        </is>
      </c>
      <c r="B742" s="1" t="inlineStr">
        <is>
          <t>613</t>
        </is>
      </c>
      <c r="C742" s="1" t="inlineStr">
        <is>
          <t>2027</t>
        </is>
      </c>
      <c r="D742" s="1" t="inlineStr">
        <is>
          <t>V01</t>
        </is>
      </c>
      <c r="E742" s="1" t="inlineStr">
        <is>
          <t>2027BUD_V1</t>
        </is>
      </c>
      <c r="F742" s="1" t="inlineStr">
        <is>
          <t>12</t>
        </is>
      </c>
      <c r="G742" s="1" t="n">
        <v>377464.2498</v>
      </c>
      <c r="H742" s="25">
        <f>_CALC_PNL!P742</f>
        <v/>
      </c>
      <c r="I742" s="25">
        <f>IF(_CALC_PNL!E742=1,H742-G742,"")</f>
        <v/>
      </c>
    </row>
    <row r="743">
      <c r="A743" s="1" t="inlineStr">
        <is>
          <t>MBWAY_PAR</t>
        </is>
      </c>
      <c r="B743" s="1" t="inlineStr">
        <is>
          <t>613</t>
        </is>
      </c>
      <c r="C743" s="1" t="inlineStr">
        <is>
          <t>2027</t>
        </is>
      </c>
      <c r="D743" s="1" t="inlineStr">
        <is>
          <t>V02</t>
        </is>
      </c>
      <c r="E743" s="1" t="inlineStr">
        <is>
          <t>2027BUD_V1</t>
        </is>
      </c>
      <c r="F743" s="1" t="inlineStr">
        <is>
          <t>12</t>
        </is>
      </c>
      <c r="G743" s="1" t="n">
        <v>356985.0013135</v>
      </c>
      <c r="H743" s="25">
        <f>_CALC_PNL!P743</f>
        <v/>
      </c>
      <c r="I743" s="25">
        <f>IF(_CALC_PNL!E743=1,H743-G743,"")</f>
        <v/>
      </c>
    </row>
    <row r="744">
      <c r="A744" s="1" t="inlineStr">
        <is>
          <t>MBWAY_PAR</t>
        </is>
      </c>
      <c r="B744" s="1" t="inlineStr">
        <is>
          <t>613</t>
        </is>
      </c>
      <c r="C744" s="1" t="inlineStr">
        <is>
          <t>2027</t>
        </is>
      </c>
      <c r="D744" s="1" t="inlineStr">
        <is>
          <t>V03</t>
        </is>
      </c>
      <c r="E744" s="1" t="inlineStr">
        <is>
          <t>2027BUD_V1</t>
        </is>
      </c>
      <c r="F744" s="1" t="inlineStr">
        <is>
          <t>12</t>
        </is>
      </c>
      <c r="G744" s="1" t="n">
        <v>400415.6312</v>
      </c>
      <c r="H744" s="25">
        <f>_CALC_PNL!P744</f>
        <v/>
      </c>
      <c r="I744" s="25">
        <f>IF(_CALC_PNL!E744=1,H744-G744,"")</f>
        <v/>
      </c>
    </row>
    <row r="745">
      <c r="A745" s="1" t="inlineStr">
        <is>
          <t>MBWAY_LYO</t>
        </is>
      </c>
      <c r="B745" s="1" t="inlineStr">
        <is>
          <t>613</t>
        </is>
      </c>
      <c r="C745" s="1" t="inlineStr">
        <is>
          <t>2027</t>
        </is>
      </c>
      <c r="D745" s="1" t="inlineStr">
        <is>
          <t>V01</t>
        </is>
      </c>
      <c r="E745" s="1" t="inlineStr">
        <is>
          <t>2027BUD_V1</t>
        </is>
      </c>
      <c r="F745" s="1" t="inlineStr">
        <is>
          <t>12</t>
        </is>
      </c>
      <c r="G745" s="1" t="n">
        <v>226167.9354</v>
      </c>
      <c r="H745" s="25">
        <f>_CALC_PNL!P745</f>
        <v/>
      </c>
      <c r="I745" s="25">
        <f>IF(_CALC_PNL!E745=1,H745-G745,"")</f>
        <v/>
      </c>
    </row>
    <row r="746">
      <c r="A746" s="1" t="inlineStr">
        <is>
          <t>MBWAY_LYO</t>
        </is>
      </c>
      <c r="B746" s="1" t="inlineStr">
        <is>
          <t>613</t>
        </is>
      </c>
      <c r="C746" s="1" t="inlineStr">
        <is>
          <t>2027</t>
        </is>
      </c>
      <c r="D746" s="1" t="inlineStr">
        <is>
          <t>V02</t>
        </is>
      </c>
      <c r="E746" s="1" t="inlineStr">
        <is>
          <t>2027BUD_V1</t>
        </is>
      </c>
      <c r="F746" s="1" t="inlineStr">
        <is>
          <t>12</t>
        </is>
      </c>
      <c r="G746" s="1" t="n">
        <v>213897.2386355</v>
      </c>
      <c r="H746" s="25">
        <f>_CALC_PNL!P746</f>
        <v/>
      </c>
      <c r="I746" s="25">
        <f>IF(_CALC_PNL!E746=1,H746-G746,"")</f>
        <v/>
      </c>
    </row>
    <row r="747">
      <c r="A747" s="1" t="inlineStr">
        <is>
          <t>MBWAY_LYO</t>
        </is>
      </c>
      <c r="B747" s="1" t="inlineStr">
        <is>
          <t>613</t>
        </is>
      </c>
      <c r="C747" s="1" t="inlineStr">
        <is>
          <t>2027</t>
        </is>
      </c>
      <c r="D747" s="1" t="inlineStr">
        <is>
          <t>V03</t>
        </is>
      </c>
      <c r="E747" s="1" t="inlineStr">
        <is>
          <t>2027BUD_V1</t>
        </is>
      </c>
      <c r="F747" s="1" t="inlineStr">
        <is>
          <t>12</t>
        </is>
      </c>
      <c r="G747" s="1" t="n">
        <v>239919.8776</v>
      </c>
      <c r="H747" s="25">
        <f>_CALC_PNL!P747</f>
        <v/>
      </c>
      <c r="I747" s="25">
        <f>IF(_CALC_PNL!E747=1,H747-G747,"")</f>
        <v/>
      </c>
    </row>
    <row r="748">
      <c r="A748" s="1" t="inlineStr">
        <is>
          <t>MBWAY_NAN</t>
        </is>
      </c>
      <c r="B748" s="1" t="inlineStr">
        <is>
          <t>613</t>
        </is>
      </c>
      <c r="C748" s="1" t="inlineStr">
        <is>
          <t>2027</t>
        </is>
      </c>
      <c r="D748" s="1" t="inlineStr">
        <is>
          <t>V01</t>
        </is>
      </c>
      <c r="E748" s="1" t="inlineStr">
        <is>
          <t>2027BUD_V1</t>
        </is>
      </c>
      <c r="F748" s="1" t="inlineStr">
        <is>
          <t>12</t>
        </is>
      </c>
      <c r="G748" s="1" t="n">
        <v>186402.0114</v>
      </c>
      <c r="H748" s="25">
        <f>_CALC_PNL!P748</f>
        <v/>
      </c>
      <c r="I748" s="25">
        <f>IF(_CALC_PNL!E748=1,H748-G748,"")</f>
        <v/>
      </c>
    </row>
    <row r="749">
      <c r="A749" s="1" t="inlineStr">
        <is>
          <t>MBWAY_NAN</t>
        </is>
      </c>
      <c r="B749" s="1" t="inlineStr">
        <is>
          <t>613</t>
        </is>
      </c>
      <c r="C749" s="1" t="inlineStr">
        <is>
          <t>2027</t>
        </is>
      </c>
      <c r="D749" s="1" t="inlineStr">
        <is>
          <t>V02</t>
        </is>
      </c>
      <c r="E749" s="1" t="inlineStr">
        <is>
          <t>2027BUD_V1</t>
        </is>
      </c>
      <c r="F749" s="1" t="inlineStr">
        <is>
          <t>12</t>
        </is>
      </c>
      <c r="G749" s="1" t="n">
        <v>176288.8070055</v>
      </c>
      <c r="H749" s="25">
        <f>_CALC_PNL!P749</f>
        <v/>
      </c>
      <c r="I749" s="25">
        <f>IF(_CALC_PNL!E749=1,H749-G749,"")</f>
        <v/>
      </c>
    </row>
    <row r="750">
      <c r="A750" s="1" t="inlineStr">
        <is>
          <t>MBWAY_NAN</t>
        </is>
      </c>
      <c r="B750" s="1" t="inlineStr">
        <is>
          <t>613</t>
        </is>
      </c>
      <c r="C750" s="1" t="inlineStr">
        <is>
          <t>2027</t>
        </is>
      </c>
      <c r="D750" s="1" t="inlineStr">
        <is>
          <t>V03</t>
        </is>
      </c>
      <c r="E750" s="1" t="inlineStr">
        <is>
          <t>2027BUD_V1</t>
        </is>
      </c>
      <c r="F750" s="1" t="inlineStr">
        <is>
          <t>12</t>
        </is>
      </c>
      <c r="G750" s="1" t="n">
        <v>197736.0216</v>
      </c>
      <c r="H750" s="25">
        <f>_CALC_PNL!P750</f>
        <v/>
      </c>
      <c r="I750" s="25">
        <f>IF(_CALC_PNL!E750=1,H750-G750,"")</f>
        <v/>
      </c>
    </row>
    <row r="751">
      <c r="A751" s="1" t="inlineStr">
        <is>
          <t>MBWAY_BOR</t>
        </is>
      </c>
      <c r="B751" s="1" t="inlineStr">
        <is>
          <t>613</t>
        </is>
      </c>
      <c r="C751" s="1" t="inlineStr">
        <is>
          <t>2027</t>
        </is>
      </c>
      <c r="D751" s="1" t="inlineStr">
        <is>
          <t>V01</t>
        </is>
      </c>
      <c r="E751" s="1" t="inlineStr">
        <is>
          <t>2027BUD_V1</t>
        </is>
      </c>
      <c r="F751" s="1" t="inlineStr">
        <is>
          <t>12</t>
        </is>
      </c>
      <c r="G751" s="1" t="n">
        <v>163101.8862</v>
      </c>
      <c r="H751" s="25">
        <f>_CALC_PNL!P751</f>
        <v/>
      </c>
      <c r="I751" s="25">
        <f>IF(_CALC_PNL!E751=1,H751-G751,"")</f>
        <v/>
      </c>
    </row>
    <row r="752">
      <c r="A752" s="1" t="inlineStr">
        <is>
          <t>MBWAY_BOR</t>
        </is>
      </c>
      <c r="B752" s="1" t="inlineStr">
        <is>
          <t>613</t>
        </is>
      </c>
      <c r="C752" s="1" t="inlineStr">
        <is>
          <t>2027</t>
        </is>
      </c>
      <c r="D752" s="1" t="inlineStr">
        <is>
          <t>V02</t>
        </is>
      </c>
      <c r="E752" s="1" t="inlineStr">
        <is>
          <t>2027BUD_V1</t>
        </is>
      </c>
      <c r="F752" s="1" t="inlineStr">
        <is>
          <t>12</t>
        </is>
      </c>
      <c r="G752" s="1" t="n">
        <v>154252.8255065</v>
      </c>
      <c r="H752" s="25">
        <f>_CALC_PNL!P752</f>
        <v/>
      </c>
      <c r="I752" s="25">
        <f>IF(_CALC_PNL!E752=1,H752-G752,"")</f>
        <v/>
      </c>
    </row>
    <row r="753">
      <c r="A753" s="1" t="inlineStr">
        <is>
          <t>MBWAY_BOR</t>
        </is>
      </c>
      <c r="B753" s="1" t="inlineStr">
        <is>
          <t>613</t>
        </is>
      </c>
      <c r="C753" s="1" t="inlineStr">
        <is>
          <t>2027</t>
        </is>
      </c>
      <c r="D753" s="1" t="inlineStr">
        <is>
          <t>V03</t>
        </is>
      </c>
      <c r="E753" s="1" t="inlineStr">
        <is>
          <t>2027BUD_V1</t>
        </is>
      </c>
      <c r="F753" s="1" t="inlineStr">
        <is>
          <t>12</t>
        </is>
      </c>
      <c r="G753" s="1" t="n">
        <v>173019.1528</v>
      </c>
      <c r="H753" s="25">
        <f>_CALC_PNL!P753</f>
        <v/>
      </c>
      <c r="I753" s="25">
        <f>IF(_CALC_PNL!E753=1,H753-G753,"")</f>
        <v/>
      </c>
    </row>
    <row r="754">
      <c r="A754" s="1" t="inlineStr">
        <is>
          <t>ISCOM_PAR</t>
        </is>
      </c>
      <c r="B754" s="1" t="inlineStr">
        <is>
          <t>613</t>
        </is>
      </c>
      <c r="C754" s="1" t="inlineStr">
        <is>
          <t>2027</t>
        </is>
      </c>
      <c r="D754" s="1" t="inlineStr">
        <is>
          <t>V01</t>
        </is>
      </c>
      <c r="E754" s="1" t="inlineStr">
        <is>
          <t>2027BUD_V1</t>
        </is>
      </c>
      <c r="F754" s="1" t="inlineStr">
        <is>
          <t>12</t>
        </is>
      </c>
      <c r="G754" s="1" t="n">
        <v>377464.2498</v>
      </c>
      <c r="H754" s="25">
        <f>_CALC_PNL!P754</f>
        <v/>
      </c>
      <c r="I754" s="25">
        <f>IF(_CALC_PNL!E754=1,H754-G754,"")</f>
        <v/>
      </c>
    </row>
    <row r="755">
      <c r="A755" s="1" t="inlineStr">
        <is>
          <t>ISCOM_PAR</t>
        </is>
      </c>
      <c r="B755" s="1" t="inlineStr">
        <is>
          <t>613</t>
        </is>
      </c>
      <c r="C755" s="1" t="inlineStr">
        <is>
          <t>2027</t>
        </is>
      </c>
      <c r="D755" s="1" t="inlineStr">
        <is>
          <t>V02</t>
        </is>
      </c>
      <c r="E755" s="1" t="inlineStr">
        <is>
          <t>2027BUD_V1</t>
        </is>
      </c>
      <c r="F755" s="1" t="inlineStr">
        <is>
          <t>12</t>
        </is>
      </c>
      <c r="G755" s="1" t="n">
        <v>356985.0013135</v>
      </c>
      <c r="H755" s="25">
        <f>_CALC_PNL!P755</f>
        <v/>
      </c>
      <c r="I755" s="25">
        <f>IF(_CALC_PNL!E755=1,H755-G755,"")</f>
        <v/>
      </c>
    </row>
    <row r="756">
      <c r="A756" s="1" t="inlineStr">
        <is>
          <t>ISCOM_PAR</t>
        </is>
      </c>
      <c r="B756" s="1" t="inlineStr">
        <is>
          <t>613</t>
        </is>
      </c>
      <c r="C756" s="1" t="inlineStr">
        <is>
          <t>2027</t>
        </is>
      </c>
      <c r="D756" s="1" t="inlineStr">
        <is>
          <t>V03</t>
        </is>
      </c>
      <c r="E756" s="1" t="inlineStr">
        <is>
          <t>2027BUD_V1</t>
        </is>
      </c>
      <c r="F756" s="1" t="inlineStr">
        <is>
          <t>12</t>
        </is>
      </c>
      <c r="G756" s="1" t="n">
        <v>400415.6312</v>
      </c>
      <c r="H756" s="25">
        <f>_CALC_PNL!P756</f>
        <v/>
      </c>
      <c r="I756" s="25">
        <f>IF(_CALC_PNL!E756=1,H756-G756,"")</f>
        <v/>
      </c>
    </row>
    <row r="757">
      <c r="A757" s="1" t="inlineStr">
        <is>
          <t>ISCOM_LIL</t>
        </is>
      </c>
      <c r="B757" s="1" t="inlineStr">
        <is>
          <t>613</t>
        </is>
      </c>
      <c r="C757" s="1" t="inlineStr">
        <is>
          <t>2027</t>
        </is>
      </c>
      <c r="D757" s="1" t="inlineStr">
        <is>
          <t>V01</t>
        </is>
      </c>
      <c r="E757" s="1" t="inlineStr">
        <is>
          <t>2027BUD_V1</t>
        </is>
      </c>
      <c r="F757" s="1" t="inlineStr">
        <is>
          <t>12</t>
        </is>
      </c>
      <c r="G757" s="1" t="n">
        <v>142907.9058</v>
      </c>
      <c r="H757" s="25">
        <f>_CALC_PNL!P757</f>
        <v/>
      </c>
      <c r="I757" s="25">
        <f>IF(_CALC_PNL!E757=1,H757-G757,"")</f>
        <v/>
      </c>
    </row>
    <row r="758">
      <c r="A758" s="1" t="inlineStr">
        <is>
          <t>ISCOM_LIL</t>
        </is>
      </c>
      <c r="B758" s="1" t="inlineStr">
        <is>
          <t>613</t>
        </is>
      </c>
      <c r="C758" s="1" t="inlineStr">
        <is>
          <t>2027</t>
        </is>
      </c>
      <c r="D758" s="1" t="inlineStr">
        <is>
          <t>V02</t>
        </is>
      </c>
      <c r="E758" s="1" t="inlineStr">
        <is>
          <t>2027BUD_V1</t>
        </is>
      </c>
      <c r="F758" s="1" t="inlineStr">
        <is>
          <t>12</t>
        </is>
      </c>
      <c r="G758" s="1" t="n">
        <v>135154.4655335</v>
      </c>
      <c r="H758" s="25">
        <f>_CALC_PNL!P758</f>
        <v/>
      </c>
      <c r="I758" s="25">
        <f>IF(_CALC_PNL!E758=1,H758-G758,"")</f>
        <v/>
      </c>
    </row>
    <row r="759">
      <c r="A759" s="1" t="inlineStr">
        <is>
          <t>ISCOM_LIL</t>
        </is>
      </c>
      <c r="B759" s="1" t="inlineStr">
        <is>
          <t>613</t>
        </is>
      </c>
      <c r="C759" s="1" t="inlineStr">
        <is>
          <t>2027</t>
        </is>
      </c>
      <c r="D759" s="1" t="inlineStr">
        <is>
          <t>V03</t>
        </is>
      </c>
      <c r="E759" s="1" t="inlineStr">
        <is>
          <t>2027BUD_V1</t>
        </is>
      </c>
      <c r="F759" s="1" t="inlineStr">
        <is>
          <t>12</t>
        </is>
      </c>
      <c r="G759" s="1" t="n">
        <v>151597.2952</v>
      </c>
      <c r="H759" s="25">
        <f>_CALC_PNL!P759</f>
        <v/>
      </c>
      <c r="I759" s="25">
        <f>IF(_CALC_PNL!E759=1,H759-G759,"")</f>
        <v/>
      </c>
    </row>
    <row r="760">
      <c r="A760" s="1" t="inlineStr">
        <is>
          <t>ISCOM_TLS</t>
        </is>
      </c>
      <c r="B760" s="1" t="inlineStr">
        <is>
          <t>613</t>
        </is>
      </c>
      <c r="C760" s="1" t="inlineStr">
        <is>
          <t>2027</t>
        </is>
      </c>
      <c r="D760" s="1" t="inlineStr">
        <is>
          <t>V01</t>
        </is>
      </c>
      <c r="E760" s="1" t="inlineStr">
        <is>
          <t>2027BUD_V1</t>
        </is>
      </c>
      <c r="F760" s="1" t="inlineStr">
        <is>
          <t>12</t>
        </is>
      </c>
      <c r="G760" s="1" t="n">
        <v>139801.761</v>
      </c>
      <c r="H760" s="25">
        <f>_CALC_PNL!P760</f>
        <v/>
      </c>
      <c r="I760" s="25">
        <f>IF(_CALC_PNL!E760=1,H760-G760,"")</f>
        <v/>
      </c>
    </row>
    <row r="761">
      <c r="A761" s="1" t="inlineStr">
        <is>
          <t>ISCOM_TLS</t>
        </is>
      </c>
      <c r="B761" s="1" t="inlineStr">
        <is>
          <t>613</t>
        </is>
      </c>
      <c r="C761" s="1" t="inlineStr">
        <is>
          <t>2027</t>
        </is>
      </c>
      <c r="D761" s="1" t="inlineStr">
        <is>
          <t>V02</t>
        </is>
      </c>
      <c r="E761" s="1" t="inlineStr">
        <is>
          <t>2027BUD_V1</t>
        </is>
      </c>
      <c r="F761" s="1" t="inlineStr">
        <is>
          <t>12</t>
        </is>
      </c>
      <c r="G761" s="1" t="n">
        <v>132216.8440075</v>
      </c>
      <c r="H761" s="25">
        <f>_CALC_PNL!P761</f>
        <v/>
      </c>
      <c r="I761" s="25">
        <f>IF(_CALC_PNL!E761=1,H761-G761,"")</f>
        <v/>
      </c>
    </row>
    <row r="762">
      <c r="A762" s="1" t="inlineStr">
        <is>
          <t>ISCOM_TLS</t>
        </is>
      </c>
      <c r="B762" s="1" t="inlineStr">
        <is>
          <t>613</t>
        </is>
      </c>
      <c r="C762" s="1" t="inlineStr">
        <is>
          <t>2027</t>
        </is>
      </c>
      <c r="D762" s="1" t="inlineStr">
        <is>
          <t>V03</t>
        </is>
      </c>
      <c r="E762" s="1" t="inlineStr">
        <is>
          <t>2027BUD_V1</t>
        </is>
      </c>
      <c r="F762" s="1" t="inlineStr">
        <is>
          <t>12</t>
        </is>
      </c>
      <c r="G762" s="1" t="n">
        <v>148302.284</v>
      </c>
      <c r="H762" s="25">
        <f>_CALC_PNL!P762</f>
        <v/>
      </c>
      <c r="I762" s="25">
        <f>IF(_CALC_PNL!E762=1,H762-G762,"")</f>
        <v/>
      </c>
    </row>
    <row r="763">
      <c r="A763" s="1" t="inlineStr">
        <is>
          <t>IPAC_NAN</t>
        </is>
      </c>
      <c r="B763" s="1" t="inlineStr">
        <is>
          <t>613</t>
        </is>
      </c>
      <c r="C763" s="1" t="inlineStr">
        <is>
          <t>2027</t>
        </is>
      </c>
      <c r="D763" s="1" t="inlineStr">
        <is>
          <t>V01</t>
        </is>
      </c>
      <c r="E763" s="1" t="inlineStr">
        <is>
          <t>2027BUD_V1</t>
        </is>
      </c>
      <c r="F763" s="1" t="inlineStr">
        <is>
          <t>12</t>
        </is>
      </c>
      <c r="G763" s="1" t="n">
        <v>93201.51059999999</v>
      </c>
      <c r="H763" s="25">
        <f>_CALC_PNL!P763</f>
        <v/>
      </c>
      <c r="I763" s="25">
        <f>IF(_CALC_PNL!E763=1,H763-G763,"")</f>
        <v/>
      </c>
    </row>
    <row r="764">
      <c r="A764" s="1" t="inlineStr">
        <is>
          <t>IPAC_NAN</t>
        </is>
      </c>
      <c r="B764" s="1" t="inlineStr">
        <is>
          <t>613</t>
        </is>
      </c>
      <c r="C764" s="1" t="inlineStr">
        <is>
          <t>2027</t>
        </is>
      </c>
      <c r="D764" s="1" t="inlineStr">
        <is>
          <t>V02</t>
        </is>
      </c>
      <c r="E764" s="1" t="inlineStr">
        <is>
          <t>2027BUD_V1</t>
        </is>
      </c>
      <c r="F764" s="1" t="inlineStr">
        <is>
          <t>12</t>
        </is>
      </c>
      <c r="G764" s="1" t="n">
        <v>88144.88100949999</v>
      </c>
      <c r="H764" s="25">
        <f>_CALC_PNL!P764</f>
        <v/>
      </c>
      <c r="I764" s="25">
        <f>IF(_CALC_PNL!E764=1,H764-G764,"")</f>
        <v/>
      </c>
    </row>
    <row r="765">
      <c r="A765" s="1" t="inlineStr">
        <is>
          <t>IPAC_NAN</t>
        </is>
      </c>
      <c r="B765" s="1" t="inlineStr">
        <is>
          <t>613</t>
        </is>
      </c>
      <c r="C765" s="1" t="inlineStr">
        <is>
          <t>2027</t>
        </is>
      </c>
      <c r="D765" s="1" t="inlineStr">
        <is>
          <t>V03</t>
        </is>
      </c>
      <c r="E765" s="1" t="inlineStr">
        <is>
          <t>2027BUD_V1</t>
        </is>
      </c>
      <c r="F765" s="1" t="inlineStr">
        <is>
          <t>12</t>
        </is>
      </c>
      <c r="G765" s="1" t="n">
        <v>98868.54640000001</v>
      </c>
      <c r="H765" s="25">
        <f>_CALC_PNL!P765</f>
        <v/>
      </c>
      <c r="I765" s="25">
        <f>IF(_CALC_PNL!E765=1,H765-G765,"")</f>
        <v/>
      </c>
    </row>
    <row r="766">
      <c r="A766" s="1" t="inlineStr">
        <is>
          <t>IPAC_REN</t>
        </is>
      </c>
      <c r="B766" s="1" t="inlineStr">
        <is>
          <t>613</t>
        </is>
      </c>
      <c r="C766" s="1" t="inlineStr">
        <is>
          <t>2027</t>
        </is>
      </c>
      <c r="D766" s="1" t="inlineStr">
        <is>
          <t>V01</t>
        </is>
      </c>
      <c r="E766" s="1" t="inlineStr">
        <is>
          <t>2027BUD_V1</t>
        </is>
      </c>
      <c r="F766" s="1" t="inlineStr">
        <is>
          <t>12</t>
        </is>
      </c>
      <c r="G766" s="1" t="n">
        <v>82016.96580000001</v>
      </c>
      <c r="H766" s="25">
        <f>_CALC_PNL!P766</f>
        <v/>
      </c>
      <c r="I766" s="25">
        <f>IF(_CALC_PNL!E766=1,H766-G766,"")</f>
        <v/>
      </c>
    </row>
    <row r="767">
      <c r="A767" s="1" t="inlineStr">
        <is>
          <t>IPAC_REN</t>
        </is>
      </c>
      <c r="B767" s="1" t="inlineStr">
        <is>
          <t>613</t>
        </is>
      </c>
      <c r="C767" s="1" t="inlineStr">
        <is>
          <t>2027</t>
        </is>
      </c>
      <c r="D767" s="1" t="inlineStr">
        <is>
          <t>V02</t>
        </is>
      </c>
      <c r="E767" s="1" t="inlineStr">
        <is>
          <t>2027BUD_V1</t>
        </is>
      </c>
      <c r="F767" s="1" t="inlineStr">
        <is>
          <t>12</t>
        </is>
      </c>
      <c r="G767" s="1" t="n">
        <v>77567.1514835</v>
      </c>
      <c r="H767" s="25">
        <f>_CALC_PNL!P767</f>
        <v/>
      </c>
      <c r="I767" s="25">
        <f>IF(_CALC_PNL!E767=1,H767-G767,"")</f>
        <v/>
      </c>
    </row>
    <row r="768">
      <c r="A768" s="1" t="inlineStr">
        <is>
          <t>IPAC_REN</t>
        </is>
      </c>
      <c r="B768" s="1" t="inlineStr">
        <is>
          <t>613</t>
        </is>
      </c>
      <c r="C768" s="1" t="inlineStr">
        <is>
          <t>2027</t>
        </is>
      </c>
      <c r="D768" s="1" t="inlineStr">
        <is>
          <t>V03</t>
        </is>
      </c>
      <c r="E768" s="1" t="inlineStr">
        <is>
          <t>2027BUD_V1</t>
        </is>
      </c>
      <c r="F768" s="1" t="inlineStr">
        <is>
          <t>12</t>
        </is>
      </c>
      <c r="G768" s="1" t="n">
        <v>87003.93520000001</v>
      </c>
      <c r="H768" s="25">
        <f>_CALC_PNL!P768</f>
        <v/>
      </c>
      <c r="I768" s="25">
        <f>IF(_CALC_PNL!E768=1,H768-G768,"")</f>
        <v/>
      </c>
    </row>
    <row r="769">
      <c r="A769" s="1" t="inlineStr">
        <is>
          <t>IPAC_MTP</t>
        </is>
      </c>
      <c r="B769" s="1" t="inlineStr">
        <is>
          <t>613</t>
        </is>
      </c>
      <c r="C769" s="1" t="inlineStr">
        <is>
          <t>2027</t>
        </is>
      </c>
      <c r="D769" s="1" t="inlineStr">
        <is>
          <t>V01</t>
        </is>
      </c>
      <c r="E769" s="1" t="inlineStr">
        <is>
          <t>2027BUD_V1</t>
        </is>
      </c>
      <c r="F769" s="1" t="inlineStr">
        <is>
          <t>12</t>
        </is>
      </c>
      <c r="G769" s="1" t="n">
        <v>82016.96580000001</v>
      </c>
      <c r="H769" s="25">
        <f>_CALC_PNL!P769</f>
        <v/>
      </c>
      <c r="I769" s="25">
        <f>IF(_CALC_PNL!E769=1,H769-G769,"")</f>
        <v/>
      </c>
    </row>
    <row r="770">
      <c r="A770" s="1" t="inlineStr">
        <is>
          <t>IPAC_MTP</t>
        </is>
      </c>
      <c r="B770" s="1" t="inlineStr">
        <is>
          <t>613</t>
        </is>
      </c>
      <c r="C770" s="1" t="inlineStr">
        <is>
          <t>2027</t>
        </is>
      </c>
      <c r="D770" s="1" t="inlineStr">
        <is>
          <t>V02</t>
        </is>
      </c>
      <c r="E770" s="1" t="inlineStr">
        <is>
          <t>2027BUD_V1</t>
        </is>
      </c>
      <c r="F770" s="1" t="inlineStr">
        <is>
          <t>12</t>
        </is>
      </c>
      <c r="G770" s="1" t="n">
        <v>77567.1514835</v>
      </c>
      <c r="H770" s="25">
        <f>_CALC_PNL!P770</f>
        <v/>
      </c>
      <c r="I770" s="25">
        <f>IF(_CALC_PNL!E770=1,H770-G770,"")</f>
        <v/>
      </c>
    </row>
    <row r="771">
      <c r="A771" s="1" t="inlineStr">
        <is>
          <t>IPAC_MTP</t>
        </is>
      </c>
      <c r="B771" s="1" t="inlineStr">
        <is>
          <t>613</t>
        </is>
      </c>
      <c r="C771" s="1" t="inlineStr">
        <is>
          <t>2027</t>
        </is>
      </c>
      <c r="D771" s="1" t="inlineStr">
        <is>
          <t>V03</t>
        </is>
      </c>
      <c r="E771" s="1" t="inlineStr">
        <is>
          <t>2027BUD_V1</t>
        </is>
      </c>
      <c r="F771" s="1" t="inlineStr">
        <is>
          <t>12</t>
        </is>
      </c>
      <c r="G771" s="1" t="n">
        <v>87003.93520000001</v>
      </c>
      <c r="H771" s="25">
        <f>_CALC_PNL!P771</f>
        <v/>
      </c>
      <c r="I771" s="25">
        <f>IF(_CALC_PNL!E771=1,H771-G771,"")</f>
        <v/>
      </c>
    </row>
    <row r="772">
      <c r="A772" s="1" t="inlineStr">
        <is>
          <t>PIGIER_LYO</t>
        </is>
      </c>
      <c r="B772" s="1" t="inlineStr">
        <is>
          <t>613</t>
        </is>
      </c>
      <c r="C772" s="1" t="inlineStr">
        <is>
          <t>2027</t>
        </is>
      </c>
      <c r="D772" s="1" t="inlineStr">
        <is>
          <t>V01</t>
        </is>
      </c>
      <c r="E772" s="1" t="inlineStr">
        <is>
          <t>2027BUD_V1</t>
        </is>
      </c>
      <c r="F772" s="1" t="inlineStr">
        <is>
          <t>12</t>
        </is>
      </c>
      <c r="G772" s="1" t="n">
        <v>139180.734</v>
      </c>
      <c r="H772" s="25">
        <f>_CALC_PNL!P772</f>
        <v/>
      </c>
      <c r="I772" s="25">
        <f>IF(_CALC_PNL!E772=1,H772-G772,"")</f>
        <v/>
      </c>
    </row>
    <row r="773">
      <c r="A773" s="1" t="inlineStr">
        <is>
          <t>PIGIER_LYO</t>
        </is>
      </c>
      <c r="B773" s="1" t="inlineStr">
        <is>
          <t>613</t>
        </is>
      </c>
      <c r="C773" s="1" t="inlineStr">
        <is>
          <t>2027</t>
        </is>
      </c>
      <c r="D773" s="1" t="inlineStr">
        <is>
          <t>V02</t>
        </is>
      </c>
      <c r="E773" s="1" t="inlineStr">
        <is>
          <t>2027BUD_V1</t>
        </is>
      </c>
      <c r="F773" s="1" t="inlineStr">
        <is>
          <t>12</t>
        </is>
      </c>
      <c r="G773" s="1" t="n">
        <v>131629.510705</v>
      </c>
      <c r="H773" s="25">
        <f>_CALC_PNL!P773</f>
        <v/>
      </c>
      <c r="I773" s="25">
        <f>IF(_CALC_PNL!E773=1,H773-G773,"")</f>
        <v/>
      </c>
    </row>
    <row r="774">
      <c r="A774" s="1" t="inlineStr">
        <is>
          <t>PIGIER_LYO</t>
        </is>
      </c>
      <c r="B774" s="1" t="inlineStr">
        <is>
          <t>613</t>
        </is>
      </c>
      <c r="C774" s="1" t="inlineStr">
        <is>
          <t>2027</t>
        </is>
      </c>
      <c r="D774" s="1" t="inlineStr">
        <is>
          <t>V03</t>
        </is>
      </c>
      <c r="E774" s="1" t="inlineStr">
        <is>
          <t>2027BUD_V1</t>
        </is>
      </c>
      <c r="F774" s="1" t="inlineStr">
        <is>
          <t>12</t>
        </is>
      </c>
      <c r="G774" s="1" t="n">
        <v>147643.496</v>
      </c>
      <c r="H774" s="25">
        <f>_CALC_PNL!P774</f>
        <v/>
      </c>
      <c r="I774" s="25">
        <f>IF(_CALC_PNL!E774=1,H774-G774,"")</f>
        <v/>
      </c>
    </row>
    <row r="775">
      <c r="A775" s="1" t="inlineStr">
        <is>
          <t>PIGIER_BOR</t>
        </is>
      </c>
      <c r="B775" s="1" t="inlineStr">
        <is>
          <t>613</t>
        </is>
      </c>
      <c r="C775" s="1" t="inlineStr">
        <is>
          <t>2027</t>
        </is>
      </c>
      <c r="D775" s="1" t="inlineStr">
        <is>
          <t>V01</t>
        </is>
      </c>
      <c r="E775" s="1" t="inlineStr">
        <is>
          <t>2027BUD_V1</t>
        </is>
      </c>
      <c r="F775" s="1" t="inlineStr">
        <is>
          <t>12</t>
        </is>
      </c>
      <c r="G775" s="1" t="n">
        <v>130481.307</v>
      </c>
      <c r="H775" s="25">
        <f>_CALC_PNL!P775</f>
        <v/>
      </c>
      <c r="I775" s="25">
        <f>IF(_CALC_PNL!E775=1,H775-G775,"")</f>
        <v/>
      </c>
    </row>
    <row r="776">
      <c r="A776" s="1" t="inlineStr">
        <is>
          <t>PIGIER_BOR</t>
        </is>
      </c>
      <c r="B776" s="1" t="inlineStr">
        <is>
          <t>613</t>
        </is>
      </c>
      <c r="C776" s="1" t="inlineStr">
        <is>
          <t>2027</t>
        </is>
      </c>
      <c r="D776" s="1" t="inlineStr">
        <is>
          <t>V02</t>
        </is>
      </c>
      <c r="E776" s="1" t="inlineStr">
        <is>
          <t>2027BUD_V1</t>
        </is>
      </c>
      <c r="F776" s="1" t="inlineStr">
        <is>
          <t>12</t>
        </is>
      </c>
      <c r="G776" s="1" t="n">
        <v>123402.0694025</v>
      </c>
      <c r="H776" s="25">
        <f>_CALC_PNL!P776</f>
        <v/>
      </c>
      <c r="I776" s="25">
        <f>IF(_CALC_PNL!E776=1,H776-G776,"")</f>
        <v/>
      </c>
    </row>
    <row r="777">
      <c r="A777" s="1" t="inlineStr">
        <is>
          <t>PIGIER_BOR</t>
        </is>
      </c>
      <c r="B777" s="1" t="inlineStr">
        <is>
          <t>613</t>
        </is>
      </c>
      <c r="C777" s="1" t="inlineStr">
        <is>
          <t>2027</t>
        </is>
      </c>
      <c r="D777" s="1" t="inlineStr">
        <is>
          <t>V03</t>
        </is>
      </c>
      <c r="E777" s="1" t="inlineStr">
        <is>
          <t>2027BUD_V1</t>
        </is>
      </c>
      <c r="F777" s="1" t="inlineStr">
        <is>
          <t>12</t>
        </is>
      </c>
      <c r="G777" s="1" t="n">
        <v>138415.108</v>
      </c>
      <c r="H777" s="25">
        <f>_CALC_PNL!P777</f>
        <v/>
      </c>
      <c r="I777" s="25">
        <f>IF(_CALC_PNL!E777=1,H777-G777,"")</f>
        <v/>
      </c>
    </row>
    <row r="778">
      <c r="A778" s="1" t="inlineStr">
        <is>
          <t>TUNON_PAR</t>
        </is>
      </c>
      <c r="B778" s="1" t="inlineStr">
        <is>
          <t>613</t>
        </is>
      </c>
      <c r="C778" s="1" t="inlineStr">
        <is>
          <t>2027</t>
        </is>
      </c>
      <c r="D778" s="1" t="inlineStr">
        <is>
          <t>V01</t>
        </is>
      </c>
      <c r="E778" s="1" t="inlineStr">
        <is>
          <t>2027BUD_V1</t>
        </is>
      </c>
      <c r="F778" s="1" t="inlineStr">
        <is>
          <t>12</t>
        </is>
      </c>
      <c r="G778" s="1" t="n">
        <v>150985.296</v>
      </c>
      <c r="H778" s="25">
        <f>_CALC_PNL!P778</f>
        <v/>
      </c>
      <c r="I778" s="25">
        <f>IF(_CALC_PNL!E778=1,H778-G778,"")</f>
        <v/>
      </c>
    </row>
    <row r="779">
      <c r="A779" s="1" t="inlineStr">
        <is>
          <t>TUNON_PAR</t>
        </is>
      </c>
      <c r="B779" s="1" t="inlineStr">
        <is>
          <t>613</t>
        </is>
      </c>
      <c r="C779" s="1" t="inlineStr">
        <is>
          <t>2027</t>
        </is>
      </c>
      <c r="D779" s="1" t="inlineStr">
        <is>
          <t>V02</t>
        </is>
      </c>
      <c r="E779" s="1" t="inlineStr">
        <is>
          <t>2027BUD_V1</t>
        </is>
      </c>
      <c r="F779" s="1" t="inlineStr">
        <is>
          <t>12</t>
        </is>
      </c>
      <c r="G779" s="1" t="n">
        <v>142793.61852</v>
      </c>
      <c r="H779" s="25">
        <f>_CALC_PNL!P779</f>
        <v/>
      </c>
      <c r="I779" s="25">
        <f>IF(_CALC_PNL!E779=1,H779-G779,"")</f>
        <v/>
      </c>
    </row>
    <row r="780">
      <c r="A780" s="1" t="inlineStr">
        <is>
          <t>TUNON_PAR</t>
        </is>
      </c>
      <c r="B780" s="1" t="inlineStr">
        <is>
          <t>613</t>
        </is>
      </c>
      <c r="C780" s="1" t="inlineStr">
        <is>
          <t>2027</t>
        </is>
      </c>
      <c r="D780" s="1" t="inlineStr">
        <is>
          <t>V03</t>
        </is>
      </c>
      <c r="E780" s="1" t="inlineStr">
        <is>
          <t>2027BUD_V1</t>
        </is>
      </c>
      <c r="F780" s="1" t="inlineStr">
        <is>
          <t>12</t>
        </is>
      </c>
      <c r="G780" s="1" t="n">
        <v>160165.824</v>
      </c>
      <c r="H780" s="25">
        <f>_CALC_PNL!P780</f>
        <v/>
      </c>
      <c r="I780" s="25">
        <f>IF(_CALC_PNL!E780=1,H780-G780,"")</f>
        <v/>
      </c>
    </row>
    <row r="781">
      <c r="A781" s="1" t="inlineStr">
        <is>
          <t>TUNON_LYO</t>
        </is>
      </c>
      <c r="B781" s="1" t="inlineStr">
        <is>
          <t>613</t>
        </is>
      </c>
      <c r="C781" s="1" t="inlineStr">
        <is>
          <t>2027</t>
        </is>
      </c>
      <c r="D781" s="1" t="inlineStr">
        <is>
          <t>V01</t>
        </is>
      </c>
      <c r="E781" s="1" t="inlineStr">
        <is>
          <t>2027BUD_V1</t>
        </is>
      </c>
      <c r="F781" s="1" t="inlineStr">
        <is>
          <t>12</t>
        </is>
      </c>
      <c r="G781" s="1" t="n">
        <v>104385.0456</v>
      </c>
      <c r="H781" s="25">
        <f>_CALC_PNL!P781</f>
        <v/>
      </c>
      <c r="I781" s="25">
        <f>IF(_CALC_PNL!E781=1,H781-G781,"")</f>
        <v/>
      </c>
    </row>
    <row r="782">
      <c r="A782" s="1" t="inlineStr">
        <is>
          <t>TUNON_LYO</t>
        </is>
      </c>
      <c r="B782" s="1" t="inlineStr">
        <is>
          <t>613</t>
        </is>
      </c>
      <c r="C782" s="1" t="inlineStr">
        <is>
          <t>2027</t>
        </is>
      </c>
      <c r="D782" s="1" t="inlineStr">
        <is>
          <t>V02</t>
        </is>
      </c>
      <c r="E782" s="1" t="inlineStr">
        <is>
          <t>2027BUD_V1</t>
        </is>
      </c>
      <c r="F782" s="1" t="inlineStr">
        <is>
          <t>12</t>
        </is>
      </c>
      <c r="G782" s="1" t="n">
        <v>98721.655522</v>
      </c>
      <c r="H782" s="25">
        <f>_CALC_PNL!P782</f>
        <v/>
      </c>
      <c r="I782" s="25">
        <f>IF(_CALC_PNL!E782=1,H782-G782,"")</f>
        <v/>
      </c>
    </row>
    <row r="783">
      <c r="A783" s="1" t="inlineStr">
        <is>
          <t>TUNON_LYO</t>
        </is>
      </c>
      <c r="B783" s="1" t="inlineStr">
        <is>
          <t>613</t>
        </is>
      </c>
      <c r="C783" s="1" t="inlineStr">
        <is>
          <t>2027</t>
        </is>
      </c>
      <c r="D783" s="1" t="inlineStr">
        <is>
          <t>V03</t>
        </is>
      </c>
      <c r="E783" s="1" t="inlineStr">
        <is>
          <t>2027BUD_V1</t>
        </is>
      </c>
      <c r="F783" s="1" t="inlineStr">
        <is>
          <t>12</t>
        </is>
      </c>
      <c r="G783" s="1" t="n">
        <v>110732.0864</v>
      </c>
      <c r="H783" s="25">
        <f>_CALC_PNL!P783</f>
        <v/>
      </c>
      <c r="I783" s="25">
        <f>IF(_CALC_PNL!E783=1,H783-G783,"")</f>
        <v/>
      </c>
    </row>
    <row r="784">
      <c r="A784" s="1" t="inlineStr">
        <is>
          <t>MBWAY_PAR</t>
        </is>
      </c>
      <c r="B784" s="1" t="inlineStr">
        <is>
          <t>615</t>
        </is>
      </c>
      <c r="C784" s="1" t="inlineStr">
        <is>
          <t>2027</t>
        </is>
      </c>
      <c r="D784" s="1" t="inlineStr">
        <is>
          <t>V01</t>
        </is>
      </c>
      <c r="E784" s="1" t="inlineStr">
        <is>
          <t>2027BUD_V1</t>
        </is>
      </c>
      <c r="F784" s="1" t="inlineStr">
        <is>
          <t>12</t>
        </is>
      </c>
      <c r="G784" s="1" t="n">
        <v>53923.32</v>
      </c>
      <c r="H784" s="25">
        <f>_CALC_PNL!P784</f>
        <v/>
      </c>
      <c r="I784" s="25">
        <f>IF(_CALC_PNL!E784=1,H784-G784,"")</f>
        <v/>
      </c>
    </row>
    <row r="785">
      <c r="A785" s="1" t="inlineStr">
        <is>
          <t>MBWAY_PAR</t>
        </is>
      </c>
      <c r="B785" s="1" t="inlineStr">
        <is>
          <t>615</t>
        </is>
      </c>
      <c r="C785" s="1" t="inlineStr">
        <is>
          <t>2027</t>
        </is>
      </c>
      <c r="D785" s="1" t="inlineStr">
        <is>
          <t>V02</t>
        </is>
      </c>
      <c r="E785" s="1" t="inlineStr">
        <is>
          <t>2027BUD_V1</t>
        </is>
      </c>
      <c r="F785" s="1" t="inlineStr">
        <is>
          <t>12</t>
        </is>
      </c>
      <c r="G785" s="1" t="n">
        <v>50997.7209</v>
      </c>
      <c r="H785" s="25">
        <f>_CALC_PNL!P785</f>
        <v/>
      </c>
      <c r="I785" s="25">
        <f>IF(_CALC_PNL!E785=1,H785-G785,"")</f>
        <v/>
      </c>
    </row>
    <row r="786">
      <c r="A786" s="1" t="inlineStr">
        <is>
          <t>MBWAY_PAR</t>
        </is>
      </c>
      <c r="B786" s="1" t="inlineStr">
        <is>
          <t>615</t>
        </is>
      </c>
      <c r="C786" s="1" t="inlineStr">
        <is>
          <t>2027</t>
        </is>
      </c>
      <c r="D786" s="1" t="inlineStr">
        <is>
          <t>V03</t>
        </is>
      </c>
      <c r="E786" s="1" t="inlineStr">
        <is>
          <t>2027BUD_V1</t>
        </is>
      </c>
      <c r="F786" s="1" t="inlineStr">
        <is>
          <t>12</t>
        </is>
      </c>
      <c r="G786" s="1" t="n">
        <v>57202.08</v>
      </c>
      <c r="H786" s="25">
        <f>_CALC_PNL!P786</f>
        <v/>
      </c>
      <c r="I786" s="25">
        <f>IF(_CALC_PNL!E786=1,H786-G786,"")</f>
        <v/>
      </c>
    </row>
    <row r="787">
      <c r="A787" s="1" t="inlineStr">
        <is>
          <t>MBWAY_LYO</t>
        </is>
      </c>
      <c r="B787" s="1" t="inlineStr">
        <is>
          <t>615</t>
        </is>
      </c>
      <c r="C787" s="1" t="inlineStr">
        <is>
          <t>2027</t>
        </is>
      </c>
      <c r="D787" s="1" t="inlineStr">
        <is>
          <t>V01</t>
        </is>
      </c>
      <c r="E787" s="1" t="inlineStr">
        <is>
          <t>2027BUD_V1</t>
        </is>
      </c>
      <c r="F787" s="1" t="inlineStr">
        <is>
          <t>12</t>
        </is>
      </c>
      <c r="G787" s="1" t="n">
        <v>32309.5608</v>
      </c>
      <c r="H787" s="25">
        <f>_CALC_PNL!P787</f>
        <v/>
      </c>
      <c r="I787" s="25">
        <f>IF(_CALC_PNL!E787=1,H787-G787,"")</f>
        <v/>
      </c>
    </row>
    <row r="788">
      <c r="A788" s="1" t="inlineStr">
        <is>
          <t>MBWAY_LYO</t>
        </is>
      </c>
      <c r="B788" s="1" t="inlineStr">
        <is>
          <t>615</t>
        </is>
      </c>
      <c r="C788" s="1" t="inlineStr">
        <is>
          <t>2027</t>
        </is>
      </c>
      <c r="D788" s="1" t="inlineStr">
        <is>
          <t>V02</t>
        </is>
      </c>
      <c r="E788" s="1" t="inlineStr">
        <is>
          <t>2027BUD_V1</t>
        </is>
      </c>
      <c r="F788" s="1" t="inlineStr">
        <is>
          <t>12</t>
        </is>
      </c>
      <c r="G788" s="1" t="n">
        <v>30556.611946</v>
      </c>
      <c r="H788" s="25">
        <f>_CALC_PNL!P788</f>
        <v/>
      </c>
      <c r="I788" s="25">
        <f>IF(_CALC_PNL!E788=1,H788-G788,"")</f>
        <v/>
      </c>
    </row>
    <row r="789">
      <c r="A789" s="1" t="inlineStr">
        <is>
          <t>MBWAY_LYO</t>
        </is>
      </c>
      <c r="B789" s="1" t="inlineStr">
        <is>
          <t>615</t>
        </is>
      </c>
      <c r="C789" s="1" t="inlineStr">
        <is>
          <t>2027</t>
        </is>
      </c>
      <c r="D789" s="1" t="inlineStr">
        <is>
          <t>V03</t>
        </is>
      </c>
      <c r="E789" s="1" t="inlineStr">
        <is>
          <t>2027BUD_V1</t>
        </is>
      </c>
      <c r="F789" s="1" t="inlineStr">
        <is>
          <t>12</t>
        </is>
      </c>
      <c r="G789" s="1" t="n">
        <v>34274.1152</v>
      </c>
      <c r="H789" s="25">
        <f>_CALC_PNL!P789</f>
        <v/>
      </c>
      <c r="I789" s="25">
        <f>IF(_CALC_PNL!E789=1,H789-G789,"")</f>
        <v/>
      </c>
    </row>
    <row r="790">
      <c r="A790" s="1" t="inlineStr">
        <is>
          <t>MBWAY_NAN</t>
        </is>
      </c>
      <c r="B790" s="1" t="inlineStr">
        <is>
          <t>615</t>
        </is>
      </c>
      <c r="C790" s="1" t="inlineStr">
        <is>
          <t>2027</t>
        </is>
      </c>
      <c r="D790" s="1" t="inlineStr">
        <is>
          <t>V01</t>
        </is>
      </c>
      <c r="E790" s="1" t="inlineStr">
        <is>
          <t>2027BUD_V1</t>
        </is>
      </c>
      <c r="F790" s="1" t="inlineStr">
        <is>
          <t>12</t>
        </is>
      </c>
      <c r="G790" s="1" t="n">
        <v>26628.426</v>
      </c>
      <c r="H790" s="25">
        <f>_CALC_PNL!P790</f>
        <v/>
      </c>
      <c r="I790" s="25">
        <f>IF(_CALC_PNL!E790=1,H790-G790,"")</f>
        <v/>
      </c>
    </row>
    <row r="791">
      <c r="A791" s="1" t="inlineStr">
        <is>
          <t>MBWAY_NAN</t>
        </is>
      </c>
      <c r="B791" s="1" t="inlineStr">
        <is>
          <t>615</t>
        </is>
      </c>
      <c r="C791" s="1" t="inlineStr">
        <is>
          <t>2027</t>
        </is>
      </c>
      <c r="D791" s="1" t="inlineStr">
        <is>
          <t>V02</t>
        </is>
      </c>
      <c r="E791" s="1" t="inlineStr">
        <is>
          <t>2027BUD_V1</t>
        </is>
      </c>
      <c r="F791" s="1" t="inlineStr">
        <is>
          <t>12</t>
        </is>
      </c>
      <c r="G791" s="1" t="n">
        <v>25183.705995</v>
      </c>
      <c r="H791" s="25">
        <f>_CALC_PNL!P791</f>
        <v/>
      </c>
      <c r="I791" s="25">
        <f>IF(_CALC_PNL!E791=1,H791-G791,"")</f>
        <v/>
      </c>
    </row>
    <row r="792">
      <c r="A792" s="1" t="inlineStr">
        <is>
          <t>MBWAY_NAN</t>
        </is>
      </c>
      <c r="B792" s="1" t="inlineStr">
        <is>
          <t>615</t>
        </is>
      </c>
      <c r="C792" s="1" t="inlineStr">
        <is>
          <t>2027</t>
        </is>
      </c>
      <c r="D792" s="1" t="inlineStr">
        <is>
          <t>V03</t>
        </is>
      </c>
      <c r="E792" s="1" t="inlineStr">
        <is>
          <t>2027BUD_V1</t>
        </is>
      </c>
      <c r="F792" s="1" t="inlineStr">
        <is>
          <t>12</t>
        </is>
      </c>
      <c r="G792" s="1" t="n">
        <v>28247.544</v>
      </c>
      <c r="H792" s="25">
        <f>_CALC_PNL!P792</f>
        <v/>
      </c>
      <c r="I792" s="25">
        <f>IF(_CALC_PNL!E792=1,H792-G792,"")</f>
        <v/>
      </c>
    </row>
    <row r="793">
      <c r="A793" s="1" t="inlineStr">
        <is>
          <t>MBWAY_BOR</t>
        </is>
      </c>
      <c r="B793" s="1" t="inlineStr">
        <is>
          <t>615</t>
        </is>
      </c>
      <c r="C793" s="1" t="inlineStr">
        <is>
          <t>2027</t>
        </is>
      </c>
      <c r="D793" s="1" t="inlineStr">
        <is>
          <t>V01</t>
        </is>
      </c>
      <c r="E793" s="1" t="inlineStr">
        <is>
          <t>2027BUD_V1</t>
        </is>
      </c>
      <c r="F793" s="1" t="inlineStr">
        <is>
          <t>12</t>
        </is>
      </c>
      <c r="G793" s="1" t="n">
        <v>23300.1252</v>
      </c>
      <c r="H793" s="25">
        <f>_CALC_PNL!P793</f>
        <v/>
      </c>
      <c r="I793" s="25">
        <f>IF(_CALC_PNL!E793=1,H793-G793,"")</f>
        <v/>
      </c>
    </row>
    <row r="794">
      <c r="A794" s="1" t="inlineStr">
        <is>
          <t>MBWAY_BOR</t>
        </is>
      </c>
      <c r="B794" s="1" t="inlineStr">
        <is>
          <t>615</t>
        </is>
      </c>
      <c r="C794" s="1" t="inlineStr">
        <is>
          <t>2027</t>
        </is>
      </c>
      <c r="D794" s="1" t="inlineStr">
        <is>
          <t>V02</t>
        </is>
      </c>
      <c r="E794" s="1" t="inlineStr">
        <is>
          <t>2027BUD_V1</t>
        </is>
      </c>
      <c r="F794" s="1" t="inlineStr">
        <is>
          <t>12</t>
        </is>
      </c>
      <c r="G794" s="1" t="n">
        <v>22035.981499</v>
      </c>
      <c r="H794" s="25">
        <f>_CALC_PNL!P794</f>
        <v/>
      </c>
      <c r="I794" s="25">
        <f>IF(_CALC_PNL!E794=1,H794-G794,"")</f>
        <v/>
      </c>
    </row>
    <row r="795">
      <c r="A795" s="1" t="inlineStr">
        <is>
          <t>MBWAY_BOR</t>
        </is>
      </c>
      <c r="B795" s="1" t="inlineStr">
        <is>
          <t>615</t>
        </is>
      </c>
      <c r="C795" s="1" t="inlineStr">
        <is>
          <t>2027</t>
        </is>
      </c>
      <c r="D795" s="1" t="inlineStr">
        <is>
          <t>V03</t>
        </is>
      </c>
      <c r="E795" s="1" t="inlineStr">
        <is>
          <t>2027BUD_V1</t>
        </is>
      </c>
      <c r="F795" s="1" t="inlineStr">
        <is>
          <t>12</t>
        </is>
      </c>
      <c r="G795" s="1" t="n">
        <v>24716.8688</v>
      </c>
      <c r="H795" s="25">
        <f>_CALC_PNL!P795</f>
        <v/>
      </c>
      <c r="I795" s="25">
        <f>IF(_CALC_PNL!E795=1,H795-G795,"")</f>
        <v/>
      </c>
    </row>
    <row r="796">
      <c r="A796" s="1" t="inlineStr">
        <is>
          <t>ISCOM_PAR</t>
        </is>
      </c>
      <c r="B796" s="1" t="inlineStr">
        <is>
          <t>615</t>
        </is>
      </c>
      <c r="C796" s="1" t="inlineStr">
        <is>
          <t>2027</t>
        </is>
      </c>
      <c r="D796" s="1" t="inlineStr">
        <is>
          <t>V01</t>
        </is>
      </c>
      <c r="E796" s="1" t="inlineStr">
        <is>
          <t>2027BUD_V1</t>
        </is>
      </c>
      <c r="F796" s="1" t="inlineStr">
        <is>
          <t>12</t>
        </is>
      </c>
      <c r="G796" s="1" t="n">
        <v>53923.32</v>
      </c>
      <c r="H796" s="25">
        <f>_CALC_PNL!P796</f>
        <v/>
      </c>
      <c r="I796" s="25">
        <f>IF(_CALC_PNL!E796=1,H796-G796,"")</f>
        <v/>
      </c>
    </row>
    <row r="797">
      <c r="A797" s="1" t="inlineStr">
        <is>
          <t>ISCOM_PAR</t>
        </is>
      </c>
      <c r="B797" s="1" t="inlineStr">
        <is>
          <t>615</t>
        </is>
      </c>
      <c r="C797" s="1" t="inlineStr">
        <is>
          <t>2027</t>
        </is>
      </c>
      <c r="D797" s="1" t="inlineStr">
        <is>
          <t>V02</t>
        </is>
      </c>
      <c r="E797" s="1" t="inlineStr">
        <is>
          <t>2027BUD_V1</t>
        </is>
      </c>
      <c r="F797" s="1" t="inlineStr">
        <is>
          <t>12</t>
        </is>
      </c>
      <c r="G797" s="1" t="n">
        <v>50997.7209</v>
      </c>
      <c r="H797" s="25">
        <f>_CALC_PNL!P797</f>
        <v/>
      </c>
      <c r="I797" s="25">
        <f>IF(_CALC_PNL!E797=1,H797-G797,"")</f>
        <v/>
      </c>
    </row>
    <row r="798">
      <c r="A798" s="1" t="inlineStr">
        <is>
          <t>ISCOM_PAR</t>
        </is>
      </c>
      <c r="B798" s="1" t="inlineStr">
        <is>
          <t>615</t>
        </is>
      </c>
      <c r="C798" s="1" t="inlineStr">
        <is>
          <t>2027</t>
        </is>
      </c>
      <c r="D798" s="1" t="inlineStr">
        <is>
          <t>V03</t>
        </is>
      </c>
      <c r="E798" s="1" t="inlineStr">
        <is>
          <t>2027BUD_V1</t>
        </is>
      </c>
      <c r="F798" s="1" t="inlineStr">
        <is>
          <t>12</t>
        </is>
      </c>
      <c r="G798" s="1" t="n">
        <v>57202.08</v>
      </c>
      <c r="H798" s="25">
        <f>_CALC_PNL!P798</f>
        <v/>
      </c>
      <c r="I798" s="25">
        <f>IF(_CALC_PNL!E798=1,H798-G798,"")</f>
        <v/>
      </c>
    </row>
    <row r="799">
      <c r="A799" s="1" t="inlineStr">
        <is>
          <t>ISCOM_LIL</t>
        </is>
      </c>
      <c r="B799" s="1" t="inlineStr">
        <is>
          <t>615</t>
        </is>
      </c>
      <c r="C799" s="1" t="inlineStr">
        <is>
          <t>2027</t>
        </is>
      </c>
      <c r="D799" s="1" t="inlineStr">
        <is>
          <t>V01</t>
        </is>
      </c>
      <c r="E799" s="1" t="inlineStr">
        <is>
          <t>2027BUD_V1</t>
        </is>
      </c>
      <c r="F799" s="1" t="inlineStr">
        <is>
          <t>12</t>
        </is>
      </c>
      <c r="G799" s="1" t="n">
        <v>20415.1266</v>
      </c>
      <c r="H799" s="25">
        <f>_CALC_PNL!P799</f>
        <v/>
      </c>
      <c r="I799" s="25">
        <f>IF(_CALC_PNL!E799=1,H799-G799,"")</f>
        <v/>
      </c>
    </row>
    <row r="800">
      <c r="A800" s="1" t="inlineStr">
        <is>
          <t>ISCOM_LIL</t>
        </is>
      </c>
      <c r="B800" s="1" t="inlineStr">
        <is>
          <t>615</t>
        </is>
      </c>
      <c r="C800" s="1" t="inlineStr">
        <is>
          <t>2027</t>
        </is>
      </c>
      <c r="D800" s="1" t="inlineStr">
        <is>
          <t>V02</t>
        </is>
      </c>
      <c r="E800" s="1" t="inlineStr">
        <is>
          <t>2027BUD_V1</t>
        </is>
      </c>
      <c r="F800" s="1" t="inlineStr">
        <is>
          <t>12</t>
        </is>
      </c>
      <c r="G800" s="1" t="n">
        <v>19307.5079295</v>
      </c>
      <c r="H800" s="25">
        <f>_CALC_PNL!P800</f>
        <v/>
      </c>
      <c r="I800" s="25">
        <f>IF(_CALC_PNL!E800=1,H800-G800,"")</f>
        <v/>
      </c>
    </row>
    <row r="801">
      <c r="A801" s="1" t="inlineStr">
        <is>
          <t>ISCOM_LIL</t>
        </is>
      </c>
      <c r="B801" s="1" t="inlineStr">
        <is>
          <t>615</t>
        </is>
      </c>
      <c r="C801" s="1" t="inlineStr">
        <is>
          <t>2027</t>
        </is>
      </c>
      <c r="D801" s="1" t="inlineStr">
        <is>
          <t>V03</t>
        </is>
      </c>
      <c r="E801" s="1" t="inlineStr">
        <is>
          <t>2027BUD_V1</t>
        </is>
      </c>
      <c r="F801" s="1" t="inlineStr">
        <is>
          <t>12</t>
        </is>
      </c>
      <c r="G801" s="1" t="n">
        <v>21656.4504</v>
      </c>
      <c r="H801" s="25">
        <f>_CALC_PNL!P801</f>
        <v/>
      </c>
      <c r="I801" s="25">
        <f>IF(_CALC_PNL!E801=1,H801-G801,"")</f>
        <v/>
      </c>
    </row>
    <row r="802">
      <c r="A802" s="1" t="inlineStr">
        <is>
          <t>ISCOM_TLS</t>
        </is>
      </c>
      <c r="B802" s="1" t="inlineStr">
        <is>
          <t>615</t>
        </is>
      </c>
      <c r="C802" s="1" t="inlineStr">
        <is>
          <t>2027</t>
        </is>
      </c>
      <c r="D802" s="1" t="inlineStr">
        <is>
          <t>V01</t>
        </is>
      </c>
      <c r="E802" s="1" t="inlineStr">
        <is>
          <t>2027BUD_V1</t>
        </is>
      </c>
      <c r="F802" s="1" t="inlineStr">
        <is>
          <t>12</t>
        </is>
      </c>
      <c r="G802" s="1" t="n">
        <v>19971.8244</v>
      </c>
      <c r="H802" s="25">
        <f>_CALC_PNL!P802</f>
        <v/>
      </c>
      <c r="I802" s="25">
        <f>IF(_CALC_PNL!E802=1,H802-G802,"")</f>
        <v/>
      </c>
    </row>
    <row r="803">
      <c r="A803" s="1" t="inlineStr">
        <is>
          <t>ISCOM_TLS</t>
        </is>
      </c>
      <c r="B803" s="1" t="inlineStr">
        <is>
          <t>615</t>
        </is>
      </c>
      <c r="C803" s="1" t="inlineStr">
        <is>
          <t>2027</t>
        </is>
      </c>
      <c r="D803" s="1" t="inlineStr">
        <is>
          <t>V02</t>
        </is>
      </c>
      <c r="E803" s="1" t="inlineStr">
        <is>
          <t>2027BUD_V1</t>
        </is>
      </c>
      <c r="F803" s="1" t="inlineStr">
        <is>
          <t>12</t>
        </is>
      </c>
      <c r="G803" s="1" t="n">
        <v>18888.257003</v>
      </c>
      <c r="H803" s="25">
        <f>_CALC_PNL!P803</f>
        <v/>
      </c>
      <c r="I803" s="25">
        <f>IF(_CALC_PNL!E803=1,H803-G803,"")</f>
        <v/>
      </c>
    </row>
    <row r="804">
      <c r="A804" s="1" t="inlineStr">
        <is>
          <t>ISCOM_TLS</t>
        </is>
      </c>
      <c r="B804" s="1" t="inlineStr">
        <is>
          <t>615</t>
        </is>
      </c>
      <c r="C804" s="1" t="inlineStr">
        <is>
          <t>2027</t>
        </is>
      </c>
      <c r="D804" s="1" t="inlineStr">
        <is>
          <t>V03</t>
        </is>
      </c>
      <c r="E804" s="1" t="inlineStr">
        <is>
          <t>2027BUD_V1</t>
        </is>
      </c>
      <c r="F804" s="1" t="inlineStr">
        <is>
          <t>12</t>
        </is>
      </c>
      <c r="G804" s="1" t="n">
        <v>21186.1936</v>
      </c>
      <c r="H804" s="25">
        <f>_CALC_PNL!P804</f>
        <v/>
      </c>
      <c r="I804" s="25">
        <f>IF(_CALC_PNL!E804=1,H804-G804,"")</f>
        <v/>
      </c>
    </row>
    <row r="805">
      <c r="A805" s="1" t="inlineStr">
        <is>
          <t>IPAC_NAN</t>
        </is>
      </c>
      <c r="B805" s="1" t="inlineStr">
        <is>
          <t>615</t>
        </is>
      </c>
      <c r="C805" s="1" t="inlineStr">
        <is>
          <t>2027</t>
        </is>
      </c>
      <c r="D805" s="1" t="inlineStr">
        <is>
          <t>V01</t>
        </is>
      </c>
      <c r="E805" s="1" t="inlineStr">
        <is>
          <t>2027BUD_V1</t>
        </is>
      </c>
      <c r="F805" s="1" t="inlineStr">
        <is>
          <t>12</t>
        </is>
      </c>
      <c r="G805" s="1" t="n">
        <v>13314.213</v>
      </c>
      <c r="H805" s="25">
        <f>_CALC_PNL!P805</f>
        <v/>
      </c>
      <c r="I805" s="25">
        <f>IF(_CALC_PNL!E805=1,H805-G805,"")</f>
        <v/>
      </c>
    </row>
    <row r="806">
      <c r="A806" s="1" t="inlineStr">
        <is>
          <t>IPAC_NAN</t>
        </is>
      </c>
      <c r="B806" s="1" t="inlineStr">
        <is>
          <t>615</t>
        </is>
      </c>
      <c r="C806" s="1" t="inlineStr">
        <is>
          <t>2027</t>
        </is>
      </c>
      <c r="D806" s="1" t="inlineStr">
        <is>
          <t>V02</t>
        </is>
      </c>
      <c r="E806" s="1" t="inlineStr">
        <is>
          <t>2027BUD_V1</t>
        </is>
      </c>
      <c r="F806" s="1" t="inlineStr">
        <is>
          <t>12</t>
        </is>
      </c>
      <c r="G806" s="1" t="n">
        <v>12591.8529975</v>
      </c>
      <c r="H806" s="25">
        <f>_CALC_PNL!P806</f>
        <v/>
      </c>
      <c r="I806" s="25">
        <f>IF(_CALC_PNL!E806=1,H806-G806,"")</f>
        <v/>
      </c>
    </row>
    <row r="807">
      <c r="A807" s="1" t="inlineStr">
        <is>
          <t>IPAC_NAN</t>
        </is>
      </c>
      <c r="B807" s="1" t="inlineStr">
        <is>
          <t>615</t>
        </is>
      </c>
      <c r="C807" s="1" t="inlineStr">
        <is>
          <t>2027</t>
        </is>
      </c>
      <c r="D807" s="1" t="inlineStr">
        <is>
          <t>V03</t>
        </is>
      </c>
      <c r="E807" s="1" t="inlineStr">
        <is>
          <t>2027BUD_V1</t>
        </is>
      </c>
      <c r="F807" s="1" t="inlineStr">
        <is>
          <t>12</t>
        </is>
      </c>
      <c r="G807" s="1" t="n">
        <v>14123.772</v>
      </c>
      <c r="H807" s="25">
        <f>_CALC_PNL!P807</f>
        <v/>
      </c>
      <c r="I807" s="25">
        <f>IF(_CALC_PNL!E807=1,H807-G807,"")</f>
        <v/>
      </c>
    </row>
    <row r="808">
      <c r="A808" s="1" t="inlineStr">
        <is>
          <t>IPAC_REN</t>
        </is>
      </c>
      <c r="B808" s="1" t="inlineStr">
        <is>
          <t>615</t>
        </is>
      </c>
      <c r="C808" s="1" t="inlineStr">
        <is>
          <t>2027</t>
        </is>
      </c>
      <c r="D808" s="1" t="inlineStr">
        <is>
          <t>V01</t>
        </is>
      </c>
      <c r="E808" s="1" t="inlineStr">
        <is>
          <t>2027BUD_V1</t>
        </is>
      </c>
      <c r="F808" s="1" t="inlineStr">
        <is>
          <t>12</t>
        </is>
      </c>
      <c r="G808" s="1" t="n">
        <v>11716.7094</v>
      </c>
      <c r="H808" s="25">
        <f>_CALC_PNL!P808</f>
        <v/>
      </c>
      <c r="I808" s="25">
        <f>IF(_CALC_PNL!E808=1,H808-G808,"")</f>
        <v/>
      </c>
    </row>
    <row r="809">
      <c r="A809" s="1" t="inlineStr">
        <is>
          <t>IPAC_REN</t>
        </is>
      </c>
      <c r="B809" s="1" t="inlineStr">
        <is>
          <t>615</t>
        </is>
      </c>
      <c r="C809" s="1" t="inlineStr">
        <is>
          <t>2027</t>
        </is>
      </c>
      <c r="D809" s="1" t="inlineStr">
        <is>
          <t>V02</t>
        </is>
      </c>
      <c r="E809" s="1" t="inlineStr">
        <is>
          <t>2027BUD_V1</t>
        </is>
      </c>
      <c r="F809" s="1" t="inlineStr">
        <is>
          <t>12</t>
        </is>
      </c>
      <c r="G809" s="1" t="n">
        <v>11081.0216405</v>
      </c>
      <c r="H809" s="25">
        <f>_CALC_PNL!P809</f>
        <v/>
      </c>
      <c r="I809" s="25">
        <f>IF(_CALC_PNL!E809=1,H809-G809,"")</f>
        <v/>
      </c>
    </row>
    <row r="810">
      <c r="A810" s="1" t="inlineStr">
        <is>
          <t>IPAC_REN</t>
        </is>
      </c>
      <c r="B810" s="1" t="inlineStr">
        <is>
          <t>615</t>
        </is>
      </c>
      <c r="C810" s="1" t="inlineStr">
        <is>
          <t>2027</t>
        </is>
      </c>
      <c r="D810" s="1" t="inlineStr">
        <is>
          <t>V03</t>
        </is>
      </c>
      <c r="E810" s="1" t="inlineStr">
        <is>
          <t>2027BUD_V1</t>
        </is>
      </c>
      <c r="F810" s="1" t="inlineStr">
        <is>
          <t>12</t>
        </is>
      </c>
      <c r="G810" s="1" t="n">
        <v>12429.1336</v>
      </c>
      <c r="H810" s="25">
        <f>_CALC_PNL!P810</f>
        <v/>
      </c>
      <c r="I810" s="25">
        <f>IF(_CALC_PNL!E810=1,H810-G810,"")</f>
        <v/>
      </c>
    </row>
    <row r="811">
      <c r="A811" s="1" t="inlineStr">
        <is>
          <t>IPAC_MTP</t>
        </is>
      </c>
      <c r="B811" s="1" t="inlineStr">
        <is>
          <t>615</t>
        </is>
      </c>
      <c r="C811" s="1" t="inlineStr">
        <is>
          <t>2027</t>
        </is>
      </c>
      <c r="D811" s="1" t="inlineStr">
        <is>
          <t>V01</t>
        </is>
      </c>
      <c r="E811" s="1" t="inlineStr">
        <is>
          <t>2027BUD_V1</t>
        </is>
      </c>
      <c r="F811" s="1" t="inlineStr">
        <is>
          <t>12</t>
        </is>
      </c>
      <c r="G811" s="1" t="n">
        <v>11716.7094</v>
      </c>
      <c r="H811" s="25">
        <f>_CALC_PNL!P811</f>
        <v/>
      </c>
      <c r="I811" s="25">
        <f>IF(_CALC_PNL!E811=1,H811-G811,"")</f>
        <v/>
      </c>
    </row>
    <row r="812">
      <c r="A812" s="1" t="inlineStr">
        <is>
          <t>IPAC_MTP</t>
        </is>
      </c>
      <c r="B812" s="1" t="inlineStr">
        <is>
          <t>615</t>
        </is>
      </c>
      <c r="C812" s="1" t="inlineStr">
        <is>
          <t>2027</t>
        </is>
      </c>
      <c r="D812" s="1" t="inlineStr">
        <is>
          <t>V02</t>
        </is>
      </c>
      <c r="E812" s="1" t="inlineStr">
        <is>
          <t>2027BUD_V1</t>
        </is>
      </c>
      <c r="F812" s="1" t="inlineStr">
        <is>
          <t>12</t>
        </is>
      </c>
      <c r="G812" s="1" t="n">
        <v>11081.0216405</v>
      </c>
      <c r="H812" s="25">
        <f>_CALC_PNL!P812</f>
        <v/>
      </c>
      <c r="I812" s="25">
        <f>IF(_CALC_PNL!E812=1,H812-G812,"")</f>
        <v/>
      </c>
    </row>
    <row r="813">
      <c r="A813" s="1" t="inlineStr">
        <is>
          <t>IPAC_MTP</t>
        </is>
      </c>
      <c r="B813" s="1" t="inlineStr">
        <is>
          <t>615</t>
        </is>
      </c>
      <c r="C813" s="1" t="inlineStr">
        <is>
          <t>2027</t>
        </is>
      </c>
      <c r="D813" s="1" t="inlineStr">
        <is>
          <t>V03</t>
        </is>
      </c>
      <c r="E813" s="1" t="inlineStr">
        <is>
          <t>2027BUD_V1</t>
        </is>
      </c>
      <c r="F813" s="1" t="inlineStr">
        <is>
          <t>12</t>
        </is>
      </c>
      <c r="G813" s="1" t="n">
        <v>12429.1336</v>
      </c>
      <c r="H813" s="25">
        <f>_CALC_PNL!P813</f>
        <v/>
      </c>
      <c r="I813" s="25">
        <f>IF(_CALC_PNL!E813=1,H813-G813,"")</f>
        <v/>
      </c>
    </row>
    <row r="814">
      <c r="A814" s="1" t="inlineStr">
        <is>
          <t>PIGIER_LYO</t>
        </is>
      </c>
      <c r="B814" s="1" t="inlineStr">
        <is>
          <t>615</t>
        </is>
      </c>
      <c r="C814" s="1" t="inlineStr">
        <is>
          <t>2027</t>
        </is>
      </c>
      <c r="D814" s="1" t="inlineStr">
        <is>
          <t>V01</t>
        </is>
      </c>
      <c r="E814" s="1" t="inlineStr">
        <is>
          <t>2027BUD_V1</t>
        </is>
      </c>
      <c r="F814" s="1" t="inlineStr">
        <is>
          <t>12</t>
        </is>
      </c>
      <c r="G814" s="1" t="n">
        <v>19882.962</v>
      </c>
      <c r="H814" s="25">
        <f>_CALC_PNL!P814</f>
        <v/>
      </c>
      <c r="I814" s="25">
        <f>IF(_CALC_PNL!E814=1,H814-G814,"")</f>
        <v/>
      </c>
    </row>
    <row r="815">
      <c r="A815" s="1" t="inlineStr">
        <is>
          <t>PIGIER_LYO</t>
        </is>
      </c>
      <c r="B815" s="1" t="inlineStr">
        <is>
          <t>615</t>
        </is>
      </c>
      <c r="C815" s="1" t="inlineStr">
        <is>
          <t>2027</t>
        </is>
      </c>
      <c r="D815" s="1" t="inlineStr">
        <is>
          <t>V02</t>
        </is>
      </c>
      <c r="E815" s="1" t="inlineStr">
        <is>
          <t>2027BUD_V1</t>
        </is>
      </c>
      <c r="F815" s="1" t="inlineStr">
        <is>
          <t>12</t>
        </is>
      </c>
      <c r="G815" s="1" t="n">
        <v>18804.215815</v>
      </c>
      <c r="H815" s="25">
        <f>_CALC_PNL!P815</f>
        <v/>
      </c>
      <c r="I815" s="25">
        <f>IF(_CALC_PNL!E815=1,H815-G815,"")</f>
        <v/>
      </c>
    </row>
    <row r="816">
      <c r="A816" s="1" t="inlineStr">
        <is>
          <t>PIGIER_LYO</t>
        </is>
      </c>
      <c r="B816" s="1" t="inlineStr">
        <is>
          <t>615</t>
        </is>
      </c>
      <c r="C816" s="1" t="inlineStr">
        <is>
          <t>2027</t>
        </is>
      </c>
      <c r="D816" s="1" t="inlineStr">
        <is>
          <t>V03</t>
        </is>
      </c>
      <c r="E816" s="1" t="inlineStr">
        <is>
          <t>2027BUD_V1</t>
        </is>
      </c>
      <c r="F816" s="1" t="inlineStr">
        <is>
          <t>12</t>
        </is>
      </c>
      <c r="G816" s="1" t="n">
        <v>21091.928</v>
      </c>
      <c r="H816" s="25">
        <f>_CALC_PNL!P816</f>
        <v/>
      </c>
      <c r="I816" s="25">
        <f>IF(_CALC_PNL!E816=1,H816-G816,"")</f>
        <v/>
      </c>
    </row>
    <row r="817">
      <c r="A817" s="1" t="inlineStr">
        <is>
          <t>PIGIER_BOR</t>
        </is>
      </c>
      <c r="B817" s="1" t="inlineStr">
        <is>
          <t>615</t>
        </is>
      </c>
      <c r="C817" s="1" t="inlineStr">
        <is>
          <t>2027</t>
        </is>
      </c>
      <c r="D817" s="1" t="inlineStr">
        <is>
          <t>V01</t>
        </is>
      </c>
      <c r="E817" s="1" t="inlineStr">
        <is>
          <t>2027BUD_V1</t>
        </is>
      </c>
      <c r="F817" s="1" t="inlineStr">
        <is>
          <t>12</t>
        </is>
      </c>
      <c r="G817" s="1" t="n">
        <v>18639.8982</v>
      </c>
      <c r="H817" s="25">
        <f>_CALC_PNL!P817</f>
        <v/>
      </c>
      <c r="I817" s="25">
        <f>IF(_CALC_PNL!E817=1,H817-G817,"")</f>
        <v/>
      </c>
    </row>
    <row r="818">
      <c r="A818" s="1" t="inlineStr">
        <is>
          <t>PIGIER_BOR</t>
        </is>
      </c>
      <c r="B818" s="1" t="inlineStr">
        <is>
          <t>615</t>
        </is>
      </c>
      <c r="C818" s="1" t="inlineStr">
        <is>
          <t>2027</t>
        </is>
      </c>
      <c r="D818" s="1" t="inlineStr">
        <is>
          <t>V02</t>
        </is>
      </c>
      <c r="E818" s="1" t="inlineStr">
        <is>
          <t>2027BUD_V1</t>
        </is>
      </c>
      <c r="F818" s="1" t="inlineStr">
        <is>
          <t>12</t>
        </is>
      </c>
      <c r="G818" s="1" t="n">
        <v>17628.5941965</v>
      </c>
      <c r="H818" s="25">
        <f>_CALC_PNL!P818</f>
        <v/>
      </c>
      <c r="I818" s="25">
        <f>IF(_CALC_PNL!E818=1,H818-G818,"")</f>
        <v/>
      </c>
    </row>
    <row r="819">
      <c r="A819" s="1" t="inlineStr">
        <is>
          <t>PIGIER_BOR</t>
        </is>
      </c>
      <c r="B819" s="1" t="inlineStr">
        <is>
          <t>615</t>
        </is>
      </c>
      <c r="C819" s="1" t="inlineStr">
        <is>
          <t>2027</t>
        </is>
      </c>
      <c r="D819" s="1" t="inlineStr">
        <is>
          <t>V03</t>
        </is>
      </c>
      <c r="E819" s="1" t="inlineStr">
        <is>
          <t>2027BUD_V1</t>
        </is>
      </c>
      <c r="F819" s="1" t="inlineStr">
        <is>
          <t>12</t>
        </is>
      </c>
      <c r="G819" s="1" t="n">
        <v>19773.2808</v>
      </c>
      <c r="H819" s="25">
        <f>_CALC_PNL!P819</f>
        <v/>
      </c>
      <c r="I819" s="25">
        <f>IF(_CALC_PNL!E819=1,H819-G819,"")</f>
        <v/>
      </c>
    </row>
    <row r="820">
      <c r="A820" s="1" t="inlineStr">
        <is>
          <t>TUNON_PAR</t>
        </is>
      </c>
      <c r="B820" s="1" t="inlineStr">
        <is>
          <t>615</t>
        </is>
      </c>
      <c r="C820" s="1" t="inlineStr">
        <is>
          <t>2027</t>
        </is>
      </c>
      <c r="D820" s="1" t="inlineStr">
        <is>
          <t>V01</t>
        </is>
      </c>
      <c r="E820" s="1" t="inlineStr">
        <is>
          <t>2027BUD_V1</t>
        </is>
      </c>
      <c r="F820" s="1" t="inlineStr">
        <is>
          <t>12</t>
        </is>
      </c>
      <c r="G820" s="1" t="n">
        <v>21569.328</v>
      </c>
      <c r="H820" s="25">
        <f>_CALC_PNL!P820</f>
        <v/>
      </c>
      <c r="I820" s="25">
        <f>IF(_CALC_PNL!E820=1,H820-G820,"")</f>
        <v/>
      </c>
    </row>
    <row r="821">
      <c r="A821" s="1" t="inlineStr">
        <is>
          <t>TUNON_PAR</t>
        </is>
      </c>
      <c r="B821" s="1" t="inlineStr">
        <is>
          <t>615</t>
        </is>
      </c>
      <c r="C821" s="1" t="inlineStr">
        <is>
          <t>2027</t>
        </is>
      </c>
      <c r="D821" s="1" t="inlineStr">
        <is>
          <t>V02</t>
        </is>
      </c>
      <c r="E821" s="1" t="inlineStr">
        <is>
          <t>2027BUD_V1</t>
        </is>
      </c>
      <c r="F821" s="1" t="inlineStr">
        <is>
          <t>12</t>
        </is>
      </c>
      <c r="G821" s="1" t="n">
        <v>20399.08836</v>
      </c>
      <c r="H821" s="25">
        <f>_CALC_PNL!P821</f>
        <v/>
      </c>
      <c r="I821" s="25">
        <f>IF(_CALC_PNL!E821=1,H821-G821,"")</f>
        <v/>
      </c>
    </row>
    <row r="822">
      <c r="A822" s="1" t="inlineStr">
        <is>
          <t>TUNON_PAR</t>
        </is>
      </c>
      <c r="B822" s="1" t="inlineStr">
        <is>
          <t>615</t>
        </is>
      </c>
      <c r="C822" s="1" t="inlineStr">
        <is>
          <t>2027</t>
        </is>
      </c>
      <c r="D822" s="1" t="inlineStr">
        <is>
          <t>V03</t>
        </is>
      </c>
      <c r="E822" s="1" t="inlineStr">
        <is>
          <t>2027BUD_V1</t>
        </is>
      </c>
      <c r="F822" s="1" t="inlineStr">
        <is>
          <t>12</t>
        </is>
      </c>
      <c r="G822" s="1" t="n">
        <v>22880.832</v>
      </c>
      <c r="H822" s="25">
        <f>_CALC_PNL!P822</f>
        <v/>
      </c>
      <c r="I822" s="25">
        <f>IF(_CALC_PNL!E822=1,H822-G822,"")</f>
        <v/>
      </c>
    </row>
    <row r="823">
      <c r="A823" s="1" t="inlineStr">
        <is>
          <t>TUNON_LYO</t>
        </is>
      </c>
      <c r="B823" s="1" t="inlineStr">
        <is>
          <t>615</t>
        </is>
      </c>
      <c r="C823" s="1" t="inlineStr">
        <is>
          <t>2027</t>
        </is>
      </c>
      <c r="D823" s="1" t="inlineStr">
        <is>
          <t>V01</t>
        </is>
      </c>
      <c r="E823" s="1" t="inlineStr">
        <is>
          <t>2027BUD_V1</t>
        </is>
      </c>
      <c r="F823" s="1" t="inlineStr">
        <is>
          <t>12</t>
        </is>
      </c>
      <c r="G823" s="1" t="n">
        <v>14911.7166</v>
      </c>
      <c r="H823" s="25">
        <f>_CALC_PNL!P823</f>
        <v/>
      </c>
      <c r="I823" s="25">
        <f>IF(_CALC_PNL!E823=1,H823-G823,"")</f>
        <v/>
      </c>
    </row>
    <row r="824">
      <c r="A824" s="1" t="inlineStr">
        <is>
          <t>TUNON_LYO</t>
        </is>
      </c>
      <c r="B824" s="1" t="inlineStr">
        <is>
          <t>615</t>
        </is>
      </c>
      <c r="C824" s="1" t="inlineStr">
        <is>
          <t>2027</t>
        </is>
      </c>
      <c r="D824" s="1" t="inlineStr">
        <is>
          <t>V02</t>
        </is>
      </c>
      <c r="E824" s="1" t="inlineStr">
        <is>
          <t>2027BUD_V1</t>
        </is>
      </c>
      <c r="F824" s="1" t="inlineStr">
        <is>
          <t>12</t>
        </is>
      </c>
      <c r="G824" s="1" t="n">
        <v>14102.6843545</v>
      </c>
      <c r="H824" s="25">
        <f>_CALC_PNL!P824</f>
        <v/>
      </c>
      <c r="I824" s="25">
        <f>IF(_CALC_PNL!E824=1,H824-G824,"")</f>
        <v/>
      </c>
    </row>
    <row r="825">
      <c r="A825" s="1" t="inlineStr">
        <is>
          <t>TUNON_LYO</t>
        </is>
      </c>
      <c r="B825" s="1" t="inlineStr">
        <is>
          <t>615</t>
        </is>
      </c>
      <c r="C825" s="1" t="inlineStr">
        <is>
          <t>2027</t>
        </is>
      </c>
      <c r="D825" s="1" t="inlineStr">
        <is>
          <t>V03</t>
        </is>
      </c>
      <c r="E825" s="1" t="inlineStr">
        <is>
          <t>2027BUD_V1</t>
        </is>
      </c>
      <c r="F825" s="1" t="inlineStr">
        <is>
          <t>12</t>
        </is>
      </c>
      <c r="G825" s="1" t="n">
        <v>15818.4104</v>
      </c>
      <c r="H825" s="25">
        <f>_CALC_PNL!P825</f>
        <v/>
      </c>
      <c r="I825" s="25">
        <f>IF(_CALC_PNL!E825=1,H825-G825,"")</f>
        <v/>
      </c>
    </row>
    <row r="826">
      <c r="A826" s="1" t="inlineStr">
        <is>
          <t>MBWAY_PAR</t>
        </is>
      </c>
      <c r="B826" s="1" t="inlineStr">
        <is>
          <t>616</t>
        </is>
      </c>
      <c r="C826" s="1" t="inlineStr">
        <is>
          <t>2027</t>
        </is>
      </c>
      <c r="D826" s="1" t="inlineStr">
        <is>
          <t>V01</t>
        </is>
      </c>
      <c r="E826" s="1" t="inlineStr">
        <is>
          <t>2027BUD_V1</t>
        </is>
      </c>
      <c r="F826" s="1" t="inlineStr">
        <is>
          <t>12</t>
        </is>
      </c>
      <c r="G826" s="1" t="n">
        <v>39202.4556</v>
      </c>
      <c r="H826" s="25">
        <f>_CALC_PNL!P826</f>
        <v/>
      </c>
      <c r="I826" s="25">
        <f>IF(_CALC_PNL!E826=1,H826-G826,"")</f>
        <v/>
      </c>
    </row>
    <row r="827">
      <c r="A827" s="1" t="inlineStr">
        <is>
          <t>MBWAY_PAR</t>
        </is>
      </c>
      <c r="B827" s="1" t="inlineStr">
        <is>
          <t>616</t>
        </is>
      </c>
      <c r="C827" s="1" t="inlineStr">
        <is>
          <t>2027</t>
        </is>
      </c>
      <c r="D827" s="1" t="inlineStr">
        <is>
          <t>V02</t>
        </is>
      </c>
      <c r="E827" s="1" t="inlineStr">
        <is>
          <t>2027BUD_V1</t>
        </is>
      </c>
      <c r="F827" s="1" t="inlineStr">
        <is>
          <t>12</t>
        </is>
      </c>
      <c r="G827" s="1" t="n">
        <v>37075.534097</v>
      </c>
      <c r="H827" s="25">
        <f>_CALC_PNL!P827</f>
        <v/>
      </c>
      <c r="I827" s="25">
        <f>IF(_CALC_PNL!E827=1,H827-G827,"")</f>
        <v/>
      </c>
    </row>
    <row r="828">
      <c r="A828" s="1" t="inlineStr">
        <is>
          <t>MBWAY_PAR</t>
        </is>
      </c>
      <c r="B828" s="1" t="inlineStr">
        <is>
          <t>616</t>
        </is>
      </c>
      <c r="C828" s="1" t="inlineStr">
        <is>
          <t>2027</t>
        </is>
      </c>
      <c r="D828" s="1" t="inlineStr">
        <is>
          <t>V03</t>
        </is>
      </c>
      <c r="E828" s="1" t="inlineStr">
        <is>
          <t>2027BUD_V1</t>
        </is>
      </c>
      <c r="F828" s="1" t="inlineStr">
        <is>
          <t>12</t>
        </is>
      </c>
      <c r="G828" s="1" t="n">
        <v>41586.1264</v>
      </c>
      <c r="H828" s="25">
        <f>_CALC_PNL!P828</f>
        <v/>
      </c>
      <c r="I828" s="25">
        <f>IF(_CALC_PNL!E828=1,H828-G828,"")</f>
        <v/>
      </c>
    </row>
    <row r="829">
      <c r="A829" s="1" t="inlineStr">
        <is>
          <t>MBWAY_LYO</t>
        </is>
      </c>
      <c r="B829" s="1" t="inlineStr">
        <is>
          <t>616</t>
        </is>
      </c>
      <c r="C829" s="1" t="inlineStr">
        <is>
          <t>2027</t>
        </is>
      </c>
      <c r="D829" s="1" t="inlineStr">
        <is>
          <t>V01</t>
        </is>
      </c>
      <c r="E829" s="1" t="inlineStr">
        <is>
          <t>2027BUD_V1</t>
        </is>
      </c>
      <c r="F829" s="1" t="inlineStr">
        <is>
          <t>12</t>
        </is>
      </c>
      <c r="G829" s="1" t="n">
        <v>22988.097</v>
      </c>
      <c r="H829" s="25">
        <f>_CALC_PNL!P829</f>
        <v/>
      </c>
      <c r="I829" s="25">
        <f>IF(_CALC_PNL!E829=1,H829-G829,"")</f>
        <v/>
      </c>
    </row>
    <row r="830">
      <c r="A830" s="1" t="inlineStr">
        <is>
          <t>MBWAY_LYO</t>
        </is>
      </c>
      <c r="B830" s="1" t="inlineStr">
        <is>
          <t>616</t>
        </is>
      </c>
      <c r="C830" s="1" t="inlineStr">
        <is>
          <t>2027</t>
        </is>
      </c>
      <c r="D830" s="1" t="inlineStr">
        <is>
          <t>V02</t>
        </is>
      </c>
      <c r="E830" s="1" t="inlineStr">
        <is>
          <t>2027BUD_V1</t>
        </is>
      </c>
      <c r="F830" s="1" t="inlineStr">
        <is>
          <t>12</t>
        </is>
      </c>
      <c r="G830" s="1" t="n">
        <v>21740.8823275</v>
      </c>
      <c r="H830" s="25">
        <f>_CALC_PNL!P830</f>
        <v/>
      </c>
      <c r="I830" s="25">
        <f>IF(_CALC_PNL!E830=1,H830-G830,"")</f>
        <v/>
      </c>
    </row>
    <row r="831">
      <c r="A831" s="1" t="inlineStr">
        <is>
          <t>MBWAY_LYO</t>
        </is>
      </c>
      <c r="B831" s="1" t="inlineStr">
        <is>
          <t>616</t>
        </is>
      </c>
      <c r="C831" s="1" t="inlineStr">
        <is>
          <t>2027</t>
        </is>
      </c>
      <c r="D831" s="1" t="inlineStr">
        <is>
          <t>V03</t>
        </is>
      </c>
      <c r="E831" s="1" t="inlineStr">
        <is>
          <t>2027BUD_V1</t>
        </is>
      </c>
      <c r="F831" s="1" t="inlineStr">
        <is>
          <t>12</t>
        </is>
      </c>
      <c r="G831" s="1" t="n">
        <v>24385.868</v>
      </c>
      <c r="H831" s="25">
        <f>_CALC_PNL!P831</f>
        <v/>
      </c>
      <c r="I831" s="25">
        <f>IF(_CALC_PNL!E831=1,H831-G831,"")</f>
        <v/>
      </c>
    </row>
    <row r="832">
      <c r="A832" s="1" t="inlineStr">
        <is>
          <t>MBWAY_NAN</t>
        </is>
      </c>
      <c r="B832" s="1" t="inlineStr">
        <is>
          <t>616</t>
        </is>
      </c>
      <c r="C832" s="1" t="inlineStr">
        <is>
          <t>2027</t>
        </is>
      </c>
      <c r="D832" s="1" t="inlineStr">
        <is>
          <t>V01</t>
        </is>
      </c>
      <c r="E832" s="1" t="inlineStr">
        <is>
          <t>2027BUD_V1</t>
        </is>
      </c>
      <c r="F832" s="1" t="inlineStr">
        <is>
          <t>12</t>
        </is>
      </c>
      <c r="G832" s="1" t="n">
        <v>18624.7512</v>
      </c>
      <c r="H832" s="25">
        <f>_CALC_PNL!P832</f>
        <v/>
      </c>
      <c r="I832" s="25">
        <f>IF(_CALC_PNL!E832=1,H832-G832,"")</f>
        <v/>
      </c>
    </row>
    <row r="833">
      <c r="A833" s="1" t="inlineStr">
        <is>
          <t>MBWAY_NAN</t>
        </is>
      </c>
      <c r="B833" s="1" t="inlineStr">
        <is>
          <t>616</t>
        </is>
      </c>
      <c r="C833" s="1" t="inlineStr">
        <is>
          <t>2027</t>
        </is>
      </c>
      <c r="D833" s="1" t="inlineStr">
        <is>
          <t>V02</t>
        </is>
      </c>
      <c r="E833" s="1" t="inlineStr">
        <is>
          <t>2027BUD_V1</t>
        </is>
      </c>
      <c r="F833" s="1" t="inlineStr">
        <is>
          <t>12</t>
        </is>
      </c>
      <c r="G833" s="1" t="n">
        <v>17614.268994</v>
      </c>
      <c r="H833" s="25">
        <f>_CALC_PNL!P833</f>
        <v/>
      </c>
      <c r="I833" s="25">
        <f>IF(_CALC_PNL!E833=1,H833-G833,"")</f>
        <v/>
      </c>
    </row>
    <row r="834">
      <c r="A834" s="1" t="inlineStr">
        <is>
          <t>MBWAY_NAN</t>
        </is>
      </c>
      <c r="B834" s="1" t="inlineStr">
        <is>
          <t>616</t>
        </is>
      </c>
      <c r="C834" s="1" t="inlineStr">
        <is>
          <t>2027</t>
        </is>
      </c>
      <c r="D834" s="1" t="inlineStr">
        <is>
          <t>V03</t>
        </is>
      </c>
      <c r="E834" s="1" t="inlineStr">
        <is>
          <t>2027BUD_V1</t>
        </is>
      </c>
      <c r="F834" s="1" t="inlineStr">
        <is>
          <t>12</t>
        </is>
      </c>
      <c r="G834" s="1" t="n">
        <v>19757.2128</v>
      </c>
      <c r="H834" s="25">
        <f>_CALC_PNL!P834</f>
        <v/>
      </c>
      <c r="I834" s="25">
        <f>IF(_CALC_PNL!E834=1,H834-G834,"")</f>
        <v/>
      </c>
    </row>
    <row r="835">
      <c r="A835" s="1" t="inlineStr">
        <is>
          <t>MBWAY_BOR</t>
        </is>
      </c>
      <c r="B835" s="1" t="inlineStr">
        <is>
          <t>616</t>
        </is>
      </c>
      <c r="C835" s="1" t="inlineStr">
        <is>
          <t>2027</t>
        </is>
      </c>
      <c r="D835" s="1" t="inlineStr">
        <is>
          <t>V01</t>
        </is>
      </c>
      <c r="E835" s="1" t="inlineStr">
        <is>
          <t>2027BUD_V1</t>
        </is>
      </c>
      <c r="F835" s="1" t="inlineStr">
        <is>
          <t>12</t>
        </is>
      </c>
      <c r="G835" s="1" t="n">
        <v>16562.7396</v>
      </c>
      <c r="H835" s="25">
        <f>_CALC_PNL!P835</f>
        <v/>
      </c>
      <c r="I835" s="25">
        <f>IF(_CALC_PNL!E835=1,H835-G835,"")</f>
        <v/>
      </c>
    </row>
    <row r="836">
      <c r="A836" s="1" t="inlineStr">
        <is>
          <t>MBWAY_BOR</t>
        </is>
      </c>
      <c r="B836" s="1" t="inlineStr">
        <is>
          <t>616</t>
        </is>
      </c>
      <c r="C836" s="1" t="inlineStr">
        <is>
          <t>2027</t>
        </is>
      </c>
      <c r="D836" s="1" t="inlineStr">
        <is>
          <t>V02</t>
        </is>
      </c>
      <c r="E836" s="1" t="inlineStr">
        <is>
          <t>2027BUD_V1</t>
        </is>
      </c>
      <c r="F836" s="1" t="inlineStr">
        <is>
          <t>12</t>
        </is>
      </c>
      <c r="G836" s="1" t="n">
        <v>15664.131427</v>
      </c>
      <c r="H836" s="25">
        <f>_CALC_PNL!P836</f>
        <v/>
      </c>
      <c r="I836" s="25">
        <f>IF(_CALC_PNL!E836=1,H836-G836,"")</f>
        <v/>
      </c>
    </row>
    <row r="837">
      <c r="A837" s="1" t="inlineStr">
        <is>
          <t>MBWAY_BOR</t>
        </is>
      </c>
      <c r="B837" s="1" t="inlineStr">
        <is>
          <t>616</t>
        </is>
      </c>
      <c r="C837" s="1" t="inlineStr">
        <is>
          <t>2027</t>
        </is>
      </c>
      <c r="D837" s="1" t="inlineStr">
        <is>
          <t>V03</t>
        </is>
      </c>
      <c r="E837" s="1" t="inlineStr">
        <is>
          <t>2027BUD_V1</t>
        </is>
      </c>
      <c r="F837" s="1" t="inlineStr">
        <is>
          <t>12</t>
        </is>
      </c>
      <c r="G837" s="1" t="n">
        <v>17569.8224</v>
      </c>
      <c r="H837" s="25">
        <f>_CALC_PNL!P837</f>
        <v/>
      </c>
      <c r="I837" s="25">
        <f>IF(_CALC_PNL!E837=1,H837-G837,"")</f>
        <v/>
      </c>
    </row>
    <row r="838">
      <c r="A838" s="1" t="inlineStr">
        <is>
          <t>ISCOM_PAR</t>
        </is>
      </c>
      <c r="B838" s="1" t="inlineStr">
        <is>
          <t>616</t>
        </is>
      </c>
      <c r="C838" s="1" t="inlineStr">
        <is>
          <t>2027</t>
        </is>
      </c>
      <c r="D838" s="1" t="inlineStr">
        <is>
          <t>V01</t>
        </is>
      </c>
      <c r="E838" s="1" t="inlineStr">
        <is>
          <t>2027BUD_V1</t>
        </is>
      </c>
      <c r="F838" s="1" t="inlineStr">
        <is>
          <t>12</t>
        </is>
      </c>
      <c r="G838" s="1" t="n">
        <v>36329.5746</v>
      </c>
      <c r="H838" s="25">
        <f>_CALC_PNL!P838</f>
        <v/>
      </c>
      <c r="I838" s="25">
        <f>IF(_CALC_PNL!E838=1,H838-G838,"")</f>
        <v/>
      </c>
    </row>
    <row r="839">
      <c r="A839" s="1" t="inlineStr">
        <is>
          <t>ISCOM_PAR</t>
        </is>
      </c>
      <c r="B839" s="1" t="inlineStr">
        <is>
          <t>616</t>
        </is>
      </c>
      <c r="C839" s="1" t="inlineStr">
        <is>
          <t>2027</t>
        </is>
      </c>
      <c r="D839" s="1" t="inlineStr">
        <is>
          <t>V02</t>
        </is>
      </c>
      <c r="E839" s="1" t="inlineStr">
        <is>
          <t>2027BUD_V1</t>
        </is>
      </c>
      <c r="F839" s="1" t="inlineStr">
        <is>
          <t>12</t>
        </is>
      </c>
      <c r="G839" s="1" t="n">
        <v>34358.5206895</v>
      </c>
      <c r="H839" s="25">
        <f>_CALC_PNL!P839</f>
        <v/>
      </c>
      <c r="I839" s="25">
        <f>IF(_CALC_PNL!E839=1,H839-G839,"")</f>
        <v/>
      </c>
    </row>
    <row r="840">
      <c r="A840" s="1" t="inlineStr">
        <is>
          <t>ISCOM_PAR</t>
        </is>
      </c>
      <c r="B840" s="1" t="inlineStr">
        <is>
          <t>616</t>
        </is>
      </c>
      <c r="C840" s="1" t="inlineStr">
        <is>
          <t>2027</t>
        </is>
      </c>
      <c r="D840" s="1" t="inlineStr">
        <is>
          <t>V03</t>
        </is>
      </c>
      <c r="E840" s="1" t="inlineStr">
        <is>
          <t>2027BUD_V1</t>
        </is>
      </c>
      <c r="F840" s="1" t="inlineStr">
        <is>
          <t>12</t>
        </is>
      </c>
      <c r="G840" s="1" t="n">
        <v>38538.5624</v>
      </c>
      <c r="H840" s="25">
        <f>_CALC_PNL!P840</f>
        <v/>
      </c>
      <c r="I840" s="25">
        <f>IF(_CALC_PNL!E840=1,H840-G840,"")</f>
        <v/>
      </c>
    </row>
    <row r="841">
      <c r="A841" s="1" t="inlineStr">
        <is>
          <t>ISCOM_LIL</t>
        </is>
      </c>
      <c r="B841" s="1" t="inlineStr">
        <is>
          <t>616</t>
        </is>
      </c>
      <c r="C841" s="1" t="inlineStr">
        <is>
          <t>2027</t>
        </is>
      </c>
      <c r="D841" s="1" t="inlineStr">
        <is>
          <t>V01</t>
        </is>
      </c>
      <c r="E841" s="1" t="inlineStr">
        <is>
          <t>2027BUD_V1</t>
        </is>
      </c>
      <c r="F841" s="1" t="inlineStr">
        <is>
          <t>12</t>
        </is>
      </c>
      <c r="G841" s="1" t="n">
        <v>14221.0134</v>
      </c>
      <c r="H841" s="25">
        <f>_CALC_PNL!P841</f>
        <v/>
      </c>
      <c r="I841" s="25">
        <f>IF(_CALC_PNL!E841=1,H841-G841,"")</f>
        <v/>
      </c>
    </row>
    <row r="842">
      <c r="A842" s="1" t="inlineStr">
        <is>
          <t>ISCOM_LIL</t>
        </is>
      </c>
      <c r="B842" s="1" t="inlineStr">
        <is>
          <t>616</t>
        </is>
      </c>
      <c r="C842" s="1" t="inlineStr">
        <is>
          <t>2027</t>
        </is>
      </c>
      <c r="D842" s="1" t="inlineStr">
        <is>
          <t>V02</t>
        </is>
      </c>
      <c r="E842" s="1" t="inlineStr">
        <is>
          <t>2027BUD_V1</t>
        </is>
      </c>
      <c r="F842" s="1" t="inlineStr">
        <is>
          <t>12</t>
        </is>
      </c>
      <c r="G842" s="1" t="n">
        <v>13449.4551205</v>
      </c>
      <c r="H842" s="25">
        <f>_CALC_PNL!P842</f>
        <v/>
      </c>
      <c r="I842" s="25">
        <f>IF(_CALC_PNL!E842=1,H842-G842,"")</f>
        <v/>
      </c>
    </row>
    <row r="843">
      <c r="A843" s="1" t="inlineStr">
        <is>
          <t>ISCOM_LIL</t>
        </is>
      </c>
      <c r="B843" s="1" t="inlineStr">
        <is>
          <t>616</t>
        </is>
      </c>
      <c r="C843" s="1" t="inlineStr">
        <is>
          <t>2027</t>
        </is>
      </c>
      <c r="D843" s="1" t="inlineStr">
        <is>
          <t>V03</t>
        </is>
      </c>
      <c r="E843" s="1" t="inlineStr">
        <is>
          <t>2027BUD_V1</t>
        </is>
      </c>
      <c r="F843" s="1" t="inlineStr">
        <is>
          <t>12</t>
        </is>
      </c>
      <c r="G843" s="1" t="n">
        <v>15085.7096</v>
      </c>
      <c r="H843" s="25">
        <f>_CALC_PNL!P843</f>
        <v/>
      </c>
      <c r="I843" s="25">
        <f>IF(_CALC_PNL!E843=1,H843-G843,"")</f>
        <v/>
      </c>
    </row>
    <row r="844">
      <c r="A844" s="1" t="inlineStr">
        <is>
          <t>ISCOM_TLS</t>
        </is>
      </c>
      <c r="B844" s="1" t="inlineStr">
        <is>
          <t>616</t>
        </is>
      </c>
      <c r="C844" s="1" t="inlineStr">
        <is>
          <t>2027</t>
        </is>
      </c>
      <c r="D844" s="1" t="inlineStr">
        <is>
          <t>V01</t>
        </is>
      </c>
      <c r="E844" s="1" t="inlineStr">
        <is>
          <t>2027BUD_V1</t>
        </is>
      </c>
      <c r="F844" s="1" t="inlineStr">
        <is>
          <t>12</t>
        </is>
      </c>
      <c r="G844" s="1" t="n">
        <v>13169.8116</v>
      </c>
      <c r="H844" s="25">
        <f>_CALC_PNL!P844</f>
        <v/>
      </c>
      <c r="I844" s="25">
        <f>IF(_CALC_PNL!E844=1,H844-G844,"")</f>
        <v/>
      </c>
    </row>
    <row r="845">
      <c r="A845" s="1" t="inlineStr">
        <is>
          <t>ISCOM_TLS</t>
        </is>
      </c>
      <c r="B845" s="1" t="inlineStr">
        <is>
          <t>616</t>
        </is>
      </c>
      <c r="C845" s="1" t="inlineStr">
        <is>
          <t>2027</t>
        </is>
      </c>
      <c r="D845" s="1" t="inlineStr">
        <is>
          <t>V02</t>
        </is>
      </c>
      <c r="E845" s="1" t="inlineStr">
        <is>
          <t>2027BUD_V1</t>
        </is>
      </c>
      <c r="F845" s="1" t="inlineStr">
        <is>
          <t>12</t>
        </is>
      </c>
      <c r="G845" s="1" t="n">
        <v>12455.286067</v>
      </c>
      <c r="H845" s="25">
        <f>_CALC_PNL!P845</f>
        <v/>
      </c>
      <c r="I845" s="25">
        <f>IF(_CALC_PNL!E845=1,H845-G845,"")</f>
        <v/>
      </c>
    </row>
    <row r="846">
      <c r="A846" s="1" t="inlineStr">
        <is>
          <t>ISCOM_TLS</t>
        </is>
      </c>
      <c r="B846" s="1" t="inlineStr">
        <is>
          <t>616</t>
        </is>
      </c>
      <c r="C846" s="1" t="inlineStr">
        <is>
          <t>2027</t>
        </is>
      </c>
      <c r="D846" s="1" t="inlineStr">
        <is>
          <t>V03</t>
        </is>
      </c>
      <c r="E846" s="1" t="inlineStr">
        <is>
          <t>2027BUD_V1</t>
        </is>
      </c>
      <c r="F846" s="1" t="inlineStr">
        <is>
          <t>12</t>
        </is>
      </c>
      <c r="G846" s="1" t="n">
        <v>13970.5904</v>
      </c>
      <c r="H846" s="25">
        <f>_CALC_PNL!P846</f>
        <v/>
      </c>
      <c r="I846" s="25">
        <f>IF(_CALC_PNL!E846=1,H846-G846,"")</f>
        <v/>
      </c>
    </row>
    <row r="847">
      <c r="A847" s="1" t="inlineStr">
        <is>
          <t>IPAC_NAN</t>
        </is>
      </c>
      <c r="B847" s="1" t="inlineStr">
        <is>
          <t>616</t>
        </is>
      </c>
      <c r="C847" s="1" t="inlineStr">
        <is>
          <t>2027</t>
        </is>
      </c>
      <c r="D847" s="1" t="inlineStr">
        <is>
          <t>V01</t>
        </is>
      </c>
      <c r="E847" s="1" t="inlineStr">
        <is>
          <t>2027BUD_V1</t>
        </is>
      </c>
      <c r="F847" s="1" t="inlineStr">
        <is>
          <t>12</t>
        </is>
      </c>
      <c r="G847" s="1" t="n">
        <v>9185.140799999999</v>
      </c>
      <c r="H847" s="25">
        <f>_CALC_PNL!P847</f>
        <v/>
      </c>
      <c r="I847" s="25">
        <f>IF(_CALC_PNL!E847=1,H847-G847,"")</f>
        <v/>
      </c>
    </row>
    <row r="848">
      <c r="A848" s="1" t="inlineStr">
        <is>
          <t>IPAC_NAN</t>
        </is>
      </c>
      <c r="B848" s="1" t="inlineStr">
        <is>
          <t>616</t>
        </is>
      </c>
      <c r="C848" s="1" t="inlineStr">
        <is>
          <t>2027</t>
        </is>
      </c>
      <c r="D848" s="1" t="inlineStr">
        <is>
          <t>V02</t>
        </is>
      </c>
      <c r="E848" s="1" t="inlineStr">
        <is>
          <t>2027BUD_V1</t>
        </is>
      </c>
      <c r="F848" s="1" t="inlineStr">
        <is>
          <t>12</t>
        </is>
      </c>
      <c r="G848" s="1" t="n">
        <v>8686.802796</v>
      </c>
      <c r="H848" s="25">
        <f>_CALC_PNL!P848</f>
        <v/>
      </c>
      <c r="I848" s="25">
        <f>IF(_CALC_PNL!E848=1,H848-G848,"")</f>
        <v/>
      </c>
    </row>
    <row r="849">
      <c r="A849" s="1" t="inlineStr">
        <is>
          <t>IPAC_NAN</t>
        </is>
      </c>
      <c r="B849" s="1" t="inlineStr">
        <is>
          <t>616</t>
        </is>
      </c>
      <c r="C849" s="1" t="inlineStr">
        <is>
          <t>2027</t>
        </is>
      </c>
      <c r="D849" s="1" t="inlineStr">
        <is>
          <t>V03</t>
        </is>
      </c>
      <c r="E849" s="1" t="inlineStr">
        <is>
          <t>2027BUD_V1</t>
        </is>
      </c>
      <c r="F849" s="1" t="inlineStr">
        <is>
          <t>12</t>
        </is>
      </c>
      <c r="G849" s="1" t="n">
        <v>9743.635200000001</v>
      </c>
      <c r="H849" s="25">
        <f>_CALC_PNL!P849</f>
        <v/>
      </c>
      <c r="I849" s="25">
        <f>IF(_CALC_PNL!E849=1,H849-G849,"")</f>
        <v/>
      </c>
    </row>
    <row r="850">
      <c r="A850" s="1" t="inlineStr">
        <is>
          <t>IPAC_REN</t>
        </is>
      </c>
      <c r="B850" s="1" t="inlineStr">
        <is>
          <t>616</t>
        </is>
      </c>
      <c r="C850" s="1" t="inlineStr">
        <is>
          <t>2027</t>
        </is>
      </c>
      <c r="D850" s="1" t="inlineStr">
        <is>
          <t>V01</t>
        </is>
      </c>
      <c r="E850" s="1" t="inlineStr">
        <is>
          <t>2027BUD_V1</t>
        </is>
      </c>
      <c r="F850" s="1" t="inlineStr">
        <is>
          <t>12</t>
        </is>
      </c>
      <c r="G850" s="1" t="n">
        <v>6522.2982</v>
      </c>
      <c r="H850" s="25">
        <f>_CALC_PNL!P850</f>
        <v/>
      </c>
      <c r="I850" s="25">
        <f>IF(_CALC_PNL!E850=1,H850-G850,"")</f>
        <v/>
      </c>
    </row>
    <row r="851">
      <c r="A851" s="1" t="inlineStr">
        <is>
          <t>IPAC_REN</t>
        </is>
      </c>
      <c r="B851" s="1" t="inlineStr">
        <is>
          <t>616</t>
        </is>
      </c>
      <c r="C851" s="1" t="inlineStr">
        <is>
          <t>2027</t>
        </is>
      </c>
      <c r="D851" s="1" t="inlineStr">
        <is>
          <t>V02</t>
        </is>
      </c>
      <c r="E851" s="1" t="inlineStr">
        <is>
          <t>2027BUD_V1</t>
        </is>
      </c>
      <c r="F851" s="1" t="inlineStr">
        <is>
          <t>12</t>
        </is>
      </c>
      <c r="G851" s="1" t="n">
        <v>6168.4321965</v>
      </c>
      <c r="H851" s="25">
        <f>_CALC_PNL!P851</f>
        <v/>
      </c>
      <c r="I851" s="25">
        <f>IF(_CALC_PNL!E851=1,H851-G851,"")</f>
        <v/>
      </c>
    </row>
    <row r="852">
      <c r="A852" s="1" t="inlineStr">
        <is>
          <t>IPAC_REN</t>
        </is>
      </c>
      <c r="B852" s="1" t="inlineStr">
        <is>
          <t>616</t>
        </is>
      </c>
      <c r="C852" s="1" t="inlineStr">
        <is>
          <t>2027</t>
        </is>
      </c>
      <c r="D852" s="1" t="inlineStr">
        <is>
          <t>V03</t>
        </is>
      </c>
      <c r="E852" s="1" t="inlineStr">
        <is>
          <t>2027BUD_V1</t>
        </is>
      </c>
      <c r="F852" s="1" t="inlineStr">
        <is>
          <t>12</t>
        </is>
      </c>
      <c r="G852" s="1" t="n">
        <v>6918.8808</v>
      </c>
      <c r="H852" s="25">
        <f>_CALC_PNL!P852</f>
        <v/>
      </c>
      <c r="I852" s="25">
        <f>IF(_CALC_PNL!E852=1,H852-G852,"")</f>
        <v/>
      </c>
    </row>
    <row r="853">
      <c r="A853" s="1" t="inlineStr">
        <is>
          <t>IPAC_MTP</t>
        </is>
      </c>
      <c r="B853" s="1" t="inlineStr">
        <is>
          <t>616</t>
        </is>
      </c>
      <c r="C853" s="1" t="inlineStr">
        <is>
          <t>2027</t>
        </is>
      </c>
      <c r="D853" s="1" t="inlineStr">
        <is>
          <t>V01</t>
        </is>
      </c>
      <c r="E853" s="1" t="inlineStr">
        <is>
          <t>2027BUD_V1</t>
        </is>
      </c>
      <c r="F853" s="1" t="inlineStr">
        <is>
          <t>12</t>
        </is>
      </c>
      <c r="G853" s="1" t="n">
        <v>6522.2982</v>
      </c>
      <c r="H853" s="25">
        <f>_CALC_PNL!P853</f>
        <v/>
      </c>
      <c r="I853" s="25">
        <f>IF(_CALC_PNL!E853=1,H853-G853,"")</f>
        <v/>
      </c>
    </row>
    <row r="854">
      <c r="A854" s="1" t="inlineStr">
        <is>
          <t>IPAC_MTP</t>
        </is>
      </c>
      <c r="B854" s="1" t="inlineStr">
        <is>
          <t>616</t>
        </is>
      </c>
      <c r="C854" s="1" t="inlineStr">
        <is>
          <t>2027</t>
        </is>
      </c>
      <c r="D854" s="1" t="inlineStr">
        <is>
          <t>V02</t>
        </is>
      </c>
      <c r="E854" s="1" t="inlineStr">
        <is>
          <t>2027BUD_V1</t>
        </is>
      </c>
      <c r="F854" s="1" t="inlineStr">
        <is>
          <t>12</t>
        </is>
      </c>
      <c r="G854" s="1" t="n">
        <v>6168.4321965</v>
      </c>
      <c r="H854" s="25">
        <f>_CALC_PNL!P854</f>
        <v/>
      </c>
      <c r="I854" s="25">
        <f>IF(_CALC_PNL!E854=1,H854-G854,"")</f>
        <v/>
      </c>
    </row>
    <row r="855">
      <c r="A855" s="1" t="inlineStr">
        <is>
          <t>IPAC_MTP</t>
        </is>
      </c>
      <c r="B855" s="1" t="inlineStr">
        <is>
          <t>616</t>
        </is>
      </c>
      <c r="C855" s="1" t="inlineStr">
        <is>
          <t>2027</t>
        </is>
      </c>
      <c r="D855" s="1" t="inlineStr">
        <is>
          <t>V03</t>
        </is>
      </c>
      <c r="E855" s="1" t="inlineStr">
        <is>
          <t>2027BUD_V1</t>
        </is>
      </c>
      <c r="F855" s="1" t="inlineStr">
        <is>
          <t>12</t>
        </is>
      </c>
      <c r="G855" s="1" t="n">
        <v>6918.8808</v>
      </c>
      <c r="H855" s="25">
        <f>_CALC_PNL!P855</f>
        <v/>
      </c>
      <c r="I855" s="25">
        <f>IF(_CALC_PNL!E855=1,H855-G855,"")</f>
        <v/>
      </c>
    </row>
    <row r="856">
      <c r="A856" s="1" t="inlineStr">
        <is>
          <t>PIGIER_LYO</t>
        </is>
      </c>
      <c r="B856" s="1" t="inlineStr">
        <is>
          <t>616</t>
        </is>
      </c>
      <c r="C856" s="1" t="inlineStr">
        <is>
          <t>2027</t>
        </is>
      </c>
      <c r="D856" s="1" t="inlineStr">
        <is>
          <t>V01</t>
        </is>
      </c>
      <c r="E856" s="1" t="inlineStr">
        <is>
          <t>2027BUD_V1</t>
        </is>
      </c>
      <c r="F856" s="1" t="inlineStr">
        <is>
          <t>12</t>
        </is>
      </c>
      <c r="G856" s="1" t="n">
        <v>12913.3224</v>
      </c>
      <c r="H856" s="25">
        <f>_CALC_PNL!P856</f>
        <v/>
      </c>
      <c r="I856" s="25">
        <f>IF(_CALC_PNL!E856=1,H856-G856,"")</f>
        <v/>
      </c>
    </row>
    <row r="857">
      <c r="A857" s="1" t="inlineStr">
        <is>
          <t>PIGIER_LYO</t>
        </is>
      </c>
      <c r="B857" s="1" t="inlineStr">
        <is>
          <t>616</t>
        </is>
      </c>
      <c r="C857" s="1" t="inlineStr">
        <is>
          <t>2027</t>
        </is>
      </c>
      <c r="D857" s="1" t="inlineStr">
        <is>
          <t>V02</t>
        </is>
      </c>
      <c r="E857" s="1" t="inlineStr">
        <is>
          <t>2027BUD_V1</t>
        </is>
      </c>
      <c r="F857" s="1" t="inlineStr">
        <is>
          <t>12</t>
        </is>
      </c>
      <c r="G857" s="1" t="n">
        <v>12212.712638</v>
      </c>
      <c r="H857" s="25">
        <f>_CALC_PNL!P857</f>
        <v/>
      </c>
      <c r="I857" s="25">
        <f>IF(_CALC_PNL!E857=1,H857-G857,"")</f>
        <v/>
      </c>
    </row>
    <row r="858">
      <c r="A858" s="1" t="inlineStr">
        <is>
          <t>PIGIER_LYO</t>
        </is>
      </c>
      <c r="B858" s="1" t="inlineStr">
        <is>
          <t>616</t>
        </is>
      </c>
      <c r="C858" s="1" t="inlineStr">
        <is>
          <t>2027</t>
        </is>
      </c>
      <c r="D858" s="1" t="inlineStr">
        <is>
          <t>V03</t>
        </is>
      </c>
      <c r="E858" s="1" t="inlineStr">
        <is>
          <t>2027BUD_V1</t>
        </is>
      </c>
      <c r="F858" s="1" t="inlineStr">
        <is>
          <t>12</t>
        </is>
      </c>
      <c r="G858" s="1" t="n">
        <v>13698.5056</v>
      </c>
      <c r="H858" s="25">
        <f>_CALC_PNL!P858</f>
        <v/>
      </c>
      <c r="I858" s="25">
        <f>IF(_CALC_PNL!E858=1,H858-G858,"")</f>
        <v/>
      </c>
    </row>
    <row r="859">
      <c r="A859" s="1" t="inlineStr">
        <is>
          <t>PIGIER_BOR</t>
        </is>
      </c>
      <c r="B859" s="1" t="inlineStr">
        <is>
          <t>616</t>
        </is>
      </c>
      <c r="C859" s="1" t="inlineStr">
        <is>
          <t>2027</t>
        </is>
      </c>
      <c r="D859" s="1" t="inlineStr">
        <is>
          <t>V01</t>
        </is>
      </c>
      <c r="E859" s="1" t="inlineStr">
        <is>
          <t>2027BUD_V1</t>
        </is>
      </c>
      <c r="F859" s="1" t="inlineStr">
        <is>
          <t>12</t>
        </is>
      </c>
      <c r="G859" s="1" t="n">
        <v>9445.6692</v>
      </c>
      <c r="H859" s="25">
        <f>_CALC_PNL!P859</f>
        <v/>
      </c>
      <c r="I859" s="25">
        <f>IF(_CALC_PNL!E859=1,H859-G859,"")</f>
        <v/>
      </c>
    </row>
    <row r="860">
      <c r="A860" s="1" t="inlineStr">
        <is>
          <t>PIGIER_BOR</t>
        </is>
      </c>
      <c r="B860" s="1" t="inlineStr">
        <is>
          <t>616</t>
        </is>
      </c>
      <c r="C860" s="1" t="inlineStr">
        <is>
          <t>2027</t>
        </is>
      </c>
      <c r="D860" s="1" t="inlineStr">
        <is>
          <t>V02</t>
        </is>
      </c>
      <c r="E860" s="1" t="inlineStr">
        <is>
          <t>2027BUD_V1</t>
        </is>
      </c>
      <c r="F860" s="1" t="inlineStr">
        <is>
          <t>12</t>
        </is>
      </c>
      <c r="G860" s="1" t="n">
        <v>8933.196279</v>
      </c>
      <c r="H860" s="25">
        <f>_CALC_PNL!P860</f>
        <v/>
      </c>
      <c r="I860" s="25">
        <f>IF(_CALC_PNL!E860=1,H860-G860,"")</f>
        <v/>
      </c>
    </row>
    <row r="861">
      <c r="A861" s="1" t="inlineStr">
        <is>
          <t>PIGIER_BOR</t>
        </is>
      </c>
      <c r="B861" s="1" t="inlineStr">
        <is>
          <t>616</t>
        </is>
      </c>
      <c r="C861" s="1" t="inlineStr">
        <is>
          <t>2027</t>
        </is>
      </c>
      <c r="D861" s="1" t="inlineStr">
        <is>
          <t>V03</t>
        </is>
      </c>
      <c r="E861" s="1" t="inlineStr">
        <is>
          <t>2027BUD_V1</t>
        </is>
      </c>
      <c r="F861" s="1" t="inlineStr">
        <is>
          <t>12</t>
        </is>
      </c>
      <c r="G861" s="1" t="n">
        <v>10020.0048</v>
      </c>
      <c r="H861" s="25">
        <f>_CALC_PNL!P861</f>
        <v/>
      </c>
      <c r="I861" s="25">
        <f>IF(_CALC_PNL!E861=1,H861-G861,"")</f>
        <v/>
      </c>
    </row>
    <row r="862">
      <c r="A862" s="1" t="inlineStr">
        <is>
          <t>TUNON_PAR</t>
        </is>
      </c>
      <c r="B862" s="1" t="inlineStr">
        <is>
          <t>616</t>
        </is>
      </c>
      <c r="C862" s="1" t="inlineStr">
        <is>
          <t>2027</t>
        </is>
      </c>
      <c r="D862" s="1" t="inlineStr">
        <is>
          <t>V01</t>
        </is>
      </c>
      <c r="E862" s="1" t="inlineStr">
        <is>
          <t>2027BUD_V1</t>
        </is>
      </c>
      <c r="F862" s="1" t="inlineStr">
        <is>
          <t>12</t>
        </is>
      </c>
      <c r="G862" s="1" t="n">
        <v>14162.445</v>
      </c>
      <c r="H862" s="25">
        <f>_CALC_PNL!P862</f>
        <v/>
      </c>
      <c r="I862" s="25">
        <f>IF(_CALC_PNL!E862=1,H862-G862,"")</f>
        <v/>
      </c>
    </row>
    <row r="863">
      <c r="A863" s="1" t="inlineStr">
        <is>
          <t>TUNON_PAR</t>
        </is>
      </c>
      <c r="B863" s="1" t="inlineStr">
        <is>
          <t>616</t>
        </is>
      </c>
      <c r="C863" s="1" t="inlineStr">
        <is>
          <t>2027</t>
        </is>
      </c>
      <c r="D863" s="1" t="inlineStr">
        <is>
          <t>V02</t>
        </is>
      </c>
      <c r="E863" s="1" t="inlineStr">
        <is>
          <t>2027BUD_V1</t>
        </is>
      </c>
      <c r="F863" s="1" t="inlineStr">
        <is>
          <t>12</t>
        </is>
      </c>
      <c r="G863" s="1" t="n">
        <v>13394.0643375</v>
      </c>
      <c r="H863" s="25">
        <f>_CALC_PNL!P863</f>
        <v/>
      </c>
      <c r="I863" s="25">
        <f>IF(_CALC_PNL!E863=1,H863-G863,"")</f>
        <v/>
      </c>
    </row>
    <row r="864">
      <c r="A864" s="1" t="inlineStr">
        <is>
          <t>TUNON_PAR</t>
        </is>
      </c>
      <c r="B864" s="1" t="inlineStr">
        <is>
          <t>616</t>
        </is>
      </c>
      <c r="C864" s="1" t="inlineStr">
        <is>
          <t>2027</t>
        </is>
      </c>
      <c r="D864" s="1" t="inlineStr">
        <is>
          <t>V03</t>
        </is>
      </c>
      <c r="E864" s="1" t="inlineStr">
        <is>
          <t>2027BUD_V1</t>
        </is>
      </c>
      <c r="F864" s="1" t="inlineStr">
        <is>
          <t>12</t>
        </is>
      </c>
      <c r="G864" s="1" t="n">
        <v>15023.58</v>
      </c>
      <c r="H864" s="25">
        <f>_CALC_PNL!P864</f>
        <v/>
      </c>
      <c r="I864" s="25">
        <f>IF(_CALC_PNL!E864=1,H864-G864,"")</f>
        <v/>
      </c>
    </row>
    <row r="865">
      <c r="A865" s="1" t="inlineStr">
        <is>
          <t>TUNON_LYO</t>
        </is>
      </c>
      <c r="B865" s="1" t="inlineStr">
        <is>
          <t>616</t>
        </is>
      </c>
      <c r="C865" s="1" t="inlineStr">
        <is>
          <t>2027</t>
        </is>
      </c>
      <c r="D865" s="1" t="inlineStr">
        <is>
          <t>V01</t>
        </is>
      </c>
      <c r="E865" s="1" t="inlineStr">
        <is>
          <t>2027BUD_V1</t>
        </is>
      </c>
      <c r="F865" s="1" t="inlineStr">
        <is>
          <t>12</t>
        </is>
      </c>
      <c r="G865" s="1" t="n">
        <v>8301.5658</v>
      </c>
      <c r="H865" s="25">
        <f>_CALC_PNL!P865</f>
        <v/>
      </c>
      <c r="I865" s="25">
        <f>IF(_CALC_PNL!E865=1,H865-G865,"")</f>
        <v/>
      </c>
    </row>
    <row r="866">
      <c r="A866" s="1" t="inlineStr">
        <is>
          <t>TUNON_LYO</t>
        </is>
      </c>
      <c r="B866" s="1" t="inlineStr">
        <is>
          <t>616</t>
        </is>
      </c>
      <c r="C866" s="1" t="inlineStr">
        <is>
          <t>2027</t>
        </is>
      </c>
      <c r="D866" s="1" t="inlineStr">
        <is>
          <t>V02</t>
        </is>
      </c>
      <c r="E866" s="1" t="inlineStr">
        <is>
          <t>2027BUD_V1</t>
        </is>
      </c>
      <c r="F866" s="1" t="inlineStr">
        <is>
          <t>12</t>
        </is>
      </c>
      <c r="G866" s="1" t="n">
        <v>7851.1659835</v>
      </c>
      <c r="H866" s="25">
        <f>_CALC_PNL!P866</f>
        <v/>
      </c>
      <c r="I866" s="25">
        <f>IF(_CALC_PNL!E866=1,H866-G866,"")</f>
        <v/>
      </c>
    </row>
    <row r="867">
      <c r="A867" s="1" t="inlineStr">
        <is>
          <t>TUNON_LYO</t>
        </is>
      </c>
      <c r="B867" s="1" t="inlineStr">
        <is>
          <t>616</t>
        </is>
      </c>
      <c r="C867" s="1" t="inlineStr">
        <is>
          <t>2027</t>
        </is>
      </c>
      <c r="D867" s="1" t="inlineStr">
        <is>
          <t>V03</t>
        </is>
      </c>
      <c r="E867" s="1" t="inlineStr">
        <is>
          <t>2027BUD_V1</t>
        </is>
      </c>
      <c r="F867" s="1" t="inlineStr">
        <is>
          <t>12</t>
        </is>
      </c>
      <c r="G867" s="1" t="n">
        <v>8806.3352</v>
      </c>
      <c r="H867" s="25">
        <f>_CALC_PNL!P867</f>
        <v/>
      </c>
      <c r="I867" s="25">
        <f>IF(_CALC_PNL!E867=1,H867-G867,"")</f>
        <v/>
      </c>
    </row>
    <row r="868">
      <c r="A868" s="1" t="inlineStr">
        <is>
          <t>GRP</t>
        </is>
      </c>
      <c r="B868" s="1" t="inlineStr">
        <is>
          <t>6226</t>
        </is>
      </c>
      <c r="C868" s="1" t="inlineStr">
        <is>
          <t>2027</t>
        </is>
      </c>
      <c r="D868" s="1" t="inlineStr">
        <is>
          <t>V01</t>
        </is>
      </c>
      <c r="E868" s="1" t="inlineStr">
        <is>
          <t>2027BUD_V1</t>
        </is>
      </c>
      <c r="F868" s="1" t="inlineStr">
        <is>
          <t>12</t>
        </is>
      </c>
      <c r="G868" s="1" t="n">
        <v>570376.4418</v>
      </c>
      <c r="H868" s="25">
        <f>_CALC_PNL!P868</f>
        <v/>
      </c>
      <c r="I868" s="25">
        <f>IF(_CALC_PNL!E868=1,H868-G868,"")</f>
        <v/>
      </c>
    </row>
    <row r="869">
      <c r="A869" s="1" t="inlineStr">
        <is>
          <t>GRP</t>
        </is>
      </c>
      <c r="B869" s="1" t="inlineStr">
        <is>
          <t>6226</t>
        </is>
      </c>
      <c r="C869" s="1" t="inlineStr">
        <is>
          <t>2027</t>
        </is>
      </c>
      <c r="D869" s="1" t="inlineStr">
        <is>
          <t>V02</t>
        </is>
      </c>
      <c r="E869" s="1" t="inlineStr">
        <is>
          <t>2027BUD_V1</t>
        </is>
      </c>
      <c r="F869" s="1" t="inlineStr">
        <is>
          <t>12</t>
        </is>
      </c>
      <c r="G869" s="1" t="n">
        <v>539430.7803535</v>
      </c>
      <c r="H869" s="25">
        <f>_CALC_PNL!P869</f>
        <v/>
      </c>
      <c r="I869" s="25">
        <f>IF(_CALC_PNL!E869=1,H869-G869,"")</f>
        <v/>
      </c>
    </row>
    <row r="870">
      <c r="A870" s="1" t="inlineStr">
        <is>
          <t>GRP</t>
        </is>
      </c>
      <c r="B870" s="1" t="inlineStr">
        <is>
          <t>6226</t>
        </is>
      </c>
      <c r="C870" s="1" t="inlineStr">
        <is>
          <t>2027</t>
        </is>
      </c>
      <c r="D870" s="1" t="inlineStr">
        <is>
          <t>V03</t>
        </is>
      </c>
      <c r="E870" s="1" t="inlineStr">
        <is>
          <t>2027BUD_V1</t>
        </is>
      </c>
      <c r="F870" s="1" t="inlineStr">
        <is>
          <t>12</t>
        </is>
      </c>
      <c r="G870" s="1" t="n">
        <v>605057.6792</v>
      </c>
      <c r="H870" s="25">
        <f>_CALC_PNL!P870</f>
        <v/>
      </c>
      <c r="I870" s="25">
        <f>IF(_CALC_PNL!E870=1,H870-G870,"")</f>
        <v/>
      </c>
    </row>
    <row r="871">
      <c r="A871" s="1" t="inlineStr">
        <is>
          <t>GRP</t>
        </is>
      </c>
      <c r="B871" s="1" t="inlineStr">
        <is>
          <t>6236</t>
        </is>
      </c>
      <c r="C871" s="1" t="inlineStr">
        <is>
          <t>2027</t>
        </is>
      </c>
      <c r="D871" s="1" t="inlineStr">
        <is>
          <t>V01</t>
        </is>
      </c>
      <c r="E871" s="1" t="inlineStr">
        <is>
          <t>2027BUD_V1</t>
        </is>
      </c>
      <c r="F871" s="1" t="inlineStr">
        <is>
          <t>12</t>
        </is>
      </c>
      <c r="G871" s="1" t="n">
        <v>743978.4</v>
      </c>
      <c r="H871" s="25">
        <f>_CALC_PNL!P871</f>
        <v/>
      </c>
      <c r="I871" s="25">
        <f>IF(_CALC_PNL!E871=1,H871-G871,"")</f>
        <v/>
      </c>
    </row>
    <row r="872">
      <c r="A872" s="1" t="inlineStr">
        <is>
          <t>GRP</t>
        </is>
      </c>
      <c r="B872" s="1" t="inlineStr">
        <is>
          <t>6236</t>
        </is>
      </c>
      <c r="C872" s="1" t="inlineStr">
        <is>
          <t>2027</t>
        </is>
      </c>
      <c r="D872" s="1" t="inlineStr">
        <is>
          <t>V02</t>
        </is>
      </c>
      <c r="E872" s="1" t="inlineStr">
        <is>
          <t>2027BUD_V1</t>
        </is>
      </c>
      <c r="F872" s="1" t="inlineStr">
        <is>
          <t>12</t>
        </is>
      </c>
      <c r="G872" s="1" t="n">
        <v>811612.8</v>
      </c>
      <c r="H872" s="25">
        <f>_CALC_PNL!P872</f>
        <v/>
      </c>
      <c r="I872" s="25">
        <f>IF(_CALC_PNL!E872=1,H872-G872,"")</f>
        <v/>
      </c>
    </row>
    <row r="873">
      <c r="A873" s="1" t="inlineStr">
        <is>
          <t>GRP</t>
        </is>
      </c>
      <c r="B873" s="1" t="inlineStr">
        <is>
          <t>6236</t>
        </is>
      </c>
      <c r="C873" s="1" t="inlineStr">
        <is>
          <t>2027</t>
        </is>
      </c>
      <c r="D873" s="1" t="inlineStr">
        <is>
          <t>V03</t>
        </is>
      </c>
      <c r="E873" s="1" t="inlineStr">
        <is>
          <t>2027BUD_V1</t>
        </is>
      </c>
      <c r="F873" s="1" t="inlineStr">
        <is>
          <t>12</t>
        </is>
      </c>
      <c r="G873" s="1" t="n">
        <v>642526.8</v>
      </c>
      <c r="H873" s="25">
        <f>_CALC_PNL!P873</f>
        <v/>
      </c>
      <c r="I873" s="25">
        <f>IF(_CALC_PNL!E873=1,H873-G873,"")</f>
        <v/>
      </c>
    </row>
    <row r="874">
      <c r="A874" s="1" t="inlineStr">
        <is>
          <t>MBWAY_PAR</t>
        </is>
      </c>
      <c r="B874" s="1" t="inlineStr">
        <is>
          <t>625</t>
        </is>
      </c>
      <c r="C874" s="1" t="inlineStr">
        <is>
          <t>2027</t>
        </is>
      </c>
      <c r="D874" s="1" t="inlineStr">
        <is>
          <t>V01</t>
        </is>
      </c>
      <c r="E874" s="1" t="inlineStr">
        <is>
          <t>2027BUD_V1</t>
        </is>
      </c>
      <c r="F874" s="1" t="inlineStr">
        <is>
          <t>12</t>
        </is>
      </c>
      <c r="G874" s="1" t="n">
        <v>58804.6932</v>
      </c>
      <c r="H874" s="25">
        <f>_CALC_PNL!P874</f>
        <v/>
      </c>
      <c r="I874" s="25">
        <f>IF(_CALC_PNL!E874=1,H874-G874,"")</f>
        <v/>
      </c>
    </row>
    <row r="875">
      <c r="A875" s="1" t="inlineStr">
        <is>
          <t>MBWAY_PAR</t>
        </is>
      </c>
      <c r="B875" s="1" t="inlineStr">
        <is>
          <t>625</t>
        </is>
      </c>
      <c r="C875" s="1" t="inlineStr">
        <is>
          <t>2027</t>
        </is>
      </c>
      <c r="D875" s="1" t="inlineStr">
        <is>
          <t>V02</t>
        </is>
      </c>
      <c r="E875" s="1" t="inlineStr">
        <is>
          <t>2027BUD_V1</t>
        </is>
      </c>
      <c r="F875" s="1" t="inlineStr">
        <is>
          <t>12</t>
        </is>
      </c>
      <c r="G875" s="1" t="n">
        <v>55614.256159</v>
      </c>
      <c r="H875" s="25">
        <f>_CALC_PNL!P875</f>
        <v/>
      </c>
      <c r="I875" s="25">
        <f>IF(_CALC_PNL!E875=1,H875-G875,"")</f>
        <v/>
      </c>
    </row>
    <row r="876">
      <c r="A876" s="1" t="inlineStr">
        <is>
          <t>MBWAY_PAR</t>
        </is>
      </c>
      <c r="B876" s="1" t="inlineStr">
        <is>
          <t>625</t>
        </is>
      </c>
      <c r="C876" s="1" t="inlineStr">
        <is>
          <t>2027</t>
        </is>
      </c>
      <c r="D876" s="1" t="inlineStr">
        <is>
          <t>V03</t>
        </is>
      </c>
      <c r="E876" s="1" t="inlineStr">
        <is>
          <t>2027BUD_V1</t>
        </is>
      </c>
      <c r="F876" s="1" t="inlineStr">
        <is>
          <t>12</t>
        </is>
      </c>
      <c r="G876" s="1" t="n">
        <v>62380.2608</v>
      </c>
      <c r="H876" s="25">
        <f>_CALC_PNL!P876</f>
        <v/>
      </c>
      <c r="I876" s="25">
        <f>IF(_CALC_PNL!E876=1,H876-G876,"")</f>
        <v/>
      </c>
    </row>
    <row r="877">
      <c r="A877" s="1" t="inlineStr">
        <is>
          <t>MBWAY_LYO</t>
        </is>
      </c>
      <c r="B877" s="1" t="inlineStr">
        <is>
          <t>625</t>
        </is>
      </c>
      <c r="C877" s="1" t="inlineStr">
        <is>
          <t>2027</t>
        </is>
      </c>
      <c r="D877" s="1" t="inlineStr">
        <is>
          <t>V01</t>
        </is>
      </c>
      <c r="E877" s="1" t="inlineStr">
        <is>
          <t>2027BUD_V1</t>
        </is>
      </c>
      <c r="F877" s="1" t="inlineStr">
        <is>
          <t>12</t>
        </is>
      </c>
      <c r="G877" s="1" t="n">
        <v>34481.6406</v>
      </c>
      <c r="H877" s="25">
        <f>_CALC_PNL!P877</f>
        <v/>
      </c>
      <c r="I877" s="25">
        <f>IF(_CALC_PNL!E877=1,H877-G877,"")</f>
        <v/>
      </c>
    </row>
    <row r="878">
      <c r="A878" s="1" t="inlineStr">
        <is>
          <t>MBWAY_LYO</t>
        </is>
      </c>
      <c r="B878" s="1" t="inlineStr">
        <is>
          <t>625</t>
        </is>
      </c>
      <c r="C878" s="1" t="inlineStr">
        <is>
          <t>2027</t>
        </is>
      </c>
      <c r="D878" s="1" t="inlineStr">
        <is>
          <t>V02</t>
        </is>
      </c>
      <c r="E878" s="1" t="inlineStr">
        <is>
          <t>2027BUD_V1</t>
        </is>
      </c>
      <c r="F878" s="1" t="inlineStr">
        <is>
          <t>12</t>
        </is>
      </c>
      <c r="G878" s="1" t="n">
        <v>32610.8459845</v>
      </c>
      <c r="H878" s="25">
        <f>_CALC_PNL!P878</f>
        <v/>
      </c>
      <c r="I878" s="25">
        <f>IF(_CALC_PNL!E878=1,H878-G878,"")</f>
        <v/>
      </c>
    </row>
    <row r="879">
      <c r="A879" s="1" t="inlineStr">
        <is>
          <t>MBWAY_LYO</t>
        </is>
      </c>
      <c r="B879" s="1" t="inlineStr">
        <is>
          <t>625</t>
        </is>
      </c>
      <c r="C879" s="1" t="inlineStr">
        <is>
          <t>2027</t>
        </is>
      </c>
      <c r="D879" s="1" t="inlineStr">
        <is>
          <t>V03</t>
        </is>
      </c>
      <c r="E879" s="1" t="inlineStr">
        <is>
          <t>2027BUD_V1</t>
        </is>
      </c>
      <c r="F879" s="1" t="inlineStr">
        <is>
          <t>12</t>
        </is>
      </c>
      <c r="G879" s="1" t="n">
        <v>36578.2664</v>
      </c>
      <c r="H879" s="25">
        <f>_CALC_PNL!P879</f>
        <v/>
      </c>
      <c r="I879" s="25">
        <f>IF(_CALC_PNL!E879=1,H879-G879,"")</f>
        <v/>
      </c>
    </row>
    <row r="880">
      <c r="A880" s="1" t="inlineStr">
        <is>
          <t>MBWAY_NAN</t>
        </is>
      </c>
      <c r="B880" s="1" t="inlineStr">
        <is>
          <t>625</t>
        </is>
      </c>
      <c r="C880" s="1" t="inlineStr">
        <is>
          <t>2027</t>
        </is>
      </c>
      <c r="D880" s="1" t="inlineStr">
        <is>
          <t>V01</t>
        </is>
      </c>
      <c r="E880" s="1" t="inlineStr">
        <is>
          <t>2027BUD_V1</t>
        </is>
      </c>
      <c r="F880" s="1" t="inlineStr">
        <is>
          <t>12</t>
        </is>
      </c>
      <c r="G880" s="1" t="n">
        <v>27937.1268</v>
      </c>
      <c r="H880" s="25">
        <f>_CALC_PNL!P880</f>
        <v/>
      </c>
      <c r="I880" s="25">
        <f>IF(_CALC_PNL!E880=1,H880-G880,"")</f>
        <v/>
      </c>
    </row>
    <row r="881">
      <c r="A881" s="1" t="inlineStr">
        <is>
          <t>MBWAY_NAN</t>
        </is>
      </c>
      <c r="B881" s="1" t="inlineStr">
        <is>
          <t>625</t>
        </is>
      </c>
      <c r="C881" s="1" t="inlineStr">
        <is>
          <t>2027</t>
        </is>
      </c>
      <c r="D881" s="1" t="inlineStr">
        <is>
          <t>V02</t>
        </is>
      </c>
      <c r="E881" s="1" t="inlineStr">
        <is>
          <t>2027BUD_V1</t>
        </is>
      </c>
      <c r="F881" s="1" t="inlineStr">
        <is>
          <t>12</t>
        </is>
      </c>
      <c r="G881" s="1" t="n">
        <v>26421.403491</v>
      </c>
      <c r="H881" s="25">
        <f>_CALC_PNL!P881</f>
        <v/>
      </c>
      <c r="I881" s="25">
        <f>IF(_CALC_PNL!E881=1,H881-G881,"")</f>
        <v/>
      </c>
    </row>
    <row r="882">
      <c r="A882" s="1" t="inlineStr">
        <is>
          <t>MBWAY_NAN</t>
        </is>
      </c>
      <c r="B882" s="1" t="inlineStr">
        <is>
          <t>625</t>
        </is>
      </c>
      <c r="C882" s="1" t="inlineStr">
        <is>
          <t>2027</t>
        </is>
      </c>
      <c r="D882" s="1" t="inlineStr">
        <is>
          <t>V03</t>
        </is>
      </c>
      <c r="E882" s="1" t="inlineStr">
        <is>
          <t>2027BUD_V1</t>
        </is>
      </c>
      <c r="F882" s="1" t="inlineStr">
        <is>
          <t>12</t>
        </is>
      </c>
      <c r="G882" s="1" t="n">
        <v>29635.8192</v>
      </c>
      <c r="H882" s="25">
        <f>_CALC_PNL!P882</f>
        <v/>
      </c>
      <c r="I882" s="25">
        <f>IF(_CALC_PNL!E882=1,H882-G882,"")</f>
        <v/>
      </c>
    </row>
    <row r="883">
      <c r="A883" s="1" t="inlineStr">
        <is>
          <t>MBWAY_BOR</t>
        </is>
      </c>
      <c r="B883" s="1" t="inlineStr">
        <is>
          <t>625</t>
        </is>
      </c>
      <c r="C883" s="1" t="inlineStr">
        <is>
          <t>2027</t>
        </is>
      </c>
      <c r="D883" s="1" t="inlineStr">
        <is>
          <t>V01</t>
        </is>
      </c>
      <c r="E883" s="1" t="inlineStr">
        <is>
          <t>2027BUD_V1</t>
        </is>
      </c>
      <c r="F883" s="1" t="inlineStr">
        <is>
          <t>12</t>
        </is>
      </c>
      <c r="G883" s="1" t="n">
        <v>24844.1094</v>
      </c>
      <c r="H883" s="25">
        <f>_CALC_PNL!P883</f>
        <v/>
      </c>
      <c r="I883" s="25">
        <f>IF(_CALC_PNL!E883=1,H883-G883,"")</f>
        <v/>
      </c>
    </row>
    <row r="884">
      <c r="A884" s="1" t="inlineStr">
        <is>
          <t>MBWAY_BOR</t>
        </is>
      </c>
      <c r="B884" s="1" t="inlineStr">
        <is>
          <t>625</t>
        </is>
      </c>
      <c r="C884" s="1" t="inlineStr">
        <is>
          <t>2027</t>
        </is>
      </c>
      <c r="D884" s="1" t="inlineStr">
        <is>
          <t>V02</t>
        </is>
      </c>
      <c r="E884" s="1" t="inlineStr">
        <is>
          <t>2027BUD_V1</t>
        </is>
      </c>
      <c r="F884" s="1" t="inlineStr">
        <is>
          <t>12</t>
        </is>
      </c>
      <c r="G884" s="1" t="n">
        <v>23496.1971405</v>
      </c>
      <c r="H884" s="25">
        <f>_CALC_PNL!P884</f>
        <v/>
      </c>
      <c r="I884" s="25">
        <f>IF(_CALC_PNL!E884=1,H884-G884,"")</f>
        <v/>
      </c>
    </row>
    <row r="885">
      <c r="A885" s="1" t="inlineStr">
        <is>
          <t>MBWAY_BOR</t>
        </is>
      </c>
      <c r="B885" s="1" t="inlineStr">
        <is>
          <t>625</t>
        </is>
      </c>
      <c r="C885" s="1" t="inlineStr">
        <is>
          <t>2027</t>
        </is>
      </c>
      <c r="D885" s="1" t="inlineStr">
        <is>
          <t>V03</t>
        </is>
      </c>
      <c r="E885" s="1" t="inlineStr">
        <is>
          <t>2027BUD_V1</t>
        </is>
      </c>
      <c r="F885" s="1" t="inlineStr">
        <is>
          <t>12</t>
        </is>
      </c>
      <c r="G885" s="1" t="n">
        <v>26354.7336</v>
      </c>
      <c r="H885" s="25">
        <f>_CALC_PNL!P885</f>
        <v/>
      </c>
      <c r="I885" s="25">
        <f>IF(_CALC_PNL!E885=1,H885-G885,"")</f>
        <v/>
      </c>
    </row>
    <row r="886">
      <c r="A886" s="1" t="inlineStr">
        <is>
          <t>ISCOM_PAR</t>
        </is>
      </c>
      <c r="B886" s="1" t="inlineStr">
        <is>
          <t>625</t>
        </is>
      </c>
      <c r="C886" s="1" t="inlineStr">
        <is>
          <t>2027</t>
        </is>
      </c>
      <c r="D886" s="1" t="inlineStr">
        <is>
          <t>V01</t>
        </is>
      </c>
      <c r="E886" s="1" t="inlineStr">
        <is>
          <t>2027BUD_V1</t>
        </is>
      </c>
      <c r="F886" s="1" t="inlineStr">
        <is>
          <t>12</t>
        </is>
      </c>
      <c r="G886" s="1" t="n">
        <v>54493.857</v>
      </c>
      <c r="H886" s="25">
        <f>_CALC_PNL!P886</f>
        <v/>
      </c>
      <c r="I886" s="25">
        <f>IF(_CALC_PNL!E886=1,H886-G886,"")</f>
        <v/>
      </c>
    </row>
    <row r="887">
      <c r="A887" s="1" t="inlineStr">
        <is>
          <t>ISCOM_PAR</t>
        </is>
      </c>
      <c r="B887" s="1" t="inlineStr">
        <is>
          <t>625</t>
        </is>
      </c>
      <c r="C887" s="1" t="inlineStr">
        <is>
          <t>2027</t>
        </is>
      </c>
      <c r="D887" s="1" t="inlineStr">
        <is>
          <t>V02</t>
        </is>
      </c>
      <c r="E887" s="1" t="inlineStr">
        <is>
          <t>2027BUD_V1</t>
        </is>
      </c>
      <c r="F887" s="1" t="inlineStr">
        <is>
          <t>12</t>
        </is>
      </c>
      <c r="G887" s="1" t="n">
        <v>51537.3035275</v>
      </c>
      <c r="H887" s="25">
        <f>_CALC_PNL!P887</f>
        <v/>
      </c>
      <c r="I887" s="25">
        <f>IF(_CALC_PNL!E887=1,H887-G887,"")</f>
        <v/>
      </c>
    </row>
    <row r="888">
      <c r="A888" s="1" t="inlineStr">
        <is>
          <t>ISCOM_PAR</t>
        </is>
      </c>
      <c r="B888" s="1" t="inlineStr">
        <is>
          <t>625</t>
        </is>
      </c>
      <c r="C888" s="1" t="inlineStr">
        <is>
          <t>2027</t>
        </is>
      </c>
      <c r="D888" s="1" t="inlineStr">
        <is>
          <t>V03</t>
        </is>
      </c>
      <c r="E888" s="1" t="inlineStr">
        <is>
          <t>2027BUD_V1</t>
        </is>
      </c>
      <c r="F888" s="1" t="inlineStr">
        <is>
          <t>12</t>
        </is>
      </c>
      <c r="G888" s="1" t="n">
        <v>57807.308</v>
      </c>
      <c r="H888" s="25">
        <f>_CALC_PNL!P888</f>
        <v/>
      </c>
      <c r="I888" s="25">
        <f>IF(_CALC_PNL!E888=1,H888-G888,"")</f>
        <v/>
      </c>
    </row>
    <row r="889">
      <c r="A889" s="1" t="inlineStr">
        <is>
          <t>ISCOM_LIL</t>
        </is>
      </c>
      <c r="B889" s="1" t="inlineStr">
        <is>
          <t>625</t>
        </is>
      </c>
      <c r="C889" s="1" t="inlineStr">
        <is>
          <t>2027</t>
        </is>
      </c>
      <c r="D889" s="1" t="inlineStr">
        <is>
          <t>V01</t>
        </is>
      </c>
      <c r="E889" s="1" t="inlineStr">
        <is>
          <t>2027BUD_V1</t>
        </is>
      </c>
      <c r="F889" s="1" t="inlineStr">
        <is>
          <t>12</t>
        </is>
      </c>
      <c r="G889" s="1" t="n">
        <v>21331.0152</v>
      </c>
      <c r="H889" s="25">
        <f>_CALC_PNL!P889</f>
        <v/>
      </c>
      <c r="I889" s="25">
        <f>IF(_CALC_PNL!E889=1,H889-G889,"")</f>
        <v/>
      </c>
    </row>
    <row r="890">
      <c r="A890" s="1" t="inlineStr">
        <is>
          <t>ISCOM_LIL</t>
        </is>
      </c>
      <c r="B890" s="1" t="inlineStr">
        <is>
          <t>625</t>
        </is>
      </c>
      <c r="C890" s="1" t="inlineStr">
        <is>
          <t>2027</t>
        </is>
      </c>
      <c r="D890" s="1" t="inlineStr">
        <is>
          <t>V02</t>
        </is>
      </c>
      <c r="E890" s="1" t="inlineStr">
        <is>
          <t>2027BUD_V1</t>
        </is>
      </c>
      <c r="F890" s="1" t="inlineStr">
        <is>
          <t>12</t>
        </is>
      </c>
      <c r="G890" s="1" t="n">
        <v>20173.705174</v>
      </c>
      <c r="H890" s="25">
        <f>_CALC_PNL!P890</f>
        <v/>
      </c>
      <c r="I890" s="25">
        <f>IF(_CALC_PNL!E890=1,H890-G890,"")</f>
        <v/>
      </c>
    </row>
    <row r="891">
      <c r="A891" s="1" t="inlineStr">
        <is>
          <t>ISCOM_LIL</t>
        </is>
      </c>
      <c r="B891" s="1" t="inlineStr">
        <is>
          <t>625</t>
        </is>
      </c>
      <c r="C891" s="1" t="inlineStr">
        <is>
          <t>2027</t>
        </is>
      </c>
      <c r="D891" s="1" t="inlineStr">
        <is>
          <t>V03</t>
        </is>
      </c>
      <c r="E891" s="1" t="inlineStr">
        <is>
          <t>2027BUD_V1</t>
        </is>
      </c>
      <c r="F891" s="1" t="inlineStr">
        <is>
          <t>12</t>
        </is>
      </c>
      <c r="G891" s="1" t="n">
        <v>22628.0288</v>
      </c>
      <c r="H891" s="25">
        <f>_CALC_PNL!P891</f>
        <v/>
      </c>
      <c r="I891" s="25">
        <f>IF(_CALC_PNL!E891=1,H891-G891,"")</f>
        <v/>
      </c>
    </row>
    <row r="892">
      <c r="A892" s="1" t="inlineStr">
        <is>
          <t>ISCOM_TLS</t>
        </is>
      </c>
      <c r="B892" s="1" t="inlineStr">
        <is>
          <t>625</t>
        </is>
      </c>
      <c r="C892" s="1" t="inlineStr">
        <is>
          <t>2027</t>
        </is>
      </c>
      <c r="D892" s="1" t="inlineStr">
        <is>
          <t>V01</t>
        </is>
      </c>
      <c r="E892" s="1" t="inlineStr">
        <is>
          <t>2027BUD_V1</t>
        </is>
      </c>
      <c r="F892" s="1" t="inlineStr">
        <is>
          <t>12</t>
        </is>
      </c>
      <c r="G892" s="1" t="n">
        <v>19755.7272</v>
      </c>
      <c r="H892" s="25">
        <f>_CALC_PNL!P892</f>
        <v/>
      </c>
      <c r="I892" s="25">
        <f>IF(_CALC_PNL!E892=1,H892-G892,"")</f>
        <v/>
      </c>
    </row>
    <row r="893">
      <c r="A893" s="1" t="inlineStr">
        <is>
          <t>ISCOM_TLS</t>
        </is>
      </c>
      <c r="B893" s="1" t="inlineStr">
        <is>
          <t>625</t>
        </is>
      </c>
      <c r="C893" s="1" t="inlineStr">
        <is>
          <t>2027</t>
        </is>
      </c>
      <c r="D893" s="1" t="inlineStr">
        <is>
          <t>V02</t>
        </is>
      </c>
      <c r="E893" s="1" t="inlineStr">
        <is>
          <t>2027BUD_V1</t>
        </is>
      </c>
      <c r="F893" s="1" t="inlineStr">
        <is>
          <t>12</t>
        </is>
      </c>
      <c r="G893" s="1" t="n">
        <v>18683.884114</v>
      </c>
      <c r="H893" s="25">
        <f>_CALC_PNL!P893</f>
        <v/>
      </c>
      <c r="I893" s="25">
        <f>IF(_CALC_PNL!E893=1,H893-G893,"")</f>
        <v/>
      </c>
    </row>
    <row r="894">
      <c r="A894" s="1" t="inlineStr">
        <is>
          <t>ISCOM_TLS</t>
        </is>
      </c>
      <c r="B894" s="1" t="inlineStr">
        <is>
          <t>625</t>
        </is>
      </c>
      <c r="C894" s="1" t="inlineStr">
        <is>
          <t>2027</t>
        </is>
      </c>
      <c r="D894" s="1" t="inlineStr">
        <is>
          <t>V03</t>
        </is>
      </c>
      <c r="E894" s="1" t="inlineStr">
        <is>
          <t>2027BUD_V1</t>
        </is>
      </c>
      <c r="F894" s="1" t="inlineStr">
        <is>
          <t>12</t>
        </is>
      </c>
      <c r="G894" s="1" t="n">
        <v>20956.9568</v>
      </c>
      <c r="H894" s="25">
        <f>_CALC_PNL!P894</f>
        <v/>
      </c>
      <c r="I894" s="25">
        <f>IF(_CALC_PNL!E894=1,H894-G894,"")</f>
        <v/>
      </c>
    </row>
    <row r="895">
      <c r="A895" s="1" t="inlineStr">
        <is>
          <t>IPAC_NAN</t>
        </is>
      </c>
      <c r="B895" s="1" t="inlineStr">
        <is>
          <t>625</t>
        </is>
      </c>
      <c r="C895" s="1" t="inlineStr">
        <is>
          <t>2027</t>
        </is>
      </c>
      <c r="D895" s="1" t="inlineStr">
        <is>
          <t>V01</t>
        </is>
      </c>
      <c r="E895" s="1" t="inlineStr">
        <is>
          <t>2027BUD_V1</t>
        </is>
      </c>
      <c r="F895" s="1" t="inlineStr">
        <is>
          <t>12</t>
        </is>
      </c>
      <c r="G895" s="1" t="n">
        <v>13778.721</v>
      </c>
      <c r="H895" s="25">
        <f>_CALC_PNL!P895</f>
        <v/>
      </c>
      <c r="I895" s="25">
        <f>IF(_CALC_PNL!E895=1,H895-G895,"")</f>
        <v/>
      </c>
    </row>
    <row r="896">
      <c r="A896" s="1" t="inlineStr">
        <is>
          <t>IPAC_NAN</t>
        </is>
      </c>
      <c r="B896" s="1" t="inlineStr">
        <is>
          <t>625</t>
        </is>
      </c>
      <c r="C896" s="1" t="inlineStr">
        <is>
          <t>2027</t>
        </is>
      </c>
      <c r="D896" s="1" t="inlineStr">
        <is>
          <t>V02</t>
        </is>
      </c>
      <c r="E896" s="1" t="inlineStr">
        <is>
          <t>2027BUD_V1</t>
        </is>
      </c>
      <c r="F896" s="1" t="inlineStr">
        <is>
          <t>12</t>
        </is>
      </c>
      <c r="G896" s="1" t="n">
        <v>13031.1592075</v>
      </c>
      <c r="H896" s="25">
        <f>_CALC_PNL!P896</f>
        <v/>
      </c>
      <c r="I896" s="25">
        <f>IF(_CALC_PNL!E896=1,H896-G896,"")</f>
        <v/>
      </c>
    </row>
    <row r="897">
      <c r="A897" s="1" t="inlineStr">
        <is>
          <t>IPAC_NAN</t>
        </is>
      </c>
      <c r="B897" s="1" t="inlineStr">
        <is>
          <t>625</t>
        </is>
      </c>
      <c r="C897" s="1" t="inlineStr">
        <is>
          <t>2027</t>
        </is>
      </c>
      <c r="D897" s="1" t="inlineStr">
        <is>
          <t>V03</t>
        </is>
      </c>
      <c r="E897" s="1" t="inlineStr">
        <is>
          <t>2027BUD_V1</t>
        </is>
      </c>
      <c r="F897" s="1" t="inlineStr">
        <is>
          <t>12</t>
        </is>
      </c>
      <c r="G897" s="1" t="n">
        <v>14616.524</v>
      </c>
      <c r="H897" s="25">
        <f>_CALC_PNL!P897</f>
        <v/>
      </c>
      <c r="I897" s="25">
        <f>IF(_CALC_PNL!E897=1,H897-G897,"")</f>
        <v/>
      </c>
    </row>
    <row r="898">
      <c r="A898" s="1" t="inlineStr">
        <is>
          <t>IPAC_REN</t>
        </is>
      </c>
      <c r="B898" s="1" t="inlineStr">
        <is>
          <t>625</t>
        </is>
      </c>
      <c r="C898" s="1" t="inlineStr">
        <is>
          <t>2027</t>
        </is>
      </c>
      <c r="D898" s="1" t="inlineStr">
        <is>
          <t>V01</t>
        </is>
      </c>
      <c r="E898" s="1" t="inlineStr">
        <is>
          <t>2027BUD_V1</t>
        </is>
      </c>
      <c r="F898" s="1" t="inlineStr">
        <is>
          <t>12</t>
        </is>
      </c>
      <c r="G898" s="1" t="n">
        <v>9783.9522</v>
      </c>
      <c r="H898" s="25">
        <f>_CALC_PNL!P898</f>
        <v/>
      </c>
      <c r="I898" s="25">
        <f>IF(_CALC_PNL!E898=1,H898-G898,"")</f>
        <v/>
      </c>
    </row>
    <row r="899">
      <c r="A899" s="1" t="inlineStr">
        <is>
          <t>IPAC_REN</t>
        </is>
      </c>
      <c r="B899" s="1" t="inlineStr">
        <is>
          <t>625</t>
        </is>
      </c>
      <c r="C899" s="1" t="inlineStr">
        <is>
          <t>2027</t>
        </is>
      </c>
      <c r="D899" s="1" t="inlineStr">
        <is>
          <t>V02</t>
        </is>
      </c>
      <c r="E899" s="1" t="inlineStr">
        <is>
          <t>2027BUD_V1</t>
        </is>
      </c>
      <c r="F899" s="1" t="inlineStr">
        <is>
          <t>12</t>
        </is>
      </c>
      <c r="G899" s="1" t="n">
        <v>9253.1258015</v>
      </c>
      <c r="H899" s="25">
        <f>_CALC_PNL!P899</f>
        <v/>
      </c>
      <c r="I899" s="25">
        <f>IF(_CALC_PNL!E899=1,H899-G899,"")</f>
        <v/>
      </c>
    </row>
    <row r="900">
      <c r="A900" s="1" t="inlineStr">
        <is>
          <t>IPAC_REN</t>
        </is>
      </c>
      <c r="B900" s="1" t="inlineStr">
        <is>
          <t>625</t>
        </is>
      </c>
      <c r="C900" s="1" t="inlineStr">
        <is>
          <t>2027</t>
        </is>
      </c>
      <c r="D900" s="1" t="inlineStr">
        <is>
          <t>V03</t>
        </is>
      </c>
      <c r="E900" s="1" t="inlineStr">
        <is>
          <t>2027BUD_V1</t>
        </is>
      </c>
      <c r="F900" s="1" t="inlineStr">
        <is>
          <t>12</t>
        </is>
      </c>
      <c r="G900" s="1" t="n">
        <v>10378.8568</v>
      </c>
      <c r="H900" s="25">
        <f>_CALC_PNL!P900</f>
        <v/>
      </c>
      <c r="I900" s="25">
        <f>IF(_CALC_PNL!E900=1,H900-G900,"")</f>
        <v/>
      </c>
    </row>
    <row r="901">
      <c r="A901" s="1" t="inlineStr">
        <is>
          <t>IPAC_MTP</t>
        </is>
      </c>
      <c r="B901" s="1" t="inlineStr">
        <is>
          <t>625</t>
        </is>
      </c>
      <c r="C901" s="1" t="inlineStr">
        <is>
          <t>2027</t>
        </is>
      </c>
      <c r="D901" s="1" t="inlineStr">
        <is>
          <t>V01</t>
        </is>
      </c>
      <c r="E901" s="1" t="inlineStr">
        <is>
          <t>2027BUD_V1</t>
        </is>
      </c>
      <c r="F901" s="1" t="inlineStr">
        <is>
          <t>12</t>
        </is>
      </c>
      <c r="G901" s="1" t="n">
        <v>9783.9522</v>
      </c>
      <c r="H901" s="25">
        <f>_CALC_PNL!P901</f>
        <v/>
      </c>
      <c r="I901" s="25">
        <f>IF(_CALC_PNL!E901=1,H901-G901,"")</f>
        <v/>
      </c>
    </row>
    <row r="902">
      <c r="A902" s="1" t="inlineStr">
        <is>
          <t>IPAC_MTP</t>
        </is>
      </c>
      <c r="B902" s="1" t="inlineStr">
        <is>
          <t>625</t>
        </is>
      </c>
      <c r="C902" s="1" t="inlineStr">
        <is>
          <t>2027</t>
        </is>
      </c>
      <c r="D902" s="1" t="inlineStr">
        <is>
          <t>V02</t>
        </is>
      </c>
      <c r="E902" s="1" t="inlineStr">
        <is>
          <t>2027BUD_V1</t>
        </is>
      </c>
      <c r="F902" s="1" t="inlineStr">
        <is>
          <t>12</t>
        </is>
      </c>
      <c r="G902" s="1" t="n">
        <v>9253.1258015</v>
      </c>
      <c r="H902" s="25">
        <f>_CALC_PNL!P902</f>
        <v/>
      </c>
      <c r="I902" s="25">
        <f>IF(_CALC_PNL!E902=1,H902-G902,"")</f>
        <v/>
      </c>
    </row>
    <row r="903">
      <c r="A903" s="1" t="inlineStr">
        <is>
          <t>IPAC_MTP</t>
        </is>
      </c>
      <c r="B903" s="1" t="inlineStr">
        <is>
          <t>625</t>
        </is>
      </c>
      <c r="C903" s="1" t="inlineStr">
        <is>
          <t>2027</t>
        </is>
      </c>
      <c r="D903" s="1" t="inlineStr">
        <is>
          <t>V03</t>
        </is>
      </c>
      <c r="E903" s="1" t="inlineStr">
        <is>
          <t>2027BUD_V1</t>
        </is>
      </c>
      <c r="F903" s="1" t="inlineStr">
        <is>
          <t>12</t>
        </is>
      </c>
      <c r="G903" s="1" t="n">
        <v>10378.8568</v>
      </c>
      <c r="H903" s="25">
        <f>_CALC_PNL!P903</f>
        <v/>
      </c>
      <c r="I903" s="25">
        <f>IF(_CALC_PNL!E903=1,H903-G903,"")</f>
        <v/>
      </c>
    </row>
    <row r="904">
      <c r="A904" s="1" t="inlineStr">
        <is>
          <t>PIGIER_LYO</t>
        </is>
      </c>
      <c r="B904" s="1" t="inlineStr">
        <is>
          <t>625</t>
        </is>
      </c>
      <c r="C904" s="1" t="inlineStr">
        <is>
          <t>2027</t>
        </is>
      </c>
      <c r="D904" s="1" t="inlineStr">
        <is>
          <t>V01</t>
        </is>
      </c>
      <c r="E904" s="1" t="inlineStr">
        <is>
          <t>2027BUD_V1</t>
        </is>
      </c>
      <c r="F904" s="1" t="inlineStr">
        <is>
          <t>12</t>
        </is>
      </c>
      <c r="G904" s="1" t="n">
        <v>19369.9836</v>
      </c>
      <c r="H904" s="25">
        <f>_CALC_PNL!P904</f>
        <v/>
      </c>
      <c r="I904" s="25">
        <f>IF(_CALC_PNL!E904=1,H904-G904,"")</f>
        <v/>
      </c>
    </row>
    <row r="905">
      <c r="A905" s="1" t="inlineStr">
        <is>
          <t>PIGIER_LYO</t>
        </is>
      </c>
      <c r="B905" s="1" t="inlineStr">
        <is>
          <t>625</t>
        </is>
      </c>
      <c r="C905" s="1" t="inlineStr">
        <is>
          <t>2027</t>
        </is>
      </c>
      <c r="D905" s="1" t="inlineStr">
        <is>
          <t>V02</t>
        </is>
      </c>
      <c r="E905" s="1" t="inlineStr">
        <is>
          <t>2027BUD_V1</t>
        </is>
      </c>
      <c r="F905" s="1" t="inlineStr">
        <is>
          <t>12</t>
        </is>
      </c>
      <c r="G905" s="1" t="n">
        <v>18319.068957</v>
      </c>
      <c r="H905" s="25">
        <f>_CALC_PNL!P905</f>
        <v/>
      </c>
      <c r="I905" s="25">
        <f>IF(_CALC_PNL!E905=1,H905-G905,"")</f>
        <v/>
      </c>
    </row>
    <row r="906">
      <c r="A906" s="1" t="inlineStr">
        <is>
          <t>PIGIER_LYO</t>
        </is>
      </c>
      <c r="B906" s="1" t="inlineStr">
        <is>
          <t>625</t>
        </is>
      </c>
      <c r="C906" s="1" t="inlineStr">
        <is>
          <t>2027</t>
        </is>
      </c>
      <c r="D906" s="1" t="inlineStr">
        <is>
          <t>V03</t>
        </is>
      </c>
      <c r="E906" s="1" t="inlineStr">
        <is>
          <t>2027BUD_V1</t>
        </is>
      </c>
      <c r="F906" s="1" t="inlineStr">
        <is>
          <t>12</t>
        </is>
      </c>
      <c r="G906" s="1" t="n">
        <v>20547.7584</v>
      </c>
      <c r="H906" s="25">
        <f>_CALC_PNL!P906</f>
        <v/>
      </c>
      <c r="I906" s="25">
        <f>IF(_CALC_PNL!E906=1,H906-G906,"")</f>
        <v/>
      </c>
    </row>
    <row r="907">
      <c r="A907" s="1" t="inlineStr">
        <is>
          <t>PIGIER_BOR</t>
        </is>
      </c>
      <c r="B907" s="1" t="inlineStr">
        <is>
          <t>625</t>
        </is>
      </c>
      <c r="C907" s="1" t="inlineStr">
        <is>
          <t>2027</t>
        </is>
      </c>
      <c r="D907" s="1" t="inlineStr">
        <is>
          <t>V01</t>
        </is>
      </c>
      <c r="E907" s="1" t="inlineStr">
        <is>
          <t>2027BUD_V1</t>
        </is>
      </c>
      <c r="F907" s="1" t="inlineStr">
        <is>
          <t>12</t>
        </is>
      </c>
      <c r="G907" s="1" t="n">
        <v>14167.494</v>
      </c>
      <c r="H907" s="25">
        <f>_CALC_PNL!P907</f>
        <v/>
      </c>
      <c r="I907" s="25">
        <f>IF(_CALC_PNL!E907=1,H907-G907,"")</f>
        <v/>
      </c>
    </row>
    <row r="908">
      <c r="A908" s="1" t="inlineStr">
        <is>
          <t>PIGIER_BOR</t>
        </is>
      </c>
      <c r="B908" s="1" t="inlineStr">
        <is>
          <t>625</t>
        </is>
      </c>
      <c r="C908" s="1" t="inlineStr">
        <is>
          <t>2027</t>
        </is>
      </c>
      <c r="D908" s="1" t="inlineStr">
        <is>
          <t>V02</t>
        </is>
      </c>
      <c r="E908" s="1" t="inlineStr">
        <is>
          <t>2027BUD_V1</t>
        </is>
      </c>
      <c r="F908" s="1" t="inlineStr">
        <is>
          <t>12</t>
        </is>
      </c>
      <c r="G908" s="1" t="n">
        <v>13398.839405</v>
      </c>
      <c r="H908" s="25">
        <f>_CALC_PNL!P908</f>
        <v/>
      </c>
      <c r="I908" s="25">
        <f>IF(_CALC_PNL!E908=1,H908-G908,"")</f>
        <v/>
      </c>
    </row>
    <row r="909">
      <c r="A909" s="1" t="inlineStr">
        <is>
          <t>PIGIER_BOR</t>
        </is>
      </c>
      <c r="B909" s="1" t="inlineStr">
        <is>
          <t>625</t>
        </is>
      </c>
      <c r="C909" s="1" t="inlineStr">
        <is>
          <t>2027</t>
        </is>
      </c>
      <c r="D909" s="1" t="inlineStr">
        <is>
          <t>V03</t>
        </is>
      </c>
      <c r="E909" s="1" t="inlineStr">
        <is>
          <t>2027BUD_V1</t>
        </is>
      </c>
      <c r="F909" s="1" t="inlineStr">
        <is>
          <t>12</t>
        </is>
      </c>
      <c r="G909" s="1" t="n">
        <v>15028.936</v>
      </c>
      <c r="H909" s="25">
        <f>_CALC_PNL!P909</f>
        <v/>
      </c>
      <c r="I909" s="25">
        <f>IF(_CALC_PNL!E909=1,H909-G909,"")</f>
        <v/>
      </c>
    </row>
    <row r="910">
      <c r="A910" s="1" t="inlineStr">
        <is>
          <t>TUNON_PAR</t>
        </is>
      </c>
      <c r="B910" s="1" t="inlineStr">
        <is>
          <t>625</t>
        </is>
      </c>
      <c r="C910" s="1" t="inlineStr">
        <is>
          <t>2027</t>
        </is>
      </c>
      <c r="D910" s="1" t="inlineStr">
        <is>
          <t>V01</t>
        </is>
      </c>
      <c r="E910" s="1" t="inlineStr">
        <is>
          <t>2027BUD_V1</t>
        </is>
      </c>
      <c r="F910" s="1" t="inlineStr">
        <is>
          <t>12</t>
        </is>
      </c>
      <c r="G910" s="1" t="n">
        <v>21243.1626</v>
      </c>
      <c r="H910" s="25">
        <f>_CALC_PNL!P910</f>
        <v/>
      </c>
      <c r="I910" s="25">
        <f>IF(_CALC_PNL!E910=1,H910-G910,"")</f>
        <v/>
      </c>
    </row>
    <row r="911">
      <c r="A911" s="1" t="inlineStr">
        <is>
          <t>TUNON_PAR</t>
        </is>
      </c>
      <c r="B911" s="1" t="inlineStr">
        <is>
          <t>625</t>
        </is>
      </c>
      <c r="C911" s="1" t="inlineStr">
        <is>
          <t>2027</t>
        </is>
      </c>
      <c r="D911" s="1" t="inlineStr">
        <is>
          <t>V02</t>
        </is>
      </c>
      <c r="E911" s="1" t="inlineStr">
        <is>
          <t>2027BUD_V1</t>
        </is>
      </c>
      <c r="F911" s="1" t="inlineStr">
        <is>
          <t>12</t>
        </is>
      </c>
      <c r="G911" s="1" t="n">
        <v>20090.6189995</v>
      </c>
      <c r="H911" s="25">
        <f>_CALC_PNL!P911</f>
        <v/>
      </c>
      <c r="I911" s="25">
        <f>IF(_CALC_PNL!E911=1,H911-G911,"")</f>
        <v/>
      </c>
    </row>
    <row r="912">
      <c r="A912" s="1" t="inlineStr">
        <is>
          <t>TUNON_PAR</t>
        </is>
      </c>
      <c r="B912" s="1" t="inlineStr">
        <is>
          <t>625</t>
        </is>
      </c>
      <c r="C912" s="1" t="inlineStr">
        <is>
          <t>2027</t>
        </is>
      </c>
      <c r="D912" s="1" t="inlineStr">
        <is>
          <t>V03</t>
        </is>
      </c>
      <c r="E912" s="1" t="inlineStr">
        <is>
          <t>2027BUD_V1</t>
        </is>
      </c>
      <c r="F912" s="1" t="inlineStr">
        <is>
          <t>12</t>
        </is>
      </c>
      <c r="G912" s="1" t="n">
        <v>22534.8344</v>
      </c>
      <c r="H912" s="25">
        <f>_CALC_PNL!P912</f>
        <v/>
      </c>
      <c r="I912" s="25">
        <f>IF(_CALC_PNL!E912=1,H912-G912,"")</f>
        <v/>
      </c>
    </row>
    <row r="913">
      <c r="A913" s="1" t="inlineStr">
        <is>
          <t>TUNON_LYO</t>
        </is>
      </c>
      <c r="B913" s="1" t="inlineStr">
        <is>
          <t>625</t>
        </is>
      </c>
      <c r="C913" s="1" t="inlineStr">
        <is>
          <t>2027</t>
        </is>
      </c>
      <c r="D913" s="1" t="inlineStr">
        <is>
          <t>V01</t>
        </is>
      </c>
      <c r="E913" s="1" t="inlineStr">
        <is>
          <t>2027BUD_V1</t>
        </is>
      </c>
      <c r="F913" s="1" t="inlineStr">
        <is>
          <t>12</t>
        </is>
      </c>
      <c r="G913" s="1" t="n">
        <v>12451.8438</v>
      </c>
      <c r="H913" s="25">
        <f>_CALC_PNL!P913</f>
        <v/>
      </c>
      <c r="I913" s="25">
        <f>IF(_CALC_PNL!E913=1,H913-G913,"")</f>
        <v/>
      </c>
    </row>
    <row r="914">
      <c r="A914" s="1" t="inlineStr">
        <is>
          <t>TUNON_LYO</t>
        </is>
      </c>
      <c r="B914" s="1" t="inlineStr">
        <is>
          <t>625</t>
        </is>
      </c>
      <c r="C914" s="1" t="inlineStr">
        <is>
          <t>2027</t>
        </is>
      </c>
      <c r="D914" s="1" t="inlineStr">
        <is>
          <t>V02</t>
        </is>
      </c>
      <c r="E914" s="1" t="inlineStr">
        <is>
          <t>2027BUD_V1</t>
        </is>
      </c>
      <c r="F914" s="1" t="inlineStr">
        <is>
          <t>12</t>
        </is>
      </c>
      <c r="G914" s="1" t="n">
        <v>11776.2714685</v>
      </c>
      <c r="H914" s="25">
        <f>_CALC_PNL!P914</f>
        <v/>
      </c>
      <c r="I914" s="25">
        <f>IF(_CALC_PNL!E914=1,H914-G914,"")</f>
        <v/>
      </c>
    </row>
    <row r="915">
      <c r="A915" s="1" t="inlineStr">
        <is>
          <t>TUNON_LYO</t>
        </is>
      </c>
      <c r="B915" s="1" t="inlineStr">
        <is>
          <t>625</t>
        </is>
      </c>
      <c r="C915" s="1" t="inlineStr">
        <is>
          <t>2027</t>
        </is>
      </c>
      <c r="D915" s="1" t="inlineStr">
        <is>
          <t>V03</t>
        </is>
      </c>
      <c r="E915" s="1" t="inlineStr">
        <is>
          <t>2027BUD_V1</t>
        </is>
      </c>
      <c r="F915" s="1" t="inlineStr">
        <is>
          <t>12</t>
        </is>
      </c>
      <c r="G915" s="1" t="n">
        <v>13208.9672</v>
      </c>
      <c r="H915" s="25">
        <f>_CALC_PNL!P915</f>
        <v/>
      </c>
      <c r="I915" s="25">
        <f>IF(_CALC_PNL!E915=1,H915-G915,"")</f>
        <v/>
      </c>
    </row>
    <row r="916">
      <c r="A916" s="1" t="inlineStr">
        <is>
          <t>GRP</t>
        </is>
      </c>
      <c r="B916" s="1" t="inlineStr">
        <is>
          <t>626</t>
        </is>
      </c>
      <c r="C916" s="1" t="inlineStr">
        <is>
          <t>2027</t>
        </is>
      </c>
      <c r="D916" s="1" t="inlineStr">
        <is>
          <t>V01</t>
        </is>
      </c>
      <c r="E916" s="1" t="inlineStr">
        <is>
          <t>2027BUD_V1</t>
        </is>
      </c>
      <c r="F916" s="1" t="inlineStr">
        <is>
          <t>12</t>
        </is>
      </c>
      <c r="G916" s="1" t="n">
        <v>456300.3456</v>
      </c>
      <c r="H916" s="25">
        <f>_CALC_PNL!P916</f>
        <v/>
      </c>
      <c r="I916" s="25">
        <f>IF(_CALC_PNL!E916=1,H916-G916,"")</f>
        <v/>
      </c>
    </row>
    <row r="917">
      <c r="A917" s="1" t="inlineStr">
        <is>
          <t>GRP</t>
        </is>
      </c>
      <c r="B917" s="1" t="inlineStr">
        <is>
          <t>626</t>
        </is>
      </c>
      <c r="C917" s="1" t="inlineStr">
        <is>
          <t>2027</t>
        </is>
      </c>
      <c r="D917" s="1" t="inlineStr">
        <is>
          <t>V02</t>
        </is>
      </c>
      <c r="E917" s="1" t="inlineStr">
        <is>
          <t>2027BUD_V1</t>
        </is>
      </c>
      <c r="F917" s="1" t="inlineStr">
        <is>
          <t>12</t>
        </is>
      </c>
      <c r="G917" s="1" t="n">
        <v>431543.860272</v>
      </c>
      <c r="H917" s="25">
        <f>_CALC_PNL!P917</f>
        <v/>
      </c>
      <c r="I917" s="25">
        <f>IF(_CALC_PNL!E917=1,H917-G917,"")</f>
        <v/>
      </c>
    </row>
    <row r="918">
      <c r="A918" s="1" t="inlineStr">
        <is>
          <t>GRP</t>
        </is>
      </c>
      <c r="B918" s="1" t="inlineStr">
        <is>
          <t>626</t>
        </is>
      </c>
      <c r="C918" s="1" t="inlineStr">
        <is>
          <t>2027</t>
        </is>
      </c>
      <c r="D918" s="1" t="inlineStr">
        <is>
          <t>V03</t>
        </is>
      </c>
      <c r="E918" s="1" t="inlineStr">
        <is>
          <t>2027BUD_V1</t>
        </is>
      </c>
      <c r="F918" s="1" t="inlineStr">
        <is>
          <t>12</t>
        </is>
      </c>
      <c r="G918" s="1" t="n">
        <v>484045.2864</v>
      </c>
      <c r="H918" s="25">
        <f>_CALC_PNL!P918</f>
        <v/>
      </c>
      <c r="I918" s="25">
        <f>IF(_CALC_PNL!E918=1,H918-G918,"")</f>
        <v/>
      </c>
    </row>
    <row r="919">
      <c r="A919" s="1" t="inlineStr">
        <is>
          <t>GRP</t>
        </is>
      </c>
      <c r="B919" s="1" t="inlineStr">
        <is>
          <t>6281</t>
        </is>
      </c>
      <c r="C919" s="1" t="inlineStr">
        <is>
          <t>2027</t>
        </is>
      </c>
      <c r="D919" s="1" t="inlineStr">
        <is>
          <t>V01</t>
        </is>
      </c>
      <c r="E919" s="1" t="inlineStr">
        <is>
          <t>2027BUD_V1</t>
        </is>
      </c>
      <c r="F919" s="1" t="inlineStr">
        <is>
          <t>12</t>
        </is>
      </c>
      <c r="G919" s="1" t="n">
        <v>182520.3402</v>
      </c>
      <c r="H919" s="25">
        <f>_CALC_PNL!P919</f>
        <v/>
      </c>
      <c r="I919" s="25">
        <f>IF(_CALC_PNL!E919=1,H919-G919,"")</f>
        <v/>
      </c>
    </row>
    <row r="920">
      <c r="A920" s="1" t="inlineStr">
        <is>
          <t>GRP</t>
        </is>
      </c>
      <c r="B920" s="1" t="inlineStr">
        <is>
          <t>6281</t>
        </is>
      </c>
      <c r="C920" s="1" t="inlineStr">
        <is>
          <t>2027</t>
        </is>
      </c>
      <c r="D920" s="1" t="inlineStr">
        <is>
          <t>V02</t>
        </is>
      </c>
      <c r="E920" s="1" t="inlineStr">
        <is>
          <t>2027BUD_V1</t>
        </is>
      </c>
      <c r="F920" s="1" t="inlineStr">
        <is>
          <t>12</t>
        </is>
      </c>
      <c r="G920" s="1" t="n">
        <v>172617.7351115</v>
      </c>
      <c r="H920" s="25">
        <f>_CALC_PNL!P920</f>
        <v/>
      </c>
      <c r="I920" s="25">
        <f>IF(_CALC_PNL!E920=1,H920-G920,"")</f>
        <v/>
      </c>
    </row>
    <row r="921">
      <c r="A921" s="1" t="inlineStr">
        <is>
          <t>GRP</t>
        </is>
      </c>
      <c r="B921" s="1" t="inlineStr">
        <is>
          <t>6281</t>
        </is>
      </c>
      <c r="C921" s="1" t="inlineStr">
        <is>
          <t>2027</t>
        </is>
      </c>
      <c r="D921" s="1" t="inlineStr">
        <is>
          <t>V03</t>
        </is>
      </c>
      <c r="E921" s="1" t="inlineStr">
        <is>
          <t>2027BUD_V1</t>
        </is>
      </c>
      <c r="F921" s="1" t="inlineStr">
        <is>
          <t>12</t>
        </is>
      </c>
      <c r="G921" s="1" t="n">
        <v>193618.3288</v>
      </c>
      <c r="H921" s="25">
        <f>_CALC_PNL!P921</f>
        <v/>
      </c>
      <c r="I921" s="25">
        <f>IF(_CALC_PNL!E921=1,H921-G921,"")</f>
        <v/>
      </c>
    </row>
    <row r="922">
      <c r="A922" s="1" t="inlineStr">
        <is>
          <t>GRP</t>
        </is>
      </c>
      <c r="B922" s="1" t="inlineStr">
        <is>
          <t>6331</t>
        </is>
      </c>
      <c r="C922" s="1" t="inlineStr">
        <is>
          <t>2027</t>
        </is>
      </c>
      <c r="D922" s="1" t="inlineStr">
        <is>
          <t>V01</t>
        </is>
      </c>
      <c r="E922" s="1" t="inlineStr">
        <is>
          <t>2027BUD_V1</t>
        </is>
      </c>
      <c r="F922" s="1" t="inlineStr">
        <is>
          <t>12</t>
        </is>
      </c>
      <c r="G922" s="1" t="n">
        <v>342225.2592</v>
      </c>
      <c r="H922" s="25">
        <f>_CALC_PNL!P922</f>
        <v/>
      </c>
      <c r="I922" s="25">
        <f>IF(_CALC_PNL!E922=1,H922-G922,"")</f>
        <v/>
      </c>
    </row>
    <row r="923">
      <c r="A923" s="1" t="inlineStr">
        <is>
          <t>GRP</t>
        </is>
      </c>
      <c r="B923" s="1" t="inlineStr">
        <is>
          <t>6331</t>
        </is>
      </c>
      <c r="C923" s="1" t="inlineStr">
        <is>
          <t>2027</t>
        </is>
      </c>
      <c r="D923" s="1" t="inlineStr">
        <is>
          <t>V02</t>
        </is>
      </c>
      <c r="E923" s="1" t="inlineStr">
        <is>
          <t>2027BUD_V1</t>
        </is>
      </c>
      <c r="F923" s="1" t="inlineStr">
        <is>
          <t>12</t>
        </is>
      </c>
      <c r="G923" s="1" t="n">
        <v>333667.9332</v>
      </c>
      <c r="H923" s="25">
        <f>_CALC_PNL!P923</f>
        <v/>
      </c>
      <c r="I923" s="25">
        <f>IF(_CALC_PNL!E923=1,H923-G923,"")</f>
        <v/>
      </c>
    </row>
    <row r="924">
      <c r="A924" s="1" t="inlineStr">
        <is>
          <t>GRP</t>
        </is>
      </c>
      <c r="B924" s="1" t="inlineStr">
        <is>
          <t>6331</t>
        </is>
      </c>
      <c r="C924" s="1" t="inlineStr">
        <is>
          <t>2027</t>
        </is>
      </c>
      <c r="D924" s="1" t="inlineStr">
        <is>
          <t>V03</t>
        </is>
      </c>
      <c r="E924" s="1" t="inlineStr">
        <is>
          <t>2027BUD_V1</t>
        </is>
      </c>
      <c r="F924" s="1" t="inlineStr">
        <is>
          <t>12</t>
        </is>
      </c>
      <c r="G924" s="1" t="n">
        <v>349071.12</v>
      </c>
      <c r="H924" s="25">
        <f>_CALC_PNL!P924</f>
        <v/>
      </c>
      <c r="I924" s="25">
        <f>IF(_CALC_PNL!E924=1,H924-G924,"")</f>
        <v/>
      </c>
    </row>
    <row r="925">
      <c r="A925" s="1" t="inlineStr">
        <is>
          <t>MBWAY_PAR</t>
        </is>
      </c>
      <c r="B925" s="1" t="inlineStr">
        <is>
          <t>63511</t>
        </is>
      </c>
      <c r="C925" s="1" t="inlineStr">
        <is>
          <t>2027</t>
        </is>
      </c>
      <c r="D925" s="1" t="inlineStr">
        <is>
          <t>V01</t>
        </is>
      </c>
      <c r="E925" s="1" t="inlineStr">
        <is>
          <t>2027BUD_V1</t>
        </is>
      </c>
      <c r="F925" s="1" t="inlineStr">
        <is>
          <t>12</t>
        </is>
      </c>
      <c r="G925" s="1" t="n">
        <v>35948.88</v>
      </c>
      <c r="H925" s="25">
        <f>_CALC_PNL!P925</f>
        <v/>
      </c>
      <c r="I925" s="25">
        <f>IF(_CALC_PNL!E925=1,H925-G925,"")</f>
        <v/>
      </c>
    </row>
    <row r="926">
      <c r="A926" s="1" t="inlineStr">
        <is>
          <t>MBWAY_PAR</t>
        </is>
      </c>
      <c r="B926" s="1" t="inlineStr">
        <is>
          <t>63511</t>
        </is>
      </c>
      <c r="C926" s="1" t="inlineStr">
        <is>
          <t>2027</t>
        </is>
      </c>
      <c r="D926" s="1" t="inlineStr">
        <is>
          <t>V02</t>
        </is>
      </c>
      <c r="E926" s="1" t="inlineStr">
        <is>
          <t>2027BUD_V1</t>
        </is>
      </c>
      <c r="F926" s="1" t="inlineStr">
        <is>
          <t>12</t>
        </is>
      </c>
      <c r="G926" s="1" t="n">
        <v>35049.98</v>
      </c>
      <c r="H926" s="25">
        <f>_CALC_PNL!P926</f>
        <v/>
      </c>
      <c r="I926" s="25">
        <f>IF(_CALC_PNL!E926=1,H926-G926,"")</f>
        <v/>
      </c>
    </row>
    <row r="927">
      <c r="A927" s="1" t="inlineStr">
        <is>
          <t>MBWAY_PAR</t>
        </is>
      </c>
      <c r="B927" s="1" t="inlineStr">
        <is>
          <t>63511</t>
        </is>
      </c>
      <c r="C927" s="1" t="inlineStr">
        <is>
          <t>2027</t>
        </is>
      </c>
      <c r="D927" s="1" t="inlineStr">
        <is>
          <t>V03</t>
        </is>
      </c>
      <c r="E927" s="1" t="inlineStr">
        <is>
          <t>2027BUD_V1</t>
        </is>
      </c>
      <c r="F927" s="1" t="inlineStr">
        <is>
          <t>12</t>
        </is>
      </c>
      <c r="G927" s="1" t="n">
        <v>36668</v>
      </c>
      <c r="H927" s="25">
        <f>_CALC_PNL!P927</f>
        <v/>
      </c>
      <c r="I927" s="25">
        <f>IF(_CALC_PNL!E927=1,H927-G927,"")</f>
        <v/>
      </c>
    </row>
    <row r="928">
      <c r="A928" s="1" t="inlineStr">
        <is>
          <t>MBWAY_LYO</t>
        </is>
      </c>
      <c r="B928" s="1" t="inlineStr">
        <is>
          <t>63511</t>
        </is>
      </c>
      <c r="C928" s="1" t="inlineStr">
        <is>
          <t>2027</t>
        </is>
      </c>
      <c r="D928" s="1" t="inlineStr">
        <is>
          <t>V01</t>
        </is>
      </c>
      <c r="E928" s="1" t="inlineStr">
        <is>
          <t>2027BUD_V1</t>
        </is>
      </c>
      <c r="F928" s="1" t="inlineStr">
        <is>
          <t>12</t>
        </is>
      </c>
      <c r="G928" s="1" t="n">
        <v>21540.0438</v>
      </c>
      <c r="H928" s="25">
        <f>_CALC_PNL!P928</f>
        <v/>
      </c>
      <c r="I928" s="25">
        <f>IF(_CALC_PNL!E928=1,H928-G928,"")</f>
        <v/>
      </c>
    </row>
    <row r="929">
      <c r="A929" s="1" t="inlineStr">
        <is>
          <t>MBWAY_LYO</t>
        </is>
      </c>
      <c r="B929" s="1" t="inlineStr">
        <is>
          <t>63511</t>
        </is>
      </c>
      <c r="C929" s="1" t="inlineStr">
        <is>
          <t>2027</t>
        </is>
      </c>
      <c r="D929" s="1" t="inlineStr">
        <is>
          <t>V02</t>
        </is>
      </c>
      <c r="E929" s="1" t="inlineStr">
        <is>
          <t>2027BUD_V1</t>
        </is>
      </c>
      <c r="F929" s="1" t="inlineStr">
        <is>
          <t>12</t>
        </is>
      </c>
      <c r="G929" s="1" t="n">
        <v>21001.43605</v>
      </c>
      <c r="H929" s="25">
        <f>_CALC_PNL!P929</f>
        <v/>
      </c>
      <c r="I929" s="25">
        <f>IF(_CALC_PNL!E929=1,H929-G929,"")</f>
        <v/>
      </c>
    </row>
    <row r="930">
      <c r="A930" s="1" t="inlineStr">
        <is>
          <t>MBWAY_LYO</t>
        </is>
      </c>
      <c r="B930" s="1" t="inlineStr">
        <is>
          <t>63511</t>
        </is>
      </c>
      <c r="C930" s="1" t="inlineStr">
        <is>
          <t>2027</t>
        </is>
      </c>
      <c r="D930" s="1" t="inlineStr">
        <is>
          <t>V03</t>
        </is>
      </c>
      <c r="E930" s="1" t="inlineStr">
        <is>
          <t>2027BUD_V1</t>
        </is>
      </c>
      <c r="F930" s="1" t="inlineStr">
        <is>
          <t>12</t>
        </is>
      </c>
      <c r="G930" s="1" t="n">
        <v>21970.93</v>
      </c>
      <c r="H930" s="25">
        <f>_CALC_PNL!P930</f>
        <v/>
      </c>
      <c r="I930" s="25">
        <f>IF(_CALC_PNL!E930=1,H930-G930,"")</f>
        <v/>
      </c>
    </row>
    <row r="931">
      <c r="A931" s="1" t="inlineStr">
        <is>
          <t>MBWAY_NAN</t>
        </is>
      </c>
      <c r="B931" s="1" t="inlineStr">
        <is>
          <t>63511</t>
        </is>
      </c>
      <c r="C931" s="1" t="inlineStr">
        <is>
          <t>2027</t>
        </is>
      </c>
      <c r="D931" s="1" t="inlineStr">
        <is>
          <t>V01</t>
        </is>
      </c>
      <c r="E931" s="1" t="inlineStr">
        <is>
          <t>2027BUD_V1</t>
        </is>
      </c>
      <c r="F931" s="1" t="inlineStr">
        <is>
          <t>12</t>
        </is>
      </c>
      <c r="G931" s="1" t="n">
        <v>17752.284</v>
      </c>
      <c r="H931" s="25">
        <f>_CALC_PNL!P931</f>
        <v/>
      </c>
      <c r="I931" s="25">
        <f>IF(_CALC_PNL!E931=1,H931-G931,"")</f>
        <v/>
      </c>
    </row>
    <row r="932">
      <c r="A932" s="1" t="inlineStr">
        <is>
          <t>MBWAY_NAN</t>
        </is>
      </c>
      <c r="B932" s="1" t="inlineStr">
        <is>
          <t>63511</t>
        </is>
      </c>
      <c r="C932" s="1" t="inlineStr">
        <is>
          <t>2027</t>
        </is>
      </c>
      <c r="D932" s="1" t="inlineStr">
        <is>
          <t>V02</t>
        </is>
      </c>
      <c r="E932" s="1" t="inlineStr">
        <is>
          <t>2027BUD_V1</t>
        </is>
      </c>
      <c r="F932" s="1" t="inlineStr">
        <is>
          <t>12</t>
        </is>
      </c>
      <c r="G932" s="1" t="n">
        <v>17308.389</v>
      </c>
      <c r="H932" s="25">
        <f>_CALC_PNL!P932</f>
        <v/>
      </c>
      <c r="I932" s="25">
        <f>IF(_CALC_PNL!E932=1,H932-G932,"")</f>
        <v/>
      </c>
    </row>
    <row r="933">
      <c r="A933" s="1" t="inlineStr">
        <is>
          <t>MBWAY_NAN</t>
        </is>
      </c>
      <c r="B933" s="1" t="inlineStr">
        <is>
          <t>63511</t>
        </is>
      </c>
      <c r="C933" s="1" t="inlineStr">
        <is>
          <t>2027</t>
        </is>
      </c>
      <c r="D933" s="1" t="inlineStr">
        <is>
          <t>V03</t>
        </is>
      </c>
      <c r="E933" s="1" t="inlineStr">
        <is>
          <t>2027BUD_V1</t>
        </is>
      </c>
      <c r="F933" s="1" t="inlineStr">
        <is>
          <t>12</t>
        </is>
      </c>
      <c r="G933" s="1" t="n">
        <v>18107.4</v>
      </c>
      <c r="H933" s="25">
        <f>_CALC_PNL!P933</f>
        <v/>
      </c>
      <c r="I933" s="25">
        <f>IF(_CALC_PNL!E933=1,H933-G933,"")</f>
        <v/>
      </c>
    </row>
    <row r="934">
      <c r="A934" s="1" t="inlineStr">
        <is>
          <t>MBWAY_BOR</t>
        </is>
      </c>
      <c r="B934" s="1" t="inlineStr">
        <is>
          <t>63511</t>
        </is>
      </c>
      <c r="C934" s="1" t="inlineStr">
        <is>
          <t>2027</t>
        </is>
      </c>
      <c r="D934" s="1" t="inlineStr">
        <is>
          <t>V01</t>
        </is>
      </c>
      <c r="E934" s="1" t="inlineStr">
        <is>
          <t>2027BUD_V1</t>
        </is>
      </c>
      <c r="F934" s="1" t="inlineStr">
        <is>
          <t>12</t>
        </is>
      </c>
      <c r="G934" s="1" t="n">
        <v>15533.7534</v>
      </c>
      <c r="H934" s="25">
        <f>_CALC_PNL!P934</f>
        <v/>
      </c>
      <c r="I934" s="25">
        <f>IF(_CALC_PNL!E934=1,H934-G934,"")</f>
        <v/>
      </c>
    </row>
    <row r="935">
      <c r="A935" s="1" t="inlineStr">
        <is>
          <t>MBWAY_BOR</t>
        </is>
      </c>
      <c r="B935" s="1" t="inlineStr">
        <is>
          <t>63511</t>
        </is>
      </c>
      <c r="C935" s="1" t="inlineStr">
        <is>
          <t>2027</t>
        </is>
      </c>
      <c r="D935" s="1" t="inlineStr">
        <is>
          <t>V02</t>
        </is>
      </c>
      <c r="E935" s="1" t="inlineStr">
        <is>
          <t>2027BUD_V1</t>
        </is>
      </c>
      <c r="F935" s="1" t="inlineStr">
        <is>
          <t>12</t>
        </is>
      </c>
      <c r="G935" s="1" t="n">
        <v>15145.33265</v>
      </c>
      <c r="H935" s="25">
        <f>_CALC_PNL!P935</f>
        <v/>
      </c>
      <c r="I935" s="25">
        <f>IF(_CALC_PNL!E935=1,H935-G935,"")</f>
        <v/>
      </c>
    </row>
    <row r="936">
      <c r="A936" s="1" t="inlineStr">
        <is>
          <t>MBWAY_BOR</t>
        </is>
      </c>
      <c r="B936" s="1" t="inlineStr">
        <is>
          <t>63511</t>
        </is>
      </c>
      <c r="C936" s="1" t="inlineStr">
        <is>
          <t>2027</t>
        </is>
      </c>
      <c r="D936" s="1" t="inlineStr">
        <is>
          <t>V03</t>
        </is>
      </c>
      <c r="E936" s="1" t="inlineStr">
        <is>
          <t>2027BUD_V1</t>
        </is>
      </c>
      <c r="F936" s="1" t="inlineStr">
        <is>
          <t>12</t>
        </is>
      </c>
      <c r="G936" s="1" t="n">
        <v>15844.49</v>
      </c>
      <c r="H936" s="25">
        <f>_CALC_PNL!P936</f>
        <v/>
      </c>
      <c r="I936" s="25">
        <f>IF(_CALC_PNL!E936=1,H936-G936,"")</f>
        <v/>
      </c>
    </row>
    <row r="937">
      <c r="A937" s="1" t="inlineStr">
        <is>
          <t>ISCOM_PAR</t>
        </is>
      </c>
      <c r="B937" s="1" t="inlineStr">
        <is>
          <t>63511</t>
        </is>
      </c>
      <c r="C937" s="1" t="inlineStr">
        <is>
          <t>2027</t>
        </is>
      </c>
      <c r="D937" s="1" t="inlineStr">
        <is>
          <t>V01</t>
        </is>
      </c>
      <c r="E937" s="1" t="inlineStr">
        <is>
          <t>2027BUD_V1</t>
        </is>
      </c>
      <c r="F937" s="1" t="inlineStr">
        <is>
          <t>12</t>
        </is>
      </c>
      <c r="G937" s="1" t="n">
        <v>35948.88</v>
      </c>
      <c r="H937" s="25">
        <f>_CALC_PNL!P937</f>
        <v/>
      </c>
      <c r="I937" s="25">
        <f>IF(_CALC_PNL!E937=1,H937-G937,"")</f>
        <v/>
      </c>
    </row>
    <row r="938">
      <c r="A938" s="1" t="inlineStr">
        <is>
          <t>ISCOM_PAR</t>
        </is>
      </c>
      <c r="B938" s="1" t="inlineStr">
        <is>
          <t>63511</t>
        </is>
      </c>
      <c r="C938" s="1" t="inlineStr">
        <is>
          <t>2027</t>
        </is>
      </c>
      <c r="D938" s="1" t="inlineStr">
        <is>
          <t>V02</t>
        </is>
      </c>
      <c r="E938" s="1" t="inlineStr">
        <is>
          <t>2027BUD_V1</t>
        </is>
      </c>
      <c r="F938" s="1" t="inlineStr">
        <is>
          <t>12</t>
        </is>
      </c>
      <c r="G938" s="1" t="n">
        <v>35049.98</v>
      </c>
      <c r="H938" s="25">
        <f>_CALC_PNL!P938</f>
        <v/>
      </c>
      <c r="I938" s="25">
        <f>IF(_CALC_PNL!E938=1,H938-G938,"")</f>
        <v/>
      </c>
    </row>
    <row r="939">
      <c r="A939" s="1" t="inlineStr">
        <is>
          <t>ISCOM_PAR</t>
        </is>
      </c>
      <c r="B939" s="1" t="inlineStr">
        <is>
          <t>63511</t>
        </is>
      </c>
      <c r="C939" s="1" t="inlineStr">
        <is>
          <t>2027</t>
        </is>
      </c>
      <c r="D939" s="1" t="inlineStr">
        <is>
          <t>V03</t>
        </is>
      </c>
      <c r="E939" s="1" t="inlineStr">
        <is>
          <t>2027BUD_V1</t>
        </is>
      </c>
      <c r="F939" s="1" t="inlineStr">
        <is>
          <t>12</t>
        </is>
      </c>
      <c r="G939" s="1" t="n">
        <v>36668</v>
      </c>
      <c r="H939" s="25">
        <f>_CALC_PNL!P939</f>
        <v/>
      </c>
      <c r="I939" s="25">
        <f>IF(_CALC_PNL!E939=1,H939-G939,"")</f>
        <v/>
      </c>
    </row>
    <row r="940">
      <c r="A940" s="1" t="inlineStr">
        <is>
          <t>ISCOM_LIL</t>
        </is>
      </c>
      <c r="B940" s="1" t="inlineStr">
        <is>
          <t>63511</t>
        </is>
      </c>
      <c r="C940" s="1" t="inlineStr">
        <is>
          <t>2027</t>
        </is>
      </c>
      <c r="D940" s="1" t="inlineStr">
        <is>
          <t>V01</t>
        </is>
      </c>
      <c r="E940" s="1" t="inlineStr">
        <is>
          <t>2027BUD_V1</t>
        </is>
      </c>
      <c r="F940" s="1" t="inlineStr">
        <is>
          <t>12</t>
        </is>
      </c>
      <c r="G940" s="1" t="n">
        <v>13610.0844</v>
      </c>
      <c r="H940" s="25">
        <f>_CALC_PNL!P940</f>
        <v/>
      </c>
      <c r="I940" s="25">
        <f>IF(_CALC_PNL!E940=1,H940-G940,"")</f>
        <v/>
      </c>
    </row>
    <row r="941">
      <c r="A941" s="1" t="inlineStr">
        <is>
          <t>ISCOM_LIL</t>
        </is>
      </c>
      <c r="B941" s="1" t="inlineStr">
        <is>
          <t>63511</t>
        </is>
      </c>
      <c r="C941" s="1" t="inlineStr">
        <is>
          <t>2027</t>
        </is>
      </c>
      <c r="D941" s="1" t="inlineStr">
        <is>
          <t>V02</t>
        </is>
      </c>
      <c r="E941" s="1" t="inlineStr">
        <is>
          <t>2027BUD_V1</t>
        </is>
      </c>
      <c r="F941" s="1" t="inlineStr">
        <is>
          <t>12</t>
        </is>
      </c>
      <c r="G941" s="1" t="n">
        <v>13269.7649</v>
      </c>
      <c r="H941" s="25">
        <f>_CALC_PNL!P941</f>
        <v/>
      </c>
      <c r="I941" s="25">
        <f>IF(_CALC_PNL!E941=1,H941-G941,"")</f>
        <v/>
      </c>
    </row>
    <row r="942">
      <c r="A942" s="1" t="inlineStr">
        <is>
          <t>ISCOM_LIL</t>
        </is>
      </c>
      <c r="B942" s="1" t="inlineStr">
        <is>
          <t>63511</t>
        </is>
      </c>
      <c r="C942" s="1" t="inlineStr">
        <is>
          <t>2027</t>
        </is>
      </c>
      <c r="D942" s="1" t="inlineStr">
        <is>
          <t>V03</t>
        </is>
      </c>
      <c r="E942" s="1" t="inlineStr">
        <is>
          <t>2027BUD_V1</t>
        </is>
      </c>
      <c r="F942" s="1" t="inlineStr">
        <is>
          <t>12</t>
        </is>
      </c>
      <c r="G942" s="1" t="n">
        <v>13882.34</v>
      </c>
      <c r="H942" s="25">
        <f>_CALC_PNL!P942</f>
        <v/>
      </c>
      <c r="I942" s="25">
        <f>IF(_CALC_PNL!E942=1,H942-G942,"")</f>
        <v/>
      </c>
    </row>
    <row r="943">
      <c r="A943" s="1" t="inlineStr">
        <is>
          <t>ISCOM_TLS</t>
        </is>
      </c>
      <c r="B943" s="1" t="inlineStr">
        <is>
          <t>63511</t>
        </is>
      </c>
      <c r="C943" s="1" t="inlineStr">
        <is>
          <t>2027</t>
        </is>
      </c>
      <c r="D943" s="1" t="inlineStr">
        <is>
          <t>V01</t>
        </is>
      </c>
      <c r="E943" s="1" t="inlineStr">
        <is>
          <t>2027BUD_V1</t>
        </is>
      </c>
      <c r="F943" s="1" t="inlineStr">
        <is>
          <t>12</t>
        </is>
      </c>
      <c r="G943" s="1" t="n">
        <v>13314.213</v>
      </c>
      <c r="H943" s="25">
        <f>_CALC_PNL!P943</f>
        <v/>
      </c>
      <c r="I943" s="25">
        <f>IF(_CALC_PNL!E943=1,H943-G943,"")</f>
        <v/>
      </c>
    </row>
    <row r="944">
      <c r="A944" s="1" t="inlineStr">
        <is>
          <t>ISCOM_TLS</t>
        </is>
      </c>
      <c r="B944" s="1" t="inlineStr">
        <is>
          <t>63511</t>
        </is>
      </c>
      <c r="C944" s="1" t="inlineStr">
        <is>
          <t>2027</t>
        </is>
      </c>
      <c r="D944" s="1" t="inlineStr">
        <is>
          <t>V02</t>
        </is>
      </c>
      <c r="E944" s="1" t="inlineStr">
        <is>
          <t>2027BUD_V1</t>
        </is>
      </c>
      <c r="F944" s="1" t="inlineStr">
        <is>
          <t>12</t>
        </is>
      </c>
      <c r="G944" s="1" t="n">
        <v>12981.29175</v>
      </c>
      <c r="H944" s="25">
        <f>_CALC_PNL!P944</f>
        <v/>
      </c>
      <c r="I944" s="25">
        <f>IF(_CALC_PNL!E944=1,H944-G944,"")</f>
        <v/>
      </c>
    </row>
    <row r="945">
      <c r="A945" s="1" t="inlineStr">
        <is>
          <t>ISCOM_TLS</t>
        </is>
      </c>
      <c r="B945" s="1" t="inlineStr">
        <is>
          <t>63511</t>
        </is>
      </c>
      <c r="C945" s="1" t="inlineStr">
        <is>
          <t>2027</t>
        </is>
      </c>
      <c r="D945" s="1" t="inlineStr">
        <is>
          <t>V03</t>
        </is>
      </c>
      <c r="E945" s="1" t="inlineStr">
        <is>
          <t>2027BUD_V1</t>
        </is>
      </c>
      <c r="F945" s="1" t="inlineStr">
        <is>
          <t>12</t>
        </is>
      </c>
      <c r="G945" s="1" t="n">
        <v>13580.55</v>
      </c>
      <c r="H945" s="25">
        <f>_CALC_PNL!P945</f>
        <v/>
      </c>
      <c r="I945" s="25">
        <f>IF(_CALC_PNL!E945=1,H945-G945,"")</f>
        <v/>
      </c>
    </row>
    <row r="946">
      <c r="A946" s="1" t="inlineStr">
        <is>
          <t>IPAC_NAN</t>
        </is>
      </c>
      <c r="B946" s="1" t="inlineStr">
        <is>
          <t>63511</t>
        </is>
      </c>
      <c r="C946" s="1" t="inlineStr">
        <is>
          <t>2027</t>
        </is>
      </c>
      <c r="D946" s="1" t="inlineStr">
        <is>
          <t>V01</t>
        </is>
      </c>
      <c r="E946" s="1" t="inlineStr">
        <is>
          <t>2027BUD_V1</t>
        </is>
      </c>
      <c r="F946" s="1" t="inlineStr">
        <is>
          <t>12</t>
        </is>
      </c>
      <c r="G946" s="1" t="n">
        <v>8876.142</v>
      </c>
      <c r="H946" s="25">
        <f>_CALC_PNL!P946</f>
        <v/>
      </c>
      <c r="I946" s="25">
        <f>IF(_CALC_PNL!E946=1,H946-G946,"")</f>
        <v/>
      </c>
    </row>
    <row r="947">
      <c r="A947" s="1" t="inlineStr">
        <is>
          <t>IPAC_NAN</t>
        </is>
      </c>
      <c r="B947" s="1" t="inlineStr">
        <is>
          <t>63511</t>
        </is>
      </c>
      <c r="C947" s="1" t="inlineStr">
        <is>
          <t>2027</t>
        </is>
      </c>
      <c r="D947" s="1" t="inlineStr">
        <is>
          <t>V02</t>
        </is>
      </c>
      <c r="E947" s="1" t="inlineStr">
        <is>
          <t>2027BUD_V1</t>
        </is>
      </c>
      <c r="F947" s="1" t="inlineStr">
        <is>
          <t>12</t>
        </is>
      </c>
      <c r="G947" s="1" t="n">
        <v>8654.1945</v>
      </c>
      <c r="H947" s="25">
        <f>_CALC_PNL!P947</f>
        <v/>
      </c>
      <c r="I947" s="25">
        <f>IF(_CALC_PNL!E947=1,H947-G947,"")</f>
        <v/>
      </c>
    </row>
    <row r="948">
      <c r="A948" s="1" t="inlineStr">
        <is>
          <t>IPAC_NAN</t>
        </is>
      </c>
      <c r="B948" s="1" t="inlineStr">
        <is>
          <t>63511</t>
        </is>
      </c>
      <c r="C948" s="1" t="inlineStr">
        <is>
          <t>2027</t>
        </is>
      </c>
      <c r="D948" s="1" t="inlineStr">
        <is>
          <t>V03</t>
        </is>
      </c>
      <c r="E948" s="1" t="inlineStr">
        <is>
          <t>2027BUD_V1</t>
        </is>
      </c>
      <c r="F948" s="1" t="inlineStr">
        <is>
          <t>12</t>
        </is>
      </c>
      <c r="G948" s="1" t="n">
        <v>9053.700000000001</v>
      </c>
      <c r="H948" s="25">
        <f>_CALC_PNL!P948</f>
        <v/>
      </c>
      <c r="I948" s="25">
        <f>IF(_CALC_PNL!E948=1,H948-G948,"")</f>
        <v/>
      </c>
    </row>
    <row r="949">
      <c r="A949" s="1" t="inlineStr">
        <is>
          <t>IPAC_REN</t>
        </is>
      </c>
      <c r="B949" s="1" t="inlineStr">
        <is>
          <t>63511</t>
        </is>
      </c>
      <c r="C949" s="1" t="inlineStr">
        <is>
          <t>2027</t>
        </is>
      </c>
      <c r="D949" s="1" t="inlineStr">
        <is>
          <t>V01</t>
        </is>
      </c>
      <c r="E949" s="1" t="inlineStr">
        <is>
          <t>2027BUD_V1</t>
        </is>
      </c>
      <c r="F949" s="1" t="inlineStr">
        <is>
          <t>12</t>
        </is>
      </c>
      <c r="G949" s="1" t="n">
        <v>7810.803</v>
      </c>
      <c r="H949" s="25">
        <f>_CALC_PNL!P949</f>
        <v/>
      </c>
      <c r="I949" s="25">
        <f>IF(_CALC_PNL!E949=1,H949-G949,"")</f>
        <v/>
      </c>
    </row>
    <row r="950">
      <c r="A950" s="1" t="inlineStr">
        <is>
          <t>IPAC_REN</t>
        </is>
      </c>
      <c r="B950" s="1" t="inlineStr">
        <is>
          <t>63511</t>
        </is>
      </c>
      <c r="C950" s="1" t="inlineStr">
        <is>
          <t>2027</t>
        </is>
      </c>
      <c r="D950" s="1" t="inlineStr">
        <is>
          <t>V02</t>
        </is>
      </c>
      <c r="E950" s="1" t="inlineStr">
        <is>
          <t>2027BUD_V1</t>
        </is>
      </c>
      <c r="F950" s="1" t="inlineStr">
        <is>
          <t>12</t>
        </is>
      </c>
      <c r="G950" s="1" t="n">
        <v>7615.49425</v>
      </c>
      <c r="H950" s="25">
        <f>_CALC_PNL!P950</f>
        <v/>
      </c>
      <c r="I950" s="25">
        <f>IF(_CALC_PNL!E950=1,H950-G950,"")</f>
        <v/>
      </c>
    </row>
    <row r="951">
      <c r="A951" s="1" t="inlineStr">
        <is>
          <t>IPAC_REN</t>
        </is>
      </c>
      <c r="B951" s="1" t="inlineStr">
        <is>
          <t>63511</t>
        </is>
      </c>
      <c r="C951" s="1" t="inlineStr">
        <is>
          <t>2027</t>
        </is>
      </c>
      <c r="D951" s="1" t="inlineStr">
        <is>
          <t>V03</t>
        </is>
      </c>
      <c r="E951" s="1" t="inlineStr">
        <is>
          <t>2027BUD_V1</t>
        </is>
      </c>
      <c r="F951" s="1" t="inlineStr">
        <is>
          <t>12</t>
        </is>
      </c>
      <c r="G951" s="1" t="n">
        <v>7967.05</v>
      </c>
      <c r="H951" s="25">
        <f>_CALC_PNL!P951</f>
        <v/>
      </c>
      <c r="I951" s="25">
        <f>IF(_CALC_PNL!E951=1,H951-G951,"")</f>
        <v/>
      </c>
    </row>
    <row r="952">
      <c r="A952" s="1" t="inlineStr">
        <is>
          <t>IPAC_MTP</t>
        </is>
      </c>
      <c r="B952" s="1" t="inlineStr">
        <is>
          <t>63511</t>
        </is>
      </c>
      <c r="C952" s="1" t="inlineStr">
        <is>
          <t>2027</t>
        </is>
      </c>
      <c r="D952" s="1" t="inlineStr">
        <is>
          <t>V01</t>
        </is>
      </c>
      <c r="E952" s="1" t="inlineStr">
        <is>
          <t>2027BUD_V1</t>
        </is>
      </c>
      <c r="F952" s="1" t="inlineStr">
        <is>
          <t>12</t>
        </is>
      </c>
      <c r="G952" s="1" t="n">
        <v>7810.803</v>
      </c>
      <c r="H952" s="25">
        <f>_CALC_PNL!P952</f>
        <v/>
      </c>
      <c r="I952" s="25">
        <f>IF(_CALC_PNL!E952=1,H952-G952,"")</f>
        <v/>
      </c>
    </row>
    <row r="953">
      <c r="A953" s="1" t="inlineStr">
        <is>
          <t>IPAC_MTP</t>
        </is>
      </c>
      <c r="B953" s="1" t="inlineStr">
        <is>
          <t>63511</t>
        </is>
      </c>
      <c r="C953" s="1" t="inlineStr">
        <is>
          <t>2027</t>
        </is>
      </c>
      <c r="D953" s="1" t="inlineStr">
        <is>
          <t>V02</t>
        </is>
      </c>
      <c r="E953" s="1" t="inlineStr">
        <is>
          <t>2027BUD_V1</t>
        </is>
      </c>
      <c r="F953" s="1" t="inlineStr">
        <is>
          <t>12</t>
        </is>
      </c>
      <c r="G953" s="1" t="n">
        <v>7615.49425</v>
      </c>
      <c r="H953" s="25">
        <f>_CALC_PNL!P953</f>
        <v/>
      </c>
      <c r="I953" s="25">
        <f>IF(_CALC_PNL!E953=1,H953-G953,"")</f>
        <v/>
      </c>
    </row>
    <row r="954">
      <c r="A954" s="1" t="inlineStr">
        <is>
          <t>IPAC_MTP</t>
        </is>
      </c>
      <c r="B954" s="1" t="inlineStr">
        <is>
          <t>63511</t>
        </is>
      </c>
      <c r="C954" s="1" t="inlineStr">
        <is>
          <t>2027</t>
        </is>
      </c>
      <c r="D954" s="1" t="inlineStr">
        <is>
          <t>V03</t>
        </is>
      </c>
      <c r="E954" s="1" t="inlineStr">
        <is>
          <t>2027BUD_V1</t>
        </is>
      </c>
      <c r="F954" s="1" t="inlineStr">
        <is>
          <t>12</t>
        </is>
      </c>
      <c r="G954" s="1" t="n">
        <v>7967.05</v>
      </c>
      <c r="H954" s="25">
        <f>_CALC_PNL!P954</f>
        <v/>
      </c>
      <c r="I954" s="25">
        <f>IF(_CALC_PNL!E954=1,H954-G954,"")</f>
        <v/>
      </c>
    </row>
    <row r="955">
      <c r="A955" s="1" t="inlineStr">
        <is>
          <t>PIGIER_LYO</t>
        </is>
      </c>
      <c r="B955" s="1" t="inlineStr">
        <is>
          <t>63511</t>
        </is>
      </c>
      <c r="C955" s="1" t="inlineStr">
        <is>
          <t>2027</t>
        </is>
      </c>
      <c r="D955" s="1" t="inlineStr">
        <is>
          <t>V01</t>
        </is>
      </c>
      <c r="E955" s="1" t="inlineStr">
        <is>
          <t>2027BUD_V1</t>
        </is>
      </c>
      <c r="F955" s="1" t="inlineStr">
        <is>
          <t>12</t>
        </is>
      </c>
      <c r="G955" s="1" t="n">
        <v>13255.6446</v>
      </c>
      <c r="H955" s="25">
        <f>_CALC_PNL!P955</f>
        <v/>
      </c>
      <c r="I955" s="25">
        <f>IF(_CALC_PNL!E955=1,H955-G955,"")</f>
        <v/>
      </c>
    </row>
    <row r="956">
      <c r="A956" s="1" t="inlineStr">
        <is>
          <t>PIGIER_LYO</t>
        </is>
      </c>
      <c r="B956" s="1" t="inlineStr">
        <is>
          <t>63511</t>
        </is>
      </c>
      <c r="C956" s="1" t="inlineStr">
        <is>
          <t>2027</t>
        </is>
      </c>
      <c r="D956" s="1" t="inlineStr">
        <is>
          <t>V02</t>
        </is>
      </c>
      <c r="E956" s="1" t="inlineStr">
        <is>
          <t>2027BUD_V1</t>
        </is>
      </c>
      <c r="F956" s="1" t="inlineStr">
        <is>
          <t>12</t>
        </is>
      </c>
      <c r="G956" s="1" t="n">
        <v>12924.18785</v>
      </c>
      <c r="H956" s="25">
        <f>_CALC_PNL!P956</f>
        <v/>
      </c>
      <c r="I956" s="25">
        <f>IF(_CALC_PNL!E956=1,H956-G956,"")</f>
        <v/>
      </c>
    </row>
    <row r="957">
      <c r="A957" s="1" t="inlineStr">
        <is>
          <t>PIGIER_LYO</t>
        </is>
      </c>
      <c r="B957" s="1" t="inlineStr">
        <is>
          <t>63511</t>
        </is>
      </c>
      <c r="C957" s="1" t="inlineStr">
        <is>
          <t>2027</t>
        </is>
      </c>
      <c r="D957" s="1" t="inlineStr">
        <is>
          <t>V03</t>
        </is>
      </c>
      <c r="E957" s="1" t="inlineStr">
        <is>
          <t>2027BUD_V1</t>
        </is>
      </c>
      <c r="F957" s="1" t="inlineStr">
        <is>
          <t>12</t>
        </is>
      </c>
      <c r="G957" s="1" t="n">
        <v>13520.81</v>
      </c>
      <c r="H957" s="25">
        <f>_CALC_PNL!P957</f>
        <v/>
      </c>
      <c r="I957" s="25">
        <f>IF(_CALC_PNL!E957=1,H957-G957,"")</f>
        <v/>
      </c>
    </row>
    <row r="958">
      <c r="A958" s="1" t="inlineStr">
        <is>
          <t>PIGIER_BOR</t>
        </is>
      </c>
      <c r="B958" s="1" t="inlineStr">
        <is>
          <t>63511</t>
        </is>
      </c>
      <c r="C958" s="1" t="inlineStr">
        <is>
          <t>2027</t>
        </is>
      </c>
      <c r="D958" s="1" t="inlineStr">
        <is>
          <t>V01</t>
        </is>
      </c>
      <c r="E958" s="1" t="inlineStr">
        <is>
          <t>2027BUD_V1</t>
        </is>
      </c>
      <c r="F958" s="1" t="inlineStr">
        <is>
          <t>12</t>
        </is>
      </c>
      <c r="G958" s="1" t="n">
        <v>12426.5988</v>
      </c>
      <c r="H958" s="25">
        <f>_CALC_PNL!P958</f>
        <v/>
      </c>
      <c r="I958" s="25">
        <f>IF(_CALC_PNL!E958=1,H958-G958,"")</f>
        <v/>
      </c>
    </row>
    <row r="959">
      <c r="A959" s="1" t="inlineStr">
        <is>
          <t>PIGIER_BOR</t>
        </is>
      </c>
      <c r="B959" s="1" t="inlineStr">
        <is>
          <t>63511</t>
        </is>
      </c>
      <c r="C959" s="1" t="inlineStr">
        <is>
          <t>2027</t>
        </is>
      </c>
      <c r="D959" s="1" t="inlineStr">
        <is>
          <t>V02</t>
        </is>
      </c>
      <c r="E959" s="1" t="inlineStr">
        <is>
          <t>2027BUD_V1</t>
        </is>
      </c>
      <c r="F959" s="1" t="inlineStr">
        <is>
          <t>12</t>
        </is>
      </c>
      <c r="G959" s="1" t="n">
        <v>12115.8723</v>
      </c>
      <c r="H959" s="25">
        <f>_CALC_PNL!P959</f>
        <v/>
      </c>
      <c r="I959" s="25">
        <f>IF(_CALC_PNL!E959=1,H959-G959,"")</f>
        <v/>
      </c>
    </row>
    <row r="960">
      <c r="A960" s="1" t="inlineStr">
        <is>
          <t>PIGIER_BOR</t>
        </is>
      </c>
      <c r="B960" s="1" t="inlineStr">
        <is>
          <t>63511</t>
        </is>
      </c>
      <c r="C960" s="1" t="inlineStr">
        <is>
          <t>2027</t>
        </is>
      </c>
      <c r="D960" s="1" t="inlineStr">
        <is>
          <t>V03</t>
        </is>
      </c>
      <c r="E960" s="1" t="inlineStr">
        <is>
          <t>2027BUD_V1</t>
        </is>
      </c>
      <c r="F960" s="1" t="inlineStr">
        <is>
          <t>12</t>
        </is>
      </c>
      <c r="G960" s="1" t="n">
        <v>12675.18</v>
      </c>
      <c r="H960" s="25">
        <f>_CALC_PNL!P960</f>
        <v/>
      </c>
      <c r="I960" s="25">
        <f>IF(_CALC_PNL!E960=1,H960-G960,"")</f>
        <v/>
      </c>
    </row>
    <row r="961">
      <c r="A961" s="1" t="inlineStr">
        <is>
          <t>TUNON_PAR</t>
        </is>
      </c>
      <c r="B961" s="1" t="inlineStr">
        <is>
          <t>63511</t>
        </is>
      </c>
      <c r="C961" s="1" t="inlineStr">
        <is>
          <t>2027</t>
        </is>
      </c>
      <c r="D961" s="1" t="inlineStr">
        <is>
          <t>V01</t>
        </is>
      </c>
      <c r="E961" s="1" t="inlineStr">
        <is>
          <t>2027BUD_V1</t>
        </is>
      </c>
      <c r="F961" s="1" t="inlineStr">
        <is>
          <t>12</t>
        </is>
      </c>
      <c r="G961" s="1" t="n">
        <v>14379.552</v>
      </c>
      <c r="H961" s="25">
        <f>_CALC_PNL!P961</f>
        <v/>
      </c>
      <c r="I961" s="25">
        <f>IF(_CALC_PNL!E961=1,H961-G961,"")</f>
        <v/>
      </c>
    </row>
    <row r="962">
      <c r="A962" s="1" t="inlineStr">
        <is>
          <t>TUNON_PAR</t>
        </is>
      </c>
      <c r="B962" s="1" t="inlineStr">
        <is>
          <t>63511</t>
        </is>
      </c>
      <c r="C962" s="1" t="inlineStr">
        <is>
          <t>2027</t>
        </is>
      </c>
      <c r="D962" s="1" t="inlineStr">
        <is>
          <t>V02</t>
        </is>
      </c>
      <c r="E962" s="1" t="inlineStr">
        <is>
          <t>2027BUD_V1</t>
        </is>
      </c>
      <c r="F962" s="1" t="inlineStr">
        <is>
          <t>12</t>
        </is>
      </c>
      <c r="G962" s="1" t="n">
        <v>14019.992</v>
      </c>
      <c r="H962" s="25">
        <f>_CALC_PNL!P962</f>
        <v/>
      </c>
      <c r="I962" s="25">
        <f>IF(_CALC_PNL!E962=1,H962-G962,"")</f>
        <v/>
      </c>
    </row>
    <row r="963">
      <c r="A963" s="1" t="inlineStr">
        <is>
          <t>TUNON_PAR</t>
        </is>
      </c>
      <c r="B963" s="1" t="inlineStr">
        <is>
          <t>63511</t>
        </is>
      </c>
      <c r="C963" s="1" t="inlineStr">
        <is>
          <t>2027</t>
        </is>
      </c>
      <c r="D963" s="1" t="inlineStr">
        <is>
          <t>V03</t>
        </is>
      </c>
      <c r="E963" s="1" t="inlineStr">
        <is>
          <t>2027BUD_V1</t>
        </is>
      </c>
      <c r="F963" s="1" t="inlineStr">
        <is>
          <t>12</t>
        </is>
      </c>
      <c r="G963" s="1" t="n">
        <v>14667.2</v>
      </c>
      <c r="H963" s="25">
        <f>_CALC_PNL!P963</f>
        <v/>
      </c>
      <c r="I963" s="25">
        <f>IF(_CALC_PNL!E963=1,H963-G963,"")</f>
        <v/>
      </c>
    </row>
    <row r="964">
      <c r="A964" s="1" t="inlineStr">
        <is>
          <t>TUNON_LYO</t>
        </is>
      </c>
      <c r="B964" s="1" t="inlineStr">
        <is>
          <t>63511</t>
        </is>
      </c>
      <c r="C964" s="1" t="inlineStr">
        <is>
          <t>2027</t>
        </is>
      </c>
      <c r="D964" s="1" t="inlineStr">
        <is>
          <t>V01</t>
        </is>
      </c>
      <c r="E964" s="1" t="inlineStr">
        <is>
          <t>2027BUD_V1</t>
        </is>
      </c>
      <c r="F964" s="1" t="inlineStr">
        <is>
          <t>12</t>
        </is>
      </c>
      <c r="G964" s="1" t="n">
        <v>9941.481</v>
      </c>
      <c r="H964" s="25">
        <f>_CALC_PNL!P964</f>
        <v/>
      </c>
      <c r="I964" s="25">
        <f>IF(_CALC_PNL!E964=1,H964-G964,"")</f>
        <v/>
      </c>
    </row>
    <row r="965">
      <c r="A965" s="1" t="inlineStr">
        <is>
          <t>TUNON_LYO</t>
        </is>
      </c>
      <c r="B965" s="1" t="inlineStr">
        <is>
          <t>63511</t>
        </is>
      </c>
      <c r="C965" s="1" t="inlineStr">
        <is>
          <t>2027</t>
        </is>
      </c>
      <c r="D965" s="1" t="inlineStr">
        <is>
          <t>V02</t>
        </is>
      </c>
      <c r="E965" s="1" t="inlineStr">
        <is>
          <t>2027BUD_V1</t>
        </is>
      </c>
      <c r="F965" s="1" t="inlineStr">
        <is>
          <t>12</t>
        </is>
      </c>
      <c r="G965" s="1" t="n">
        <v>9692.894749999999</v>
      </c>
      <c r="H965" s="25">
        <f>_CALC_PNL!P965</f>
        <v/>
      </c>
      <c r="I965" s="25">
        <f>IF(_CALC_PNL!E965=1,H965-G965,"")</f>
        <v/>
      </c>
    </row>
    <row r="966">
      <c r="A966" s="1" t="inlineStr">
        <is>
          <t>TUNON_LYO</t>
        </is>
      </c>
      <c r="B966" s="1" t="inlineStr">
        <is>
          <t>63511</t>
        </is>
      </c>
      <c r="C966" s="1" t="inlineStr">
        <is>
          <t>2027</t>
        </is>
      </c>
      <c r="D966" s="1" t="inlineStr">
        <is>
          <t>V03</t>
        </is>
      </c>
      <c r="E966" s="1" t="inlineStr">
        <is>
          <t>2027BUD_V1</t>
        </is>
      </c>
      <c r="F966" s="1" t="inlineStr">
        <is>
          <t>12</t>
        </is>
      </c>
      <c r="G966" s="1" t="n">
        <v>10140.35</v>
      </c>
      <c r="H966" s="25">
        <f>_CALC_PNL!P966</f>
        <v/>
      </c>
      <c r="I966" s="25">
        <f>IF(_CALC_PNL!E966=1,H966-G966,"")</f>
        <v/>
      </c>
    </row>
    <row r="967">
      <c r="A967" s="1" t="inlineStr">
        <is>
          <t>GRP</t>
        </is>
      </c>
      <c r="B967" s="1" t="inlineStr">
        <is>
          <t>6333</t>
        </is>
      </c>
      <c r="C967" s="1" t="inlineStr">
        <is>
          <t>2027</t>
        </is>
      </c>
      <c r="D967" s="1" t="inlineStr">
        <is>
          <t>V01</t>
        </is>
      </c>
      <c r="E967" s="1" t="inlineStr">
        <is>
          <t>2027BUD_V1</t>
        </is>
      </c>
      <c r="F967" s="1" t="inlineStr">
        <is>
          <t>12</t>
        </is>
      </c>
      <c r="G967" s="1" t="n">
        <v>114075.0864</v>
      </c>
      <c r="H967" s="25">
        <f>_CALC_PNL!P967</f>
        <v/>
      </c>
      <c r="I967" s="25">
        <f>IF(_CALC_PNL!E967=1,H967-G967,"")</f>
        <v/>
      </c>
    </row>
    <row r="968">
      <c r="A968" s="1" t="inlineStr">
        <is>
          <t>GRP</t>
        </is>
      </c>
      <c r="B968" s="1" t="inlineStr">
        <is>
          <t>6333</t>
        </is>
      </c>
      <c r="C968" s="1" t="inlineStr">
        <is>
          <t>2027</t>
        </is>
      </c>
      <c r="D968" s="1" t="inlineStr">
        <is>
          <t>V02</t>
        </is>
      </c>
      <c r="E968" s="1" t="inlineStr">
        <is>
          <t>2027BUD_V1</t>
        </is>
      </c>
      <c r="F968" s="1" t="inlineStr">
        <is>
          <t>12</t>
        </is>
      </c>
      <c r="G968" s="1" t="n">
        <v>111222.6444</v>
      </c>
      <c r="H968" s="25">
        <f>_CALC_PNL!P968</f>
        <v/>
      </c>
      <c r="I968" s="25">
        <f>IF(_CALC_PNL!E968=1,H968-G968,"")</f>
        <v/>
      </c>
    </row>
    <row r="969">
      <c r="A969" s="1" t="inlineStr">
        <is>
          <t>GRP</t>
        </is>
      </c>
      <c r="B969" s="1" t="inlineStr">
        <is>
          <t>6333</t>
        </is>
      </c>
      <c r="C969" s="1" t="inlineStr">
        <is>
          <t>2027</t>
        </is>
      </c>
      <c r="D969" s="1" t="inlineStr">
        <is>
          <t>V03</t>
        </is>
      </c>
      <c r="E969" s="1" t="inlineStr">
        <is>
          <t>2027BUD_V1</t>
        </is>
      </c>
      <c r="F969" s="1" t="inlineStr">
        <is>
          <t>12</t>
        </is>
      </c>
      <c r="G969" s="1" t="n">
        <v>116357.04</v>
      </c>
      <c r="H969" s="25">
        <f>_CALC_PNL!P969</f>
        <v/>
      </c>
      <c r="I969" s="25">
        <f>IF(_CALC_PNL!E969=1,H969-G969,"")</f>
        <v/>
      </c>
    </row>
    <row r="970">
      <c r="A970" s="1" t="inlineStr">
        <is>
          <t>MBWAY_PAR</t>
        </is>
      </c>
      <c r="B970" s="1" t="inlineStr">
        <is>
          <t>6811</t>
        </is>
      </c>
      <c r="C970" s="1" t="inlineStr">
        <is>
          <t>2027</t>
        </is>
      </c>
      <c r="D970" s="1" t="inlineStr">
        <is>
          <t>V01</t>
        </is>
      </c>
      <c r="E970" s="1" t="inlineStr">
        <is>
          <t>2027BUD_V1</t>
        </is>
      </c>
      <c r="F970" s="1" t="inlineStr">
        <is>
          <t>12</t>
        </is>
      </c>
      <c r="G970" s="1" t="n">
        <v>157984.74</v>
      </c>
      <c r="H970" s="25">
        <f>_CALC_PNL!P970</f>
        <v/>
      </c>
      <c r="I970" s="25">
        <f>IF(_CALC_PNL!E970=1,H970-G970,"")</f>
        <v/>
      </c>
    </row>
    <row r="971">
      <c r="A971" s="1" t="inlineStr">
        <is>
          <t>MBWAY_PAR</t>
        </is>
      </c>
      <c r="B971" s="1" t="inlineStr">
        <is>
          <t>6811</t>
        </is>
      </c>
      <c r="C971" s="1" t="inlineStr">
        <is>
          <t>2027</t>
        </is>
      </c>
      <c r="D971" s="1" t="inlineStr">
        <is>
          <t>V02</t>
        </is>
      </c>
      <c r="E971" s="1" t="inlineStr">
        <is>
          <t>2027BUD_V1</t>
        </is>
      </c>
      <c r="F971" s="1" t="inlineStr">
        <is>
          <t>12</t>
        </is>
      </c>
      <c r="G971" s="1" t="n">
        <v>157210.305</v>
      </c>
      <c r="H971" s="25">
        <f>_CALC_PNL!P971</f>
        <v/>
      </c>
      <c r="I971" s="25">
        <f>IF(_CALC_PNL!E971=1,H971-G971,"")</f>
        <v/>
      </c>
    </row>
    <row r="972">
      <c r="A972" s="1" t="inlineStr">
        <is>
          <t>MBWAY_PAR</t>
        </is>
      </c>
      <c r="B972" s="1" t="inlineStr">
        <is>
          <t>6811</t>
        </is>
      </c>
      <c r="C972" s="1" t="inlineStr">
        <is>
          <t>2027</t>
        </is>
      </c>
      <c r="D972" s="1" t="inlineStr">
        <is>
          <t>V03</t>
        </is>
      </c>
      <c r="E972" s="1" t="inlineStr">
        <is>
          <t>2027BUD_V1</t>
        </is>
      </c>
      <c r="F972" s="1" t="inlineStr">
        <is>
          <t>12</t>
        </is>
      </c>
      <c r="G972" s="1" t="n">
        <v>159533.61</v>
      </c>
      <c r="H972" s="25">
        <f>_CALC_PNL!P972</f>
        <v/>
      </c>
      <c r="I972" s="25">
        <f>IF(_CALC_PNL!E972=1,H972-G972,"")</f>
        <v/>
      </c>
    </row>
    <row r="973">
      <c r="A973" s="1" t="inlineStr">
        <is>
          <t>MBWAY_LYO</t>
        </is>
      </c>
      <c r="B973" s="1" t="inlineStr">
        <is>
          <t>6811</t>
        </is>
      </c>
      <c r="C973" s="1" t="inlineStr">
        <is>
          <t>2027</t>
        </is>
      </c>
      <c r="D973" s="1" t="inlineStr">
        <is>
          <t>V01</t>
        </is>
      </c>
      <c r="E973" s="1" t="inlineStr">
        <is>
          <t>2027BUD_V1</t>
        </is>
      </c>
      <c r="F973" s="1" t="inlineStr">
        <is>
          <t>12</t>
        </is>
      </c>
      <c r="G973" s="1" t="n">
        <v>136920.72</v>
      </c>
      <c r="H973" s="25">
        <f>_CALC_PNL!P973</f>
        <v/>
      </c>
      <c r="I973" s="25">
        <f>IF(_CALC_PNL!E973=1,H973-G973,"")</f>
        <v/>
      </c>
    </row>
    <row r="974">
      <c r="A974" s="1" t="inlineStr">
        <is>
          <t>MBWAY_LYO</t>
        </is>
      </c>
      <c r="B974" s="1" t="inlineStr">
        <is>
          <t>6811</t>
        </is>
      </c>
      <c r="C974" s="1" t="inlineStr">
        <is>
          <t>2027</t>
        </is>
      </c>
      <c r="D974" s="1" t="inlineStr">
        <is>
          <t>V02</t>
        </is>
      </c>
      <c r="E974" s="1" t="inlineStr">
        <is>
          <t>2027BUD_V1</t>
        </is>
      </c>
      <c r="F974" s="1" t="inlineStr">
        <is>
          <t>12</t>
        </is>
      </c>
      <c r="G974" s="1" t="n">
        <v>136249.54</v>
      </c>
      <c r="H974" s="25">
        <f>_CALC_PNL!P974</f>
        <v/>
      </c>
      <c r="I974" s="25">
        <f>IF(_CALC_PNL!E974=1,H974-G974,"")</f>
        <v/>
      </c>
    </row>
    <row r="975">
      <c r="A975" s="1" t="inlineStr">
        <is>
          <t>MBWAY_LYO</t>
        </is>
      </c>
      <c r="B975" s="1" t="inlineStr">
        <is>
          <t>6811</t>
        </is>
      </c>
      <c r="C975" s="1" t="inlineStr">
        <is>
          <t>2027</t>
        </is>
      </c>
      <c r="D975" s="1" t="inlineStr">
        <is>
          <t>V03</t>
        </is>
      </c>
      <c r="E975" s="1" t="inlineStr">
        <is>
          <t>2027BUD_V1</t>
        </is>
      </c>
      <c r="F975" s="1" t="inlineStr">
        <is>
          <t>12</t>
        </is>
      </c>
      <c r="G975" s="1" t="n">
        <v>138263.08</v>
      </c>
      <c r="H975" s="25">
        <f>_CALC_PNL!P975</f>
        <v/>
      </c>
      <c r="I975" s="25">
        <f>IF(_CALC_PNL!E975=1,H975-G975,"")</f>
        <v/>
      </c>
    </row>
    <row r="976">
      <c r="A976" s="1" t="inlineStr">
        <is>
          <t>MBWAY_NAN</t>
        </is>
      </c>
      <c r="B976" s="1" t="inlineStr">
        <is>
          <t>6811</t>
        </is>
      </c>
      <c r="C976" s="1" t="inlineStr">
        <is>
          <t>2027</t>
        </is>
      </c>
      <c r="D976" s="1" t="inlineStr">
        <is>
          <t>V01</t>
        </is>
      </c>
      <c r="E976" s="1" t="inlineStr">
        <is>
          <t>2027BUD_V1</t>
        </is>
      </c>
      <c r="F976" s="1" t="inlineStr">
        <is>
          <t>12</t>
        </is>
      </c>
      <c r="G976" s="1" t="n">
        <v>126388.2</v>
      </c>
      <c r="H976" s="25">
        <f>_CALC_PNL!P976</f>
        <v/>
      </c>
      <c r="I976" s="25">
        <f>IF(_CALC_PNL!E976=1,H976-G976,"")</f>
        <v/>
      </c>
    </row>
    <row r="977">
      <c r="A977" s="1" t="inlineStr">
        <is>
          <t>MBWAY_NAN</t>
        </is>
      </c>
      <c r="B977" s="1" t="inlineStr">
        <is>
          <t>6811</t>
        </is>
      </c>
      <c r="C977" s="1" t="inlineStr">
        <is>
          <t>2027</t>
        </is>
      </c>
      <c r="D977" s="1" t="inlineStr">
        <is>
          <t>V02</t>
        </is>
      </c>
      <c r="E977" s="1" t="inlineStr">
        <is>
          <t>2027BUD_V1</t>
        </is>
      </c>
      <c r="F977" s="1" t="inlineStr">
        <is>
          <t>12</t>
        </is>
      </c>
      <c r="G977" s="1" t="n">
        <v>125768.65</v>
      </c>
      <c r="H977" s="25">
        <f>_CALC_PNL!P977</f>
        <v/>
      </c>
      <c r="I977" s="25">
        <f>IF(_CALC_PNL!E977=1,H977-G977,"")</f>
        <v/>
      </c>
    </row>
    <row r="978">
      <c r="A978" s="1" t="inlineStr">
        <is>
          <t>MBWAY_NAN</t>
        </is>
      </c>
      <c r="B978" s="1" t="inlineStr">
        <is>
          <t>6811</t>
        </is>
      </c>
      <c r="C978" s="1" t="inlineStr">
        <is>
          <t>2027</t>
        </is>
      </c>
      <c r="D978" s="1" t="inlineStr">
        <is>
          <t>V03</t>
        </is>
      </c>
      <c r="E978" s="1" t="inlineStr">
        <is>
          <t>2027BUD_V1</t>
        </is>
      </c>
      <c r="F978" s="1" t="inlineStr">
        <is>
          <t>12</t>
        </is>
      </c>
      <c r="G978" s="1" t="n">
        <v>127627.3</v>
      </c>
      <c r="H978" s="25">
        <f>_CALC_PNL!P978</f>
        <v/>
      </c>
      <c r="I978" s="25">
        <f>IF(_CALC_PNL!E978=1,H978-G978,"")</f>
        <v/>
      </c>
    </row>
    <row r="979">
      <c r="A979" s="1" t="inlineStr">
        <is>
          <t>MBWAY_BOR</t>
        </is>
      </c>
      <c r="B979" s="1" t="inlineStr">
        <is>
          <t>6811</t>
        </is>
      </c>
      <c r="C979" s="1" t="inlineStr">
        <is>
          <t>2027</t>
        </is>
      </c>
      <c r="D979" s="1" t="inlineStr">
        <is>
          <t>V01</t>
        </is>
      </c>
      <c r="E979" s="1" t="inlineStr">
        <is>
          <t>2027BUD_V1</t>
        </is>
      </c>
      <c r="F979" s="1" t="inlineStr">
        <is>
          <t>12</t>
        </is>
      </c>
      <c r="G979" s="1" t="n">
        <v>105323.16</v>
      </c>
      <c r="H979" s="25">
        <f>_CALC_PNL!P979</f>
        <v/>
      </c>
      <c r="I979" s="25">
        <f>IF(_CALC_PNL!E979=1,H979-G979,"")</f>
        <v/>
      </c>
    </row>
    <row r="980">
      <c r="A980" s="1" t="inlineStr">
        <is>
          <t>MBWAY_BOR</t>
        </is>
      </c>
      <c r="B980" s="1" t="inlineStr">
        <is>
          <t>6811</t>
        </is>
      </c>
      <c r="C980" s="1" t="inlineStr">
        <is>
          <t>2027</t>
        </is>
      </c>
      <c r="D980" s="1" t="inlineStr">
        <is>
          <t>V02</t>
        </is>
      </c>
      <c r="E980" s="1" t="inlineStr">
        <is>
          <t>2027BUD_V1</t>
        </is>
      </c>
      <c r="F980" s="1" t="inlineStr">
        <is>
          <t>12</t>
        </is>
      </c>
      <c r="G980" s="1" t="n">
        <v>104806.87</v>
      </c>
      <c r="H980" s="25">
        <f>_CALC_PNL!P980</f>
        <v/>
      </c>
      <c r="I980" s="25">
        <f>IF(_CALC_PNL!E980=1,H980-G980,"")</f>
        <v/>
      </c>
    </row>
    <row r="981">
      <c r="A981" s="1" t="inlineStr">
        <is>
          <t>MBWAY_BOR</t>
        </is>
      </c>
      <c r="B981" s="1" t="inlineStr">
        <is>
          <t>6811</t>
        </is>
      </c>
      <c r="C981" s="1" t="inlineStr">
        <is>
          <t>2027</t>
        </is>
      </c>
      <c r="D981" s="1" t="inlineStr">
        <is>
          <t>V03</t>
        </is>
      </c>
      <c r="E981" s="1" t="inlineStr">
        <is>
          <t>2027BUD_V1</t>
        </is>
      </c>
      <c r="F981" s="1" t="inlineStr">
        <is>
          <t>12</t>
        </is>
      </c>
      <c r="G981" s="1" t="n">
        <v>106355.74</v>
      </c>
      <c r="H981" s="25">
        <f>_CALC_PNL!P981</f>
        <v/>
      </c>
      <c r="I981" s="25">
        <f>IF(_CALC_PNL!E981=1,H981-G981,"")</f>
        <v/>
      </c>
    </row>
    <row r="982">
      <c r="A982" s="1" t="inlineStr">
        <is>
          <t>ISCOM_PAR</t>
        </is>
      </c>
      <c r="B982" s="1" t="inlineStr">
        <is>
          <t>6811</t>
        </is>
      </c>
      <c r="C982" s="1" t="inlineStr">
        <is>
          <t>2027</t>
        </is>
      </c>
      <c r="D982" s="1" t="inlineStr">
        <is>
          <t>V01</t>
        </is>
      </c>
      <c r="E982" s="1" t="inlineStr">
        <is>
          <t>2027BUD_V1</t>
        </is>
      </c>
      <c r="F982" s="1" t="inlineStr">
        <is>
          <t>12</t>
        </is>
      </c>
      <c r="G982" s="1" t="n">
        <v>157984.74</v>
      </c>
      <c r="H982" s="25">
        <f>_CALC_PNL!P982</f>
        <v/>
      </c>
      <c r="I982" s="25">
        <f>IF(_CALC_PNL!E982=1,H982-G982,"")</f>
        <v/>
      </c>
    </row>
    <row r="983">
      <c r="A983" s="1" t="inlineStr">
        <is>
          <t>ISCOM_PAR</t>
        </is>
      </c>
      <c r="B983" s="1" t="inlineStr">
        <is>
          <t>6811</t>
        </is>
      </c>
      <c r="C983" s="1" t="inlineStr">
        <is>
          <t>2027</t>
        </is>
      </c>
      <c r="D983" s="1" t="inlineStr">
        <is>
          <t>V02</t>
        </is>
      </c>
      <c r="E983" s="1" t="inlineStr">
        <is>
          <t>2027BUD_V1</t>
        </is>
      </c>
      <c r="F983" s="1" t="inlineStr">
        <is>
          <t>12</t>
        </is>
      </c>
      <c r="G983" s="1" t="n">
        <v>157210.305</v>
      </c>
      <c r="H983" s="25">
        <f>_CALC_PNL!P983</f>
        <v/>
      </c>
      <c r="I983" s="25">
        <f>IF(_CALC_PNL!E983=1,H983-G983,"")</f>
        <v/>
      </c>
    </row>
    <row r="984">
      <c r="A984" s="1" t="inlineStr">
        <is>
          <t>ISCOM_PAR</t>
        </is>
      </c>
      <c r="B984" s="1" t="inlineStr">
        <is>
          <t>6811</t>
        </is>
      </c>
      <c r="C984" s="1" t="inlineStr">
        <is>
          <t>2027</t>
        </is>
      </c>
      <c r="D984" s="1" t="inlineStr">
        <is>
          <t>V03</t>
        </is>
      </c>
      <c r="E984" s="1" t="inlineStr">
        <is>
          <t>2027BUD_V1</t>
        </is>
      </c>
      <c r="F984" s="1" t="inlineStr">
        <is>
          <t>12</t>
        </is>
      </c>
      <c r="G984" s="1" t="n">
        <v>159533.61</v>
      </c>
      <c r="H984" s="25">
        <f>_CALC_PNL!P984</f>
        <v/>
      </c>
      <c r="I984" s="25">
        <f>IF(_CALC_PNL!E984=1,H984-G984,"")</f>
        <v/>
      </c>
    </row>
    <row r="985">
      <c r="A985" s="1" t="inlineStr">
        <is>
          <t>ISCOM_LIL</t>
        </is>
      </c>
      <c r="B985" s="1" t="inlineStr">
        <is>
          <t>6811</t>
        </is>
      </c>
      <c r="C985" s="1" t="inlineStr">
        <is>
          <t>2027</t>
        </is>
      </c>
      <c r="D985" s="1" t="inlineStr">
        <is>
          <t>V01</t>
        </is>
      </c>
      <c r="E985" s="1" t="inlineStr">
        <is>
          <t>2027BUD_V1</t>
        </is>
      </c>
      <c r="F985" s="1" t="inlineStr">
        <is>
          <t>12</t>
        </is>
      </c>
      <c r="G985" s="1" t="n">
        <v>105323.16</v>
      </c>
      <c r="H985" s="25">
        <f>_CALC_PNL!P985</f>
        <v/>
      </c>
      <c r="I985" s="25">
        <f>IF(_CALC_PNL!E985=1,H985-G985,"")</f>
        <v/>
      </c>
    </row>
    <row r="986">
      <c r="A986" s="1" t="inlineStr">
        <is>
          <t>ISCOM_LIL</t>
        </is>
      </c>
      <c r="B986" s="1" t="inlineStr">
        <is>
          <t>6811</t>
        </is>
      </c>
      <c r="C986" s="1" t="inlineStr">
        <is>
          <t>2027</t>
        </is>
      </c>
      <c r="D986" s="1" t="inlineStr">
        <is>
          <t>V02</t>
        </is>
      </c>
      <c r="E986" s="1" t="inlineStr">
        <is>
          <t>2027BUD_V1</t>
        </is>
      </c>
      <c r="F986" s="1" t="inlineStr">
        <is>
          <t>12</t>
        </is>
      </c>
      <c r="G986" s="1" t="n">
        <v>104806.87</v>
      </c>
      <c r="H986" s="25">
        <f>_CALC_PNL!P986</f>
        <v/>
      </c>
      <c r="I986" s="25">
        <f>IF(_CALC_PNL!E986=1,H986-G986,"")</f>
        <v/>
      </c>
    </row>
    <row r="987">
      <c r="A987" s="1" t="inlineStr">
        <is>
          <t>ISCOM_LIL</t>
        </is>
      </c>
      <c r="B987" s="1" t="inlineStr">
        <is>
          <t>6811</t>
        </is>
      </c>
      <c r="C987" s="1" t="inlineStr">
        <is>
          <t>2027</t>
        </is>
      </c>
      <c r="D987" s="1" t="inlineStr">
        <is>
          <t>V03</t>
        </is>
      </c>
      <c r="E987" s="1" t="inlineStr">
        <is>
          <t>2027BUD_V1</t>
        </is>
      </c>
      <c r="F987" s="1" t="inlineStr">
        <is>
          <t>12</t>
        </is>
      </c>
      <c r="G987" s="1" t="n">
        <v>106355.74</v>
      </c>
      <c r="H987" s="25">
        <f>_CALC_PNL!P987</f>
        <v/>
      </c>
      <c r="I987" s="25">
        <f>IF(_CALC_PNL!E987=1,H987-G987,"")</f>
        <v/>
      </c>
    </row>
    <row r="988">
      <c r="A988" s="1" t="inlineStr">
        <is>
          <t>ISCOM_TLS</t>
        </is>
      </c>
      <c r="B988" s="1" t="inlineStr">
        <is>
          <t>6811</t>
        </is>
      </c>
      <c r="C988" s="1" t="inlineStr">
        <is>
          <t>2027</t>
        </is>
      </c>
      <c r="D988" s="1" t="inlineStr">
        <is>
          <t>V01</t>
        </is>
      </c>
      <c r="E988" s="1" t="inlineStr">
        <is>
          <t>2027BUD_V1</t>
        </is>
      </c>
      <c r="F988" s="1" t="inlineStr">
        <is>
          <t>12</t>
        </is>
      </c>
      <c r="G988" s="1" t="n">
        <v>105323.16</v>
      </c>
      <c r="H988" s="25">
        <f>_CALC_PNL!P988</f>
        <v/>
      </c>
      <c r="I988" s="25">
        <f>IF(_CALC_PNL!E988=1,H988-G988,"")</f>
        <v/>
      </c>
    </row>
    <row r="989">
      <c r="A989" s="1" t="inlineStr">
        <is>
          <t>ISCOM_TLS</t>
        </is>
      </c>
      <c r="B989" s="1" t="inlineStr">
        <is>
          <t>6811</t>
        </is>
      </c>
      <c r="C989" s="1" t="inlineStr">
        <is>
          <t>2027</t>
        </is>
      </c>
      <c r="D989" s="1" t="inlineStr">
        <is>
          <t>V02</t>
        </is>
      </c>
      <c r="E989" s="1" t="inlineStr">
        <is>
          <t>2027BUD_V1</t>
        </is>
      </c>
      <c r="F989" s="1" t="inlineStr">
        <is>
          <t>12</t>
        </is>
      </c>
      <c r="G989" s="1" t="n">
        <v>104806.87</v>
      </c>
      <c r="H989" s="25">
        <f>_CALC_PNL!P989</f>
        <v/>
      </c>
      <c r="I989" s="25">
        <f>IF(_CALC_PNL!E989=1,H989-G989,"")</f>
        <v/>
      </c>
    </row>
    <row r="990">
      <c r="A990" s="1" t="inlineStr">
        <is>
          <t>ISCOM_TLS</t>
        </is>
      </c>
      <c r="B990" s="1" t="inlineStr">
        <is>
          <t>6811</t>
        </is>
      </c>
      <c r="C990" s="1" t="inlineStr">
        <is>
          <t>2027</t>
        </is>
      </c>
      <c r="D990" s="1" t="inlineStr">
        <is>
          <t>V03</t>
        </is>
      </c>
      <c r="E990" s="1" t="inlineStr">
        <is>
          <t>2027BUD_V1</t>
        </is>
      </c>
      <c r="F990" s="1" t="inlineStr">
        <is>
          <t>12</t>
        </is>
      </c>
      <c r="G990" s="1" t="n">
        <v>106355.74</v>
      </c>
      <c r="H990" s="25">
        <f>_CALC_PNL!P990</f>
        <v/>
      </c>
      <c r="I990" s="25">
        <f>IF(_CALC_PNL!E990=1,H990-G990,"")</f>
        <v/>
      </c>
    </row>
    <row r="991">
      <c r="A991" s="1" t="inlineStr">
        <is>
          <t>IPAC_NAN</t>
        </is>
      </c>
      <c r="B991" s="1" t="inlineStr">
        <is>
          <t>6811</t>
        </is>
      </c>
      <c r="C991" s="1" t="inlineStr">
        <is>
          <t>2027</t>
        </is>
      </c>
      <c r="D991" s="1" t="inlineStr">
        <is>
          <t>V01</t>
        </is>
      </c>
      <c r="E991" s="1" t="inlineStr">
        <is>
          <t>2027BUD_V1</t>
        </is>
      </c>
      <c r="F991" s="1" t="inlineStr">
        <is>
          <t>12</t>
        </is>
      </c>
      <c r="G991" s="1" t="n">
        <v>63194.1</v>
      </c>
      <c r="H991" s="25">
        <f>_CALC_PNL!P991</f>
        <v/>
      </c>
      <c r="I991" s="25">
        <f>IF(_CALC_PNL!E991=1,H991-G991,"")</f>
        <v/>
      </c>
    </row>
    <row r="992">
      <c r="A992" s="1" t="inlineStr">
        <is>
          <t>IPAC_NAN</t>
        </is>
      </c>
      <c r="B992" s="1" t="inlineStr">
        <is>
          <t>6811</t>
        </is>
      </c>
      <c r="C992" s="1" t="inlineStr">
        <is>
          <t>2027</t>
        </is>
      </c>
      <c r="D992" s="1" t="inlineStr">
        <is>
          <t>V02</t>
        </is>
      </c>
      <c r="E992" s="1" t="inlineStr">
        <is>
          <t>2027BUD_V1</t>
        </is>
      </c>
      <c r="F992" s="1" t="inlineStr">
        <is>
          <t>12</t>
        </is>
      </c>
      <c r="G992" s="1" t="n">
        <v>62884.325</v>
      </c>
      <c r="H992" s="25">
        <f>_CALC_PNL!P992</f>
        <v/>
      </c>
      <c r="I992" s="25">
        <f>IF(_CALC_PNL!E992=1,H992-G992,"")</f>
        <v/>
      </c>
    </row>
    <row r="993">
      <c r="A993" s="1" t="inlineStr">
        <is>
          <t>IPAC_NAN</t>
        </is>
      </c>
      <c r="B993" s="1" t="inlineStr">
        <is>
          <t>6811</t>
        </is>
      </c>
      <c r="C993" s="1" t="inlineStr">
        <is>
          <t>2027</t>
        </is>
      </c>
      <c r="D993" s="1" t="inlineStr">
        <is>
          <t>V03</t>
        </is>
      </c>
      <c r="E993" s="1" t="inlineStr">
        <is>
          <t>2027BUD_V1</t>
        </is>
      </c>
      <c r="F993" s="1" t="inlineStr">
        <is>
          <t>12</t>
        </is>
      </c>
      <c r="G993" s="1" t="n">
        <v>63813.65</v>
      </c>
      <c r="H993" s="25">
        <f>_CALC_PNL!P993</f>
        <v/>
      </c>
      <c r="I993" s="25">
        <f>IF(_CALC_PNL!E993=1,H993-G993,"")</f>
        <v/>
      </c>
    </row>
    <row r="994">
      <c r="A994" s="1" t="inlineStr">
        <is>
          <t>IPAC_REN</t>
        </is>
      </c>
      <c r="B994" s="1" t="inlineStr">
        <is>
          <t>6811</t>
        </is>
      </c>
      <c r="C994" s="1" t="inlineStr">
        <is>
          <t>2027</t>
        </is>
      </c>
      <c r="D994" s="1" t="inlineStr">
        <is>
          <t>V01</t>
        </is>
      </c>
      <c r="E994" s="1" t="inlineStr">
        <is>
          <t>2027BUD_V1</t>
        </is>
      </c>
      <c r="F994" s="1" t="inlineStr">
        <is>
          <t>12</t>
        </is>
      </c>
      <c r="G994" s="1" t="n">
        <v>63194.1</v>
      </c>
      <c r="H994" s="25">
        <f>_CALC_PNL!P994</f>
        <v/>
      </c>
      <c r="I994" s="25">
        <f>IF(_CALC_PNL!E994=1,H994-G994,"")</f>
        <v/>
      </c>
    </row>
    <row r="995">
      <c r="A995" s="1" t="inlineStr">
        <is>
          <t>IPAC_REN</t>
        </is>
      </c>
      <c r="B995" s="1" t="inlineStr">
        <is>
          <t>6811</t>
        </is>
      </c>
      <c r="C995" s="1" t="inlineStr">
        <is>
          <t>2027</t>
        </is>
      </c>
      <c r="D995" s="1" t="inlineStr">
        <is>
          <t>V02</t>
        </is>
      </c>
      <c r="E995" s="1" t="inlineStr">
        <is>
          <t>2027BUD_V1</t>
        </is>
      </c>
      <c r="F995" s="1" t="inlineStr">
        <is>
          <t>12</t>
        </is>
      </c>
      <c r="G995" s="1" t="n">
        <v>62884.325</v>
      </c>
      <c r="H995" s="25">
        <f>_CALC_PNL!P995</f>
        <v/>
      </c>
      <c r="I995" s="25">
        <f>IF(_CALC_PNL!E995=1,H995-G995,"")</f>
        <v/>
      </c>
    </row>
    <row r="996">
      <c r="A996" s="1" t="inlineStr">
        <is>
          <t>IPAC_REN</t>
        </is>
      </c>
      <c r="B996" s="1" t="inlineStr">
        <is>
          <t>6811</t>
        </is>
      </c>
      <c r="C996" s="1" t="inlineStr">
        <is>
          <t>2027</t>
        </is>
      </c>
      <c r="D996" s="1" t="inlineStr">
        <is>
          <t>V03</t>
        </is>
      </c>
      <c r="E996" s="1" t="inlineStr">
        <is>
          <t>2027BUD_V1</t>
        </is>
      </c>
      <c r="F996" s="1" t="inlineStr">
        <is>
          <t>12</t>
        </is>
      </c>
      <c r="G996" s="1" t="n">
        <v>63813.65</v>
      </c>
      <c r="H996" s="25">
        <f>_CALC_PNL!P996</f>
        <v/>
      </c>
      <c r="I996" s="25">
        <f>IF(_CALC_PNL!E996=1,H996-G996,"")</f>
        <v/>
      </c>
    </row>
    <row r="997">
      <c r="A997" s="1" t="inlineStr">
        <is>
          <t>IPAC_MTP</t>
        </is>
      </c>
      <c r="B997" s="1" t="inlineStr">
        <is>
          <t>6811</t>
        </is>
      </c>
      <c r="C997" s="1" t="inlineStr">
        <is>
          <t>2027</t>
        </is>
      </c>
      <c r="D997" s="1" t="inlineStr">
        <is>
          <t>V01</t>
        </is>
      </c>
      <c r="E997" s="1" t="inlineStr">
        <is>
          <t>2027BUD_V1</t>
        </is>
      </c>
      <c r="F997" s="1" t="inlineStr">
        <is>
          <t>12</t>
        </is>
      </c>
      <c r="G997" s="1" t="n">
        <v>63194.1</v>
      </c>
      <c r="H997" s="25">
        <f>_CALC_PNL!P997</f>
        <v/>
      </c>
      <c r="I997" s="25">
        <f>IF(_CALC_PNL!E997=1,H997-G997,"")</f>
        <v/>
      </c>
    </row>
    <row r="998">
      <c r="A998" s="1" t="inlineStr">
        <is>
          <t>IPAC_MTP</t>
        </is>
      </c>
      <c r="B998" s="1" t="inlineStr">
        <is>
          <t>6811</t>
        </is>
      </c>
      <c r="C998" s="1" t="inlineStr">
        <is>
          <t>2027</t>
        </is>
      </c>
      <c r="D998" s="1" t="inlineStr">
        <is>
          <t>V02</t>
        </is>
      </c>
      <c r="E998" s="1" t="inlineStr">
        <is>
          <t>2027BUD_V1</t>
        </is>
      </c>
      <c r="F998" s="1" t="inlineStr">
        <is>
          <t>12</t>
        </is>
      </c>
      <c r="G998" s="1" t="n">
        <v>62884.325</v>
      </c>
      <c r="H998" s="25">
        <f>_CALC_PNL!P998</f>
        <v/>
      </c>
      <c r="I998" s="25">
        <f>IF(_CALC_PNL!E998=1,H998-G998,"")</f>
        <v/>
      </c>
    </row>
    <row r="999">
      <c r="A999" s="1" t="inlineStr">
        <is>
          <t>IPAC_MTP</t>
        </is>
      </c>
      <c r="B999" s="1" t="inlineStr">
        <is>
          <t>6811</t>
        </is>
      </c>
      <c r="C999" s="1" t="inlineStr">
        <is>
          <t>2027</t>
        </is>
      </c>
      <c r="D999" s="1" t="inlineStr">
        <is>
          <t>V03</t>
        </is>
      </c>
      <c r="E999" s="1" t="inlineStr">
        <is>
          <t>2027BUD_V1</t>
        </is>
      </c>
      <c r="F999" s="1" t="inlineStr">
        <is>
          <t>12</t>
        </is>
      </c>
      <c r="G999" s="1" t="n">
        <v>63813.65</v>
      </c>
      <c r="H999" s="25">
        <f>_CALC_PNL!P999</f>
        <v/>
      </c>
      <c r="I999" s="25">
        <f>IF(_CALC_PNL!E999=1,H999-G999,"")</f>
        <v/>
      </c>
    </row>
    <row r="1000">
      <c r="A1000" s="1" t="inlineStr">
        <is>
          <t>PIGIER_LYO</t>
        </is>
      </c>
      <c r="B1000" s="1" t="inlineStr">
        <is>
          <t>6811</t>
        </is>
      </c>
      <c r="C1000" s="1" t="inlineStr">
        <is>
          <t>2027</t>
        </is>
      </c>
      <c r="D1000" s="1" t="inlineStr">
        <is>
          <t>V01</t>
        </is>
      </c>
      <c r="E1000" s="1" t="inlineStr">
        <is>
          <t>2027BUD_V1</t>
        </is>
      </c>
      <c r="F1000" s="1" t="inlineStr">
        <is>
          <t>12</t>
        </is>
      </c>
      <c r="G1000" s="1" t="n">
        <v>84259.14</v>
      </c>
      <c r="H1000" s="25">
        <f>_CALC_PNL!P1000</f>
        <v/>
      </c>
      <c r="I1000" s="25">
        <f>IF(_CALC_PNL!E1000=1,H1000-G1000,"")</f>
        <v/>
      </c>
    </row>
    <row r="1001">
      <c r="A1001" s="1" t="inlineStr">
        <is>
          <t>PIGIER_LYO</t>
        </is>
      </c>
      <c r="B1001" s="1" t="inlineStr">
        <is>
          <t>6811</t>
        </is>
      </c>
      <c r="C1001" s="1" t="inlineStr">
        <is>
          <t>2027</t>
        </is>
      </c>
      <c r="D1001" s="1" t="inlineStr">
        <is>
          <t>V02</t>
        </is>
      </c>
      <c r="E1001" s="1" t="inlineStr">
        <is>
          <t>2027BUD_V1</t>
        </is>
      </c>
      <c r="F1001" s="1" t="inlineStr">
        <is>
          <t>12</t>
        </is>
      </c>
      <c r="G1001" s="1" t="n">
        <v>83846.105</v>
      </c>
      <c r="H1001" s="25">
        <f>_CALC_PNL!P1001</f>
        <v/>
      </c>
      <c r="I1001" s="25">
        <f>IF(_CALC_PNL!E1001=1,H1001-G1001,"")</f>
        <v/>
      </c>
    </row>
    <row r="1002">
      <c r="A1002" s="1" t="inlineStr">
        <is>
          <t>PIGIER_LYO</t>
        </is>
      </c>
      <c r="B1002" s="1" t="inlineStr">
        <is>
          <t>6811</t>
        </is>
      </c>
      <c r="C1002" s="1" t="inlineStr">
        <is>
          <t>2027</t>
        </is>
      </c>
      <c r="D1002" s="1" t="inlineStr">
        <is>
          <t>V03</t>
        </is>
      </c>
      <c r="E1002" s="1" t="inlineStr">
        <is>
          <t>2027BUD_V1</t>
        </is>
      </c>
      <c r="F1002" s="1" t="inlineStr">
        <is>
          <t>12</t>
        </is>
      </c>
      <c r="G1002" s="1" t="n">
        <v>85085.21000000001</v>
      </c>
      <c r="H1002" s="25">
        <f>_CALC_PNL!P1002</f>
        <v/>
      </c>
      <c r="I1002" s="25">
        <f>IF(_CALC_PNL!E1002=1,H1002-G1002,"")</f>
        <v/>
      </c>
    </row>
    <row r="1003">
      <c r="A1003" s="1" t="inlineStr">
        <is>
          <t>PIGIER_BOR</t>
        </is>
      </c>
      <c r="B1003" s="1" t="inlineStr">
        <is>
          <t>6811</t>
        </is>
      </c>
      <c r="C1003" s="1" t="inlineStr">
        <is>
          <t>2027</t>
        </is>
      </c>
      <c r="D1003" s="1" t="inlineStr">
        <is>
          <t>V01</t>
        </is>
      </c>
      <c r="E1003" s="1" t="inlineStr">
        <is>
          <t>2027BUD_V1</t>
        </is>
      </c>
      <c r="F1003" s="1" t="inlineStr">
        <is>
          <t>12</t>
        </is>
      </c>
      <c r="G1003" s="1" t="n">
        <v>84259.14</v>
      </c>
      <c r="H1003" s="25">
        <f>_CALC_PNL!P1003</f>
        <v/>
      </c>
      <c r="I1003" s="25">
        <f>IF(_CALC_PNL!E1003=1,H1003-G1003,"")</f>
        <v/>
      </c>
    </row>
    <row r="1004">
      <c r="A1004" s="1" t="inlineStr">
        <is>
          <t>PIGIER_BOR</t>
        </is>
      </c>
      <c r="B1004" s="1" t="inlineStr">
        <is>
          <t>6811</t>
        </is>
      </c>
      <c r="C1004" s="1" t="inlineStr">
        <is>
          <t>2027</t>
        </is>
      </c>
      <c r="D1004" s="1" t="inlineStr">
        <is>
          <t>V02</t>
        </is>
      </c>
      <c r="E1004" s="1" t="inlineStr">
        <is>
          <t>2027BUD_V1</t>
        </is>
      </c>
      <c r="F1004" s="1" t="inlineStr">
        <is>
          <t>12</t>
        </is>
      </c>
      <c r="G1004" s="1" t="n">
        <v>83846.105</v>
      </c>
      <c r="H1004" s="25">
        <f>_CALC_PNL!P1004</f>
        <v/>
      </c>
      <c r="I1004" s="25">
        <f>IF(_CALC_PNL!E1004=1,H1004-G1004,"")</f>
        <v/>
      </c>
    </row>
    <row r="1005">
      <c r="A1005" s="1" t="inlineStr">
        <is>
          <t>PIGIER_BOR</t>
        </is>
      </c>
      <c r="B1005" s="1" t="inlineStr">
        <is>
          <t>6811</t>
        </is>
      </c>
      <c r="C1005" s="1" t="inlineStr">
        <is>
          <t>2027</t>
        </is>
      </c>
      <c r="D1005" s="1" t="inlineStr">
        <is>
          <t>V03</t>
        </is>
      </c>
      <c r="E1005" s="1" t="inlineStr">
        <is>
          <t>2027BUD_V1</t>
        </is>
      </c>
      <c r="F1005" s="1" t="inlineStr">
        <is>
          <t>12</t>
        </is>
      </c>
      <c r="G1005" s="1" t="n">
        <v>85085.21000000001</v>
      </c>
      <c r="H1005" s="25">
        <f>_CALC_PNL!P1005</f>
        <v/>
      </c>
      <c r="I1005" s="25">
        <f>IF(_CALC_PNL!E1005=1,H1005-G1005,"")</f>
        <v/>
      </c>
    </row>
    <row r="1006">
      <c r="A1006" s="1" t="inlineStr">
        <is>
          <t>TUNON_PAR</t>
        </is>
      </c>
      <c r="B1006" s="1" t="inlineStr">
        <is>
          <t>6811</t>
        </is>
      </c>
      <c r="C1006" s="1" t="inlineStr">
        <is>
          <t>2027</t>
        </is>
      </c>
      <c r="D1006" s="1" t="inlineStr">
        <is>
          <t>V01</t>
        </is>
      </c>
      <c r="E1006" s="1" t="inlineStr">
        <is>
          <t>2027BUD_V1</t>
        </is>
      </c>
      <c r="F1006" s="1" t="inlineStr">
        <is>
          <t>12</t>
        </is>
      </c>
      <c r="G1006" s="1" t="n">
        <v>63194.1</v>
      </c>
      <c r="H1006" s="25">
        <f>_CALC_PNL!P1006</f>
        <v/>
      </c>
      <c r="I1006" s="25">
        <f>IF(_CALC_PNL!E1006=1,H1006-G1006,"")</f>
        <v/>
      </c>
    </row>
    <row r="1007">
      <c r="A1007" s="1" t="inlineStr">
        <is>
          <t>TUNON_PAR</t>
        </is>
      </c>
      <c r="B1007" s="1" t="inlineStr">
        <is>
          <t>6811</t>
        </is>
      </c>
      <c r="C1007" s="1" t="inlineStr">
        <is>
          <t>2027</t>
        </is>
      </c>
      <c r="D1007" s="1" t="inlineStr">
        <is>
          <t>V02</t>
        </is>
      </c>
      <c r="E1007" s="1" t="inlineStr">
        <is>
          <t>2027BUD_V1</t>
        </is>
      </c>
      <c r="F1007" s="1" t="inlineStr">
        <is>
          <t>12</t>
        </is>
      </c>
      <c r="G1007" s="1" t="n">
        <v>62884.325</v>
      </c>
      <c r="H1007" s="25">
        <f>_CALC_PNL!P1007</f>
        <v/>
      </c>
      <c r="I1007" s="25">
        <f>IF(_CALC_PNL!E1007=1,H1007-G1007,"")</f>
        <v/>
      </c>
    </row>
    <row r="1008">
      <c r="A1008" s="1" t="inlineStr">
        <is>
          <t>TUNON_PAR</t>
        </is>
      </c>
      <c r="B1008" s="1" t="inlineStr">
        <is>
          <t>6811</t>
        </is>
      </c>
      <c r="C1008" s="1" t="inlineStr">
        <is>
          <t>2027</t>
        </is>
      </c>
      <c r="D1008" s="1" t="inlineStr">
        <is>
          <t>V03</t>
        </is>
      </c>
      <c r="E1008" s="1" t="inlineStr">
        <is>
          <t>2027BUD_V1</t>
        </is>
      </c>
      <c r="F1008" s="1" t="inlineStr">
        <is>
          <t>12</t>
        </is>
      </c>
      <c r="G1008" s="1" t="n">
        <v>63813.65</v>
      </c>
      <c r="H1008" s="25">
        <f>_CALC_PNL!P1008</f>
        <v/>
      </c>
      <c r="I1008" s="25">
        <f>IF(_CALC_PNL!E1008=1,H1008-G1008,"")</f>
        <v/>
      </c>
    </row>
    <row r="1009">
      <c r="A1009" s="1" t="inlineStr">
        <is>
          <t>TUNON_LYO</t>
        </is>
      </c>
      <c r="B1009" s="1" t="inlineStr">
        <is>
          <t>6811</t>
        </is>
      </c>
      <c r="C1009" s="1" t="inlineStr">
        <is>
          <t>2027</t>
        </is>
      </c>
      <c r="D1009" s="1" t="inlineStr">
        <is>
          <t>V01</t>
        </is>
      </c>
      <c r="E1009" s="1" t="inlineStr">
        <is>
          <t>2027BUD_V1</t>
        </is>
      </c>
      <c r="F1009" s="1" t="inlineStr">
        <is>
          <t>12</t>
        </is>
      </c>
      <c r="G1009" s="1" t="n">
        <v>63194.1</v>
      </c>
      <c r="H1009" s="25">
        <f>_CALC_PNL!P1009</f>
        <v/>
      </c>
      <c r="I1009" s="25">
        <f>IF(_CALC_PNL!E1009=1,H1009-G1009,"")</f>
        <v/>
      </c>
    </row>
    <row r="1010">
      <c r="A1010" s="1" t="inlineStr">
        <is>
          <t>TUNON_LYO</t>
        </is>
      </c>
      <c r="B1010" s="1" t="inlineStr">
        <is>
          <t>6811</t>
        </is>
      </c>
      <c r="C1010" s="1" t="inlineStr">
        <is>
          <t>2027</t>
        </is>
      </c>
      <c r="D1010" s="1" t="inlineStr">
        <is>
          <t>V02</t>
        </is>
      </c>
      <c r="E1010" s="1" t="inlineStr">
        <is>
          <t>2027BUD_V1</t>
        </is>
      </c>
      <c r="F1010" s="1" t="inlineStr">
        <is>
          <t>12</t>
        </is>
      </c>
      <c r="G1010" s="1" t="n">
        <v>62884.325</v>
      </c>
      <c r="H1010" s="25">
        <f>_CALC_PNL!P1010</f>
        <v/>
      </c>
      <c r="I1010" s="25">
        <f>IF(_CALC_PNL!E1010=1,H1010-G1010,"")</f>
        <v/>
      </c>
    </row>
    <row r="1011">
      <c r="A1011" s="1" t="inlineStr">
        <is>
          <t>TUNON_LYO</t>
        </is>
      </c>
      <c r="B1011" s="1" t="inlineStr">
        <is>
          <t>6811</t>
        </is>
      </c>
      <c r="C1011" s="1" t="inlineStr">
        <is>
          <t>2027</t>
        </is>
      </c>
      <c r="D1011" s="1" t="inlineStr">
        <is>
          <t>V03</t>
        </is>
      </c>
      <c r="E1011" s="1" t="inlineStr">
        <is>
          <t>2027BUD_V1</t>
        </is>
      </c>
      <c r="F1011" s="1" t="inlineStr">
        <is>
          <t>12</t>
        </is>
      </c>
      <c r="G1011" s="1" t="n">
        <v>63813.65</v>
      </c>
      <c r="H1011" s="25">
        <f>_CALC_PNL!P1011</f>
        <v/>
      </c>
      <c r="I1011" s="25">
        <f>IF(_CALC_PNL!E1011=1,H1011-G1011,"")</f>
        <v/>
      </c>
    </row>
    <row r="1012">
      <c r="A1012" s="1" t="inlineStr">
        <is>
          <t>MBWAY_PAR</t>
        </is>
      </c>
      <c r="B1012" s="1" t="inlineStr">
        <is>
          <t>7062</t>
        </is>
      </c>
      <c r="C1012" s="1" t="inlineStr">
        <is>
          <t>2027</t>
        </is>
      </c>
      <c r="D1012" s="1" t="inlineStr">
        <is>
          <t>V01</t>
        </is>
      </c>
      <c r="E1012" s="1" t="inlineStr">
        <is>
          <t>2027BUD_V1</t>
        </is>
      </c>
      <c r="F1012" s="1" t="inlineStr">
        <is>
          <t>12</t>
        </is>
      </c>
      <c r="G1012" s="1" t="n">
        <v>2642266.64392793</v>
      </c>
      <c r="H1012" s="25">
        <f>_CALC_PNL!P1012</f>
        <v/>
      </c>
      <c r="I1012" s="25">
        <f>IF(_CALC_PNL!E1012=1,H1012-G1012,"")</f>
        <v/>
      </c>
    </row>
    <row r="1013">
      <c r="A1013" s="1" t="inlineStr">
        <is>
          <t>MBWAY_PAR</t>
        </is>
      </c>
      <c r="B1013" s="1" t="inlineStr">
        <is>
          <t>7062</t>
        </is>
      </c>
      <c r="C1013" s="1" t="inlineStr">
        <is>
          <t>2027</t>
        </is>
      </c>
      <c r="D1013" s="1" t="inlineStr">
        <is>
          <t>V02</t>
        </is>
      </c>
      <c r="E1013" s="1" t="inlineStr">
        <is>
          <t>2027BUD_V1</t>
        </is>
      </c>
      <c r="F1013" s="1" t="inlineStr">
        <is>
          <t>12</t>
        </is>
      </c>
      <c r="G1013" s="1" t="n">
        <v>2881840.071346413</v>
      </c>
      <c r="H1013" s="25">
        <f>_CALC_PNL!P1013</f>
        <v/>
      </c>
      <c r="I1013" s="25">
        <f>IF(_CALC_PNL!E1013=1,H1013-G1013,"")</f>
        <v/>
      </c>
    </row>
    <row r="1014">
      <c r="A1014" s="1" t="inlineStr">
        <is>
          <t>MBWAY_PAR</t>
        </is>
      </c>
      <c r="B1014" s="1" t="inlineStr">
        <is>
          <t>7062</t>
        </is>
      </c>
      <c r="C1014" s="1" t="inlineStr">
        <is>
          <t>2027</t>
        </is>
      </c>
      <c r="D1014" s="1" t="inlineStr">
        <is>
          <t>V03</t>
        </is>
      </c>
      <c r="E1014" s="1" t="inlineStr">
        <is>
          <t>2027BUD_V1</t>
        </is>
      </c>
      <c r="F1014" s="1" t="inlineStr">
        <is>
          <t>12</t>
        </is>
      </c>
      <c r="G1014" s="1" t="n">
        <v>2486844.667838484</v>
      </c>
      <c r="H1014" s="25">
        <f>_CALC_PNL!P1014</f>
        <v/>
      </c>
      <c r="I1014" s="25">
        <f>IF(_CALC_PNL!E1014=1,H1014-G1014,"")</f>
        <v/>
      </c>
    </row>
    <row r="1015">
      <c r="A1015" s="1" t="inlineStr">
        <is>
          <t>MBWAY_LYO</t>
        </is>
      </c>
      <c r="B1015" s="1" t="inlineStr">
        <is>
          <t>7062</t>
        </is>
      </c>
      <c r="C1015" s="1" t="inlineStr">
        <is>
          <t>2027</t>
        </is>
      </c>
      <c r="D1015" s="1" t="inlineStr">
        <is>
          <t>V01</t>
        </is>
      </c>
      <c r="E1015" s="1" t="inlineStr">
        <is>
          <t>2027BUD_V1</t>
        </is>
      </c>
      <c r="F1015" s="1" t="inlineStr">
        <is>
          <t>12</t>
        </is>
      </c>
      <c r="G1015" s="1" t="n">
        <v>2102466.846986021</v>
      </c>
      <c r="H1015" s="25">
        <f>_CALC_PNL!P1015</f>
        <v/>
      </c>
      <c r="I1015" s="25">
        <f>IF(_CALC_PNL!E1015=1,H1015-G1015,"")</f>
        <v/>
      </c>
    </row>
    <row r="1016">
      <c r="A1016" s="1" t="inlineStr">
        <is>
          <t>MBWAY_LYO</t>
        </is>
      </c>
      <c r="B1016" s="1" t="inlineStr">
        <is>
          <t>7062</t>
        </is>
      </c>
      <c r="C1016" s="1" t="inlineStr">
        <is>
          <t>2027</t>
        </is>
      </c>
      <c r="D1016" s="1" t="inlineStr">
        <is>
          <t>V02</t>
        </is>
      </c>
      <c r="E1016" s="1" t="inlineStr">
        <is>
          <t>2027BUD_V1</t>
        </is>
      </c>
      <c r="F1016" s="1" t="inlineStr">
        <is>
          <t>12</t>
        </is>
      </c>
      <c r="G1016" s="1" t="n">
        <v>2293096.808471434</v>
      </c>
      <c r="H1016" s="25">
        <f>_CALC_PNL!P1016</f>
        <v/>
      </c>
      <c r="I1016" s="25">
        <f>IF(_CALC_PNL!E1016=1,H1016-G1016,"")</f>
        <v/>
      </c>
    </row>
    <row r="1017">
      <c r="A1017" s="1" t="inlineStr">
        <is>
          <t>MBWAY_LYO</t>
        </is>
      </c>
      <c r="B1017" s="1" t="inlineStr">
        <is>
          <t>7062</t>
        </is>
      </c>
      <c r="C1017" s="1" t="inlineStr">
        <is>
          <t>2027</t>
        </is>
      </c>
      <c r="D1017" s="1" t="inlineStr">
        <is>
          <t>V03</t>
        </is>
      </c>
      <c r="E1017" s="1" t="inlineStr">
        <is>
          <t>2027BUD_V1</t>
        </is>
      </c>
      <c r="F1017" s="1" t="inlineStr">
        <is>
          <t>12</t>
        </is>
      </c>
      <c r="G1017" s="1" t="n">
        <v>1978796.681913148</v>
      </c>
      <c r="H1017" s="25">
        <f>_CALC_PNL!P1017</f>
        <v/>
      </c>
      <c r="I1017" s="25">
        <f>IF(_CALC_PNL!E1017=1,H1017-G1017,"")</f>
        <v/>
      </c>
    </row>
    <row r="1018">
      <c r="A1018" s="1" t="inlineStr">
        <is>
          <t>MBWAY_NAN</t>
        </is>
      </c>
      <c r="B1018" s="1" t="inlineStr">
        <is>
          <t>7062</t>
        </is>
      </c>
      <c r="C1018" s="1" t="inlineStr">
        <is>
          <t>2027</t>
        </is>
      </c>
      <c r="D1018" s="1" t="inlineStr">
        <is>
          <t>V01</t>
        </is>
      </c>
      <c r="E1018" s="1" t="inlineStr">
        <is>
          <t>2027BUD_V1</t>
        </is>
      </c>
      <c r="F1018" s="1" t="inlineStr">
        <is>
          <t>12</t>
        </is>
      </c>
      <c r="G1018" s="1" t="n">
        <v>1816183.846804204</v>
      </c>
      <c r="H1018" s="25">
        <f>_CALC_PNL!P1018</f>
        <v/>
      </c>
      <c r="I1018" s="25">
        <f>IF(_CALC_PNL!E1018=1,H1018-G1018,"")</f>
        <v/>
      </c>
    </row>
    <row r="1019">
      <c r="A1019" s="1" t="inlineStr">
        <is>
          <t>MBWAY_NAN</t>
        </is>
      </c>
      <c r="B1019" s="1" t="inlineStr">
        <is>
          <t>7062</t>
        </is>
      </c>
      <c r="C1019" s="1" t="inlineStr">
        <is>
          <t>2027</t>
        </is>
      </c>
      <c r="D1019" s="1" t="inlineStr">
        <is>
          <t>V02</t>
        </is>
      </c>
      <c r="E1019" s="1" t="inlineStr">
        <is>
          <t>2027BUD_V1</t>
        </is>
      </c>
      <c r="F1019" s="1" t="inlineStr">
        <is>
          <t>12</t>
        </is>
      </c>
      <c r="G1019" s="1" t="n">
        <v>1980856.625004266</v>
      </c>
      <c r="H1019" s="25">
        <f>_CALC_PNL!P1019</f>
        <v/>
      </c>
      <c r="I1019" s="25">
        <f>IF(_CALC_PNL!E1019=1,H1019-G1019,"")</f>
        <v/>
      </c>
    </row>
    <row r="1020">
      <c r="A1020" s="1" t="inlineStr">
        <is>
          <t>MBWAY_NAN</t>
        </is>
      </c>
      <c r="B1020" s="1" t="inlineStr">
        <is>
          <t>7062</t>
        </is>
      </c>
      <c r="C1020" s="1" t="inlineStr">
        <is>
          <t>2027</t>
        </is>
      </c>
      <c r="D1020" s="1" t="inlineStr">
        <is>
          <t>V03</t>
        </is>
      </c>
      <c r="E1020" s="1" t="inlineStr">
        <is>
          <t>2027BUD_V1</t>
        </is>
      </c>
      <c r="F1020" s="1" t="inlineStr">
        <is>
          <t>12</t>
        </is>
      </c>
      <c r="G1020" s="1" t="n">
        <v>1709353.265166758</v>
      </c>
      <c r="H1020" s="25">
        <f>_CALC_PNL!P1020</f>
        <v/>
      </c>
      <c r="I1020" s="25">
        <f>IF(_CALC_PNL!E1020=1,H1020-G1020,"")</f>
        <v/>
      </c>
    </row>
    <row r="1021">
      <c r="A1021" s="1" t="inlineStr">
        <is>
          <t>MBWAY_BOR</t>
        </is>
      </c>
      <c r="B1021" s="1" t="inlineStr">
        <is>
          <t>7062</t>
        </is>
      </c>
      <c r="C1021" s="1" t="inlineStr">
        <is>
          <t>2027</t>
        </is>
      </c>
      <c r="D1021" s="1" t="inlineStr">
        <is>
          <t>V01</t>
        </is>
      </c>
      <c r="E1021" s="1" t="inlineStr">
        <is>
          <t>2027BUD_V1</t>
        </is>
      </c>
      <c r="F1021" s="1" t="inlineStr">
        <is>
          <t>12</t>
        </is>
      </c>
      <c r="G1021" s="1" t="n">
        <v>1490827.483390994</v>
      </c>
      <c r="H1021" s="25">
        <f>_CALC_PNL!P1021</f>
        <v/>
      </c>
      <c r="I1021" s="25">
        <f>IF(_CALC_PNL!E1021=1,H1021-G1021,"")</f>
        <v/>
      </c>
    </row>
    <row r="1022">
      <c r="A1022" s="1" t="inlineStr">
        <is>
          <t>MBWAY_BOR</t>
        </is>
      </c>
      <c r="B1022" s="1" t="inlineStr">
        <is>
          <t>7062</t>
        </is>
      </c>
      <c r="C1022" s="1" t="inlineStr">
        <is>
          <t>2027</t>
        </is>
      </c>
      <c r="D1022" s="1" t="inlineStr">
        <is>
          <t>V02</t>
        </is>
      </c>
      <c r="E1022" s="1" t="inlineStr">
        <is>
          <t>2027BUD_V1</t>
        </is>
      </c>
      <c r="F1022" s="1" t="inlineStr">
        <is>
          <t>12</t>
        </is>
      </c>
      <c r="G1022" s="1" t="n">
        <v>1626000.309610645</v>
      </c>
      <c r="H1022" s="25">
        <f>_CALC_PNL!P1022</f>
        <v/>
      </c>
      <c r="I1022" s="25">
        <f>IF(_CALC_PNL!E1022=1,H1022-G1022,"")</f>
        <v/>
      </c>
    </row>
    <row r="1023">
      <c r="A1023" s="1" t="inlineStr">
        <is>
          <t>MBWAY_BOR</t>
        </is>
      </c>
      <c r="B1023" s="1" t="inlineStr">
        <is>
          <t>7062</t>
        </is>
      </c>
      <c r="C1023" s="1" t="inlineStr">
        <is>
          <t>2027</t>
        </is>
      </c>
      <c r="D1023" s="1" t="inlineStr">
        <is>
          <t>V03</t>
        </is>
      </c>
      <c r="E1023" s="1" t="inlineStr">
        <is>
          <t>2027BUD_V1</t>
        </is>
      </c>
      <c r="F1023" s="1" t="inlineStr">
        <is>
          <t>12</t>
        </is>
      </c>
      <c r="G1023" s="1" t="n">
        <v>1403134.837378314</v>
      </c>
      <c r="H1023" s="25">
        <f>_CALC_PNL!P1023</f>
        <v/>
      </c>
      <c r="I1023" s="25">
        <f>IF(_CALC_PNL!E1023=1,H1023-G1023,"")</f>
        <v/>
      </c>
    </row>
    <row r="1024">
      <c r="A1024" s="1" t="inlineStr">
        <is>
          <t>ISCOM_PAR</t>
        </is>
      </c>
      <c r="B1024" s="1" t="inlineStr">
        <is>
          <t>7062</t>
        </is>
      </c>
      <c r="C1024" s="1" t="inlineStr">
        <is>
          <t>2027</t>
        </is>
      </c>
      <c r="D1024" s="1" t="inlineStr">
        <is>
          <t>V01</t>
        </is>
      </c>
      <c r="E1024" s="1" t="inlineStr">
        <is>
          <t>2027BUD_V1</t>
        </is>
      </c>
      <c r="F1024" s="1" t="inlineStr">
        <is>
          <t>12</t>
        </is>
      </c>
      <c r="G1024" s="1" t="n">
        <v>2451136.698482804</v>
      </c>
      <c r="H1024" s="25">
        <f>_CALC_PNL!P1024</f>
        <v/>
      </c>
      <c r="I1024" s="25">
        <f>IF(_CALC_PNL!E1024=1,H1024-G1024,"")</f>
        <v/>
      </c>
    </row>
    <row r="1025">
      <c r="A1025" s="1" t="inlineStr">
        <is>
          <t>ISCOM_PAR</t>
        </is>
      </c>
      <c r="B1025" s="1" t="inlineStr">
        <is>
          <t>7062</t>
        </is>
      </c>
      <c r="C1025" s="1" t="inlineStr">
        <is>
          <t>2027</t>
        </is>
      </c>
      <c r="D1025" s="1" t="inlineStr">
        <is>
          <t>V02</t>
        </is>
      </c>
      <c r="E1025" s="1" t="inlineStr">
        <is>
          <t>2027BUD_V1</t>
        </is>
      </c>
      <c r="F1025" s="1" t="inlineStr">
        <is>
          <t>12</t>
        </is>
      </c>
      <c r="G1025" s="1" t="n">
        <v>2673380.438067614</v>
      </c>
      <c r="H1025" s="25">
        <f>_CALC_PNL!P1025</f>
        <v/>
      </c>
      <c r="I1025" s="25">
        <f>IF(_CALC_PNL!E1025=1,H1025-G1025,"")</f>
        <v/>
      </c>
    </row>
    <row r="1026">
      <c r="A1026" s="1" t="inlineStr">
        <is>
          <t>ISCOM_PAR</t>
        </is>
      </c>
      <c r="B1026" s="1" t="inlineStr">
        <is>
          <t>7062</t>
        </is>
      </c>
      <c r="C1026" s="1" t="inlineStr">
        <is>
          <t>2027</t>
        </is>
      </c>
      <c r="D1026" s="1" t="inlineStr">
        <is>
          <t>V03</t>
        </is>
      </c>
      <c r="E1026" s="1" t="inlineStr">
        <is>
          <t>2027BUD_V1</t>
        </is>
      </c>
      <c r="F1026" s="1" t="inlineStr">
        <is>
          <t>12</t>
        </is>
      </c>
      <c r="G1026" s="1" t="n">
        <v>2306957.264427945</v>
      </c>
      <c r="H1026" s="25">
        <f>_CALC_PNL!P1026</f>
        <v/>
      </c>
      <c r="I1026" s="25">
        <f>IF(_CALC_PNL!E1026=1,H1026-G1026,"")</f>
        <v/>
      </c>
    </row>
    <row r="1027">
      <c r="A1027" s="1" t="inlineStr">
        <is>
          <t>ISCOM_LIL</t>
        </is>
      </c>
      <c r="B1027" s="1" t="inlineStr">
        <is>
          <t>7062</t>
        </is>
      </c>
      <c r="C1027" s="1" t="inlineStr">
        <is>
          <t>2027</t>
        </is>
      </c>
      <c r="D1027" s="1" t="inlineStr">
        <is>
          <t>V01</t>
        </is>
      </c>
      <c r="E1027" s="1" t="inlineStr">
        <is>
          <t>2027BUD_V1</t>
        </is>
      </c>
      <c r="F1027" s="1" t="inlineStr">
        <is>
          <t>12</t>
        </is>
      </c>
      <c r="G1027" s="1" t="n">
        <v>1475789.802114509</v>
      </c>
      <c r="H1027" s="25">
        <f>_CALC_PNL!P1027</f>
        <v/>
      </c>
      <c r="I1027" s="25">
        <f>IF(_CALC_PNL!E1027=1,H1027-G1027,"")</f>
        <v/>
      </c>
    </row>
    <row r="1028">
      <c r="A1028" s="1" t="inlineStr">
        <is>
          <t>ISCOM_LIL</t>
        </is>
      </c>
      <c r="B1028" s="1" t="inlineStr">
        <is>
          <t>7062</t>
        </is>
      </c>
      <c r="C1028" s="1" t="inlineStr">
        <is>
          <t>2027</t>
        </is>
      </c>
      <c r="D1028" s="1" t="inlineStr">
        <is>
          <t>V02</t>
        </is>
      </c>
      <c r="E1028" s="1" t="inlineStr">
        <is>
          <t>2027BUD_V1</t>
        </is>
      </c>
      <c r="F1028" s="1" t="inlineStr">
        <is>
          <t>12</t>
        </is>
      </c>
      <c r="G1028" s="1" t="n">
        <v>1609599.166833364</v>
      </c>
      <c r="H1028" s="25">
        <f>_CALC_PNL!P1028</f>
        <v/>
      </c>
      <c r="I1028" s="25">
        <f>IF(_CALC_PNL!E1028=1,H1028-G1028,"")</f>
        <v/>
      </c>
    </row>
    <row r="1029">
      <c r="A1029" s="1" t="inlineStr">
        <is>
          <t>ISCOM_LIL</t>
        </is>
      </c>
      <c r="B1029" s="1" t="inlineStr">
        <is>
          <t>7062</t>
        </is>
      </c>
      <c r="C1029" s="1" t="inlineStr">
        <is>
          <t>2027</t>
        </is>
      </c>
      <c r="D1029" s="1" t="inlineStr">
        <is>
          <t>V03</t>
        </is>
      </c>
      <c r="E1029" s="1" t="inlineStr">
        <is>
          <t>2027BUD_V1</t>
        </is>
      </c>
      <c r="F1029" s="1" t="inlineStr">
        <is>
          <t>12</t>
        </is>
      </c>
      <c r="G1029" s="1" t="n">
        <v>1388981.694437566</v>
      </c>
      <c r="H1029" s="25">
        <f>_CALC_PNL!P1029</f>
        <v/>
      </c>
      <c r="I1029" s="25">
        <f>IF(_CALC_PNL!E1029=1,H1029-G1029,"")</f>
        <v/>
      </c>
    </row>
    <row r="1030">
      <c r="A1030" s="1" t="inlineStr">
        <is>
          <t>ISCOM_TLS</t>
        </is>
      </c>
      <c r="B1030" s="1" t="inlineStr">
        <is>
          <t>7062</t>
        </is>
      </c>
      <c r="C1030" s="1" t="inlineStr">
        <is>
          <t>2027</t>
        </is>
      </c>
      <c r="D1030" s="1" t="inlineStr">
        <is>
          <t>V01</t>
        </is>
      </c>
      <c r="E1030" s="1" t="inlineStr">
        <is>
          <t>2027BUD_V1</t>
        </is>
      </c>
      <c r="F1030" s="1" t="inlineStr">
        <is>
          <t>12</t>
        </is>
      </c>
      <c r="G1030" s="1" t="n">
        <v>1370691.87029031</v>
      </c>
      <c r="H1030" s="25">
        <f>_CALC_PNL!P1030</f>
        <v/>
      </c>
      <c r="I1030" s="25">
        <f>IF(_CALC_PNL!E1030=1,H1030-G1030,"")</f>
        <v/>
      </c>
    </row>
    <row r="1031">
      <c r="A1031" s="1" t="inlineStr">
        <is>
          <t>ISCOM_TLS</t>
        </is>
      </c>
      <c r="B1031" s="1" t="inlineStr">
        <is>
          <t>7062</t>
        </is>
      </c>
      <c r="C1031" s="1" t="inlineStr">
        <is>
          <t>2027</t>
        </is>
      </c>
      <c r="D1031" s="1" t="inlineStr">
        <is>
          <t>V02</t>
        </is>
      </c>
      <c r="E1031" s="1" t="inlineStr">
        <is>
          <t>2027BUD_V1</t>
        </is>
      </c>
      <c r="F1031" s="1" t="inlineStr">
        <is>
          <t>12</t>
        </is>
      </c>
      <c r="G1031" s="1" t="n">
        <v>1494972.040898654</v>
      </c>
      <c r="H1031" s="25">
        <f>_CALC_PNL!P1031</f>
        <v/>
      </c>
      <c r="I1031" s="25">
        <f>IF(_CALC_PNL!E1031=1,H1031-G1031,"")</f>
        <v/>
      </c>
    </row>
    <row r="1032">
      <c r="A1032" s="1" t="inlineStr">
        <is>
          <t>ISCOM_TLS</t>
        </is>
      </c>
      <c r="B1032" s="1" t="inlineStr">
        <is>
          <t>7062</t>
        </is>
      </c>
      <c r="C1032" s="1" t="inlineStr">
        <is>
          <t>2027</t>
        </is>
      </c>
      <c r="D1032" s="1" t="inlineStr">
        <is>
          <t>V03</t>
        </is>
      </c>
      <c r="E1032" s="1" t="inlineStr">
        <is>
          <t>2027BUD_V1</t>
        </is>
      </c>
      <c r="F1032" s="1" t="inlineStr">
        <is>
          <t>12</t>
        </is>
      </c>
      <c r="G1032" s="1" t="n">
        <v>1290065.776182879</v>
      </c>
      <c r="H1032" s="25">
        <f>_CALC_PNL!P1032</f>
        <v/>
      </c>
      <c r="I1032" s="25">
        <f>IF(_CALC_PNL!E1032=1,H1032-G1032,"")</f>
        <v/>
      </c>
    </row>
    <row r="1033">
      <c r="A1033" s="1" t="inlineStr">
        <is>
          <t>IPAC_NAN</t>
        </is>
      </c>
      <c r="B1033" s="1" t="inlineStr">
        <is>
          <t>7062</t>
        </is>
      </c>
      <c r="C1033" s="1" t="inlineStr">
        <is>
          <t>2027</t>
        </is>
      </c>
      <c r="D1033" s="1" t="inlineStr">
        <is>
          <t>V01</t>
        </is>
      </c>
      <c r="E1033" s="1" t="inlineStr">
        <is>
          <t>2027BUD_V1</t>
        </is>
      </c>
      <c r="F1033" s="1" t="inlineStr">
        <is>
          <t>12</t>
        </is>
      </c>
      <c r="G1033" s="1" t="n">
        <v>1085965.59912004</v>
      </c>
      <c r="H1033" s="25">
        <f>_CALC_PNL!P1033</f>
        <v/>
      </c>
      <c r="I1033" s="25">
        <f>IF(_CALC_PNL!E1033=1,H1033-G1033,"")</f>
        <v/>
      </c>
    </row>
    <row r="1034">
      <c r="A1034" s="1" t="inlineStr">
        <is>
          <t>IPAC_NAN</t>
        </is>
      </c>
      <c r="B1034" s="1" t="inlineStr">
        <is>
          <t>7062</t>
        </is>
      </c>
      <c r="C1034" s="1" t="inlineStr">
        <is>
          <t>2027</t>
        </is>
      </c>
      <c r="D1034" s="1" t="inlineStr">
        <is>
          <t>V02</t>
        </is>
      </c>
      <c r="E1034" s="1" t="inlineStr">
        <is>
          <t>2027BUD_V1</t>
        </is>
      </c>
      <c r="F1034" s="1" t="inlineStr">
        <is>
          <t>12</t>
        </is>
      </c>
      <c r="G1034" s="1" t="n">
        <v>1184429.734538634</v>
      </c>
      <c r="H1034" s="25">
        <f>_CALC_PNL!P1034</f>
        <v/>
      </c>
      <c r="I1034" s="25">
        <f>IF(_CALC_PNL!E1034=1,H1034-G1034,"")</f>
        <v/>
      </c>
    </row>
    <row r="1035">
      <c r="A1035" s="1" t="inlineStr">
        <is>
          <t>IPAC_NAN</t>
        </is>
      </c>
      <c r="B1035" s="1" t="inlineStr">
        <is>
          <t>7062</t>
        </is>
      </c>
      <c r="C1035" s="1" t="inlineStr">
        <is>
          <t>2027</t>
        </is>
      </c>
      <c r="D1035" s="1" t="inlineStr">
        <is>
          <t>V03</t>
        </is>
      </c>
      <c r="E1035" s="1" t="inlineStr">
        <is>
          <t>2027BUD_V1</t>
        </is>
      </c>
      <c r="F1035" s="1" t="inlineStr">
        <is>
          <t>12</t>
        </is>
      </c>
      <c r="G1035" s="1" t="n">
        <v>1022087.519378062</v>
      </c>
      <c r="H1035" s="25">
        <f>_CALC_PNL!P1035</f>
        <v/>
      </c>
      <c r="I1035" s="25">
        <f>IF(_CALC_PNL!E1035=1,H1035-G1035,"")</f>
        <v/>
      </c>
    </row>
    <row r="1036">
      <c r="A1036" s="1" t="inlineStr">
        <is>
          <t>IPAC_REN</t>
        </is>
      </c>
      <c r="B1036" s="1" t="inlineStr">
        <is>
          <t>7062</t>
        </is>
      </c>
      <c r="C1036" s="1" t="inlineStr">
        <is>
          <t>2027</t>
        </is>
      </c>
      <c r="D1036" s="1" t="inlineStr">
        <is>
          <t>V01</t>
        </is>
      </c>
      <c r="E1036" s="1" t="inlineStr">
        <is>
          <t>2027BUD_V1</t>
        </is>
      </c>
      <c r="F1036" s="1" t="inlineStr">
        <is>
          <t>12</t>
        </is>
      </c>
      <c r="G1036" s="1" t="n">
        <v>832448.8023599481</v>
      </c>
      <c r="H1036" s="25">
        <f>_CALC_PNL!P1036</f>
        <v/>
      </c>
      <c r="I1036" s="25">
        <f>IF(_CALC_PNL!E1036=1,H1036-G1036,"")</f>
        <v/>
      </c>
    </row>
    <row r="1037">
      <c r="A1037" s="1" t="inlineStr">
        <is>
          <t>IPAC_REN</t>
        </is>
      </c>
      <c r="B1037" s="1" t="inlineStr">
        <is>
          <t>7062</t>
        </is>
      </c>
      <c r="C1037" s="1" t="inlineStr">
        <is>
          <t>2027</t>
        </is>
      </c>
      <c r="D1037" s="1" t="inlineStr">
        <is>
          <t>V02</t>
        </is>
      </c>
      <c r="E1037" s="1" t="inlineStr">
        <is>
          <t>2027BUD_V1</t>
        </is>
      </c>
      <c r="F1037" s="1" t="inlineStr">
        <is>
          <t>12</t>
        </is>
      </c>
      <c r="G1037" s="1" t="n">
        <v>907926.655130822</v>
      </c>
      <c r="H1037" s="25">
        <f>_CALC_PNL!P1037</f>
        <v/>
      </c>
      <c r="I1037" s="25">
        <f>IF(_CALC_PNL!E1037=1,H1037-G1037,"")</f>
        <v/>
      </c>
    </row>
    <row r="1038">
      <c r="A1038" s="1" t="inlineStr">
        <is>
          <t>IPAC_REN</t>
        </is>
      </c>
      <c r="B1038" s="1" t="inlineStr">
        <is>
          <t>7062</t>
        </is>
      </c>
      <c r="C1038" s="1" t="inlineStr">
        <is>
          <t>2027</t>
        </is>
      </c>
      <c r="D1038" s="1" t="inlineStr">
        <is>
          <t>V03</t>
        </is>
      </c>
      <c r="E1038" s="1" t="inlineStr">
        <is>
          <t>2027BUD_V1</t>
        </is>
      </c>
      <c r="F1038" s="1" t="inlineStr">
        <is>
          <t>12</t>
        </is>
      </c>
      <c r="G1038" s="1" t="n">
        <v>783482.950199114</v>
      </c>
      <c r="H1038" s="25">
        <f>_CALC_PNL!P1038</f>
        <v/>
      </c>
      <c r="I1038" s="25">
        <f>IF(_CALC_PNL!E1038=1,H1038-G1038,"")</f>
        <v/>
      </c>
    </row>
    <row r="1039">
      <c r="A1039" s="1" t="inlineStr">
        <is>
          <t>IPAC_MTP</t>
        </is>
      </c>
      <c r="B1039" s="1" t="inlineStr">
        <is>
          <t>7062</t>
        </is>
      </c>
      <c r="C1039" s="1" t="inlineStr">
        <is>
          <t>2027</t>
        </is>
      </c>
      <c r="D1039" s="1" t="inlineStr">
        <is>
          <t>V01</t>
        </is>
      </c>
      <c r="E1039" s="1" t="inlineStr">
        <is>
          <t>2027BUD_V1</t>
        </is>
      </c>
      <c r="F1039" s="1" t="inlineStr">
        <is>
          <t>12</t>
        </is>
      </c>
      <c r="G1039" s="1" t="n">
        <v>832448.8023599481</v>
      </c>
      <c r="H1039" s="25">
        <f>_CALC_PNL!P1039</f>
        <v/>
      </c>
      <c r="I1039" s="25">
        <f>IF(_CALC_PNL!E1039=1,H1039-G1039,"")</f>
        <v/>
      </c>
    </row>
    <row r="1040">
      <c r="A1040" s="1" t="inlineStr">
        <is>
          <t>IPAC_MTP</t>
        </is>
      </c>
      <c r="B1040" s="1" t="inlineStr">
        <is>
          <t>7062</t>
        </is>
      </c>
      <c r="C1040" s="1" t="inlineStr">
        <is>
          <t>2027</t>
        </is>
      </c>
      <c r="D1040" s="1" t="inlineStr">
        <is>
          <t>V02</t>
        </is>
      </c>
      <c r="E1040" s="1" t="inlineStr">
        <is>
          <t>2027BUD_V1</t>
        </is>
      </c>
      <c r="F1040" s="1" t="inlineStr">
        <is>
          <t>12</t>
        </is>
      </c>
      <c r="G1040" s="1" t="n">
        <v>907926.655130822</v>
      </c>
      <c r="H1040" s="25">
        <f>_CALC_PNL!P1040</f>
        <v/>
      </c>
      <c r="I1040" s="25">
        <f>IF(_CALC_PNL!E1040=1,H1040-G1040,"")</f>
        <v/>
      </c>
    </row>
    <row r="1041">
      <c r="A1041" s="1" t="inlineStr">
        <is>
          <t>IPAC_MTP</t>
        </is>
      </c>
      <c r="B1041" s="1" t="inlineStr">
        <is>
          <t>7062</t>
        </is>
      </c>
      <c r="C1041" s="1" t="inlineStr">
        <is>
          <t>2027</t>
        </is>
      </c>
      <c r="D1041" s="1" t="inlineStr">
        <is>
          <t>V03</t>
        </is>
      </c>
      <c r="E1041" s="1" t="inlineStr">
        <is>
          <t>2027BUD_V1</t>
        </is>
      </c>
      <c r="F1041" s="1" t="inlineStr">
        <is>
          <t>12</t>
        </is>
      </c>
      <c r="G1041" s="1" t="n">
        <v>783482.950199114</v>
      </c>
      <c r="H1041" s="25">
        <f>_CALC_PNL!P1041</f>
        <v/>
      </c>
      <c r="I1041" s="25">
        <f>IF(_CALC_PNL!E1041=1,H1041-G1041,"")</f>
        <v/>
      </c>
    </row>
    <row r="1042">
      <c r="A1042" s="1" t="inlineStr">
        <is>
          <t>PIGIER_LYO</t>
        </is>
      </c>
      <c r="B1042" s="1" t="inlineStr">
        <is>
          <t>7062</t>
        </is>
      </c>
      <c r="C1042" s="1" t="inlineStr">
        <is>
          <t>2027</t>
        </is>
      </c>
      <c r="D1042" s="1" t="inlineStr">
        <is>
          <t>V01</t>
        </is>
      </c>
      <c r="E1042" s="1" t="inlineStr">
        <is>
          <t>2027BUD_V1</t>
        </is>
      </c>
      <c r="F1042" s="1" t="inlineStr">
        <is>
          <t>12</t>
        </is>
      </c>
      <c r="G1042" s="1" t="n">
        <v>1328997.210785179</v>
      </c>
      <c r="H1042" s="25">
        <f>_CALC_PNL!P1042</f>
        <v/>
      </c>
      <c r="I1042" s="25">
        <f>IF(_CALC_PNL!E1042=1,H1042-G1042,"")</f>
        <v/>
      </c>
    </row>
    <row r="1043">
      <c r="A1043" s="1" t="inlineStr">
        <is>
          <t>PIGIER_LYO</t>
        </is>
      </c>
      <c r="B1043" s="1" t="inlineStr">
        <is>
          <t>7062</t>
        </is>
      </c>
      <c r="C1043" s="1" t="inlineStr">
        <is>
          <t>2027</t>
        </is>
      </c>
      <c r="D1043" s="1" t="inlineStr">
        <is>
          <t>V02</t>
        </is>
      </c>
      <c r="E1043" s="1" t="inlineStr">
        <is>
          <t>2027BUD_V1</t>
        </is>
      </c>
      <c r="F1043" s="1" t="inlineStr">
        <is>
          <t>12</t>
        </is>
      </c>
      <c r="G1043" s="1" t="n">
        <v>1449496.940647452</v>
      </c>
      <c r="H1043" s="25">
        <f>_CALC_PNL!P1043</f>
        <v/>
      </c>
      <c r="I1043" s="25">
        <f>IF(_CALC_PNL!E1043=1,H1043-G1043,"")</f>
        <v/>
      </c>
    </row>
    <row r="1044">
      <c r="A1044" s="1" t="inlineStr">
        <is>
          <t>PIGIER_LYO</t>
        </is>
      </c>
      <c r="B1044" s="1" t="inlineStr">
        <is>
          <t>7062</t>
        </is>
      </c>
      <c r="C1044" s="1" t="inlineStr">
        <is>
          <t>2027</t>
        </is>
      </c>
      <c r="D1044" s="1" t="inlineStr">
        <is>
          <t>V03</t>
        </is>
      </c>
      <c r="E1044" s="1" t="inlineStr">
        <is>
          <t>2027BUD_V1</t>
        </is>
      </c>
      <c r="F1044" s="1" t="inlineStr">
        <is>
          <t>12</t>
        </is>
      </c>
      <c r="G1044" s="1" t="n">
        <v>1250823.657335428</v>
      </c>
      <c r="H1044" s="25">
        <f>_CALC_PNL!P1044</f>
        <v/>
      </c>
      <c r="I1044" s="25">
        <f>IF(_CALC_PNL!E1044=1,H1044-G1044,"")</f>
        <v/>
      </c>
    </row>
    <row r="1045">
      <c r="A1045" s="1" t="inlineStr">
        <is>
          <t>PIGIER_BOR</t>
        </is>
      </c>
      <c r="B1045" s="1" t="inlineStr">
        <is>
          <t>7062</t>
        </is>
      </c>
      <c r="C1045" s="1" t="inlineStr">
        <is>
          <t>2027</t>
        </is>
      </c>
      <c r="D1045" s="1" t="inlineStr">
        <is>
          <t>V01</t>
        </is>
      </c>
      <c r="E1045" s="1" t="inlineStr">
        <is>
          <t>2027BUD_V1</t>
        </is>
      </c>
      <c r="F1045" s="1" t="inlineStr">
        <is>
          <t>12</t>
        </is>
      </c>
      <c r="G1045" s="1" t="n">
        <v>957907.251771589</v>
      </c>
      <c r="H1045" s="25">
        <f>_CALC_PNL!P1045</f>
        <v/>
      </c>
      <c r="I1045" s="25">
        <f>IF(_CALC_PNL!E1045=1,H1045-G1045,"")</f>
        <v/>
      </c>
    </row>
    <row r="1046">
      <c r="A1046" s="1" t="inlineStr">
        <is>
          <t>PIGIER_BOR</t>
        </is>
      </c>
      <c r="B1046" s="1" t="inlineStr">
        <is>
          <t>7062</t>
        </is>
      </c>
      <c r="C1046" s="1" t="inlineStr">
        <is>
          <t>2027</t>
        </is>
      </c>
      <c r="D1046" s="1" t="inlineStr">
        <is>
          <t>V02</t>
        </is>
      </c>
      <c r="E1046" s="1" t="inlineStr">
        <is>
          <t>2027BUD_V1</t>
        </is>
      </c>
      <c r="F1046" s="1" t="inlineStr">
        <is>
          <t>12</t>
        </is>
      </c>
      <c r="G1046" s="1" t="n">
        <v>1044760.379930822</v>
      </c>
      <c r="H1046" s="25">
        <f>_CALC_PNL!P1046</f>
        <v/>
      </c>
      <c r="I1046" s="25">
        <f>IF(_CALC_PNL!E1046=1,H1046-G1046,"")</f>
        <v/>
      </c>
    </row>
    <row r="1047">
      <c r="A1047" s="1" t="inlineStr">
        <is>
          <t>PIGIER_BOR</t>
        </is>
      </c>
      <c r="B1047" s="1" t="inlineStr">
        <is>
          <t>7062</t>
        </is>
      </c>
      <c r="C1047" s="1" t="inlineStr">
        <is>
          <t>2027</t>
        </is>
      </c>
      <c r="D1047" s="1" t="inlineStr">
        <is>
          <t>V03</t>
        </is>
      </c>
      <c r="E1047" s="1" t="inlineStr">
        <is>
          <t>2027BUD_V1</t>
        </is>
      </c>
      <c r="F1047" s="1" t="inlineStr">
        <is>
          <t>12</t>
        </is>
      </c>
      <c r="G1047" s="1" t="n">
        <v>901561.7507136679</v>
      </c>
      <c r="H1047" s="25">
        <f>_CALC_PNL!P1047</f>
        <v/>
      </c>
      <c r="I1047" s="25">
        <f>IF(_CALC_PNL!E1047=1,H1047-G1047,"")</f>
        <v/>
      </c>
    </row>
    <row r="1048">
      <c r="A1048" s="1" t="inlineStr">
        <is>
          <t>TUNON_PAR</t>
        </is>
      </c>
      <c r="B1048" s="1" t="inlineStr">
        <is>
          <t>7062</t>
        </is>
      </c>
      <c r="C1048" s="1" t="inlineStr">
        <is>
          <t>2027</t>
        </is>
      </c>
      <c r="D1048" s="1" t="inlineStr">
        <is>
          <t>V01</t>
        </is>
      </c>
      <c r="E1048" s="1" t="inlineStr">
        <is>
          <t>2027BUD_V1</t>
        </is>
      </c>
      <c r="F1048" s="1" t="inlineStr">
        <is>
          <t>12</t>
        </is>
      </c>
      <c r="G1048" s="1" t="n">
        <v>1157564.434482712</v>
      </c>
      <c r="H1048" s="25">
        <f>_CALC_PNL!P1048</f>
        <v/>
      </c>
      <c r="I1048" s="25">
        <f>IF(_CALC_PNL!E1048=1,H1048-G1048,"")</f>
        <v/>
      </c>
    </row>
    <row r="1049">
      <c r="A1049" s="1" t="inlineStr">
        <is>
          <t>TUNON_PAR</t>
        </is>
      </c>
      <c r="B1049" s="1" t="inlineStr">
        <is>
          <t>7062</t>
        </is>
      </c>
      <c r="C1049" s="1" t="inlineStr">
        <is>
          <t>2027</t>
        </is>
      </c>
      <c r="D1049" s="1" t="inlineStr">
        <is>
          <t>V02</t>
        </is>
      </c>
      <c r="E1049" s="1" t="inlineStr">
        <is>
          <t>2027BUD_V1</t>
        </is>
      </c>
      <c r="F1049" s="1" t="inlineStr">
        <is>
          <t>12</t>
        </is>
      </c>
      <c r="G1049" s="1" t="n">
        <v>1262520.412208905</v>
      </c>
      <c r="H1049" s="25">
        <f>_CALC_PNL!P1049</f>
        <v/>
      </c>
      <c r="I1049" s="25">
        <f>IF(_CALC_PNL!E1049=1,H1049-G1049,"")</f>
        <v/>
      </c>
    </row>
    <row r="1050">
      <c r="A1050" s="1" t="inlineStr">
        <is>
          <t>TUNON_PAR</t>
        </is>
      </c>
      <c r="B1050" s="1" t="inlineStr">
        <is>
          <t>7062</t>
        </is>
      </c>
      <c r="C1050" s="1" t="inlineStr">
        <is>
          <t>2027</t>
        </is>
      </c>
      <c r="D1050" s="1" t="inlineStr">
        <is>
          <t>V03</t>
        </is>
      </c>
      <c r="E1050" s="1" t="inlineStr">
        <is>
          <t>2027BUD_V1</t>
        </is>
      </c>
      <c r="F1050" s="1" t="inlineStr">
        <is>
          <t>12</t>
        </is>
      </c>
      <c r="G1050" s="1" t="n">
        <v>1089474.806862574</v>
      </c>
      <c r="H1050" s="25">
        <f>_CALC_PNL!P1050</f>
        <v/>
      </c>
      <c r="I1050" s="25">
        <f>IF(_CALC_PNL!E1050=1,H1050-G1050,"")</f>
        <v/>
      </c>
    </row>
    <row r="1051">
      <c r="A1051" s="1" t="inlineStr">
        <is>
          <t>TUNON_LYO</t>
        </is>
      </c>
      <c r="B1051" s="1" t="inlineStr">
        <is>
          <t>7062</t>
        </is>
      </c>
      <c r="C1051" s="1" t="inlineStr">
        <is>
          <t>2027</t>
        </is>
      </c>
      <c r="D1051" s="1" t="inlineStr">
        <is>
          <t>V01</t>
        </is>
      </c>
      <c r="E1051" s="1" t="inlineStr">
        <is>
          <t>2027BUD_V1</t>
        </is>
      </c>
      <c r="F1051" s="1" t="inlineStr">
        <is>
          <t>12</t>
        </is>
      </c>
      <c r="G1051" s="1" t="n">
        <v>920074.992082047</v>
      </c>
      <c r="H1051" s="25">
        <f>_CALC_PNL!P1051</f>
        <v/>
      </c>
      <c r="I1051" s="25">
        <f>IF(_CALC_PNL!E1051=1,H1051-G1051,"")</f>
        <v/>
      </c>
    </row>
    <row r="1052">
      <c r="A1052" s="1" t="inlineStr">
        <is>
          <t>TUNON_LYO</t>
        </is>
      </c>
      <c r="B1052" s="1" t="inlineStr">
        <is>
          <t>7062</t>
        </is>
      </c>
      <c r="C1052" s="1" t="inlineStr">
        <is>
          <t>2027</t>
        </is>
      </c>
      <c r="D1052" s="1" t="inlineStr">
        <is>
          <t>V02</t>
        </is>
      </c>
      <c r="E1052" s="1" t="inlineStr">
        <is>
          <t>2027BUD_V1</t>
        </is>
      </c>
      <c r="F1052" s="1" t="inlineStr">
        <is>
          <t>12</t>
        </is>
      </c>
      <c r="G1052" s="1" t="n">
        <v>1003497.881986697</v>
      </c>
      <c r="H1052" s="25">
        <f>_CALC_PNL!P1052</f>
        <v/>
      </c>
      <c r="I1052" s="25">
        <f>IF(_CALC_PNL!E1052=1,H1052-G1052,"")</f>
        <v/>
      </c>
    </row>
    <row r="1053">
      <c r="A1053" s="1" t="inlineStr">
        <is>
          <t>TUNON_LYO</t>
        </is>
      </c>
      <c r="B1053" s="1" t="inlineStr">
        <is>
          <t>7062</t>
        </is>
      </c>
      <c r="C1053" s="1" t="inlineStr">
        <is>
          <t>2027</t>
        </is>
      </c>
      <c r="D1053" s="1" t="inlineStr">
        <is>
          <t>V03</t>
        </is>
      </c>
      <c r="E1053" s="1" t="inlineStr">
        <is>
          <t>2027BUD_V1</t>
        </is>
      </c>
      <c r="F1053" s="1" t="inlineStr">
        <is>
          <t>12</t>
        </is>
      </c>
      <c r="G1053" s="1" t="n">
        <v>865954.8396937581</v>
      </c>
      <c r="H1053" s="25">
        <f>_CALC_PNL!P1053</f>
        <v/>
      </c>
      <c r="I1053" s="25">
        <f>IF(_CALC_PNL!E1053=1,H1053-G1053,"")</f>
        <v/>
      </c>
    </row>
    <row r="1054">
      <c r="A1054" s="1" t="inlineStr">
        <is>
          <t>MBWAY_PAR</t>
        </is>
      </c>
      <c r="B1054" s="1" t="inlineStr">
        <is>
          <t>706</t>
        </is>
      </c>
      <c r="C1054" s="1" t="inlineStr">
        <is>
          <t>2027</t>
        </is>
      </c>
      <c r="D1054" s="1" t="inlineStr">
        <is>
          <t>V01</t>
        </is>
      </c>
      <c r="E1054" s="1" t="inlineStr">
        <is>
          <t>2027BUD_V1</t>
        </is>
      </c>
      <c r="F1054" s="1" t="inlineStr">
        <is>
          <t>12</t>
        </is>
      </c>
      <c r="G1054" s="1" t="n">
        <v>701009.517776798</v>
      </c>
      <c r="H1054" s="25">
        <f>_CALC_PNL!P1054</f>
        <v/>
      </c>
      <c r="I1054" s="25">
        <f>IF(_CALC_PNL!E1054=1,H1054-G1054,"")</f>
        <v/>
      </c>
    </row>
    <row r="1055">
      <c r="A1055" s="1" t="inlineStr">
        <is>
          <t>MBWAY_PAR</t>
        </is>
      </c>
      <c r="B1055" s="1" t="inlineStr">
        <is>
          <t>706</t>
        </is>
      </c>
      <c r="C1055" s="1" t="inlineStr">
        <is>
          <t>2027</t>
        </is>
      </c>
      <c r="D1055" s="1" t="inlineStr">
        <is>
          <t>V02</t>
        </is>
      </c>
      <c r="E1055" s="1" t="inlineStr">
        <is>
          <t>2027BUD_V1</t>
        </is>
      </c>
      <c r="F1055" s="1" t="inlineStr">
        <is>
          <t>12</t>
        </is>
      </c>
      <c r="G1055" s="1" t="n">
        <v>764569.814847008</v>
      </c>
      <c r="H1055" s="25">
        <f>_CALC_PNL!P1055</f>
        <v/>
      </c>
      <c r="I1055" s="25">
        <f>IF(_CALC_PNL!E1055=1,H1055-G1055,"")</f>
        <v/>
      </c>
    </row>
    <row r="1056">
      <c r="A1056" s="1" t="inlineStr">
        <is>
          <t>MBWAY_PAR</t>
        </is>
      </c>
      <c r="B1056" s="1" t="inlineStr">
        <is>
          <t>706</t>
        </is>
      </c>
      <c r="C1056" s="1" t="inlineStr">
        <is>
          <t>2027</t>
        </is>
      </c>
      <c r="D1056" s="1" t="inlineStr">
        <is>
          <t>V03</t>
        </is>
      </c>
      <c r="E1056" s="1" t="inlineStr">
        <is>
          <t>2027BUD_V1</t>
        </is>
      </c>
      <c r="F1056" s="1" t="inlineStr">
        <is>
          <t>12</t>
        </is>
      </c>
      <c r="G1056" s="1" t="n">
        <v>659775.115957149</v>
      </c>
      <c r="H1056" s="25">
        <f>_CALC_PNL!P1056</f>
        <v/>
      </c>
      <c r="I1056" s="25">
        <f>IF(_CALC_PNL!E1056=1,H1056-G1056,"")</f>
        <v/>
      </c>
    </row>
    <row r="1057">
      <c r="A1057" s="1" t="inlineStr">
        <is>
          <t>MBWAY_LYO</t>
        </is>
      </c>
      <c r="B1057" s="1" t="inlineStr">
        <is>
          <t>706</t>
        </is>
      </c>
      <c r="C1057" s="1" t="inlineStr">
        <is>
          <t>2027</t>
        </is>
      </c>
      <c r="D1057" s="1" t="inlineStr">
        <is>
          <t>V01</t>
        </is>
      </c>
      <c r="E1057" s="1" t="inlineStr">
        <is>
          <t>2027BUD_V1</t>
        </is>
      </c>
      <c r="F1057" s="1" t="inlineStr">
        <is>
          <t>12</t>
        </is>
      </c>
      <c r="G1057" s="1" t="n">
        <v>556089.28092871</v>
      </c>
      <c r="H1057" s="25">
        <f>_CALC_PNL!P1057</f>
        <v/>
      </c>
      <c r="I1057" s="25">
        <f>IF(_CALC_PNL!E1057=1,H1057-G1057,"")</f>
        <v/>
      </c>
    </row>
    <row r="1058">
      <c r="A1058" s="1" t="inlineStr">
        <is>
          <t>MBWAY_LYO</t>
        </is>
      </c>
      <c r="B1058" s="1" t="inlineStr">
        <is>
          <t>706</t>
        </is>
      </c>
      <c r="C1058" s="1" t="inlineStr">
        <is>
          <t>2027</t>
        </is>
      </c>
      <c r="D1058" s="1" t="inlineStr">
        <is>
          <t>V02</t>
        </is>
      </c>
      <c r="E1058" s="1" t="inlineStr">
        <is>
          <t>2027BUD_V1</t>
        </is>
      </c>
      <c r="F1058" s="1" t="inlineStr">
        <is>
          <t>12</t>
        </is>
      </c>
      <c r="G1058" s="1" t="n">
        <v>606509.7088930591</v>
      </c>
      <c r="H1058" s="25">
        <f>_CALC_PNL!P1058</f>
        <v/>
      </c>
      <c r="I1058" s="25">
        <f>IF(_CALC_PNL!E1058=1,H1058-G1058,"")</f>
        <v/>
      </c>
    </row>
    <row r="1059">
      <c r="A1059" s="1" t="inlineStr">
        <is>
          <t>MBWAY_LYO</t>
        </is>
      </c>
      <c r="B1059" s="1" t="inlineStr">
        <is>
          <t>706</t>
        </is>
      </c>
      <c r="C1059" s="1" t="inlineStr">
        <is>
          <t>2027</t>
        </is>
      </c>
      <c r="D1059" s="1" t="inlineStr">
        <is>
          <t>V03</t>
        </is>
      </c>
      <c r="E1059" s="1" t="inlineStr">
        <is>
          <t>2027BUD_V1</t>
        </is>
      </c>
      <c r="F1059" s="1" t="inlineStr">
        <is>
          <t>12</t>
        </is>
      </c>
      <c r="G1059" s="1" t="n">
        <v>523379.298716008</v>
      </c>
      <c r="H1059" s="25">
        <f>_CALC_PNL!P1059</f>
        <v/>
      </c>
      <c r="I1059" s="25">
        <f>IF(_CALC_PNL!E1059=1,H1059-G1059,"")</f>
        <v/>
      </c>
    </row>
    <row r="1060">
      <c r="A1060" s="1" t="inlineStr">
        <is>
          <t>MBWAY_NAN</t>
        </is>
      </c>
      <c r="B1060" s="1" t="inlineStr">
        <is>
          <t>706</t>
        </is>
      </c>
      <c r="C1060" s="1" t="inlineStr">
        <is>
          <t>2027</t>
        </is>
      </c>
      <c r="D1060" s="1" t="inlineStr">
        <is>
          <t>V01</t>
        </is>
      </c>
      <c r="E1060" s="1" t="inlineStr">
        <is>
          <t>2027BUD_V1</t>
        </is>
      </c>
      <c r="F1060" s="1" t="inlineStr">
        <is>
          <t>12</t>
        </is>
      </c>
      <c r="G1060" s="1" t="n">
        <v>481462.580890658</v>
      </c>
      <c r="H1060" s="25">
        <f>_CALC_PNL!P1060</f>
        <v/>
      </c>
      <c r="I1060" s="25">
        <f>IF(_CALC_PNL!E1060=1,H1060-G1060,"")</f>
        <v/>
      </c>
    </row>
    <row r="1061">
      <c r="A1061" s="1" t="inlineStr">
        <is>
          <t>MBWAY_NAN</t>
        </is>
      </c>
      <c r="B1061" s="1" t="inlineStr">
        <is>
          <t>706</t>
        </is>
      </c>
      <c r="C1061" s="1" t="inlineStr">
        <is>
          <t>2027</t>
        </is>
      </c>
      <c r="D1061" s="1" t="inlineStr">
        <is>
          <t>V02</t>
        </is>
      </c>
      <c r="E1061" s="1" t="inlineStr">
        <is>
          <t>2027BUD_V1</t>
        </is>
      </c>
      <c r="F1061" s="1" t="inlineStr">
        <is>
          <t>12</t>
        </is>
      </c>
      <c r="G1061" s="1" t="n">
        <v>525116.631076242</v>
      </c>
      <c r="H1061" s="25">
        <f>_CALC_PNL!P1061</f>
        <v/>
      </c>
      <c r="I1061" s="25">
        <f>IF(_CALC_PNL!E1061=1,H1061-G1061,"")</f>
        <v/>
      </c>
    </row>
    <row r="1062">
      <c r="A1062" s="1" t="inlineStr">
        <is>
          <t>MBWAY_NAN</t>
        </is>
      </c>
      <c r="B1062" s="1" t="inlineStr">
        <is>
          <t>706</t>
        </is>
      </c>
      <c r="C1062" s="1" t="inlineStr">
        <is>
          <t>2027</t>
        </is>
      </c>
      <c r="D1062" s="1" t="inlineStr">
        <is>
          <t>V03</t>
        </is>
      </c>
      <c r="E1062" s="1" t="inlineStr">
        <is>
          <t>2027BUD_V1</t>
        </is>
      </c>
      <c r="F1062" s="1" t="inlineStr">
        <is>
          <t>12</t>
        </is>
      </c>
      <c r="G1062" s="1" t="n">
        <v>453142.249970569</v>
      </c>
      <c r="H1062" s="25">
        <f>_CALC_PNL!P1062</f>
        <v/>
      </c>
      <c r="I1062" s="25">
        <f>IF(_CALC_PNL!E1062=1,H1062-G1062,"")</f>
        <v/>
      </c>
    </row>
    <row r="1063">
      <c r="A1063" s="1" t="inlineStr">
        <is>
          <t>MBWAY_BOR</t>
        </is>
      </c>
      <c r="B1063" s="1" t="inlineStr">
        <is>
          <t>706</t>
        </is>
      </c>
      <c r="C1063" s="1" t="inlineStr">
        <is>
          <t>2027</t>
        </is>
      </c>
      <c r="D1063" s="1" t="inlineStr">
        <is>
          <t>V01</t>
        </is>
      </c>
      <c r="E1063" s="1" t="inlineStr">
        <is>
          <t>2027BUD_V1</t>
        </is>
      </c>
      <c r="F1063" s="1" t="inlineStr">
        <is>
          <t>12</t>
        </is>
      </c>
      <c r="G1063" s="1" t="n">
        <v>396965.897944347</v>
      </c>
      <c r="H1063" s="25">
        <f>_CALC_PNL!P1063</f>
        <v/>
      </c>
      <c r="I1063" s="25">
        <f>IF(_CALC_PNL!E1063=1,H1063-G1063,"")</f>
        <v/>
      </c>
    </row>
    <row r="1064">
      <c r="A1064" s="1" t="inlineStr">
        <is>
          <t>MBWAY_BOR</t>
        </is>
      </c>
      <c r="B1064" s="1" t="inlineStr">
        <is>
          <t>706</t>
        </is>
      </c>
      <c r="C1064" s="1" t="inlineStr">
        <is>
          <t>2027</t>
        </is>
      </c>
      <c r="D1064" s="1" t="inlineStr">
        <is>
          <t>V02</t>
        </is>
      </c>
      <c r="E1064" s="1" t="inlineStr">
        <is>
          <t>2027BUD_V1</t>
        </is>
      </c>
      <c r="F1064" s="1" t="inlineStr">
        <is>
          <t>12</t>
        </is>
      </c>
      <c r="G1064" s="1" t="n">
        <v>432958.662322361</v>
      </c>
      <c r="H1064" s="25">
        <f>_CALC_PNL!P1064</f>
        <v/>
      </c>
      <c r="I1064" s="25">
        <f>IF(_CALC_PNL!E1064=1,H1064-G1064,"")</f>
        <v/>
      </c>
    </row>
    <row r="1065">
      <c r="A1065" s="1" t="inlineStr">
        <is>
          <t>MBWAY_BOR</t>
        </is>
      </c>
      <c r="B1065" s="1" t="inlineStr">
        <is>
          <t>706</t>
        </is>
      </c>
      <c r="C1065" s="1" t="inlineStr">
        <is>
          <t>2027</t>
        </is>
      </c>
      <c r="D1065" s="1" t="inlineStr">
        <is>
          <t>V03</t>
        </is>
      </c>
      <c r="E1065" s="1" t="inlineStr">
        <is>
          <t>2027BUD_V1</t>
        </is>
      </c>
      <c r="F1065" s="1" t="inlineStr">
        <is>
          <t>12</t>
        </is>
      </c>
      <c r="G1065" s="1" t="n">
        <v>373615.785100734</v>
      </c>
      <c r="H1065" s="25">
        <f>_CALC_PNL!P1065</f>
        <v/>
      </c>
      <c r="I1065" s="25">
        <f>IF(_CALC_PNL!E1065=1,H1065-G1065,"")</f>
        <v/>
      </c>
    </row>
    <row r="1066">
      <c r="A1066" s="1" t="inlineStr">
        <is>
          <t>ISCOM_PAR</t>
        </is>
      </c>
      <c r="B1066" s="1" t="inlineStr">
        <is>
          <t>706</t>
        </is>
      </c>
      <c r="C1066" s="1" t="inlineStr">
        <is>
          <t>2027</t>
        </is>
      </c>
      <c r="D1066" s="1" t="inlineStr">
        <is>
          <t>V01</t>
        </is>
      </c>
      <c r="E1066" s="1" t="inlineStr">
        <is>
          <t>2027BUD_V1</t>
        </is>
      </c>
      <c r="F1066" s="1" t="inlineStr">
        <is>
          <t>12</t>
        </is>
      </c>
      <c r="G1066" s="1" t="n">
        <v>647085.708717044</v>
      </c>
      <c r="H1066" s="25">
        <f>_CALC_PNL!P1066</f>
        <v/>
      </c>
      <c r="I1066" s="25">
        <f>IF(_CALC_PNL!E1066=1,H1066-G1066,"")</f>
        <v/>
      </c>
    </row>
    <row r="1067">
      <c r="A1067" s="1" t="inlineStr">
        <is>
          <t>ISCOM_PAR</t>
        </is>
      </c>
      <c r="B1067" s="1" t="inlineStr">
        <is>
          <t>706</t>
        </is>
      </c>
      <c r="C1067" s="1" t="inlineStr">
        <is>
          <t>2027</t>
        </is>
      </c>
      <c r="D1067" s="1" t="inlineStr">
        <is>
          <t>V02</t>
        </is>
      </c>
      <c r="E1067" s="1" t="inlineStr">
        <is>
          <t>2027BUD_V1</t>
        </is>
      </c>
      <c r="F1067" s="1" t="inlineStr">
        <is>
          <t>12</t>
        </is>
      </c>
      <c r="G1067" s="1" t="n">
        <v>705756.752166468</v>
      </c>
      <c r="H1067" s="25">
        <f>_CALC_PNL!P1067</f>
        <v/>
      </c>
      <c r="I1067" s="25">
        <f>IF(_CALC_PNL!E1067=1,H1067-G1067,"")</f>
        <v/>
      </c>
    </row>
    <row r="1068">
      <c r="A1068" s="1" t="inlineStr">
        <is>
          <t>ISCOM_PAR</t>
        </is>
      </c>
      <c r="B1068" s="1" t="inlineStr">
        <is>
          <t>706</t>
        </is>
      </c>
      <c r="C1068" s="1" t="inlineStr">
        <is>
          <t>2027</t>
        </is>
      </c>
      <c r="D1068" s="1" t="inlineStr">
        <is>
          <t>V03</t>
        </is>
      </c>
      <c r="E1068" s="1" t="inlineStr">
        <is>
          <t>2027BUD_V1</t>
        </is>
      </c>
      <c r="F1068" s="1" t="inlineStr">
        <is>
          <t>12</t>
        </is>
      </c>
      <c r="G1068" s="1" t="n">
        <v>609023.183960445</v>
      </c>
      <c r="H1068" s="25">
        <f>_CALC_PNL!P1068</f>
        <v/>
      </c>
      <c r="I1068" s="25">
        <f>IF(_CALC_PNL!E1068=1,H1068-G1068,"")</f>
        <v/>
      </c>
    </row>
    <row r="1069">
      <c r="A1069" s="1" t="inlineStr">
        <is>
          <t>ISCOM_LIL</t>
        </is>
      </c>
      <c r="B1069" s="1" t="inlineStr">
        <is>
          <t>706</t>
        </is>
      </c>
      <c r="C1069" s="1" t="inlineStr">
        <is>
          <t>2027</t>
        </is>
      </c>
      <c r="D1069" s="1" t="inlineStr">
        <is>
          <t>V01</t>
        </is>
      </c>
      <c r="E1069" s="1" t="inlineStr">
        <is>
          <t>2027BUD_V1</t>
        </is>
      </c>
      <c r="F1069" s="1" t="inlineStr">
        <is>
          <t>12</t>
        </is>
      </c>
      <c r="G1069" s="1" t="n">
        <v>393194.441060704</v>
      </c>
      <c r="H1069" s="25">
        <f>_CALC_PNL!P1069</f>
        <v/>
      </c>
      <c r="I1069" s="25">
        <f>IF(_CALC_PNL!E1069=1,H1069-G1069,"")</f>
        <v/>
      </c>
    </row>
    <row r="1070">
      <c r="A1070" s="1" t="inlineStr">
        <is>
          <t>ISCOM_LIL</t>
        </is>
      </c>
      <c r="B1070" s="1" t="inlineStr">
        <is>
          <t>706</t>
        </is>
      </c>
      <c r="C1070" s="1" t="inlineStr">
        <is>
          <t>2027</t>
        </is>
      </c>
      <c r="D1070" s="1" t="inlineStr">
        <is>
          <t>V02</t>
        </is>
      </c>
      <c r="E1070" s="1" t="inlineStr">
        <is>
          <t>2027BUD_V1</t>
        </is>
      </c>
      <c r="F1070" s="1" t="inlineStr">
        <is>
          <t>12</t>
        </is>
      </c>
      <c r="G1070" s="1" t="n">
        <v>428845.248712264</v>
      </c>
      <c r="H1070" s="25">
        <f>_CALC_PNL!P1070</f>
        <v/>
      </c>
      <c r="I1070" s="25">
        <f>IF(_CALC_PNL!E1070=1,H1070-G1070,"")</f>
        <v/>
      </c>
    </row>
    <row r="1071">
      <c r="A1071" s="1" t="inlineStr">
        <is>
          <t>ISCOM_LIL</t>
        </is>
      </c>
      <c r="B1071" s="1" t="inlineStr">
        <is>
          <t>706</t>
        </is>
      </c>
      <c r="C1071" s="1" t="inlineStr">
        <is>
          <t>2027</t>
        </is>
      </c>
      <c r="D1071" s="1" t="inlineStr">
        <is>
          <t>V03</t>
        </is>
      </c>
      <c r="E1071" s="1" t="inlineStr">
        <is>
          <t>2027BUD_V1</t>
        </is>
      </c>
      <c r="F1071" s="1" t="inlineStr">
        <is>
          <t>12</t>
        </is>
      </c>
      <c r="G1071" s="1" t="n">
        <v>370066.170809298</v>
      </c>
      <c r="H1071" s="25">
        <f>_CALC_PNL!P1071</f>
        <v/>
      </c>
      <c r="I1071" s="25">
        <f>IF(_CALC_PNL!E1071=1,H1071-G1071,"")</f>
        <v/>
      </c>
    </row>
    <row r="1072">
      <c r="A1072" s="1" t="inlineStr">
        <is>
          <t>ISCOM_TLS</t>
        </is>
      </c>
      <c r="B1072" s="1" t="inlineStr">
        <is>
          <t>706</t>
        </is>
      </c>
      <c r="C1072" s="1" t="inlineStr">
        <is>
          <t>2027</t>
        </is>
      </c>
      <c r="D1072" s="1" t="inlineStr">
        <is>
          <t>V01</t>
        </is>
      </c>
      <c r="E1072" s="1" t="inlineStr">
        <is>
          <t>2027BUD_V1</t>
        </is>
      </c>
      <c r="F1072" s="1" t="inlineStr">
        <is>
          <t>12</t>
        </is>
      </c>
      <c r="G1072" s="1" t="n">
        <v>362059.860829775</v>
      </c>
      <c r="H1072" s="25">
        <f>_CALC_PNL!P1072</f>
        <v/>
      </c>
      <c r="I1072" s="25">
        <f>IF(_CALC_PNL!E1072=1,H1072-G1072,"")</f>
        <v/>
      </c>
    </row>
    <row r="1073">
      <c r="A1073" s="1" t="inlineStr">
        <is>
          <t>ISCOM_TLS</t>
        </is>
      </c>
      <c r="B1073" s="1" t="inlineStr">
        <is>
          <t>706</t>
        </is>
      </c>
      <c r="C1073" s="1" t="inlineStr">
        <is>
          <t>2027</t>
        </is>
      </c>
      <c r="D1073" s="1" t="inlineStr">
        <is>
          <t>V02</t>
        </is>
      </c>
      <c r="E1073" s="1" t="inlineStr">
        <is>
          <t>2027BUD_V1</t>
        </is>
      </c>
      <c r="F1073" s="1" t="inlineStr">
        <is>
          <t>12</t>
        </is>
      </c>
      <c r="G1073" s="1" t="n">
        <v>394887.706569334</v>
      </c>
      <c r="H1073" s="25">
        <f>_CALC_PNL!P1073</f>
        <v/>
      </c>
      <c r="I1073" s="25">
        <f>IF(_CALC_PNL!E1073=1,H1073-G1073,"")</f>
        <v/>
      </c>
    </row>
    <row r="1074">
      <c r="A1074" s="1" t="inlineStr">
        <is>
          <t>ISCOM_TLS</t>
        </is>
      </c>
      <c r="B1074" s="1" t="inlineStr">
        <is>
          <t>706</t>
        </is>
      </c>
      <c r="C1074" s="1" t="inlineStr">
        <is>
          <t>2027</t>
        </is>
      </c>
      <c r="D1074" s="1" t="inlineStr">
        <is>
          <t>V03</t>
        </is>
      </c>
      <c r="E1074" s="1" t="inlineStr">
        <is>
          <t>2027BUD_V1</t>
        </is>
      </c>
      <c r="F1074" s="1" t="inlineStr">
        <is>
          <t>12</t>
        </is>
      </c>
      <c r="G1074" s="1" t="n">
        <v>340762.971977868</v>
      </c>
      <c r="H1074" s="25">
        <f>_CALC_PNL!P1074</f>
        <v/>
      </c>
      <c r="I1074" s="25">
        <f>IF(_CALC_PNL!E1074=1,H1074-G1074,"")</f>
        <v/>
      </c>
    </row>
    <row r="1075">
      <c r="A1075" s="1" t="inlineStr">
        <is>
          <t>MBWAY_PAR</t>
        </is>
      </c>
      <c r="B1075" s="1" t="inlineStr">
        <is>
          <t>708</t>
        </is>
      </c>
      <c r="C1075" s="1" t="inlineStr">
        <is>
          <t>2027</t>
        </is>
      </c>
      <c r="D1075" s="1" t="inlineStr">
        <is>
          <t>V01</t>
        </is>
      </c>
      <c r="E1075" s="1" t="inlineStr">
        <is>
          <t>2027BUD_V1</t>
        </is>
      </c>
      <c r="F1075" s="1" t="inlineStr">
        <is>
          <t>12</t>
        </is>
      </c>
      <c r="G1075" s="1" t="n">
        <v>15021.632523789</v>
      </c>
      <c r="H1075" s="25">
        <f>_CALC_PNL!P1075</f>
        <v/>
      </c>
      <c r="I1075" s="25">
        <f>IF(_CALC_PNL!E1075=1,H1075-G1075,"")</f>
        <v/>
      </c>
    </row>
    <row r="1076">
      <c r="A1076" s="1" t="inlineStr">
        <is>
          <t>MBWAY_PAR</t>
        </is>
      </c>
      <c r="B1076" s="1" t="inlineStr">
        <is>
          <t>708</t>
        </is>
      </c>
      <c r="C1076" s="1" t="inlineStr">
        <is>
          <t>2027</t>
        </is>
      </c>
      <c r="D1076" s="1" t="inlineStr">
        <is>
          <t>V02</t>
        </is>
      </c>
      <c r="E1076" s="1" t="inlineStr">
        <is>
          <t>2027BUD_V1</t>
        </is>
      </c>
      <c r="F1076" s="1" t="inlineStr">
        <is>
          <t>12</t>
        </is>
      </c>
      <c r="G1076" s="1" t="n">
        <v>16383.638889579</v>
      </c>
      <c r="H1076" s="25">
        <f>_CALC_PNL!P1076</f>
        <v/>
      </c>
      <c r="I1076" s="25">
        <f>IF(_CALC_PNL!E1076=1,H1076-G1076,"")</f>
        <v/>
      </c>
    </row>
    <row r="1077">
      <c r="A1077" s="1" t="inlineStr">
        <is>
          <t>MBWAY_PAR</t>
        </is>
      </c>
      <c r="B1077" s="1" t="inlineStr">
        <is>
          <t>708</t>
        </is>
      </c>
      <c r="C1077" s="1" t="inlineStr">
        <is>
          <t>2027</t>
        </is>
      </c>
      <c r="D1077" s="1" t="inlineStr">
        <is>
          <t>V03</t>
        </is>
      </c>
      <c r="E1077" s="1" t="inlineStr">
        <is>
          <t>2027BUD_V1</t>
        </is>
      </c>
      <c r="F1077" s="1" t="inlineStr">
        <is>
          <t>12</t>
        </is>
      </c>
      <c r="G1077" s="1" t="n">
        <v>14138.038199082</v>
      </c>
      <c r="H1077" s="25">
        <f>_CALC_PNL!P1077</f>
        <v/>
      </c>
      <c r="I1077" s="25">
        <f>IF(_CALC_PNL!E1077=1,H1077-G1077,"")</f>
        <v/>
      </c>
    </row>
    <row r="1078">
      <c r="A1078" s="1" t="inlineStr">
        <is>
          <t>MBWAY_LYO</t>
        </is>
      </c>
      <c r="B1078" s="1" t="inlineStr">
        <is>
          <t>708</t>
        </is>
      </c>
      <c r="C1078" s="1" t="inlineStr">
        <is>
          <t>2027</t>
        </is>
      </c>
      <c r="D1078" s="1" t="inlineStr">
        <is>
          <t>V01</t>
        </is>
      </c>
      <c r="E1078" s="1" t="inlineStr">
        <is>
          <t>2027BUD_V1</t>
        </is>
      </c>
      <c r="F1078" s="1" t="inlineStr">
        <is>
          <t>12</t>
        </is>
      </c>
      <c r="G1078" s="1" t="n">
        <v>12710.612135513</v>
      </c>
      <c r="H1078" s="25">
        <f>_CALC_PNL!P1078</f>
        <v/>
      </c>
      <c r="I1078" s="25">
        <f>IF(_CALC_PNL!E1078=1,H1078-G1078,"")</f>
        <v/>
      </c>
    </row>
    <row r="1079">
      <c r="A1079" s="1" t="inlineStr">
        <is>
          <t>MBWAY_LYO</t>
        </is>
      </c>
      <c r="B1079" s="1" t="inlineStr">
        <is>
          <t>708</t>
        </is>
      </c>
      <c r="C1079" s="1" t="inlineStr">
        <is>
          <t>2027</t>
        </is>
      </c>
      <c r="D1079" s="1" t="inlineStr">
        <is>
          <t>V02</t>
        </is>
      </c>
      <c r="E1079" s="1" t="inlineStr">
        <is>
          <t>2027BUD_V1</t>
        </is>
      </c>
      <c r="F1079" s="1" t="inlineStr">
        <is>
          <t>12</t>
        </is>
      </c>
      <c r="G1079" s="1" t="n">
        <v>13863.079060413</v>
      </c>
      <c r="H1079" s="25">
        <f>_CALC_PNL!P1079</f>
        <v/>
      </c>
      <c r="I1079" s="25">
        <f>IF(_CALC_PNL!E1079=1,H1079-G1079,"")</f>
        <v/>
      </c>
    </row>
    <row r="1080">
      <c r="A1080" s="1" t="inlineStr">
        <is>
          <t>MBWAY_LYO</t>
        </is>
      </c>
      <c r="B1080" s="1" t="inlineStr">
        <is>
          <t>708</t>
        </is>
      </c>
      <c r="C1080" s="1" t="inlineStr">
        <is>
          <t>2027</t>
        </is>
      </c>
      <c r="D1080" s="1" t="inlineStr">
        <is>
          <t>V03</t>
        </is>
      </c>
      <c r="E1080" s="1" t="inlineStr">
        <is>
          <t>2027BUD_V1</t>
        </is>
      </c>
      <c r="F1080" s="1" t="inlineStr">
        <is>
          <t>12</t>
        </is>
      </c>
      <c r="G1080" s="1" t="n">
        <v>11962.955399223</v>
      </c>
      <c r="H1080" s="25">
        <f>_CALC_PNL!P1080</f>
        <v/>
      </c>
      <c r="I1080" s="25">
        <f>IF(_CALC_PNL!E1080=1,H1080-G1080,"")</f>
        <v/>
      </c>
    </row>
    <row r="1081">
      <c r="A1081" s="1" t="inlineStr">
        <is>
          <t>MBWAY_NAN</t>
        </is>
      </c>
      <c r="B1081" s="1" t="inlineStr">
        <is>
          <t>708</t>
        </is>
      </c>
      <c r="C1081" s="1" t="inlineStr">
        <is>
          <t>2027</t>
        </is>
      </c>
      <c r="D1081" s="1" t="inlineStr">
        <is>
          <t>V01</t>
        </is>
      </c>
      <c r="E1081" s="1" t="inlineStr">
        <is>
          <t>2027BUD_V1</t>
        </is>
      </c>
      <c r="F1081" s="1" t="inlineStr">
        <is>
          <t>12</t>
        </is>
      </c>
      <c r="G1081" s="1" t="n">
        <v>11555.101941376</v>
      </c>
      <c r="H1081" s="25">
        <f>_CALC_PNL!P1081</f>
        <v/>
      </c>
      <c r="I1081" s="25">
        <f>IF(_CALC_PNL!E1081=1,H1081-G1081,"")</f>
        <v/>
      </c>
    </row>
    <row r="1082">
      <c r="A1082" s="1" t="inlineStr">
        <is>
          <t>MBWAY_NAN</t>
        </is>
      </c>
      <c r="B1082" s="1" t="inlineStr">
        <is>
          <t>708</t>
        </is>
      </c>
      <c r="C1082" s="1" t="inlineStr">
        <is>
          <t>2027</t>
        </is>
      </c>
      <c r="D1082" s="1" t="inlineStr">
        <is>
          <t>V02</t>
        </is>
      </c>
      <c r="E1082" s="1" t="inlineStr">
        <is>
          <t>2027BUD_V1</t>
        </is>
      </c>
      <c r="F1082" s="1" t="inlineStr">
        <is>
          <t>12</t>
        </is>
      </c>
      <c r="G1082" s="1" t="n">
        <v>12602.79914583</v>
      </c>
      <c r="H1082" s="25">
        <f>_CALC_PNL!P1082</f>
        <v/>
      </c>
      <c r="I1082" s="25">
        <f>IF(_CALC_PNL!E1082=1,H1082-G1082,"")</f>
        <v/>
      </c>
    </row>
    <row r="1083">
      <c r="A1083" s="1" t="inlineStr">
        <is>
          <t>MBWAY_NAN</t>
        </is>
      </c>
      <c r="B1083" s="1" t="inlineStr">
        <is>
          <t>708</t>
        </is>
      </c>
      <c r="C1083" s="1" t="inlineStr">
        <is>
          <t>2027</t>
        </is>
      </c>
      <c r="D1083" s="1" t="inlineStr">
        <is>
          <t>V03</t>
        </is>
      </c>
      <c r="E1083" s="1" t="inlineStr">
        <is>
          <t>2027BUD_V1</t>
        </is>
      </c>
      <c r="F1083" s="1" t="inlineStr">
        <is>
          <t>12</t>
        </is>
      </c>
      <c r="G1083" s="1" t="n">
        <v>10875.413999294</v>
      </c>
      <c r="H1083" s="25">
        <f>_CALC_PNL!P1083</f>
        <v/>
      </c>
      <c r="I1083" s="25">
        <f>IF(_CALC_PNL!E1083=1,H1083-G1083,"")</f>
        <v/>
      </c>
    </row>
    <row r="1084">
      <c r="A1084" s="1" t="inlineStr">
        <is>
          <t>MBWAY_BOR</t>
        </is>
      </c>
      <c r="B1084" s="1" t="inlineStr">
        <is>
          <t>708</t>
        </is>
      </c>
      <c r="C1084" s="1" t="inlineStr">
        <is>
          <t>2027</t>
        </is>
      </c>
      <c r="D1084" s="1" t="inlineStr">
        <is>
          <t>V01</t>
        </is>
      </c>
      <c r="E1084" s="1" t="inlineStr">
        <is>
          <t>2027BUD_V1</t>
        </is>
      </c>
      <c r="F1084" s="1" t="inlineStr">
        <is>
          <t>12</t>
        </is>
      </c>
      <c r="G1084" s="1" t="n">
        <v>9821.836650169</v>
      </c>
      <c r="H1084" s="25">
        <f>_CALC_PNL!P1084</f>
        <v/>
      </c>
      <c r="I1084" s="25">
        <f>IF(_CALC_PNL!E1084=1,H1084-G1084,"")</f>
        <v/>
      </c>
    </row>
    <row r="1085">
      <c r="A1085" s="1" t="inlineStr">
        <is>
          <t>MBWAY_BOR</t>
        </is>
      </c>
      <c r="B1085" s="1" t="inlineStr">
        <is>
          <t>708</t>
        </is>
      </c>
      <c r="C1085" s="1" t="inlineStr">
        <is>
          <t>2027</t>
        </is>
      </c>
      <c r="D1085" s="1" t="inlineStr">
        <is>
          <t>V02</t>
        </is>
      </c>
      <c r="E1085" s="1" t="inlineStr">
        <is>
          <t>2027BUD_V1</t>
        </is>
      </c>
      <c r="F1085" s="1" t="inlineStr">
        <is>
          <t>12</t>
        </is>
      </c>
      <c r="G1085" s="1" t="n">
        <v>10712.379273955</v>
      </c>
      <c r="H1085" s="25">
        <f>_CALC_PNL!P1085</f>
        <v/>
      </c>
      <c r="I1085" s="25">
        <f>IF(_CALC_PNL!E1085=1,H1085-G1085,"")</f>
        <v/>
      </c>
    </row>
    <row r="1086">
      <c r="A1086" s="1" t="inlineStr">
        <is>
          <t>MBWAY_BOR</t>
        </is>
      </c>
      <c r="B1086" s="1" t="inlineStr">
        <is>
          <t>708</t>
        </is>
      </c>
      <c r="C1086" s="1" t="inlineStr">
        <is>
          <t>2027</t>
        </is>
      </c>
      <c r="D1086" s="1" t="inlineStr">
        <is>
          <t>V03</t>
        </is>
      </c>
      <c r="E1086" s="1" t="inlineStr">
        <is>
          <t>2027BUD_V1</t>
        </is>
      </c>
      <c r="F1086" s="1" t="inlineStr">
        <is>
          <t>12</t>
        </is>
      </c>
      <c r="G1086" s="1" t="n">
        <v>9244.101899400001</v>
      </c>
      <c r="H1086" s="25">
        <f>_CALC_PNL!P1086</f>
        <v/>
      </c>
      <c r="I1086" s="25">
        <f>IF(_CALC_PNL!E1086=1,H1086-G1086,"")</f>
        <v/>
      </c>
    </row>
    <row r="1087">
      <c r="A1087" s="1" t="inlineStr">
        <is>
          <t>ISCOM_PAR</t>
        </is>
      </c>
      <c r="B1087" s="1" t="inlineStr">
        <is>
          <t>708</t>
        </is>
      </c>
      <c r="C1087" s="1" t="inlineStr">
        <is>
          <t>2027</t>
        </is>
      </c>
      <c r="D1087" s="1" t="inlineStr">
        <is>
          <t>V01</t>
        </is>
      </c>
      <c r="E1087" s="1" t="inlineStr">
        <is>
          <t>2027BUD_V1</t>
        </is>
      </c>
      <c r="F1087" s="1" t="inlineStr">
        <is>
          <t>12</t>
        </is>
      </c>
      <c r="G1087" s="1" t="n">
        <v>13866.122329651</v>
      </c>
      <c r="H1087" s="25">
        <f>_CALC_PNL!P1087</f>
        <v/>
      </c>
      <c r="I1087" s="25">
        <f>IF(_CALC_PNL!E1087=1,H1087-G1087,"")</f>
        <v/>
      </c>
    </row>
    <row r="1088">
      <c r="A1088" s="1" t="inlineStr">
        <is>
          <t>ISCOM_PAR</t>
        </is>
      </c>
      <c r="B1088" s="1" t="inlineStr">
        <is>
          <t>708</t>
        </is>
      </c>
      <c r="C1088" s="1" t="inlineStr">
        <is>
          <t>2027</t>
        </is>
      </c>
      <c r="D1088" s="1" t="inlineStr">
        <is>
          <t>V02</t>
        </is>
      </c>
      <c r="E1088" s="1" t="inlineStr">
        <is>
          <t>2027BUD_V1</t>
        </is>
      </c>
      <c r="F1088" s="1" t="inlineStr">
        <is>
          <t>12</t>
        </is>
      </c>
      <c r="G1088" s="1" t="n">
        <v>15123.358974996</v>
      </c>
      <c r="H1088" s="25">
        <f>_CALC_PNL!P1088</f>
        <v/>
      </c>
      <c r="I1088" s="25">
        <f>IF(_CALC_PNL!E1088=1,H1088-G1088,"")</f>
        <v/>
      </c>
    </row>
    <row r="1089">
      <c r="A1089" s="1" t="inlineStr">
        <is>
          <t>ISCOM_PAR</t>
        </is>
      </c>
      <c r="B1089" s="1" t="inlineStr">
        <is>
          <t>708</t>
        </is>
      </c>
      <c r="C1089" s="1" t="inlineStr">
        <is>
          <t>2027</t>
        </is>
      </c>
      <c r="D1089" s="1" t="inlineStr">
        <is>
          <t>V03</t>
        </is>
      </c>
      <c r="E1089" s="1" t="inlineStr">
        <is>
          <t>2027BUD_V1</t>
        </is>
      </c>
      <c r="F1089" s="1" t="inlineStr">
        <is>
          <t>12</t>
        </is>
      </c>
      <c r="G1089" s="1" t="n">
        <v>13050.496799152</v>
      </c>
      <c r="H1089" s="25">
        <f>_CALC_PNL!P1089</f>
        <v/>
      </c>
      <c r="I1089" s="25">
        <f>IF(_CALC_PNL!E1089=1,H1089-G1089,"")</f>
        <v/>
      </c>
    </row>
    <row r="1090">
      <c r="A1090" s="1" t="inlineStr">
        <is>
          <t>ISCOM_LIL</t>
        </is>
      </c>
      <c r="B1090" s="1" t="inlineStr">
        <is>
          <t>708</t>
        </is>
      </c>
      <c r="C1090" s="1" t="inlineStr">
        <is>
          <t>2027</t>
        </is>
      </c>
      <c r="D1090" s="1" t="inlineStr">
        <is>
          <t>V01</t>
        </is>
      </c>
      <c r="E1090" s="1" t="inlineStr">
        <is>
          <t>2027BUD_V1</t>
        </is>
      </c>
      <c r="F1090" s="1" t="inlineStr">
        <is>
          <t>12</t>
        </is>
      </c>
      <c r="G1090" s="1" t="n">
        <v>9629.251617813001</v>
      </c>
      <c r="H1090" s="25">
        <f>_CALC_PNL!P1090</f>
        <v/>
      </c>
      <c r="I1090" s="25">
        <f>IF(_CALC_PNL!E1090=1,H1090-G1090,"")</f>
        <v/>
      </c>
    </row>
    <row r="1091">
      <c r="A1091" s="1" t="inlineStr">
        <is>
          <t>ISCOM_LIL</t>
        </is>
      </c>
      <c r="B1091" s="1" t="inlineStr">
        <is>
          <t>708</t>
        </is>
      </c>
      <c r="C1091" s="1" t="inlineStr">
        <is>
          <t>2027</t>
        </is>
      </c>
      <c r="D1091" s="1" t="inlineStr">
        <is>
          <t>V02</t>
        </is>
      </c>
      <c r="E1091" s="1" t="inlineStr">
        <is>
          <t>2027BUD_V1</t>
        </is>
      </c>
      <c r="F1091" s="1" t="inlineStr">
        <is>
          <t>12</t>
        </is>
      </c>
      <c r="G1091" s="1" t="n">
        <v>10502.332621525</v>
      </c>
      <c r="H1091" s="25">
        <f>_CALC_PNL!P1091</f>
        <v/>
      </c>
      <c r="I1091" s="25">
        <f>IF(_CALC_PNL!E1091=1,H1091-G1091,"")</f>
        <v/>
      </c>
    </row>
    <row r="1092">
      <c r="A1092" s="1" t="inlineStr">
        <is>
          <t>ISCOM_LIL</t>
        </is>
      </c>
      <c r="B1092" s="1" t="inlineStr">
        <is>
          <t>708</t>
        </is>
      </c>
      <c r="C1092" s="1" t="inlineStr">
        <is>
          <t>2027</t>
        </is>
      </c>
      <c r="D1092" s="1" t="inlineStr">
        <is>
          <t>V03</t>
        </is>
      </c>
      <c r="E1092" s="1" t="inlineStr">
        <is>
          <t>2027BUD_V1</t>
        </is>
      </c>
      <c r="F1092" s="1" t="inlineStr">
        <is>
          <t>12</t>
        </is>
      </c>
      <c r="G1092" s="1" t="n">
        <v>9062.844999411</v>
      </c>
      <c r="H1092" s="25">
        <f>_CALC_PNL!P1092</f>
        <v/>
      </c>
      <c r="I1092" s="25">
        <f>IF(_CALC_PNL!E1092=1,H1092-G1092,"")</f>
        <v/>
      </c>
    </row>
    <row r="1093">
      <c r="A1093" s="1" t="inlineStr">
        <is>
          <t>ISCOM_TLS</t>
        </is>
      </c>
      <c r="B1093" s="1" t="inlineStr">
        <is>
          <t>708</t>
        </is>
      </c>
      <c r="C1093" s="1" t="inlineStr">
        <is>
          <t>2027</t>
        </is>
      </c>
      <c r="D1093" s="1" t="inlineStr">
        <is>
          <t>V01</t>
        </is>
      </c>
      <c r="E1093" s="1" t="inlineStr">
        <is>
          <t>2027BUD_V1</t>
        </is>
      </c>
      <c r="F1093" s="1" t="inlineStr">
        <is>
          <t>12</t>
        </is>
      </c>
      <c r="G1093" s="1" t="n">
        <v>9051.496520744</v>
      </c>
      <c r="H1093" s="25">
        <f>_CALC_PNL!P1093</f>
        <v/>
      </c>
      <c r="I1093" s="25">
        <f>IF(_CALC_PNL!E1093=1,H1093-G1093,"")</f>
        <v/>
      </c>
    </row>
    <row r="1094">
      <c r="A1094" s="1" t="inlineStr">
        <is>
          <t>ISCOM_TLS</t>
        </is>
      </c>
      <c r="B1094" s="1" t="inlineStr">
        <is>
          <t>708</t>
        </is>
      </c>
      <c r="C1094" s="1" t="inlineStr">
        <is>
          <t>2027</t>
        </is>
      </c>
      <c r="D1094" s="1" t="inlineStr">
        <is>
          <t>V02</t>
        </is>
      </c>
      <c r="E1094" s="1" t="inlineStr">
        <is>
          <t>2027BUD_V1</t>
        </is>
      </c>
      <c r="F1094" s="1" t="inlineStr">
        <is>
          <t>12</t>
        </is>
      </c>
      <c r="G1094" s="1" t="n">
        <v>9872.192664233</v>
      </c>
      <c r="H1094" s="25">
        <f>_CALC_PNL!P1094</f>
        <v/>
      </c>
      <c r="I1094" s="25">
        <f>IF(_CALC_PNL!E1094=1,H1094-G1094,"")</f>
        <v/>
      </c>
    </row>
    <row r="1095">
      <c r="A1095" s="1" t="inlineStr">
        <is>
          <t>ISCOM_TLS</t>
        </is>
      </c>
      <c r="B1095" s="1" t="inlineStr">
        <is>
          <t>708</t>
        </is>
      </c>
      <c r="C1095" s="1" t="inlineStr">
        <is>
          <t>2027</t>
        </is>
      </c>
      <c r="D1095" s="1" t="inlineStr">
        <is>
          <t>V03</t>
        </is>
      </c>
      <c r="E1095" s="1" t="inlineStr">
        <is>
          <t>2027BUD_V1</t>
        </is>
      </c>
      <c r="F1095" s="1" t="inlineStr">
        <is>
          <t>12</t>
        </is>
      </c>
      <c r="G1095" s="1" t="n">
        <v>8519.074299447</v>
      </c>
      <c r="H1095" s="25">
        <f>_CALC_PNL!P1095</f>
        <v/>
      </c>
      <c r="I1095" s="25">
        <f>IF(_CALC_PNL!E1095=1,H1095-G1095,"")</f>
        <v/>
      </c>
    </row>
    <row r="1096">
      <c r="A1096" s="1" t="inlineStr">
        <is>
          <t>IPAC_NAN</t>
        </is>
      </c>
      <c r="B1096" s="1" t="inlineStr">
        <is>
          <t>708</t>
        </is>
      </c>
      <c r="C1096" s="1" t="inlineStr">
        <is>
          <t>2027</t>
        </is>
      </c>
      <c r="D1096" s="1" t="inlineStr">
        <is>
          <t>V01</t>
        </is>
      </c>
      <c r="E1096" s="1" t="inlineStr">
        <is>
          <t>2027BUD_V1</t>
        </is>
      </c>
      <c r="F1096" s="1" t="inlineStr">
        <is>
          <t>12</t>
        </is>
      </c>
      <c r="G1096" s="1" t="n">
        <v>4814.625808907</v>
      </c>
      <c r="H1096" s="25">
        <f>_CALC_PNL!P1096</f>
        <v/>
      </c>
      <c r="I1096" s="25">
        <f>IF(_CALC_PNL!E1096=1,H1096-G1096,"")</f>
        <v/>
      </c>
    </row>
    <row r="1097">
      <c r="A1097" s="1" t="inlineStr">
        <is>
          <t>IPAC_NAN</t>
        </is>
      </c>
      <c r="B1097" s="1" t="inlineStr">
        <is>
          <t>708</t>
        </is>
      </c>
      <c r="C1097" s="1" t="inlineStr">
        <is>
          <t>2027</t>
        </is>
      </c>
      <c r="D1097" s="1" t="inlineStr">
        <is>
          <t>V02</t>
        </is>
      </c>
      <c r="E1097" s="1" t="inlineStr">
        <is>
          <t>2027BUD_V1</t>
        </is>
      </c>
      <c r="F1097" s="1" t="inlineStr">
        <is>
          <t>12</t>
        </is>
      </c>
      <c r="G1097" s="1" t="n">
        <v>5251.166310762</v>
      </c>
      <c r="H1097" s="25">
        <f>_CALC_PNL!P1097</f>
        <v/>
      </c>
      <c r="I1097" s="25">
        <f>IF(_CALC_PNL!E1097=1,H1097-G1097,"")</f>
        <v/>
      </c>
    </row>
    <row r="1098">
      <c r="A1098" s="1" t="inlineStr">
        <is>
          <t>IPAC_NAN</t>
        </is>
      </c>
      <c r="B1098" s="1" t="inlineStr">
        <is>
          <t>708</t>
        </is>
      </c>
      <c r="C1098" s="1" t="inlineStr">
        <is>
          <t>2027</t>
        </is>
      </c>
      <c r="D1098" s="1" t="inlineStr">
        <is>
          <t>V03</t>
        </is>
      </c>
      <c r="E1098" s="1" t="inlineStr">
        <is>
          <t>2027BUD_V1</t>
        </is>
      </c>
      <c r="F1098" s="1" t="inlineStr">
        <is>
          <t>12</t>
        </is>
      </c>
      <c r="G1098" s="1" t="n">
        <v>4531.422499706</v>
      </c>
      <c r="H1098" s="25">
        <f>_CALC_PNL!P1098</f>
        <v/>
      </c>
      <c r="I1098" s="25">
        <f>IF(_CALC_PNL!E1098=1,H1098-G1098,"")</f>
        <v/>
      </c>
    </row>
    <row r="1099">
      <c r="A1099" s="1" t="inlineStr">
        <is>
          <t>IPAC_REN</t>
        </is>
      </c>
      <c r="B1099" s="1" t="inlineStr">
        <is>
          <t>708</t>
        </is>
      </c>
      <c r="C1099" s="1" t="inlineStr">
        <is>
          <t>2027</t>
        </is>
      </c>
      <c r="D1099" s="1" t="inlineStr">
        <is>
          <t>V01</t>
        </is>
      </c>
      <c r="E1099" s="1" t="inlineStr">
        <is>
          <t>2027BUD_V1</t>
        </is>
      </c>
      <c r="F1099" s="1" t="inlineStr">
        <is>
          <t>12</t>
        </is>
      </c>
      <c r="G1099" s="1" t="n">
        <v>3851.700647125</v>
      </c>
      <c r="H1099" s="25">
        <f>_CALC_PNL!P1099</f>
        <v/>
      </c>
      <c r="I1099" s="25">
        <f>IF(_CALC_PNL!E1099=1,H1099-G1099,"")</f>
        <v/>
      </c>
    </row>
    <row r="1100">
      <c r="A1100" s="1" t="inlineStr">
        <is>
          <t>IPAC_REN</t>
        </is>
      </c>
      <c r="B1100" s="1" t="inlineStr">
        <is>
          <t>708</t>
        </is>
      </c>
      <c r="C1100" s="1" t="inlineStr">
        <is>
          <t>2027</t>
        </is>
      </c>
      <c r="D1100" s="1" t="inlineStr">
        <is>
          <t>V02</t>
        </is>
      </c>
      <c r="E1100" s="1" t="inlineStr">
        <is>
          <t>2027BUD_V1</t>
        </is>
      </c>
      <c r="F1100" s="1" t="inlineStr">
        <is>
          <t>12</t>
        </is>
      </c>
      <c r="G1100" s="1" t="n">
        <v>4200.93304861</v>
      </c>
      <c r="H1100" s="25">
        <f>_CALC_PNL!P1100</f>
        <v/>
      </c>
      <c r="I1100" s="25">
        <f>IF(_CALC_PNL!E1100=1,H1100-G1100,"")</f>
        <v/>
      </c>
    </row>
    <row r="1101">
      <c r="A1101" s="1" t="inlineStr">
        <is>
          <t>IPAC_REN</t>
        </is>
      </c>
      <c r="B1101" s="1" t="inlineStr">
        <is>
          <t>708</t>
        </is>
      </c>
      <c r="C1101" s="1" t="inlineStr">
        <is>
          <t>2027</t>
        </is>
      </c>
      <c r="D1101" s="1" t="inlineStr">
        <is>
          <t>V03</t>
        </is>
      </c>
      <c r="E1101" s="1" t="inlineStr">
        <is>
          <t>2027BUD_V1</t>
        </is>
      </c>
      <c r="F1101" s="1" t="inlineStr">
        <is>
          <t>12</t>
        </is>
      </c>
      <c r="G1101" s="1" t="n">
        <v>3625.137999765</v>
      </c>
      <c r="H1101" s="25">
        <f>_CALC_PNL!P1101</f>
        <v/>
      </c>
      <c r="I1101" s="25">
        <f>IF(_CALC_PNL!E1101=1,H1101-G1101,"")</f>
        <v/>
      </c>
    </row>
    <row r="1102">
      <c r="A1102" s="1" t="inlineStr">
        <is>
          <t>IPAC_MTP</t>
        </is>
      </c>
      <c r="B1102" s="1" t="inlineStr">
        <is>
          <t>708</t>
        </is>
      </c>
      <c r="C1102" s="1" t="inlineStr">
        <is>
          <t>2027</t>
        </is>
      </c>
      <c r="D1102" s="1" t="inlineStr">
        <is>
          <t>V01</t>
        </is>
      </c>
      <c r="E1102" s="1" t="inlineStr">
        <is>
          <t>2027BUD_V1</t>
        </is>
      </c>
      <c r="F1102" s="1" t="inlineStr">
        <is>
          <t>12</t>
        </is>
      </c>
      <c r="G1102" s="1" t="n">
        <v>3851.700647125</v>
      </c>
      <c r="H1102" s="25">
        <f>_CALC_PNL!P1102</f>
        <v/>
      </c>
      <c r="I1102" s="25">
        <f>IF(_CALC_PNL!E1102=1,H1102-G1102,"")</f>
        <v/>
      </c>
    </row>
    <row r="1103">
      <c r="A1103" s="1" t="inlineStr">
        <is>
          <t>IPAC_MTP</t>
        </is>
      </c>
      <c r="B1103" s="1" t="inlineStr">
        <is>
          <t>708</t>
        </is>
      </c>
      <c r="C1103" s="1" t="inlineStr">
        <is>
          <t>2027</t>
        </is>
      </c>
      <c r="D1103" s="1" t="inlineStr">
        <is>
          <t>V02</t>
        </is>
      </c>
      <c r="E1103" s="1" t="inlineStr">
        <is>
          <t>2027BUD_V1</t>
        </is>
      </c>
      <c r="F1103" s="1" t="inlineStr">
        <is>
          <t>12</t>
        </is>
      </c>
      <c r="G1103" s="1" t="n">
        <v>4200.93304861</v>
      </c>
      <c r="H1103" s="25">
        <f>_CALC_PNL!P1103</f>
        <v/>
      </c>
      <c r="I1103" s="25">
        <f>IF(_CALC_PNL!E1103=1,H1103-G1103,"")</f>
        <v/>
      </c>
    </row>
    <row r="1104">
      <c r="A1104" s="1" t="inlineStr">
        <is>
          <t>IPAC_MTP</t>
        </is>
      </c>
      <c r="B1104" s="1" t="inlineStr">
        <is>
          <t>708</t>
        </is>
      </c>
      <c r="C1104" s="1" t="inlineStr">
        <is>
          <t>2027</t>
        </is>
      </c>
      <c r="D1104" s="1" t="inlineStr">
        <is>
          <t>V03</t>
        </is>
      </c>
      <c r="E1104" s="1" t="inlineStr">
        <is>
          <t>2027BUD_V1</t>
        </is>
      </c>
      <c r="F1104" s="1" t="inlineStr">
        <is>
          <t>12</t>
        </is>
      </c>
      <c r="G1104" s="1" t="n">
        <v>3625.137999765</v>
      </c>
      <c r="H1104" s="25">
        <f>_CALC_PNL!P1104</f>
        <v/>
      </c>
      <c r="I1104" s="25">
        <f>IF(_CALC_PNL!E1104=1,H1104-G1104,"")</f>
        <v/>
      </c>
    </row>
    <row r="1105">
      <c r="A1105" s="1" t="inlineStr">
        <is>
          <t>PIGIER_LYO</t>
        </is>
      </c>
      <c r="B1105" s="1" t="inlineStr">
        <is>
          <t>708</t>
        </is>
      </c>
      <c r="C1105" s="1" t="inlineStr">
        <is>
          <t>2027</t>
        </is>
      </c>
      <c r="D1105" s="1" t="inlineStr">
        <is>
          <t>V01</t>
        </is>
      </c>
      <c r="E1105" s="1" t="inlineStr">
        <is>
          <t>2027BUD_V1</t>
        </is>
      </c>
      <c r="F1105" s="1" t="inlineStr">
        <is>
          <t>12</t>
        </is>
      </c>
      <c r="G1105" s="1" t="n">
        <v>8858.911488387999</v>
      </c>
      <c r="H1105" s="25">
        <f>_CALC_PNL!P1105</f>
        <v/>
      </c>
      <c r="I1105" s="25">
        <f>IF(_CALC_PNL!E1105=1,H1105-G1105,"")</f>
        <v/>
      </c>
    </row>
    <row r="1106">
      <c r="A1106" s="1" t="inlineStr">
        <is>
          <t>PIGIER_LYO</t>
        </is>
      </c>
      <c r="B1106" s="1" t="inlineStr">
        <is>
          <t>708</t>
        </is>
      </c>
      <c r="C1106" s="1" t="inlineStr">
        <is>
          <t>2027</t>
        </is>
      </c>
      <c r="D1106" s="1" t="inlineStr">
        <is>
          <t>V02</t>
        </is>
      </c>
      <c r="E1106" s="1" t="inlineStr">
        <is>
          <t>2027BUD_V1</t>
        </is>
      </c>
      <c r="F1106" s="1" t="inlineStr">
        <is>
          <t>12</t>
        </is>
      </c>
      <c r="G1106" s="1" t="n">
        <v>9662.146011803001</v>
      </c>
      <c r="H1106" s="25">
        <f>_CALC_PNL!P1106</f>
        <v/>
      </c>
      <c r="I1106" s="25">
        <f>IF(_CALC_PNL!E1106=1,H1106-G1106,"")</f>
        <v/>
      </c>
    </row>
    <row r="1107">
      <c r="A1107" s="1" t="inlineStr">
        <is>
          <t>PIGIER_LYO</t>
        </is>
      </c>
      <c r="B1107" s="1" t="inlineStr">
        <is>
          <t>708</t>
        </is>
      </c>
      <c r="C1107" s="1" t="inlineStr">
        <is>
          <t>2027</t>
        </is>
      </c>
      <c r="D1107" s="1" t="inlineStr">
        <is>
          <t>V03</t>
        </is>
      </c>
      <c r="E1107" s="1" t="inlineStr">
        <is>
          <t>2027BUD_V1</t>
        </is>
      </c>
      <c r="F1107" s="1" t="inlineStr">
        <is>
          <t>12</t>
        </is>
      </c>
      <c r="G1107" s="1" t="n">
        <v>8337.817399457999</v>
      </c>
      <c r="H1107" s="25">
        <f>_CALC_PNL!P1107</f>
        <v/>
      </c>
      <c r="I1107" s="25">
        <f>IF(_CALC_PNL!E1107=1,H1107-G1107,"")</f>
        <v/>
      </c>
    </row>
    <row r="1108">
      <c r="A1108" s="1" t="inlineStr">
        <is>
          <t>PIGIER_BOR</t>
        </is>
      </c>
      <c r="B1108" s="1" t="inlineStr">
        <is>
          <t>708</t>
        </is>
      </c>
      <c r="C1108" s="1" t="inlineStr">
        <is>
          <t>2027</t>
        </is>
      </c>
      <c r="D1108" s="1" t="inlineStr">
        <is>
          <t>V01</t>
        </is>
      </c>
      <c r="E1108" s="1" t="inlineStr">
        <is>
          <t>2027BUD_V1</t>
        </is>
      </c>
      <c r="F1108" s="1" t="inlineStr">
        <is>
          <t>12</t>
        </is>
      </c>
      <c r="G1108" s="1" t="n">
        <v>6933.061164825</v>
      </c>
      <c r="H1108" s="25">
        <f>_CALC_PNL!P1108</f>
        <v/>
      </c>
      <c r="I1108" s="25">
        <f>IF(_CALC_PNL!E1108=1,H1108-G1108,"")</f>
        <v/>
      </c>
    </row>
    <row r="1109">
      <c r="A1109" s="1" t="inlineStr">
        <is>
          <t>PIGIER_BOR</t>
        </is>
      </c>
      <c r="B1109" s="1" t="inlineStr">
        <is>
          <t>708</t>
        </is>
      </c>
      <c r="C1109" s="1" t="inlineStr">
        <is>
          <t>2027</t>
        </is>
      </c>
      <c r="D1109" s="1" t="inlineStr">
        <is>
          <t>V02</t>
        </is>
      </c>
      <c r="E1109" s="1" t="inlineStr">
        <is>
          <t>2027BUD_V1</t>
        </is>
      </c>
      <c r="F1109" s="1" t="inlineStr">
        <is>
          <t>12</t>
        </is>
      </c>
      <c r="G1109" s="1" t="n">
        <v>7561.679487498</v>
      </c>
      <c r="H1109" s="25">
        <f>_CALC_PNL!P1109</f>
        <v/>
      </c>
      <c r="I1109" s="25">
        <f>IF(_CALC_PNL!E1109=1,H1109-G1109,"")</f>
        <v/>
      </c>
    </row>
    <row r="1110">
      <c r="A1110" s="1" t="inlineStr">
        <is>
          <t>PIGIER_BOR</t>
        </is>
      </c>
      <c r="B1110" s="1" t="inlineStr">
        <is>
          <t>708</t>
        </is>
      </c>
      <c r="C1110" s="1" t="inlineStr">
        <is>
          <t>2027</t>
        </is>
      </c>
      <c r="D1110" s="1" t="inlineStr">
        <is>
          <t>V03</t>
        </is>
      </c>
      <c r="E1110" s="1" t="inlineStr">
        <is>
          <t>2027BUD_V1</t>
        </is>
      </c>
      <c r="F1110" s="1" t="inlineStr">
        <is>
          <t>12</t>
        </is>
      </c>
      <c r="G1110" s="1" t="n">
        <v>6525.248399576</v>
      </c>
      <c r="H1110" s="25">
        <f>_CALC_PNL!P1110</f>
        <v/>
      </c>
      <c r="I1110" s="25">
        <f>IF(_CALC_PNL!E1110=1,H1110-G1110,"")</f>
        <v/>
      </c>
    </row>
    <row r="1111">
      <c r="A1111" s="1" t="inlineStr">
        <is>
          <t>TUNON_PAR</t>
        </is>
      </c>
      <c r="B1111" s="1" t="inlineStr">
        <is>
          <t>708</t>
        </is>
      </c>
      <c r="C1111" s="1" t="inlineStr">
        <is>
          <t>2027</t>
        </is>
      </c>
      <c r="D1111" s="1" t="inlineStr">
        <is>
          <t>V01</t>
        </is>
      </c>
      <c r="E1111" s="1" t="inlineStr">
        <is>
          <t>2027BUD_V1</t>
        </is>
      </c>
      <c r="F1111" s="1" t="inlineStr">
        <is>
          <t>12</t>
        </is>
      </c>
      <c r="G1111" s="1" t="n">
        <v>4525.748260372</v>
      </c>
      <c r="H1111" s="25">
        <f>_CALC_PNL!P1111</f>
        <v/>
      </c>
      <c r="I1111" s="25">
        <f>IF(_CALC_PNL!E1111=1,H1111-G1111,"")</f>
        <v/>
      </c>
    </row>
    <row r="1112">
      <c r="A1112" s="1" t="inlineStr">
        <is>
          <t>TUNON_PAR</t>
        </is>
      </c>
      <c r="B1112" s="1" t="inlineStr">
        <is>
          <t>708</t>
        </is>
      </c>
      <c r="C1112" s="1" t="inlineStr">
        <is>
          <t>2027</t>
        </is>
      </c>
      <c r="D1112" s="1" t="inlineStr">
        <is>
          <t>V02</t>
        </is>
      </c>
      <c r="E1112" s="1" t="inlineStr">
        <is>
          <t>2027BUD_V1</t>
        </is>
      </c>
      <c r="F1112" s="1" t="inlineStr">
        <is>
          <t>12</t>
        </is>
      </c>
      <c r="G1112" s="1" t="n">
        <v>4936.096332117</v>
      </c>
      <c r="H1112" s="25">
        <f>_CALC_PNL!P1112</f>
        <v/>
      </c>
      <c r="I1112" s="25">
        <f>IF(_CALC_PNL!E1112=1,H1112-G1112,"")</f>
        <v/>
      </c>
    </row>
    <row r="1113">
      <c r="A1113" s="1" t="inlineStr">
        <is>
          <t>TUNON_PAR</t>
        </is>
      </c>
      <c r="B1113" s="1" t="inlineStr">
        <is>
          <t>708</t>
        </is>
      </c>
      <c r="C1113" s="1" t="inlineStr">
        <is>
          <t>2027</t>
        </is>
      </c>
      <c r="D1113" s="1" t="inlineStr">
        <is>
          <t>V03</t>
        </is>
      </c>
      <c r="E1113" s="1" t="inlineStr">
        <is>
          <t>2027BUD_V1</t>
        </is>
      </c>
      <c r="F1113" s="1" t="inlineStr">
        <is>
          <t>12</t>
        </is>
      </c>
      <c r="G1113" s="1" t="n">
        <v>4259.537149723</v>
      </c>
      <c r="H1113" s="25">
        <f>_CALC_PNL!P1113</f>
        <v/>
      </c>
      <c r="I1113" s="25">
        <f>IF(_CALC_PNL!E1113=1,H1113-G1113,"")</f>
        <v/>
      </c>
    </row>
    <row r="1114">
      <c r="A1114" s="1" t="inlineStr">
        <is>
          <t>TUNON_LYO</t>
        </is>
      </c>
      <c r="B1114" s="1" t="inlineStr">
        <is>
          <t>708</t>
        </is>
      </c>
      <c r="C1114" s="1" t="inlineStr">
        <is>
          <t>2027</t>
        </is>
      </c>
      <c r="D1114" s="1" t="inlineStr">
        <is>
          <t>V01</t>
        </is>
      </c>
      <c r="E1114" s="1" t="inlineStr">
        <is>
          <t>2027BUD_V1</t>
        </is>
      </c>
      <c r="F1114" s="1" t="inlineStr">
        <is>
          <t>12</t>
        </is>
      </c>
      <c r="G1114" s="1" t="n">
        <v>3851.700647125</v>
      </c>
      <c r="H1114" s="25">
        <f>_CALC_PNL!P1114</f>
        <v/>
      </c>
      <c r="I1114" s="25">
        <f>IF(_CALC_PNL!E1114=1,H1114-G1114,"")</f>
        <v/>
      </c>
    </row>
    <row r="1115">
      <c r="A1115" s="1" t="inlineStr">
        <is>
          <t>TUNON_LYO</t>
        </is>
      </c>
      <c r="B1115" s="1" t="inlineStr">
        <is>
          <t>708</t>
        </is>
      </c>
      <c r="C1115" s="1" t="inlineStr">
        <is>
          <t>2027</t>
        </is>
      </c>
      <c r="D1115" s="1" t="inlineStr">
        <is>
          <t>V02</t>
        </is>
      </c>
      <c r="E1115" s="1" t="inlineStr">
        <is>
          <t>2027BUD_V1</t>
        </is>
      </c>
      <c r="F1115" s="1" t="inlineStr">
        <is>
          <t>12</t>
        </is>
      </c>
      <c r="G1115" s="1" t="n">
        <v>4200.93304861</v>
      </c>
      <c r="H1115" s="25">
        <f>_CALC_PNL!P1115</f>
        <v/>
      </c>
      <c r="I1115" s="25">
        <f>IF(_CALC_PNL!E1115=1,H1115-G1115,"")</f>
        <v/>
      </c>
    </row>
    <row r="1116">
      <c r="A1116" s="1" t="inlineStr">
        <is>
          <t>TUNON_LYO</t>
        </is>
      </c>
      <c r="B1116" s="1" t="inlineStr">
        <is>
          <t>708</t>
        </is>
      </c>
      <c r="C1116" s="1" t="inlineStr">
        <is>
          <t>2027</t>
        </is>
      </c>
      <c r="D1116" s="1" t="inlineStr">
        <is>
          <t>V03</t>
        </is>
      </c>
      <c r="E1116" s="1" t="inlineStr">
        <is>
          <t>2027BUD_V1</t>
        </is>
      </c>
      <c r="F1116" s="1" t="inlineStr">
        <is>
          <t>12</t>
        </is>
      </c>
      <c r="G1116" s="1" t="n">
        <v>3625.137999765</v>
      </c>
      <c r="H1116" s="25">
        <f>_CALC_PNL!P1116</f>
        <v/>
      </c>
      <c r="I1116" s="25">
        <f>IF(_CALC_PNL!E1116=1,H1116-G1116,"")</f>
        <v/>
      </c>
    </row>
    <row r="1117">
      <c r="A1117" s="1" t="inlineStr">
        <is>
          <t>MBWAY_PAR</t>
        </is>
      </c>
      <c r="B1117" s="1" t="inlineStr">
        <is>
          <t>621</t>
        </is>
      </c>
      <c r="C1117" s="1" t="inlineStr">
        <is>
          <t>2027</t>
        </is>
      </c>
      <c r="D1117" s="1" t="inlineStr">
        <is>
          <t>V01</t>
        </is>
      </c>
      <c r="E1117" s="1" t="inlineStr">
        <is>
          <t>2027BUD_V1</t>
        </is>
      </c>
      <c r="F1117" s="1" t="inlineStr">
        <is>
          <t>12</t>
        </is>
      </c>
      <c r="G1117" s="1" t="n">
        <v>191817.966172388</v>
      </c>
      <c r="H1117" s="25">
        <f>_CALC_PNL!P1117</f>
        <v/>
      </c>
      <c r="I1117" s="25">
        <f>IF(_CALC_PNL!E1117=1,H1117-G1117,"")</f>
        <v/>
      </c>
    </row>
    <row r="1118">
      <c r="A1118" s="1" t="inlineStr">
        <is>
          <t>MBWAY_PAR</t>
        </is>
      </c>
      <c r="B1118" s="1" t="inlineStr">
        <is>
          <t>621</t>
        </is>
      </c>
      <c r="C1118" s="1" t="inlineStr">
        <is>
          <t>2027</t>
        </is>
      </c>
      <c r="D1118" s="1" t="inlineStr">
        <is>
          <t>V02</t>
        </is>
      </c>
      <c r="E1118" s="1" t="inlineStr">
        <is>
          <t>2027BUD_V1</t>
        </is>
      </c>
      <c r="F1118" s="1" t="inlineStr">
        <is>
          <t>12</t>
        </is>
      </c>
      <c r="G1118" s="1" t="n">
        <v>204983.571227727</v>
      </c>
      <c r="H1118" s="25">
        <f>_CALC_PNL!P1118</f>
        <v/>
      </c>
      <c r="I1118" s="25">
        <f>IF(_CALC_PNL!E1118=1,H1118-G1118,"")</f>
        <v/>
      </c>
    </row>
    <row r="1119">
      <c r="A1119" s="1" t="inlineStr">
        <is>
          <t>MBWAY_PAR</t>
        </is>
      </c>
      <c r="B1119" s="1" t="inlineStr">
        <is>
          <t>621</t>
        </is>
      </c>
      <c r="C1119" s="1" t="inlineStr">
        <is>
          <t>2027</t>
        </is>
      </c>
      <c r="D1119" s="1" t="inlineStr">
        <is>
          <t>V03</t>
        </is>
      </c>
      <c r="E1119" s="1" t="inlineStr">
        <is>
          <t>2027BUD_V1</t>
        </is>
      </c>
      <c r="F1119" s="1" t="inlineStr">
        <is>
          <t>12</t>
        </is>
      </c>
      <c r="G1119" s="1" t="n">
        <v>182358.539147045</v>
      </c>
      <c r="H1119" s="25">
        <f>_CALC_PNL!P1119</f>
        <v/>
      </c>
      <c r="I1119" s="25">
        <f>IF(_CALC_PNL!E1119=1,H1119-G1119,"")</f>
        <v/>
      </c>
    </row>
    <row r="1120">
      <c r="A1120" s="1" t="inlineStr">
        <is>
          <t>MBWAY_LYO</t>
        </is>
      </c>
      <c r="B1120" s="1" t="inlineStr">
        <is>
          <t>621</t>
        </is>
      </c>
      <c r="C1120" s="1" t="inlineStr">
        <is>
          <t>2027</t>
        </is>
      </c>
      <c r="D1120" s="1" t="inlineStr">
        <is>
          <t>V01</t>
        </is>
      </c>
      <c r="E1120" s="1" t="inlineStr">
        <is>
          <t>2027BUD_V1</t>
        </is>
      </c>
      <c r="F1120" s="1" t="inlineStr">
        <is>
          <t>12</t>
        </is>
      </c>
      <c r="G1120" s="1" t="n">
        <v>166242.096120379</v>
      </c>
      <c r="H1120" s="25">
        <f>_CALC_PNL!P1120</f>
        <v/>
      </c>
      <c r="I1120" s="25">
        <f>IF(_CALC_PNL!E1120=1,H1120-G1120,"")</f>
        <v/>
      </c>
    </row>
    <row r="1121">
      <c r="A1121" s="1" t="inlineStr">
        <is>
          <t>MBWAY_LYO</t>
        </is>
      </c>
      <c r="B1121" s="1" t="inlineStr">
        <is>
          <t>621</t>
        </is>
      </c>
      <c r="C1121" s="1" t="inlineStr">
        <is>
          <t>2027</t>
        </is>
      </c>
      <c r="D1121" s="1" t="inlineStr">
        <is>
          <t>V02</t>
        </is>
      </c>
      <c r="E1121" s="1" t="inlineStr">
        <is>
          <t>2027BUD_V1</t>
        </is>
      </c>
      <c r="F1121" s="1" t="inlineStr">
        <is>
          <t>12</t>
        </is>
      </c>
      <c r="G1121" s="1" t="n">
        <v>177652.277474954</v>
      </c>
      <c r="H1121" s="25">
        <f>_CALC_PNL!P1121</f>
        <v/>
      </c>
      <c r="I1121" s="25">
        <f>IF(_CALC_PNL!E1121=1,H1121-G1121,"")</f>
        <v/>
      </c>
    </row>
    <row r="1122">
      <c r="A1122" s="1" t="inlineStr">
        <is>
          <t>MBWAY_LYO</t>
        </is>
      </c>
      <c r="B1122" s="1" t="inlineStr">
        <is>
          <t>621</t>
        </is>
      </c>
      <c r="C1122" s="1" t="inlineStr">
        <is>
          <t>2027</t>
        </is>
      </c>
      <c r="D1122" s="1" t="inlineStr">
        <is>
          <t>V03</t>
        </is>
      </c>
      <c r="E1122" s="1" t="inlineStr">
        <is>
          <t>2027BUD_V1</t>
        </is>
      </c>
      <c r="F1122" s="1" t="inlineStr">
        <is>
          <t>12</t>
        </is>
      </c>
      <c r="G1122" s="1" t="n">
        <v>158043.932996402</v>
      </c>
      <c r="H1122" s="25">
        <f>_CALC_PNL!P1122</f>
        <v/>
      </c>
      <c r="I1122" s="25">
        <f>IF(_CALC_PNL!E1122=1,H1122-G1122,"")</f>
        <v/>
      </c>
    </row>
    <row r="1123">
      <c r="A1123" s="1" t="inlineStr">
        <is>
          <t>MBWAY_NAN</t>
        </is>
      </c>
      <c r="B1123" s="1" t="inlineStr">
        <is>
          <t>621</t>
        </is>
      </c>
      <c r="C1123" s="1" t="inlineStr">
        <is>
          <t>2027</t>
        </is>
      </c>
      <c r="D1123" s="1" t="inlineStr">
        <is>
          <t>V01</t>
        </is>
      </c>
      <c r="E1123" s="1" t="inlineStr">
        <is>
          <t>2027BUD_V1</t>
        </is>
      </c>
      <c r="F1123" s="1" t="inlineStr">
        <is>
          <t>12</t>
        </is>
      </c>
      <c r="G1123" s="1" t="n">
        <v>153454.161094375</v>
      </c>
      <c r="H1123" s="25">
        <f>_CALC_PNL!P1123</f>
        <v/>
      </c>
      <c r="I1123" s="25">
        <f>IF(_CALC_PNL!E1123=1,H1123-G1123,"")</f>
        <v/>
      </c>
    </row>
    <row r="1124">
      <c r="A1124" s="1" t="inlineStr">
        <is>
          <t>MBWAY_NAN</t>
        </is>
      </c>
      <c r="B1124" s="1" t="inlineStr">
        <is>
          <t>621</t>
        </is>
      </c>
      <c r="C1124" s="1" t="inlineStr">
        <is>
          <t>2027</t>
        </is>
      </c>
      <c r="D1124" s="1" t="inlineStr">
        <is>
          <t>V02</t>
        </is>
      </c>
      <c r="E1124" s="1" t="inlineStr">
        <is>
          <t>2027BUD_V1</t>
        </is>
      </c>
      <c r="F1124" s="1" t="inlineStr">
        <is>
          <t>12</t>
        </is>
      </c>
      <c r="G1124" s="1" t="n">
        <v>163986.630598567</v>
      </c>
      <c r="H1124" s="25">
        <f>_CALC_PNL!P1124</f>
        <v/>
      </c>
      <c r="I1124" s="25">
        <f>IF(_CALC_PNL!E1124=1,H1124-G1124,"")</f>
        <v/>
      </c>
    </row>
    <row r="1125">
      <c r="A1125" s="1" t="inlineStr">
        <is>
          <t>MBWAY_NAN</t>
        </is>
      </c>
      <c r="B1125" s="1" t="inlineStr">
        <is>
          <t>621</t>
        </is>
      </c>
      <c r="C1125" s="1" t="inlineStr">
        <is>
          <t>2027</t>
        </is>
      </c>
      <c r="D1125" s="1" t="inlineStr">
        <is>
          <t>V03</t>
        </is>
      </c>
      <c r="E1125" s="1" t="inlineStr">
        <is>
          <t>2027BUD_V1</t>
        </is>
      </c>
      <c r="F1125" s="1" t="inlineStr">
        <is>
          <t>12</t>
        </is>
      </c>
      <c r="G1125" s="1" t="n">
        <v>145886.62992108</v>
      </c>
      <c r="H1125" s="25">
        <f>_CALC_PNL!P1125</f>
        <v/>
      </c>
      <c r="I1125" s="25">
        <f>IF(_CALC_PNL!E1125=1,H1125-G1125,"")</f>
        <v/>
      </c>
    </row>
    <row r="1126">
      <c r="A1126" s="1" t="inlineStr">
        <is>
          <t>MBWAY_BOR</t>
        </is>
      </c>
      <c r="B1126" s="1" t="inlineStr">
        <is>
          <t>621</t>
        </is>
      </c>
      <c r="C1126" s="1" t="inlineStr">
        <is>
          <t>2027</t>
        </is>
      </c>
      <c r="D1126" s="1" t="inlineStr">
        <is>
          <t>V01</t>
        </is>
      </c>
      <c r="E1126" s="1" t="inlineStr">
        <is>
          <t>2027BUD_V1</t>
        </is>
      </c>
      <c r="F1126" s="1" t="inlineStr">
        <is>
          <t>12</t>
        </is>
      </c>
      <c r="G1126" s="1" t="n">
        <v>127878.291042366</v>
      </c>
      <c r="H1126" s="25">
        <f>_CALC_PNL!P1126</f>
        <v/>
      </c>
      <c r="I1126" s="25">
        <f>IF(_CALC_PNL!E1126=1,H1126-G1126,"")</f>
        <v/>
      </c>
    </row>
    <row r="1127">
      <c r="A1127" s="1" t="inlineStr">
        <is>
          <t>MBWAY_BOR</t>
        </is>
      </c>
      <c r="B1127" s="1" t="inlineStr">
        <is>
          <t>621</t>
        </is>
      </c>
      <c r="C1127" s="1" t="inlineStr">
        <is>
          <t>2027</t>
        </is>
      </c>
      <c r="D1127" s="1" t="inlineStr">
        <is>
          <t>V02</t>
        </is>
      </c>
      <c r="E1127" s="1" t="inlineStr">
        <is>
          <t>2027BUD_V1</t>
        </is>
      </c>
      <c r="F1127" s="1" t="inlineStr">
        <is>
          <t>12</t>
        </is>
      </c>
      <c r="G1127" s="1" t="n">
        <v>136655.336845794</v>
      </c>
      <c r="H1127" s="25">
        <f>_CALC_PNL!P1127</f>
        <v/>
      </c>
      <c r="I1127" s="25">
        <f>IF(_CALC_PNL!E1127=1,H1127-G1127,"")</f>
        <v/>
      </c>
    </row>
    <row r="1128">
      <c r="A1128" s="1" t="inlineStr">
        <is>
          <t>MBWAY_BOR</t>
        </is>
      </c>
      <c r="B1128" s="1" t="inlineStr">
        <is>
          <t>621</t>
        </is>
      </c>
      <c r="C1128" s="1" t="inlineStr">
        <is>
          <t>2027</t>
        </is>
      </c>
      <c r="D1128" s="1" t="inlineStr">
        <is>
          <t>V03</t>
        </is>
      </c>
      <c r="E1128" s="1" t="inlineStr">
        <is>
          <t>2027BUD_V1</t>
        </is>
      </c>
      <c r="F1128" s="1" t="inlineStr">
        <is>
          <t>12</t>
        </is>
      </c>
      <c r="G1128" s="1" t="n">
        <v>121572.023770437</v>
      </c>
      <c r="H1128" s="25">
        <f>_CALC_PNL!P1128</f>
        <v/>
      </c>
      <c r="I1128" s="25">
        <f>IF(_CALC_PNL!E1128=1,H1128-G1128,"")</f>
        <v/>
      </c>
    </row>
    <row r="1129">
      <c r="A1129" s="1" t="inlineStr">
        <is>
          <t>ISCOM_PAR</t>
        </is>
      </c>
      <c r="B1129" s="1" t="inlineStr">
        <is>
          <t>621</t>
        </is>
      </c>
      <c r="C1129" s="1" t="inlineStr">
        <is>
          <t>2027</t>
        </is>
      </c>
      <c r="D1129" s="1" t="inlineStr">
        <is>
          <t>V01</t>
        </is>
      </c>
      <c r="E1129" s="1" t="inlineStr">
        <is>
          <t>2027BUD_V1</t>
        </is>
      </c>
      <c r="F1129" s="1" t="inlineStr">
        <is>
          <t>12</t>
        </is>
      </c>
      <c r="G1129" s="1" t="n">
        <v>191817.966172388</v>
      </c>
      <c r="H1129" s="25">
        <f>_CALC_PNL!P1129</f>
        <v/>
      </c>
      <c r="I1129" s="25">
        <f>IF(_CALC_PNL!E1129=1,H1129-G1129,"")</f>
        <v/>
      </c>
    </row>
    <row r="1130">
      <c r="A1130" s="1" t="inlineStr">
        <is>
          <t>ISCOM_PAR</t>
        </is>
      </c>
      <c r="B1130" s="1" t="inlineStr">
        <is>
          <t>621</t>
        </is>
      </c>
      <c r="C1130" s="1" t="inlineStr">
        <is>
          <t>2027</t>
        </is>
      </c>
      <c r="D1130" s="1" t="inlineStr">
        <is>
          <t>V02</t>
        </is>
      </c>
      <c r="E1130" s="1" t="inlineStr">
        <is>
          <t>2027BUD_V1</t>
        </is>
      </c>
      <c r="F1130" s="1" t="inlineStr">
        <is>
          <t>12</t>
        </is>
      </c>
      <c r="G1130" s="1" t="n">
        <v>204983.571227727</v>
      </c>
      <c r="H1130" s="25">
        <f>_CALC_PNL!P1130</f>
        <v/>
      </c>
      <c r="I1130" s="25">
        <f>IF(_CALC_PNL!E1130=1,H1130-G1130,"")</f>
        <v/>
      </c>
    </row>
    <row r="1131">
      <c r="A1131" s="1" t="inlineStr">
        <is>
          <t>ISCOM_PAR</t>
        </is>
      </c>
      <c r="B1131" s="1" t="inlineStr">
        <is>
          <t>621</t>
        </is>
      </c>
      <c r="C1131" s="1" t="inlineStr">
        <is>
          <t>2027</t>
        </is>
      </c>
      <c r="D1131" s="1" t="inlineStr">
        <is>
          <t>V03</t>
        </is>
      </c>
      <c r="E1131" s="1" t="inlineStr">
        <is>
          <t>2027BUD_V1</t>
        </is>
      </c>
      <c r="F1131" s="1" t="inlineStr">
        <is>
          <t>12</t>
        </is>
      </c>
      <c r="G1131" s="1" t="n">
        <v>182358.539147045</v>
      </c>
      <c r="H1131" s="25">
        <f>_CALC_PNL!P1131</f>
        <v/>
      </c>
      <c r="I1131" s="25">
        <f>IF(_CALC_PNL!E1131=1,H1131-G1131,"")</f>
        <v/>
      </c>
    </row>
    <row r="1132">
      <c r="A1132" s="1" t="inlineStr">
        <is>
          <t>ISCOM_LIL</t>
        </is>
      </c>
      <c r="B1132" s="1" t="inlineStr">
        <is>
          <t>621</t>
        </is>
      </c>
      <c r="C1132" s="1" t="inlineStr">
        <is>
          <t>2027</t>
        </is>
      </c>
      <c r="D1132" s="1" t="inlineStr">
        <is>
          <t>V01</t>
        </is>
      </c>
      <c r="E1132" s="1" t="inlineStr">
        <is>
          <t>2027BUD_V1</t>
        </is>
      </c>
      <c r="F1132" s="1" t="inlineStr">
        <is>
          <t>12</t>
        </is>
      </c>
      <c r="G1132" s="1" t="n">
        <v>127878.291042366</v>
      </c>
      <c r="H1132" s="25">
        <f>_CALC_PNL!P1132</f>
        <v/>
      </c>
      <c r="I1132" s="25">
        <f>IF(_CALC_PNL!E1132=1,H1132-G1132,"")</f>
        <v/>
      </c>
    </row>
    <row r="1133">
      <c r="A1133" s="1" t="inlineStr">
        <is>
          <t>ISCOM_LIL</t>
        </is>
      </c>
      <c r="B1133" s="1" t="inlineStr">
        <is>
          <t>621</t>
        </is>
      </c>
      <c r="C1133" s="1" t="inlineStr">
        <is>
          <t>2027</t>
        </is>
      </c>
      <c r="D1133" s="1" t="inlineStr">
        <is>
          <t>V02</t>
        </is>
      </c>
      <c r="E1133" s="1" t="inlineStr">
        <is>
          <t>2027BUD_V1</t>
        </is>
      </c>
      <c r="F1133" s="1" t="inlineStr">
        <is>
          <t>12</t>
        </is>
      </c>
      <c r="G1133" s="1" t="n">
        <v>136655.336845794</v>
      </c>
      <c r="H1133" s="25">
        <f>_CALC_PNL!P1133</f>
        <v/>
      </c>
      <c r="I1133" s="25">
        <f>IF(_CALC_PNL!E1133=1,H1133-G1133,"")</f>
        <v/>
      </c>
    </row>
    <row r="1134">
      <c r="A1134" s="1" t="inlineStr">
        <is>
          <t>ISCOM_LIL</t>
        </is>
      </c>
      <c r="B1134" s="1" t="inlineStr">
        <is>
          <t>621</t>
        </is>
      </c>
      <c r="C1134" s="1" t="inlineStr">
        <is>
          <t>2027</t>
        </is>
      </c>
      <c r="D1134" s="1" t="inlineStr">
        <is>
          <t>V03</t>
        </is>
      </c>
      <c r="E1134" s="1" t="inlineStr">
        <is>
          <t>2027BUD_V1</t>
        </is>
      </c>
      <c r="F1134" s="1" t="inlineStr">
        <is>
          <t>12</t>
        </is>
      </c>
      <c r="G1134" s="1" t="n">
        <v>121572.023770437</v>
      </c>
      <c r="H1134" s="25">
        <f>_CALC_PNL!P1134</f>
        <v/>
      </c>
      <c r="I1134" s="25">
        <f>IF(_CALC_PNL!E1134=1,H1134-G1134,"")</f>
        <v/>
      </c>
    </row>
    <row r="1135">
      <c r="A1135" s="1" t="inlineStr">
        <is>
          <t>ISCOM_TLS</t>
        </is>
      </c>
      <c r="B1135" s="1" t="inlineStr">
        <is>
          <t>621</t>
        </is>
      </c>
      <c r="C1135" s="1" t="inlineStr">
        <is>
          <t>2027</t>
        </is>
      </c>
      <c r="D1135" s="1" t="inlineStr">
        <is>
          <t>V01</t>
        </is>
      </c>
      <c r="E1135" s="1" t="inlineStr">
        <is>
          <t>2027BUD_V1</t>
        </is>
      </c>
      <c r="F1135" s="1" t="inlineStr">
        <is>
          <t>12</t>
        </is>
      </c>
      <c r="G1135" s="1" t="n">
        <v>127878.291042366</v>
      </c>
      <c r="H1135" s="25">
        <f>_CALC_PNL!P1135</f>
        <v/>
      </c>
      <c r="I1135" s="25">
        <f>IF(_CALC_PNL!E1135=1,H1135-G1135,"")</f>
        <v/>
      </c>
    </row>
    <row r="1136">
      <c r="A1136" s="1" t="inlineStr">
        <is>
          <t>ISCOM_TLS</t>
        </is>
      </c>
      <c r="B1136" s="1" t="inlineStr">
        <is>
          <t>621</t>
        </is>
      </c>
      <c r="C1136" s="1" t="inlineStr">
        <is>
          <t>2027</t>
        </is>
      </c>
      <c r="D1136" s="1" t="inlineStr">
        <is>
          <t>V02</t>
        </is>
      </c>
      <c r="E1136" s="1" t="inlineStr">
        <is>
          <t>2027BUD_V1</t>
        </is>
      </c>
      <c r="F1136" s="1" t="inlineStr">
        <is>
          <t>12</t>
        </is>
      </c>
      <c r="G1136" s="1" t="n">
        <v>136655.336845794</v>
      </c>
      <c r="H1136" s="25">
        <f>_CALC_PNL!P1136</f>
        <v/>
      </c>
      <c r="I1136" s="25">
        <f>IF(_CALC_PNL!E1136=1,H1136-G1136,"")</f>
        <v/>
      </c>
    </row>
    <row r="1137">
      <c r="A1137" s="1" t="inlineStr">
        <is>
          <t>ISCOM_TLS</t>
        </is>
      </c>
      <c r="B1137" s="1" t="inlineStr">
        <is>
          <t>621</t>
        </is>
      </c>
      <c r="C1137" s="1" t="inlineStr">
        <is>
          <t>2027</t>
        </is>
      </c>
      <c r="D1137" s="1" t="inlineStr">
        <is>
          <t>V03</t>
        </is>
      </c>
      <c r="E1137" s="1" t="inlineStr">
        <is>
          <t>2027BUD_V1</t>
        </is>
      </c>
      <c r="F1137" s="1" t="inlineStr">
        <is>
          <t>12</t>
        </is>
      </c>
      <c r="G1137" s="1" t="n">
        <v>121572.023770437</v>
      </c>
      <c r="H1137" s="25">
        <f>_CALC_PNL!P1137</f>
        <v/>
      </c>
      <c r="I1137" s="25">
        <f>IF(_CALC_PNL!E1137=1,H1137-G1137,"")</f>
        <v/>
      </c>
    </row>
    <row r="1138">
      <c r="A1138" s="1" t="inlineStr">
        <is>
          <t>IPAC_NAN</t>
        </is>
      </c>
      <c r="B1138" s="1" t="inlineStr">
        <is>
          <t>621</t>
        </is>
      </c>
      <c r="C1138" s="1" t="inlineStr">
        <is>
          <t>2027</t>
        </is>
      </c>
      <c r="D1138" s="1" t="inlineStr">
        <is>
          <t>V01</t>
        </is>
      </c>
      <c r="E1138" s="1" t="inlineStr">
        <is>
          <t>2027BUD_V1</t>
        </is>
      </c>
      <c r="F1138" s="1" t="inlineStr">
        <is>
          <t>12</t>
        </is>
      </c>
      <c r="G1138" s="1" t="n">
        <v>76727.610156026</v>
      </c>
      <c r="H1138" s="25">
        <f>_CALC_PNL!P1138</f>
        <v/>
      </c>
      <c r="I1138" s="25">
        <f>IF(_CALC_PNL!E1138=1,H1138-G1138,"")</f>
        <v/>
      </c>
    </row>
    <row r="1139">
      <c r="A1139" s="1" t="inlineStr">
        <is>
          <t>IPAC_NAN</t>
        </is>
      </c>
      <c r="B1139" s="1" t="inlineStr">
        <is>
          <t>621</t>
        </is>
      </c>
      <c r="C1139" s="1" t="inlineStr">
        <is>
          <t>2027</t>
        </is>
      </c>
      <c r="D1139" s="1" t="inlineStr">
        <is>
          <t>V02</t>
        </is>
      </c>
      <c r="E1139" s="1" t="inlineStr">
        <is>
          <t>2027BUD_V1</t>
        </is>
      </c>
      <c r="F1139" s="1" t="inlineStr">
        <is>
          <t>12</t>
        </is>
      </c>
      <c r="G1139" s="1" t="n">
        <v>81993.881258319</v>
      </c>
      <c r="H1139" s="25">
        <f>_CALC_PNL!P1139</f>
        <v/>
      </c>
      <c r="I1139" s="25">
        <f>IF(_CALC_PNL!E1139=1,H1139-G1139,"")</f>
        <v/>
      </c>
    </row>
    <row r="1140">
      <c r="A1140" s="1" t="inlineStr">
        <is>
          <t>IPAC_NAN</t>
        </is>
      </c>
      <c r="B1140" s="1" t="inlineStr">
        <is>
          <t>621</t>
        </is>
      </c>
      <c r="C1140" s="1" t="inlineStr">
        <is>
          <t>2027</t>
        </is>
      </c>
      <c r="D1140" s="1" t="inlineStr">
        <is>
          <t>V03</t>
        </is>
      </c>
      <c r="E1140" s="1" t="inlineStr">
        <is>
          <t>2027BUD_V1</t>
        </is>
      </c>
      <c r="F1140" s="1" t="inlineStr">
        <is>
          <t>12</t>
        </is>
      </c>
      <c r="G1140" s="1" t="n">
        <v>72943.81845192899</v>
      </c>
      <c r="H1140" s="25">
        <f>_CALC_PNL!P1140</f>
        <v/>
      </c>
      <c r="I1140" s="25">
        <f>IF(_CALC_PNL!E1140=1,H1140-G1140,"")</f>
        <v/>
      </c>
    </row>
    <row r="1141">
      <c r="A1141" s="1" t="inlineStr">
        <is>
          <t>IPAC_REN</t>
        </is>
      </c>
      <c r="B1141" s="1" t="inlineStr">
        <is>
          <t>621</t>
        </is>
      </c>
      <c r="C1141" s="1" t="inlineStr">
        <is>
          <t>2027</t>
        </is>
      </c>
      <c r="D1141" s="1" t="inlineStr">
        <is>
          <t>V01</t>
        </is>
      </c>
      <c r="E1141" s="1" t="inlineStr">
        <is>
          <t>2027BUD_V1</t>
        </is>
      </c>
      <c r="F1141" s="1" t="inlineStr">
        <is>
          <t>12</t>
        </is>
      </c>
      <c r="G1141" s="1" t="n">
        <v>76727.610156026</v>
      </c>
      <c r="H1141" s="25">
        <f>_CALC_PNL!P1141</f>
        <v/>
      </c>
      <c r="I1141" s="25">
        <f>IF(_CALC_PNL!E1141=1,H1141-G1141,"")</f>
        <v/>
      </c>
    </row>
    <row r="1142">
      <c r="A1142" s="1" t="inlineStr">
        <is>
          <t>IPAC_REN</t>
        </is>
      </c>
      <c r="B1142" s="1" t="inlineStr">
        <is>
          <t>621</t>
        </is>
      </c>
      <c r="C1142" s="1" t="inlineStr">
        <is>
          <t>2027</t>
        </is>
      </c>
      <c r="D1142" s="1" t="inlineStr">
        <is>
          <t>V02</t>
        </is>
      </c>
      <c r="E1142" s="1" t="inlineStr">
        <is>
          <t>2027BUD_V1</t>
        </is>
      </c>
      <c r="F1142" s="1" t="inlineStr">
        <is>
          <t>12</t>
        </is>
      </c>
      <c r="G1142" s="1" t="n">
        <v>81993.881258319</v>
      </c>
      <c r="H1142" s="25">
        <f>_CALC_PNL!P1142</f>
        <v/>
      </c>
      <c r="I1142" s="25">
        <f>IF(_CALC_PNL!E1142=1,H1142-G1142,"")</f>
        <v/>
      </c>
    </row>
    <row r="1143">
      <c r="A1143" s="1" t="inlineStr">
        <is>
          <t>IPAC_REN</t>
        </is>
      </c>
      <c r="B1143" s="1" t="inlineStr">
        <is>
          <t>621</t>
        </is>
      </c>
      <c r="C1143" s="1" t="inlineStr">
        <is>
          <t>2027</t>
        </is>
      </c>
      <c r="D1143" s="1" t="inlineStr">
        <is>
          <t>V03</t>
        </is>
      </c>
      <c r="E1143" s="1" t="inlineStr">
        <is>
          <t>2027BUD_V1</t>
        </is>
      </c>
      <c r="F1143" s="1" t="inlineStr">
        <is>
          <t>12</t>
        </is>
      </c>
      <c r="G1143" s="1" t="n">
        <v>72943.81845192899</v>
      </c>
      <c r="H1143" s="25">
        <f>_CALC_PNL!P1143</f>
        <v/>
      </c>
      <c r="I1143" s="25">
        <f>IF(_CALC_PNL!E1143=1,H1143-G1143,"")</f>
        <v/>
      </c>
    </row>
    <row r="1144">
      <c r="A1144" s="1" t="inlineStr">
        <is>
          <t>IPAC_MTP</t>
        </is>
      </c>
      <c r="B1144" s="1" t="inlineStr">
        <is>
          <t>621</t>
        </is>
      </c>
      <c r="C1144" s="1" t="inlineStr">
        <is>
          <t>2027</t>
        </is>
      </c>
      <c r="D1144" s="1" t="inlineStr">
        <is>
          <t>V01</t>
        </is>
      </c>
      <c r="E1144" s="1" t="inlineStr">
        <is>
          <t>2027BUD_V1</t>
        </is>
      </c>
      <c r="F1144" s="1" t="inlineStr">
        <is>
          <t>12</t>
        </is>
      </c>
      <c r="G1144" s="1" t="n">
        <v>76727.610156026</v>
      </c>
      <c r="H1144" s="25">
        <f>_CALC_PNL!P1144</f>
        <v/>
      </c>
      <c r="I1144" s="25">
        <f>IF(_CALC_PNL!E1144=1,H1144-G1144,"")</f>
        <v/>
      </c>
    </row>
    <row r="1145">
      <c r="A1145" s="1" t="inlineStr">
        <is>
          <t>IPAC_MTP</t>
        </is>
      </c>
      <c r="B1145" s="1" t="inlineStr">
        <is>
          <t>621</t>
        </is>
      </c>
      <c r="C1145" s="1" t="inlineStr">
        <is>
          <t>2027</t>
        </is>
      </c>
      <c r="D1145" s="1" t="inlineStr">
        <is>
          <t>V02</t>
        </is>
      </c>
      <c r="E1145" s="1" t="inlineStr">
        <is>
          <t>2027BUD_V1</t>
        </is>
      </c>
      <c r="F1145" s="1" t="inlineStr">
        <is>
          <t>12</t>
        </is>
      </c>
      <c r="G1145" s="1" t="n">
        <v>81993.881258319</v>
      </c>
      <c r="H1145" s="25">
        <f>_CALC_PNL!P1145</f>
        <v/>
      </c>
      <c r="I1145" s="25">
        <f>IF(_CALC_PNL!E1145=1,H1145-G1145,"")</f>
        <v/>
      </c>
    </row>
    <row r="1146">
      <c r="A1146" s="1" t="inlineStr">
        <is>
          <t>IPAC_MTP</t>
        </is>
      </c>
      <c r="B1146" s="1" t="inlineStr">
        <is>
          <t>621</t>
        </is>
      </c>
      <c r="C1146" s="1" t="inlineStr">
        <is>
          <t>2027</t>
        </is>
      </c>
      <c r="D1146" s="1" t="inlineStr">
        <is>
          <t>V03</t>
        </is>
      </c>
      <c r="E1146" s="1" t="inlineStr">
        <is>
          <t>2027BUD_V1</t>
        </is>
      </c>
      <c r="F1146" s="1" t="inlineStr">
        <is>
          <t>12</t>
        </is>
      </c>
      <c r="G1146" s="1" t="n">
        <v>72943.81845192899</v>
      </c>
      <c r="H1146" s="25">
        <f>_CALC_PNL!P1146</f>
        <v/>
      </c>
      <c r="I1146" s="25">
        <f>IF(_CALC_PNL!E1146=1,H1146-G1146,"")</f>
        <v/>
      </c>
    </row>
    <row r="1147">
      <c r="A1147" s="1" t="inlineStr">
        <is>
          <t>PIGIER_LYO</t>
        </is>
      </c>
      <c r="B1147" s="1" t="inlineStr">
        <is>
          <t>621</t>
        </is>
      </c>
      <c r="C1147" s="1" t="inlineStr">
        <is>
          <t>2027</t>
        </is>
      </c>
      <c r="D1147" s="1" t="inlineStr">
        <is>
          <t>V01</t>
        </is>
      </c>
      <c r="E1147" s="1" t="inlineStr">
        <is>
          <t>2027BUD_V1</t>
        </is>
      </c>
      <c r="F1147" s="1" t="inlineStr">
        <is>
          <t>12</t>
        </is>
      </c>
      <c r="G1147" s="1" t="n">
        <v>102302.420990357</v>
      </c>
      <c r="H1147" s="25">
        <f>_CALC_PNL!P1147</f>
        <v/>
      </c>
      <c r="I1147" s="25">
        <f>IF(_CALC_PNL!E1147=1,H1147-G1147,"")</f>
        <v/>
      </c>
    </row>
    <row r="1148">
      <c r="A1148" s="1" t="inlineStr">
        <is>
          <t>PIGIER_LYO</t>
        </is>
      </c>
      <c r="B1148" s="1" t="inlineStr">
        <is>
          <t>621</t>
        </is>
      </c>
      <c r="C1148" s="1" t="inlineStr">
        <is>
          <t>2027</t>
        </is>
      </c>
      <c r="D1148" s="1" t="inlineStr">
        <is>
          <t>V02</t>
        </is>
      </c>
      <c r="E1148" s="1" t="inlineStr">
        <is>
          <t>2027BUD_V1</t>
        </is>
      </c>
      <c r="F1148" s="1" t="inlineStr">
        <is>
          <t>12</t>
        </is>
      </c>
      <c r="G1148" s="1" t="n">
        <v>109324.043093021</v>
      </c>
      <c r="H1148" s="25">
        <f>_CALC_PNL!P1148</f>
        <v/>
      </c>
      <c r="I1148" s="25">
        <f>IF(_CALC_PNL!E1148=1,H1148-G1148,"")</f>
        <v/>
      </c>
    </row>
    <row r="1149">
      <c r="A1149" s="1" t="inlineStr">
        <is>
          <t>PIGIER_LYO</t>
        </is>
      </c>
      <c r="B1149" s="1" t="inlineStr">
        <is>
          <t>621</t>
        </is>
      </c>
      <c r="C1149" s="1" t="inlineStr">
        <is>
          <t>2027</t>
        </is>
      </c>
      <c r="D1149" s="1" t="inlineStr">
        <is>
          <t>V03</t>
        </is>
      </c>
      <c r="E1149" s="1" t="inlineStr">
        <is>
          <t>2027BUD_V1</t>
        </is>
      </c>
      <c r="F1149" s="1" t="inlineStr">
        <is>
          <t>12</t>
        </is>
      </c>
      <c r="G1149" s="1" t="n">
        <v>97257.417619794</v>
      </c>
      <c r="H1149" s="25">
        <f>_CALC_PNL!P1149</f>
        <v/>
      </c>
      <c r="I1149" s="25">
        <f>IF(_CALC_PNL!E1149=1,H1149-G1149,"")</f>
        <v/>
      </c>
    </row>
    <row r="1150">
      <c r="A1150" s="1" t="inlineStr">
        <is>
          <t>PIGIER_BOR</t>
        </is>
      </c>
      <c r="B1150" s="1" t="inlineStr">
        <is>
          <t>621</t>
        </is>
      </c>
      <c r="C1150" s="1" t="inlineStr">
        <is>
          <t>2027</t>
        </is>
      </c>
      <c r="D1150" s="1" t="inlineStr">
        <is>
          <t>V01</t>
        </is>
      </c>
      <c r="E1150" s="1" t="inlineStr">
        <is>
          <t>2027BUD_V1</t>
        </is>
      </c>
      <c r="F1150" s="1" t="inlineStr">
        <is>
          <t>12</t>
        </is>
      </c>
      <c r="G1150" s="1" t="n">
        <v>102302.420990357</v>
      </c>
      <c r="H1150" s="25">
        <f>_CALC_PNL!P1150</f>
        <v/>
      </c>
      <c r="I1150" s="25">
        <f>IF(_CALC_PNL!E1150=1,H1150-G1150,"")</f>
        <v/>
      </c>
    </row>
    <row r="1151">
      <c r="A1151" s="1" t="inlineStr">
        <is>
          <t>PIGIER_BOR</t>
        </is>
      </c>
      <c r="B1151" s="1" t="inlineStr">
        <is>
          <t>621</t>
        </is>
      </c>
      <c r="C1151" s="1" t="inlineStr">
        <is>
          <t>2027</t>
        </is>
      </c>
      <c r="D1151" s="1" t="inlineStr">
        <is>
          <t>V02</t>
        </is>
      </c>
      <c r="E1151" s="1" t="inlineStr">
        <is>
          <t>2027BUD_V1</t>
        </is>
      </c>
      <c r="F1151" s="1" t="inlineStr">
        <is>
          <t>12</t>
        </is>
      </c>
      <c r="G1151" s="1" t="n">
        <v>109324.043093021</v>
      </c>
      <c r="H1151" s="25">
        <f>_CALC_PNL!P1151</f>
        <v/>
      </c>
      <c r="I1151" s="25">
        <f>IF(_CALC_PNL!E1151=1,H1151-G1151,"")</f>
        <v/>
      </c>
    </row>
    <row r="1152">
      <c r="A1152" s="1" t="inlineStr">
        <is>
          <t>PIGIER_BOR</t>
        </is>
      </c>
      <c r="B1152" s="1" t="inlineStr">
        <is>
          <t>621</t>
        </is>
      </c>
      <c r="C1152" s="1" t="inlineStr">
        <is>
          <t>2027</t>
        </is>
      </c>
      <c r="D1152" s="1" t="inlineStr">
        <is>
          <t>V03</t>
        </is>
      </c>
      <c r="E1152" s="1" t="inlineStr">
        <is>
          <t>2027BUD_V1</t>
        </is>
      </c>
      <c r="F1152" s="1" t="inlineStr">
        <is>
          <t>12</t>
        </is>
      </c>
      <c r="G1152" s="1" t="n">
        <v>97257.417619794</v>
      </c>
      <c r="H1152" s="25">
        <f>_CALC_PNL!P1152</f>
        <v/>
      </c>
      <c r="I1152" s="25">
        <f>IF(_CALC_PNL!E1152=1,H1152-G1152,"")</f>
        <v/>
      </c>
    </row>
    <row r="1153">
      <c r="A1153" s="1" t="inlineStr">
        <is>
          <t>TUNON_PAR</t>
        </is>
      </c>
      <c r="B1153" s="1" t="inlineStr">
        <is>
          <t>621</t>
        </is>
      </c>
      <c r="C1153" s="1" t="inlineStr">
        <is>
          <t>2027</t>
        </is>
      </c>
      <c r="D1153" s="1" t="inlineStr">
        <is>
          <t>V01</t>
        </is>
      </c>
      <c r="E1153" s="1" t="inlineStr">
        <is>
          <t>2027BUD_V1</t>
        </is>
      </c>
      <c r="F1153" s="1" t="inlineStr">
        <is>
          <t>12</t>
        </is>
      </c>
      <c r="G1153" s="1" t="n">
        <v>76727.610156026</v>
      </c>
      <c r="H1153" s="25">
        <f>_CALC_PNL!P1153</f>
        <v/>
      </c>
      <c r="I1153" s="25">
        <f>IF(_CALC_PNL!E1153=1,H1153-G1153,"")</f>
        <v/>
      </c>
    </row>
    <row r="1154">
      <c r="A1154" s="1" t="inlineStr">
        <is>
          <t>TUNON_PAR</t>
        </is>
      </c>
      <c r="B1154" s="1" t="inlineStr">
        <is>
          <t>621</t>
        </is>
      </c>
      <c r="C1154" s="1" t="inlineStr">
        <is>
          <t>2027</t>
        </is>
      </c>
      <c r="D1154" s="1" t="inlineStr">
        <is>
          <t>V02</t>
        </is>
      </c>
      <c r="E1154" s="1" t="inlineStr">
        <is>
          <t>2027BUD_V1</t>
        </is>
      </c>
      <c r="F1154" s="1" t="inlineStr">
        <is>
          <t>12</t>
        </is>
      </c>
      <c r="G1154" s="1" t="n">
        <v>81993.881258319</v>
      </c>
      <c r="H1154" s="25">
        <f>_CALC_PNL!P1154</f>
        <v/>
      </c>
      <c r="I1154" s="25">
        <f>IF(_CALC_PNL!E1154=1,H1154-G1154,"")</f>
        <v/>
      </c>
    </row>
    <row r="1155">
      <c r="A1155" s="1" t="inlineStr">
        <is>
          <t>TUNON_PAR</t>
        </is>
      </c>
      <c r="B1155" s="1" t="inlineStr">
        <is>
          <t>621</t>
        </is>
      </c>
      <c r="C1155" s="1" t="inlineStr">
        <is>
          <t>2027</t>
        </is>
      </c>
      <c r="D1155" s="1" t="inlineStr">
        <is>
          <t>V03</t>
        </is>
      </c>
      <c r="E1155" s="1" t="inlineStr">
        <is>
          <t>2027BUD_V1</t>
        </is>
      </c>
      <c r="F1155" s="1" t="inlineStr">
        <is>
          <t>12</t>
        </is>
      </c>
      <c r="G1155" s="1" t="n">
        <v>72943.81845192899</v>
      </c>
      <c r="H1155" s="25">
        <f>_CALC_PNL!P1155</f>
        <v/>
      </c>
      <c r="I1155" s="25">
        <f>IF(_CALC_PNL!E1155=1,H1155-G1155,"")</f>
        <v/>
      </c>
    </row>
    <row r="1156">
      <c r="A1156" s="1" t="inlineStr">
        <is>
          <t>TUNON_LYO</t>
        </is>
      </c>
      <c r="B1156" s="1" t="inlineStr">
        <is>
          <t>621</t>
        </is>
      </c>
      <c r="C1156" s="1" t="inlineStr">
        <is>
          <t>2027</t>
        </is>
      </c>
      <c r="D1156" s="1" t="inlineStr">
        <is>
          <t>V01</t>
        </is>
      </c>
      <c r="E1156" s="1" t="inlineStr">
        <is>
          <t>2027BUD_V1</t>
        </is>
      </c>
      <c r="F1156" s="1" t="inlineStr">
        <is>
          <t>12</t>
        </is>
      </c>
      <c r="G1156" s="1" t="n">
        <v>76727.610156026</v>
      </c>
      <c r="H1156" s="25">
        <f>_CALC_PNL!P1156</f>
        <v/>
      </c>
      <c r="I1156" s="25">
        <f>IF(_CALC_PNL!E1156=1,H1156-G1156,"")</f>
        <v/>
      </c>
    </row>
    <row r="1157">
      <c r="A1157" s="1" t="inlineStr">
        <is>
          <t>TUNON_LYO</t>
        </is>
      </c>
      <c r="B1157" s="1" t="inlineStr">
        <is>
          <t>621</t>
        </is>
      </c>
      <c r="C1157" s="1" t="inlineStr">
        <is>
          <t>2027</t>
        </is>
      </c>
      <c r="D1157" s="1" t="inlineStr">
        <is>
          <t>V02</t>
        </is>
      </c>
      <c r="E1157" s="1" t="inlineStr">
        <is>
          <t>2027BUD_V1</t>
        </is>
      </c>
      <c r="F1157" s="1" t="inlineStr">
        <is>
          <t>12</t>
        </is>
      </c>
      <c r="G1157" s="1" t="n">
        <v>81993.881258319</v>
      </c>
      <c r="H1157" s="25">
        <f>_CALC_PNL!P1157</f>
        <v/>
      </c>
      <c r="I1157" s="25">
        <f>IF(_CALC_PNL!E1157=1,H1157-G1157,"")</f>
        <v/>
      </c>
    </row>
    <row r="1158">
      <c r="A1158" s="1" t="inlineStr">
        <is>
          <t>TUNON_LYO</t>
        </is>
      </c>
      <c r="B1158" s="1" t="inlineStr">
        <is>
          <t>621</t>
        </is>
      </c>
      <c r="C1158" s="1" t="inlineStr">
        <is>
          <t>2027</t>
        </is>
      </c>
      <c r="D1158" s="1" t="inlineStr">
        <is>
          <t>V03</t>
        </is>
      </c>
      <c r="E1158" s="1" t="inlineStr">
        <is>
          <t>2027BUD_V1</t>
        </is>
      </c>
      <c r="F1158" s="1" t="inlineStr">
        <is>
          <t>12</t>
        </is>
      </c>
      <c r="G1158" s="1" t="n">
        <v>72943.81845192899</v>
      </c>
      <c r="H1158" s="25">
        <f>_CALC_PNL!P1158</f>
        <v/>
      </c>
      <c r="I1158" s="25">
        <f>IF(_CALC_PNL!E1158=1,H1158-G1158,"")</f>
        <v/>
      </c>
    </row>
    <row r="1159">
      <c r="A1159" s="1" t="inlineStr">
        <is>
          <t>MBWAY_PAR</t>
        </is>
      </c>
      <c r="B1159" s="1" t="inlineStr">
        <is>
          <t>604</t>
        </is>
      </c>
      <c r="C1159" s="1" t="inlineStr">
        <is>
          <t>2027</t>
        </is>
      </c>
      <c r="D1159" s="1" t="inlineStr">
        <is>
          <t>V01</t>
        </is>
      </c>
      <c r="E1159" s="1" t="inlineStr">
        <is>
          <t>2027BUD_V1</t>
        </is>
      </c>
      <c r="F1159" s="1" t="inlineStr">
        <is>
          <t>12</t>
        </is>
      </c>
      <c r="G1159" s="1" t="n">
        <v>90334.320447094</v>
      </c>
      <c r="H1159" s="25">
        <f>_CALC_PNL!P1159</f>
        <v/>
      </c>
      <c r="I1159" s="25">
        <f>IF(_CALC_PNL!E1159=1,H1159-G1159,"")</f>
        <v/>
      </c>
    </row>
    <row r="1160">
      <c r="A1160" s="1" t="inlineStr">
        <is>
          <t>MBWAY_PAR</t>
        </is>
      </c>
      <c r="B1160" s="1" t="inlineStr">
        <is>
          <t>604</t>
        </is>
      </c>
      <c r="C1160" s="1" t="inlineStr">
        <is>
          <t>2027</t>
        </is>
      </c>
      <c r="D1160" s="1" t="inlineStr">
        <is>
          <t>V02</t>
        </is>
      </c>
      <c r="E1160" s="1" t="inlineStr">
        <is>
          <t>2027BUD_V1</t>
        </is>
      </c>
      <c r="F1160" s="1" t="inlineStr">
        <is>
          <t>12</t>
        </is>
      </c>
      <c r="G1160" s="1" t="n">
        <v>96534.500803922</v>
      </c>
      <c r="H1160" s="25">
        <f>_CALC_PNL!P1160</f>
        <v/>
      </c>
      <c r="I1160" s="25">
        <f>IF(_CALC_PNL!E1160=1,H1160-G1160,"")</f>
        <v/>
      </c>
    </row>
    <row r="1161">
      <c r="A1161" s="1" t="inlineStr">
        <is>
          <t>MBWAY_PAR</t>
        </is>
      </c>
      <c r="B1161" s="1" t="inlineStr">
        <is>
          <t>604</t>
        </is>
      </c>
      <c r="C1161" s="1" t="inlineStr">
        <is>
          <t>2027</t>
        </is>
      </c>
      <c r="D1161" s="1" t="inlineStr">
        <is>
          <t>V03</t>
        </is>
      </c>
      <c r="E1161" s="1" t="inlineStr">
        <is>
          <t>2027BUD_V1</t>
        </is>
      </c>
      <c r="F1161" s="1" t="inlineStr">
        <is>
          <t>12</t>
        </is>
      </c>
      <c r="G1161" s="1" t="n">
        <v>85879.51921442201</v>
      </c>
      <c r="H1161" s="25">
        <f>_CALC_PNL!P1161</f>
        <v/>
      </c>
      <c r="I1161" s="25">
        <f>IF(_CALC_PNL!E1161=1,H1161-G1161,"")</f>
        <v/>
      </c>
    </row>
    <row r="1162">
      <c r="A1162" s="1" t="inlineStr">
        <is>
          <t>MBWAY_LYO</t>
        </is>
      </c>
      <c r="B1162" s="1" t="inlineStr">
        <is>
          <t>604</t>
        </is>
      </c>
      <c r="C1162" s="1" t="inlineStr">
        <is>
          <t>2027</t>
        </is>
      </c>
      <c r="D1162" s="1" t="inlineStr">
        <is>
          <t>V01</t>
        </is>
      </c>
      <c r="E1162" s="1" t="inlineStr">
        <is>
          <t>2027BUD_V1</t>
        </is>
      </c>
      <c r="F1162" s="1" t="inlineStr">
        <is>
          <t>12</t>
        </is>
      </c>
      <c r="G1162" s="1" t="n">
        <v>76618.51073519699</v>
      </c>
      <c r="H1162" s="25">
        <f>_CALC_PNL!P1162</f>
        <v/>
      </c>
      <c r="I1162" s="25">
        <f>IF(_CALC_PNL!E1162=1,H1162-G1162,"")</f>
        <v/>
      </c>
    </row>
    <row r="1163">
      <c r="A1163" s="1" t="inlineStr">
        <is>
          <t>MBWAY_LYO</t>
        </is>
      </c>
      <c r="B1163" s="1" t="inlineStr">
        <is>
          <t>604</t>
        </is>
      </c>
      <c r="C1163" s="1" t="inlineStr">
        <is>
          <t>2027</t>
        </is>
      </c>
      <c r="D1163" s="1" t="inlineStr">
        <is>
          <t>V02</t>
        </is>
      </c>
      <c r="E1163" s="1" t="inlineStr">
        <is>
          <t>2027BUD_V1</t>
        </is>
      </c>
      <c r="F1163" s="1" t="inlineStr">
        <is>
          <t>12</t>
        </is>
      </c>
      <c r="G1163" s="1" t="n">
        <v>81877.29369696201</v>
      </c>
      <c r="H1163" s="25">
        <f>_CALC_PNL!P1163</f>
        <v/>
      </c>
      <c r="I1163" s="25">
        <f>IF(_CALC_PNL!E1163=1,H1163-G1163,"")</f>
        <v/>
      </c>
    </row>
    <row r="1164">
      <c r="A1164" s="1" t="inlineStr">
        <is>
          <t>MBWAY_LYO</t>
        </is>
      </c>
      <c r="B1164" s="1" t="inlineStr">
        <is>
          <t>604</t>
        </is>
      </c>
      <c r="C1164" s="1" t="inlineStr">
        <is>
          <t>2027</t>
        </is>
      </c>
      <c r="D1164" s="1" t="inlineStr">
        <is>
          <t>V03</t>
        </is>
      </c>
      <c r="E1164" s="1" t="inlineStr">
        <is>
          <t>2027BUD_V1</t>
        </is>
      </c>
      <c r="F1164" s="1" t="inlineStr">
        <is>
          <t>12</t>
        </is>
      </c>
      <c r="G1164" s="1" t="n">
        <v>72840.099225825</v>
      </c>
      <c r="H1164" s="25">
        <f>_CALC_PNL!P1164</f>
        <v/>
      </c>
      <c r="I1164" s="25">
        <f>IF(_CALC_PNL!E1164=1,H1164-G1164,"")</f>
        <v/>
      </c>
    </row>
    <row r="1165">
      <c r="A1165" s="1" t="inlineStr">
        <is>
          <t>MBWAY_NAN</t>
        </is>
      </c>
      <c r="B1165" s="1" t="inlineStr">
        <is>
          <t>604</t>
        </is>
      </c>
      <c r="C1165" s="1" t="inlineStr">
        <is>
          <t>2027</t>
        </is>
      </c>
      <c r="D1165" s="1" t="inlineStr">
        <is>
          <t>V01</t>
        </is>
      </c>
      <c r="E1165" s="1" t="inlineStr">
        <is>
          <t>2027BUD_V1</t>
        </is>
      </c>
      <c r="F1165" s="1" t="inlineStr">
        <is>
          <t>12</t>
        </is>
      </c>
      <c r="G1165" s="1" t="n">
        <v>69524.929945902</v>
      </c>
      <c r="H1165" s="25">
        <f>_CALC_PNL!P1165</f>
        <v/>
      </c>
      <c r="I1165" s="25">
        <f>IF(_CALC_PNL!E1165=1,H1165-G1165,"")</f>
        <v/>
      </c>
    </row>
    <row r="1166">
      <c r="A1166" s="1" t="inlineStr">
        <is>
          <t>MBWAY_NAN</t>
        </is>
      </c>
      <c r="B1166" s="1" t="inlineStr">
        <is>
          <t>604</t>
        </is>
      </c>
      <c r="C1166" s="1" t="inlineStr">
        <is>
          <t>2027</t>
        </is>
      </c>
      <c r="D1166" s="1" t="inlineStr">
        <is>
          <t>V02</t>
        </is>
      </c>
      <c r="E1166" s="1" t="inlineStr">
        <is>
          <t>2027BUD_V1</t>
        </is>
      </c>
      <c r="F1166" s="1" t="inlineStr">
        <is>
          <t>12</t>
        </is>
      </c>
      <c r="G1166" s="1" t="n">
        <v>74296.838372589</v>
      </c>
      <c r="H1166" s="25">
        <f>_CALC_PNL!P1166</f>
        <v/>
      </c>
      <c r="I1166" s="25">
        <f>IF(_CALC_PNL!E1166=1,H1166-G1166,"")</f>
        <v/>
      </c>
    </row>
    <row r="1167">
      <c r="A1167" s="1" t="inlineStr">
        <is>
          <t>MBWAY_NAN</t>
        </is>
      </c>
      <c r="B1167" s="1" t="inlineStr">
        <is>
          <t>604</t>
        </is>
      </c>
      <c r="C1167" s="1" t="inlineStr">
        <is>
          <t>2027</t>
        </is>
      </c>
      <c r="D1167" s="1" t="inlineStr">
        <is>
          <t>V03</t>
        </is>
      </c>
      <c r="E1167" s="1" t="inlineStr">
        <is>
          <t>2027BUD_V1</t>
        </is>
      </c>
      <c r="F1167" s="1" t="inlineStr">
        <is>
          <t>12</t>
        </is>
      </c>
      <c r="G1167" s="1" t="n">
        <v>66096.335563485</v>
      </c>
      <c r="H1167" s="25">
        <f>_CALC_PNL!P1167</f>
        <v/>
      </c>
      <c r="I1167" s="25">
        <f>IF(_CALC_PNL!E1167=1,H1167-G1167,"")</f>
        <v/>
      </c>
    </row>
    <row r="1168">
      <c r="A1168" s="1" t="inlineStr">
        <is>
          <t>MBWAY_BOR</t>
        </is>
      </c>
      <c r="B1168" s="1" t="inlineStr">
        <is>
          <t>604</t>
        </is>
      </c>
      <c r="C1168" s="1" t="inlineStr">
        <is>
          <t>2027</t>
        </is>
      </c>
      <c r="D1168" s="1" t="inlineStr">
        <is>
          <t>V01</t>
        </is>
      </c>
      <c r="E1168" s="1" t="inlineStr">
        <is>
          <t>2027BUD_V1</t>
        </is>
      </c>
      <c r="F1168" s="1" t="inlineStr">
        <is>
          <t>12</t>
        </is>
      </c>
      <c r="G1168" s="1" t="n">
        <v>58882.969935444</v>
      </c>
      <c r="H1168" s="25">
        <f>_CALC_PNL!P1168</f>
        <v/>
      </c>
      <c r="I1168" s="25">
        <f>IF(_CALC_PNL!E1168=1,H1168-G1168,"")</f>
        <v/>
      </c>
    </row>
    <row r="1169">
      <c r="A1169" s="1" t="inlineStr">
        <is>
          <t>MBWAY_BOR</t>
        </is>
      </c>
      <c r="B1169" s="1" t="inlineStr">
        <is>
          <t>604</t>
        </is>
      </c>
      <c r="C1169" s="1" t="inlineStr">
        <is>
          <t>2027</t>
        </is>
      </c>
      <c r="D1169" s="1" t="inlineStr">
        <is>
          <t>V02</t>
        </is>
      </c>
      <c r="E1169" s="1" t="inlineStr">
        <is>
          <t>2027BUD_V1</t>
        </is>
      </c>
      <c r="F1169" s="1" t="inlineStr">
        <is>
          <t>12</t>
        </is>
      </c>
      <c r="G1169" s="1" t="n">
        <v>62924.457508921</v>
      </c>
      <c r="H1169" s="25">
        <f>_CALC_PNL!P1169</f>
        <v/>
      </c>
      <c r="I1169" s="25">
        <f>IF(_CALC_PNL!E1169=1,H1169-G1169,"")</f>
        <v/>
      </c>
    </row>
    <row r="1170">
      <c r="A1170" s="1" t="inlineStr">
        <is>
          <t>MBWAY_BOR</t>
        </is>
      </c>
      <c r="B1170" s="1" t="inlineStr">
        <is>
          <t>604</t>
        </is>
      </c>
      <c r="C1170" s="1" t="inlineStr">
        <is>
          <t>2027</t>
        </is>
      </c>
      <c r="D1170" s="1" t="inlineStr">
        <is>
          <t>V03</t>
        </is>
      </c>
      <c r="E1170" s="1" t="inlineStr">
        <is>
          <t>2027BUD_V1</t>
        </is>
      </c>
      <c r="F1170" s="1" t="inlineStr">
        <is>
          <t>12</t>
        </is>
      </c>
      <c r="G1170" s="1" t="n">
        <v>55979.179595809</v>
      </c>
      <c r="H1170" s="25">
        <f>_CALC_PNL!P1170</f>
        <v/>
      </c>
      <c r="I1170" s="25">
        <f>IF(_CALC_PNL!E1170=1,H1170-G1170,"")</f>
        <v/>
      </c>
    </row>
    <row r="1171">
      <c r="A1171" s="1" t="inlineStr">
        <is>
          <t>ISCOM_PAR</t>
        </is>
      </c>
      <c r="B1171" s="1" t="inlineStr">
        <is>
          <t>604</t>
        </is>
      </c>
      <c r="C1171" s="1" t="inlineStr">
        <is>
          <t>2027</t>
        </is>
      </c>
      <c r="D1171" s="1" t="inlineStr">
        <is>
          <t>V01</t>
        </is>
      </c>
      <c r="E1171" s="1" t="inlineStr">
        <is>
          <t>2027BUD_V1</t>
        </is>
      </c>
      <c r="F1171" s="1" t="inlineStr">
        <is>
          <t>12</t>
        </is>
      </c>
      <c r="G1171" s="1" t="n">
        <v>83713.150742169</v>
      </c>
      <c r="H1171" s="25">
        <f>_CALC_PNL!P1171</f>
        <v/>
      </c>
      <c r="I1171" s="25">
        <f>IF(_CALC_PNL!E1171=1,H1171-G1171,"")</f>
        <v/>
      </c>
    </row>
    <row r="1172">
      <c r="A1172" s="1" t="inlineStr">
        <is>
          <t>ISCOM_PAR</t>
        </is>
      </c>
      <c r="B1172" s="1" t="inlineStr">
        <is>
          <t>604</t>
        </is>
      </c>
      <c r="C1172" s="1" t="inlineStr">
        <is>
          <t>2027</t>
        </is>
      </c>
      <c r="D1172" s="1" t="inlineStr">
        <is>
          <t>V02</t>
        </is>
      </c>
      <c r="E1172" s="1" t="inlineStr">
        <is>
          <t>2027BUD_V1</t>
        </is>
      </c>
      <c r="F1172" s="1" t="inlineStr">
        <is>
          <t>12</t>
        </is>
      </c>
      <c r="G1172" s="1" t="n">
        <v>89458.880939407</v>
      </c>
      <c r="H1172" s="25">
        <f>_CALC_PNL!P1172</f>
        <v/>
      </c>
      <c r="I1172" s="25">
        <f>IF(_CALC_PNL!E1172=1,H1172-G1172,"")</f>
        <v/>
      </c>
    </row>
    <row r="1173">
      <c r="A1173" s="1" t="inlineStr">
        <is>
          <t>ISCOM_PAR</t>
        </is>
      </c>
      <c r="B1173" s="1" t="inlineStr">
        <is>
          <t>604</t>
        </is>
      </c>
      <c r="C1173" s="1" t="inlineStr">
        <is>
          <t>2027</t>
        </is>
      </c>
      <c r="D1173" s="1" t="inlineStr">
        <is>
          <t>V03</t>
        </is>
      </c>
      <c r="E1173" s="1" t="inlineStr">
        <is>
          <t>2027BUD_V1</t>
        </is>
      </c>
      <c r="F1173" s="1" t="inlineStr">
        <is>
          <t>12</t>
        </is>
      </c>
      <c r="G1173" s="1" t="n">
        <v>79584.869870942</v>
      </c>
      <c r="H1173" s="25">
        <f>_CALC_PNL!P1173</f>
        <v/>
      </c>
      <c r="I1173" s="25">
        <f>IF(_CALC_PNL!E1173=1,H1173-G1173,"")</f>
        <v/>
      </c>
    </row>
    <row r="1174">
      <c r="A1174" s="1" t="inlineStr">
        <is>
          <t>ISCOM_LIL</t>
        </is>
      </c>
      <c r="B1174" s="1" t="inlineStr">
        <is>
          <t>604</t>
        </is>
      </c>
      <c r="C1174" s="1" t="inlineStr">
        <is>
          <t>2027</t>
        </is>
      </c>
      <c r="D1174" s="1" t="inlineStr">
        <is>
          <t>V01</t>
        </is>
      </c>
      <c r="E1174" s="1" t="inlineStr">
        <is>
          <t>2027BUD_V1</t>
        </is>
      </c>
      <c r="F1174" s="1" t="inlineStr">
        <is>
          <t>12</t>
        </is>
      </c>
      <c r="G1174" s="1" t="n">
        <v>57700.883006841</v>
      </c>
      <c r="H1174" s="25">
        <f>_CALC_PNL!P1174</f>
        <v/>
      </c>
      <c r="I1174" s="25">
        <f>IF(_CALC_PNL!E1174=1,H1174-G1174,"")</f>
        <v/>
      </c>
    </row>
    <row r="1175">
      <c r="A1175" s="1" t="inlineStr">
        <is>
          <t>ISCOM_LIL</t>
        </is>
      </c>
      <c r="B1175" s="1" t="inlineStr">
        <is>
          <t>604</t>
        </is>
      </c>
      <c r="C1175" s="1" t="inlineStr">
        <is>
          <t>2027</t>
        </is>
      </c>
      <c r="D1175" s="1" t="inlineStr">
        <is>
          <t>V02</t>
        </is>
      </c>
      <c r="E1175" s="1" t="inlineStr">
        <is>
          <t>2027BUD_V1</t>
        </is>
      </c>
      <c r="F1175" s="1" t="inlineStr">
        <is>
          <t>12</t>
        </is>
      </c>
      <c r="G1175" s="1" t="n">
        <v>61661.236941204</v>
      </c>
      <c r="H1175" s="25">
        <f>_CALC_PNL!P1175</f>
        <v/>
      </c>
      <c r="I1175" s="25">
        <f>IF(_CALC_PNL!E1175=1,H1175-G1175,"")</f>
        <v/>
      </c>
    </row>
    <row r="1176">
      <c r="A1176" s="1" t="inlineStr">
        <is>
          <t>ISCOM_LIL</t>
        </is>
      </c>
      <c r="B1176" s="1" t="inlineStr">
        <is>
          <t>604</t>
        </is>
      </c>
      <c r="C1176" s="1" t="inlineStr">
        <is>
          <t>2027</t>
        </is>
      </c>
      <c r="D1176" s="1" t="inlineStr">
        <is>
          <t>V03</t>
        </is>
      </c>
      <c r="E1176" s="1" t="inlineStr">
        <is>
          <t>2027BUD_V1</t>
        </is>
      </c>
      <c r="F1176" s="1" t="inlineStr">
        <is>
          <t>12</t>
        </is>
      </c>
      <c r="G1176" s="1" t="n">
        <v>54855.386815882</v>
      </c>
      <c r="H1176" s="25">
        <f>_CALC_PNL!P1176</f>
        <v/>
      </c>
      <c r="I1176" s="25">
        <f>IF(_CALC_PNL!E1176=1,H1176-G1176,"")</f>
        <v/>
      </c>
    </row>
    <row r="1177">
      <c r="A1177" s="1" t="inlineStr">
        <is>
          <t>ISCOM_TLS</t>
        </is>
      </c>
      <c r="B1177" s="1" t="inlineStr">
        <is>
          <t>604</t>
        </is>
      </c>
      <c r="C1177" s="1" t="inlineStr">
        <is>
          <t>2027</t>
        </is>
      </c>
      <c r="D1177" s="1" t="inlineStr">
        <is>
          <t>V01</t>
        </is>
      </c>
      <c r="E1177" s="1" t="inlineStr">
        <is>
          <t>2027BUD_V1</t>
        </is>
      </c>
      <c r="F1177" s="1" t="inlineStr">
        <is>
          <t>12</t>
        </is>
      </c>
      <c r="G1177" s="1" t="n">
        <v>54625.974087725</v>
      </c>
      <c r="H1177" s="25">
        <f>_CALC_PNL!P1177</f>
        <v/>
      </c>
      <c r="I1177" s="25">
        <f>IF(_CALC_PNL!E1177=1,H1177-G1177,"")</f>
        <v/>
      </c>
    </row>
    <row r="1178">
      <c r="A1178" s="1" t="inlineStr">
        <is>
          <t>ISCOM_TLS</t>
        </is>
      </c>
      <c r="B1178" s="1" t="inlineStr">
        <is>
          <t>604</t>
        </is>
      </c>
      <c r="C1178" s="1" t="inlineStr">
        <is>
          <t>2027</t>
        </is>
      </c>
      <c r="D1178" s="1" t="inlineStr">
        <is>
          <t>V02</t>
        </is>
      </c>
      <c r="E1178" s="1" t="inlineStr">
        <is>
          <t>2027BUD_V1</t>
        </is>
      </c>
      <c r="F1178" s="1" t="inlineStr">
        <is>
          <t>12</t>
        </is>
      </c>
      <c r="G1178" s="1" t="n">
        <v>58375.27877984</v>
      </c>
      <c r="H1178" s="25">
        <f>_CALC_PNL!P1178</f>
        <v/>
      </c>
      <c r="I1178" s="25">
        <f>IF(_CALC_PNL!E1178=1,H1178-G1178,"")</f>
        <v/>
      </c>
    </row>
    <row r="1179">
      <c r="A1179" s="1" t="inlineStr">
        <is>
          <t>ISCOM_TLS</t>
        </is>
      </c>
      <c r="B1179" s="1" t="inlineStr">
        <is>
          <t>604</t>
        </is>
      </c>
      <c r="C1179" s="1" t="inlineStr">
        <is>
          <t>2027</t>
        </is>
      </c>
      <c r="D1179" s="1" t="inlineStr">
        <is>
          <t>V03</t>
        </is>
      </c>
      <c r="E1179" s="1" t="inlineStr">
        <is>
          <t>2027BUD_V1</t>
        </is>
      </c>
      <c r="F1179" s="1" t="inlineStr">
        <is>
          <t>12</t>
        </is>
      </c>
      <c r="G1179" s="1" t="n">
        <v>51932.115812183</v>
      </c>
      <c r="H1179" s="25">
        <f>_CALC_PNL!P1179</f>
        <v/>
      </c>
      <c r="I1179" s="25">
        <f>IF(_CALC_PNL!E1179=1,H1179-G1179,"")</f>
        <v/>
      </c>
    </row>
    <row r="1180">
      <c r="A1180" s="1" t="inlineStr">
        <is>
          <t>IPAC_NAN</t>
        </is>
      </c>
      <c r="B1180" s="1" t="inlineStr">
        <is>
          <t>604</t>
        </is>
      </c>
      <c r="C1180" s="1" t="inlineStr">
        <is>
          <t>2027</t>
        </is>
      </c>
      <c r="D1180" s="1" t="inlineStr">
        <is>
          <t>V01</t>
        </is>
      </c>
      <c r="E1180" s="1" t="inlineStr">
        <is>
          <t>2027BUD_V1</t>
        </is>
      </c>
      <c r="F1180" s="1" t="inlineStr">
        <is>
          <t>12</t>
        </is>
      </c>
      <c r="G1180" s="1" t="n">
        <v>34288.994670903</v>
      </c>
      <c r="H1180" s="25">
        <f>_CALC_PNL!P1180</f>
        <v/>
      </c>
      <c r="I1180" s="25">
        <f>IF(_CALC_PNL!E1180=1,H1180-G1180,"")</f>
        <v/>
      </c>
    </row>
    <row r="1181">
      <c r="A1181" s="1" t="inlineStr">
        <is>
          <t>IPAC_NAN</t>
        </is>
      </c>
      <c r="B1181" s="1" t="inlineStr">
        <is>
          <t>604</t>
        </is>
      </c>
      <c r="C1181" s="1" t="inlineStr">
        <is>
          <t>2027</t>
        </is>
      </c>
      <c r="D1181" s="1" t="inlineStr">
        <is>
          <t>V02</t>
        </is>
      </c>
      <c r="E1181" s="1" t="inlineStr">
        <is>
          <t>2027BUD_V1</t>
        </is>
      </c>
      <c r="F1181" s="1" t="inlineStr">
        <is>
          <t>12</t>
        </is>
      </c>
      <c r="G1181" s="1" t="n">
        <v>36642.451808365</v>
      </c>
      <c r="H1181" s="25">
        <f>_CALC_PNL!P1181</f>
        <v/>
      </c>
      <c r="I1181" s="25">
        <f>IF(_CALC_PNL!E1181=1,H1181-G1181,"")</f>
        <v/>
      </c>
    </row>
    <row r="1182">
      <c r="A1182" s="1" t="inlineStr">
        <is>
          <t>IPAC_NAN</t>
        </is>
      </c>
      <c r="B1182" s="1" t="inlineStr">
        <is>
          <t>604</t>
        </is>
      </c>
      <c r="C1182" s="1" t="inlineStr">
        <is>
          <t>2027</t>
        </is>
      </c>
      <c r="D1182" s="1" t="inlineStr">
        <is>
          <t>V03</t>
        </is>
      </c>
      <c r="E1182" s="1" t="inlineStr">
        <is>
          <t>2027BUD_V1</t>
        </is>
      </c>
      <c r="F1182" s="1" t="inlineStr">
        <is>
          <t>12</t>
        </is>
      </c>
      <c r="G1182" s="1" t="n">
        <v>32598.046480105</v>
      </c>
      <c r="H1182" s="25">
        <f>_CALC_PNL!P1182</f>
        <v/>
      </c>
      <c r="I1182" s="25">
        <f>IF(_CALC_PNL!E1182=1,H1182-G1182,"")</f>
        <v/>
      </c>
    </row>
    <row r="1183">
      <c r="A1183" s="1" t="inlineStr">
        <is>
          <t>IPAC_REN</t>
        </is>
      </c>
      <c r="B1183" s="1" t="inlineStr">
        <is>
          <t>604</t>
        </is>
      </c>
      <c r="C1183" s="1" t="inlineStr">
        <is>
          <t>2027</t>
        </is>
      </c>
      <c r="D1183" s="1" t="inlineStr">
        <is>
          <t>V01</t>
        </is>
      </c>
      <c r="E1183" s="1" t="inlineStr">
        <is>
          <t>2027BUD_V1</t>
        </is>
      </c>
      <c r="F1183" s="1" t="inlineStr">
        <is>
          <t>12</t>
        </is>
      </c>
      <c r="G1183" s="1" t="n">
        <v>27667.824965979</v>
      </c>
      <c r="H1183" s="25">
        <f>_CALC_PNL!P1183</f>
        <v/>
      </c>
      <c r="I1183" s="25">
        <f>IF(_CALC_PNL!E1183=1,H1183-G1183,"")</f>
        <v/>
      </c>
    </row>
    <row r="1184">
      <c r="A1184" s="1" t="inlineStr">
        <is>
          <t>IPAC_REN</t>
        </is>
      </c>
      <c r="B1184" s="1" t="inlineStr">
        <is>
          <t>604</t>
        </is>
      </c>
      <c r="C1184" s="1" t="inlineStr">
        <is>
          <t>2027</t>
        </is>
      </c>
      <c r="D1184" s="1" t="inlineStr">
        <is>
          <t>V02</t>
        </is>
      </c>
      <c r="E1184" s="1" t="inlineStr">
        <is>
          <t>2027BUD_V1</t>
        </is>
      </c>
      <c r="F1184" s="1" t="inlineStr">
        <is>
          <t>12</t>
        </is>
      </c>
      <c r="G1184" s="1" t="n">
        <v>29566.831943849</v>
      </c>
      <c r="H1184" s="25">
        <f>_CALC_PNL!P1184</f>
        <v/>
      </c>
      <c r="I1184" s="25">
        <f>IF(_CALC_PNL!E1184=1,H1184-G1184,"")</f>
        <v/>
      </c>
    </row>
    <row r="1185">
      <c r="A1185" s="1" t="inlineStr">
        <is>
          <t>IPAC_REN</t>
        </is>
      </c>
      <c r="B1185" s="1" t="inlineStr">
        <is>
          <t>604</t>
        </is>
      </c>
      <c r="C1185" s="1" t="inlineStr">
        <is>
          <t>2027</t>
        </is>
      </c>
      <c r="D1185" s="1" t="inlineStr">
        <is>
          <t>V03</t>
        </is>
      </c>
      <c r="E1185" s="1" t="inlineStr">
        <is>
          <t>2027BUD_V1</t>
        </is>
      </c>
      <c r="F1185" s="1" t="inlineStr">
        <is>
          <t>12</t>
        </is>
      </c>
      <c r="G1185" s="1" t="n">
        <v>26303.397136625</v>
      </c>
      <c r="H1185" s="25">
        <f>_CALC_PNL!P1185</f>
        <v/>
      </c>
      <c r="I1185" s="25">
        <f>IF(_CALC_PNL!E1185=1,H1185-G1185,"")</f>
        <v/>
      </c>
    </row>
    <row r="1186">
      <c r="A1186" s="1" t="inlineStr">
        <is>
          <t>IPAC_MTP</t>
        </is>
      </c>
      <c r="B1186" s="1" t="inlineStr">
        <is>
          <t>604</t>
        </is>
      </c>
      <c r="C1186" s="1" t="inlineStr">
        <is>
          <t>2027</t>
        </is>
      </c>
      <c r="D1186" s="1" t="inlineStr">
        <is>
          <t>V01</t>
        </is>
      </c>
      <c r="E1186" s="1" t="inlineStr">
        <is>
          <t>2027BUD_V1</t>
        </is>
      </c>
      <c r="F1186" s="1" t="inlineStr">
        <is>
          <t>12</t>
        </is>
      </c>
      <c r="G1186" s="1" t="n">
        <v>27667.824965979</v>
      </c>
      <c r="H1186" s="25">
        <f>_CALC_PNL!P1186</f>
        <v/>
      </c>
      <c r="I1186" s="25">
        <f>IF(_CALC_PNL!E1186=1,H1186-G1186,"")</f>
        <v/>
      </c>
    </row>
    <row r="1187">
      <c r="A1187" s="1" t="inlineStr">
        <is>
          <t>IPAC_MTP</t>
        </is>
      </c>
      <c r="B1187" s="1" t="inlineStr">
        <is>
          <t>604</t>
        </is>
      </c>
      <c r="C1187" s="1" t="inlineStr">
        <is>
          <t>2027</t>
        </is>
      </c>
      <c r="D1187" s="1" t="inlineStr">
        <is>
          <t>V02</t>
        </is>
      </c>
      <c r="E1187" s="1" t="inlineStr">
        <is>
          <t>2027BUD_V1</t>
        </is>
      </c>
      <c r="F1187" s="1" t="inlineStr">
        <is>
          <t>12</t>
        </is>
      </c>
      <c r="G1187" s="1" t="n">
        <v>29566.831943849</v>
      </c>
      <c r="H1187" s="25">
        <f>_CALC_PNL!P1187</f>
        <v/>
      </c>
      <c r="I1187" s="25">
        <f>IF(_CALC_PNL!E1187=1,H1187-G1187,"")</f>
        <v/>
      </c>
    </row>
    <row r="1188">
      <c r="A1188" s="1" t="inlineStr">
        <is>
          <t>IPAC_MTP</t>
        </is>
      </c>
      <c r="B1188" s="1" t="inlineStr">
        <is>
          <t>604</t>
        </is>
      </c>
      <c r="C1188" s="1" t="inlineStr">
        <is>
          <t>2027</t>
        </is>
      </c>
      <c r="D1188" s="1" t="inlineStr">
        <is>
          <t>V03</t>
        </is>
      </c>
      <c r="E1188" s="1" t="inlineStr">
        <is>
          <t>2027BUD_V1</t>
        </is>
      </c>
      <c r="F1188" s="1" t="inlineStr">
        <is>
          <t>12</t>
        </is>
      </c>
      <c r="G1188" s="1" t="n">
        <v>26303.397136625</v>
      </c>
      <c r="H1188" s="25">
        <f>_CALC_PNL!P1188</f>
        <v/>
      </c>
      <c r="I1188" s="25">
        <f>IF(_CALC_PNL!E1188=1,H1188-G1188,"")</f>
        <v/>
      </c>
    </row>
    <row r="1189">
      <c r="A1189" s="1" t="inlineStr">
        <is>
          <t>PIGIER_LYO</t>
        </is>
      </c>
      <c r="B1189" s="1" t="inlineStr">
        <is>
          <t>604</t>
        </is>
      </c>
      <c r="C1189" s="1" t="inlineStr">
        <is>
          <t>2027</t>
        </is>
      </c>
      <c r="D1189" s="1" t="inlineStr">
        <is>
          <t>V01</t>
        </is>
      </c>
      <c r="E1189" s="1" t="inlineStr">
        <is>
          <t>2027BUD_V1</t>
        </is>
      </c>
      <c r="F1189" s="1" t="inlineStr">
        <is>
          <t>12</t>
        </is>
      </c>
      <c r="G1189" s="1" t="n">
        <v>43039.191908526</v>
      </c>
      <c r="H1189" s="25">
        <f>_CALC_PNL!P1189</f>
        <v/>
      </c>
      <c r="I1189" s="25">
        <f>IF(_CALC_PNL!E1189=1,H1189-G1189,"")</f>
        <v/>
      </c>
    </row>
    <row r="1190">
      <c r="A1190" s="1" t="inlineStr">
        <is>
          <t>PIGIER_LYO</t>
        </is>
      </c>
      <c r="B1190" s="1" t="inlineStr">
        <is>
          <t>604</t>
        </is>
      </c>
      <c r="C1190" s="1" t="inlineStr">
        <is>
          <t>2027</t>
        </is>
      </c>
      <c r="D1190" s="1" t="inlineStr">
        <is>
          <t>V02</t>
        </is>
      </c>
      <c r="E1190" s="1" t="inlineStr">
        <is>
          <t>2027BUD_V1</t>
        </is>
      </c>
      <c r="F1190" s="1" t="inlineStr">
        <is>
          <t>12</t>
        </is>
      </c>
      <c r="G1190" s="1" t="n">
        <v>45993.226996456</v>
      </c>
      <c r="H1190" s="25">
        <f>_CALC_PNL!P1190</f>
        <v/>
      </c>
      <c r="I1190" s="25">
        <f>IF(_CALC_PNL!E1190=1,H1190-G1190,"")</f>
        <v/>
      </c>
    </row>
    <row r="1191">
      <c r="A1191" s="1" t="inlineStr">
        <is>
          <t>PIGIER_LYO</t>
        </is>
      </c>
      <c r="B1191" s="1" t="inlineStr">
        <is>
          <t>604</t>
        </is>
      </c>
      <c r="C1191" s="1" t="inlineStr">
        <is>
          <t>2027</t>
        </is>
      </c>
      <c r="D1191" s="1" t="inlineStr">
        <is>
          <t>V03</t>
        </is>
      </c>
      <c r="E1191" s="1" t="inlineStr">
        <is>
          <t>2027BUD_V1</t>
        </is>
      </c>
      <c r="F1191" s="1" t="inlineStr">
        <is>
          <t>12</t>
        </is>
      </c>
      <c r="G1191" s="1" t="n">
        <v>40916.731206787</v>
      </c>
      <c r="H1191" s="25">
        <f>_CALC_PNL!P1191</f>
        <v/>
      </c>
      <c r="I1191" s="25">
        <f>IF(_CALC_PNL!E1191=1,H1191-G1191,"")</f>
        <v/>
      </c>
    </row>
    <row r="1192">
      <c r="A1192" s="1" t="inlineStr">
        <is>
          <t>PIGIER_BOR</t>
        </is>
      </c>
      <c r="B1192" s="1" t="inlineStr">
        <is>
          <t>604</t>
        </is>
      </c>
      <c r="C1192" s="1" t="inlineStr">
        <is>
          <t>2027</t>
        </is>
      </c>
      <c r="D1192" s="1" t="inlineStr">
        <is>
          <t>V01</t>
        </is>
      </c>
      <c r="E1192" s="1" t="inlineStr">
        <is>
          <t>2027BUD_V1</t>
        </is>
      </c>
      <c r="F1192" s="1" t="inlineStr">
        <is>
          <t>12</t>
        </is>
      </c>
      <c r="G1192" s="1" t="n">
        <v>33580.378044348</v>
      </c>
      <c r="H1192" s="25">
        <f>_CALC_PNL!P1192</f>
        <v/>
      </c>
      <c r="I1192" s="25">
        <f>IF(_CALC_PNL!E1192=1,H1192-G1192,"")</f>
        <v/>
      </c>
    </row>
    <row r="1193">
      <c r="A1193" s="1" t="inlineStr">
        <is>
          <t>PIGIER_BOR</t>
        </is>
      </c>
      <c r="B1193" s="1" t="inlineStr">
        <is>
          <t>604</t>
        </is>
      </c>
      <c r="C1193" s="1" t="inlineStr">
        <is>
          <t>2027</t>
        </is>
      </c>
      <c r="D1193" s="1" t="inlineStr">
        <is>
          <t>V02</t>
        </is>
      </c>
      <c r="E1193" s="1" t="inlineStr">
        <is>
          <t>2027BUD_V1</t>
        </is>
      </c>
      <c r="F1193" s="1" t="inlineStr">
        <is>
          <t>12</t>
        </is>
      </c>
      <c r="G1193" s="1" t="n">
        <v>35885.198618577</v>
      </c>
      <c r="H1193" s="25">
        <f>_CALC_PNL!P1193</f>
        <v/>
      </c>
      <c r="I1193" s="25">
        <f>IF(_CALC_PNL!E1193=1,H1193-G1193,"")</f>
        <v/>
      </c>
    </row>
    <row r="1194">
      <c r="A1194" s="1" t="inlineStr">
        <is>
          <t>PIGIER_BOR</t>
        </is>
      </c>
      <c r="B1194" s="1" t="inlineStr">
        <is>
          <t>604</t>
        </is>
      </c>
      <c r="C1194" s="1" t="inlineStr">
        <is>
          <t>2027</t>
        </is>
      </c>
      <c r="D1194" s="1" t="inlineStr">
        <is>
          <t>V03</t>
        </is>
      </c>
      <c r="E1194" s="1" t="inlineStr">
        <is>
          <t>2027BUD_V1</t>
        </is>
      </c>
      <c r="F1194" s="1" t="inlineStr">
        <is>
          <t>12</t>
        </is>
      </c>
      <c r="G1194" s="1" t="n">
        <v>31924.375001815</v>
      </c>
      <c r="H1194" s="25">
        <f>_CALC_PNL!P1194</f>
        <v/>
      </c>
      <c r="I1194" s="25">
        <f>IF(_CALC_PNL!E1194=1,H1194-G1194,"")</f>
        <v/>
      </c>
    </row>
    <row r="1195">
      <c r="A1195" s="1" t="inlineStr">
        <is>
          <t>TUNON_PAR</t>
        </is>
      </c>
      <c r="B1195" s="1" t="inlineStr">
        <is>
          <t>604</t>
        </is>
      </c>
      <c r="C1195" s="1" t="inlineStr">
        <is>
          <t>2027</t>
        </is>
      </c>
      <c r="D1195" s="1" t="inlineStr">
        <is>
          <t>V01</t>
        </is>
      </c>
      <c r="E1195" s="1" t="inlineStr">
        <is>
          <t>2027BUD_V1</t>
        </is>
      </c>
      <c r="F1195" s="1" t="inlineStr">
        <is>
          <t>12</t>
        </is>
      </c>
      <c r="G1195" s="1" t="n">
        <v>32633.437440253</v>
      </c>
      <c r="H1195" s="25">
        <f>_CALC_PNL!P1195</f>
        <v/>
      </c>
      <c r="I1195" s="25">
        <f>IF(_CALC_PNL!E1195=1,H1195-G1195,"")</f>
        <v/>
      </c>
    </row>
    <row r="1196">
      <c r="A1196" s="1" t="inlineStr">
        <is>
          <t>TUNON_PAR</t>
        </is>
      </c>
      <c r="B1196" s="1" t="inlineStr">
        <is>
          <t>604</t>
        </is>
      </c>
      <c r="C1196" s="1" t="inlineStr">
        <is>
          <t>2027</t>
        </is>
      </c>
      <c r="D1196" s="1" t="inlineStr">
        <is>
          <t>V02</t>
        </is>
      </c>
      <c r="E1196" s="1" t="inlineStr">
        <is>
          <t>2027BUD_V1</t>
        </is>
      </c>
      <c r="F1196" s="1" t="inlineStr">
        <is>
          <t>12</t>
        </is>
      </c>
      <c r="G1196" s="1" t="n">
        <v>34873.263862718</v>
      </c>
      <c r="H1196" s="25">
        <f>_CALC_PNL!P1196</f>
        <v/>
      </c>
      <c r="I1196" s="25">
        <f>IF(_CALC_PNL!E1196=1,H1196-G1196,"")</f>
        <v/>
      </c>
    </row>
    <row r="1197">
      <c r="A1197" s="1" t="inlineStr">
        <is>
          <t>TUNON_PAR</t>
        </is>
      </c>
      <c r="B1197" s="1" t="inlineStr">
        <is>
          <t>604</t>
        </is>
      </c>
      <c r="C1197" s="1" t="inlineStr">
        <is>
          <t>2027</t>
        </is>
      </c>
      <c r="D1197" s="1" t="inlineStr">
        <is>
          <t>V03</t>
        </is>
      </c>
      <c r="E1197" s="1" t="inlineStr">
        <is>
          <t>2027BUD_V1</t>
        </is>
      </c>
      <c r="F1197" s="1" t="inlineStr">
        <is>
          <t>12</t>
        </is>
      </c>
      <c r="G1197" s="1" t="n">
        <v>31024.132398541</v>
      </c>
      <c r="H1197" s="25">
        <f>_CALC_PNL!P1197</f>
        <v/>
      </c>
      <c r="I1197" s="25">
        <f>IF(_CALC_PNL!E1197=1,H1197-G1197,"")</f>
        <v/>
      </c>
    </row>
    <row r="1198">
      <c r="A1198" s="1" t="inlineStr">
        <is>
          <t>TUNON_LYO</t>
        </is>
      </c>
      <c r="B1198" s="1" t="inlineStr">
        <is>
          <t>604</t>
        </is>
      </c>
      <c r="C1198" s="1" t="inlineStr">
        <is>
          <t>2027</t>
        </is>
      </c>
      <c r="D1198" s="1" t="inlineStr">
        <is>
          <t>V01</t>
        </is>
      </c>
      <c r="E1198" s="1" t="inlineStr">
        <is>
          <t>2027BUD_V1</t>
        </is>
      </c>
      <c r="F1198" s="1" t="inlineStr">
        <is>
          <t>12</t>
        </is>
      </c>
      <c r="G1198" s="1" t="n">
        <v>27667.824965979</v>
      </c>
      <c r="H1198" s="25">
        <f>_CALC_PNL!P1198</f>
        <v/>
      </c>
      <c r="I1198" s="25">
        <f>IF(_CALC_PNL!E1198=1,H1198-G1198,"")</f>
        <v/>
      </c>
    </row>
    <row r="1199">
      <c r="A1199" s="1" t="inlineStr">
        <is>
          <t>TUNON_LYO</t>
        </is>
      </c>
      <c r="B1199" s="1" t="inlineStr">
        <is>
          <t>604</t>
        </is>
      </c>
      <c r="C1199" s="1" t="inlineStr">
        <is>
          <t>2027</t>
        </is>
      </c>
      <c r="D1199" s="1" t="inlineStr">
        <is>
          <t>V02</t>
        </is>
      </c>
      <c r="E1199" s="1" t="inlineStr">
        <is>
          <t>2027BUD_V1</t>
        </is>
      </c>
      <c r="F1199" s="1" t="inlineStr">
        <is>
          <t>12</t>
        </is>
      </c>
      <c r="G1199" s="1" t="n">
        <v>29566.831943849</v>
      </c>
      <c r="H1199" s="25">
        <f>_CALC_PNL!P1199</f>
        <v/>
      </c>
      <c r="I1199" s="25">
        <f>IF(_CALC_PNL!E1199=1,H1199-G1199,"")</f>
        <v/>
      </c>
    </row>
    <row r="1200">
      <c r="A1200" s="1" t="inlineStr">
        <is>
          <t>TUNON_LYO</t>
        </is>
      </c>
      <c r="B1200" s="1" t="inlineStr">
        <is>
          <t>604</t>
        </is>
      </c>
      <c r="C1200" s="1" t="inlineStr">
        <is>
          <t>2027</t>
        </is>
      </c>
      <c r="D1200" s="1" t="inlineStr">
        <is>
          <t>V03</t>
        </is>
      </c>
      <c r="E1200" s="1" t="inlineStr">
        <is>
          <t>2027BUD_V1</t>
        </is>
      </c>
      <c r="F1200" s="1" t="inlineStr">
        <is>
          <t>12</t>
        </is>
      </c>
      <c r="G1200" s="1" t="n">
        <v>26303.397136625</v>
      </c>
      <c r="H1200" s="25">
        <f>_CALC_PNL!P1200</f>
        <v/>
      </c>
      <c r="I1200" s="25">
        <f>IF(_CALC_PNL!E1200=1,H1200-G1200,"")</f>
        <v/>
      </c>
    </row>
    <row r="1201">
      <c r="A1201" s="1" t="inlineStr">
        <is>
          <t>MBWAY_PAR</t>
        </is>
      </c>
      <c r="B1201" s="1" t="inlineStr">
        <is>
          <t>6063</t>
        </is>
      </c>
      <c r="C1201" s="1" t="inlineStr">
        <is>
          <t>2027</t>
        </is>
      </c>
      <c r="D1201" s="1" t="inlineStr">
        <is>
          <t>V01</t>
        </is>
      </c>
      <c r="E1201" s="1" t="inlineStr">
        <is>
          <t>2027BUD_V1</t>
        </is>
      </c>
      <c r="F1201" s="1" t="inlineStr">
        <is>
          <t>12</t>
        </is>
      </c>
      <c r="G1201" s="1" t="n">
        <v>60222.880298062</v>
      </c>
      <c r="H1201" s="25">
        <f>_CALC_PNL!P1201</f>
        <v/>
      </c>
      <c r="I1201" s="25">
        <f>IF(_CALC_PNL!E1201=1,H1201-G1201,"")</f>
        <v/>
      </c>
    </row>
    <row r="1202">
      <c r="A1202" s="1" t="inlineStr">
        <is>
          <t>MBWAY_PAR</t>
        </is>
      </c>
      <c r="B1202" s="1" t="inlineStr">
        <is>
          <t>6063</t>
        </is>
      </c>
      <c r="C1202" s="1" t="inlineStr">
        <is>
          <t>2027</t>
        </is>
      </c>
      <c r="D1202" s="1" t="inlineStr">
        <is>
          <t>V02</t>
        </is>
      </c>
      <c r="E1202" s="1" t="inlineStr">
        <is>
          <t>2027BUD_V1</t>
        </is>
      </c>
      <c r="F1202" s="1" t="inlineStr">
        <is>
          <t>12</t>
        </is>
      </c>
      <c r="G1202" s="1" t="n">
        <v>64356.333869281</v>
      </c>
      <c r="H1202" s="25">
        <f>_CALC_PNL!P1202</f>
        <v/>
      </c>
      <c r="I1202" s="25">
        <f>IF(_CALC_PNL!E1202=1,H1202-G1202,"")</f>
        <v/>
      </c>
    </row>
    <row r="1203">
      <c r="A1203" s="1" t="inlineStr">
        <is>
          <t>MBWAY_PAR</t>
        </is>
      </c>
      <c r="B1203" s="1" t="inlineStr">
        <is>
          <t>6063</t>
        </is>
      </c>
      <c r="C1203" s="1" t="inlineStr">
        <is>
          <t>2027</t>
        </is>
      </c>
      <c r="D1203" s="1" t="inlineStr">
        <is>
          <t>V03</t>
        </is>
      </c>
      <c r="E1203" s="1" t="inlineStr">
        <is>
          <t>2027BUD_V1</t>
        </is>
      </c>
      <c r="F1203" s="1" t="inlineStr">
        <is>
          <t>12</t>
        </is>
      </c>
      <c r="G1203" s="1" t="n">
        <v>57253.012809615</v>
      </c>
      <c r="H1203" s="25">
        <f>_CALC_PNL!P1203</f>
        <v/>
      </c>
      <c r="I1203" s="25">
        <f>IF(_CALC_PNL!E1203=1,H1203-G1203,"")</f>
        <v/>
      </c>
    </row>
    <row r="1204">
      <c r="A1204" s="1" t="inlineStr">
        <is>
          <t>MBWAY_LYO</t>
        </is>
      </c>
      <c r="B1204" s="1" t="inlineStr">
        <is>
          <t>6063</t>
        </is>
      </c>
      <c r="C1204" s="1" t="inlineStr">
        <is>
          <t>2027</t>
        </is>
      </c>
      <c r="D1204" s="1" t="inlineStr">
        <is>
          <t>V01</t>
        </is>
      </c>
      <c r="E1204" s="1" t="inlineStr">
        <is>
          <t>2027BUD_V1</t>
        </is>
      </c>
      <c r="F1204" s="1" t="inlineStr">
        <is>
          <t>12</t>
        </is>
      </c>
      <c r="G1204" s="1" t="n">
        <v>51079.713301916</v>
      </c>
      <c r="H1204" s="25">
        <f>_CALC_PNL!P1204</f>
        <v/>
      </c>
      <c r="I1204" s="25">
        <f>IF(_CALC_PNL!E1204=1,H1204-G1204,"")</f>
        <v/>
      </c>
    </row>
    <row r="1205">
      <c r="A1205" s="1" t="inlineStr">
        <is>
          <t>MBWAY_LYO</t>
        </is>
      </c>
      <c r="B1205" s="1" t="inlineStr">
        <is>
          <t>6063</t>
        </is>
      </c>
      <c r="C1205" s="1" t="inlineStr">
        <is>
          <t>2027</t>
        </is>
      </c>
      <c r="D1205" s="1" t="inlineStr">
        <is>
          <t>V02</t>
        </is>
      </c>
      <c r="E1205" s="1" t="inlineStr">
        <is>
          <t>2027BUD_V1</t>
        </is>
      </c>
      <c r="F1205" s="1" t="inlineStr">
        <is>
          <t>12</t>
        </is>
      </c>
      <c r="G1205" s="1" t="n">
        <v>54585.617076689</v>
      </c>
      <c r="H1205" s="25">
        <f>_CALC_PNL!P1205</f>
        <v/>
      </c>
      <c r="I1205" s="25">
        <f>IF(_CALC_PNL!E1205=1,H1205-G1205,"")</f>
        <v/>
      </c>
    </row>
    <row r="1206">
      <c r="A1206" s="1" t="inlineStr">
        <is>
          <t>MBWAY_LYO</t>
        </is>
      </c>
      <c r="B1206" s="1" t="inlineStr">
        <is>
          <t>6063</t>
        </is>
      </c>
      <c r="C1206" s="1" t="inlineStr">
        <is>
          <t>2027</t>
        </is>
      </c>
      <c r="D1206" s="1" t="inlineStr">
        <is>
          <t>V03</t>
        </is>
      </c>
      <c r="E1206" s="1" t="inlineStr">
        <is>
          <t>2027BUD_V1</t>
        </is>
      </c>
      <c r="F1206" s="1" t="inlineStr">
        <is>
          <t>12</t>
        </is>
      </c>
      <c r="G1206" s="1" t="n">
        <v>48560.737472402</v>
      </c>
      <c r="H1206" s="25">
        <f>_CALC_PNL!P1206</f>
        <v/>
      </c>
      <c r="I1206" s="25">
        <f>IF(_CALC_PNL!E1206=1,H1206-G1206,"")</f>
        <v/>
      </c>
    </row>
    <row r="1207">
      <c r="A1207" s="1" t="inlineStr">
        <is>
          <t>MBWAY_NAN</t>
        </is>
      </c>
      <c r="B1207" s="1" t="inlineStr">
        <is>
          <t>6063</t>
        </is>
      </c>
      <c r="C1207" s="1" t="inlineStr">
        <is>
          <t>2027</t>
        </is>
      </c>
      <c r="D1207" s="1" t="inlineStr">
        <is>
          <t>V01</t>
        </is>
      </c>
      <c r="E1207" s="1" t="inlineStr">
        <is>
          <t>2027BUD_V1</t>
        </is>
      </c>
      <c r="F1207" s="1" t="inlineStr">
        <is>
          <t>12</t>
        </is>
      </c>
      <c r="G1207" s="1" t="n">
        <v>46349.247152149</v>
      </c>
      <c r="H1207" s="25">
        <f>_CALC_PNL!P1207</f>
        <v/>
      </c>
      <c r="I1207" s="25">
        <f>IF(_CALC_PNL!E1207=1,H1207-G1207,"")</f>
        <v/>
      </c>
    </row>
    <row r="1208">
      <c r="A1208" s="1" t="inlineStr">
        <is>
          <t>MBWAY_NAN</t>
        </is>
      </c>
      <c r="B1208" s="1" t="inlineStr">
        <is>
          <t>6063</t>
        </is>
      </c>
      <c r="C1208" s="1" t="inlineStr">
        <is>
          <t>2027</t>
        </is>
      </c>
      <c r="D1208" s="1" t="inlineStr">
        <is>
          <t>V02</t>
        </is>
      </c>
      <c r="E1208" s="1" t="inlineStr">
        <is>
          <t>2027BUD_V1</t>
        </is>
      </c>
      <c r="F1208" s="1" t="inlineStr">
        <is>
          <t>12</t>
        </is>
      </c>
      <c r="G1208" s="1" t="n">
        <v>49530.470969678</v>
      </c>
      <c r="H1208" s="25">
        <f>_CALC_PNL!P1208</f>
        <v/>
      </c>
      <c r="I1208" s="25">
        <f>IF(_CALC_PNL!E1208=1,H1208-G1208,"")</f>
        <v/>
      </c>
    </row>
    <row r="1209">
      <c r="A1209" s="1" t="inlineStr">
        <is>
          <t>MBWAY_NAN</t>
        </is>
      </c>
      <c r="B1209" s="1" t="inlineStr">
        <is>
          <t>6063</t>
        </is>
      </c>
      <c r="C1209" s="1" t="inlineStr">
        <is>
          <t>2027</t>
        </is>
      </c>
      <c r="D1209" s="1" t="inlineStr">
        <is>
          <t>V03</t>
        </is>
      </c>
      <c r="E1209" s="1" t="inlineStr">
        <is>
          <t>2027BUD_V1</t>
        </is>
      </c>
      <c r="F1209" s="1" t="inlineStr">
        <is>
          <t>12</t>
        </is>
      </c>
      <c r="G1209" s="1" t="n">
        <v>44063.552387138</v>
      </c>
      <c r="H1209" s="25">
        <f>_CALC_PNL!P1209</f>
        <v/>
      </c>
      <c r="I1209" s="25">
        <f>IF(_CALC_PNL!E1209=1,H1209-G1209,"")</f>
        <v/>
      </c>
    </row>
    <row r="1210">
      <c r="A1210" s="1" t="inlineStr">
        <is>
          <t>MBWAY_BOR</t>
        </is>
      </c>
      <c r="B1210" s="1" t="inlineStr">
        <is>
          <t>6063</t>
        </is>
      </c>
      <c r="C1210" s="1" t="inlineStr">
        <is>
          <t>2027</t>
        </is>
      </c>
      <c r="D1210" s="1" t="inlineStr">
        <is>
          <t>V01</t>
        </is>
      </c>
      <c r="E1210" s="1" t="inlineStr">
        <is>
          <t>2027BUD_V1</t>
        </is>
      </c>
      <c r="F1210" s="1" t="inlineStr">
        <is>
          <t>12</t>
        </is>
      </c>
      <c r="G1210" s="1" t="n">
        <v>39255.666362855</v>
      </c>
      <c r="H1210" s="25">
        <f>_CALC_PNL!P1210</f>
        <v/>
      </c>
      <c r="I1210" s="25">
        <f>IF(_CALC_PNL!E1210=1,H1210-G1210,"")</f>
        <v/>
      </c>
    </row>
    <row r="1211">
      <c r="A1211" s="1" t="inlineStr">
        <is>
          <t>MBWAY_BOR</t>
        </is>
      </c>
      <c r="B1211" s="1" t="inlineStr">
        <is>
          <t>6063</t>
        </is>
      </c>
      <c r="C1211" s="1" t="inlineStr">
        <is>
          <t>2027</t>
        </is>
      </c>
      <c r="D1211" s="1" t="inlineStr">
        <is>
          <t>V02</t>
        </is>
      </c>
      <c r="E1211" s="1" t="inlineStr">
        <is>
          <t>2027BUD_V1</t>
        </is>
      </c>
      <c r="F1211" s="1" t="inlineStr">
        <is>
          <t>12</t>
        </is>
      </c>
      <c r="G1211" s="1" t="n">
        <v>41950.015645305</v>
      </c>
      <c r="H1211" s="25">
        <f>_CALC_PNL!P1211</f>
        <v/>
      </c>
      <c r="I1211" s="25">
        <f>IF(_CALC_PNL!E1211=1,H1211-G1211,"")</f>
        <v/>
      </c>
    </row>
    <row r="1212">
      <c r="A1212" s="1" t="inlineStr">
        <is>
          <t>MBWAY_BOR</t>
        </is>
      </c>
      <c r="B1212" s="1" t="inlineStr">
        <is>
          <t>6063</t>
        </is>
      </c>
      <c r="C1212" s="1" t="inlineStr">
        <is>
          <t>2027</t>
        </is>
      </c>
      <c r="D1212" s="1" t="inlineStr">
        <is>
          <t>V03</t>
        </is>
      </c>
      <c r="E1212" s="1" t="inlineStr">
        <is>
          <t>2027BUD_V1</t>
        </is>
      </c>
      <c r="F1212" s="1" t="inlineStr">
        <is>
          <t>12</t>
        </is>
      </c>
      <c r="G1212" s="1" t="n">
        <v>37319.788724798</v>
      </c>
      <c r="H1212" s="25">
        <f>_CALC_PNL!P1212</f>
        <v/>
      </c>
      <c r="I1212" s="25">
        <f>IF(_CALC_PNL!E1212=1,H1212-G1212,"")</f>
        <v/>
      </c>
    </row>
    <row r="1213">
      <c r="A1213" s="1" t="inlineStr">
        <is>
          <t>ISCOM_PAR</t>
        </is>
      </c>
      <c r="B1213" s="1" t="inlineStr">
        <is>
          <t>6063</t>
        </is>
      </c>
      <c r="C1213" s="1" t="inlineStr">
        <is>
          <t>2027</t>
        </is>
      </c>
      <c r="D1213" s="1" t="inlineStr">
        <is>
          <t>V01</t>
        </is>
      </c>
      <c r="E1213" s="1" t="inlineStr">
        <is>
          <t>2027BUD_V1</t>
        </is>
      </c>
      <c r="F1213" s="1" t="inlineStr">
        <is>
          <t>12</t>
        </is>
      </c>
      <c r="G1213" s="1" t="n">
        <v>55809.120234005</v>
      </c>
      <c r="H1213" s="25">
        <f>_CALC_PNL!P1213</f>
        <v/>
      </c>
      <c r="I1213" s="25">
        <f>IF(_CALC_PNL!E1213=1,H1213-G1213,"")</f>
        <v/>
      </c>
    </row>
    <row r="1214">
      <c r="A1214" s="1" t="inlineStr">
        <is>
          <t>ISCOM_PAR</t>
        </is>
      </c>
      <c r="B1214" s="1" t="inlineStr">
        <is>
          <t>6063</t>
        </is>
      </c>
      <c r="C1214" s="1" t="inlineStr">
        <is>
          <t>2027</t>
        </is>
      </c>
      <c r="D1214" s="1" t="inlineStr">
        <is>
          <t>V02</t>
        </is>
      </c>
      <c r="E1214" s="1" t="inlineStr">
        <is>
          <t>2027BUD_V1</t>
        </is>
      </c>
      <c r="F1214" s="1" t="inlineStr">
        <is>
          <t>12</t>
        </is>
      </c>
      <c r="G1214" s="1" t="n">
        <v>59639.631265628</v>
      </c>
      <c r="H1214" s="25">
        <f>_CALC_PNL!P1214</f>
        <v/>
      </c>
      <c r="I1214" s="25">
        <f>IF(_CALC_PNL!E1214=1,H1214-G1214,"")</f>
        <v/>
      </c>
    </row>
    <row r="1215">
      <c r="A1215" s="1" t="inlineStr">
        <is>
          <t>ISCOM_PAR</t>
        </is>
      </c>
      <c r="B1215" s="1" t="inlineStr">
        <is>
          <t>6063</t>
        </is>
      </c>
      <c r="C1215" s="1" t="inlineStr">
        <is>
          <t>2027</t>
        </is>
      </c>
      <c r="D1215" s="1" t="inlineStr">
        <is>
          <t>V03</t>
        </is>
      </c>
      <c r="E1215" s="1" t="inlineStr">
        <is>
          <t>2027BUD_V1</t>
        </is>
      </c>
      <c r="F1215" s="1" t="inlineStr">
        <is>
          <t>12</t>
        </is>
      </c>
      <c r="G1215" s="1" t="n">
        <v>53056.915574887</v>
      </c>
      <c r="H1215" s="25">
        <f>_CALC_PNL!P1215</f>
        <v/>
      </c>
      <c r="I1215" s="25">
        <f>IF(_CALC_PNL!E1215=1,H1215-G1215,"")</f>
        <v/>
      </c>
    </row>
    <row r="1216">
      <c r="A1216" s="1" t="inlineStr">
        <is>
          <t>ISCOM_LIL</t>
        </is>
      </c>
      <c r="B1216" s="1" t="inlineStr">
        <is>
          <t>6063</t>
        </is>
      </c>
      <c r="C1216" s="1" t="inlineStr">
        <is>
          <t>2027</t>
        </is>
      </c>
      <c r="D1216" s="1" t="inlineStr">
        <is>
          <t>V01</t>
        </is>
      </c>
      <c r="E1216" s="1" t="inlineStr">
        <is>
          <t>2027BUD_V1</t>
        </is>
      </c>
      <c r="F1216" s="1" t="inlineStr">
        <is>
          <t>12</t>
        </is>
      </c>
      <c r="G1216" s="1" t="n">
        <v>38466.549192775</v>
      </c>
      <c r="H1216" s="25">
        <f>_CALC_PNL!P1216</f>
        <v/>
      </c>
      <c r="I1216" s="25">
        <f>IF(_CALC_PNL!E1216=1,H1216-G1216,"")</f>
        <v/>
      </c>
    </row>
    <row r="1217">
      <c r="A1217" s="1" t="inlineStr">
        <is>
          <t>ISCOM_LIL</t>
        </is>
      </c>
      <c r="B1217" s="1" t="inlineStr">
        <is>
          <t>6063</t>
        </is>
      </c>
      <c r="C1217" s="1" t="inlineStr">
        <is>
          <t>2027</t>
        </is>
      </c>
      <c r="D1217" s="1" t="inlineStr">
        <is>
          <t>V02</t>
        </is>
      </c>
      <c r="E1217" s="1" t="inlineStr">
        <is>
          <t>2027BUD_V1</t>
        </is>
      </c>
      <c r="F1217" s="1" t="inlineStr">
        <is>
          <t>12</t>
        </is>
      </c>
      <c r="G1217" s="1" t="n">
        <v>41106.736682089</v>
      </c>
      <c r="H1217" s="25">
        <f>_CALC_PNL!P1217</f>
        <v/>
      </c>
      <c r="I1217" s="25">
        <f>IF(_CALC_PNL!E1217=1,H1217-G1217,"")</f>
        <v/>
      </c>
    </row>
    <row r="1218">
      <c r="A1218" s="1" t="inlineStr">
        <is>
          <t>ISCOM_LIL</t>
        </is>
      </c>
      <c r="B1218" s="1" t="inlineStr">
        <is>
          <t>6063</t>
        </is>
      </c>
      <c r="C1218" s="1" t="inlineStr">
        <is>
          <t>2027</t>
        </is>
      </c>
      <c r="D1218" s="1" t="inlineStr">
        <is>
          <t>V03</t>
        </is>
      </c>
      <c r="E1218" s="1" t="inlineStr">
        <is>
          <t>2027BUD_V1</t>
        </is>
      </c>
      <c r="F1218" s="1" t="inlineStr">
        <is>
          <t>12</t>
        </is>
      </c>
      <c r="G1218" s="1" t="n">
        <v>36569.586555403</v>
      </c>
      <c r="H1218" s="25">
        <f>_CALC_PNL!P1218</f>
        <v/>
      </c>
      <c r="I1218" s="25">
        <f>IF(_CALC_PNL!E1218=1,H1218-G1218,"")</f>
        <v/>
      </c>
    </row>
    <row r="1219">
      <c r="A1219" s="1" t="inlineStr">
        <is>
          <t>ISCOM_TLS</t>
        </is>
      </c>
      <c r="B1219" s="1" t="inlineStr">
        <is>
          <t>6063</t>
        </is>
      </c>
      <c r="C1219" s="1" t="inlineStr">
        <is>
          <t>2027</t>
        </is>
      </c>
      <c r="D1219" s="1" t="inlineStr">
        <is>
          <t>V01</t>
        </is>
      </c>
      <c r="E1219" s="1" t="inlineStr">
        <is>
          <t>2027BUD_V1</t>
        </is>
      </c>
      <c r="F1219" s="1" t="inlineStr">
        <is>
          <t>12</t>
        </is>
      </c>
      <c r="G1219" s="1" t="n">
        <v>36418.022203602</v>
      </c>
      <c r="H1219" s="25">
        <f>_CALC_PNL!P1219</f>
        <v/>
      </c>
      <c r="I1219" s="25">
        <f>IF(_CALC_PNL!E1219=1,H1219-G1219,"")</f>
        <v/>
      </c>
    </row>
    <row r="1220">
      <c r="A1220" s="1" t="inlineStr">
        <is>
          <t>ISCOM_TLS</t>
        </is>
      </c>
      <c r="B1220" s="1" t="inlineStr">
        <is>
          <t>6063</t>
        </is>
      </c>
      <c r="C1220" s="1" t="inlineStr">
        <is>
          <t>2027</t>
        </is>
      </c>
      <c r="D1220" s="1" t="inlineStr">
        <is>
          <t>V02</t>
        </is>
      </c>
      <c r="E1220" s="1" t="inlineStr">
        <is>
          <t>2027BUD_V1</t>
        </is>
      </c>
      <c r="F1220" s="1" t="inlineStr">
        <is>
          <t>12</t>
        </is>
      </c>
      <c r="G1220" s="1" t="n">
        <v>38917.607131941</v>
      </c>
      <c r="H1220" s="25">
        <f>_CALC_PNL!P1220</f>
        <v/>
      </c>
      <c r="I1220" s="25">
        <f>IF(_CALC_PNL!E1220=1,H1220-G1220,"")</f>
        <v/>
      </c>
    </row>
    <row r="1221">
      <c r="A1221" s="1" t="inlineStr">
        <is>
          <t>ISCOM_TLS</t>
        </is>
      </c>
      <c r="B1221" s="1" t="inlineStr">
        <is>
          <t>6063</t>
        </is>
      </c>
      <c r="C1221" s="1" t="inlineStr">
        <is>
          <t>2027</t>
        </is>
      </c>
      <c r="D1221" s="1" t="inlineStr">
        <is>
          <t>V03</t>
        </is>
      </c>
      <c r="E1221" s="1" t="inlineStr">
        <is>
          <t>2027BUD_V1</t>
        </is>
      </c>
      <c r="F1221" s="1" t="inlineStr">
        <is>
          <t>12</t>
        </is>
      </c>
      <c r="G1221" s="1" t="n">
        <v>34622.081863307</v>
      </c>
      <c r="H1221" s="25">
        <f>_CALC_PNL!P1221</f>
        <v/>
      </c>
      <c r="I1221" s="25">
        <f>IF(_CALC_PNL!E1221=1,H1221-G1221,"")</f>
        <v/>
      </c>
    </row>
    <row r="1222">
      <c r="A1222" s="1" t="inlineStr">
        <is>
          <t>IPAC_NAN</t>
        </is>
      </c>
      <c r="B1222" s="1" t="inlineStr">
        <is>
          <t>6063</t>
        </is>
      </c>
      <c r="C1222" s="1" t="inlineStr">
        <is>
          <t>2027</t>
        </is>
      </c>
      <c r="D1222" s="1" t="inlineStr">
        <is>
          <t>V01</t>
        </is>
      </c>
      <c r="E1222" s="1" t="inlineStr">
        <is>
          <t>2027BUD_V1</t>
        </is>
      </c>
      <c r="F1222" s="1" t="inlineStr">
        <is>
          <t>12</t>
        </is>
      </c>
      <c r="G1222" s="1" t="n">
        <v>22860.035925721</v>
      </c>
      <c r="H1222" s="25">
        <f>_CALC_PNL!P1222</f>
        <v/>
      </c>
      <c r="I1222" s="25">
        <f>IF(_CALC_PNL!E1222=1,H1222-G1222,"")</f>
        <v/>
      </c>
    </row>
    <row r="1223">
      <c r="A1223" s="1" t="inlineStr">
        <is>
          <t>IPAC_NAN</t>
        </is>
      </c>
      <c r="B1223" s="1" t="inlineStr">
        <is>
          <t>6063</t>
        </is>
      </c>
      <c r="C1223" s="1" t="inlineStr">
        <is>
          <t>2027</t>
        </is>
      </c>
      <c r="D1223" s="1" t="inlineStr">
        <is>
          <t>V02</t>
        </is>
      </c>
      <c r="E1223" s="1" t="inlineStr">
        <is>
          <t>2027BUD_V1</t>
        </is>
      </c>
      <c r="F1223" s="1" t="inlineStr">
        <is>
          <t>12</t>
        </is>
      </c>
      <c r="G1223" s="1" t="n">
        <v>24429.055817624</v>
      </c>
      <c r="H1223" s="25">
        <f>_CALC_PNL!P1223</f>
        <v/>
      </c>
      <c r="I1223" s="25">
        <f>IF(_CALC_PNL!E1223=1,H1223-G1223,"")</f>
        <v/>
      </c>
    </row>
    <row r="1224">
      <c r="A1224" s="1" t="inlineStr">
        <is>
          <t>IPAC_NAN</t>
        </is>
      </c>
      <c r="B1224" s="1" t="inlineStr">
        <is>
          <t>6063</t>
        </is>
      </c>
      <c r="C1224" s="1" t="inlineStr">
        <is>
          <t>2027</t>
        </is>
      </c>
      <c r="D1224" s="1" t="inlineStr">
        <is>
          <t>V03</t>
        </is>
      </c>
      <c r="E1224" s="1" t="inlineStr">
        <is>
          <t>2027BUD_V1</t>
        </is>
      </c>
      <c r="F1224" s="1" t="inlineStr">
        <is>
          <t>12</t>
        </is>
      </c>
      <c r="G1224" s="1" t="n">
        <v>21732.702308588</v>
      </c>
      <c r="H1224" s="25">
        <f>_CALC_PNL!P1224</f>
        <v/>
      </c>
      <c r="I1224" s="25">
        <f>IF(_CALC_PNL!E1224=1,H1224-G1224,"")</f>
        <v/>
      </c>
    </row>
    <row r="1225">
      <c r="A1225" s="1" t="inlineStr">
        <is>
          <t>IPAC_REN</t>
        </is>
      </c>
      <c r="B1225" s="1" t="inlineStr">
        <is>
          <t>6063</t>
        </is>
      </c>
      <c r="C1225" s="1" t="inlineStr">
        <is>
          <t>2027</t>
        </is>
      </c>
      <c r="D1225" s="1" t="inlineStr">
        <is>
          <t>V01</t>
        </is>
      </c>
      <c r="E1225" s="1" t="inlineStr">
        <is>
          <t>2027BUD_V1</t>
        </is>
      </c>
      <c r="F1225" s="1" t="inlineStr">
        <is>
          <t>12</t>
        </is>
      </c>
      <c r="G1225" s="1" t="n">
        <v>18445.216643986</v>
      </c>
      <c r="H1225" s="25">
        <f>_CALC_PNL!P1225</f>
        <v/>
      </c>
      <c r="I1225" s="25">
        <f>IF(_CALC_PNL!E1225=1,H1225-G1225,"")</f>
        <v/>
      </c>
    </row>
    <row r="1226">
      <c r="A1226" s="1" t="inlineStr">
        <is>
          <t>IPAC_REN</t>
        </is>
      </c>
      <c r="B1226" s="1" t="inlineStr">
        <is>
          <t>6063</t>
        </is>
      </c>
      <c r="C1226" s="1" t="inlineStr">
        <is>
          <t>2027</t>
        </is>
      </c>
      <c r="D1226" s="1" t="inlineStr">
        <is>
          <t>V02</t>
        </is>
      </c>
      <c r="E1226" s="1" t="inlineStr">
        <is>
          <t>2027BUD_V1</t>
        </is>
      </c>
      <c r="F1226" s="1" t="inlineStr">
        <is>
          <t>12</t>
        </is>
      </c>
      <c r="G1226" s="1" t="n">
        <v>19711.2212959</v>
      </c>
      <c r="H1226" s="25">
        <f>_CALC_PNL!P1226</f>
        <v/>
      </c>
      <c r="I1226" s="25">
        <f>IF(_CALC_PNL!E1226=1,H1226-G1226,"")</f>
        <v/>
      </c>
    </row>
    <row r="1227">
      <c r="A1227" s="1" t="inlineStr">
        <is>
          <t>IPAC_REN</t>
        </is>
      </c>
      <c r="B1227" s="1" t="inlineStr">
        <is>
          <t>6063</t>
        </is>
      </c>
      <c r="C1227" s="1" t="inlineStr">
        <is>
          <t>2027</t>
        </is>
      </c>
      <c r="D1227" s="1" t="inlineStr">
        <is>
          <t>V03</t>
        </is>
      </c>
      <c r="E1227" s="1" t="inlineStr">
        <is>
          <t>2027BUD_V1</t>
        </is>
      </c>
      <c r="F1227" s="1" t="inlineStr">
        <is>
          <t>12</t>
        </is>
      </c>
      <c r="G1227" s="1" t="n">
        <v>17535.598091083</v>
      </c>
      <c r="H1227" s="25">
        <f>_CALC_PNL!P1227</f>
        <v/>
      </c>
      <c r="I1227" s="25">
        <f>IF(_CALC_PNL!E1227=1,H1227-G1227,"")</f>
        <v/>
      </c>
    </row>
    <row r="1228">
      <c r="A1228" s="1" t="inlineStr">
        <is>
          <t>IPAC_MTP</t>
        </is>
      </c>
      <c r="B1228" s="1" t="inlineStr">
        <is>
          <t>6063</t>
        </is>
      </c>
      <c r="C1228" s="1" t="inlineStr">
        <is>
          <t>2027</t>
        </is>
      </c>
      <c r="D1228" s="1" t="inlineStr">
        <is>
          <t>V01</t>
        </is>
      </c>
      <c r="E1228" s="1" t="inlineStr">
        <is>
          <t>2027BUD_V1</t>
        </is>
      </c>
      <c r="F1228" s="1" t="inlineStr">
        <is>
          <t>12</t>
        </is>
      </c>
      <c r="G1228" s="1" t="n">
        <v>18445.216643986</v>
      </c>
      <c r="H1228" s="25">
        <f>_CALC_PNL!P1228</f>
        <v/>
      </c>
      <c r="I1228" s="25">
        <f>IF(_CALC_PNL!E1228=1,H1228-G1228,"")</f>
        <v/>
      </c>
    </row>
    <row r="1229">
      <c r="A1229" s="1" t="inlineStr">
        <is>
          <t>IPAC_MTP</t>
        </is>
      </c>
      <c r="B1229" s="1" t="inlineStr">
        <is>
          <t>6063</t>
        </is>
      </c>
      <c r="C1229" s="1" t="inlineStr">
        <is>
          <t>2027</t>
        </is>
      </c>
      <c r="D1229" s="1" t="inlineStr">
        <is>
          <t>V02</t>
        </is>
      </c>
      <c r="E1229" s="1" t="inlineStr">
        <is>
          <t>2027BUD_V1</t>
        </is>
      </c>
      <c r="F1229" s="1" t="inlineStr">
        <is>
          <t>12</t>
        </is>
      </c>
      <c r="G1229" s="1" t="n">
        <v>19711.2212959</v>
      </c>
      <c r="H1229" s="25">
        <f>_CALC_PNL!P1229</f>
        <v/>
      </c>
      <c r="I1229" s="25">
        <f>IF(_CALC_PNL!E1229=1,H1229-G1229,"")</f>
        <v/>
      </c>
    </row>
    <row r="1230">
      <c r="A1230" s="1" t="inlineStr">
        <is>
          <t>IPAC_MTP</t>
        </is>
      </c>
      <c r="B1230" s="1" t="inlineStr">
        <is>
          <t>6063</t>
        </is>
      </c>
      <c r="C1230" s="1" t="inlineStr">
        <is>
          <t>2027</t>
        </is>
      </c>
      <c r="D1230" s="1" t="inlineStr">
        <is>
          <t>V03</t>
        </is>
      </c>
      <c r="E1230" s="1" t="inlineStr">
        <is>
          <t>2027BUD_V1</t>
        </is>
      </c>
      <c r="F1230" s="1" t="inlineStr">
        <is>
          <t>12</t>
        </is>
      </c>
      <c r="G1230" s="1" t="n">
        <v>17535.598091083</v>
      </c>
      <c r="H1230" s="25">
        <f>_CALC_PNL!P1230</f>
        <v/>
      </c>
      <c r="I1230" s="25">
        <f>IF(_CALC_PNL!E1230=1,H1230-G1230,"")</f>
        <v/>
      </c>
    </row>
    <row r="1231">
      <c r="A1231" s="1" t="inlineStr">
        <is>
          <t>PIGIER_LYO</t>
        </is>
      </c>
      <c r="B1231" s="1" t="inlineStr">
        <is>
          <t>6063</t>
        </is>
      </c>
      <c r="C1231" s="1" t="inlineStr">
        <is>
          <t>2027</t>
        </is>
      </c>
      <c r="D1231" s="1" t="inlineStr">
        <is>
          <t>V01</t>
        </is>
      </c>
      <c r="E1231" s="1" t="inlineStr">
        <is>
          <t>2027BUD_V1</t>
        </is>
      </c>
      <c r="F1231" s="1" t="inlineStr">
        <is>
          <t>12</t>
        </is>
      </c>
      <c r="G1231" s="1" t="n">
        <v>28693.147678243</v>
      </c>
      <c r="H1231" s="25">
        <f>_CALC_PNL!P1231</f>
        <v/>
      </c>
      <c r="I1231" s="25">
        <f>IF(_CALC_PNL!E1231=1,H1231-G1231,"")</f>
        <v/>
      </c>
    </row>
    <row r="1232">
      <c r="A1232" s="1" t="inlineStr">
        <is>
          <t>PIGIER_LYO</t>
        </is>
      </c>
      <c r="B1232" s="1" t="inlineStr">
        <is>
          <t>6063</t>
        </is>
      </c>
      <c r="C1232" s="1" t="inlineStr">
        <is>
          <t>2027</t>
        </is>
      </c>
      <c r="D1232" s="1" t="inlineStr">
        <is>
          <t>V02</t>
        </is>
      </c>
      <c r="E1232" s="1" t="inlineStr">
        <is>
          <t>2027BUD_V1</t>
        </is>
      </c>
      <c r="F1232" s="1" t="inlineStr">
        <is>
          <t>12</t>
        </is>
      </c>
      <c r="G1232" s="1" t="n">
        <v>30662.528636995</v>
      </c>
      <c r="H1232" s="25">
        <f>_CALC_PNL!P1232</f>
        <v/>
      </c>
      <c r="I1232" s="25">
        <f>IF(_CALC_PNL!E1232=1,H1232-G1232,"")</f>
        <v/>
      </c>
    </row>
    <row r="1233">
      <c r="A1233" s="1" t="inlineStr">
        <is>
          <t>PIGIER_LYO</t>
        </is>
      </c>
      <c r="B1233" s="1" t="inlineStr">
        <is>
          <t>6063</t>
        </is>
      </c>
      <c r="C1233" s="1" t="inlineStr">
        <is>
          <t>2027</t>
        </is>
      </c>
      <c r="D1233" s="1" t="inlineStr">
        <is>
          <t>V03</t>
        </is>
      </c>
      <c r="E1233" s="1" t="inlineStr">
        <is>
          <t>2027BUD_V1</t>
        </is>
      </c>
      <c r="F1233" s="1" t="inlineStr">
        <is>
          <t>12</t>
        </is>
      </c>
      <c r="G1233" s="1" t="n">
        <v>27278.156465451</v>
      </c>
      <c r="H1233" s="25">
        <f>_CALC_PNL!P1233</f>
        <v/>
      </c>
      <c r="I1233" s="25">
        <f>IF(_CALC_PNL!E1233=1,H1233-G1233,"")</f>
        <v/>
      </c>
    </row>
    <row r="1234">
      <c r="A1234" s="1" t="inlineStr">
        <is>
          <t>PIGIER_BOR</t>
        </is>
      </c>
      <c r="B1234" s="1" t="inlineStr">
        <is>
          <t>6063</t>
        </is>
      </c>
      <c r="C1234" s="1" t="inlineStr">
        <is>
          <t>2027</t>
        </is>
      </c>
      <c r="D1234" s="1" t="inlineStr">
        <is>
          <t>V01</t>
        </is>
      </c>
      <c r="E1234" s="1" t="inlineStr">
        <is>
          <t>2027BUD_V1</t>
        </is>
      </c>
      <c r="F1234" s="1" t="inlineStr">
        <is>
          <t>12</t>
        </is>
      </c>
      <c r="G1234" s="1" t="n">
        <v>22386.565623673</v>
      </c>
      <c r="H1234" s="25">
        <f>_CALC_PNL!P1234</f>
        <v/>
      </c>
      <c r="I1234" s="25">
        <f>IF(_CALC_PNL!E1234=1,H1234-G1234,"")</f>
        <v/>
      </c>
    </row>
    <row r="1235">
      <c r="A1235" s="1" t="inlineStr">
        <is>
          <t>PIGIER_BOR</t>
        </is>
      </c>
      <c r="B1235" s="1" t="inlineStr">
        <is>
          <t>6063</t>
        </is>
      </c>
      <c r="C1235" s="1" t="inlineStr">
        <is>
          <t>2027</t>
        </is>
      </c>
      <c r="D1235" s="1" t="inlineStr">
        <is>
          <t>V02</t>
        </is>
      </c>
      <c r="E1235" s="1" t="inlineStr">
        <is>
          <t>2027BUD_V1</t>
        </is>
      </c>
      <c r="F1235" s="1" t="inlineStr">
        <is>
          <t>12</t>
        </is>
      </c>
      <c r="G1235" s="1" t="n">
        <v>23923.088439694</v>
      </c>
      <c r="H1235" s="25">
        <f>_CALC_PNL!P1235</f>
        <v/>
      </c>
      <c r="I1235" s="25">
        <f>IF(_CALC_PNL!E1235=1,H1235-G1235,"")</f>
        <v/>
      </c>
    </row>
    <row r="1236">
      <c r="A1236" s="1" t="inlineStr">
        <is>
          <t>PIGIER_BOR</t>
        </is>
      </c>
      <c r="B1236" s="1" t="inlineStr">
        <is>
          <t>6063</t>
        </is>
      </c>
      <c r="C1236" s="1" t="inlineStr">
        <is>
          <t>2027</t>
        </is>
      </c>
      <c r="D1236" s="1" t="inlineStr">
        <is>
          <t>V03</t>
        </is>
      </c>
      <c r="E1236" s="1" t="inlineStr">
        <is>
          <t>2027BUD_V1</t>
        </is>
      </c>
      <c r="F1236" s="1" t="inlineStr">
        <is>
          <t>12</t>
        </is>
      </c>
      <c r="G1236" s="1" t="n">
        <v>21282.581006951</v>
      </c>
      <c r="H1236" s="25">
        <f>_CALC_PNL!P1236</f>
        <v/>
      </c>
      <c r="I1236" s="25">
        <f>IF(_CALC_PNL!E1236=1,H1236-G1236,"")</f>
        <v/>
      </c>
    </row>
    <row r="1237">
      <c r="A1237" s="1" t="inlineStr">
        <is>
          <t>TUNON_PAR</t>
        </is>
      </c>
      <c r="B1237" s="1" t="inlineStr">
        <is>
          <t>6063</t>
        </is>
      </c>
      <c r="C1237" s="1" t="inlineStr">
        <is>
          <t>2027</t>
        </is>
      </c>
      <c r="D1237" s="1" t="inlineStr">
        <is>
          <t>V01</t>
        </is>
      </c>
      <c r="E1237" s="1" t="inlineStr">
        <is>
          <t>2027BUD_V1</t>
        </is>
      </c>
      <c r="F1237" s="1" t="inlineStr">
        <is>
          <t>12</t>
        </is>
      </c>
      <c r="G1237" s="1" t="n">
        <v>21756.331105287</v>
      </c>
      <c r="H1237" s="25">
        <f>_CALC_PNL!P1237</f>
        <v/>
      </c>
      <c r="I1237" s="25">
        <f>IF(_CALC_PNL!E1237=1,H1237-G1237,"")</f>
        <v/>
      </c>
    </row>
    <row r="1238">
      <c r="A1238" s="1" t="inlineStr">
        <is>
          <t>TUNON_PAR</t>
        </is>
      </c>
      <c r="B1238" s="1" t="inlineStr">
        <is>
          <t>6063</t>
        </is>
      </c>
      <c r="C1238" s="1" t="inlineStr">
        <is>
          <t>2027</t>
        </is>
      </c>
      <c r="D1238" s="1" t="inlineStr">
        <is>
          <t>V02</t>
        </is>
      </c>
      <c r="E1238" s="1" t="inlineStr">
        <is>
          <t>2027BUD_V1</t>
        </is>
      </c>
      <c r="F1238" s="1" t="inlineStr">
        <is>
          <t>12</t>
        </is>
      </c>
      <c r="G1238" s="1" t="n">
        <v>23249.597187193</v>
      </c>
      <c r="H1238" s="25">
        <f>_CALC_PNL!P1238</f>
        <v/>
      </c>
      <c r="I1238" s="25">
        <f>IF(_CALC_PNL!E1238=1,H1238-G1238,"")</f>
        <v/>
      </c>
    </row>
    <row r="1239">
      <c r="A1239" s="1" t="inlineStr">
        <is>
          <t>TUNON_PAR</t>
        </is>
      </c>
      <c r="B1239" s="1" t="inlineStr">
        <is>
          <t>6063</t>
        </is>
      </c>
      <c r="C1239" s="1" t="inlineStr">
        <is>
          <t>2027</t>
        </is>
      </c>
      <c r="D1239" s="1" t="inlineStr">
        <is>
          <t>V03</t>
        </is>
      </c>
      <c r="E1239" s="1" t="inlineStr">
        <is>
          <t>2027BUD_V1</t>
        </is>
      </c>
      <c r="F1239" s="1" t="inlineStr">
        <is>
          <t>12</t>
        </is>
      </c>
      <c r="G1239" s="1" t="n">
        <v>20683.426254212</v>
      </c>
      <c r="H1239" s="25">
        <f>_CALC_PNL!P1239</f>
        <v/>
      </c>
      <c r="I1239" s="25">
        <f>IF(_CALC_PNL!E1239=1,H1239-G1239,"")</f>
        <v/>
      </c>
    </row>
    <row r="1240">
      <c r="A1240" s="1" t="inlineStr">
        <is>
          <t>TUNON_LYO</t>
        </is>
      </c>
      <c r="B1240" s="1" t="inlineStr">
        <is>
          <t>6063</t>
        </is>
      </c>
      <c r="C1240" s="1" t="inlineStr">
        <is>
          <t>2027</t>
        </is>
      </c>
      <c r="D1240" s="1" t="inlineStr">
        <is>
          <t>V01</t>
        </is>
      </c>
      <c r="E1240" s="1" t="inlineStr">
        <is>
          <t>2027BUD_V1</t>
        </is>
      </c>
      <c r="F1240" s="1" t="inlineStr">
        <is>
          <t>12</t>
        </is>
      </c>
      <c r="G1240" s="1" t="n">
        <v>18445.216643986</v>
      </c>
      <c r="H1240" s="25">
        <f>_CALC_PNL!P1240</f>
        <v/>
      </c>
      <c r="I1240" s="25">
        <f>IF(_CALC_PNL!E1240=1,H1240-G1240,"")</f>
        <v/>
      </c>
    </row>
    <row r="1241">
      <c r="A1241" s="1" t="inlineStr">
        <is>
          <t>TUNON_LYO</t>
        </is>
      </c>
      <c r="B1241" s="1" t="inlineStr">
        <is>
          <t>6063</t>
        </is>
      </c>
      <c r="C1241" s="1" t="inlineStr">
        <is>
          <t>2027</t>
        </is>
      </c>
      <c r="D1241" s="1" t="inlineStr">
        <is>
          <t>V02</t>
        </is>
      </c>
      <c r="E1241" s="1" t="inlineStr">
        <is>
          <t>2027BUD_V1</t>
        </is>
      </c>
      <c r="F1241" s="1" t="inlineStr">
        <is>
          <t>12</t>
        </is>
      </c>
      <c r="G1241" s="1" t="n">
        <v>19711.2212959</v>
      </c>
      <c r="H1241" s="25">
        <f>_CALC_PNL!P1241</f>
        <v/>
      </c>
      <c r="I1241" s="25">
        <f>IF(_CALC_PNL!E1241=1,H1241-G1241,"")</f>
        <v/>
      </c>
    </row>
    <row r="1242">
      <c r="A1242" s="1" t="inlineStr">
        <is>
          <t>TUNON_LYO</t>
        </is>
      </c>
      <c r="B1242" s="1" t="inlineStr">
        <is>
          <t>6063</t>
        </is>
      </c>
      <c r="C1242" s="1" t="inlineStr">
        <is>
          <t>2027</t>
        </is>
      </c>
      <c r="D1242" s="1" t="inlineStr">
        <is>
          <t>V03</t>
        </is>
      </c>
      <c r="E1242" s="1" t="inlineStr">
        <is>
          <t>2027BUD_V1</t>
        </is>
      </c>
      <c r="F1242" s="1" t="inlineStr">
        <is>
          <t>12</t>
        </is>
      </c>
      <c r="G1242" s="1" t="n">
        <v>17535.598091083</v>
      </c>
      <c r="H1242" s="25">
        <f>_CALC_PNL!P1242</f>
        <v/>
      </c>
      <c r="I1242" s="25">
        <f>IF(_CALC_PNL!E1242=1,H1242-G1242,"")</f>
        <v/>
      </c>
    </row>
    <row r="1243">
      <c r="A1243" s="1" t="inlineStr">
        <is>
          <t>MBWAY_PAR</t>
        </is>
      </c>
      <c r="B1243" s="1" t="inlineStr">
        <is>
          <t>6231</t>
        </is>
      </c>
      <c r="C1243" s="1" t="inlineStr">
        <is>
          <t>2027</t>
        </is>
      </c>
      <c r="D1243" s="1" t="inlineStr">
        <is>
          <t>V01</t>
        </is>
      </c>
      <c r="E1243" s="1" t="inlineStr">
        <is>
          <t>2027BUD_V1</t>
        </is>
      </c>
      <c r="F1243" s="1" t="inlineStr">
        <is>
          <t>12</t>
        </is>
      </c>
      <c r="G1243" s="1" t="n">
        <v>73754.28</v>
      </c>
      <c r="H1243" s="25">
        <f>_CALC_PNL!P1243</f>
        <v/>
      </c>
      <c r="I1243" s="25">
        <f>IF(_CALC_PNL!E1243=1,H1243-G1243,"")</f>
        <v/>
      </c>
    </row>
    <row r="1244">
      <c r="A1244" s="1" t="inlineStr">
        <is>
          <t>MBWAY_PAR</t>
        </is>
      </c>
      <c r="B1244" s="1" t="inlineStr">
        <is>
          <t>6231</t>
        </is>
      </c>
      <c r="C1244" s="1" t="inlineStr">
        <is>
          <t>2027</t>
        </is>
      </c>
      <c r="D1244" s="1" t="inlineStr">
        <is>
          <t>V02</t>
        </is>
      </c>
      <c r="E1244" s="1" t="inlineStr">
        <is>
          <t>2027BUD_V1</t>
        </is>
      </c>
      <c r="F1244" s="1" t="inlineStr">
        <is>
          <t>12</t>
        </is>
      </c>
      <c r="G1244" s="1" t="n">
        <v>78534.64999999999</v>
      </c>
      <c r="H1244" s="25">
        <f>_CALC_PNL!P1244</f>
        <v/>
      </c>
      <c r="I1244" s="25">
        <f>IF(_CALC_PNL!E1244=1,H1244-G1244,"")</f>
        <v/>
      </c>
    </row>
    <row r="1245">
      <c r="A1245" s="1" t="inlineStr">
        <is>
          <t>MBWAY_PAR</t>
        </is>
      </c>
      <c r="B1245" s="1" t="inlineStr">
        <is>
          <t>6231</t>
        </is>
      </c>
      <c r="C1245" s="1" t="inlineStr">
        <is>
          <t>2027</t>
        </is>
      </c>
      <c r="D1245" s="1" t="inlineStr">
        <is>
          <t>V03</t>
        </is>
      </c>
      <c r="E1245" s="1" t="inlineStr">
        <is>
          <t>2027BUD_V1</t>
        </is>
      </c>
      <c r="F1245" s="1" t="inlineStr">
        <is>
          <t>12</t>
        </is>
      </c>
      <c r="G1245" s="1" t="n">
        <v>64876.45</v>
      </c>
      <c r="H1245" s="25">
        <f>_CALC_PNL!P1245</f>
        <v/>
      </c>
      <c r="I1245" s="25">
        <f>IF(_CALC_PNL!E1245=1,H1245-G1245,"")</f>
        <v/>
      </c>
    </row>
    <row r="1246">
      <c r="A1246" s="1" t="inlineStr">
        <is>
          <t>MBWAY_LYO</t>
        </is>
      </c>
      <c r="B1246" s="1" t="inlineStr">
        <is>
          <t>6231</t>
        </is>
      </c>
      <c r="C1246" s="1" t="inlineStr">
        <is>
          <t>2027</t>
        </is>
      </c>
      <c r="D1246" s="1" t="inlineStr">
        <is>
          <t>V01</t>
        </is>
      </c>
      <c r="E1246" s="1" t="inlineStr">
        <is>
          <t>2027BUD_V1</t>
        </is>
      </c>
      <c r="F1246" s="1" t="inlineStr">
        <is>
          <t>12</t>
        </is>
      </c>
      <c r="G1246" s="1" t="n">
        <v>45125.64</v>
      </c>
      <c r="H1246" s="25">
        <f>_CALC_PNL!P1246</f>
        <v/>
      </c>
      <c r="I1246" s="25">
        <f>IF(_CALC_PNL!E1246=1,H1246-G1246,"")</f>
        <v/>
      </c>
    </row>
    <row r="1247">
      <c r="A1247" s="1" t="inlineStr">
        <is>
          <t>MBWAY_LYO</t>
        </is>
      </c>
      <c r="B1247" s="1" t="inlineStr">
        <is>
          <t>6231</t>
        </is>
      </c>
      <c r="C1247" s="1" t="inlineStr">
        <is>
          <t>2027</t>
        </is>
      </c>
      <c r="D1247" s="1" t="inlineStr">
        <is>
          <t>V02</t>
        </is>
      </c>
      <c r="E1247" s="1" t="inlineStr">
        <is>
          <t>2027BUD_V1</t>
        </is>
      </c>
      <c r="F1247" s="1" t="inlineStr">
        <is>
          <t>12</t>
        </is>
      </c>
      <c r="G1247" s="1" t="n">
        <v>48050.45</v>
      </c>
      <c r="H1247" s="25">
        <f>_CALC_PNL!P1247</f>
        <v/>
      </c>
      <c r="I1247" s="25">
        <f>IF(_CALC_PNL!E1247=1,H1247-G1247,"")</f>
        <v/>
      </c>
    </row>
    <row r="1248">
      <c r="A1248" s="1" t="inlineStr">
        <is>
          <t>MBWAY_LYO</t>
        </is>
      </c>
      <c r="B1248" s="1" t="inlineStr">
        <is>
          <t>6231</t>
        </is>
      </c>
      <c r="C1248" s="1" t="inlineStr">
        <is>
          <t>2027</t>
        </is>
      </c>
      <c r="D1248" s="1" t="inlineStr">
        <is>
          <t>V03</t>
        </is>
      </c>
      <c r="E1248" s="1" t="inlineStr">
        <is>
          <t>2027BUD_V1</t>
        </is>
      </c>
      <c r="F1248" s="1" t="inlineStr">
        <is>
          <t>12</t>
        </is>
      </c>
      <c r="G1248" s="1" t="n">
        <v>39693.85</v>
      </c>
      <c r="H1248" s="25">
        <f>_CALC_PNL!P1248</f>
        <v/>
      </c>
      <c r="I1248" s="25">
        <f>IF(_CALC_PNL!E1248=1,H1248-G1248,"")</f>
        <v/>
      </c>
    </row>
    <row r="1249">
      <c r="A1249" s="1" t="inlineStr">
        <is>
          <t>MBWAY_NAN</t>
        </is>
      </c>
      <c r="B1249" s="1" t="inlineStr">
        <is>
          <t>6231</t>
        </is>
      </c>
      <c r="C1249" s="1" t="inlineStr">
        <is>
          <t>2027</t>
        </is>
      </c>
      <c r="D1249" s="1" t="inlineStr">
        <is>
          <t>V01</t>
        </is>
      </c>
      <c r="E1249" s="1" t="inlineStr">
        <is>
          <t>2027BUD_V1</t>
        </is>
      </c>
      <c r="F1249" s="1" t="inlineStr">
        <is>
          <t>12</t>
        </is>
      </c>
      <c r="G1249" s="1" t="n">
        <v>34055.64</v>
      </c>
      <c r="H1249" s="25">
        <f>_CALC_PNL!P1249</f>
        <v/>
      </c>
      <c r="I1249" s="25">
        <f>IF(_CALC_PNL!E1249=1,H1249-G1249,"")</f>
        <v/>
      </c>
    </row>
    <row r="1250">
      <c r="A1250" s="1" t="inlineStr">
        <is>
          <t>MBWAY_NAN</t>
        </is>
      </c>
      <c r="B1250" s="1" t="inlineStr">
        <is>
          <t>6231</t>
        </is>
      </c>
      <c r="C1250" s="1" t="inlineStr">
        <is>
          <t>2027</t>
        </is>
      </c>
      <c r="D1250" s="1" t="inlineStr">
        <is>
          <t>V02</t>
        </is>
      </c>
      <c r="E1250" s="1" t="inlineStr">
        <is>
          <t>2027BUD_V1</t>
        </is>
      </c>
      <c r="F1250" s="1" t="inlineStr">
        <is>
          <t>12</t>
        </is>
      </c>
      <c r="G1250" s="1" t="n">
        <v>36262.95</v>
      </c>
      <c r="H1250" s="25">
        <f>_CALC_PNL!P1250</f>
        <v/>
      </c>
      <c r="I1250" s="25">
        <f>IF(_CALC_PNL!E1250=1,H1250-G1250,"")</f>
        <v/>
      </c>
    </row>
    <row r="1251">
      <c r="A1251" s="1" t="inlineStr">
        <is>
          <t>MBWAY_NAN</t>
        </is>
      </c>
      <c r="B1251" s="1" t="inlineStr">
        <is>
          <t>6231</t>
        </is>
      </c>
      <c r="C1251" s="1" t="inlineStr">
        <is>
          <t>2027</t>
        </is>
      </c>
      <c r="D1251" s="1" t="inlineStr">
        <is>
          <t>V03</t>
        </is>
      </c>
      <c r="E1251" s="1" t="inlineStr">
        <is>
          <t>2027BUD_V1</t>
        </is>
      </c>
      <c r="F1251" s="1" t="inlineStr">
        <is>
          <t>12</t>
        </is>
      </c>
      <c r="G1251" s="1" t="n">
        <v>29956.35</v>
      </c>
      <c r="H1251" s="25">
        <f>_CALC_PNL!P1251</f>
        <v/>
      </c>
      <c r="I1251" s="25">
        <f>IF(_CALC_PNL!E1251=1,H1251-G1251,"")</f>
        <v/>
      </c>
    </row>
    <row r="1252">
      <c r="A1252" s="1" t="inlineStr">
        <is>
          <t>MBWAY_BOR</t>
        </is>
      </c>
      <c r="B1252" s="1" t="inlineStr">
        <is>
          <t>6231</t>
        </is>
      </c>
      <c r="C1252" s="1" t="inlineStr">
        <is>
          <t>2027</t>
        </is>
      </c>
      <c r="D1252" s="1" t="inlineStr">
        <is>
          <t>V01</t>
        </is>
      </c>
      <c r="E1252" s="1" t="inlineStr">
        <is>
          <t>2027BUD_V1</t>
        </is>
      </c>
      <c r="F1252" s="1" t="inlineStr">
        <is>
          <t>12</t>
        </is>
      </c>
      <c r="G1252" s="1" t="n">
        <v>26916.84</v>
      </c>
      <c r="H1252" s="25">
        <f>_CALC_PNL!P1252</f>
        <v/>
      </c>
      <c r="I1252" s="25">
        <f>IF(_CALC_PNL!E1252=1,H1252-G1252,"")</f>
        <v/>
      </c>
    </row>
    <row r="1253">
      <c r="A1253" s="1" t="inlineStr">
        <is>
          <t>MBWAY_BOR</t>
        </is>
      </c>
      <c r="B1253" s="1" t="inlineStr">
        <is>
          <t>6231</t>
        </is>
      </c>
      <c r="C1253" s="1" t="inlineStr">
        <is>
          <t>2027</t>
        </is>
      </c>
      <c r="D1253" s="1" t="inlineStr">
        <is>
          <t>V02</t>
        </is>
      </c>
      <c r="E1253" s="1" t="inlineStr">
        <is>
          <t>2027BUD_V1</t>
        </is>
      </c>
      <c r="F1253" s="1" t="inlineStr">
        <is>
          <t>12</t>
        </is>
      </c>
      <c r="G1253" s="1" t="n">
        <v>28661.45</v>
      </c>
      <c r="H1253" s="25">
        <f>_CALC_PNL!P1253</f>
        <v/>
      </c>
      <c r="I1253" s="25">
        <f>IF(_CALC_PNL!E1253=1,H1253-G1253,"")</f>
        <v/>
      </c>
    </row>
    <row r="1254">
      <c r="A1254" s="1" t="inlineStr">
        <is>
          <t>MBWAY_BOR</t>
        </is>
      </c>
      <c r="B1254" s="1" t="inlineStr">
        <is>
          <t>6231</t>
        </is>
      </c>
      <c r="C1254" s="1" t="inlineStr">
        <is>
          <t>2027</t>
        </is>
      </c>
      <c r="D1254" s="1" t="inlineStr">
        <is>
          <t>V03</t>
        </is>
      </c>
      <c r="E1254" s="1" t="inlineStr">
        <is>
          <t>2027BUD_V1</t>
        </is>
      </c>
      <c r="F1254" s="1" t="inlineStr">
        <is>
          <t>12</t>
        </is>
      </c>
      <c r="G1254" s="1" t="n">
        <v>23676.85</v>
      </c>
      <c r="H1254" s="25">
        <f>_CALC_PNL!P1254</f>
        <v/>
      </c>
      <c r="I1254" s="25">
        <f>IF(_CALC_PNL!E1254=1,H1254-G1254,"")</f>
        <v/>
      </c>
    </row>
    <row r="1255">
      <c r="A1255" s="1" t="inlineStr">
        <is>
          <t>ISCOM_PAR</t>
        </is>
      </c>
      <c r="B1255" s="1" t="inlineStr">
        <is>
          <t>6231</t>
        </is>
      </c>
      <c r="C1255" s="1" t="inlineStr">
        <is>
          <t>2027</t>
        </is>
      </c>
      <c r="D1255" s="1" t="inlineStr">
        <is>
          <t>V01</t>
        </is>
      </c>
      <c r="E1255" s="1" t="inlineStr">
        <is>
          <t>2027BUD_V1</t>
        </is>
      </c>
      <c r="F1255" s="1" t="inlineStr">
        <is>
          <t>12</t>
        </is>
      </c>
      <c r="G1255" s="1" t="n">
        <v>65664</v>
      </c>
      <c r="H1255" s="25">
        <f>_CALC_PNL!P1255</f>
        <v/>
      </c>
      <c r="I1255" s="25">
        <f>IF(_CALC_PNL!E1255=1,H1255-G1255,"")</f>
        <v/>
      </c>
    </row>
    <row r="1256">
      <c r="A1256" s="1" t="inlineStr">
        <is>
          <t>ISCOM_PAR</t>
        </is>
      </c>
      <c r="B1256" s="1" t="inlineStr">
        <is>
          <t>6231</t>
        </is>
      </c>
      <c r="C1256" s="1" t="inlineStr">
        <is>
          <t>2027</t>
        </is>
      </c>
      <c r="D1256" s="1" t="inlineStr">
        <is>
          <t>V02</t>
        </is>
      </c>
      <c r="E1256" s="1" t="inlineStr">
        <is>
          <t>2027BUD_V1</t>
        </is>
      </c>
      <c r="F1256" s="1" t="inlineStr">
        <is>
          <t>12</t>
        </is>
      </c>
      <c r="G1256" s="1" t="n">
        <v>69920</v>
      </c>
      <c r="H1256" s="25">
        <f>_CALC_PNL!P1256</f>
        <v/>
      </c>
      <c r="I1256" s="25">
        <f>IF(_CALC_PNL!E1256=1,H1256-G1256,"")</f>
        <v/>
      </c>
    </row>
    <row r="1257">
      <c r="A1257" s="1" t="inlineStr">
        <is>
          <t>ISCOM_PAR</t>
        </is>
      </c>
      <c r="B1257" s="1" t="inlineStr">
        <is>
          <t>6231</t>
        </is>
      </c>
      <c r="C1257" s="1" t="inlineStr">
        <is>
          <t>2027</t>
        </is>
      </c>
      <c r="D1257" s="1" t="inlineStr">
        <is>
          <t>V03</t>
        </is>
      </c>
      <c r="E1257" s="1" t="inlineStr">
        <is>
          <t>2027BUD_V1</t>
        </is>
      </c>
      <c r="F1257" s="1" t="inlineStr">
        <is>
          <t>12</t>
        </is>
      </c>
      <c r="G1257" s="1" t="n">
        <v>57760</v>
      </c>
      <c r="H1257" s="25">
        <f>_CALC_PNL!P1257</f>
        <v/>
      </c>
      <c r="I1257" s="25">
        <f>IF(_CALC_PNL!E1257=1,H1257-G1257,"")</f>
        <v/>
      </c>
    </row>
    <row r="1258">
      <c r="A1258" s="1" t="inlineStr">
        <is>
          <t>ISCOM_LIL</t>
        </is>
      </c>
      <c r="B1258" s="1" t="inlineStr">
        <is>
          <t>6231</t>
        </is>
      </c>
      <c r="C1258" s="1" t="inlineStr">
        <is>
          <t>2027</t>
        </is>
      </c>
      <c r="D1258" s="1" t="inlineStr">
        <is>
          <t>V01</t>
        </is>
      </c>
      <c r="E1258" s="1" t="inlineStr">
        <is>
          <t>2027BUD_V1</t>
        </is>
      </c>
      <c r="F1258" s="1" t="inlineStr">
        <is>
          <t>12</t>
        </is>
      </c>
      <c r="G1258" s="1" t="n">
        <v>27237.6</v>
      </c>
      <c r="H1258" s="25">
        <f>_CALC_PNL!P1258</f>
        <v/>
      </c>
      <c r="I1258" s="25">
        <f>IF(_CALC_PNL!E1258=1,H1258-G1258,"")</f>
        <v/>
      </c>
    </row>
    <row r="1259">
      <c r="A1259" s="1" t="inlineStr">
        <is>
          <t>ISCOM_LIL</t>
        </is>
      </c>
      <c r="B1259" s="1" t="inlineStr">
        <is>
          <t>6231</t>
        </is>
      </c>
      <c r="C1259" s="1" t="inlineStr">
        <is>
          <t>2027</t>
        </is>
      </c>
      <c r="D1259" s="1" t="inlineStr">
        <is>
          <t>V02</t>
        </is>
      </c>
      <c r="E1259" s="1" t="inlineStr">
        <is>
          <t>2027BUD_V1</t>
        </is>
      </c>
      <c r="F1259" s="1" t="inlineStr">
        <is>
          <t>12</t>
        </is>
      </c>
      <c r="G1259" s="1" t="n">
        <v>29003</v>
      </c>
      <c r="H1259" s="25">
        <f>_CALC_PNL!P1259</f>
        <v/>
      </c>
      <c r="I1259" s="25">
        <f>IF(_CALC_PNL!E1259=1,H1259-G1259,"")</f>
        <v/>
      </c>
    </row>
    <row r="1260">
      <c r="A1260" s="1" t="inlineStr">
        <is>
          <t>ISCOM_LIL</t>
        </is>
      </c>
      <c r="B1260" s="1" t="inlineStr">
        <is>
          <t>6231</t>
        </is>
      </c>
      <c r="C1260" s="1" t="inlineStr">
        <is>
          <t>2027</t>
        </is>
      </c>
      <c r="D1260" s="1" t="inlineStr">
        <is>
          <t>V03</t>
        </is>
      </c>
      <c r="E1260" s="1" t="inlineStr">
        <is>
          <t>2027BUD_V1</t>
        </is>
      </c>
      <c r="F1260" s="1" t="inlineStr">
        <is>
          <t>12</t>
        </is>
      </c>
      <c r="G1260" s="1" t="n">
        <v>23959</v>
      </c>
      <c r="H1260" s="25">
        <f>_CALC_PNL!P1260</f>
        <v/>
      </c>
      <c r="I1260" s="25">
        <f>IF(_CALC_PNL!E1260=1,H1260-G1260,"")</f>
        <v/>
      </c>
    </row>
    <row r="1261">
      <c r="A1261" s="1" t="inlineStr">
        <is>
          <t>ISCOM_TLS</t>
        </is>
      </c>
      <c r="B1261" s="1" t="inlineStr">
        <is>
          <t>6231</t>
        </is>
      </c>
      <c r="C1261" s="1" t="inlineStr">
        <is>
          <t>2027</t>
        </is>
      </c>
      <c r="D1261" s="1" t="inlineStr">
        <is>
          <t>V01</t>
        </is>
      </c>
      <c r="E1261" s="1" t="inlineStr">
        <is>
          <t>2027BUD_V1</t>
        </is>
      </c>
      <c r="F1261" s="1" t="inlineStr">
        <is>
          <t>12</t>
        </is>
      </c>
      <c r="G1261" s="1" t="n">
        <v>23849.64</v>
      </c>
      <c r="H1261" s="25">
        <f>_CALC_PNL!P1261</f>
        <v/>
      </c>
      <c r="I1261" s="25">
        <f>IF(_CALC_PNL!E1261=1,H1261-G1261,"")</f>
        <v/>
      </c>
    </row>
    <row r="1262">
      <c r="A1262" s="1" t="inlineStr">
        <is>
          <t>ISCOM_TLS</t>
        </is>
      </c>
      <c r="B1262" s="1" t="inlineStr">
        <is>
          <t>6231</t>
        </is>
      </c>
      <c r="C1262" s="1" t="inlineStr">
        <is>
          <t>2027</t>
        </is>
      </c>
      <c r="D1262" s="1" t="inlineStr">
        <is>
          <t>V02</t>
        </is>
      </c>
      <c r="E1262" s="1" t="inlineStr">
        <is>
          <t>2027BUD_V1</t>
        </is>
      </c>
      <c r="F1262" s="1" t="inlineStr">
        <is>
          <t>12</t>
        </is>
      </c>
      <c r="G1262" s="1" t="n">
        <v>25395.45</v>
      </c>
      <c r="H1262" s="25">
        <f>_CALC_PNL!P1262</f>
        <v/>
      </c>
      <c r="I1262" s="25">
        <f>IF(_CALC_PNL!E1262=1,H1262-G1262,"")</f>
        <v/>
      </c>
    </row>
    <row r="1263">
      <c r="A1263" s="1" t="inlineStr">
        <is>
          <t>ISCOM_TLS</t>
        </is>
      </c>
      <c r="B1263" s="1" t="inlineStr">
        <is>
          <t>6231</t>
        </is>
      </c>
      <c r="C1263" s="1" t="inlineStr">
        <is>
          <t>2027</t>
        </is>
      </c>
      <c r="D1263" s="1" t="inlineStr">
        <is>
          <t>V03</t>
        </is>
      </c>
      <c r="E1263" s="1" t="inlineStr">
        <is>
          <t>2027BUD_V1</t>
        </is>
      </c>
      <c r="F1263" s="1" t="inlineStr">
        <is>
          <t>12</t>
        </is>
      </c>
      <c r="G1263" s="1" t="n">
        <v>20978.85</v>
      </c>
      <c r="H1263" s="25">
        <f>_CALC_PNL!P1263</f>
        <v/>
      </c>
      <c r="I1263" s="25">
        <f>IF(_CALC_PNL!E1263=1,H1263-G1263,"")</f>
        <v/>
      </c>
    </row>
    <row r="1264">
      <c r="A1264" s="1" t="inlineStr">
        <is>
          <t>IPAC_NAN</t>
        </is>
      </c>
      <c r="B1264" s="1" t="inlineStr">
        <is>
          <t>6231</t>
        </is>
      </c>
      <c r="C1264" s="1" t="inlineStr">
        <is>
          <t>2027</t>
        </is>
      </c>
      <c r="D1264" s="1" t="inlineStr">
        <is>
          <t>V01</t>
        </is>
      </c>
      <c r="E1264" s="1" t="inlineStr">
        <is>
          <t>2027BUD_V1</t>
        </is>
      </c>
      <c r="F1264" s="1" t="inlineStr">
        <is>
          <t>12</t>
        </is>
      </c>
      <c r="G1264" s="1" t="n">
        <v>23500.8</v>
      </c>
      <c r="H1264" s="25">
        <f>_CALC_PNL!P1264</f>
        <v/>
      </c>
      <c r="I1264" s="25">
        <f>IF(_CALC_PNL!E1264=1,H1264-G1264,"")</f>
        <v/>
      </c>
    </row>
    <row r="1265">
      <c r="A1265" s="1" t="inlineStr">
        <is>
          <t>IPAC_NAN</t>
        </is>
      </c>
      <c r="B1265" s="1" t="inlineStr">
        <is>
          <t>6231</t>
        </is>
      </c>
      <c r="C1265" s="1" t="inlineStr">
        <is>
          <t>2027</t>
        </is>
      </c>
      <c r="D1265" s="1" t="inlineStr">
        <is>
          <t>V02</t>
        </is>
      </c>
      <c r="E1265" s="1" t="inlineStr">
        <is>
          <t>2027BUD_V1</t>
        </is>
      </c>
      <c r="F1265" s="1" t="inlineStr">
        <is>
          <t>12</t>
        </is>
      </c>
      <c r="G1265" s="1" t="n">
        <v>25024</v>
      </c>
      <c r="H1265" s="25">
        <f>_CALC_PNL!P1265</f>
        <v/>
      </c>
      <c r="I1265" s="25">
        <f>IF(_CALC_PNL!E1265=1,H1265-G1265,"")</f>
        <v/>
      </c>
    </row>
    <row r="1266">
      <c r="A1266" s="1" t="inlineStr">
        <is>
          <t>IPAC_NAN</t>
        </is>
      </c>
      <c r="B1266" s="1" t="inlineStr">
        <is>
          <t>6231</t>
        </is>
      </c>
      <c r="C1266" s="1" t="inlineStr">
        <is>
          <t>2027</t>
        </is>
      </c>
      <c r="D1266" s="1" t="inlineStr">
        <is>
          <t>V03</t>
        </is>
      </c>
      <c r="E1266" s="1" t="inlineStr">
        <is>
          <t>2027BUD_V1</t>
        </is>
      </c>
      <c r="F1266" s="1" t="inlineStr">
        <is>
          <t>12</t>
        </is>
      </c>
      <c r="G1266" s="1" t="n">
        <v>20672</v>
      </c>
      <c r="H1266" s="25">
        <f>_CALC_PNL!P1266</f>
        <v/>
      </c>
      <c r="I1266" s="25">
        <f>IF(_CALC_PNL!E1266=1,H1266-G1266,"")</f>
        <v/>
      </c>
    </row>
    <row r="1267">
      <c r="A1267" s="1" t="inlineStr">
        <is>
          <t>IPAC_REN</t>
        </is>
      </c>
      <c r="B1267" s="1" t="inlineStr">
        <is>
          <t>6231</t>
        </is>
      </c>
      <c r="C1267" s="1" t="inlineStr">
        <is>
          <t>2027</t>
        </is>
      </c>
      <c r="D1267" s="1" t="inlineStr">
        <is>
          <t>V01</t>
        </is>
      </c>
      <c r="E1267" s="1" t="inlineStr">
        <is>
          <t>2027BUD_V1</t>
        </is>
      </c>
      <c r="F1267" s="1" t="inlineStr">
        <is>
          <t>12</t>
        </is>
      </c>
      <c r="G1267" s="1" t="n">
        <v>16127.64</v>
      </c>
      <c r="H1267" s="25">
        <f>_CALC_PNL!P1267</f>
        <v/>
      </c>
      <c r="I1267" s="25">
        <f>IF(_CALC_PNL!E1267=1,H1267-G1267,"")</f>
        <v/>
      </c>
    </row>
    <row r="1268">
      <c r="A1268" s="1" t="inlineStr">
        <is>
          <t>IPAC_REN</t>
        </is>
      </c>
      <c r="B1268" s="1" t="inlineStr">
        <is>
          <t>6231</t>
        </is>
      </c>
      <c r="C1268" s="1" t="inlineStr">
        <is>
          <t>2027</t>
        </is>
      </c>
      <c r="D1268" s="1" t="inlineStr">
        <is>
          <t>V02</t>
        </is>
      </c>
      <c r="E1268" s="1" t="inlineStr">
        <is>
          <t>2027BUD_V1</t>
        </is>
      </c>
      <c r="F1268" s="1" t="inlineStr">
        <is>
          <t>12</t>
        </is>
      </c>
      <c r="G1268" s="1" t="n">
        <v>17172.95</v>
      </c>
      <c r="H1268" s="25">
        <f>_CALC_PNL!P1268</f>
        <v/>
      </c>
      <c r="I1268" s="25">
        <f>IF(_CALC_PNL!E1268=1,H1268-G1268,"")</f>
        <v/>
      </c>
    </row>
    <row r="1269">
      <c r="A1269" s="1" t="inlineStr">
        <is>
          <t>IPAC_REN</t>
        </is>
      </c>
      <c r="B1269" s="1" t="inlineStr">
        <is>
          <t>6231</t>
        </is>
      </c>
      <c r="C1269" s="1" t="inlineStr">
        <is>
          <t>2027</t>
        </is>
      </c>
      <c r="D1269" s="1" t="inlineStr">
        <is>
          <t>V03</t>
        </is>
      </c>
      <c r="E1269" s="1" t="inlineStr">
        <is>
          <t>2027BUD_V1</t>
        </is>
      </c>
      <c r="F1269" s="1" t="inlineStr">
        <is>
          <t>12</t>
        </is>
      </c>
      <c r="G1269" s="1" t="n">
        <v>14186.35</v>
      </c>
      <c r="H1269" s="25">
        <f>_CALC_PNL!P1269</f>
        <v/>
      </c>
      <c r="I1269" s="25">
        <f>IF(_CALC_PNL!E1269=1,H1269-G1269,"")</f>
        <v/>
      </c>
    </row>
    <row r="1270">
      <c r="A1270" s="1" t="inlineStr">
        <is>
          <t>IPAC_MTP</t>
        </is>
      </c>
      <c r="B1270" s="1" t="inlineStr">
        <is>
          <t>6231</t>
        </is>
      </c>
      <c r="C1270" s="1" t="inlineStr">
        <is>
          <t>2027</t>
        </is>
      </c>
      <c r="D1270" s="1" t="inlineStr">
        <is>
          <t>V01</t>
        </is>
      </c>
      <c r="E1270" s="1" t="inlineStr">
        <is>
          <t>2027BUD_V1</t>
        </is>
      </c>
      <c r="F1270" s="1" t="inlineStr">
        <is>
          <t>12</t>
        </is>
      </c>
      <c r="G1270" s="1" t="n">
        <v>16392.24</v>
      </c>
      <c r="H1270" s="25">
        <f>_CALC_PNL!P1270</f>
        <v/>
      </c>
      <c r="I1270" s="25">
        <f>IF(_CALC_PNL!E1270=1,H1270-G1270,"")</f>
        <v/>
      </c>
    </row>
    <row r="1271">
      <c r="A1271" s="1" t="inlineStr">
        <is>
          <t>IPAC_MTP</t>
        </is>
      </c>
      <c r="B1271" s="1" t="inlineStr">
        <is>
          <t>6231</t>
        </is>
      </c>
      <c r="C1271" s="1" t="inlineStr">
        <is>
          <t>2027</t>
        </is>
      </c>
      <c r="D1271" s="1" t="inlineStr">
        <is>
          <t>V02</t>
        </is>
      </c>
      <c r="E1271" s="1" t="inlineStr">
        <is>
          <t>2027BUD_V1</t>
        </is>
      </c>
      <c r="F1271" s="1" t="inlineStr">
        <is>
          <t>12</t>
        </is>
      </c>
      <c r="G1271" s="1" t="n">
        <v>17454.7</v>
      </c>
      <c r="H1271" s="25">
        <f>_CALC_PNL!P1271</f>
        <v/>
      </c>
      <c r="I1271" s="25">
        <f>IF(_CALC_PNL!E1271=1,H1271-G1271,"")</f>
        <v/>
      </c>
    </row>
    <row r="1272">
      <c r="A1272" s="1" t="inlineStr">
        <is>
          <t>IPAC_MTP</t>
        </is>
      </c>
      <c r="B1272" s="1" t="inlineStr">
        <is>
          <t>6231</t>
        </is>
      </c>
      <c r="C1272" s="1" t="inlineStr">
        <is>
          <t>2027</t>
        </is>
      </c>
      <c r="D1272" s="1" t="inlineStr">
        <is>
          <t>V03</t>
        </is>
      </c>
      <c r="E1272" s="1" t="inlineStr">
        <is>
          <t>2027BUD_V1</t>
        </is>
      </c>
      <c r="F1272" s="1" t="inlineStr">
        <is>
          <t>12</t>
        </is>
      </c>
      <c r="G1272" s="1" t="n">
        <v>14419.1</v>
      </c>
      <c r="H1272" s="25">
        <f>_CALC_PNL!P1272</f>
        <v/>
      </c>
      <c r="I1272" s="25">
        <f>IF(_CALC_PNL!E1272=1,H1272-G1272,"")</f>
        <v/>
      </c>
    </row>
    <row r="1273">
      <c r="A1273" s="1" t="inlineStr">
        <is>
          <t>PIGIER_LYO</t>
        </is>
      </c>
      <c r="B1273" s="1" t="inlineStr">
        <is>
          <t>6231</t>
        </is>
      </c>
      <c r="C1273" s="1" t="inlineStr">
        <is>
          <t>2027</t>
        </is>
      </c>
      <c r="D1273" s="1" t="inlineStr">
        <is>
          <t>V01</t>
        </is>
      </c>
      <c r="E1273" s="1" t="inlineStr">
        <is>
          <t>2027BUD_V1</t>
        </is>
      </c>
      <c r="F1273" s="1" t="inlineStr">
        <is>
          <t>12</t>
        </is>
      </c>
      <c r="G1273" s="1" t="n">
        <v>39540.96</v>
      </c>
      <c r="H1273" s="25">
        <f>_CALC_PNL!P1273</f>
        <v/>
      </c>
      <c r="I1273" s="25">
        <f>IF(_CALC_PNL!E1273=1,H1273-G1273,"")</f>
        <v/>
      </c>
    </row>
    <row r="1274">
      <c r="A1274" s="1" t="inlineStr">
        <is>
          <t>PIGIER_LYO</t>
        </is>
      </c>
      <c r="B1274" s="1" t="inlineStr">
        <is>
          <t>6231</t>
        </is>
      </c>
      <c r="C1274" s="1" t="inlineStr">
        <is>
          <t>2027</t>
        </is>
      </c>
      <c r="D1274" s="1" t="inlineStr">
        <is>
          <t>V02</t>
        </is>
      </c>
      <c r="E1274" s="1" t="inlineStr">
        <is>
          <t>2027BUD_V1</t>
        </is>
      </c>
      <c r="F1274" s="1" t="inlineStr">
        <is>
          <t>12</t>
        </is>
      </c>
      <c r="G1274" s="1" t="n">
        <v>42103.8</v>
      </c>
      <c r="H1274" s="25">
        <f>_CALC_PNL!P1274</f>
        <v/>
      </c>
      <c r="I1274" s="25">
        <f>IF(_CALC_PNL!E1274=1,H1274-G1274,"")</f>
        <v/>
      </c>
    </row>
    <row r="1275">
      <c r="A1275" s="1" t="inlineStr">
        <is>
          <t>PIGIER_LYO</t>
        </is>
      </c>
      <c r="B1275" s="1" t="inlineStr">
        <is>
          <t>6231</t>
        </is>
      </c>
      <c r="C1275" s="1" t="inlineStr">
        <is>
          <t>2027</t>
        </is>
      </c>
      <c r="D1275" s="1" t="inlineStr">
        <is>
          <t>V03</t>
        </is>
      </c>
      <c r="E1275" s="1" t="inlineStr">
        <is>
          <t>2027BUD_V1</t>
        </is>
      </c>
      <c r="F1275" s="1" t="inlineStr">
        <is>
          <t>12</t>
        </is>
      </c>
      <c r="G1275" s="1" t="n">
        <v>34781.4</v>
      </c>
      <c r="H1275" s="25">
        <f>_CALC_PNL!P1275</f>
        <v/>
      </c>
      <c r="I1275" s="25">
        <f>IF(_CALC_PNL!E1275=1,H1275-G1275,"")</f>
        <v/>
      </c>
    </row>
    <row r="1276">
      <c r="A1276" s="1" t="inlineStr">
        <is>
          <t>PIGIER_BOR</t>
        </is>
      </c>
      <c r="B1276" s="1" t="inlineStr">
        <is>
          <t>6231</t>
        </is>
      </c>
      <c r="C1276" s="1" t="inlineStr">
        <is>
          <t>2027</t>
        </is>
      </c>
      <c r="D1276" s="1" t="inlineStr">
        <is>
          <t>V01</t>
        </is>
      </c>
      <c r="E1276" s="1" t="inlineStr">
        <is>
          <t>2027BUD_V1</t>
        </is>
      </c>
      <c r="F1276" s="1" t="inlineStr">
        <is>
          <t>12</t>
        </is>
      </c>
      <c r="G1276" s="1" t="n">
        <v>23725.44</v>
      </c>
      <c r="H1276" s="25">
        <f>_CALC_PNL!P1276</f>
        <v/>
      </c>
      <c r="I1276" s="25">
        <f>IF(_CALC_PNL!E1276=1,H1276-G1276,"")</f>
        <v/>
      </c>
    </row>
    <row r="1277">
      <c r="A1277" s="1" t="inlineStr">
        <is>
          <t>PIGIER_BOR</t>
        </is>
      </c>
      <c r="B1277" s="1" t="inlineStr">
        <is>
          <t>6231</t>
        </is>
      </c>
      <c r="C1277" s="1" t="inlineStr">
        <is>
          <t>2027</t>
        </is>
      </c>
      <c r="D1277" s="1" t="inlineStr">
        <is>
          <t>V02</t>
        </is>
      </c>
      <c r="E1277" s="1" t="inlineStr">
        <is>
          <t>2027BUD_V1</t>
        </is>
      </c>
      <c r="F1277" s="1" t="inlineStr">
        <is>
          <t>12</t>
        </is>
      </c>
      <c r="G1277" s="1" t="n">
        <v>25263.2</v>
      </c>
      <c r="H1277" s="25">
        <f>_CALC_PNL!P1277</f>
        <v/>
      </c>
      <c r="I1277" s="25">
        <f>IF(_CALC_PNL!E1277=1,H1277-G1277,"")</f>
        <v/>
      </c>
    </row>
    <row r="1278">
      <c r="A1278" s="1" t="inlineStr">
        <is>
          <t>PIGIER_BOR</t>
        </is>
      </c>
      <c r="B1278" s="1" t="inlineStr">
        <is>
          <t>6231</t>
        </is>
      </c>
      <c r="C1278" s="1" t="inlineStr">
        <is>
          <t>2027</t>
        </is>
      </c>
      <c r="D1278" s="1" t="inlineStr">
        <is>
          <t>V03</t>
        </is>
      </c>
      <c r="E1278" s="1" t="inlineStr">
        <is>
          <t>2027BUD_V1</t>
        </is>
      </c>
      <c r="F1278" s="1" t="inlineStr">
        <is>
          <t>12</t>
        </is>
      </c>
      <c r="G1278" s="1" t="n">
        <v>20869.6</v>
      </c>
      <c r="H1278" s="25">
        <f>_CALC_PNL!P1278</f>
        <v/>
      </c>
      <c r="I1278" s="25">
        <f>IF(_CALC_PNL!E1278=1,H1278-G1278,"")</f>
        <v/>
      </c>
    </row>
    <row r="1279">
      <c r="A1279" s="1" t="inlineStr">
        <is>
          <t>TUNON_PAR</t>
        </is>
      </c>
      <c r="B1279" s="1" t="inlineStr">
        <is>
          <t>6231</t>
        </is>
      </c>
      <c r="C1279" s="1" t="inlineStr">
        <is>
          <t>2027</t>
        </is>
      </c>
      <c r="D1279" s="1" t="inlineStr">
        <is>
          <t>V01</t>
        </is>
      </c>
      <c r="E1279" s="1" t="inlineStr">
        <is>
          <t>2027BUD_V1</t>
        </is>
      </c>
      <c r="F1279" s="1" t="inlineStr">
        <is>
          <t>12</t>
        </is>
      </c>
      <c r="G1279" s="1" t="n">
        <v>32659.2</v>
      </c>
      <c r="H1279" s="25">
        <f>_CALC_PNL!P1279</f>
        <v/>
      </c>
      <c r="I1279" s="25">
        <f>IF(_CALC_PNL!E1279=1,H1279-G1279,"")</f>
        <v/>
      </c>
    </row>
    <row r="1280">
      <c r="A1280" s="1" t="inlineStr">
        <is>
          <t>TUNON_PAR</t>
        </is>
      </c>
      <c r="B1280" s="1" t="inlineStr">
        <is>
          <t>6231</t>
        </is>
      </c>
      <c r="C1280" s="1" t="inlineStr">
        <is>
          <t>2027</t>
        </is>
      </c>
      <c r="D1280" s="1" t="inlineStr">
        <is>
          <t>V02</t>
        </is>
      </c>
      <c r="E1280" s="1" t="inlineStr">
        <is>
          <t>2027BUD_V1</t>
        </is>
      </c>
      <c r="F1280" s="1" t="inlineStr">
        <is>
          <t>12</t>
        </is>
      </c>
      <c r="G1280" s="1" t="n">
        <v>34776</v>
      </c>
      <c r="H1280" s="25">
        <f>_CALC_PNL!P1280</f>
        <v/>
      </c>
      <c r="I1280" s="25">
        <f>IF(_CALC_PNL!E1280=1,H1280-G1280,"")</f>
        <v/>
      </c>
    </row>
    <row r="1281">
      <c r="A1281" s="1" t="inlineStr">
        <is>
          <t>TUNON_PAR</t>
        </is>
      </c>
      <c r="B1281" s="1" t="inlineStr">
        <is>
          <t>6231</t>
        </is>
      </c>
      <c r="C1281" s="1" t="inlineStr">
        <is>
          <t>2027</t>
        </is>
      </c>
      <c r="D1281" s="1" t="inlineStr">
        <is>
          <t>V03</t>
        </is>
      </c>
      <c r="E1281" s="1" t="inlineStr">
        <is>
          <t>2027BUD_V1</t>
        </is>
      </c>
      <c r="F1281" s="1" t="inlineStr">
        <is>
          <t>12</t>
        </is>
      </c>
      <c r="G1281" s="1" t="n">
        <v>28728</v>
      </c>
      <c r="H1281" s="25">
        <f>_CALC_PNL!P1281</f>
        <v/>
      </c>
      <c r="I1281" s="25">
        <f>IF(_CALC_PNL!E1281=1,H1281-G1281,"")</f>
        <v/>
      </c>
    </row>
    <row r="1282">
      <c r="A1282" s="1" t="inlineStr">
        <is>
          <t>TUNON_LYO</t>
        </is>
      </c>
      <c r="B1282" s="1" t="inlineStr">
        <is>
          <t>6231</t>
        </is>
      </c>
      <c r="C1282" s="1" t="inlineStr">
        <is>
          <t>2027</t>
        </is>
      </c>
      <c r="D1282" s="1" t="inlineStr">
        <is>
          <t>V01</t>
        </is>
      </c>
      <c r="E1282" s="1" t="inlineStr">
        <is>
          <t>2027BUD_V1</t>
        </is>
      </c>
      <c r="F1282" s="1" t="inlineStr">
        <is>
          <t>12</t>
        </is>
      </c>
      <c r="G1282" s="1" t="n">
        <v>20358</v>
      </c>
      <c r="H1282" s="25">
        <f>_CALC_PNL!P1282</f>
        <v/>
      </c>
      <c r="I1282" s="25">
        <f>IF(_CALC_PNL!E1282=1,H1282-G1282,"")</f>
        <v/>
      </c>
    </row>
    <row r="1283">
      <c r="A1283" s="1" t="inlineStr">
        <is>
          <t>TUNON_LYO</t>
        </is>
      </c>
      <c r="B1283" s="1" t="inlineStr">
        <is>
          <t>6231</t>
        </is>
      </c>
      <c r="C1283" s="1" t="inlineStr">
        <is>
          <t>2027</t>
        </is>
      </c>
      <c r="D1283" s="1" t="inlineStr">
        <is>
          <t>V02</t>
        </is>
      </c>
      <c r="E1283" s="1" t="inlineStr">
        <is>
          <t>2027BUD_V1</t>
        </is>
      </c>
      <c r="F1283" s="1" t="inlineStr">
        <is>
          <t>12</t>
        </is>
      </c>
      <c r="G1283" s="1" t="n">
        <v>21677.5</v>
      </c>
      <c r="H1283" s="25">
        <f>_CALC_PNL!P1283</f>
        <v/>
      </c>
      <c r="I1283" s="25">
        <f>IF(_CALC_PNL!E1283=1,H1283-G1283,"")</f>
        <v/>
      </c>
    </row>
    <row r="1284">
      <c r="A1284" s="1" t="inlineStr">
        <is>
          <t>TUNON_LYO</t>
        </is>
      </c>
      <c r="B1284" s="1" t="inlineStr">
        <is>
          <t>6231</t>
        </is>
      </c>
      <c r="C1284" s="1" t="inlineStr">
        <is>
          <t>2027</t>
        </is>
      </c>
      <c r="D1284" s="1" t="inlineStr">
        <is>
          <t>V03</t>
        </is>
      </c>
      <c r="E1284" s="1" t="inlineStr">
        <is>
          <t>2027BUD_V1</t>
        </is>
      </c>
      <c r="F1284" s="1" t="inlineStr">
        <is>
          <t>12</t>
        </is>
      </c>
      <c r="G1284" s="1" t="n">
        <v>17907.5</v>
      </c>
      <c r="H1284" s="25">
        <f>_CALC_PNL!P1284</f>
        <v/>
      </c>
      <c r="I1284" s="25">
        <f>IF(_CALC_PNL!E1284=1,H1284-G1284,"")</f>
        <v/>
      </c>
    </row>
    <row r="1285">
      <c r="A1285" s="1" t="inlineStr">
        <is>
          <t>MBWAY_PAR</t>
        </is>
      </c>
      <c r="B1285" s="1" t="inlineStr">
        <is>
          <t>6411</t>
        </is>
      </c>
      <c r="C1285" s="1" t="inlineStr">
        <is>
          <t>2027</t>
        </is>
      </c>
      <c r="D1285" s="1" t="inlineStr">
        <is>
          <t>V01</t>
        </is>
      </c>
      <c r="E1285" s="1" t="inlineStr">
        <is>
          <t>2027BUD_V1</t>
        </is>
      </c>
      <c r="F1285" s="1" t="inlineStr">
        <is>
          <t>12</t>
        </is>
      </c>
      <c r="G1285" s="1" t="n">
        <v>645145.3320000001</v>
      </c>
      <c r="H1285" s="25">
        <f>_CALC_PNL!P1285</f>
        <v/>
      </c>
      <c r="I1285" s="25">
        <f>IF(_CALC_PNL!E1285=1,H1285-G1285,"")</f>
        <v/>
      </c>
    </row>
    <row r="1286">
      <c r="A1286" s="1" t="inlineStr">
        <is>
          <t>MBWAY_PAR</t>
        </is>
      </c>
      <c r="B1286" s="1" t="inlineStr">
        <is>
          <t>6411</t>
        </is>
      </c>
      <c r="C1286" s="1" t="inlineStr">
        <is>
          <t>2027</t>
        </is>
      </c>
      <c r="D1286" s="1" t="inlineStr">
        <is>
          <t>V02</t>
        </is>
      </c>
      <c r="E1286" s="1" t="inlineStr">
        <is>
          <t>2027BUD_V1</t>
        </is>
      </c>
      <c r="F1286" s="1" t="inlineStr">
        <is>
          <t>12</t>
        </is>
      </c>
      <c r="G1286" s="1" t="n">
        <v>635825.2212</v>
      </c>
      <c r="H1286" s="25">
        <f>_CALC_PNL!P1286</f>
        <v/>
      </c>
      <c r="I1286" s="25">
        <f>IF(_CALC_PNL!E1286=1,H1286-G1286,"")</f>
        <v/>
      </c>
    </row>
    <row r="1287">
      <c r="A1287" s="1" t="inlineStr">
        <is>
          <t>MBWAY_PAR</t>
        </is>
      </c>
      <c r="B1287" s="1" t="inlineStr">
        <is>
          <t>6411</t>
        </is>
      </c>
      <c r="C1287" s="1" t="inlineStr">
        <is>
          <t>2027</t>
        </is>
      </c>
      <c r="D1287" s="1" t="inlineStr">
        <is>
          <t>V03</t>
        </is>
      </c>
      <c r="E1287" s="1" t="inlineStr">
        <is>
          <t>2027BUD_V1</t>
        </is>
      </c>
      <c r="F1287" s="1" t="inlineStr">
        <is>
          <t>12</t>
        </is>
      </c>
      <c r="G1287" s="1" t="n">
        <v>654525.963</v>
      </c>
      <c r="H1287" s="25">
        <f>_CALC_PNL!P1287</f>
        <v/>
      </c>
      <c r="I1287" s="25">
        <f>IF(_CALC_PNL!E1287=1,H1287-G1287,"")</f>
        <v/>
      </c>
    </row>
    <row r="1288">
      <c r="A1288" s="1" t="inlineStr">
        <is>
          <t>MBWAY_LYO</t>
        </is>
      </c>
      <c r="B1288" s="1" t="inlineStr">
        <is>
          <t>6411</t>
        </is>
      </c>
      <c r="C1288" s="1" t="inlineStr">
        <is>
          <t>2027</t>
        </is>
      </c>
      <c r="D1288" s="1" t="inlineStr">
        <is>
          <t>V01</t>
        </is>
      </c>
      <c r="E1288" s="1" t="inlineStr">
        <is>
          <t>2027BUD_V1</t>
        </is>
      </c>
      <c r="F1288" s="1" t="inlineStr">
        <is>
          <t>12</t>
        </is>
      </c>
      <c r="G1288" s="1" t="n">
        <v>386556.118</v>
      </c>
      <c r="H1288" s="25">
        <f>_CALC_PNL!P1288</f>
        <v/>
      </c>
      <c r="I1288" s="25">
        <f>IF(_CALC_PNL!E1288=1,H1288-G1288,"")</f>
        <v/>
      </c>
    </row>
    <row r="1289">
      <c r="A1289" s="1" t="inlineStr">
        <is>
          <t>MBWAY_LYO</t>
        </is>
      </c>
      <c r="B1289" s="1" t="inlineStr">
        <is>
          <t>6411</t>
        </is>
      </c>
      <c r="C1289" s="1" t="inlineStr">
        <is>
          <t>2027</t>
        </is>
      </c>
      <c r="D1289" s="1" t="inlineStr">
        <is>
          <t>V02</t>
        </is>
      </c>
      <c r="E1289" s="1" t="inlineStr">
        <is>
          <t>2027BUD_V1</t>
        </is>
      </c>
      <c r="F1289" s="1" t="inlineStr">
        <is>
          <t>12</t>
        </is>
      </c>
      <c r="G1289" s="1" t="n">
        <v>380971.7238</v>
      </c>
      <c r="H1289" s="25">
        <f>_CALC_PNL!P1289</f>
        <v/>
      </c>
      <c r="I1289" s="25">
        <f>IF(_CALC_PNL!E1289=1,H1289-G1289,"")</f>
        <v/>
      </c>
    </row>
    <row r="1290">
      <c r="A1290" s="1" t="inlineStr">
        <is>
          <t>MBWAY_LYO</t>
        </is>
      </c>
      <c r="B1290" s="1" t="inlineStr">
        <is>
          <t>6411</t>
        </is>
      </c>
      <c r="C1290" s="1" t="inlineStr">
        <is>
          <t>2027</t>
        </is>
      </c>
      <c r="D1290" s="1" t="inlineStr">
        <is>
          <t>V03</t>
        </is>
      </c>
      <c r="E1290" s="1" t="inlineStr">
        <is>
          <t>2027BUD_V1</t>
        </is>
      </c>
      <c r="F1290" s="1" t="inlineStr">
        <is>
          <t>12</t>
        </is>
      </c>
      <c r="G1290" s="1" t="n">
        <v>392176.7745</v>
      </c>
      <c r="H1290" s="25">
        <f>_CALC_PNL!P1290</f>
        <v/>
      </c>
      <c r="I1290" s="25">
        <f>IF(_CALC_PNL!E1290=1,H1290-G1290,"")</f>
        <v/>
      </c>
    </row>
    <row r="1291">
      <c r="A1291" s="1" t="inlineStr">
        <is>
          <t>MBWAY_NAN</t>
        </is>
      </c>
      <c r="B1291" s="1" t="inlineStr">
        <is>
          <t>6411</t>
        </is>
      </c>
      <c r="C1291" s="1" t="inlineStr">
        <is>
          <t>2027</t>
        </is>
      </c>
      <c r="D1291" s="1" t="inlineStr">
        <is>
          <t>V01</t>
        </is>
      </c>
      <c r="E1291" s="1" t="inlineStr">
        <is>
          <t>2027BUD_V1</t>
        </is>
      </c>
      <c r="F1291" s="1" t="inlineStr">
        <is>
          <t>12</t>
        </is>
      </c>
      <c r="G1291" s="1" t="n">
        <v>318590.09</v>
      </c>
      <c r="H1291" s="25">
        <f>_CALC_PNL!P1291</f>
        <v/>
      </c>
      <c r="I1291" s="25">
        <f>IF(_CALC_PNL!E1291=1,H1291-G1291,"")</f>
        <v/>
      </c>
    </row>
    <row r="1292">
      <c r="A1292" s="1" t="inlineStr">
        <is>
          <t>MBWAY_NAN</t>
        </is>
      </c>
      <c r="B1292" s="1" t="inlineStr">
        <is>
          <t>6411</t>
        </is>
      </c>
      <c r="C1292" s="1" t="inlineStr">
        <is>
          <t>2027</t>
        </is>
      </c>
      <c r="D1292" s="1" t="inlineStr">
        <is>
          <t>V02</t>
        </is>
      </c>
      <c r="E1292" s="1" t="inlineStr">
        <is>
          <t>2027BUD_V1</t>
        </is>
      </c>
      <c r="F1292" s="1" t="inlineStr">
        <is>
          <t>12</t>
        </is>
      </c>
      <c r="G1292" s="1" t="n">
        <v>313987.569</v>
      </c>
      <c r="H1292" s="25">
        <f>_CALC_PNL!P1292</f>
        <v/>
      </c>
      <c r="I1292" s="25">
        <f>IF(_CALC_PNL!E1292=1,H1292-G1292,"")</f>
        <v/>
      </c>
    </row>
    <row r="1293">
      <c r="A1293" s="1" t="inlineStr">
        <is>
          <t>MBWAY_NAN</t>
        </is>
      </c>
      <c r="B1293" s="1" t="inlineStr">
        <is>
          <t>6411</t>
        </is>
      </c>
      <c r="C1293" s="1" t="inlineStr">
        <is>
          <t>2027</t>
        </is>
      </c>
      <c r="D1293" s="1" t="inlineStr">
        <is>
          <t>V03</t>
        </is>
      </c>
      <c r="E1293" s="1" t="inlineStr">
        <is>
          <t>2027BUD_V1</t>
        </is>
      </c>
      <c r="F1293" s="1" t="inlineStr">
        <is>
          <t>12</t>
        </is>
      </c>
      <c r="G1293" s="1" t="n">
        <v>323222.4975</v>
      </c>
      <c r="H1293" s="25">
        <f>_CALC_PNL!P1293</f>
        <v/>
      </c>
      <c r="I1293" s="25">
        <f>IF(_CALC_PNL!E1293=1,H1293-G1293,"")</f>
        <v/>
      </c>
    </row>
    <row r="1294">
      <c r="A1294" s="1" t="inlineStr">
        <is>
          <t>MBWAY_BOR</t>
        </is>
      </c>
      <c r="B1294" s="1" t="inlineStr">
        <is>
          <t>6411</t>
        </is>
      </c>
      <c r="C1294" s="1" t="inlineStr">
        <is>
          <t>2027</t>
        </is>
      </c>
      <c r="D1294" s="1" t="inlineStr">
        <is>
          <t>V01</t>
        </is>
      </c>
      <c r="E1294" s="1" t="inlineStr">
        <is>
          <t>2027BUD_V1</t>
        </is>
      </c>
      <c r="F1294" s="1" t="inlineStr">
        <is>
          <t>12</t>
        </is>
      </c>
      <c r="G1294" s="1" t="n">
        <v>278766.462</v>
      </c>
      <c r="H1294" s="25">
        <f>_CALC_PNL!P1294</f>
        <v/>
      </c>
      <c r="I1294" s="25">
        <f>IF(_CALC_PNL!E1294=1,H1294-G1294,"")</f>
        <v/>
      </c>
    </row>
    <row r="1295">
      <c r="A1295" s="1" t="inlineStr">
        <is>
          <t>MBWAY_BOR</t>
        </is>
      </c>
      <c r="B1295" s="1" t="inlineStr">
        <is>
          <t>6411</t>
        </is>
      </c>
      <c r="C1295" s="1" t="inlineStr">
        <is>
          <t>2027</t>
        </is>
      </c>
      <c r="D1295" s="1" t="inlineStr">
        <is>
          <t>V02</t>
        </is>
      </c>
      <c r="E1295" s="1" t="inlineStr">
        <is>
          <t>2027BUD_V1</t>
        </is>
      </c>
      <c r="F1295" s="1" t="inlineStr">
        <is>
          <t>12</t>
        </is>
      </c>
      <c r="G1295" s="1" t="n">
        <v>274739.2542</v>
      </c>
      <c r="H1295" s="25">
        <f>_CALC_PNL!P1295</f>
        <v/>
      </c>
      <c r="I1295" s="25">
        <f>IF(_CALC_PNL!E1295=1,H1295-G1295,"")</f>
        <v/>
      </c>
    </row>
    <row r="1296">
      <c r="A1296" s="1" t="inlineStr">
        <is>
          <t>MBWAY_BOR</t>
        </is>
      </c>
      <c r="B1296" s="1" t="inlineStr">
        <is>
          <t>6411</t>
        </is>
      </c>
      <c r="C1296" s="1" t="inlineStr">
        <is>
          <t>2027</t>
        </is>
      </c>
      <c r="D1296" s="1" t="inlineStr">
        <is>
          <t>V03</t>
        </is>
      </c>
      <c r="E1296" s="1" t="inlineStr">
        <is>
          <t>2027BUD_V1</t>
        </is>
      </c>
      <c r="F1296" s="1" t="inlineStr">
        <is>
          <t>12</t>
        </is>
      </c>
      <c r="G1296" s="1" t="n">
        <v>282819.8205</v>
      </c>
      <c r="H1296" s="25">
        <f>_CALC_PNL!P1296</f>
        <v/>
      </c>
      <c r="I1296" s="25">
        <f>IF(_CALC_PNL!E1296=1,H1296-G1296,"")</f>
        <v/>
      </c>
    </row>
    <row r="1297">
      <c r="A1297" s="1" t="inlineStr">
        <is>
          <t>ISCOM_PAR</t>
        </is>
      </c>
      <c r="B1297" s="1" t="inlineStr">
        <is>
          <t>6411</t>
        </is>
      </c>
      <c r="C1297" s="1" t="inlineStr">
        <is>
          <t>2027</t>
        </is>
      </c>
      <c r="D1297" s="1" t="inlineStr">
        <is>
          <t>V01</t>
        </is>
      </c>
      <c r="E1297" s="1" t="inlineStr">
        <is>
          <t>2027BUD_V1</t>
        </is>
      </c>
      <c r="F1297" s="1" t="inlineStr">
        <is>
          <t>12</t>
        </is>
      </c>
      <c r="G1297" s="1" t="n">
        <v>645145.3320000001</v>
      </c>
      <c r="H1297" s="25">
        <f>_CALC_PNL!P1297</f>
        <v/>
      </c>
      <c r="I1297" s="25">
        <f>IF(_CALC_PNL!E1297=1,H1297-G1297,"")</f>
        <v/>
      </c>
    </row>
    <row r="1298">
      <c r="A1298" s="1" t="inlineStr">
        <is>
          <t>ISCOM_PAR</t>
        </is>
      </c>
      <c r="B1298" s="1" t="inlineStr">
        <is>
          <t>6411</t>
        </is>
      </c>
      <c r="C1298" s="1" t="inlineStr">
        <is>
          <t>2027</t>
        </is>
      </c>
      <c r="D1298" s="1" t="inlineStr">
        <is>
          <t>V02</t>
        </is>
      </c>
      <c r="E1298" s="1" t="inlineStr">
        <is>
          <t>2027BUD_V1</t>
        </is>
      </c>
      <c r="F1298" s="1" t="inlineStr">
        <is>
          <t>12</t>
        </is>
      </c>
      <c r="G1298" s="1" t="n">
        <v>635825.2212</v>
      </c>
      <c r="H1298" s="25">
        <f>_CALC_PNL!P1298</f>
        <v/>
      </c>
      <c r="I1298" s="25">
        <f>IF(_CALC_PNL!E1298=1,H1298-G1298,"")</f>
        <v/>
      </c>
    </row>
    <row r="1299">
      <c r="A1299" s="1" t="inlineStr">
        <is>
          <t>ISCOM_PAR</t>
        </is>
      </c>
      <c r="B1299" s="1" t="inlineStr">
        <is>
          <t>6411</t>
        </is>
      </c>
      <c r="C1299" s="1" t="inlineStr">
        <is>
          <t>2027</t>
        </is>
      </c>
      <c r="D1299" s="1" t="inlineStr">
        <is>
          <t>V03</t>
        </is>
      </c>
      <c r="E1299" s="1" t="inlineStr">
        <is>
          <t>2027BUD_V1</t>
        </is>
      </c>
      <c r="F1299" s="1" t="inlineStr">
        <is>
          <t>12</t>
        </is>
      </c>
      <c r="G1299" s="1" t="n">
        <v>654525.963</v>
      </c>
      <c r="H1299" s="25">
        <f>_CALC_PNL!P1299</f>
        <v/>
      </c>
      <c r="I1299" s="25">
        <f>IF(_CALC_PNL!E1299=1,H1299-G1299,"")</f>
        <v/>
      </c>
    </row>
    <row r="1300">
      <c r="A1300" s="1" t="inlineStr">
        <is>
          <t>ISCOM_LIL</t>
        </is>
      </c>
      <c r="B1300" s="1" t="inlineStr">
        <is>
          <t>6411</t>
        </is>
      </c>
      <c r="C1300" s="1" t="inlineStr">
        <is>
          <t>2027</t>
        </is>
      </c>
      <c r="D1300" s="1" t="inlineStr">
        <is>
          <t>V01</t>
        </is>
      </c>
      <c r="E1300" s="1" t="inlineStr">
        <is>
          <t>2027BUD_V1</t>
        </is>
      </c>
      <c r="F1300" s="1" t="inlineStr">
        <is>
          <t>12</t>
        </is>
      </c>
      <c r="G1300" s="1" t="n">
        <v>244252.58</v>
      </c>
      <c r="H1300" s="25">
        <f>_CALC_PNL!P1300</f>
        <v/>
      </c>
      <c r="I1300" s="25">
        <f>IF(_CALC_PNL!E1300=1,H1300-G1300,"")</f>
        <v/>
      </c>
    </row>
    <row r="1301">
      <c r="A1301" s="1" t="inlineStr">
        <is>
          <t>ISCOM_LIL</t>
        </is>
      </c>
      <c r="B1301" s="1" t="inlineStr">
        <is>
          <t>6411</t>
        </is>
      </c>
      <c r="C1301" s="1" t="inlineStr">
        <is>
          <t>2027</t>
        </is>
      </c>
      <c r="D1301" s="1" t="inlineStr">
        <is>
          <t>V02</t>
        </is>
      </c>
      <c r="E1301" s="1" t="inlineStr">
        <is>
          <t>2027BUD_V1</t>
        </is>
      </c>
      <c r="F1301" s="1" t="inlineStr">
        <is>
          <t>12</t>
        </is>
      </c>
      <c r="G1301" s="1" t="n">
        <v>240723.978</v>
      </c>
      <c r="H1301" s="25">
        <f>_CALC_PNL!P1301</f>
        <v/>
      </c>
      <c r="I1301" s="25">
        <f>IF(_CALC_PNL!E1301=1,H1301-G1301,"")</f>
        <v/>
      </c>
    </row>
    <row r="1302">
      <c r="A1302" s="1" t="inlineStr">
        <is>
          <t>ISCOM_LIL</t>
        </is>
      </c>
      <c r="B1302" s="1" t="inlineStr">
        <is>
          <t>6411</t>
        </is>
      </c>
      <c r="C1302" s="1" t="inlineStr">
        <is>
          <t>2027</t>
        </is>
      </c>
      <c r="D1302" s="1" t="inlineStr">
        <is>
          <t>V03</t>
        </is>
      </c>
      <c r="E1302" s="1" t="inlineStr">
        <is>
          <t>2027BUD_V1</t>
        </is>
      </c>
      <c r="F1302" s="1" t="inlineStr">
        <is>
          <t>12</t>
        </is>
      </c>
      <c r="G1302" s="1" t="n">
        <v>247804.095</v>
      </c>
      <c r="H1302" s="25">
        <f>_CALC_PNL!P1302</f>
        <v/>
      </c>
      <c r="I1302" s="25">
        <f>IF(_CALC_PNL!E1302=1,H1302-G1302,"")</f>
        <v/>
      </c>
    </row>
    <row r="1303">
      <c r="A1303" s="1" t="inlineStr">
        <is>
          <t>ISCOM_TLS</t>
        </is>
      </c>
      <c r="B1303" s="1" t="inlineStr">
        <is>
          <t>6411</t>
        </is>
      </c>
      <c r="C1303" s="1" t="inlineStr">
        <is>
          <t>2027</t>
        </is>
      </c>
      <c r="D1303" s="1" t="inlineStr">
        <is>
          <t>V01</t>
        </is>
      </c>
      <c r="E1303" s="1" t="inlineStr">
        <is>
          <t>2027BUD_V1</t>
        </is>
      </c>
      <c r="F1303" s="1" t="inlineStr">
        <is>
          <t>12</t>
        </is>
      </c>
      <c r="G1303" s="1" t="n">
        <v>238942.834</v>
      </c>
      <c r="H1303" s="25">
        <f>_CALC_PNL!P1303</f>
        <v/>
      </c>
      <c r="I1303" s="25">
        <f>IF(_CALC_PNL!E1303=1,H1303-G1303,"")</f>
        <v/>
      </c>
    </row>
    <row r="1304">
      <c r="A1304" s="1" t="inlineStr">
        <is>
          <t>ISCOM_TLS</t>
        </is>
      </c>
      <c r="B1304" s="1" t="inlineStr">
        <is>
          <t>6411</t>
        </is>
      </c>
      <c r="C1304" s="1" t="inlineStr">
        <is>
          <t>2027</t>
        </is>
      </c>
      <c r="D1304" s="1" t="inlineStr">
        <is>
          <t>V02</t>
        </is>
      </c>
      <c r="E1304" s="1" t="inlineStr">
        <is>
          <t>2027BUD_V1</t>
        </is>
      </c>
      <c r="F1304" s="1" t="inlineStr">
        <is>
          <t>12</t>
        </is>
      </c>
      <c r="G1304" s="1" t="n">
        <v>235490.9394</v>
      </c>
      <c r="H1304" s="25">
        <f>_CALC_PNL!P1304</f>
        <v/>
      </c>
      <c r="I1304" s="25">
        <f>IF(_CALC_PNL!E1304=1,H1304-G1304,"")</f>
        <v/>
      </c>
    </row>
    <row r="1305">
      <c r="A1305" s="1" t="inlineStr">
        <is>
          <t>ISCOM_TLS</t>
        </is>
      </c>
      <c r="B1305" s="1" t="inlineStr">
        <is>
          <t>6411</t>
        </is>
      </c>
      <c r="C1305" s="1" t="inlineStr">
        <is>
          <t>2027</t>
        </is>
      </c>
      <c r="D1305" s="1" t="inlineStr">
        <is>
          <t>V03</t>
        </is>
      </c>
      <c r="E1305" s="1" t="inlineStr">
        <is>
          <t>2027BUD_V1</t>
        </is>
      </c>
      <c r="F1305" s="1" t="inlineStr">
        <is>
          <t>12</t>
        </is>
      </c>
      <c r="G1305" s="1" t="n">
        <v>242417.1435</v>
      </c>
      <c r="H1305" s="25">
        <f>_CALC_PNL!P1305</f>
        <v/>
      </c>
      <c r="I1305" s="25">
        <f>IF(_CALC_PNL!E1305=1,H1305-G1305,"")</f>
        <v/>
      </c>
    </row>
    <row r="1306">
      <c r="A1306" s="1" t="inlineStr">
        <is>
          <t>IPAC_NAN</t>
        </is>
      </c>
      <c r="B1306" s="1" t="inlineStr">
        <is>
          <t>6411</t>
        </is>
      </c>
      <c r="C1306" s="1" t="inlineStr">
        <is>
          <t>2027</t>
        </is>
      </c>
      <c r="D1306" s="1" t="inlineStr">
        <is>
          <t>V01</t>
        </is>
      </c>
      <c r="E1306" s="1" t="inlineStr">
        <is>
          <t>2027BUD_V1</t>
        </is>
      </c>
      <c r="F1306" s="1" t="inlineStr">
        <is>
          <t>12</t>
        </is>
      </c>
      <c r="G1306" s="1" t="n">
        <v>159295.578</v>
      </c>
      <c r="H1306" s="25">
        <f>_CALC_PNL!P1306</f>
        <v/>
      </c>
      <c r="I1306" s="25">
        <f>IF(_CALC_PNL!E1306=1,H1306-G1306,"")</f>
        <v/>
      </c>
    </row>
    <row r="1307">
      <c r="A1307" s="1" t="inlineStr">
        <is>
          <t>IPAC_NAN</t>
        </is>
      </c>
      <c r="B1307" s="1" t="inlineStr">
        <is>
          <t>6411</t>
        </is>
      </c>
      <c r="C1307" s="1" t="inlineStr">
        <is>
          <t>2027</t>
        </is>
      </c>
      <c r="D1307" s="1" t="inlineStr">
        <is>
          <t>V02</t>
        </is>
      </c>
      <c r="E1307" s="1" t="inlineStr">
        <is>
          <t>2027BUD_V1</t>
        </is>
      </c>
      <c r="F1307" s="1" t="inlineStr">
        <is>
          <t>12</t>
        </is>
      </c>
      <c r="G1307" s="1" t="n">
        <v>156994.3098</v>
      </c>
      <c r="H1307" s="25">
        <f>_CALC_PNL!P1307</f>
        <v/>
      </c>
      <c r="I1307" s="25">
        <f>IF(_CALC_PNL!E1307=1,H1307-G1307,"")</f>
        <v/>
      </c>
    </row>
    <row r="1308">
      <c r="A1308" s="1" t="inlineStr">
        <is>
          <t>IPAC_NAN</t>
        </is>
      </c>
      <c r="B1308" s="1" t="inlineStr">
        <is>
          <t>6411</t>
        </is>
      </c>
      <c r="C1308" s="1" t="inlineStr">
        <is>
          <t>2027</t>
        </is>
      </c>
      <c r="D1308" s="1" t="inlineStr">
        <is>
          <t>V03</t>
        </is>
      </c>
      <c r="E1308" s="1" t="inlineStr">
        <is>
          <t>2027BUD_V1</t>
        </is>
      </c>
      <c r="F1308" s="1" t="inlineStr">
        <is>
          <t>12</t>
        </is>
      </c>
      <c r="G1308" s="1" t="n">
        <v>161611.7895</v>
      </c>
      <c r="H1308" s="25">
        <f>_CALC_PNL!P1308</f>
        <v/>
      </c>
      <c r="I1308" s="25">
        <f>IF(_CALC_PNL!E1308=1,H1308-G1308,"")</f>
        <v/>
      </c>
    </row>
    <row r="1309">
      <c r="A1309" s="1" t="inlineStr">
        <is>
          <t>IPAC_REN</t>
        </is>
      </c>
      <c r="B1309" s="1" t="inlineStr">
        <is>
          <t>6411</t>
        </is>
      </c>
      <c r="C1309" s="1" t="inlineStr">
        <is>
          <t>2027</t>
        </is>
      </c>
      <c r="D1309" s="1" t="inlineStr">
        <is>
          <t>V01</t>
        </is>
      </c>
      <c r="E1309" s="1" t="inlineStr">
        <is>
          <t>2027BUD_V1</t>
        </is>
      </c>
      <c r="F1309" s="1" t="inlineStr">
        <is>
          <t>12</t>
        </is>
      </c>
      <c r="G1309" s="1" t="n">
        <v>140180.066</v>
      </c>
      <c r="H1309" s="25">
        <f>_CALC_PNL!P1309</f>
        <v/>
      </c>
      <c r="I1309" s="25">
        <f>IF(_CALC_PNL!E1309=1,H1309-G1309,"")</f>
        <v/>
      </c>
    </row>
    <row r="1310">
      <c r="A1310" s="1" t="inlineStr">
        <is>
          <t>IPAC_REN</t>
        </is>
      </c>
      <c r="B1310" s="1" t="inlineStr">
        <is>
          <t>6411</t>
        </is>
      </c>
      <c r="C1310" s="1" t="inlineStr">
        <is>
          <t>2027</t>
        </is>
      </c>
      <c r="D1310" s="1" t="inlineStr">
        <is>
          <t>V02</t>
        </is>
      </c>
      <c r="E1310" s="1" t="inlineStr">
        <is>
          <t>2027BUD_V1</t>
        </is>
      </c>
      <c r="F1310" s="1" t="inlineStr">
        <is>
          <t>12</t>
        </is>
      </c>
      <c r="G1310" s="1" t="n">
        <v>138154.9506</v>
      </c>
      <c r="H1310" s="25">
        <f>_CALC_PNL!P1310</f>
        <v/>
      </c>
      <c r="I1310" s="25">
        <f>IF(_CALC_PNL!E1310=1,H1310-G1310,"")</f>
        <v/>
      </c>
    </row>
    <row r="1311">
      <c r="A1311" s="1" t="inlineStr">
        <is>
          <t>IPAC_REN</t>
        </is>
      </c>
      <c r="B1311" s="1" t="inlineStr">
        <is>
          <t>6411</t>
        </is>
      </c>
      <c r="C1311" s="1" t="inlineStr">
        <is>
          <t>2027</t>
        </is>
      </c>
      <c r="D1311" s="1" t="inlineStr">
        <is>
          <t>V03</t>
        </is>
      </c>
      <c r="E1311" s="1" t="inlineStr">
        <is>
          <t>2027BUD_V1</t>
        </is>
      </c>
      <c r="F1311" s="1" t="inlineStr">
        <is>
          <t>12</t>
        </is>
      </c>
      <c r="G1311" s="1" t="n">
        <v>142218.3315</v>
      </c>
      <c r="H1311" s="25">
        <f>_CALC_PNL!P1311</f>
        <v/>
      </c>
      <c r="I1311" s="25">
        <f>IF(_CALC_PNL!E1311=1,H1311-G1311,"")</f>
        <v/>
      </c>
    </row>
    <row r="1312">
      <c r="A1312" s="1" t="inlineStr">
        <is>
          <t>IPAC_MTP</t>
        </is>
      </c>
      <c r="B1312" s="1" t="inlineStr">
        <is>
          <t>6411</t>
        </is>
      </c>
      <c r="C1312" s="1" t="inlineStr">
        <is>
          <t>2027</t>
        </is>
      </c>
      <c r="D1312" s="1" t="inlineStr">
        <is>
          <t>V01</t>
        </is>
      </c>
      <c r="E1312" s="1" t="inlineStr">
        <is>
          <t>2027BUD_V1</t>
        </is>
      </c>
      <c r="F1312" s="1" t="inlineStr">
        <is>
          <t>12</t>
        </is>
      </c>
      <c r="G1312" s="1" t="n">
        <v>140180.066</v>
      </c>
      <c r="H1312" s="25">
        <f>_CALC_PNL!P1312</f>
        <v/>
      </c>
      <c r="I1312" s="25">
        <f>IF(_CALC_PNL!E1312=1,H1312-G1312,"")</f>
        <v/>
      </c>
    </row>
    <row r="1313">
      <c r="A1313" s="1" t="inlineStr">
        <is>
          <t>IPAC_MTP</t>
        </is>
      </c>
      <c r="B1313" s="1" t="inlineStr">
        <is>
          <t>6411</t>
        </is>
      </c>
      <c r="C1313" s="1" t="inlineStr">
        <is>
          <t>2027</t>
        </is>
      </c>
      <c r="D1313" s="1" t="inlineStr">
        <is>
          <t>V02</t>
        </is>
      </c>
      <c r="E1313" s="1" t="inlineStr">
        <is>
          <t>2027BUD_V1</t>
        </is>
      </c>
      <c r="F1313" s="1" t="inlineStr">
        <is>
          <t>12</t>
        </is>
      </c>
      <c r="G1313" s="1" t="n">
        <v>138154.9506</v>
      </c>
      <c r="H1313" s="25">
        <f>_CALC_PNL!P1313</f>
        <v/>
      </c>
      <c r="I1313" s="25">
        <f>IF(_CALC_PNL!E1313=1,H1313-G1313,"")</f>
        <v/>
      </c>
    </row>
    <row r="1314">
      <c r="A1314" s="1" t="inlineStr">
        <is>
          <t>IPAC_MTP</t>
        </is>
      </c>
      <c r="B1314" s="1" t="inlineStr">
        <is>
          <t>6411</t>
        </is>
      </c>
      <c r="C1314" s="1" t="inlineStr">
        <is>
          <t>2027</t>
        </is>
      </c>
      <c r="D1314" s="1" t="inlineStr">
        <is>
          <t>V03</t>
        </is>
      </c>
      <c r="E1314" s="1" t="inlineStr">
        <is>
          <t>2027BUD_V1</t>
        </is>
      </c>
      <c r="F1314" s="1" t="inlineStr">
        <is>
          <t>12</t>
        </is>
      </c>
      <c r="G1314" s="1" t="n">
        <v>142218.3315</v>
      </c>
      <c r="H1314" s="25">
        <f>_CALC_PNL!P1314</f>
        <v/>
      </c>
      <c r="I1314" s="25">
        <f>IF(_CALC_PNL!E1314=1,H1314-G1314,"")</f>
        <v/>
      </c>
    </row>
    <row r="1315">
      <c r="A1315" s="1" t="inlineStr">
        <is>
          <t>PIGIER_LYO</t>
        </is>
      </c>
      <c r="B1315" s="1" t="inlineStr">
        <is>
          <t>6411</t>
        </is>
      </c>
      <c r="C1315" s="1" t="inlineStr">
        <is>
          <t>2027</t>
        </is>
      </c>
      <c r="D1315" s="1" t="inlineStr">
        <is>
          <t>V01</t>
        </is>
      </c>
      <c r="E1315" s="1" t="inlineStr">
        <is>
          <t>2027BUD_V1</t>
        </is>
      </c>
      <c r="F1315" s="1" t="inlineStr">
        <is>
          <t>12</t>
        </is>
      </c>
      <c r="G1315" s="1" t="n">
        <v>237881.098</v>
      </c>
      <c r="H1315" s="25">
        <f>_CALC_PNL!P1315</f>
        <v/>
      </c>
      <c r="I1315" s="25">
        <f>IF(_CALC_PNL!E1315=1,H1315-G1315,"")</f>
        <v/>
      </c>
    </row>
    <row r="1316">
      <c r="A1316" s="1" t="inlineStr">
        <is>
          <t>PIGIER_LYO</t>
        </is>
      </c>
      <c r="B1316" s="1" t="inlineStr">
        <is>
          <t>6411</t>
        </is>
      </c>
      <c r="C1316" s="1" t="inlineStr">
        <is>
          <t>2027</t>
        </is>
      </c>
      <c r="D1316" s="1" t="inlineStr">
        <is>
          <t>V02</t>
        </is>
      </c>
      <c r="E1316" s="1" t="inlineStr">
        <is>
          <t>2027BUD_V1</t>
        </is>
      </c>
      <c r="F1316" s="1" t="inlineStr">
        <is>
          <t>12</t>
        </is>
      </c>
      <c r="G1316" s="1" t="n">
        <v>234444.5418</v>
      </c>
      <c r="H1316" s="25">
        <f>_CALC_PNL!P1316</f>
        <v/>
      </c>
      <c r="I1316" s="25">
        <f>IF(_CALC_PNL!E1316=1,H1316-G1316,"")</f>
        <v/>
      </c>
    </row>
    <row r="1317">
      <c r="A1317" s="1" t="inlineStr">
        <is>
          <t>PIGIER_LYO</t>
        </is>
      </c>
      <c r="B1317" s="1" t="inlineStr">
        <is>
          <t>6411</t>
        </is>
      </c>
      <c r="C1317" s="1" t="inlineStr">
        <is>
          <t>2027</t>
        </is>
      </c>
      <c r="D1317" s="1" t="inlineStr">
        <is>
          <t>V03</t>
        </is>
      </c>
      <c r="E1317" s="1" t="inlineStr">
        <is>
          <t>2027BUD_V1</t>
        </is>
      </c>
      <c r="F1317" s="1" t="inlineStr">
        <is>
          <t>12</t>
        </is>
      </c>
      <c r="G1317" s="1" t="n">
        <v>241339.9695</v>
      </c>
      <c r="H1317" s="25">
        <f>_CALC_PNL!P1317</f>
        <v/>
      </c>
      <c r="I1317" s="25">
        <f>IF(_CALC_PNL!E1317=1,H1317-G1317,"")</f>
        <v/>
      </c>
    </row>
    <row r="1318">
      <c r="A1318" s="1" t="inlineStr">
        <is>
          <t>PIGIER_BOR</t>
        </is>
      </c>
      <c r="B1318" s="1" t="inlineStr">
        <is>
          <t>6411</t>
        </is>
      </c>
      <c r="C1318" s="1" t="inlineStr">
        <is>
          <t>2027</t>
        </is>
      </c>
      <c r="D1318" s="1" t="inlineStr">
        <is>
          <t>V01</t>
        </is>
      </c>
      <c r="E1318" s="1" t="inlineStr">
        <is>
          <t>2027BUD_V1</t>
        </is>
      </c>
      <c r="F1318" s="1" t="inlineStr">
        <is>
          <t>12</t>
        </is>
      </c>
      <c r="G1318" s="1" t="n">
        <v>223013.596</v>
      </c>
      <c r="H1318" s="25">
        <f>_CALC_PNL!P1318</f>
        <v/>
      </c>
      <c r="I1318" s="25">
        <f>IF(_CALC_PNL!E1318=1,H1318-G1318,"")</f>
        <v/>
      </c>
    </row>
    <row r="1319">
      <c r="A1319" s="1" t="inlineStr">
        <is>
          <t>PIGIER_BOR</t>
        </is>
      </c>
      <c r="B1319" s="1" t="inlineStr">
        <is>
          <t>6411</t>
        </is>
      </c>
      <c r="C1319" s="1" t="inlineStr">
        <is>
          <t>2027</t>
        </is>
      </c>
      <c r="D1319" s="1" t="inlineStr">
        <is>
          <t>V02</t>
        </is>
      </c>
      <c r="E1319" s="1" t="inlineStr">
        <is>
          <t>2027BUD_V1</t>
        </is>
      </c>
      <c r="F1319" s="1" t="inlineStr">
        <is>
          <t>12</t>
        </is>
      </c>
      <c r="G1319" s="1" t="n">
        <v>219791.8236</v>
      </c>
      <c r="H1319" s="25">
        <f>_CALC_PNL!P1319</f>
        <v/>
      </c>
      <c r="I1319" s="25">
        <f>IF(_CALC_PNL!E1319=1,H1319-G1319,"")</f>
        <v/>
      </c>
    </row>
    <row r="1320">
      <c r="A1320" s="1" t="inlineStr">
        <is>
          <t>PIGIER_BOR</t>
        </is>
      </c>
      <c r="B1320" s="1" t="inlineStr">
        <is>
          <t>6411</t>
        </is>
      </c>
      <c r="C1320" s="1" t="inlineStr">
        <is>
          <t>2027</t>
        </is>
      </c>
      <c r="D1320" s="1" t="inlineStr">
        <is>
          <t>V03</t>
        </is>
      </c>
      <c r="E1320" s="1" t="inlineStr">
        <is>
          <t>2027BUD_V1</t>
        </is>
      </c>
      <c r="F1320" s="1" t="inlineStr">
        <is>
          <t>12</t>
        </is>
      </c>
      <c r="G1320" s="1" t="n">
        <v>226256.289</v>
      </c>
      <c r="H1320" s="25">
        <f>_CALC_PNL!P1320</f>
        <v/>
      </c>
      <c r="I1320" s="25">
        <f>IF(_CALC_PNL!E1320=1,H1320-G1320,"")</f>
        <v/>
      </c>
    </row>
    <row r="1321">
      <c r="A1321" s="1" t="inlineStr">
        <is>
          <t>TUNON_PAR</t>
        </is>
      </c>
      <c r="B1321" s="1" t="inlineStr">
        <is>
          <t>6411</t>
        </is>
      </c>
      <c r="C1321" s="1" t="inlineStr">
        <is>
          <t>2027</t>
        </is>
      </c>
      <c r="D1321" s="1" t="inlineStr">
        <is>
          <t>V01</t>
        </is>
      </c>
      <c r="E1321" s="1" t="inlineStr">
        <is>
          <t>2027BUD_V1</t>
        </is>
      </c>
      <c r="F1321" s="1" t="inlineStr">
        <is>
          <t>12</t>
        </is>
      </c>
      <c r="G1321" s="1" t="n">
        <v>258058.346</v>
      </c>
      <c r="H1321" s="25">
        <f>_CALC_PNL!P1321</f>
        <v/>
      </c>
      <c r="I1321" s="25">
        <f>IF(_CALC_PNL!E1321=1,H1321-G1321,"")</f>
        <v/>
      </c>
    </row>
    <row r="1322">
      <c r="A1322" s="1" t="inlineStr">
        <is>
          <t>TUNON_PAR</t>
        </is>
      </c>
      <c r="B1322" s="1" t="inlineStr">
        <is>
          <t>6411</t>
        </is>
      </c>
      <c r="C1322" s="1" t="inlineStr">
        <is>
          <t>2027</t>
        </is>
      </c>
      <c r="D1322" s="1" t="inlineStr">
        <is>
          <t>V02</t>
        </is>
      </c>
      <c r="E1322" s="1" t="inlineStr">
        <is>
          <t>2027BUD_V1</t>
        </is>
      </c>
      <c r="F1322" s="1" t="inlineStr">
        <is>
          <t>12</t>
        </is>
      </c>
      <c r="G1322" s="1" t="n">
        <v>254330.2986</v>
      </c>
      <c r="H1322" s="25">
        <f>_CALC_PNL!P1322</f>
        <v/>
      </c>
      <c r="I1322" s="25">
        <f>IF(_CALC_PNL!E1322=1,H1322-G1322,"")</f>
        <v/>
      </c>
    </row>
    <row r="1323">
      <c r="A1323" s="1" t="inlineStr">
        <is>
          <t>TUNON_PAR</t>
        </is>
      </c>
      <c r="B1323" s="1" t="inlineStr">
        <is>
          <t>6411</t>
        </is>
      </c>
      <c r="C1323" s="1" t="inlineStr">
        <is>
          <t>2027</t>
        </is>
      </c>
      <c r="D1323" s="1" t="inlineStr">
        <is>
          <t>V03</t>
        </is>
      </c>
      <c r="E1323" s="1" t="inlineStr">
        <is>
          <t>2027BUD_V1</t>
        </is>
      </c>
      <c r="F1323" s="1" t="inlineStr">
        <is>
          <t>12</t>
        </is>
      </c>
      <c r="G1323" s="1" t="n">
        <v>261810.6015</v>
      </c>
      <c r="H1323" s="25">
        <f>_CALC_PNL!P1323</f>
        <v/>
      </c>
      <c r="I1323" s="25">
        <f>IF(_CALC_PNL!E1323=1,H1323-G1323,"")</f>
        <v/>
      </c>
    </row>
    <row r="1324">
      <c r="A1324" s="1" t="inlineStr">
        <is>
          <t>TUNON_LYO</t>
        </is>
      </c>
      <c r="B1324" s="1" t="inlineStr">
        <is>
          <t>6411</t>
        </is>
      </c>
      <c r="C1324" s="1" t="inlineStr">
        <is>
          <t>2027</t>
        </is>
      </c>
      <c r="D1324" s="1" t="inlineStr">
        <is>
          <t>V01</t>
        </is>
      </c>
      <c r="E1324" s="1" t="inlineStr">
        <is>
          <t>2027BUD_V1</t>
        </is>
      </c>
      <c r="F1324" s="1" t="inlineStr">
        <is>
          <t>12</t>
        </is>
      </c>
      <c r="G1324" s="1" t="n">
        <v>178410.024</v>
      </c>
      <c r="H1324" s="25">
        <f>_CALC_PNL!P1324</f>
        <v/>
      </c>
      <c r="I1324" s="25">
        <f>IF(_CALC_PNL!E1324=1,H1324-G1324,"")</f>
        <v/>
      </c>
    </row>
    <row r="1325">
      <c r="A1325" s="1" t="inlineStr">
        <is>
          <t>TUNON_LYO</t>
        </is>
      </c>
      <c r="B1325" s="1" t="inlineStr">
        <is>
          <t>6411</t>
        </is>
      </c>
      <c r="C1325" s="1" t="inlineStr">
        <is>
          <t>2027</t>
        </is>
      </c>
      <c r="D1325" s="1" t="inlineStr">
        <is>
          <t>V02</t>
        </is>
      </c>
      <c r="E1325" s="1" t="inlineStr">
        <is>
          <t>2027BUD_V1</t>
        </is>
      </c>
      <c r="F1325" s="1" t="inlineStr">
        <is>
          <t>12</t>
        </is>
      </c>
      <c r="G1325" s="1" t="n">
        <v>175832.6184</v>
      </c>
      <c r="H1325" s="25">
        <f>_CALC_PNL!P1325</f>
        <v/>
      </c>
      <c r="I1325" s="25">
        <f>IF(_CALC_PNL!E1325=1,H1325-G1325,"")</f>
        <v/>
      </c>
    </row>
    <row r="1326">
      <c r="A1326" s="1" t="inlineStr">
        <is>
          <t>TUNON_LYO</t>
        </is>
      </c>
      <c r="B1326" s="1" t="inlineStr">
        <is>
          <t>6411</t>
        </is>
      </c>
      <c r="C1326" s="1" t="inlineStr">
        <is>
          <t>2027</t>
        </is>
      </c>
      <c r="D1326" s="1" t="inlineStr">
        <is>
          <t>V03</t>
        </is>
      </c>
      <c r="E1326" s="1" t="inlineStr">
        <is>
          <t>2027BUD_V1</t>
        </is>
      </c>
      <c r="F1326" s="1" t="inlineStr">
        <is>
          <t>12</t>
        </is>
      </c>
      <c r="G1326" s="1" t="n">
        <v>181004.166</v>
      </c>
      <c r="H1326" s="25">
        <f>_CALC_PNL!P1326</f>
        <v/>
      </c>
      <c r="I1326" s="25">
        <f>IF(_CALC_PNL!E1326=1,H1326-G1326,"")</f>
        <v/>
      </c>
    </row>
    <row r="1327">
      <c r="A1327" s="1" t="inlineStr">
        <is>
          <t>MBWAY_PAR</t>
        </is>
      </c>
      <c r="B1327" s="1" t="inlineStr">
        <is>
          <t>6413</t>
        </is>
      </c>
      <c r="C1327" s="1" t="inlineStr">
        <is>
          <t>2027</t>
        </is>
      </c>
      <c r="D1327" s="1" t="inlineStr">
        <is>
          <t>V01</t>
        </is>
      </c>
      <c r="E1327" s="1" t="inlineStr">
        <is>
          <t>2027BUD_V1</t>
        </is>
      </c>
      <c r="F1327" s="1" t="inlineStr">
        <is>
          <t>12</t>
        </is>
      </c>
      <c r="G1327" s="1" t="n">
        <v>372461.466</v>
      </c>
      <c r="H1327" s="25">
        <f>_CALC_PNL!P1327</f>
        <v/>
      </c>
      <c r="I1327" s="25">
        <f>IF(_CALC_PNL!E1327=1,H1327-G1327,"")</f>
        <v/>
      </c>
    </row>
    <row r="1328">
      <c r="A1328" s="1" t="inlineStr">
        <is>
          <t>MBWAY_PAR</t>
        </is>
      </c>
      <c r="B1328" s="1" t="inlineStr">
        <is>
          <t>6413</t>
        </is>
      </c>
      <c r="C1328" s="1" t="inlineStr">
        <is>
          <t>2027</t>
        </is>
      </c>
      <c r="D1328" s="1" t="inlineStr">
        <is>
          <t>V02</t>
        </is>
      </c>
      <c r="E1328" s="1" t="inlineStr">
        <is>
          <t>2027BUD_V1</t>
        </is>
      </c>
      <c r="F1328" s="1" t="inlineStr">
        <is>
          <t>12</t>
        </is>
      </c>
      <c r="G1328" s="1" t="n">
        <v>367080.6906</v>
      </c>
      <c r="H1328" s="25">
        <f>_CALC_PNL!P1328</f>
        <v/>
      </c>
      <c r="I1328" s="25">
        <f>IF(_CALC_PNL!E1328=1,H1328-G1328,"")</f>
        <v/>
      </c>
    </row>
    <row r="1329">
      <c r="A1329" s="1" t="inlineStr">
        <is>
          <t>MBWAY_PAR</t>
        </is>
      </c>
      <c r="B1329" s="1" t="inlineStr">
        <is>
          <t>6413</t>
        </is>
      </c>
      <c r="C1329" s="1" t="inlineStr">
        <is>
          <t>2027</t>
        </is>
      </c>
      <c r="D1329" s="1" t="inlineStr">
        <is>
          <t>V03</t>
        </is>
      </c>
      <c r="E1329" s="1" t="inlineStr">
        <is>
          <t>2027BUD_V1</t>
        </is>
      </c>
      <c r="F1329" s="1" t="inlineStr">
        <is>
          <t>12</t>
        </is>
      </c>
      <c r="G1329" s="1" t="n">
        <v>377877.1815</v>
      </c>
      <c r="H1329" s="25">
        <f>_CALC_PNL!P1329</f>
        <v/>
      </c>
      <c r="I1329" s="25">
        <f>IF(_CALC_PNL!E1329=1,H1329-G1329,"")</f>
        <v/>
      </c>
    </row>
    <row r="1330">
      <c r="A1330" s="1" t="inlineStr">
        <is>
          <t>MBWAY_LYO</t>
        </is>
      </c>
      <c r="B1330" s="1" t="inlineStr">
        <is>
          <t>6413</t>
        </is>
      </c>
      <c r="C1330" s="1" t="inlineStr">
        <is>
          <t>2027</t>
        </is>
      </c>
      <c r="D1330" s="1" t="inlineStr">
        <is>
          <t>V01</t>
        </is>
      </c>
      <c r="E1330" s="1" t="inlineStr">
        <is>
          <t>2027BUD_V1</t>
        </is>
      </c>
      <c r="F1330" s="1" t="inlineStr">
        <is>
          <t>12</t>
        </is>
      </c>
      <c r="G1330" s="1" t="n">
        <v>218407.41</v>
      </c>
      <c r="H1330" s="25">
        <f>_CALC_PNL!P1330</f>
        <v/>
      </c>
      <c r="I1330" s="25">
        <f>IF(_CALC_PNL!E1330=1,H1330-G1330,"")</f>
        <v/>
      </c>
    </row>
    <row r="1331">
      <c r="A1331" s="1" t="inlineStr">
        <is>
          <t>MBWAY_LYO</t>
        </is>
      </c>
      <c r="B1331" s="1" t="inlineStr">
        <is>
          <t>6413</t>
        </is>
      </c>
      <c r="C1331" s="1" t="inlineStr">
        <is>
          <t>2027</t>
        </is>
      </c>
      <c r="D1331" s="1" t="inlineStr">
        <is>
          <t>V02</t>
        </is>
      </c>
      <c r="E1331" s="1" t="inlineStr">
        <is>
          <t>2027BUD_V1</t>
        </is>
      </c>
      <c r="F1331" s="1" t="inlineStr">
        <is>
          <t>12</t>
        </is>
      </c>
      <c r="G1331" s="1" t="n">
        <v>215252.181</v>
      </c>
      <c r="H1331" s="25">
        <f>_CALC_PNL!P1331</f>
        <v/>
      </c>
      <c r="I1331" s="25">
        <f>IF(_CALC_PNL!E1331=1,H1331-G1331,"")</f>
        <v/>
      </c>
    </row>
    <row r="1332">
      <c r="A1332" s="1" t="inlineStr">
        <is>
          <t>MBWAY_LYO</t>
        </is>
      </c>
      <c r="B1332" s="1" t="inlineStr">
        <is>
          <t>6413</t>
        </is>
      </c>
      <c r="C1332" s="1" t="inlineStr">
        <is>
          <t>2027</t>
        </is>
      </c>
      <c r="D1332" s="1" t="inlineStr">
        <is>
          <t>V03</t>
        </is>
      </c>
      <c r="E1332" s="1" t="inlineStr">
        <is>
          <t>2027BUD_V1</t>
        </is>
      </c>
      <c r="F1332" s="1" t="inlineStr">
        <is>
          <t>12</t>
        </is>
      </c>
      <c r="G1332" s="1" t="n">
        <v>221583.1275</v>
      </c>
      <c r="H1332" s="25">
        <f>_CALC_PNL!P1332</f>
        <v/>
      </c>
      <c r="I1332" s="25">
        <f>IF(_CALC_PNL!E1332=1,H1332-G1332,"")</f>
        <v/>
      </c>
    </row>
    <row r="1333">
      <c r="A1333" s="1" t="inlineStr">
        <is>
          <t>MBWAY_NAN</t>
        </is>
      </c>
      <c r="B1333" s="1" t="inlineStr">
        <is>
          <t>6413</t>
        </is>
      </c>
      <c r="C1333" s="1" t="inlineStr">
        <is>
          <t>2027</t>
        </is>
      </c>
      <c r="D1333" s="1" t="inlineStr">
        <is>
          <t>V01</t>
        </is>
      </c>
      <c r="E1333" s="1" t="inlineStr">
        <is>
          <t>2027BUD_V1</t>
        </is>
      </c>
      <c r="F1333" s="1" t="inlineStr">
        <is>
          <t>12</t>
        </is>
      </c>
      <c r="G1333" s="1" t="n">
        <v>176949.604</v>
      </c>
      <c r="H1333" s="25">
        <f>_CALC_PNL!P1333</f>
        <v/>
      </c>
      <c r="I1333" s="25">
        <f>IF(_CALC_PNL!E1333=1,H1333-G1333,"")</f>
        <v/>
      </c>
    </row>
    <row r="1334">
      <c r="A1334" s="1" t="inlineStr">
        <is>
          <t>MBWAY_NAN</t>
        </is>
      </c>
      <c r="B1334" s="1" t="inlineStr">
        <is>
          <t>6413</t>
        </is>
      </c>
      <c r="C1334" s="1" t="inlineStr">
        <is>
          <t>2027</t>
        </is>
      </c>
      <c r="D1334" s="1" t="inlineStr">
        <is>
          <t>V02</t>
        </is>
      </c>
      <c r="E1334" s="1" t="inlineStr">
        <is>
          <t>2027BUD_V1</t>
        </is>
      </c>
      <c r="F1334" s="1" t="inlineStr">
        <is>
          <t>12</t>
        </is>
      </c>
      <c r="G1334" s="1" t="n">
        <v>174393.2964</v>
      </c>
      <c r="H1334" s="25">
        <f>_CALC_PNL!P1334</f>
        <v/>
      </c>
      <c r="I1334" s="25">
        <f>IF(_CALC_PNL!E1334=1,H1334-G1334,"")</f>
        <v/>
      </c>
    </row>
    <row r="1335">
      <c r="A1335" s="1" t="inlineStr">
        <is>
          <t>MBWAY_NAN</t>
        </is>
      </c>
      <c r="B1335" s="1" t="inlineStr">
        <is>
          <t>6413</t>
        </is>
      </c>
      <c r="C1335" s="1" t="inlineStr">
        <is>
          <t>2027</t>
        </is>
      </c>
      <c r="D1335" s="1" t="inlineStr">
        <is>
          <t>V03</t>
        </is>
      </c>
      <c r="E1335" s="1" t="inlineStr">
        <is>
          <t>2027BUD_V1</t>
        </is>
      </c>
      <c r="F1335" s="1" t="inlineStr">
        <is>
          <t>12</t>
        </is>
      </c>
      <c r="G1335" s="1" t="n">
        <v>179522.511</v>
      </c>
      <c r="H1335" s="25">
        <f>_CALC_PNL!P1335</f>
        <v/>
      </c>
      <c r="I1335" s="25">
        <f>IF(_CALC_PNL!E1335=1,H1335-G1335,"")</f>
        <v/>
      </c>
    </row>
    <row r="1336">
      <c r="A1336" s="1" t="inlineStr">
        <is>
          <t>MBWAY_BOR</t>
        </is>
      </c>
      <c r="B1336" s="1" t="inlineStr">
        <is>
          <t>6413</t>
        </is>
      </c>
      <c r="C1336" s="1" t="inlineStr">
        <is>
          <t>2027</t>
        </is>
      </c>
      <c r="D1336" s="1" t="inlineStr">
        <is>
          <t>V01</t>
        </is>
      </c>
      <c r="E1336" s="1" t="inlineStr">
        <is>
          <t>2027BUD_V1</t>
        </is>
      </c>
      <c r="F1336" s="1" t="inlineStr">
        <is>
          <t>12</t>
        </is>
      </c>
      <c r="G1336" s="1" t="n">
        <v>157358.656</v>
      </c>
      <c r="H1336" s="25">
        <f>_CALC_PNL!P1336</f>
        <v/>
      </c>
      <c r="I1336" s="25">
        <f>IF(_CALC_PNL!E1336=1,H1336-G1336,"")</f>
        <v/>
      </c>
    </row>
    <row r="1337">
      <c r="A1337" s="1" t="inlineStr">
        <is>
          <t>MBWAY_BOR</t>
        </is>
      </c>
      <c r="B1337" s="1" t="inlineStr">
        <is>
          <t>6413</t>
        </is>
      </c>
      <c r="C1337" s="1" t="inlineStr">
        <is>
          <t>2027</t>
        </is>
      </c>
      <c r="D1337" s="1" t="inlineStr">
        <is>
          <t>V02</t>
        </is>
      </c>
      <c r="E1337" s="1" t="inlineStr">
        <is>
          <t>2027BUD_V1</t>
        </is>
      </c>
      <c r="F1337" s="1" t="inlineStr">
        <is>
          <t>12</t>
        </is>
      </c>
      <c r="G1337" s="1" t="n">
        <v>155085.3696</v>
      </c>
      <c r="H1337" s="25">
        <f>_CALC_PNL!P1337</f>
        <v/>
      </c>
      <c r="I1337" s="25">
        <f>IF(_CALC_PNL!E1337=1,H1337-G1337,"")</f>
        <v/>
      </c>
    </row>
    <row r="1338">
      <c r="A1338" s="1" t="inlineStr">
        <is>
          <t>MBWAY_BOR</t>
        </is>
      </c>
      <c r="B1338" s="1" t="inlineStr">
        <is>
          <t>6413</t>
        </is>
      </c>
      <c r="C1338" s="1" t="inlineStr">
        <is>
          <t>2027</t>
        </is>
      </c>
      <c r="D1338" s="1" t="inlineStr">
        <is>
          <t>V03</t>
        </is>
      </c>
      <c r="E1338" s="1" t="inlineStr">
        <is>
          <t>2027BUD_V1</t>
        </is>
      </c>
      <c r="F1338" s="1" t="inlineStr">
        <is>
          <t>12</t>
        </is>
      </c>
      <c r="G1338" s="1" t="n">
        <v>159646.704</v>
      </c>
      <c r="H1338" s="25">
        <f>_CALC_PNL!P1338</f>
        <v/>
      </c>
      <c r="I1338" s="25">
        <f>IF(_CALC_PNL!E1338=1,H1338-G1338,"")</f>
        <v/>
      </c>
    </row>
    <row r="1339">
      <c r="A1339" s="1" t="inlineStr">
        <is>
          <t>ISCOM_PAR</t>
        </is>
      </c>
      <c r="B1339" s="1" t="inlineStr">
        <is>
          <t>6413</t>
        </is>
      </c>
      <c r="C1339" s="1" t="inlineStr">
        <is>
          <t>2027</t>
        </is>
      </c>
      <c r="D1339" s="1" t="inlineStr">
        <is>
          <t>V01</t>
        </is>
      </c>
      <c r="E1339" s="1" t="inlineStr">
        <is>
          <t>2027BUD_V1</t>
        </is>
      </c>
      <c r="F1339" s="1" t="inlineStr">
        <is>
          <t>12</t>
        </is>
      </c>
      <c r="G1339" s="1" t="n">
        <v>345161.206</v>
      </c>
      <c r="H1339" s="25">
        <f>_CALC_PNL!P1339</f>
        <v/>
      </c>
      <c r="I1339" s="25">
        <f>IF(_CALC_PNL!E1339=1,H1339-G1339,"")</f>
        <v/>
      </c>
    </row>
    <row r="1340">
      <c r="A1340" s="1" t="inlineStr">
        <is>
          <t>ISCOM_PAR</t>
        </is>
      </c>
      <c r="B1340" s="1" t="inlineStr">
        <is>
          <t>6413</t>
        </is>
      </c>
      <c r="C1340" s="1" t="inlineStr">
        <is>
          <t>2027</t>
        </is>
      </c>
      <c r="D1340" s="1" t="inlineStr">
        <is>
          <t>V02</t>
        </is>
      </c>
      <c r="E1340" s="1" t="inlineStr">
        <is>
          <t>2027BUD_V1</t>
        </is>
      </c>
      <c r="F1340" s="1" t="inlineStr">
        <is>
          <t>12</t>
        </is>
      </c>
      <c r="G1340" s="1" t="n">
        <v>340174.8246</v>
      </c>
      <c r="H1340" s="25">
        <f>_CALC_PNL!P1340</f>
        <v/>
      </c>
      <c r="I1340" s="25">
        <f>IF(_CALC_PNL!E1340=1,H1340-G1340,"")</f>
        <v/>
      </c>
    </row>
    <row r="1341">
      <c r="A1341" s="1" t="inlineStr">
        <is>
          <t>ISCOM_PAR</t>
        </is>
      </c>
      <c r="B1341" s="1" t="inlineStr">
        <is>
          <t>6413</t>
        </is>
      </c>
      <c r="C1341" s="1" t="inlineStr">
        <is>
          <t>2027</t>
        </is>
      </c>
      <c r="D1341" s="1" t="inlineStr">
        <is>
          <t>V03</t>
        </is>
      </c>
      <c r="E1341" s="1" t="inlineStr">
        <is>
          <t>2027BUD_V1</t>
        </is>
      </c>
      <c r="F1341" s="1" t="inlineStr">
        <is>
          <t>12</t>
        </is>
      </c>
      <c r="G1341" s="1" t="n">
        <v>350179.9665</v>
      </c>
      <c r="H1341" s="25">
        <f>_CALC_PNL!P1341</f>
        <v/>
      </c>
      <c r="I1341" s="25">
        <f>IF(_CALC_PNL!E1341=1,H1341-G1341,"")</f>
        <v/>
      </c>
    </row>
    <row r="1342">
      <c r="A1342" s="1" t="inlineStr">
        <is>
          <t>ISCOM_LIL</t>
        </is>
      </c>
      <c r="B1342" s="1" t="inlineStr">
        <is>
          <t>6413</t>
        </is>
      </c>
      <c r="C1342" s="1" t="inlineStr">
        <is>
          <t>2027</t>
        </is>
      </c>
      <c r="D1342" s="1" t="inlineStr">
        <is>
          <t>V01</t>
        </is>
      </c>
      <c r="E1342" s="1" t="inlineStr">
        <is>
          <t>2027BUD_V1</t>
        </is>
      </c>
      <c r="F1342" s="1" t="inlineStr">
        <is>
          <t>12</t>
        </is>
      </c>
      <c r="G1342" s="1" t="n">
        <v>135108.038</v>
      </c>
      <c r="H1342" s="25">
        <f>_CALC_PNL!P1342</f>
        <v/>
      </c>
      <c r="I1342" s="25">
        <f>IF(_CALC_PNL!E1342=1,H1342-G1342,"")</f>
        <v/>
      </c>
    </row>
    <row r="1343">
      <c r="A1343" s="1" t="inlineStr">
        <is>
          <t>ISCOM_LIL</t>
        </is>
      </c>
      <c r="B1343" s="1" t="inlineStr">
        <is>
          <t>6413</t>
        </is>
      </c>
      <c r="C1343" s="1" t="inlineStr">
        <is>
          <t>2027</t>
        </is>
      </c>
      <c r="D1343" s="1" t="inlineStr">
        <is>
          <t>V02</t>
        </is>
      </c>
      <c r="E1343" s="1" t="inlineStr">
        <is>
          <t>2027BUD_V1</t>
        </is>
      </c>
      <c r="F1343" s="1" t="inlineStr">
        <is>
          <t>12</t>
        </is>
      </c>
      <c r="G1343" s="1" t="n">
        <v>133156.1958</v>
      </c>
      <c r="H1343" s="25">
        <f>_CALC_PNL!P1343</f>
        <v/>
      </c>
      <c r="I1343" s="25">
        <f>IF(_CALC_PNL!E1343=1,H1343-G1343,"")</f>
        <v/>
      </c>
    </row>
    <row r="1344">
      <c r="A1344" s="1" t="inlineStr">
        <is>
          <t>ISCOM_LIL</t>
        </is>
      </c>
      <c r="B1344" s="1" t="inlineStr">
        <is>
          <t>6413</t>
        </is>
      </c>
      <c r="C1344" s="1" t="inlineStr">
        <is>
          <t>2027</t>
        </is>
      </c>
      <c r="D1344" s="1" t="inlineStr">
        <is>
          <t>V03</t>
        </is>
      </c>
      <c r="E1344" s="1" t="inlineStr">
        <is>
          <t>2027BUD_V1</t>
        </is>
      </c>
      <c r="F1344" s="1" t="inlineStr">
        <is>
          <t>12</t>
        </is>
      </c>
      <c r="G1344" s="1" t="n">
        <v>137072.5545</v>
      </c>
      <c r="H1344" s="25">
        <f>_CALC_PNL!P1344</f>
        <v/>
      </c>
      <c r="I1344" s="25">
        <f>IF(_CALC_PNL!E1344=1,H1344-G1344,"")</f>
        <v/>
      </c>
    </row>
    <row r="1345">
      <c r="A1345" s="1" t="inlineStr">
        <is>
          <t>ISCOM_TLS</t>
        </is>
      </c>
      <c r="B1345" s="1" t="inlineStr">
        <is>
          <t>6413</t>
        </is>
      </c>
      <c r="C1345" s="1" t="inlineStr">
        <is>
          <t>2027</t>
        </is>
      </c>
      <c r="D1345" s="1" t="inlineStr">
        <is>
          <t>V01</t>
        </is>
      </c>
      <c r="E1345" s="1" t="inlineStr">
        <is>
          <t>2027BUD_V1</t>
        </is>
      </c>
      <c r="F1345" s="1" t="inlineStr">
        <is>
          <t>12</t>
        </is>
      </c>
      <c r="G1345" s="1" t="n">
        <v>125129.212</v>
      </c>
      <c r="H1345" s="25">
        <f>_CALC_PNL!P1345</f>
        <v/>
      </c>
      <c r="I1345" s="25">
        <f>IF(_CALC_PNL!E1345=1,H1345-G1345,"")</f>
        <v/>
      </c>
    </row>
    <row r="1346">
      <c r="A1346" s="1" t="inlineStr">
        <is>
          <t>ISCOM_TLS</t>
        </is>
      </c>
      <c r="B1346" s="1" t="inlineStr">
        <is>
          <t>6413</t>
        </is>
      </c>
      <c r="C1346" s="1" t="inlineStr">
        <is>
          <t>2027</t>
        </is>
      </c>
      <c r="D1346" s="1" t="inlineStr">
        <is>
          <t>V02</t>
        </is>
      </c>
      <c r="E1346" s="1" t="inlineStr">
        <is>
          <t>2027BUD_V1</t>
        </is>
      </c>
      <c r="F1346" s="1" t="inlineStr">
        <is>
          <t>12</t>
        </is>
      </c>
      <c r="G1346" s="1" t="n">
        <v>123321.5292</v>
      </c>
      <c r="H1346" s="25">
        <f>_CALC_PNL!P1346</f>
        <v/>
      </c>
      <c r="I1346" s="25">
        <f>IF(_CALC_PNL!E1346=1,H1346-G1346,"")</f>
        <v/>
      </c>
    </row>
    <row r="1347">
      <c r="A1347" s="1" t="inlineStr">
        <is>
          <t>ISCOM_TLS</t>
        </is>
      </c>
      <c r="B1347" s="1" t="inlineStr">
        <is>
          <t>6413</t>
        </is>
      </c>
      <c r="C1347" s="1" t="inlineStr">
        <is>
          <t>2027</t>
        </is>
      </c>
      <c r="D1347" s="1" t="inlineStr">
        <is>
          <t>V03</t>
        </is>
      </c>
      <c r="E1347" s="1" t="inlineStr">
        <is>
          <t>2027BUD_V1</t>
        </is>
      </c>
      <c r="F1347" s="1" t="inlineStr">
        <is>
          <t>12</t>
        </is>
      </c>
      <c r="G1347" t="n">
        <v>126948.633</v>
      </c>
      <c r="H1347" s="25">
        <f>_CALC_PNL!P1347</f>
        <v/>
      </c>
      <c r="I1347" s="25">
        <f>IF(_CALC_PNL!E1347=1,H1347-G1347,"")</f>
        <v/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10" defaultRowHeight="14.25"/>
  <sheetData>
    <row r="1">
      <c r="A1" s="1" t="inlineStr">
        <is>
          <t>ENTITY</t>
        </is>
      </c>
      <c r="B1" s="1" t="inlineStr">
        <is>
          <t>ACCOUNT</t>
        </is>
      </c>
      <c r="C1" s="1" t="inlineStr">
        <is>
          <t>EXERCICE</t>
        </is>
      </c>
      <c r="D1" s="1" t="inlineStr">
        <is>
          <t>VERSION</t>
        </is>
      </c>
      <c r="E1" s="1" t="inlineStr">
        <is>
          <t>SCENARIO</t>
        </is>
      </c>
      <c r="F1" s="1" t="inlineStr">
        <is>
          <t>PERIOD</t>
        </is>
      </c>
      <c r="G1" s="1" t="inlineStr">
        <is>
          <t>AMOUNT</t>
        </is>
      </c>
    </row>
    <row r="2">
      <c r="A2" t="n">
        <v>1000</v>
      </c>
      <c r="B2" t="n">
        <v>1000</v>
      </c>
      <c r="C2" t="n">
        <v>1000</v>
      </c>
      <c r="D2" t="n">
        <v>1000</v>
      </c>
      <c r="E2" t="n">
        <v>1000</v>
      </c>
      <c r="F2" t="n">
        <v>1000</v>
      </c>
      <c r="G2" t="n">
        <v>1000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B175"/>
  <sheetViews>
    <sheetView tabSelected="1" workbookViewId="0">
      <selection activeCell="A2" sqref="A2"/>
    </sheetView>
  </sheetViews>
  <sheetFormatPr baseColWidth="10" defaultRowHeight="14.25"/>
  <sheetData>
    <row r="1">
      <c r="A1" s="1" t="inlineStr">
        <is>
          <t>SCENARIO</t>
        </is>
      </c>
      <c r="B1" s="1" t="inlineStr">
        <is>
          <t>PERIODE</t>
        </is>
      </c>
      <c r="C1" s="1" t="inlineStr">
        <is>
          <t>EXERCICE</t>
        </is>
      </c>
      <c r="D1" s="1" t="inlineStr">
        <is>
          <t>ENTITY</t>
        </is>
      </c>
      <c r="E1" s="1" t="inlineStr">
        <is>
          <t>MARQUE</t>
        </is>
      </c>
      <c r="F1" s="1" t="inlineStr">
        <is>
          <t>PROGRAMME</t>
        </is>
      </c>
      <c r="G1" s="1" t="inlineStr">
        <is>
          <t>AN_ETUDE</t>
        </is>
      </c>
      <c r="H1" s="1" t="inlineStr">
        <is>
          <t>MODALITE</t>
        </is>
      </c>
      <c r="I1" s="1" t="inlineStr">
        <is>
          <t>VOL_EFF</t>
        </is>
      </c>
      <c r="J1" s="1" t="inlineStr">
        <is>
          <t>VOL_CLASS</t>
        </is>
      </c>
      <c r="K1" s="1" t="inlineStr">
        <is>
          <t>CA</t>
        </is>
      </c>
      <c r="L1" s="1" t="inlineStr">
        <is>
          <t>COST_VAC</t>
        </is>
      </c>
      <c r="M1" s="1" t="inlineStr">
        <is>
          <t>COST_PERM</t>
        </is>
      </c>
      <c r="N1" s="1" t="inlineStr">
        <is>
          <t>COST_ODIR</t>
        </is>
      </c>
      <c r="O1" s="1" t="inlineStr">
        <is>
          <t>COST_STRUCT</t>
        </is>
      </c>
      <c r="P1" s="1" t="inlineStr">
        <is>
          <t>COST_SIEGE</t>
        </is>
      </c>
      <c r="Q1" s="1" t="inlineStr">
        <is>
          <t>COST_VARIABLE</t>
        </is>
      </c>
      <c r="R1" s="1" t="inlineStr">
        <is>
          <t>COST_STRUCTURE</t>
        </is>
      </c>
      <c r="S1" s="1" t="inlineStr">
        <is>
          <t>COST_COMPLET</t>
        </is>
      </c>
      <c r="T1" s="1" t="inlineStr">
        <is>
          <t>MARGE_COMPLETE</t>
        </is>
      </c>
      <c r="V1" s="24" t="inlineStr">
        <is>
          <t>COST_VAC (live)</t>
        </is>
      </c>
      <c r="W1" s="24" t="inlineStr">
        <is>
          <t>COST_PERM</t>
        </is>
      </c>
      <c r="X1" s="24" t="inlineStr">
        <is>
          <t>COST_ODIR</t>
        </is>
      </c>
      <c r="Y1" s="24" t="inlineStr">
        <is>
          <t>COST_STRUCT</t>
        </is>
      </c>
      <c r="Z1" s="24" t="inlineStr">
        <is>
          <t>COST_SIEGE</t>
        </is>
      </c>
      <c r="AA1" s="24" t="inlineStr">
        <is>
          <t>🟢 MARGE (live)</t>
        </is>
      </c>
      <c r="AB1" s="24" t="inlineStr">
        <is>
          <t>Δ vs Tagetik</t>
        </is>
      </c>
    </row>
    <row r="2">
      <c r="A2" s="1" t="inlineStr">
        <is>
          <t>2027BUD_V1</t>
        </is>
      </c>
      <c r="B2" s="1" t="inlineStr">
        <is>
          <t>12</t>
        </is>
      </c>
      <c r="C2" s="1" t="inlineStr">
        <is>
          <t>2026</t>
        </is>
      </c>
      <c r="D2" s="1" t="inlineStr">
        <is>
          <t>MBWAY_PAR</t>
        </is>
      </c>
      <c r="E2" s="1" t="inlineStr">
        <is>
          <t>MBWAY</t>
        </is>
      </c>
      <c r="F2" s="1" t="inlineStr">
        <is>
          <t>BAC_MGT</t>
        </is>
      </c>
      <c r="G2" s="1" t="inlineStr">
        <is>
          <t>B1</t>
        </is>
      </c>
      <c r="H2" s="1" t="inlineStr">
        <is>
          <t>INIT</t>
        </is>
      </c>
      <c r="I2" s="1" t="n">
        <v>78</v>
      </c>
      <c r="J2" s="1" t="n">
        <v>3</v>
      </c>
      <c r="K2" s="1" t="n">
        <v>662220</v>
      </c>
      <c r="L2" s="1" t="n">
        <v>45273.5</v>
      </c>
      <c r="M2" s="1" t="n">
        <v>151300.5</v>
      </c>
      <c r="N2" s="1" t="n">
        <v>63168.85078534</v>
      </c>
      <c r="O2" s="1" t="n">
        <v>290554.2</v>
      </c>
      <c r="P2" s="1" t="n">
        <v>92629.01638346601</v>
      </c>
      <c r="Q2" s="1" t="n">
        <v>108442.35078534</v>
      </c>
      <c r="R2" s="1" t="n">
        <v>534483.716383466</v>
      </c>
      <c r="S2" s="1" t="n">
        <v>642926.067168806</v>
      </c>
      <c r="T2" s="1" t="n">
        <v>19293.932831194</v>
      </c>
      <c r="V2" s="25">
        <f>_CALC_ALLOC!AI2</f>
        <v/>
      </c>
      <c r="W2" s="25">
        <f>_CALC_ALLOC!AJ2</f>
        <v/>
      </c>
      <c r="X2" s="25">
        <f>_CALC_ALLOC!AK2</f>
        <v/>
      </c>
      <c r="Y2" s="25">
        <f>_CALC_ALLOC!AL2</f>
        <v/>
      </c>
      <c r="Z2" s="25">
        <f>_CALC_ALLOC!AM2</f>
        <v/>
      </c>
      <c r="AA2" s="25">
        <f>_CALC_ALLOC!AN2</f>
        <v/>
      </c>
      <c r="AB2" s="25">
        <f>AA2-T2</f>
        <v/>
      </c>
    </row>
    <row r="3">
      <c r="A3" s="1" t="inlineStr">
        <is>
          <t>2027BUD_V1</t>
        </is>
      </c>
      <c r="B3" s="1" t="inlineStr">
        <is>
          <t>12</t>
        </is>
      </c>
      <c r="C3" s="1" t="inlineStr">
        <is>
          <t>2026</t>
        </is>
      </c>
      <c r="D3" s="1" t="inlineStr">
        <is>
          <t>MBWAY_PAR</t>
        </is>
      </c>
      <c r="E3" s="1" t="inlineStr">
        <is>
          <t>MBWAY</t>
        </is>
      </c>
      <c r="F3" s="1" t="inlineStr">
        <is>
          <t>BAC_MGT</t>
        </is>
      </c>
      <c r="G3" s="1" t="inlineStr">
        <is>
          <t>B2</t>
        </is>
      </c>
      <c r="H3" s="1" t="inlineStr">
        <is>
          <t>ALT</t>
        </is>
      </c>
      <c r="I3" s="1" t="n">
        <v>76</v>
      </c>
      <c r="J3" s="1" t="n">
        <v>3</v>
      </c>
      <c r="K3" s="1" t="n">
        <v>595840</v>
      </c>
      <c r="L3" s="1" t="n">
        <v>36218.8</v>
      </c>
      <c r="M3" s="1" t="n">
        <v>121040.4</v>
      </c>
      <c r="N3" s="1" t="n">
        <v>28279.162303665</v>
      </c>
      <c r="O3" s="1" t="n">
        <v>290554.2</v>
      </c>
      <c r="P3" s="1" t="n">
        <v>92629.01638346601</v>
      </c>
      <c r="Q3" s="1" t="n">
        <v>64497.962303665</v>
      </c>
      <c r="R3" s="1" t="n">
        <v>504223.616383466</v>
      </c>
      <c r="S3" s="1" t="n">
        <v>568721.5786871311</v>
      </c>
      <c r="T3" s="1" t="n">
        <v>27118.421312869</v>
      </c>
      <c r="V3" s="25">
        <f>_CALC_ALLOC!AI3</f>
        <v/>
      </c>
      <c r="W3" s="25">
        <f>_CALC_ALLOC!AJ3</f>
        <v/>
      </c>
      <c r="X3" s="25">
        <f>_CALC_ALLOC!AK3</f>
        <v/>
      </c>
      <c r="Y3" s="25">
        <f>_CALC_ALLOC!AL3</f>
        <v/>
      </c>
      <c r="Z3" s="25">
        <f>_CALC_ALLOC!AM3</f>
        <v/>
      </c>
      <c r="AA3" s="25">
        <f>_CALC_ALLOC!AN3</f>
        <v/>
      </c>
      <c r="AB3" s="25">
        <f>AA3-T3</f>
        <v/>
      </c>
    </row>
    <row r="4">
      <c r="A4" s="1" t="inlineStr">
        <is>
          <t>2027BUD_V1</t>
        </is>
      </c>
      <c r="B4" s="1" t="inlineStr">
        <is>
          <t>12</t>
        </is>
      </c>
      <c r="C4" s="1" t="inlineStr">
        <is>
          <t>2026</t>
        </is>
      </c>
      <c r="D4" s="1" t="inlineStr">
        <is>
          <t>MBWAY_PAR</t>
        </is>
      </c>
      <c r="E4" s="1" t="inlineStr">
        <is>
          <t>MBWAY</t>
        </is>
      </c>
      <c r="F4" s="1" t="inlineStr">
        <is>
          <t>BAC_MGT</t>
        </is>
      </c>
      <c r="G4" s="1" t="inlineStr">
        <is>
          <t>B3</t>
        </is>
      </c>
      <c r="H4" s="1" t="inlineStr">
        <is>
          <t>ALT</t>
        </is>
      </c>
      <c r="I4" s="1" t="n">
        <v>74</v>
      </c>
      <c r="J4" s="1" t="n">
        <v>3</v>
      </c>
      <c r="K4" s="1" t="n">
        <v>580160</v>
      </c>
      <c r="L4" s="1" t="n">
        <v>36218.8</v>
      </c>
      <c r="M4" s="1" t="n">
        <v>121040.4</v>
      </c>
      <c r="N4" s="1" t="n">
        <v>27534.97382199</v>
      </c>
      <c r="O4" s="1" t="n">
        <v>290554.2</v>
      </c>
      <c r="P4" s="1" t="n">
        <v>92629.01638346601</v>
      </c>
      <c r="Q4" s="1" t="n">
        <v>63753.77382199</v>
      </c>
      <c r="R4" s="1" t="n">
        <v>504223.616383466</v>
      </c>
      <c r="S4" s="1" t="n">
        <v>567977.390205455</v>
      </c>
      <c r="T4" s="1" t="n">
        <v>12182.609794545</v>
      </c>
      <c r="V4" s="25">
        <f>_CALC_ALLOC!AI4</f>
        <v/>
      </c>
      <c r="W4" s="25">
        <f>_CALC_ALLOC!AJ4</f>
        <v/>
      </c>
      <c r="X4" s="25">
        <f>_CALC_ALLOC!AK4</f>
        <v/>
      </c>
      <c r="Y4" s="25">
        <f>_CALC_ALLOC!AL4</f>
        <v/>
      </c>
      <c r="Z4" s="25">
        <f>_CALC_ALLOC!AM4</f>
        <v/>
      </c>
      <c r="AA4" s="25">
        <f>_CALC_ALLOC!AN4</f>
        <v/>
      </c>
      <c r="AB4" s="25">
        <f>AA4-T4</f>
        <v/>
      </c>
    </row>
    <row r="5">
      <c r="A5" s="1" t="inlineStr">
        <is>
          <t>2027BUD_V1</t>
        </is>
      </c>
      <c r="B5" s="1" t="inlineStr">
        <is>
          <t>12</t>
        </is>
      </c>
      <c r="C5" s="1" t="inlineStr">
        <is>
          <t>2026</t>
        </is>
      </c>
      <c r="D5" s="1" t="inlineStr">
        <is>
          <t>MBWAY_PAR</t>
        </is>
      </c>
      <c r="E5" s="1" t="inlineStr">
        <is>
          <t>MBWAY</t>
        </is>
      </c>
      <c r="F5" s="1" t="inlineStr">
        <is>
          <t>MAS_MGT</t>
        </is>
      </c>
      <c r="G5" s="1" t="inlineStr">
        <is>
          <t>M1</t>
        </is>
      </c>
      <c r="H5" s="1" t="inlineStr">
        <is>
          <t>ALT</t>
        </is>
      </c>
      <c r="I5" s="1" t="n">
        <v>78</v>
      </c>
      <c r="J5" s="1" t="n">
        <v>3</v>
      </c>
      <c r="K5" s="1" t="n">
        <v>662220</v>
      </c>
      <c r="L5" s="1" t="n">
        <v>31691.45</v>
      </c>
      <c r="M5" s="1" t="n">
        <v>105910.35</v>
      </c>
      <c r="N5" s="1" t="n">
        <v>63168.85078534</v>
      </c>
      <c r="O5" s="1" t="n">
        <v>290554.2</v>
      </c>
      <c r="P5" s="1" t="n">
        <v>92629.01638346601</v>
      </c>
      <c r="Q5" s="1" t="n">
        <v>94860.30078534</v>
      </c>
      <c r="R5" s="1" t="n">
        <v>489093.566383466</v>
      </c>
      <c r="S5" s="1" t="n">
        <v>583953.867168806</v>
      </c>
      <c r="T5" s="1" t="n">
        <v>78266.132831194</v>
      </c>
      <c r="V5" s="25">
        <f>_CALC_ALLOC!AI5</f>
        <v/>
      </c>
      <c r="W5" s="25">
        <f>_CALC_ALLOC!AJ5</f>
        <v/>
      </c>
      <c r="X5" s="25">
        <f>_CALC_ALLOC!AK5</f>
        <v/>
      </c>
      <c r="Y5" s="25">
        <f>_CALC_ALLOC!AL5</f>
        <v/>
      </c>
      <c r="Z5" s="25">
        <f>_CALC_ALLOC!AM5</f>
        <v/>
      </c>
      <c r="AA5" s="25">
        <f>_CALC_ALLOC!AN5</f>
        <v/>
      </c>
      <c r="AB5" s="25">
        <f>AA5-T5</f>
        <v/>
      </c>
    </row>
    <row r="6">
      <c r="A6" s="1" t="inlineStr">
        <is>
          <t>2027BUD_V1</t>
        </is>
      </c>
      <c r="B6" s="1" t="inlineStr">
        <is>
          <t>12</t>
        </is>
      </c>
      <c r="C6" s="1" t="inlineStr">
        <is>
          <t>2026</t>
        </is>
      </c>
      <c r="D6" s="1" t="inlineStr">
        <is>
          <t>MBWAY_PAR</t>
        </is>
      </c>
      <c r="E6" s="1" t="inlineStr">
        <is>
          <t>MBWAY</t>
        </is>
      </c>
      <c r="F6" s="1" t="inlineStr">
        <is>
          <t>MAS_MGT</t>
        </is>
      </c>
      <c r="G6" s="1" t="inlineStr">
        <is>
          <t>M2</t>
        </is>
      </c>
      <c r="H6" s="1" t="inlineStr">
        <is>
          <t>ALT</t>
        </is>
      </c>
      <c r="I6" s="1" t="n">
        <v>76</v>
      </c>
      <c r="J6" s="1" t="n">
        <v>3</v>
      </c>
      <c r="K6" s="1" t="n">
        <v>638400</v>
      </c>
      <c r="L6" s="1" t="n">
        <v>31691.45</v>
      </c>
      <c r="M6" s="1" t="n">
        <v>105910.35</v>
      </c>
      <c r="N6" s="1" t="n">
        <v>28279.162303665</v>
      </c>
      <c r="O6" s="1" t="n">
        <v>290554.2</v>
      </c>
      <c r="P6" s="1" t="n">
        <v>92629.01638346601</v>
      </c>
      <c r="Q6" s="1" t="n">
        <v>59970.612303665</v>
      </c>
      <c r="R6" s="1" t="n">
        <v>489093.566383466</v>
      </c>
      <c r="S6" s="1" t="n">
        <v>549064.178687131</v>
      </c>
      <c r="T6" s="1" t="n">
        <v>89335.821312869</v>
      </c>
      <c r="V6" s="25">
        <f>_CALC_ALLOC!AI6</f>
        <v/>
      </c>
      <c r="W6" s="25">
        <f>_CALC_ALLOC!AJ6</f>
        <v/>
      </c>
      <c r="X6" s="25">
        <f>_CALC_ALLOC!AK6</f>
        <v/>
      </c>
      <c r="Y6" s="25">
        <f>_CALC_ALLOC!AL6</f>
        <v/>
      </c>
      <c r="Z6" s="25">
        <f>_CALC_ALLOC!AM6</f>
        <v/>
      </c>
      <c r="AA6" s="25">
        <f>_CALC_ALLOC!AN6</f>
        <v/>
      </c>
      <c r="AB6" s="25">
        <f>AA6-T6</f>
        <v/>
      </c>
    </row>
    <row r="7">
      <c r="A7" s="1" t="inlineStr">
        <is>
          <t>2027BUD_V1</t>
        </is>
      </c>
      <c r="B7" s="1" t="inlineStr">
        <is>
          <t>12</t>
        </is>
      </c>
      <c r="C7" s="1" t="inlineStr">
        <is>
          <t>2025</t>
        </is>
      </c>
      <c r="D7" s="1" t="inlineStr">
        <is>
          <t>MBWAY_PAR</t>
        </is>
      </c>
      <c r="E7" s="1" t="inlineStr">
        <is>
          <t>MBWAY</t>
        </is>
      </c>
      <c r="F7" s="1" t="inlineStr">
        <is>
          <t>BAC_MGT</t>
        </is>
      </c>
      <c r="G7" s="1" t="inlineStr">
        <is>
          <t>B1</t>
        </is>
      </c>
      <c r="H7" s="1" t="inlineStr">
        <is>
          <t>INIT</t>
        </is>
      </c>
      <c r="I7" s="1" t="n">
        <v>74</v>
      </c>
      <c r="J7" s="1" t="n">
        <v>3</v>
      </c>
      <c r="K7" s="1" t="n">
        <v>628260</v>
      </c>
      <c r="L7" s="1" t="n">
        <v>43211</v>
      </c>
      <c r="M7" s="1" t="n">
        <v>144407.5</v>
      </c>
      <c r="N7" s="1" t="n">
        <v>58773.624309392</v>
      </c>
      <c r="O7" s="1" t="n">
        <v>277317.4</v>
      </c>
      <c r="P7" s="1" t="n">
        <v>87230.606728638</v>
      </c>
      <c r="Q7" s="1" t="n">
        <v>101984.624309392</v>
      </c>
      <c r="R7" s="1" t="n">
        <v>508955.506728638</v>
      </c>
      <c r="S7" s="1" t="n">
        <v>610940.131038031</v>
      </c>
      <c r="T7" s="1" t="n">
        <v>17319.868961969</v>
      </c>
      <c r="V7" s="25">
        <f>_CALC_ALLOC!AI7</f>
        <v/>
      </c>
      <c r="W7" s="25">
        <f>_CALC_ALLOC!AJ7</f>
        <v/>
      </c>
      <c r="X7" s="25">
        <f>_CALC_ALLOC!AK7</f>
        <v/>
      </c>
      <c r="Y7" s="25">
        <f>_CALC_ALLOC!AL7</f>
        <v/>
      </c>
      <c r="Z7" s="25">
        <f>_CALC_ALLOC!AM7</f>
        <v/>
      </c>
      <c r="AA7" s="25">
        <f>_CALC_ALLOC!AN7</f>
        <v/>
      </c>
      <c r="AB7" s="25">
        <f>AA7-T7</f>
        <v/>
      </c>
    </row>
    <row r="8">
      <c r="A8" s="1" t="inlineStr">
        <is>
          <t>2027BUD_V1</t>
        </is>
      </c>
      <c r="B8" s="1" t="inlineStr">
        <is>
          <t>12</t>
        </is>
      </c>
      <c r="C8" s="1" t="inlineStr">
        <is>
          <t>2025</t>
        </is>
      </c>
      <c r="D8" s="1" t="inlineStr">
        <is>
          <t>MBWAY_PAR</t>
        </is>
      </c>
      <c r="E8" s="1" t="inlineStr">
        <is>
          <t>MBWAY</t>
        </is>
      </c>
      <c r="F8" s="1" t="inlineStr">
        <is>
          <t>BAC_MGT</t>
        </is>
      </c>
      <c r="G8" s="1" t="inlineStr">
        <is>
          <t>B2</t>
        </is>
      </c>
      <c r="H8" s="1" t="inlineStr">
        <is>
          <t>ALT</t>
        </is>
      </c>
      <c r="I8" s="1" t="n">
        <v>72</v>
      </c>
      <c r="J8" s="1" t="n">
        <v>3</v>
      </c>
      <c r="K8" s="1" t="n">
        <v>564480</v>
      </c>
      <c r="L8" s="1" t="n">
        <v>34568.8</v>
      </c>
      <c r="M8" s="1" t="n">
        <v>115526</v>
      </c>
      <c r="N8" s="1" t="n">
        <v>26983.093922652</v>
      </c>
      <c r="O8" s="1" t="n">
        <v>277317.4</v>
      </c>
      <c r="P8" s="1" t="n">
        <v>87230.606728638</v>
      </c>
      <c r="Q8" s="1" t="n">
        <v>61551.893922652</v>
      </c>
      <c r="R8" s="1" t="n">
        <v>480074.006728638</v>
      </c>
      <c r="S8" s="1" t="n">
        <v>541625.90065129</v>
      </c>
      <c r="T8" s="1" t="n">
        <v>22854.09934871</v>
      </c>
      <c r="V8" s="25">
        <f>_CALC_ALLOC!AI8</f>
        <v/>
      </c>
      <c r="W8" s="25">
        <f>_CALC_ALLOC!AJ8</f>
        <v/>
      </c>
      <c r="X8" s="25">
        <f>_CALC_ALLOC!AK8</f>
        <v/>
      </c>
      <c r="Y8" s="25">
        <f>_CALC_ALLOC!AL8</f>
        <v/>
      </c>
      <c r="Z8" s="25">
        <f>_CALC_ALLOC!AM8</f>
        <v/>
      </c>
      <c r="AA8" s="25">
        <f>_CALC_ALLOC!AN8</f>
        <v/>
      </c>
      <c r="AB8" s="25">
        <f>AA8-T8</f>
        <v/>
      </c>
    </row>
    <row r="9">
      <c r="A9" s="1" t="inlineStr">
        <is>
          <t>2027BUD_V1</t>
        </is>
      </c>
      <c r="B9" s="1" t="inlineStr">
        <is>
          <t>12</t>
        </is>
      </c>
      <c r="C9" s="1" t="inlineStr">
        <is>
          <t>2025</t>
        </is>
      </c>
      <c r="D9" s="1" t="inlineStr">
        <is>
          <t>MBWAY_PAR</t>
        </is>
      </c>
      <c r="E9" s="1" t="inlineStr">
        <is>
          <t>MBWAY</t>
        </is>
      </c>
      <c r="F9" s="1" t="inlineStr">
        <is>
          <t>BAC_MGT</t>
        </is>
      </c>
      <c r="G9" s="1" t="inlineStr">
        <is>
          <t>B3</t>
        </is>
      </c>
      <c r="H9" s="1" t="inlineStr">
        <is>
          <t>ALT</t>
        </is>
      </c>
      <c r="I9" s="1" t="n">
        <v>70</v>
      </c>
      <c r="J9" s="1" t="n">
        <v>3</v>
      </c>
      <c r="K9" s="1" t="n">
        <v>548800</v>
      </c>
      <c r="L9" s="1" t="n">
        <v>34568.8</v>
      </c>
      <c r="M9" s="1" t="n">
        <v>115526</v>
      </c>
      <c r="N9" s="1" t="n">
        <v>26233.563535912</v>
      </c>
      <c r="O9" s="1" t="n">
        <v>277317.4</v>
      </c>
      <c r="P9" s="1" t="n">
        <v>87230.606728638</v>
      </c>
      <c r="Q9" s="1" t="n">
        <v>60802.363535912</v>
      </c>
      <c r="R9" s="1" t="n">
        <v>480074.006728638</v>
      </c>
      <c r="S9" s="1" t="n">
        <v>540876.37026455</v>
      </c>
      <c r="T9" s="1" t="n">
        <v>7923.62973545</v>
      </c>
      <c r="V9" s="25">
        <f>_CALC_ALLOC!AI9</f>
        <v/>
      </c>
      <c r="W9" s="25">
        <f>_CALC_ALLOC!AJ9</f>
        <v/>
      </c>
      <c r="X9" s="25">
        <f>_CALC_ALLOC!AK9</f>
        <v/>
      </c>
      <c r="Y9" s="25">
        <f>_CALC_ALLOC!AL9</f>
        <v/>
      </c>
      <c r="Z9" s="25">
        <f>_CALC_ALLOC!AM9</f>
        <v/>
      </c>
      <c r="AA9" s="25">
        <f>_CALC_ALLOC!AN9</f>
        <v/>
      </c>
      <c r="AB9" s="25">
        <f>AA9-T9</f>
        <v/>
      </c>
    </row>
    <row r="10">
      <c r="A10" s="1" t="inlineStr">
        <is>
          <t>2027BUD_V1</t>
        </is>
      </c>
      <c r="B10" s="1" t="inlineStr">
        <is>
          <t>12</t>
        </is>
      </c>
      <c r="C10" s="1" t="inlineStr">
        <is>
          <t>2025</t>
        </is>
      </c>
      <c r="D10" s="1" t="inlineStr">
        <is>
          <t>MBWAY_PAR</t>
        </is>
      </c>
      <c r="E10" s="1" t="inlineStr">
        <is>
          <t>MBWAY</t>
        </is>
      </c>
      <c r="F10" s="1" t="inlineStr">
        <is>
          <t>MAS_MGT</t>
        </is>
      </c>
      <c r="G10" s="1" t="inlineStr">
        <is>
          <t>M1</t>
        </is>
      </c>
      <c r="H10" s="1" t="inlineStr">
        <is>
          <t>ALT</t>
        </is>
      </c>
      <c r="I10" s="1" t="n">
        <v>74</v>
      </c>
      <c r="J10" s="1" t="n">
        <v>3</v>
      </c>
      <c r="K10" s="1" t="n">
        <v>628260</v>
      </c>
      <c r="L10" s="1" t="n">
        <v>30247.7</v>
      </c>
      <c r="M10" s="1" t="n">
        <v>101085.25</v>
      </c>
      <c r="N10" s="1" t="n">
        <v>58773.624309392</v>
      </c>
      <c r="O10" s="1" t="n">
        <v>277317.4</v>
      </c>
      <c r="P10" s="1" t="n">
        <v>87230.606728638</v>
      </c>
      <c r="Q10" s="1" t="n">
        <v>89021.324309392</v>
      </c>
      <c r="R10" s="1" t="n">
        <v>465633.256728638</v>
      </c>
      <c r="S10" s="1" t="n">
        <v>554654.581038031</v>
      </c>
      <c r="T10" s="1" t="n">
        <v>73605.418961969</v>
      </c>
      <c r="V10" s="25">
        <f>_CALC_ALLOC!AI10</f>
        <v/>
      </c>
      <c r="W10" s="25">
        <f>_CALC_ALLOC!AJ10</f>
        <v/>
      </c>
      <c r="X10" s="25">
        <f>_CALC_ALLOC!AK10</f>
        <v/>
      </c>
      <c r="Y10" s="25">
        <f>_CALC_ALLOC!AL10</f>
        <v/>
      </c>
      <c r="Z10" s="25">
        <f>_CALC_ALLOC!AM10</f>
        <v/>
      </c>
      <c r="AA10" s="25">
        <f>_CALC_ALLOC!AN10</f>
        <v/>
      </c>
      <c r="AB10" s="25">
        <f>AA10-T10</f>
        <v/>
      </c>
    </row>
    <row r="11">
      <c r="A11" s="1" t="inlineStr">
        <is>
          <t>2027BUD_V1</t>
        </is>
      </c>
      <c r="B11" s="1" t="inlineStr">
        <is>
          <t>12</t>
        </is>
      </c>
      <c r="C11" s="1" t="inlineStr">
        <is>
          <t>2025</t>
        </is>
      </c>
      <c r="D11" s="1" t="inlineStr">
        <is>
          <t>MBWAY_PAR</t>
        </is>
      </c>
      <c r="E11" s="1" t="inlineStr">
        <is>
          <t>MBWAY</t>
        </is>
      </c>
      <c r="F11" s="1" t="inlineStr">
        <is>
          <t>MAS_MGT</t>
        </is>
      </c>
      <c r="G11" s="1" t="inlineStr">
        <is>
          <t>M2</t>
        </is>
      </c>
      <c r="H11" s="1" t="inlineStr">
        <is>
          <t>ALT</t>
        </is>
      </c>
      <c r="I11" s="1" t="n">
        <v>72</v>
      </c>
      <c r="J11" s="1" t="n">
        <v>3</v>
      </c>
      <c r="K11" s="1" t="n">
        <v>604800</v>
      </c>
      <c r="L11" s="1" t="n">
        <v>30247.7</v>
      </c>
      <c r="M11" s="1" t="n">
        <v>101085.25</v>
      </c>
      <c r="N11" s="1" t="n">
        <v>26983.093922652</v>
      </c>
      <c r="O11" s="1" t="n">
        <v>277317.4</v>
      </c>
      <c r="P11" s="1" t="n">
        <v>87230.606728638</v>
      </c>
      <c r="Q11" s="1" t="n">
        <v>57230.793922652</v>
      </c>
      <c r="R11" s="1" t="n">
        <v>465633.256728638</v>
      </c>
      <c r="S11" s="1" t="n">
        <v>522864.05065129</v>
      </c>
      <c r="T11" s="1" t="n">
        <v>81935.94934871</v>
      </c>
      <c r="V11" s="25">
        <f>_CALC_ALLOC!AI11</f>
        <v/>
      </c>
      <c r="W11" s="25">
        <f>_CALC_ALLOC!AJ11</f>
        <v/>
      </c>
      <c r="X11" s="25">
        <f>_CALC_ALLOC!AK11</f>
        <v/>
      </c>
      <c r="Y11" s="25">
        <f>_CALC_ALLOC!AL11</f>
        <v/>
      </c>
      <c r="Z11" s="25">
        <f>_CALC_ALLOC!AM11</f>
        <v/>
      </c>
      <c r="AA11" s="25">
        <f>_CALC_ALLOC!AN11</f>
        <v/>
      </c>
      <c r="AB11" s="25">
        <f>AA11-T11</f>
        <v/>
      </c>
    </row>
    <row r="12">
      <c r="A12" s="1" t="inlineStr">
        <is>
          <t>2027BUD_V1</t>
        </is>
      </c>
      <c r="B12" s="1" t="inlineStr">
        <is>
          <t>12</t>
        </is>
      </c>
      <c r="C12" s="1" t="inlineStr">
        <is>
          <t>2024</t>
        </is>
      </c>
      <c r="D12" s="1" t="inlineStr">
        <is>
          <t>MBWAY_PAR</t>
        </is>
      </c>
      <c r="E12" s="1" t="inlineStr">
        <is>
          <t>MBWAY</t>
        </is>
      </c>
      <c r="F12" s="1" t="inlineStr">
        <is>
          <t>BAC_MGT</t>
        </is>
      </c>
      <c r="G12" s="1" t="inlineStr">
        <is>
          <t>B1</t>
        </is>
      </c>
      <c r="H12" s="1" t="inlineStr">
        <is>
          <t>INIT</t>
        </is>
      </c>
      <c r="I12" s="1" t="n">
        <v>69</v>
      </c>
      <c r="J12" s="1" t="n">
        <v>3</v>
      </c>
      <c r="K12" s="1" t="n">
        <v>585810</v>
      </c>
      <c r="L12" s="1" t="n">
        <v>41317.75</v>
      </c>
      <c r="M12" s="1" t="n">
        <v>138080.5</v>
      </c>
      <c r="N12" s="1" t="n">
        <v>54544.529411765</v>
      </c>
      <c r="O12" s="1" t="n">
        <v>265166.8</v>
      </c>
      <c r="P12" s="1" t="n">
        <v>81438.58619179401</v>
      </c>
      <c r="Q12" s="1" t="n">
        <v>95862.279411765</v>
      </c>
      <c r="R12" s="1" t="n">
        <v>484685.886191794</v>
      </c>
      <c r="S12" s="1" t="n">
        <v>580548.165603558</v>
      </c>
      <c r="T12" s="1" t="n">
        <v>5261.834396442</v>
      </c>
      <c r="V12" s="25">
        <f>_CALC_ALLOC!AI12</f>
        <v/>
      </c>
      <c r="W12" s="25">
        <f>_CALC_ALLOC!AJ12</f>
        <v/>
      </c>
      <c r="X12" s="25">
        <f>_CALC_ALLOC!AK12</f>
        <v/>
      </c>
      <c r="Y12" s="25">
        <f>_CALC_ALLOC!AL12</f>
        <v/>
      </c>
      <c r="Z12" s="25">
        <f>_CALC_ALLOC!AM12</f>
        <v/>
      </c>
      <c r="AA12" s="25">
        <f>_CALC_ALLOC!AN12</f>
        <v/>
      </c>
      <c r="AB12" s="25">
        <f>AA12-T12</f>
        <v/>
      </c>
    </row>
    <row r="13">
      <c r="A13" s="1" t="inlineStr">
        <is>
          <t>2027BUD_V1</t>
        </is>
      </c>
      <c r="B13" s="1" t="inlineStr">
        <is>
          <t>12</t>
        </is>
      </c>
      <c r="C13" s="1" t="inlineStr">
        <is>
          <t>2024</t>
        </is>
      </c>
      <c r="D13" s="1" t="inlineStr">
        <is>
          <t>MBWAY_PAR</t>
        </is>
      </c>
      <c r="E13" s="1" t="inlineStr">
        <is>
          <t>MBWAY</t>
        </is>
      </c>
      <c r="F13" s="1" t="inlineStr">
        <is>
          <t>BAC_MGT</t>
        </is>
      </c>
      <c r="G13" s="1" t="inlineStr">
        <is>
          <t>B2</t>
        </is>
      </c>
      <c r="H13" s="1" t="inlineStr">
        <is>
          <t>ALT</t>
        </is>
      </c>
      <c r="I13" s="1" t="n">
        <v>68</v>
      </c>
      <c r="J13" s="1" t="n">
        <v>3</v>
      </c>
      <c r="K13" s="1" t="n">
        <v>533120</v>
      </c>
      <c r="L13" s="1" t="n">
        <v>33054.2</v>
      </c>
      <c r="M13" s="1" t="n">
        <v>110464.4</v>
      </c>
      <c r="N13" s="1" t="n">
        <v>25944</v>
      </c>
      <c r="O13" s="1" t="n">
        <v>265166.8</v>
      </c>
      <c r="P13" s="1" t="n">
        <v>81438.58619179401</v>
      </c>
      <c r="Q13" s="1" t="n">
        <v>58998.2</v>
      </c>
      <c r="R13" s="1" t="n">
        <v>457069.786191794</v>
      </c>
      <c r="S13" s="1" t="n">
        <v>516067.986191794</v>
      </c>
      <c r="T13" s="1" t="n">
        <v>17052.013808206</v>
      </c>
      <c r="V13" s="25">
        <f>_CALC_ALLOC!AI13</f>
        <v/>
      </c>
      <c r="W13" s="25">
        <f>_CALC_ALLOC!AJ13</f>
        <v/>
      </c>
      <c r="X13" s="25">
        <f>_CALC_ALLOC!AK13</f>
        <v/>
      </c>
      <c r="Y13" s="25">
        <f>_CALC_ALLOC!AL13</f>
        <v/>
      </c>
      <c r="Z13" s="25">
        <f>_CALC_ALLOC!AM13</f>
        <v/>
      </c>
      <c r="AA13" s="25">
        <f>_CALC_ALLOC!AN13</f>
        <v/>
      </c>
      <c r="AB13" s="25">
        <f>AA13-T13</f>
        <v/>
      </c>
    </row>
    <row r="14">
      <c r="A14" s="1" t="inlineStr">
        <is>
          <t>2027BUD_V1</t>
        </is>
      </c>
      <c r="B14" s="1" t="inlineStr">
        <is>
          <t>12</t>
        </is>
      </c>
      <c r="C14" s="1" t="inlineStr">
        <is>
          <t>2024</t>
        </is>
      </c>
      <c r="D14" s="1" t="inlineStr">
        <is>
          <t>MBWAY_PAR</t>
        </is>
      </c>
      <c r="E14" s="1" t="inlineStr">
        <is>
          <t>MBWAY</t>
        </is>
      </c>
      <c r="F14" s="1" t="inlineStr">
        <is>
          <t>BAC_MGT</t>
        </is>
      </c>
      <c r="G14" s="1" t="inlineStr">
        <is>
          <t>B3</t>
        </is>
      </c>
      <c r="H14" s="1" t="inlineStr">
        <is>
          <t>ALT</t>
        </is>
      </c>
      <c r="I14" s="1" t="n">
        <v>66</v>
      </c>
      <c r="J14" s="1" t="n">
        <v>3</v>
      </c>
      <c r="K14" s="1" t="n">
        <v>517440</v>
      </c>
      <c r="L14" s="1" t="n">
        <v>33054.2</v>
      </c>
      <c r="M14" s="1" t="n">
        <v>110464.4</v>
      </c>
      <c r="N14" s="1" t="n">
        <v>25180.941176471</v>
      </c>
      <c r="O14" s="1" t="n">
        <v>265166.8</v>
      </c>
      <c r="P14" s="1" t="n">
        <v>81438.58619179401</v>
      </c>
      <c r="Q14" s="1" t="n">
        <v>58235.141176471</v>
      </c>
      <c r="R14" s="1" t="n">
        <v>457069.786191794</v>
      </c>
      <c r="S14" s="1" t="n">
        <v>515304.927368264</v>
      </c>
      <c r="T14" s="1" t="n">
        <v>2135.072631736</v>
      </c>
      <c r="V14" s="25">
        <f>_CALC_ALLOC!AI14</f>
        <v/>
      </c>
      <c r="W14" s="25">
        <f>_CALC_ALLOC!AJ14</f>
        <v/>
      </c>
      <c r="X14" s="25">
        <f>_CALC_ALLOC!AK14</f>
        <v/>
      </c>
      <c r="Y14" s="25">
        <f>_CALC_ALLOC!AL14</f>
        <v/>
      </c>
      <c r="Z14" s="25">
        <f>_CALC_ALLOC!AM14</f>
        <v/>
      </c>
      <c r="AA14" s="25">
        <f>_CALC_ALLOC!AN14</f>
        <v/>
      </c>
      <c r="AB14" s="25">
        <f>AA14-T14</f>
        <v/>
      </c>
    </row>
    <row r="15">
      <c r="A15" s="1" t="inlineStr">
        <is>
          <t>2027BUD_V1</t>
        </is>
      </c>
      <c r="B15" s="1" t="inlineStr">
        <is>
          <t>12</t>
        </is>
      </c>
      <c r="C15" s="1" t="inlineStr">
        <is>
          <t>2024</t>
        </is>
      </c>
      <c r="D15" s="1" t="inlineStr">
        <is>
          <t>MBWAY_PAR</t>
        </is>
      </c>
      <c r="E15" s="1" t="inlineStr">
        <is>
          <t>MBWAY</t>
        </is>
      </c>
      <c r="F15" s="1" t="inlineStr">
        <is>
          <t>MAS_MGT</t>
        </is>
      </c>
      <c r="G15" s="1" t="inlineStr">
        <is>
          <t>M1</t>
        </is>
      </c>
      <c r="H15" s="1" t="inlineStr">
        <is>
          <t>ALT</t>
        </is>
      </c>
      <c r="I15" s="1" t="n">
        <v>69</v>
      </c>
      <c r="J15" s="1" t="n">
        <v>3</v>
      </c>
      <c r="K15" s="1" t="n">
        <v>585810</v>
      </c>
      <c r="L15" s="1" t="n">
        <v>28922.425</v>
      </c>
      <c r="M15" s="1" t="n">
        <v>96656.35000000001</v>
      </c>
      <c r="N15" s="1" t="n">
        <v>54544.529411765</v>
      </c>
      <c r="O15" s="1" t="n">
        <v>265166.8</v>
      </c>
      <c r="P15" s="1" t="n">
        <v>81438.58619179401</v>
      </c>
      <c r="Q15" s="1" t="n">
        <v>83466.95441176499</v>
      </c>
      <c r="R15" s="1" t="n">
        <v>443261.736191794</v>
      </c>
      <c r="S15" s="1" t="n">
        <v>526728.690603558</v>
      </c>
      <c r="T15" s="1" t="n">
        <v>59081.309396442</v>
      </c>
      <c r="V15" s="25">
        <f>_CALC_ALLOC!AI15</f>
        <v/>
      </c>
      <c r="W15" s="25">
        <f>_CALC_ALLOC!AJ15</f>
        <v/>
      </c>
      <c r="X15" s="25">
        <f>_CALC_ALLOC!AK15</f>
        <v/>
      </c>
      <c r="Y15" s="25">
        <f>_CALC_ALLOC!AL15</f>
        <v/>
      </c>
      <c r="Z15" s="25">
        <f>_CALC_ALLOC!AM15</f>
        <v/>
      </c>
      <c r="AA15" s="25">
        <f>_CALC_ALLOC!AN15</f>
        <v/>
      </c>
      <c r="AB15" s="25">
        <f>AA15-T15</f>
        <v/>
      </c>
    </row>
    <row r="16">
      <c r="A16" s="1" t="inlineStr">
        <is>
          <t>2027BUD_V1</t>
        </is>
      </c>
      <c r="B16" s="1" t="inlineStr">
        <is>
          <t>12</t>
        </is>
      </c>
      <c r="C16" s="1" t="inlineStr">
        <is>
          <t>2024</t>
        </is>
      </c>
      <c r="D16" s="1" t="inlineStr">
        <is>
          <t>MBWAY_PAR</t>
        </is>
      </c>
      <c r="E16" s="1" t="inlineStr">
        <is>
          <t>MBWAY</t>
        </is>
      </c>
      <c r="F16" s="1" t="inlineStr">
        <is>
          <t>MAS_MGT</t>
        </is>
      </c>
      <c r="G16" s="1" t="inlineStr">
        <is>
          <t>M2</t>
        </is>
      </c>
      <c r="H16" s="1" t="inlineStr">
        <is>
          <t>ALT</t>
        </is>
      </c>
      <c r="I16" s="1" t="n">
        <v>68</v>
      </c>
      <c r="J16" s="1" t="n">
        <v>3</v>
      </c>
      <c r="K16" s="1" t="n">
        <v>571200</v>
      </c>
      <c r="L16" s="1" t="n">
        <v>28922.425</v>
      </c>
      <c r="M16" s="1" t="n">
        <v>96656.35000000001</v>
      </c>
      <c r="N16" s="1" t="n">
        <v>25944</v>
      </c>
      <c r="O16" s="1" t="n">
        <v>265166.8</v>
      </c>
      <c r="P16" s="1" t="n">
        <v>81438.58619179401</v>
      </c>
      <c r="Q16" s="1" t="n">
        <v>54866.425</v>
      </c>
      <c r="R16" s="1" t="n">
        <v>443261.736191794</v>
      </c>
      <c r="S16" s="1" t="n">
        <v>498128.161191794</v>
      </c>
      <c r="T16" s="1" t="n">
        <v>73071.838808206</v>
      </c>
      <c r="V16" s="25">
        <f>_CALC_ALLOC!AI16</f>
        <v/>
      </c>
      <c r="W16" s="25">
        <f>_CALC_ALLOC!AJ16</f>
        <v/>
      </c>
      <c r="X16" s="25">
        <f>_CALC_ALLOC!AK16</f>
        <v/>
      </c>
      <c r="Y16" s="25">
        <f>_CALC_ALLOC!AL16</f>
        <v/>
      </c>
      <c r="Z16" s="25">
        <f>_CALC_ALLOC!AM16</f>
        <v/>
      </c>
      <c r="AA16" s="25">
        <f>_CALC_ALLOC!AN16</f>
        <v/>
      </c>
      <c r="AB16" s="25">
        <f>AA16-T16</f>
        <v/>
      </c>
    </row>
    <row r="17">
      <c r="A17" s="1" t="inlineStr">
        <is>
          <t>2027BUD_V1</t>
        </is>
      </c>
      <c r="B17" s="1" t="inlineStr">
        <is>
          <t>12</t>
        </is>
      </c>
      <c r="C17" s="1" t="inlineStr">
        <is>
          <t>2026</t>
        </is>
      </c>
      <c r="D17" s="1" t="inlineStr">
        <is>
          <t>MBWAY_LYO</t>
        </is>
      </c>
      <c r="E17" s="1" t="inlineStr">
        <is>
          <t>MBWAY</t>
        </is>
      </c>
      <c r="F17" s="1" t="inlineStr">
        <is>
          <t>BAC_MGT</t>
        </is>
      </c>
      <c r="G17" s="1" t="inlineStr">
        <is>
          <t>B1</t>
        </is>
      </c>
      <c r="H17" s="1" t="inlineStr">
        <is>
          <t>INIT</t>
        </is>
      </c>
      <c r="I17" s="1" t="n">
        <v>66</v>
      </c>
      <c r="J17" s="1" t="n">
        <v>3</v>
      </c>
      <c r="K17" s="1" t="n">
        <v>525690</v>
      </c>
      <c r="L17" s="1" t="n">
        <v>45273.461538462</v>
      </c>
      <c r="M17" s="1" t="n">
        <v>104602.788461538</v>
      </c>
      <c r="N17" s="1" t="n">
        <v>45449.814814815</v>
      </c>
      <c r="O17" s="1" t="n">
        <v>197955.230769231</v>
      </c>
      <c r="P17" s="1" t="n">
        <v>90651.83641233201</v>
      </c>
      <c r="Q17" s="1" t="n">
        <v>90723.276353276</v>
      </c>
      <c r="R17" s="1" t="n">
        <v>393209.855643102</v>
      </c>
      <c r="S17" s="1" t="n">
        <v>483933.131996378</v>
      </c>
      <c r="T17" s="1" t="n">
        <v>41756.868003622</v>
      </c>
      <c r="V17" s="25">
        <f>_CALC_ALLOC!AI17</f>
        <v/>
      </c>
      <c r="W17" s="25">
        <f>_CALC_ALLOC!AJ17</f>
        <v/>
      </c>
      <c r="X17" s="25">
        <f>_CALC_ALLOC!AK17</f>
        <v/>
      </c>
      <c r="Y17" s="25">
        <f>_CALC_ALLOC!AL17</f>
        <v/>
      </c>
      <c r="Z17" s="25">
        <f>_CALC_ALLOC!AM17</f>
        <v/>
      </c>
      <c r="AA17" s="25">
        <f>_CALC_ALLOC!AN17</f>
        <v/>
      </c>
      <c r="AB17" s="25">
        <f>AA17-T17</f>
        <v/>
      </c>
    </row>
    <row r="18">
      <c r="A18" s="1" t="inlineStr">
        <is>
          <t>2027BUD_V1</t>
        </is>
      </c>
      <c r="B18" s="1" t="inlineStr">
        <is>
          <t>12</t>
        </is>
      </c>
      <c r="C18" s="1" t="inlineStr">
        <is>
          <t>2026</t>
        </is>
      </c>
      <c r="D18" s="1" t="inlineStr">
        <is>
          <t>MBWAY_LYO</t>
        </is>
      </c>
      <c r="E18" s="1" t="inlineStr">
        <is>
          <t>MBWAY</t>
        </is>
      </c>
      <c r="F18" s="1" t="inlineStr">
        <is>
          <t>BAC_MGT</t>
        </is>
      </c>
      <c r="G18" s="1" t="inlineStr">
        <is>
          <t>B2</t>
        </is>
      </c>
      <c r="H18" s="1" t="inlineStr">
        <is>
          <t>ALT</t>
        </is>
      </c>
      <c r="I18" s="1" t="n">
        <v>64</v>
      </c>
      <c r="J18" s="1" t="n">
        <v>2</v>
      </c>
      <c r="K18" s="1" t="n">
        <v>470400</v>
      </c>
      <c r="L18" s="1" t="n">
        <v>24145.846153846</v>
      </c>
      <c r="M18" s="1" t="n">
        <v>55788.153846154</v>
      </c>
      <c r="N18" s="1" t="n">
        <v>23814.12345679</v>
      </c>
      <c r="O18" s="1" t="n">
        <v>131970.153846154</v>
      </c>
      <c r="P18" s="1" t="n">
        <v>60434.557608222</v>
      </c>
      <c r="Q18" s="1" t="n">
        <v>47959.969610636</v>
      </c>
      <c r="R18" s="1" t="n">
        <v>248192.865300529</v>
      </c>
      <c r="S18" s="1" t="n">
        <v>296152.834911166</v>
      </c>
      <c r="T18" s="1" t="n">
        <v>174247.165088834</v>
      </c>
      <c r="V18" s="25">
        <f>_CALC_ALLOC!AI18</f>
        <v/>
      </c>
      <c r="W18" s="25">
        <f>_CALC_ALLOC!AJ18</f>
        <v/>
      </c>
      <c r="X18" s="25">
        <f>_CALC_ALLOC!AK18</f>
        <v/>
      </c>
      <c r="Y18" s="25">
        <f>_CALC_ALLOC!AL18</f>
        <v/>
      </c>
      <c r="Z18" s="25">
        <f>_CALC_ALLOC!AM18</f>
        <v/>
      </c>
      <c r="AA18" s="25">
        <f>_CALC_ALLOC!AN18</f>
        <v/>
      </c>
      <c r="AB18" s="25">
        <f>AA18-T18</f>
        <v/>
      </c>
    </row>
    <row r="19">
      <c r="A19" s="1" t="inlineStr">
        <is>
          <t>2027BUD_V1</t>
        </is>
      </c>
      <c r="B19" s="1" t="inlineStr">
        <is>
          <t>12</t>
        </is>
      </c>
      <c r="C19" s="1" t="inlineStr">
        <is>
          <t>2026</t>
        </is>
      </c>
      <c r="D19" s="1" t="inlineStr">
        <is>
          <t>MBWAY_LYO</t>
        </is>
      </c>
      <c r="E19" s="1" t="inlineStr">
        <is>
          <t>MBWAY</t>
        </is>
      </c>
      <c r="F19" s="1" t="inlineStr">
        <is>
          <t>BAC_MGT</t>
        </is>
      </c>
      <c r="G19" s="1" t="inlineStr">
        <is>
          <t>B3</t>
        </is>
      </c>
      <c r="H19" s="1" t="inlineStr">
        <is>
          <t>ALT</t>
        </is>
      </c>
      <c r="I19" s="1" t="n">
        <v>63</v>
      </c>
      <c r="J19" s="1" t="n">
        <v>2</v>
      </c>
      <c r="K19" s="1" t="n">
        <v>463050</v>
      </c>
      <c r="L19" s="1" t="n">
        <v>24145.846153846</v>
      </c>
      <c r="M19" s="1" t="n">
        <v>55788.153846154</v>
      </c>
      <c r="N19" s="1" t="n">
        <v>23442.027777778</v>
      </c>
      <c r="O19" s="1" t="n">
        <v>131970.153846154</v>
      </c>
      <c r="P19" s="1" t="n">
        <v>60434.557608222</v>
      </c>
      <c r="Q19" s="1" t="n">
        <v>47587.873931624</v>
      </c>
      <c r="R19" s="1" t="n">
        <v>248192.865300529</v>
      </c>
      <c r="S19" s="1" t="n">
        <v>295780.739232153</v>
      </c>
      <c r="T19" s="1" t="n">
        <v>167269.260767847</v>
      </c>
      <c r="V19" s="25">
        <f>_CALC_ALLOC!AI19</f>
        <v/>
      </c>
      <c r="W19" s="25">
        <f>_CALC_ALLOC!AJ19</f>
        <v/>
      </c>
      <c r="X19" s="25">
        <f>_CALC_ALLOC!AK19</f>
        <v/>
      </c>
      <c r="Y19" s="25">
        <f>_CALC_ALLOC!AL19</f>
        <v/>
      </c>
      <c r="Z19" s="25">
        <f>_CALC_ALLOC!AM19</f>
        <v/>
      </c>
      <c r="AA19" s="25">
        <f>_CALC_ALLOC!AN19</f>
        <v/>
      </c>
      <c r="AB19" s="25">
        <f>AA19-T19</f>
        <v/>
      </c>
    </row>
    <row r="20">
      <c r="A20" s="1" t="inlineStr">
        <is>
          <t>2027BUD_V1</t>
        </is>
      </c>
      <c r="B20" s="1" t="inlineStr">
        <is>
          <t>12</t>
        </is>
      </c>
      <c r="C20" s="1" t="inlineStr">
        <is>
          <t>2026</t>
        </is>
      </c>
      <c r="D20" s="1" t="inlineStr">
        <is>
          <t>MBWAY_LYO</t>
        </is>
      </c>
      <c r="E20" s="1" t="inlineStr">
        <is>
          <t>MBWAY</t>
        </is>
      </c>
      <c r="F20" s="1" t="inlineStr">
        <is>
          <t>MAS_MGT</t>
        </is>
      </c>
      <c r="G20" s="1" t="inlineStr">
        <is>
          <t>M1</t>
        </is>
      </c>
      <c r="H20" s="1" t="inlineStr">
        <is>
          <t>ALT</t>
        </is>
      </c>
      <c r="I20" s="1" t="n">
        <v>66</v>
      </c>
      <c r="J20" s="1" t="n">
        <v>3</v>
      </c>
      <c r="K20" s="1" t="n">
        <v>525690</v>
      </c>
      <c r="L20" s="1" t="n">
        <v>31691.423076923</v>
      </c>
      <c r="M20" s="1" t="n">
        <v>73221.95192307699</v>
      </c>
      <c r="N20" s="1" t="n">
        <v>45449.814814815</v>
      </c>
      <c r="O20" s="1" t="n">
        <v>197955.230769231</v>
      </c>
      <c r="P20" s="1" t="n">
        <v>90651.83641233201</v>
      </c>
      <c r="Q20" s="1" t="n">
        <v>77141.237891738</v>
      </c>
      <c r="R20" s="1" t="n">
        <v>361829.01910464</v>
      </c>
      <c r="S20" s="1" t="n">
        <v>438970.256996378</v>
      </c>
      <c r="T20" s="1" t="n">
        <v>86719.743003622</v>
      </c>
      <c r="V20" s="25">
        <f>_CALC_ALLOC!AI20</f>
        <v/>
      </c>
      <c r="W20" s="25">
        <f>_CALC_ALLOC!AJ20</f>
        <v/>
      </c>
      <c r="X20" s="25">
        <f>_CALC_ALLOC!AK20</f>
        <v/>
      </c>
      <c r="Y20" s="25">
        <f>_CALC_ALLOC!AL20</f>
        <v/>
      </c>
      <c r="Z20" s="25">
        <f>_CALC_ALLOC!AM20</f>
        <v/>
      </c>
      <c r="AA20" s="25">
        <f>_CALC_ALLOC!AN20</f>
        <v/>
      </c>
      <c r="AB20" s="25">
        <f>AA20-T20</f>
        <v/>
      </c>
    </row>
    <row r="21">
      <c r="A21" s="1" t="inlineStr">
        <is>
          <t>2027BUD_V1</t>
        </is>
      </c>
      <c r="B21" s="1" t="inlineStr">
        <is>
          <t>12</t>
        </is>
      </c>
      <c r="C21" s="1" t="inlineStr">
        <is>
          <t>2026</t>
        </is>
      </c>
      <c r="D21" s="1" t="inlineStr">
        <is>
          <t>MBWAY_LYO</t>
        </is>
      </c>
      <c r="E21" s="1" t="inlineStr">
        <is>
          <t>MBWAY</t>
        </is>
      </c>
      <c r="F21" s="1" t="inlineStr">
        <is>
          <t>MAS_MGT</t>
        </is>
      </c>
      <c r="G21" s="1" t="inlineStr">
        <is>
          <t>M2</t>
        </is>
      </c>
      <c r="H21" s="1" t="inlineStr">
        <is>
          <t>ALT</t>
        </is>
      </c>
      <c r="I21" s="1" t="n">
        <v>65</v>
      </c>
      <c r="J21" s="1" t="n">
        <v>3</v>
      </c>
      <c r="K21" s="1" t="n">
        <v>511875</v>
      </c>
      <c r="L21" s="1" t="n">
        <v>31691.423076923</v>
      </c>
      <c r="M21" s="1" t="n">
        <v>73221.95192307699</v>
      </c>
      <c r="N21" s="1" t="n">
        <v>24186.219135802</v>
      </c>
      <c r="O21" s="1" t="n">
        <v>197955.230769231</v>
      </c>
      <c r="P21" s="1" t="n">
        <v>90651.83641233201</v>
      </c>
      <c r="Q21" s="1" t="n">
        <v>55877.642212726</v>
      </c>
      <c r="R21" s="1" t="n">
        <v>361829.01910464</v>
      </c>
      <c r="S21" s="1" t="n">
        <v>417706.661317366</v>
      </c>
      <c r="T21" s="1" t="n">
        <v>94168.338682634</v>
      </c>
      <c r="V21" s="25">
        <f>_CALC_ALLOC!AI21</f>
        <v/>
      </c>
      <c r="W21" s="25">
        <f>_CALC_ALLOC!AJ21</f>
        <v/>
      </c>
      <c r="X21" s="25">
        <f>_CALC_ALLOC!AK21</f>
        <v/>
      </c>
      <c r="Y21" s="25">
        <f>_CALC_ALLOC!AL21</f>
        <v/>
      </c>
      <c r="Z21" s="25">
        <f>_CALC_ALLOC!AM21</f>
        <v/>
      </c>
      <c r="AA21" s="25">
        <f>_CALC_ALLOC!AN21</f>
        <v/>
      </c>
      <c r="AB21" s="25">
        <f>AA21-T21</f>
        <v/>
      </c>
    </row>
    <row r="22">
      <c r="A22" s="1" t="inlineStr">
        <is>
          <t>2027BUD_V1</t>
        </is>
      </c>
      <c r="B22" s="1" t="inlineStr">
        <is>
          <t>12</t>
        </is>
      </c>
      <c r="C22" s="1" t="inlineStr">
        <is>
          <t>2025</t>
        </is>
      </c>
      <c r="D22" s="1" t="inlineStr">
        <is>
          <t>MBWAY_LYO</t>
        </is>
      </c>
      <c r="E22" s="1" t="inlineStr">
        <is>
          <t>MBWAY</t>
        </is>
      </c>
      <c r="F22" s="1" t="inlineStr">
        <is>
          <t>BAC_MGT</t>
        </is>
      </c>
      <c r="G22" s="1" t="inlineStr">
        <is>
          <t>B1</t>
        </is>
      </c>
      <c r="H22" s="1" t="inlineStr">
        <is>
          <t>INIT</t>
        </is>
      </c>
      <c r="I22" s="1" t="n">
        <v>62</v>
      </c>
      <c r="J22" s="1" t="n">
        <v>3</v>
      </c>
      <c r="K22" s="1" t="n">
        <v>493830</v>
      </c>
      <c r="L22" s="1" t="n">
        <v>43210.961538462</v>
      </c>
      <c r="M22" s="1" t="n">
        <v>99837.403846154</v>
      </c>
      <c r="N22" s="1" t="n">
        <v>42460.111842105</v>
      </c>
      <c r="O22" s="1" t="n">
        <v>188936.769230769</v>
      </c>
      <c r="P22" s="1" t="n">
        <v>84524.34481143</v>
      </c>
      <c r="Q22" s="1" t="n">
        <v>85671.073380567</v>
      </c>
      <c r="R22" s="1" t="n">
        <v>373298.517888353</v>
      </c>
      <c r="S22" s="1" t="n">
        <v>458969.59126892</v>
      </c>
      <c r="T22" s="1" t="n">
        <v>34860.40873108</v>
      </c>
      <c r="V22" s="25">
        <f>_CALC_ALLOC!AI22</f>
        <v/>
      </c>
      <c r="W22" s="25">
        <f>_CALC_ALLOC!AJ22</f>
        <v/>
      </c>
      <c r="X22" s="25">
        <f>_CALC_ALLOC!AK22</f>
        <v/>
      </c>
      <c r="Y22" s="25">
        <f>_CALC_ALLOC!AL22</f>
        <v/>
      </c>
      <c r="Z22" s="25">
        <f>_CALC_ALLOC!AM22</f>
        <v/>
      </c>
      <c r="AA22" s="25">
        <f>_CALC_ALLOC!AN22</f>
        <v/>
      </c>
      <c r="AB22" s="25">
        <f>AA22-T22</f>
        <v/>
      </c>
    </row>
    <row r="23">
      <c r="A23" s="1" t="inlineStr">
        <is>
          <t>2027BUD_V1</t>
        </is>
      </c>
      <c r="B23" s="1" t="inlineStr">
        <is>
          <t>12</t>
        </is>
      </c>
      <c r="C23" s="1" t="inlineStr">
        <is>
          <t>2025</t>
        </is>
      </c>
      <c r="D23" s="1" t="inlineStr">
        <is>
          <t>MBWAY_LYO</t>
        </is>
      </c>
      <c r="E23" s="1" t="inlineStr">
        <is>
          <t>MBWAY</t>
        </is>
      </c>
      <c r="F23" s="1" t="inlineStr">
        <is>
          <t>BAC_MGT</t>
        </is>
      </c>
      <c r="G23" s="1" t="inlineStr">
        <is>
          <t>B2</t>
        </is>
      </c>
      <c r="H23" s="1" t="inlineStr">
        <is>
          <t>ALT</t>
        </is>
      </c>
      <c r="I23" s="1" t="n">
        <v>60</v>
      </c>
      <c r="J23" s="1" t="n">
        <v>2</v>
      </c>
      <c r="K23" s="1" t="n">
        <v>441000</v>
      </c>
      <c r="L23" s="1" t="n">
        <v>23045.846153846</v>
      </c>
      <c r="M23" s="1" t="n">
        <v>53246.615384615</v>
      </c>
      <c r="N23" s="1" t="n">
        <v>22710.592105263</v>
      </c>
      <c r="O23" s="1" t="n">
        <v>125957.846153846</v>
      </c>
      <c r="P23" s="1" t="n">
        <v>56349.56320762</v>
      </c>
      <c r="Q23" s="1" t="n">
        <v>45756.438259109</v>
      </c>
      <c r="R23" s="1" t="n">
        <v>235554.024746082</v>
      </c>
      <c r="S23" s="1" t="n">
        <v>281310.463005191</v>
      </c>
      <c r="T23" s="1" t="n">
        <v>159689.536994809</v>
      </c>
      <c r="V23" s="25">
        <f>_CALC_ALLOC!AI23</f>
        <v/>
      </c>
      <c r="W23" s="25">
        <f>_CALC_ALLOC!AJ23</f>
        <v/>
      </c>
      <c r="X23" s="25">
        <f>_CALC_ALLOC!AK23</f>
        <v/>
      </c>
      <c r="Y23" s="25">
        <f>_CALC_ALLOC!AL23</f>
        <v/>
      </c>
      <c r="Z23" s="25">
        <f>_CALC_ALLOC!AM23</f>
        <v/>
      </c>
      <c r="AA23" s="25">
        <f>_CALC_ALLOC!AN23</f>
        <v/>
      </c>
      <c r="AB23" s="25">
        <f>AA23-T23</f>
        <v/>
      </c>
    </row>
    <row r="24">
      <c r="A24" s="1" t="inlineStr">
        <is>
          <t>2027BUD_V1</t>
        </is>
      </c>
      <c r="B24" s="1" t="inlineStr">
        <is>
          <t>12</t>
        </is>
      </c>
      <c r="C24" s="1" t="inlineStr">
        <is>
          <t>2025</t>
        </is>
      </c>
      <c r="D24" s="1" t="inlineStr">
        <is>
          <t>MBWAY_LYO</t>
        </is>
      </c>
      <c r="E24" s="1" t="inlineStr">
        <is>
          <t>MBWAY</t>
        </is>
      </c>
      <c r="F24" s="1" t="inlineStr">
        <is>
          <t>BAC_MGT</t>
        </is>
      </c>
      <c r="G24" s="1" t="inlineStr">
        <is>
          <t>B3</t>
        </is>
      </c>
      <c r="H24" s="1" t="inlineStr">
        <is>
          <t>ALT</t>
        </is>
      </c>
      <c r="I24" s="1" t="n">
        <v>59</v>
      </c>
      <c r="J24" s="1" t="n">
        <v>2</v>
      </c>
      <c r="K24" s="1" t="n">
        <v>433650</v>
      </c>
      <c r="L24" s="1" t="n">
        <v>23045.846153846</v>
      </c>
      <c r="M24" s="1" t="n">
        <v>53246.615384615</v>
      </c>
      <c r="N24" s="1" t="n">
        <v>22332.082236842</v>
      </c>
      <c r="O24" s="1" t="n">
        <v>125957.846153846</v>
      </c>
      <c r="P24" s="1" t="n">
        <v>56349.56320762</v>
      </c>
      <c r="Q24" s="1" t="n">
        <v>45377.928390688</v>
      </c>
      <c r="R24" s="1" t="n">
        <v>235554.024746082</v>
      </c>
      <c r="S24" s="1" t="n">
        <v>280931.95313677</v>
      </c>
      <c r="T24" s="1" t="n">
        <v>152718.04686323</v>
      </c>
      <c r="V24" s="25">
        <f>_CALC_ALLOC!AI24</f>
        <v/>
      </c>
      <c r="W24" s="25">
        <f>_CALC_ALLOC!AJ24</f>
        <v/>
      </c>
      <c r="X24" s="25">
        <f>_CALC_ALLOC!AK24</f>
        <v/>
      </c>
      <c r="Y24" s="25">
        <f>_CALC_ALLOC!AL24</f>
        <v/>
      </c>
      <c r="Z24" s="25">
        <f>_CALC_ALLOC!AM24</f>
        <v/>
      </c>
      <c r="AA24" s="25">
        <f>_CALC_ALLOC!AN24</f>
        <v/>
      </c>
      <c r="AB24" s="25">
        <f>AA24-T24</f>
        <v/>
      </c>
    </row>
    <row r="25">
      <c r="A25" s="1" t="inlineStr">
        <is>
          <t>2027BUD_V1</t>
        </is>
      </c>
      <c r="B25" s="1" t="inlineStr">
        <is>
          <t>12</t>
        </is>
      </c>
      <c r="C25" s="1" t="inlineStr">
        <is>
          <t>2025</t>
        </is>
      </c>
      <c r="D25" s="1" t="inlineStr">
        <is>
          <t>MBWAY_LYO</t>
        </is>
      </c>
      <c r="E25" s="1" t="inlineStr">
        <is>
          <t>MBWAY</t>
        </is>
      </c>
      <c r="F25" s="1" t="inlineStr">
        <is>
          <t>MAS_MGT</t>
        </is>
      </c>
      <c r="G25" s="1" t="inlineStr">
        <is>
          <t>M1</t>
        </is>
      </c>
      <c r="H25" s="1" t="inlineStr">
        <is>
          <t>ALT</t>
        </is>
      </c>
      <c r="I25" s="1" t="n">
        <v>62</v>
      </c>
      <c r="J25" s="1" t="n">
        <v>3</v>
      </c>
      <c r="K25" s="1" t="n">
        <v>493830</v>
      </c>
      <c r="L25" s="1" t="n">
        <v>30247.673076923</v>
      </c>
      <c r="M25" s="1" t="n">
        <v>69886.18269230799</v>
      </c>
      <c r="N25" s="1" t="n">
        <v>42460.111842105</v>
      </c>
      <c r="O25" s="1" t="n">
        <v>188936.769230769</v>
      </c>
      <c r="P25" s="1" t="n">
        <v>84524.34481143</v>
      </c>
      <c r="Q25" s="1" t="n">
        <v>72707.784919028</v>
      </c>
      <c r="R25" s="1" t="n">
        <v>343347.296734507</v>
      </c>
      <c r="S25" s="1" t="n">
        <v>416055.081653536</v>
      </c>
      <c r="T25" s="1" t="n">
        <v>77774.91834646399</v>
      </c>
      <c r="V25" s="25">
        <f>_CALC_ALLOC!AI25</f>
        <v/>
      </c>
      <c r="W25" s="25">
        <f>_CALC_ALLOC!AJ25</f>
        <v/>
      </c>
      <c r="X25" s="25">
        <f>_CALC_ALLOC!AK25</f>
        <v/>
      </c>
      <c r="Y25" s="25">
        <f>_CALC_ALLOC!AL25</f>
        <v/>
      </c>
      <c r="Z25" s="25">
        <f>_CALC_ALLOC!AM25</f>
        <v/>
      </c>
      <c r="AA25" s="25">
        <f>_CALC_ALLOC!AN25</f>
        <v/>
      </c>
      <c r="AB25" s="25">
        <f>AA25-T25</f>
        <v/>
      </c>
    </row>
    <row r="26">
      <c r="A26" s="1" t="inlineStr">
        <is>
          <t>2027BUD_V1</t>
        </is>
      </c>
      <c r="B26" s="1" t="inlineStr">
        <is>
          <t>12</t>
        </is>
      </c>
      <c r="C26" s="1" t="inlineStr">
        <is>
          <t>2025</t>
        </is>
      </c>
      <c r="D26" s="1" t="inlineStr">
        <is>
          <t>MBWAY_LYO</t>
        </is>
      </c>
      <c r="E26" s="1" t="inlineStr">
        <is>
          <t>MBWAY</t>
        </is>
      </c>
      <c r="F26" s="1" t="inlineStr">
        <is>
          <t>MAS_MGT</t>
        </is>
      </c>
      <c r="G26" s="1" t="inlineStr">
        <is>
          <t>M2</t>
        </is>
      </c>
      <c r="H26" s="1" t="inlineStr">
        <is>
          <t>ALT</t>
        </is>
      </c>
      <c r="I26" s="1" t="n">
        <v>61</v>
      </c>
      <c r="J26" s="1" t="n">
        <v>3</v>
      </c>
      <c r="K26" s="1" t="n">
        <v>480375</v>
      </c>
      <c r="L26" s="1" t="n">
        <v>30247.673076923</v>
      </c>
      <c r="M26" s="1" t="n">
        <v>69886.18269230799</v>
      </c>
      <c r="N26" s="1" t="n">
        <v>23089.101973684</v>
      </c>
      <c r="O26" s="1" t="n">
        <v>188936.769230769</v>
      </c>
      <c r="P26" s="1" t="n">
        <v>84524.34481143</v>
      </c>
      <c r="Q26" s="1" t="n">
        <v>53336.775050607</v>
      </c>
      <c r="R26" s="1" t="n">
        <v>343347.296734507</v>
      </c>
      <c r="S26" s="1" t="n">
        <v>396684.071785115</v>
      </c>
      <c r="T26" s="1" t="n">
        <v>83690.928214885</v>
      </c>
      <c r="V26" s="25">
        <f>_CALC_ALLOC!AI26</f>
        <v/>
      </c>
      <c r="W26" s="25">
        <f>_CALC_ALLOC!AJ26</f>
        <v/>
      </c>
      <c r="X26" s="25">
        <f>_CALC_ALLOC!AK26</f>
        <v/>
      </c>
      <c r="Y26" s="25">
        <f>_CALC_ALLOC!AL26</f>
        <v/>
      </c>
      <c r="Z26" s="25">
        <f>_CALC_ALLOC!AM26</f>
        <v/>
      </c>
      <c r="AA26" s="25">
        <f>_CALC_ALLOC!AN26</f>
        <v/>
      </c>
      <c r="AB26" s="25">
        <f>AA26-T26</f>
        <v/>
      </c>
    </row>
    <row r="27">
      <c r="A27" s="1" t="inlineStr">
        <is>
          <t>2027BUD_V1</t>
        </is>
      </c>
      <c r="B27" s="1" t="inlineStr">
        <is>
          <t>12</t>
        </is>
      </c>
      <c r="C27" s="1" t="inlineStr">
        <is>
          <t>2024</t>
        </is>
      </c>
      <c r="D27" s="1" t="inlineStr">
        <is>
          <t>MBWAY_LYO</t>
        </is>
      </c>
      <c r="E27" s="1" t="inlineStr">
        <is>
          <t>MBWAY</t>
        </is>
      </c>
      <c r="F27" s="1" t="inlineStr">
        <is>
          <t>BAC_MGT</t>
        </is>
      </c>
      <c r="G27" s="1" t="inlineStr">
        <is>
          <t>B1</t>
        </is>
      </c>
      <c r="H27" s="1" t="inlineStr">
        <is>
          <t>INIT</t>
        </is>
      </c>
      <c r="I27" s="1" t="n">
        <v>59</v>
      </c>
      <c r="J27" s="1" t="n">
        <v>3</v>
      </c>
      <c r="K27" s="1" t="n">
        <v>469935</v>
      </c>
      <c r="L27" s="1" t="n">
        <v>41317.788461538</v>
      </c>
      <c r="M27" s="1" t="n">
        <v>95462.884615385</v>
      </c>
      <c r="N27" s="1" t="n">
        <v>39727.851211073</v>
      </c>
      <c r="O27" s="1" t="n">
        <v>180658.615384615</v>
      </c>
      <c r="P27" s="1" t="n">
        <v>79872.459534259</v>
      </c>
      <c r="Q27" s="1" t="n">
        <v>81045.639672611</v>
      </c>
      <c r="R27" s="1" t="n">
        <v>355993.959534259</v>
      </c>
      <c r="S27" s="1" t="n">
        <v>437039.59920687</v>
      </c>
      <c r="T27" s="1" t="n">
        <v>32895.40079313</v>
      </c>
      <c r="V27" s="25">
        <f>_CALC_ALLOC!AI27</f>
        <v/>
      </c>
      <c r="W27" s="25">
        <f>_CALC_ALLOC!AJ27</f>
        <v/>
      </c>
      <c r="X27" s="25">
        <f>_CALC_ALLOC!AK27</f>
        <v/>
      </c>
      <c r="Y27" s="25">
        <f>_CALC_ALLOC!AL27</f>
        <v/>
      </c>
      <c r="Z27" s="25">
        <f>_CALC_ALLOC!AM27</f>
        <v/>
      </c>
      <c r="AA27" s="25">
        <f>_CALC_ALLOC!AN27</f>
        <v/>
      </c>
      <c r="AB27" s="25">
        <f>AA27-T27</f>
        <v/>
      </c>
    </row>
    <row r="28">
      <c r="A28" s="1" t="inlineStr">
        <is>
          <t>2027BUD_V1</t>
        </is>
      </c>
      <c r="B28" s="1" t="inlineStr">
        <is>
          <t>12</t>
        </is>
      </c>
      <c r="C28" s="1" t="inlineStr">
        <is>
          <t>2024</t>
        </is>
      </c>
      <c r="D28" s="1" t="inlineStr">
        <is>
          <t>MBWAY_LYO</t>
        </is>
      </c>
      <c r="E28" s="1" t="inlineStr">
        <is>
          <t>MBWAY</t>
        </is>
      </c>
      <c r="F28" s="1" t="inlineStr">
        <is>
          <t>BAC_MGT</t>
        </is>
      </c>
      <c r="G28" s="1" t="inlineStr">
        <is>
          <t>B2</t>
        </is>
      </c>
      <c r="H28" s="1" t="inlineStr">
        <is>
          <t>ALT</t>
        </is>
      </c>
      <c r="I28" s="1" t="n">
        <v>57</v>
      </c>
      <c r="J28" s="1" t="n">
        <v>2</v>
      </c>
      <c r="K28" s="1" t="n">
        <v>418950</v>
      </c>
      <c r="L28" s="1" t="n">
        <v>22036.153846154</v>
      </c>
      <c r="M28" s="1" t="n">
        <v>50913.538461538</v>
      </c>
      <c r="N28" s="1" t="n">
        <v>21700.432525952</v>
      </c>
      <c r="O28" s="1" t="n">
        <v>120439.076923077</v>
      </c>
      <c r="P28" s="1" t="n">
        <v>53248.306356173</v>
      </c>
      <c r="Q28" s="1" t="n">
        <v>43736.586372105</v>
      </c>
      <c r="R28" s="1" t="n">
        <v>224600.921740788</v>
      </c>
      <c r="S28" s="1" t="n">
        <v>268337.508112894</v>
      </c>
      <c r="T28" s="1" t="n">
        <v>150612.491887106</v>
      </c>
      <c r="V28" s="25">
        <f>_CALC_ALLOC!AI28</f>
        <v/>
      </c>
      <c r="W28" s="25">
        <f>_CALC_ALLOC!AJ28</f>
        <v/>
      </c>
      <c r="X28" s="25">
        <f>_CALC_ALLOC!AK28</f>
        <v/>
      </c>
      <c r="Y28" s="25">
        <f>_CALC_ALLOC!AL28</f>
        <v/>
      </c>
      <c r="Z28" s="25">
        <f>_CALC_ALLOC!AM28</f>
        <v/>
      </c>
      <c r="AA28" s="25">
        <f>_CALC_ALLOC!AN28</f>
        <v/>
      </c>
      <c r="AB28" s="25">
        <f>AA28-T28</f>
        <v/>
      </c>
    </row>
    <row r="29">
      <c r="A29" s="1" t="inlineStr">
        <is>
          <t>2027BUD_V1</t>
        </is>
      </c>
      <c r="B29" s="1" t="inlineStr">
        <is>
          <t>12</t>
        </is>
      </c>
      <c r="C29" s="1" t="inlineStr">
        <is>
          <t>2024</t>
        </is>
      </c>
      <c r="D29" s="1" t="inlineStr">
        <is>
          <t>MBWAY_LYO</t>
        </is>
      </c>
      <c r="E29" s="1" t="inlineStr">
        <is>
          <t>MBWAY</t>
        </is>
      </c>
      <c r="F29" s="1" t="inlineStr">
        <is>
          <t>BAC_MGT</t>
        </is>
      </c>
      <c r="G29" s="1" t="inlineStr">
        <is>
          <t>B3</t>
        </is>
      </c>
      <c r="H29" s="1" t="inlineStr">
        <is>
          <t>ALT</t>
        </is>
      </c>
      <c r="I29" s="1" t="n">
        <v>56</v>
      </c>
      <c r="J29" s="1" t="n">
        <v>2</v>
      </c>
      <c r="K29" s="1" t="n">
        <v>411600</v>
      </c>
      <c r="L29" s="1" t="n">
        <v>22036.153846154</v>
      </c>
      <c r="M29" s="1" t="n">
        <v>50913.538461538</v>
      </c>
      <c r="N29" s="1" t="n">
        <v>21319.723183391</v>
      </c>
      <c r="O29" s="1" t="n">
        <v>120439.076923077</v>
      </c>
      <c r="P29" s="1" t="n">
        <v>53248.306356173</v>
      </c>
      <c r="Q29" s="1" t="n">
        <v>43355.877029545</v>
      </c>
      <c r="R29" s="1" t="n">
        <v>224600.921740788</v>
      </c>
      <c r="S29" s="1" t="n">
        <v>267956.798770333</v>
      </c>
      <c r="T29" s="1" t="n">
        <v>143643.201229667</v>
      </c>
      <c r="V29" s="25">
        <f>_CALC_ALLOC!AI29</f>
        <v/>
      </c>
      <c r="W29" s="25">
        <f>_CALC_ALLOC!AJ29</f>
        <v/>
      </c>
      <c r="X29" s="25">
        <f>_CALC_ALLOC!AK29</f>
        <v/>
      </c>
      <c r="Y29" s="25">
        <f>_CALC_ALLOC!AL29</f>
        <v/>
      </c>
      <c r="Z29" s="25">
        <f>_CALC_ALLOC!AM29</f>
        <v/>
      </c>
      <c r="AA29" s="25">
        <f>_CALC_ALLOC!AN29</f>
        <v/>
      </c>
      <c r="AB29" s="25">
        <f>AA29-T29</f>
        <v/>
      </c>
    </row>
    <row r="30">
      <c r="A30" s="1" t="inlineStr">
        <is>
          <t>2027BUD_V1</t>
        </is>
      </c>
      <c r="B30" s="1" t="inlineStr">
        <is>
          <t>12</t>
        </is>
      </c>
      <c r="C30" s="1" t="inlineStr">
        <is>
          <t>2024</t>
        </is>
      </c>
      <c r="D30" s="1" t="inlineStr">
        <is>
          <t>MBWAY_LYO</t>
        </is>
      </c>
      <c r="E30" s="1" t="inlineStr">
        <is>
          <t>MBWAY</t>
        </is>
      </c>
      <c r="F30" s="1" t="inlineStr">
        <is>
          <t>MAS_MGT</t>
        </is>
      </c>
      <c r="G30" s="1" t="inlineStr">
        <is>
          <t>M1</t>
        </is>
      </c>
      <c r="H30" s="1" t="inlineStr">
        <is>
          <t>ALT</t>
        </is>
      </c>
      <c r="I30" s="1" t="n">
        <v>59</v>
      </c>
      <c r="J30" s="1" t="n">
        <v>3</v>
      </c>
      <c r="K30" s="1" t="n">
        <v>469935</v>
      </c>
      <c r="L30" s="1" t="n">
        <v>28922.451923077</v>
      </c>
      <c r="M30" s="1" t="n">
        <v>66824.019230769</v>
      </c>
      <c r="N30" s="1" t="n">
        <v>39727.851211073</v>
      </c>
      <c r="O30" s="1" t="n">
        <v>180658.615384615</v>
      </c>
      <c r="P30" s="1" t="n">
        <v>79872.459534259</v>
      </c>
      <c r="Q30" s="1" t="n">
        <v>68650.30313415</v>
      </c>
      <c r="R30" s="1" t="n">
        <v>327355.094149644</v>
      </c>
      <c r="S30" s="1" t="n">
        <v>396005.397283793</v>
      </c>
      <c r="T30" s="1" t="n">
        <v>73929.60271620699</v>
      </c>
      <c r="V30" s="25">
        <f>_CALC_ALLOC!AI30</f>
        <v/>
      </c>
      <c r="W30" s="25">
        <f>_CALC_ALLOC!AJ30</f>
        <v/>
      </c>
      <c r="X30" s="25">
        <f>_CALC_ALLOC!AK30</f>
        <v/>
      </c>
      <c r="Y30" s="25">
        <f>_CALC_ALLOC!AL30</f>
        <v/>
      </c>
      <c r="Z30" s="25">
        <f>_CALC_ALLOC!AM30</f>
        <v/>
      </c>
      <c r="AA30" s="25">
        <f>_CALC_ALLOC!AN30</f>
        <v/>
      </c>
      <c r="AB30" s="25">
        <f>AA30-T30</f>
        <v/>
      </c>
    </row>
    <row r="31">
      <c r="A31" s="1" t="inlineStr">
        <is>
          <t>2027BUD_V1</t>
        </is>
      </c>
      <c r="B31" s="1" t="inlineStr">
        <is>
          <t>12</t>
        </is>
      </c>
      <c r="C31" s="1" t="inlineStr">
        <is>
          <t>2024</t>
        </is>
      </c>
      <c r="D31" s="1" t="inlineStr">
        <is>
          <t>MBWAY_LYO</t>
        </is>
      </c>
      <c r="E31" s="1" t="inlineStr">
        <is>
          <t>MBWAY</t>
        </is>
      </c>
      <c r="F31" s="1" t="inlineStr">
        <is>
          <t>MAS_MGT</t>
        </is>
      </c>
      <c r="G31" s="1" t="inlineStr">
        <is>
          <t>M2</t>
        </is>
      </c>
      <c r="H31" s="1" t="inlineStr">
        <is>
          <t>ALT</t>
        </is>
      </c>
      <c r="I31" s="1" t="n">
        <v>58</v>
      </c>
      <c r="J31" s="1" t="n">
        <v>3</v>
      </c>
      <c r="K31" s="1" t="n">
        <v>456750</v>
      </c>
      <c r="L31" s="1" t="n">
        <v>28922.451923077</v>
      </c>
      <c r="M31" s="1" t="n">
        <v>66824.019230769</v>
      </c>
      <c r="N31" s="1" t="n">
        <v>22081.141868512</v>
      </c>
      <c r="O31" s="1" t="n">
        <v>180658.615384615</v>
      </c>
      <c r="P31" s="1" t="n">
        <v>79872.459534259</v>
      </c>
      <c r="Q31" s="1" t="n">
        <v>51003.593791589</v>
      </c>
      <c r="R31" s="1" t="n">
        <v>327355.094149644</v>
      </c>
      <c r="S31" s="1" t="n">
        <v>378358.687941233</v>
      </c>
      <c r="T31" s="1" t="n">
        <v>78391.312058767</v>
      </c>
      <c r="V31" s="25">
        <f>_CALC_ALLOC!AI31</f>
        <v/>
      </c>
      <c r="W31" s="25">
        <f>_CALC_ALLOC!AJ31</f>
        <v/>
      </c>
      <c r="X31" s="25">
        <f>_CALC_ALLOC!AK31</f>
        <v/>
      </c>
      <c r="Y31" s="25">
        <f>_CALC_ALLOC!AL31</f>
        <v/>
      </c>
      <c r="Z31" s="25">
        <f>_CALC_ALLOC!AM31</f>
        <v/>
      </c>
      <c r="AA31" s="25">
        <f>_CALC_ALLOC!AN31</f>
        <v/>
      </c>
      <c r="AB31" s="25">
        <f>AA31-T31</f>
        <v/>
      </c>
    </row>
    <row r="32">
      <c r="A32" s="1" t="inlineStr">
        <is>
          <t>2027BUD_V1</t>
        </is>
      </c>
      <c r="B32" s="1" t="inlineStr">
        <is>
          <t>12</t>
        </is>
      </c>
      <c r="C32" s="1" t="inlineStr">
        <is>
          <t>2026</t>
        </is>
      </c>
      <c r="D32" s="1" t="inlineStr">
        <is>
          <t>MBWAY_NAN</t>
        </is>
      </c>
      <c r="E32" s="1" t="inlineStr">
        <is>
          <t>MBWAY</t>
        </is>
      </c>
      <c r="F32" s="1" t="inlineStr">
        <is>
          <t>BAC_MGT</t>
        </is>
      </c>
      <c r="G32" s="1" t="inlineStr">
        <is>
          <t>B1</t>
        </is>
      </c>
      <c r="H32" s="1" t="inlineStr">
        <is>
          <t>INIT</t>
        </is>
      </c>
      <c r="I32" s="1" t="n">
        <v>60</v>
      </c>
      <c r="J32" s="1" t="n">
        <v>2</v>
      </c>
      <c r="K32" s="1" t="n">
        <v>455400</v>
      </c>
      <c r="L32" s="1" t="n">
        <v>30824.468085106</v>
      </c>
      <c r="M32" s="1" t="n">
        <v>63588.29787234</v>
      </c>
      <c r="N32" s="1" t="n">
        <v>38092.214285714</v>
      </c>
      <c r="O32" s="1" t="n">
        <v>116476.833333333</v>
      </c>
      <c r="P32" s="1" t="n">
        <v>59408.662340181</v>
      </c>
      <c r="Q32" s="1" t="n">
        <v>68916.682370821</v>
      </c>
      <c r="R32" s="1" t="n">
        <v>239473.793545855</v>
      </c>
      <c r="S32" s="1" t="n">
        <v>308390.475916675</v>
      </c>
      <c r="T32" s="1" t="n">
        <v>147009.524083325</v>
      </c>
      <c r="V32" s="25">
        <f>_CALC_ALLOC!AI32</f>
        <v/>
      </c>
      <c r="W32" s="25">
        <f>_CALC_ALLOC!AJ32</f>
        <v/>
      </c>
      <c r="X32" s="25">
        <f>_CALC_ALLOC!AK32</f>
        <v/>
      </c>
      <c r="Y32" s="25">
        <f>_CALC_ALLOC!AL32</f>
        <v/>
      </c>
      <c r="Z32" s="25">
        <f>_CALC_ALLOC!AM32</f>
        <v/>
      </c>
      <c r="AA32" s="25">
        <f>_CALC_ALLOC!AN32</f>
        <v/>
      </c>
      <c r="AB32" s="25">
        <f>AA32-T32</f>
        <v/>
      </c>
    </row>
    <row r="33">
      <c r="A33" s="1" t="inlineStr">
        <is>
          <t>2027BUD_V1</t>
        </is>
      </c>
      <c r="B33" s="1" t="inlineStr">
        <is>
          <t>12</t>
        </is>
      </c>
      <c r="C33" s="1" t="inlineStr">
        <is>
          <t>2026</t>
        </is>
      </c>
      <c r="D33" s="1" t="inlineStr">
        <is>
          <t>MBWAY_NAN</t>
        </is>
      </c>
      <c r="E33" s="1" t="inlineStr">
        <is>
          <t>MBWAY</t>
        </is>
      </c>
      <c r="F33" s="1" t="inlineStr">
        <is>
          <t>BAC_MGT</t>
        </is>
      </c>
      <c r="G33" s="1" t="inlineStr">
        <is>
          <t>B2</t>
        </is>
      </c>
      <c r="H33" s="1" t="inlineStr">
        <is>
          <t>ALT</t>
        </is>
      </c>
      <c r="I33" s="1" t="n">
        <v>58</v>
      </c>
      <c r="J33" s="1" t="n">
        <v>2</v>
      </c>
      <c r="K33" s="1" t="n">
        <v>406000</v>
      </c>
      <c r="L33" s="1" t="n">
        <v>24659.574468085</v>
      </c>
      <c r="M33" s="1" t="n">
        <v>50870.638297872</v>
      </c>
      <c r="N33" s="1" t="n">
        <v>21581.523809524</v>
      </c>
      <c r="O33" s="1" t="n">
        <v>116476.833333333</v>
      </c>
      <c r="P33" s="1" t="n">
        <v>59408.662340181</v>
      </c>
      <c r="Q33" s="1" t="n">
        <v>46241.098277609</v>
      </c>
      <c r="R33" s="1" t="n">
        <v>226756.133971387</v>
      </c>
      <c r="S33" s="1" t="n">
        <v>272997.232248995</v>
      </c>
      <c r="T33" s="1" t="n">
        <v>133002.767751005</v>
      </c>
      <c r="V33" s="25">
        <f>_CALC_ALLOC!AI33</f>
        <v/>
      </c>
      <c r="W33" s="25">
        <f>_CALC_ALLOC!AJ33</f>
        <v/>
      </c>
      <c r="X33" s="25">
        <f>_CALC_ALLOC!AK33</f>
        <v/>
      </c>
      <c r="Y33" s="25">
        <f>_CALC_ALLOC!AL33</f>
        <v/>
      </c>
      <c r="Z33" s="25">
        <f>_CALC_ALLOC!AM33</f>
        <v/>
      </c>
      <c r="AA33" s="25">
        <f>_CALC_ALLOC!AN33</f>
        <v/>
      </c>
      <c r="AB33" s="25">
        <f>AA33-T33</f>
        <v/>
      </c>
    </row>
    <row r="34">
      <c r="A34" s="1" t="inlineStr">
        <is>
          <t>2027BUD_V1</t>
        </is>
      </c>
      <c r="B34" s="1" t="inlineStr">
        <is>
          <t>12</t>
        </is>
      </c>
      <c r="C34" s="1" t="inlineStr">
        <is>
          <t>2026</t>
        </is>
      </c>
      <c r="D34" s="1" t="inlineStr">
        <is>
          <t>MBWAY_NAN</t>
        </is>
      </c>
      <c r="E34" s="1" t="inlineStr">
        <is>
          <t>MBWAY</t>
        </is>
      </c>
      <c r="F34" s="1" t="inlineStr">
        <is>
          <t>BAC_MGT</t>
        </is>
      </c>
      <c r="G34" s="1" t="inlineStr">
        <is>
          <t>B3</t>
        </is>
      </c>
      <c r="H34" s="1" t="inlineStr">
        <is>
          <t>ALT</t>
        </is>
      </c>
      <c r="I34" s="1" t="n">
        <v>57</v>
      </c>
      <c r="J34" s="1" t="n">
        <v>2</v>
      </c>
      <c r="K34" s="1" t="n">
        <v>399000</v>
      </c>
      <c r="L34" s="1" t="n">
        <v>24659.574468085</v>
      </c>
      <c r="M34" s="1" t="n">
        <v>50870.638297872</v>
      </c>
      <c r="N34" s="1" t="n">
        <v>21209.428571429</v>
      </c>
      <c r="O34" s="1" t="n">
        <v>116476.833333333</v>
      </c>
      <c r="P34" s="1" t="n">
        <v>59408.662340181</v>
      </c>
      <c r="Q34" s="1" t="n">
        <v>45869.003039514</v>
      </c>
      <c r="R34" s="1" t="n">
        <v>226756.133971387</v>
      </c>
      <c r="S34" s="1" t="n">
        <v>272625.1370109</v>
      </c>
      <c r="T34" s="1" t="n">
        <v>126374.8629891</v>
      </c>
      <c r="V34" s="25">
        <f>_CALC_ALLOC!AI34</f>
        <v/>
      </c>
      <c r="W34" s="25">
        <f>_CALC_ALLOC!AJ34</f>
        <v/>
      </c>
      <c r="X34" s="25">
        <f>_CALC_ALLOC!AK34</f>
        <v/>
      </c>
      <c r="Y34" s="25">
        <f>_CALC_ALLOC!AL34</f>
        <v/>
      </c>
      <c r="Z34" s="25">
        <f>_CALC_ALLOC!AM34</f>
        <v/>
      </c>
      <c r="AA34" s="25">
        <f>_CALC_ALLOC!AN34</f>
        <v/>
      </c>
      <c r="AB34" s="25">
        <f>AA34-T34</f>
        <v/>
      </c>
    </row>
    <row r="35">
      <c r="A35" s="1" t="inlineStr">
        <is>
          <t>2027BUD_V1</t>
        </is>
      </c>
      <c r="B35" s="1" t="inlineStr">
        <is>
          <t>12</t>
        </is>
      </c>
      <c r="C35" s="1" t="inlineStr">
        <is>
          <t>2026</t>
        </is>
      </c>
      <c r="D35" s="1" t="inlineStr">
        <is>
          <t>MBWAY_NAN</t>
        </is>
      </c>
      <c r="E35" s="1" t="inlineStr">
        <is>
          <t>MBWAY</t>
        </is>
      </c>
      <c r="F35" s="1" t="inlineStr">
        <is>
          <t>MAS_MGT</t>
        </is>
      </c>
      <c r="G35" s="1" t="inlineStr">
        <is>
          <t>M1</t>
        </is>
      </c>
      <c r="H35" s="1" t="inlineStr">
        <is>
          <t>ALT</t>
        </is>
      </c>
      <c r="I35" s="1" t="n">
        <v>60</v>
      </c>
      <c r="J35" s="1" t="n">
        <v>3</v>
      </c>
      <c r="K35" s="1" t="n">
        <v>455400</v>
      </c>
      <c r="L35" s="1" t="n">
        <v>32365.691489362</v>
      </c>
      <c r="M35" s="1" t="n">
        <v>66767.712765957</v>
      </c>
      <c r="N35" s="1" t="n">
        <v>38092.214285714</v>
      </c>
      <c r="O35" s="1" t="n">
        <v>174715.25</v>
      </c>
      <c r="P35" s="1" t="n">
        <v>89112.993510271</v>
      </c>
      <c r="Q35" s="1" t="n">
        <v>70457.905775076</v>
      </c>
      <c r="R35" s="1" t="n">
        <v>330595.956276229</v>
      </c>
      <c r="S35" s="1" t="n">
        <v>401053.862051305</v>
      </c>
      <c r="T35" s="1" t="n">
        <v>54346.137948695</v>
      </c>
      <c r="V35" s="25">
        <f>_CALC_ALLOC!AI35</f>
        <v/>
      </c>
      <c r="W35" s="25">
        <f>_CALC_ALLOC!AJ35</f>
        <v/>
      </c>
      <c r="X35" s="25">
        <f>_CALC_ALLOC!AK35</f>
        <v/>
      </c>
      <c r="Y35" s="25">
        <f>_CALC_ALLOC!AL35</f>
        <v/>
      </c>
      <c r="Z35" s="25">
        <f>_CALC_ALLOC!AM35</f>
        <v/>
      </c>
      <c r="AA35" s="25">
        <f>_CALC_ALLOC!AN35</f>
        <v/>
      </c>
      <c r="AB35" s="25">
        <f>AA35-T35</f>
        <v/>
      </c>
    </row>
    <row r="36">
      <c r="A36" s="1" t="inlineStr">
        <is>
          <t>2027BUD_V1</t>
        </is>
      </c>
      <c r="B36" s="1" t="inlineStr">
        <is>
          <t>12</t>
        </is>
      </c>
      <c r="C36" s="1" t="inlineStr">
        <is>
          <t>2026</t>
        </is>
      </c>
      <c r="D36" s="1" t="inlineStr">
        <is>
          <t>MBWAY_NAN</t>
        </is>
      </c>
      <c r="E36" s="1" t="inlineStr">
        <is>
          <t>MBWAY</t>
        </is>
      </c>
      <c r="F36" s="1" t="inlineStr">
        <is>
          <t>MAS_MGT</t>
        </is>
      </c>
      <c r="G36" s="1" t="inlineStr">
        <is>
          <t>M2</t>
        </is>
      </c>
      <c r="H36" s="1" t="inlineStr">
        <is>
          <t>ALT</t>
        </is>
      </c>
      <c r="I36" s="1" t="n">
        <v>59</v>
      </c>
      <c r="J36" s="1" t="n">
        <v>3</v>
      </c>
      <c r="K36" s="1" t="n">
        <v>442500</v>
      </c>
      <c r="L36" s="1" t="n">
        <v>32365.691489362</v>
      </c>
      <c r="M36" s="1" t="n">
        <v>66767.712765957</v>
      </c>
      <c r="N36" s="1" t="n">
        <v>21953.619047619</v>
      </c>
      <c r="O36" s="1" t="n">
        <v>174715.25</v>
      </c>
      <c r="P36" s="1" t="n">
        <v>89112.993510271</v>
      </c>
      <c r="Q36" s="1" t="n">
        <v>54319.310536981</v>
      </c>
      <c r="R36" s="1" t="n">
        <v>330595.956276229</v>
      </c>
      <c r="S36" s="1" t="n">
        <v>384915.266813209</v>
      </c>
      <c r="T36" s="1" t="n">
        <v>57584.733186791</v>
      </c>
      <c r="V36" s="25">
        <f>_CALC_ALLOC!AI36</f>
        <v/>
      </c>
      <c r="W36" s="25">
        <f>_CALC_ALLOC!AJ36</f>
        <v/>
      </c>
      <c r="X36" s="25">
        <f>_CALC_ALLOC!AK36</f>
        <v/>
      </c>
      <c r="Y36" s="25">
        <f>_CALC_ALLOC!AL36</f>
        <v/>
      </c>
      <c r="Z36" s="25">
        <f>_CALC_ALLOC!AM36</f>
        <v/>
      </c>
      <c r="AA36" s="25">
        <f>_CALC_ALLOC!AN36</f>
        <v/>
      </c>
      <c r="AB36" s="25">
        <f>AA36-T36</f>
        <v/>
      </c>
    </row>
    <row r="37">
      <c r="A37" s="1" t="inlineStr">
        <is>
          <t>2027BUD_V1</t>
        </is>
      </c>
      <c r="B37" s="1" t="inlineStr">
        <is>
          <t>12</t>
        </is>
      </c>
      <c r="C37" s="1" t="inlineStr">
        <is>
          <t>2025</t>
        </is>
      </c>
      <c r="D37" s="1" t="inlineStr">
        <is>
          <t>MBWAY_NAN</t>
        </is>
      </c>
      <c r="E37" s="1" t="inlineStr">
        <is>
          <t>MBWAY</t>
        </is>
      </c>
      <c r="F37" s="1" t="inlineStr">
        <is>
          <t>BAC_MGT</t>
        </is>
      </c>
      <c r="G37" s="1" t="inlineStr">
        <is>
          <t>B1</t>
        </is>
      </c>
      <c r="H37" s="1" t="inlineStr">
        <is>
          <t>INIT</t>
        </is>
      </c>
      <c r="I37" s="1" t="n">
        <v>57</v>
      </c>
      <c r="J37" s="1" t="n">
        <v>2</v>
      </c>
      <c r="K37" s="1" t="n">
        <v>432630</v>
      </c>
      <c r="L37" s="1" t="n">
        <v>29420.212765957</v>
      </c>
      <c r="M37" s="1" t="n">
        <v>60691.276595745</v>
      </c>
      <c r="N37" s="1" t="n">
        <v>35664.483870968</v>
      </c>
      <c r="O37" s="1" t="n">
        <v>111170.5</v>
      </c>
      <c r="P37" s="1" t="n">
        <v>56025.182498366</v>
      </c>
      <c r="Q37" s="1" t="n">
        <v>65084.696636925</v>
      </c>
      <c r="R37" s="1" t="n">
        <v>227886.95909411</v>
      </c>
      <c r="S37" s="1" t="n">
        <v>292971.655731036</v>
      </c>
      <c r="T37" s="1" t="n">
        <v>139658.344268964</v>
      </c>
      <c r="V37" s="25">
        <f>_CALC_ALLOC!AI37</f>
        <v/>
      </c>
      <c r="W37" s="25">
        <f>_CALC_ALLOC!AJ37</f>
        <v/>
      </c>
      <c r="X37" s="25">
        <f>_CALC_ALLOC!AK37</f>
        <v/>
      </c>
      <c r="Y37" s="25">
        <f>_CALC_ALLOC!AL37</f>
        <v/>
      </c>
      <c r="Z37" s="25">
        <f>_CALC_ALLOC!AM37</f>
        <v/>
      </c>
      <c r="AA37" s="25">
        <f>_CALC_ALLOC!AN37</f>
        <v/>
      </c>
      <c r="AB37" s="25">
        <f>AA37-T37</f>
        <v/>
      </c>
    </row>
    <row r="38">
      <c r="A38" s="1" t="inlineStr">
        <is>
          <t>2027BUD_V1</t>
        </is>
      </c>
      <c r="B38" s="1" t="inlineStr">
        <is>
          <t>12</t>
        </is>
      </c>
      <c r="C38" s="1" t="inlineStr">
        <is>
          <t>2025</t>
        </is>
      </c>
      <c r="D38" s="1" t="inlineStr">
        <is>
          <t>MBWAY_NAN</t>
        </is>
      </c>
      <c r="E38" s="1" t="inlineStr">
        <is>
          <t>MBWAY</t>
        </is>
      </c>
      <c r="F38" s="1" t="inlineStr">
        <is>
          <t>BAC_MGT</t>
        </is>
      </c>
      <c r="G38" s="1" t="inlineStr">
        <is>
          <t>B2</t>
        </is>
      </c>
      <c r="H38" s="1" t="inlineStr">
        <is>
          <t>ALT</t>
        </is>
      </c>
      <c r="I38" s="1" t="n">
        <v>55</v>
      </c>
      <c r="J38" s="1" t="n">
        <v>2</v>
      </c>
      <c r="K38" s="1" t="n">
        <v>385000</v>
      </c>
      <c r="L38" s="1" t="n">
        <v>23536.170212766</v>
      </c>
      <c r="M38" s="1" t="n">
        <v>48553.021276596</v>
      </c>
      <c r="N38" s="1" t="n">
        <v>20583.010752688</v>
      </c>
      <c r="O38" s="1" t="n">
        <v>111170.5</v>
      </c>
      <c r="P38" s="1" t="n">
        <v>56025.182498366</v>
      </c>
      <c r="Q38" s="1" t="n">
        <v>44119.180965454</v>
      </c>
      <c r="R38" s="1" t="n">
        <v>215748.703774962</v>
      </c>
      <c r="S38" s="1" t="n">
        <v>259867.884740416</v>
      </c>
      <c r="T38" s="1" t="n">
        <v>125132.115259584</v>
      </c>
      <c r="V38" s="25">
        <f>_CALC_ALLOC!AI38</f>
        <v/>
      </c>
      <c r="W38" s="25">
        <f>_CALC_ALLOC!AJ38</f>
        <v/>
      </c>
      <c r="X38" s="25">
        <f>_CALC_ALLOC!AK38</f>
        <v/>
      </c>
      <c r="Y38" s="25">
        <f>_CALC_ALLOC!AL38</f>
        <v/>
      </c>
      <c r="Z38" s="25">
        <f>_CALC_ALLOC!AM38</f>
        <v/>
      </c>
      <c r="AA38" s="25">
        <f>_CALC_ALLOC!AN38</f>
        <v/>
      </c>
      <c r="AB38" s="25">
        <f>AA38-T38</f>
        <v/>
      </c>
    </row>
    <row r="39">
      <c r="A39" s="1" t="inlineStr">
        <is>
          <t>2027BUD_V1</t>
        </is>
      </c>
      <c r="B39" s="1" t="inlineStr">
        <is>
          <t>12</t>
        </is>
      </c>
      <c r="C39" s="1" t="inlineStr">
        <is>
          <t>2025</t>
        </is>
      </c>
      <c r="D39" s="1" t="inlineStr">
        <is>
          <t>MBWAY_NAN</t>
        </is>
      </c>
      <c r="E39" s="1" t="inlineStr">
        <is>
          <t>MBWAY</t>
        </is>
      </c>
      <c r="F39" s="1" t="inlineStr">
        <is>
          <t>BAC_MGT</t>
        </is>
      </c>
      <c r="G39" s="1" t="inlineStr">
        <is>
          <t>B3</t>
        </is>
      </c>
      <c r="H39" s="1" t="inlineStr">
        <is>
          <t>ALT</t>
        </is>
      </c>
      <c r="I39" s="1" t="n">
        <v>54</v>
      </c>
      <c r="J39" s="1" t="n">
        <v>2</v>
      </c>
      <c r="K39" s="1" t="n">
        <v>378000</v>
      </c>
      <c r="L39" s="1" t="n">
        <v>23536.170212766</v>
      </c>
      <c r="M39" s="1" t="n">
        <v>48553.021276596</v>
      </c>
      <c r="N39" s="1" t="n">
        <v>20208.774193548</v>
      </c>
      <c r="O39" s="1" t="n">
        <v>111170.5</v>
      </c>
      <c r="P39" s="1" t="n">
        <v>56025.182498366</v>
      </c>
      <c r="Q39" s="1" t="n">
        <v>43744.944406314</v>
      </c>
      <c r="R39" s="1" t="n">
        <v>215748.703774962</v>
      </c>
      <c r="S39" s="1" t="n">
        <v>259493.648181276</v>
      </c>
      <c r="T39" s="1" t="n">
        <v>118506.351818724</v>
      </c>
      <c r="V39" s="25">
        <f>_CALC_ALLOC!AI39</f>
        <v/>
      </c>
      <c r="W39" s="25">
        <f>_CALC_ALLOC!AJ39</f>
        <v/>
      </c>
      <c r="X39" s="25">
        <f>_CALC_ALLOC!AK39</f>
        <v/>
      </c>
      <c r="Y39" s="25">
        <f>_CALC_ALLOC!AL39</f>
        <v/>
      </c>
      <c r="Z39" s="25">
        <f>_CALC_ALLOC!AM39</f>
        <v/>
      </c>
      <c r="AA39" s="25">
        <f>_CALC_ALLOC!AN39</f>
        <v/>
      </c>
      <c r="AB39" s="25">
        <f>AA39-T39</f>
        <v/>
      </c>
    </row>
    <row r="40">
      <c r="A40" s="1" t="inlineStr">
        <is>
          <t>2027BUD_V1</t>
        </is>
      </c>
      <c r="B40" s="1" t="inlineStr">
        <is>
          <t>12</t>
        </is>
      </c>
      <c r="C40" s="1" t="inlineStr">
        <is>
          <t>2025</t>
        </is>
      </c>
      <c r="D40" s="1" t="inlineStr">
        <is>
          <t>MBWAY_NAN</t>
        </is>
      </c>
      <c r="E40" s="1" t="inlineStr">
        <is>
          <t>MBWAY</t>
        </is>
      </c>
      <c r="F40" s="1" t="inlineStr">
        <is>
          <t>MAS_MGT</t>
        </is>
      </c>
      <c r="G40" s="1" t="inlineStr">
        <is>
          <t>M1</t>
        </is>
      </c>
      <c r="H40" s="1" t="inlineStr">
        <is>
          <t>ALT</t>
        </is>
      </c>
      <c r="I40" s="1" t="n">
        <v>57</v>
      </c>
      <c r="J40" s="1" t="n">
        <v>3</v>
      </c>
      <c r="K40" s="1" t="n">
        <v>432630</v>
      </c>
      <c r="L40" s="1" t="n">
        <v>30891.223404255</v>
      </c>
      <c r="M40" s="1" t="n">
        <v>63725.840425532</v>
      </c>
      <c r="N40" s="1" t="n">
        <v>35664.483870968</v>
      </c>
      <c r="O40" s="1" t="n">
        <v>166755.75</v>
      </c>
      <c r="P40" s="1" t="n">
        <v>84037.773747549</v>
      </c>
      <c r="Q40" s="1" t="n">
        <v>66555.707275223</v>
      </c>
      <c r="R40" s="1" t="n">
        <v>314519.364173081</v>
      </c>
      <c r="S40" s="1" t="n">
        <v>381075.071448304</v>
      </c>
      <c r="T40" s="1" t="n">
        <v>51554.928551696</v>
      </c>
      <c r="V40" s="25">
        <f>_CALC_ALLOC!AI40</f>
        <v/>
      </c>
      <c r="W40" s="25">
        <f>_CALC_ALLOC!AJ40</f>
        <v/>
      </c>
      <c r="X40" s="25">
        <f>_CALC_ALLOC!AK40</f>
        <v/>
      </c>
      <c r="Y40" s="25">
        <f>_CALC_ALLOC!AL40</f>
        <v/>
      </c>
      <c r="Z40" s="25">
        <f>_CALC_ALLOC!AM40</f>
        <v/>
      </c>
      <c r="AA40" s="25">
        <f>_CALC_ALLOC!AN40</f>
        <v/>
      </c>
      <c r="AB40" s="25">
        <f>AA40-T40</f>
        <v/>
      </c>
    </row>
    <row r="41">
      <c r="A41" s="1" t="inlineStr">
        <is>
          <t>2027BUD_V1</t>
        </is>
      </c>
      <c r="B41" s="1" t="inlineStr">
        <is>
          <t>12</t>
        </is>
      </c>
      <c r="C41" s="1" t="inlineStr">
        <is>
          <t>2025</t>
        </is>
      </c>
      <c r="D41" s="1" t="inlineStr">
        <is>
          <t>MBWAY_NAN</t>
        </is>
      </c>
      <c r="E41" s="1" t="inlineStr">
        <is>
          <t>MBWAY</t>
        </is>
      </c>
      <c r="F41" s="1" t="inlineStr">
        <is>
          <t>MAS_MGT</t>
        </is>
      </c>
      <c r="G41" s="1" t="inlineStr">
        <is>
          <t>M2</t>
        </is>
      </c>
      <c r="H41" s="1" t="inlineStr">
        <is>
          <t>ALT</t>
        </is>
      </c>
      <c r="I41" s="1" t="n">
        <v>56</v>
      </c>
      <c r="J41" s="1" t="n">
        <v>3</v>
      </c>
      <c r="K41" s="1" t="n">
        <v>420000</v>
      </c>
      <c r="L41" s="1" t="n">
        <v>30891.223404255</v>
      </c>
      <c r="M41" s="1" t="n">
        <v>63725.840425532</v>
      </c>
      <c r="N41" s="1" t="n">
        <v>20957.247311828</v>
      </c>
      <c r="O41" s="1" t="n">
        <v>166755.75</v>
      </c>
      <c r="P41" s="1" t="n">
        <v>84037.773747549</v>
      </c>
      <c r="Q41" s="1" t="n">
        <v>51848.470716083</v>
      </c>
      <c r="R41" s="1" t="n">
        <v>314519.364173081</v>
      </c>
      <c r="S41" s="1" t="n">
        <v>366367.834889164</v>
      </c>
      <c r="T41" s="1" t="n">
        <v>53632.165110836</v>
      </c>
      <c r="V41" s="25">
        <f>_CALC_ALLOC!AI41</f>
        <v/>
      </c>
      <c r="W41" s="25">
        <f>_CALC_ALLOC!AJ41</f>
        <v/>
      </c>
      <c r="X41" s="25">
        <f>_CALC_ALLOC!AK41</f>
        <v/>
      </c>
      <c r="Y41" s="25">
        <f>_CALC_ALLOC!AL41</f>
        <v/>
      </c>
      <c r="Z41" s="25">
        <f>_CALC_ALLOC!AM41</f>
        <v/>
      </c>
      <c r="AA41" s="25">
        <f>_CALC_ALLOC!AN41</f>
        <v/>
      </c>
      <c r="AB41" s="25">
        <f>AA41-T41</f>
        <v/>
      </c>
    </row>
    <row r="42">
      <c r="A42" s="1" t="inlineStr">
        <is>
          <t>2027BUD_V1</t>
        </is>
      </c>
      <c r="B42" s="1" t="inlineStr">
        <is>
          <t>12</t>
        </is>
      </c>
      <c r="C42" s="1" t="inlineStr">
        <is>
          <t>2024</t>
        </is>
      </c>
      <c r="D42" s="1" t="inlineStr">
        <is>
          <t>MBWAY_NAN</t>
        </is>
      </c>
      <c r="E42" s="1" t="inlineStr">
        <is>
          <t>MBWAY</t>
        </is>
      </c>
      <c r="F42" s="1" t="inlineStr">
        <is>
          <t>BAC_MGT</t>
        </is>
      </c>
      <c r="G42" s="1" t="inlineStr">
        <is>
          <t>B1</t>
        </is>
      </c>
      <c r="H42" s="1" t="inlineStr">
        <is>
          <t>INIT</t>
        </is>
      </c>
      <c r="I42" s="1" t="n">
        <v>53</v>
      </c>
      <c r="J42" s="1" t="n">
        <v>2</v>
      </c>
      <c r="K42" s="1" t="n">
        <v>402270</v>
      </c>
      <c r="L42" s="1" t="n">
        <v>28131.063829787</v>
      </c>
      <c r="M42" s="1" t="n">
        <v>58032.127659574</v>
      </c>
      <c r="N42" s="1" t="n">
        <v>33226.034351145</v>
      </c>
      <c r="O42" s="1" t="n">
        <v>106299.333333333</v>
      </c>
      <c r="P42" s="1" t="n">
        <v>52296.347015319</v>
      </c>
      <c r="Q42" s="1" t="n">
        <v>61357.098180932</v>
      </c>
      <c r="R42" s="1" t="n">
        <v>216627.808008226</v>
      </c>
      <c r="S42" s="1" t="n">
        <v>277984.906189159</v>
      </c>
      <c r="T42" s="1" t="n">
        <v>124285.093810841</v>
      </c>
      <c r="V42" s="25">
        <f>_CALC_ALLOC!AI42</f>
        <v/>
      </c>
      <c r="W42" s="25">
        <f>_CALC_ALLOC!AJ42</f>
        <v/>
      </c>
      <c r="X42" s="25">
        <f>_CALC_ALLOC!AK42</f>
        <v/>
      </c>
      <c r="Y42" s="25">
        <f>_CALC_ALLOC!AL42</f>
        <v/>
      </c>
      <c r="Z42" s="25">
        <f>_CALC_ALLOC!AM42</f>
        <v/>
      </c>
      <c r="AA42" s="25">
        <f>_CALC_ALLOC!AN42</f>
        <v/>
      </c>
      <c r="AB42" s="25">
        <f>AA42-T42</f>
        <v/>
      </c>
    </row>
    <row r="43">
      <c r="A43" s="1" t="inlineStr">
        <is>
          <t>2027BUD_V1</t>
        </is>
      </c>
      <c r="B43" s="1" t="inlineStr">
        <is>
          <t>12</t>
        </is>
      </c>
      <c r="C43" s="1" t="inlineStr">
        <is>
          <t>2024</t>
        </is>
      </c>
      <c r="D43" s="1" t="inlineStr">
        <is>
          <t>MBWAY_NAN</t>
        </is>
      </c>
      <c r="E43" s="1" t="inlineStr">
        <is>
          <t>MBWAY</t>
        </is>
      </c>
      <c r="F43" s="1" t="inlineStr">
        <is>
          <t>BAC_MGT</t>
        </is>
      </c>
      <c r="G43" s="1" t="inlineStr">
        <is>
          <t>B2</t>
        </is>
      </c>
      <c r="H43" s="1" t="inlineStr">
        <is>
          <t>ALT</t>
        </is>
      </c>
      <c r="I43" s="1" t="n">
        <v>52</v>
      </c>
      <c r="J43" s="1" t="n">
        <v>2</v>
      </c>
      <c r="K43" s="1" t="n">
        <v>364000</v>
      </c>
      <c r="L43" s="1" t="n">
        <v>22504.85106383</v>
      </c>
      <c r="M43" s="1" t="n">
        <v>46425.70212766</v>
      </c>
      <c r="N43" s="1" t="n">
        <v>19814.977099237</v>
      </c>
      <c r="O43" s="1" t="n">
        <v>106299.333333333</v>
      </c>
      <c r="P43" s="1" t="n">
        <v>52296.347015319</v>
      </c>
      <c r="Q43" s="1" t="n">
        <v>42319.828163066</v>
      </c>
      <c r="R43" s="1" t="n">
        <v>205021.382476311</v>
      </c>
      <c r="S43" s="1" t="n">
        <v>247341.210639378</v>
      </c>
      <c r="T43" s="1" t="n">
        <v>116658.789360622</v>
      </c>
      <c r="V43" s="25">
        <f>_CALC_ALLOC!AI43</f>
        <v/>
      </c>
      <c r="W43" s="25">
        <f>_CALC_ALLOC!AJ43</f>
        <v/>
      </c>
      <c r="X43" s="25">
        <f>_CALC_ALLOC!AK43</f>
        <v/>
      </c>
      <c r="Y43" s="25">
        <f>_CALC_ALLOC!AL43</f>
        <v/>
      </c>
      <c r="Z43" s="25">
        <f>_CALC_ALLOC!AM43</f>
        <v/>
      </c>
      <c r="AA43" s="25">
        <f>_CALC_ALLOC!AN43</f>
        <v/>
      </c>
      <c r="AB43" s="25">
        <f>AA43-T43</f>
        <v/>
      </c>
    </row>
    <row r="44">
      <c r="A44" s="1" t="inlineStr">
        <is>
          <t>2027BUD_V1</t>
        </is>
      </c>
      <c r="B44" s="1" t="inlineStr">
        <is>
          <t>12</t>
        </is>
      </c>
      <c r="C44" s="1" t="inlineStr">
        <is>
          <t>2024</t>
        </is>
      </c>
      <c r="D44" s="1" t="inlineStr">
        <is>
          <t>MBWAY_NAN</t>
        </is>
      </c>
      <c r="E44" s="1" t="inlineStr">
        <is>
          <t>MBWAY</t>
        </is>
      </c>
      <c r="F44" s="1" t="inlineStr">
        <is>
          <t>BAC_MGT</t>
        </is>
      </c>
      <c r="G44" s="1" t="inlineStr">
        <is>
          <t>B3</t>
        </is>
      </c>
      <c r="H44" s="1" t="inlineStr">
        <is>
          <t>ALT</t>
        </is>
      </c>
      <c r="I44" s="1" t="n">
        <v>51</v>
      </c>
      <c r="J44" s="1" t="n">
        <v>2</v>
      </c>
      <c r="K44" s="1" t="n">
        <v>357000</v>
      </c>
      <c r="L44" s="1" t="n">
        <v>22504.85106383</v>
      </c>
      <c r="M44" s="1" t="n">
        <v>46425.70212766</v>
      </c>
      <c r="N44" s="1" t="n">
        <v>19433.919847328</v>
      </c>
      <c r="O44" s="1" t="n">
        <v>106299.333333333</v>
      </c>
      <c r="P44" s="1" t="n">
        <v>52296.347015319</v>
      </c>
      <c r="Q44" s="1" t="n">
        <v>41938.770911158</v>
      </c>
      <c r="R44" s="1" t="n">
        <v>205021.382476311</v>
      </c>
      <c r="S44" s="1" t="n">
        <v>246960.153387469</v>
      </c>
      <c r="T44" s="1" t="n">
        <v>110039.846612531</v>
      </c>
      <c r="V44" s="25">
        <f>_CALC_ALLOC!AI44</f>
        <v/>
      </c>
      <c r="W44" s="25">
        <f>_CALC_ALLOC!AJ44</f>
        <v/>
      </c>
      <c r="X44" s="25">
        <f>_CALC_ALLOC!AK44</f>
        <v/>
      </c>
      <c r="Y44" s="25">
        <f>_CALC_ALLOC!AL44</f>
        <v/>
      </c>
      <c r="Z44" s="25">
        <f>_CALC_ALLOC!AM44</f>
        <v/>
      </c>
      <c r="AA44" s="25">
        <f>_CALC_ALLOC!AN44</f>
        <v/>
      </c>
      <c r="AB44" s="25">
        <f>AA44-T44</f>
        <v/>
      </c>
    </row>
    <row r="45">
      <c r="A45" s="1" t="inlineStr">
        <is>
          <t>2027BUD_V1</t>
        </is>
      </c>
      <c r="B45" s="1" t="inlineStr">
        <is>
          <t>12</t>
        </is>
      </c>
      <c r="C45" s="1" t="inlineStr">
        <is>
          <t>2024</t>
        </is>
      </c>
      <c r="D45" s="1" t="inlineStr">
        <is>
          <t>MBWAY_NAN</t>
        </is>
      </c>
      <c r="E45" s="1" t="inlineStr">
        <is>
          <t>MBWAY</t>
        </is>
      </c>
      <c r="F45" s="1" t="inlineStr">
        <is>
          <t>MAS_MGT</t>
        </is>
      </c>
      <c r="G45" s="1" t="inlineStr">
        <is>
          <t>M1</t>
        </is>
      </c>
      <c r="H45" s="1" t="inlineStr">
        <is>
          <t>ALT</t>
        </is>
      </c>
      <c r="I45" s="1" t="n">
        <v>53</v>
      </c>
      <c r="J45" s="1" t="n">
        <v>3</v>
      </c>
      <c r="K45" s="1" t="n">
        <v>402270</v>
      </c>
      <c r="L45" s="1" t="n">
        <v>29537.617021277</v>
      </c>
      <c r="M45" s="1" t="n">
        <v>60933.734042553</v>
      </c>
      <c r="N45" s="1" t="n">
        <v>33226.034351145</v>
      </c>
      <c r="O45" s="1" t="n">
        <v>159449</v>
      </c>
      <c r="P45" s="1" t="n">
        <v>78444.520522978</v>
      </c>
      <c r="Q45" s="1" t="n">
        <v>62763.651372422</v>
      </c>
      <c r="R45" s="1" t="n">
        <v>298827.254565531</v>
      </c>
      <c r="S45" s="1" t="n">
        <v>361590.905937953</v>
      </c>
      <c r="T45" s="1" t="n">
        <v>40679.094062047</v>
      </c>
      <c r="V45" s="25">
        <f>_CALC_ALLOC!AI45</f>
        <v/>
      </c>
      <c r="W45" s="25">
        <f>_CALC_ALLOC!AJ45</f>
        <v/>
      </c>
      <c r="X45" s="25">
        <f>_CALC_ALLOC!AK45</f>
        <v/>
      </c>
      <c r="Y45" s="25">
        <f>_CALC_ALLOC!AL45</f>
        <v/>
      </c>
      <c r="Z45" s="25">
        <f>_CALC_ALLOC!AM45</f>
        <v/>
      </c>
      <c r="AA45" s="25">
        <f>_CALC_ALLOC!AN45</f>
        <v/>
      </c>
      <c r="AB45" s="25">
        <f>AA45-T45</f>
        <v/>
      </c>
    </row>
    <row r="46">
      <c r="A46" s="1" t="inlineStr">
        <is>
          <t>2027BUD_V1</t>
        </is>
      </c>
      <c r="B46" s="1" t="inlineStr">
        <is>
          <t>12</t>
        </is>
      </c>
      <c r="C46" s="1" t="inlineStr">
        <is>
          <t>2024</t>
        </is>
      </c>
      <c r="D46" s="1" t="inlineStr">
        <is>
          <t>MBWAY_NAN</t>
        </is>
      </c>
      <c r="E46" s="1" t="inlineStr">
        <is>
          <t>MBWAY</t>
        </is>
      </c>
      <c r="F46" s="1" t="inlineStr">
        <is>
          <t>MAS_MGT</t>
        </is>
      </c>
      <c r="G46" s="1" t="inlineStr">
        <is>
          <t>M2</t>
        </is>
      </c>
      <c r="H46" s="1" t="inlineStr">
        <is>
          <t>ALT</t>
        </is>
      </c>
      <c r="I46" s="1" t="n">
        <v>53</v>
      </c>
      <c r="J46" s="1" t="n">
        <v>3</v>
      </c>
      <c r="K46" s="1" t="n">
        <v>397500</v>
      </c>
      <c r="L46" s="1" t="n">
        <v>29537.617021277</v>
      </c>
      <c r="M46" s="1" t="n">
        <v>60933.734042553</v>
      </c>
      <c r="N46" s="1" t="n">
        <v>20196.034351145</v>
      </c>
      <c r="O46" s="1" t="n">
        <v>159449</v>
      </c>
      <c r="P46" s="1" t="n">
        <v>78444.520522978</v>
      </c>
      <c r="Q46" s="1" t="n">
        <v>49733.651372422</v>
      </c>
      <c r="R46" s="1" t="n">
        <v>298827.254565531</v>
      </c>
      <c r="S46" s="1" t="n">
        <v>348560.905937953</v>
      </c>
      <c r="T46" s="1" t="n">
        <v>48939.094062047</v>
      </c>
      <c r="V46" s="25">
        <f>_CALC_ALLOC!AI46</f>
        <v/>
      </c>
      <c r="W46" s="25">
        <f>_CALC_ALLOC!AJ46</f>
        <v/>
      </c>
      <c r="X46" s="25">
        <f>_CALC_ALLOC!AK46</f>
        <v/>
      </c>
      <c r="Y46" s="25">
        <f>_CALC_ALLOC!AL46</f>
        <v/>
      </c>
      <c r="Z46" s="25">
        <f>_CALC_ALLOC!AM46</f>
        <v/>
      </c>
      <c r="AA46" s="25">
        <f>_CALC_ALLOC!AN46</f>
        <v/>
      </c>
      <c r="AB46" s="25">
        <f>AA46-T46</f>
        <v/>
      </c>
    </row>
    <row r="47">
      <c r="A47" s="1" t="inlineStr">
        <is>
          <t>2027BUD_V1</t>
        </is>
      </c>
      <c r="B47" s="1" t="inlineStr">
        <is>
          <t>12</t>
        </is>
      </c>
      <c r="C47" s="1" t="inlineStr">
        <is>
          <t>2026</t>
        </is>
      </c>
      <c r="D47" s="1" t="inlineStr">
        <is>
          <t>MBWAY_BOR</t>
        </is>
      </c>
      <c r="E47" s="1" t="inlineStr">
        <is>
          <t>MBWAY</t>
        </is>
      </c>
      <c r="F47" s="1" t="inlineStr">
        <is>
          <t>BAC_MGT</t>
        </is>
      </c>
      <c r="G47" s="1" t="inlineStr">
        <is>
          <t>B1</t>
        </is>
      </c>
      <c r="H47" s="1" t="inlineStr">
        <is>
          <t>INIT</t>
        </is>
      </c>
      <c r="I47" s="1" t="n">
        <v>51</v>
      </c>
      <c r="J47" s="1" t="n">
        <v>2</v>
      </c>
      <c r="K47" s="1" t="n">
        <v>375615</v>
      </c>
      <c r="L47" s="1" t="n">
        <v>30182.25</v>
      </c>
      <c r="M47" s="1" t="n">
        <v>65376.75</v>
      </c>
      <c r="N47" s="1" t="n">
        <v>31438.415662651</v>
      </c>
      <c r="O47" s="1" t="n">
        <v>123644.6</v>
      </c>
      <c r="P47" s="1" t="n">
        <v>60378.59968451</v>
      </c>
      <c r="Q47" s="1" t="n">
        <v>61620.665662651</v>
      </c>
      <c r="R47" s="1" t="n">
        <v>249399.94968451</v>
      </c>
      <c r="S47" s="1" t="n">
        <v>311020.615347161</v>
      </c>
      <c r="T47" s="1" t="n">
        <v>64594.384652839</v>
      </c>
      <c r="V47" s="25">
        <f>_CALC_ALLOC!AI47</f>
        <v/>
      </c>
      <c r="W47" s="25">
        <f>_CALC_ALLOC!AJ47</f>
        <v/>
      </c>
      <c r="X47" s="25">
        <f>_CALC_ALLOC!AK47</f>
        <v/>
      </c>
      <c r="Y47" s="25">
        <f>_CALC_ALLOC!AL47</f>
        <v/>
      </c>
      <c r="Z47" s="25">
        <f>_CALC_ALLOC!AM47</f>
        <v/>
      </c>
      <c r="AA47" s="25">
        <f>_CALC_ALLOC!AN47</f>
        <v/>
      </c>
      <c r="AB47" s="25">
        <f>AA47-T47</f>
        <v/>
      </c>
    </row>
    <row r="48">
      <c r="A48" s="1" t="inlineStr">
        <is>
          <t>2027BUD_V1</t>
        </is>
      </c>
      <c r="B48" s="1" t="inlineStr">
        <is>
          <t>12</t>
        </is>
      </c>
      <c r="C48" s="1" t="inlineStr">
        <is>
          <t>2026</t>
        </is>
      </c>
      <c r="D48" s="1" t="inlineStr">
        <is>
          <t>MBWAY_BOR</t>
        </is>
      </c>
      <c r="E48" s="1" t="inlineStr">
        <is>
          <t>MBWAY</t>
        </is>
      </c>
      <c r="F48" s="1" t="inlineStr">
        <is>
          <t>BAC_MGT</t>
        </is>
      </c>
      <c r="G48" s="1" t="inlineStr">
        <is>
          <t>B2</t>
        </is>
      </c>
      <c r="H48" s="1" t="inlineStr">
        <is>
          <t>ALT</t>
        </is>
      </c>
      <c r="I48" s="1" t="n">
        <v>49</v>
      </c>
      <c r="J48" s="1" t="n">
        <v>2</v>
      </c>
      <c r="K48" s="1" t="n">
        <v>332710</v>
      </c>
      <c r="L48" s="1" t="n">
        <v>24145.8</v>
      </c>
      <c r="M48" s="1" t="n">
        <v>52301.4</v>
      </c>
      <c r="N48" s="1" t="n">
        <v>18232.722891566</v>
      </c>
      <c r="O48" s="1" t="n">
        <v>123644.6</v>
      </c>
      <c r="P48" s="1" t="n">
        <v>60378.59968451</v>
      </c>
      <c r="Q48" s="1" t="n">
        <v>42378.522891566</v>
      </c>
      <c r="R48" s="1" t="n">
        <v>236324.59968451</v>
      </c>
      <c r="S48" s="1" t="n">
        <v>278703.122576077</v>
      </c>
      <c r="T48" s="1" t="n">
        <v>54006.877423923</v>
      </c>
      <c r="V48" s="25">
        <f>_CALC_ALLOC!AI48</f>
        <v/>
      </c>
      <c r="W48" s="25">
        <f>_CALC_ALLOC!AJ48</f>
        <v/>
      </c>
      <c r="X48" s="25">
        <f>_CALC_ALLOC!AK48</f>
        <v/>
      </c>
      <c r="Y48" s="25">
        <f>_CALC_ALLOC!AL48</f>
        <v/>
      </c>
      <c r="Z48" s="25">
        <f>_CALC_ALLOC!AM48</f>
        <v/>
      </c>
      <c r="AA48" s="25">
        <f>_CALC_ALLOC!AN48</f>
        <v/>
      </c>
      <c r="AB48" s="25">
        <f>AA48-T48</f>
        <v/>
      </c>
    </row>
    <row r="49">
      <c r="A49" s="1" t="inlineStr">
        <is>
          <t>2027BUD_V1</t>
        </is>
      </c>
      <c r="B49" s="1" t="inlineStr">
        <is>
          <t>12</t>
        </is>
      </c>
      <c r="C49" s="1" t="inlineStr">
        <is>
          <t>2026</t>
        </is>
      </c>
      <c r="D49" s="1" t="inlineStr">
        <is>
          <t>MBWAY_BOR</t>
        </is>
      </c>
      <c r="E49" s="1" t="inlineStr">
        <is>
          <t>MBWAY</t>
        </is>
      </c>
      <c r="F49" s="1" t="inlineStr">
        <is>
          <t>BAC_MGT</t>
        </is>
      </c>
      <c r="G49" s="1" t="inlineStr">
        <is>
          <t>B3</t>
        </is>
      </c>
      <c r="H49" s="1" t="inlineStr">
        <is>
          <t>ALT</t>
        </is>
      </c>
      <c r="I49" s="1" t="n">
        <v>48</v>
      </c>
      <c r="J49" s="1" t="n">
        <v>2</v>
      </c>
      <c r="K49" s="1" t="n">
        <v>325920</v>
      </c>
      <c r="L49" s="1" t="n">
        <v>24145.8</v>
      </c>
      <c r="M49" s="1" t="n">
        <v>52301.4</v>
      </c>
      <c r="N49" s="1" t="n">
        <v>17860.626506024</v>
      </c>
      <c r="O49" s="1" t="n">
        <v>123644.6</v>
      </c>
      <c r="P49" s="1" t="n">
        <v>60378.59968451</v>
      </c>
      <c r="Q49" s="1" t="n">
        <v>42006.426506024</v>
      </c>
      <c r="R49" s="1" t="n">
        <v>236324.59968451</v>
      </c>
      <c r="S49" s="1" t="n">
        <v>278331.026190534</v>
      </c>
      <c r="T49" s="1" t="n">
        <v>47588.973809466</v>
      </c>
      <c r="V49" s="25">
        <f>_CALC_ALLOC!AI49</f>
        <v/>
      </c>
      <c r="W49" s="25">
        <f>_CALC_ALLOC!AJ49</f>
        <v/>
      </c>
      <c r="X49" s="25">
        <f>_CALC_ALLOC!AK49</f>
        <v/>
      </c>
      <c r="Y49" s="25">
        <f>_CALC_ALLOC!AL49</f>
        <v/>
      </c>
      <c r="Z49" s="25">
        <f>_CALC_ALLOC!AM49</f>
        <v/>
      </c>
      <c r="AA49" s="25">
        <f>_CALC_ALLOC!AN49</f>
        <v/>
      </c>
      <c r="AB49" s="25">
        <f>AA49-T49</f>
        <v/>
      </c>
    </row>
    <row r="50">
      <c r="A50" s="1" t="inlineStr">
        <is>
          <t>2027BUD_V1</t>
        </is>
      </c>
      <c r="B50" s="1" t="inlineStr">
        <is>
          <t>12</t>
        </is>
      </c>
      <c r="C50" s="1" t="inlineStr">
        <is>
          <t>2026</t>
        </is>
      </c>
      <c r="D50" s="1" t="inlineStr">
        <is>
          <t>MBWAY_BOR</t>
        </is>
      </c>
      <c r="E50" s="1" t="inlineStr">
        <is>
          <t>MBWAY</t>
        </is>
      </c>
      <c r="F50" s="1" t="inlineStr">
        <is>
          <t>MAS_MGT</t>
        </is>
      </c>
      <c r="G50" s="1" t="inlineStr">
        <is>
          <t>M1</t>
        </is>
      </c>
      <c r="H50" s="1" t="inlineStr">
        <is>
          <t>ALT</t>
        </is>
      </c>
      <c r="I50" s="1" t="n">
        <v>51</v>
      </c>
      <c r="J50" s="1" t="n">
        <v>2</v>
      </c>
      <c r="K50" s="1" t="n">
        <v>375615</v>
      </c>
      <c r="L50" s="1" t="n">
        <v>21127.575</v>
      </c>
      <c r="M50" s="1" t="n">
        <v>45763.725</v>
      </c>
      <c r="N50" s="1" t="n">
        <v>31438.415662651</v>
      </c>
      <c r="O50" s="1" t="n">
        <v>123644.6</v>
      </c>
      <c r="P50" s="1" t="n">
        <v>60378.59968451</v>
      </c>
      <c r="Q50" s="1" t="n">
        <v>52565.990662651</v>
      </c>
      <c r="R50" s="1" t="n">
        <v>229786.92468451</v>
      </c>
      <c r="S50" s="1" t="n">
        <v>282352.915347161</v>
      </c>
      <c r="T50" s="1" t="n">
        <v>93262.084652839</v>
      </c>
      <c r="V50" s="25">
        <f>_CALC_ALLOC!AI50</f>
        <v/>
      </c>
      <c r="W50" s="25">
        <f>_CALC_ALLOC!AJ50</f>
        <v/>
      </c>
      <c r="X50" s="25">
        <f>_CALC_ALLOC!AK50</f>
        <v/>
      </c>
      <c r="Y50" s="25">
        <f>_CALC_ALLOC!AL50</f>
        <v/>
      </c>
      <c r="Z50" s="25">
        <f>_CALC_ALLOC!AM50</f>
        <v/>
      </c>
      <c r="AA50" s="25">
        <f>_CALC_ALLOC!AN50</f>
        <v/>
      </c>
      <c r="AB50" s="25">
        <f>AA50-T50</f>
        <v/>
      </c>
    </row>
    <row r="51">
      <c r="A51" s="1" t="inlineStr">
        <is>
          <t>2027BUD_V1</t>
        </is>
      </c>
      <c r="B51" s="1" t="inlineStr">
        <is>
          <t>12</t>
        </is>
      </c>
      <c r="C51" s="1" t="inlineStr">
        <is>
          <t>2026</t>
        </is>
      </c>
      <c r="D51" s="1" t="inlineStr">
        <is>
          <t>MBWAY_BOR</t>
        </is>
      </c>
      <c r="E51" s="1" t="inlineStr">
        <is>
          <t>MBWAY</t>
        </is>
      </c>
      <c r="F51" s="1" t="inlineStr">
        <is>
          <t>MAS_MGT</t>
        </is>
      </c>
      <c r="G51" s="1" t="inlineStr">
        <is>
          <t>M2</t>
        </is>
      </c>
      <c r="H51" s="1" t="inlineStr">
        <is>
          <t>ALT</t>
        </is>
      </c>
      <c r="I51" s="1" t="n">
        <v>50</v>
      </c>
      <c r="J51" s="1" t="n">
        <v>2</v>
      </c>
      <c r="K51" s="1" t="n">
        <v>363750</v>
      </c>
      <c r="L51" s="1" t="n">
        <v>21127.575</v>
      </c>
      <c r="M51" s="1" t="n">
        <v>45763.725</v>
      </c>
      <c r="N51" s="1" t="n">
        <v>18604.819277108</v>
      </c>
      <c r="O51" s="1" t="n">
        <v>123644.6</v>
      </c>
      <c r="P51" s="1" t="n">
        <v>60378.59968451</v>
      </c>
      <c r="Q51" s="1" t="n">
        <v>39732.394277108</v>
      </c>
      <c r="R51" s="1" t="n">
        <v>229786.92468451</v>
      </c>
      <c r="S51" s="1" t="n">
        <v>269519.318961619</v>
      </c>
      <c r="T51" s="1" t="n">
        <v>94230.68103838099</v>
      </c>
      <c r="V51" s="25">
        <f>_CALC_ALLOC!AI51</f>
        <v/>
      </c>
      <c r="W51" s="25">
        <f>_CALC_ALLOC!AJ51</f>
        <v/>
      </c>
      <c r="X51" s="25">
        <f>_CALC_ALLOC!AK51</f>
        <v/>
      </c>
      <c r="Y51" s="25">
        <f>_CALC_ALLOC!AL51</f>
        <v/>
      </c>
      <c r="Z51" s="25">
        <f>_CALC_ALLOC!AM51</f>
        <v/>
      </c>
      <c r="AA51" s="25">
        <f>_CALC_ALLOC!AN51</f>
        <v/>
      </c>
      <c r="AB51" s="25">
        <f>AA51-T51</f>
        <v/>
      </c>
    </row>
    <row r="52">
      <c r="A52" s="1" t="inlineStr">
        <is>
          <t>2027BUD_V1</t>
        </is>
      </c>
      <c r="B52" s="1" t="inlineStr">
        <is>
          <t>12</t>
        </is>
      </c>
      <c r="C52" s="1" t="inlineStr">
        <is>
          <t>2025</t>
        </is>
      </c>
      <c r="D52" s="1" t="inlineStr">
        <is>
          <t>MBWAY_BOR</t>
        </is>
      </c>
      <c r="E52" s="1" t="inlineStr">
        <is>
          <t>MBWAY</t>
        </is>
      </c>
      <c r="F52" s="1" t="inlineStr">
        <is>
          <t>BAC_MGT</t>
        </is>
      </c>
      <c r="G52" s="1" t="inlineStr">
        <is>
          <t>B1</t>
        </is>
      </c>
      <c r="H52" s="1" t="inlineStr">
        <is>
          <t>INIT</t>
        </is>
      </c>
      <c r="I52" s="1" t="n">
        <v>48</v>
      </c>
      <c r="J52" s="1" t="n">
        <v>2</v>
      </c>
      <c r="K52" s="1" t="n">
        <v>353520</v>
      </c>
      <c r="L52" s="1" t="n">
        <v>28807.25</v>
      </c>
      <c r="M52" s="1" t="n">
        <v>62398.25</v>
      </c>
      <c r="N52" s="1" t="n">
        <v>29467.987179487</v>
      </c>
      <c r="O52" s="1" t="n">
        <v>118011.6</v>
      </c>
      <c r="P52" s="1" t="n">
        <v>56386.635288678</v>
      </c>
      <c r="Q52" s="1" t="n">
        <v>58275.237179487</v>
      </c>
      <c r="R52" s="1" t="n">
        <v>236796.485288678</v>
      </c>
      <c r="S52" s="1" t="n">
        <v>295071.722468165</v>
      </c>
      <c r="T52" s="1" t="n">
        <v>58448.277531835</v>
      </c>
      <c r="V52" s="25">
        <f>_CALC_ALLOC!AI52</f>
        <v/>
      </c>
      <c r="W52" s="25">
        <f>_CALC_ALLOC!AJ52</f>
        <v/>
      </c>
      <c r="X52" s="25">
        <f>_CALC_ALLOC!AK52</f>
        <v/>
      </c>
      <c r="Y52" s="25">
        <f>_CALC_ALLOC!AL52</f>
        <v/>
      </c>
      <c r="Z52" s="25">
        <f>_CALC_ALLOC!AM52</f>
        <v/>
      </c>
      <c r="AA52" s="25">
        <f>_CALC_ALLOC!AN52</f>
        <v/>
      </c>
      <c r="AB52" s="25">
        <f>AA52-T52</f>
        <v/>
      </c>
    </row>
    <row r="53">
      <c r="A53" s="1" t="inlineStr">
        <is>
          <t>2027BUD_V1</t>
        </is>
      </c>
      <c r="B53" s="1" t="inlineStr">
        <is>
          <t>12</t>
        </is>
      </c>
      <c r="C53" s="1" t="inlineStr">
        <is>
          <t>2025</t>
        </is>
      </c>
      <c r="D53" s="1" t="inlineStr">
        <is>
          <t>MBWAY_BOR</t>
        </is>
      </c>
      <c r="E53" s="1" t="inlineStr">
        <is>
          <t>MBWAY</t>
        </is>
      </c>
      <c r="F53" s="1" t="inlineStr">
        <is>
          <t>BAC_MGT</t>
        </is>
      </c>
      <c r="G53" s="1" t="inlineStr">
        <is>
          <t>B2</t>
        </is>
      </c>
      <c r="H53" s="1" t="inlineStr">
        <is>
          <t>ALT</t>
        </is>
      </c>
      <c r="I53" s="1" t="n">
        <v>46</v>
      </c>
      <c r="J53" s="1" t="n">
        <v>2</v>
      </c>
      <c r="K53" s="1" t="n">
        <v>312340</v>
      </c>
      <c r="L53" s="1" t="n">
        <v>23045.8</v>
      </c>
      <c r="M53" s="1" t="n">
        <v>49918.6</v>
      </c>
      <c r="N53" s="1" t="n">
        <v>17383.675213675</v>
      </c>
      <c r="O53" s="1" t="n">
        <v>118011.6</v>
      </c>
      <c r="P53" s="1" t="n">
        <v>56386.635288678</v>
      </c>
      <c r="Q53" s="1" t="n">
        <v>40429.475213675</v>
      </c>
      <c r="R53" s="1" t="n">
        <v>224316.835288678</v>
      </c>
      <c r="S53" s="1" t="n">
        <v>264746.310502353</v>
      </c>
      <c r="T53" s="1" t="n">
        <v>47593.689497647</v>
      </c>
      <c r="V53" s="25">
        <f>_CALC_ALLOC!AI53</f>
        <v/>
      </c>
      <c r="W53" s="25">
        <f>_CALC_ALLOC!AJ53</f>
        <v/>
      </c>
      <c r="X53" s="25">
        <f>_CALC_ALLOC!AK53</f>
        <v/>
      </c>
      <c r="Y53" s="25">
        <f>_CALC_ALLOC!AL53</f>
        <v/>
      </c>
      <c r="Z53" s="25">
        <f>_CALC_ALLOC!AM53</f>
        <v/>
      </c>
      <c r="AA53" s="25">
        <f>_CALC_ALLOC!AN53</f>
        <v/>
      </c>
      <c r="AB53" s="25">
        <f>AA53-T53</f>
        <v/>
      </c>
    </row>
    <row r="54">
      <c r="A54" s="1" t="inlineStr">
        <is>
          <t>2027BUD_V1</t>
        </is>
      </c>
      <c r="B54" s="1" t="inlineStr">
        <is>
          <t>12</t>
        </is>
      </c>
      <c r="C54" s="1" t="inlineStr">
        <is>
          <t>2025</t>
        </is>
      </c>
      <c r="D54" s="1" t="inlineStr">
        <is>
          <t>MBWAY_BOR</t>
        </is>
      </c>
      <c r="E54" s="1" t="inlineStr">
        <is>
          <t>MBWAY</t>
        </is>
      </c>
      <c r="F54" s="1" t="inlineStr">
        <is>
          <t>BAC_MGT</t>
        </is>
      </c>
      <c r="G54" s="1" t="inlineStr">
        <is>
          <t>B3</t>
        </is>
      </c>
      <c r="H54" s="1" t="inlineStr">
        <is>
          <t>ALT</t>
        </is>
      </c>
      <c r="I54" s="1" t="n">
        <v>45</v>
      </c>
      <c r="J54" s="1" t="n">
        <v>2</v>
      </c>
      <c r="K54" s="1" t="n">
        <v>305550</v>
      </c>
      <c r="L54" s="1" t="n">
        <v>23045.8</v>
      </c>
      <c r="M54" s="1" t="n">
        <v>49918.6</v>
      </c>
      <c r="N54" s="1" t="n">
        <v>17005.769230769</v>
      </c>
      <c r="O54" s="1" t="n">
        <v>118011.6</v>
      </c>
      <c r="P54" s="1" t="n">
        <v>56386.635288678</v>
      </c>
      <c r="Q54" s="1" t="n">
        <v>40051.569230769</v>
      </c>
      <c r="R54" s="1" t="n">
        <v>224316.835288678</v>
      </c>
      <c r="S54" s="1" t="n">
        <v>264368.404519447</v>
      </c>
      <c r="T54" s="1" t="n">
        <v>41181.595480553</v>
      </c>
      <c r="V54" s="25">
        <f>_CALC_ALLOC!AI54</f>
        <v/>
      </c>
      <c r="W54" s="25">
        <f>_CALC_ALLOC!AJ54</f>
        <v/>
      </c>
      <c r="X54" s="25">
        <f>_CALC_ALLOC!AK54</f>
        <v/>
      </c>
      <c r="Y54" s="25">
        <f>_CALC_ALLOC!AL54</f>
        <v/>
      </c>
      <c r="Z54" s="25">
        <f>_CALC_ALLOC!AM54</f>
        <v/>
      </c>
      <c r="AA54" s="25">
        <f>_CALC_ALLOC!AN54</f>
        <v/>
      </c>
      <c r="AB54" s="25">
        <f>AA54-T54</f>
        <v/>
      </c>
    </row>
    <row r="55">
      <c r="A55" s="1" t="inlineStr">
        <is>
          <t>2027BUD_V1</t>
        </is>
      </c>
      <c r="B55" s="1" t="inlineStr">
        <is>
          <t>12</t>
        </is>
      </c>
      <c r="C55" s="1" t="inlineStr">
        <is>
          <t>2025</t>
        </is>
      </c>
      <c r="D55" s="1" t="inlineStr">
        <is>
          <t>MBWAY_BOR</t>
        </is>
      </c>
      <c r="E55" s="1" t="inlineStr">
        <is>
          <t>MBWAY</t>
        </is>
      </c>
      <c r="F55" s="1" t="inlineStr">
        <is>
          <t>MAS_MGT</t>
        </is>
      </c>
      <c r="G55" s="1" t="inlineStr">
        <is>
          <t>M1</t>
        </is>
      </c>
      <c r="H55" s="1" t="inlineStr">
        <is>
          <t>ALT</t>
        </is>
      </c>
      <c r="I55" s="1" t="n">
        <v>48</v>
      </c>
      <c r="J55" s="1" t="n">
        <v>2</v>
      </c>
      <c r="K55" s="1" t="n">
        <v>353520</v>
      </c>
      <c r="L55" s="1" t="n">
        <v>20165.075</v>
      </c>
      <c r="M55" s="1" t="n">
        <v>43678.775</v>
      </c>
      <c r="N55" s="1" t="n">
        <v>29467.987179487</v>
      </c>
      <c r="O55" s="1" t="n">
        <v>118011.6</v>
      </c>
      <c r="P55" s="1" t="n">
        <v>56386.635288678</v>
      </c>
      <c r="Q55" s="1" t="n">
        <v>49633.062179487</v>
      </c>
      <c r="R55" s="1" t="n">
        <v>218077.010288678</v>
      </c>
      <c r="S55" s="1" t="n">
        <v>267710.072468165</v>
      </c>
      <c r="T55" s="1" t="n">
        <v>85809.927531835</v>
      </c>
      <c r="V55" s="25">
        <f>_CALC_ALLOC!AI55</f>
        <v/>
      </c>
      <c r="W55" s="25">
        <f>_CALC_ALLOC!AJ55</f>
        <v/>
      </c>
      <c r="X55" s="25">
        <f>_CALC_ALLOC!AK55</f>
        <v/>
      </c>
      <c r="Y55" s="25">
        <f>_CALC_ALLOC!AL55</f>
        <v/>
      </c>
      <c r="Z55" s="25">
        <f>_CALC_ALLOC!AM55</f>
        <v/>
      </c>
      <c r="AA55" s="25">
        <f>_CALC_ALLOC!AN55</f>
        <v/>
      </c>
      <c r="AB55" s="25">
        <f>AA55-T55</f>
        <v/>
      </c>
    </row>
    <row r="56">
      <c r="A56" s="1" t="inlineStr">
        <is>
          <t>2027BUD_V1</t>
        </is>
      </c>
      <c r="B56" s="1" t="inlineStr">
        <is>
          <t>12</t>
        </is>
      </c>
      <c r="C56" s="1" t="inlineStr">
        <is>
          <t>2025</t>
        </is>
      </c>
      <c r="D56" s="1" t="inlineStr">
        <is>
          <t>MBWAY_BOR</t>
        </is>
      </c>
      <c r="E56" s="1" t="inlineStr">
        <is>
          <t>MBWAY</t>
        </is>
      </c>
      <c r="F56" s="1" t="inlineStr">
        <is>
          <t>MAS_MGT</t>
        </is>
      </c>
      <c r="G56" s="1" t="inlineStr">
        <is>
          <t>M2</t>
        </is>
      </c>
      <c r="H56" s="1" t="inlineStr">
        <is>
          <t>ALT</t>
        </is>
      </c>
      <c r="I56" s="1" t="n">
        <v>47</v>
      </c>
      <c r="J56" s="1" t="n">
        <v>2</v>
      </c>
      <c r="K56" s="1" t="n">
        <v>341925</v>
      </c>
      <c r="L56" s="1" t="n">
        <v>20165.075</v>
      </c>
      <c r="M56" s="1" t="n">
        <v>43678.775</v>
      </c>
      <c r="N56" s="1" t="n">
        <v>17761.581196581</v>
      </c>
      <c r="O56" s="1" t="n">
        <v>118011.6</v>
      </c>
      <c r="P56" s="1" t="n">
        <v>56386.635288678</v>
      </c>
      <c r="Q56" s="1" t="n">
        <v>37926.656196581</v>
      </c>
      <c r="R56" s="1" t="n">
        <v>218077.010288678</v>
      </c>
      <c r="S56" s="1" t="n">
        <v>256003.666485259</v>
      </c>
      <c r="T56" s="1" t="n">
        <v>85921.333514741</v>
      </c>
      <c r="V56" s="25">
        <f>_CALC_ALLOC!AI56</f>
        <v/>
      </c>
      <c r="W56" s="25">
        <f>_CALC_ALLOC!AJ56</f>
        <v/>
      </c>
      <c r="X56" s="25">
        <f>_CALC_ALLOC!AK56</f>
        <v/>
      </c>
      <c r="Y56" s="25">
        <f>_CALC_ALLOC!AL56</f>
        <v/>
      </c>
      <c r="Z56" s="25">
        <f>_CALC_ALLOC!AM56</f>
        <v/>
      </c>
      <c r="AA56" s="25">
        <f>_CALC_ALLOC!AN56</f>
        <v/>
      </c>
      <c r="AB56" s="25">
        <f>AA56-T56</f>
        <v/>
      </c>
    </row>
    <row r="57">
      <c r="A57" s="1" t="inlineStr">
        <is>
          <t>2027BUD_V1</t>
        </is>
      </c>
      <c r="B57" s="1" t="inlineStr">
        <is>
          <t>12</t>
        </is>
      </c>
      <c r="C57" s="1" t="inlineStr">
        <is>
          <t>2024</t>
        </is>
      </c>
      <c r="D57" s="1" t="inlineStr">
        <is>
          <t>MBWAY_BOR</t>
        </is>
      </c>
      <c r="E57" s="1" t="inlineStr">
        <is>
          <t>MBWAY</t>
        </is>
      </c>
      <c r="F57" s="1" t="inlineStr">
        <is>
          <t>BAC_MGT</t>
        </is>
      </c>
      <c r="G57" s="1" t="inlineStr">
        <is>
          <t>B1</t>
        </is>
      </c>
      <c r="H57" s="1" t="inlineStr">
        <is>
          <t>INIT</t>
        </is>
      </c>
      <c r="I57" s="1" t="n">
        <v>45</v>
      </c>
      <c r="J57" s="1" t="n">
        <v>2</v>
      </c>
      <c r="K57" s="1" t="n">
        <v>331425</v>
      </c>
      <c r="L57" s="1" t="n">
        <v>27545</v>
      </c>
      <c r="M57" s="1" t="n">
        <v>59664.25</v>
      </c>
      <c r="N57" s="1" t="n">
        <v>27515.785067873</v>
      </c>
      <c r="O57" s="1" t="n">
        <v>112841</v>
      </c>
      <c r="P57" s="1" t="n">
        <v>52935.081024666</v>
      </c>
      <c r="Q57" s="1" t="n">
        <v>55060.785067873</v>
      </c>
      <c r="R57" s="1" t="n">
        <v>225440.331024666</v>
      </c>
      <c r="S57" s="1" t="n">
        <v>280501.116092539</v>
      </c>
      <c r="T57" s="1" t="n">
        <v>50923.883907461</v>
      </c>
      <c r="V57" s="25">
        <f>_CALC_ALLOC!AI57</f>
        <v/>
      </c>
      <c r="W57" s="25">
        <f>_CALC_ALLOC!AJ57</f>
        <v/>
      </c>
      <c r="X57" s="25">
        <f>_CALC_ALLOC!AK57</f>
        <v/>
      </c>
      <c r="Y57" s="25">
        <f>_CALC_ALLOC!AL57</f>
        <v/>
      </c>
      <c r="Z57" s="25">
        <f>_CALC_ALLOC!AM57</f>
        <v/>
      </c>
      <c r="AA57" s="25">
        <f>_CALC_ALLOC!AN57</f>
        <v/>
      </c>
      <c r="AB57" s="25">
        <f>AA57-T57</f>
        <v/>
      </c>
    </row>
    <row r="58">
      <c r="A58" s="1" t="inlineStr">
        <is>
          <t>2027BUD_V1</t>
        </is>
      </c>
      <c r="B58" s="1" t="inlineStr">
        <is>
          <t>12</t>
        </is>
      </c>
      <c r="C58" s="1" t="inlineStr">
        <is>
          <t>2024</t>
        </is>
      </c>
      <c r="D58" s="1" t="inlineStr">
        <is>
          <t>MBWAY_BOR</t>
        </is>
      </c>
      <c r="E58" s="1" t="inlineStr">
        <is>
          <t>MBWAY</t>
        </is>
      </c>
      <c r="F58" s="1" t="inlineStr">
        <is>
          <t>BAC_MGT</t>
        </is>
      </c>
      <c r="G58" s="1" t="inlineStr">
        <is>
          <t>B2</t>
        </is>
      </c>
      <c r="H58" s="1" t="inlineStr">
        <is>
          <t>ALT</t>
        </is>
      </c>
      <c r="I58" s="1" t="n">
        <v>44</v>
      </c>
      <c r="J58" s="1" t="n">
        <v>2</v>
      </c>
      <c r="K58" s="1" t="n">
        <v>298760</v>
      </c>
      <c r="L58" s="1" t="n">
        <v>22036</v>
      </c>
      <c r="M58" s="1" t="n">
        <v>47731.4</v>
      </c>
      <c r="N58" s="1" t="n">
        <v>16834.678733032</v>
      </c>
      <c r="O58" s="1" t="n">
        <v>112841</v>
      </c>
      <c r="P58" s="1" t="n">
        <v>52935.081024666</v>
      </c>
      <c r="Q58" s="1" t="n">
        <v>38870.678733032</v>
      </c>
      <c r="R58" s="1" t="n">
        <v>213507.481024666</v>
      </c>
      <c r="S58" s="1" t="n">
        <v>252378.159757698</v>
      </c>
      <c r="T58" s="1" t="n">
        <v>46381.840242302</v>
      </c>
      <c r="V58" s="25">
        <f>_CALC_ALLOC!AI58</f>
        <v/>
      </c>
      <c r="W58" s="25">
        <f>_CALC_ALLOC!AJ58</f>
        <v/>
      </c>
      <c r="X58" s="25">
        <f>_CALC_ALLOC!AK58</f>
        <v/>
      </c>
      <c r="Y58" s="25">
        <f>_CALC_ALLOC!AL58</f>
        <v/>
      </c>
      <c r="Z58" s="25">
        <f>_CALC_ALLOC!AM58</f>
        <v/>
      </c>
      <c r="AA58" s="25">
        <f>_CALC_ALLOC!AN58</f>
        <v/>
      </c>
      <c r="AB58" s="25">
        <f>AA58-T58</f>
        <v/>
      </c>
    </row>
    <row r="59">
      <c r="A59" s="1" t="inlineStr">
        <is>
          <t>2027BUD_V1</t>
        </is>
      </c>
      <c r="B59" s="1" t="inlineStr">
        <is>
          <t>12</t>
        </is>
      </c>
      <c r="C59" s="1" t="inlineStr">
        <is>
          <t>2024</t>
        </is>
      </c>
      <c r="D59" s="1" t="inlineStr">
        <is>
          <t>MBWAY_BOR</t>
        </is>
      </c>
      <c r="E59" s="1" t="inlineStr">
        <is>
          <t>MBWAY</t>
        </is>
      </c>
      <c r="F59" s="1" t="inlineStr">
        <is>
          <t>BAC_MGT</t>
        </is>
      </c>
      <c r="G59" s="1" t="inlineStr">
        <is>
          <t>B3</t>
        </is>
      </c>
      <c r="H59" s="1" t="inlineStr">
        <is>
          <t>ALT</t>
        </is>
      </c>
      <c r="I59" s="1" t="n">
        <v>43</v>
      </c>
      <c r="J59" s="1" t="n">
        <v>2</v>
      </c>
      <c r="K59" s="1" t="n">
        <v>291970</v>
      </c>
      <c r="L59" s="1" t="n">
        <v>22036</v>
      </c>
      <c r="M59" s="1" t="n">
        <v>47731.4</v>
      </c>
      <c r="N59" s="1" t="n">
        <v>16452.07239819</v>
      </c>
      <c r="O59" s="1" t="n">
        <v>112841</v>
      </c>
      <c r="P59" s="1" t="n">
        <v>52935.081024666</v>
      </c>
      <c r="Q59" s="1" t="n">
        <v>38488.07239819</v>
      </c>
      <c r="R59" s="1" t="n">
        <v>213507.481024666</v>
      </c>
      <c r="S59" s="1" t="n">
        <v>251995.553422856</v>
      </c>
      <c r="T59" s="1" t="n">
        <v>39974.446577144</v>
      </c>
      <c r="V59" s="25">
        <f>_CALC_ALLOC!AI59</f>
        <v/>
      </c>
      <c r="W59" s="25">
        <f>_CALC_ALLOC!AJ59</f>
        <v/>
      </c>
      <c r="X59" s="25">
        <f>_CALC_ALLOC!AK59</f>
        <v/>
      </c>
      <c r="Y59" s="25">
        <f>_CALC_ALLOC!AL59</f>
        <v/>
      </c>
      <c r="Z59" s="25">
        <f>_CALC_ALLOC!AM59</f>
        <v/>
      </c>
      <c r="AA59" s="25">
        <f>_CALC_ALLOC!AN59</f>
        <v/>
      </c>
      <c r="AB59" s="25">
        <f>AA59-T59</f>
        <v/>
      </c>
    </row>
    <row r="60">
      <c r="A60" s="1" t="inlineStr">
        <is>
          <t>2027BUD_V1</t>
        </is>
      </c>
      <c r="B60" s="1" t="inlineStr">
        <is>
          <t>12</t>
        </is>
      </c>
      <c r="C60" s="1" t="inlineStr">
        <is>
          <t>2024</t>
        </is>
      </c>
      <c r="D60" s="1" t="inlineStr">
        <is>
          <t>MBWAY_BOR</t>
        </is>
      </c>
      <c r="E60" s="1" t="inlineStr">
        <is>
          <t>MBWAY</t>
        </is>
      </c>
      <c r="F60" s="1" t="inlineStr">
        <is>
          <t>MAS_MGT</t>
        </is>
      </c>
      <c r="G60" s="1" t="inlineStr">
        <is>
          <t>M1</t>
        </is>
      </c>
      <c r="H60" s="1" t="inlineStr">
        <is>
          <t>ALT</t>
        </is>
      </c>
      <c r="I60" s="1" t="n">
        <v>45</v>
      </c>
      <c r="J60" s="1" t="n">
        <v>2</v>
      </c>
      <c r="K60" s="1" t="n">
        <v>331425</v>
      </c>
      <c r="L60" s="1" t="n">
        <v>19281.5</v>
      </c>
      <c r="M60" s="1" t="n">
        <v>41764.975</v>
      </c>
      <c r="N60" s="1" t="n">
        <v>27515.785067873</v>
      </c>
      <c r="O60" s="1" t="n">
        <v>112841</v>
      </c>
      <c r="P60" s="1" t="n">
        <v>52935.081024666</v>
      </c>
      <c r="Q60" s="1" t="n">
        <v>46797.285067873</v>
      </c>
      <c r="R60" s="1" t="n">
        <v>207541.056024666</v>
      </c>
      <c r="S60" s="1" t="n">
        <v>254338.341092539</v>
      </c>
      <c r="T60" s="1" t="n">
        <v>77086.65890746099</v>
      </c>
      <c r="V60" s="25">
        <f>_CALC_ALLOC!AI60</f>
        <v/>
      </c>
      <c r="W60" s="25">
        <f>_CALC_ALLOC!AJ60</f>
        <v/>
      </c>
      <c r="X60" s="25">
        <f>_CALC_ALLOC!AK60</f>
        <v/>
      </c>
      <c r="Y60" s="25">
        <f>_CALC_ALLOC!AL60</f>
        <v/>
      </c>
      <c r="Z60" s="25">
        <f>_CALC_ALLOC!AM60</f>
        <v/>
      </c>
      <c r="AA60" s="25">
        <f>_CALC_ALLOC!AN60</f>
        <v/>
      </c>
      <c r="AB60" s="25">
        <f>AA60-T60</f>
        <v/>
      </c>
    </row>
    <row r="61">
      <c r="A61" s="1" t="inlineStr">
        <is>
          <t>2027BUD_V1</t>
        </is>
      </c>
      <c r="B61" s="1" t="inlineStr">
        <is>
          <t>12</t>
        </is>
      </c>
      <c r="C61" s="1" t="inlineStr">
        <is>
          <t>2024</t>
        </is>
      </c>
      <c r="D61" s="1" t="inlineStr">
        <is>
          <t>MBWAY_BOR</t>
        </is>
      </c>
      <c r="E61" s="1" t="inlineStr">
        <is>
          <t>MBWAY</t>
        </is>
      </c>
      <c r="F61" s="1" t="inlineStr">
        <is>
          <t>MAS_MGT</t>
        </is>
      </c>
      <c r="G61" s="1" t="inlineStr">
        <is>
          <t>M2</t>
        </is>
      </c>
      <c r="H61" s="1" t="inlineStr">
        <is>
          <t>ALT</t>
        </is>
      </c>
      <c r="I61" s="1" t="n">
        <v>44</v>
      </c>
      <c r="J61" s="1" t="n">
        <v>2</v>
      </c>
      <c r="K61" s="1" t="n">
        <v>320100</v>
      </c>
      <c r="L61" s="1" t="n">
        <v>19281.5</v>
      </c>
      <c r="M61" s="1" t="n">
        <v>41764.975</v>
      </c>
      <c r="N61" s="1" t="n">
        <v>16834.678733032</v>
      </c>
      <c r="O61" s="1" t="n">
        <v>112841</v>
      </c>
      <c r="P61" s="1" t="n">
        <v>52935.081024666</v>
      </c>
      <c r="Q61" s="1" t="n">
        <v>36116.178733032</v>
      </c>
      <c r="R61" s="1" t="n">
        <v>207541.056024666</v>
      </c>
      <c r="S61" s="1" t="n">
        <v>243657.234757698</v>
      </c>
      <c r="T61" s="1" t="n">
        <v>76442.765242302</v>
      </c>
      <c r="V61" s="25">
        <f>_CALC_ALLOC!AI61</f>
        <v/>
      </c>
      <c r="W61" s="25">
        <f>_CALC_ALLOC!AJ61</f>
        <v/>
      </c>
      <c r="X61" s="25">
        <f>_CALC_ALLOC!AK61</f>
        <v/>
      </c>
      <c r="Y61" s="25">
        <f>_CALC_ALLOC!AL61</f>
        <v/>
      </c>
      <c r="Z61" s="25">
        <f>_CALC_ALLOC!AM61</f>
        <v/>
      </c>
      <c r="AA61" s="25">
        <f>_CALC_ALLOC!AN61</f>
        <v/>
      </c>
      <c r="AB61" s="25">
        <f>AA61-T61</f>
        <v/>
      </c>
    </row>
    <row r="62">
      <c r="A62" s="1" t="inlineStr">
        <is>
          <t>2027BUD_V1</t>
        </is>
      </c>
      <c r="B62" s="1" t="inlineStr">
        <is>
          <t>12</t>
        </is>
      </c>
      <c r="C62" s="1" t="inlineStr">
        <is>
          <t>2026</t>
        </is>
      </c>
      <c r="D62" s="1" t="inlineStr">
        <is>
          <t>ISCOM_PAR</t>
        </is>
      </c>
      <c r="E62" s="1" t="inlineStr">
        <is>
          <t>ISCOM</t>
        </is>
      </c>
      <c r="F62" s="1" t="inlineStr">
        <is>
          <t>BAC_COM</t>
        </is>
      </c>
      <c r="G62" s="1" t="inlineStr">
        <is>
          <t>B1</t>
        </is>
      </c>
      <c r="H62" s="1" t="inlineStr">
        <is>
          <t>INIT</t>
        </is>
      </c>
      <c r="I62" s="1" t="n">
        <v>72</v>
      </c>
      <c r="J62" s="1" t="n">
        <v>3</v>
      </c>
      <c r="K62" s="1" t="n">
        <v>611280</v>
      </c>
      <c r="L62" s="1" t="n">
        <v>45273.5</v>
      </c>
      <c r="M62" s="1" t="n">
        <v>151300.5</v>
      </c>
      <c r="N62" s="1" t="n">
        <v>57190.915254237</v>
      </c>
      <c r="O62" s="1" t="n">
        <v>276041.6</v>
      </c>
      <c r="P62" s="1" t="n">
        <v>85059.94668547501</v>
      </c>
      <c r="Q62" s="1" t="n">
        <v>102464.415254237</v>
      </c>
      <c r="R62" s="1" t="n">
        <v>512402.046685475</v>
      </c>
      <c r="S62" s="1" t="n">
        <v>614866.4619397121</v>
      </c>
      <c r="T62" s="1" t="n">
        <v>-3586.461939712</v>
      </c>
      <c r="V62" s="25">
        <f>_CALC_ALLOC!AI62</f>
        <v/>
      </c>
      <c r="W62" s="25">
        <f>_CALC_ALLOC!AJ62</f>
        <v/>
      </c>
      <c r="X62" s="25">
        <f>_CALC_ALLOC!AK62</f>
        <v/>
      </c>
      <c r="Y62" s="25">
        <f>_CALC_ALLOC!AL62</f>
        <v/>
      </c>
      <c r="Z62" s="25">
        <f>_CALC_ALLOC!AM62</f>
        <v/>
      </c>
      <c r="AA62" s="25">
        <f>_CALC_ALLOC!AN62</f>
        <v/>
      </c>
      <c r="AB62" s="25">
        <f>AA62-T62</f>
        <v/>
      </c>
    </row>
    <row r="63">
      <c r="A63" s="1" t="inlineStr">
        <is>
          <t>2027BUD_V1</t>
        </is>
      </c>
      <c r="B63" s="1" t="inlineStr">
        <is>
          <t>12</t>
        </is>
      </c>
      <c r="C63" s="1" t="inlineStr">
        <is>
          <t>2026</t>
        </is>
      </c>
      <c r="D63" s="1" t="inlineStr">
        <is>
          <t>ISCOM_PAR</t>
        </is>
      </c>
      <c r="E63" s="1" t="inlineStr">
        <is>
          <t>ISCOM</t>
        </is>
      </c>
      <c r="F63" s="1" t="inlineStr">
        <is>
          <t>BAC_COM</t>
        </is>
      </c>
      <c r="G63" s="1" t="inlineStr">
        <is>
          <t>B2</t>
        </is>
      </c>
      <c r="H63" s="1" t="inlineStr">
        <is>
          <t>ALT</t>
        </is>
      </c>
      <c r="I63" s="1" t="n">
        <v>70</v>
      </c>
      <c r="J63" s="1" t="n">
        <v>3</v>
      </c>
      <c r="K63" s="1" t="n">
        <v>548800</v>
      </c>
      <c r="L63" s="1" t="n">
        <v>36218.8</v>
      </c>
      <c r="M63" s="1" t="n">
        <v>121040.4</v>
      </c>
      <c r="N63" s="1" t="n">
        <v>26046.723163842</v>
      </c>
      <c r="O63" s="1" t="n">
        <v>276041.6</v>
      </c>
      <c r="P63" s="1" t="n">
        <v>85059.94668547501</v>
      </c>
      <c r="Q63" s="1" t="n">
        <v>62265.523163842</v>
      </c>
      <c r="R63" s="1" t="n">
        <v>482141.946685475</v>
      </c>
      <c r="S63" s="1" t="n">
        <v>544407.469849317</v>
      </c>
      <c r="T63" s="1" t="n">
        <v>4392.530150683</v>
      </c>
      <c r="V63" s="25">
        <f>_CALC_ALLOC!AI63</f>
        <v/>
      </c>
      <c r="W63" s="25">
        <f>_CALC_ALLOC!AJ63</f>
        <v/>
      </c>
      <c r="X63" s="25">
        <f>_CALC_ALLOC!AK63</f>
        <v/>
      </c>
      <c r="Y63" s="25">
        <f>_CALC_ALLOC!AL63</f>
        <v/>
      </c>
      <c r="Z63" s="25">
        <f>_CALC_ALLOC!AM63</f>
        <v/>
      </c>
      <c r="AA63" s="25">
        <f>_CALC_ALLOC!AN63</f>
        <v/>
      </c>
      <c r="AB63" s="25">
        <f>AA63-T63</f>
        <v/>
      </c>
    </row>
    <row r="64">
      <c r="A64" s="1" t="inlineStr">
        <is>
          <t>2027BUD_V1</t>
        </is>
      </c>
      <c r="B64" s="1" t="inlineStr">
        <is>
          <t>12</t>
        </is>
      </c>
      <c r="C64" s="1" t="inlineStr">
        <is>
          <t>2026</t>
        </is>
      </c>
      <c r="D64" s="1" t="inlineStr">
        <is>
          <t>ISCOM_PAR</t>
        </is>
      </c>
      <c r="E64" s="1" t="inlineStr">
        <is>
          <t>ISCOM</t>
        </is>
      </c>
      <c r="F64" s="1" t="inlineStr">
        <is>
          <t>BAC_COM</t>
        </is>
      </c>
      <c r="G64" s="1" t="inlineStr">
        <is>
          <t>B3</t>
        </is>
      </c>
      <c r="H64" s="1" t="inlineStr">
        <is>
          <t>ALT</t>
        </is>
      </c>
      <c r="I64" s="1" t="n">
        <v>69</v>
      </c>
      <c r="J64" s="1" t="n">
        <v>3</v>
      </c>
      <c r="K64" s="1" t="n">
        <v>540960</v>
      </c>
      <c r="L64" s="1" t="n">
        <v>36218.8</v>
      </c>
      <c r="M64" s="1" t="n">
        <v>121040.4</v>
      </c>
      <c r="N64" s="1" t="n">
        <v>25674.627118644</v>
      </c>
      <c r="O64" s="1" t="n">
        <v>276041.6</v>
      </c>
      <c r="P64" s="1" t="n">
        <v>85059.94668547501</v>
      </c>
      <c r="Q64" s="1" t="n">
        <v>61893.427118644</v>
      </c>
      <c r="R64" s="1" t="n">
        <v>482141.946685475</v>
      </c>
      <c r="S64" s="1" t="n">
        <v>544035.3738041189</v>
      </c>
      <c r="T64" s="1" t="n">
        <v>-3075.373804119</v>
      </c>
      <c r="V64" s="25">
        <f>_CALC_ALLOC!AI64</f>
        <v/>
      </c>
      <c r="W64" s="25">
        <f>_CALC_ALLOC!AJ64</f>
        <v/>
      </c>
      <c r="X64" s="25">
        <f>_CALC_ALLOC!AK64</f>
        <v/>
      </c>
      <c r="Y64" s="25">
        <f>_CALC_ALLOC!AL64</f>
        <v/>
      </c>
      <c r="Z64" s="25">
        <f>_CALC_ALLOC!AM64</f>
        <v/>
      </c>
      <c r="AA64" s="25">
        <f>_CALC_ALLOC!AN64</f>
        <v/>
      </c>
      <c r="AB64" s="25">
        <f>AA64-T64</f>
        <v/>
      </c>
    </row>
    <row r="65">
      <c r="A65" s="1" t="inlineStr">
        <is>
          <t>2027BUD_V1</t>
        </is>
      </c>
      <c r="B65" s="1" t="inlineStr">
        <is>
          <t>12</t>
        </is>
      </c>
      <c r="C65" s="1" t="inlineStr">
        <is>
          <t>2026</t>
        </is>
      </c>
      <c r="D65" s="1" t="inlineStr">
        <is>
          <t>ISCOM_PAR</t>
        </is>
      </c>
      <c r="E65" s="1" t="inlineStr">
        <is>
          <t>ISCOM</t>
        </is>
      </c>
      <c r="F65" s="1" t="inlineStr">
        <is>
          <t>MAS_COM</t>
        </is>
      </c>
      <c r="G65" s="1" t="inlineStr">
        <is>
          <t>M1</t>
        </is>
      </c>
      <c r="H65" s="1" t="inlineStr">
        <is>
          <t>ALT</t>
        </is>
      </c>
      <c r="I65" s="1" t="n">
        <v>72</v>
      </c>
      <c r="J65" s="1" t="n">
        <v>3</v>
      </c>
      <c r="K65" s="1" t="n">
        <v>611280</v>
      </c>
      <c r="L65" s="1" t="n">
        <v>31691.45</v>
      </c>
      <c r="M65" s="1" t="n">
        <v>105910.35</v>
      </c>
      <c r="N65" s="1" t="n">
        <v>57190.915254237</v>
      </c>
      <c r="O65" s="1" t="n">
        <v>276041.6</v>
      </c>
      <c r="P65" s="1" t="n">
        <v>85059.94668547501</v>
      </c>
      <c r="Q65" s="1" t="n">
        <v>88882.365254237</v>
      </c>
      <c r="R65" s="1" t="n">
        <v>467011.896685475</v>
      </c>
      <c r="S65" s="1" t="n">
        <v>555894.261939712</v>
      </c>
      <c r="T65" s="1" t="n">
        <v>55385.738060288</v>
      </c>
      <c r="V65" s="25">
        <f>_CALC_ALLOC!AI65</f>
        <v/>
      </c>
      <c r="W65" s="25">
        <f>_CALC_ALLOC!AJ65</f>
        <v/>
      </c>
      <c r="X65" s="25">
        <f>_CALC_ALLOC!AK65</f>
        <v/>
      </c>
      <c r="Y65" s="25">
        <f>_CALC_ALLOC!AL65</f>
        <v/>
      </c>
      <c r="Z65" s="25">
        <f>_CALC_ALLOC!AM65</f>
        <v/>
      </c>
      <c r="AA65" s="25">
        <f>_CALC_ALLOC!AN65</f>
        <v/>
      </c>
      <c r="AB65" s="25">
        <f>AA65-T65</f>
        <v/>
      </c>
    </row>
    <row r="66">
      <c r="A66" s="1" t="inlineStr">
        <is>
          <t>2027BUD_V1</t>
        </is>
      </c>
      <c r="B66" s="1" t="inlineStr">
        <is>
          <t>12</t>
        </is>
      </c>
      <c r="C66" s="1" t="inlineStr">
        <is>
          <t>2026</t>
        </is>
      </c>
      <c r="D66" s="1" t="inlineStr">
        <is>
          <t>ISCOM_PAR</t>
        </is>
      </c>
      <c r="E66" s="1" t="inlineStr">
        <is>
          <t>ISCOM</t>
        </is>
      </c>
      <c r="F66" s="1" t="inlineStr">
        <is>
          <t>MAS_COM</t>
        </is>
      </c>
      <c r="G66" s="1" t="inlineStr">
        <is>
          <t>M2</t>
        </is>
      </c>
      <c r="H66" s="1" t="inlineStr">
        <is>
          <t>ALT</t>
        </is>
      </c>
      <c r="I66" s="1" t="n">
        <v>71</v>
      </c>
      <c r="J66" s="1" t="n">
        <v>3</v>
      </c>
      <c r="K66" s="1" t="n">
        <v>596400</v>
      </c>
      <c r="L66" s="1" t="n">
        <v>31691.45</v>
      </c>
      <c r="M66" s="1" t="n">
        <v>105910.35</v>
      </c>
      <c r="N66" s="1" t="n">
        <v>26418.81920904</v>
      </c>
      <c r="O66" s="1" t="n">
        <v>276041.6</v>
      </c>
      <c r="P66" s="1" t="n">
        <v>85059.94668547501</v>
      </c>
      <c r="Q66" s="1" t="n">
        <v>58110.26920904</v>
      </c>
      <c r="R66" s="1" t="n">
        <v>467011.896685475</v>
      </c>
      <c r="S66" s="1" t="n">
        <v>525122.165894515</v>
      </c>
      <c r="T66" s="1" t="n">
        <v>71277.834105485</v>
      </c>
      <c r="V66" s="25">
        <f>_CALC_ALLOC!AI66</f>
        <v/>
      </c>
      <c r="W66" s="25">
        <f>_CALC_ALLOC!AJ66</f>
        <v/>
      </c>
      <c r="X66" s="25">
        <f>_CALC_ALLOC!AK66</f>
        <v/>
      </c>
      <c r="Y66" s="25">
        <f>_CALC_ALLOC!AL66</f>
        <v/>
      </c>
      <c r="Z66" s="25">
        <f>_CALC_ALLOC!AM66</f>
        <v/>
      </c>
      <c r="AA66" s="25">
        <f>_CALC_ALLOC!AN66</f>
        <v/>
      </c>
      <c r="AB66" s="25">
        <f>AA66-T66</f>
        <v/>
      </c>
    </row>
    <row r="67">
      <c r="A67" s="1" t="inlineStr">
        <is>
          <t>2027BUD_V1</t>
        </is>
      </c>
      <c r="B67" s="1" t="inlineStr">
        <is>
          <t>12</t>
        </is>
      </c>
      <c r="C67" s="1" t="inlineStr">
        <is>
          <t>2025</t>
        </is>
      </c>
      <c r="D67" s="1" t="inlineStr">
        <is>
          <t>ISCOM_PAR</t>
        </is>
      </c>
      <c r="E67" s="1" t="inlineStr">
        <is>
          <t>ISCOM</t>
        </is>
      </c>
      <c r="F67" s="1" t="inlineStr">
        <is>
          <t>BAC_COM</t>
        </is>
      </c>
      <c r="G67" s="1" t="inlineStr">
        <is>
          <t>B1</t>
        </is>
      </c>
      <c r="H67" s="1" t="inlineStr">
        <is>
          <t>INIT</t>
        </is>
      </c>
      <c r="I67" s="1" t="n">
        <v>68</v>
      </c>
      <c r="J67" s="1" t="n">
        <v>3</v>
      </c>
      <c r="K67" s="1" t="n">
        <v>577320</v>
      </c>
      <c r="L67" s="1" t="n">
        <v>43211</v>
      </c>
      <c r="M67" s="1" t="n">
        <v>144407.5</v>
      </c>
      <c r="N67" s="1" t="n">
        <v>53231.688622754</v>
      </c>
      <c r="O67" s="1" t="n">
        <v>263465.8</v>
      </c>
      <c r="P67" s="1" t="n">
        <v>79766.40863527</v>
      </c>
      <c r="Q67" s="1" t="n">
        <v>96442.68862275399</v>
      </c>
      <c r="R67" s="1" t="n">
        <v>487639.70863527</v>
      </c>
      <c r="S67" s="1" t="n">
        <v>584082.397258025</v>
      </c>
      <c r="T67" s="1" t="n">
        <v>-6762.397258025</v>
      </c>
      <c r="V67" s="25">
        <f>_CALC_ALLOC!AI67</f>
        <v/>
      </c>
      <c r="W67" s="25">
        <f>_CALC_ALLOC!AJ67</f>
        <v/>
      </c>
      <c r="X67" s="25">
        <f>_CALC_ALLOC!AK67</f>
        <v/>
      </c>
      <c r="Y67" s="25">
        <f>_CALC_ALLOC!AL67</f>
        <v/>
      </c>
      <c r="Z67" s="25">
        <f>_CALC_ALLOC!AM67</f>
        <v/>
      </c>
      <c r="AA67" s="25">
        <f>_CALC_ALLOC!AN67</f>
        <v/>
      </c>
      <c r="AB67" s="25">
        <f>AA67-T67</f>
        <v/>
      </c>
    </row>
    <row r="68">
      <c r="A68" s="1" t="inlineStr">
        <is>
          <t>2027BUD_V1</t>
        </is>
      </c>
      <c r="B68" s="1" t="inlineStr">
        <is>
          <t>12</t>
        </is>
      </c>
      <c r="C68" s="1" t="inlineStr">
        <is>
          <t>2025</t>
        </is>
      </c>
      <c r="D68" s="1" t="inlineStr">
        <is>
          <t>ISCOM_PAR</t>
        </is>
      </c>
      <c r="E68" s="1" t="inlineStr">
        <is>
          <t>ISCOM</t>
        </is>
      </c>
      <c r="F68" s="1" t="inlineStr">
        <is>
          <t>BAC_COM</t>
        </is>
      </c>
      <c r="G68" s="1" t="inlineStr">
        <is>
          <t>B2</t>
        </is>
      </c>
      <c r="H68" s="1" t="inlineStr">
        <is>
          <t>ALT</t>
        </is>
      </c>
      <c r="I68" s="1" t="n">
        <v>66</v>
      </c>
      <c r="J68" s="1" t="n">
        <v>3</v>
      </c>
      <c r="K68" s="1" t="n">
        <v>517440</v>
      </c>
      <c r="L68" s="1" t="n">
        <v>34568.8</v>
      </c>
      <c r="M68" s="1" t="n">
        <v>115526</v>
      </c>
      <c r="N68" s="1" t="n">
        <v>24842.874251497</v>
      </c>
      <c r="O68" s="1" t="n">
        <v>263465.8</v>
      </c>
      <c r="P68" s="1" t="n">
        <v>79766.40863527</v>
      </c>
      <c r="Q68" s="1" t="n">
        <v>59411.674251497</v>
      </c>
      <c r="R68" s="1" t="n">
        <v>458758.20863527</v>
      </c>
      <c r="S68" s="1" t="n">
        <v>518169.882886767</v>
      </c>
      <c r="T68" s="1" t="n">
        <v>-729.8828867669999</v>
      </c>
      <c r="V68" s="25">
        <f>_CALC_ALLOC!AI68</f>
        <v/>
      </c>
      <c r="W68" s="25">
        <f>_CALC_ALLOC!AJ68</f>
        <v/>
      </c>
      <c r="X68" s="25">
        <f>_CALC_ALLOC!AK68</f>
        <v/>
      </c>
      <c r="Y68" s="25">
        <f>_CALC_ALLOC!AL68</f>
        <v/>
      </c>
      <c r="Z68" s="25">
        <f>_CALC_ALLOC!AM68</f>
        <v/>
      </c>
      <c r="AA68" s="25">
        <f>_CALC_ALLOC!AN68</f>
        <v/>
      </c>
      <c r="AB68" s="25">
        <f>AA68-T68</f>
        <v/>
      </c>
    </row>
    <row r="69">
      <c r="A69" s="1" t="inlineStr">
        <is>
          <t>2027BUD_V1</t>
        </is>
      </c>
      <c r="B69" s="1" t="inlineStr">
        <is>
          <t>12</t>
        </is>
      </c>
      <c r="C69" s="1" t="inlineStr">
        <is>
          <t>2025</t>
        </is>
      </c>
      <c r="D69" s="1" t="inlineStr">
        <is>
          <t>ISCOM_PAR</t>
        </is>
      </c>
      <c r="E69" s="1" t="inlineStr">
        <is>
          <t>ISCOM</t>
        </is>
      </c>
      <c r="F69" s="1" t="inlineStr">
        <is>
          <t>BAC_COM</t>
        </is>
      </c>
      <c r="G69" s="1" t="inlineStr">
        <is>
          <t>B3</t>
        </is>
      </c>
      <c r="H69" s="1" t="inlineStr">
        <is>
          <t>ALT</t>
        </is>
      </c>
      <c r="I69" s="1" t="n">
        <v>65</v>
      </c>
      <c r="J69" s="1" t="n">
        <v>3</v>
      </c>
      <c r="K69" s="1" t="n">
        <v>509600</v>
      </c>
      <c r="L69" s="1" t="n">
        <v>34568.8</v>
      </c>
      <c r="M69" s="1" t="n">
        <v>115526</v>
      </c>
      <c r="N69" s="1" t="n">
        <v>24466.467065868</v>
      </c>
      <c r="O69" s="1" t="n">
        <v>263465.8</v>
      </c>
      <c r="P69" s="1" t="n">
        <v>79766.40863527</v>
      </c>
      <c r="Q69" s="1" t="n">
        <v>59035.267065868</v>
      </c>
      <c r="R69" s="1" t="n">
        <v>458758.20863527</v>
      </c>
      <c r="S69" s="1" t="n">
        <v>517793.475701138</v>
      </c>
      <c r="T69" s="1" t="n">
        <v>-8193.475701138001</v>
      </c>
      <c r="V69" s="25">
        <f>_CALC_ALLOC!AI69</f>
        <v/>
      </c>
      <c r="W69" s="25">
        <f>_CALC_ALLOC!AJ69</f>
        <v/>
      </c>
      <c r="X69" s="25">
        <f>_CALC_ALLOC!AK69</f>
        <v/>
      </c>
      <c r="Y69" s="25">
        <f>_CALC_ALLOC!AL69</f>
        <v/>
      </c>
      <c r="Z69" s="25">
        <f>_CALC_ALLOC!AM69</f>
        <v/>
      </c>
      <c r="AA69" s="25">
        <f>_CALC_ALLOC!AN69</f>
        <v/>
      </c>
      <c r="AB69" s="25">
        <f>AA69-T69</f>
        <v/>
      </c>
    </row>
    <row r="70">
      <c r="A70" s="1" t="inlineStr">
        <is>
          <t>2027BUD_V1</t>
        </is>
      </c>
      <c r="B70" s="1" t="inlineStr">
        <is>
          <t>12</t>
        </is>
      </c>
      <c r="C70" s="1" t="inlineStr">
        <is>
          <t>2025</t>
        </is>
      </c>
      <c r="D70" s="1" t="inlineStr">
        <is>
          <t>ISCOM_PAR</t>
        </is>
      </c>
      <c r="E70" s="1" t="inlineStr">
        <is>
          <t>ISCOM</t>
        </is>
      </c>
      <c r="F70" s="1" t="inlineStr">
        <is>
          <t>MAS_COM</t>
        </is>
      </c>
      <c r="G70" s="1" t="inlineStr">
        <is>
          <t>M1</t>
        </is>
      </c>
      <c r="H70" s="1" t="inlineStr">
        <is>
          <t>ALT</t>
        </is>
      </c>
      <c r="I70" s="1" t="n">
        <v>68</v>
      </c>
      <c r="J70" s="1" t="n">
        <v>3</v>
      </c>
      <c r="K70" s="1" t="n">
        <v>577320</v>
      </c>
      <c r="L70" s="1" t="n">
        <v>30247.7</v>
      </c>
      <c r="M70" s="1" t="n">
        <v>101085.25</v>
      </c>
      <c r="N70" s="1" t="n">
        <v>53231.688622754</v>
      </c>
      <c r="O70" s="1" t="n">
        <v>263465.8</v>
      </c>
      <c r="P70" s="1" t="n">
        <v>79766.40863527</v>
      </c>
      <c r="Q70" s="1" t="n">
        <v>83479.38862275401</v>
      </c>
      <c r="R70" s="1" t="n">
        <v>444317.45863527</v>
      </c>
      <c r="S70" s="1" t="n">
        <v>527796.847258025</v>
      </c>
      <c r="T70" s="1" t="n">
        <v>49523.152741975</v>
      </c>
      <c r="V70" s="25">
        <f>_CALC_ALLOC!AI70</f>
        <v/>
      </c>
      <c r="W70" s="25">
        <f>_CALC_ALLOC!AJ70</f>
        <v/>
      </c>
      <c r="X70" s="25">
        <f>_CALC_ALLOC!AK70</f>
        <v/>
      </c>
      <c r="Y70" s="25">
        <f>_CALC_ALLOC!AL70</f>
        <v/>
      </c>
      <c r="Z70" s="25">
        <f>_CALC_ALLOC!AM70</f>
        <v/>
      </c>
      <c r="AA70" s="25">
        <f>_CALC_ALLOC!AN70</f>
        <v/>
      </c>
      <c r="AB70" s="25">
        <f>AA70-T70</f>
        <v/>
      </c>
    </row>
    <row r="71">
      <c r="A71" s="1" t="inlineStr">
        <is>
          <t>2027BUD_V1</t>
        </is>
      </c>
      <c r="B71" s="1" t="inlineStr">
        <is>
          <t>12</t>
        </is>
      </c>
      <c r="C71" s="1" t="inlineStr">
        <is>
          <t>2025</t>
        </is>
      </c>
      <c r="D71" s="1" t="inlineStr">
        <is>
          <t>ISCOM_PAR</t>
        </is>
      </c>
      <c r="E71" s="1" t="inlineStr">
        <is>
          <t>ISCOM</t>
        </is>
      </c>
      <c r="F71" s="1" t="inlineStr">
        <is>
          <t>MAS_COM</t>
        </is>
      </c>
      <c r="G71" s="1" t="inlineStr">
        <is>
          <t>M2</t>
        </is>
      </c>
      <c r="H71" s="1" t="inlineStr">
        <is>
          <t>ALT</t>
        </is>
      </c>
      <c r="I71" s="1" t="n">
        <v>67</v>
      </c>
      <c r="J71" s="1" t="n">
        <v>3</v>
      </c>
      <c r="K71" s="1" t="n">
        <v>562800</v>
      </c>
      <c r="L71" s="1" t="n">
        <v>30247.7</v>
      </c>
      <c r="M71" s="1" t="n">
        <v>101085.25</v>
      </c>
      <c r="N71" s="1" t="n">
        <v>25219.281437126</v>
      </c>
      <c r="O71" s="1" t="n">
        <v>263465.8</v>
      </c>
      <c r="P71" s="1" t="n">
        <v>79766.40863527</v>
      </c>
      <c r="Q71" s="1" t="n">
        <v>55466.981437126</v>
      </c>
      <c r="R71" s="1" t="n">
        <v>444317.45863527</v>
      </c>
      <c r="S71" s="1" t="n">
        <v>499784.440072396</v>
      </c>
      <c r="T71" s="1" t="n">
        <v>63015.559927604</v>
      </c>
      <c r="V71" s="25">
        <f>_CALC_ALLOC!AI71</f>
        <v/>
      </c>
      <c r="W71" s="25">
        <f>_CALC_ALLOC!AJ71</f>
        <v/>
      </c>
      <c r="X71" s="25">
        <f>_CALC_ALLOC!AK71</f>
        <v/>
      </c>
      <c r="Y71" s="25">
        <f>_CALC_ALLOC!AL71</f>
        <v/>
      </c>
      <c r="Z71" s="25">
        <f>_CALC_ALLOC!AM71</f>
        <v/>
      </c>
      <c r="AA71" s="25">
        <f>_CALC_ALLOC!AN71</f>
        <v/>
      </c>
      <c r="AB71" s="25">
        <f>AA71-T71</f>
        <v/>
      </c>
    </row>
    <row r="72">
      <c r="A72" s="1" t="inlineStr">
        <is>
          <t>2027BUD_V1</t>
        </is>
      </c>
      <c r="B72" s="1" t="inlineStr">
        <is>
          <t>12</t>
        </is>
      </c>
      <c r="C72" s="1" t="inlineStr">
        <is>
          <t>2024</t>
        </is>
      </c>
      <c r="D72" s="1" t="inlineStr">
        <is>
          <t>ISCOM_PAR</t>
        </is>
      </c>
      <c r="E72" s="1" t="inlineStr">
        <is>
          <t>ISCOM</t>
        </is>
      </c>
      <c r="F72" s="1" t="inlineStr">
        <is>
          <t>BAC_COM</t>
        </is>
      </c>
      <c r="G72" s="1" t="inlineStr">
        <is>
          <t>B1</t>
        </is>
      </c>
      <c r="H72" s="1" t="inlineStr">
        <is>
          <t>INIT</t>
        </is>
      </c>
      <c r="I72" s="1" t="n">
        <v>64</v>
      </c>
      <c r="J72" s="1" t="n">
        <v>3</v>
      </c>
      <c r="K72" s="1" t="n">
        <v>543360</v>
      </c>
      <c r="L72" s="1" t="n">
        <v>41317.75</v>
      </c>
      <c r="M72" s="1" t="n">
        <v>138080.5</v>
      </c>
      <c r="N72" s="1" t="n">
        <v>49625.808917197</v>
      </c>
      <c r="O72" s="1" t="n">
        <v>251922.2</v>
      </c>
      <c r="P72" s="1" t="n">
        <v>74522.78225782</v>
      </c>
      <c r="Q72" s="1" t="n">
        <v>90943.55891719701</v>
      </c>
      <c r="R72" s="1" t="n">
        <v>464525.48225782</v>
      </c>
      <c r="S72" s="1" t="n">
        <v>555469.041175017</v>
      </c>
      <c r="T72" s="1" t="n">
        <v>-12109.041175017</v>
      </c>
      <c r="V72" s="25">
        <f>_CALC_ALLOC!AI72</f>
        <v/>
      </c>
      <c r="W72" s="25">
        <f>_CALC_ALLOC!AJ72</f>
        <v/>
      </c>
      <c r="X72" s="25">
        <f>_CALC_ALLOC!AK72</f>
        <v/>
      </c>
      <c r="Y72" s="25">
        <f>_CALC_ALLOC!AL72</f>
        <v/>
      </c>
      <c r="Z72" s="25">
        <f>_CALC_ALLOC!AM72</f>
        <v/>
      </c>
      <c r="AA72" s="25">
        <f>_CALC_ALLOC!AN72</f>
        <v/>
      </c>
      <c r="AB72" s="25">
        <f>AA72-T72</f>
        <v/>
      </c>
    </row>
    <row r="73">
      <c r="A73" s="1" t="inlineStr">
        <is>
          <t>2027BUD_V1</t>
        </is>
      </c>
      <c r="B73" s="1" t="inlineStr">
        <is>
          <t>12</t>
        </is>
      </c>
      <c r="C73" s="1" t="inlineStr">
        <is>
          <t>2024</t>
        </is>
      </c>
      <c r="D73" s="1" t="inlineStr">
        <is>
          <t>ISCOM_PAR</t>
        </is>
      </c>
      <c r="E73" s="1" t="inlineStr">
        <is>
          <t>ISCOM</t>
        </is>
      </c>
      <c r="F73" s="1" t="inlineStr">
        <is>
          <t>BAC_COM</t>
        </is>
      </c>
      <c r="G73" s="1" t="inlineStr">
        <is>
          <t>B2</t>
        </is>
      </c>
      <c r="H73" s="1" t="inlineStr">
        <is>
          <t>ALT</t>
        </is>
      </c>
      <c r="I73" s="1" t="n">
        <v>62</v>
      </c>
      <c r="J73" s="1" t="n">
        <v>3</v>
      </c>
      <c r="K73" s="1" t="n">
        <v>486080</v>
      </c>
      <c r="L73" s="1" t="n">
        <v>33054.2</v>
      </c>
      <c r="M73" s="1" t="n">
        <v>110464.4</v>
      </c>
      <c r="N73" s="1" t="n">
        <v>23736.127388535</v>
      </c>
      <c r="O73" s="1" t="n">
        <v>251922.2</v>
      </c>
      <c r="P73" s="1" t="n">
        <v>74522.78225782</v>
      </c>
      <c r="Q73" s="1" t="n">
        <v>56790.327388535</v>
      </c>
      <c r="R73" s="1" t="n">
        <v>436909.38225782</v>
      </c>
      <c r="S73" s="1" t="n">
        <v>493699.709646355</v>
      </c>
      <c r="T73" s="1" t="n">
        <v>-7619.709646355</v>
      </c>
      <c r="V73" s="25">
        <f>_CALC_ALLOC!AI73</f>
        <v/>
      </c>
      <c r="W73" s="25">
        <f>_CALC_ALLOC!AJ73</f>
        <v/>
      </c>
      <c r="X73" s="25">
        <f>_CALC_ALLOC!AK73</f>
        <v/>
      </c>
      <c r="Y73" s="25">
        <f>_CALC_ALLOC!AL73</f>
        <v/>
      </c>
      <c r="Z73" s="25">
        <f>_CALC_ALLOC!AM73</f>
        <v/>
      </c>
      <c r="AA73" s="25">
        <f>_CALC_ALLOC!AN73</f>
        <v/>
      </c>
      <c r="AB73" s="25">
        <f>AA73-T73</f>
        <v/>
      </c>
    </row>
    <row r="74">
      <c r="A74" s="1" t="inlineStr">
        <is>
          <t>2027BUD_V1</t>
        </is>
      </c>
      <c r="B74" s="1" t="inlineStr">
        <is>
          <t>12</t>
        </is>
      </c>
      <c r="C74" s="1" t="inlineStr">
        <is>
          <t>2024</t>
        </is>
      </c>
      <c r="D74" s="1" t="inlineStr">
        <is>
          <t>ISCOM_PAR</t>
        </is>
      </c>
      <c r="E74" s="1" t="inlineStr">
        <is>
          <t>ISCOM</t>
        </is>
      </c>
      <c r="F74" s="1" t="inlineStr">
        <is>
          <t>BAC_COM</t>
        </is>
      </c>
      <c r="G74" s="1" t="inlineStr">
        <is>
          <t>B3</t>
        </is>
      </c>
      <c r="H74" s="1" t="inlineStr">
        <is>
          <t>ALT</t>
        </is>
      </c>
      <c r="I74" s="1" t="n">
        <v>61</v>
      </c>
      <c r="J74" s="1" t="n">
        <v>3</v>
      </c>
      <c r="K74" s="1" t="n">
        <v>478240</v>
      </c>
      <c r="L74" s="1" t="n">
        <v>33054.2</v>
      </c>
      <c r="M74" s="1" t="n">
        <v>110464.4</v>
      </c>
      <c r="N74" s="1" t="n">
        <v>23353.286624204</v>
      </c>
      <c r="O74" s="1" t="n">
        <v>251922.2</v>
      </c>
      <c r="P74" s="1" t="n">
        <v>74522.78225782</v>
      </c>
      <c r="Q74" s="1" t="n">
        <v>56407.486624204</v>
      </c>
      <c r="R74" s="1" t="n">
        <v>436909.38225782</v>
      </c>
      <c r="S74" s="1" t="n">
        <v>493316.868882023</v>
      </c>
      <c r="T74" s="1" t="n">
        <v>-15076.868882023</v>
      </c>
      <c r="V74" s="25">
        <f>_CALC_ALLOC!AI74</f>
        <v/>
      </c>
      <c r="W74" s="25">
        <f>_CALC_ALLOC!AJ74</f>
        <v/>
      </c>
      <c r="X74" s="25">
        <f>_CALC_ALLOC!AK74</f>
        <v/>
      </c>
      <c r="Y74" s="25">
        <f>_CALC_ALLOC!AL74</f>
        <v/>
      </c>
      <c r="Z74" s="25">
        <f>_CALC_ALLOC!AM74</f>
        <v/>
      </c>
      <c r="AA74" s="25">
        <f>_CALC_ALLOC!AN74</f>
        <v/>
      </c>
      <c r="AB74" s="25">
        <f>AA74-T74</f>
        <v/>
      </c>
    </row>
    <row r="75">
      <c r="A75" s="1" t="inlineStr">
        <is>
          <t>2027BUD_V1</t>
        </is>
      </c>
      <c r="B75" s="1" t="inlineStr">
        <is>
          <t>12</t>
        </is>
      </c>
      <c r="C75" s="1" t="inlineStr">
        <is>
          <t>2024</t>
        </is>
      </c>
      <c r="D75" s="1" t="inlineStr">
        <is>
          <t>ISCOM_PAR</t>
        </is>
      </c>
      <c r="E75" s="1" t="inlineStr">
        <is>
          <t>ISCOM</t>
        </is>
      </c>
      <c r="F75" s="1" t="inlineStr">
        <is>
          <t>MAS_COM</t>
        </is>
      </c>
      <c r="G75" s="1" t="inlineStr">
        <is>
          <t>M1</t>
        </is>
      </c>
      <c r="H75" s="1" t="inlineStr">
        <is>
          <t>ALT</t>
        </is>
      </c>
      <c r="I75" s="1" t="n">
        <v>64</v>
      </c>
      <c r="J75" s="1" t="n">
        <v>3</v>
      </c>
      <c r="K75" s="1" t="n">
        <v>543360</v>
      </c>
      <c r="L75" s="1" t="n">
        <v>28922.425</v>
      </c>
      <c r="M75" s="1" t="n">
        <v>96656.35000000001</v>
      </c>
      <c r="N75" s="1" t="n">
        <v>49625.808917197</v>
      </c>
      <c r="O75" s="1" t="n">
        <v>251922.2</v>
      </c>
      <c r="P75" s="1" t="n">
        <v>74522.78225782</v>
      </c>
      <c r="Q75" s="1" t="n">
        <v>78548.23391719699</v>
      </c>
      <c r="R75" s="1" t="n">
        <v>423101.33225782</v>
      </c>
      <c r="S75" s="1" t="n">
        <v>501649.566175017</v>
      </c>
      <c r="T75" s="1" t="n">
        <v>41710.433824983</v>
      </c>
      <c r="V75" s="25">
        <f>_CALC_ALLOC!AI75</f>
        <v/>
      </c>
      <c r="W75" s="25">
        <f>_CALC_ALLOC!AJ75</f>
        <v/>
      </c>
      <c r="X75" s="25">
        <f>_CALC_ALLOC!AK75</f>
        <v/>
      </c>
      <c r="Y75" s="25">
        <f>_CALC_ALLOC!AL75</f>
        <v/>
      </c>
      <c r="Z75" s="25">
        <f>_CALC_ALLOC!AM75</f>
        <v/>
      </c>
      <c r="AA75" s="25">
        <f>_CALC_ALLOC!AN75</f>
        <v/>
      </c>
      <c r="AB75" s="25">
        <f>AA75-T75</f>
        <v/>
      </c>
    </row>
    <row r="76">
      <c r="A76" s="1" t="inlineStr">
        <is>
          <t>2027BUD_V1</t>
        </is>
      </c>
      <c r="B76" s="1" t="inlineStr">
        <is>
          <t>12</t>
        </is>
      </c>
      <c r="C76" s="1" t="inlineStr">
        <is>
          <t>2024</t>
        </is>
      </c>
      <c r="D76" s="1" t="inlineStr">
        <is>
          <t>ISCOM_PAR</t>
        </is>
      </c>
      <c r="E76" s="1" t="inlineStr">
        <is>
          <t>ISCOM</t>
        </is>
      </c>
      <c r="F76" s="1" t="inlineStr">
        <is>
          <t>MAS_COM</t>
        </is>
      </c>
      <c r="G76" s="1" t="inlineStr">
        <is>
          <t>M2</t>
        </is>
      </c>
      <c r="H76" s="1" t="inlineStr">
        <is>
          <t>ALT</t>
        </is>
      </c>
      <c r="I76" s="1" t="n">
        <v>63</v>
      </c>
      <c r="J76" s="1" t="n">
        <v>3</v>
      </c>
      <c r="K76" s="1" t="n">
        <v>529200</v>
      </c>
      <c r="L76" s="1" t="n">
        <v>28922.425</v>
      </c>
      <c r="M76" s="1" t="n">
        <v>96656.35000000001</v>
      </c>
      <c r="N76" s="1" t="n">
        <v>24118.968152866</v>
      </c>
      <c r="O76" s="1" t="n">
        <v>251922.2</v>
      </c>
      <c r="P76" s="1" t="n">
        <v>74522.78225782</v>
      </c>
      <c r="Q76" s="1" t="n">
        <v>53041.393152866</v>
      </c>
      <c r="R76" s="1" t="n">
        <v>423101.33225782</v>
      </c>
      <c r="S76" s="1" t="n">
        <v>476142.725410686</v>
      </c>
      <c r="T76" s="1" t="n">
        <v>53057.274589314</v>
      </c>
      <c r="V76" s="25">
        <f>_CALC_ALLOC!AI76</f>
        <v/>
      </c>
      <c r="W76" s="25">
        <f>_CALC_ALLOC!AJ76</f>
        <v/>
      </c>
      <c r="X76" s="25">
        <f>_CALC_ALLOC!AK76</f>
        <v/>
      </c>
      <c r="Y76" s="25">
        <f>_CALC_ALLOC!AL76</f>
        <v/>
      </c>
      <c r="Z76" s="25">
        <f>_CALC_ALLOC!AM76</f>
        <v/>
      </c>
      <c r="AA76" s="25">
        <f>_CALC_ALLOC!AN76</f>
        <v/>
      </c>
      <c r="AB76" s="25">
        <f>AA76-T76</f>
        <v/>
      </c>
    </row>
    <row r="77">
      <c r="A77" s="1" t="inlineStr">
        <is>
          <t>2027BUD_V1</t>
        </is>
      </c>
      <c r="B77" s="1" t="inlineStr">
        <is>
          <t>12</t>
        </is>
      </c>
      <c r="C77" s="1" t="inlineStr">
        <is>
          <t>2026</t>
        </is>
      </c>
      <c r="D77" s="1" t="inlineStr">
        <is>
          <t>ISCOM_LIL</t>
        </is>
      </c>
      <c r="E77" s="1" t="inlineStr">
        <is>
          <t>ISCOM</t>
        </is>
      </c>
      <c r="F77" s="1" t="inlineStr">
        <is>
          <t>BAC_COM</t>
        </is>
      </c>
      <c r="G77" s="1" t="inlineStr">
        <is>
          <t>B1</t>
        </is>
      </c>
      <c r="H77" s="1" t="inlineStr">
        <is>
          <t>INIT</t>
        </is>
      </c>
      <c r="I77" s="1" t="n">
        <v>50</v>
      </c>
      <c r="J77" s="1" t="n">
        <v>2</v>
      </c>
      <c r="K77" s="1" t="n">
        <v>372000</v>
      </c>
      <c r="L77" s="1" t="n">
        <v>30182.25</v>
      </c>
      <c r="M77" s="1" t="n">
        <v>57282.5</v>
      </c>
      <c r="N77" s="1" t="n">
        <v>31214.713114754</v>
      </c>
      <c r="O77" s="1" t="n">
        <v>106864.4</v>
      </c>
      <c r="P77" s="1" t="n">
        <v>58628.889805808</v>
      </c>
      <c r="Q77" s="1" t="n">
        <v>61396.963114754</v>
      </c>
      <c r="R77" s="1" t="n">
        <v>222775.789805808</v>
      </c>
      <c r="S77" s="1" t="n">
        <v>284172.752920562</v>
      </c>
      <c r="T77" s="1" t="n">
        <v>87827.24707943801</v>
      </c>
      <c r="V77" s="25">
        <f>_CALC_ALLOC!AI77</f>
        <v/>
      </c>
      <c r="W77" s="25">
        <f>_CALC_ALLOC!AJ77</f>
        <v/>
      </c>
      <c r="X77" s="25">
        <f>_CALC_ALLOC!AK77</f>
        <v/>
      </c>
      <c r="Y77" s="25">
        <f>_CALC_ALLOC!AL77</f>
        <v/>
      </c>
      <c r="Z77" s="25">
        <f>_CALC_ALLOC!AM77</f>
        <v/>
      </c>
      <c r="AA77" s="25">
        <f>_CALC_ALLOC!AN77</f>
        <v/>
      </c>
      <c r="AB77" s="25">
        <f>AA77-T77</f>
        <v/>
      </c>
    </row>
    <row r="78">
      <c r="A78" s="1" t="inlineStr">
        <is>
          <t>2027BUD_V1</t>
        </is>
      </c>
      <c r="B78" s="1" t="inlineStr">
        <is>
          <t>12</t>
        </is>
      </c>
      <c r="C78" s="1" t="inlineStr">
        <is>
          <t>2026</t>
        </is>
      </c>
      <c r="D78" s="1" t="inlineStr">
        <is>
          <t>ISCOM_LIL</t>
        </is>
      </c>
      <c r="E78" s="1" t="inlineStr">
        <is>
          <t>ISCOM</t>
        </is>
      </c>
      <c r="F78" s="1" t="inlineStr">
        <is>
          <t>BAC_COM</t>
        </is>
      </c>
      <c r="G78" s="1" t="inlineStr">
        <is>
          <t>B2</t>
        </is>
      </c>
      <c r="H78" s="1" t="inlineStr">
        <is>
          <t>ALT</t>
        </is>
      </c>
      <c r="I78" s="1" t="n">
        <v>48</v>
      </c>
      <c r="J78" s="1" t="n">
        <v>2</v>
      </c>
      <c r="K78" s="1" t="n">
        <v>329280</v>
      </c>
      <c r="L78" s="1" t="n">
        <v>24145.8</v>
      </c>
      <c r="M78" s="1" t="n">
        <v>45826</v>
      </c>
      <c r="N78" s="1" t="n">
        <v>17860.524590164</v>
      </c>
      <c r="O78" s="1" t="n">
        <v>106864.4</v>
      </c>
      <c r="P78" s="1" t="n">
        <v>58628.889805808</v>
      </c>
      <c r="Q78" s="1" t="n">
        <v>42006.324590164</v>
      </c>
      <c r="R78" s="1" t="n">
        <v>211319.289805808</v>
      </c>
      <c r="S78" s="1" t="n">
        <v>253325.614395972</v>
      </c>
      <c r="T78" s="1" t="n">
        <v>75954.38560402799</v>
      </c>
      <c r="V78" s="25">
        <f>_CALC_ALLOC!AI78</f>
        <v/>
      </c>
      <c r="W78" s="25">
        <f>_CALC_ALLOC!AJ78</f>
        <v/>
      </c>
      <c r="X78" s="25">
        <f>_CALC_ALLOC!AK78</f>
        <v/>
      </c>
      <c r="Y78" s="25">
        <f>_CALC_ALLOC!AL78</f>
        <v/>
      </c>
      <c r="Z78" s="25">
        <f>_CALC_ALLOC!AM78</f>
        <v/>
      </c>
      <c r="AA78" s="25">
        <f>_CALC_ALLOC!AN78</f>
        <v/>
      </c>
      <c r="AB78" s="25">
        <f>AA78-T78</f>
        <v/>
      </c>
    </row>
    <row r="79">
      <c r="A79" s="1" t="inlineStr">
        <is>
          <t>2027BUD_V1</t>
        </is>
      </c>
      <c r="B79" s="1" t="inlineStr">
        <is>
          <t>12</t>
        </is>
      </c>
      <c r="C79" s="1" t="inlineStr">
        <is>
          <t>2026</t>
        </is>
      </c>
      <c r="D79" s="1" t="inlineStr">
        <is>
          <t>ISCOM_LIL</t>
        </is>
      </c>
      <c r="E79" s="1" t="inlineStr">
        <is>
          <t>ISCOM</t>
        </is>
      </c>
      <c r="F79" s="1" t="inlineStr">
        <is>
          <t>BAC_COM</t>
        </is>
      </c>
      <c r="G79" s="1" t="inlineStr">
        <is>
          <t>B3</t>
        </is>
      </c>
      <c r="H79" s="1" t="inlineStr">
        <is>
          <t>ALT</t>
        </is>
      </c>
      <c r="I79" s="1" t="n">
        <v>47</v>
      </c>
      <c r="J79" s="1" t="n">
        <v>2</v>
      </c>
      <c r="K79" s="1" t="n">
        <v>322420</v>
      </c>
      <c r="L79" s="1" t="n">
        <v>24145.8</v>
      </c>
      <c r="M79" s="1" t="n">
        <v>45826</v>
      </c>
      <c r="N79" s="1" t="n">
        <v>17488.430327869</v>
      </c>
      <c r="O79" s="1" t="n">
        <v>106864.4</v>
      </c>
      <c r="P79" s="1" t="n">
        <v>58628.889805808</v>
      </c>
      <c r="Q79" s="1" t="n">
        <v>41634.230327869</v>
      </c>
      <c r="R79" s="1" t="n">
        <v>211319.289805808</v>
      </c>
      <c r="S79" s="1" t="n">
        <v>252953.520133677</v>
      </c>
      <c r="T79" s="1" t="n">
        <v>69466.479866323</v>
      </c>
      <c r="V79" s="25">
        <f>_CALC_ALLOC!AI79</f>
        <v/>
      </c>
      <c r="W79" s="25">
        <f>_CALC_ALLOC!AJ79</f>
        <v/>
      </c>
      <c r="X79" s="25">
        <f>_CALC_ALLOC!AK79</f>
        <v/>
      </c>
      <c r="Y79" s="25">
        <f>_CALC_ALLOC!AL79</f>
        <v/>
      </c>
      <c r="Z79" s="25">
        <f>_CALC_ALLOC!AM79</f>
        <v/>
      </c>
      <c r="AA79" s="25">
        <f>_CALC_ALLOC!AN79</f>
        <v/>
      </c>
      <c r="AB79" s="25">
        <f>AA79-T79</f>
        <v/>
      </c>
    </row>
    <row r="80">
      <c r="A80" s="1" t="inlineStr">
        <is>
          <t>2027BUD_V1</t>
        </is>
      </c>
      <c r="B80" s="1" t="inlineStr">
        <is>
          <t>12</t>
        </is>
      </c>
      <c r="C80" s="1" t="inlineStr">
        <is>
          <t>2026</t>
        </is>
      </c>
      <c r="D80" s="1" t="inlineStr">
        <is>
          <t>ISCOM_LIL</t>
        </is>
      </c>
      <c r="E80" s="1" t="inlineStr">
        <is>
          <t>ISCOM</t>
        </is>
      </c>
      <c r="F80" s="1" t="inlineStr">
        <is>
          <t>MAS_COM</t>
        </is>
      </c>
      <c r="G80" s="1" t="inlineStr">
        <is>
          <t>M1</t>
        </is>
      </c>
      <c r="H80" s="1" t="inlineStr">
        <is>
          <t>ALT</t>
        </is>
      </c>
      <c r="I80" s="1" t="n">
        <v>50</v>
      </c>
      <c r="J80" s="1" t="n">
        <v>2</v>
      </c>
      <c r="K80" s="1" t="n">
        <v>372000</v>
      </c>
      <c r="L80" s="1" t="n">
        <v>21127.575</v>
      </c>
      <c r="M80" s="1" t="n">
        <v>40097.75</v>
      </c>
      <c r="N80" s="1" t="n">
        <v>31214.713114754</v>
      </c>
      <c r="O80" s="1" t="n">
        <v>106864.4</v>
      </c>
      <c r="P80" s="1" t="n">
        <v>58628.889805808</v>
      </c>
      <c r="Q80" s="1" t="n">
        <v>52342.288114754</v>
      </c>
      <c r="R80" s="1" t="n">
        <v>205591.039805808</v>
      </c>
      <c r="S80" s="1" t="n">
        <v>257933.327920562</v>
      </c>
      <c r="T80" s="1" t="n">
        <v>114066.672079438</v>
      </c>
      <c r="V80" s="25">
        <f>_CALC_ALLOC!AI80</f>
        <v/>
      </c>
      <c r="W80" s="25">
        <f>_CALC_ALLOC!AJ80</f>
        <v/>
      </c>
      <c r="X80" s="25">
        <f>_CALC_ALLOC!AK80</f>
        <v/>
      </c>
      <c r="Y80" s="25">
        <f>_CALC_ALLOC!AL80</f>
        <v/>
      </c>
      <c r="Z80" s="25">
        <f>_CALC_ALLOC!AM80</f>
        <v/>
      </c>
      <c r="AA80" s="25">
        <f>_CALC_ALLOC!AN80</f>
        <v/>
      </c>
      <c r="AB80" s="25">
        <f>AA80-T80</f>
        <v/>
      </c>
    </row>
    <row r="81">
      <c r="A81" s="1" t="inlineStr">
        <is>
          <t>2027BUD_V1</t>
        </is>
      </c>
      <c r="B81" s="1" t="inlineStr">
        <is>
          <t>12</t>
        </is>
      </c>
      <c r="C81" s="1" t="inlineStr">
        <is>
          <t>2026</t>
        </is>
      </c>
      <c r="D81" s="1" t="inlineStr">
        <is>
          <t>ISCOM_LIL</t>
        </is>
      </c>
      <c r="E81" s="1" t="inlineStr">
        <is>
          <t>ISCOM</t>
        </is>
      </c>
      <c r="F81" s="1" t="inlineStr">
        <is>
          <t>MAS_COM</t>
        </is>
      </c>
      <c r="G81" s="1" t="inlineStr">
        <is>
          <t>M2</t>
        </is>
      </c>
      <c r="H81" s="1" t="inlineStr">
        <is>
          <t>ALT</t>
        </is>
      </c>
      <c r="I81" s="1" t="n">
        <v>49</v>
      </c>
      <c r="J81" s="1" t="n">
        <v>2</v>
      </c>
      <c r="K81" s="1" t="n">
        <v>360150</v>
      </c>
      <c r="L81" s="1" t="n">
        <v>21127.575</v>
      </c>
      <c r="M81" s="1" t="n">
        <v>40097.75</v>
      </c>
      <c r="N81" s="1" t="n">
        <v>18232.618852459</v>
      </c>
      <c r="O81" s="1" t="n">
        <v>106864.4</v>
      </c>
      <c r="P81" s="1" t="n">
        <v>58628.889805808</v>
      </c>
      <c r="Q81" s="1" t="n">
        <v>39360.193852459</v>
      </c>
      <c r="R81" s="1" t="n">
        <v>205591.039805808</v>
      </c>
      <c r="S81" s="1" t="n">
        <v>244951.233658267</v>
      </c>
      <c r="T81" s="1" t="n">
        <v>115198.766341733</v>
      </c>
      <c r="V81" s="25">
        <f>_CALC_ALLOC!AI81</f>
        <v/>
      </c>
      <c r="W81" s="25">
        <f>_CALC_ALLOC!AJ81</f>
        <v/>
      </c>
      <c r="X81" s="25">
        <f>_CALC_ALLOC!AK81</f>
        <v/>
      </c>
      <c r="Y81" s="25">
        <f>_CALC_ALLOC!AL81</f>
        <v/>
      </c>
      <c r="Z81" s="25">
        <f>_CALC_ALLOC!AM81</f>
        <v/>
      </c>
      <c r="AA81" s="25">
        <f>_CALC_ALLOC!AN81</f>
        <v/>
      </c>
      <c r="AB81" s="25">
        <f>AA81-T81</f>
        <v/>
      </c>
    </row>
    <row r="82">
      <c r="A82" s="1" t="inlineStr">
        <is>
          <t>2027BUD_V1</t>
        </is>
      </c>
      <c r="B82" s="1" t="inlineStr">
        <is>
          <t>12</t>
        </is>
      </c>
      <c r="C82" s="1" t="inlineStr">
        <is>
          <t>2025</t>
        </is>
      </c>
      <c r="D82" s="1" t="inlineStr">
        <is>
          <t>ISCOM_LIL</t>
        </is>
      </c>
      <c r="E82" s="1" t="inlineStr">
        <is>
          <t>ISCOM</t>
        </is>
      </c>
      <c r="F82" s="1" t="inlineStr">
        <is>
          <t>BAC_COM</t>
        </is>
      </c>
      <c r="G82" s="1" t="inlineStr">
        <is>
          <t>B1</t>
        </is>
      </c>
      <c r="H82" s="1" t="inlineStr">
        <is>
          <t>INIT</t>
        </is>
      </c>
      <c r="I82" s="1" t="n">
        <v>47</v>
      </c>
      <c r="J82" s="1" t="n">
        <v>2</v>
      </c>
      <c r="K82" s="1" t="n">
        <v>349680</v>
      </c>
      <c r="L82" s="1" t="n">
        <v>28807.25</v>
      </c>
      <c r="M82" s="1" t="n">
        <v>54672.75</v>
      </c>
      <c r="N82" s="1" t="n">
        <v>29248.587336245</v>
      </c>
      <c r="O82" s="1" t="n">
        <v>101995.8</v>
      </c>
      <c r="P82" s="1" t="n">
        <v>54690.142447536</v>
      </c>
      <c r="Q82" s="1" t="n">
        <v>58055.837336245</v>
      </c>
      <c r="R82" s="1" t="n">
        <v>211358.692447536</v>
      </c>
      <c r="S82" s="1" t="n">
        <v>269414.52978378</v>
      </c>
      <c r="T82" s="1" t="n">
        <v>80265.47021622</v>
      </c>
      <c r="V82" s="25">
        <f>_CALC_ALLOC!AI82</f>
        <v/>
      </c>
      <c r="W82" s="25">
        <f>_CALC_ALLOC!AJ82</f>
        <v/>
      </c>
      <c r="X82" s="25">
        <f>_CALC_ALLOC!AK82</f>
        <v/>
      </c>
      <c r="Y82" s="25">
        <f>_CALC_ALLOC!AL82</f>
        <v/>
      </c>
      <c r="Z82" s="25">
        <f>_CALC_ALLOC!AM82</f>
        <v/>
      </c>
      <c r="AA82" s="25">
        <f>_CALC_ALLOC!AN82</f>
        <v/>
      </c>
      <c r="AB82" s="25">
        <f>AA82-T82</f>
        <v/>
      </c>
    </row>
    <row r="83">
      <c r="A83" s="1" t="inlineStr">
        <is>
          <t>2027BUD_V1</t>
        </is>
      </c>
      <c r="B83" s="1" t="inlineStr">
        <is>
          <t>12</t>
        </is>
      </c>
      <c r="C83" s="1" t="inlineStr">
        <is>
          <t>2025</t>
        </is>
      </c>
      <c r="D83" s="1" t="inlineStr">
        <is>
          <t>ISCOM_LIL</t>
        </is>
      </c>
      <c r="E83" s="1" t="inlineStr">
        <is>
          <t>ISCOM</t>
        </is>
      </c>
      <c r="F83" s="1" t="inlineStr">
        <is>
          <t>BAC_COM</t>
        </is>
      </c>
      <c r="G83" s="1" t="inlineStr">
        <is>
          <t>B2</t>
        </is>
      </c>
      <c r="H83" s="1" t="inlineStr">
        <is>
          <t>ALT</t>
        </is>
      </c>
      <c r="I83" s="1" t="n">
        <v>45</v>
      </c>
      <c r="J83" s="1" t="n">
        <v>2</v>
      </c>
      <c r="K83" s="1" t="n">
        <v>308700</v>
      </c>
      <c r="L83" s="1" t="n">
        <v>23045.8</v>
      </c>
      <c r="M83" s="1" t="n">
        <v>43738.2</v>
      </c>
      <c r="N83" s="1" t="n">
        <v>17028.27510917</v>
      </c>
      <c r="O83" s="1" t="n">
        <v>101995.8</v>
      </c>
      <c r="P83" s="1" t="n">
        <v>54690.142447536</v>
      </c>
      <c r="Q83" s="1" t="n">
        <v>40074.07510917</v>
      </c>
      <c r="R83" s="1" t="n">
        <v>200424.142447536</v>
      </c>
      <c r="S83" s="1" t="n">
        <v>240498.217556706</v>
      </c>
      <c r="T83" s="1" t="n">
        <v>68201.782443294</v>
      </c>
      <c r="V83" s="25">
        <f>_CALC_ALLOC!AI83</f>
        <v/>
      </c>
      <c r="W83" s="25">
        <f>_CALC_ALLOC!AJ83</f>
        <v/>
      </c>
      <c r="X83" s="25">
        <f>_CALC_ALLOC!AK83</f>
        <v/>
      </c>
      <c r="Y83" s="25">
        <f>_CALC_ALLOC!AL83</f>
        <v/>
      </c>
      <c r="Z83" s="25">
        <f>_CALC_ALLOC!AM83</f>
        <v/>
      </c>
      <c r="AA83" s="25">
        <f>_CALC_ALLOC!AN83</f>
        <v/>
      </c>
      <c r="AB83" s="25">
        <f>AA83-T83</f>
        <v/>
      </c>
    </row>
    <row r="84">
      <c r="A84" s="1" t="inlineStr">
        <is>
          <t>2027BUD_V1</t>
        </is>
      </c>
      <c r="B84" s="1" t="inlineStr">
        <is>
          <t>12</t>
        </is>
      </c>
      <c r="C84" s="1" t="inlineStr">
        <is>
          <t>2025</t>
        </is>
      </c>
      <c r="D84" s="1" t="inlineStr">
        <is>
          <t>ISCOM_LIL</t>
        </is>
      </c>
      <c r="E84" s="1" t="inlineStr">
        <is>
          <t>ISCOM</t>
        </is>
      </c>
      <c r="F84" s="1" t="inlineStr">
        <is>
          <t>BAC_COM</t>
        </is>
      </c>
      <c r="G84" s="1" t="inlineStr">
        <is>
          <t>B3</t>
        </is>
      </c>
      <c r="H84" s="1" t="inlineStr">
        <is>
          <t>ALT</t>
        </is>
      </c>
      <c r="I84" s="1" t="n">
        <v>44</v>
      </c>
      <c r="J84" s="1" t="n">
        <v>2</v>
      </c>
      <c r="K84" s="1" t="n">
        <v>301840</v>
      </c>
      <c r="L84" s="1" t="n">
        <v>23045.8</v>
      </c>
      <c r="M84" s="1" t="n">
        <v>43738.2</v>
      </c>
      <c r="N84" s="1" t="n">
        <v>16649.868995633</v>
      </c>
      <c r="O84" s="1" t="n">
        <v>101995.8</v>
      </c>
      <c r="P84" s="1" t="n">
        <v>54690.142447536</v>
      </c>
      <c r="Q84" s="1" t="n">
        <v>39695.668995633</v>
      </c>
      <c r="R84" s="1" t="n">
        <v>200424.142447536</v>
      </c>
      <c r="S84" s="1" t="n">
        <v>240119.811443169</v>
      </c>
      <c r="T84" s="1" t="n">
        <v>61720.188556831</v>
      </c>
      <c r="V84" s="25">
        <f>_CALC_ALLOC!AI84</f>
        <v/>
      </c>
      <c r="W84" s="25">
        <f>_CALC_ALLOC!AJ84</f>
        <v/>
      </c>
      <c r="X84" s="25">
        <f>_CALC_ALLOC!AK84</f>
        <v/>
      </c>
      <c r="Y84" s="25">
        <f>_CALC_ALLOC!AL84</f>
        <v/>
      </c>
      <c r="Z84" s="25">
        <f>_CALC_ALLOC!AM84</f>
        <v/>
      </c>
      <c r="AA84" s="25">
        <f>_CALC_ALLOC!AN84</f>
        <v/>
      </c>
      <c r="AB84" s="25">
        <f>AA84-T84</f>
        <v/>
      </c>
    </row>
    <row r="85">
      <c r="A85" s="1" t="inlineStr">
        <is>
          <t>2027BUD_V1</t>
        </is>
      </c>
      <c r="B85" s="1" t="inlineStr">
        <is>
          <t>12</t>
        </is>
      </c>
      <c r="C85" s="1" t="inlineStr">
        <is>
          <t>2025</t>
        </is>
      </c>
      <c r="D85" s="1" t="inlineStr">
        <is>
          <t>ISCOM_LIL</t>
        </is>
      </c>
      <c r="E85" s="1" t="inlineStr">
        <is>
          <t>ISCOM</t>
        </is>
      </c>
      <c r="F85" s="1" t="inlineStr">
        <is>
          <t>MAS_COM</t>
        </is>
      </c>
      <c r="G85" s="1" t="inlineStr">
        <is>
          <t>M1</t>
        </is>
      </c>
      <c r="H85" s="1" t="inlineStr">
        <is>
          <t>ALT</t>
        </is>
      </c>
      <c r="I85" s="1" t="n">
        <v>47</v>
      </c>
      <c r="J85" s="1" t="n">
        <v>2</v>
      </c>
      <c r="K85" s="1" t="n">
        <v>349680</v>
      </c>
      <c r="L85" s="1" t="n">
        <v>20165.075</v>
      </c>
      <c r="M85" s="1" t="n">
        <v>38270.925</v>
      </c>
      <c r="N85" s="1" t="n">
        <v>29248.587336245</v>
      </c>
      <c r="O85" s="1" t="n">
        <v>101995.8</v>
      </c>
      <c r="P85" s="1" t="n">
        <v>54690.142447536</v>
      </c>
      <c r="Q85" s="1" t="n">
        <v>49413.662336245</v>
      </c>
      <c r="R85" s="1" t="n">
        <v>194956.867447536</v>
      </c>
      <c r="S85" s="1" t="n">
        <v>244370.52978378</v>
      </c>
      <c r="T85" s="1" t="n">
        <v>105309.47021622</v>
      </c>
      <c r="V85" s="25">
        <f>_CALC_ALLOC!AI85</f>
        <v/>
      </c>
      <c r="W85" s="25">
        <f>_CALC_ALLOC!AJ85</f>
        <v/>
      </c>
      <c r="X85" s="25">
        <f>_CALC_ALLOC!AK85</f>
        <v/>
      </c>
      <c r="Y85" s="25">
        <f>_CALC_ALLOC!AL85</f>
        <v/>
      </c>
      <c r="Z85" s="25">
        <f>_CALC_ALLOC!AM85</f>
        <v/>
      </c>
      <c r="AA85" s="25">
        <f>_CALC_ALLOC!AN85</f>
        <v/>
      </c>
      <c r="AB85" s="25">
        <f>AA85-T85</f>
        <v/>
      </c>
    </row>
    <row r="86">
      <c r="A86" s="1" t="inlineStr">
        <is>
          <t>2027BUD_V1</t>
        </is>
      </c>
      <c r="B86" s="1" t="inlineStr">
        <is>
          <t>12</t>
        </is>
      </c>
      <c r="C86" s="1" t="inlineStr">
        <is>
          <t>2025</t>
        </is>
      </c>
      <c r="D86" s="1" t="inlineStr">
        <is>
          <t>ISCOM_LIL</t>
        </is>
      </c>
      <c r="E86" s="1" t="inlineStr">
        <is>
          <t>ISCOM</t>
        </is>
      </c>
      <c r="F86" s="1" t="inlineStr">
        <is>
          <t>MAS_COM</t>
        </is>
      </c>
      <c r="G86" s="1" t="inlineStr">
        <is>
          <t>M2</t>
        </is>
      </c>
      <c r="H86" s="1" t="inlineStr">
        <is>
          <t>ALT</t>
        </is>
      </c>
      <c r="I86" s="1" t="n">
        <v>46</v>
      </c>
      <c r="J86" s="1" t="n">
        <v>2</v>
      </c>
      <c r="K86" s="1" t="n">
        <v>338100</v>
      </c>
      <c r="L86" s="1" t="n">
        <v>20165.075</v>
      </c>
      <c r="M86" s="1" t="n">
        <v>38270.925</v>
      </c>
      <c r="N86" s="1" t="n">
        <v>17406.681222707</v>
      </c>
      <c r="O86" s="1" t="n">
        <v>101995.8</v>
      </c>
      <c r="P86" s="1" t="n">
        <v>54690.142447536</v>
      </c>
      <c r="Q86" s="1" t="n">
        <v>37571.756222707</v>
      </c>
      <c r="R86" s="1" t="n">
        <v>194956.867447536</v>
      </c>
      <c r="S86" s="1" t="n">
        <v>232528.623670243</v>
      </c>
      <c r="T86" s="1" t="n">
        <v>105571.376329757</v>
      </c>
      <c r="V86" s="25">
        <f>_CALC_ALLOC!AI86</f>
        <v/>
      </c>
      <c r="W86" s="25">
        <f>_CALC_ALLOC!AJ86</f>
        <v/>
      </c>
      <c r="X86" s="25">
        <f>_CALC_ALLOC!AK86</f>
        <v/>
      </c>
      <c r="Y86" s="25">
        <f>_CALC_ALLOC!AL86</f>
        <v/>
      </c>
      <c r="Z86" s="25">
        <f>_CALC_ALLOC!AM86</f>
        <v/>
      </c>
      <c r="AA86" s="25">
        <f>_CALC_ALLOC!AN86</f>
        <v/>
      </c>
      <c r="AB86" s="25">
        <f>AA86-T86</f>
        <v/>
      </c>
    </row>
    <row r="87">
      <c r="A87" s="1" t="inlineStr">
        <is>
          <t>2027BUD_V1</t>
        </is>
      </c>
      <c r="B87" s="1" t="inlineStr">
        <is>
          <t>12</t>
        </is>
      </c>
      <c r="C87" s="1" t="inlineStr">
        <is>
          <t>2024</t>
        </is>
      </c>
      <c r="D87" s="1" t="inlineStr">
        <is>
          <t>ISCOM_LIL</t>
        </is>
      </c>
      <c r="E87" s="1" t="inlineStr">
        <is>
          <t>ISCOM</t>
        </is>
      </c>
      <c r="F87" s="1" t="inlineStr">
        <is>
          <t>BAC_COM</t>
        </is>
      </c>
      <c r="G87" s="1" t="inlineStr">
        <is>
          <t>B1</t>
        </is>
      </c>
      <c r="H87" s="1" t="inlineStr">
        <is>
          <t>INIT</t>
        </is>
      </c>
      <c r="I87" s="1" t="n">
        <v>44</v>
      </c>
      <c r="J87" s="1" t="n">
        <v>2</v>
      </c>
      <c r="K87" s="1" t="n">
        <v>327360</v>
      </c>
      <c r="L87" s="1" t="n">
        <v>27545</v>
      </c>
      <c r="M87" s="1" t="n">
        <v>52277.25</v>
      </c>
      <c r="N87" s="1" t="n">
        <v>27222.200460829</v>
      </c>
      <c r="O87" s="1" t="n">
        <v>97527.2</v>
      </c>
      <c r="P87" s="1" t="n">
        <v>51501.413216391</v>
      </c>
      <c r="Q87" s="1" t="n">
        <v>54767.200460829</v>
      </c>
      <c r="R87" s="1" t="n">
        <v>201305.863216391</v>
      </c>
      <c r="S87" s="1" t="n">
        <v>256073.063677221</v>
      </c>
      <c r="T87" s="1" t="n">
        <v>71286.936322779</v>
      </c>
      <c r="V87" s="25">
        <f>_CALC_ALLOC!AI87</f>
        <v/>
      </c>
      <c r="W87" s="25">
        <f>_CALC_ALLOC!AJ87</f>
        <v/>
      </c>
      <c r="X87" s="25">
        <f>_CALC_ALLOC!AK87</f>
        <v/>
      </c>
      <c r="Y87" s="25">
        <f>_CALC_ALLOC!AL87</f>
        <v/>
      </c>
      <c r="Z87" s="25">
        <f>_CALC_ALLOC!AM87</f>
        <v/>
      </c>
      <c r="AA87" s="25">
        <f>_CALC_ALLOC!AN87</f>
        <v/>
      </c>
      <c r="AB87" s="25">
        <f>AA87-T87</f>
        <v/>
      </c>
    </row>
    <row r="88">
      <c r="A88" s="1" t="inlineStr">
        <is>
          <t>2027BUD_V1</t>
        </is>
      </c>
      <c r="B88" s="1" t="inlineStr">
        <is>
          <t>12</t>
        </is>
      </c>
      <c r="C88" s="1" t="inlineStr">
        <is>
          <t>2024</t>
        </is>
      </c>
      <c r="D88" s="1" t="inlineStr">
        <is>
          <t>ISCOM_LIL</t>
        </is>
      </c>
      <c r="E88" s="1" t="inlineStr">
        <is>
          <t>ISCOM</t>
        </is>
      </c>
      <c r="F88" s="1" t="inlineStr">
        <is>
          <t>BAC_COM</t>
        </is>
      </c>
      <c r="G88" s="1" t="inlineStr">
        <is>
          <t>B2</t>
        </is>
      </c>
      <c r="H88" s="1" t="inlineStr">
        <is>
          <t>ALT</t>
        </is>
      </c>
      <c r="I88" s="1" t="n">
        <v>43</v>
      </c>
      <c r="J88" s="1" t="n">
        <v>2</v>
      </c>
      <c r="K88" s="1" t="n">
        <v>294980</v>
      </c>
      <c r="L88" s="1" t="n">
        <v>22036</v>
      </c>
      <c r="M88" s="1" t="n">
        <v>41821.8</v>
      </c>
      <c r="N88" s="1" t="n">
        <v>16418.866359447</v>
      </c>
      <c r="O88" s="1" t="n">
        <v>97527.2</v>
      </c>
      <c r="P88" s="1" t="n">
        <v>51501.413216391</v>
      </c>
      <c r="Q88" s="1" t="n">
        <v>38454.866359447</v>
      </c>
      <c r="R88" s="1" t="n">
        <v>190850.413216391</v>
      </c>
      <c r="S88" s="1" t="n">
        <v>229305.279575838</v>
      </c>
      <c r="T88" s="1" t="n">
        <v>65674.72042416201</v>
      </c>
      <c r="V88" s="25">
        <f>_CALC_ALLOC!AI88</f>
        <v/>
      </c>
      <c r="W88" s="25">
        <f>_CALC_ALLOC!AJ88</f>
        <v/>
      </c>
      <c r="X88" s="25">
        <f>_CALC_ALLOC!AK88</f>
        <v/>
      </c>
      <c r="Y88" s="25">
        <f>_CALC_ALLOC!AL88</f>
        <v/>
      </c>
      <c r="Z88" s="25">
        <f>_CALC_ALLOC!AM88</f>
        <v/>
      </c>
      <c r="AA88" s="25">
        <f>_CALC_ALLOC!AN88</f>
        <v/>
      </c>
      <c r="AB88" s="25">
        <f>AA88-T88</f>
        <v/>
      </c>
    </row>
    <row r="89">
      <c r="A89" s="1" t="inlineStr">
        <is>
          <t>2027BUD_V1</t>
        </is>
      </c>
      <c r="B89" s="1" t="inlineStr">
        <is>
          <t>12</t>
        </is>
      </c>
      <c r="C89" s="1" t="inlineStr">
        <is>
          <t>2024</t>
        </is>
      </c>
      <c r="D89" s="1" t="inlineStr">
        <is>
          <t>ISCOM_LIL</t>
        </is>
      </c>
      <c r="E89" s="1" t="inlineStr">
        <is>
          <t>ISCOM</t>
        </is>
      </c>
      <c r="F89" s="1" t="inlineStr">
        <is>
          <t>BAC_COM</t>
        </is>
      </c>
      <c r="G89" s="1" t="inlineStr">
        <is>
          <t>B3</t>
        </is>
      </c>
      <c r="H89" s="1" t="inlineStr">
        <is>
          <t>ALT</t>
        </is>
      </c>
      <c r="I89" s="1" t="n">
        <v>42</v>
      </c>
      <c r="J89" s="1" t="n">
        <v>2</v>
      </c>
      <c r="K89" s="1" t="n">
        <v>288120</v>
      </c>
      <c r="L89" s="1" t="n">
        <v>22036</v>
      </c>
      <c r="M89" s="1" t="n">
        <v>41821.8</v>
      </c>
      <c r="N89" s="1" t="n">
        <v>16037.032258065</v>
      </c>
      <c r="O89" s="1" t="n">
        <v>97527.2</v>
      </c>
      <c r="P89" s="1" t="n">
        <v>51501.413216391</v>
      </c>
      <c r="Q89" s="1" t="n">
        <v>38073.032258065</v>
      </c>
      <c r="R89" s="1" t="n">
        <v>190850.413216391</v>
      </c>
      <c r="S89" s="1" t="n">
        <v>228923.445474456</v>
      </c>
      <c r="T89" s="1" t="n">
        <v>59196.554525544</v>
      </c>
      <c r="V89" s="25">
        <f>_CALC_ALLOC!AI89</f>
        <v/>
      </c>
      <c r="W89" s="25">
        <f>_CALC_ALLOC!AJ89</f>
        <v/>
      </c>
      <c r="X89" s="25">
        <f>_CALC_ALLOC!AK89</f>
        <v/>
      </c>
      <c r="Y89" s="25">
        <f>_CALC_ALLOC!AL89</f>
        <v/>
      </c>
      <c r="Z89" s="25">
        <f>_CALC_ALLOC!AM89</f>
        <v/>
      </c>
      <c r="AA89" s="25">
        <f>_CALC_ALLOC!AN89</f>
        <v/>
      </c>
      <c r="AB89" s="25">
        <f>AA89-T89</f>
        <v/>
      </c>
    </row>
    <row r="90">
      <c r="A90" s="1" t="inlineStr">
        <is>
          <t>2027BUD_V1</t>
        </is>
      </c>
      <c r="B90" s="1" t="inlineStr">
        <is>
          <t>12</t>
        </is>
      </c>
      <c r="C90" s="1" t="inlineStr">
        <is>
          <t>2024</t>
        </is>
      </c>
      <c r="D90" s="1" t="inlineStr">
        <is>
          <t>ISCOM_LIL</t>
        </is>
      </c>
      <c r="E90" s="1" t="inlineStr">
        <is>
          <t>ISCOM</t>
        </is>
      </c>
      <c r="F90" s="1" t="inlineStr">
        <is>
          <t>MAS_COM</t>
        </is>
      </c>
      <c r="G90" s="1" t="inlineStr">
        <is>
          <t>M1</t>
        </is>
      </c>
      <c r="H90" s="1" t="inlineStr">
        <is>
          <t>ALT</t>
        </is>
      </c>
      <c r="I90" s="1" t="n">
        <v>44</v>
      </c>
      <c r="J90" s="1" t="n">
        <v>2</v>
      </c>
      <c r="K90" s="1" t="n">
        <v>327360</v>
      </c>
      <c r="L90" s="1" t="n">
        <v>19281.5</v>
      </c>
      <c r="M90" s="1" t="n">
        <v>36594.075</v>
      </c>
      <c r="N90" s="1" t="n">
        <v>27222.200460829</v>
      </c>
      <c r="O90" s="1" t="n">
        <v>97527.2</v>
      </c>
      <c r="P90" s="1" t="n">
        <v>51501.413216391</v>
      </c>
      <c r="Q90" s="1" t="n">
        <v>46503.700460829</v>
      </c>
      <c r="R90" s="1" t="n">
        <v>185622.688216391</v>
      </c>
      <c r="S90" s="1" t="n">
        <v>232126.388677221</v>
      </c>
      <c r="T90" s="1" t="n">
        <v>95233.611322779</v>
      </c>
      <c r="V90" s="25">
        <f>_CALC_ALLOC!AI90</f>
        <v/>
      </c>
      <c r="W90" s="25">
        <f>_CALC_ALLOC!AJ90</f>
        <v/>
      </c>
      <c r="X90" s="25">
        <f>_CALC_ALLOC!AK90</f>
        <v/>
      </c>
      <c r="Y90" s="25">
        <f>_CALC_ALLOC!AL90</f>
        <v/>
      </c>
      <c r="Z90" s="25">
        <f>_CALC_ALLOC!AM90</f>
        <v/>
      </c>
      <c r="AA90" s="25">
        <f>_CALC_ALLOC!AN90</f>
        <v/>
      </c>
      <c r="AB90" s="25">
        <f>AA90-T90</f>
        <v/>
      </c>
    </row>
    <row r="91">
      <c r="A91" s="1" t="inlineStr">
        <is>
          <t>2027BUD_V1</t>
        </is>
      </c>
      <c r="B91" s="1" t="inlineStr">
        <is>
          <t>12</t>
        </is>
      </c>
      <c r="C91" s="1" t="inlineStr">
        <is>
          <t>2024</t>
        </is>
      </c>
      <c r="D91" s="1" t="inlineStr">
        <is>
          <t>ISCOM_LIL</t>
        </is>
      </c>
      <c r="E91" s="1" t="inlineStr">
        <is>
          <t>ISCOM</t>
        </is>
      </c>
      <c r="F91" s="1" t="inlineStr">
        <is>
          <t>MAS_COM</t>
        </is>
      </c>
      <c r="G91" s="1" t="inlineStr">
        <is>
          <t>M2</t>
        </is>
      </c>
      <c r="H91" s="1" t="inlineStr">
        <is>
          <t>ALT</t>
        </is>
      </c>
      <c r="I91" s="1" t="n">
        <v>44</v>
      </c>
      <c r="J91" s="1" t="n">
        <v>2</v>
      </c>
      <c r="K91" s="1" t="n">
        <v>323400</v>
      </c>
      <c r="L91" s="1" t="n">
        <v>19281.5</v>
      </c>
      <c r="M91" s="1" t="n">
        <v>36594.075</v>
      </c>
      <c r="N91" s="1" t="n">
        <v>16800.700460829</v>
      </c>
      <c r="O91" s="1" t="n">
        <v>97527.2</v>
      </c>
      <c r="P91" s="1" t="n">
        <v>51501.413216391</v>
      </c>
      <c r="Q91" s="1" t="n">
        <v>36082.200460829</v>
      </c>
      <c r="R91" s="1" t="n">
        <v>185622.688216391</v>
      </c>
      <c r="S91" s="1" t="n">
        <v>221704.888677221</v>
      </c>
      <c r="T91" s="1" t="n">
        <v>101695.111322779</v>
      </c>
      <c r="V91" s="25">
        <f>_CALC_ALLOC!AI91</f>
        <v/>
      </c>
      <c r="W91" s="25">
        <f>_CALC_ALLOC!AJ91</f>
        <v/>
      </c>
      <c r="X91" s="25">
        <f>_CALC_ALLOC!AK91</f>
        <v/>
      </c>
      <c r="Y91" s="25">
        <f>_CALC_ALLOC!AL91</f>
        <v/>
      </c>
      <c r="Z91" s="25">
        <f>_CALC_ALLOC!AM91</f>
        <v/>
      </c>
      <c r="AA91" s="25">
        <f>_CALC_ALLOC!AN91</f>
        <v/>
      </c>
      <c r="AB91" s="25">
        <f>AA91-T91</f>
        <v/>
      </c>
    </row>
    <row r="92">
      <c r="A92" s="1" t="inlineStr">
        <is>
          <t>2027BUD_V1</t>
        </is>
      </c>
      <c r="B92" s="1" t="inlineStr">
        <is>
          <t>12</t>
        </is>
      </c>
      <c r="C92" s="1" t="inlineStr">
        <is>
          <t>2026</t>
        </is>
      </c>
      <c r="D92" s="1" t="inlineStr">
        <is>
          <t>ISCOM_TLS</t>
        </is>
      </c>
      <c r="E92" s="1" t="inlineStr">
        <is>
          <t>ISCOM</t>
        </is>
      </c>
      <c r="F92" s="1" t="inlineStr">
        <is>
          <t>BAC_COM</t>
        </is>
      </c>
      <c r="G92" s="1" t="inlineStr">
        <is>
          <t>B1</t>
        </is>
      </c>
      <c r="H92" s="1" t="inlineStr">
        <is>
          <t>INIT</t>
        </is>
      </c>
      <c r="I92" s="1" t="n">
        <v>47</v>
      </c>
      <c r="J92" s="1" t="n">
        <v>2</v>
      </c>
      <c r="K92" s="1" t="n">
        <v>342630</v>
      </c>
      <c r="L92" s="1" t="n">
        <v>30182.25</v>
      </c>
      <c r="M92" s="1" t="n">
        <v>56037.25</v>
      </c>
      <c r="N92" s="1" t="n">
        <v>28529.976190476</v>
      </c>
      <c r="O92" s="1" t="n">
        <v>100798</v>
      </c>
      <c r="P92" s="1" t="n">
        <v>55505.219447302</v>
      </c>
      <c r="Q92" s="1" t="n">
        <v>58712.226190476</v>
      </c>
      <c r="R92" s="1" t="n">
        <v>212340.469447302</v>
      </c>
      <c r="S92" s="1" t="n">
        <v>271052.695637778</v>
      </c>
      <c r="T92" s="1" t="n">
        <v>71577.304362222</v>
      </c>
      <c r="V92" s="25">
        <f>_CALC_ALLOC!AI92</f>
        <v/>
      </c>
      <c r="W92" s="25">
        <f>_CALC_ALLOC!AJ92</f>
        <v/>
      </c>
      <c r="X92" s="25">
        <f>_CALC_ALLOC!AK92</f>
        <v/>
      </c>
      <c r="Y92" s="25">
        <f>_CALC_ALLOC!AL92</f>
        <v/>
      </c>
      <c r="Z92" s="25">
        <f>_CALC_ALLOC!AM92</f>
        <v/>
      </c>
      <c r="AA92" s="25">
        <f>_CALC_ALLOC!AN92</f>
        <v/>
      </c>
      <c r="AB92" s="25">
        <f>AA92-T92</f>
        <v/>
      </c>
    </row>
    <row r="93">
      <c r="A93" s="1" t="inlineStr">
        <is>
          <t>2027BUD_V1</t>
        </is>
      </c>
      <c r="B93" s="1" t="inlineStr">
        <is>
          <t>12</t>
        </is>
      </c>
      <c r="C93" s="1" t="inlineStr">
        <is>
          <t>2026</t>
        </is>
      </c>
      <c r="D93" s="1" t="inlineStr">
        <is>
          <t>ISCOM_TLS</t>
        </is>
      </c>
      <c r="E93" s="1" t="inlineStr">
        <is>
          <t>ISCOM</t>
        </is>
      </c>
      <c r="F93" s="1" t="inlineStr">
        <is>
          <t>BAC_COM</t>
        </is>
      </c>
      <c r="G93" s="1" t="inlineStr">
        <is>
          <t>B2</t>
        </is>
      </c>
      <c r="H93" s="1" t="inlineStr">
        <is>
          <t>ALT</t>
        </is>
      </c>
      <c r="I93" s="1" t="n">
        <v>46</v>
      </c>
      <c r="J93" s="1" t="n">
        <v>2</v>
      </c>
      <c r="K93" s="1" t="n">
        <v>309120</v>
      </c>
      <c r="L93" s="1" t="n">
        <v>24145.8</v>
      </c>
      <c r="M93" s="1" t="n">
        <v>44829.8</v>
      </c>
      <c r="N93" s="1" t="n">
        <v>17116.380952381</v>
      </c>
      <c r="O93" s="1" t="n">
        <v>100798</v>
      </c>
      <c r="P93" s="1" t="n">
        <v>55505.219447302</v>
      </c>
      <c r="Q93" s="1" t="n">
        <v>41262.180952381</v>
      </c>
      <c r="R93" s="1" t="n">
        <v>201133.019447302</v>
      </c>
      <c r="S93" s="1" t="n">
        <v>242395.200399682</v>
      </c>
      <c r="T93" s="1" t="n">
        <v>66724.799600318</v>
      </c>
      <c r="V93" s="25">
        <f>_CALC_ALLOC!AI93</f>
        <v/>
      </c>
      <c r="W93" s="25">
        <f>_CALC_ALLOC!AJ93</f>
        <v/>
      </c>
      <c r="X93" s="25">
        <f>_CALC_ALLOC!AK93</f>
        <v/>
      </c>
      <c r="Y93" s="25">
        <f>_CALC_ALLOC!AL93</f>
        <v/>
      </c>
      <c r="Z93" s="25">
        <f>_CALC_ALLOC!AM93</f>
        <v/>
      </c>
      <c r="AA93" s="25">
        <f>_CALC_ALLOC!AN93</f>
        <v/>
      </c>
      <c r="AB93" s="25">
        <f>AA93-T93</f>
        <v/>
      </c>
    </row>
    <row r="94">
      <c r="A94" s="1" t="inlineStr">
        <is>
          <t>2027BUD_V1</t>
        </is>
      </c>
      <c r="B94" s="1" t="inlineStr">
        <is>
          <t>12</t>
        </is>
      </c>
      <c r="C94" s="1" t="inlineStr">
        <is>
          <t>2026</t>
        </is>
      </c>
      <c r="D94" s="1" t="inlineStr">
        <is>
          <t>ISCOM_TLS</t>
        </is>
      </c>
      <c r="E94" s="1" t="inlineStr">
        <is>
          <t>ISCOM</t>
        </is>
      </c>
      <c r="F94" s="1" t="inlineStr">
        <is>
          <t>BAC_COM</t>
        </is>
      </c>
      <c r="G94" s="1" t="inlineStr">
        <is>
          <t>B3</t>
        </is>
      </c>
      <c r="H94" s="1" t="inlineStr">
        <is>
          <t>ALT</t>
        </is>
      </c>
      <c r="I94" s="1" t="n">
        <v>45</v>
      </c>
      <c r="J94" s="1" t="n">
        <v>2</v>
      </c>
      <c r="K94" s="1" t="n">
        <v>302400</v>
      </c>
      <c r="L94" s="1" t="n">
        <v>24145.8</v>
      </c>
      <c r="M94" s="1" t="n">
        <v>44829.8</v>
      </c>
      <c r="N94" s="1" t="n">
        <v>16744.285714286</v>
      </c>
      <c r="O94" s="1" t="n">
        <v>100798</v>
      </c>
      <c r="P94" s="1" t="n">
        <v>55505.219447302</v>
      </c>
      <c r="Q94" s="1" t="n">
        <v>40890.085714286</v>
      </c>
      <c r="R94" s="1" t="n">
        <v>201133.019447302</v>
      </c>
      <c r="S94" s="1" t="n">
        <v>242023.105161587</v>
      </c>
      <c r="T94" s="1" t="n">
        <v>60376.894838413</v>
      </c>
      <c r="V94" s="25">
        <f>_CALC_ALLOC!AI94</f>
        <v/>
      </c>
      <c r="W94" s="25">
        <f>_CALC_ALLOC!AJ94</f>
        <v/>
      </c>
      <c r="X94" s="25">
        <f>_CALC_ALLOC!AK94</f>
        <v/>
      </c>
      <c r="Y94" s="25">
        <f>_CALC_ALLOC!AL94</f>
        <v/>
      </c>
      <c r="Z94" s="25">
        <f>_CALC_ALLOC!AM94</f>
        <v/>
      </c>
      <c r="AA94" s="25">
        <f>_CALC_ALLOC!AN94</f>
        <v/>
      </c>
      <c r="AB94" s="25">
        <f>AA94-T94</f>
        <v/>
      </c>
    </row>
    <row r="95">
      <c r="A95" s="1" t="inlineStr">
        <is>
          <t>2027BUD_V1</t>
        </is>
      </c>
      <c r="B95" s="1" t="inlineStr">
        <is>
          <t>12</t>
        </is>
      </c>
      <c r="C95" s="1" t="inlineStr">
        <is>
          <t>2026</t>
        </is>
      </c>
      <c r="D95" s="1" t="inlineStr">
        <is>
          <t>ISCOM_TLS</t>
        </is>
      </c>
      <c r="E95" s="1" t="inlineStr">
        <is>
          <t>ISCOM</t>
        </is>
      </c>
      <c r="F95" s="1" t="inlineStr">
        <is>
          <t>MAS_COM</t>
        </is>
      </c>
      <c r="G95" s="1" t="inlineStr">
        <is>
          <t>M1</t>
        </is>
      </c>
      <c r="H95" s="1" t="inlineStr">
        <is>
          <t>ALT</t>
        </is>
      </c>
      <c r="I95" s="1" t="n">
        <v>47</v>
      </c>
      <c r="J95" s="1" t="n">
        <v>2</v>
      </c>
      <c r="K95" s="1" t="n">
        <v>342630</v>
      </c>
      <c r="L95" s="1" t="n">
        <v>21127.575</v>
      </c>
      <c r="M95" s="1" t="n">
        <v>39226.075</v>
      </c>
      <c r="N95" s="1" t="n">
        <v>28529.976190476</v>
      </c>
      <c r="O95" s="1" t="n">
        <v>100798</v>
      </c>
      <c r="P95" s="1" t="n">
        <v>55505.219447302</v>
      </c>
      <c r="Q95" s="1" t="n">
        <v>49657.551190476</v>
      </c>
      <c r="R95" s="1" t="n">
        <v>195529.294447302</v>
      </c>
      <c r="S95" s="1" t="n">
        <v>245186.845637778</v>
      </c>
      <c r="T95" s="1" t="n">
        <v>97443.15436222201</v>
      </c>
      <c r="V95" s="25">
        <f>_CALC_ALLOC!AI95</f>
        <v/>
      </c>
      <c r="W95" s="25">
        <f>_CALC_ALLOC!AJ95</f>
        <v/>
      </c>
      <c r="X95" s="25">
        <f>_CALC_ALLOC!AK95</f>
        <v/>
      </c>
      <c r="Y95" s="25">
        <f>_CALC_ALLOC!AL95</f>
        <v/>
      </c>
      <c r="Z95" s="25">
        <f>_CALC_ALLOC!AM95</f>
        <v/>
      </c>
      <c r="AA95" s="25">
        <f>_CALC_ALLOC!AN95</f>
        <v/>
      </c>
      <c r="AB95" s="25">
        <f>AA95-T95</f>
        <v/>
      </c>
    </row>
    <row r="96">
      <c r="A96" s="1" t="inlineStr">
        <is>
          <t>2027BUD_V1</t>
        </is>
      </c>
      <c r="B96" s="1" t="inlineStr">
        <is>
          <t>12</t>
        </is>
      </c>
      <c r="C96" s="1" t="inlineStr">
        <is>
          <t>2026</t>
        </is>
      </c>
      <c r="D96" s="1" t="inlineStr">
        <is>
          <t>ISCOM_TLS</t>
        </is>
      </c>
      <c r="E96" s="1" t="inlineStr">
        <is>
          <t>ISCOM</t>
        </is>
      </c>
      <c r="F96" s="1" t="inlineStr">
        <is>
          <t>MAS_COM</t>
        </is>
      </c>
      <c r="G96" s="1" t="inlineStr">
        <is>
          <t>M2</t>
        </is>
      </c>
      <c r="H96" s="1" t="inlineStr">
        <is>
          <t>ALT</t>
        </is>
      </c>
      <c r="I96" s="1" t="n">
        <v>46</v>
      </c>
      <c r="J96" s="1" t="n">
        <v>2</v>
      </c>
      <c r="K96" s="1" t="n">
        <v>331200</v>
      </c>
      <c r="L96" s="1" t="n">
        <v>21127.575</v>
      </c>
      <c r="M96" s="1" t="n">
        <v>39226.075</v>
      </c>
      <c r="N96" s="1" t="n">
        <v>17116.380952381</v>
      </c>
      <c r="O96" s="1" t="n">
        <v>100798</v>
      </c>
      <c r="P96" s="1" t="n">
        <v>55505.219447302</v>
      </c>
      <c r="Q96" s="1" t="n">
        <v>38243.955952381</v>
      </c>
      <c r="R96" s="1" t="n">
        <v>195529.294447302</v>
      </c>
      <c r="S96" s="1" t="n">
        <v>233773.250399682</v>
      </c>
      <c r="T96" s="1" t="n">
        <v>97426.749600318</v>
      </c>
      <c r="V96" s="25">
        <f>_CALC_ALLOC!AI96</f>
        <v/>
      </c>
      <c r="W96" s="25">
        <f>_CALC_ALLOC!AJ96</f>
        <v/>
      </c>
      <c r="X96" s="25">
        <f>_CALC_ALLOC!AK96</f>
        <v/>
      </c>
      <c r="Y96" s="25">
        <f>_CALC_ALLOC!AL96</f>
        <v/>
      </c>
      <c r="Z96" s="25">
        <f>_CALC_ALLOC!AM96</f>
        <v/>
      </c>
      <c r="AA96" s="25">
        <f>_CALC_ALLOC!AN96</f>
        <v/>
      </c>
      <c r="AB96" s="25">
        <f>AA96-T96</f>
        <v/>
      </c>
    </row>
    <row r="97">
      <c r="A97" s="1" t="inlineStr">
        <is>
          <t>2027BUD_V1</t>
        </is>
      </c>
      <c r="B97" s="1" t="inlineStr">
        <is>
          <t>12</t>
        </is>
      </c>
      <c r="C97" s="1" t="inlineStr">
        <is>
          <t>2025</t>
        </is>
      </c>
      <c r="D97" s="1" t="inlineStr">
        <is>
          <t>ISCOM_TLS</t>
        </is>
      </c>
      <c r="E97" s="1" t="inlineStr">
        <is>
          <t>ISCOM</t>
        </is>
      </c>
      <c r="F97" s="1" t="inlineStr">
        <is>
          <t>BAC_COM</t>
        </is>
      </c>
      <c r="G97" s="1" t="inlineStr">
        <is>
          <t>B1</t>
        </is>
      </c>
      <c r="H97" s="1" t="inlineStr">
        <is>
          <t>INIT</t>
        </is>
      </c>
      <c r="I97" s="1" t="n">
        <v>44</v>
      </c>
      <c r="J97" s="1" t="n">
        <v>2</v>
      </c>
      <c r="K97" s="1" t="n">
        <v>320760</v>
      </c>
      <c r="L97" s="1" t="n">
        <v>28807.25</v>
      </c>
      <c r="M97" s="1" t="n">
        <v>53484.25</v>
      </c>
      <c r="N97" s="1" t="n">
        <v>26749.444444444</v>
      </c>
      <c r="O97" s="1" t="n">
        <v>96205.8</v>
      </c>
      <c r="P97" s="1" t="n">
        <v>51585.461871911</v>
      </c>
      <c r="Q97" s="1" t="n">
        <v>55556.694444444</v>
      </c>
      <c r="R97" s="1" t="n">
        <v>201275.511871911</v>
      </c>
      <c r="S97" s="1" t="n">
        <v>256832.206316356</v>
      </c>
      <c r="T97" s="1" t="n">
        <v>63927.793683644</v>
      </c>
      <c r="V97" s="25">
        <f>_CALC_ALLOC!AI97</f>
        <v/>
      </c>
      <c r="W97" s="25">
        <f>_CALC_ALLOC!AJ97</f>
        <v/>
      </c>
      <c r="X97" s="25">
        <f>_CALC_ALLOC!AK97</f>
        <v/>
      </c>
      <c r="Y97" s="25">
        <f>_CALC_ALLOC!AL97</f>
        <v/>
      </c>
      <c r="Z97" s="25">
        <f>_CALC_ALLOC!AM97</f>
        <v/>
      </c>
      <c r="AA97" s="25">
        <f>_CALC_ALLOC!AN97</f>
        <v/>
      </c>
      <c r="AB97" s="25">
        <f>AA97-T97</f>
        <v/>
      </c>
    </row>
    <row r="98">
      <c r="A98" s="1" t="inlineStr">
        <is>
          <t>2027BUD_V1</t>
        </is>
      </c>
      <c r="B98" s="1" t="inlineStr">
        <is>
          <t>12</t>
        </is>
      </c>
      <c r="C98" s="1" t="inlineStr">
        <is>
          <t>2025</t>
        </is>
      </c>
      <c r="D98" s="1" t="inlineStr">
        <is>
          <t>ISCOM_TLS</t>
        </is>
      </c>
      <c r="E98" s="1" t="inlineStr">
        <is>
          <t>ISCOM</t>
        </is>
      </c>
      <c r="F98" s="1" t="inlineStr">
        <is>
          <t>BAC_COM</t>
        </is>
      </c>
      <c r="G98" s="1" t="inlineStr">
        <is>
          <t>B2</t>
        </is>
      </c>
      <c r="H98" s="1" t="inlineStr">
        <is>
          <t>ALT</t>
        </is>
      </c>
      <c r="I98" s="1" t="n">
        <v>43</v>
      </c>
      <c r="J98" s="1" t="n">
        <v>2</v>
      </c>
      <c r="K98" s="1" t="n">
        <v>288960</v>
      </c>
      <c r="L98" s="1" t="n">
        <v>23045.8</v>
      </c>
      <c r="M98" s="1" t="n">
        <v>42787.4</v>
      </c>
      <c r="N98" s="1" t="n">
        <v>16331.638888889</v>
      </c>
      <c r="O98" s="1" t="n">
        <v>96205.8</v>
      </c>
      <c r="P98" s="1" t="n">
        <v>51585.461871911</v>
      </c>
      <c r="Q98" s="1" t="n">
        <v>39377.438888889</v>
      </c>
      <c r="R98" s="1" t="n">
        <v>190578.661871911</v>
      </c>
      <c r="S98" s="1" t="n">
        <v>229956.1007608</v>
      </c>
      <c r="T98" s="1" t="n">
        <v>59003.8992392</v>
      </c>
      <c r="V98" s="25">
        <f>_CALC_ALLOC!AI98</f>
        <v/>
      </c>
      <c r="W98" s="25">
        <f>_CALC_ALLOC!AJ98</f>
        <v/>
      </c>
      <c r="X98" s="25">
        <f>_CALC_ALLOC!AK98</f>
        <v/>
      </c>
      <c r="Y98" s="25">
        <f>_CALC_ALLOC!AL98</f>
        <v/>
      </c>
      <c r="Z98" s="25">
        <f>_CALC_ALLOC!AM98</f>
        <v/>
      </c>
      <c r="AA98" s="25">
        <f>_CALC_ALLOC!AN98</f>
        <v/>
      </c>
      <c r="AB98" s="25">
        <f>AA98-T98</f>
        <v/>
      </c>
    </row>
    <row r="99">
      <c r="A99" s="1" t="inlineStr">
        <is>
          <t>2027BUD_V1</t>
        </is>
      </c>
      <c r="B99" s="1" t="inlineStr">
        <is>
          <t>12</t>
        </is>
      </c>
      <c r="C99" s="1" t="inlineStr">
        <is>
          <t>2025</t>
        </is>
      </c>
      <c r="D99" s="1" t="inlineStr">
        <is>
          <t>ISCOM_TLS</t>
        </is>
      </c>
      <c r="E99" s="1" t="inlineStr">
        <is>
          <t>ISCOM</t>
        </is>
      </c>
      <c r="F99" s="1" t="inlineStr">
        <is>
          <t>BAC_COM</t>
        </is>
      </c>
      <c r="G99" s="1" t="inlineStr">
        <is>
          <t>B3</t>
        </is>
      </c>
      <c r="H99" s="1" t="inlineStr">
        <is>
          <t>ALT</t>
        </is>
      </c>
      <c r="I99" s="1" t="n">
        <v>42</v>
      </c>
      <c r="J99" s="1" t="n">
        <v>2</v>
      </c>
      <c r="K99" s="1" t="n">
        <v>282240</v>
      </c>
      <c r="L99" s="1" t="n">
        <v>23045.8</v>
      </c>
      <c r="M99" s="1" t="n">
        <v>42787.4</v>
      </c>
      <c r="N99" s="1" t="n">
        <v>15951.833333333</v>
      </c>
      <c r="O99" s="1" t="n">
        <v>96205.8</v>
      </c>
      <c r="P99" s="1" t="n">
        <v>51585.461871911</v>
      </c>
      <c r="Q99" s="1" t="n">
        <v>38997.633333333</v>
      </c>
      <c r="R99" s="1" t="n">
        <v>190578.661871911</v>
      </c>
      <c r="S99" s="1" t="n">
        <v>229576.295205245</v>
      </c>
      <c r="T99" s="1" t="n">
        <v>52663.704794755</v>
      </c>
      <c r="V99" s="25">
        <f>_CALC_ALLOC!AI99</f>
        <v/>
      </c>
      <c r="W99" s="25">
        <f>_CALC_ALLOC!AJ99</f>
        <v/>
      </c>
      <c r="X99" s="25">
        <f>_CALC_ALLOC!AK99</f>
        <v/>
      </c>
      <c r="Y99" s="25">
        <f>_CALC_ALLOC!AL99</f>
        <v/>
      </c>
      <c r="Z99" s="25">
        <f>_CALC_ALLOC!AM99</f>
        <v/>
      </c>
      <c r="AA99" s="25">
        <f>_CALC_ALLOC!AN99</f>
        <v/>
      </c>
      <c r="AB99" s="25">
        <f>AA99-T99</f>
        <v/>
      </c>
    </row>
    <row r="100">
      <c r="A100" s="1" t="inlineStr">
        <is>
          <t>2027BUD_V1</t>
        </is>
      </c>
      <c r="B100" s="1" t="inlineStr">
        <is>
          <t>12</t>
        </is>
      </c>
      <c r="C100" s="1" t="inlineStr">
        <is>
          <t>2025</t>
        </is>
      </c>
      <c r="D100" s="1" t="inlineStr">
        <is>
          <t>ISCOM_TLS</t>
        </is>
      </c>
      <c r="E100" s="1" t="inlineStr">
        <is>
          <t>ISCOM</t>
        </is>
      </c>
      <c r="F100" s="1" t="inlineStr">
        <is>
          <t>MAS_COM</t>
        </is>
      </c>
      <c r="G100" s="1" t="inlineStr">
        <is>
          <t>M1</t>
        </is>
      </c>
      <c r="H100" s="1" t="inlineStr">
        <is>
          <t>ALT</t>
        </is>
      </c>
      <c r="I100" s="1" t="n">
        <v>44</v>
      </c>
      <c r="J100" s="1" t="n">
        <v>2</v>
      </c>
      <c r="K100" s="1" t="n">
        <v>320760</v>
      </c>
      <c r="L100" s="1" t="n">
        <v>20165.075</v>
      </c>
      <c r="M100" s="1" t="n">
        <v>37438.975</v>
      </c>
      <c r="N100" s="1" t="n">
        <v>26749.444444444</v>
      </c>
      <c r="O100" s="1" t="n">
        <v>96205.8</v>
      </c>
      <c r="P100" s="1" t="n">
        <v>51585.461871911</v>
      </c>
      <c r="Q100" s="1" t="n">
        <v>46914.519444444</v>
      </c>
      <c r="R100" s="1" t="n">
        <v>185230.236871911</v>
      </c>
      <c r="S100" s="1" t="n">
        <v>232144.756316356</v>
      </c>
      <c r="T100" s="1" t="n">
        <v>88615.243683644</v>
      </c>
      <c r="V100" s="25">
        <f>_CALC_ALLOC!AI100</f>
        <v/>
      </c>
      <c r="W100" s="25">
        <f>_CALC_ALLOC!AJ100</f>
        <v/>
      </c>
      <c r="X100" s="25">
        <f>_CALC_ALLOC!AK100</f>
        <v/>
      </c>
      <c r="Y100" s="25">
        <f>_CALC_ALLOC!AL100</f>
        <v/>
      </c>
      <c r="Z100" s="25">
        <f>_CALC_ALLOC!AM100</f>
        <v/>
      </c>
      <c r="AA100" s="25">
        <f>_CALC_ALLOC!AN100</f>
        <v/>
      </c>
      <c r="AB100" s="25">
        <f>AA100-T100</f>
        <v/>
      </c>
    </row>
    <row r="101">
      <c r="A101" s="1" t="inlineStr">
        <is>
          <t>2027BUD_V1</t>
        </is>
      </c>
      <c r="B101" s="1" t="inlineStr">
        <is>
          <t>12</t>
        </is>
      </c>
      <c r="C101" s="1" t="inlineStr">
        <is>
          <t>2025</t>
        </is>
      </c>
      <c r="D101" s="1" t="inlineStr">
        <is>
          <t>ISCOM_TLS</t>
        </is>
      </c>
      <c r="E101" s="1" t="inlineStr">
        <is>
          <t>ISCOM</t>
        </is>
      </c>
      <c r="F101" s="1" t="inlineStr">
        <is>
          <t>MAS_COM</t>
        </is>
      </c>
      <c r="G101" s="1" t="inlineStr">
        <is>
          <t>M2</t>
        </is>
      </c>
      <c r="H101" s="1" t="inlineStr">
        <is>
          <t>ALT</t>
        </is>
      </c>
      <c r="I101" s="1" t="n">
        <v>43</v>
      </c>
      <c r="J101" s="1" t="n">
        <v>2</v>
      </c>
      <c r="K101" s="1" t="n">
        <v>309600</v>
      </c>
      <c r="L101" s="1" t="n">
        <v>20165.075</v>
      </c>
      <c r="M101" s="1" t="n">
        <v>37438.975</v>
      </c>
      <c r="N101" s="1" t="n">
        <v>16331.638888889</v>
      </c>
      <c r="O101" s="1" t="n">
        <v>96205.8</v>
      </c>
      <c r="P101" s="1" t="n">
        <v>51585.461871911</v>
      </c>
      <c r="Q101" s="1" t="n">
        <v>36496.713888889</v>
      </c>
      <c r="R101" s="1" t="n">
        <v>185230.236871911</v>
      </c>
      <c r="S101" s="1" t="n">
        <v>221726.9507608</v>
      </c>
      <c r="T101" s="1" t="n">
        <v>87873.0492392</v>
      </c>
      <c r="V101" s="25">
        <f>_CALC_ALLOC!AI101</f>
        <v/>
      </c>
      <c r="W101" s="25">
        <f>_CALC_ALLOC!AJ101</f>
        <v/>
      </c>
      <c r="X101" s="25">
        <f>_CALC_ALLOC!AK101</f>
        <v/>
      </c>
      <c r="Y101" s="25">
        <f>_CALC_ALLOC!AL101</f>
        <v/>
      </c>
      <c r="Z101" s="25">
        <f>_CALC_ALLOC!AM101</f>
        <v/>
      </c>
      <c r="AA101" s="25">
        <f>_CALC_ALLOC!AN101</f>
        <v/>
      </c>
      <c r="AB101" s="25">
        <f>AA101-T101</f>
        <v/>
      </c>
    </row>
    <row r="102">
      <c r="A102" s="1" t="inlineStr">
        <is>
          <t>2027BUD_V1</t>
        </is>
      </c>
      <c r="B102" s="1" t="inlineStr">
        <is>
          <t>12</t>
        </is>
      </c>
      <c r="C102" s="1" t="inlineStr">
        <is>
          <t>2024</t>
        </is>
      </c>
      <c r="D102" s="1" t="inlineStr">
        <is>
          <t>ISCOM_TLS</t>
        </is>
      </c>
      <c r="E102" s="1" t="inlineStr">
        <is>
          <t>ISCOM</t>
        </is>
      </c>
      <c r="F102" s="1" t="inlineStr">
        <is>
          <t>BAC_COM</t>
        </is>
      </c>
      <c r="G102" s="1" t="inlineStr">
        <is>
          <t>B1</t>
        </is>
      </c>
      <c r="H102" s="1" t="inlineStr">
        <is>
          <t>INIT</t>
        </is>
      </c>
      <c r="I102" s="1" t="n">
        <v>42</v>
      </c>
      <c r="J102" s="1" t="n">
        <v>2</v>
      </c>
      <c r="K102" s="1" t="n">
        <v>306180</v>
      </c>
      <c r="L102" s="1" t="n">
        <v>27545</v>
      </c>
      <c r="M102" s="1" t="n">
        <v>51141</v>
      </c>
      <c r="N102" s="1" t="n">
        <v>25118.733009709</v>
      </c>
      <c r="O102" s="1" t="n">
        <v>91990.39999999999</v>
      </c>
      <c r="P102" s="1" t="n">
        <v>48890.742500353</v>
      </c>
      <c r="Q102" s="1" t="n">
        <v>52663.733009709</v>
      </c>
      <c r="R102" s="1" t="n">
        <v>192022.142500353</v>
      </c>
      <c r="S102" s="1" t="n">
        <v>244685.875510062</v>
      </c>
      <c r="T102" s="1" t="n">
        <v>61494.124489938</v>
      </c>
      <c r="V102" s="25">
        <f>_CALC_ALLOC!AI102</f>
        <v/>
      </c>
      <c r="W102" s="25">
        <f>_CALC_ALLOC!AJ102</f>
        <v/>
      </c>
      <c r="X102" s="25">
        <f>_CALC_ALLOC!AK102</f>
        <v/>
      </c>
      <c r="Y102" s="25">
        <f>_CALC_ALLOC!AL102</f>
        <v/>
      </c>
      <c r="Z102" s="25">
        <f>_CALC_ALLOC!AM102</f>
        <v/>
      </c>
      <c r="AA102" s="25">
        <f>_CALC_ALLOC!AN102</f>
        <v/>
      </c>
      <c r="AB102" s="25">
        <f>AA102-T102</f>
        <v/>
      </c>
    </row>
    <row r="103">
      <c r="A103" s="1" t="inlineStr">
        <is>
          <t>2027BUD_V1</t>
        </is>
      </c>
      <c r="B103" s="1" t="inlineStr">
        <is>
          <t>12</t>
        </is>
      </c>
      <c r="C103" s="1" t="inlineStr">
        <is>
          <t>2024</t>
        </is>
      </c>
      <c r="D103" s="1" t="inlineStr">
        <is>
          <t>ISCOM_TLS</t>
        </is>
      </c>
      <c r="E103" s="1" t="inlineStr">
        <is>
          <t>ISCOM</t>
        </is>
      </c>
      <c r="F103" s="1" t="inlineStr">
        <is>
          <t>BAC_COM</t>
        </is>
      </c>
      <c r="G103" s="1" t="inlineStr">
        <is>
          <t>B2</t>
        </is>
      </c>
      <c r="H103" s="1" t="inlineStr">
        <is>
          <t>ALT</t>
        </is>
      </c>
      <c r="I103" s="1" t="n">
        <v>41</v>
      </c>
      <c r="J103" s="1" t="n">
        <v>2</v>
      </c>
      <c r="K103" s="1" t="n">
        <v>275520</v>
      </c>
      <c r="L103" s="1" t="n">
        <v>22036</v>
      </c>
      <c r="M103" s="1" t="n">
        <v>40912.8</v>
      </c>
      <c r="N103" s="1" t="n">
        <v>15612.441747573</v>
      </c>
      <c r="O103" s="1" t="n">
        <v>91990.39999999999</v>
      </c>
      <c r="P103" s="1" t="n">
        <v>48890.742500353</v>
      </c>
      <c r="Q103" s="1" t="n">
        <v>37648.441747573</v>
      </c>
      <c r="R103" s="1" t="n">
        <v>181793.942500353</v>
      </c>
      <c r="S103" s="1" t="n">
        <v>219442.384247926</v>
      </c>
      <c r="T103" s="1" t="n">
        <v>56077.615752074</v>
      </c>
      <c r="V103" s="25">
        <f>_CALC_ALLOC!AI103</f>
        <v/>
      </c>
      <c r="W103" s="25">
        <f>_CALC_ALLOC!AJ103</f>
        <v/>
      </c>
      <c r="X103" s="25">
        <f>_CALC_ALLOC!AK103</f>
        <v/>
      </c>
      <c r="Y103" s="25">
        <f>_CALC_ALLOC!AL103</f>
        <v/>
      </c>
      <c r="Z103" s="25">
        <f>_CALC_ALLOC!AM103</f>
        <v/>
      </c>
      <c r="AA103" s="25">
        <f>_CALC_ALLOC!AN103</f>
        <v/>
      </c>
      <c r="AB103" s="25">
        <f>AA103-T103</f>
        <v/>
      </c>
    </row>
    <row r="104">
      <c r="A104" s="1" t="inlineStr">
        <is>
          <t>2027BUD_V1</t>
        </is>
      </c>
      <c r="B104" s="1" t="inlineStr">
        <is>
          <t>12</t>
        </is>
      </c>
      <c r="C104" s="1" t="inlineStr">
        <is>
          <t>2024</t>
        </is>
      </c>
      <c r="D104" s="1" t="inlineStr">
        <is>
          <t>ISCOM_TLS</t>
        </is>
      </c>
      <c r="E104" s="1" t="inlineStr">
        <is>
          <t>ISCOM</t>
        </is>
      </c>
      <c r="F104" s="1" t="inlineStr">
        <is>
          <t>BAC_COM</t>
        </is>
      </c>
      <c r="G104" s="1" t="inlineStr">
        <is>
          <t>B3</t>
        </is>
      </c>
      <c r="H104" s="1" t="inlineStr">
        <is>
          <t>ALT</t>
        </is>
      </c>
      <c r="I104" s="1" t="n">
        <v>40</v>
      </c>
      <c r="J104" s="1" t="n">
        <v>2</v>
      </c>
      <c r="K104" s="1" t="n">
        <v>268800</v>
      </c>
      <c r="L104" s="1" t="n">
        <v>22036</v>
      </c>
      <c r="M104" s="1" t="n">
        <v>40912.8</v>
      </c>
      <c r="N104" s="1" t="n">
        <v>15231.650485437</v>
      </c>
      <c r="O104" s="1" t="n">
        <v>91990.39999999999</v>
      </c>
      <c r="P104" s="1" t="n">
        <v>48890.742500353</v>
      </c>
      <c r="Q104" s="1" t="n">
        <v>37267.650485437</v>
      </c>
      <c r="R104" s="1" t="n">
        <v>181793.942500353</v>
      </c>
      <c r="S104" s="1" t="n">
        <v>219061.59298579</v>
      </c>
      <c r="T104" s="1" t="n">
        <v>49738.40701421</v>
      </c>
      <c r="V104" s="25">
        <f>_CALC_ALLOC!AI104</f>
        <v/>
      </c>
      <c r="W104" s="25">
        <f>_CALC_ALLOC!AJ104</f>
        <v/>
      </c>
      <c r="X104" s="25">
        <f>_CALC_ALLOC!AK104</f>
        <v/>
      </c>
      <c r="Y104" s="25">
        <f>_CALC_ALLOC!AL104</f>
        <v/>
      </c>
      <c r="Z104" s="25">
        <f>_CALC_ALLOC!AM104</f>
        <v/>
      </c>
      <c r="AA104" s="25">
        <f>_CALC_ALLOC!AN104</f>
        <v/>
      </c>
      <c r="AB104" s="25">
        <f>AA104-T104</f>
        <v/>
      </c>
    </row>
    <row r="105">
      <c r="A105" s="1" t="inlineStr">
        <is>
          <t>2027BUD_V1</t>
        </is>
      </c>
      <c r="B105" s="1" t="inlineStr">
        <is>
          <t>12</t>
        </is>
      </c>
      <c r="C105" s="1" t="inlineStr">
        <is>
          <t>2024</t>
        </is>
      </c>
      <c r="D105" s="1" t="inlineStr">
        <is>
          <t>ISCOM_TLS</t>
        </is>
      </c>
      <c r="E105" s="1" t="inlineStr">
        <is>
          <t>ISCOM</t>
        </is>
      </c>
      <c r="F105" s="1" t="inlineStr">
        <is>
          <t>MAS_COM</t>
        </is>
      </c>
      <c r="G105" s="1" t="inlineStr">
        <is>
          <t>M1</t>
        </is>
      </c>
      <c r="H105" s="1" t="inlineStr">
        <is>
          <t>ALT</t>
        </is>
      </c>
      <c r="I105" s="1" t="n">
        <v>42</v>
      </c>
      <c r="J105" s="1" t="n">
        <v>2</v>
      </c>
      <c r="K105" s="1" t="n">
        <v>306180</v>
      </c>
      <c r="L105" s="1" t="n">
        <v>19281.5</v>
      </c>
      <c r="M105" s="1" t="n">
        <v>35798.7</v>
      </c>
      <c r="N105" s="1" t="n">
        <v>25118.733009709</v>
      </c>
      <c r="O105" s="1" t="n">
        <v>91990.39999999999</v>
      </c>
      <c r="P105" s="1" t="n">
        <v>48890.742500353</v>
      </c>
      <c r="Q105" s="1" t="n">
        <v>44400.233009709</v>
      </c>
      <c r="R105" s="1" t="n">
        <v>176679.842500353</v>
      </c>
      <c r="S105" s="1" t="n">
        <v>221080.075510062</v>
      </c>
      <c r="T105" s="1" t="n">
        <v>85099.924489938</v>
      </c>
      <c r="V105" s="25">
        <f>_CALC_ALLOC!AI105</f>
        <v/>
      </c>
      <c r="W105" s="25">
        <f>_CALC_ALLOC!AJ105</f>
        <v/>
      </c>
      <c r="X105" s="25">
        <f>_CALC_ALLOC!AK105</f>
        <v/>
      </c>
      <c r="Y105" s="25">
        <f>_CALC_ALLOC!AL105</f>
        <v/>
      </c>
      <c r="Z105" s="25">
        <f>_CALC_ALLOC!AM105</f>
        <v/>
      </c>
      <c r="AA105" s="25">
        <f>_CALC_ALLOC!AN105</f>
        <v/>
      </c>
      <c r="AB105" s="25">
        <f>AA105-T105</f>
        <v/>
      </c>
    </row>
    <row r="106">
      <c r="A106" s="1" t="inlineStr">
        <is>
          <t>2027BUD_V1</t>
        </is>
      </c>
      <c r="B106" s="1" t="inlineStr">
        <is>
          <t>12</t>
        </is>
      </c>
      <c r="C106" s="1" t="inlineStr">
        <is>
          <t>2024</t>
        </is>
      </c>
      <c r="D106" s="1" t="inlineStr">
        <is>
          <t>ISCOM_TLS</t>
        </is>
      </c>
      <c r="E106" s="1" t="inlineStr">
        <is>
          <t>ISCOM</t>
        </is>
      </c>
      <c r="F106" s="1" t="inlineStr">
        <is>
          <t>MAS_COM</t>
        </is>
      </c>
      <c r="G106" s="1" t="inlineStr">
        <is>
          <t>M2</t>
        </is>
      </c>
      <c r="H106" s="1" t="inlineStr">
        <is>
          <t>ALT</t>
        </is>
      </c>
      <c r="I106" s="1" t="n">
        <v>41</v>
      </c>
      <c r="J106" s="1" t="n">
        <v>2</v>
      </c>
      <c r="K106" s="1" t="n">
        <v>295200</v>
      </c>
      <c r="L106" s="1" t="n">
        <v>19281.5</v>
      </c>
      <c r="M106" s="1" t="n">
        <v>35798.7</v>
      </c>
      <c r="N106" s="1" t="n">
        <v>15612.441747573</v>
      </c>
      <c r="O106" s="1" t="n">
        <v>91990.39999999999</v>
      </c>
      <c r="P106" s="1" t="n">
        <v>48890.742500353</v>
      </c>
      <c r="Q106" s="1" t="n">
        <v>34893.941747573</v>
      </c>
      <c r="R106" s="1" t="n">
        <v>176679.842500353</v>
      </c>
      <c r="S106" s="1" t="n">
        <v>211573.784247926</v>
      </c>
      <c r="T106" s="1" t="n">
        <v>83626.215752074</v>
      </c>
      <c r="V106" s="25">
        <f>_CALC_ALLOC!AI106</f>
        <v/>
      </c>
      <c r="W106" s="25">
        <f>_CALC_ALLOC!AJ106</f>
        <v/>
      </c>
      <c r="X106" s="25">
        <f>_CALC_ALLOC!AK106</f>
        <v/>
      </c>
      <c r="Y106" s="25">
        <f>_CALC_ALLOC!AL106</f>
        <v/>
      </c>
      <c r="Z106" s="25">
        <f>_CALC_ALLOC!AM106</f>
        <v/>
      </c>
      <c r="AA106" s="25">
        <f>_CALC_ALLOC!AN106</f>
        <v/>
      </c>
      <c r="AB106" s="25">
        <f>AA106-T106</f>
        <v/>
      </c>
    </row>
    <row r="107">
      <c r="A107" s="1" t="inlineStr">
        <is>
          <t>2027BUD_V1</t>
        </is>
      </c>
      <c r="B107" s="1" t="inlineStr">
        <is>
          <t>12</t>
        </is>
      </c>
      <c r="C107" s="1" t="inlineStr">
        <is>
          <t>2026</t>
        </is>
      </c>
      <c r="D107" s="1" t="inlineStr">
        <is>
          <t>IPAC_NAN</t>
        </is>
      </c>
      <c r="E107" s="1" t="inlineStr">
        <is>
          <t>IPAC</t>
        </is>
      </c>
      <c r="F107" s="1" t="inlineStr">
        <is>
          <t>BAC_CCE</t>
        </is>
      </c>
      <c r="G107" s="1" t="inlineStr">
        <is>
          <t>B1</t>
        </is>
      </c>
      <c r="H107" s="1" t="inlineStr">
        <is>
          <t>ALT</t>
        </is>
      </c>
      <c r="I107" s="1" t="n">
        <v>50</v>
      </c>
      <c r="J107" s="1" t="n">
        <v>2</v>
      </c>
      <c r="K107" s="1" t="n">
        <v>354500</v>
      </c>
      <c r="L107" s="1" t="n">
        <v>24146</v>
      </c>
      <c r="M107" s="1" t="n">
        <v>49811</v>
      </c>
      <c r="N107" s="1" t="n">
        <v>40364.827586207</v>
      </c>
      <c r="O107" s="1" t="n">
        <v>115410.333333333</v>
      </c>
      <c r="P107" s="1" t="n">
        <v>52133.636463876</v>
      </c>
      <c r="Q107" s="1" t="n">
        <v>64510.827586207</v>
      </c>
      <c r="R107" s="1" t="n">
        <v>217354.969797209</v>
      </c>
      <c r="S107" s="1" t="n">
        <v>281865.797383416</v>
      </c>
      <c r="T107" s="1" t="n">
        <v>72634.20261658401</v>
      </c>
      <c r="V107" s="25">
        <f>_CALC_ALLOC!AI107</f>
        <v/>
      </c>
      <c r="W107" s="25">
        <f>_CALC_ALLOC!AJ107</f>
        <v/>
      </c>
      <c r="X107" s="25">
        <f>_CALC_ALLOC!AK107</f>
        <v/>
      </c>
      <c r="Y107" s="25">
        <f>_CALC_ALLOC!AL107</f>
        <v/>
      </c>
      <c r="Z107" s="25">
        <f>_CALC_ALLOC!AM107</f>
        <v/>
      </c>
      <c r="AA107" s="25">
        <f>_CALC_ALLOC!AN107</f>
        <v/>
      </c>
      <c r="AB107" s="25">
        <f>AA107-T107</f>
        <v/>
      </c>
    </row>
    <row r="108">
      <c r="A108" s="1" t="inlineStr">
        <is>
          <t>2027BUD_V1</t>
        </is>
      </c>
      <c r="B108" s="1" t="inlineStr">
        <is>
          <t>12</t>
        </is>
      </c>
      <c r="C108" s="1" t="inlineStr">
        <is>
          <t>2026</t>
        </is>
      </c>
      <c r="D108" s="1" t="inlineStr">
        <is>
          <t>IPAC_NAN</t>
        </is>
      </c>
      <c r="E108" s="1" t="inlineStr">
        <is>
          <t>IPAC</t>
        </is>
      </c>
      <c r="F108" s="1" t="inlineStr">
        <is>
          <t>BAC_CCE</t>
        </is>
      </c>
      <c r="G108" s="1" t="inlineStr">
        <is>
          <t>B2</t>
        </is>
      </c>
      <c r="H108" s="1" t="inlineStr">
        <is>
          <t>ALT</t>
        </is>
      </c>
      <c r="I108" s="1" t="n">
        <v>48</v>
      </c>
      <c r="J108" s="1" t="n">
        <v>2</v>
      </c>
      <c r="K108" s="1" t="n">
        <v>336000</v>
      </c>
      <c r="L108" s="1" t="n">
        <v>24146</v>
      </c>
      <c r="M108" s="1" t="n">
        <v>49811</v>
      </c>
      <c r="N108" s="1" t="n">
        <v>17860.634482759</v>
      </c>
      <c r="O108" s="1" t="n">
        <v>115410.333333333</v>
      </c>
      <c r="P108" s="1" t="n">
        <v>52133.636463876</v>
      </c>
      <c r="Q108" s="1" t="n">
        <v>42006.634482759</v>
      </c>
      <c r="R108" s="1" t="n">
        <v>217354.969797209</v>
      </c>
      <c r="S108" s="1" t="n">
        <v>259361.604279968</v>
      </c>
      <c r="T108" s="1" t="n">
        <v>76638.395720032</v>
      </c>
      <c r="V108" s="25">
        <f>_CALC_ALLOC!AI108</f>
        <v/>
      </c>
      <c r="W108" s="25">
        <f>_CALC_ALLOC!AJ108</f>
        <v/>
      </c>
      <c r="X108" s="25">
        <f>_CALC_ALLOC!AK108</f>
        <v/>
      </c>
      <c r="Y108" s="25">
        <f>_CALC_ALLOC!AL108</f>
        <v/>
      </c>
      <c r="Z108" s="25">
        <f>_CALC_ALLOC!AM108</f>
        <v/>
      </c>
      <c r="AA108" s="25">
        <f>_CALC_ALLOC!AN108</f>
        <v/>
      </c>
      <c r="AB108" s="25">
        <f>AA108-T108</f>
        <v/>
      </c>
    </row>
    <row r="109">
      <c r="A109" s="1" t="inlineStr">
        <is>
          <t>2027BUD_V1</t>
        </is>
      </c>
      <c r="B109" s="1" t="inlineStr">
        <is>
          <t>12</t>
        </is>
      </c>
      <c r="C109" s="1" t="inlineStr">
        <is>
          <t>2026</t>
        </is>
      </c>
      <c r="D109" s="1" t="inlineStr">
        <is>
          <t>IPAC_NAN</t>
        </is>
      </c>
      <c r="E109" s="1" t="inlineStr">
        <is>
          <t>IPAC</t>
        </is>
      </c>
      <c r="F109" s="1" t="inlineStr">
        <is>
          <t>BAC_CCE</t>
        </is>
      </c>
      <c r="G109" s="1" t="inlineStr">
        <is>
          <t>B3</t>
        </is>
      </c>
      <c r="H109" s="1" t="inlineStr">
        <is>
          <t>ALT</t>
        </is>
      </c>
      <c r="I109" s="1" t="n">
        <v>47</v>
      </c>
      <c r="J109" s="1" t="n">
        <v>2</v>
      </c>
      <c r="K109" s="1" t="n">
        <v>329000</v>
      </c>
      <c r="L109" s="1" t="n">
        <v>24146</v>
      </c>
      <c r="M109" s="1" t="n">
        <v>49811</v>
      </c>
      <c r="N109" s="1" t="n">
        <v>17488.537931034</v>
      </c>
      <c r="O109" s="1" t="n">
        <v>115410.333333333</v>
      </c>
      <c r="P109" s="1" t="n">
        <v>52133.636463876</v>
      </c>
      <c r="Q109" s="1" t="n">
        <v>41634.537931034</v>
      </c>
      <c r="R109" s="1" t="n">
        <v>217354.969797209</v>
      </c>
      <c r="S109" s="1" t="n">
        <v>258989.507728244</v>
      </c>
      <c r="T109" s="1" t="n">
        <v>70010.492271756</v>
      </c>
      <c r="V109" s="25">
        <f>_CALC_ALLOC!AI109</f>
        <v/>
      </c>
      <c r="W109" s="25">
        <f>_CALC_ALLOC!AJ109</f>
        <v/>
      </c>
      <c r="X109" s="25">
        <f>_CALC_ALLOC!AK109</f>
        <v/>
      </c>
      <c r="Y109" s="25">
        <f>_CALC_ALLOC!AL109</f>
        <v/>
      </c>
      <c r="Z109" s="25">
        <f>_CALC_ALLOC!AM109</f>
        <v/>
      </c>
      <c r="AA109" s="25">
        <f>_CALC_ALLOC!AN109</f>
        <v/>
      </c>
      <c r="AB109" s="25">
        <f>AA109-T109</f>
        <v/>
      </c>
    </row>
    <row r="110">
      <c r="A110" s="1" t="inlineStr">
        <is>
          <t>2027BUD_V1</t>
        </is>
      </c>
      <c r="B110" s="1" t="inlineStr">
        <is>
          <t>12</t>
        </is>
      </c>
      <c r="C110" s="1" t="inlineStr">
        <is>
          <t>2025</t>
        </is>
      </c>
      <c r="D110" s="1" t="inlineStr">
        <is>
          <t>IPAC_NAN</t>
        </is>
      </c>
      <c r="E110" s="1" t="inlineStr">
        <is>
          <t>IPAC</t>
        </is>
      </c>
      <c r="F110" s="1" t="inlineStr">
        <is>
          <t>BAC_CCE</t>
        </is>
      </c>
      <c r="G110" s="1" t="inlineStr">
        <is>
          <t>B1</t>
        </is>
      </c>
      <c r="H110" s="1" t="inlineStr">
        <is>
          <t>ALT</t>
        </is>
      </c>
      <c r="I110" s="1" t="n">
        <v>47</v>
      </c>
      <c r="J110" s="1" t="n">
        <v>2</v>
      </c>
      <c r="K110" s="1" t="n">
        <v>333230</v>
      </c>
      <c r="L110" s="1" t="n">
        <v>23045.666666667</v>
      </c>
      <c r="M110" s="1" t="n">
        <v>47541.666666667</v>
      </c>
      <c r="N110" s="1" t="n">
        <v>37578.066176471</v>
      </c>
      <c r="O110" s="1" t="n">
        <v>110152.666666667</v>
      </c>
      <c r="P110" s="1" t="n">
        <v>48579.526277504</v>
      </c>
      <c r="Q110" s="1" t="n">
        <v>60623.732843137</v>
      </c>
      <c r="R110" s="1" t="n">
        <v>206273.859610837</v>
      </c>
      <c r="S110" s="1" t="n">
        <v>266897.592453974</v>
      </c>
      <c r="T110" s="1" t="n">
        <v>66332.40754602601</v>
      </c>
      <c r="V110" s="25">
        <f>_CALC_ALLOC!AI110</f>
        <v/>
      </c>
      <c r="W110" s="25">
        <f>_CALC_ALLOC!AJ110</f>
        <v/>
      </c>
      <c r="X110" s="25">
        <f>_CALC_ALLOC!AK110</f>
        <v/>
      </c>
      <c r="Y110" s="25">
        <f>_CALC_ALLOC!AL110</f>
        <v/>
      </c>
      <c r="Z110" s="25">
        <f>_CALC_ALLOC!AM110</f>
        <v/>
      </c>
      <c r="AA110" s="25">
        <f>_CALC_ALLOC!AN110</f>
        <v/>
      </c>
      <c r="AB110" s="25">
        <f>AA110-T110</f>
        <v/>
      </c>
    </row>
    <row r="111">
      <c r="A111" s="1" t="inlineStr">
        <is>
          <t>2027BUD_V1</t>
        </is>
      </c>
      <c r="B111" s="1" t="inlineStr">
        <is>
          <t>12</t>
        </is>
      </c>
      <c r="C111" s="1" t="inlineStr">
        <is>
          <t>2025</t>
        </is>
      </c>
      <c r="D111" s="1" t="inlineStr">
        <is>
          <t>IPAC_NAN</t>
        </is>
      </c>
      <c r="E111" s="1" t="inlineStr">
        <is>
          <t>IPAC</t>
        </is>
      </c>
      <c r="F111" s="1" t="inlineStr">
        <is>
          <t>BAC_CCE</t>
        </is>
      </c>
      <c r="G111" s="1" t="inlineStr">
        <is>
          <t>B2</t>
        </is>
      </c>
      <c r="H111" s="1" t="inlineStr">
        <is>
          <t>ALT</t>
        </is>
      </c>
      <c r="I111" s="1" t="n">
        <v>45</v>
      </c>
      <c r="J111" s="1" t="n">
        <v>2</v>
      </c>
      <c r="K111" s="1" t="n">
        <v>315000</v>
      </c>
      <c r="L111" s="1" t="n">
        <v>23045.666666667</v>
      </c>
      <c r="M111" s="1" t="n">
        <v>47541.666666667</v>
      </c>
      <c r="N111" s="1" t="n">
        <v>17038.786764706</v>
      </c>
      <c r="O111" s="1" t="n">
        <v>110152.666666667</v>
      </c>
      <c r="P111" s="1" t="n">
        <v>48579.526277504</v>
      </c>
      <c r="Q111" s="1" t="n">
        <v>40084.453431373</v>
      </c>
      <c r="R111" s="1" t="n">
        <v>206273.859610837</v>
      </c>
      <c r="S111" s="1" t="n">
        <v>246358.31304221</v>
      </c>
      <c r="T111" s="1" t="n">
        <v>68641.68695779001</v>
      </c>
      <c r="V111" s="25">
        <f>_CALC_ALLOC!AI111</f>
        <v/>
      </c>
      <c r="W111" s="25">
        <f>_CALC_ALLOC!AJ111</f>
        <v/>
      </c>
      <c r="X111" s="25">
        <f>_CALC_ALLOC!AK111</f>
        <v/>
      </c>
      <c r="Y111" s="25">
        <f>_CALC_ALLOC!AL111</f>
        <v/>
      </c>
      <c r="Z111" s="25">
        <f>_CALC_ALLOC!AM111</f>
        <v/>
      </c>
      <c r="AA111" s="25">
        <f>_CALC_ALLOC!AN111</f>
        <v/>
      </c>
      <c r="AB111" s="25">
        <f>AA111-T111</f>
        <v/>
      </c>
    </row>
    <row r="112">
      <c r="A112" s="1" t="inlineStr">
        <is>
          <t>2027BUD_V1</t>
        </is>
      </c>
      <c r="B112" s="1" t="inlineStr">
        <is>
          <t>12</t>
        </is>
      </c>
      <c r="C112" s="1" t="inlineStr">
        <is>
          <t>2025</t>
        </is>
      </c>
      <c r="D112" s="1" t="inlineStr">
        <is>
          <t>IPAC_NAN</t>
        </is>
      </c>
      <c r="E112" s="1" t="inlineStr">
        <is>
          <t>IPAC</t>
        </is>
      </c>
      <c r="F112" s="1" t="inlineStr">
        <is>
          <t>BAC_CCE</t>
        </is>
      </c>
      <c r="G112" s="1" t="inlineStr">
        <is>
          <t>B3</t>
        </is>
      </c>
      <c r="H112" s="1" t="inlineStr">
        <is>
          <t>ALT</t>
        </is>
      </c>
      <c r="I112" s="1" t="n">
        <v>44</v>
      </c>
      <c r="J112" s="1" t="n">
        <v>2</v>
      </c>
      <c r="K112" s="1" t="n">
        <v>308000</v>
      </c>
      <c r="L112" s="1" t="n">
        <v>23045.666666667</v>
      </c>
      <c r="M112" s="1" t="n">
        <v>47541.666666667</v>
      </c>
      <c r="N112" s="1" t="n">
        <v>16660.147058824</v>
      </c>
      <c r="O112" s="1" t="n">
        <v>110152.666666667</v>
      </c>
      <c r="P112" s="1" t="n">
        <v>48579.526277504</v>
      </c>
      <c r="Q112" s="1" t="n">
        <v>39705.81372549</v>
      </c>
      <c r="R112" s="1" t="n">
        <v>206273.859610837</v>
      </c>
      <c r="S112" s="1" t="n">
        <v>245979.673336327</v>
      </c>
      <c r="T112" s="1" t="n">
        <v>62020.326663673</v>
      </c>
      <c r="V112" s="25">
        <f>_CALC_ALLOC!AI112</f>
        <v/>
      </c>
      <c r="W112" s="25">
        <f>_CALC_ALLOC!AJ112</f>
        <v/>
      </c>
      <c r="X112" s="25">
        <f>_CALC_ALLOC!AK112</f>
        <v/>
      </c>
      <c r="Y112" s="25">
        <f>_CALC_ALLOC!AL112</f>
        <v/>
      </c>
      <c r="Z112" s="25">
        <f>_CALC_ALLOC!AM112</f>
        <v/>
      </c>
      <c r="AA112" s="25">
        <f>_CALC_ALLOC!AN112</f>
        <v/>
      </c>
      <c r="AB112" s="25">
        <f>AA112-T112</f>
        <v/>
      </c>
    </row>
    <row r="113">
      <c r="A113" s="1" t="inlineStr">
        <is>
          <t>2027BUD_V1</t>
        </is>
      </c>
      <c r="B113" s="1" t="inlineStr">
        <is>
          <t>12</t>
        </is>
      </c>
      <c r="C113" s="1" t="inlineStr">
        <is>
          <t>2024</t>
        </is>
      </c>
      <c r="D113" s="1" t="inlineStr">
        <is>
          <t>IPAC_NAN</t>
        </is>
      </c>
      <c r="E113" s="1" t="inlineStr">
        <is>
          <t>IPAC</t>
        </is>
      </c>
      <c r="F113" s="1" t="inlineStr">
        <is>
          <t>BAC_CCE</t>
        </is>
      </c>
      <c r="G113" s="1" t="inlineStr">
        <is>
          <t>B1</t>
        </is>
      </c>
      <c r="H113" s="1" t="inlineStr">
        <is>
          <t>ALT</t>
        </is>
      </c>
      <c r="I113" s="1" t="n">
        <v>44</v>
      </c>
      <c r="J113" s="1" t="n">
        <v>2</v>
      </c>
      <c r="K113" s="1" t="n">
        <v>311960</v>
      </c>
      <c r="L113" s="1" t="n">
        <v>22036</v>
      </c>
      <c r="M113" s="1" t="n">
        <v>45458.666666667</v>
      </c>
      <c r="N113" s="1" t="n">
        <v>34778.03875969</v>
      </c>
      <c r="O113" s="1" t="n">
        <v>105326.333333333</v>
      </c>
      <c r="P113" s="1" t="n">
        <v>45813.676207168</v>
      </c>
      <c r="Q113" s="1" t="n">
        <v>56814.03875969</v>
      </c>
      <c r="R113" s="1" t="n">
        <v>196598.676207168</v>
      </c>
      <c r="S113" s="1" t="n">
        <v>253412.714966858</v>
      </c>
      <c r="T113" s="1" t="n">
        <v>58547.285033142</v>
      </c>
      <c r="V113" s="25">
        <f>_CALC_ALLOC!AI113</f>
        <v/>
      </c>
      <c r="W113" s="25">
        <f>_CALC_ALLOC!AJ113</f>
        <v/>
      </c>
      <c r="X113" s="25">
        <f>_CALC_ALLOC!AK113</f>
        <v/>
      </c>
      <c r="Y113" s="25">
        <f>_CALC_ALLOC!AL113</f>
        <v/>
      </c>
      <c r="Z113" s="25">
        <f>_CALC_ALLOC!AM113</f>
        <v/>
      </c>
      <c r="AA113" s="25">
        <f>_CALC_ALLOC!AN113</f>
        <v/>
      </c>
      <c r="AB113" s="25">
        <f>AA113-T113</f>
        <v/>
      </c>
    </row>
    <row r="114">
      <c r="A114" s="1" t="inlineStr">
        <is>
          <t>2027BUD_V1</t>
        </is>
      </c>
      <c r="B114" s="1" t="inlineStr">
        <is>
          <t>12</t>
        </is>
      </c>
      <c r="C114" s="1" t="inlineStr">
        <is>
          <t>2024</t>
        </is>
      </c>
      <c r="D114" s="1" t="inlineStr">
        <is>
          <t>IPAC_NAN</t>
        </is>
      </c>
      <c r="E114" s="1" t="inlineStr">
        <is>
          <t>IPAC</t>
        </is>
      </c>
      <c r="F114" s="1" t="inlineStr">
        <is>
          <t>BAC_CCE</t>
        </is>
      </c>
      <c r="G114" s="1" t="inlineStr">
        <is>
          <t>B2</t>
        </is>
      </c>
      <c r="H114" s="1" t="inlineStr">
        <is>
          <t>ALT</t>
        </is>
      </c>
      <c r="I114" s="1" t="n">
        <v>43</v>
      </c>
      <c r="J114" s="1" t="n">
        <v>2</v>
      </c>
      <c r="K114" s="1" t="n">
        <v>301000</v>
      </c>
      <c r="L114" s="1" t="n">
        <v>22036</v>
      </c>
      <c r="M114" s="1" t="n">
        <v>45458.666666667</v>
      </c>
      <c r="N114" s="1" t="n">
        <v>16413.333333333</v>
      </c>
      <c r="O114" s="1" t="n">
        <v>105326.333333333</v>
      </c>
      <c r="P114" s="1" t="n">
        <v>45813.676207168</v>
      </c>
      <c r="Q114" s="1" t="n">
        <v>38449.333333333</v>
      </c>
      <c r="R114" s="1" t="n">
        <v>196598.676207168</v>
      </c>
      <c r="S114" s="1" t="n">
        <v>235048.009540501</v>
      </c>
      <c r="T114" s="1" t="n">
        <v>65951.99045949899</v>
      </c>
      <c r="V114" s="25">
        <f>_CALC_ALLOC!AI114</f>
        <v/>
      </c>
      <c r="W114" s="25">
        <f>_CALC_ALLOC!AJ114</f>
        <v/>
      </c>
      <c r="X114" s="25">
        <f>_CALC_ALLOC!AK114</f>
        <v/>
      </c>
      <c r="Y114" s="25">
        <f>_CALC_ALLOC!AL114</f>
        <v/>
      </c>
      <c r="Z114" s="25">
        <f>_CALC_ALLOC!AM114</f>
        <v/>
      </c>
      <c r="AA114" s="25">
        <f>_CALC_ALLOC!AN114</f>
        <v/>
      </c>
      <c r="AB114" s="25">
        <f>AA114-T114</f>
        <v/>
      </c>
    </row>
    <row r="115">
      <c r="A115" s="1" t="inlineStr">
        <is>
          <t>2027BUD_V1</t>
        </is>
      </c>
      <c r="B115" s="1" t="inlineStr">
        <is>
          <t>12</t>
        </is>
      </c>
      <c r="C115" s="1" t="inlineStr">
        <is>
          <t>2024</t>
        </is>
      </c>
      <c r="D115" s="1" t="inlineStr">
        <is>
          <t>IPAC_NAN</t>
        </is>
      </c>
      <c r="E115" s="1" t="inlineStr">
        <is>
          <t>IPAC</t>
        </is>
      </c>
      <c r="F115" s="1" t="inlineStr">
        <is>
          <t>BAC_CCE</t>
        </is>
      </c>
      <c r="G115" s="1" t="inlineStr">
        <is>
          <t>B3</t>
        </is>
      </c>
      <c r="H115" s="1" t="inlineStr">
        <is>
          <t>ALT</t>
        </is>
      </c>
      <c r="I115" s="1" t="n">
        <v>42</v>
      </c>
      <c r="J115" s="1" t="n">
        <v>2</v>
      </c>
      <c r="K115" s="1" t="n">
        <v>294000</v>
      </c>
      <c r="L115" s="1" t="n">
        <v>22036</v>
      </c>
      <c r="M115" s="1" t="n">
        <v>45458.666666667</v>
      </c>
      <c r="N115" s="1" t="n">
        <v>16031.627906977</v>
      </c>
      <c r="O115" s="1" t="n">
        <v>105326.333333333</v>
      </c>
      <c r="P115" s="1" t="n">
        <v>45813.676207168</v>
      </c>
      <c r="Q115" s="1" t="n">
        <v>38067.627906977</v>
      </c>
      <c r="R115" s="1" t="n">
        <v>196598.676207168</v>
      </c>
      <c r="S115" s="1" t="n">
        <v>234666.304114144</v>
      </c>
      <c r="T115" s="1" t="n">
        <v>59333.695885856</v>
      </c>
      <c r="V115" s="25">
        <f>_CALC_ALLOC!AI115</f>
        <v/>
      </c>
      <c r="W115" s="25">
        <f>_CALC_ALLOC!AJ115</f>
        <v/>
      </c>
      <c r="X115" s="25">
        <f>_CALC_ALLOC!AK115</f>
        <v/>
      </c>
      <c r="Y115" s="25">
        <f>_CALC_ALLOC!AL115</f>
        <v/>
      </c>
      <c r="Z115" s="25">
        <f>_CALC_ALLOC!AM115</f>
        <v/>
      </c>
      <c r="AA115" s="25">
        <f>_CALC_ALLOC!AN115</f>
        <v/>
      </c>
      <c r="AB115" s="25">
        <f>AA115-T115</f>
        <v/>
      </c>
    </row>
    <row r="116">
      <c r="A116" s="1" t="inlineStr">
        <is>
          <t>2027BUD_V1</t>
        </is>
      </c>
      <c r="B116" s="1" t="inlineStr">
        <is>
          <t>12</t>
        </is>
      </c>
      <c r="C116" s="1" t="inlineStr">
        <is>
          <t>2026</t>
        </is>
      </c>
      <c r="D116" s="1" t="inlineStr">
        <is>
          <t>IPAC_REN</t>
        </is>
      </c>
      <c r="E116" s="1" t="inlineStr">
        <is>
          <t>IPAC</t>
        </is>
      </c>
      <c r="F116" s="1" t="inlineStr">
        <is>
          <t>BAC_CCE</t>
        </is>
      </c>
      <c r="G116" s="1" t="inlineStr">
        <is>
          <t>B1</t>
        </is>
      </c>
      <c r="H116" s="1" t="inlineStr">
        <is>
          <t>ALT</t>
        </is>
      </c>
      <c r="I116" s="1" t="n">
        <v>40</v>
      </c>
      <c r="J116" s="1" t="n">
        <v>2</v>
      </c>
      <c r="K116" s="1" t="n">
        <v>269600</v>
      </c>
      <c r="L116" s="1" t="n">
        <v>24146</v>
      </c>
      <c r="M116" s="1" t="n">
        <v>43833.666666667</v>
      </c>
      <c r="N116" s="1" t="n">
        <v>29816.760683761</v>
      </c>
      <c r="O116" s="1" t="n">
        <v>88422</v>
      </c>
      <c r="P116" s="1" t="n">
        <v>42066.451491541</v>
      </c>
      <c r="Q116" s="1" t="n">
        <v>53962.760683761</v>
      </c>
      <c r="R116" s="1" t="n">
        <v>174322.118158208</v>
      </c>
      <c r="S116" s="1" t="n">
        <v>228284.878841969</v>
      </c>
      <c r="T116" s="1" t="n">
        <v>41315.121158031</v>
      </c>
      <c r="V116" s="25">
        <f>_CALC_ALLOC!AI116</f>
        <v/>
      </c>
      <c r="W116" s="25">
        <f>_CALC_ALLOC!AJ116</f>
        <v/>
      </c>
      <c r="X116" s="25">
        <f>_CALC_ALLOC!AK116</f>
        <v/>
      </c>
      <c r="Y116" s="25">
        <f>_CALC_ALLOC!AL116</f>
        <v/>
      </c>
      <c r="Z116" s="25">
        <f>_CALC_ALLOC!AM116</f>
        <v/>
      </c>
      <c r="AA116" s="25">
        <f>_CALC_ALLOC!AN116</f>
        <v/>
      </c>
      <c r="AB116" s="25">
        <f>AA116-T116</f>
        <v/>
      </c>
    </row>
    <row r="117">
      <c r="A117" s="1" t="inlineStr">
        <is>
          <t>2027BUD_V1</t>
        </is>
      </c>
      <c r="B117" s="1" t="inlineStr">
        <is>
          <t>12</t>
        </is>
      </c>
      <c r="C117" s="1" t="inlineStr">
        <is>
          <t>2026</t>
        </is>
      </c>
      <c r="D117" s="1" t="inlineStr">
        <is>
          <t>IPAC_REN</t>
        </is>
      </c>
      <c r="E117" s="1" t="inlineStr">
        <is>
          <t>IPAC</t>
        </is>
      </c>
      <c r="F117" s="1" t="inlineStr">
        <is>
          <t>BAC_CCE</t>
        </is>
      </c>
      <c r="G117" s="1" t="inlineStr">
        <is>
          <t>B2</t>
        </is>
      </c>
      <c r="H117" s="1" t="inlineStr">
        <is>
          <t>ALT</t>
        </is>
      </c>
      <c r="I117" s="1" t="n">
        <v>39</v>
      </c>
      <c r="J117" s="1" t="n">
        <v>2</v>
      </c>
      <c r="K117" s="1" t="n">
        <v>259350</v>
      </c>
      <c r="L117" s="1" t="n">
        <v>24146</v>
      </c>
      <c r="M117" s="1" t="n">
        <v>43833.666666667</v>
      </c>
      <c r="N117" s="1" t="n">
        <v>14511.666666667</v>
      </c>
      <c r="O117" s="1" t="n">
        <v>88422</v>
      </c>
      <c r="P117" s="1" t="n">
        <v>42066.451491541</v>
      </c>
      <c r="Q117" s="1" t="n">
        <v>38657.666666667</v>
      </c>
      <c r="R117" s="1" t="n">
        <v>174322.118158208</v>
      </c>
      <c r="S117" s="1" t="n">
        <v>212979.784824875</v>
      </c>
      <c r="T117" s="1" t="n">
        <v>46370.215175125</v>
      </c>
      <c r="V117" s="25">
        <f>_CALC_ALLOC!AI117</f>
        <v/>
      </c>
      <c r="W117" s="25">
        <f>_CALC_ALLOC!AJ117</f>
        <v/>
      </c>
      <c r="X117" s="25">
        <f>_CALC_ALLOC!AK117</f>
        <v/>
      </c>
      <c r="Y117" s="25">
        <f>_CALC_ALLOC!AL117</f>
        <v/>
      </c>
      <c r="Z117" s="25">
        <f>_CALC_ALLOC!AM117</f>
        <v/>
      </c>
      <c r="AA117" s="25">
        <f>_CALC_ALLOC!AN117</f>
        <v/>
      </c>
      <c r="AB117" s="25">
        <f>AA117-T117</f>
        <v/>
      </c>
    </row>
    <row r="118">
      <c r="A118" s="1" t="inlineStr">
        <is>
          <t>2027BUD_V1</t>
        </is>
      </c>
      <c r="B118" s="1" t="inlineStr">
        <is>
          <t>12</t>
        </is>
      </c>
      <c r="C118" s="1" t="inlineStr">
        <is>
          <t>2026</t>
        </is>
      </c>
      <c r="D118" s="1" t="inlineStr">
        <is>
          <t>IPAC_REN</t>
        </is>
      </c>
      <c r="E118" s="1" t="inlineStr">
        <is>
          <t>IPAC</t>
        </is>
      </c>
      <c r="F118" s="1" t="inlineStr">
        <is>
          <t>BAC_CCE</t>
        </is>
      </c>
      <c r="G118" s="1" t="inlineStr">
        <is>
          <t>B3</t>
        </is>
      </c>
      <c r="H118" s="1" t="inlineStr">
        <is>
          <t>ALT</t>
        </is>
      </c>
      <c r="I118" s="1" t="n">
        <v>38</v>
      </c>
      <c r="J118" s="1" t="n">
        <v>2</v>
      </c>
      <c r="K118" s="1" t="n">
        <v>252700</v>
      </c>
      <c r="L118" s="1" t="n">
        <v>24146</v>
      </c>
      <c r="M118" s="1" t="n">
        <v>43833.666666667</v>
      </c>
      <c r="N118" s="1" t="n">
        <v>14139.572649573</v>
      </c>
      <c r="O118" s="1" t="n">
        <v>88422</v>
      </c>
      <c r="P118" s="1" t="n">
        <v>42066.451491541</v>
      </c>
      <c r="Q118" s="1" t="n">
        <v>38285.572649573</v>
      </c>
      <c r="R118" s="1" t="n">
        <v>174322.118158208</v>
      </c>
      <c r="S118" s="1" t="n">
        <v>212607.690807781</v>
      </c>
      <c r="T118" s="1" t="n">
        <v>40092.309192219</v>
      </c>
      <c r="V118" s="25">
        <f>_CALC_ALLOC!AI118</f>
        <v/>
      </c>
      <c r="W118" s="25">
        <f>_CALC_ALLOC!AJ118</f>
        <v/>
      </c>
      <c r="X118" s="25">
        <f>_CALC_ALLOC!AK118</f>
        <v/>
      </c>
      <c r="Y118" s="25">
        <f>_CALC_ALLOC!AL118</f>
        <v/>
      </c>
      <c r="Z118" s="25">
        <f>_CALC_ALLOC!AM118</f>
        <v/>
      </c>
      <c r="AA118" s="25">
        <f>_CALC_ALLOC!AN118</f>
        <v/>
      </c>
      <c r="AB118" s="25">
        <f>AA118-T118</f>
        <v/>
      </c>
    </row>
    <row r="119">
      <c r="A119" s="1" t="inlineStr">
        <is>
          <t>2027BUD_V1</t>
        </is>
      </c>
      <c r="B119" s="1" t="inlineStr">
        <is>
          <t>12</t>
        </is>
      </c>
      <c r="C119" s="1" t="inlineStr">
        <is>
          <t>2025</t>
        </is>
      </c>
      <c r="D119" s="1" t="inlineStr">
        <is>
          <t>IPAC_REN</t>
        </is>
      </c>
      <c r="E119" s="1" t="inlineStr">
        <is>
          <t>IPAC</t>
        </is>
      </c>
      <c r="F119" s="1" t="inlineStr">
        <is>
          <t>BAC_CCE</t>
        </is>
      </c>
      <c r="G119" s="1" t="inlineStr">
        <is>
          <t>B1</t>
        </is>
      </c>
      <c r="H119" s="1" t="inlineStr">
        <is>
          <t>ALT</t>
        </is>
      </c>
      <c r="I119" s="1" t="n">
        <v>38</v>
      </c>
      <c r="J119" s="1" t="n">
        <v>2</v>
      </c>
      <c r="K119" s="1" t="n">
        <v>256120</v>
      </c>
      <c r="L119" s="1" t="n">
        <v>23045.666666667</v>
      </c>
      <c r="M119" s="1" t="n">
        <v>41836.666666667</v>
      </c>
      <c r="N119" s="1" t="n">
        <v>27800.009009009</v>
      </c>
      <c r="O119" s="1" t="n">
        <v>84394</v>
      </c>
      <c r="P119" s="1" t="n">
        <v>39649.466300021</v>
      </c>
      <c r="Q119" s="1" t="n">
        <v>50845.675675676</v>
      </c>
      <c r="R119" s="1" t="n">
        <v>165880.132966688</v>
      </c>
      <c r="S119" s="1" t="n">
        <v>216725.808642364</v>
      </c>
      <c r="T119" s="1" t="n">
        <v>39394.191357636</v>
      </c>
      <c r="V119" s="25">
        <f>_CALC_ALLOC!AI119</f>
        <v/>
      </c>
      <c r="W119" s="25">
        <f>_CALC_ALLOC!AJ119</f>
        <v/>
      </c>
      <c r="X119" s="25">
        <f>_CALC_ALLOC!AK119</f>
        <v/>
      </c>
      <c r="Y119" s="25">
        <f>_CALC_ALLOC!AL119</f>
        <v/>
      </c>
      <c r="Z119" s="25">
        <f>_CALC_ALLOC!AM119</f>
        <v/>
      </c>
      <c r="AA119" s="25">
        <f>_CALC_ALLOC!AN119</f>
        <v/>
      </c>
      <c r="AB119" s="25">
        <f>AA119-T119</f>
        <v/>
      </c>
    </row>
    <row r="120">
      <c r="A120" s="1" t="inlineStr">
        <is>
          <t>2027BUD_V1</t>
        </is>
      </c>
      <c r="B120" s="1" t="inlineStr">
        <is>
          <t>12</t>
        </is>
      </c>
      <c r="C120" s="1" t="inlineStr">
        <is>
          <t>2025</t>
        </is>
      </c>
      <c r="D120" s="1" t="inlineStr">
        <is>
          <t>IPAC_REN</t>
        </is>
      </c>
      <c r="E120" s="1" t="inlineStr">
        <is>
          <t>IPAC</t>
        </is>
      </c>
      <c r="F120" s="1" t="inlineStr">
        <is>
          <t>BAC_CCE</t>
        </is>
      </c>
      <c r="G120" s="1" t="inlineStr">
        <is>
          <t>B2</t>
        </is>
      </c>
      <c r="H120" s="1" t="inlineStr">
        <is>
          <t>ALT</t>
        </is>
      </c>
      <c r="I120" s="1" t="n">
        <v>37</v>
      </c>
      <c r="J120" s="1" t="n">
        <v>2</v>
      </c>
      <c r="K120" s="1" t="n">
        <v>246050</v>
      </c>
      <c r="L120" s="1" t="n">
        <v>23045.666666667</v>
      </c>
      <c r="M120" s="1" t="n">
        <v>41836.666666667</v>
      </c>
      <c r="N120" s="1" t="n">
        <v>13850.666666667</v>
      </c>
      <c r="O120" s="1" t="n">
        <v>84394</v>
      </c>
      <c r="P120" s="1" t="n">
        <v>39649.466300021</v>
      </c>
      <c r="Q120" s="1" t="n">
        <v>36896.333333333</v>
      </c>
      <c r="R120" s="1" t="n">
        <v>165880.132966688</v>
      </c>
      <c r="S120" s="1" t="n">
        <v>202776.466300021</v>
      </c>
      <c r="T120" s="1" t="n">
        <v>43273.533699979</v>
      </c>
      <c r="V120" s="25">
        <f>_CALC_ALLOC!AI120</f>
        <v/>
      </c>
      <c r="W120" s="25">
        <f>_CALC_ALLOC!AJ120</f>
        <v/>
      </c>
      <c r="X120" s="25">
        <f>_CALC_ALLOC!AK120</f>
        <v/>
      </c>
      <c r="Y120" s="25">
        <f>_CALC_ALLOC!AL120</f>
        <v/>
      </c>
      <c r="Z120" s="25">
        <f>_CALC_ALLOC!AM120</f>
        <v/>
      </c>
      <c r="AA120" s="25">
        <f>_CALC_ALLOC!AN120</f>
        <v/>
      </c>
      <c r="AB120" s="25">
        <f>AA120-T120</f>
        <v/>
      </c>
    </row>
    <row r="121">
      <c r="A121" s="1" t="inlineStr">
        <is>
          <t>2027BUD_V1</t>
        </is>
      </c>
      <c r="B121" s="1" t="inlineStr">
        <is>
          <t>12</t>
        </is>
      </c>
      <c r="C121" s="1" t="inlineStr">
        <is>
          <t>2025</t>
        </is>
      </c>
      <c r="D121" s="1" t="inlineStr">
        <is>
          <t>IPAC_REN</t>
        </is>
      </c>
      <c r="E121" s="1" t="inlineStr">
        <is>
          <t>IPAC</t>
        </is>
      </c>
      <c r="F121" s="1" t="inlineStr">
        <is>
          <t>BAC_CCE</t>
        </is>
      </c>
      <c r="G121" s="1" t="inlineStr">
        <is>
          <t>B3</t>
        </is>
      </c>
      <c r="H121" s="1" t="inlineStr">
        <is>
          <t>ALT</t>
        </is>
      </c>
      <c r="I121" s="1" t="n">
        <v>36</v>
      </c>
      <c r="J121" s="1" t="n">
        <v>2</v>
      </c>
      <c r="K121" s="1" t="n">
        <v>239400</v>
      </c>
      <c r="L121" s="1" t="n">
        <v>23045.666666667</v>
      </c>
      <c r="M121" s="1" t="n">
        <v>41836.666666667</v>
      </c>
      <c r="N121" s="1" t="n">
        <v>13476.324324324</v>
      </c>
      <c r="O121" s="1" t="n">
        <v>84394</v>
      </c>
      <c r="P121" s="1" t="n">
        <v>39649.466300021</v>
      </c>
      <c r="Q121" s="1" t="n">
        <v>36521.990990991</v>
      </c>
      <c r="R121" s="1" t="n">
        <v>165880.132966688</v>
      </c>
      <c r="S121" s="1" t="n">
        <v>202402.123957679</v>
      </c>
      <c r="T121" s="1" t="n">
        <v>36997.876042321</v>
      </c>
      <c r="V121" s="25">
        <f>_CALC_ALLOC!AI121</f>
        <v/>
      </c>
      <c r="W121" s="25">
        <f>_CALC_ALLOC!AJ121</f>
        <v/>
      </c>
      <c r="X121" s="25">
        <f>_CALC_ALLOC!AK121</f>
        <v/>
      </c>
      <c r="Y121" s="25">
        <f>_CALC_ALLOC!AL121</f>
        <v/>
      </c>
      <c r="Z121" s="25">
        <f>_CALC_ALLOC!AM121</f>
        <v/>
      </c>
      <c r="AA121" s="25">
        <f>_CALC_ALLOC!AN121</f>
        <v/>
      </c>
      <c r="AB121" s="25">
        <f>AA121-T121</f>
        <v/>
      </c>
    </row>
    <row r="122">
      <c r="A122" s="1" t="inlineStr">
        <is>
          <t>2027BUD_V1</t>
        </is>
      </c>
      <c r="B122" s="1" t="inlineStr">
        <is>
          <t>12</t>
        </is>
      </c>
      <c r="C122" s="1" t="inlineStr">
        <is>
          <t>2024</t>
        </is>
      </c>
      <c r="D122" s="1" t="inlineStr">
        <is>
          <t>IPAC_REN</t>
        </is>
      </c>
      <c r="E122" s="1" t="inlineStr">
        <is>
          <t>IPAC</t>
        </is>
      </c>
      <c r="F122" s="1" t="inlineStr">
        <is>
          <t>BAC_CCE</t>
        </is>
      </c>
      <c r="G122" s="1" t="inlineStr">
        <is>
          <t>B1</t>
        </is>
      </c>
      <c r="H122" s="1" t="inlineStr">
        <is>
          <t>ALT</t>
        </is>
      </c>
      <c r="I122" s="1" t="n">
        <v>36</v>
      </c>
      <c r="J122" s="1" t="n">
        <v>2</v>
      </c>
      <c r="K122" s="1" t="n">
        <v>242640</v>
      </c>
      <c r="L122" s="1" t="n">
        <v>22036</v>
      </c>
      <c r="M122" s="1" t="n">
        <v>40003.666666667</v>
      </c>
      <c r="N122" s="1" t="n">
        <v>25963.057142857</v>
      </c>
      <c r="O122" s="1" t="n">
        <v>80696</v>
      </c>
      <c r="P122" s="1" t="n">
        <v>37290.201563974</v>
      </c>
      <c r="Q122" s="1" t="n">
        <v>47999.057142857</v>
      </c>
      <c r="R122" s="1" t="n">
        <v>157989.86823064</v>
      </c>
      <c r="S122" s="1" t="n">
        <v>205988.925373498</v>
      </c>
      <c r="T122" s="1" t="n">
        <v>36651.074626502</v>
      </c>
      <c r="V122" s="25">
        <f>_CALC_ALLOC!AI122</f>
        <v/>
      </c>
      <c r="W122" s="25">
        <f>_CALC_ALLOC!AJ122</f>
        <v/>
      </c>
      <c r="X122" s="25">
        <f>_CALC_ALLOC!AK122</f>
        <v/>
      </c>
      <c r="Y122" s="25">
        <f>_CALC_ALLOC!AL122</f>
        <v/>
      </c>
      <c r="Z122" s="25">
        <f>_CALC_ALLOC!AM122</f>
        <v/>
      </c>
      <c r="AA122" s="25">
        <f>_CALC_ALLOC!AN122</f>
        <v/>
      </c>
      <c r="AB122" s="25">
        <f>AA122-T122</f>
        <v/>
      </c>
    </row>
    <row r="123">
      <c r="A123" s="1" t="inlineStr">
        <is>
          <t>2027BUD_V1</t>
        </is>
      </c>
      <c r="B123" s="1" t="inlineStr">
        <is>
          <t>12</t>
        </is>
      </c>
      <c r="C123" s="1" t="inlineStr">
        <is>
          <t>2024</t>
        </is>
      </c>
      <c r="D123" s="1" t="inlineStr">
        <is>
          <t>IPAC_REN</t>
        </is>
      </c>
      <c r="E123" s="1" t="inlineStr">
        <is>
          <t>IPAC</t>
        </is>
      </c>
      <c r="F123" s="1" t="inlineStr">
        <is>
          <t>BAC_CCE</t>
        </is>
      </c>
      <c r="G123" s="1" t="inlineStr">
        <is>
          <t>B2</t>
        </is>
      </c>
      <c r="H123" s="1" t="inlineStr">
        <is>
          <t>ALT</t>
        </is>
      </c>
      <c r="I123" s="1" t="n">
        <v>35</v>
      </c>
      <c r="J123" s="1" t="n">
        <v>2</v>
      </c>
      <c r="K123" s="1" t="n">
        <v>232750</v>
      </c>
      <c r="L123" s="1" t="n">
        <v>22036</v>
      </c>
      <c r="M123" s="1" t="n">
        <v>40003.666666667</v>
      </c>
      <c r="N123" s="1" t="n">
        <v>13243.666666667</v>
      </c>
      <c r="O123" s="1" t="n">
        <v>80696</v>
      </c>
      <c r="P123" s="1" t="n">
        <v>37290.201563974</v>
      </c>
      <c r="Q123" s="1" t="n">
        <v>35279.666666667</v>
      </c>
      <c r="R123" s="1" t="n">
        <v>157989.86823064</v>
      </c>
      <c r="S123" s="1" t="n">
        <v>193269.534897307</v>
      </c>
      <c r="T123" s="1" t="n">
        <v>39480.465102693</v>
      </c>
      <c r="V123" s="25">
        <f>_CALC_ALLOC!AI123</f>
        <v/>
      </c>
      <c r="W123" s="25">
        <f>_CALC_ALLOC!AJ123</f>
        <v/>
      </c>
      <c r="X123" s="25">
        <f>_CALC_ALLOC!AK123</f>
        <v/>
      </c>
      <c r="Y123" s="25">
        <f>_CALC_ALLOC!AL123</f>
        <v/>
      </c>
      <c r="Z123" s="25">
        <f>_CALC_ALLOC!AM123</f>
        <v/>
      </c>
      <c r="AA123" s="25">
        <f>_CALC_ALLOC!AN123</f>
        <v/>
      </c>
      <c r="AB123" s="25">
        <f>AA123-T123</f>
        <v/>
      </c>
    </row>
    <row r="124">
      <c r="A124" s="1" t="inlineStr">
        <is>
          <t>2027BUD_V1</t>
        </is>
      </c>
      <c r="B124" s="1" t="inlineStr">
        <is>
          <t>12</t>
        </is>
      </c>
      <c r="C124" s="1" t="inlineStr">
        <is>
          <t>2024</t>
        </is>
      </c>
      <c r="D124" s="1" t="inlineStr">
        <is>
          <t>IPAC_REN</t>
        </is>
      </c>
      <c r="E124" s="1" t="inlineStr">
        <is>
          <t>IPAC</t>
        </is>
      </c>
      <c r="F124" s="1" t="inlineStr">
        <is>
          <t>BAC_CCE</t>
        </is>
      </c>
      <c r="G124" s="1" t="inlineStr">
        <is>
          <t>B3</t>
        </is>
      </c>
      <c r="H124" s="1" t="inlineStr">
        <is>
          <t>ALT</t>
        </is>
      </c>
      <c r="I124" s="1" t="n">
        <v>34</v>
      </c>
      <c r="J124" s="1" t="n">
        <v>2</v>
      </c>
      <c r="K124" s="1" t="n">
        <v>226100</v>
      </c>
      <c r="L124" s="1" t="n">
        <v>22036</v>
      </c>
      <c r="M124" s="1" t="n">
        <v>40003.666666667</v>
      </c>
      <c r="N124" s="1" t="n">
        <v>12865.276190476</v>
      </c>
      <c r="O124" s="1" t="n">
        <v>80696</v>
      </c>
      <c r="P124" s="1" t="n">
        <v>37290.201563974</v>
      </c>
      <c r="Q124" s="1" t="n">
        <v>34901.276190476</v>
      </c>
      <c r="R124" s="1" t="n">
        <v>157989.86823064</v>
      </c>
      <c r="S124" s="1" t="n">
        <v>192891.144421117</v>
      </c>
      <c r="T124" s="1" t="n">
        <v>33208.855578883</v>
      </c>
      <c r="V124" s="25">
        <f>_CALC_ALLOC!AI124</f>
        <v/>
      </c>
      <c r="W124" s="25">
        <f>_CALC_ALLOC!AJ124</f>
        <v/>
      </c>
      <c r="X124" s="25">
        <f>_CALC_ALLOC!AK124</f>
        <v/>
      </c>
      <c r="Y124" s="25">
        <f>_CALC_ALLOC!AL124</f>
        <v/>
      </c>
      <c r="Z124" s="25">
        <f>_CALC_ALLOC!AM124</f>
        <v/>
      </c>
      <c r="AA124" s="25">
        <f>_CALC_ALLOC!AN124</f>
        <v/>
      </c>
      <c r="AB124" s="25">
        <f>AA124-T124</f>
        <v/>
      </c>
    </row>
    <row r="125">
      <c r="A125" s="1" t="inlineStr">
        <is>
          <t>2027BUD_V1</t>
        </is>
      </c>
      <c r="B125" s="1" t="inlineStr">
        <is>
          <t>12</t>
        </is>
      </c>
      <c r="C125" s="1" t="inlineStr">
        <is>
          <t>2026</t>
        </is>
      </c>
      <c r="D125" s="1" t="inlineStr">
        <is>
          <t>IPAC_MTP</t>
        </is>
      </c>
      <c r="E125" s="1" t="inlineStr">
        <is>
          <t>IPAC</t>
        </is>
      </c>
      <c r="F125" s="1" t="inlineStr">
        <is>
          <t>BAC_CCE</t>
        </is>
      </c>
      <c r="G125" s="1" t="inlineStr">
        <is>
          <t>B1</t>
        </is>
      </c>
      <c r="H125" s="1" t="inlineStr">
        <is>
          <t>ALT</t>
        </is>
      </c>
      <c r="I125" s="1" t="n">
        <v>40</v>
      </c>
      <c r="J125" s="1" t="n">
        <v>2</v>
      </c>
      <c r="K125" s="1" t="n">
        <v>269600</v>
      </c>
      <c r="L125" s="1" t="n">
        <v>24146</v>
      </c>
      <c r="M125" s="1" t="n">
        <v>43833.666666667</v>
      </c>
      <c r="N125" s="1" t="n">
        <v>30061.760683761</v>
      </c>
      <c r="O125" s="1" t="n">
        <v>88422</v>
      </c>
      <c r="P125" s="1" t="n">
        <v>42066.451491541</v>
      </c>
      <c r="Q125" s="1" t="n">
        <v>54207.760683761</v>
      </c>
      <c r="R125" s="1" t="n">
        <v>174322.118158208</v>
      </c>
      <c r="S125" s="1" t="n">
        <v>228529.878841969</v>
      </c>
      <c r="T125" s="1" t="n">
        <v>41070.121158031</v>
      </c>
      <c r="V125" s="25">
        <f>_CALC_ALLOC!AI125</f>
        <v/>
      </c>
      <c r="W125" s="25">
        <f>_CALC_ALLOC!AJ125</f>
        <v/>
      </c>
      <c r="X125" s="25">
        <f>_CALC_ALLOC!AK125</f>
        <v/>
      </c>
      <c r="Y125" s="25">
        <f>_CALC_ALLOC!AL125</f>
        <v/>
      </c>
      <c r="Z125" s="25">
        <f>_CALC_ALLOC!AM125</f>
        <v/>
      </c>
      <c r="AA125" s="25">
        <f>_CALC_ALLOC!AN125</f>
        <v/>
      </c>
      <c r="AB125" s="25">
        <f>AA125-T125</f>
        <v/>
      </c>
    </row>
    <row r="126">
      <c r="A126" s="1" t="inlineStr">
        <is>
          <t>2027BUD_V1</t>
        </is>
      </c>
      <c r="B126" s="1" t="inlineStr">
        <is>
          <t>12</t>
        </is>
      </c>
      <c r="C126" s="1" t="inlineStr">
        <is>
          <t>2026</t>
        </is>
      </c>
      <c r="D126" s="1" t="inlineStr">
        <is>
          <t>IPAC_MTP</t>
        </is>
      </c>
      <c r="E126" s="1" t="inlineStr">
        <is>
          <t>IPAC</t>
        </is>
      </c>
      <c r="F126" s="1" t="inlineStr">
        <is>
          <t>BAC_CCE</t>
        </is>
      </c>
      <c r="G126" s="1" t="inlineStr">
        <is>
          <t>B2</t>
        </is>
      </c>
      <c r="H126" s="1" t="inlineStr">
        <is>
          <t>ALT</t>
        </is>
      </c>
      <c r="I126" s="1" t="n">
        <v>39</v>
      </c>
      <c r="J126" s="1" t="n">
        <v>2</v>
      </c>
      <c r="K126" s="1" t="n">
        <v>259350</v>
      </c>
      <c r="L126" s="1" t="n">
        <v>24146</v>
      </c>
      <c r="M126" s="1" t="n">
        <v>43833.666666667</v>
      </c>
      <c r="N126" s="1" t="n">
        <v>14511.666666667</v>
      </c>
      <c r="O126" s="1" t="n">
        <v>88422</v>
      </c>
      <c r="P126" s="1" t="n">
        <v>42066.451491541</v>
      </c>
      <c r="Q126" s="1" t="n">
        <v>38657.666666667</v>
      </c>
      <c r="R126" s="1" t="n">
        <v>174322.118158208</v>
      </c>
      <c r="S126" s="1" t="n">
        <v>212979.784824875</v>
      </c>
      <c r="T126" s="1" t="n">
        <v>46370.215175125</v>
      </c>
      <c r="V126" s="25">
        <f>_CALC_ALLOC!AI126</f>
        <v/>
      </c>
      <c r="W126" s="25">
        <f>_CALC_ALLOC!AJ126</f>
        <v/>
      </c>
      <c r="X126" s="25">
        <f>_CALC_ALLOC!AK126</f>
        <v/>
      </c>
      <c r="Y126" s="25">
        <f>_CALC_ALLOC!AL126</f>
        <v/>
      </c>
      <c r="Z126" s="25">
        <f>_CALC_ALLOC!AM126</f>
        <v/>
      </c>
      <c r="AA126" s="25">
        <f>_CALC_ALLOC!AN126</f>
        <v/>
      </c>
      <c r="AB126" s="25">
        <f>AA126-T126</f>
        <v/>
      </c>
    </row>
    <row r="127">
      <c r="A127" s="1" t="inlineStr">
        <is>
          <t>2027BUD_V1</t>
        </is>
      </c>
      <c r="B127" s="1" t="inlineStr">
        <is>
          <t>12</t>
        </is>
      </c>
      <c r="C127" s="1" t="inlineStr">
        <is>
          <t>2026</t>
        </is>
      </c>
      <c r="D127" s="1" t="inlineStr">
        <is>
          <t>IPAC_MTP</t>
        </is>
      </c>
      <c r="E127" s="1" t="inlineStr">
        <is>
          <t>IPAC</t>
        </is>
      </c>
      <c r="F127" s="1" t="inlineStr">
        <is>
          <t>BAC_CCE</t>
        </is>
      </c>
      <c r="G127" s="1" t="inlineStr">
        <is>
          <t>B3</t>
        </is>
      </c>
      <c r="H127" s="1" t="inlineStr">
        <is>
          <t>ALT</t>
        </is>
      </c>
      <c r="I127" s="1" t="n">
        <v>38</v>
      </c>
      <c r="J127" s="1" t="n">
        <v>2</v>
      </c>
      <c r="K127" s="1" t="n">
        <v>252700</v>
      </c>
      <c r="L127" s="1" t="n">
        <v>24146</v>
      </c>
      <c r="M127" s="1" t="n">
        <v>43833.666666667</v>
      </c>
      <c r="N127" s="1" t="n">
        <v>14139.572649573</v>
      </c>
      <c r="O127" s="1" t="n">
        <v>88422</v>
      </c>
      <c r="P127" s="1" t="n">
        <v>42066.451491541</v>
      </c>
      <c r="Q127" s="1" t="n">
        <v>38285.572649573</v>
      </c>
      <c r="R127" s="1" t="n">
        <v>174322.118158208</v>
      </c>
      <c r="S127" s="1" t="n">
        <v>212607.690807781</v>
      </c>
      <c r="T127" s="1" t="n">
        <v>40092.309192219</v>
      </c>
      <c r="V127" s="25">
        <f>_CALC_ALLOC!AI127</f>
        <v/>
      </c>
      <c r="W127" s="25">
        <f>_CALC_ALLOC!AJ127</f>
        <v/>
      </c>
      <c r="X127" s="25">
        <f>_CALC_ALLOC!AK127</f>
        <v/>
      </c>
      <c r="Y127" s="25">
        <f>_CALC_ALLOC!AL127</f>
        <v/>
      </c>
      <c r="Z127" s="25">
        <f>_CALC_ALLOC!AM127</f>
        <v/>
      </c>
      <c r="AA127" s="25">
        <f>_CALC_ALLOC!AN127</f>
        <v/>
      </c>
      <c r="AB127" s="25">
        <f>AA127-T127</f>
        <v/>
      </c>
    </row>
    <row r="128">
      <c r="A128" s="1" t="inlineStr">
        <is>
          <t>2027BUD_V1</t>
        </is>
      </c>
      <c r="B128" s="1" t="inlineStr">
        <is>
          <t>12</t>
        </is>
      </c>
      <c r="C128" s="1" t="inlineStr">
        <is>
          <t>2025</t>
        </is>
      </c>
      <c r="D128" s="1" t="inlineStr">
        <is>
          <t>IPAC_MTP</t>
        </is>
      </c>
      <c r="E128" s="1" t="inlineStr">
        <is>
          <t>IPAC</t>
        </is>
      </c>
      <c r="F128" s="1" t="inlineStr">
        <is>
          <t>BAC_CCE</t>
        </is>
      </c>
      <c r="G128" s="1" t="inlineStr">
        <is>
          <t>B1</t>
        </is>
      </c>
      <c r="H128" s="1" t="inlineStr">
        <is>
          <t>ALT</t>
        </is>
      </c>
      <c r="I128" s="1" t="n">
        <v>38</v>
      </c>
      <c r="J128" s="1" t="n">
        <v>2</v>
      </c>
      <c r="K128" s="1" t="n">
        <v>256120</v>
      </c>
      <c r="L128" s="1" t="n">
        <v>23045.666666667</v>
      </c>
      <c r="M128" s="1" t="n">
        <v>41836.666666667</v>
      </c>
      <c r="N128" s="1" t="n">
        <v>28023.009009009</v>
      </c>
      <c r="O128" s="1" t="n">
        <v>84394</v>
      </c>
      <c r="P128" s="1" t="n">
        <v>39649.466300021</v>
      </c>
      <c r="Q128" s="1" t="n">
        <v>51068.675675676</v>
      </c>
      <c r="R128" s="1" t="n">
        <v>165880.132966688</v>
      </c>
      <c r="S128" s="1" t="n">
        <v>216948.808642364</v>
      </c>
      <c r="T128" s="1" t="n">
        <v>39171.191357636</v>
      </c>
      <c r="V128" s="25">
        <f>_CALC_ALLOC!AI128</f>
        <v/>
      </c>
      <c r="W128" s="25">
        <f>_CALC_ALLOC!AJ128</f>
        <v/>
      </c>
      <c r="X128" s="25">
        <f>_CALC_ALLOC!AK128</f>
        <v/>
      </c>
      <c r="Y128" s="25">
        <f>_CALC_ALLOC!AL128</f>
        <v/>
      </c>
      <c r="Z128" s="25">
        <f>_CALC_ALLOC!AM128</f>
        <v/>
      </c>
      <c r="AA128" s="25">
        <f>_CALC_ALLOC!AN128</f>
        <v/>
      </c>
      <c r="AB128" s="25">
        <f>AA128-T128</f>
        <v/>
      </c>
    </row>
    <row r="129">
      <c r="A129" s="1" t="inlineStr">
        <is>
          <t>2027BUD_V1</t>
        </is>
      </c>
      <c r="B129" s="1" t="inlineStr">
        <is>
          <t>12</t>
        </is>
      </c>
      <c r="C129" s="1" t="inlineStr">
        <is>
          <t>2025</t>
        </is>
      </c>
      <c r="D129" s="1" t="inlineStr">
        <is>
          <t>IPAC_MTP</t>
        </is>
      </c>
      <c r="E129" s="1" t="inlineStr">
        <is>
          <t>IPAC</t>
        </is>
      </c>
      <c r="F129" s="1" t="inlineStr">
        <is>
          <t>BAC_CCE</t>
        </is>
      </c>
      <c r="G129" s="1" t="inlineStr">
        <is>
          <t>B2</t>
        </is>
      </c>
      <c r="H129" s="1" t="inlineStr">
        <is>
          <t>ALT</t>
        </is>
      </c>
      <c r="I129" s="1" t="n">
        <v>37</v>
      </c>
      <c r="J129" s="1" t="n">
        <v>2</v>
      </c>
      <c r="K129" s="1" t="n">
        <v>246050</v>
      </c>
      <c r="L129" s="1" t="n">
        <v>23045.666666667</v>
      </c>
      <c r="M129" s="1" t="n">
        <v>41836.666666667</v>
      </c>
      <c r="N129" s="1" t="n">
        <v>13850.666666667</v>
      </c>
      <c r="O129" s="1" t="n">
        <v>84394</v>
      </c>
      <c r="P129" s="1" t="n">
        <v>39649.466300021</v>
      </c>
      <c r="Q129" s="1" t="n">
        <v>36896.333333333</v>
      </c>
      <c r="R129" s="1" t="n">
        <v>165880.132966688</v>
      </c>
      <c r="S129" s="1" t="n">
        <v>202776.466300021</v>
      </c>
      <c r="T129" s="1" t="n">
        <v>43273.533699979</v>
      </c>
      <c r="V129" s="25">
        <f>_CALC_ALLOC!AI129</f>
        <v/>
      </c>
      <c r="W129" s="25">
        <f>_CALC_ALLOC!AJ129</f>
        <v/>
      </c>
      <c r="X129" s="25">
        <f>_CALC_ALLOC!AK129</f>
        <v/>
      </c>
      <c r="Y129" s="25">
        <f>_CALC_ALLOC!AL129</f>
        <v/>
      </c>
      <c r="Z129" s="25">
        <f>_CALC_ALLOC!AM129</f>
        <v/>
      </c>
      <c r="AA129" s="25">
        <f>_CALC_ALLOC!AN129</f>
        <v/>
      </c>
      <c r="AB129" s="25">
        <f>AA129-T129</f>
        <v/>
      </c>
    </row>
    <row r="130">
      <c r="A130" s="1" t="inlineStr">
        <is>
          <t>2027BUD_V1</t>
        </is>
      </c>
      <c r="B130" s="1" t="inlineStr">
        <is>
          <t>12</t>
        </is>
      </c>
      <c r="C130" s="1" t="inlineStr">
        <is>
          <t>2025</t>
        </is>
      </c>
      <c r="D130" s="1" t="inlineStr">
        <is>
          <t>IPAC_MTP</t>
        </is>
      </c>
      <c r="E130" s="1" t="inlineStr">
        <is>
          <t>IPAC</t>
        </is>
      </c>
      <c r="F130" s="1" t="inlineStr">
        <is>
          <t>BAC_CCE</t>
        </is>
      </c>
      <c r="G130" s="1" t="inlineStr">
        <is>
          <t>B3</t>
        </is>
      </c>
      <c r="H130" s="1" t="inlineStr">
        <is>
          <t>ALT</t>
        </is>
      </c>
      <c r="I130" s="1" t="n">
        <v>36</v>
      </c>
      <c r="J130" s="1" t="n">
        <v>2</v>
      </c>
      <c r="K130" s="1" t="n">
        <v>239400</v>
      </c>
      <c r="L130" s="1" t="n">
        <v>23045.666666667</v>
      </c>
      <c r="M130" s="1" t="n">
        <v>41836.666666667</v>
      </c>
      <c r="N130" s="1" t="n">
        <v>13476.324324324</v>
      </c>
      <c r="O130" s="1" t="n">
        <v>84394</v>
      </c>
      <c r="P130" s="1" t="n">
        <v>39649.466300021</v>
      </c>
      <c r="Q130" s="1" t="n">
        <v>36521.990990991</v>
      </c>
      <c r="R130" s="1" t="n">
        <v>165880.132966688</v>
      </c>
      <c r="S130" s="1" t="n">
        <v>202402.123957679</v>
      </c>
      <c r="T130" s="1" t="n">
        <v>36997.876042321</v>
      </c>
      <c r="V130" s="25">
        <f>_CALC_ALLOC!AI130</f>
        <v/>
      </c>
      <c r="W130" s="25">
        <f>_CALC_ALLOC!AJ130</f>
        <v/>
      </c>
      <c r="X130" s="25">
        <f>_CALC_ALLOC!AK130</f>
        <v/>
      </c>
      <c r="Y130" s="25">
        <f>_CALC_ALLOC!AL130</f>
        <v/>
      </c>
      <c r="Z130" s="25">
        <f>_CALC_ALLOC!AM130</f>
        <v/>
      </c>
      <c r="AA130" s="25">
        <f>_CALC_ALLOC!AN130</f>
        <v/>
      </c>
      <c r="AB130" s="25">
        <f>AA130-T130</f>
        <v/>
      </c>
    </row>
    <row r="131">
      <c r="A131" s="1" t="inlineStr">
        <is>
          <t>2027BUD_V1</t>
        </is>
      </c>
      <c r="B131" s="1" t="inlineStr">
        <is>
          <t>12</t>
        </is>
      </c>
      <c r="C131" s="1" t="inlineStr">
        <is>
          <t>2024</t>
        </is>
      </c>
      <c r="D131" s="1" t="inlineStr">
        <is>
          <t>IPAC_MTP</t>
        </is>
      </c>
      <c r="E131" s="1" t="inlineStr">
        <is>
          <t>IPAC</t>
        </is>
      </c>
      <c r="F131" s="1" t="inlineStr">
        <is>
          <t>BAC_CCE</t>
        </is>
      </c>
      <c r="G131" s="1" t="inlineStr">
        <is>
          <t>B1</t>
        </is>
      </c>
      <c r="H131" s="1" t="inlineStr">
        <is>
          <t>ALT</t>
        </is>
      </c>
      <c r="I131" s="1" t="n">
        <v>36</v>
      </c>
      <c r="J131" s="1" t="n">
        <v>2</v>
      </c>
      <c r="K131" s="1" t="n">
        <v>242640</v>
      </c>
      <c r="L131" s="1" t="n">
        <v>22036</v>
      </c>
      <c r="M131" s="1" t="n">
        <v>40003.666666667</v>
      </c>
      <c r="N131" s="1" t="n">
        <v>26165.057142857</v>
      </c>
      <c r="O131" s="1" t="n">
        <v>80696</v>
      </c>
      <c r="P131" s="1" t="n">
        <v>37290.201563974</v>
      </c>
      <c r="Q131" s="1" t="n">
        <v>48201.057142857</v>
      </c>
      <c r="R131" s="1" t="n">
        <v>157989.86823064</v>
      </c>
      <c r="S131" s="1" t="n">
        <v>206190.925373498</v>
      </c>
      <c r="T131" s="1" t="n">
        <v>36449.074626502</v>
      </c>
      <c r="V131" s="25">
        <f>_CALC_ALLOC!AI131</f>
        <v/>
      </c>
      <c r="W131" s="25">
        <f>_CALC_ALLOC!AJ131</f>
        <v/>
      </c>
      <c r="X131" s="25">
        <f>_CALC_ALLOC!AK131</f>
        <v/>
      </c>
      <c r="Y131" s="25">
        <f>_CALC_ALLOC!AL131</f>
        <v/>
      </c>
      <c r="Z131" s="25">
        <f>_CALC_ALLOC!AM131</f>
        <v/>
      </c>
      <c r="AA131" s="25">
        <f>_CALC_ALLOC!AN131</f>
        <v/>
      </c>
      <c r="AB131" s="25">
        <f>AA131-T131</f>
        <v/>
      </c>
    </row>
    <row r="132">
      <c r="A132" s="1" t="inlineStr">
        <is>
          <t>2027BUD_V1</t>
        </is>
      </c>
      <c r="B132" s="1" t="inlineStr">
        <is>
          <t>12</t>
        </is>
      </c>
      <c r="C132" s="1" t="inlineStr">
        <is>
          <t>2024</t>
        </is>
      </c>
      <c r="D132" s="1" t="inlineStr">
        <is>
          <t>IPAC_MTP</t>
        </is>
      </c>
      <c r="E132" s="1" t="inlineStr">
        <is>
          <t>IPAC</t>
        </is>
      </c>
      <c r="F132" s="1" t="inlineStr">
        <is>
          <t>BAC_CCE</t>
        </is>
      </c>
      <c r="G132" s="1" t="inlineStr">
        <is>
          <t>B2</t>
        </is>
      </c>
      <c r="H132" s="1" t="inlineStr">
        <is>
          <t>ALT</t>
        </is>
      </c>
      <c r="I132" s="1" t="n">
        <v>35</v>
      </c>
      <c r="J132" s="1" t="n">
        <v>2</v>
      </c>
      <c r="K132" s="1" t="n">
        <v>232750</v>
      </c>
      <c r="L132" s="1" t="n">
        <v>22036</v>
      </c>
      <c r="M132" s="1" t="n">
        <v>40003.666666667</v>
      </c>
      <c r="N132" s="1" t="n">
        <v>13243.666666667</v>
      </c>
      <c r="O132" s="1" t="n">
        <v>80696</v>
      </c>
      <c r="P132" s="1" t="n">
        <v>37290.201563974</v>
      </c>
      <c r="Q132" s="1" t="n">
        <v>35279.666666667</v>
      </c>
      <c r="R132" s="1" t="n">
        <v>157989.86823064</v>
      </c>
      <c r="S132" s="1" t="n">
        <v>193269.534897307</v>
      </c>
      <c r="T132" s="1" t="n">
        <v>39480.465102693</v>
      </c>
      <c r="V132" s="25">
        <f>_CALC_ALLOC!AI132</f>
        <v/>
      </c>
      <c r="W132" s="25">
        <f>_CALC_ALLOC!AJ132</f>
        <v/>
      </c>
      <c r="X132" s="25">
        <f>_CALC_ALLOC!AK132</f>
        <v/>
      </c>
      <c r="Y132" s="25">
        <f>_CALC_ALLOC!AL132</f>
        <v/>
      </c>
      <c r="Z132" s="25">
        <f>_CALC_ALLOC!AM132</f>
        <v/>
      </c>
      <c r="AA132" s="25">
        <f>_CALC_ALLOC!AN132</f>
        <v/>
      </c>
      <c r="AB132" s="25">
        <f>AA132-T132</f>
        <v/>
      </c>
    </row>
    <row r="133">
      <c r="A133" s="1" t="inlineStr">
        <is>
          <t>2027BUD_V1</t>
        </is>
      </c>
      <c r="B133" s="1" t="inlineStr">
        <is>
          <t>12</t>
        </is>
      </c>
      <c r="C133" s="1" t="inlineStr">
        <is>
          <t>2024</t>
        </is>
      </c>
      <c r="D133" s="1" t="inlineStr">
        <is>
          <t>IPAC_MTP</t>
        </is>
      </c>
      <c r="E133" s="1" t="inlineStr">
        <is>
          <t>IPAC</t>
        </is>
      </c>
      <c r="F133" s="1" t="inlineStr">
        <is>
          <t>BAC_CCE</t>
        </is>
      </c>
      <c r="G133" s="1" t="inlineStr">
        <is>
          <t>B3</t>
        </is>
      </c>
      <c r="H133" s="1" t="inlineStr">
        <is>
          <t>ALT</t>
        </is>
      </c>
      <c r="I133" s="1" t="n">
        <v>34</v>
      </c>
      <c r="J133" s="1" t="n">
        <v>2</v>
      </c>
      <c r="K133" s="1" t="n">
        <v>226100</v>
      </c>
      <c r="L133" s="1" t="n">
        <v>22036</v>
      </c>
      <c r="M133" s="1" t="n">
        <v>40003.666666667</v>
      </c>
      <c r="N133" s="1" t="n">
        <v>12865.276190476</v>
      </c>
      <c r="O133" s="1" t="n">
        <v>80696</v>
      </c>
      <c r="P133" s="1" t="n">
        <v>37290.201563974</v>
      </c>
      <c r="Q133" s="1" t="n">
        <v>34901.276190476</v>
      </c>
      <c r="R133" s="1" t="n">
        <v>157989.86823064</v>
      </c>
      <c r="S133" s="1" t="n">
        <v>192891.144421117</v>
      </c>
      <c r="T133" s="1" t="n">
        <v>33208.855578883</v>
      </c>
      <c r="V133" s="25">
        <f>_CALC_ALLOC!AI133</f>
        <v/>
      </c>
      <c r="W133" s="25">
        <f>_CALC_ALLOC!AJ133</f>
        <v/>
      </c>
      <c r="X133" s="25">
        <f>_CALC_ALLOC!AK133</f>
        <v/>
      </c>
      <c r="Y133" s="25">
        <f>_CALC_ALLOC!AL133</f>
        <v/>
      </c>
      <c r="Z133" s="25">
        <f>_CALC_ALLOC!AM133</f>
        <v/>
      </c>
      <c r="AA133" s="25">
        <f>_CALC_ALLOC!AN133</f>
        <v/>
      </c>
      <c r="AB133" s="25">
        <f>AA133-T133</f>
        <v/>
      </c>
    </row>
    <row r="134">
      <c r="A134" s="1" t="inlineStr">
        <is>
          <t>2027BUD_V1</t>
        </is>
      </c>
      <c r="B134" s="1" t="inlineStr">
        <is>
          <t>12</t>
        </is>
      </c>
      <c r="C134" s="1" t="inlineStr">
        <is>
          <t>2026</t>
        </is>
      </c>
      <c r="D134" s="1" t="inlineStr">
        <is>
          <t>PIGIER_LYO</t>
        </is>
      </c>
      <c r="E134" s="1" t="inlineStr">
        <is>
          <t>PIGIER</t>
        </is>
      </c>
      <c r="F134" s="1" t="inlineStr">
        <is>
          <t>BTS_GES</t>
        </is>
      </c>
      <c r="G134" s="1" t="inlineStr">
        <is>
          <t>BTS1</t>
        </is>
      </c>
      <c r="H134" s="1" t="inlineStr">
        <is>
          <t>ALT</t>
        </is>
      </c>
      <c r="I134" s="1" t="n">
        <v>46</v>
      </c>
      <c r="J134" s="1" t="n">
        <v>2</v>
      </c>
      <c r="K134" s="1" t="n">
        <v>293940</v>
      </c>
      <c r="L134" s="1" t="n">
        <v>28647.5</v>
      </c>
      <c r="M134" s="1" t="n">
        <v>66189.449152542</v>
      </c>
      <c r="N134" s="1" t="n">
        <v>35422.549450549</v>
      </c>
      <c r="O134" s="1" t="n">
        <v>124183.5</v>
      </c>
      <c r="P134" s="1" t="n">
        <v>47837.971224698</v>
      </c>
      <c r="Q134" s="1" t="n">
        <v>64070.049450549</v>
      </c>
      <c r="R134" s="1" t="n">
        <v>238210.920377241</v>
      </c>
      <c r="S134" s="1" t="n">
        <v>302280.96982779</v>
      </c>
      <c r="T134" s="1" t="n">
        <v>-8340.969827790001</v>
      </c>
      <c r="V134" s="25">
        <f>_CALC_ALLOC!AI134</f>
        <v/>
      </c>
      <c r="W134" s="25">
        <f>_CALC_ALLOC!AJ134</f>
        <v/>
      </c>
      <c r="X134" s="25">
        <f>_CALC_ALLOC!AK134</f>
        <v/>
      </c>
      <c r="Y134" s="25">
        <f>_CALC_ALLOC!AL134</f>
        <v/>
      </c>
      <c r="Z134" s="25">
        <f>_CALC_ALLOC!AM134</f>
        <v/>
      </c>
      <c r="AA134" s="25">
        <f>_CALC_ALLOC!AN134</f>
        <v/>
      </c>
      <c r="AB134" s="25">
        <f>AA134-T134</f>
        <v/>
      </c>
    </row>
    <row r="135">
      <c r="A135" s="1" t="inlineStr">
        <is>
          <t>2027BUD_V1</t>
        </is>
      </c>
      <c r="B135" s="1" t="inlineStr">
        <is>
          <t>12</t>
        </is>
      </c>
      <c r="C135" s="1" t="inlineStr">
        <is>
          <t>2026</t>
        </is>
      </c>
      <c r="D135" s="1" t="inlineStr">
        <is>
          <t>PIGIER_LYO</t>
        </is>
      </c>
      <c r="E135" s="1" t="inlineStr">
        <is>
          <t>PIGIER</t>
        </is>
      </c>
      <c r="F135" s="1" t="inlineStr">
        <is>
          <t>BTS_GES</t>
        </is>
      </c>
      <c r="G135" s="1" t="inlineStr">
        <is>
          <t>BTS2</t>
        </is>
      </c>
      <c r="H135" s="1" t="inlineStr">
        <is>
          <t>ALT</t>
        </is>
      </c>
      <c r="I135" s="1" t="n">
        <v>45</v>
      </c>
      <c r="J135" s="1" t="n">
        <v>2</v>
      </c>
      <c r="K135" s="1" t="n">
        <v>283500</v>
      </c>
      <c r="L135" s="1" t="n">
        <v>28647.5</v>
      </c>
      <c r="M135" s="1" t="n">
        <v>66189.449152542</v>
      </c>
      <c r="N135" s="1" t="n">
        <v>16744.450549451</v>
      </c>
      <c r="O135" s="1" t="n">
        <v>124183.5</v>
      </c>
      <c r="P135" s="1" t="n">
        <v>47837.971224698</v>
      </c>
      <c r="Q135" s="1" t="n">
        <v>45391.950549451</v>
      </c>
      <c r="R135" s="1" t="n">
        <v>238210.920377241</v>
      </c>
      <c r="S135" s="1" t="n">
        <v>283602.870926691</v>
      </c>
      <c r="T135" s="1" t="n">
        <v>-102.870926691</v>
      </c>
      <c r="V135" s="25">
        <f>_CALC_ALLOC!AI135</f>
        <v/>
      </c>
      <c r="W135" s="25">
        <f>_CALC_ALLOC!AJ135</f>
        <v/>
      </c>
      <c r="X135" s="25">
        <f>_CALC_ALLOC!AK135</f>
        <v/>
      </c>
      <c r="Y135" s="25">
        <f>_CALC_ALLOC!AL135</f>
        <v/>
      </c>
      <c r="Z135" s="25">
        <f>_CALC_ALLOC!AM135</f>
        <v/>
      </c>
      <c r="AA135" s="25">
        <f>_CALC_ALLOC!AN135</f>
        <v/>
      </c>
      <c r="AB135" s="25">
        <f>AA135-T135</f>
        <v/>
      </c>
    </row>
    <row r="136">
      <c r="A136" s="1" t="inlineStr">
        <is>
          <t>2027BUD_V1</t>
        </is>
      </c>
      <c r="B136" s="1" t="inlineStr">
        <is>
          <t>12</t>
        </is>
      </c>
      <c r="C136" s="1" t="inlineStr">
        <is>
          <t>2026</t>
        </is>
      </c>
      <c r="D136" s="1" t="inlineStr">
        <is>
          <t>PIGIER_LYO</t>
        </is>
      </c>
      <c r="E136" s="1" t="inlineStr">
        <is>
          <t>PIGIER</t>
        </is>
      </c>
      <c r="F136" s="1" t="inlineStr">
        <is>
          <t>BAC_RH</t>
        </is>
      </c>
      <c r="G136" s="1" t="inlineStr">
        <is>
          <t>B1</t>
        </is>
      </c>
      <c r="H136" s="1" t="inlineStr">
        <is>
          <t>ALT</t>
        </is>
      </c>
      <c r="I136" s="1" t="n">
        <v>46</v>
      </c>
      <c r="J136" s="1" t="n">
        <v>2</v>
      </c>
      <c r="K136" s="1" t="n">
        <v>342240</v>
      </c>
      <c r="L136" s="1" t="n">
        <v>19644</v>
      </c>
      <c r="M136" s="1" t="n">
        <v>45387.050847458</v>
      </c>
      <c r="N136" s="1" t="n">
        <v>35422.549450549</v>
      </c>
      <c r="O136" s="1" t="n">
        <v>124183.5</v>
      </c>
      <c r="P136" s="1" t="n">
        <v>47837.971224698</v>
      </c>
      <c r="Q136" s="1" t="n">
        <v>55066.549450549</v>
      </c>
      <c r="R136" s="1" t="n">
        <v>217408.522072156</v>
      </c>
      <c r="S136" s="1" t="n">
        <v>272475.071522705</v>
      </c>
      <c r="T136" s="1" t="n">
        <v>69764.928477295</v>
      </c>
      <c r="V136" s="25">
        <f>_CALC_ALLOC!AI136</f>
        <v/>
      </c>
      <c r="W136" s="25">
        <f>_CALC_ALLOC!AJ136</f>
        <v/>
      </c>
      <c r="X136" s="25">
        <f>_CALC_ALLOC!AK136</f>
        <v/>
      </c>
      <c r="Y136" s="25">
        <f>_CALC_ALLOC!AL136</f>
        <v/>
      </c>
      <c r="Z136" s="25">
        <f>_CALC_ALLOC!AM136</f>
        <v/>
      </c>
      <c r="AA136" s="25">
        <f>_CALC_ALLOC!AN136</f>
        <v/>
      </c>
      <c r="AB136" s="25">
        <f>AA136-T136</f>
        <v/>
      </c>
    </row>
    <row r="137">
      <c r="A137" s="1" t="inlineStr">
        <is>
          <t>2027BUD_V1</t>
        </is>
      </c>
      <c r="B137" s="1" t="inlineStr">
        <is>
          <t>12</t>
        </is>
      </c>
      <c r="C137" s="1" t="inlineStr">
        <is>
          <t>2026</t>
        </is>
      </c>
      <c r="D137" s="1" t="inlineStr">
        <is>
          <t>PIGIER_LYO</t>
        </is>
      </c>
      <c r="E137" s="1" t="inlineStr">
        <is>
          <t>PIGIER</t>
        </is>
      </c>
      <c r="F137" s="1" t="inlineStr">
        <is>
          <t>BAC_RH</t>
        </is>
      </c>
      <c r="G137" s="1" t="inlineStr">
        <is>
          <t>B3</t>
        </is>
      </c>
      <c r="H137" s="1" t="inlineStr">
        <is>
          <t>ALT</t>
        </is>
      </c>
      <c r="I137" s="1" t="n">
        <v>45</v>
      </c>
      <c r="J137" s="1" t="n">
        <v>2</v>
      </c>
      <c r="K137" s="1" t="n">
        <v>330750</v>
      </c>
      <c r="L137" s="1" t="n">
        <v>19644</v>
      </c>
      <c r="M137" s="1" t="n">
        <v>45387.050847458</v>
      </c>
      <c r="N137" s="1" t="n">
        <v>16744.450549451</v>
      </c>
      <c r="O137" s="1" t="n">
        <v>124183.5</v>
      </c>
      <c r="P137" s="1" t="n">
        <v>47837.971224698</v>
      </c>
      <c r="Q137" s="1" t="n">
        <v>36388.450549451</v>
      </c>
      <c r="R137" s="1" t="n">
        <v>217408.522072156</v>
      </c>
      <c r="S137" s="1" t="n">
        <v>253796.972621606</v>
      </c>
      <c r="T137" s="1" t="n">
        <v>76953.02737839401</v>
      </c>
      <c r="V137" s="25">
        <f>_CALC_ALLOC!AI137</f>
        <v/>
      </c>
      <c r="W137" s="25">
        <f>_CALC_ALLOC!AJ137</f>
        <v/>
      </c>
      <c r="X137" s="25">
        <f>_CALC_ALLOC!AK137</f>
        <v/>
      </c>
      <c r="Y137" s="25">
        <f>_CALC_ALLOC!AL137</f>
        <v/>
      </c>
      <c r="Z137" s="25">
        <f>_CALC_ALLOC!AM137</f>
        <v/>
      </c>
      <c r="AA137" s="25">
        <f>_CALC_ALLOC!AN137</f>
        <v/>
      </c>
      <c r="AB137" s="25">
        <f>AA137-T137</f>
        <v/>
      </c>
    </row>
    <row r="138">
      <c r="A138" s="1" t="inlineStr">
        <is>
          <t>2027BUD_V1</t>
        </is>
      </c>
      <c r="B138" s="1" t="inlineStr">
        <is>
          <t>12</t>
        </is>
      </c>
      <c r="C138" s="1" t="inlineStr">
        <is>
          <t>2025</t>
        </is>
      </c>
      <c r="D138" s="1" t="inlineStr">
        <is>
          <t>PIGIER_LYO</t>
        </is>
      </c>
      <c r="E138" s="1" t="inlineStr">
        <is>
          <t>PIGIER</t>
        </is>
      </c>
      <c r="F138" s="1" t="inlineStr">
        <is>
          <t>BTS_GES</t>
        </is>
      </c>
      <c r="G138" s="1" t="inlineStr">
        <is>
          <t>BTS1</t>
        </is>
      </c>
      <c r="H138" s="1" t="inlineStr">
        <is>
          <t>ALT</t>
        </is>
      </c>
      <c r="I138" s="1" t="n">
        <v>43</v>
      </c>
      <c r="J138" s="1" t="n">
        <v>2</v>
      </c>
      <c r="K138" s="1" t="n">
        <v>274770</v>
      </c>
      <c r="L138" s="1" t="n">
        <v>27342.415254237</v>
      </c>
      <c r="M138" s="1" t="n">
        <v>63173.813559322</v>
      </c>
      <c r="N138" s="1" t="n">
        <v>32991.105882353</v>
      </c>
      <c r="O138" s="1" t="n">
        <v>118525.75</v>
      </c>
      <c r="P138" s="1" t="n">
        <v>44390.325881077</v>
      </c>
      <c r="Q138" s="1" t="n">
        <v>60333.52113659</v>
      </c>
      <c r="R138" s="1" t="n">
        <v>226089.889440399</v>
      </c>
      <c r="S138" s="1" t="n">
        <v>286423.41057699</v>
      </c>
      <c r="T138" s="1" t="n">
        <v>-11653.41057699</v>
      </c>
      <c r="V138" s="25">
        <f>_CALC_ALLOC!AI138</f>
        <v/>
      </c>
      <c r="W138" s="25">
        <f>_CALC_ALLOC!AJ138</f>
        <v/>
      </c>
      <c r="X138" s="25">
        <f>_CALC_ALLOC!AK138</f>
        <v/>
      </c>
      <c r="Y138" s="25">
        <f>_CALC_ALLOC!AL138</f>
        <v/>
      </c>
      <c r="Z138" s="25">
        <f>_CALC_ALLOC!AM138</f>
        <v/>
      </c>
      <c r="AA138" s="25">
        <f>_CALC_ALLOC!AN138</f>
        <v/>
      </c>
      <c r="AB138" s="25">
        <f>AA138-T138</f>
        <v/>
      </c>
    </row>
    <row r="139">
      <c r="A139" s="1" t="inlineStr">
        <is>
          <t>2027BUD_V1</t>
        </is>
      </c>
      <c r="B139" s="1" t="inlineStr">
        <is>
          <t>12</t>
        </is>
      </c>
      <c r="C139" s="1" t="inlineStr">
        <is>
          <t>2025</t>
        </is>
      </c>
      <c r="D139" s="1" t="inlineStr">
        <is>
          <t>PIGIER_LYO</t>
        </is>
      </c>
      <c r="E139" s="1" t="inlineStr">
        <is>
          <t>PIGIER</t>
        </is>
      </c>
      <c r="F139" s="1" t="inlineStr">
        <is>
          <t>BTS_GES</t>
        </is>
      </c>
      <c r="G139" s="1" t="inlineStr">
        <is>
          <t>BTS2</t>
        </is>
      </c>
      <c r="H139" s="1" t="inlineStr">
        <is>
          <t>ALT</t>
        </is>
      </c>
      <c r="I139" s="1" t="n">
        <v>42</v>
      </c>
      <c r="J139" s="1" t="n">
        <v>2</v>
      </c>
      <c r="K139" s="1" t="n">
        <v>264600</v>
      </c>
      <c r="L139" s="1" t="n">
        <v>27342.415254237</v>
      </c>
      <c r="M139" s="1" t="n">
        <v>63173.813559322</v>
      </c>
      <c r="N139" s="1" t="n">
        <v>15968.894117647</v>
      </c>
      <c r="O139" s="1" t="n">
        <v>118525.75</v>
      </c>
      <c r="P139" s="1" t="n">
        <v>44390.325881077</v>
      </c>
      <c r="Q139" s="1" t="n">
        <v>43311.309371884</v>
      </c>
      <c r="R139" s="1" t="n">
        <v>226089.889440399</v>
      </c>
      <c r="S139" s="1" t="n">
        <v>269401.198812284</v>
      </c>
      <c r="T139" s="1" t="n">
        <v>-4801.198812284</v>
      </c>
      <c r="V139" s="25">
        <f>_CALC_ALLOC!AI139</f>
        <v/>
      </c>
      <c r="W139" s="25">
        <f>_CALC_ALLOC!AJ139</f>
        <v/>
      </c>
      <c r="X139" s="25">
        <f>_CALC_ALLOC!AK139</f>
        <v/>
      </c>
      <c r="Y139" s="25">
        <f>_CALC_ALLOC!AL139</f>
        <v/>
      </c>
      <c r="Z139" s="25">
        <f>_CALC_ALLOC!AM139</f>
        <v/>
      </c>
      <c r="AA139" s="25">
        <f>_CALC_ALLOC!AN139</f>
        <v/>
      </c>
      <c r="AB139" s="25">
        <f>AA139-T139</f>
        <v/>
      </c>
    </row>
    <row r="140">
      <c r="A140" s="1" t="inlineStr">
        <is>
          <t>2027BUD_V1</t>
        </is>
      </c>
      <c r="B140" s="1" t="inlineStr">
        <is>
          <t>12</t>
        </is>
      </c>
      <c r="C140" s="1" t="inlineStr">
        <is>
          <t>2025</t>
        </is>
      </c>
      <c r="D140" s="1" t="inlineStr">
        <is>
          <t>PIGIER_LYO</t>
        </is>
      </c>
      <c r="E140" s="1" t="inlineStr">
        <is>
          <t>PIGIER</t>
        </is>
      </c>
      <c r="F140" s="1" t="inlineStr">
        <is>
          <t>BAC_RH</t>
        </is>
      </c>
      <c r="G140" s="1" t="inlineStr">
        <is>
          <t>B1</t>
        </is>
      </c>
      <c r="H140" s="1" t="inlineStr">
        <is>
          <t>ALT</t>
        </is>
      </c>
      <c r="I140" s="1" t="n">
        <v>43</v>
      </c>
      <c r="J140" s="1" t="n">
        <v>2</v>
      </c>
      <c r="K140" s="1" t="n">
        <v>319920</v>
      </c>
      <c r="L140" s="1" t="n">
        <v>18749.084745763</v>
      </c>
      <c r="M140" s="1" t="n">
        <v>43319.186440678</v>
      </c>
      <c r="N140" s="1" t="n">
        <v>32991.105882353</v>
      </c>
      <c r="O140" s="1" t="n">
        <v>118525.75</v>
      </c>
      <c r="P140" s="1" t="n">
        <v>44390.325881077</v>
      </c>
      <c r="Q140" s="1" t="n">
        <v>51740.190628116</v>
      </c>
      <c r="R140" s="1" t="n">
        <v>206235.262321755</v>
      </c>
      <c r="S140" s="1" t="n">
        <v>257975.452949871</v>
      </c>
      <c r="T140" s="1" t="n">
        <v>61944.547050129</v>
      </c>
      <c r="V140" s="25">
        <f>_CALC_ALLOC!AI140</f>
        <v/>
      </c>
      <c r="W140" s="25">
        <f>_CALC_ALLOC!AJ140</f>
        <v/>
      </c>
      <c r="X140" s="25">
        <f>_CALC_ALLOC!AK140</f>
        <v/>
      </c>
      <c r="Y140" s="25">
        <f>_CALC_ALLOC!AL140</f>
        <v/>
      </c>
      <c r="Z140" s="25">
        <f>_CALC_ALLOC!AM140</f>
        <v/>
      </c>
      <c r="AA140" s="25">
        <f>_CALC_ALLOC!AN140</f>
        <v/>
      </c>
      <c r="AB140" s="25">
        <f>AA140-T140</f>
        <v/>
      </c>
    </row>
    <row r="141">
      <c r="A141" s="1" t="inlineStr">
        <is>
          <t>2027BUD_V1</t>
        </is>
      </c>
      <c r="B141" s="1" t="inlineStr">
        <is>
          <t>12</t>
        </is>
      </c>
      <c r="C141" s="1" t="inlineStr">
        <is>
          <t>2025</t>
        </is>
      </c>
      <c r="D141" s="1" t="inlineStr">
        <is>
          <t>PIGIER_LYO</t>
        </is>
      </c>
      <c r="E141" s="1" t="inlineStr">
        <is>
          <t>PIGIER</t>
        </is>
      </c>
      <c r="F141" s="1" t="inlineStr">
        <is>
          <t>BAC_RH</t>
        </is>
      </c>
      <c r="G141" s="1" t="inlineStr">
        <is>
          <t>B3</t>
        </is>
      </c>
      <c r="H141" s="1" t="inlineStr">
        <is>
          <t>ALT</t>
        </is>
      </c>
      <c r="I141" s="1" t="n">
        <v>42</v>
      </c>
      <c r="J141" s="1" t="n">
        <v>2</v>
      </c>
      <c r="K141" s="1" t="n">
        <v>308700</v>
      </c>
      <c r="L141" s="1" t="n">
        <v>18749.084745763</v>
      </c>
      <c r="M141" s="1" t="n">
        <v>43319.186440678</v>
      </c>
      <c r="N141" s="1" t="n">
        <v>15968.894117647</v>
      </c>
      <c r="O141" s="1" t="n">
        <v>118525.75</v>
      </c>
      <c r="P141" s="1" t="n">
        <v>44390.325881077</v>
      </c>
      <c r="Q141" s="1" t="n">
        <v>34717.97886341</v>
      </c>
      <c r="R141" s="1" t="n">
        <v>206235.262321755</v>
      </c>
      <c r="S141" s="1" t="n">
        <v>240953.241185165</v>
      </c>
      <c r="T141" s="1" t="n">
        <v>67746.758814835</v>
      </c>
      <c r="V141" s="25">
        <f>_CALC_ALLOC!AI141</f>
        <v/>
      </c>
      <c r="W141" s="25">
        <f>_CALC_ALLOC!AJ141</f>
        <v/>
      </c>
      <c r="X141" s="25">
        <f>_CALC_ALLOC!AK141</f>
        <v/>
      </c>
      <c r="Y141" s="25">
        <f>_CALC_ALLOC!AL141</f>
        <v/>
      </c>
      <c r="Z141" s="25">
        <f>_CALC_ALLOC!AM141</f>
        <v/>
      </c>
      <c r="AA141" s="25">
        <f>_CALC_ALLOC!AN141</f>
        <v/>
      </c>
      <c r="AB141" s="25">
        <f>AA141-T141</f>
        <v/>
      </c>
    </row>
    <row r="142">
      <c r="A142" s="1" t="inlineStr">
        <is>
          <t>2027BUD_V1</t>
        </is>
      </c>
      <c r="B142" s="1" t="inlineStr">
        <is>
          <t>12</t>
        </is>
      </c>
      <c r="C142" s="1" t="inlineStr">
        <is>
          <t>2024</t>
        </is>
      </c>
      <c r="D142" s="1" t="inlineStr">
        <is>
          <t>PIGIER_LYO</t>
        </is>
      </c>
      <c r="E142" s="1" t="inlineStr">
        <is>
          <t>PIGIER</t>
        </is>
      </c>
      <c r="F142" s="1" t="inlineStr">
        <is>
          <t>BTS_GES</t>
        </is>
      </c>
      <c r="G142" s="1" t="inlineStr">
        <is>
          <t>BTS1</t>
        </is>
      </c>
      <c r="H142" s="1" t="inlineStr">
        <is>
          <t>ALT</t>
        </is>
      </c>
      <c r="I142" s="1" t="n">
        <v>41</v>
      </c>
      <c r="J142" s="1" t="n">
        <v>2</v>
      </c>
      <c r="K142" s="1" t="n">
        <v>261990</v>
      </c>
      <c r="L142" s="1" t="n">
        <v>26144.406779661</v>
      </c>
      <c r="M142" s="1" t="n">
        <v>60405.847457627</v>
      </c>
      <c r="N142" s="1" t="n">
        <v>30770.75308642</v>
      </c>
      <c r="O142" s="1" t="n">
        <v>113332.75</v>
      </c>
      <c r="P142" s="1" t="n">
        <v>42068.122796001</v>
      </c>
      <c r="Q142" s="1" t="n">
        <v>56915.159866081</v>
      </c>
      <c r="R142" s="1" t="n">
        <v>215806.720253628</v>
      </c>
      <c r="S142" s="1" t="n">
        <v>272721.880119709</v>
      </c>
      <c r="T142" s="1" t="n">
        <v>-10731.880119709</v>
      </c>
      <c r="V142" s="25">
        <f>_CALC_ALLOC!AI142</f>
        <v/>
      </c>
      <c r="W142" s="25">
        <f>_CALC_ALLOC!AJ142</f>
        <v/>
      </c>
      <c r="X142" s="25">
        <f>_CALC_ALLOC!AK142</f>
        <v/>
      </c>
      <c r="Y142" s="25">
        <f>_CALC_ALLOC!AL142</f>
        <v/>
      </c>
      <c r="Z142" s="25">
        <f>_CALC_ALLOC!AM142</f>
        <v/>
      </c>
      <c r="AA142" s="25">
        <f>_CALC_ALLOC!AN142</f>
        <v/>
      </c>
      <c r="AB142" s="25">
        <f>AA142-T142</f>
        <v/>
      </c>
    </row>
    <row r="143">
      <c r="A143" s="1" t="inlineStr">
        <is>
          <t>2027BUD_V1</t>
        </is>
      </c>
      <c r="B143" s="1" t="inlineStr">
        <is>
          <t>12</t>
        </is>
      </c>
      <c r="C143" s="1" t="inlineStr">
        <is>
          <t>2024</t>
        </is>
      </c>
      <c r="D143" s="1" t="inlineStr">
        <is>
          <t>PIGIER_LYO</t>
        </is>
      </c>
      <c r="E143" s="1" t="inlineStr">
        <is>
          <t>PIGIER</t>
        </is>
      </c>
      <c r="F143" s="1" t="inlineStr">
        <is>
          <t>BTS_GES</t>
        </is>
      </c>
      <c r="G143" s="1" t="inlineStr">
        <is>
          <t>BTS2</t>
        </is>
      </c>
      <c r="H143" s="1" t="inlineStr">
        <is>
          <t>ALT</t>
        </is>
      </c>
      <c r="I143" s="1" t="n">
        <v>40</v>
      </c>
      <c r="J143" s="1" t="n">
        <v>2</v>
      </c>
      <c r="K143" s="1" t="n">
        <v>252000</v>
      </c>
      <c r="L143" s="1" t="n">
        <v>26144.406779661</v>
      </c>
      <c r="M143" s="1" t="n">
        <v>60405.847457627</v>
      </c>
      <c r="N143" s="1" t="n">
        <v>15260.24691358</v>
      </c>
      <c r="O143" s="1" t="n">
        <v>113332.75</v>
      </c>
      <c r="P143" s="1" t="n">
        <v>42068.122796001</v>
      </c>
      <c r="Q143" s="1" t="n">
        <v>41404.653693241</v>
      </c>
      <c r="R143" s="1" t="n">
        <v>215806.720253628</v>
      </c>
      <c r="S143" s="1" t="n">
        <v>257211.37394687</v>
      </c>
      <c r="T143" s="1" t="n">
        <v>-5211.37394687</v>
      </c>
      <c r="V143" s="25">
        <f>_CALC_ALLOC!AI143</f>
        <v/>
      </c>
      <c r="W143" s="25">
        <f>_CALC_ALLOC!AJ143</f>
        <v/>
      </c>
      <c r="X143" s="25">
        <f>_CALC_ALLOC!AK143</f>
        <v/>
      </c>
      <c r="Y143" s="25">
        <f>_CALC_ALLOC!AL143</f>
        <v/>
      </c>
      <c r="Z143" s="25">
        <f>_CALC_ALLOC!AM143</f>
        <v/>
      </c>
      <c r="AA143" s="25">
        <f>_CALC_ALLOC!AN143</f>
        <v/>
      </c>
      <c r="AB143" s="25">
        <f>AA143-T143</f>
        <v/>
      </c>
    </row>
    <row r="144">
      <c r="A144" s="1" t="inlineStr">
        <is>
          <t>2027BUD_V1</t>
        </is>
      </c>
      <c r="B144" s="1" t="inlineStr">
        <is>
          <t>12</t>
        </is>
      </c>
      <c r="C144" s="1" t="inlineStr">
        <is>
          <t>2024</t>
        </is>
      </c>
      <c r="D144" s="1" t="inlineStr">
        <is>
          <t>PIGIER_LYO</t>
        </is>
      </c>
      <c r="E144" s="1" t="inlineStr">
        <is>
          <t>PIGIER</t>
        </is>
      </c>
      <c r="F144" s="1" t="inlineStr">
        <is>
          <t>BAC_RH</t>
        </is>
      </c>
      <c r="G144" s="1" t="inlineStr">
        <is>
          <t>B1</t>
        </is>
      </c>
      <c r="H144" s="1" t="inlineStr">
        <is>
          <t>ALT</t>
        </is>
      </c>
      <c r="I144" s="1" t="n">
        <v>41</v>
      </c>
      <c r="J144" s="1" t="n">
        <v>2</v>
      </c>
      <c r="K144" s="1" t="n">
        <v>305040</v>
      </c>
      <c r="L144" s="1" t="n">
        <v>17927.593220339</v>
      </c>
      <c r="M144" s="1" t="n">
        <v>41421.152542373</v>
      </c>
      <c r="N144" s="1" t="n">
        <v>30770.75308642</v>
      </c>
      <c r="O144" s="1" t="n">
        <v>113332.75</v>
      </c>
      <c r="P144" s="1" t="n">
        <v>42068.122796001</v>
      </c>
      <c r="Q144" s="1" t="n">
        <v>48698.346306759</v>
      </c>
      <c r="R144" s="1" t="n">
        <v>196822.025338374</v>
      </c>
      <c r="S144" s="1" t="n">
        <v>245520.371645133</v>
      </c>
      <c r="T144" s="1" t="n">
        <v>59519.628354867</v>
      </c>
      <c r="V144" s="25">
        <f>_CALC_ALLOC!AI144</f>
        <v/>
      </c>
      <c r="W144" s="25">
        <f>_CALC_ALLOC!AJ144</f>
        <v/>
      </c>
      <c r="X144" s="25">
        <f>_CALC_ALLOC!AK144</f>
        <v/>
      </c>
      <c r="Y144" s="25">
        <f>_CALC_ALLOC!AL144</f>
        <v/>
      </c>
      <c r="Z144" s="25">
        <f>_CALC_ALLOC!AM144</f>
        <v/>
      </c>
      <c r="AA144" s="25">
        <f>_CALC_ALLOC!AN144</f>
        <v/>
      </c>
      <c r="AB144" s="25">
        <f>AA144-T144</f>
        <v/>
      </c>
    </row>
    <row r="145">
      <c r="A145" s="1" t="inlineStr">
        <is>
          <t>2027BUD_V1</t>
        </is>
      </c>
      <c r="B145" s="1" t="inlineStr">
        <is>
          <t>12</t>
        </is>
      </c>
      <c r="C145" s="1" t="inlineStr">
        <is>
          <t>2024</t>
        </is>
      </c>
      <c r="D145" s="1" t="inlineStr">
        <is>
          <t>PIGIER_LYO</t>
        </is>
      </c>
      <c r="E145" s="1" t="inlineStr">
        <is>
          <t>PIGIER</t>
        </is>
      </c>
      <c r="F145" s="1" t="inlineStr">
        <is>
          <t>BAC_RH</t>
        </is>
      </c>
      <c r="G145" s="1" t="inlineStr">
        <is>
          <t>B3</t>
        </is>
      </c>
      <c r="H145" s="1" t="inlineStr">
        <is>
          <t>ALT</t>
        </is>
      </c>
      <c r="I145" s="1" t="n">
        <v>40</v>
      </c>
      <c r="J145" s="1" t="n">
        <v>2</v>
      </c>
      <c r="K145" s="1" t="n">
        <v>294000</v>
      </c>
      <c r="L145" s="1" t="n">
        <v>17927.593220339</v>
      </c>
      <c r="M145" s="1" t="n">
        <v>41421.152542373</v>
      </c>
      <c r="N145" s="1" t="n">
        <v>15260.24691358</v>
      </c>
      <c r="O145" s="1" t="n">
        <v>113332.75</v>
      </c>
      <c r="P145" s="1" t="n">
        <v>42068.122796001</v>
      </c>
      <c r="Q145" s="1" t="n">
        <v>33187.840133919</v>
      </c>
      <c r="R145" s="1" t="n">
        <v>196822.025338374</v>
      </c>
      <c r="S145" s="1" t="n">
        <v>230009.865472293</v>
      </c>
      <c r="T145" s="1" t="n">
        <v>63990.134527707</v>
      </c>
      <c r="V145" s="25">
        <f>_CALC_ALLOC!AI145</f>
        <v/>
      </c>
      <c r="W145" s="25">
        <f>_CALC_ALLOC!AJ145</f>
        <v/>
      </c>
      <c r="X145" s="25">
        <f>_CALC_ALLOC!AK145</f>
        <v/>
      </c>
      <c r="Y145" s="25">
        <f>_CALC_ALLOC!AL145</f>
        <v/>
      </c>
      <c r="Z145" s="25">
        <f>_CALC_ALLOC!AM145</f>
        <v/>
      </c>
      <c r="AA145" s="25">
        <f>_CALC_ALLOC!AN145</f>
        <v/>
      </c>
      <c r="AB145" s="25">
        <f>AA145-T145</f>
        <v/>
      </c>
    </row>
    <row r="146">
      <c r="A146" s="1" t="inlineStr">
        <is>
          <t>2027BUD_V1</t>
        </is>
      </c>
      <c r="B146" s="1" t="inlineStr">
        <is>
          <t>12</t>
        </is>
      </c>
      <c r="C146" s="1" t="inlineStr">
        <is>
          <t>2026</t>
        </is>
      </c>
      <c r="D146" s="1" t="inlineStr">
        <is>
          <t>PIGIER_BOR</t>
        </is>
      </c>
      <c r="E146" s="1" t="inlineStr">
        <is>
          <t>PIGIER</t>
        </is>
      </c>
      <c r="F146" s="1" t="inlineStr">
        <is>
          <t>BTS_GES</t>
        </is>
      </c>
      <c r="G146" s="1" t="inlineStr">
        <is>
          <t>BTS1</t>
        </is>
      </c>
      <c r="H146" s="1" t="inlineStr">
        <is>
          <t>ALT</t>
        </is>
      </c>
      <c r="I146" s="1" t="n">
        <v>36</v>
      </c>
      <c r="J146" s="1" t="n">
        <v>2</v>
      </c>
      <c r="K146" s="1" t="n">
        <v>212760</v>
      </c>
      <c r="L146" s="1" t="n">
        <v>28647.5</v>
      </c>
      <c r="M146" s="1" t="n">
        <v>62052.627118644</v>
      </c>
      <c r="N146" s="1" t="n">
        <v>24379.549295775</v>
      </c>
      <c r="O146" s="1" t="n">
        <v>99624.5</v>
      </c>
      <c r="P146" s="1" t="n">
        <v>37324.131395094</v>
      </c>
      <c r="Q146" s="1" t="n">
        <v>53027.049295775</v>
      </c>
      <c r="R146" s="1" t="n">
        <v>199001.258513738</v>
      </c>
      <c r="S146" s="1" t="n">
        <v>252028.307809513</v>
      </c>
      <c r="T146" s="1" t="n">
        <v>-39268.307809513</v>
      </c>
      <c r="V146" s="25">
        <f>_CALC_ALLOC!AI146</f>
        <v/>
      </c>
      <c r="W146" s="25">
        <f>_CALC_ALLOC!AJ146</f>
        <v/>
      </c>
      <c r="X146" s="25">
        <f>_CALC_ALLOC!AK146</f>
        <v/>
      </c>
      <c r="Y146" s="25">
        <f>_CALC_ALLOC!AL146</f>
        <v/>
      </c>
      <c r="Z146" s="25">
        <f>_CALC_ALLOC!AM146</f>
        <v/>
      </c>
      <c r="AA146" s="25">
        <f>_CALC_ALLOC!AN146</f>
        <v/>
      </c>
      <c r="AB146" s="25">
        <f>AA146-T146</f>
        <v/>
      </c>
    </row>
    <row r="147">
      <c r="A147" s="1" t="inlineStr">
        <is>
          <t>2027BUD_V1</t>
        </is>
      </c>
      <c r="B147" s="1" t="inlineStr">
        <is>
          <t>12</t>
        </is>
      </c>
      <c r="C147" s="1" t="inlineStr">
        <is>
          <t>2026</t>
        </is>
      </c>
      <c r="D147" s="1" t="inlineStr">
        <is>
          <t>PIGIER_BOR</t>
        </is>
      </c>
      <c r="E147" s="1" t="inlineStr">
        <is>
          <t>PIGIER</t>
        </is>
      </c>
      <c r="F147" s="1" t="inlineStr">
        <is>
          <t>BTS_GES</t>
        </is>
      </c>
      <c r="G147" s="1" t="inlineStr">
        <is>
          <t>BTS2</t>
        </is>
      </c>
      <c r="H147" s="1" t="inlineStr">
        <is>
          <t>ALT</t>
        </is>
      </c>
      <c r="I147" s="1" t="n">
        <v>35</v>
      </c>
      <c r="J147" s="1" t="n">
        <v>2</v>
      </c>
      <c r="K147" s="1" t="n">
        <v>203700</v>
      </c>
      <c r="L147" s="1" t="n">
        <v>28647.5</v>
      </c>
      <c r="M147" s="1" t="n">
        <v>62052.627118644</v>
      </c>
      <c r="N147" s="1" t="n">
        <v>13023.450704225</v>
      </c>
      <c r="O147" s="1" t="n">
        <v>99624.5</v>
      </c>
      <c r="P147" s="1" t="n">
        <v>37324.131395094</v>
      </c>
      <c r="Q147" s="1" t="n">
        <v>41670.950704225</v>
      </c>
      <c r="R147" s="1" t="n">
        <v>199001.258513738</v>
      </c>
      <c r="S147" s="1" t="n">
        <v>240672.209217964</v>
      </c>
      <c r="T147" s="1" t="n">
        <v>-36972.209217964</v>
      </c>
      <c r="V147" s="25">
        <f>_CALC_ALLOC!AI147</f>
        <v/>
      </c>
      <c r="W147" s="25">
        <f>_CALC_ALLOC!AJ147</f>
        <v/>
      </c>
      <c r="X147" s="25">
        <f>_CALC_ALLOC!AK147</f>
        <v/>
      </c>
      <c r="Y147" s="25">
        <f>_CALC_ALLOC!AL147</f>
        <v/>
      </c>
      <c r="Z147" s="25">
        <f>_CALC_ALLOC!AM147</f>
        <v/>
      </c>
      <c r="AA147" s="25">
        <f>_CALC_ALLOC!AN147</f>
        <v/>
      </c>
      <c r="AB147" s="25">
        <f>AA147-T147</f>
        <v/>
      </c>
    </row>
    <row r="148">
      <c r="A148" s="1" t="inlineStr">
        <is>
          <t>2027BUD_V1</t>
        </is>
      </c>
      <c r="B148" s="1" t="inlineStr">
        <is>
          <t>12</t>
        </is>
      </c>
      <c r="C148" s="1" t="inlineStr">
        <is>
          <t>2026</t>
        </is>
      </c>
      <c r="D148" s="1" t="inlineStr">
        <is>
          <t>PIGIER_BOR</t>
        </is>
      </c>
      <c r="E148" s="1" t="inlineStr">
        <is>
          <t>PIGIER</t>
        </is>
      </c>
      <c r="F148" s="1" t="inlineStr">
        <is>
          <t>BAC_RH</t>
        </is>
      </c>
      <c r="G148" s="1" t="inlineStr">
        <is>
          <t>B1</t>
        </is>
      </c>
      <c r="H148" s="1" t="inlineStr">
        <is>
          <t>ALT</t>
        </is>
      </c>
      <c r="I148" s="1" t="n">
        <v>36</v>
      </c>
      <c r="J148" s="1" t="n">
        <v>2</v>
      </c>
      <c r="K148" s="1" t="n">
        <v>247680</v>
      </c>
      <c r="L148" s="1" t="n">
        <v>19644</v>
      </c>
      <c r="M148" s="1" t="n">
        <v>42550.372881356</v>
      </c>
      <c r="N148" s="1" t="n">
        <v>24379.549295775</v>
      </c>
      <c r="O148" s="1" t="n">
        <v>99624.5</v>
      </c>
      <c r="P148" s="1" t="n">
        <v>37324.131395094</v>
      </c>
      <c r="Q148" s="1" t="n">
        <v>44023.549295775</v>
      </c>
      <c r="R148" s="1" t="n">
        <v>179499.00427645</v>
      </c>
      <c r="S148" s="1" t="n">
        <v>223522.553572225</v>
      </c>
      <c r="T148" s="1" t="n">
        <v>24157.446427775</v>
      </c>
      <c r="V148" s="25">
        <f>_CALC_ALLOC!AI148</f>
        <v/>
      </c>
      <c r="W148" s="25">
        <f>_CALC_ALLOC!AJ148</f>
        <v/>
      </c>
      <c r="X148" s="25">
        <f>_CALC_ALLOC!AK148</f>
        <v/>
      </c>
      <c r="Y148" s="25">
        <f>_CALC_ALLOC!AL148</f>
        <v/>
      </c>
      <c r="Z148" s="25">
        <f>_CALC_ALLOC!AM148</f>
        <v/>
      </c>
      <c r="AA148" s="25">
        <f>_CALC_ALLOC!AN148</f>
        <v/>
      </c>
      <c r="AB148" s="25">
        <f>AA148-T148</f>
        <v/>
      </c>
    </row>
    <row r="149">
      <c r="A149" s="1" t="inlineStr">
        <is>
          <t>2027BUD_V1</t>
        </is>
      </c>
      <c r="B149" s="1" t="inlineStr">
        <is>
          <t>12</t>
        </is>
      </c>
      <c r="C149" s="1" t="inlineStr">
        <is>
          <t>2026</t>
        </is>
      </c>
      <c r="D149" s="1" t="inlineStr">
        <is>
          <t>PIGIER_BOR</t>
        </is>
      </c>
      <c r="E149" s="1" t="inlineStr">
        <is>
          <t>PIGIER</t>
        </is>
      </c>
      <c r="F149" s="1" t="inlineStr">
        <is>
          <t>BAC_RH</t>
        </is>
      </c>
      <c r="G149" s="1" t="inlineStr">
        <is>
          <t>B3</t>
        </is>
      </c>
      <c r="H149" s="1" t="inlineStr">
        <is>
          <t>ALT</t>
        </is>
      </c>
      <c r="I149" s="1" t="n">
        <v>35</v>
      </c>
      <c r="J149" s="1" t="n">
        <v>2</v>
      </c>
      <c r="K149" s="1" t="n">
        <v>237650</v>
      </c>
      <c r="L149" s="1" t="n">
        <v>19644</v>
      </c>
      <c r="M149" s="1" t="n">
        <v>42550.372881356</v>
      </c>
      <c r="N149" s="1" t="n">
        <v>13023.450704225</v>
      </c>
      <c r="O149" s="1" t="n">
        <v>99624.5</v>
      </c>
      <c r="P149" s="1" t="n">
        <v>37324.131395094</v>
      </c>
      <c r="Q149" s="1" t="n">
        <v>32667.450704225</v>
      </c>
      <c r="R149" s="1" t="n">
        <v>179499.00427645</v>
      </c>
      <c r="S149" s="1" t="n">
        <v>212166.454980675</v>
      </c>
      <c r="T149" s="1" t="n">
        <v>25483.545019325</v>
      </c>
      <c r="V149" s="25">
        <f>_CALC_ALLOC!AI149</f>
        <v/>
      </c>
      <c r="W149" s="25">
        <f>_CALC_ALLOC!AJ149</f>
        <v/>
      </c>
      <c r="X149" s="25">
        <f>_CALC_ALLOC!AK149</f>
        <v/>
      </c>
      <c r="Y149" s="25">
        <f>_CALC_ALLOC!AL149</f>
        <v/>
      </c>
      <c r="Z149" s="25">
        <f>_CALC_ALLOC!AM149</f>
        <v/>
      </c>
      <c r="AA149" s="25">
        <f>_CALC_ALLOC!AN149</f>
        <v/>
      </c>
      <c r="AB149" s="25">
        <f>AA149-T149</f>
        <v/>
      </c>
    </row>
    <row r="150">
      <c r="A150" s="1" t="inlineStr">
        <is>
          <t>2027BUD_V1</t>
        </is>
      </c>
      <c r="B150" s="1" t="inlineStr">
        <is>
          <t>12</t>
        </is>
      </c>
      <c r="C150" s="1" t="inlineStr">
        <is>
          <t>2025</t>
        </is>
      </c>
      <c r="D150" s="1" t="inlineStr">
        <is>
          <t>PIGIER_BOR</t>
        </is>
      </c>
      <c r="E150" s="1" t="inlineStr">
        <is>
          <t>PIGIER</t>
        </is>
      </c>
      <c r="F150" s="1" t="inlineStr">
        <is>
          <t>BTS_GES</t>
        </is>
      </c>
      <c r="G150" s="1" t="inlineStr">
        <is>
          <t>BTS1</t>
        </is>
      </c>
      <c r="H150" s="1" t="inlineStr">
        <is>
          <t>ALT</t>
        </is>
      </c>
      <c r="I150" s="1" t="n">
        <v>34</v>
      </c>
      <c r="J150" s="1" t="n">
        <v>2</v>
      </c>
      <c r="K150" s="1" t="n">
        <v>200940</v>
      </c>
      <c r="L150" s="1" t="n">
        <v>27342.415254237</v>
      </c>
      <c r="M150" s="1" t="n">
        <v>59225.63559322</v>
      </c>
      <c r="N150" s="1" t="n">
        <v>22781.171641791</v>
      </c>
      <c r="O150" s="1" t="n">
        <v>95086</v>
      </c>
      <c r="P150" s="1" t="n">
        <v>34990.021576849</v>
      </c>
      <c r="Q150" s="1" t="n">
        <v>50123.586896028</v>
      </c>
      <c r="R150" s="1" t="n">
        <v>189301.657170069</v>
      </c>
      <c r="S150" s="1" t="n">
        <v>239425.244066098</v>
      </c>
      <c r="T150" s="1" t="n">
        <v>-38485.244066098</v>
      </c>
      <c r="V150" s="25">
        <f>_CALC_ALLOC!AI150</f>
        <v/>
      </c>
      <c r="W150" s="25">
        <f>_CALC_ALLOC!AJ150</f>
        <v/>
      </c>
      <c r="X150" s="25">
        <f>_CALC_ALLOC!AK150</f>
        <v/>
      </c>
      <c r="Y150" s="25">
        <f>_CALC_ALLOC!AL150</f>
        <v/>
      </c>
      <c r="Z150" s="25">
        <f>_CALC_ALLOC!AM150</f>
        <v/>
      </c>
      <c r="AA150" s="25">
        <f>_CALC_ALLOC!AN150</f>
        <v/>
      </c>
      <c r="AB150" s="25">
        <f>AA150-T150</f>
        <v/>
      </c>
    </row>
    <row r="151">
      <c r="A151" s="1" t="inlineStr">
        <is>
          <t>2027BUD_V1</t>
        </is>
      </c>
      <c r="B151" s="1" t="inlineStr">
        <is>
          <t>12</t>
        </is>
      </c>
      <c r="C151" s="1" t="inlineStr">
        <is>
          <t>2025</t>
        </is>
      </c>
      <c r="D151" s="1" t="inlineStr">
        <is>
          <t>PIGIER_BOR</t>
        </is>
      </c>
      <c r="E151" s="1" t="inlineStr">
        <is>
          <t>PIGIER</t>
        </is>
      </c>
      <c r="F151" s="1" t="inlineStr">
        <is>
          <t>BTS_GES</t>
        </is>
      </c>
      <c r="G151" s="1" t="inlineStr">
        <is>
          <t>BTS2</t>
        </is>
      </c>
      <c r="H151" s="1" t="inlineStr">
        <is>
          <t>ALT</t>
        </is>
      </c>
      <c r="I151" s="1" t="n">
        <v>33</v>
      </c>
      <c r="J151" s="1" t="n">
        <v>2</v>
      </c>
      <c r="K151" s="1" t="n">
        <v>192060</v>
      </c>
      <c r="L151" s="1" t="n">
        <v>27342.415254237</v>
      </c>
      <c r="M151" s="1" t="n">
        <v>59225.63559322</v>
      </c>
      <c r="N151" s="1" t="n">
        <v>12419.328358209</v>
      </c>
      <c r="O151" s="1" t="n">
        <v>95086</v>
      </c>
      <c r="P151" s="1" t="n">
        <v>34990.021576849</v>
      </c>
      <c r="Q151" s="1" t="n">
        <v>39761.743612446</v>
      </c>
      <c r="R151" s="1" t="n">
        <v>189301.657170069</v>
      </c>
      <c r="S151" s="1" t="n">
        <v>229063.400782516</v>
      </c>
      <c r="T151" s="1" t="n">
        <v>-37003.400782516</v>
      </c>
      <c r="V151" s="25">
        <f>_CALC_ALLOC!AI151</f>
        <v/>
      </c>
      <c r="W151" s="25">
        <f>_CALC_ALLOC!AJ151</f>
        <v/>
      </c>
      <c r="X151" s="25">
        <f>_CALC_ALLOC!AK151</f>
        <v/>
      </c>
      <c r="Y151" s="25">
        <f>_CALC_ALLOC!AL151</f>
        <v/>
      </c>
      <c r="Z151" s="25">
        <f>_CALC_ALLOC!AM151</f>
        <v/>
      </c>
      <c r="AA151" s="25">
        <f>_CALC_ALLOC!AN151</f>
        <v/>
      </c>
      <c r="AB151" s="25">
        <f>AA151-T151</f>
        <v/>
      </c>
    </row>
    <row r="152">
      <c r="A152" s="1" t="inlineStr">
        <is>
          <t>2027BUD_V1</t>
        </is>
      </c>
      <c r="B152" s="1" t="inlineStr">
        <is>
          <t>12</t>
        </is>
      </c>
      <c r="C152" s="1" t="inlineStr">
        <is>
          <t>2025</t>
        </is>
      </c>
      <c r="D152" s="1" t="inlineStr">
        <is>
          <t>PIGIER_BOR</t>
        </is>
      </c>
      <c r="E152" s="1" t="inlineStr">
        <is>
          <t>PIGIER</t>
        </is>
      </c>
      <c r="F152" s="1" t="inlineStr">
        <is>
          <t>BAC_RH</t>
        </is>
      </c>
      <c r="G152" s="1" t="inlineStr">
        <is>
          <t>B1</t>
        </is>
      </c>
      <c r="H152" s="1" t="inlineStr">
        <is>
          <t>ALT</t>
        </is>
      </c>
      <c r="I152" s="1" t="n">
        <v>34</v>
      </c>
      <c r="J152" s="1" t="n">
        <v>2</v>
      </c>
      <c r="K152" s="1" t="n">
        <v>233920</v>
      </c>
      <c r="L152" s="1" t="n">
        <v>18749.084745763</v>
      </c>
      <c r="M152" s="1" t="n">
        <v>40611.86440678</v>
      </c>
      <c r="N152" s="1" t="n">
        <v>22781.171641791</v>
      </c>
      <c r="O152" s="1" t="n">
        <v>95086</v>
      </c>
      <c r="P152" s="1" t="n">
        <v>34990.021576849</v>
      </c>
      <c r="Q152" s="1" t="n">
        <v>41530.256387554</v>
      </c>
      <c r="R152" s="1" t="n">
        <v>170687.885983629</v>
      </c>
      <c r="S152" s="1" t="n">
        <v>212218.142371183</v>
      </c>
      <c r="T152" s="1" t="n">
        <v>21701.857628817</v>
      </c>
      <c r="V152" s="25">
        <f>_CALC_ALLOC!AI152</f>
        <v/>
      </c>
      <c r="W152" s="25">
        <f>_CALC_ALLOC!AJ152</f>
        <v/>
      </c>
      <c r="X152" s="25">
        <f>_CALC_ALLOC!AK152</f>
        <v/>
      </c>
      <c r="Y152" s="25">
        <f>_CALC_ALLOC!AL152</f>
        <v/>
      </c>
      <c r="Z152" s="25">
        <f>_CALC_ALLOC!AM152</f>
        <v/>
      </c>
      <c r="AA152" s="25">
        <f>_CALC_ALLOC!AN152</f>
        <v/>
      </c>
      <c r="AB152" s="25">
        <f>AA152-T152</f>
        <v/>
      </c>
    </row>
    <row r="153">
      <c r="A153" s="1" t="inlineStr">
        <is>
          <t>2027BUD_V1</t>
        </is>
      </c>
      <c r="B153" s="1" t="inlineStr">
        <is>
          <t>12</t>
        </is>
      </c>
      <c r="C153" s="1" t="inlineStr">
        <is>
          <t>2025</t>
        </is>
      </c>
      <c r="D153" s="1" t="inlineStr">
        <is>
          <t>PIGIER_BOR</t>
        </is>
      </c>
      <c r="E153" s="1" t="inlineStr">
        <is>
          <t>PIGIER</t>
        </is>
      </c>
      <c r="F153" s="1" t="inlineStr">
        <is>
          <t>BAC_RH</t>
        </is>
      </c>
      <c r="G153" s="1" t="inlineStr">
        <is>
          <t>B3</t>
        </is>
      </c>
      <c r="H153" s="1" t="inlineStr">
        <is>
          <t>ALT</t>
        </is>
      </c>
      <c r="I153" s="1" t="n">
        <v>33</v>
      </c>
      <c r="J153" s="1" t="n">
        <v>2</v>
      </c>
      <c r="K153" s="1" t="n">
        <v>224070</v>
      </c>
      <c r="L153" s="1" t="n">
        <v>18749.084745763</v>
      </c>
      <c r="M153" s="1" t="n">
        <v>40611.86440678</v>
      </c>
      <c r="N153" s="1" t="n">
        <v>12419.328358209</v>
      </c>
      <c r="O153" s="1" t="n">
        <v>95086</v>
      </c>
      <c r="P153" s="1" t="n">
        <v>34990.021576849</v>
      </c>
      <c r="Q153" s="1" t="n">
        <v>31168.413103972</v>
      </c>
      <c r="R153" s="1" t="n">
        <v>170687.885983629</v>
      </c>
      <c r="S153" s="1" t="n">
        <v>201856.2990876</v>
      </c>
      <c r="T153" s="1" t="n">
        <v>22213.7009124</v>
      </c>
      <c r="V153" s="25">
        <f>_CALC_ALLOC!AI153</f>
        <v/>
      </c>
      <c r="W153" s="25">
        <f>_CALC_ALLOC!AJ153</f>
        <v/>
      </c>
      <c r="X153" s="25">
        <f>_CALC_ALLOC!AK153</f>
        <v/>
      </c>
      <c r="Y153" s="25">
        <f>_CALC_ALLOC!AL153</f>
        <v/>
      </c>
      <c r="Z153" s="25">
        <f>_CALC_ALLOC!AM153</f>
        <v/>
      </c>
      <c r="AA153" s="25">
        <f>_CALC_ALLOC!AN153</f>
        <v/>
      </c>
      <c r="AB153" s="25">
        <f>AA153-T153</f>
        <v/>
      </c>
    </row>
    <row r="154">
      <c r="A154" s="1" t="inlineStr">
        <is>
          <t>2027BUD_V1</t>
        </is>
      </c>
      <c r="B154" s="1" t="inlineStr">
        <is>
          <t>12</t>
        </is>
      </c>
      <c r="C154" s="1" t="inlineStr">
        <is>
          <t>2024</t>
        </is>
      </c>
      <c r="D154" s="1" t="inlineStr">
        <is>
          <t>PIGIER_BOR</t>
        </is>
      </c>
      <c r="E154" s="1" t="inlineStr">
        <is>
          <t>PIGIER</t>
        </is>
      </c>
      <c r="F154" s="1" t="inlineStr">
        <is>
          <t>BTS_GES</t>
        </is>
      </c>
      <c r="G154" s="1" t="inlineStr">
        <is>
          <t>BTS1</t>
        </is>
      </c>
      <c r="H154" s="1" t="inlineStr">
        <is>
          <t>ALT</t>
        </is>
      </c>
      <c r="I154" s="1" t="n">
        <v>32</v>
      </c>
      <c r="J154" s="1" t="n">
        <v>2</v>
      </c>
      <c r="K154" s="1" t="n">
        <v>189120</v>
      </c>
      <c r="L154" s="1" t="n">
        <v>26144.406779661</v>
      </c>
      <c r="M154" s="1" t="n">
        <v>56630.593220339</v>
      </c>
      <c r="N154" s="1" t="n">
        <v>21323.849206349</v>
      </c>
      <c r="O154" s="1" t="n">
        <v>90919.75</v>
      </c>
      <c r="P154" s="1" t="n">
        <v>32719.651063557</v>
      </c>
      <c r="Q154" s="1" t="n">
        <v>47468.25598601</v>
      </c>
      <c r="R154" s="1" t="n">
        <v>180269.994283895</v>
      </c>
      <c r="S154" s="1" t="n">
        <v>227738.250269906</v>
      </c>
      <c r="T154" s="1" t="n">
        <v>-38618.250269906</v>
      </c>
      <c r="V154" s="25">
        <f>_CALC_ALLOC!AI154</f>
        <v/>
      </c>
      <c r="W154" s="25">
        <f>_CALC_ALLOC!AJ154</f>
        <v/>
      </c>
      <c r="X154" s="25">
        <f>_CALC_ALLOC!AK154</f>
        <v/>
      </c>
      <c r="Y154" s="25">
        <f>_CALC_ALLOC!AL154</f>
        <v/>
      </c>
      <c r="Z154" s="25">
        <f>_CALC_ALLOC!AM154</f>
        <v/>
      </c>
      <c r="AA154" s="25">
        <f>_CALC_ALLOC!AN154</f>
        <v/>
      </c>
      <c r="AB154" s="25">
        <f>AA154-T154</f>
        <v/>
      </c>
    </row>
    <row r="155">
      <c r="A155" s="1" t="inlineStr">
        <is>
          <t>2027BUD_V1</t>
        </is>
      </c>
      <c r="B155" s="1" t="inlineStr">
        <is>
          <t>12</t>
        </is>
      </c>
      <c r="C155" s="1" t="inlineStr">
        <is>
          <t>2024</t>
        </is>
      </c>
      <c r="D155" s="1" t="inlineStr">
        <is>
          <t>PIGIER_BOR</t>
        </is>
      </c>
      <c r="E155" s="1" t="inlineStr">
        <is>
          <t>PIGIER</t>
        </is>
      </c>
      <c r="F155" s="1" t="inlineStr">
        <is>
          <t>BTS_GES</t>
        </is>
      </c>
      <c r="G155" s="1" t="inlineStr">
        <is>
          <t>BTS2</t>
        </is>
      </c>
      <c r="H155" s="1" t="inlineStr">
        <is>
          <t>ALT</t>
        </is>
      </c>
      <c r="I155" s="1" t="n">
        <v>31</v>
      </c>
      <c r="J155" s="1" t="n">
        <v>2</v>
      </c>
      <c r="K155" s="1" t="n">
        <v>180420</v>
      </c>
      <c r="L155" s="1" t="n">
        <v>26144.406779661</v>
      </c>
      <c r="M155" s="1" t="n">
        <v>56630.593220339</v>
      </c>
      <c r="N155" s="1" t="n">
        <v>11863.650793651</v>
      </c>
      <c r="O155" s="1" t="n">
        <v>90919.75</v>
      </c>
      <c r="P155" s="1" t="n">
        <v>32719.651063557</v>
      </c>
      <c r="Q155" s="1" t="n">
        <v>38008.057573312</v>
      </c>
      <c r="R155" s="1" t="n">
        <v>180269.994283895</v>
      </c>
      <c r="S155" s="1" t="n">
        <v>218278.051857207</v>
      </c>
      <c r="T155" s="1" t="n">
        <v>-37858.051857207</v>
      </c>
      <c r="V155" s="25">
        <f>_CALC_ALLOC!AI155</f>
        <v/>
      </c>
      <c r="W155" s="25">
        <f>_CALC_ALLOC!AJ155</f>
        <v/>
      </c>
      <c r="X155" s="25">
        <f>_CALC_ALLOC!AK155</f>
        <v/>
      </c>
      <c r="Y155" s="25">
        <f>_CALC_ALLOC!AL155</f>
        <v/>
      </c>
      <c r="Z155" s="25">
        <f>_CALC_ALLOC!AM155</f>
        <v/>
      </c>
      <c r="AA155" s="25">
        <f>_CALC_ALLOC!AN155</f>
        <v/>
      </c>
      <c r="AB155" s="25">
        <f>AA155-T155</f>
        <v/>
      </c>
    </row>
    <row r="156">
      <c r="A156" s="1" t="inlineStr">
        <is>
          <t>2027BUD_V1</t>
        </is>
      </c>
      <c r="B156" s="1" t="inlineStr">
        <is>
          <t>12</t>
        </is>
      </c>
      <c r="C156" s="1" t="inlineStr">
        <is>
          <t>2024</t>
        </is>
      </c>
      <c r="D156" s="1" t="inlineStr">
        <is>
          <t>PIGIER_BOR</t>
        </is>
      </c>
      <c r="E156" s="1" t="inlineStr">
        <is>
          <t>PIGIER</t>
        </is>
      </c>
      <c r="F156" s="1" t="inlineStr">
        <is>
          <t>BAC_RH</t>
        </is>
      </c>
      <c r="G156" s="1" t="inlineStr">
        <is>
          <t>B1</t>
        </is>
      </c>
      <c r="H156" s="1" t="inlineStr">
        <is>
          <t>ALT</t>
        </is>
      </c>
      <c r="I156" s="1" t="n">
        <v>32</v>
      </c>
      <c r="J156" s="1" t="n">
        <v>2</v>
      </c>
      <c r="K156" s="1" t="n">
        <v>220160</v>
      </c>
      <c r="L156" s="1" t="n">
        <v>17927.593220339</v>
      </c>
      <c r="M156" s="1" t="n">
        <v>38832.406779661</v>
      </c>
      <c r="N156" s="1" t="n">
        <v>21323.849206349</v>
      </c>
      <c r="O156" s="1" t="n">
        <v>90919.75</v>
      </c>
      <c r="P156" s="1" t="n">
        <v>32719.651063557</v>
      </c>
      <c r="Q156" s="1" t="n">
        <v>39251.442426688</v>
      </c>
      <c r="R156" s="1" t="n">
        <v>162471.807843218</v>
      </c>
      <c r="S156" s="1" t="n">
        <v>201723.250269906</v>
      </c>
      <c r="T156" s="1" t="n">
        <v>18436.749730094</v>
      </c>
      <c r="V156" s="25">
        <f>_CALC_ALLOC!AI156</f>
        <v/>
      </c>
      <c r="W156" s="25">
        <f>_CALC_ALLOC!AJ156</f>
        <v/>
      </c>
      <c r="X156" s="25">
        <f>_CALC_ALLOC!AK156</f>
        <v/>
      </c>
      <c r="Y156" s="25">
        <f>_CALC_ALLOC!AL156</f>
        <v/>
      </c>
      <c r="Z156" s="25">
        <f>_CALC_ALLOC!AM156</f>
        <v/>
      </c>
      <c r="AA156" s="25">
        <f>_CALC_ALLOC!AN156</f>
        <v/>
      </c>
      <c r="AB156" s="25">
        <f>AA156-T156</f>
        <v/>
      </c>
    </row>
    <row r="157">
      <c r="A157" s="1" t="inlineStr">
        <is>
          <t>2027BUD_V1</t>
        </is>
      </c>
      <c r="B157" s="1" t="inlineStr">
        <is>
          <t>12</t>
        </is>
      </c>
      <c r="C157" s="1" t="inlineStr">
        <is>
          <t>2024</t>
        </is>
      </c>
      <c r="D157" s="1" t="inlineStr">
        <is>
          <t>PIGIER_BOR</t>
        </is>
      </c>
      <c r="E157" s="1" t="inlineStr">
        <is>
          <t>PIGIER</t>
        </is>
      </c>
      <c r="F157" s="1" t="inlineStr">
        <is>
          <t>BAC_RH</t>
        </is>
      </c>
      <c r="G157" s="1" t="inlineStr">
        <is>
          <t>B3</t>
        </is>
      </c>
      <c r="H157" s="1" t="inlineStr">
        <is>
          <t>ALT</t>
        </is>
      </c>
      <c r="I157" s="1" t="n">
        <v>31</v>
      </c>
      <c r="J157" s="1" t="n">
        <v>2</v>
      </c>
      <c r="K157" s="1" t="n">
        <v>210490</v>
      </c>
      <c r="L157" s="1" t="n">
        <v>17927.593220339</v>
      </c>
      <c r="M157" s="1" t="n">
        <v>38832.406779661</v>
      </c>
      <c r="N157" s="1" t="n">
        <v>11863.650793651</v>
      </c>
      <c r="O157" s="1" t="n">
        <v>90919.75</v>
      </c>
      <c r="P157" s="1" t="n">
        <v>32719.651063557</v>
      </c>
      <c r="Q157" s="1" t="n">
        <v>29791.24401399</v>
      </c>
      <c r="R157" s="1" t="n">
        <v>162471.807843218</v>
      </c>
      <c r="S157" s="1" t="n">
        <v>192263.051857207</v>
      </c>
      <c r="T157" s="1" t="n">
        <v>18226.948142793</v>
      </c>
      <c r="V157" s="25">
        <f>_CALC_ALLOC!AI157</f>
        <v/>
      </c>
      <c r="W157" s="25">
        <f>_CALC_ALLOC!AJ157</f>
        <v/>
      </c>
      <c r="X157" s="25">
        <f>_CALC_ALLOC!AK157</f>
        <v/>
      </c>
      <c r="Y157" s="25">
        <f>_CALC_ALLOC!AL157</f>
        <v/>
      </c>
      <c r="Z157" s="25">
        <f>_CALC_ALLOC!AM157</f>
        <v/>
      </c>
      <c r="AA157" s="25">
        <f>_CALC_ALLOC!AN157</f>
        <v/>
      </c>
      <c r="AB157" s="25">
        <f>AA157-T157</f>
        <v/>
      </c>
    </row>
    <row r="158">
      <c r="A158" s="1" t="inlineStr">
        <is>
          <t>2027BUD_V1</t>
        </is>
      </c>
      <c r="B158" s="1" t="inlineStr">
        <is>
          <t>12</t>
        </is>
      </c>
      <c r="C158" s="1" t="inlineStr">
        <is>
          <t>2026</t>
        </is>
      </c>
      <c r="D158" s="1" t="inlineStr">
        <is>
          <t>TUNON_PAR</t>
        </is>
      </c>
      <c r="E158" s="1" t="inlineStr">
        <is>
          <t>TUNON</t>
        </is>
      </c>
      <c r="F158" s="1" t="inlineStr">
        <is>
          <t>BAC_TOU</t>
        </is>
      </c>
      <c r="G158" s="1" t="inlineStr">
        <is>
          <t>B1</t>
        </is>
      </c>
      <c r="H158" s="1" t="inlineStr">
        <is>
          <t>ALT</t>
        </is>
      </c>
      <c r="I158" s="1" t="n">
        <v>47</v>
      </c>
      <c r="J158" s="1" t="n">
        <v>2</v>
      </c>
      <c r="K158" s="1" t="n">
        <v>372710</v>
      </c>
      <c r="L158" s="1" t="n">
        <v>24146</v>
      </c>
      <c r="M158" s="1" t="n">
        <v>80693.66666666701</v>
      </c>
      <c r="N158" s="1" t="n">
        <v>47728.427536232</v>
      </c>
      <c r="O158" s="1" t="n">
        <v>180918</v>
      </c>
      <c r="P158" s="1" t="n">
        <v>55667.939537337</v>
      </c>
      <c r="Q158" s="1" t="n">
        <v>71874.427536232</v>
      </c>
      <c r="R158" s="1" t="n">
        <v>317279.606204003</v>
      </c>
      <c r="S158" s="1" t="n">
        <v>389154.033740235</v>
      </c>
      <c r="T158" s="1" t="n">
        <v>-16444.033740235</v>
      </c>
      <c r="V158" s="25">
        <f>_CALC_ALLOC!AI158</f>
        <v/>
      </c>
      <c r="W158" s="25">
        <f>_CALC_ALLOC!AJ158</f>
        <v/>
      </c>
      <c r="X158" s="25">
        <f>_CALC_ALLOC!AK158</f>
        <v/>
      </c>
      <c r="Y158" s="25">
        <f>_CALC_ALLOC!AL158</f>
        <v/>
      </c>
      <c r="Z158" s="25">
        <f>_CALC_ALLOC!AM158</f>
        <v/>
      </c>
      <c r="AA158" s="25">
        <f>_CALC_ALLOC!AN158</f>
        <v/>
      </c>
      <c r="AB158" s="25">
        <f>AA158-T158</f>
        <v/>
      </c>
    </row>
    <row r="159">
      <c r="A159" s="1" t="inlineStr">
        <is>
          <t>2027BUD_V1</t>
        </is>
      </c>
      <c r="B159" s="1" t="inlineStr">
        <is>
          <t>12</t>
        </is>
      </c>
      <c r="C159" s="1" t="inlineStr">
        <is>
          <t>2026</t>
        </is>
      </c>
      <c r="D159" s="1" t="inlineStr">
        <is>
          <t>TUNON_PAR</t>
        </is>
      </c>
      <c r="E159" s="1" t="inlineStr">
        <is>
          <t>TUNON</t>
        </is>
      </c>
      <c r="F159" s="1" t="inlineStr">
        <is>
          <t>BAC_TOU</t>
        </is>
      </c>
      <c r="G159" s="1" t="inlineStr">
        <is>
          <t>B2</t>
        </is>
      </c>
      <c r="H159" s="1" t="inlineStr">
        <is>
          <t>ALT</t>
        </is>
      </c>
      <c r="I159" s="1" t="n">
        <v>46</v>
      </c>
      <c r="J159" s="1" t="n">
        <v>2</v>
      </c>
      <c r="K159" s="1" t="n">
        <v>360640</v>
      </c>
      <c r="L159" s="1" t="n">
        <v>24146</v>
      </c>
      <c r="M159" s="1" t="n">
        <v>80693.66666666701</v>
      </c>
      <c r="N159" s="1" t="n">
        <v>17116.333333333</v>
      </c>
      <c r="O159" s="1" t="n">
        <v>180918</v>
      </c>
      <c r="P159" s="1" t="n">
        <v>55667.939537337</v>
      </c>
      <c r="Q159" s="1" t="n">
        <v>41262.333333333</v>
      </c>
      <c r="R159" s="1" t="n">
        <v>317279.606204003</v>
      </c>
      <c r="S159" s="1" t="n">
        <v>358541.939537337</v>
      </c>
      <c r="T159" s="1" t="n">
        <v>2098.060462663</v>
      </c>
      <c r="V159" s="25">
        <f>_CALC_ALLOC!AI159</f>
        <v/>
      </c>
      <c r="W159" s="25">
        <f>_CALC_ALLOC!AJ159</f>
        <v/>
      </c>
      <c r="X159" s="25">
        <f>_CALC_ALLOC!AK159</f>
        <v/>
      </c>
      <c r="Y159" s="25">
        <f>_CALC_ALLOC!AL159</f>
        <v/>
      </c>
      <c r="Z159" s="25">
        <f>_CALC_ALLOC!AM159</f>
        <v/>
      </c>
      <c r="AA159" s="25">
        <f>_CALC_ALLOC!AN159</f>
        <v/>
      </c>
      <c r="AB159" s="25">
        <f>AA159-T159</f>
        <v/>
      </c>
    </row>
    <row r="160">
      <c r="A160" s="1" t="inlineStr">
        <is>
          <t>2027BUD_V1</t>
        </is>
      </c>
      <c r="B160" s="1" t="inlineStr">
        <is>
          <t>12</t>
        </is>
      </c>
      <c r="C160" s="1" t="inlineStr">
        <is>
          <t>2026</t>
        </is>
      </c>
      <c r="D160" s="1" t="inlineStr">
        <is>
          <t>TUNON_PAR</t>
        </is>
      </c>
      <c r="E160" s="1" t="inlineStr">
        <is>
          <t>TUNON</t>
        </is>
      </c>
      <c r="F160" s="1" t="inlineStr">
        <is>
          <t>BAC_TOU</t>
        </is>
      </c>
      <c r="G160" s="1" t="inlineStr">
        <is>
          <t>B3</t>
        </is>
      </c>
      <c r="H160" s="1" t="inlineStr">
        <is>
          <t>ALT</t>
        </is>
      </c>
      <c r="I160" s="1" t="n">
        <v>45</v>
      </c>
      <c r="J160" s="1" t="n">
        <v>2</v>
      </c>
      <c r="K160" s="1" t="n">
        <v>352800</v>
      </c>
      <c r="L160" s="1" t="n">
        <v>24146</v>
      </c>
      <c r="M160" s="1" t="n">
        <v>80693.66666666701</v>
      </c>
      <c r="N160" s="1" t="n">
        <v>16744.239130435</v>
      </c>
      <c r="O160" s="1" t="n">
        <v>180918</v>
      </c>
      <c r="P160" s="1" t="n">
        <v>55667.939537337</v>
      </c>
      <c r="Q160" s="1" t="n">
        <v>40890.239130435</v>
      </c>
      <c r="R160" s="1" t="n">
        <v>317279.606204003</v>
      </c>
      <c r="S160" s="1" t="n">
        <v>358169.845334438</v>
      </c>
      <c r="T160" s="1" t="n">
        <v>-5369.845334438</v>
      </c>
      <c r="V160" s="25">
        <f>_CALC_ALLOC!AI160</f>
        <v/>
      </c>
      <c r="W160" s="25">
        <f>_CALC_ALLOC!AJ160</f>
        <v/>
      </c>
      <c r="X160" s="25">
        <f>_CALC_ALLOC!AK160</f>
        <v/>
      </c>
      <c r="Y160" s="25">
        <f>_CALC_ALLOC!AL160</f>
        <v/>
      </c>
      <c r="Z160" s="25">
        <f>_CALC_ALLOC!AM160</f>
        <v/>
      </c>
      <c r="AA160" s="25">
        <f>_CALC_ALLOC!AN160</f>
        <v/>
      </c>
      <c r="AB160" s="25">
        <f>AA160-T160</f>
        <v/>
      </c>
    </row>
    <row r="161">
      <c r="A161" s="1" t="inlineStr">
        <is>
          <t>2027BUD_V1</t>
        </is>
      </c>
      <c r="B161" s="1" t="inlineStr">
        <is>
          <t>12</t>
        </is>
      </c>
      <c r="C161" s="1" t="inlineStr">
        <is>
          <t>2025</t>
        </is>
      </c>
      <c r="D161" s="1" t="inlineStr">
        <is>
          <t>TUNON_PAR</t>
        </is>
      </c>
      <c r="E161" s="1" t="inlineStr">
        <is>
          <t>TUNON</t>
        </is>
      </c>
      <c r="F161" s="1" t="inlineStr">
        <is>
          <t>BAC_TOU</t>
        </is>
      </c>
      <c r="G161" s="1" t="inlineStr">
        <is>
          <t>B1</t>
        </is>
      </c>
      <c r="H161" s="1" t="inlineStr">
        <is>
          <t>ALT</t>
        </is>
      </c>
      <c r="I161" s="1" t="n">
        <v>44</v>
      </c>
      <c r="J161" s="1" t="n">
        <v>2</v>
      </c>
      <c r="K161" s="1" t="n">
        <v>348920</v>
      </c>
      <c r="L161" s="1" t="n">
        <v>23045.666666667</v>
      </c>
      <c r="M161" s="1" t="n">
        <v>77017.33333333299</v>
      </c>
      <c r="N161" s="1" t="n">
        <v>44207.589147287</v>
      </c>
      <c r="O161" s="1" t="n">
        <v>172675.666666667</v>
      </c>
      <c r="P161" s="1" t="n">
        <v>51693.650924741</v>
      </c>
      <c r="Q161" s="1" t="n">
        <v>67253.255813953</v>
      </c>
      <c r="R161" s="1" t="n">
        <v>301386.650924741</v>
      </c>
      <c r="S161" s="1" t="n">
        <v>368639.906738694</v>
      </c>
      <c r="T161" s="1" t="n">
        <v>-19719.906738694</v>
      </c>
      <c r="V161" s="25">
        <f>_CALC_ALLOC!AI161</f>
        <v/>
      </c>
      <c r="W161" s="25">
        <f>_CALC_ALLOC!AJ161</f>
        <v/>
      </c>
      <c r="X161" s="25">
        <f>_CALC_ALLOC!AK161</f>
        <v/>
      </c>
      <c r="Y161" s="25">
        <f>_CALC_ALLOC!AL161</f>
        <v/>
      </c>
      <c r="Z161" s="25">
        <f>_CALC_ALLOC!AM161</f>
        <v/>
      </c>
      <c r="AA161" s="25">
        <f>_CALC_ALLOC!AN161</f>
        <v/>
      </c>
      <c r="AB161" s="25">
        <f>AA161-T161</f>
        <v/>
      </c>
    </row>
    <row r="162">
      <c r="A162" s="1" t="inlineStr">
        <is>
          <t>2027BUD_V1</t>
        </is>
      </c>
      <c r="B162" s="1" t="inlineStr">
        <is>
          <t>12</t>
        </is>
      </c>
      <c r="C162" s="1" t="inlineStr">
        <is>
          <t>2025</t>
        </is>
      </c>
      <c r="D162" s="1" t="inlineStr">
        <is>
          <t>TUNON_PAR</t>
        </is>
      </c>
      <c r="E162" s="1" t="inlineStr">
        <is>
          <t>TUNON</t>
        </is>
      </c>
      <c r="F162" s="1" t="inlineStr">
        <is>
          <t>BAC_TOU</t>
        </is>
      </c>
      <c r="G162" s="1" t="inlineStr">
        <is>
          <t>B2</t>
        </is>
      </c>
      <c r="H162" s="1" t="inlineStr">
        <is>
          <t>ALT</t>
        </is>
      </c>
      <c r="I162" s="1" t="n">
        <v>43</v>
      </c>
      <c r="J162" s="1" t="n">
        <v>2</v>
      </c>
      <c r="K162" s="1" t="n">
        <v>337120</v>
      </c>
      <c r="L162" s="1" t="n">
        <v>23045.666666667</v>
      </c>
      <c r="M162" s="1" t="n">
        <v>77017.33333333299</v>
      </c>
      <c r="N162" s="1" t="n">
        <v>16336.666666667</v>
      </c>
      <c r="O162" s="1" t="n">
        <v>172675.666666667</v>
      </c>
      <c r="P162" s="1" t="n">
        <v>51693.650924741</v>
      </c>
      <c r="Q162" s="1" t="n">
        <v>39382.333333333</v>
      </c>
      <c r="R162" s="1" t="n">
        <v>301386.650924741</v>
      </c>
      <c r="S162" s="1" t="n">
        <v>340768.984258074</v>
      </c>
      <c r="T162" s="1" t="n">
        <v>-3648.984258074</v>
      </c>
      <c r="V162" s="25">
        <f>_CALC_ALLOC!AI162</f>
        <v/>
      </c>
      <c r="W162" s="25">
        <f>_CALC_ALLOC!AJ162</f>
        <v/>
      </c>
      <c r="X162" s="25">
        <f>_CALC_ALLOC!AK162</f>
        <v/>
      </c>
      <c r="Y162" s="25">
        <f>_CALC_ALLOC!AL162</f>
        <v/>
      </c>
      <c r="Z162" s="25">
        <f>_CALC_ALLOC!AM162</f>
        <v/>
      </c>
      <c r="AA162" s="25">
        <f>_CALC_ALLOC!AN162</f>
        <v/>
      </c>
      <c r="AB162" s="25">
        <f>AA162-T162</f>
        <v/>
      </c>
    </row>
    <row r="163">
      <c r="A163" s="1" t="inlineStr">
        <is>
          <t>2027BUD_V1</t>
        </is>
      </c>
      <c r="B163" s="1" t="inlineStr">
        <is>
          <t>12</t>
        </is>
      </c>
      <c r="C163" s="1" t="inlineStr">
        <is>
          <t>2025</t>
        </is>
      </c>
      <c r="D163" s="1" t="inlineStr">
        <is>
          <t>TUNON_PAR</t>
        </is>
      </c>
      <c r="E163" s="1" t="inlineStr">
        <is>
          <t>TUNON</t>
        </is>
      </c>
      <c r="F163" s="1" t="inlineStr">
        <is>
          <t>BAC_TOU</t>
        </is>
      </c>
      <c r="G163" s="1" t="inlineStr">
        <is>
          <t>B3</t>
        </is>
      </c>
      <c r="H163" s="1" t="inlineStr">
        <is>
          <t>ALT</t>
        </is>
      </c>
      <c r="I163" s="1" t="n">
        <v>42</v>
      </c>
      <c r="J163" s="1" t="n">
        <v>2</v>
      </c>
      <c r="K163" s="1" t="n">
        <v>329280</v>
      </c>
      <c r="L163" s="1" t="n">
        <v>23045.666666667</v>
      </c>
      <c r="M163" s="1" t="n">
        <v>77017.33333333299</v>
      </c>
      <c r="N163" s="1" t="n">
        <v>15956.744186047</v>
      </c>
      <c r="O163" s="1" t="n">
        <v>172675.666666667</v>
      </c>
      <c r="P163" s="1" t="n">
        <v>51693.650924741</v>
      </c>
      <c r="Q163" s="1" t="n">
        <v>39002.410852713</v>
      </c>
      <c r="R163" s="1" t="n">
        <v>301386.650924741</v>
      </c>
      <c r="S163" s="1" t="n">
        <v>340389.061777454</v>
      </c>
      <c r="T163" s="1" t="n">
        <v>-11109.061777454</v>
      </c>
      <c r="V163" s="25">
        <f>_CALC_ALLOC!AI163</f>
        <v/>
      </c>
      <c r="W163" s="25">
        <f>_CALC_ALLOC!AJ163</f>
        <v/>
      </c>
      <c r="X163" s="25">
        <f>_CALC_ALLOC!AK163</f>
        <v/>
      </c>
      <c r="Y163" s="25">
        <f>_CALC_ALLOC!AL163</f>
        <v/>
      </c>
      <c r="Z163" s="25">
        <f>_CALC_ALLOC!AM163</f>
        <v/>
      </c>
      <c r="AA163" s="25">
        <f>_CALC_ALLOC!AN163</f>
        <v/>
      </c>
      <c r="AB163" s="25">
        <f>AA163-T163</f>
        <v/>
      </c>
    </row>
    <row r="164">
      <c r="A164" s="1" t="inlineStr">
        <is>
          <t>2027BUD_V1</t>
        </is>
      </c>
      <c r="B164" s="1" t="inlineStr">
        <is>
          <t>12</t>
        </is>
      </c>
      <c r="C164" s="1" t="inlineStr">
        <is>
          <t>2024</t>
        </is>
      </c>
      <c r="D164" s="1" t="inlineStr">
        <is>
          <t>TUNON_PAR</t>
        </is>
      </c>
      <c r="E164" s="1" t="inlineStr">
        <is>
          <t>TUNON</t>
        </is>
      </c>
      <c r="F164" s="1" t="inlineStr">
        <is>
          <t>BAC_TOU</t>
        </is>
      </c>
      <c r="G164" s="1" t="inlineStr">
        <is>
          <t>B1</t>
        </is>
      </c>
      <c r="H164" s="1" t="inlineStr">
        <is>
          <t>ALT</t>
        </is>
      </c>
      <c r="I164" s="1" t="n">
        <v>42</v>
      </c>
      <c r="J164" s="1" t="n">
        <v>2</v>
      </c>
      <c r="K164" s="1" t="n">
        <v>333060</v>
      </c>
      <c r="L164" s="1" t="n">
        <v>22036</v>
      </c>
      <c r="M164" s="1" t="n">
        <v>73643</v>
      </c>
      <c r="N164" s="1" t="n">
        <v>40993.658536585</v>
      </c>
      <c r="O164" s="1" t="n">
        <v>165110.333333333</v>
      </c>
      <c r="P164" s="1" t="n">
        <v>49011.106381426</v>
      </c>
      <c r="Q164" s="1" t="n">
        <v>63029.658536585</v>
      </c>
      <c r="R164" s="1" t="n">
        <v>287764.43971476</v>
      </c>
      <c r="S164" s="1" t="n">
        <v>350794.098251345</v>
      </c>
      <c r="T164" s="1" t="n">
        <v>-17734.098251345</v>
      </c>
      <c r="V164" s="25">
        <f>_CALC_ALLOC!AI164</f>
        <v/>
      </c>
      <c r="W164" s="25">
        <f>_CALC_ALLOC!AJ164</f>
        <v/>
      </c>
      <c r="X164" s="25">
        <f>_CALC_ALLOC!AK164</f>
        <v/>
      </c>
      <c r="Y164" s="25">
        <f>_CALC_ALLOC!AL164</f>
        <v/>
      </c>
      <c r="Z164" s="25">
        <f>_CALC_ALLOC!AM164</f>
        <v/>
      </c>
      <c r="AA164" s="25">
        <f>_CALC_ALLOC!AN164</f>
        <v/>
      </c>
      <c r="AB164" s="25">
        <f>AA164-T164</f>
        <v/>
      </c>
    </row>
    <row r="165">
      <c r="A165" s="1" t="inlineStr">
        <is>
          <t>2027BUD_V1</t>
        </is>
      </c>
      <c r="B165" s="1" t="inlineStr">
        <is>
          <t>12</t>
        </is>
      </c>
      <c r="C165" s="1" t="inlineStr">
        <is>
          <t>2024</t>
        </is>
      </c>
      <c r="D165" s="1" t="inlineStr">
        <is>
          <t>TUNON_PAR</t>
        </is>
      </c>
      <c r="E165" s="1" t="inlineStr">
        <is>
          <t>TUNON</t>
        </is>
      </c>
      <c r="F165" s="1" t="inlineStr">
        <is>
          <t>BAC_TOU</t>
        </is>
      </c>
      <c r="G165" s="1" t="inlineStr">
        <is>
          <t>B2</t>
        </is>
      </c>
      <c r="H165" s="1" t="inlineStr">
        <is>
          <t>ALT</t>
        </is>
      </c>
      <c r="I165" s="1" t="n">
        <v>41</v>
      </c>
      <c r="J165" s="1" t="n">
        <v>2</v>
      </c>
      <c r="K165" s="1" t="n">
        <v>321440</v>
      </c>
      <c r="L165" s="1" t="n">
        <v>22036</v>
      </c>
      <c r="M165" s="1" t="n">
        <v>73643</v>
      </c>
      <c r="N165" s="1" t="n">
        <v>15620.666666667</v>
      </c>
      <c r="O165" s="1" t="n">
        <v>165110.333333333</v>
      </c>
      <c r="P165" s="1" t="n">
        <v>49011.106381426</v>
      </c>
      <c r="Q165" s="1" t="n">
        <v>37656.666666667</v>
      </c>
      <c r="R165" s="1" t="n">
        <v>287764.43971476</v>
      </c>
      <c r="S165" s="1" t="n">
        <v>325421.106381426</v>
      </c>
      <c r="T165" s="1" t="n">
        <v>-3981.106381426</v>
      </c>
      <c r="V165" s="25">
        <f>_CALC_ALLOC!AI165</f>
        <v/>
      </c>
      <c r="W165" s="25">
        <f>_CALC_ALLOC!AJ165</f>
        <v/>
      </c>
      <c r="X165" s="25">
        <f>_CALC_ALLOC!AK165</f>
        <v/>
      </c>
      <c r="Y165" s="25">
        <f>_CALC_ALLOC!AL165</f>
        <v/>
      </c>
      <c r="Z165" s="25">
        <f>_CALC_ALLOC!AM165</f>
        <v/>
      </c>
      <c r="AA165" s="25">
        <f>_CALC_ALLOC!AN165</f>
        <v/>
      </c>
      <c r="AB165" s="25">
        <f>AA165-T165</f>
        <v/>
      </c>
    </row>
    <row r="166">
      <c r="A166" s="1" t="inlineStr">
        <is>
          <t>2027BUD_V1</t>
        </is>
      </c>
      <c r="B166" s="1" t="inlineStr">
        <is>
          <t>12</t>
        </is>
      </c>
      <c r="C166" s="1" t="inlineStr">
        <is>
          <t>2024</t>
        </is>
      </c>
      <c r="D166" s="1" t="inlineStr">
        <is>
          <t>TUNON_PAR</t>
        </is>
      </c>
      <c r="E166" s="1" t="inlineStr">
        <is>
          <t>TUNON</t>
        </is>
      </c>
      <c r="F166" s="1" t="inlineStr">
        <is>
          <t>BAC_TOU</t>
        </is>
      </c>
      <c r="G166" s="1" t="inlineStr">
        <is>
          <t>B3</t>
        </is>
      </c>
      <c r="H166" s="1" t="inlineStr">
        <is>
          <t>ALT</t>
        </is>
      </c>
      <c r="I166" s="1" t="n">
        <v>40</v>
      </c>
      <c r="J166" s="1" t="n">
        <v>2</v>
      </c>
      <c r="K166" s="1" t="n">
        <v>313600</v>
      </c>
      <c r="L166" s="1" t="n">
        <v>22036</v>
      </c>
      <c r="M166" s="1" t="n">
        <v>73643</v>
      </c>
      <c r="N166" s="1" t="n">
        <v>15239.674796748</v>
      </c>
      <c r="O166" s="1" t="n">
        <v>165110.333333333</v>
      </c>
      <c r="P166" s="1" t="n">
        <v>49011.106381426</v>
      </c>
      <c r="Q166" s="1" t="n">
        <v>37275.674796748</v>
      </c>
      <c r="R166" s="1" t="n">
        <v>287764.43971476</v>
      </c>
      <c r="S166" s="1" t="n">
        <v>325040.114511507</v>
      </c>
      <c r="T166" s="1" t="n">
        <v>-11440.114511507</v>
      </c>
      <c r="V166" s="25">
        <f>_CALC_ALLOC!AI166</f>
        <v/>
      </c>
      <c r="W166" s="25">
        <f>_CALC_ALLOC!AJ166</f>
        <v/>
      </c>
      <c r="X166" s="25">
        <f>_CALC_ALLOC!AK166</f>
        <v/>
      </c>
      <c r="Y166" s="25">
        <f>_CALC_ALLOC!AL166</f>
        <v/>
      </c>
      <c r="Z166" s="25">
        <f>_CALC_ALLOC!AM166</f>
        <v/>
      </c>
      <c r="AA166" s="25">
        <f>_CALC_ALLOC!AN166</f>
        <v/>
      </c>
      <c r="AB166" s="25">
        <f>AA166-T166</f>
        <v/>
      </c>
    </row>
    <row r="167">
      <c r="A167" s="1" t="inlineStr">
        <is>
          <t>2027BUD_V1</t>
        </is>
      </c>
      <c r="B167" s="1" t="inlineStr">
        <is>
          <t>12</t>
        </is>
      </c>
      <c r="C167" s="1" t="inlineStr">
        <is>
          <t>2026</t>
        </is>
      </c>
      <c r="D167" s="1" t="inlineStr">
        <is>
          <t>TUNON_LYO</t>
        </is>
      </c>
      <c r="E167" s="1" t="inlineStr">
        <is>
          <t>TUNON</t>
        </is>
      </c>
      <c r="F167" s="1" t="inlineStr">
        <is>
          <t>BAC_TOU</t>
        </is>
      </c>
      <c r="G167" s="1" t="inlineStr">
        <is>
          <t>B1</t>
        </is>
      </c>
      <c r="H167" s="1" t="inlineStr">
        <is>
          <t>ALT</t>
        </is>
      </c>
      <c r="I167" s="1" t="n">
        <v>40</v>
      </c>
      <c r="J167" s="1" t="n">
        <v>2</v>
      </c>
      <c r="K167" s="1" t="n">
        <v>297600</v>
      </c>
      <c r="L167" s="1" t="n">
        <v>24146</v>
      </c>
      <c r="M167" s="1" t="n">
        <v>55788</v>
      </c>
      <c r="N167" s="1" t="n">
        <v>33733.760683761</v>
      </c>
      <c r="O167" s="1" t="n">
        <v>112537</v>
      </c>
      <c r="P167" s="1" t="n">
        <v>47196.731346872</v>
      </c>
      <c r="Q167" s="1" t="n">
        <v>57879.760683761</v>
      </c>
      <c r="R167" s="1" t="n">
        <v>215521.731346872</v>
      </c>
      <c r="S167" s="1" t="n">
        <v>273401.492030633</v>
      </c>
      <c r="T167" s="1" t="n">
        <v>24198.507969367</v>
      </c>
      <c r="V167" s="25">
        <f>_CALC_ALLOC!AI167</f>
        <v/>
      </c>
      <c r="W167" s="25">
        <f>_CALC_ALLOC!AJ167</f>
        <v/>
      </c>
      <c r="X167" s="25">
        <f>_CALC_ALLOC!AK167</f>
        <v/>
      </c>
      <c r="Y167" s="25">
        <f>_CALC_ALLOC!AL167</f>
        <v/>
      </c>
      <c r="Z167" s="25">
        <f>_CALC_ALLOC!AM167</f>
        <v/>
      </c>
      <c r="AA167" s="25">
        <f>_CALC_ALLOC!AN167</f>
        <v/>
      </c>
      <c r="AB167" s="25">
        <f>AA167-T167</f>
        <v/>
      </c>
    </row>
    <row r="168">
      <c r="A168" s="1" t="inlineStr">
        <is>
          <t>2027BUD_V1</t>
        </is>
      </c>
      <c r="B168" s="1" t="inlineStr">
        <is>
          <t>12</t>
        </is>
      </c>
      <c r="C168" s="1" t="inlineStr">
        <is>
          <t>2026</t>
        </is>
      </c>
      <c r="D168" s="1" t="inlineStr">
        <is>
          <t>TUNON_LYO</t>
        </is>
      </c>
      <c r="E168" s="1" t="inlineStr">
        <is>
          <t>TUNON</t>
        </is>
      </c>
      <c r="F168" s="1" t="inlineStr">
        <is>
          <t>BAC_TOU</t>
        </is>
      </c>
      <c r="G168" s="1" t="inlineStr">
        <is>
          <t>B2</t>
        </is>
      </c>
      <c r="H168" s="1" t="inlineStr">
        <is>
          <t>ALT</t>
        </is>
      </c>
      <c r="I168" s="1" t="n">
        <v>39</v>
      </c>
      <c r="J168" s="1" t="n">
        <v>2</v>
      </c>
      <c r="K168" s="1" t="n">
        <v>286650</v>
      </c>
      <c r="L168" s="1" t="n">
        <v>24146</v>
      </c>
      <c r="M168" s="1" t="n">
        <v>55788</v>
      </c>
      <c r="N168" s="1" t="n">
        <v>14511.666666667</v>
      </c>
      <c r="O168" s="1" t="n">
        <v>112537</v>
      </c>
      <c r="P168" s="1" t="n">
        <v>47196.731346872</v>
      </c>
      <c r="Q168" s="1" t="n">
        <v>38657.666666667</v>
      </c>
      <c r="R168" s="1" t="n">
        <v>215521.731346872</v>
      </c>
      <c r="S168" s="1" t="n">
        <v>254179.398013539</v>
      </c>
      <c r="T168" s="1" t="n">
        <v>32470.601986461</v>
      </c>
      <c r="V168" s="25">
        <f>_CALC_ALLOC!AI168</f>
        <v/>
      </c>
      <c r="W168" s="25">
        <f>_CALC_ALLOC!AJ168</f>
        <v/>
      </c>
      <c r="X168" s="25">
        <f>_CALC_ALLOC!AK168</f>
        <v/>
      </c>
      <c r="Y168" s="25">
        <f>_CALC_ALLOC!AL168</f>
        <v/>
      </c>
      <c r="Z168" s="25">
        <f>_CALC_ALLOC!AM168</f>
        <v/>
      </c>
      <c r="AA168" s="25">
        <f>_CALC_ALLOC!AN168</f>
        <v/>
      </c>
      <c r="AB168" s="25">
        <f>AA168-T168</f>
        <v/>
      </c>
    </row>
    <row r="169">
      <c r="A169" s="1" t="inlineStr">
        <is>
          <t>2027BUD_V1</t>
        </is>
      </c>
      <c r="B169" s="1" t="inlineStr">
        <is>
          <t>12</t>
        </is>
      </c>
      <c r="C169" s="1" t="inlineStr">
        <is>
          <t>2026</t>
        </is>
      </c>
      <c r="D169" s="1" t="inlineStr">
        <is>
          <t>TUNON_LYO</t>
        </is>
      </c>
      <c r="E169" s="1" t="inlineStr">
        <is>
          <t>TUNON</t>
        </is>
      </c>
      <c r="F169" s="1" t="inlineStr">
        <is>
          <t>BAC_TOU</t>
        </is>
      </c>
      <c r="G169" s="1" t="inlineStr">
        <is>
          <t>B3</t>
        </is>
      </c>
      <c r="H169" s="1" t="inlineStr">
        <is>
          <t>ALT</t>
        </is>
      </c>
      <c r="I169" s="1" t="n">
        <v>38</v>
      </c>
      <c r="J169" s="1" t="n">
        <v>2</v>
      </c>
      <c r="K169" s="1" t="n">
        <v>279300</v>
      </c>
      <c r="L169" s="1" t="n">
        <v>24146</v>
      </c>
      <c r="M169" s="1" t="n">
        <v>55788</v>
      </c>
      <c r="N169" s="1" t="n">
        <v>14139.572649573</v>
      </c>
      <c r="O169" s="1" t="n">
        <v>112537</v>
      </c>
      <c r="P169" s="1" t="n">
        <v>47196.731346872</v>
      </c>
      <c r="Q169" s="1" t="n">
        <v>38285.572649573</v>
      </c>
      <c r="R169" s="1" t="n">
        <v>215521.731346872</v>
      </c>
      <c r="S169" s="1" t="n">
        <v>253807.303996445</v>
      </c>
      <c r="T169" s="1" t="n">
        <v>25492.696003555</v>
      </c>
      <c r="V169" s="25">
        <f>_CALC_ALLOC!AI169</f>
        <v/>
      </c>
      <c r="W169" s="25">
        <f>_CALC_ALLOC!AJ169</f>
        <v/>
      </c>
      <c r="X169" s="25">
        <f>_CALC_ALLOC!AK169</f>
        <v/>
      </c>
      <c r="Y169" s="25">
        <f>_CALC_ALLOC!AL169</f>
        <v/>
      </c>
      <c r="Z169" s="25">
        <f>_CALC_ALLOC!AM169</f>
        <v/>
      </c>
      <c r="AA169" s="25">
        <f>_CALC_ALLOC!AN169</f>
        <v/>
      </c>
      <c r="AB169" s="25">
        <f>AA169-T169</f>
        <v/>
      </c>
    </row>
    <row r="170">
      <c r="A170" s="1" t="inlineStr">
        <is>
          <t>2027BUD_V1</t>
        </is>
      </c>
      <c r="B170" s="1" t="inlineStr">
        <is>
          <t>12</t>
        </is>
      </c>
      <c r="C170" s="1" t="inlineStr">
        <is>
          <t>2025</t>
        </is>
      </c>
      <c r="D170" s="1" t="inlineStr">
        <is>
          <t>TUNON_LYO</t>
        </is>
      </c>
      <c r="E170" s="1" t="inlineStr">
        <is>
          <t>TUNON</t>
        </is>
      </c>
      <c r="F170" s="1" t="inlineStr">
        <is>
          <t>BAC_TOU</t>
        </is>
      </c>
      <c r="G170" s="1" t="inlineStr">
        <is>
          <t>B1</t>
        </is>
      </c>
      <c r="H170" s="1" t="inlineStr">
        <is>
          <t>ALT</t>
        </is>
      </c>
      <c r="I170" s="1" t="n">
        <v>38</v>
      </c>
      <c r="J170" s="1" t="n">
        <v>2</v>
      </c>
      <c r="K170" s="1" t="n">
        <v>282720</v>
      </c>
      <c r="L170" s="1" t="n">
        <v>23045.666666667</v>
      </c>
      <c r="M170" s="1" t="n">
        <v>53246.666666667</v>
      </c>
      <c r="N170" s="1" t="n">
        <v>31361.009009009</v>
      </c>
      <c r="O170" s="1" t="n">
        <v>107410</v>
      </c>
      <c r="P170" s="1" t="n">
        <v>44480.583353847</v>
      </c>
      <c r="Q170" s="1" t="n">
        <v>54406.675675676</v>
      </c>
      <c r="R170" s="1" t="n">
        <v>205137.250020513</v>
      </c>
      <c r="S170" s="1" t="n">
        <v>259543.925696189</v>
      </c>
      <c r="T170" s="1" t="n">
        <v>23176.074303811</v>
      </c>
      <c r="V170" s="25">
        <f>_CALC_ALLOC!AI170</f>
        <v/>
      </c>
      <c r="W170" s="25">
        <f>_CALC_ALLOC!AJ170</f>
        <v/>
      </c>
      <c r="X170" s="25">
        <f>_CALC_ALLOC!AK170</f>
        <v/>
      </c>
      <c r="Y170" s="25">
        <f>_CALC_ALLOC!AL170</f>
        <v/>
      </c>
      <c r="Z170" s="25">
        <f>_CALC_ALLOC!AM170</f>
        <v/>
      </c>
      <c r="AA170" s="25">
        <f>_CALC_ALLOC!AN170</f>
        <v/>
      </c>
      <c r="AB170" s="25">
        <f>AA170-T170</f>
        <v/>
      </c>
    </row>
    <row r="171">
      <c r="A171" s="1" t="inlineStr">
        <is>
          <t>2027BUD_V1</t>
        </is>
      </c>
      <c r="B171" s="1" t="inlineStr">
        <is>
          <t>12</t>
        </is>
      </c>
      <c r="C171" s="1" t="inlineStr">
        <is>
          <t>2025</t>
        </is>
      </c>
      <c r="D171" s="1" t="inlineStr">
        <is>
          <t>TUNON_LYO</t>
        </is>
      </c>
      <c r="E171" s="1" t="inlineStr">
        <is>
          <t>TUNON</t>
        </is>
      </c>
      <c r="F171" s="1" t="inlineStr">
        <is>
          <t>BAC_TOU</t>
        </is>
      </c>
      <c r="G171" s="1" t="inlineStr">
        <is>
          <t>B2</t>
        </is>
      </c>
      <c r="H171" s="1" t="inlineStr">
        <is>
          <t>ALT</t>
        </is>
      </c>
      <c r="I171" s="1" t="n">
        <v>37</v>
      </c>
      <c r="J171" s="1" t="n">
        <v>2</v>
      </c>
      <c r="K171" s="1" t="n">
        <v>271950</v>
      </c>
      <c r="L171" s="1" t="n">
        <v>23045.666666667</v>
      </c>
      <c r="M171" s="1" t="n">
        <v>53246.666666667</v>
      </c>
      <c r="N171" s="1" t="n">
        <v>13850.666666667</v>
      </c>
      <c r="O171" s="1" t="n">
        <v>107410</v>
      </c>
      <c r="P171" s="1" t="n">
        <v>44480.583353847</v>
      </c>
      <c r="Q171" s="1" t="n">
        <v>36896.333333333</v>
      </c>
      <c r="R171" s="1" t="n">
        <v>205137.250020513</v>
      </c>
      <c r="S171" s="1" t="n">
        <v>242033.583353847</v>
      </c>
      <c r="T171" s="1" t="n">
        <v>29916.416646153</v>
      </c>
      <c r="V171" s="25">
        <f>_CALC_ALLOC!AI171</f>
        <v/>
      </c>
      <c r="W171" s="25">
        <f>_CALC_ALLOC!AJ171</f>
        <v/>
      </c>
      <c r="X171" s="25">
        <f>_CALC_ALLOC!AK171</f>
        <v/>
      </c>
      <c r="Y171" s="25">
        <f>_CALC_ALLOC!AL171</f>
        <v/>
      </c>
      <c r="Z171" s="25">
        <f>_CALC_ALLOC!AM171</f>
        <v/>
      </c>
      <c r="AA171" s="25">
        <f>_CALC_ALLOC!AN171</f>
        <v/>
      </c>
      <c r="AB171" s="25">
        <f>AA171-T171</f>
        <v/>
      </c>
    </row>
    <row r="172">
      <c r="A172" s="1" t="inlineStr">
        <is>
          <t>2027BUD_V1</t>
        </is>
      </c>
      <c r="B172" s="1" t="inlineStr">
        <is>
          <t>12</t>
        </is>
      </c>
      <c r="C172" s="1" t="inlineStr">
        <is>
          <t>2025</t>
        </is>
      </c>
      <c r="D172" s="1" t="inlineStr">
        <is>
          <t>TUNON_LYO</t>
        </is>
      </c>
      <c r="E172" s="1" t="inlineStr">
        <is>
          <t>TUNON</t>
        </is>
      </c>
      <c r="F172" s="1" t="inlineStr">
        <is>
          <t>BAC_TOU</t>
        </is>
      </c>
      <c r="G172" s="1" t="inlineStr">
        <is>
          <t>B3</t>
        </is>
      </c>
      <c r="H172" s="1" t="inlineStr">
        <is>
          <t>ALT</t>
        </is>
      </c>
      <c r="I172" s="1" t="n">
        <v>36</v>
      </c>
      <c r="J172" s="1" t="n">
        <v>2</v>
      </c>
      <c r="K172" s="1" t="n">
        <v>264600</v>
      </c>
      <c r="L172" s="1" t="n">
        <v>23045.666666667</v>
      </c>
      <c r="M172" s="1" t="n">
        <v>53246.666666667</v>
      </c>
      <c r="N172" s="1" t="n">
        <v>13476.324324324</v>
      </c>
      <c r="O172" s="1" t="n">
        <v>107410</v>
      </c>
      <c r="P172" s="1" t="n">
        <v>44480.583353847</v>
      </c>
      <c r="Q172" s="1" t="n">
        <v>36521.990990991</v>
      </c>
      <c r="R172" s="1" t="n">
        <v>205137.250020513</v>
      </c>
      <c r="S172" s="1" t="n">
        <v>241659.241011504</v>
      </c>
      <c r="T172" s="1" t="n">
        <v>22940.758988496</v>
      </c>
      <c r="V172" s="25">
        <f>_CALC_ALLOC!AI172</f>
        <v/>
      </c>
      <c r="W172" s="25">
        <f>_CALC_ALLOC!AJ172</f>
        <v/>
      </c>
      <c r="X172" s="25">
        <f>_CALC_ALLOC!AK172</f>
        <v/>
      </c>
      <c r="Y172" s="25">
        <f>_CALC_ALLOC!AL172</f>
        <v/>
      </c>
      <c r="Z172" s="25">
        <f>_CALC_ALLOC!AM172</f>
        <v/>
      </c>
      <c r="AA172" s="25">
        <f>_CALC_ALLOC!AN172</f>
        <v/>
      </c>
      <c r="AB172" s="25">
        <f>AA172-T172</f>
        <v/>
      </c>
    </row>
    <row r="173">
      <c r="A173" s="1" t="inlineStr">
        <is>
          <t>2027BUD_V1</t>
        </is>
      </c>
      <c r="B173" s="1" t="inlineStr">
        <is>
          <t>12</t>
        </is>
      </c>
      <c r="C173" s="1" t="inlineStr">
        <is>
          <t>2024</t>
        </is>
      </c>
      <c r="D173" s="1" t="inlineStr">
        <is>
          <t>TUNON_LYO</t>
        </is>
      </c>
      <c r="E173" s="1" t="inlineStr">
        <is>
          <t>TUNON</t>
        </is>
      </c>
      <c r="F173" s="1" t="inlineStr">
        <is>
          <t>BAC_TOU</t>
        </is>
      </c>
      <c r="G173" s="1" t="inlineStr">
        <is>
          <t>B1</t>
        </is>
      </c>
      <c r="H173" s="1" t="inlineStr">
        <is>
          <t>ALT</t>
        </is>
      </c>
      <c r="I173" s="1" t="n">
        <v>36</v>
      </c>
      <c r="J173" s="1" t="n">
        <v>2</v>
      </c>
      <c r="K173" s="1" t="n">
        <v>267840</v>
      </c>
      <c r="L173" s="1" t="n">
        <v>22036</v>
      </c>
      <c r="M173" s="1" t="n">
        <v>50913.666666667</v>
      </c>
      <c r="N173" s="1" t="n">
        <v>29200.057142857</v>
      </c>
      <c r="O173" s="1" t="n">
        <v>102704</v>
      </c>
      <c r="P173" s="1" t="n">
        <v>41838.749349998</v>
      </c>
      <c r="Q173" s="1" t="n">
        <v>51236.057142857</v>
      </c>
      <c r="R173" s="1" t="n">
        <v>195456.416016665</v>
      </c>
      <c r="S173" s="1" t="n">
        <v>246692.473159522</v>
      </c>
      <c r="T173" s="1" t="n">
        <v>21147.526840478</v>
      </c>
      <c r="V173" s="25">
        <f>_CALC_ALLOC!AI173</f>
        <v/>
      </c>
      <c r="W173" s="25">
        <f>_CALC_ALLOC!AJ173</f>
        <v/>
      </c>
      <c r="X173" s="25">
        <f>_CALC_ALLOC!AK173</f>
        <v/>
      </c>
      <c r="Y173" s="25">
        <f>_CALC_ALLOC!AL173</f>
        <v/>
      </c>
      <c r="Z173" s="25">
        <f>_CALC_ALLOC!AM173</f>
        <v/>
      </c>
      <c r="AA173" s="25">
        <f>_CALC_ALLOC!AN173</f>
        <v/>
      </c>
      <c r="AB173" s="25">
        <f>AA173-T173</f>
        <v/>
      </c>
    </row>
    <row r="174">
      <c r="A174" s="1" t="inlineStr">
        <is>
          <t>2027BUD_V1</t>
        </is>
      </c>
      <c r="B174" s="1" t="inlineStr">
        <is>
          <t>12</t>
        </is>
      </c>
      <c r="C174" s="1" t="inlineStr">
        <is>
          <t>2024</t>
        </is>
      </c>
      <c r="D174" s="1" t="inlineStr">
        <is>
          <t>TUNON_LYO</t>
        </is>
      </c>
      <c r="E174" s="1" t="inlineStr">
        <is>
          <t>TUNON</t>
        </is>
      </c>
      <c r="F174" s="1" t="inlineStr">
        <is>
          <t>BAC_TOU</t>
        </is>
      </c>
      <c r="G174" s="1" t="inlineStr">
        <is>
          <t>B2</t>
        </is>
      </c>
      <c r="H174" s="1" t="inlineStr">
        <is>
          <t>ALT</t>
        </is>
      </c>
      <c r="I174" s="1" t="n">
        <v>35</v>
      </c>
      <c r="J174" s="1" t="n">
        <v>2</v>
      </c>
      <c r="K174" s="1" t="n">
        <v>257250</v>
      </c>
      <c r="L174" s="1" t="n">
        <v>22036</v>
      </c>
      <c r="M174" s="1" t="n">
        <v>50913.666666667</v>
      </c>
      <c r="N174" s="1" t="n">
        <v>13243.666666667</v>
      </c>
      <c r="O174" s="1" t="n">
        <v>102704</v>
      </c>
      <c r="P174" s="1" t="n">
        <v>41838.749349998</v>
      </c>
      <c r="Q174" s="1" t="n">
        <v>35279.666666667</v>
      </c>
      <c r="R174" s="1" t="n">
        <v>195456.416016665</v>
      </c>
      <c r="S174" s="1" t="n">
        <v>230736.082683331</v>
      </c>
      <c r="T174" s="1" t="n">
        <v>26513.917316669</v>
      </c>
      <c r="V174" s="25">
        <f>_CALC_ALLOC!AI174</f>
        <v/>
      </c>
      <c r="W174" s="25">
        <f>_CALC_ALLOC!AJ174</f>
        <v/>
      </c>
      <c r="X174" s="25">
        <f>_CALC_ALLOC!AK174</f>
        <v/>
      </c>
      <c r="Y174" s="25">
        <f>_CALC_ALLOC!AL174</f>
        <v/>
      </c>
      <c r="Z174" s="25">
        <f>_CALC_ALLOC!AM174</f>
        <v/>
      </c>
      <c r="AA174" s="25">
        <f>_CALC_ALLOC!AN174</f>
        <v/>
      </c>
      <c r="AB174" s="25">
        <f>AA174-T174</f>
        <v/>
      </c>
    </row>
    <row r="175">
      <c r="A175" s="1" t="inlineStr">
        <is>
          <t>2027BUD_V1</t>
        </is>
      </c>
      <c r="B175" s="1" t="inlineStr">
        <is>
          <t>12</t>
        </is>
      </c>
      <c r="C175" s="1" t="inlineStr">
        <is>
          <t>2024</t>
        </is>
      </c>
      <c r="D175" s="1" t="inlineStr">
        <is>
          <t>TUNON_LYO</t>
        </is>
      </c>
      <c r="E175" s="1" t="inlineStr">
        <is>
          <t>TUNON</t>
        </is>
      </c>
      <c r="F175" s="1" t="inlineStr">
        <is>
          <t>BAC_TOU</t>
        </is>
      </c>
      <c r="G175" s="1" t="inlineStr">
        <is>
          <t>B3</t>
        </is>
      </c>
      <c r="H175" s="1" t="inlineStr">
        <is>
          <t>ALT</t>
        </is>
      </c>
      <c r="I175" t="n">
        <v>34</v>
      </c>
      <c r="J175" t="n">
        <v>2</v>
      </c>
      <c r="K175" t="n">
        <v>249900</v>
      </c>
      <c r="L175" t="n">
        <v>22036</v>
      </c>
      <c r="M175" t="n">
        <v>50913.666666667</v>
      </c>
      <c r="N175" t="n">
        <v>12865.276190476</v>
      </c>
      <c r="O175" t="n">
        <v>102704</v>
      </c>
      <c r="P175" t="n">
        <v>41838.749349998</v>
      </c>
      <c r="Q175" t="n">
        <v>34901.276190476</v>
      </c>
      <c r="R175" t="n">
        <v>195456.416016665</v>
      </c>
      <c r="S175" t="n">
        <v>230357.692207141</v>
      </c>
      <c r="T175" t="n">
        <v>19542.307792859</v>
      </c>
      <c r="V175" s="25">
        <f>_CALC_ALLOC!AI175</f>
        <v/>
      </c>
      <c r="W175" s="25">
        <f>_CALC_ALLOC!AJ175</f>
        <v/>
      </c>
      <c r="X175" s="25">
        <f>_CALC_ALLOC!AK175</f>
        <v/>
      </c>
      <c r="Y175" s="25">
        <f>_CALC_ALLOC!AL175</f>
        <v/>
      </c>
      <c r="Z175" s="25">
        <f>_CALC_ALLOC!AM175</f>
        <v/>
      </c>
      <c r="AA175" s="25">
        <f>_CALC_ALLOC!AN175</f>
        <v/>
      </c>
      <c r="AB175" s="25">
        <f>AA175-T175</f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selection activeCell="A2" sqref="A2"/>
    </sheetView>
  </sheetViews>
  <sheetFormatPr baseColWidth="10" defaultRowHeight="14.25"/>
  <sheetData>
    <row r="1">
      <c r="A1" s="1" t="inlineStr">
        <is>
          <t>SCENARIO</t>
        </is>
      </c>
      <c r="B1" s="1" t="inlineStr">
        <is>
          <t>PERIODE</t>
        </is>
      </c>
      <c r="C1" s="1" t="inlineStr">
        <is>
          <t>EXERCICE</t>
        </is>
      </c>
      <c r="D1" s="1" t="inlineStr">
        <is>
          <t>ENTITY</t>
        </is>
      </c>
      <c r="E1" s="1" t="inlineStr">
        <is>
          <t>MARQUE</t>
        </is>
      </c>
      <c r="F1" s="1" t="inlineStr">
        <is>
          <t>PROGRAMME</t>
        </is>
      </c>
      <c r="G1" s="1" t="inlineStr">
        <is>
          <t>AN_ETUDE</t>
        </is>
      </c>
      <c r="H1" s="1" t="inlineStr">
        <is>
          <t>MODALITE</t>
        </is>
      </c>
      <c r="I1" s="1" t="inlineStr">
        <is>
          <t>VOL_EFF</t>
        </is>
      </c>
      <c r="J1" s="1" t="inlineStr">
        <is>
          <t>VOL_CLASS</t>
        </is>
      </c>
      <c r="K1" s="1" t="inlineStr">
        <is>
          <t>CA</t>
        </is>
      </c>
      <c r="L1" s="1" t="inlineStr">
        <is>
          <t>COST_VAC</t>
        </is>
      </c>
      <c r="M1" s="1" t="inlineStr">
        <is>
          <t>COST_PERM</t>
        </is>
      </c>
      <c r="N1" s="1" t="inlineStr">
        <is>
          <t>COST_ODIR</t>
        </is>
      </c>
      <c r="O1" s="1" t="inlineStr">
        <is>
          <t>COST_STRUCT</t>
        </is>
      </c>
      <c r="P1" s="1" t="inlineStr">
        <is>
          <t>COST_SIEGE</t>
        </is>
      </c>
      <c r="Q1" s="1" t="inlineStr">
        <is>
          <t>COST_VARIABLE</t>
        </is>
      </c>
      <c r="R1" s="1" t="inlineStr">
        <is>
          <t>COST_STRUCTURE</t>
        </is>
      </c>
      <c r="S1" s="1" t="inlineStr">
        <is>
          <t>COST_COMPLET</t>
        </is>
      </c>
      <c r="T1" s="1" t="inlineStr">
        <is>
          <t>MARGE_COMPLETE</t>
        </is>
      </c>
    </row>
    <row r="2">
      <c r="A2" t="n">
        <v>1000</v>
      </c>
      <c r="B2" t="n">
        <v>1000</v>
      </c>
      <c r="C2" t="n">
        <v>1000</v>
      </c>
      <c r="D2" t="n">
        <v>1000</v>
      </c>
      <c r="E2" t="n">
        <v>1000</v>
      </c>
      <c r="F2" t="n">
        <v>1000</v>
      </c>
      <c r="G2" t="n">
        <v>1000</v>
      </c>
      <c r="H2" t="n">
        <v>1000</v>
      </c>
      <c r="I2" t="n">
        <v>1000</v>
      </c>
      <c r="J2" t="n">
        <v>1000</v>
      </c>
      <c r="K2" t="n">
        <v>1000</v>
      </c>
      <c r="L2" t="n">
        <v>1000</v>
      </c>
      <c r="M2" t="n">
        <v>1000</v>
      </c>
      <c r="N2" t="n">
        <v>1000</v>
      </c>
      <c r="O2" t="n">
        <v>1000</v>
      </c>
      <c r="P2" t="n">
        <v>1000</v>
      </c>
      <c r="Q2" t="n">
        <v>1000</v>
      </c>
      <c r="R2" t="n">
        <v>1000</v>
      </c>
      <c r="S2" t="n">
        <v>1000</v>
      </c>
      <c r="T2" t="n">
        <v>1000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H175"/>
  <sheetViews>
    <sheetView workbookViewId="0">
      <selection activeCell="A1" sqref="A1"/>
    </sheetView>
  </sheetViews>
  <sheetFormatPr baseColWidth="8" defaultRowHeight="15"/>
  <sheetData>
    <row r="1">
      <c r="A1" s="28" t="inlineStr">
        <is>
          <t>KENT</t>
        </is>
      </c>
      <c r="B1" s="28" t="inlineStr">
        <is>
          <t>KVER</t>
        </is>
      </c>
      <c r="C1" s="28" t="inlineStr">
        <is>
          <t>KPROG</t>
        </is>
      </c>
      <c r="D1" s="28" t="inlineStr">
        <is>
          <t>KAN</t>
        </is>
      </c>
      <c r="E1" s="28" t="inlineStr">
        <is>
          <t>KMOD</t>
        </is>
      </c>
      <c r="F1" s="28" t="inlineStr">
        <is>
          <t>KMARQ</t>
        </is>
      </c>
      <c r="G1" s="28" t="inlineStr">
        <is>
          <t>VOL_LEAD</t>
        </is>
      </c>
      <c r="H1" s="28" t="inlineStr">
        <is>
          <t>VOL_EFF_INF</t>
        </is>
      </c>
      <c r="I1" s="28" t="inlineStr">
        <is>
          <t>REV_STUD</t>
        </is>
      </c>
      <c r="J1" s="28" t="inlineStr">
        <is>
          <t>RLC</t>
        </is>
      </c>
      <c r="K1" s="28" t="inlineStr">
        <is>
          <t>RCA</t>
        </is>
      </c>
      <c r="L1" s="28" t="inlineStr">
        <is>
          <t>YLD</t>
        </is>
      </c>
      <c r="M1" s="28" t="inlineStr">
        <is>
          <t>PASSAGE</t>
        </is>
      </c>
      <c r="N1" s="28" t="inlineStr">
        <is>
          <t>IS_ENTRY</t>
        </is>
      </c>
      <c r="O1" s="28" t="inlineStr">
        <is>
          <t>ORG_REF</t>
        </is>
      </c>
      <c r="P1" s="28" t="inlineStr">
        <is>
          <t>PAID_REF</t>
        </is>
      </c>
      <c r="Q1" s="28" t="inlineStr">
        <is>
          <t>LEAD_REF</t>
        </is>
      </c>
      <c r="R1" s="28" t="inlineStr">
        <is>
          <t>REND_ACQ</t>
        </is>
      </c>
      <c r="S1" s="28" t="inlineStr">
        <is>
          <t>REND_BRAND</t>
        </is>
      </c>
      <c r="T1" s="28" t="inlineStr">
        <is>
          <t>REJOUE</t>
        </is>
      </c>
      <c r="U1" s="28" t="inlineStr">
        <is>
          <t>BUD_REF</t>
        </is>
      </c>
      <c r="V1" s="28" t="inlineStr">
        <is>
          <t>ACQ</t>
        </is>
      </c>
      <c r="W1" s="28" t="inlineStr">
        <is>
          <t>BRAND</t>
        </is>
      </c>
      <c r="X1" s="28" t="inlineStr">
        <is>
          <t>PRICE</t>
        </is>
      </c>
      <c r="Y1" s="28" t="inlineStr">
        <is>
          <t>GLC</t>
        </is>
      </c>
      <c r="Z1" s="28" t="inlineStr">
        <is>
          <t>GCV</t>
        </is>
      </c>
      <c r="AA1" s="28" t="inlineStr">
        <is>
          <t>PASS</t>
        </is>
      </c>
      <c r="AB1" s="28" t="inlineStr">
        <is>
          <t>FEE</t>
        </is>
      </c>
      <c r="AC1" s="28" t="inlineStr">
        <is>
          <t>PRICE_COEF</t>
        </is>
      </c>
      <c r="AD1" s="28" t="inlineStr">
        <is>
          <t>NOUV_CALC</t>
        </is>
      </c>
      <c r="AE1" s="28" t="inlineStr">
        <is>
          <t>NOUVEAUX</t>
        </is>
      </c>
      <c r="AF1" s="28" t="inlineStr">
        <is>
          <t>EFFECTIF</t>
        </is>
      </c>
      <c r="AG1" s="28" t="inlineStr">
        <is>
          <t>PRIX</t>
        </is>
      </c>
      <c r="AH1" s="28" t="inlineStr">
        <is>
          <t>CA</t>
        </is>
      </c>
    </row>
    <row r="2">
      <c r="A2">
        <f>Moteur!D2</f>
        <v/>
      </c>
      <c r="B2">
        <f>Moteur!B2</f>
        <v/>
      </c>
      <c r="C2">
        <f>Moteur!F2</f>
        <v/>
      </c>
      <c r="D2">
        <f>Moteur!G2</f>
        <v/>
      </c>
      <c r="E2">
        <f>Moteur!H2</f>
        <v/>
      </c>
      <c r="F2">
        <f>Moteur!E2</f>
        <v/>
      </c>
      <c r="G2">
        <f>SUMIFS(Socle!$H$2:$H$175,Socle!$C$2:$C$175,A2,Socle!$D$2:$D$175,C2,Socle!$E$2:$E$175,D2,Socle!$F$2:$F$175,E2,Socle!$G$2:$G$175,"2026")</f>
        <v/>
      </c>
      <c r="H2">
        <f>SUMIFS(Socle!$N$2:$N$175,Socle!$C$2:$C$175,A2,Socle!$D$2:$D$175,C2,Socle!$E$2:$E$175,D2,Socle!$F$2:$F$175,E2,Socle!$G$2:$G$175,"2026")</f>
        <v/>
      </c>
      <c r="I2">
        <f>SUMIFS(Socle!$P$2:$P$175,Socle!$C$2:$C$175,A2,Socle!$D$2:$D$175,C2,Socle!$E$2:$E$175,D2,Socle!$F$2:$F$175,E2,Socle!$G$2:$G$175,"2026")</f>
        <v/>
      </c>
      <c r="J2">
        <f>SUMIFS(Socle!$W$2:$W$175,Socle!$C$2:$C$175,A2,Socle!$D$2:$D$175,C2,Socle!$E$2:$E$175,D2,Socle!$F$2:$F$175,E2,Socle!$G$2:$G$175,"2026")</f>
        <v/>
      </c>
      <c r="K2">
        <f>SUMIFS(Socle!$X$2:$X$175,Socle!$C$2:$C$175,A2,Socle!$D$2:$D$175,C2,Socle!$E$2:$E$175,D2,Socle!$F$2:$F$175,E2,Socle!$G$2:$G$175,"2026")</f>
        <v/>
      </c>
      <c r="L2">
        <f>SUMIFS(Socle!$Y$2:$Y$175,Socle!$C$2:$C$175,A2,Socle!$D$2:$D$175,C2,Socle!$E$2:$E$175,D2,Socle!$F$2:$F$175,E2,Socle!$G$2:$G$175,"2026")</f>
        <v/>
      </c>
      <c r="M2">
        <f>SUMIFS(Socle!$V$2:$V$175,Socle!$C$2:$C$175,A2,Socle!$D$2:$D$175,C2,Socle!$E$2:$E$175,D2,Socle!$F$2:$F$175,E2,Socle!$G$2:$G$175,"2026")</f>
        <v/>
      </c>
      <c r="N2">
        <f>IF(OR(D2="B1",D2="M1",D2="BTS1"),1,0)</f>
        <v/>
      </c>
      <c r="O2">
        <f>SUMIFS(Campagne!$D$2:$D$15,Campagne!$C$2:$C$15,A2)</f>
        <v/>
      </c>
      <c r="P2">
        <f>SUMIFS(Campagne!$E$2:$E$15,Campagne!$C$2:$C$15,A2)</f>
        <v/>
      </c>
      <c r="Q2">
        <f>SUMIFS(Campagne!$F$2:$F$15,Campagne!$C$2:$C$15,A2)</f>
        <v/>
      </c>
      <c r="R2">
        <f>SUMIFS(Campagne!$K$2:$K$15,Campagne!$C$2:$C$15,A2)</f>
        <v/>
      </c>
      <c r="S2">
        <f>SUMIFS(Campagne!$M$2:$M$15,Campagne!$C$2:$C$15,A2)</f>
        <v/>
      </c>
      <c r="T2">
        <f>SUMIFS(Pilotage!$Q$13:$Q$26,Pilotage!$F$13:$F$26,A2)</f>
        <v/>
      </c>
      <c r="U2">
        <f>SUMIFS(Pilotage!$N$13:$N$26,Pilotage!$F$13:$F$26,A2)</f>
        <v/>
      </c>
      <c r="V2">
        <f>IF(B2="V01",cad!$I$21,IF(B2="V02",cad!$J$21,cad!$K$21))</f>
        <v/>
      </c>
      <c r="W2">
        <f>IF(B2="V01",cad!$I$22,IF(B2="V02",cad!$J$22,cad!$K$22))</f>
        <v/>
      </c>
      <c r="X2">
        <f>IF(B2="V01",cad!$I$23,IF(B2="V02",cad!$J$23,cad!$K$23))</f>
        <v/>
      </c>
      <c r="Y2">
        <f>IF(B2="V01",cad!$I$24,IF(B2="V02",cad!$J$24,cad!$K$24))</f>
        <v/>
      </c>
      <c r="Z2">
        <f>IF(B2="V01",cad!$I$25,IF(B2="V02",cad!$J$25,cad!$K$25))</f>
        <v/>
      </c>
      <c r="AA2">
        <f>IF(B2="V01",cad!$I$26,IF(B2="V02",cad!$J$26,cad!$K$26))</f>
        <v/>
      </c>
      <c r="AB2">
        <f>IF(B2="V01",cad!$I$37,IF(B2="V02",cad!$J$37,cad!$K$37))</f>
        <v/>
      </c>
      <c r="AC2">
        <f>IF(F2="MBWAY",cad!$I$9,IF(F2="ISCOM",cad!$I$10,IF(F2="IPAC",cad!$I$11,IF(F2="PIGIER",cad!$I$12,cad!$I$13))))</f>
        <v/>
      </c>
      <c r="AD2">
        <f>(O2*(1+W2)^S2+P2*((T2/U2)*(1+V2))^R2)*IFERROR(G2/Q2,0)*(J2+Y2)*K2*(L2+Z2)</f>
        <v/>
      </c>
      <c r="AE2">
        <f>IF(N2=1,AD2,0)</f>
        <v/>
      </c>
      <c r="AF2">
        <f>IF(N2=1,AD2,H2*(M2+AA2))</f>
        <v/>
      </c>
      <c r="AG2">
        <f>I2*(1+X2*AC2)</f>
        <v/>
      </c>
      <c r="AH2">
        <f>AF2*AG2+AE2*AB2</f>
        <v/>
      </c>
    </row>
    <row r="3">
      <c r="A3">
        <f>Moteur!D3</f>
        <v/>
      </c>
      <c r="B3">
        <f>Moteur!B3</f>
        <v/>
      </c>
      <c r="C3">
        <f>Moteur!F3</f>
        <v/>
      </c>
      <c r="D3">
        <f>Moteur!G3</f>
        <v/>
      </c>
      <c r="E3">
        <f>Moteur!H3</f>
        <v/>
      </c>
      <c r="F3">
        <f>Moteur!E3</f>
        <v/>
      </c>
      <c r="G3">
        <f>SUMIFS(Socle!$H$2:$H$175,Socle!$C$2:$C$175,A3,Socle!$D$2:$D$175,C3,Socle!$E$2:$E$175,D3,Socle!$F$2:$F$175,E3,Socle!$G$2:$G$175,"2026")</f>
        <v/>
      </c>
      <c r="H3">
        <f>SUMIFS(Socle!$N$2:$N$175,Socle!$C$2:$C$175,A3,Socle!$D$2:$D$175,C3,Socle!$E$2:$E$175,D3,Socle!$F$2:$F$175,E3,Socle!$G$2:$G$175,"2026")</f>
        <v/>
      </c>
      <c r="I3">
        <f>SUMIFS(Socle!$P$2:$P$175,Socle!$C$2:$C$175,A3,Socle!$D$2:$D$175,C3,Socle!$E$2:$E$175,D3,Socle!$F$2:$F$175,E3,Socle!$G$2:$G$175,"2026")</f>
        <v/>
      </c>
      <c r="J3">
        <f>SUMIFS(Socle!$W$2:$W$175,Socle!$C$2:$C$175,A3,Socle!$D$2:$D$175,C3,Socle!$E$2:$E$175,D3,Socle!$F$2:$F$175,E3,Socle!$G$2:$G$175,"2026")</f>
        <v/>
      </c>
      <c r="K3">
        <f>SUMIFS(Socle!$X$2:$X$175,Socle!$C$2:$C$175,A3,Socle!$D$2:$D$175,C3,Socle!$E$2:$E$175,D3,Socle!$F$2:$F$175,E3,Socle!$G$2:$G$175,"2026")</f>
        <v/>
      </c>
      <c r="L3">
        <f>SUMIFS(Socle!$Y$2:$Y$175,Socle!$C$2:$C$175,A3,Socle!$D$2:$D$175,C3,Socle!$E$2:$E$175,D3,Socle!$F$2:$F$175,E3,Socle!$G$2:$G$175,"2026")</f>
        <v/>
      </c>
      <c r="M3">
        <f>SUMIFS(Socle!$V$2:$V$175,Socle!$C$2:$C$175,A3,Socle!$D$2:$D$175,C3,Socle!$E$2:$E$175,D3,Socle!$F$2:$F$175,E3,Socle!$G$2:$G$175,"2026")</f>
        <v/>
      </c>
      <c r="N3">
        <f>IF(OR(D3="B1",D3="M1",D3="BTS1"),1,0)</f>
        <v/>
      </c>
      <c r="O3">
        <f>SUMIFS(Campagne!$D$2:$D$15,Campagne!$C$2:$C$15,A3)</f>
        <v/>
      </c>
      <c r="P3">
        <f>SUMIFS(Campagne!$E$2:$E$15,Campagne!$C$2:$C$15,A3)</f>
        <v/>
      </c>
      <c r="Q3">
        <f>SUMIFS(Campagne!$F$2:$F$15,Campagne!$C$2:$C$15,A3)</f>
        <v/>
      </c>
      <c r="R3">
        <f>SUMIFS(Campagne!$K$2:$K$15,Campagne!$C$2:$C$15,A3)</f>
        <v/>
      </c>
      <c r="S3">
        <f>SUMIFS(Campagne!$M$2:$M$15,Campagne!$C$2:$C$15,A3)</f>
        <v/>
      </c>
      <c r="T3">
        <f>SUMIFS(Pilotage!$Q$13:$Q$26,Pilotage!$F$13:$F$26,A3)</f>
        <v/>
      </c>
      <c r="U3">
        <f>SUMIFS(Pilotage!$N$13:$N$26,Pilotage!$F$13:$F$26,A3)</f>
        <v/>
      </c>
      <c r="V3">
        <f>IF(B3="V01",cad!$I$21,IF(B3="V02",cad!$J$21,cad!$K$21))</f>
        <v/>
      </c>
      <c r="W3">
        <f>IF(B3="V01",cad!$I$22,IF(B3="V02",cad!$J$22,cad!$K$22))</f>
        <v/>
      </c>
      <c r="X3">
        <f>IF(B3="V01",cad!$I$23,IF(B3="V02",cad!$J$23,cad!$K$23))</f>
        <v/>
      </c>
      <c r="Y3">
        <f>IF(B3="V01",cad!$I$24,IF(B3="V02",cad!$J$24,cad!$K$24))</f>
        <v/>
      </c>
      <c r="Z3">
        <f>IF(B3="V01",cad!$I$25,IF(B3="V02",cad!$J$25,cad!$K$25))</f>
        <v/>
      </c>
      <c r="AA3">
        <f>IF(B3="V01",cad!$I$26,IF(B3="V02",cad!$J$26,cad!$K$26))</f>
        <v/>
      </c>
      <c r="AB3">
        <f>IF(B3="V01",cad!$I$37,IF(B3="V02",cad!$J$37,cad!$K$37))</f>
        <v/>
      </c>
      <c r="AC3">
        <f>IF(F3="MBWAY",cad!$I$9,IF(F3="ISCOM",cad!$I$10,IF(F3="IPAC",cad!$I$11,IF(F3="PIGIER",cad!$I$12,cad!$I$13))))</f>
        <v/>
      </c>
      <c r="AD3">
        <f>(O3*(1+W3)^S3+P3*((T3/U3)*(1+V3))^R3)*IFERROR(G3/Q3,0)*(J3+Y3)*K3*(L3+Z3)</f>
        <v/>
      </c>
      <c r="AE3">
        <f>IF(N3=1,AD3,0)</f>
        <v/>
      </c>
      <c r="AF3">
        <f>IF(N3=1,AD3,H3*(M3+AA3))</f>
        <v/>
      </c>
      <c r="AG3">
        <f>I3*(1+X3*AC3)</f>
        <v/>
      </c>
      <c r="AH3">
        <f>AF3*AG3+AE3*AB3</f>
        <v/>
      </c>
    </row>
    <row r="4">
      <c r="A4">
        <f>Moteur!D4</f>
        <v/>
      </c>
      <c r="B4">
        <f>Moteur!B4</f>
        <v/>
      </c>
      <c r="C4">
        <f>Moteur!F4</f>
        <v/>
      </c>
      <c r="D4">
        <f>Moteur!G4</f>
        <v/>
      </c>
      <c r="E4">
        <f>Moteur!H4</f>
        <v/>
      </c>
      <c r="F4">
        <f>Moteur!E4</f>
        <v/>
      </c>
      <c r="G4">
        <f>SUMIFS(Socle!$H$2:$H$175,Socle!$C$2:$C$175,A4,Socle!$D$2:$D$175,C4,Socle!$E$2:$E$175,D4,Socle!$F$2:$F$175,E4,Socle!$G$2:$G$175,"2026")</f>
        <v/>
      </c>
      <c r="H4">
        <f>SUMIFS(Socle!$N$2:$N$175,Socle!$C$2:$C$175,A4,Socle!$D$2:$D$175,C4,Socle!$E$2:$E$175,D4,Socle!$F$2:$F$175,E4,Socle!$G$2:$G$175,"2026")</f>
        <v/>
      </c>
      <c r="I4">
        <f>SUMIFS(Socle!$P$2:$P$175,Socle!$C$2:$C$175,A4,Socle!$D$2:$D$175,C4,Socle!$E$2:$E$175,D4,Socle!$F$2:$F$175,E4,Socle!$G$2:$G$175,"2026")</f>
        <v/>
      </c>
      <c r="J4">
        <f>SUMIFS(Socle!$W$2:$W$175,Socle!$C$2:$C$175,A4,Socle!$D$2:$D$175,C4,Socle!$E$2:$E$175,D4,Socle!$F$2:$F$175,E4,Socle!$G$2:$G$175,"2026")</f>
        <v/>
      </c>
      <c r="K4">
        <f>SUMIFS(Socle!$X$2:$X$175,Socle!$C$2:$C$175,A4,Socle!$D$2:$D$175,C4,Socle!$E$2:$E$175,D4,Socle!$F$2:$F$175,E4,Socle!$G$2:$G$175,"2026")</f>
        <v/>
      </c>
      <c r="L4">
        <f>SUMIFS(Socle!$Y$2:$Y$175,Socle!$C$2:$C$175,A4,Socle!$D$2:$D$175,C4,Socle!$E$2:$E$175,D4,Socle!$F$2:$F$175,E4,Socle!$G$2:$G$175,"2026")</f>
        <v/>
      </c>
      <c r="M4">
        <f>SUMIFS(Socle!$V$2:$V$175,Socle!$C$2:$C$175,A4,Socle!$D$2:$D$175,C4,Socle!$E$2:$E$175,D4,Socle!$F$2:$F$175,E4,Socle!$G$2:$G$175,"2026")</f>
        <v/>
      </c>
      <c r="N4">
        <f>IF(OR(D4="B1",D4="M1",D4="BTS1"),1,0)</f>
        <v/>
      </c>
      <c r="O4">
        <f>SUMIFS(Campagne!$D$2:$D$15,Campagne!$C$2:$C$15,A4)</f>
        <v/>
      </c>
      <c r="P4">
        <f>SUMIFS(Campagne!$E$2:$E$15,Campagne!$C$2:$C$15,A4)</f>
        <v/>
      </c>
      <c r="Q4">
        <f>SUMIFS(Campagne!$F$2:$F$15,Campagne!$C$2:$C$15,A4)</f>
        <v/>
      </c>
      <c r="R4">
        <f>SUMIFS(Campagne!$K$2:$K$15,Campagne!$C$2:$C$15,A4)</f>
        <v/>
      </c>
      <c r="S4">
        <f>SUMIFS(Campagne!$M$2:$M$15,Campagne!$C$2:$C$15,A4)</f>
        <v/>
      </c>
      <c r="T4">
        <f>SUMIFS(Pilotage!$Q$13:$Q$26,Pilotage!$F$13:$F$26,A4)</f>
        <v/>
      </c>
      <c r="U4">
        <f>SUMIFS(Pilotage!$N$13:$N$26,Pilotage!$F$13:$F$26,A4)</f>
        <v/>
      </c>
      <c r="V4">
        <f>IF(B4="V01",cad!$I$21,IF(B4="V02",cad!$J$21,cad!$K$21))</f>
        <v/>
      </c>
      <c r="W4">
        <f>IF(B4="V01",cad!$I$22,IF(B4="V02",cad!$J$22,cad!$K$22))</f>
        <v/>
      </c>
      <c r="X4">
        <f>IF(B4="V01",cad!$I$23,IF(B4="V02",cad!$J$23,cad!$K$23))</f>
        <v/>
      </c>
      <c r="Y4">
        <f>IF(B4="V01",cad!$I$24,IF(B4="V02",cad!$J$24,cad!$K$24))</f>
        <v/>
      </c>
      <c r="Z4">
        <f>IF(B4="V01",cad!$I$25,IF(B4="V02",cad!$J$25,cad!$K$25))</f>
        <v/>
      </c>
      <c r="AA4">
        <f>IF(B4="V01",cad!$I$26,IF(B4="V02",cad!$J$26,cad!$K$26))</f>
        <v/>
      </c>
      <c r="AB4">
        <f>IF(B4="V01",cad!$I$37,IF(B4="V02",cad!$J$37,cad!$K$37))</f>
        <v/>
      </c>
      <c r="AC4">
        <f>IF(F4="MBWAY",cad!$I$9,IF(F4="ISCOM",cad!$I$10,IF(F4="IPAC",cad!$I$11,IF(F4="PIGIER",cad!$I$12,cad!$I$13))))</f>
        <v/>
      </c>
      <c r="AD4">
        <f>(O4*(1+W4)^S4+P4*((T4/U4)*(1+V4))^R4)*IFERROR(G4/Q4,0)*(J4+Y4)*K4*(L4+Z4)</f>
        <v/>
      </c>
      <c r="AE4">
        <f>IF(N4=1,AD4,0)</f>
        <v/>
      </c>
      <c r="AF4">
        <f>IF(N4=1,AD4,H4*(M4+AA4))</f>
        <v/>
      </c>
      <c r="AG4">
        <f>I4*(1+X4*AC4)</f>
        <v/>
      </c>
      <c r="AH4">
        <f>AF4*AG4+AE4*AB4</f>
        <v/>
      </c>
    </row>
    <row r="5">
      <c r="A5">
        <f>Moteur!D5</f>
        <v/>
      </c>
      <c r="B5">
        <f>Moteur!B5</f>
        <v/>
      </c>
      <c r="C5">
        <f>Moteur!F5</f>
        <v/>
      </c>
      <c r="D5">
        <f>Moteur!G5</f>
        <v/>
      </c>
      <c r="E5">
        <f>Moteur!H5</f>
        <v/>
      </c>
      <c r="F5">
        <f>Moteur!E5</f>
        <v/>
      </c>
      <c r="G5">
        <f>SUMIFS(Socle!$H$2:$H$175,Socle!$C$2:$C$175,A5,Socle!$D$2:$D$175,C5,Socle!$E$2:$E$175,D5,Socle!$F$2:$F$175,E5,Socle!$G$2:$G$175,"2026")</f>
        <v/>
      </c>
      <c r="H5">
        <f>SUMIFS(Socle!$N$2:$N$175,Socle!$C$2:$C$175,A5,Socle!$D$2:$D$175,C5,Socle!$E$2:$E$175,D5,Socle!$F$2:$F$175,E5,Socle!$G$2:$G$175,"2026")</f>
        <v/>
      </c>
      <c r="I5">
        <f>SUMIFS(Socle!$P$2:$P$175,Socle!$C$2:$C$175,A5,Socle!$D$2:$D$175,C5,Socle!$E$2:$E$175,D5,Socle!$F$2:$F$175,E5,Socle!$G$2:$G$175,"2026")</f>
        <v/>
      </c>
      <c r="J5">
        <f>SUMIFS(Socle!$W$2:$W$175,Socle!$C$2:$C$175,A5,Socle!$D$2:$D$175,C5,Socle!$E$2:$E$175,D5,Socle!$F$2:$F$175,E5,Socle!$G$2:$G$175,"2026")</f>
        <v/>
      </c>
      <c r="K5">
        <f>SUMIFS(Socle!$X$2:$X$175,Socle!$C$2:$C$175,A5,Socle!$D$2:$D$175,C5,Socle!$E$2:$E$175,D5,Socle!$F$2:$F$175,E5,Socle!$G$2:$G$175,"2026")</f>
        <v/>
      </c>
      <c r="L5">
        <f>SUMIFS(Socle!$Y$2:$Y$175,Socle!$C$2:$C$175,A5,Socle!$D$2:$D$175,C5,Socle!$E$2:$E$175,D5,Socle!$F$2:$F$175,E5,Socle!$G$2:$G$175,"2026")</f>
        <v/>
      </c>
      <c r="M5">
        <f>SUMIFS(Socle!$V$2:$V$175,Socle!$C$2:$C$175,A5,Socle!$D$2:$D$175,C5,Socle!$E$2:$E$175,D5,Socle!$F$2:$F$175,E5,Socle!$G$2:$G$175,"2026")</f>
        <v/>
      </c>
      <c r="N5">
        <f>IF(OR(D5="B1",D5="M1",D5="BTS1"),1,0)</f>
        <v/>
      </c>
      <c r="O5">
        <f>SUMIFS(Campagne!$D$2:$D$15,Campagne!$C$2:$C$15,A5)</f>
        <v/>
      </c>
      <c r="P5">
        <f>SUMIFS(Campagne!$E$2:$E$15,Campagne!$C$2:$C$15,A5)</f>
        <v/>
      </c>
      <c r="Q5">
        <f>SUMIFS(Campagne!$F$2:$F$15,Campagne!$C$2:$C$15,A5)</f>
        <v/>
      </c>
      <c r="R5">
        <f>SUMIFS(Campagne!$K$2:$K$15,Campagne!$C$2:$C$15,A5)</f>
        <v/>
      </c>
      <c r="S5">
        <f>SUMIFS(Campagne!$M$2:$M$15,Campagne!$C$2:$C$15,A5)</f>
        <v/>
      </c>
      <c r="T5">
        <f>SUMIFS(Pilotage!$Q$13:$Q$26,Pilotage!$F$13:$F$26,A5)</f>
        <v/>
      </c>
      <c r="U5">
        <f>SUMIFS(Pilotage!$N$13:$N$26,Pilotage!$F$13:$F$26,A5)</f>
        <v/>
      </c>
      <c r="V5">
        <f>IF(B5="V01",cad!$I$21,IF(B5="V02",cad!$J$21,cad!$K$21))</f>
        <v/>
      </c>
      <c r="W5">
        <f>IF(B5="V01",cad!$I$22,IF(B5="V02",cad!$J$22,cad!$K$22))</f>
        <v/>
      </c>
      <c r="X5">
        <f>IF(B5="V01",cad!$I$23,IF(B5="V02",cad!$J$23,cad!$K$23))</f>
        <v/>
      </c>
      <c r="Y5">
        <f>IF(B5="V01",cad!$I$24,IF(B5="V02",cad!$J$24,cad!$K$24))</f>
        <v/>
      </c>
      <c r="Z5">
        <f>IF(B5="V01",cad!$I$25,IF(B5="V02",cad!$J$25,cad!$K$25))</f>
        <v/>
      </c>
      <c r="AA5">
        <f>IF(B5="V01",cad!$I$26,IF(B5="V02",cad!$J$26,cad!$K$26))</f>
        <v/>
      </c>
      <c r="AB5">
        <f>IF(B5="V01",cad!$I$37,IF(B5="V02",cad!$J$37,cad!$K$37))</f>
        <v/>
      </c>
      <c r="AC5">
        <f>IF(F5="MBWAY",cad!$I$9,IF(F5="ISCOM",cad!$I$10,IF(F5="IPAC",cad!$I$11,IF(F5="PIGIER",cad!$I$12,cad!$I$13))))</f>
        <v/>
      </c>
      <c r="AD5">
        <f>(O5*(1+W5)^S5+P5*((T5/U5)*(1+V5))^R5)*IFERROR(G5/Q5,0)*(J5+Y5)*K5*(L5+Z5)</f>
        <v/>
      </c>
      <c r="AE5">
        <f>IF(N5=1,AD5,0)</f>
        <v/>
      </c>
      <c r="AF5">
        <f>IF(N5=1,AD5,H5*(M5+AA5))</f>
        <v/>
      </c>
      <c r="AG5">
        <f>I5*(1+X5*AC5)</f>
        <v/>
      </c>
      <c r="AH5">
        <f>AF5*AG5+AE5*AB5</f>
        <v/>
      </c>
    </row>
    <row r="6">
      <c r="A6">
        <f>Moteur!D6</f>
        <v/>
      </c>
      <c r="B6">
        <f>Moteur!B6</f>
        <v/>
      </c>
      <c r="C6">
        <f>Moteur!F6</f>
        <v/>
      </c>
      <c r="D6">
        <f>Moteur!G6</f>
        <v/>
      </c>
      <c r="E6">
        <f>Moteur!H6</f>
        <v/>
      </c>
      <c r="F6">
        <f>Moteur!E6</f>
        <v/>
      </c>
      <c r="G6">
        <f>SUMIFS(Socle!$H$2:$H$175,Socle!$C$2:$C$175,A6,Socle!$D$2:$D$175,C6,Socle!$E$2:$E$175,D6,Socle!$F$2:$F$175,E6,Socle!$G$2:$G$175,"2026")</f>
        <v/>
      </c>
      <c r="H6">
        <f>SUMIFS(Socle!$N$2:$N$175,Socle!$C$2:$C$175,A6,Socle!$D$2:$D$175,C6,Socle!$E$2:$E$175,D6,Socle!$F$2:$F$175,E6,Socle!$G$2:$G$175,"2026")</f>
        <v/>
      </c>
      <c r="I6">
        <f>SUMIFS(Socle!$P$2:$P$175,Socle!$C$2:$C$175,A6,Socle!$D$2:$D$175,C6,Socle!$E$2:$E$175,D6,Socle!$F$2:$F$175,E6,Socle!$G$2:$G$175,"2026")</f>
        <v/>
      </c>
      <c r="J6">
        <f>SUMIFS(Socle!$W$2:$W$175,Socle!$C$2:$C$175,A6,Socle!$D$2:$D$175,C6,Socle!$E$2:$E$175,D6,Socle!$F$2:$F$175,E6,Socle!$G$2:$G$175,"2026")</f>
        <v/>
      </c>
      <c r="K6">
        <f>SUMIFS(Socle!$X$2:$X$175,Socle!$C$2:$C$175,A6,Socle!$D$2:$D$175,C6,Socle!$E$2:$E$175,D6,Socle!$F$2:$F$175,E6,Socle!$G$2:$G$175,"2026")</f>
        <v/>
      </c>
      <c r="L6">
        <f>SUMIFS(Socle!$Y$2:$Y$175,Socle!$C$2:$C$175,A6,Socle!$D$2:$D$175,C6,Socle!$E$2:$E$175,D6,Socle!$F$2:$F$175,E6,Socle!$G$2:$G$175,"2026")</f>
        <v/>
      </c>
      <c r="M6">
        <f>SUMIFS(Socle!$V$2:$V$175,Socle!$C$2:$C$175,A6,Socle!$D$2:$D$175,C6,Socle!$E$2:$E$175,D6,Socle!$F$2:$F$175,E6,Socle!$G$2:$G$175,"2026")</f>
        <v/>
      </c>
      <c r="N6">
        <f>IF(OR(D6="B1",D6="M1",D6="BTS1"),1,0)</f>
        <v/>
      </c>
      <c r="O6">
        <f>SUMIFS(Campagne!$D$2:$D$15,Campagne!$C$2:$C$15,A6)</f>
        <v/>
      </c>
      <c r="P6">
        <f>SUMIFS(Campagne!$E$2:$E$15,Campagne!$C$2:$C$15,A6)</f>
        <v/>
      </c>
      <c r="Q6">
        <f>SUMIFS(Campagne!$F$2:$F$15,Campagne!$C$2:$C$15,A6)</f>
        <v/>
      </c>
      <c r="R6">
        <f>SUMIFS(Campagne!$K$2:$K$15,Campagne!$C$2:$C$15,A6)</f>
        <v/>
      </c>
      <c r="S6">
        <f>SUMIFS(Campagne!$M$2:$M$15,Campagne!$C$2:$C$15,A6)</f>
        <v/>
      </c>
      <c r="T6">
        <f>SUMIFS(Pilotage!$Q$13:$Q$26,Pilotage!$F$13:$F$26,A6)</f>
        <v/>
      </c>
      <c r="U6">
        <f>SUMIFS(Pilotage!$N$13:$N$26,Pilotage!$F$13:$F$26,A6)</f>
        <v/>
      </c>
      <c r="V6">
        <f>IF(B6="V01",cad!$I$21,IF(B6="V02",cad!$J$21,cad!$K$21))</f>
        <v/>
      </c>
      <c r="W6">
        <f>IF(B6="V01",cad!$I$22,IF(B6="V02",cad!$J$22,cad!$K$22))</f>
        <v/>
      </c>
      <c r="X6">
        <f>IF(B6="V01",cad!$I$23,IF(B6="V02",cad!$J$23,cad!$K$23))</f>
        <v/>
      </c>
      <c r="Y6">
        <f>IF(B6="V01",cad!$I$24,IF(B6="V02",cad!$J$24,cad!$K$24))</f>
        <v/>
      </c>
      <c r="Z6">
        <f>IF(B6="V01",cad!$I$25,IF(B6="V02",cad!$J$25,cad!$K$25))</f>
        <v/>
      </c>
      <c r="AA6">
        <f>IF(B6="V01",cad!$I$26,IF(B6="V02",cad!$J$26,cad!$K$26))</f>
        <v/>
      </c>
      <c r="AB6">
        <f>IF(B6="V01",cad!$I$37,IF(B6="V02",cad!$J$37,cad!$K$37))</f>
        <v/>
      </c>
      <c r="AC6">
        <f>IF(F6="MBWAY",cad!$I$9,IF(F6="ISCOM",cad!$I$10,IF(F6="IPAC",cad!$I$11,IF(F6="PIGIER",cad!$I$12,cad!$I$13))))</f>
        <v/>
      </c>
      <c r="AD6">
        <f>(O6*(1+W6)^S6+P6*((T6/U6)*(1+V6))^R6)*IFERROR(G6/Q6,0)*(J6+Y6)*K6*(L6+Z6)</f>
        <v/>
      </c>
      <c r="AE6">
        <f>IF(N6=1,AD6,0)</f>
        <v/>
      </c>
      <c r="AF6">
        <f>IF(N6=1,AD6,H6*(M6+AA6))</f>
        <v/>
      </c>
      <c r="AG6">
        <f>I6*(1+X6*AC6)</f>
        <v/>
      </c>
      <c r="AH6">
        <f>AF6*AG6+AE6*AB6</f>
        <v/>
      </c>
    </row>
    <row r="7">
      <c r="A7">
        <f>Moteur!D7</f>
        <v/>
      </c>
      <c r="B7">
        <f>Moteur!B7</f>
        <v/>
      </c>
      <c r="C7">
        <f>Moteur!F7</f>
        <v/>
      </c>
      <c r="D7">
        <f>Moteur!G7</f>
        <v/>
      </c>
      <c r="E7">
        <f>Moteur!H7</f>
        <v/>
      </c>
      <c r="F7">
        <f>Moteur!E7</f>
        <v/>
      </c>
      <c r="G7">
        <f>SUMIFS(Socle!$H$2:$H$175,Socle!$C$2:$C$175,A7,Socle!$D$2:$D$175,C7,Socle!$E$2:$E$175,D7,Socle!$F$2:$F$175,E7,Socle!$G$2:$G$175,"2026")</f>
        <v/>
      </c>
      <c r="H7">
        <f>SUMIFS(Socle!$N$2:$N$175,Socle!$C$2:$C$175,A7,Socle!$D$2:$D$175,C7,Socle!$E$2:$E$175,D7,Socle!$F$2:$F$175,E7,Socle!$G$2:$G$175,"2026")</f>
        <v/>
      </c>
      <c r="I7">
        <f>SUMIFS(Socle!$P$2:$P$175,Socle!$C$2:$C$175,A7,Socle!$D$2:$D$175,C7,Socle!$E$2:$E$175,D7,Socle!$F$2:$F$175,E7,Socle!$G$2:$G$175,"2026")</f>
        <v/>
      </c>
      <c r="J7">
        <f>SUMIFS(Socle!$W$2:$W$175,Socle!$C$2:$C$175,A7,Socle!$D$2:$D$175,C7,Socle!$E$2:$E$175,D7,Socle!$F$2:$F$175,E7,Socle!$G$2:$G$175,"2026")</f>
        <v/>
      </c>
      <c r="K7">
        <f>SUMIFS(Socle!$X$2:$X$175,Socle!$C$2:$C$175,A7,Socle!$D$2:$D$175,C7,Socle!$E$2:$E$175,D7,Socle!$F$2:$F$175,E7,Socle!$G$2:$G$175,"2026")</f>
        <v/>
      </c>
      <c r="L7">
        <f>SUMIFS(Socle!$Y$2:$Y$175,Socle!$C$2:$C$175,A7,Socle!$D$2:$D$175,C7,Socle!$E$2:$E$175,D7,Socle!$F$2:$F$175,E7,Socle!$G$2:$G$175,"2026")</f>
        <v/>
      </c>
      <c r="M7">
        <f>SUMIFS(Socle!$V$2:$V$175,Socle!$C$2:$C$175,A7,Socle!$D$2:$D$175,C7,Socle!$E$2:$E$175,D7,Socle!$F$2:$F$175,E7,Socle!$G$2:$G$175,"2026")</f>
        <v/>
      </c>
      <c r="N7">
        <f>IF(OR(D7="B1",D7="M1",D7="BTS1"),1,0)</f>
        <v/>
      </c>
      <c r="O7">
        <f>SUMIFS(Campagne!$D$2:$D$15,Campagne!$C$2:$C$15,A7)</f>
        <v/>
      </c>
      <c r="P7">
        <f>SUMIFS(Campagne!$E$2:$E$15,Campagne!$C$2:$C$15,A7)</f>
        <v/>
      </c>
      <c r="Q7">
        <f>SUMIFS(Campagne!$F$2:$F$15,Campagne!$C$2:$C$15,A7)</f>
        <v/>
      </c>
      <c r="R7">
        <f>SUMIFS(Campagne!$K$2:$K$15,Campagne!$C$2:$C$15,A7)</f>
        <v/>
      </c>
      <c r="S7">
        <f>SUMIFS(Campagne!$M$2:$M$15,Campagne!$C$2:$C$15,A7)</f>
        <v/>
      </c>
      <c r="T7">
        <f>SUMIFS(Pilotage!$Q$13:$Q$26,Pilotage!$F$13:$F$26,A7)</f>
        <v/>
      </c>
      <c r="U7">
        <f>SUMIFS(Pilotage!$N$13:$N$26,Pilotage!$F$13:$F$26,A7)</f>
        <v/>
      </c>
      <c r="V7">
        <f>IF(B7="V01",cad!$I$21,IF(B7="V02",cad!$J$21,cad!$K$21))</f>
        <v/>
      </c>
      <c r="W7">
        <f>IF(B7="V01",cad!$I$22,IF(B7="V02",cad!$J$22,cad!$K$22))</f>
        <v/>
      </c>
      <c r="X7">
        <f>IF(B7="V01",cad!$I$23,IF(B7="V02",cad!$J$23,cad!$K$23))</f>
        <v/>
      </c>
      <c r="Y7">
        <f>IF(B7="V01",cad!$I$24,IF(B7="V02",cad!$J$24,cad!$K$24))</f>
        <v/>
      </c>
      <c r="Z7">
        <f>IF(B7="V01",cad!$I$25,IF(B7="V02",cad!$J$25,cad!$K$25))</f>
        <v/>
      </c>
      <c r="AA7">
        <f>IF(B7="V01",cad!$I$26,IF(B7="V02",cad!$J$26,cad!$K$26))</f>
        <v/>
      </c>
      <c r="AB7">
        <f>IF(B7="V01",cad!$I$37,IF(B7="V02",cad!$J$37,cad!$K$37))</f>
        <v/>
      </c>
      <c r="AC7">
        <f>IF(F7="MBWAY",cad!$I$9,IF(F7="ISCOM",cad!$I$10,IF(F7="IPAC",cad!$I$11,IF(F7="PIGIER",cad!$I$12,cad!$I$13))))</f>
        <v/>
      </c>
      <c r="AD7">
        <f>(O7*(1+W7)^S7+P7*((T7/U7)*(1+V7))^R7)*IFERROR(G7/Q7,0)*(J7+Y7)*K7*(L7+Z7)</f>
        <v/>
      </c>
      <c r="AE7">
        <f>IF(N7=1,AD7,0)</f>
        <v/>
      </c>
      <c r="AF7">
        <f>IF(N7=1,AD7,H7*(M7+AA7))</f>
        <v/>
      </c>
      <c r="AG7">
        <f>I7*(1+X7*AC7)</f>
        <v/>
      </c>
      <c r="AH7">
        <f>AF7*AG7+AE7*AB7</f>
        <v/>
      </c>
    </row>
    <row r="8">
      <c r="A8">
        <f>Moteur!D8</f>
        <v/>
      </c>
      <c r="B8">
        <f>Moteur!B8</f>
        <v/>
      </c>
      <c r="C8">
        <f>Moteur!F8</f>
        <v/>
      </c>
      <c r="D8">
        <f>Moteur!G8</f>
        <v/>
      </c>
      <c r="E8">
        <f>Moteur!H8</f>
        <v/>
      </c>
      <c r="F8">
        <f>Moteur!E8</f>
        <v/>
      </c>
      <c r="G8">
        <f>SUMIFS(Socle!$H$2:$H$175,Socle!$C$2:$C$175,A8,Socle!$D$2:$D$175,C8,Socle!$E$2:$E$175,D8,Socle!$F$2:$F$175,E8,Socle!$G$2:$G$175,"2026")</f>
        <v/>
      </c>
      <c r="H8">
        <f>SUMIFS(Socle!$N$2:$N$175,Socle!$C$2:$C$175,A8,Socle!$D$2:$D$175,C8,Socle!$E$2:$E$175,D8,Socle!$F$2:$F$175,E8,Socle!$G$2:$G$175,"2026")</f>
        <v/>
      </c>
      <c r="I8">
        <f>SUMIFS(Socle!$P$2:$P$175,Socle!$C$2:$C$175,A8,Socle!$D$2:$D$175,C8,Socle!$E$2:$E$175,D8,Socle!$F$2:$F$175,E8,Socle!$G$2:$G$175,"2026")</f>
        <v/>
      </c>
      <c r="J8">
        <f>SUMIFS(Socle!$W$2:$W$175,Socle!$C$2:$C$175,A8,Socle!$D$2:$D$175,C8,Socle!$E$2:$E$175,D8,Socle!$F$2:$F$175,E8,Socle!$G$2:$G$175,"2026")</f>
        <v/>
      </c>
      <c r="K8">
        <f>SUMIFS(Socle!$X$2:$X$175,Socle!$C$2:$C$175,A8,Socle!$D$2:$D$175,C8,Socle!$E$2:$E$175,D8,Socle!$F$2:$F$175,E8,Socle!$G$2:$G$175,"2026")</f>
        <v/>
      </c>
      <c r="L8">
        <f>SUMIFS(Socle!$Y$2:$Y$175,Socle!$C$2:$C$175,A8,Socle!$D$2:$D$175,C8,Socle!$E$2:$E$175,D8,Socle!$F$2:$F$175,E8,Socle!$G$2:$G$175,"2026")</f>
        <v/>
      </c>
      <c r="M8">
        <f>SUMIFS(Socle!$V$2:$V$175,Socle!$C$2:$C$175,A8,Socle!$D$2:$D$175,C8,Socle!$E$2:$E$175,D8,Socle!$F$2:$F$175,E8,Socle!$G$2:$G$175,"2026")</f>
        <v/>
      </c>
      <c r="N8">
        <f>IF(OR(D8="B1",D8="M1",D8="BTS1"),1,0)</f>
        <v/>
      </c>
      <c r="O8">
        <f>SUMIFS(Campagne!$D$2:$D$15,Campagne!$C$2:$C$15,A8)</f>
        <v/>
      </c>
      <c r="P8">
        <f>SUMIFS(Campagne!$E$2:$E$15,Campagne!$C$2:$C$15,A8)</f>
        <v/>
      </c>
      <c r="Q8">
        <f>SUMIFS(Campagne!$F$2:$F$15,Campagne!$C$2:$C$15,A8)</f>
        <v/>
      </c>
      <c r="R8">
        <f>SUMIFS(Campagne!$K$2:$K$15,Campagne!$C$2:$C$15,A8)</f>
        <v/>
      </c>
      <c r="S8">
        <f>SUMIFS(Campagne!$M$2:$M$15,Campagne!$C$2:$C$15,A8)</f>
        <v/>
      </c>
      <c r="T8">
        <f>SUMIFS(Pilotage!$Q$13:$Q$26,Pilotage!$F$13:$F$26,A8)</f>
        <v/>
      </c>
      <c r="U8">
        <f>SUMIFS(Pilotage!$N$13:$N$26,Pilotage!$F$13:$F$26,A8)</f>
        <v/>
      </c>
      <c r="V8">
        <f>IF(B8="V01",cad!$I$21,IF(B8="V02",cad!$J$21,cad!$K$21))</f>
        <v/>
      </c>
      <c r="W8">
        <f>IF(B8="V01",cad!$I$22,IF(B8="V02",cad!$J$22,cad!$K$22))</f>
        <v/>
      </c>
      <c r="X8">
        <f>IF(B8="V01",cad!$I$23,IF(B8="V02",cad!$J$23,cad!$K$23))</f>
        <v/>
      </c>
      <c r="Y8">
        <f>IF(B8="V01",cad!$I$24,IF(B8="V02",cad!$J$24,cad!$K$24))</f>
        <v/>
      </c>
      <c r="Z8">
        <f>IF(B8="V01",cad!$I$25,IF(B8="V02",cad!$J$25,cad!$K$25))</f>
        <v/>
      </c>
      <c r="AA8">
        <f>IF(B8="V01",cad!$I$26,IF(B8="V02",cad!$J$26,cad!$K$26))</f>
        <v/>
      </c>
      <c r="AB8">
        <f>IF(B8="V01",cad!$I$37,IF(B8="V02",cad!$J$37,cad!$K$37))</f>
        <v/>
      </c>
      <c r="AC8">
        <f>IF(F8="MBWAY",cad!$I$9,IF(F8="ISCOM",cad!$I$10,IF(F8="IPAC",cad!$I$11,IF(F8="PIGIER",cad!$I$12,cad!$I$13))))</f>
        <v/>
      </c>
      <c r="AD8">
        <f>(O8*(1+W8)^S8+P8*((T8/U8)*(1+V8))^R8)*IFERROR(G8/Q8,0)*(J8+Y8)*K8*(L8+Z8)</f>
        <v/>
      </c>
      <c r="AE8">
        <f>IF(N8=1,AD8,0)</f>
        <v/>
      </c>
      <c r="AF8">
        <f>IF(N8=1,AD8,H8*(M8+AA8))</f>
        <v/>
      </c>
      <c r="AG8">
        <f>I8*(1+X8*AC8)</f>
        <v/>
      </c>
      <c r="AH8">
        <f>AF8*AG8+AE8*AB8</f>
        <v/>
      </c>
    </row>
    <row r="9">
      <c r="A9">
        <f>Moteur!D9</f>
        <v/>
      </c>
      <c r="B9">
        <f>Moteur!B9</f>
        <v/>
      </c>
      <c r="C9">
        <f>Moteur!F9</f>
        <v/>
      </c>
      <c r="D9">
        <f>Moteur!G9</f>
        <v/>
      </c>
      <c r="E9">
        <f>Moteur!H9</f>
        <v/>
      </c>
      <c r="F9">
        <f>Moteur!E9</f>
        <v/>
      </c>
      <c r="G9">
        <f>SUMIFS(Socle!$H$2:$H$175,Socle!$C$2:$C$175,A9,Socle!$D$2:$D$175,C9,Socle!$E$2:$E$175,D9,Socle!$F$2:$F$175,E9,Socle!$G$2:$G$175,"2026")</f>
        <v/>
      </c>
      <c r="H9">
        <f>SUMIFS(Socle!$N$2:$N$175,Socle!$C$2:$C$175,A9,Socle!$D$2:$D$175,C9,Socle!$E$2:$E$175,D9,Socle!$F$2:$F$175,E9,Socle!$G$2:$G$175,"2026")</f>
        <v/>
      </c>
      <c r="I9">
        <f>SUMIFS(Socle!$P$2:$P$175,Socle!$C$2:$C$175,A9,Socle!$D$2:$D$175,C9,Socle!$E$2:$E$175,D9,Socle!$F$2:$F$175,E9,Socle!$G$2:$G$175,"2026")</f>
        <v/>
      </c>
      <c r="J9">
        <f>SUMIFS(Socle!$W$2:$W$175,Socle!$C$2:$C$175,A9,Socle!$D$2:$D$175,C9,Socle!$E$2:$E$175,D9,Socle!$F$2:$F$175,E9,Socle!$G$2:$G$175,"2026")</f>
        <v/>
      </c>
      <c r="K9">
        <f>SUMIFS(Socle!$X$2:$X$175,Socle!$C$2:$C$175,A9,Socle!$D$2:$D$175,C9,Socle!$E$2:$E$175,D9,Socle!$F$2:$F$175,E9,Socle!$G$2:$G$175,"2026")</f>
        <v/>
      </c>
      <c r="L9">
        <f>SUMIFS(Socle!$Y$2:$Y$175,Socle!$C$2:$C$175,A9,Socle!$D$2:$D$175,C9,Socle!$E$2:$E$175,D9,Socle!$F$2:$F$175,E9,Socle!$G$2:$G$175,"2026")</f>
        <v/>
      </c>
      <c r="M9">
        <f>SUMIFS(Socle!$V$2:$V$175,Socle!$C$2:$C$175,A9,Socle!$D$2:$D$175,C9,Socle!$E$2:$E$175,D9,Socle!$F$2:$F$175,E9,Socle!$G$2:$G$175,"2026")</f>
        <v/>
      </c>
      <c r="N9">
        <f>IF(OR(D9="B1",D9="M1",D9="BTS1"),1,0)</f>
        <v/>
      </c>
      <c r="O9">
        <f>SUMIFS(Campagne!$D$2:$D$15,Campagne!$C$2:$C$15,A9)</f>
        <v/>
      </c>
      <c r="P9">
        <f>SUMIFS(Campagne!$E$2:$E$15,Campagne!$C$2:$C$15,A9)</f>
        <v/>
      </c>
      <c r="Q9">
        <f>SUMIFS(Campagne!$F$2:$F$15,Campagne!$C$2:$C$15,A9)</f>
        <v/>
      </c>
      <c r="R9">
        <f>SUMIFS(Campagne!$K$2:$K$15,Campagne!$C$2:$C$15,A9)</f>
        <v/>
      </c>
      <c r="S9">
        <f>SUMIFS(Campagne!$M$2:$M$15,Campagne!$C$2:$C$15,A9)</f>
        <v/>
      </c>
      <c r="T9">
        <f>SUMIFS(Pilotage!$Q$13:$Q$26,Pilotage!$F$13:$F$26,A9)</f>
        <v/>
      </c>
      <c r="U9">
        <f>SUMIFS(Pilotage!$N$13:$N$26,Pilotage!$F$13:$F$26,A9)</f>
        <v/>
      </c>
      <c r="V9">
        <f>IF(B9="V01",cad!$I$21,IF(B9="V02",cad!$J$21,cad!$K$21))</f>
        <v/>
      </c>
      <c r="W9">
        <f>IF(B9="V01",cad!$I$22,IF(B9="V02",cad!$J$22,cad!$K$22))</f>
        <v/>
      </c>
      <c r="X9">
        <f>IF(B9="V01",cad!$I$23,IF(B9="V02",cad!$J$23,cad!$K$23))</f>
        <v/>
      </c>
      <c r="Y9">
        <f>IF(B9="V01",cad!$I$24,IF(B9="V02",cad!$J$24,cad!$K$24))</f>
        <v/>
      </c>
      <c r="Z9">
        <f>IF(B9="V01",cad!$I$25,IF(B9="V02",cad!$J$25,cad!$K$25))</f>
        <v/>
      </c>
      <c r="AA9">
        <f>IF(B9="V01",cad!$I$26,IF(B9="V02",cad!$J$26,cad!$K$26))</f>
        <v/>
      </c>
      <c r="AB9">
        <f>IF(B9="V01",cad!$I$37,IF(B9="V02",cad!$J$37,cad!$K$37))</f>
        <v/>
      </c>
      <c r="AC9">
        <f>IF(F9="MBWAY",cad!$I$9,IF(F9="ISCOM",cad!$I$10,IF(F9="IPAC",cad!$I$11,IF(F9="PIGIER",cad!$I$12,cad!$I$13))))</f>
        <v/>
      </c>
      <c r="AD9">
        <f>(O9*(1+W9)^S9+P9*((T9/U9)*(1+V9))^R9)*IFERROR(G9/Q9,0)*(J9+Y9)*K9*(L9+Z9)</f>
        <v/>
      </c>
      <c r="AE9">
        <f>IF(N9=1,AD9,0)</f>
        <v/>
      </c>
      <c r="AF9">
        <f>IF(N9=1,AD9,H9*(M9+AA9))</f>
        <v/>
      </c>
      <c r="AG9">
        <f>I9*(1+X9*AC9)</f>
        <v/>
      </c>
      <c r="AH9">
        <f>AF9*AG9+AE9*AB9</f>
        <v/>
      </c>
    </row>
    <row r="10">
      <c r="A10">
        <f>Moteur!D10</f>
        <v/>
      </c>
      <c r="B10">
        <f>Moteur!B10</f>
        <v/>
      </c>
      <c r="C10">
        <f>Moteur!F10</f>
        <v/>
      </c>
      <c r="D10">
        <f>Moteur!G10</f>
        <v/>
      </c>
      <c r="E10">
        <f>Moteur!H10</f>
        <v/>
      </c>
      <c r="F10">
        <f>Moteur!E10</f>
        <v/>
      </c>
      <c r="G10">
        <f>SUMIFS(Socle!$H$2:$H$175,Socle!$C$2:$C$175,A10,Socle!$D$2:$D$175,C10,Socle!$E$2:$E$175,D10,Socle!$F$2:$F$175,E10,Socle!$G$2:$G$175,"2026")</f>
        <v/>
      </c>
      <c r="H10">
        <f>SUMIFS(Socle!$N$2:$N$175,Socle!$C$2:$C$175,A10,Socle!$D$2:$D$175,C10,Socle!$E$2:$E$175,D10,Socle!$F$2:$F$175,E10,Socle!$G$2:$G$175,"2026")</f>
        <v/>
      </c>
      <c r="I10">
        <f>SUMIFS(Socle!$P$2:$P$175,Socle!$C$2:$C$175,A10,Socle!$D$2:$D$175,C10,Socle!$E$2:$E$175,D10,Socle!$F$2:$F$175,E10,Socle!$G$2:$G$175,"2026")</f>
        <v/>
      </c>
      <c r="J10">
        <f>SUMIFS(Socle!$W$2:$W$175,Socle!$C$2:$C$175,A10,Socle!$D$2:$D$175,C10,Socle!$E$2:$E$175,D10,Socle!$F$2:$F$175,E10,Socle!$G$2:$G$175,"2026")</f>
        <v/>
      </c>
      <c r="K10">
        <f>SUMIFS(Socle!$X$2:$X$175,Socle!$C$2:$C$175,A10,Socle!$D$2:$D$175,C10,Socle!$E$2:$E$175,D10,Socle!$F$2:$F$175,E10,Socle!$G$2:$G$175,"2026")</f>
        <v/>
      </c>
      <c r="L10">
        <f>SUMIFS(Socle!$Y$2:$Y$175,Socle!$C$2:$C$175,A10,Socle!$D$2:$D$175,C10,Socle!$E$2:$E$175,D10,Socle!$F$2:$F$175,E10,Socle!$G$2:$G$175,"2026")</f>
        <v/>
      </c>
      <c r="M10">
        <f>SUMIFS(Socle!$V$2:$V$175,Socle!$C$2:$C$175,A10,Socle!$D$2:$D$175,C10,Socle!$E$2:$E$175,D10,Socle!$F$2:$F$175,E10,Socle!$G$2:$G$175,"2026")</f>
        <v/>
      </c>
      <c r="N10">
        <f>IF(OR(D10="B1",D10="M1",D10="BTS1"),1,0)</f>
        <v/>
      </c>
      <c r="O10">
        <f>SUMIFS(Campagne!$D$2:$D$15,Campagne!$C$2:$C$15,A10)</f>
        <v/>
      </c>
      <c r="P10">
        <f>SUMIFS(Campagne!$E$2:$E$15,Campagne!$C$2:$C$15,A10)</f>
        <v/>
      </c>
      <c r="Q10">
        <f>SUMIFS(Campagne!$F$2:$F$15,Campagne!$C$2:$C$15,A10)</f>
        <v/>
      </c>
      <c r="R10">
        <f>SUMIFS(Campagne!$K$2:$K$15,Campagne!$C$2:$C$15,A10)</f>
        <v/>
      </c>
      <c r="S10">
        <f>SUMIFS(Campagne!$M$2:$M$15,Campagne!$C$2:$C$15,A10)</f>
        <v/>
      </c>
      <c r="T10">
        <f>SUMIFS(Pilotage!$Q$13:$Q$26,Pilotage!$F$13:$F$26,A10)</f>
        <v/>
      </c>
      <c r="U10">
        <f>SUMIFS(Pilotage!$N$13:$N$26,Pilotage!$F$13:$F$26,A10)</f>
        <v/>
      </c>
      <c r="V10">
        <f>IF(B10="V01",cad!$I$21,IF(B10="V02",cad!$J$21,cad!$K$21))</f>
        <v/>
      </c>
      <c r="W10">
        <f>IF(B10="V01",cad!$I$22,IF(B10="V02",cad!$J$22,cad!$K$22))</f>
        <v/>
      </c>
      <c r="X10">
        <f>IF(B10="V01",cad!$I$23,IF(B10="V02",cad!$J$23,cad!$K$23))</f>
        <v/>
      </c>
      <c r="Y10">
        <f>IF(B10="V01",cad!$I$24,IF(B10="V02",cad!$J$24,cad!$K$24))</f>
        <v/>
      </c>
      <c r="Z10">
        <f>IF(B10="V01",cad!$I$25,IF(B10="V02",cad!$J$25,cad!$K$25))</f>
        <v/>
      </c>
      <c r="AA10">
        <f>IF(B10="V01",cad!$I$26,IF(B10="V02",cad!$J$26,cad!$K$26))</f>
        <v/>
      </c>
      <c r="AB10">
        <f>IF(B10="V01",cad!$I$37,IF(B10="V02",cad!$J$37,cad!$K$37))</f>
        <v/>
      </c>
      <c r="AC10">
        <f>IF(F10="MBWAY",cad!$I$9,IF(F10="ISCOM",cad!$I$10,IF(F10="IPAC",cad!$I$11,IF(F10="PIGIER",cad!$I$12,cad!$I$13))))</f>
        <v/>
      </c>
      <c r="AD10">
        <f>(O10*(1+W10)^S10+P10*((T10/U10)*(1+V10))^R10)*IFERROR(G10/Q10,0)*(J10+Y10)*K10*(L10+Z10)</f>
        <v/>
      </c>
      <c r="AE10">
        <f>IF(N10=1,AD10,0)</f>
        <v/>
      </c>
      <c r="AF10">
        <f>IF(N10=1,AD10,H10*(M10+AA10))</f>
        <v/>
      </c>
      <c r="AG10">
        <f>I10*(1+X10*AC10)</f>
        <v/>
      </c>
      <c r="AH10">
        <f>AF10*AG10+AE10*AB10</f>
        <v/>
      </c>
    </row>
    <row r="11">
      <c r="A11">
        <f>Moteur!D11</f>
        <v/>
      </c>
      <c r="B11">
        <f>Moteur!B11</f>
        <v/>
      </c>
      <c r="C11">
        <f>Moteur!F11</f>
        <v/>
      </c>
      <c r="D11">
        <f>Moteur!G11</f>
        <v/>
      </c>
      <c r="E11">
        <f>Moteur!H11</f>
        <v/>
      </c>
      <c r="F11">
        <f>Moteur!E11</f>
        <v/>
      </c>
      <c r="G11">
        <f>SUMIFS(Socle!$H$2:$H$175,Socle!$C$2:$C$175,A11,Socle!$D$2:$D$175,C11,Socle!$E$2:$E$175,D11,Socle!$F$2:$F$175,E11,Socle!$G$2:$G$175,"2026")</f>
        <v/>
      </c>
      <c r="H11">
        <f>SUMIFS(Socle!$N$2:$N$175,Socle!$C$2:$C$175,A11,Socle!$D$2:$D$175,C11,Socle!$E$2:$E$175,D11,Socle!$F$2:$F$175,E11,Socle!$G$2:$G$175,"2026")</f>
        <v/>
      </c>
      <c r="I11">
        <f>SUMIFS(Socle!$P$2:$P$175,Socle!$C$2:$C$175,A11,Socle!$D$2:$D$175,C11,Socle!$E$2:$E$175,D11,Socle!$F$2:$F$175,E11,Socle!$G$2:$G$175,"2026")</f>
        <v/>
      </c>
      <c r="J11">
        <f>SUMIFS(Socle!$W$2:$W$175,Socle!$C$2:$C$175,A11,Socle!$D$2:$D$175,C11,Socle!$E$2:$E$175,D11,Socle!$F$2:$F$175,E11,Socle!$G$2:$G$175,"2026")</f>
        <v/>
      </c>
      <c r="K11">
        <f>SUMIFS(Socle!$X$2:$X$175,Socle!$C$2:$C$175,A11,Socle!$D$2:$D$175,C11,Socle!$E$2:$E$175,D11,Socle!$F$2:$F$175,E11,Socle!$G$2:$G$175,"2026")</f>
        <v/>
      </c>
      <c r="L11">
        <f>SUMIFS(Socle!$Y$2:$Y$175,Socle!$C$2:$C$175,A11,Socle!$D$2:$D$175,C11,Socle!$E$2:$E$175,D11,Socle!$F$2:$F$175,E11,Socle!$G$2:$G$175,"2026")</f>
        <v/>
      </c>
      <c r="M11">
        <f>SUMIFS(Socle!$V$2:$V$175,Socle!$C$2:$C$175,A11,Socle!$D$2:$D$175,C11,Socle!$E$2:$E$175,D11,Socle!$F$2:$F$175,E11,Socle!$G$2:$G$175,"2026")</f>
        <v/>
      </c>
      <c r="N11">
        <f>IF(OR(D11="B1",D11="M1",D11="BTS1"),1,0)</f>
        <v/>
      </c>
      <c r="O11">
        <f>SUMIFS(Campagne!$D$2:$D$15,Campagne!$C$2:$C$15,A11)</f>
        <v/>
      </c>
      <c r="P11">
        <f>SUMIFS(Campagne!$E$2:$E$15,Campagne!$C$2:$C$15,A11)</f>
        <v/>
      </c>
      <c r="Q11">
        <f>SUMIFS(Campagne!$F$2:$F$15,Campagne!$C$2:$C$15,A11)</f>
        <v/>
      </c>
      <c r="R11">
        <f>SUMIFS(Campagne!$K$2:$K$15,Campagne!$C$2:$C$15,A11)</f>
        <v/>
      </c>
      <c r="S11">
        <f>SUMIFS(Campagne!$M$2:$M$15,Campagne!$C$2:$C$15,A11)</f>
        <v/>
      </c>
      <c r="T11">
        <f>SUMIFS(Pilotage!$Q$13:$Q$26,Pilotage!$F$13:$F$26,A11)</f>
        <v/>
      </c>
      <c r="U11">
        <f>SUMIFS(Pilotage!$N$13:$N$26,Pilotage!$F$13:$F$26,A11)</f>
        <v/>
      </c>
      <c r="V11">
        <f>IF(B11="V01",cad!$I$21,IF(B11="V02",cad!$J$21,cad!$K$21))</f>
        <v/>
      </c>
      <c r="W11">
        <f>IF(B11="V01",cad!$I$22,IF(B11="V02",cad!$J$22,cad!$K$22))</f>
        <v/>
      </c>
      <c r="X11">
        <f>IF(B11="V01",cad!$I$23,IF(B11="V02",cad!$J$23,cad!$K$23))</f>
        <v/>
      </c>
      <c r="Y11">
        <f>IF(B11="V01",cad!$I$24,IF(B11="V02",cad!$J$24,cad!$K$24))</f>
        <v/>
      </c>
      <c r="Z11">
        <f>IF(B11="V01",cad!$I$25,IF(B11="V02",cad!$J$25,cad!$K$25))</f>
        <v/>
      </c>
      <c r="AA11">
        <f>IF(B11="V01",cad!$I$26,IF(B11="V02",cad!$J$26,cad!$K$26))</f>
        <v/>
      </c>
      <c r="AB11">
        <f>IF(B11="V01",cad!$I$37,IF(B11="V02",cad!$J$37,cad!$K$37))</f>
        <v/>
      </c>
      <c r="AC11">
        <f>IF(F11="MBWAY",cad!$I$9,IF(F11="ISCOM",cad!$I$10,IF(F11="IPAC",cad!$I$11,IF(F11="PIGIER",cad!$I$12,cad!$I$13))))</f>
        <v/>
      </c>
      <c r="AD11">
        <f>(O11*(1+W11)^S11+P11*((T11/U11)*(1+V11))^R11)*IFERROR(G11/Q11,0)*(J11+Y11)*K11*(L11+Z11)</f>
        <v/>
      </c>
      <c r="AE11">
        <f>IF(N11=1,AD11,0)</f>
        <v/>
      </c>
      <c r="AF11">
        <f>IF(N11=1,AD11,H11*(M11+AA11))</f>
        <v/>
      </c>
      <c r="AG11">
        <f>I11*(1+X11*AC11)</f>
        <v/>
      </c>
      <c r="AH11">
        <f>AF11*AG11+AE11*AB11</f>
        <v/>
      </c>
    </row>
    <row r="12">
      <c r="A12">
        <f>Moteur!D12</f>
        <v/>
      </c>
      <c r="B12">
        <f>Moteur!B12</f>
        <v/>
      </c>
      <c r="C12">
        <f>Moteur!F12</f>
        <v/>
      </c>
      <c r="D12">
        <f>Moteur!G12</f>
        <v/>
      </c>
      <c r="E12">
        <f>Moteur!H12</f>
        <v/>
      </c>
      <c r="F12">
        <f>Moteur!E12</f>
        <v/>
      </c>
      <c r="G12">
        <f>SUMIFS(Socle!$H$2:$H$175,Socle!$C$2:$C$175,A12,Socle!$D$2:$D$175,C12,Socle!$E$2:$E$175,D12,Socle!$F$2:$F$175,E12,Socle!$G$2:$G$175,"2026")</f>
        <v/>
      </c>
      <c r="H12">
        <f>SUMIFS(Socle!$N$2:$N$175,Socle!$C$2:$C$175,A12,Socle!$D$2:$D$175,C12,Socle!$E$2:$E$175,D12,Socle!$F$2:$F$175,E12,Socle!$G$2:$G$175,"2026")</f>
        <v/>
      </c>
      <c r="I12">
        <f>SUMIFS(Socle!$P$2:$P$175,Socle!$C$2:$C$175,A12,Socle!$D$2:$D$175,C12,Socle!$E$2:$E$175,D12,Socle!$F$2:$F$175,E12,Socle!$G$2:$G$175,"2026")</f>
        <v/>
      </c>
      <c r="J12">
        <f>SUMIFS(Socle!$W$2:$W$175,Socle!$C$2:$C$175,A12,Socle!$D$2:$D$175,C12,Socle!$E$2:$E$175,D12,Socle!$F$2:$F$175,E12,Socle!$G$2:$G$175,"2026")</f>
        <v/>
      </c>
      <c r="K12">
        <f>SUMIFS(Socle!$X$2:$X$175,Socle!$C$2:$C$175,A12,Socle!$D$2:$D$175,C12,Socle!$E$2:$E$175,D12,Socle!$F$2:$F$175,E12,Socle!$G$2:$G$175,"2026")</f>
        <v/>
      </c>
      <c r="L12">
        <f>SUMIFS(Socle!$Y$2:$Y$175,Socle!$C$2:$C$175,A12,Socle!$D$2:$D$175,C12,Socle!$E$2:$E$175,D12,Socle!$F$2:$F$175,E12,Socle!$G$2:$G$175,"2026")</f>
        <v/>
      </c>
      <c r="M12">
        <f>SUMIFS(Socle!$V$2:$V$175,Socle!$C$2:$C$175,A12,Socle!$D$2:$D$175,C12,Socle!$E$2:$E$175,D12,Socle!$F$2:$F$175,E12,Socle!$G$2:$G$175,"2026")</f>
        <v/>
      </c>
      <c r="N12">
        <f>IF(OR(D12="B1",D12="M1",D12="BTS1"),1,0)</f>
        <v/>
      </c>
      <c r="O12">
        <f>SUMIFS(Campagne!$D$2:$D$15,Campagne!$C$2:$C$15,A12)</f>
        <v/>
      </c>
      <c r="P12">
        <f>SUMIFS(Campagne!$E$2:$E$15,Campagne!$C$2:$C$15,A12)</f>
        <v/>
      </c>
      <c r="Q12">
        <f>SUMIFS(Campagne!$F$2:$F$15,Campagne!$C$2:$C$15,A12)</f>
        <v/>
      </c>
      <c r="R12">
        <f>SUMIFS(Campagne!$K$2:$K$15,Campagne!$C$2:$C$15,A12)</f>
        <v/>
      </c>
      <c r="S12">
        <f>SUMIFS(Campagne!$M$2:$M$15,Campagne!$C$2:$C$15,A12)</f>
        <v/>
      </c>
      <c r="T12">
        <f>SUMIFS(Pilotage!$Q$13:$Q$26,Pilotage!$F$13:$F$26,A12)</f>
        <v/>
      </c>
      <c r="U12">
        <f>SUMIFS(Pilotage!$N$13:$N$26,Pilotage!$F$13:$F$26,A12)</f>
        <v/>
      </c>
      <c r="V12">
        <f>IF(B12="V01",cad!$I$21,IF(B12="V02",cad!$J$21,cad!$K$21))</f>
        <v/>
      </c>
      <c r="W12">
        <f>IF(B12="V01",cad!$I$22,IF(B12="V02",cad!$J$22,cad!$K$22))</f>
        <v/>
      </c>
      <c r="X12">
        <f>IF(B12="V01",cad!$I$23,IF(B12="V02",cad!$J$23,cad!$K$23))</f>
        <v/>
      </c>
      <c r="Y12">
        <f>IF(B12="V01",cad!$I$24,IF(B12="V02",cad!$J$24,cad!$K$24))</f>
        <v/>
      </c>
      <c r="Z12">
        <f>IF(B12="V01",cad!$I$25,IF(B12="V02",cad!$J$25,cad!$K$25))</f>
        <v/>
      </c>
      <c r="AA12">
        <f>IF(B12="V01",cad!$I$26,IF(B12="V02",cad!$J$26,cad!$K$26))</f>
        <v/>
      </c>
      <c r="AB12">
        <f>IF(B12="V01",cad!$I$37,IF(B12="V02",cad!$J$37,cad!$K$37))</f>
        <v/>
      </c>
      <c r="AC12">
        <f>IF(F12="MBWAY",cad!$I$9,IF(F12="ISCOM",cad!$I$10,IF(F12="IPAC",cad!$I$11,IF(F12="PIGIER",cad!$I$12,cad!$I$13))))</f>
        <v/>
      </c>
      <c r="AD12">
        <f>(O12*(1+W12)^S12+P12*((T12/U12)*(1+V12))^R12)*IFERROR(G12/Q12,0)*(J12+Y12)*K12*(L12+Z12)</f>
        <v/>
      </c>
      <c r="AE12">
        <f>IF(N12=1,AD12,0)</f>
        <v/>
      </c>
      <c r="AF12">
        <f>IF(N12=1,AD12,H12*(M12+AA12))</f>
        <v/>
      </c>
      <c r="AG12">
        <f>I12*(1+X12*AC12)</f>
        <v/>
      </c>
      <c r="AH12">
        <f>AF12*AG12+AE12*AB12</f>
        <v/>
      </c>
    </row>
    <row r="13">
      <c r="A13">
        <f>Moteur!D13</f>
        <v/>
      </c>
      <c r="B13">
        <f>Moteur!B13</f>
        <v/>
      </c>
      <c r="C13">
        <f>Moteur!F13</f>
        <v/>
      </c>
      <c r="D13">
        <f>Moteur!G13</f>
        <v/>
      </c>
      <c r="E13">
        <f>Moteur!H13</f>
        <v/>
      </c>
      <c r="F13">
        <f>Moteur!E13</f>
        <v/>
      </c>
      <c r="G13">
        <f>SUMIFS(Socle!$H$2:$H$175,Socle!$C$2:$C$175,A13,Socle!$D$2:$D$175,C13,Socle!$E$2:$E$175,D13,Socle!$F$2:$F$175,E13,Socle!$G$2:$G$175,"2026")</f>
        <v/>
      </c>
      <c r="H13">
        <f>SUMIFS(Socle!$N$2:$N$175,Socle!$C$2:$C$175,A13,Socle!$D$2:$D$175,C13,Socle!$E$2:$E$175,D13,Socle!$F$2:$F$175,E13,Socle!$G$2:$G$175,"2026")</f>
        <v/>
      </c>
      <c r="I13">
        <f>SUMIFS(Socle!$P$2:$P$175,Socle!$C$2:$C$175,A13,Socle!$D$2:$D$175,C13,Socle!$E$2:$E$175,D13,Socle!$F$2:$F$175,E13,Socle!$G$2:$G$175,"2026")</f>
        <v/>
      </c>
      <c r="J13">
        <f>SUMIFS(Socle!$W$2:$W$175,Socle!$C$2:$C$175,A13,Socle!$D$2:$D$175,C13,Socle!$E$2:$E$175,D13,Socle!$F$2:$F$175,E13,Socle!$G$2:$G$175,"2026")</f>
        <v/>
      </c>
      <c r="K13">
        <f>SUMIFS(Socle!$X$2:$X$175,Socle!$C$2:$C$175,A13,Socle!$D$2:$D$175,C13,Socle!$E$2:$E$175,D13,Socle!$F$2:$F$175,E13,Socle!$G$2:$G$175,"2026")</f>
        <v/>
      </c>
      <c r="L13">
        <f>SUMIFS(Socle!$Y$2:$Y$175,Socle!$C$2:$C$175,A13,Socle!$D$2:$D$175,C13,Socle!$E$2:$E$175,D13,Socle!$F$2:$F$175,E13,Socle!$G$2:$G$175,"2026")</f>
        <v/>
      </c>
      <c r="M13">
        <f>SUMIFS(Socle!$V$2:$V$175,Socle!$C$2:$C$175,A13,Socle!$D$2:$D$175,C13,Socle!$E$2:$E$175,D13,Socle!$F$2:$F$175,E13,Socle!$G$2:$G$175,"2026")</f>
        <v/>
      </c>
      <c r="N13">
        <f>IF(OR(D13="B1",D13="M1",D13="BTS1"),1,0)</f>
        <v/>
      </c>
      <c r="O13">
        <f>SUMIFS(Campagne!$D$2:$D$15,Campagne!$C$2:$C$15,A13)</f>
        <v/>
      </c>
      <c r="P13">
        <f>SUMIFS(Campagne!$E$2:$E$15,Campagne!$C$2:$C$15,A13)</f>
        <v/>
      </c>
      <c r="Q13">
        <f>SUMIFS(Campagne!$F$2:$F$15,Campagne!$C$2:$C$15,A13)</f>
        <v/>
      </c>
      <c r="R13">
        <f>SUMIFS(Campagne!$K$2:$K$15,Campagne!$C$2:$C$15,A13)</f>
        <v/>
      </c>
      <c r="S13">
        <f>SUMIFS(Campagne!$M$2:$M$15,Campagne!$C$2:$C$15,A13)</f>
        <v/>
      </c>
      <c r="T13">
        <f>SUMIFS(Pilotage!$Q$13:$Q$26,Pilotage!$F$13:$F$26,A13)</f>
        <v/>
      </c>
      <c r="U13">
        <f>SUMIFS(Pilotage!$N$13:$N$26,Pilotage!$F$13:$F$26,A13)</f>
        <v/>
      </c>
      <c r="V13">
        <f>IF(B13="V01",cad!$I$21,IF(B13="V02",cad!$J$21,cad!$K$21))</f>
        <v/>
      </c>
      <c r="W13">
        <f>IF(B13="V01",cad!$I$22,IF(B13="V02",cad!$J$22,cad!$K$22))</f>
        <v/>
      </c>
      <c r="X13">
        <f>IF(B13="V01",cad!$I$23,IF(B13="V02",cad!$J$23,cad!$K$23))</f>
        <v/>
      </c>
      <c r="Y13">
        <f>IF(B13="V01",cad!$I$24,IF(B13="V02",cad!$J$24,cad!$K$24))</f>
        <v/>
      </c>
      <c r="Z13">
        <f>IF(B13="V01",cad!$I$25,IF(B13="V02",cad!$J$25,cad!$K$25))</f>
        <v/>
      </c>
      <c r="AA13">
        <f>IF(B13="V01",cad!$I$26,IF(B13="V02",cad!$J$26,cad!$K$26))</f>
        <v/>
      </c>
      <c r="AB13">
        <f>IF(B13="V01",cad!$I$37,IF(B13="V02",cad!$J$37,cad!$K$37))</f>
        <v/>
      </c>
      <c r="AC13">
        <f>IF(F13="MBWAY",cad!$I$9,IF(F13="ISCOM",cad!$I$10,IF(F13="IPAC",cad!$I$11,IF(F13="PIGIER",cad!$I$12,cad!$I$13))))</f>
        <v/>
      </c>
      <c r="AD13">
        <f>(O13*(1+W13)^S13+P13*((T13/U13)*(1+V13))^R13)*IFERROR(G13/Q13,0)*(J13+Y13)*K13*(L13+Z13)</f>
        <v/>
      </c>
      <c r="AE13">
        <f>IF(N13=1,AD13,0)</f>
        <v/>
      </c>
      <c r="AF13">
        <f>IF(N13=1,AD13,H13*(M13+AA13))</f>
        <v/>
      </c>
      <c r="AG13">
        <f>I13*(1+X13*AC13)</f>
        <v/>
      </c>
      <c r="AH13">
        <f>AF13*AG13+AE13*AB13</f>
        <v/>
      </c>
    </row>
    <row r="14">
      <c r="A14">
        <f>Moteur!D14</f>
        <v/>
      </c>
      <c r="B14">
        <f>Moteur!B14</f>
        <v/>
      </c>
      <c r="C14">
        <f>Moteur!F14</f>
        <v/>
      </c>
      <c r="D14">
        <f>Moteur!G14</f>
        <v/>
      </c>
      <c r="E14">
        <f>Moteur!H14</f>
        <v/>
      </c>
      <c r="F14">
        <f>Moteur!E14</f>
        <v/>
      </c>
      <c r="G14">
        <f>SUMIFS(Socle!$H$2:$H$175,Socle!$C$2:$C$175,A14,Socle!$D$2:$D$175,C14,Socle!$E$2:$E$175,D14,Socle!$F$2:$F$175,E14,Socle!$G$2:$G$175,"2026")</f>
        <v/>
      </c>
      <c r="H14">
        <f>SUMIFS(Socle!$N$2:$N$175,Socle!$C$2:$C$175,A14,Socle!$D$2:$D$175,C14,Socle!$E$2:$E$175,D14,Socle!$F$2:$F$175,E14,Socle!$G$2:$G$175,"2026")</f>
        <v/>
      </c>
      <c r="I14">
        <f>SUMIFS(Socle!$P$2:$P$175,Socle!$C$2:$C$175,A14,Socle!$D$2:$D$175,C14,Socle!$E$2:$E$175,D14,Socle!$F$2:$F$175,E14,Socle!$G$2:$G$175,"2026")</f>
        <v/>
      </c>
      <c r="J14">
        <f>SUMIFS(Socle!$W$2:$W$175,Socle!$C$2:$C$175,A14,Socle!$D$2:$D$175,C14,Socle!$E$2:$E$175,D14,Socle!$F$2:$F$175,E14,Socle!$G$2:$G$175,"2026")</f>
        <v/>
      </c>
      <c r="K14">
        <f>SUMIFS(Socle!$X$2:$X$175,Socle!$C$2:$C$175,A14,Socle!$D$2:$D$175,C14,Socle!$E$2:$E$175,D14,Socle!$F$2:$F$175,E14,Socle!$G$2:$G$175,"2026")</f>
        <v/>
      </c>
      <c r="L14">
        <f>SUMIFS(Socle!$Y$2:$Y$175,Socle!$C$2:$C$175,A14,Socle!$D$2:$D$175,C14,Socle!$E$2:$E$175,D14,Socle!$F$2:$F$175,E14,Socle!$G$2:$G$175,"2026")</f>
        <v/>
      </c>
      <c r="M14">
        <f>SUMIFS(Socle!$V$2:$V$175,Socle!$C$2:$C$175,A14,Socle!$D$2:$D$175,C14,Socle!$E$2:$E$175,D14,Socle!$F$2:$F$175,E14,Socle!$G$2:$G$175,"2026")</f>
        <v/>
      </c>
      <c r="N14">
        <f>IF(OR(D14="B1",D14="M1",D14="BTS1"),1,0)</f>
        <v/>
      </c>
      <c r="O14">
        <f>SUMIFS(Campagne!$D$2:$D$15,Campagne!$C$2:$C$15,A14)</f>
        <v/>
      </c>
      <c r="P14">
        <f>SUMIFS(Campagne!$E$2:$E$15,Campagne!$C$2:$C$15,A14)</f>
        <v/>
      </c>
      <c r="Q14">
        <f>SUMIFS(Campagne!$F$2:$F$15,Campagne!$C$2:$C$15,A14)</f>
        <v/>
      </c>
      <c r="R14">
        <f>SUMIFS(Campagne!$K$2:$K$15,Campagne!$C$2:$C$15,A14)</f>
        <v/>
      </c>
      <c r="S14">
        <f>SUMIFS(Campagne!$M$2:$M$15,Campagne!$C$2:$C$15,A14)</f>
        <v/>
      </c>
      <c r="T14">
        <f>SUMIFS(Pilotage!$Q$13:$Q$26,Pilotage!$F$13:$F$26,A14)</f>
        <v/>
      </c>
      <c r="U14">
        <f>SUMIFS(Pilotage!$N$13:$N$26,Pilotage!$F$13:$F$26,A14)</f>
        <v/>
      </c>
      <c r="V14">
        <f>IF(B14="V01",cad!$I$21,IF(B14="V02",cad!$J$21,cad!$K$21))</f>
        <v/>
      </c>
      <c r="W14">
        <f>IF(B14="V01",cad!$I$22,IF(B14="V02",cad!$J$22,cad!$K$22))</f>
        <v/>
      </c>
      <c r="X14">
        <f>IF(B14="V01",cad!$I$23,IF(B14="V02",cad!$J$23,cad!$K$23))</f>
        <v/>
      </c>
      <c r="Y14">
        <f>IF(B14="V01",cad!$I$24,IF(B14="V02",cad!$J$24,cad!$K$24))</f>
        <v/>
      </c>
      <c r="Z14">
        <f>IF(B14="V01",cad!$I$25,IF(B14="V02",cad!$J$25,cad!$K$25))</f>
        <v/>
      </c>
      <c r="AA14">
        <f>IF(B14="V01",cad!$I$26,IF(B14="V02",cad!$J$26,cad!$K$26))</f>
        <v/>
      </c>
      <c r="AB14">
        <f>IF(B14="V01",cad!$I$37,IF(B14="V02",cad!$J$37,cad!$K$37))</f>
        <v/>
      </c>
      <c r="AC14">
        <f>IF(F14="MBWAY",cad!$I$9,IF(F14="ISCOM",cad!$I$10,IF(F14="IPAC",cad!$I$11,IF(F14="PIGIER",cad!$I$12,cad!$I$13))))</f>
        <v/>
      </c>
      <c r="AD14">
        <f>(O14*(1+W14)^S14+P14*((T14/U14)*(1+V14))^R14)*IFERROR(G14/Q14,0)*(J14+Y14)*K14*(L14+Z14)</f>
        <v/>
      </c>
      <c r="AE14">
        <f>IF(N14=1,AD14,0)</f>
        <v/>
      </c>
      <c r="AF14">
        <f>IF(N14=1,AD14,H14*(M14+AA14))</f>
        <v/>
      </c>
      <c r="AG14">
        <f>I14*(1+X14*AC14)</f>
        <v/>
      </c>
      <c r="AH14">
        <f>AF14*AG14+AE14*AB14</f>
        <v/>
      </c>
    </row>
    <row r="15">
      <c r="A15">
        <f>Moteur!D15</f>
        <v/>
      </c>
      <c r="B15">
        <f>Moteur!B15</f>
        <v/>
      </c>
      <c r="C15">
        <f>Moteur!F15</f>
        <v/>
      </c>
      <c r="D15">
        <f>Moteur!G15</f>
        <v/>
      </c>
      <c r="E15">
        <f>Moteur!H15</f>
        <v/>
      </c>
      <c r="F15">
        <f>Moteur!E15</f>
        <v/>
      </c>
      <c r="G15">
        <f>SUMIFS(Socle!$H$2:$H$175,Socle!$C$2:$C$175,A15,Socle!$D$2:$D$175,C15,Socle!$E$2:$E$175,D15,Socle!$F$2:$F$175,E15,Socle!$G$2:$G$175,"2026")</f>
        <v/>
      </c>
      <c r="H15">
        <f>SUMIFS(Socle!$N$2:$N$175,Socle!$C$2:$C$175,A15,Socle!$D$2:$D$175,C15,Socle!$E$2:$E$175,D15,Socle!$F$2:$F$175,E15,Socle!$G$2:$G$175,"2026")</f>
        <v/>
      </c>
      <c r="I15">
        <f>SUMIFS(Socle!$P$2:$P$175,Socle!$C$2:$C$175,A15,Socle!$D$2:$D$175,C15,Socle!$E$2:$E$175,D15,Socle!$F$2:$F$175,E15,Socle!$G$2:$G$175,"2026")</f>
        <v/>
      </c>
      <c r="J15">
        <f>SUMIFS(Socle!$W$2:$W$175,Socle!$C$2:$C$175,A15,Socle!$D$2:$D$175,C15,Socle!$E$2:$E$175,D15,Socle!$F$2:$F$175,E15,Socle!$G$2:$G$175,"2026")</f>
        <v/>
      </c>
      <c r="K15">
        <f>SUMIFS(Socle!$X$2:$X$175,Socle!$C$2:$C$175,A15,Socle!$D$2:$D$175,C15,Socle!$E$2:$E$175,D15,Socle!$F$2:$F$175,E15,Socle!$G$2:$G$175,"2026")</f>
        <v/>
      </c>
      <c r="L15">
        <f>SUMIFS(Socle!$Y$2:$Y$175,Socle!$C$2:$C$175,A15,Socle!$D$2:$D$175,C15,Socle!$E$2:$E$175,D15,Socle!$F$2:$F$175,E15,Socle!$G$2:$G$175,"2026")</f>
        <v/>
      </c>
      <c r="M15">
        <f>SUMIFS(Socle!$V$2:$V$175,Socle!$C$2:$C$175,A15,Socle!$D$2:$D$175,C15,Socle!$E$2:$E$175,D15,Socle!$F$2:$F$175,E15,Socle!$G$2:$G$175,"2026")</f>
        <v/>
      </c>
      <c r="N15">
        <f>IF(OR(D15="B1",D15="M1",D15="BTS1"),1,0)</f>
        <v/>
      </c>
      <c r="O15">
        <f>SUMIFS(Campagne!$D$2:$D$15,Campagne!$C$2:$C$15,A15)</f>
        <v/>
      </c>
      <c r="P15">
        <f>SUMIFS(Campagne!$E$2:$E$15,Campagne!$C$2:$C$15,A15)</f>
        <v/>
      </c>
      <c r="Q15">
        <f>SUMIFS(Campagne!$F$2:$F$15,Campagne!$C$2:$C$15,A15)</f>
        <v/>
      </c>
      <c r="R15">
        <f>SUMIFS(Campagne!$K$2:$K$15,Campagne!$C$2:$C$15,A15)</f>
        <v/>
      </c>
      <c r="S15">
        <f>SUMIFS(Campagne!$M$2:$M$15,Campagne!$C$2:$C$15,A15)</f>
        <v/>
      </c>
      <c r="T15">
        <f>SUMIFS(Pilotage!$Q$13:$Q$26,Pilotage!$F$13:$F$26,A15)</f>
        <v/>
      </c>
      <c r="U15">
        <f>SUMIFS(Pilotage!$N$13:$N$26,Pilotage!$F$13:$F$26,A15)</f>
        <v/>
      </c>
      <c r="V15">
        <f>IF(B15="V01",cad!$I$21,IF(B15="V02",cad!$J$21,cad!$K$21))</f>
        <v/>
      </c>
      <c r="W15">
        <f>IF(B15="V01",cad!$I$22,IF(B15="V02",cad!$J$22,cad!$K$22))</f>
        <v/>
      </c>
      <c r="X15">
        <f>IF(B15="V01",cad!$I$23,IF(B15="V02",cad!$J$23,cad!$K$23))</f>
        <v/>
      </c>
      <c r="Y15">
        <f>IF(B15="V01",cad!$I$24,IF(B15="V02",cad!$J$24,cad!$K$24))</f>
        <v/>
      </c>
      <c r="Z15">
        <f>IF(B15="V01",cad!$I$25,IF(B15="V02",cad!$J$25,cad!$K$25))</f>
        <v/>
      </c>
      <c r="AA15">
        <f>IF(B15="V01",cad!$I$26,IF(B15="V02",cad!$J$26,cad!$K$26))</f>
        <v/>
      </c>
      <c r="AB15">
        <f>IF(B15="V01",cad!$I$37,IF(B15="V02",cad!$J$37,cad!$K$37))</f>
        <v/>
      </c>
      <c r="AC15">
        <f>IF(F15="MBWAY",cad!$I$9,IF(F15="ISCOM",cad!$I$10,IF(F15="IPAC",cad!$I$11,IF(F15="PIGIER",cad!$I$12,cad!$I$13))))</f>
        <v/>
      </c>
      <c r="AD15">
        <f>(O15*(1+W15)^S15+P15*((T15/U15)*(1+V15))^R15)*IFERROR(G15/Q15,0)*(J15+Y15)*K15*(L15+Z15)</f>
        <v/>
      </c>
      <c r="AE15">
        <f>IF(N15=1,AD15,0)</f>
        <v/>
      </c>
      <c r="AF15">
        <f>IF(N15=1,AD15,H15*(M15+AA15))</f>
        <v/>
      </c>
      <c r="AG15">
        <f>I15*(1+X15*AC15)</f>
        <v/>
      </c>
      <c r="AH15">
        <f>AF15*AG15+AE15*AB15</f>
        <v/>
      </c>
    </row>
    <row r="16">
      <c r="A16">
        <f>Moteur!D16</f>
        <v/>
      </c>
      <c r="B16">
        <f>Moteur!B16</f>
        <v/>
      </c>
      <c r="C16">
        <f>Moteur!F16</f>
        <v/>
      </c>
      <c r="D16">
        <f>Moteur!G16</f>
        <v/>
      </c>
      <c r="E16">
        <f>Moteur!H16</f>
        <v/>
      </c>
      <c r="F16">
        <f>Moteur!E16</f>
        <v/>
      </c>
      <c r="G16">
        <f>SUMIFS(Socle!$H$2:$H$175,Socle!$C$2:$C$175,A16,Socle!$D$2:$D$175,C16,Socle!$E$2:$E$175,D16,Socle!$F$2:$F$175,E16,Socle!$G$2:$G$175,"2026")</f>
        <v/>
      </c>
      <c r="H16">
        <f>SUMIFS(Socle!$N$2:$N$175,Socle!$C$2:$C$175,A16,Socle!$D$2:$D$175,C16,Socle!$E$2:$E$175,D16,Socle!$F$2:$F$175,E16,Socle!$G$2:$G$175,"2026")</f>
        <v/>
      </c>
      <c r="I16">
        <f>SUMIFS(Socle!$P$2:$P$175,Socle!$C$2:$C$175,A16,Socle!$D$2:$D$175,C16,Socle!$E$2:$E$175,D16,Socle!$F$2:$F$175,E16,Socle!$G$2:$G$175,"2026")</f>
        <v/>
      </c>
      <c r="J16">
        <f>SUMIFS(Socle!$W$2:$W$175,Socle!$C$2:$C$175,A16,Socle!$D$2:$D$175,C16,Socle!$E$2:$E$175,D16,Socle!$F$2:$F$175,E16,Socle!$G$2:$G$175,"2026")</f>
        <v/>
      </c>
      <c r="K16">
        <f>SUMIFS(Socle!$X$2:$X$175,Socle!$C$2:$C$175,A16,Socle!$D$2:$D$175,C16,Socle!$E$2:$E$175,D16,Socle!$F$2:$F$175,E16,Socle!$G$2:$G$175,"2026")</f>
        <v/>
      </c>
      <c r="L16">
        <f>SUMIFS(Socle!$Y$2:$Y$175,Socle!$C$2:$C$175,A16,Socle!$D$2:$D$175,C16,Socle!$E$2:$E$175,D16,Socle!$F$2:$F$175,E16,Socle!$G$2:$G$175,"2026")</f>
        <v/>
      </c>
      <c r="M16">
        <f>SUMIFS(Socle!$V$2:$V$175,Socle!$C$2:$C$175,A16,Socle!$D$2:$D$175,C16,Socle!$E$2:$E$175,D16,Socle!$F$2:$F$175,E16,Socle!$G$2:$G$175,"2026")</f>
        <v/>
      </c>
      <c r="N16">
        <f>IF(OR(D16="B1",D16="M1",D16="BTS1"),1,0)</f>
        <v/>
      </c>
      <c r="O16">
        <f>SUMIFS(Campagne!$D$2:$D$15,Campagne!$C$2:$C$15,A16)</f>
        <v/>
      </c>
      <c r="P16">
        <f>SUMIFS(Campagne!$E$2:$E$15,Campagne!$C$2:$C$15,A16)</f>
        <v/>
      </c>
      <c r="Q16">
        <f>SUMIFS(Campagne!$F$2:$F$15,Campagne!$C$2:$C$15,A16)</f>
        <v/>
      </c>
      <c r="R16">
        <f>SUMIFS(Campagne!$K$2:$K$15,Campagne!$C$2:$C$15,A16)</f>
        <v/>
      </c>
      <c r="S16">
        <f>SUMIFS(Campagne!$M$2:$M$15,Campagne!$C$2:$C$15,A16)</f>
        <v/>
      </c>
      <c r="T16">
        <f>SUMIFS(Pilotage!$Q$13:$Q$26,Pilotage!$F$13:$F$26,A16)</f>
        <v/>
      </c>
      <c r="U16">
        <f>SUMIFS(Pilotage!$N$13:$N$26,Pilotage!$F$13:$F$26,A16)</f>
        <v/>
      </c>
      <c r="V16">
        <f>IF(B16="V01",cad!$I$21,IF(B16="V02",cad!$J$21,cad!$K$21))</f>
        <v/>
      </c>
      <c r="W16">
        <f>IF(B16="V01",cad!$I$22,IF(B16="V02",cad!$J$22,cad!$K$22))</f>
        <v/>
      </c>
      <c r="X16">
        <f>IF(B16="V01",cad!$I$23,IF(B16="V02",cad!$J$23,cad!$K$23))</f>
        <v/>
      </c>
      <c r="Y16">
        <f>IF(B16="V01",cad!$I$24,IF(B16="V02",cad!$J$24,cad!$K$24))</f>
        <v/>
      </c>
      <c r="Z16">
        <f>IF(B16="V01",cad!$I$25,IF(B16="V02",cad!$J$25,cad!$K$25))</f>
        <v/>
      </c>
      <c r="AA16">
        <f>IF(B16="V01",cad!$I$26,IF(B16="V02",cad!$J$26,cad!$K$26))</f>
        <v/>
      </c>
      <c r="AB16">
        <f>IF(B16="V01",cad!$I$37,IF(B16="V02",cad!$J$37,cad!$K$37))</f>
        <v/>
      </c>
      <c r="AC16">
        <f>IF(F16="MBWAY",cad!$I$9,IF(F16="ISCOM",cad!$I$10,IF(F16="IPAC",cad!$I$11,IF(F16="PIGIER",cad!$I$12,cad!$I$13))))</f>
        <v/>
      </c>
      <c r="AD16">
        <f>(O16*(1+W16)^S16+P16*((T16/U16)*(1+V16))^R16)*IFERROR(G16/Q16,0)*(J16+Y16)*K16*(L16+Z16)</f>
        <v/>
      </c>
      <c r="AE16">
        <f>IF(N16=1,AD16,0)</f>
        <v/>
      </c>
      <c r="AF16">
        <f>IF(N16=1,AD16,H16*(M16+AA16))</f>
        <v/>
      </c>
      <c r="AG16">
        <f>I16*(1+X16*AC16)</f>
        <v/>
      </c>
      <c r="AH16">
        <f>AF16*AG16+AE16*AB16</f>
        <v/>
      </c>
    </row>
    <row r="17">
      <c r="A17">
        <f>Moteur!D17</f>
        <v/>
      </c>
      <c r="B17">
        <f>Moteur!B17</f>
        <v/>
      </c>
      <c r="C17">
        <f>Moteur!F17</f>
        <v/>
      </c>
      <c r="D17">
        <f>Moteur!G17</f>
        <v/>
      </c>
      <c r="E17">
        <f>Moteur!H17</f>
        <v/>
      </c>
      <c r="F17">
        <f>Moteur!E17</f>
        <v/>
      </c>
      <c r="G17">
        <f>SUMIFS(Socle!$H$2:$H$175,Socle!$C$2:$C$175,A17,Socle!$D$2:$D$175,C17,Socle!$E$2:$E$175,D17,Socle!$F$2:$F$175,E17,Socle!$G$2:$G$175,"2026")</f>
        <v/>
      </c>
      <c r="H17">
        <f>SUMIFS(Socle!$N$2:$N$175,Socle!$C$2:$C$175,A17,Socle!$D$2:$D$175,C17,Socle!$E$2:$E$175,D17,Socle!$F$2:$F$175,E17,Socle!$G$2:$G$175,"2026")</f>
        <v/>
      </c>
      <c r="I17">
        <f>SUMIFS(Socle!$P$2:$P$175,Socle!$C$2:$C$175,A17,Socle!$D$2:$D$175,C17,Socle!$E$2:$E$175,D17,Socle!$F$2:$F$175,E17,Socle!$G$2:$G$175,"2026")</f>
        <v/>
      </c>
      <c r="J17">
        <f>SUMIFS(Socle!$W$2:$W$175,Socle!$C$2:$C$175,A17,Socle!$D$2:$D$175,C17,Socle!$E$2:$E$175,D17,Socle!$F$2:$F$175,E17,Socle!$G$2:$G$175,"2026")</f>
        <v/>
      </c>
      <c r="K17">
        <f>SUMIFS(Socle!$X$2:$X$175,Socle!$C$2:$C$175,A17,Socle!$D$2:$D$175,C17,Socle!$E$2:$E$175,D17,Socle!$F$2:$F$175,E17,Socle!$G$2:$G$175,"2026")</f>
        <v/>
      </c>
      <c r="L17">
        <f>SUMIFS(Socle!$Y$2:$Y$175,Socle!$C$2:$C$175,A17,Socle!$D$2:$D$175,C17,Socle!$E$2:$E$175,D17,Socle!$F$2:$F$175,E17,Socle!$G$2:$G$175,"2026")</f>
        <v/>
      </c>
      <c r="M17">
        <f>SUMIFS(Socle!$V$2:$V$175,Socle!$C$2:$C$175,A17,Socle!$D$2:$D$175,C17,Socle!$E$2:$E$175,D17,Socle!$F$2:$F$175,E17,Socle!$G$2:$G$175,"2026")</f>
        <v/>
      </c>
      <c r="N17">
        <f>IF(OR(D17="B1",D17="M1",D17="BTS1"),1,0)</f>
        <v/>
      </c>
      <c r="O17">
        <f>SUMIFS(Campagne!$D$2:$D$15,Campagne!$C$2:$C$15,A17)</f>
        <v/>
      </c>
      <c r="P17">
        <f>SUMIFS(Campagne!$E$2:$E$15,Campagne!$C$2:$C$15,A17)</f>
        <v/>
      </c>
      <c r="Q17">
        <f>SUMIFS(Campagne!$F$2:$F$15,Campagne!$C$2:$C$15,A17)</f>
        <v/>
      </c>
      <c r="R17">
        <f>SUMIFS(Campagne!$K$2:$K$15,Campagne!$C$2:$C$15,A17)</f>
        <v/>
      </c>
      <c r="S17">
        <f>SUMIFS(Campagne!$M$2:$M$15,Campagne!$C$2:$C$15,A17)</f>
        <v/>
      </c>
      <c r="T17">
        <f>SUMIFS(Pilotage!$Q$13:$Q$26,Pilotage!$F$13:$F$26,A17)</f>
        <v/>
      </c>
      <c r="U17">
        <f>SUMIFS(Pilotage!$N$13:$N$26,Pilotage!$F$13:$F$26,A17)</f>
        <v/>
      </c>
      <c r="V17">
        <f>IF(B17="V01",cad!$I$21,IF(B17="V02",cad!$J$21,cad!$K$21))</f>
        <v/>
      </c>
      <c r="W17">
        <f>IF(B17="V01",cad!$I$22,IF(B17="V02",cad!$J$22,cad!$K$22))</f>
        <v/>
      </c>
      <c r="X17">
        <f>IF(B17="V01",cad!$I$23,IF(B17="V02",cad!$J$23,cad!$K$23))</f>
        <v/>
      </c>
      <c r="Y17">
        <f>IF(B17="V01",cad!$I$24,IF(B17="V02",cad!$J$24,cad!$K$24))</f>
        <v/>
      </c>
      <c r="Z17">
        <f>IF(B17="V01",cad!$I$25,IF(B17="V02",cad!$J$25,cad!$K$25))</f>
        <v/>
      </c>
      <c r="AA17">
        <f>IF(B17="V01",cad!$I$26,IF(B17="V02",cad!$J$26,cad!$K$26))</f>
        <v/>
      </c>
      <c r="AB17">
        <f>IF(B17="V01",cad!$I$37,IF(B17="V02",cad!$J$37,cad!$K$37))</f>
        <v/>
      </c>
      <c r="AC17">
        <f>IF(F17="MBWAY",cad!$I$9,IF(F17="ISCOM",cad!$I$10,IF(F17="IPAC",cad!$I$11,IF(F17="PIGIER",cad!$I$12,cad!$I$13))))</f>
        <v/>
      </c>
      <c r="AD17">
        <f>(O17*(1+W17)^S17+P17*((T17/U17)*(1+V17))^R17)*IFERROR(G17/Q17,0)*(J17+Y17)*K17*(L17+Z17)</f>
        <v/>
      </c>
      <c r="AE17">
        <f>IF(N17=1,AD17,0)</f>
        <v/>
      </c>
      <c r="AF17">
        <f>IF(N17=1,AD17,H17*(M17+AA17))</f>
        <v/>
      </c>
      <c r="AG17">
        <f>I17*(1+X17*AC17)</f>
        <v/>
      </c>
      <c r="AH17">
        <f>AF17*AG17+AE17*AB17</f>
        <v/>
      </c>
    </row>
    <row r="18">
      <c r="A18">
        <f>Moteur!D18</f>
        <v/>
      </c>
      <c r="B18">
        <f>Moteur!B18</f>
        <v/>
      </c>
      <c r="C18">
        <f>Moteur!F18</f>
        <v/>
      </c>
      <c r="D18">
        <f>Moteur!G18</f>
        <v/>
      </c>
      <c r="E18">
        <f>Moteur!H18</f>
        <v/>
      </c>
      <c r="F18">
        <f>Moteur!E18</f>
        <v/>
      </c>
      <c r="G18">
        <f>SUMIFS(Socle!$H$2:$H$175,Socle!$C$2:$C$175,A18,Socle!$D$2:$D$175,C18,Socle!$E$2:$E$175,D18,Socle!$F$2:$F$175,E18,Socle!$G$2:$G$175,"2026")</f>
        <v/>
      </c>
      <c r="H18">
        <f>SUMIFS(Socle!$N$2:$N$175,Socle!$C$2:$C$175,A18,Socle!$D$2:$D$175,C18,Socle!$E$2:$E$175,D18,Socle!$F$2:$F$175,E18,Socle!$G$2:$G$175,"2026")</f>
        <v/>
      </c>
      <c r="I18">
        <f>SUMIFS(Socle!$P$2:$P$175,Socle!$C$2:$C$175,A18,Socle!$D$2:$D$175,C18,Socle!$E$2:$E$175,D18,Socle!$F$2:$F$175,E18,Socle!$G$2:$G$175,"2026")</f>
        <v/>
      </c>
      <c r="J18">
        <f>SUMIFS(Socle!$W$2:$W$175,Socle!$C$2:$C$175,A18,Socle!$D$2:$D$175,C18,Socle!$E$2:$E$175,D18,Socle!$F$2:$F$175,E18,Socle!$G$2:$G$175,"2026")</f>
        <v/>
      </c>
      <c r="K18">
        <f>SUMIFS(Socle!$X$2:$X$175,Socle!$C$2:$C$175,A18,Socle!$D$2:$D$175,C18,Socle!$E$2:$E$175,D18,Socle!$F$2:$F$175,E18,Socle!$G$2:$G$175,"2026")</f>
        <v/>
      </c>
      <c r="L18">
        <f>SUMIFS(Socle!$Y$2:$Y$175,Socle!$C$2:$C$175,A18,Socle!$D$2:$D$175,C18,Socle!$E$2:$E$175,D18,Socle!$F$2:$F$175,E18,Socle!$G$2:$G$175,"2026")</f>
        <v/>
      </c>
      <c r="M18">
        <f>SUMIFS(Socle!$V$2:$V$175,Socle!$C$2:$C$175,A18,Socle!$D$2:$D$175,C18,Socle!$E$2:$E$175,D18,Socle!$F$2:$F$175,E18,Socle!$G$2:$G$175,"2026")</f>
        <v/>
      </c>
      <c r="N18">
        <f>IF(OR(D18="B1",D18="M1",D18="BTS1"),1,0)</f>
        <v/>
      </c>
      <c r="O18">
        <f>SUMIFS(Campagne!$D$2:$D$15,Campagne!$C$2:$C$15,A18)</f>
        <v/>
      </c>
      <c r="P18">
        <f>SUMIFS(Campagne!$E$2:$E$15,Campagne!$C$2:$C$15,A18)</f>
        <v/>
      </c>
      <c r="Q18">
        <f>SUMIFS(Campagne!$F$2:$F$15,Campagne!$C$2:$C$15,A18)</f>
        <v/>
      </c>
      <c r="R18">
        <f>SUMIFS(Campagne!$K$2:$K$15,Campagne!$C$2:$C$15,A18)</f>
        <v/>
      </c>
      <c r="S18">
        <f>SUMIFS(Campagne!$M$2:$M$15,Campagne!$C$2:$C$15,A18)</f>
        <v/>
      </c>
      <c r="T18">
        <f>SUMIFS(Pilotage!$Q$13:$Q$26,Pilotage!$F$13:$F$26,A18)</f>
        <v/>
      </c>
      <c r="U18">
        <f>SUMIFS(Pilotage!$N$13:$N$26,Pilotage!$F$13:$F$26,A18)</f>
        <v/>
      </c>
      <c r="V18">
        <f>IF(B18="V01",cad!$I$21,IF(B18="V02",cad!$J$21,cad!$K$21))</f>
        <v/>
      </c>
      <c r="W18">
        <f>IF(B18="V01",cad!$I$22,IF(B18="V02",cad!$J$22,cad!$K$22))</f>
        <v/>
      </c>
      <c r="X18">
        <f>IF(B18="V01",cad!$I$23,IF(B18="V02",cad!$J$23,cad!$K$23))</f>
        <v/>
      </c>
      <c r="Y18">
        <f>IF(B18="V01",cad!$I$24,IF(B18="V02",cad!$J$24,cad!$K$24))</f>
        <v/>
      </c>
      <c r="Z18">
        <f>IF(B18="V01",cad!$I$25,IF(B18="V02",cad!$J$25,cad!$K$25))</f>
        <v/>
      </c>
      <c r="AA18">
        <f>IF(B18="V01",cad!$I$26,IF(B18="V02",cad!$J$26,cad!$K$26))</f>
        <v/>
      </c>
      <c r="AB18">
        <f>IF(B18="V01",cad!$I$37,IF(B18="V02",cad!$J$37,cad!$K$37))</f>
        <v/>
      </c>
      <c r="AC18">
        <f>IF(F18="MBWAY",cad!$I$9,IF(F18="ISCOM",cad!$I$10,IF(F18="IPAC",cad!$I$11,IF(F18="PIGIER",cad!$I$12,cad!$I$13))))</f>
        <v/>
      </c>
      <c r="AD18">
        <f>(O18*(1+W18)^S18+P18*((T18/U18)*(1+V18))^R18)*IFERROR(G18/Q18,0)*(J18+Y18)*K18*(L18+Z18)</f>
        <v/>
      </c>
      <c r="AE18">
        <f>IF(N18=1,AD18,0)</f>
        <v/>
      </c>
      <c r="AF18">
        <f>IF(N18=1,AD18,H18*(M18+AA18))</f>
        <v/>
      </c>
      <c r="AG18">
        <f>I18*(1+X18*AC18)</f>
        <v/>
      </c>
      <c r="AH18">
        <f>AF18*AG18+AE18*AB18</f>
        <v/>
      </c>
    </row>
    <row r="19">
      <c r="A19">
        <f>Moteur!D19</f>
        <v/>
      </c>
      <c r="B19">
        <f>Moteur!B19</f>
        <v/>
      </c>
      <c r="C19">
        <f>Moteur!F19</f>
        <v/>
      </c>
      <c r="D19">
        <f>Moteur!G19</f>
        <v/>
      </c>
      <c r="E19">
        <f>Moteur!H19</f>
        <v/>
      </c>
      <c r="F19">
        <f>Moteur!E19</f>
        <v/>
      </c>
      <c r="G19">
        <f>SUMIFS(Socle!$H$2:$H$175,Socle!$C$2:$C$175,A19,Socle!$D$2:$D$175,C19,Socle!$E$2:$E$175,D19,Socle!$F$2:$F$175,E19,Socle!$G$2:$G$175,"2026")</f>
        <v/>
      </c>
      <c r="H19">
        <f>SUMIFS(Socle!$N$2:$N$175,Socle!$C$2:$C$175,A19,Socle!$D$2:$D$175,C19,Socle!$E$2:$E$175,D19,Socle!$F$2:$F$175,E19,Socle!$G$2:$G$175,"2026")</f>
        <v/>
      </c>
      <c r="I19">
        <f>SUMIFS(Socle!$P$2:$P$175,Socle!$C$2:$C$175,A19,Socle!$D$2:$D$175,C19,Socle!$E$2:$E$175,D19,Socle!$F$2:$F$175,E19,Socle!$G$2:$G$175,"2026")</f>
        <v/>
      </c>
      <c r="J19">
        <f>SUMIFS(Socle!$W$2:$W$175,Socle!$C$2:$C$175,A19,Socle!$D$2:$D$175,C19,Socle!$E$2:$E$175,D19,Socle!$F$2:$F$175,E19,Socle!$G$2:$G$175,"2026")</f>
        <v/>
      </c>
      <c r="K19">
        <f>SUMIFS(Socle!$X$2:$X$175,Socle!$C$2:$C$175,A19,Socle!$D$2:$D$175,C19,Socle!$E$2:$E$175,D19,Socle!$F$2:$F$175,E19,Socle!$G$2:$G$175,"2026")</f>
        <v/>
      </c>
      <c r="L19">
        <f>SUMIFS(Socle!$Y$2:$Y$175,Socle!$C$2:$C$175,A19,Socle!$D$2:$D$175,C19,Socle!$E$2:$E$175,D19,Socle!$F$2:$F$175,E19,Socle!$G$2:$G$175,"2026")</f>
        <v/>
      </c>
      <c r="M19">
        <f>SUMIFS(Socle!$V$2:$V$175,Socle!$C$2:$C$175,A19,Socle!$D$2:$D$175,C19,Socle!$E$2:$E$175,D19,Socle!$F$2:$F$175,E19,Socle!$G$2:$G$175,"2026")</f>
        <v/>
      </c>
      <c r="N19">
        <f>IF(OR(D19="B1",D19="M1",D19="BTS1"),1,0)</f>
        <v/>
      </c>
      <c r="O19">
        <f>SUMIFS(Campagne!$D$2:$D$15,Campagne!$C$2:$C$15,A19)</f>
        <v/>
      </c>
      <c r="P19">
        <f>SUMIFS(Campagne!$E$2:$E$15,Campagne!$C$2:$C$15,A19)</f>
        <v/>
      </c>
      <c r="Q19">
        <f>SUMIFS(Campagne!$F$2:$F$15,Campagne!$C$2:$C$15,A19)</f>
        <v/>
      </c>
      <c r="R19">
        <f>SUMIFS(Campagne!$K$2:$K$15,Campagne!$C$2:$C$15,A19)</f>
        <v/>
      </c>
      <c r="S19">
        <f>SUMIFS(Campagne!$M$2:$M$15,Campagne!$C$2:$C$15,A19)</f>
        <v/>
      </c>
      <c r="T19">
        <f>SUMIFS(Pilotage!$Q$13:$Q$26,Pilotage!$F$13:$F$26,A19)</f>
        <v/>
      </c>
      <c r="U19">
        <f>SUMIFS(Pilotage!$N$13:$N$26,Pilotage!$F$13:$F$26,A19)</f>
        <v/>
      </c>
      <c r="V19">
        <f>IF(B19="V01",cad!$I$21,IF(B19="V02",cad!$J$21,cad!$K$21))</f>
        <v/>
      </c>
      <c r="W19">
        <f>IF(B19="V01",cad!$I$22,IF(B19="V02",cad!$J$22,cad!$K$22))</f>
        <v/>
      </c>
      <c r="X19">
        <f>IF(B19="V01",cad!$I$23,IF(B19="V02",cad!$J$23,cad!$K$23))</f>
        <v/>
      </c>
      <c r="Y19">
        <f>IF(B19="V01",cad!$I$24,IF(B19="V02",cad!$J$24,cad!$K$24))</f>
        <v/>
      </c>
      <c r="Z19">
        <f>IF(B19="V01",cad!$I$25,IF(B19="V02",cad!$J$25,cad!$K$25))</f>
        <v/>
      </c>
      <c r="AA19">
        <f>IF(B19="V01",cad!$I$26,IF(B19="V02",cad!$J$26,cad!$K$26))</f>
        <v/>
      </c>
      <c r="AB19">
        <f>IF(B19="V01",cad!$I$37,IF(B19="V02",cad!$J$37,cad!$K$37))</f>
        <v/>
      </c>
      <c r="AC19">
        <f>IF(F19="MBWAY",cad!$I$9,IF(F19="ISCOM",cad!$I$10,IF(F19="IPAC",cad!$I$11,IF(F19="PIGIER",cad!$I$12,cad!$I$13))))</f>
        <v/>
      </c>
      <c r="AD19">
        <f>(O19*(1+W19)^S19+P19*((T19/U19)*(1+V19))^R19)*IFERROR(G19/Q19,0)*(J19+Y19)*K19*(L19+Z19)</f>
        <v/>
      </c>
      <c r="AE19">
        <f>IF(N19=1,AD19,0)</f>
        <v/>
      </c>
      <c r="AF19">
        <f>IF(N19=1,AD19,H19*(M19+AA19))</f>
        <v/>
      </c>
      <c r="AG19">
        <f>I19*(1+X19*AC19)</f>
        <v/>
      </c>
      <c r="AH19">
        <f>AF19*AG19+AE19*AB19</f>
        <v/>
      </c>
    </row>
    <row r="20">
      <c r="A20">
        <f>Moteur!D20</f>
        <v/>
      </c>
      <c r="B20">
        <f>Moteur!B20</f>
        <v/>
      </c>
      <c r="C20">
        <f>Moteur!F20</f>
        <v/>
      </c>
      <c r="D20">
        <f>Moteur!G20</f>
        <v/>
      </c>
      <c r="E20">
        <f>Moteur!H20</f>
        <v/>
      </c>
      <c r="F20">
        <f>Moteur!E20</f>
        <v/>
      </c>
      <c r="G20">
        <f>SUMIFS(Socle!$H$2:$H$175,Socle!$C$2:$C$175,A20,Socle!$D$2:$D$175,C20,Socle!$E$2:$E$175,D20,Socle!$F$2:$F$175,E20,Socle!$G$2:$G$175,"2026")</f>
        <v/>
      </c>
      <c r="H20">
        <f>SUMIFS(Socle!$N$2:$N$175,Socle!$C$2:$C$175,A20,Socle!$D$2:$D$175,C20,Socle!$E$2:$E$175,D20,Socle!$F$2:$F$175,E20,Socle!$G$2:$G$175,"2026")</f>
        <v/>
      </c>
      <c r="I20">
        <f>SUMIFS(Socle!$P$2:$P$175,Socle!$C$2:$C$175,A20,Socle!$D$2:$D$175,C20,Socle!$E$2:$E$175,D20,Socle!$F$2:$F$175,E20,Socle!$G$2:$G$175,"2026")</f>
        <v/>
      </c>
      <c r="J20">
        <f>SUMIFS(Socle!$W$2:$W$175,Socle!$C$2:$C$175,A20,Socle!$D$2:$D$175,C20,Socle!$E$2:$E$175,D20,Socle!$F$2:$F$175,E20,Socle!$G$2:$G$175,"2026")</f>
        <v/>
      </c>
      <c r="K20">
        <f>SUMIFS(Socle!$X$2:$X$175,Socle!$C$2:$C$175,A20,Socle!$D$2:$D$175,C20,Socle!$E$2:$E$175,D20,Socle!$F$2:$F$175,E20,Socle!$G$2:$G$175,"2026")</f>
        <v/>
      </c>
      <c r="L20">
        <f>SUMIFS(Socle!$Y$2:$Y$175,Socle!$C$2:$C$175,A20,Socle!$D$2:$D$175,C20,Socle!$E$2:$E$175,D20,Socle!$F$2:$F$175,E20,Socle!$G$2:$G$175,"2026")</f>
        <v/>
      </c>
      <c r="M20">
        <f>SUMIFS(Socle!$V$2:$V$175,Socle!$C$2:$C$175,A20,Socle!$D$2:$D$175,C20,Socle!$E$2:$E$175,D20,Socle!$F$2:$F$175,E20,Socle!$G$2:$G$175,"2026")</f>
        <v/>
      </c>
      <c r="N20">
        <f>IF(OR(D20="B1",D20="M1",D20="BTS1"),1,0)</f>
        <v/>
      </c>
      <c r="O20">
        <f>SUMIFS(Campagne!$D$2:$D$15,Campagne!$C$2:$C$15,A20)</f>
        <v/>
      </c>
      <c r="P20">
        <f>SUMIFS(Campagne!$E$2:$E$15,Campagne!$C$2:$C$15,A20)</f>
        <v/>
      </c>
      <c r="Q20">
        <f>SUMIFS(Campagne!$F$2:$F$15,Campagne!$C$2:$C$15,A20)</f>
        <v/>
      </c>
      <c r="R20">
        <f>SUMIFS(Campagne!$K$2:$K$15,Campagne!$C$2:$C$15,A20)</f>
        <v/>
      </c>
      <c r="S20">
        <f>SUMIFS(Campagne!$M$2:$M$15,Campagne!$C$2:$C$15,A20)</f>
        <v/>
      </c>
      <c r="T20">
        <f>SUMIFS(Pilotage!$Q$13:$Q$26,Pilotage!$F$13:$F$26,A20)</f>
        <v/>
      </c>
      <c r="U20">
        <f>SUMIFS(Pilotage!$N$13:$N$26,Pilotage!$F$13:$F$26,A20)</f>
        <v/>
      </c>
      <c r="V20">
        <f>IF(B20="V01",cad!$I$21,IF(B20="V02",cad!$J$21,cad!$K$21))</f>
        <v/>
      </c>
      <c r="W20">
        <f>IF(B20="V01",cad!$I$22,IF(B20="V02",cad!$J$22,cad!$K$22))</f>
        <v/>
      </c>
      <c r="X20">
        <f>IF(B20="V01",cad!$I$23,IF(B20="V02",cad!$J$23,cad!$K$23))</f>
        <v/>
      </c>
      <c r="Y20">
        <f>IF(B20="V01",cad!$I$24,IF(B20="V02",cad!$J$24,cad!$K$24))</f>
        <v/>
      </c>
      <c r="Z20">
        <f>IF(B20="V01",cad!$I$25,IF(B20="V02",cad!$J$25,cad!$K$25))</f>
        <v/>
      </c>
      <c r="AA20">
        <f>IF(B20="V01",cad!$I$26,IF(B20="V02",cad!$J$26,cad!$K$26))</f>
        <v/>
      </c>
      <c r="AB20">
        <f>IF(B20="V01",cad!$I$37,IF(B20="V02",cad!$J$37,cad!$K$37))</f>
        <v/>
      </c>
      <c r="AC20">
        <f>IF(F20="MBWAY",cad!$I$9,IF(F20="ISCOM",cad!$I$10,IF(F20="IPAC",cad!$I$11,IF(F20="PIGIER",cad!$I$12,cad!$I$13))))</f>
        <v/>
      </c>
      <c r="AD20">
        <f>(O20*(1+W20)^S20+P20*((T20/U20)*(1+V20))^R20)*IFERROR(G20/Q20,0)*(J20+Y20)*K20*(L20+Z20)</f>
        <v/>
      </c>
      <c r="AE20">
        <f>IF(N20=1,AD20,0)</f>
        <v/>
      </c>
      <c r="AF20">
        <f>IF(N20=1,AD20,H20*(M20+AA20))</f>
        <v/>
      </c>
      <c r="AG20">
        <f>I20*(1+X20*AC20)</f>
        <v/>
      </c>
      <c r="AH20">
        <f>AF20*AG20+AE20*AB20</f>
        <v/>
      </c>
    </row>
    <row r="21">
      <c r="A21">
        <f>Moteur!D21</f>
        <v/>
      </c>
      <c r="B21">
        <f>Moteur!B21</f>
        <v/>
      </c>
      <c r="C21">
        <f>Moteur!F21</f>
        <v/>
      </c>
      <c r="D21">
        <f>Moteur!G21</f>
        <v/>
      </c>
      <c r="E21">
        <f>Moteur!H21</f>
        <v/>
      </c>
      <c r="F21">
        <f>Moteur!E21</f>
        <v/>
      </c>
      <c r="G21">
        <f>SUMIFS(Socle!$H$2:$H$175,Socle!$C$2:$C$175,A21,Socle!$D$2:$D$175,C21,Socle!$E$2:$E$175,D21,Socle!$F$2:$F$175,E21,Socle!$G$2:$G$175,"2026")</f>
        <v/>
      </c>
      <c r="H21">
        <f>SUMIFS(Socle!$N$2:$N$175,Socle!$C$2:$C$175,A21,Socle!$D$2:$D$175,C21,Socle!$E$2:$E$175,D21,Socle!$F$2:$F$175,E21,Socle!$G$2:$G$175,"2026")</f>
        <v/>
      </c>
      <c r="I21">
        <f>SUMIFS(Socle!$P$2:$P$175,Socle!$C$2:$C$175,A21,Socle!$D$2:$D$175,C21,Socle!$E$2:$E$175,D21,Socle!$F$2:$F$175,E21,Socle!$G$2:$G$175,"2026")</f>
        <v/>
      </c>
      <c r="J21">
        <f>SUMIFS(Socle!$W$2:$W$175,Socle!$C$2:$C$175,A21,Socle!$D$2:$D$175,C21,Socle!$E$2:$E$175,D21,Socle!$F$2:$F$175,E21,Socle!$G$2:$G$175,"2026")</f>
        <v/>
      </c>
      <c r="K21">
        <f>SUMIFS(Socle!$X$2:$X$175,Socle!$C$2:$C$175,A21,Socle!$D$2:$D$175,C21,Socle!$E$2:$E$175,D21,Socle!$F$2:$F$175,E21,Socle!$G$2:$G$175,"2026")</f>
        <v/>
      </c>
      <c r="L21">
        <f>SUMIFS(Socle!$Y$2:$Y$175,Socle!$C$2:$C$175,A21,Socle!$D$2:$D$175,C21,Socle!$E$2:$E$175,D21,Socle!$F$2:$F$175,E21,Socle!$G$2:$G$175,"2026")</f>
        <v/>
      </c>
      <c r="M21">
        <f>SUMIFS(Socle!$V$2:$V$175,Socle!$C$2:$C$175,A21,Socle!$D$2:$D$175,C21,Socle!$E$2:$E$175,D21,Socle!$F$2:$F$175,E21,Socle!$G$2:$G$175,"2026")</f>
        <v/>
      </c>
      <c r="N21">
        <f>IF(OR(D21="B1",D21="M1",D21="BTS1"),1,0)</f>
        <v/>
      </c>
      <c r="O21">
        <f>SUMIFS(Campagne!$D$2:$D$15,Campagne!$C$2:$C$15,A21)</f>
        <v/>
      </c>
      <c r="P21">
        <f>SUMIFS(Campagne!$E$2:$E$15,Campagne!$C$2:$C$15,A21)</f>
        <v/>
      </c>
      <c r="Q21">
        <f>SUMIFS(Campagne!$F$2:$F$15,Campagne!$C$2:$C$15,A21)</f>
        <v/>
      </c>
      <c r="R21">
        <f>SUMIFS(Campagne!$K$2:$K$15,Campagne!$C$2:$C$15,A21)</f>
        <v/>
      </c>
      <c r="S21">
        <f>SUMIFS(Campagne!$M$2:$M$15,Campagne!$C$2:$C$15,A21)</f>
        <v/>
      </c>
      <c r="T21">
        <f>SUMIFS(Pilotage!$Q$13:$Q$26,Pilotage!$F$13:$F$26,A21)</f>
        <v/>
      </c>
      <c r="U21">
        <f>SUMIFS(Pilotage!$N$13:$N$26,Pilotage!$F$13:$F$26,A21)</f>
        <v/>
      </c>
      <c r="V21">
        <f>IF(B21="V01",cad!$I$21,IF(B21="V02",cad!$J$21,cad!$K$21))</f>
        <v/>
      </c>
      <c r="W21">
        <f>IF(B21="V01",cad!$I$22,IF(B21="V02",cad!$J$22,cad!$K$22))</f>
        <v/>
      </c>
      <c r="X21">
        <f>IF(B21="V01",cad!$I$23,IF(B21="V02",cad!$J$23,cad!$K$23))</f>
        <v/>
      </c>
      <c r="Y21">
        <f>IF(B21="V01",cad!$I$24,IF(B21="V02",cad!$J$24,cad!$K$24))</f>
        <v/>
      </c>
      <c r="Z21">
        <f>IF(B21="V01",cad!$I$25,IF(B21="V02",cad!$J$25,cad!$K$25))</f>
        <v/>
      </c>
      <c r="AA21">
        <f>IF(B21="V01",cad!$I$26,IF(B21="V02",cad!$J$26,cad!$K$26))</f>
        <v/>
      </c>
      <c r="AB21">
        <f>IF(B21="V01",cad!$I$37,IF(B21="V02",cad!$J$37,cad!$K$37))</f>
        <v/>
      </c>
      <c r="AC21">
        <f>IF(F21="MBWAY",cad!$I$9,IF(F21="ISCOM",cad!$I$10,IF(F21="IPAC",cad!$I$11,IF(F21="PIGIER",cad!$I$12,cad!$I$13))))</f>
        <v/>
      </c>
      <c r="AD21">
        <f>(O21*(1+W21)^S21+P21*((T21/U21)*(1+V21))^R21)*IFERROR(G21/Q21,0)*(J21+Y21)*K21*(L21+Z21)</f>
        <v/>
      </c>
      <c r="AE21">
        <f>IF(N21=1,AD21,0)</f>
        <v/>
      </c>
      <c r="AF21">
        <f>IF(N21=1,AD21,H21*(M21+AA21))</f>
        <v/>
      </c>
      <c r="AG21">
        <f>I21*(1+X21*AC21)</f>
        <v/>
      </c>
      <c r="AH21">
        <f>AF21*AG21+AE21*AB21</f>
        <v/>
      </c>
    </row>
    <row r="22">
      <c r="A22">
        <f>Moteur!D22</f>
        <v/>
      </c>
      <c r="B22">
        <f>Moteur!B22</f>
        <v/>
      </c>
      <c r="C22">
        <f>Moteur!F22</f>
        <v/>
      </c>
      <c r="D22">
        <f>Moteur!G22</f>
        <v/>
      </c>
      <c r="E22">
        <f>Moteur!H22</f>
        <v/>
      </c>
      <c r="F22">
        <f>Moteur!E22</f>
        <v/>
      </c>
      <c r="G22">
        <f>SUMIFS(Socle!$H$2:$H$175,Socle!$C$2:$C$175,A22,Socle!$D$2:$D$175,C22,Socle!$E$2:$E$175,D22,Socle!$F$2:$F$175,E22,Socle!$G$2:$G$175,"2026")</f>
        <v/>
      </c>
      <c r="H22">
        <f>SUMIFS(Socle!$N$2:$N$175,Socle!$C$2:$C$175,A22,Socle!$D$2:$D$175,C22,Socle!$E$2:$E$175,D22,Socle!$F$2:$F$175,E22,Socle!$G$2:$G$175,"2026")</f>
        <v/>
      </c>
      <c r="I22">
        <f>SUMIFS(Socle!$P$2:$P$175,Socle!$C$2:$C$175,A22,Socle!$D$2:$D$175,C22,Socle!$E$2:$E$175,D22,Socle!$F$2:$F$175,E22,Socle!$G$2:$G$175,"2026")</f>
        <v/>
      </c>
      <c r="J22">
        <f>SUMIFS(Socle!$W$2:$W$175,Socle!$C$2:$C$175,A22,Socle!$D$2:$D$175,C22,Socle!$E$2:$E$175,D22,Socle!$F$2:$F$175,E22,Socle!$G$2:$G$175,"2026")</f>
        <v/>
      </c>
      <c r="K22">
        <f>SUMIFS(Socle!$X$2:$X$175,Socle!$C$2:$C$175,A22,Socle!$D$2:$D$175,C22,Socle!$E$2:$E$175,D22,Socle!$F$2:$F$175,E22,Socle!$G$2:$G$175,"2026")</f>
        <v/>
      </c>
      <c r="L22">
        <f>SUMIFS(Socle!$Y$2:$Y$175,Socle!$C$2:$C$175,A22,Socle!$D$2:$D$175,C22,Socle!$E$2:$E$175,D22,Socle!$F$2:$F$175,E22,Socle!$G$2:$G$175,"2026")</f>
        <v/>
      </c>
      <c r="M22">
        <f>SUMIFS(Socle!$V$2:$V$175,Socle!$C$2:$C$175,A22,Socle!$D$2:$D$175,C22,Socle!$E$2:$E$175,D22,Socle!$F$2:$F$175,E22,Socle!$G$2:$G$175,"2026")</f>
        <v/>
      </c>
      <c r="N22">
        <f>IF(OR(D22="B1",D22="M1",D22="BTS1"),1,0)</f>
        <v/>
      </c>
      <c r="O22">
        <f>SUMIFS(Campagne!$D$2:$D$15,Campagne!$C$2:$C$15,A22)</f>
        <v/>
      </c>
      <c r="P22">
        <f>SUMIFS(Campagne!$E$2:$E$15,Campagne!$C$2:$C$15,A22)</f>
        <v/>
      </c>
      <c r="Q22">
        <f>SUMIFS(Campagne!$F$2:$F$15,Campagne!$C$2:$C$15,A22)</f>
        <v/>
      </c>
      <c r="R22">
        <f>SUMIFS(Campagne!$K$2:$K$15,Campagne!$C$2:$C$15,A22)</f>
        <v/>
      </c>
      <c r="S22">
        <f>SUMIFS(Campagne!$M$2:$M$15,Campagne!$C$2:$C$15,A22)</f>
        <v/>
      </c>
      <c r="T22">
        <f>SUMIFS(Pilotage!$Q$13:$Q$26,Pilotage!$F$13:$F$26,A22)</f>
        <v/>
      </c>
      <c r="U22">
        <f>SUMIFS(Pilotage!$N$13:$N$26,Pilotage!$F$13:$F$26,A22)</f>
        <v/>
      </c>
      <c r="V22">
        <f>IF(B22="V01",cad!$I$21,IF(B22="V02",cad!$J$21,cad!$K$21))</f>
        <v/>
      </c>
      <c r="W22">
        <f>IF(B22="V01",cad!$I$22,IF(B22="V02",cad!$J$22,cad!$K$22))</f>
        <v/>
      </c>
      <c r="X22">
        <f>IF(B22="V01",cad!$I$23,IF(B22="V02",cad!$J$23,cad!$K$23))</f>
        <v/>
      </c>
      <c r="Y22">
        <f>IF(B22="V01",cad!$I$24,IF(B22="V02",cad!$J$24,cad!$K$24))</f>
        <v/>
      </c>
      <c r="Z22">
        <f>IF(B22="V01",cad!$I$25,IF(B22="V02",cad!$J$25,cad!$K$25))</f>
        <v/>
      </c>
      <c r="AA22">
        <f>IF(B22="V01",cad!$I$26,IF(B22="V02",cad!$J$26,cad!$K$26))</f>
        <v/>
      </c>
      <c r="AB22">
        <f>IF(B22="V01",cad!$I$37,IF(B22="V02",cad!$J$37,cad!$K$37))</f>
        <v/>
      </c>
      <c r="AC22">
        <f>IF(F22="MBWAY",cad!$I$9,IF(F22="ISCOM",cad!$I$10,IF(F22="IPAC",cad!$I$11,IF(F22="PIGIER",cad!$I$12,cad!$I$13))))</f>
        <v/>
      </c>
      <c r="AD22">
        <f>(O22*(1+W22)^S22+P22*((T22/U22)*(1+V22))^R22)*IFERROR(G22/Q22,0)*(J22+Y22)*K22*(L22+Z22)</f>
        <v/>
      </c>
      <c r="AE22">
        <f>IF(N22=1,AD22,0)</f>
        <v/>
      </c>
      <c r="AF22">
        <f>IF(N22=1,AD22,H22*(M22+AA22))</f>
        <v/>
      </c>
      <c r="AG22">
        <f>I22*(1+X22*AC22)</f>
        <v/>
      </c>
      <c r="AH22">
        <f>AF22*AG22+AE22*AB22</f>
        <v/>
      </c>
    </row>
    <row r="23">
      <c r="A23">
        <f>Moteur!D23</f>
        <v/>
      </c>
      <c r="B23">
        <f>Moteur!B23</f>
        <v/>
      </c>
      <c r="C23">
        <f>Moteur!F23</f>
        <v/>
      </c>
      <c r="D23">
        <f>Moteur!G23</f>
        <v/>
      </c>
      <c r="E23">
        <f>Moteur!H23</f>
        <v/>
      </c>
      <c r="F23">
        <f>Moteur!E23</f>
        <v/>
      </c>
      <c r="G23">
        <f>SUMIFS(Socle!$H$2:$H$175,Socle!$C$2:$C$175,A23,Socle!$D$2:$D$175,C23,Socle!$E$2:$E$175,D23,Socle!$F$2:$F$175,E23,Socle!$G$2:$G$175,"2026")</f>
        <v/>
      </c>
      <c r="H23">
        <f>SUMIFS(Socle!$N$2:$N$175,Socle!$C$2:$C$175,A23,Socle!$D$2:$D$175,C23,Socle!$E$2:$E$175,D23,Socle!$F$2:$F$175,E23,Socle!$G$2:$G$175,"2026")</f>
        <v/>
      </c>
      <c r="I23">
        <f>SUMIFS(Socle!$P$2:$P$175,Socle!$C$2:$C$175,A23,Socle!$D$2:$D$175,C23,Socle!$E$2:$E$175,D23,Socle!$F$2:$F$175,E23,Socle!$G$2:$G$175,"2026")</f>
        <v/>
      </c>
      <c r="J23">
        <f>SUMIFS(Socle!$W$2:$W$175,Socle!$C$2:$C$175,A23,Socle!$D$2:$D$175,C23,Socle!$E$2:$E$175,D23,Socle!$F$2:$F$175,E23,Socle!$G$2:$G$175,"2026")</f>
        <v/>
      </c>
      <c r="K23">
        <f>SUMIFS(Socle!$X$2:$X$175,Socle!$C$2:$C$175,A23,Socle!$D$2:$D$175,C23,Socle!$E$2:$E$175,D23,Socle!$F$2:$F$175,E23,Socle!$G$2:$G$175,"2026")</f>
        <v/>
      </c>
      <c r="L23">
        <f>SUMIFS(Socle!$Y$2:$Y$175,Socle!$C$2:$C$175,A23,Socle!$D$2:$D$175,C23,Socle!$E$2:$E$175,D23,Socle!$F$2:$F$175,E23,Socle!$G$2:$G$175,"2026")</f>
        <v/>
      </c>
      <c r="M23">
        <f>SUMIFS(Socle!$V$2:$V$175,Socle!$C$2:$C$175,A23,Socle!$D$2:$D$175,C23,Socle!$E$2:$E$175,D23,Socle!$F$2:$F$175,E23,Socle!$G$2:$G$175,"2026")</f>
        <v/>
      </c>
      <c r="N23">
        <f>IF(OR(D23="B1",D23="M1",D23="BTS1"),1,0)</f>
        <v/>
      </c>
      <c r="O23">
        <f>SUMIFS(Campagne!$D$2:$D$15,Campagne!$C$2:$C$15,A23)</f>
        <v/>
      </c>
      <c r="P23">
        <f>SUMIFS(Campagne!$E$2:$E$15,Campagne!$C$2:$C$15,A23)</f>
        <v/>
      </c>
      <c r="Q23">
        <f>SUMIFS(Campagne!$F$2:$F$15,Campagne!$C$2:$C$15,A23)</f>
        <v/>
      </c>
      <c r="R23">
        <f>SUMIFS(Campagne!$K$2:$K$15,Campagne!$C$2:$C$15,A23)</f>
        <v/>
      </c>
      <c r="S23">
        <f>SUMIFS(Campagne!$M$2:$M$15,Campagne!$C$2:$C$15,A23)</f>
        <v/>
      </c>
      <c r="T23">
        <f>SUMIFS(Pilotage!$Q$13:$Q$26,Pilotage!$F$13:$F$26,A23)</f>
        <v/>
      </c>
      <c r="U23">
        <f>SUMIFS(Pilotage!$N$13:$N$26,Pilotage!$F$13:$F$26,A23)</f>
        <v/>
      </c>
      <c r="V23">
        <f>IF(B23="V01",cad!$I$21,IF(B23="V02",cad!$J$21,cad!$K$21))</f>
        <v/>
      </c>
      <c r="W23">
        <f>IF(B23="V01",cad!$I$22,IF(B23="V02",cad!$J$22,cad!$K$22))</f>
        <v/>
      </c>
      <c r="X23">
        <f>IF(B23="V01",cad!$I$23,IF(B23="V02",cad!$J$23,cad!$K$23))</f>
        <v/>
      </c>
      <c r="Y23">
        <f>IF(B23="V01",cad!$I$24,IF(B23="V02",cad!$J$24,cad!$K$24))</f>
        <v/>
      </c>
      <c r="Z23">
        <f>IF(B23="V01",cad!$I$25,IF(B23="V02",cad!$J$25,cad!$K$25))</f>
        <v/>
      </c>
      <c r="AA23">
        <f>IF(B23="V01",cad!$I$26,IF(B23="V02",cad!$J$26,cad!$K$26))</f>
        <v/>
      </c>
      <c r="AB23">
        <f>IF(B23="V01",cad!$I$37,IF(B23="V02",cad!$J$37,cad!$K$37))</f>
        <v/>
      </c>
      <c r="AC23">
        <f>IF(F23="MBWAY",cad!$I$9,IF(F23="ISCOM",cad!$I$10,IF(F23="IPAC",cad!$I$11,IF(F23="PIGIER",cad!$I$12,cad!$I$13))))</f>
        <v/>
      </c>
      <c r="AD23">
        <f>(O23*(1+W23)^S23+P23*((T23/U23)*(1+V23))^R23)*IFERROR(G23/Q23,0)*(J23+Y23)*K23*(L23+Z23)</f>
        <v/>
      </c>
      <c r="AE23">
        <f>IF(N23=1,AD23,0)</f>
        <v/>
      </c>
      <c r="AF23">
        <f>IF(N23=1,AD23,H23*(M23+AA23))</f>
        <v/>
      </c>
      <c r="AG23">
        <f>I23*(1+X23*AC23)</f>
        <v/>
      </c>
      <c r="AH23">
        <f>AF23*AG23+AE23*AB23</f>
        <v/>
      </c>
    </row>
    <row r="24">
      <c r="A24">
        <f>Moteur!D24</f>
        <v/>
      </c>
      <c r="B24">
        <f>Moteur!B24</f>
        <v/>
      </c>
      <c r="C24">
        <f>Moteur!F24</f>
        <v/>
      </c>
      <c r="D24">
        <f>Moteur!G24</f>
        <v/>
      </c>
      <c r="E24">
        <f>Moteur!H24</f>
        <v/>
      </c>
      <c r="F24">
        <f>Moteur!E24</f>
        <v/>
      </c>
      <c r="G24">
        <f>SUMIFS(Socle!$H$2:$H$175,Socle!$C$2:$C$175,A24,Socle!$D$2:$D$175,C24,Socle!$E$2:$E$175,D24,Socle!$F$2:$F$175,E24,Socle!$G$2:$G$175,"2026")</f>
        <v/>
      </c>
      <c r="H24">
        <f>SUMIFS(Socle!$N$2:$N$175,Socle!$C$2:$C$175,A24,Socle!$D$2:$D$175,C24,Socle!$E$2:$E$175,D24,Socle!$F$2:$F$175,E24,Socle!$G$2:$G$175,"2026")</f>
        <v/>
      </c>
      <c r="I24">
        <f>SUMIFS(Socle!$P$2:$P$175,Socle!$C$2:$C$175,A24,Socle!$D$2:$D$175,C24,Socle!$E$2:$E$175,D24,Socle!$F$2:$F$175,E24,Socle!$G$2:$G$175,"2026")</f>
        <v/>
      </c>
      <c r="J24">
        <f>SUMIFS(Socle!$W$2:$W$175,Socle!$C$2:$C$175,A24,Socle!$D$2:$D$175,C24,Socle!$E$2:$E$175,D24,Socle!$F$2:$F$175,E24,Socle!$G$2:$G$175,"2026")</f>
        <v/>
      </c>
      <c r="K24">
        <f>SUMIFS(Socle!$X$2:$X$175,Socle!$C$2:$C$175,A24,Socle!$D$2:$D$175,C24,Socle!$E$2:$E$175,D24,Socle!$F$2:$F$175,E24,Socle!$G$2:$G$175,"2026")</f>
        <v/>
      </c>
      <c r="L24">
        <f>SUMIFS(Socle!$Y$2:$Y$175,Socle!$C$2:$C$175,A24,Socle!$D$2:$D$175,C24,Socle!$E$2:$E$175,D24,Socle!$F$2:$F$175,E24,Socle!$G$2:$G$175,"2026")</f>
        <v/>
      </c>
      <c r="M24">
        <f>SUMIFS(Socle!$V$2:$V$175,Socle!$C$2:$C$175,A24,Socle!$D$2:$D$175,C24,Socle!$E$2:$E$175,D24,Socle!$F$2:$F$175,E24,Socle!$G$2:$G$175,"2026")</f>
        <v/>
      </c>
      <c r="N24">
        <f>IF(OR(D24="B1",D24="M1",D24="BTS1"),1,0)</f>
        <v/>
      </c>
      <c r="O24">
        <f>SUMIFS(Campagne!$D$2:$D$15,Campagne!$C$2:$C$15,A24)</f>
        <v/>
      </c>
      <c r="P24">
        <f>SUMIFS(Campagne!$E$2:$E$15,Campagne!$C$2:$C$15,A24)</f>
        <v/>
      </c>
      <c r="Q24">
        <f>SUMIFS(Campagne!$F$2:$F$15,Campagne!$C$2:$C$15,A24)</f>
        <v/>
      </c>
      <c r="R24">
        <f>SUMIFS(Campagne!$K$2:$K$15,Campagne!$C$2:$C$15,A24)</f>
        <v/>
      </c>
      <c r="S24">
        <f>SUMIFS(Campagne!$M$2:$M$15,Campagne!$C$2:$C$15,A24)</f>
        <v/>
      </c>
      <c r="T24">
        <f>SUMIFS(Pilotage!$Q$13:$Q$26,Pilotage!$F$13:$F$26,A24)</f>
        <v/>
      </c>
      <c r="U24">
        <f>SUMIFS(Pilotage!$N$13:$N$26,Pilotage!$F$13:$F$26,A24)</f>
        <v/>
      </c>
      <c r="V24">
        <f>IF(B24="V01",cad!$I$21,IF(B24="V02",cad!$J$21,cad!$K$21))</f>
        <v/>
      </c>
      <c r="W24">
        <f>IF(B24="V01",cad!$I$22,IF(B24="V02",cad!$J$22,cad!$K$22))</f>
        <v/>
      </c>
      <c r="X24">
        <f>IF(B24="V01",cad!$I$23,IF(B24="V02",cad!$J$23,cad!$K$23))</f>
        <v/>
      </c>
      <c r="Y24">
        <f>IF(B24="V01",cad!$I$24,IF(B24="V02",cad!$J$24,cad!$K$24))</f>
        <v/>
      </c>
      <c r="Z24">
        <f>IF(B24="V01",cad!$I$25,IF(B24="V02",cad!$J$25,cad!$K$25))</f>
        <v/>
      </c>
      <c r="AA24">
        <f>IF(B24="V01",cad!$I$26,IF(B24="V02",cad!$J$26,cad!$K$26))</f>
        <v/>
      </c>
      <c r="AB24">
        <f>IF(B24="V01",cad!$I$37,IF(B24="V02",cad!$J$37,cad!$K$37))</f>
        <v/>
      </c>
      <c r="AC24">
        <f>IF(F24="MBWAY",cad!$I$9,IF(F24="ISCOM",cad!$I$10,IF(F24="IPAC",cad!$I$11,IF(F24="PIGIER",cad!$I$12,cad!$I$13))))</f>
        <v/>
      </c>
      <c r="AD24">
        <f>(O24*(1+W24)^S24+P24*((T24/U24)*(1+V24))^R24)*IFERROR(G24/Q24,0)*(J24+Y24)*K24*(L24+Z24)</f>
        <v/>
      </c>
      <c r="AE24">
        <f>IF(N24=1,AD24,0)</f>
        <v/>
      </c>
      <c r="AF24">
        <f>IF(N24=1,AD24,H24*(M24+AA24))</f>
        <v/>
      </c>
      <c r="AG24">
        <f>I24*(1+X24*AC24)</f>
        <v/>
      </c>
      <c r="AH24">
        <f>AF24*AG24+AE24*AB24</f>
        <v/>
      </c>
    </row>
    <row r="25">
      <c r="A25">
        <f>Moteur!D25</f>
        <v/>
      </c>
      <c r="B25">
        <f>Moteur!B25</f>
        <v/>
      </c>
      <c r="C25">
        <f>Moteur!F25</f>
        <v/>
      </c>
      <c r="D25">
        <f>Moteur!G25</f>
        <v/>
      </c>
      <c r="E25">
        <f>Moteur!H25</f>
        <v/>
      </c>
      <c r="F25">
        <f>Moteur!E25</f>
        <v/>
      </c>
      <c r="G25">
        <f>SUMIFS(Socle!$H$2:$H$175,Socle!$C$2:$C$175,A25,Socle!$D$2:$D$175,C25,Socle!$E$2:$E$175,D25,Socle!$F$2:$F$175,E25,Socle!$G$2:$G$175,"2026")</f>
        <v/>
      </c>
      <c r="H25">
        <f>SUMIFS(Socle!$N$2:$N$175,Socle!$C$2:$C$175,A25,Socle!$D$2:$D$175,C25,Socle!$E$2:$E$175,D25,Socle!$F$2:$F$175,E25,Socle!$G$2:$G$175,"2026")</f>
        <v/>
      </c>
      <c r="I25">
        <f>SUMIFS(Socle!$P$2:$P$175,Socle!$C$2:$C$175,A25,Socle!$D$2:$D$175,C25,Socle!$E$2:$E$175,D25,Socle!$F$2:$F$175,E25,Socle!$G$2:$G$175,"2026")</f>
        <v/>
      </c>
      <c r="J25">
        <f>SUMIFS(Socle!$W$2:$W$175,Socle!$C$2:$C$175,A25,Socle!$D$2:$D$175,C25,Socle!$E$2:$E$175,D25,Socle!$F$2:$F$175,E25,Socle!$G$2:$G$175,"2026")</f>
        <v/>
      </c>
      <c r="K25">
        <f>SUMIFS(Socle!$X$2:$X$175,Socle!$C$2:$C$175,A25,Socle!$D$2:$D$175,C25,Socle!$E$2:$E$175,D25,Socle!$F$2:$F$175,E25,Socle!$G$2:$G$175,"2026")</f>
        <v/>
      </c>
      <c r="L25">
        <f>SUMIFS(Socle!$Y$2:$Y$175,Socle!$C$2:$C$175,A25,Socle!$D$2:$D$175,C25,Socle!$E$2:$E$175,D25,Socle!$F$2:$F$175,E25,Socle!$G$2:$G$175,"2026")</f>
        <v/>
      </c>
      <c r="M25">
        <f>SUMIFS(Socle!$V$2:$V$175,Socle!$C$2:$C$175,A25,Socle!$D$2:$D$175,C25,Socle!$E$2:$E$175,D25,Socle!$F$2:$F$175,E25,Socle!$G$2:$G$175,"2026")</f>
        <v/>
      </c>
      <c r="N25">
        <f>IF(OR(D25="B1",D25="M1",D25="BTS1"),1,0)</f>
        <v/>
      </c>
      <c r="O25">
        <f>SUMIFS(Campagne!$D$2:$D$15,Campagne!$C$2:$C$15,A25)</f>
        <v/>
      </c>
      <c r="P25">
        <f>SUMIFS(Campagne!$E$2:$E$15,Campagne!$C$2:$C$15,A25)</f>
        <v/>
      </c>
      <c r="Q25">
        <f>SUMIFS(Campagne!$F$2:$F$15,Campagne!$C$2:$C$15,A25)</f>
        <v/>
      </c>
      <c r="R25">
        <f>SUMIFS(Campagne!$K$2:$K$15,Campagne!$C$2:$C$15,A25)</f>
        <v/>
      </c>
      <c r="S25">
        <f>SUMIFS(Campagne!$M$2:$M$15,Campagne!$C$2:$C$15,A25)</f>
        <v/>
      </c>
      <c r="T25">
        <f>SUMIFS(Pilotage!$Q$13:$Q$26,Pilotage!$F$13:$F$26,A25)</f>
        <v/>
      </c>
      <c r="U25">
        <f>SUMIFS(Pilotage!$N$13:$N$26,Pilotage!$F$13:$F$26,A25)</f>
        <v/>
      </c>
      <c r="V25">
        <f>IF(B25="V01",cad!$I$21,IF(B25="V02",cad!$J$21,cad!$K$21))</f>
        <v/>
      </c>
      <c r="W25">
        <f>IF(B25="V01",cad!$I$22,IF(B25="V02",cad!$J$22,cad!$K$22))</f>
        <v/>
      </c>
      <c r="X25">
        <f>IF(B25="V01",cad!$I$23,IF(B25="V02",cad!$J$23,cad!$K$23))</f>
        <v/>
      </c>
      <c r="Y25">
        <f>IF(B25="V01",cad!$I$24,IF(B25="V02",cad!$J$24,cad!$K$24))</f>
        <v/>
      </c>
      <c r="Z25">
        <f>IF(B25="V01",cad!$I$25,IF(B25="V02",cad!$J$25,cad!$K$25))</f>
        <v/>
      </c>
      <c r="AA25">
        <f>IF(B25="V01",cad!$I$26,IF(B25="V02",cad!$J$26,cad!$K$26))</f>
        <v/>
      </c>
      <c r="AB25">
        <f>IF(B25="V01",cad!$I$37,IF(B25="V02",cad!$J$37,cad!$K$37))</f>
        <v/>
      </c>
      <c r="AC25">
        <f>IF(F25="MBWAY",cad!$I$9,IF(F25="ISCOM",cad!$I$10,IF(F25="IPAC",cad!$I$11,IF(F25="PIGIER",cad!$I$12,cad!$I$13))))</f>
        <v/>
      </c>
      <c r="AD25">
        <f>(O25*(1+W25)^S25+P25*((T25/U25)*(1+V25))^R25)*IFERROR(G25/Q25,0)*(J25+Y25)*K25*(L25+Z25)</f>
        <v/>
      </c>
      <c r="AE25">
        <f>IF(N25=1,AD25,0)</f>
        <v/>
      </c>
      <c r="AF25">
        <f>IF(N25=1,AD25,H25*(M25+AA25))</f>
        <v/>
      </c>
      <c r="AG25">
        <f>I25*(1+X25*AC25)</f>
        <v/>
      </c>
      <c r="AH25">
        <f>AF25*AG25+AE25*AB25</f>
        <v/>
      </c>
    </row>
    <row r="26">
      <c r="A26">
        <f>Moteur!D26</f>
        <v/>
      </c>
      <c r="B26">
        <f>Moteur!B26</f>
        <v/>
      </c>
      <c r="C26">
        <f>Moteur!F26</f>
        <v/>
      </c>
      <c r="D26">
        <f>Moteur!G26</f>
        <v/>
      </c>
      <c r="E26">
        <f>Moteur!H26</f>
        <v/>
      </c>
      <c r="F26">
        <f>Moteur!E26</f>
        <v/>
      </c>
      <c r="G26">
        <f>SUMIFS(Socle!$H$2:$H$175,Socle!$C$2:$C$175,A26,Socle!$D$2:$D$175,C26,Socle!$E$2:$E$175,D26,Socle!$F$2:$F$175,E26,Socle!$G$2:$G$175,"2026")</f>
        <v/>
      </c>
      <c r="H26">
        <f>SUMIFS(Socle!$N$2:$N$175,Socle!$C$2:$C$175,A26,Socle!$D$2:$D$175,C26,Socle!$E$2:$E$175,D26,Socle!$F$2:$F$175,E26,Socle!$G$2:$G$175,"2026")</f>
        <v/>
      </c>
      <c r="I26">
        <f>SUMIFS(Socle!$P$2:$P$175,Socle!$C$2:$C$175,A26,Socle!$D$2:$D$175,C26,Socle!$E$2:$E$175,D26,Socle!$F$2:$F$175,E26,Socle!$G$2:$G$175,"2026")</f>
        <v/>
      </c>
      <c r="J26">
        <f>SUMIFS(Socle!$W$2:$W$175,Socle!$C$2:$C$175,A26,Socle!$D$2:$D$175,C26,Socle!$E$2:$E$175,D26,Socle!$F$2:$F$175,E26,Socle!$G$2:$G$175,"2026")</f>
        <v/>
      </c>
      <c r="K26">
        <f>SUMIFS(Socle!$X$2:$X$175,Socle!$C$2:$C$175,A26,Socle!$D$2:$D$175,C26,Socle!$E$2:$E$175,D26,Socle!$F$2:$F$175,E26,Socle!$G$2:$G$175,"2026")</f>
        <v/>
      </c>
      <c r="L26">
        <f>SUMIFS(Socle!$Y$2:$Y$175,Socle!$C$2:$C$175,A26,Socle!$D$2:$D$175,C26,Socle!$E$2:$E$175,D26,Socle!$F$2:$F$175,E26,Socle!$G$2:$G$175,"2026")</f>
        <v/>
      </c>
      <c r="M26">
        <f>SUMIFS(Socle!$V$2:$V$175,Socle!$C$2:$C$175,A26,Socle!$D$2:$D$175,C26,Socle!$E$2:$E$175,D26,Socle!$F$2:$F$175,E26,Socle!$G$2:$G$175,"2026")</f>
        <v/>
      </c>
      <c r="N26">
        <f>IF(OR(D26="B1",D26="M1",D26="BTS1"),1,0)</f>
        <v/>
      </c>
      <c r="O26">
        <f>SUMIFS(Campagne!$D$2:$D$15,Campagne!$C$2:$C$15,A26)</f>
        <v/>
      </c>
      <c r="P26">
        <f>SUMIFS(Campagne!$E$2:$E$15,Campagne!$C$2:$C$15,A26)</f>
        <v/>
      </c>
      <c r="Q26">
        <f>SUMIFS(Campagne!$F$2:$F$15,Campagne!$C$2:$C$15,A26)</f>
        <v/>
      </c>
      <c r="R26">
        <f>SUMIFS(Campagne!$K$2:$K$15,Campagne!$C$2:$C$15,A26)</f>
        <v/>
      </c>
      <c r="S26">
        <f>SUMIFS(Campagne!$M$2:$M$15,Campagne!$C$2:$C$15,A26)</f>
        <v/>
      </c>
      <c r="T26">
        <f>SUMIFS(Pilotage!$Q$13:$Q$26,Pilotage!$F$13:$F$26,A26)</f>
        <v/>
      </c>
      <c r="U26">
        <f>SUMIFS(Pilotage!$N$13:$N$26,Pilotage!$F$13:$F$26,A26)</f>
        <v/>
      </c>
      <c r="V26">
        <f>IF(B26="V01",cad!$I$21,IF(B26="V02",cad!$J$21,cad!$K$21))</f>
        <v/>
      </c>
      <c r="W26">
        <f>IF(B26="V01",cad!$I$22,IF(B26="V02",cad!$J$22,cad!$K$22))</f>
        <v/>
      </c>
      <c r="X26">
        <f>IF(B26="V01",cad!$I$23,IF(B26="V02",cad!$J$23,cad!$K$23))</f>
        <v/>
      </c>
      <c r="Y26">
        <f>IF(B26="V01",cad!$I$24,IF(B26="V02",cad!$J$24,cad!$K$24))</f>
        <v/>
      </c>
      <c r="Z26">
        <f>IF(B26="V01",cad!$I$25,IF(B26="V02",cad!$J$25,cad!$K$25))</f>
        <v/>
      </c>
      <c r="AA26">
        <f>IF(B26="V01",cad!$I$26,IF(B26="V02",cad!$J$26,cad!$K$26))</f>
        <v/>
      </c>
      <c r="AB26">
        <f>IF(B26="V01",cad!$I$37,IF(B26="V02",cad!$J$37,cad!$K$37))</f>
        <v/>
      </c>
      <c r="AC26">
        <f>IF(F26="MBWAY",cad!$I$9,IF(F26="ISCOM",cad!$I$10,IF(F26="IPAC",cad!$I$11,IF(F26="PIGIER",cad!$I$12,cad!$I$13))))</f>
        <v/>
      </c>
      <c r="AD26">
        <f>(O26*(1+W26)^S26+P26*((T26/U26)*(1+V26))^R26)*IFERROR(G26/Q26,0)*(J26+Y26)*K26*(L26+Z26)</f>
        <v/>
      </c>
      <c r="AE26">
        <f>IF(N26=1,AD26,0)</f>
        <v/>
      </c>
      <c r="AF26">
        <f>IF(N26=1,AD26,H26*(M26+AA26))</f>
        <v/>
      </c>
      <c r="AG26">
        <f>I26*(1+X26*AC26)</f>
        <v/>
      </c>
      <c r="AH26">
        <f>AF26*AG26+AE26*AB26</f>
        <v/>
      </c>
    </row>
    <row r="27">
      <c r="A27">
        <f>Moteur!D27</f>
        <v/>
      </c>
      <c r="B27">
        <f>Moteur!B27</f>
        <v/>
      </c>
      <c r="C27">
        <f>Moteur!F27</f>
        <v/>
      </c>
      <c r="D27">
        <f>Moteur!G27</f>
        <v/>
      </c>
      <c r="E27">
        <f>Moteur!H27</f>
        <v/>
      </c>
      <c r="F27">
        <f>Moteur!E27</f>
        <v/>
      </c>
      <c r="G27">
        <f>SUMIFS(Socle!$H$2:$H$175,Socle!$C$2:$C$175,A27,Socle!$D$2:$D$175,C27,Socle!$E$2:$E$175,D27,Socle!$F$2:$F$175,E27,Socle!$G$2:$G$175,"2026")</f>
        <v/>
      </c>
      <c r="H27">
        <f>SUMIFS(Socle!$N$2:$N$175,Socle!$C$2:$C$175,A27,Socle!$D$2:$D$175,C27,Socle!$E$2:$E$175,D27,Socle!$F$2:$F$175,E27,Socle!$G$2:$G$175,"2026")</f>
        <v/>
      </c>
      <c r="I27">
        <f>SUMIFS(Socle!$P$2:$P$175,Socle!$C$2:$C$175,A27,Socle!$D$2:$D$175,C27,Socle!$E$2:$E$175,D27,Socle!$F$2:$F$175,E27,Socle!$G$2:$G$175,"2026")</f>
        <v/>
      </c>
      <c r="J27">
        <f>SUMIFS(Socle!$W$2:$W$175,Socle!$C$2:$C$175,A27,Socle!$D$2:$D$175,C27,Socle!$E$2:$E$175,D27,Socle!$F$2:$F$175,E27,Socle!$G$2:$G$175,"2026")</f>
        <v/>
      </c>
      <c r="K27">
        <f>SUMIFS(Socle!$X$2:$X$175,Socle!$C$2:$C$175,A27,Socle!$D$2:$D$175,C27,Socle!$E$2:$E$175,D27,Socle!$F$2:$F$175,E27,Socle!$G$2:$G$175,"2026")</f>
        <v/>
      </c>
      <c r="L27">
        <f>SUMIFS(Socle!$Y$2:$Y$175,Socle!$C$2:$C$175,A27,Socle!$D$2:$D$175,C27,Socle!$E$2:$E$175,D27,Socle!$F$2:$F$175,E27,Socle!$G$2:$G$175,"2026")</f>
        <v/>
      </c>
      <c r="M27">
        <f>SUMIFS(Socle!$V$2:$V$175,Socle!$C$2:$C$175,A27,Socle!$D$2:$D$175,C27,Socle!$E$2:$E$175,D27,Socle!$F$2:$F$175,E27,Socle!$G$2:$G$175,"2026")</f>
        <v/>
      </c>
      <c r="N27">
        <f>IF(OR(D27="B1",D27="M1",D27="BTS1"),1,0)</f>
        <v/>
      </c>
      <c r="O27">
        <f>SUMIFS(Campagne!$D$2:$D$15,Campagne!$C$2:$C$15,A27)</f>
        <v/>
      </c>
      <c r="P27">
        <f>SUMIFS(Campagne!$E$2:$E$15,Campagne!$C$2:$C$15,A27)</f>
        <v/>
      </c>
      <c r="Q27">
        <f>SUMIFS(Campagne!$F$2:$F$15,Campagne!$C$2:$C$15,A27)</f>
        <v/>
      </c>
      <c r="R27">
        <f>SUMIFS(Campagne!$K$2:$K$15,Campagne!$C$2:$C$15,A27)</f>
        <v/>
      </c>
      <c r="S27">
        <f>SUMIFS(Campagne!$M$2:$M$15,Campagne!$C$2:$C$15,A27)</f>
        <v/>
      </c>
      <c r="T27">
        <f>SUMIFS(Pilotage!$Q$13:$Q$26,Pilotage!$F$13:$F$26,A27)</f>
        <v/>
      </c>
      <c r="U27">
        <f>SUMIFS(Pilotage!$N$13:$N$26,Pilotage!$F$13:$F$26,A27)</f>
        <v/>
      </c>
      <c r="V27">
        <f>IF(B27="V01",cad!$I$21,IF(B27="V02",cad!$J$21,cad!$K$21))</f>
        <v/>
      </c>
      <c r="W27">
        <f>IF(B27="V01",cad!$I$22,IF(B27="V02",cad!$J$22,cad!$K$22))</f>
        <v/>
      </c>
      <c r="X27">
        <f>IF(B27="V01",cad!$I$23,IF(B27="V02",cad!$J$23,cad!$K$23))</f>
        <v/>
      </c>
      <c r="Y27">
        <f>IF(B27="V01",cad!$I$24,IF(B27="V02",cad!$J$24,cad!$K$24))</f>
        <v/>
      </c>
      <c r="Z27">
        <f>IF(B27="V01",cad!$I$25,IF(B27="V02",cad!$J$25,cad!$K$25))</f>
        <v/>
      </c>
      <c r="AA27">
        <f>IF(B27="V01",cad!$I$26,IF(B27="V02",cad!$J$26,cad!$K$26))</f>
        <v/>
      </c>
      <c r="AB27">
        <f>IF(B27="V01",cad!$I$37,IF(B27="V02",cad!$J$37,cad!$K$37))</f>
        <v/>
      </c>
      <c r="AC27">
        <f>IF(F27="MBWAY",cad!$I$9,IF(F27="ISCOM",cad!$I$10,IF(F27="IPAC",cad!$I$11,IF(F27="PIGIER",cad!$I$12,cad!$I$13))))</f>
        <v/>
      </c>
      <c r="AD27">
        <f>(O27*(1+W27)^S27+P27*((T27/U27)*(1+V27))^R27)*IFERROR(G27/Q27,0)*(J27+Y27)*K27*(L27+Z27)</f>
        <v/>
      </c>
      <c r="AE27">
        <f>IF(N27=1,AD27,0)</f>
        <v/>
      </c>
      <c r="AF27">
        <f>IF(N27=1,AD27,H27*(M27+AA27))</f>
        <v/>
      </c>
      <c r="AG27">
        <f>I27*(1+X27*AC27)</f>
        <v/>
      </c>
      <c r="AH27">
        <f>AF27*AG27+AE27*AB27</f>
        <v/>
      </c>
    </row>
    <row r="28">
      <c r="A28">
        <f>Moteur!D28</f>
        <v/>
      </c>
      <c r="B28">
        <f>Moteur!B28</f>
        <v/>
      </c>
      <c r="C28">
        <f>Moteur!F28</f>
        <v/>
      </c>
      <c r="D28">
        <f>Moteur!G28</f>
        <v/>
      </c>
      <c r="E28">
        <f>Moteur!H28</f>
        <v/>
      </c>
      <c r="F28">
        <f>Moteur!E28</f>
        <v/>
      </c>
      <c r="G28">
        <f>SUMIFS(Socle!$H$2:$H$175,Socle!$C$2:$C$175,A28,Socle!$D$2:$D$175,C28,Socle!$E$2:$E$175,D28,Socle!$F$2:$F$175,E28,Socle!$G$2:$G$175,"2026")</f>
        <v/>
      </c>
      <c r="H28">
        <f>SUMIFS(Socle!$N$2:$N$175,Socle!$C$2:$C$175,A28,Socle!$D$2:$D$175,C28,Socle!$E$2:$E$175,D28,Socle!$F$2:$F$175,E28,Socle!$G$2:$G$175,"2026")</f>
        <v/>
      </c>
      <c r="I28">
        <f>SUMIFS(Socle!$P$2:$P$175,Socle!$C$2:$C$175,A28,Socle!$D$2:$D$175,C28,Socle!$E$2:$E$175,D28,Socle!$F$2:$F$175,E28,Socle!$G$2:$G$175,"2026")</f>
        <v/>
      </c>
      <c r="J28">
        <f>SUMIFS(Socle!$W$2:$W$175,Socle!$C$2:$C$175,A28,Socle!$D$2:$D$175,C28,Socle!$E$2:$E$175,D28,Socle!$F$2:$F$175,E28,Socle!$G$2:$G$175,"2026")</f>
        <v/>
      </c>
      <c r="K28">
        <f>SUMIFS(Socle!$X$2:$X$175,Socle!$C$2:$C$175,A28,Socle!$D$2:$D$175,C28,Socle!$E$2:$E$175,D28,Socle!$F$2:$F$175,E28,Socle!$G$2:$G$175,"2026")</f>
        <v/>
      </c>
      <c r="L28">
        <f>SUMIFS(Socle!$Y$2:$Y$175,Socle!$C$2:$C$175,A28,Socle!$D$2:$D$175,C28,Socle!$E$2:$E$175,D28,Socle!$F$2:$F$175,E28,Socle!$G$2:$G$175,"2026")</f>
        <v/>
      </c>
      <c r="M28">
        <f>SUMIFS(Socle!$V$2:$V$175,Socle!$C$2:$C$175,A28,Socle!$D$2:$D$175,C28,Socle!$E$2:$E$175,D28,Socle!$F$2:$F$175,E28,Socle!$G$2:$G$175,"2026")</f>
        <v/>
      </c>
      <c r="N28">
        <f>IF(OR(D28="B1",D28="M1",D28="BTS1"),1,0)</f>
        <v/>
      </c>
      <c r="O28">
        <f>SUMIFS(Campagne!$D$2:$D$15,Campagne!$C$2:$C$15,A28)</f>
        <v/>
      </c>
      <c r="P28">
        <f>SUMIFS(Campagne!$E$2:$E$15,Campagne!$C$2:$C$15,A28)</f>
        <v/>
      </c>
      <c r="Q28">
        <f>SUMIFS(Campagne!$F$2:$F$15,Campagne!$C$2:$C$15,A28)</f>
        <v/>
      </c>
      <c r="R28">
        <f>SUMIFS(Campagne!$K$2:$K$15,Campagne!$C$2:$C$15,A28)</f>
        <v/>
      </c>
      <c r="S28">
        <f>SUMIFS(Campagne!$M$2:$M$15,Campagne!$C$2:$C$15,A28)</f>
        <v/>
      </c>
      <c r="T28">
        <f>SUMIFS(Pilotage!$Q$13:$Q$26,Pilotage!$F$13:$F$26,A28)</f>
        <v/>
      </c>
      <c r="U28">
        <f>SUMIFS(Pilotage!$N$13:$N$26,Pilotage!$F$13:$F$26,A28)</f>
        <v/>
      </c>
      <c r="V28">
        <f>IF(B28="V01",cad!$I$21,IF(B28="V02",cad!$J$21,cad!$K$21))</f>
        <v/>
      </c>
      <c r="W28">
        <f>IF(B28="V01",cad!$I$22,IF(B28="V02",cad!$J$22,cad!$K$22))</f>
        <v/>
      </c>
      <c r="X28">
        <f>IF(B28="V01",cad!$I$23,IF(B28="V02",cad!$J$23,cad!$K$23))</f>
        <v/>
      </c>
      <c r="Y28">
        <f>IF(B28="V01",cad!$I$24,IF(B28="V02",cad!$J$24,cad!$K$24))</f>
        <v/>
      </c>
      <c r="Z28">
        <f>IF(B28="V01",cad!$I$25,IF(B28="V02",cad!$J$25,cad!$K$25))</f>
        <v/>
      </c>
      <c r="AA28">
        <f>IF(B28="V01",cad!$I$26,IF(B28="V02",cad!$J$26,cad!$K$26))</f>
        <v/>
      </c>
      <c r="AB28">
        <f>IF(B28="V01",cad!$I$37,IF(B28="V02",cad!$J$37,cad!$K$37))</f>
        <v/>
      </c>
      <c r="AC28">
        <f>IF(F28="MBWAY",cad!$I$9,IF(F28="ISCOM",cad!$I$10,IF(F28="IPAC",cad!$I$11,IF(F28="PIGIER",cad!$I$12,cad!$I$13))))</f>
        <v/>
      </c>
      <c r="AD28">
        <f>(O28*(1+W28)^S28+P28*((T28/U28)*(1+V28))^R28)*IFERROR(G28/Q28,0)*(J28+Y28)*K28*(L28+Z28)</f>
        <v/>
      </c>
      <c r="AE28">
        <f>IF(N28=1,AD28,0)</f>
        <v/>
      </c>
      <c r="AF28">
        <f>IF(N28=1,AD28,H28*(M28+AA28))</f>
        <v/>
      </c>
      <c r="AG28">
        <f>I28*(1+X28*AC28)</f>
        <v/>
      </c>
      <c r="AH28">
        <f>AF28*AG28+AE28*AB28</f>
        <v/>
      </c>
    </row>
    <row r="29">
      <c r="A29">
        <f>Moteur!D29</f>
        <v/>
      </c>
      <c r="B29">
        <f>Moteur!B29</f>
        <v/>
      </c>
      <c r="C29">
        <f>Moteur!F29</f>
        <v/>
      </c>
      <c r="D29">
        <f>Moteur!G29</f>
        <v/>
      </c>
      <c r="E29">
        <f>Moteur!H29</f>
        <v/>
      </c>
      <c r="F29">
        <f>Moteur!E29</f>
        <v/>
      </c>
      <c r="G29">
        <f>SUMIFS(Socle!$H$2:$H$175,Socle!$C$2:$C$175,A29,Socle!$D$2:$D$175,C29,Socle!$E$2:$E$175,D29,Socle!$F$2:$F$175,E29,Socle!$G$2:$G$175,"2026")</f>
        <v/>
      </c>
      <c r="H29">
        <f>SUMIFS(Socle!$N$2:$N$175,Socle!$C$2:$C$175,A29,Socle!$D$2:$D$175,C29,Socle!$E$2:$E$175,D29,Socle!$F$2:$F$175,E29,Socle!$G$2:$G$175,"2026")</f>
        <v/>
      </c>
      <c r="I29">
        <f>SUMIFS(Socle!$P$2:$P$175,Socle!$C$2:$C$175,A29,Socle!$D$2:$D$175,C29,Socle!$E$2:$E$175,D29,Socle!$F$2:$F$175,E29,Socle!$G$2:$G$175,"2026")</f>
        <v/>
      </c>
      <c r="J29">
        <f>SUMIFS(Socle!$W$2:$W$175,Socle!$C$2:$C$175,A29,Socle!$D$2:$D$175,C29,Socle!$E$2:$E$175,D29,Socle!$F$2:$F$175,E29,Socle!$G$2:$G$175,"2026")</f>
        <v/>
      </c>
      <c r="K29">
        <f>SUMIFS(Socle!$X$2:$X$175,Socle!$C$2:$C$175,A29,Socle!$D$2:$D$175,C29,Socle!$E$2:$E$175,D29,Socle!$F$2:$F$175,E29,Socle!$G$2:$G$175,"2026")</f>
        <v/>
      </c>
      <c r="L29">
        <f>SUMIFS(Socle!$Y$2:$Y$175,Socle!$C$2:$C$175,A29,Socle!$D$2:$D$175,C29,Socle!$E$2:$E$175,D29,Socle!$F$2:$F$175,E29,Socle!$G$2:$G$175,"2026")</f>
        <v/>
      </c>
      <c r="M29">
        <f>SUMIFS(Socle!$V$2:$V$175,Socle!$C$2:$C$175,A29,Socle!$D$2:$D$175,C29,Socle!$E$2:$E$175,D29,Socle!$F$2:$F$175,E29,Socle!$G$2:$G$175,"2026")</f>
        <v/>
      </c>
      <c r="N29">
        <f>IF(OR(D29="B1",D29="M1",D29="BTS1"),1,0)</f>
        <v/>
      </c>
      <c r="O29">
        <f>SUMIFS(Campagne!$D$2:$D$15,Campagne!$C$2:$C$15,A29)</f>
        <v/>
      </c>
      <c r="P29">
        <f>SUMIFS(Campagne!$E$2:$E$15,Campagne!$C$2:$C$15,A29)</f>
        <v/>
      </c>
      <c r="Q29">
        <f>SUMIFS(Campagne!$F$2:$F$15,Campagne!$C$2:$C$15,A29)</f>
        <v/>
      </c>
      <c r="R29">
        <f>SUMIFS(Campagne!$K$2:$K$15,Campagne!$C$2:$C$15,A29)</f>
        <v/>
      </c>
      <c r="S29">
        <f>SUMIFS(Campagne!$M$2:$M$15,Campagne!$C$2:$C$15,A29)</f>
        <v/>
      </c>
      <c r="T29">
        <f>SUMIFS(Pilotage!$Q$13:$Q$26,Pilotage!$F$13:$F$26,A29)</f>
        <v/>
      </c>
      <c r="U29">
        <f>SUMIFS(Pilotage!$N$13:$N$26,Pilotage!$F$13:$F$26,A29)</f>
        <v/>
      </c>
      <c r="V29">
        <f>IF(B29="V01",cad!$I$21,IF(B29="V02",cad!$J$21,cad!$K$21))</f>
        <v/>
      </c>
      <c r="W29">
        <f>IF(B29="V01",cad!$I$22,IF(B29="V02",cad!$J$22,cad!$K$22))</f>
        <v/>
      </c>
      <c r="X29">
        <f>IF(B29="V01",cad!$I$23,IF(B29="V02",cad!$J$23,cad!$K$23))</f>
        <v/>
      </c>
      <c r="Y29">
        <f>IF(B29="V01",cad!$I$24,IF(B29="V02",cad!$J$24,cad!$K$24))</f>
        <v/>
      </c>
      <c r="Z29">
        <f>IF(B29="V01",cad!$I$25,IF(B29="V02",cad!$J$25,cad!$K$25))</f>
        <v/>
      </c>
      <c r="AA29">
        <f>IF(B29="V01",cad!$I$26,IF(B29="V02",cad!$J$26,cad!$K$26))</f>
        <v/>
      </c>
      <c r="AB29">
        <f>IF(B29="V01",cad!$I$37,IF(B29="V02",cad!$J$37,cad!$K$37))</f>
        <v/>
      </c>
      <c r="AC29">
        <f>IF(F29="MBWAY",cad!$I$9,IF(F29="ISCOM",cad!$I$10,IF(F29="IPAC",cad!$I$11,IF(F29="PIGIER",cad!$I$12,cad!$I$13))))</f>
        <v/>
      </c>
      <c r="AD29">
        <f>(O29*(1+W29)^S29+P29*((T29/U29)*(1+V29))^R29)*IFERROR(G29/Q29,0)*(J29+Y29)*K29*(L29+Z29)</f>
        <v/>
      </c>
      <c r="AE29">
        <f>IF(N29=1,AD29,0)</f>
        <v/>
      </c>
      <c r="AF29">
        <f>IF(N29=1,AD29,H29*(M29+AA29))</f>
        <v/>
      </c>
      <c r="AG29">
        <f>I29*(1+X29*AC29)</f>
        <v/>
      </c>
      <c r="AH29">
        <f>AF29*AG29+AE29*AB29</f>
        <v/>
      </c>
    </row>
    <row r="30">
      <c r="A30">
        <f>Moteur!D30</f>
        <v/>
      </c>
      <c r="B30">
        <f>Moteur!B30</f>
        <v/>
      </c>
      <c r="C30">
        <f>Moteur!F30</f>
        <v/>
      </c>
      <c r="D30">
        <f>Moteur!G30</f>
        <v/>
      </c>
      <c r="E30">
        <f>Moteur!H30</f>
        <v/>
      </c>
      <c r="F30">
        <f>Moteur!E30</f>
        <v/>
      </c>
      <c r="G30">
        <f>SUMIFS(Socle!$H$2:$H$175,Socle!$C$2:$C$175,A30,Socle!$D$2:$D$175,C30,Socle!$E$2:$E$175,D30,Socle!$F$2:$F$175,E30,Socle!$G$2:$G$175,"2026")</f>
        <v/>
      </c>
      <c r="H30">
        <f>SUMIFS(Socle!$N$2:$N$175,Socle!$C$2:$C$175,A30,Socle!$D$2:$D$175,C30,Socle!$E$2:$E$175,D30,Socle!$F$2:$F$175,E30,Socle!$G$2:$G$175,"2026")</f>
        <v/>
      </c>
      <c r="I30">
        <f>SUMIFS(Socle!$P$2:$P$175,Socle!$C$2:$C$175,A30,Socle!$D$2:$D$175,C30,Socle!$E$2:$E$175,D30,Socle!$F$2:$F$175,E30,Socle!$G$2:$G$175,"2026")</f>
        <v/>
      </c>
      <c r="J30">
        <f>SUMIFS(Socle!$W$2:$W$175,Socle!$C$2:$C$175,A30,Socle!$D$2:$D$175,C30,Socle!$E$2:$E$175,D30,Socle!$F$2:$F$175,E30,Socle!$G$2:$G$175,"2026")</f>
        <v/>
      </c>
      <c r="K30">
        <f>SUMIFS(Socle!$X$2:$X$175,Socle!$C$2:$C$175,A30,Socle!$D$2:$D$175,C30,Socle!$E$2:$E$175,D30,Socle!$F$2:$F$175,E30,Socle!$G$2:$G$175,"2026")</f>
        <v/>
      </c>
      <c r="L30">
        <f>SUMIFS(Socle!$Y$2:$Y$175,Socle!$C$2:$C$175,A30,Socle!$D$2:$D$175,C30,Socle!$E$2:$E$175,D30,Socle!$F$2:$F$175,E30,Socle!$G$2:$G$175,"2026")</f>
        <v/>
      </c>
      <c r="M30">
        <f>SUMIFS(Socle!$V$2:$V$175,Socle!$C$2:$C$175,A30,Socle!$D$2:$D$175,C30,Socle!$E$2:$E$175,D30,Socle!$F$2:$F$175,E30,Socle!$G$2:$G$175,"2026")</f>
        <v/>
      </c>
      <c r="N30">
        <f>IF(OR(D30="B1",D30="M1",D30="BTS1"),1,0)</f>
        <v/>
      </c>
      <c r="O30">
        <f>SUMIFS(Campagne!$D$2:$D$15,Campagne!$C$2:$C$15,A30)</f>
        <v/>
      </c>
      <c r="P30">
        <f>SUMIFS(Campagne!$E$2:$E$15,Campagne!$C$2:$C$15,A30)</f>
        <v/>
      </c>
      <c r="Q30">
        <f>SUMIFS(Campagne!$F$2:$F$15,Campagne!$C$2:$C$15,A30)</f>
        <v/>
      </c>
      <c r="R30">
        <f>SUMIFS(Campagne!$K$2:$K$15,Campagne!$C$2:$C$15,A30)</f>
        <v/>
      </c>
      <c r="S30">
        <f>SUMIFS(Campagne!$M$2:$M$15,Campagne!$C$2:$C$15,A30)</f>
        <v/>
      </c>
      <c r="T30">
        <f>SUMIFS(Pilotage!$Q$13:$Q$26,Pilotage!$F$13:$F$26,A30)</f>
        <v/>
      </c>
      <c r="U30">
        <f>SUMIFS(Pilotage!$N$13:$N$26,Pilotage!$F$13:$F$26,A30)</f>
        <v/>
      </c>
      <c r="V30">
        <f>IF(B30="V01",cad!$I$21,IF(B30="V02",cad!$J$21,cad!$K$21))</f>
        <v/>
      </c>
      <c r="W30">
        <f>IF(B30="V01",cad!$I$22,IF(B30="V02",cad!$J$22,cad!$K$22))</f>
        <v/>
      </c>
      <c r="X30">
        <f>IF(B30="V01",cad!$I$23,IF(B30="V02",cad!$J$23,cad!$K$23))</f>
        <v/>
      </c>
      <c r="Y30">
        <f>IF(B30="V01",cad!$I$24,IF(B30="V02",cad!$J$24,cad!$K$24))</f>
        <v/>
      </c>
      <c r="Z30">
        <f>IF(B30="V01",cad!$I$25,IF(B30="V02",cad!$J$25,cad!$K$25))</f>
        <v/>
      </c>
      <c r="AA30">
        <f>IF(B30="V01",cad!$I$26,IF(B30="V02",cad!$J$26,cad!$K$26))</f>
        <v/>
      </c>
      <c r="AB30">
        <f>IF(B30="V01",cad!$I$37,IF(B30="V02",cad!$J$37,cad!$K$37))</f>
        <v/>
      </c>
      <c r="AC30">
        <f>IF(F30="MBWAY",cad!$I$9,IF(F30="ISCOM",cad!$I$10,IF(F30="IPAC",cad!$I$11,IF(F30="PIGIER",cad!$I$12,cad!$I$13))))</f>
        <v/>
      </c>
      <c r="AD30">
        <f>(O30*(1+W30)^S30+P30*((T30/U30)*(1+V30))^R30)*IFERROR(G30/Q30,0)*(J30+Y30)*K30*(L30+Z30)</f>
        <v/>
      </c>
      <c r="AE30">
        <f>IF(N30=1,AD30,0)</f>
        <v/>
      </c>
      <c r="AF30">
        <f>IF(N30=1,AD30,H30*(M30+AA30))</f>
        <v/>
      </c>
      <c r="AG30">
        <f>I30*(1+X30*AC30)</f>
        <v/>
      </c>
      <c r="AH30">
        <f>AF30*AG30+AE30*AB30</f>
        <v/>
      </c>
    </row>
    <row r="31">
      <c r="A31">
        <f>Moteur!D31</f>
        <v/>
      </c>
      <c r="B31">
        <f>Moteur!B31</f>
        <v/>
      </c>
      <c r="C31">
        <f>Moteur!F31</f>
        <v/>
      </c>
      <c r="D31">
        <f>Moteur!G31</f>
        <v/>
      </c>
      <c r="E31">
        <f>Moteur!H31</f>
        <v/>
      </c>
      <c r="F31">
        <f>Moteur!E31</f>
        <v/>
      </c>
      <c r="G31">
        <f>SUMIFS(Socle!$H$2:$H$175,Socle!$C$2:$C$175,A31,Socle!$D$2:$D$175,C31,Socle!$E$2:$E$175,D31,Socle!$F$2:$F$175,E31,Socle!$G$2:$G$175,"2026")</f>
        <v/>
      </c>
      <c r="H31">
        <f>SUMIFS(Socle!$N$2:$N$175,Socle!$C$2:$C$175,A31,Socle!$D$2:$D$175,C31,Socle!$E$2:$E$175,D31,Socle!$F$2:$F$175,E31,Socle!$G$2:$G$175,"2026")</f>
        <v/>
      </c>
      <c r="I31">
        <f>SUMIFS(Socle!$P$2:$P$175,Socle!$C$2:$C$175,A31,Socle!$D$2:$D$175,C31,Socle!$E$2:$E$175,D31,Socle!$F$2:$F$175,E31,Socle!$G$2:$G$175,"2026")</f>
        <v/>
      </c>
      <c r="J31">
        <f>SUMIFS(Socle!$W$2:$W$175,Socle!$C$2:$C$175,A31,Socle!$D$2:$D$175,C31,Socle!$E$2:$E$175,D31,Socle!$F$2:$F$175,E31,Socle!$G$2:$G$175,"2026")</f>
        <v/>
      </c>
      <c r="K31">
        <f>SUMIFS(Socle!$X$2:$X$175,Socle!$C$2:$C$175,A31,Socle!$D$2:$D$175,C31,Socle!$E$2:$E$175,D31,Socle!$F$2:$F$175,E31,Socle!$G$2:$G$175,"2026")</f>
        <v/>
      </c>
      <c r="L31">
        <f>SUMIFS(Socle!$Y$2:$Y$175,Socle!$C$2:$C$175,A31,Socle!$D$2:$D$175,C31,Socle!$E$2:$E$175,D31,Socle!$F$2:$F$175,E31,Socle!$G$2:$G$175,"2026")</f>
        <v/>
      </c>
      <c r="M31">
        <f>SUMIFS(Socle!$V$2:$V$175,Socle!$C$2:$C$175,A31,Socle!$D$2:$D$175,C31,Socle!$E$2:$E$175,D31,Socle!$F$2:$F$175,E31,Socle!$G$2:$G$175,"2026")</f>
        <v/>
      </c>
      <c r="N31">
        <f>IF(OR(D31="B1",D31="M1",D31="BTS1"),1,0)</f>
        <v/>
      </c>
      <c r="O31">
        <f>SUMIFS(Campagne!$D$2:$D$15,Campagne!$C$2:$C$15,A31)</f>
        <v/>
      </c>
      <c r="P31">
        <f>SUMIFS(Campagne!$E$2:$E$15,Campagne!$C$2:$C$15,A31)</f>
        <v/>
      </c>
      <c r="Q31">
        <f>SUMIFS(Campagne!$F$2:$F$15,Campagne!$C$2:$C$15,A31)</f>
        <v/>
      </c>
      <c r="R31">
        <f>SUMIFS(Campagne!$K$2:$K$15,Campagne!$C$2:$C$15,A31)</f>
        <v/>
      </c>
      <c r="S31">
        <f>SUMIFS(Campagne!$M$2:$M$15,Campagne!$C$2:$C$15,A31)</f>
        <v/>
      </c>
      <c r="T31">
        <f>SUMIFS(Pilotage!$Q$13:$Q$26,Pilotage!$F$13:$F$26,A31)</f>
        <v/>
      </c>
      <c r="U31">
        <f>SUMIFS(Pilotage!$N$13:$N$26,Pilotage!$F$13:$F$26,A31)</f>
        <v/>
      </c>
      <c r="V31">
        <f>IF(B31="V01",cad!$I$21,IF(B31="V02",cad!$J$21,cad!$K$21))</f>
        <v/>
      </c>
      <c r="W31">
        <f>IF(B31="V01",cad!$I$22,IF(B31="V02",cad!$J$22,cad!$K$22))</f>
        <v/>
      </c>
      <c r="X31">
        <f>IF(B31="V01",cad!$I$23,IF(B31="V02",cad!$J$23,cad!$K$23))</f>
        <v/>
      </c>
      <c r="Y31">
        <f>IF(B31="V01",cad!$I$24,IF(B31="V02",cad!$J$24,cad!$K$24))</f>
        <v/>
      </c>
      <c r="Z31">
        <f>IF(B31="V01",cad!$I$25,IF(B31="V02",cad!$J$25,cad!$K$25))</f>
        <v/>
      </c>
      <c r="AA31">
        <f>IF(B31="V01",cad!$I$26,IF(B31="V02",cad!$J$26,cad!$K$26))</f>
        <v/>
      </c>
      <c r="AB31">
        <f>IF(B31="V01",cad!$I$37,IF(B31="V02",cad!$J$37,cad!$K$37))</f>
        <v/>
      </c>
      <c r="AC31">
        <f>IF(F31="MBWAY",cad!$I$9,IF(F31="ISCOM",cad!$I$10,IF(F31="IPAC",cad!$I$11,IF(F31="PIGIER",cad!$I$12,cad!$I$13))))</f>
        <v/>
      </c>
      <c r="AD31">
        <f>(O31*(1+W31)^S31+P31*((T31/U31)*(1+V31))^R31)*IFERROR(G31/Q31,0)*(J31+Y31)*K31*(L31+Z31)</f>
        <v/>
      </c>
      <c r="AE31">
        <f>IF(N31=1,AD31,0)</f>
        <v/>
      </c>
      <c r="AF31">
        <f>IF(N31=1,AD31,H31*(M31+AA31))</f>
        <v/>
      </c>
      <c r="AG31">
        <f>I31*(1+X31*AC31)</f>
        <v/>
      </c>
      <c r="AH31">
        <f>AF31*AG31+AE31*AB31</f>
        <v/>
      </c>
    </row>
    <row r="32">
      <c r="A32">
        <f>Moteur!D32</f>
        <v/>
      </c>
      <c r="B32">
        <f>Moteur!B32</f>
        <v/>
      </c>
      <c r="C32">
        <f>Moteur!F32</f>
        <v/>
      </c>
      <c r="D32">
        <f>Moteur!G32</f>
        <v/>
      </c>
      <c r="E32">
        <f>Moteur!H32</f>
        <v/>
      </c>
      <c r="F32">
        <f>Moteur!E32</f>
        <v/>
      </c>
      <c r="G32">
        <f>SUMIFS(Socle!$H$2:$H$175,Socle!$C$2:$C$175,A32,Socle!$D$2:$D$175,C32,Socle!$E$2:$E$175,D32,Socle!$F$2:$F$175,E32,Socle!$G$2:$G$175,"2026")</f>
        <v/>
      </c>
      <c r="H32">
        <f>SUMIFS(Socle!$N$2:$N$175,Socle!$C$2:$C$175,A32,Socle!$D$2:$D$175,C32,Socle!$E$2:$E$175,D32,Socle!$F$2:$F$175,E32,Socle!$G$2:$G$175,"2026")</f>
        <v/>
      </c>
      <c r="I32">
        <f>SUMIFS(Socle!$P$2:$P$175,Socle!$C$2:$C$175,A32,Socle!$D$2:$D$175,C32,Socle!$E$2:$E$175,D32,Socle!$F$2:$F$175,E32,Socle!$G$2:$G$175,"2026")</f>
        <v/>
      </c>
      <c r="J32">
        <f>SUMIFS(Socle!$W$2:$W$175,Socle!$C$2:$C$175,A32,Socle!$D$2:$D$175,C32,Socle!$E$2:$E$175,D32,Socle!$F$2:$F$175,E32,Socle!$G$2:$G$175,"2026")</f>
        <v/>
      </c>
      <c r="K32">
        <f>SUMIFS(Socle!$X$2:$X$175,Socle!$C$2:$C$175,A32,Socle!$D$2:$D$175,C32,Socle!$E$2:$E$175,D32,Socle!$F$2:$F$175,E32,Socle!$G$2:$G$175,"2026")</f>
        <v/>
      </c>
      <c r="L32">
        <f>SUMIFS(Socle!$Y$2:$Y$175,Socle!$C$2:$C$175,A32,Socle!$D$2:$D$175,C32,Socle!$E$2:$E$175,D32,Socle!$F$2:$F$175,E32,Socle!$G$2:$G$175,"2026")</f>
        <v/>
      </c>
      <c r="M32">
        <f>SUMIFS(Socle!$V$2:$V$175,Socle!$C$2:$C$175,A32,Socle!$D$2:$D$175,C32,Socle!$E$2:$E$175,D32,Socle!$F$2:$F$175,E32,Socle!$G$2:$G$175,"2026")</f>
        <v/>
      </c>
      <c r="N32">
        <f>IF(OR(D32="B1",D32="M1",D32="BTS1"),1,0)</f>
        <v/>
      </c>
      <c r="O32">
        <f>SUMIFS(Campagne!$D$2:$D$15,Campagne!$C$2:$C$15,A32)</f>
        <v/>
      </c>
      <c r="P32">
        <f>SUMIFS(Campagne!$E$2:$E$15,Campagne!$C$2:$C$15,A32)</f>
        <v/>
      </c>
      <c r="Q32">
        <f>SUMIFS(Campagne!$F$2:$F$15,Campagne!$C$2:$C$15,A32)</f>
        <v/>
      </c>
      <c r="R32">
        <f>SUMIFS(Campagne!$K$2:$K$15,Campagne!$C$2:$C$15,A32)</f>
        <v/>
      </c>
      <c r="S32">
        <f>SUMIFS(Campagne!$M$2:$M$15,Campagne!$C$2:$C$15,A32)</f>
        <v/>
      </c>
      <c r="T32">
        <f>SUMIFS(Pilotage!$Q$13:$Q$26,Pilotage!$F$13:$F$26,A32)</f>
        <v/>
      </c>
      <c r="U32">
        <f>SUMIFS(Pilotage!$N$13:$N$26,Pilotage!$F$13:$F$26,A32)</f>
        <v/>
      </c>
      <c r="V32">
        <f>IF(B32="V01",cad!$I$21,IF(B32="V02",cad!$J$21,cad!$K$21))</f>
        <v/>
      </c>
      <c r="W32">
        <f>IF(B32="V01",cad!$I$22,IF(B32="V02",cad!$J$22,cad!$K$22))</f>
        <v/>
      </c>
      <c r="X32">
        <f>IF(B32="V01",cad!$I$23,IF(B32="V02",cad!$J$23,cad!$K$23))</f>
        <v/>
      </c>
      <c r="Y32">
        <f>IF(B32="V01",cad!$I$24,IF(B32="V02",cad!$J$24,cad!$K$24))</f>
        <v/>
      </c>
      <c r="Z32">
        <f>IF(B32="V01",cad!$I$25,IF(B32="V02",cad!$J$25,cad!$K$25))</f>
        <v/>
      </c>
      <c r="AA32">
        <f>IF(B32="V01",cad!$I$26,IF(B32="V02",cad!$J$26,cad!$K$26))</f>
        <v/>
      </c>
      <c r="AB32">
        <f>IF(B32="V01",cad!$I$37,IF(B32="V02",cad!$J$37,cad!$K$37))</f>
        <v/>
      </c>
      <c r="AC32">
        <f>IF(F32="MBWAY",cad!$I$9,IF(F32="ISCOM",cad!$I$10,IF(F32="IPAC",cad!$I$11,IF(F32="PIGIER",cad!$I$12,cad!$I$13))))</f>
        <v/>
      </c>
      <c r="AD32">
        <f>(O32*(1+W32)^S32+P32*((T32/U32)*(1+V32))^R32)*IFERROR(G32/Q32,0)*(J32+Y32)*K32*(L32+Z32)</f>
        <v/>
      </c>
      <c r="AE32">
        <f>IF(N32=1,AD32,0)</f>
        <v/>
      </c>
      <c r="AF32">
        <f>IF(N32=1,AD32,H32*(M32+AA32))</f>
        <v/>
      </c>
      <c r="AG32">
        <f>I32*(1+X32*AC32)</f>
        <v/>
      </c>
      <c r="AH32">
        <f>AF32*AG32+AE32*AB32</f>
        <v/>
      </c>
    </row>
    <row r="33">
      <c r="A33">
        <f>Moteur!D33</f>
        <v/>
      </c>
      <c r="B33">
        <f>Moteur!B33</f>
        <v/>
      </c>
      <c r="C33">
        <f>Moteur!F33</f>
        <v/>
      </c>
      <c r="D33">
        <f>Moteur!G33</f>
        <v/>
      </c>
      <c r="E33">
        <f>Moteur!H33</f>
        <v/>
      </c>
      <c r="F33">
        <f>Moteur!E33</f>
        <v/>
      </c>
      <c r="G33">
        <f>SUMIFS(Socle!$H$2:$H$175,Socle!$C$2:$C$175,A33,Socle!$D$2:$D$175,C33,Socle!$E$2:$E$175,D33,Socle!$F$2:$F$175,E33,Socle!$G$2:$G$175,"2026")</f>
        <v/>
      </c>
      <c r="H33">
        <f>SUMIFS(Socle!$N$2:$N$175,Socle!$C$2:$C$175,A33,Socle!$D$2:$D$175,C33,Socle!$E$2:$E$175,D33,Socle!$F$2:$F$175,E33,Socle!$G$2:$G$175,"2026")</f>
        <v/>
      </c>
      <c r="I33">
        <f>SUMIFS(Socle!$P$2:$P$175,Socle!$C$2:$C$175,A33,Socle!$D$2:$D$175,C33,Socle!$E$2:$E$175,D33,Socle!$F$2:$F$175,E33,Socle!$G$2:$G$175,"2026")</f>
        <v/>
      </c>
      <c r="J33">
        <f>SUMIFS(Socle!$W$2:$W$175,Socle!$C$2:$C$175,A33,Socle!$D$2:$D$175,C33,Socle!$E$2:$E$175,D33,Socle!$F$2:$F$175,E33,Socle!$G$2:$G$175,"2026")</f>
        <v/>
      </c>
      <c r="K33">
        <f>SUMIFS(Socle!$X$2:$X$175,Socle!$C$2:$C$175,A33,Socle!$D$2:$D$175,C33,Socle!$E$2:$E$175,D33,Socle!$F$2:$F$175,E33,Socle!$G$2:$G$175,"2026")</f>
        <v/>
      </c>
      <c r="L33">
        <f>SUMIFS(Socle!$Y$2:$Y$175,Socle!$C$2:$C$175,A33,Socle!$D$2:$D$175,C33,Socle!$E$2:$E$175,D33,Socle!$F$2:$F$175,E33,Socle!$G$2:$G$175,"2026")</f>
        <v/>
      </c>
      <c r="M33">
        <f>SUMIFS(Socle!$V$2:$V$175,Socle!$C$2:$C$175,A33,Socle!$D$2:$D$175,C33,Socle!$E$2:$E$175,D33,Socle!$F$2:$F$175,E33,Socle!$G$2:$G$175,"2026")</f>
        <v/>
      </c>
      <c r="N33">
        <f>IF(OR(D33="B1",D33="M1",D33="BTS1"),1,0)</f>
        <v/>
      </c>
      <c r="O33">
        <f>SUMIFS(Campagne!$D$2:$D$15,Campagne!$C$2:$C$15,A33)</f>
        <v/>
      </c>
      <c r="P33">
        <f>SUMIFS(Campagne!$E$2:$E$15,Campagne!$C$2:$C$15,A33)</f>
        <v/>
      </c>
      <c r="Q33">
        <f>SUMIFS(Campagne!$F$2:$F$15,Campagne!$C$2:$C$15,A33)</f>
        <v/>
      </c>
      <c r="R33">
        <f>SUMIFS(Campagne!$K$2:$K$15,Campagne!$C$2:$C$15,A33)</f>
        <v/>
      </c>
      <c r="S33">
        <f>SUMIFS(Campagne!$M$2:$M$15,Campagne!$C$2:$C$15,A33)</f>
        <v/>
      </c>
      <c r="T33">
        <f>SUMIFS(Pilotage!$Q$13:$Q$26,Pilotage!$F$13:$F$26,A33)</f>
        <v/>
      </c>
      <c r="U33">
        <f>SUMIFS(Pilotage!$N$13:$N$26,Pilotage!$F$13:$F$26,A33)</f>
        <v/>
      </c>
      <c r="V33">
        <f>IF(B33="V01",cad!$I$21,IF(B33="V02",cad!$J$21,cad!$K$21))</f>
        <v/>
      </c>
      <c r="W33">
        <f>IF(B33="V01",cad!$I$22,IF(B33="V02",cad!$J$22,cad!$K$22))</f>
        <v/>
      </c>
      <c r="X33">
        <f>IF(B33="V01",cad!$I$23,IF(B33="V02",cad!$J$23,cad!$K$23))</f>
        <v/>
      </c>
      <c r="Y33">
        <f>IF(B33="V01",cad!$I$24,IF(B33="V02",cad!$J$24,cad!$K$24))</f>
        <v/>
      </c>
      <c r="Z33">
        <f>IF(B33="V01",cad!$I$25,IF(B33="V02",cad!$J$25,cad!$K$25))</f>
        <v/>
      </c>
      <c r="AA33">
        <f>IF(B33="V01",cad!$I$26,IF(B33="V02",cad!$J$26,cad!$K$26))</f>
        <v/>
      </c>
      <c r="AB33">
        <f>IF(B33="V01",cad!$I$37,IF(B33="V02",cad!$J$37,cad!$K$37))</f>
        <v/>
      </c>
      <c r="AC33">
        <f>IF(F33="MBWAY",cad!$I$9,IF(F33="ISCOM",cad!$I$10,IF(F33="IPAC",cad!$I$11,IF(F33="PIGIER",cad!$I$12,cad!$I$13))))</f>
        <v/>
      </c>
      <c r="AD33">
        <f>(O33*(1+W33)^S33+P33*((T33/U33)*(1+V33))^R33)*IFERROR(G33/Q33,0)*(J33+Y33)*K33*(L33+Z33)</f>
        <v/>
      </c>
      <c r="AE33">
        <f>IF(N33=1,AD33,0)</f>
        <v/>
      </c>
      <c r="AF33">
        <f>IF(N33=1,AD33,H33*(M33+AA33))</f>
        <v/>
      </c>
      <c r="AG33">
        <f>I33*(1+X33*AC33)</f>
        <v/>
      </c>
      <c r="AH33">
        <f>AF33*AG33+AE33*AB33</f>
        <v/>
      </c>
    </row>
    <row r="34">
      <c r="A34">
        <f>Moteur!D34</f>
        <v/>
      </c>
      <c r="B34">
        <f>Moteur!B34</f>
        <v/>
      </c>
      <c r="C34">
        <f>Moteur!F34</f>
        <v/>
      </c>
      <c r="D34">
        <f>Moteur!G34</f>
        <v/>
      </c>
      <c r="E34">
        <f>Moteur!H34</f>
        <v/>
      </c>
      <c r="F34">
        <f>Moteur!E34</f>
        <v/>
      </c>
      <c r="G34">
        <f>SUMIFS(Socle!$H$2:$H$175,Socle!$C$2:$C$175,A34,Socle!$D$2:$D$175,C34,Socle!$E$2:$E$175,D34,Socle!$F$2:$F$175,E34,Socle!$G$2:$G$175,"2026")</f>
        <v/>
      </c>
      <c r="H34">
        <f>SUMIFS(Socle!$N$2:$N$175,Socle!$C$2:$C$175,A34,Socle!$D$2:$D$175,C34,Socle!$E$2:$E$175,D34,Socle!$F$2:$F$175,E34,Socle!$G$2:$G$175,"2026")</f>
        <v/>
      </c>
      <c r="I34">
        <f>SUMIFS(Socle!$P$2:$P$175,Socle!$C$2:$C$175,A34,Socle!$D$2:$D$175,C34,Socle!$E$2:$E$175,D34,Socle!$F$2:$F$175,E34,Socle!$G$2:$G$175,"2026")</f>
        <v/>
      </c>
      <c r="J34">
        <f>SUMIFS(Socle!$W$2:$W$175,Socle!$C$2:$C$175,A34,Socle!$D$2:$D$175,C34,Socle!$E$2:$E$175,D34,Socle!$F$2:$F$175,E34,Socle!$G$2:$G$175,"2026")</f>
        <v/>
      </c>
      <c r="K34">
        <f>SUMIFS(Socle!$X$2:$X$175,Socle!$C$2:$C$175,A34,Socle!$D$2:$D$175,C34,Socle!$E$2:$E$175,D34,Socle!$F$2:$F$175,E34,Socle!$G$2:$G$175,"2026")</f>
        <v/>
      </c>
      <c r="L34">
        <f>SUMIFS(Socle!$Y$2:$Y$175,Socle!$C$2:$C$175,A34,Socle!$D$2:$D$175,C34,Socle!$E$2:$E$175,D34,Socle!$F$2:$F$175,E34,Socle!$G$2:$G$175,"2026")</f>
        <v/>
      </c>
      <c r="M34">
        <f>SUMIFS(Socle!$V$2:$V$175,Socle!$C$2:$C$175,A34,Socle!$D$2:$D$175,C34,Socle!$E$2:$E$175,D34,Socle!$F$2:$F$175,E34,Socle!$G$2:$G$175,"2026")</f>
        <v/>
      </c>
      <c r="N34">
        <f>IF(OR(D34="B1",D34="M1",D34="BTS1"),1,0)</f>
        <v/>
      </c>
      <c r="O34">
        <f>SUMIFS(Campagne!$D$2:$D$15,Campagne!$C$2:$C$15,A34)</f>
        <v/>
      </c>
      <c r="P34">
        <f>SUMIFS(Campagne!$E$2:$E$15,Campagne!$C$2:$C$15,A34)</f>
        <v/>
      </c>
      <c r="Q34">
        <f>SUMIFS(Campagne!$F$2:$F$15,Campagne!$C$2:$C$15,A34)</f>
        <v/>
      </c>
      <c r="R34">
        <f>SUMIFS(Campagne!$K$2:$K$15,Campagne!$C$2:$C$15,A34)</f>
        <v/>
      </c>
      <c r="S34">
        <f>SUMIFS(Campagne!$M$2:$M$15,Campagne!$C$2:$C$15,A34)</f>
        <v/>
      </c>
      <c r="T34">
        <f>SUMIFS(Pilotage!$Q$13:$Q$26,Pilotage!$F$13:$F$26,A34)</f>
        <v/>
      </c>
      <c r="U34">
        <f>SUMIFS(Pilotage!$N$13:$N$26,Pilotage!$F$13:$F$26,A34)</f>
        <v/>
      </c>
      <c r="V34">
        <f>IF(B34="V01",cad!$I$21,IF(B34="V02",cad!$J$21,cad!$K$21))</f>
        <v/>
      </c>
      <c r="W34">
        <f>IF(B34="V01",cad!$I$22,IF(B34="V02",cad!$J$22,cad!$K$22))</f>
        <v/>
      </c>
      <c r="X34">
        <f>IF(B34="V01",cad!$I$23,IF(B34="V02",cad!$J$23,cad!$K$23))</f>
        <v/>
      </c>
      <c r="Y34">
        <f>IF(B34="V01",cad!$I$24,IF(B34="V02",cad!$J$24,cad!$K$24))</f>
        <v/>
      </c>
      <c r="Z34">
        <f>IF(B34="V01",cad!$I$25,IF(B34="V02",cad!$J$25,cad!$K$25))</f>
        <v/>
      </c>
      <c r="AA34">
        <f>IF(B34="V01",cad!$I$26,IF(B34="V02",cad!$J$26,cad!$K$26))</f>
        <v/>
      </c>
      <c r="AB34">
        <f>IF(B34="V01",cad!$I$37,IF(B34="V02",cad!$J$37,cad!$K$37))</f>
        <v/>
      </c>
      <c r="AC34">
        <f>IF(F34="MBWAY",cad!$I$9,IF(F34="ISCOM",cad!$I$10,IF(F34="IPAC",cad!$I$11,IF(F34="PIGIER",cad!$I$12,cad!$I$13))))</f>
        <v/>
      </c>
      <c r="AD34">
        <f>(O34*(1+W34)^S34+P34*((T34/U34)*(1+V34))^R34)*IFERROR(G34/Q34,0)*(J34+Y34)*K34*(L34+Z34)</f>
        <v/>
      </c>
      <c r="AE34">
        <f>IF(N34=1,AD34,0)</f>
        <v/>
      </c>
      <c r="AF34">
        <f>IF(N34=1,AD34,H34*(M34+AA34))</f>
        <v/>
      </c>
      <c r="AG34">
        <f>I34*(1+X34*AC34)</f>
        <v/>
      </c>
      <c r="AH34">
        <f>AF34*AG34+AE34*AB34</f>
        <v/>
      </c>
    </row>
    <row r="35">
      <c r="A35">
        <f>Moteur!D35</f>
        <v/>
      </c>
      <c r="B35">
        <f>Moteur!B35</f>
        <v/>
      </c>
      <c r="C35">
        <f>Moteur!F35</f>
        <v/>
      </c>
      <c r="D35">
        <f>Moteur!G35</f>
        <v/>
      </c>
      <c r="E35">
        <f>Moteur!H35</f>
        <v/>
      </c>
      <c r="F35">
        <f>Moteur!E35</f>
        <v/>
      </c>
      <c r="G35">
        <f>SUMIFS(Socle!$H$2:$H$175,Socle!$C$2:$C$175,A35,Socle!$D$2:$D$175,C35,Socle!$E$2:$E$175,D35,Socle!$F$2:$F$175,E35,Socle!$G$2:$G$175,"2026")</f>
        <v/>
      </c>
      <c r="H35">
        <f>SUMIFS(Socle!$N$2:$N$175,Socle!$C$2:$C$175,A35,Socle!$D$2:$D$175,C35,Socle!$E$2:$E$175,D35,Socle!$F$2:$F$175,E35,Socle!$G$2:$G$175,"2026")</f>
        <v/>
      </c>
      <c r="I35">
        <f>SUMIFS(Socle!$P$2:$P$175,Socle!$C$2:$C$175,A35,Socle!$D$2:$D$175,C35,Socle!$E$2:$E$175,D35,Socle!$F$2:$F$175,E35,Socle!$G$2:$G$175,"2026")</f>
        <v/>
      </c>
      <c r="J35">
        <f>SUMIFS(Socle!$W$2:$W$175,Socle!$C$2:$C$175,A35,Socle!$D$2:$D$175,C35,Socle!$E$2:$E$175,D35,Socle!$F$2:$F$175,E35,Socle!$G$2:$G$175,"2026")</f>
        <v/>
      </c>
      <c r="K35">
        <f>SUMIFS(Socle!$X$2:$X$175,Socle!$C$2:$C$175,A35,Socle!$D$2:$D$175,C35,Socle!$E$2:$E$175,D35,Socle!$F$2:$F$175,E35,Socle!$G$2:$G$175,"2026")</f>
        <v/>
      </c>
      <c r="L35">
        <f>SUMIFS(Socle!$Y$2:$Y$175,Socle!$C$2:$C$175,A35,Socle!$D$2:$D$175,C35,Socle!$E$2:$E$175,D35,Socle!$F$2:$F$175,E35,Socle!$G$2:$G$175,"2026")</f>
        <v/>
      </c>
      <c r="M35">
        <f>SUMIFS(Socle!$V$2:$V$175,Socle!$C$2:$C$175,A35,Socle!$D$2:$D$175,C35,Socle!$E$2:$E$175,D35,Socle!$F$2:$F$175,E35,Socle!$G$2:$G$175,"2026")</f>
        <v/>
      </c>
      <c r="N35">
        <f>IF(OR(D35="B1",D35="M1",D35="BTS1"),1,0)</f>
        <v/>
      </c>
      <c r="O35">
        <f>SUMIFS(Campagne!$D$2:$D$15,Campagne!$C$2:$C$15,A35)</f>
        <v/>
      </c>
      <c r="P35">
        <f>SUMIFS(Campagne!$E$2:$E$15,Campagne!$C$2:$C$15,A35)</f>
        <v/>
      </c>
      <c r="Q35">
        <f>SUMIFS(Campagne!$F$2:$F$15,Campagne!$C$2:$C$15,A35)</f>
        <v/>
      </c>
      <c r="R35">
        <f>SUMIFS(Campagne!$K$2:$K$15,Campagne!$C$2:$C$15,A35)</f>
        <v/>
      </c>
      <c r="S35">
        <f>SUMIFS(Campagne!$M$2:$M$15,Campagne!$C$2:$C$15,A35)</f>
        <v/>
      </c>
      <c r="T35">
        <f>SUMIFS(Pilotage!$Q$13:$Q$26,Pilotage!$F$13:$F$26,A35)</f>
        <v/>
      </c>
      <c r="U35">
        <f>SUMIFS(Pilotage!$N$13:$N$26,Pilotage!$F$13:$F$26,A35)</f>
        <v/>
      </c>
      <c r="V35">
        <f>IF(B35="V01",cad!$I$21,IF(B35="V02",cad!$J$21,cad!$K$21))</f>
        <v/>
      </c>
      <c r="W35">
        <f>IF(B35="V01",cad!$I$22,IF(B35="V02",cad!$J$22,cad!$K$22))</f>
        <v/>
      </c>
      <c r="X35">
        <f>IF(B35="V01",cad!$I$23,IF(B35="V02",cad!$J$23,cad!$K$23))</f>
        <v/>
      </c>
      <c r="Y35">
        <f>IF(B35="V01",cad!$I$24,IF(B35="V02",cad!$J$24,cad!$K$24))</f>
        <v/>
      </c>
      <c r="Z35">
        <f>IF(B35="V01",cad!$I$25,IF(B35="V02",cad!$J$25,cad!$K$25))</f>
        <v/>
      </c>
      <c r="AA35">
        <f>IF(B35="V01",cad!$I$26,IF(B35="V02",cad!$J$26,cad!$K$26))</f>
        <v/>
      </c>
      <c r="AB35">
        <f>IF(B35="V01",cad!$I$37,IF(B35="V02",cad!$J$37,cad!$K$37))</f>
        <v/>
      </c>
      <c r="AC35">
        <f>IF(F35="MBWAY",cad!$I$9,IF(F35="ISCOM",cad!$I$10,IF(F35="IPAC",cad!$I$11,IF(F35="PIGIER",cad!$I$12,cad!$I$13))))</f>
        <v/>
      </c>
      <c r="AD35">
        <f>(O35*(1+W35)^S35+P35*((T35/U35)*(1+V35))^R35)*IFERROR(G35/Q35,0)*(J35+Y35)*K35*(L35+Z35)</f>
        <v/>
      </c>
      <c r="AE35">
        <f>IF(N35=1,AD35,0)</f>
        <v/>
      </c>
      <c r="AF35">
        <f>IF(N35=1,AD35,H35*(M35+AA35))</f>
        <v/>
      </c>
      <c r="AG35">
        <f>I35*(1+X35*AC35)</f>
        <v/>
      </c>
      <c r="AH35">
        <f>AF35*AG35+AE35*AB35</f>
        <v/>
      </c>
    </row>
    <row r="36">
      <c r="A36">
        <f>Moteur!D36</f>
        <v/>
      </c>
      <c r="B36">
        <f>Moteur!B36</f>
        <v/>
      </c>
      <c r="C36">
        <f>Moteur!F36</f>
        <v/>
      </c>
      <c r="D36">
        <f>Moteur!G36</f>
        <v/>
      </c>
      <c r="E36">
        <f>Moteur!H36</f>
        <v/>
      </c>
      <c r="F36">
        <f>Moteur!E36</f>
        <v/>
      </c>
      <c r="G36">
        <f>SUMIFS(Socle!$H$2:$H$175,Socle!$C$2:$C$175,A36,Socle!$D$2:$D$175,C36,Socle!$E$2:$E$175,D36,Socle!$F$2:$F$175,E36,Socle!$G$2:$G$175,"2026")</f>
        <v/>
      </c>
      <c r="H36">
        <f>SUMIFS(Socle!$N$2:$N$175,Socle!$C$2:$C$175,A36,Socle!$D$2:$D$175,C36,Socle!$E$2:$E$175,D36,Socle!$F$2:$F$175,E36,Socle!$G$2:$G$175,"2026")</f>
        <v/>
      </c>
      <c r="I36">
        <f>SUMIFS(Socle!$P$2:$P$175,Socle!$C$2:$C$175,A36,Socle!$D$2:$D$175,C36,Socle!$E$2:$E$175,D36,Socle!$F$2:$F$175,E36,Socle!$G$2:$G$175,"2026")</f>
        <v/>
      </c>
      <c r="J36">
        <f>SUMIFS(Socle!$W$2:$W$175,Socle!$C$2:$C$175,A36,Socle!$D$2:$D$175,C36,Socle!$E$2:$E$175,D36,Socle!$F$2:$F$175,E36,Socle!$G$2:$G$175,"2026")</f>
        <v/>
      </c>
      <c r="K36">
        <f>SUMIFS(Socle!$X$2:$X$175,Socle!$C$2:$C$175,A36,Socle!$D$2:$D$175,C36,Socle!$E$2:$E$175,D36,Socle!$F$2:$F$175,E36,Socle!$G$2:$G$175,"2026")</f>
        <v/>
      </c>
      <c r="L36">
        <f>SUMIFS(Socle!$Y$2:$Y$175,Socle!$C$2:$C$175,A36,Socle!$D$2:$D$175,C36,Socle!$E$2:$E$175,D36,Socle!$F$2:$F$175,E36,Socle!$G$2:$G$175,"2026")</f>
        <v/>
      </c>
      <c r="M36">
        <f>SUMIFS(Socle!$V$2:$V$175,Socle!$C$2:$C$175,A36,Socle!$D$2:$D$175,C36,Socle!$E$2:$E$175,D36,Socle!$F$2:$F$175,E36,Socle!$G$2:$G$175,"2026")</f>
        <v/>
      </c>
      <c r="N36">
        <f>IF(OR(D36="B1",D36="M1",D36="BTS1"),1,0)</f>
        <v/>
      </c>
      <c r="O36">
        <f>SUMIFS(Campagne!$D$2:$D$15,Campagne!$C$2:$C$15,A36)</f>
        <v/>
      </c>
      <c r="P36">
        <f>SUMIFS(Campagne!$E$2:$E$15,Campagne!$C$2:$C$15,A36)</f>
        <v/>
      </c>
      <c r="Q36">
        <f>SUMIFS(Campagne!$F$2:$F$15,Campagne!$C$2:$C$15,A36)</f>
        <v/>
      </c>
      <c r="R36">
        <f>SUMIFS(Campagne!$K$2:$K$15,Campagne!$C$2:$C$15,A36)</f>
        <v/>
      </c>
      <c r="S36">
        <f>SUMIFS(Campagne!$M$2:$M$15,Campagne!$C$2:$C$15,A36)</f>
        <v/>
      </c>
      <c r="T36">
        <f>SUMIFS(Pilotage!$Q$13:$Q$26,Pilotage!$F$13:$F$26,A36)</f>
        <v/>
      </c>
      <c r="U36">
        <f>SUMIFS(Pilotage!$N$13:$N$26,Pilotage!$F$13:$F$26,A36)</f>
        <v/>
      </c>
      <c r="V36">
        <f>IF(B36="V01",cad!$I$21,IF(B36="V02",cad!$J$21,cad!$K$21))</f>
        <v/>
      </c>
      <c r="W36">
        <f>IF(B36="V01",cad!$I$22,IF(B36="V02",cad!$J$22,cad!$K$22))</f>
        <v/>
      </c>
      <c r="X36">
        <f>IF(B36="V01",cad!$I$23,IF(B36="V02",cad!$J$23,cad!$K$23))</f>
        <v/>
      </c>
      <c r="Y36">
        <f>IF(B36="V01",cad!$I$24,IF(B36="V02",cad!$J$24,cad!$K$24))</f>
        <v/>
      </c>
      <c r="Z36">
        <f>IF(B36="V01",cad!$I$25,IF(B36="V02",cad!$J$25,cad!$K$25))</f>
        <v/>
      </c>
      <c r="AA36">
        <f>IF(B36="V01",cad!$I$26,IF(B36="V02",cad!$J$26,cad!$K$26))</f>
        <v/>
      </c>
      <c r="AB36">
        <f>IF(B36="V01",cad!$I$37,IF(B36="V02",cad!$J$37,cad!$K$37))</f>
        <v/>
      </c>
      <c r="AC36">
        <f>IF(F36="MBWAY",cad!$I$9,IF(F36="ISCOM",cad!$I$10,IF(F36="IPAC",cad!$I$11,IF(F36="PIGIER",cad!$I$12,cad!$I$13))))</f>
        <v/>
      </c>
      <c r="AD36">
        <f>(O36*(1+W36)^S36+P36*((T36/U36)*(1+V36))^R36)*IFERROR(G36/Q36,0)*(J36+Y36)*K36*(L36+Z36)</f>
        <v/>
      </c>
      <c r="AE36">
        <f>IF(N36=1,AD36,0)</f>
        <v/>
      </c>
      <c r="AF36">
        <f>IF(N36=1,AD36,H36*(M36+AA36))</f>
        <v/>
      </c>
      <c r="AG36">
        <f>I36*(1+X36*AC36)</f>
        <v/>
      </c>
      <c r="AH36">
        <f>AF36*AG36+AE36*AB36</f>
        <v/>
      </c>
    </row>
    <row r="37">
      <c r="A37">
        <f>Moteur!D37</f>
        <v/>
      </c>
      <c r="B37">
        <f>Moteur!B37</f>
        <v/>
      </c>
      <c r="C37">
        <f>Moteur!F37</f>
        <v/>
      </c>
      <c r="D37">
        <f>Moteur!G37</f>
        <v/>
      </c>
      <c r="E37">
        <f>Moteur!H37</f>
        <v/>
      </c>
      <c r="F37">
        <f>Moteur!E37</f>
        <v/>
      </c>
      <c r="G37">
        <f>SUMIFS(Socle!$H$2:$H$175,Socle!$C$2:$C$175,A37,Socle!$D$2:$D$175,C37,Socle!$E$2:$E$175,D37,Socle!$F$2:$F$175,E37,Socle!$G$2:$G$175,"2026")</f>
        <v/>
      </c>
      <c r="H37">
        <f>SUMIFS(Socle!$N$2:$N$175,Socle!$C$2:$C$175,A37,Socle!$D$2:$D$175,C37,Socle!$E$2:$E$175,D37,Socle!$F$2:$F$175,E37,Socle!$G$2:$G$175,"2026")</f>
        <v/>
      </c>
      <c r="I37">
        <f>SUMIFS(Socle!$P$2:$P$175,Socle!$C$2:$C$175,A37,Socle!$D$2:$D$175,C37,Socle!$E$2:$E$175,D37,Socle!$F$2:$F$175,E37,Socle!$G$2:$G$175,"2026")</f>
        <v/>
      </c>
      <c r="J37">
        <f>SUMIFS(Socle!$W$2:$W$175,Socle!$C$2:$C$175,A37,Socle!$D$2:$D$175,C37,Socle!$E$2:$E$175,D37,Socle!$F$2:$F$175,E37,Socle!$G$2:$G$175,"2026")</f>
        <v/>
      </c>
      <c r="K37">
        <f>SUMIFS(Socle!$X$2:$X$175,Socle!$C$2:$C$175,A37,Socle!$D$2:$D$175,C37,Socle!$E$2:$E$175,D37,Socle!$F$2:$F$175,E37,Socle!$G$2:$G$175,"2026")</f>
        <v/>
      </c>
      <c r="L37">
        <f>SUMIFS(Socle!$Y$2:$Y$175,Socle!$C$2:$C$175,A37,Socle!$D$2:$D$175,C37,Socle!$E$2:$E$175,D37,Socle!$F$2:$F$175,E37,Socle!$G$2:$G$175,"2026")</f>
        <v/>
      </c>
      <c r="M37">
        <f>SUMIFS(Socle!$V$2:$V$175,Socle!$C$2:$C$175,A37,Socle!$D$2:$D$175,C37,Socle!$E$2:$E$175,D37,Socle!$F$2:$F$175,E37,Socle!$G$2:$G$175,"2026")</f>
        <v/>
      </c>
      <c r="N37">
        <f>IF(OR(D37="B1",D37="M1",D37="BTS1"),1,0)</f>
        <v/>
      </c>
      <c r="O37">
        <f>SUMIFS(Campagne!$D$2:$D$15,Campagne!$C$2:$C$15,A37)</f>
        <v/>
      </c>
      <c r="P37">
        <f>SUMIFS(Campagne!$E$2:$E$15,Campagne!$C$2:$C$15,A37)</f>
        <v/>
      </c>
      <c r="Q37">
        <f>SUMIFS(Campagne!$F$2:$F$15,Campagne!$C$2:$C$15,A37)</f>
        <v/>
      </c>
      <c r="R37">
        <f>SUMIFS(Campagne!$K$2:$K$15,Campagne!$C$2:$C$15,A37)</f>
        <v/>
      </c>
      <c r="S37">
        <f>SUMIFS(Campagne!$M$2:$M$15,Campagne!$C$2:$C$15,A37)</f>
        <v/>
      </c>
      <c r="T37">
        <f>SUMIFS(Pilotage!$Q$13:$Q$26,Pilotage!$F$13:$F$26,A37)</f>
        <v/>
      </c>
      <c r="U37">
        <f>SUMIFS(Pilotage!$N$13:$N$26,Pilotage!$F$13:$F$26,A37)</f>
        <v/>
      </c>
      <c r="V37">
        <f>IF(B37="V01",cad!$I$21,IF(B37="V02",cad!$J$21,cad!$K$21))</f>
        <v/>
      </c>
      <c r="W37">
        <f>IF(B37="V01",cad!$I$22,IF(B37="V02",cad!$J$22,cad!$K$22))</f>
        <v/>
      </c>
      <c r="X37">
        <f>IF(B37="V01",cad!$I$23,IF(B37="V02",cad!$J$23,cad!$K$23))</f>
        <v/>
      </c>
      <c r="Y37">
        <f>IF(B37="V01",cad!$I$24,IF(B37="V02",cad!$J$24,cad!$K$24))</f>
        <v/>
      </c>
      <c r="Z37">
        <f>IF(B37="V01",cad!$I$25,IF(B37="V02",cad!$J$25,cad!$K$25))</f>
        <v/>
      </c>
      <c r="AA37">
        <f>IF(B37="V01",cad!$I$26,IF(B37="V02",cad!$J$26,cad!$K$26))</f>
        <v/>
      </c>
      <c r="AB37">
        <f>IF(B37="V01",cad!$I$37,IF(B37="V02",cad!$J$37,cad!$K$37))</f>
        <v/>
      </c>
      <c r="AC37">
        <f>IF(F37="MBWAY",cad!$I$9,IF(F37="ISCOM",cad!$I$10,IF(F37="IPAC",cad!$I$11,IF(F37="PIGIER",cad!$I$12,cad!$I$13))))</f>
        <v/>
      </c>
      <c r="AD37">
        <f>(O37*(1+W37)^S37+P37*((T37/U37)*(1+V37))^R37)*IFERROR(G37/Q37,0)*(J37+Y37)*K37*(L37+Z37)</f>
        <v/>
      </c>
      <c r="AE37">
        <f>IF(N37=1,AD37,0)</f>
        <v/>
      </c>
      <c r="AF37">
        <f>IF(N37=1,AD37,H37*(M37+AA37))</f>
        <v/>
      </c>
      <c r="AG37">
        <f>I37*(1+X37*AC37)</f>
        <v/>
      </c>
      <c r="AH37">
        <f>AF37*AG37+AE37*AB37</f>
        <v/>
      </c>
    </row>
    <row r="38">
      <c r="A38">
        <f>Moteur!D38</f>
        <v/>
      </c>
      <c r="B38">
        <f>Moteur!B38</f>
        <v/>
      </c>
      <c r="C38">
        <f>Moteur!F38</f>
        <v/>
      </c>
      <c r="D38">
        <f>Moteur!G38</f>
        <v/>
      </c>
      <c r="E38">
        <f>Moteur!H38</f>
        <v/>
      </c>
      <c r="F38">
        <f>Moteur!E38</f>
        <v/>
      </c>
      <c r="G38">
        <f>SUMIFS(Socle!$H$2:$H$175,Socle!$C$2:$C$175,A38,Socle!$D$2:$D$175,C38,Socle!$E$2:$E$175,D38,Socle!$F$2:$F$175,E38,Socle!$G$2:$G$175,"2026")</f>
        <v/>
      </c>
      <c r="H38">
        <f>SUMIFS(Socle!$N$2:$N$175,Socle!$C$2:$C$175,A38,Socle!$D$2:$D$175,C38,Socle!$E$2:$E$175,D38,Socle!$F$2:$F$175,E38,Socle!$G$2:$G$175,"2026")</f>
        <v/>
      </c>
      <c r="I38">
        <f>SUMIFS(Socle!$P$2:$P$175,Socle!$C$2:$C$175,A38,Socle!$D$2:$D$175,C38,Socle!$E$2:$E$175,D38,Socle!$F$2:$F$175,E38,Socle!$G$2:$G$175,"2026")</f>
        <v/>
      </c>
      <c r="J38">
        <f>SUMIFS(Socle!$W$2:$W$175,Socle!$C$2:$C$175,A38,Socle!$D$2:$D$175,C38,Socle!$E$2:$E$175,D38,Socle!$F$2:$F$175,E38,Socle!$G$2:$G$175,"2026")</f>
        <v/>
      </c>
      <c r="K38">
        <f>SUMIFS(Socle!$X$2:$X$175,Socle!$C$2:$C$175,A38,Socle!$D$2:$D$175,C38,Socle!$E$2:$E$175,D38,Socle!$F$2:$F$175,E38,Socle!$G$2:$G$175,"2026")</f>
        <v/>
      </c>
      <c r="L38">
        <f>SUMIFS(Socle!$Y$2:$Y$175,Socle!$C$2:$C$175,A38,Socle!$D$2:$D$175,C38,Socle!$E$2:$E$175,D38,Socle!$F$2:$F$175,E38,Socle!$G$2:$G$175,"2026")</f>
        <v/>
      </c>
      <c r="M38">
        <f>SUMIFS(Socle!$V$2:$V$175,Socle!$C$2:$C$175,A38,Socle!$D$2:$D$175,C38,Socle!$E$2:$E$175,D38,Socle!$F$2:$F$175,E38,Socle!$G$2:$G$175,"2026")</f>
        <v/>
      </c>
      <c r="N38">
        <f>IF(OR(D38="B1",D38="M1",D38="BTS1"),1,0)</f>
        <v/>
      </c>
      <c r="O38">
        <f>SUMIFS(Campagne!$D$2:$D$15,Campagne!$C$2:$C$15,A38)</f>
        <v/>
      </c>
      <c r="P38">
        <f>SUMIFS(Campagne!$E$2:$E$15,Campagne!$C$2:$C$15,A38)</f>
        <v/>
      </c>
      <c r="Q38">
        <f>SUMIFS(Campagne!$F$2:$F$15,Campagne!$C$2:$C$15,A38)</f>
        <v/>
      </c>
      <c r="R38">
        <f>SUMIFS(Campagne!$K$2:$K$15,Campagne!$C$2:$C$15,A38)</f>
        <v/>
      </c>
      <c r="S38">
        <f>SUMIFS(Campagne!$M$2:$M$15,Campagne!$C$2:$C$15,A38)</f>
        <v/>
      </c>
      <c r="T38">
        <f>SUMIFS(Pilotage!$Q$13:$Q$26,Pilotage!$F$13:$F$26,A38)</f>
        <v/>
      </c>
      <c r="U38">
        <f>SUMIFS(Pilotage!$N$13:$N$26,Pilotage!$F$13:$F$26,A38)</f>
        <v/>
      </c>
      <c r="V38">
        <f>IF(B38="V01",cad!$I$21,IF(B38="V02",cad!$J$21,cad!$K$21))</f>
        <v/>
      </c>
      <c r="W38">
        <f>IF(B38="V01",cad!$I$22,IF(B38="V02",cad!$J$22,cad!$K$22))</f>
        <v/>
      </c>
      <c r="X38">
        <f>IF(B38="V01",cad!$I$23,IF(B38="V02",cad!$J$23,cad!$K$23))</f>
        <v/>
      </c>
      <c r="Y38">
        <f>IF(B38="V01",cad!$I$24,IF(B38="V02",cad!$J$24,cad!$K$24))</f>
        <v/>
      </c>
      <c r="Z38">
        <f>IF(B38="V01",cad!$I$25,IF(B38="V02",cad!$J$25,cad!$K$25))</f>
        <v/>
      </c>
      <c r="AA38">
        <f>IF(B38="V01",cad!$I$26,IF(B38="V02",cad!$J$26,cad!$K$26))</f>
        <v/>
      </c>
      <c r="AB38">
        <f>IF(B38="V01",cad!$I$37,IF(B38="V02",cad!$J$37,cad!$K$37))</f>
        <v/>
      </c>
      <c r="AC38">
        <f>IF(F38="MBWAY",cad!$I$9,IF(F38="ISCOM",cad!$I$10,IF(F38="IPAC",cad!$I$11,IF(F38="PIGIER",cad!$I$12,cad!$I$13))))</f>
        <v/>
      </c>
      <c r="AD38">
        <f>(O38*(1+W38)^S38+P38*((T38/U38)*(1+V38))^R38)*IFERROR(G38/Q38,0)*(J38+Y38)*K38*(L38+Z38)</f>
        <v/>
      </c>
      <c r="AE38">
        <f>IF(N38=1,AD38,0)</f>
        <v/>
      </c>
      <c r="AF38">
        <f>IF(N38=1,AD38,H38*(M38+AA38))</f>
        <v/>
      </c>
      <c r="AG38">
        <f>I38*(1+X38*AC38)</f>
        <v/>
      </c>
      <c r="AH38">
        <f>AF38*AG38+AE38*AB38</f>
        <v/>
      </c>
    </row>
    <row r="39">
      <c r="A39">
        <f>Moteur!D39</f>
        <v/>
      </c>
      <c r="B39">
        <f>Moteur!B39</f>
        <v/>
      </c>
      <c r="C39">
        <f>Moteur!F39</f>
        <v/>
      </c>
      <c r="D39">
        <f>Moteur!G39</f>
        <v/>
      </c>
      <c r="E39">
        <f>Moteur!H39</f>
        <v/>
      </c>
      <c r="F39">
        <f>Moteur!E39</f>
        <v/>
      </c>
      <c r="G39">
        <f>SUMIFS(Socle!$H$2:$H$175,Socle!$C$2:$C$175,A39,Socle!$D$2:$D$175,C39,Socle!$E$2:$E$175,D39,Socle!$F$2:$F$175,E39,Socle!$G$2:$G$175,"2026")</f>
        <v/>
      </c>
      <c r="H39">
        <f>SUMIFS(Socle!$N$2:$N$175,Socle!$C$2:$C$175,A39,Socle!$D$2:$D$175,C39,Socle!$E$2:$E$175,D39,Socle!$F$2:$F$175,E39,Socle!$G$2:$G$175,"2026")</f>
        <v/>
      </c>
      <c r="I39">
        <f>SUMIFS(Socle!$P$2:$P$175,Socle!$C$2:$C$175,A39,Socle!$D$2:$D$175,C39,Socle!$E$2:$E$175,D39,Socle!$F$2:$F$175,E39,Socle!$G$2:$G$175,"2026")</f>
        <v/>
      </c>
      <c r="J39">
        <f>SUMIFS(Socle!$W$2:$W$175,Socle!$C$2:$C$175,A39,Socle!$D$2:$D$175,C39,Socle!$E$2:$E$175,D39,Socle!$F$2:$F$175,E39,Socle!$G$2:$G$175,"2026")</f>
        <v/>
      </c>
      <c r="K39">
        <f>SUMIFS(Socle!$X$2:$X$175,Socle!$C$2:$C$175,A39,Socle!$D$2:$D$175,C39,Socle!$E$2:$E$175,D39,Socle!$F$2:$F$175,E39,Socle!$G$2:$G$175,"2026")</f>
        <v/>
      </c>
      <c r="L39">
        <f>SUMIFS(Socle!$Y$2:$Y$175,Socle!$C$2:$C$175,A39,Socle!$D$2:$D$175,C39,Socle!$E$2:$E$175,D39,Socle!$F$2:$F$175,E39,Socle!$G$2:$G$175,"2026")</f>
        <v/>
      </c>
      <c r="M39">
        <f>SUMIFS(Socle!$V$2:$V$175,Socle!$C$2:$C$175,A39,Socle!$D$2:$D$175,C39,Socle!$E$2:$E$175,D39,Socle!$F$2:$F$175,E39,Socle!$G$2:$G$175,"2026")</f>
        <v/>
      </c>
      <c r="N39">
        <f>IF(OR(D39="B1",D39="M1",D39="BTS1"),1,0)</f>
        <v/>
      </c>
      <c r="O39">
        <f>SUMIFS(Campagne!$D$2:$D$15,Campagne!$C$2:$C$15,A39)</f>
        <v/>
      </c>
      <c r="P39">
        <f>SUMIFS(Campagne!$E$2:$E$15,Campagne!$C$2:$C$15,A39)</f>
        <v/>
      </c>
      <c r="Q39">
        <f>SUMIFS(Campagne!$F$2:$F$15,Campagne!$C$2:$C$15,A39)</f>
        <v/>
      </c>
      <c r="R39">
        <f>SUMIFS(Campagne!$K$2:$K$15,Campagne!$C$2:$C$15,A39)</f>
        <v/>
      </c>
      <c r="S39">
        <f>SUMIFS(Campagne!$M$2:$M$15,Campagne!$C$2:$C$15,A39)</f>
        <v/>
      </c>
      <c r="T39">
        <f>SUMIFS(Pilotage!$Q$13:$Q$26,Pilotage!$F$13:$F$26,A39)</f>
        <v/>
      </c>
      <c r="U39">
        <f>SUMIFS(Pilotage!$N$13:$N$26,Pilotage!$F$13:$F$26,A39)</f>
        <v/>
      </c>
      <c r="V39">
        <f>IF(B39="V01",cad!$I$21,IF(B39="V02",cad!$J$21,cad!$K$21))</f>
        <v/>
      </c>
      <c r="W39">
        <f>IF(B39="V01",cad!$I$22,IF(B39="V02",cad!$J$22,cad!$K$22))</f>
        <v/>
      </c>
      <c r="X39">
        <f>IF(B39="V01",cad!$I$23,IF(B39="V02",cad!$J$23,cad!$K$23))</f>
        <v/>
      </c>
      <c r="Y39">
        <f>IF(B39="V01",cad!$I$24,IF(B39="V02",cad!$J$24,cad!$K$24))</f>
        <v/>
      </c>
      <c r="Z39">
        <f>IF(B39="V01",cad!$I$25,IF(B39="V02",cad!$J$25,cad!$K$25))</f>
        <v/>
      </c>
      <c r="AA39">
        <f>IF(B39="V01",cad!$I$26,IF(B39="V02",cad!$J$26,cad!$K$26))</f>
        <v/>
      </c>
      <c r="AB39">
        <f>IF(B39="V01",cad!$I$37,IF(B39="V02",cad!$J$37,cad!$K$37))</f>
        <v/>
      </c>
      <c r="AC39">
        <f>IF(F39="MBWAY",cad!$I$9,IF(F39="ISCOM",cad!$I$10,IF(F39="IPAC",cad!$I$11,IF(F39="PIGIER",cad!$I$12,cad!$I$13))))</f>
        <v/>
      </c>
      <c r="AD39">
        <f>(O39*(1+W39)^S39+P39*((T39/U39)*(1+V39))^R39)*IFERROR(G39/Q39,0)*(J39+Y39)*K39*(L39+Z39)</f>
        <v/>
      </c>
      <c r="AE39">
        <f>IF(N39=1,AD39,0)</f>
        <v/>
      </c>
      <c r="AF39">
        <f>IF(N39=1,AD39,H39*(M39+AA39))</f>
        <v/>
      </c>
      <c r="AG39">
        <f>I39*(1+X39*AC39)</f>
        <v/>
      </c>
      <c r="AH39">
        <f>AF39*AG39+AE39*AB39</f>
        <v/>
      </c>
    </row>
    <row r="40">
      <c r="A40">
        <f>Moteur!D40</f>
        <v/>
      </c>
      <c r="B40">
        <f>Moteur!B40</f>
        <v/>
      </c>
      <c r="C40">
        <f>Moteur!F40</f>
        <v/>
      </c>
      <c r="D40">
        <f>Moteur!G40</f>
        <v/>
      </c>
      <c r="E40">
        <f>Moteur!H40</f>
        <v/>
      </c>
      <c r="F40">
        <f>Moteur!E40</f>
        <v/>
      </c>
      <c r="G40">
        <f>SUMIFS(Socle!$H$2:$H$175,Socle!$C$2:$C$175,A40,Socle!$D$2:$D$175,C40,Socle!$E$2:$E$175,D40,Socle!$F$2:$F$175,E40,Socle!$G$2:$G$175,"2026")</f>
        <v/>
      </c>
      <c r="H40">
        <f>SUMIFS(Socle!$N$2:$N$175,Socle!$C$2:$C$175,A40,Socle!$D$2:$D$175,C40,Socle!$E$2:$E$175,D40,Socle!$F$2:$F$175,E40,Socle!$G$2:$G$175,"2026")</f>
        <v/>
      </c>
      <c r="I40">
        <f>SUMIFS(Socle!$P$2:$P$175,Socle!$C$2:$C$175,A40,Socle!$D$2:$D$175,C40,Socle!$E$2:$E$175,D40,Socle!$F$2:$F$175,E40,Socle!$G$2:$G$175,"2026")</f>
        <v/>
      </c>
      <c r="J40">
        <f>SUMIFS(Socle!$W$2:$W$175,Socle!$C$2:$C$175,A40,Socle!$D$2:$D$175,C40,Socle!$E$2:$E$175,D40,Socle!$F$2:$F$175,E40,Socle!$G$2:$G$175,"2026")</f>
        <v/>
      </c>
      <c r="K40">
        <f>SUMIFS(Socle!$X$2:$X$175,Socle!$C$2:$C$175,A40,Socle!$D$2:$D$175,C40,Socle!$E$2:$E$175,D40,Socle!$F$2:$F$175,E40,Socle!$G$2:$G$175,"2026")</f>
        <v/>
      </c>
      <c r="L40">
        <f>SUMIFS(Socle!$Y$2:$Y$175,Socle!$C$2:$C$175,A40,Socle!$D$2:$D$175,C40,Socle!$E$2:$E$175,D40,Socle!$F$2:$F$175,E40,Socle!$G$2:$G$175,"2026")</f>
        <v/>
      </c>
      <c r="M40">
        <f>SUMIFS(Socle!$V$2:$V$175,Socle!$C$2:$C$175,A40,Socle!$D$2:$D$175,C40,Socle!$E$2:$E$175,D40,Socle!$F$2:$F$175,E40,Socle!$G$2:$G$175,"2026")</f>
        <v/>
      </c>
      <c r="N40">
        <f>IF(OR(D40="B1",D40="M1",D40="BTS1"),1,0)</f>
        <v/>
      </c>
      <c r="O40">
        <f>SUMIFS(Campagne!$D$2:$D$15,Campagne!$C$2:$C$15,A40)</f>
        <v/>
      </c>
      <c r="P40">
        <f>SUMIFS(Campagne!$E$2:$E$15,Campagne!$C$2:$C$15,A40)</f>
        <v/>
      </c>
      <c r="Q40">
        <f>SUMIFS(Campagne!$F$2:$F$15,Campagne!$C$2:$C$15,A40)</f>
        <v/>
      </c>
      <c r="R40">
        <f>SUMIFS(Campagne!$K$2:$K$15,Campagne!$C$2:$C$15,A40)</f>
        <v/>
      </c>
      <c r="S40">
        <f>SUMIFS(Campagne!$M$2:$M$15,Campagne!$C$2:$C$15,A40)</f>
        <v/>
      </c>
      <c r="T40">
        <f>SUMIFS(Pilotage!$Q$13:$Q$26,Pilotage!$F$13:$F$26,A40)</f>
        <v/>
      </c>
      <c r="U40">
        <f>SUMIFS(Pilotage!$N$13:$N$26,Pilotage!$F$13:$F$26,A40)</f>
        <v/>
      </c>
      <c r="V40">
        <f>IF(B40="V01",cad!$I$21,IF(B40="V02",cad!$J$21,cad!$K$21))</f>
        <v/>
      </c>
      <c r="W40">
        <f>IF(B40="V01",cad!$I$22,IF(B40="V02",cad!$J$22,cad!$K$22))</f>
        <v/>
      </c>
      <c r="X40">
        <f>IF(B40="V01",cad!$I$23,IF(B40="V02",cad!$J$23,cad!$K$23))</f>
        <v/>
      </c>
      <c r="Y40">
        <f>IF(B40="V01",cad!$I$24,IF(B40="V02",cad!$J$24,cad!$K$24))</f>
        <v/>
      </c>
      <c r="Z40">
        <f>IF(B40="V01",cad!$I$25,IF(B40="V02",cad!$J$25,cad!$K$25))</f>
        <v/>
      </c>
      <c r="AA40">
        <f>IF(B40="V01",cad!$I$26,IF(B40="V02",cad!$J$26,cad!$K$26))</f>
        <v/>
      </c>
      <c r="AB40">
        <f>IF(B40="V01",cad!$I$37,IF(B40="V02",cad!$J$37,cad!$K$37))</f>
        <v/>
      </c>
      <c r="AC40">
        <f>IF(F40="MBWAY",cad!$I$9,IF(F40="ISCOM",cad!$I$10,IF(F40="IPAC",cad!$I$11,IF(F40="PIGIER",cad!$I$12,cad!$I$13))))</f>
        <v/>
      </c>
      <c r="AD40">
        <f>(O40*(1+W40)^S40+P40*((T40/U40)*(1+V40))^R40)*IFERROR(G40/Q40,0)*(J40+Y40)*K40*(L40+Z40)</f>
        <v/>
      </c>
      <c r="AE40">
        <f>IF(N40=1,AD40,0)</f>
        <v/>
      </c>
      <c r="AF40">
        <f>IF(N40=1,AD40,H40*(M40+AA40))</f>
        <v/>
      </c>
      <c r="AG40">
        <f>I40*(1+X40*AC40)</f>
        <v/>
      </c>
      <c r="AH40">
        <f>AF40*AG40+AE40*AB40</f>
        <v/>
      </c>
    </row>
    <row r="41">
      <c r="A41">
        <f>Moteur!D41</f>
        <v/>
      </c>
      <c r="B41">
        <f>Moteur!B41</f>
        <v/>
      </c>
      <c r="C41">
        <f>Moteur!F41</f>
        <v/>
      </c>
      <c r="D41">
        <f>Moteur!G41</f>
        <v/>
      </c>
      <c r="E41">
        <f>Moteur!H41</f>
        <v/>
      </c>
      <c r="F41">
        <f>Moteur!E41</f>
        <v/>
      </c>
      <c r="G41">
        <f>SUMIFS(Socle!$H$2:$H$175,Socle!$C$2:$C$175,A41,Socle!$D$2:$D$175,C41,Socle!$E$2:$E$175,D41,Socle!$F$2:$F$175,E41,Socle!$G$2:$G$175,"2026")</f>
        <v/>
      </c>
      <c r="H41">
        <f>SUMIFS(Socle!$N$2:$N$175,Socle!$C$2:$C$175,A41,Socle!$D$2:$D$175,C41,Socle!$E$2:$E$175,D41,Socle!$F$2:$F$175,E41,Socle!$G$2:$G$175,"2026")</f>
        <v/>
      </c>
      <c r="I41">
        <f>SUMIFS(Socle!$P$2:$P$175,Socle!$C$2:$C$175,A41,Socle!$D$2:$D$175,C41,Socle!$E$2:$E$175,D41,Socle!$F$2:$F$175,E41,Socle!$G$2:$G$175,"2026")</f>
        <v/>
      </c>
      <c r="J41">
        <f>SUMIFS(Socle!$W$2:$W$175,Socle!$C$2:$C$175,A41,Socle!$D$2:$D$175,C41,Socle!$E$2:$E$175,D41,Socle!$F$2:$F$175,E41,Socle!$G$2:$G$175,"2026")</f>
        <v/>
      </c>
      <c r="K41">
        <f>SUMIFS(Socle!$X$2:$X$175,Socle!$C$2:$C$175,A41,Socle!$D$2:$D$175,C41,Socle!$E$2:$E$175,D41,Socle!$F$2:$F$175,E41,Socle!$G$2:$G$175,"2026")</f>
        <v/>
      </c>
      <c r="L41">
        <f>SUMIFS(Socle!$Y$2:$Y$175,Socle!$C$2:$C$175,A41,Socle!$D$2:$D$175,C41,Socle!$E$2:$E$175,D41,Socle!$F$2:$F$175,E41,Socle!$G$2:$G$175,"2026")</f>
        <v/>
      </c>
      <c r="M41">
        <f>SUMIFS(Socle!$V$2:$V$175,Socle!$C$2:$C$175,A41,Socle!$D$2:$D$175,C41,Socle!$E$2:$E$175,D41,Socle!$F$2:$F$175,E41,Socle!$G$2:$G$175,"2026")</f>
        <v/>
      </c>
      <c r="N41">
        <f>IF(OR(D41="B1",D41="M1",D41="BTS1"),1,0)</f>
        <v/>
      </c>
      <c r="O41">
        <f>SUMIFS(Campagne!$D$2:$D$15,Campagne!$C$2:$C$15,A41)</f>
        <v/>
      </c>
      <c r="P41">
        <f>SUMIFS(Campagne!$E$2:$E$15,Campagne!$C$2:$C$15,A41)</f>
        <v/>
      </c>
      <c r="Q41">
        <f>SUMIFS(Campagne!$F$2:$F$15,Campagne!$C$2:$C$15,A41)</f>
        <v/>
      </c>
      <c r="R41">
        <f>SUMIFS(Campagne!$K$2:$K$15,Campagne!$C$2:$C$15,A41)</f>
        <v/>
      </c>
      <c r="S41">
        <f>SUMIFS(Campagne!$M$2:$M$15,Campagne!$C$2:$C$15,A41)</f>
        <v/>
      </c>
      <c r="T41">
        <f>SUMIFS(Pilotage!$Q$13:$Q$26,Pilotage!$F$13:$F$26,A41)</f>
        <v/>
      </c>
      <c r="U41">
        <f>SUMIFS(Pilotage!$N$13:$N$26,Pilotage!$F$13:$F$26,A41)</f>
        <v/>
      </c>
      <c r="V41">
        <f>IF(B41="V01",cad!$I$21,IF(B41="V02",cad!$J$21,cad!$K$21))</f>
        <v/>
      </c>
      <c r="W41">
        <f>IF(B41="V01",cad!$I$22,IF(B41="V02",cad!$J$22,cad!$K$22))</f>
        <v/>
      </c>
      <c r="X41">
        <f>IF(B41="V01",cad!$I$23,IF(B41="V02",cad!$J$23,cad!$K$23))</f>
        <v/>
      </c>
      <c r="Y41">
        <f>IF(B41="V01",cad!$I$24,IF(B41="V02",cad!$J$24,cad!$K$24))</f>
        <v/>
      </c>
      <c r="Z41">
        <f>IF(B41="V01",cad!$I$25,IF(B41="V02",cad!$J$25,cad!$K$25))</f>
        <v/>
      </c>
      <c r="AA41">
        <f>IF(B41="V01",cad!$I$26,IF(B41="V02",cad!$J$26,cad!$K$26))</f>
        <v/>
      </c>
      <c r="AB41">
        <f>IF(B41="V01",cad!$I$37,IF(B41="V02",cad!$J$37,cad!$K$37))</f>
        <v/>
      </c>
      <c r="AC41">
        <f>IF(F41="MBWAY",cad!$I$9,IF(F41="ISCOM",cad!$I$10,IF(F41="IPAC",cad!$I$11,IF(F41="PIGIER",cad!$I$12,cad!$I$13))))</f>
        <v/>
      </c>
      <c r="AD41">
        <f>(O41*(1+W41)^S41+P41*((T41/U41)*(1+V41))^R41)*IFERROR(G41/Q41,0)*(J41+Y41)*K41*(L41+Z41)</f>
        <v/>
      </c>
      <c r="AE41">
        <f>IF(N41=1,AD41,0)</f>
        <v/>
      </c>
      <c r="AF41">
        <f>IF(N41=1,AD41,H41*(M41+AA41))</f>
        <v/>
      </c>
      <c r="AG41">
        <f>I41*(1+X41*AC41)</f>
        <v/>
      </c>
      <c r="AH41">
        <f>AF41*AG41+AE41*AB41</f>
        <v/>
      </c>
    </row>
    <row r="42">
      <c r="A42">
        <f>Moteur!D42</f>
        <v/>
      </c>
      <c r="B42">
        <f>Moteur!B42</f>
        <v/>
      </c>
      <c r="C42">
        <f>Moteur!F42</f>
        <v/>
      </c>
      <c r="D42">
        <f>Moteur!G42</f>
        <v/>
      </c>
      <c r="E42">
        <f>Moteur!H42</f>
        <v/>
      </c>
      <c r="F42">
        <f>Moteur!E42</f>
        <v/>
      </c>
      <c r="G42">
        <f>SUMIFS(Socle!$H$2:$H$175,Socle!$C$2:$C$175,A42,Socle!$D$2:$D$175,C42,Socle!$E$2:$E$175,D42,Socle!$F$2:$F$175,E42,Socle!$G$2:$G$175,"2026")</f>
        <v/>
      </c>
      <c r="H42">
        <f>SUMIFS(Socle!$N$2:$N$175,Socle!$C$2:$C$175,A42,Socle!$D$2:$D$175,C42,Socle!$E$2:$E$175,D42,Socle!$F$2:$F$175,E42,Socle!$G$2:$G$175,"2026")</f>
        <v/>
      </c>
      <c r="I42">
        <f>SUMIFS(Socle!$P$2:$P$175,Socle!$C$2:$C$175,A42,Socle!$D$2:$D$175,C42,Socle!$E$2:$E$175,D42,Socle!$F$2:$F$175,E42,Socle!$G$2:$G$175,"2026")</f>
        <v/>
      </c>
      <c r="J42">
        <f>SUMIFS(Socle!$W$2:$W$175,Socle!$C$2:$C$175,A42,Socle!$D$2:$D$175,C42,Socle!$E$2:$E$175,D42,Socle!$F$2:$F$175,E42,Socle!$G$2:$G$175,"2026")</f>
        <v/>
      </c>
      <c r="K42">
        <f>SUMIFS(Socle!$X$2:$X$175,Socle!$C$2:$C$175,A42,Socle!$D$2:$D$175,C42,Socle!$E$2:$E$175,D42,Socle!$F$2:$F$175,E42,Socle!$G$2:$G$175,"2026")</f>
        <v/>
      </c>
      <c r="L42">
        <f>SUMIFS(Socle!$Y$2:$Y$175,Socle!$C$2:$C$175,A42,Socle!$D$2:$D$175,C42,Socle!$E$2:$E$175,D42,Socle!$F$2:$F$175,E42,Socle!$G$2:$G$175,"2026")</f>
        <v/>
      </c>
      <c r="M42">
        <f>SUMIFS(Socle!$V$2:$V$175,Socle!$C$2:$C$175,A42,Socle!$D$2:$D$175,C42,Socle!$E$2:$E$175,D42,Socle!$F$2:$F$175,E42,Socle!$G$2:$G$175,"2026")</f>
        <v/>
      </c>
      <c r="N42">
        <f>IF(OR(D42="B1",D42="M1",D42="BTS1"),1,0)</f>
        <v/>
      </c>
      <c r="O42">
        <f>SUMIFS(Campagne!$D$2:$D$15,Campagne!$C$2:$C$15,A42)</f>
        <v/>
      </c>
      <c r="P42">
        <f>SUMIFS(Campagne!$E$2:$E$15,Campagne!$C$2:$C$15,A42)</f>
        <v/>
      </c>
      <c r="Q42">
        <f>SUMIFS(Campagne!$F$2:$F$15,Campagne!$C$2:$C$15,A42)</f>
        <v/>
      </c>
      <c r="R42">
        <f>SUMIFS(Campagne!$K$2:$K$15,Campagne!$C$2:$C$15,A42)</f>
        <v/>
      </c>
      <c r="S42">
        <f>SUMIFS(Campagne!$M$2:$M$15,Campagne!$C$2:$C$15,A42)</f>
        <v/>
      </c>
      <c r="T42">
        <f>SUMIFS(Pilotage!$Q$13:$Q$26,Pilotage!$F$13:$F$26,A42)</f>
        <v/>
      </c>
      <c r="U42">
        <f>SUMIFS(Pilotage!$N$13:$N$26,Pilotage!$F$13:$F$26,A42)</f>
        <v/>
      </c>
      <c r="V42">
        <f>IF(B42="V01",cad!$I$21,IF(B42="V02",cad!$J$21,cad!$K$21))</f>
        <v/>
      </c>
      <c r="W42">
        <f>IF(B42="V01",cad!$I$22,IF(B42="V02",cad!$J$22,cad!$K$22))</f>
        <v/>
      </c>
      <c r="X42">
        <f>IF(B42="V01",cad!$I$23,IF(B42="V02",cad!$J$23,cad!$K$23))</f>
        <v/>
      </c>
      <c r="Y42">
        <f>IF(B42="V01",cad!$I$24,IF(B42="V02",cad!$J$24,cad!$K$24))</f>
        <v/>
      </c>
      <c r="Z42">
        <f>IF(B42="V01",cad!$I$25,IF(B42="V02",cad!$J$25,cad!$K$25))</f>
        <v/>
      </c>
      <c r="AA42">
        <f>IF(B42="V01",cad!$I$26,IF(B42="V02",cad!$J$26,cad!$K$26))</f>
        <v/>
      </c>
      <c r="AB42">
        <f>IF(B42="V01",cad!$I$37,IF(B42="V02",cad!$J$37,cad!$K$37))</f>
        <v/>
      </c>
      <c r="AC42">
        <f>IF(F42="MBWAY",cad!$I$9,IF(F42="ISCOM",cad!$I$10,IF(F42="IPAC",cad!$I$11,IF(F42="PIGIER",cad!$I$12,cad!$I$13))))</f>
        <v/>
      </c>
      <c r="AD42">
        <f>(O42*(1+W42)^S42+P42*((T42/U42)*(1+V42))^R42)*IFERROR(G42/Q42,0)*(J42+Y42)*K42*(L42+Z42)</f>
        <v/>
      </c>
      <c r="AE42">
        <f>IF(N42=1,AD42,0)</f>
        <v/>
      </c>
      <c r="AF42">
        <f>IF(N42=1,AD42,H42*(M42+AA42))</f>
        <v/>
      </c>
      <c r="AG42">
        <f>I42*(1+X42*AC42)</f>
        <v/>
      </c>
      <c r="AH42">
        <f>AF42*AG42+AE42*AB42</f>
        <v/>
      </c>
    </row>
    <row r="43">
      <c r="A43">
        <f>Moteur!D43</f>
        <v/>
      </c>
      <c r="B43">
        <f>Moteur!B43</f>
        <v/>
      </c>
      <c r="C43">
        <f>Moteur!F43</f>
        <v/>
      </c>
      <c r="D43">
        <f>Moteur!G43</f>
        <v/>
      </c>
      <c r="E43">
        <f>Moteur!H43</f>
        <v/>
      </c>
      <c r="F43">
        <f>Moteur!E43</f>
        <v/>
      </c>
      <c r="G43">
        <f>SUMIFS(Socle!$H$2:$H$175,Socle!$C$2:$C$175,A43,Socle!$D$2:$D$175,C43,Socle!$E$2:$E$175,D43,Socle!$F$2:$F$175,E43,Socle!$G$2:$G$175,"2026")</f>
        <v/>
      </c>
      <c r="H43">
        <f>SUMIFS(Socle!$N$2:$N$175,Socle!$C$2:$C$175,A43,Socle!$D$2:$D$175,C43,Socle!$E$2:$E$175,D43,Socle!$F$2:$F$175,E43,Socle!$G$2:$G$175,"2026")</f>
        <v/>
      </c>
      <c r="I43">
        <f>SUMIFS(Socle!$P$2:$P$175,Socle!$C$2:$C$175,A43,Socle!$D$2:$D$175,C43,Socle!$E$2:$E$175,D43,Socle!$F$2:$F$175,E43,Socle!$G$2:$G$175,"2026")</f>
        <v/>
      </c>
      <c r="J43">
        <f>SUMIFS(Socle!$W$2:$W$175,Socle!$C$2:$C$175,A43,Socle!$D$2:$D$175,C43,Socle!$E$2:$E$175,D43,Socle!$F$2:$F$175,E43,Socle!$G$2:$G$175,"2026")</f>
        <v/>
      </c>
      <c r="K43">
        <f>SUMIFS(Socle!$X$2:$X$175,Socle!$C$2:$C$175,A43,Socle!$D$2:$D$175,C43,Socle!$E$2:$E$175,D43,Socle!$F$2:$F$175,E43,Socle!$G$2:$G$175,"2026")</f>
        <v/>
      </c>
      <c r="L43">
        <f>SUMIFS(Socle!$Y$2:$Y$175,Socle!$C$2:$C$175,A43,Socle!$D$2:$D$175,C43,Socle!$E$2:$E$175,D43,Socle!$F$2:$F$175,E43,Socle!$G$2:$G$175,"2026")</f>
        <v/>
      </c>
      <c r="M43">
        <f>SUMIFS(Socle!$V$2:$V$175,Socle!$C$2:$C$175,A43,Socle!$D$2:$D$175,C43,Socle!$E$2:$E$175,D43,Socle!$F$2:$F$175,E43,Socle!$G$2:$G$175,"2026")</f>
        <v/>
      </c>
      <c r="N43">
        <f>IF(OR(D43="B1",D43="M1",D43="BTS1"),1,0)</f>
        <v/>
      </c>
      <c r="O43">
        <f>SUMIFS(Campagne!$D$2:$D$15,Campagne!$C$2:$C$15,A43)</f>
        <v/>
      </c>
      <c r="P43">
        <f>SUMIFS(Campagne!$E$2:$E$15,Campagne!$C$2:$C$15,A43)</f>
        <v/>
      </c>
      <c r="Q43">
        <f>SUMIFS(Campagne!$F$2:$F$15,Campagne!$C$2:$C$15,A43)</f>
        <v/>
      </c>
      <c r="R43">
        <f>SUMIFS(Campagne!$K$2:$K$15,Campagne!$C$2:$C$15,A43)</f>
        <v/>
      </c>
      <c r="S43">
        <f>SUMIFS(Campagne!$M$2:$M$15,Campagne!$C$2:$C$15,A43)</f>
        <v/>
      </c>
      <c r="T43">
        <f>SUMIFS(Pilotage!$Q$13:$Q$26,Pilotage!$F$13:$F$26,A43)</f>
        <v/>
      </c>
      <c r="U43">
        <f>SUMIFS(Pilotage!$N$13:$N$26,Pilotage!$F$13:$F$26,A43)</f>
        <v/>
      </c>
      <c r="V43">
        <f>IF(B43="V01",cad!$I$21,IF(B43="V02",cad!$J$21,cad!$K$21))</f>
        <v/>
      </c>
      <c r="W43">
        <f>IF(B43="V01",cad!$I$22,IF(B43="V02",cad!$J$22,cad!$K$22))</f>
        <v/>
      </c>
      <c r="X43">
        <f>IF(B43="V01",cad!$I$23,IF(B43="V02",cad!$J$23,cad!$K$23))</f>
        <v/>
      </c>
      <c r="Y43">
        <f>IF(B43="V01",cad!$I$24,IF(B43="V02",cad!$J$24,cad!$K$24))</f>
        <v/>
      </c>
      <c r="Z43">
        <f>IF(B43="V01",cad!$I$25,IF(B43="V02",cad!$J$25,cad!$K$25))</f>
        <v/>
      </c>
      <c r="AA43">
        <f>IF(B43="V01",cad!$I$26,IF(B43="V02",cad!$J$26,cad!$K$26))</f>
        <v/>
      </c>
      <c r="AB43">
        <f>IF(B43="V01",cad!$I$37,IF(B43="V02",cad!$J$37,cad!$K$37))</f>
        <v/>
      </c>
      <c r="AC43">
        <f>IF(F43="MBWAY",cad!$I$9,IF(F43="ISCOM",cad!$I$10,IF(F43="IPAC",cad!$I$11,IF(F43="PIGIER",cad!$I$12,cad!$I$13))))</f>
        <v/>
      </c>
      <c r="AD43">
        <f>(O43*(1+W43)^S43+P43*((T43/U43)*(1+V43))^R43)*IFERROR(G43/Q43,0)*(J43+Y43)*K43*(L43+Z43)</f>
        <v/>
      </c>
      <c r="AE43">
        <f>IF(N43=1,AD43,0)</f>
        <v/>
      </c>
      <c r="AF43">
        <f>IF(N43=1,AD43,H43*(M43+AA43))</f>
        <v/>
      </c>
      <c r="AG43">
        <f>I43*(1+X43*AC43)</f>
        <v/>
      </c>
      <c r="AH43">
        <f>AF43*AG43+AE43*AB43</f>
        <v/>
      </c>
    </row>
    <row r="44">
      <c r="A44">
        <f>Moteur!D44</f>
        <v/>
      </c>
      <c r="B44">
        <f>Moteur!B44</f>
        <v/>
      </c>
      <c r="C44">
        <f>Moteur!F44</f>
        <v/>
      </c>
      <c r="D44">
        <f>Moteur!G44</f>
        <v/>
      </c>
      <c r="E44">
        <f>Moteur!H44</f>
        <v/>
      </c>
      <c r="F44">
        <f>Moteur!E44</f>
        <v/>
      </c>
      <c r="G44">
        <f>SUMIFS(Socle!$H$2:$H$175,Socle!$C$2:$C$175,A44,Socle!$D$2:$D$175,C44,Socle!$E$2:$E$175,D44,Socle!$F$2:$F$175,E44,Socle!$G$2:$G$175,"2026")</f>
        <v/>
      </c>
      <c r="H44">
        <f>SUMIFS(Socle!$N$2:$N$175,Socle!$C$2:$C$175,A44,Socle!$D$2:$D$175,C44,Socle!$E$2:$E$175,D44,Socle!$F$2:$F$175,E44,Socle!$G$2:$G$175,"2026")</f>
        <v/>
      </c>
      <c r="I44">
        <f>SUMIFS(Socle!$P$2:$P$175,Socle!$C$2:$C$175,A44,Socle!$D$2:$D$175,C44,Socle!$E$2:$E$175,D44,Socle!$F$2:$F$175,E44,Socle!$G$2:$G$175,"2026")</f>
        <v/>
      </c>
      <c r="J44">
        <f>SUMIFS(Socle!$W$2:$W$175,Socle!$C$2:$C$175,A44,Socle!$D$2:$D$175,C44,Socle!$E$2:$E$175,D44,Socle!$F$2:$F$175,E44,Socle!$G$2:$G$175,"2026")</f>
        <v/>
      </c>
      <c r="K44">
        <f>SUMIFS(Socle!$X$2:$X$175,Socle!$C$2:$C$175,A44,Socle!$D$2:$D$175,C44,Socle!$E$2:$E$175,D44,Socle!$F$2:$F$175,E44,Socle!$G$2:$G$175,"2026")</f>
        <v/>
      </c>
      <c r="L44">
        <f>SUMIFS(Socle!$Y$2:$Y$175,Socle!$C$2:$C$175,A44,Socle!$D$2:$D$175,C44,Socle!$E$2:$E$175,D44,Socle!$F$2:$F$175,E44,Socle!$G$2:$G$175,"2026")</f>
        <v/>
      </c>
      <c r="M44">
        <f>SUMIFS(Socle!$V$2:$V$175,Socle!$C$2:$C$175,A44,Socle!$D$2:$D$175,C44,Socle!$E$2:$E$175,D44,Socle!$F$2:$F$175,E44,Socle!$G$2:$G$175,"2026")</f>
        <v/>
      </c>
      <c r="N44">
        <f>IF(OR(D44="B1",D44="M1",D44="BTS1"),1,0)</f>
        <v/>
      </c>
      <c r="O44">
        <f>SUMIFS(Campagne!$D$2:$D$15,Campagne!$C$2:$C$15,A44)</f>
        <v/>
      </c>
      <c r="P44">
        <f>SUMIFS(Campagne!$E$2:$E$15,Campagne!$C$2:$C$15,A44)</f>
        <v/>
      </c>
      <c r="Q44">
        <f>SUMIFS(Campagne!$F$2:$F$15,Campagne!$C$2:$C$15,A44)</f>
        <v/>
      </c>
      <c r="R44">
        <f>SUMIFS(Campagne!$K$2:$K$15,Campagne!$C$2:$C$15,A44)</f>
        <v/>
      </c>
      <c r="S44">
        <f>SUMIFS(Campagne!$M$2:$M$15,Campagne!$C$2:$C$15,A44)</f>
        <v/>
      </c>
      <c r="T44">
        <f>SUMIFS(Pilotage!$Q$13:$Q$26,Pilotage!$F$13:$F$26,A44)</f>
        <v/>
      </c>
      <c r="U44">
        <f>SUMIFS(Pilotage!$N$13:$N$26,Pilotage!$F$13:$F$26,A44)</f>
        <v/>
      </c>
      <c r="V44">
        <f>IF(B44="V01",cad!$I$21,IF(B44="V02",cad!$J$21,cad!$K$21))</f>
        <v/>
      </c>
      <c r="W44">
        <f>IF(B44="V01",cad!$I$22,IF(B44="V02",cad!$J$22,cad!$K$22))</f>
        <v/>
      </c>
      <c r="X44">
        <f>IF(B44="V01",cad!$I$23,IF(B44="V02",cad!$J$23,cad!$K$23))</f>
        <v/>
      </c>
      <c r="Y44">
        <f>IF(B44="V01",cad!$I$24,IF(B44="V02",cad!$J$24,cad!$K$24))</f>
        <v/>
      </c>
      <c r="Z44">
        <f>IF(B44="V01",cad!$I$25,IF(B44="V02",cad!$J$25,cad!$K$25))</f>
        <v/>
      </c>
      <c r="AA44">
        <f>IF(B44="V01",cad!$I$26,IF(B44="V02",cad!$J$26,cad!$K$26))</f>
        <v/>
      </c>
      <c r="AB44">
        <f>IF(B44="V01",cad!$I$37,IF(B44="V02",cad!$J$37,cad!$K$37))</f>
        <v/>
      </c>
      <c r="AC44">
        <f>IF(F44="MBWAY",cad!$I$9,IF(F44="ISCOM",cad!$I$10,IF(F44="IPAC",cad!$I$11,IF(F44="PIGIER",cad!$I$12,cad!$I$13))))</f>
        <v/>
      </c>
      <c r="AD44">
        <f>(O44*(1+W44)^S44+P44*((T44/U44)*(1+V44))^R44)*IFERROR(G44/Q44,0)*(J44+Y44)*K44*(L44+Z44)</f>
        <v/>
      </c>
      <c r="AE44">
        <f>IF(N44=1,AD44,0)</f>
        <v/>
      </c>
      <c r="AF44">
        <f>IF(N44=1,AD44,H44*(M44+AA44))</f>
        <v/>
      </c>
      <c r="AG44">
        <f>I44*(1+X44*AC44)</f>
        <v/>
      </c>
      <c r="AH44">
        <f>AF44*AG44+AE44*AB44</f>
        <v/>
      </c>
    </row>
    <row r="45">
      <c r="A45">
        <f>Moteur!D45</f>
        <v/>
      </c>
      <c r="B45">
        <f>Moteur!B45</f>
        <v/>
      </c>
      <c r="C45">
        <f>Moteur!F45</f>
        <v/>
      </c>
      <c r="D45">
        <f>Moteur!G45</f>
        <v/>
      </c>
      <c r="E45">
        <f>Moteur!H45</f>
        <v/>
      </c>
      <c r="F45">
        <f>Moteur!E45</f>
        <v/>
      </c>
      <c r="G45">
        <f>SUMIFS(Socle!$H$2:$H$175,Socle!$C$2:$C$175,A45,Socle!$D$2:$D$175,C45,Socle!$E$2:$E$175,D45,Socle!$F$2:$F$175,E45,Socle!$G$2:$G$175,"2026")</f>
        <v/>
      </c>
      <c r="H45">
        <f>SUMIFS(Socle!$N$2:$N$175,Socle!$C$2:$C$175,A45,Socle!$D$2:$D$175,C45,Socle!$E$2:$E$175,D45,Socle!$F$2:$F$175,E45,Socle!$G$2:$G$175,"2026")</f>
        <v/>
      </c>
      <c r="I45">
        <f>SUMIFS(Socle!$P$2:$P$175,Socle!$C$2:$C$175,A45,Socle!$D$2:$D$175,C45,Socle!$E$2:$E$175,D45,Socle!$F$2:$F$175,E45,Socle!$G$2:$G$175,"2026")</f>
        <v/>
      </c>
      <c r="J45">
        <f>SUMIFS(Socle!$W$2:$W$175,Socle!$C$2:$C$175,A45,Socle!$D$2:$D$175,C45,Socle!$E$2:$E$175,D45,Socle!$F$2:$F$175,E45,Socle!$G$2:$G$175,"2026")</f>
        <v/>
      </c>
      <c r="K45">
        <f>SUMIFS(Socle!$X$2:$X$175,Socle!$C$2:$C$175,A45,Socle!$D$2:$D$175,C45,Socle!$E$2:$E$175,D45,Socle!$F$2:$F$175,E45,Socle!$G$2:$G$175,"2026")</f>
        <v/>
      </c>
      <c r="L45">
        <f>SUMIFS(Socle!$Y$2:$Y$175,Socle!$C$2:$C$175,A45,Socle!$D$2:$D$175,C45,Socle!$E$2:$E$175,D45,Socle!$F$2:$F$175,E45,Socle!$G$2:$G$175,"2026")</f>
        <v/>
      </c>
      <c r="M45">
        <f>SUMIFS(Socle!$V$2:$V$175,Socle!$C$2:$C$175,A45,Socle!$D$2:$D$175,C45,Socle!$E$2:$E$175,D45,Socle!$F$2:$F$175,E45,Socle!$G$2:$G$175,"2026")</f>
        <v/>
      </c>
      <c r="N45">
        <f>IF(OR(D45="B1",D45="M1",D45="BTS1"),1,0)</f>
        <v/>
      </c>
      <c r="O45">
        <f>SUMIFS(Campagne!$D$2:$D$15,Campagne!$C$2:$C$15,A45)</f>
        <v/>
      </c>
      <c r="P45">
        <f>SUMIFS(Campagne!$E$2:$E$15,Campagne!$C$2:$C$15,A45)</f>
        <v/>
      </c>
      <c r="Q45">
        <f>SUMIFS(Campagne!$F$2:$F$15,Campagne!$C$2:$C$15,A45)</f>
        <v/>
      </c>
      <c r="R45">
        <f>SUMIFS(Campagne!$K$2:$K$15,Campagne!$C$2:$C$15,A45)</f>
        <v/>
      </c>
      <c r="S45">
        <f>SUMIFS(Campagne!$M$2:$M$15,Campagne!$C$2:$C$15,A45)</f>
        <v/>
      </c>
      <c r="T45">
        <f>SUMIFS(Pilotage!$Q$13:$Q$26,Pilotage!$F$13:$F$26,A45)</f>
        <v/>
      </c>
      <c r="U45">
        <f>SUMIFS(Pilotage!$N$13:$N$26,Pilotage!$F$13:$F$26,A45)</f>
        <v/>
      </c>
      <c r="V45">
        <f>IF(B45="V01",cad!$I$21,IF(B45="V02",cad!$J$21,cad!$K$21))</f>
        <v/>
      </c>
      <c r="W45">
        <f>IF(B45="V01",cad!$I$22,IF(B45="V02",cad!$J$22,cad!$K$22))</f>
        <v/>
      </c>
      <c r="X45">
        <f>IF(B45="V01",cad!$I$23,IF(B45="V02",cad!$J$23,cad!$K$23))</f>
        <v/>
      </c>
      <c r="Y45">
        <f>IF(B45="V01",cad!$I$24,IF(B45="V02",cad!$J$24,cad!$K$24))</f>
        <v/>
      </c>
      <c r="Z45">
        <f>IF(B45="V01",cad!$I$25,IF(B45="V02",cad!$J$25,cad!$K$25))</f>
        <v/>
      </c>
      <c r="AA45">
        <f>IF(B45="V01",cad!$I$26,IF(B45="V02",cad!$J$26,cad!$K$26))</f>
        <v/>
      </c>
      <c r="AB45">
        <f>IF(B45="V01",cad!$I$37,IF(B45="V02",cad!$J$37,cad!$K$37))</f>
        <v/>
      </c>
      <c r="AC45">
        <f>IF(F45="MBWAY",cad!$I$9,IF(F45="ISCOM",cad!$I$10,IF(F45="IPAC",cad!$I$11,IF(F45="PIGIER",cad!$I$12,cad!$I$13))))</f>
        <v/>
      </c>
      <c r="AD45">
        <f>(O45*(1+W45)^S45+P45*((T45/U45)*(1+V45))^R45)*IFERROR(G45/Q45,0)*(J45+Y45)*K45*(L45+Z45)</f>
        <v/>
      </c>
      <c r="AE45">
        <f>IF(N45=1,AD45,0)</f>
        <v/>
      </c>
      <c r="AF45">
        <f>IF(N45=1,AD45,H45*(M45+AA45))</f>
        <v/>
      </c>
      <c r="AG45">
        <f>I45*(1+X45*AC45)</f>
        <v/>
      </c>
      <c r="AH45">
        <f>AF45*AG45+AE45*AB45</f>
        <v/>
      </c>
    </row>
    <row r="46">
      <c r="A46">
        <f>Moteur!D46</f>
        <v/>
      </c>
      <c r="B46">
        <f>Moteur!B46</f>
        <v/>
      </c>
      <c r="C46">
        <f>Moteur!F46</f>
        <v/>
      </c>
      <c r="D46">
        <f>Moteur!G46</f>
        <v/>
      </c>
      <c r="E46">
        <f>Moteur!H46</f>
        <v/>
      </c>
      <c r="F46">
        <f>Moteur!E46</f>
        <v/>
      </c>
      <c r="G46">
        <f>SUMIFS(Socle!$H$2:$H$175,Socle!$C$2:$C$175,A46,Socle!$D$2:$D$175,C46,Socle!$E$2:$E$175,D46,Socle!$F$2:$F$175,E46,Socle!$G$2:$G$175,"2026")</f>
        <v/>
      </c>
      <c r="H46">
        <f>SUMIFS(Socle!$N$2:$N$175,Socle!$C$2:$C$175,A46,Socle!$D$2:$D$175,C46,Socle!$E$2:$E$175,D46,Socle!$F$2:$F$175,E46,Socle!$G$2:$G$175,"2026")</f>
        <v/>
      </c>
      <c r="I46">
        <f>SUMIFS(Socle!$P$2:$P$175,Socle!$C$2:$C$175,A46,Socle!$D$2:$D$175,C46,Socle!$E$2:$E$175,D46,Socle!$F$2:$F$175,E46,Socle!$G$2:$G$175,"2026")</f>
        <v/>
      </c>
      <c r="J46">
        <f>SUMIFS(Socle!$W$2:$W$175,Socle!$C$2:$C$175,A46,Socle!$D$2:$D$175,C46,Socle!$E$2:$E$175,D46,Socle!$F$2:$F$175,E46,Socle!$G$2:$G$175,"2026")</f>
        <v/>
      </c>
      <c r="K46">
        <f>SUMIFS(Socle!$X$2:$X$175,Socle!$C$2:$C$175,A46,Socle!$D$2:$D$175,C46,Socle!$E$2:$E$175,D46,Socle!$F$2:$F$175,E46,Socle!$G$2:$G$175,"2026")</f>
        <v/>
      </c>
      <c r="L46">
        <f>SUMIFS(Socle!$Y$2:$Y$175,Socle!$C$2:$C$175,A46,Socle!$D$2:$D$175,C46,Socle!$E$2:$E$175,D46,Socle!$F$2:$F$175,E46,Socle!$G$2:$G$175,"2026")</f>
        <v/>
      </c>
      <c r="M46">
        <f>SUMIFS(Socle!$V$2:$V$175,Socle!$C$2:$C$175,A46,Socle!$D$2:$D$175,C46,Socle!$E$2:$E$175,D46,Socle!$F$2:$F$175,E46,Socle!$G$2:$G$175,"2026")</f>
        <v/>
      </c>
      <c r="N46">
        <f>IF(OR(D46="B1",D46="M1",D46="BTS1"),1,0)</f>
        <v/>
      </c>
      <c r="O46">
        <f>SUMIFS(Campagne!$D$2:$D$15,Campagne!$C$2:$C$15,A46)</f>
        <v/>
      </c>
      <c r="P46">
        <f>SUMIFS(Campagne!$E$2:$E$15,Campagne!$C$2:$C$15,A46)</f>
        <v/>
      </c>
      <c r="Q46">
        <f>SUMIFS(Campagne!$F$2:$F$15,Campagne!$C$2:$C$15,A46)</f>
        <v/>
      </c>
      <c r="R46">
        <f>SUMIFS(Campagne!$K$2:$K$15,Campagne!$C$2:$C$15,A46)</f>
        <v/>
      </c>
      <c r="S46">
        <f>SUMIFS(Campagne!$M$2:$M$15,Campagne!$C$2:$C$15,A46)</f>
        <v/>
      </c>
      <c r="T46">
        <f>SUMIFS(Pilotage!$Q$13:$Q$26,Pilotage!$F$13:$F$26,A46)</f>
        <v/>
      </c>
      <c r="U46">
        <f>SUMIFS(Pilotage!$N$13:$N$26,Pilotage!$F$13:$F$26,A46)</f>
        <v/>
      </c>
      <c r="V46">
        <f>IF(B46="V01",cad!$I$21,IF(B46="V02",cad!$J$21,cad!$K$21))</f>
        <v/>
      </c>
      <c r="W46">
        <f>IF(B46="V01",cad!$I$22,IF(B46="V02",cad!$J$22,cad!$K$22))</f>
        <v/>
      </c>
      <c r="X46">
        <f>IF(B46="V01",cad!$I$23,IF(B46="V02",cad!$J$23,cad!$K$23))</f>
        <v/>
      </c>
      <c r="Y46">
        <f>IF(B46="V01",cad!$I$24,IF(B46="V02",cad!$J$24,cad!$K$24))</f>
        <v/>
      </c>
      <c r="Z46">
        <f>IF(B46="V01",cad!$I$25,IF(B46="V02",cad!$J$25,cad!$K$25))</f>
        <v/>
      </c>
      <c r="AA46">
        <f>IF(B46="V01",cad!$I$26,IF(B46="V02",cad!$J$26,cad!$K$26))</f>
        <v/>
      </c>
      <c r="AB46">
        <f>IF(B46="V01",cad!$I$37,IF(B46="V02",cad!$J$37,cad!$K$37))</f>
        <v/>
      </c>
      <c r="AC46">
        <f>IF(F46="MBWAY",cad!$I$9,IF(F46="ISCOM",cad!$I$10,IF(F46="IPAC",cad!$I$11,IF(F46="PIGIER",cad!$I$12,cad!$I$13))))</f>
        <v/>
      </c>
      <c r="AD46">
        <f>(O46*(1+W46)^S46+P46*((T46/U46)*(1+V46))^R46)*IFERROR(G46/Q46,0)*(J46+Y46)*K46*(L46+Z46)</f>
        <v/>
      </c>
      <c r="AE46">
        <f>IF(N46=1,AD46,0)</f>
        <v/>
      </c>
      <c r="AF46">
        <f>IF(N46=1,AD46,H46*(M46+AA46))</f>
        <v/>
      </c>
      <c r="AG46">
        <f>I46*(1+X46*AC46)</f>
        <v/>
      </c>
      <c r="AH46">
        <f>AF46*AG46+AE46*AB46</f>
        <v/>
      </c>
    </row>
    <row r="47">
      <c r="A47">
        <f>Moteur!D47</f>
        <v/>
      </c>
      <c r="B47">
        <f>Moteur!B47</f>
        <v/>
      </c>
      <c r="C47">
        <f>Moteur!F47</f>
        <v/>
      </c>
      <c r="D47">
        <f>Moteur!G47</f>
        <v/>
      </c>
      <c r="E47">
        <f>Moteur!H47</f>
        <v/>
      </c>
      <c r="F47">
        <f>Moteur!E47</f>
        <v/>
      </c>
      <c r="G47">
        <f>SUMIFS(Socle!$H$2:$H$175,Socle!$C$2:$C$175,A47,Socle!$D$2:$D$175,C47,Socle!$E$2:$E$175,D47,Socle!$F$2:$F$175,E47,Socle!$G$2:$G$175,"2026")</f>
        <v/>
      </c>
      <c r="H47">
        <f>SUMIFS(Socle!$N$2:$N$175,Socle!$C$2:$C$175,A47,Socle!$D$2:$D$175,C47,Socle!$E$2:$E$175,D47,Socle!$F$2:$F$175,E47,Socle!$G$2:$G$175,"2026")</f>
        <v/>
      </c>
      <c r="I47">
        <f>SUMIFS(Socle!$P$2:$P$175,Socle!$C$2:$C$175,A47,Socle!$D$2:$D$175,C47,Socle!$E$2:$E$175,D47,Socle!$F$2:$F$175,E47,Socle!$G$2:$G$175,"2026")</f>
        <v/>
      </c>
      <c r="J47">
        <f>SUMIFS(Socle!$W$2:$W$175,Socle!$C$2:$C$175,A47,Socle!$D$2:$D$175,C47,Socle!$E$2:$E$175,D47,Socle!$F$2:$F$175,E47,Socle!$G$2:$G$175,"2026")</f>
        <v/>
      </c>
      <c r="K47">
        <f>SUMIFS(Socle!$X$2:$X$175,Socle!$C$2:$C$175,A47,Socle!$D$2:$D$175,C47,Socle!$E$2:$E$175,D47,Socle!$F$2:$F$175,E47,Socle!$G$2:$G$175,"2026")</f>
        <v/>
      </c>
      <c r="L47">
        <f>SUMIFS(Socle!$Y$2:$Y$175,Socle!$C$2:$C$175,A47,Socle!$D$2:$D$175,C47,Socle!$E$2:$E$175,D47,Socle!$F$2:$F$175,E47,Socle!$G$2:$G$175,"2026")</f>
        <v/>
      </c>
      <c r="M47">
        <f>SUMIFS(Socle!$V$2:$V$175,Socle!$C$2:$C$175,A47,Socle!$D$2:$D$175,C47,Socle!$E$2:$E$175,D47,Socle!$F$2:$F$175,E47,Socle!$G$2:$G$175,"2026")</f>
        <v/>
      </c>
      <c r="N47">
        <f>IF(OR(D47="B1",D47="M1",D47="BTS1"),1,0)</f>
        <v/>
      </c>
      <c r="O47">
        <f>SUMIFS(Campagne!$D$2:$D$15,Campagne!$C$2:$C$15,A47)</f>
        <v/>
      </c>
      <c r="P47">
        <f>SUMIFS(Campagne!$E$2:$E$15,Campagne!$C$2:$C$15,A47)</f>
        <v/>
      </c>
      <c r="Q47">
        <f>SUMIFS(Campagne!$F$2:$F$15,Campagne!$C$2:$C$15,A47)</f>
        <v/>
      </c>
      <c r="R47">
        <f>SUMIFS(Campagne!$K$2:$K$15,Campagne!$C$2:$C$15,A47)</f>
        <v/>
      </c>
      <c r="S47">
        <f>SUMIFS(Campagne!$M$2:$M$15,Campagne!$C$2:$C$15,A47)</f>
        <v/>
      </c>
      <c r="T47">
        <f>SUMIFS(Pilotage!$Q$13:$Q$26,Pilotage!$F$13:$F$26,A47)</f>
        <v/>
      </c>
      <c r="U47">
        <f>SUMIFS(Pilotage!$N$13:$N$26,Pilotage!$F$13:$F$26,A47)</f>
        <v/>
      </c>
      <c r="V47">
        <f>IF(B47="V01",cad!$I$21,IF(B47="V02",cad!$J$21,cad!$K$21))</f>
        <v/>
      </c>
      <c r="W47">
        <f>IF(B47="V01",cad!$I$22,IF(B47="V02",cad!$J$22,cad!$K$22))</f>
        <v/>
      </c>
      <c r="X47">
        <f>IF(B47="V01",cad!$I$23,IF(B47="V02",cad!$J$23,cad!$K$23))</f>
        <v/>
      </c>
      <c r="Y47">
        <f>IF(B47="V01",cad!$I$24,IF(B47="V02",cad!$J$24,cad!$K$24))</f>
        <v/>
      </c>
      <c r="Z47">
        <f>IF(B47="V01",cad!$I$25,IF(B47="V02",cad!$J$25,cad!$K$25))</f>
        <v/>
      </c>
      <c r="AA47">
        <f>IF(B47="V01",cad!$I$26,IF(B47="V02",cad!$J$26,cad!$K$26))</f>
        <v/>
      </c>
      <c r="AB47">
        <f>IF(B47="V01",cad!$I$37,IF(B47="V02",cad!$J$37,cad!$K$37))</f>
        <v/>
      </c>
      <c r="AC47">
        <f>IF(F47="MBWAY",cad!$I$9,IF(F47="ISCOM",cad!$I$10,IF(F47="IPAC",cad!$I$11,IF(F47="PIGIER",cad!$I$12,cad!$I$13))))</f>
        <v/>
      </c>
      <c r="AD47">
        <f>(O47*(1+W47)^S47+P47*((T47/U47)*(1+V47))^R47)*IFERROR(G47/Q47,0)*(J47+Y47)*K47*(L47+Z47)</f>
        <v/>
      </c>
      <c r="AE47">
        <f>IF(N47=1,AD47,0)</f>
        <v/>
      </c>
      <c r="AF47">
        <f>IF(N47=1,AD47,H47*(M47+AA47))</f>
        <v/>
      </c>
      <c r="AG47">
        <f>I47*(1+X47*AC47)</f>
        <v/>
      </c>
      <c r="AH47">
        <f>AF47*AG47+AE47*AB47</f>
        <v/>
      </c>
    </row>
    <row r="48">
      <c r="A48">
        <f>Moteur!D48</f>
        <v/>
      </c>
      <c r="B48">
        <f>Moteur!B48</f>
        <v/>
      </c>
      <c r="C48">
        <f>Moteur!F48</f>
        <v/>
      </c>
      <c r="D48">
        <f>Moteur!G48</f>
        <v/>
      </c>
      <c r="E48">
        <f>Moteur!H48</f>
        <v/>
      </c>
      <c r="F48">
        <f>Moteur!E48</f>
        <v/>
      </c>
      <c r="G48">
        <f>SUMIFS(Socle!$H$2:$H$175,Socle!$C$2:$C$175,A48,Socle!$D$2:$D$175,C48,Socle!$E$2:$E$175,D48,Socle!$F$2:$F$175,E48,Socle!$G$2:$G$175,"2026")</f>
        <v/>
      </c>
      <c r="H48">
        <f>SUMIFS(Socle!$N$2:$N$175,Socle!$C$2:$C$175,A48,Socle!$D$2:$D$175,C48,Socle!$E$2:$E$175,D48,Socle!$F$2:$F$175,E48,Socle!$G$2:$G$175,"2026")</f>
        <v/>
      </c>
      <c r="I48">
        <f>SUMIFS(Socle!$P$2:$P$175,Socle!$C$2:$C$175,A48,Socle!$D$2:$D$175,C48,Socle!$E$2:$E$175,D48,Socle!$F$2:$F$175,E48,Socle!$G$2:$G$175,"2026")</f>
        <v/>
      </c>
      <c r="J48">
        <f>SUMIFS(Socle!$W$2:$W$175,Socle!$C$2:$C$175,A48,Socle!$D$2:$D$175,C48,Socle!$E$2:$E$175,D48,Socle!$F$2:$F$175,E48,Socle!$G$2:$G$175,"2026")</f>
        <v/>
      </c>
      <c r="K48">
        <f>SUMIFS(Socle!$X$2:$X$175,Socle!$C$2:$C$175,A48,Socle!$D$2:$D$175,C48,Socle!$E$2:$E$175,D48,Socle!$F$2:$F$175,E48,Socle!$G$2:$G$175,"2026")</f>
        <v/>
      </c>
      <c r="L48">
        <f>SUMIFS(Socle!$Y$2:$Y$175,Socle!$C$2:$C$175,A48,Socle!$D$2:$D$175,C48,Socle!$E$2:$E$175,D48,Socle!$F$2:$F$175,E48,Socle!$G$2:$G$175,"2026")</f>
        <v/>
      </c>
      <c r="M48">
        <f>SUMIFS(Socle!$V$2:$V$175,Socle!$C$2:$C$175,A48,Socle!$D$2:$D$175,C48,Socle!$E$2:$E$175,D48,Socle!$F$2:$F$175,E48,Socle!$G$2:$G$175,"2026")</f>
        <v/>
      </c>
      <c r="N48">
        <f>IF(OR(D48="B1",D48="M1",D48="BTS1"),1,0)</f>
        <v/>
      </c>
      <c r="O48">
        <f>SUMIFS(Campagne!$D$2:$D$15,Campagne!$C$2:$C$15,A48)</f>
        <v/>
      </c>
      <c r="P48">
        <f>SUMIFS(Campagne!$E$2:$E$15,Campagne!$C$2:$C$15,A48)</f>
        <v/>
      </c>
      <c r="Q48">
        <f>SUMIFS(Campagne!$F$2:$F$15,Campagne!$C$2:$C$15,A48)</f>
        <v/>
      </c>
      <c r="R48">
        <f>SUMIFS(Campagne!$K$2:$K$15,Campagne!$C$2:$C$15,A48)</f>
        <v/>
      </c>
      <c r="S48">
        <f>SUMIFS(Campagne!$M$2:$M$15,Campagne!$C$2:$C$15,A48)</f>
        <v/>
      </c>
      <c r="T48">
        <f>SUMIFS(Pilotage!$Q$13:$Q$26,Pilotage!$F$13:$F$26,A48)</f>
        <v/>
      </c>
      <c r="U48">
        <f>SUMIFS(Pilotage!$N$13:$N$26,Pilotage!$F$13:$F$26,A48)</f>
        <v/>
      </c>
      <c r="V48">
        <f>IF(B48="V01",cad!$I$21,IF(B48="V02",cad!$J$21,cad!$K$21))</f>
        <v/>
      </c>
      <c r="W48">
        <f>IF(B48="V01",cad!$I$22,IF(B48="V02",cad!$J$22,cad!$K$22))</f>
        <v/>
      </c>
      <c r="X48">
        <f>IF(B48="V01",cad!$I$23,IF(B48="V02",cad!$J$23,cad!$K$23))</f>
        <v/>
      </c>
      <c r="Y48">
        <f>IF(B48="V01",cad!$I$24,IF(B48="V02",cad!$J$24,cad!$K$24))</f>
        <v/>
      </c>
      <c r="Z48">
        <f>IF(B48="V01",cad!$I$25,IF(B48="V02",cad!$J$25,cad!$K$25))</f>
        <v/>
      </c>
      <c r="AA48">
        <f>IF(B48="V01",cad!$I$26,IF(B48="V02",cad!$J$26,cad!$K$26))</f>
        <v/>
      </c>
      <c r="AB48">
        <f>IF(B48="V01",cad!$I$37,IF(B48="V02",cad!$J$37,cad!$K$37))</f>
        <v/>
      </c>
      <c r="AC48">
        <f>IF(F48="MBWAY",cad!$I$9,IF(F48="ISCOM",cad!$I$10,IF(F48="IPAC",cad!$I$11,IF(F48="PIGIER",cad!$I$12,cad!$I$13))))</f>
        <v/>
      </c>
      <c r="AD48">
        <f>(O48*(1+W48)^S48+P48*((T48/U48)*(1+V48))^R48)*IFERROR(G48/Q48,0)*(J48+Y48)*K48*(L48+Z48)</f>
        <v/>
      </c>
      <c r="AE48">
        <f>IF(N48=1,AD48,0)</f>
        <v/>
      </c>
      <c r="AF48">
        <f>IF(N48=1,AD48,H48*(M48+AA48))</f>
        <v/>
      </c>
      <c r="AG48">
        <f>I48*(1+X48*AC48)</f>
        <v/>
      </c>
      <c r="AH48">
        <f>AF48*AG48+AE48*AB48</f>
        <v/>
      </c>
    </row>
    <row r="49">
      <c r="A49">
        <f>Moteur!D49</f>
        <v/>
      </c>
      <c r="B49">
        <f>Moteur!B49</f>
        <v/>
      </c>
      <c r="C49">
        <f>Moteur!F49</f>
        <v/>
      </c>
      <c r="D49">
        <f>Moteur!G49</f>
        <v/>
      </c>
      <c r="E49">
        <f>Moteur!H49</f>
        <v/>
      </c>
      <c r="F49">
        <f>Moteur!E49</f>
        <v/>
      </c>
      <c r="G49">
        <f>SUMIFS(Socle!$H$2:$H$175,Socle!$C$2:$C$175,A49,Socle!$D$2:$D$175,C49,Socle!$E$2:$E$175,D49,Socle!$F$2:$F$175,E49,Socle!$G$2:$G$175,"2026")</f>
        <v/>
      </c>
      <c r="H49">
        <f>SUMIFS(Socle!$N$2:$N$175,Socle!$C$2:$C$175,A49,Socle!$D$2:$D$175,C49,Socle!$E$2:$E$175,D49,Socle!$F$2:$F$175,E49,Socle!$G$2:$G$175,"2026")</f>
        <v/>
      </c>
      <c r="I49">
        <f>SUMIFS(Socle!$P$2:$P$175,Socle!$C$2:$C$175,A49,Socle!$D$2:$D$175,C49,Socle!$E$2:$E$175,D49,Socle!$F$2:$F$175,E49,Socle!$G$2:$G$175,"2026")</f>
        <v/>
      </c>
      <c r="J49">
        <f>SUMIFS(Socle!$W$2:$W$175,Socle!$C$2:$C$175,A49,Socle!$D$2:$D$175,C49,Socle!$E$2:$E$175,D49,Socle!$F$2:$F$175,E49,Socle!$G$2:$G$175,"2026")</f>
        <v/>
      </c>
      <c r="K49">
        <f>SUMIFS(Socle!$X$2:$X$175,Socle!$C$2:$C$175,A49,Socle!$D$2:$D$175,C49,Socle!$E$2:$E$175,D49,Socle!$F$2:$F$175,E49,Socle!$G$2:$G$175,"2026")</f>
        <v/>
      </c>
      <c r="L49">
        <f>SUMIFS(Socle!$Y$2:$Y$175,Socle!$C$2:$C$175,A49,Socle!$D$2:$D$175,C49,Socle!$E$2:$E$175,D49,Socle!$F$2:$F$175,E49,Socle!$G$2:$G$175,"2026")</f>
        <v/>
      </c>
      <c r="M49">
        <f>SUMIFS(Socle!$V$2:$V$175,Socle!$C$2:$C$175,A49,Socle!$D$2:$D$175,C49,Socle!$E$2:$E$175,D49,Socle!$F$2:$F$175,E49,Socle!$G$2:$G$175,"2026")</f>
        <v/>
      </c>
      <c r="N49">
        <f>IF(OR(D49="B1",D49="M1",D49="BTS1"),1,0)</f>
        <v/>
      </c>
      <c r="O49">
        <f>SUMIFS(Campagne!$D$2:$D$15,Campagne!$C$2:$C$15,A49)</f>
        <v/>
      </c>
      <c r="P49">
        <f>SUMIFS(Campagne!$E$2:$E$15,Campagne!$C$2:$C$15,A49)</f>
        <v/>
      </c>
      <c r="Q49">
        <f>SUMIFS(Campagne!$F$2:$F$15,Campagne!$C$2:$C$15,A49)</f>
        <v/>
      </c>
      <c r="R49">
        <f>SUMIFS(Campagne!$K$2:$K$15,Campagne!$C$2:$C$15,A49)</f>
        <v/>
      </c>
      <c r="S49">
        <f>SUMIFS(Campagne!$M$2:$M$15,Campagne!$C$2:$C$15,A49)</f>
        <v/>
      </c>
      <c r="T49">
        <f>SUMIFS(Pilotage!$Q$13:$Q$26,Pilotage!$F$13:$F$26,A49)</f>
        <v/>
      </c>
      <c r="U49">
        <f>SUMIFS(Pilotage!$N$13:$N$26,Pilotage!$F$13:$F$26,A49)</f>
        <v/>
      </c>
      <c r="V49">
        <f>IF(B49="V01",cad!$I$21,IF(B49="V02",cad!$J$21,cad!$K$21))</f>
        <v/>
      </c>
      <c r="W49">
        <f>IF(B49="V01",cad!$I$22,IF(B49="V02",cad!$J$22,cad!$K$22))</f>
        <v/>
      </c>
      <c r="X49">
        <f>IF(B49="V01",cad!$I$23,IF(B49="V02",cad!$J$23,cad!$K$23))</f>
        <v/>
      </c>
      <c r="Y49">
        <f>IF(B49="V01",cad!$I$24,IF(B49="V02",cad!$J$24,cad!$K$24))</f>
        <v/>
      </c>
      <c r="Z49">
        <f>IF(B49="V01",cad!$I$25,IF(B49="V02",cad!$J$25,cad!$K$25))</f>
        <v/>
      </c>
      <c r="AA49">
        <f>IF(B49="V01",cad!$I$26,IF(B49="V02",cad!$J$26,cad!$K$26))</f>
        <v/>
      </c>
      <c r="AB49">
        <f>IF(B49="V01",cad!$I$37,IF(B49="V02",cad!$J$37,cad!$K$37))</f>
        <v/>
      </c>
      <c r="AC49">
        <f>IF(F49="MBWAY",cad!$I$9,IF(F49="ISCOM",cad!$I$10,IF(F49="IPAC",cad!$I$11,IF(F49="PIGIER",cad!$I$12,cad!$I$13))))</f>
        <v/>
      </c>
      <c r="AD49">
        <f>(O49*(1+W49)^S49+P49*((T49/U49)*(1+V49))^R49)*IFERROR(G49/Q49,0)*(J49+Y49)*K49*(L49+Z49)</f>
        <v/>
      </c>
      <c r="AE49">
        <f>IF(N49=1,AD49,0)</f>
        <v/>
      </c>
      <c r="AF49">
        <f>IF(N49=1,AD49,H49*(M49+AA49))</f>
        <v/>
      </c>
      <c r="AG49">
        <f>I49*(1+X49*AC49)</f>
        <v/>
      </c>
      <c r="AH49">
        <f>AF49*AG49+AE49*AB49</f>
        <v/>
      </c>
    </row>
    <row r="50">
      <c r="A50">
        <f>Moteur!D50</f>
        <v/>
      </c>
      <c r="B50">
        <f>Moteur!B50</f>
        <v/>
      </c>
      <c r="C50">
        <f>Moteur!F50</f>
        <v/>
      </c>
      <c r="D50">
        <f>Moteur!G50</f>
        <v/>
      </c>
      <c r="E50">
        <f>Moteur!H50</f>
        <v/>
      </c>
      <c r="F50">
        <f>Moteur!E50</f>
        <v/>
      </c>
      <c r="G50">
        <f>SUMIFS(Socle!$H$2:$H$175,Socle!$C$2:$C$175,A50,Socle!$D$2:$D$175,C50,Socle!$E$2:$E$175,D50,Socle!$F$2:$F$175,E50,Socle!$G$2:$G$175,"2026")</f>
        <v/>
      </c>
      <c r="H50">
        <f>SUMIFS(Socle!$N$2:$N$175,Socle!$C$2:$C$175,A50,Socle!$D$2:$D$175,C50,Socle!$E$2:$E$175,D50,Socle!$F$2:$F$175,E50,Socle!$G$2:$G$175,"2026")</f>
        <v/>
      </c>
      <c r="I50">
        <f>SUMIFS(Socle!$P$2:$P$175,Socle!$C$2:$C$175,A50,Socle!$D$2:$D$175,C50,Socle!$E$2:$E$175,D50,Socle!$F$2:$F$175,E50,Socle!$G$2:$G$175,"2026")</f>
        <v/>
      </c>
      <c r="J50">
        <f>SUMIFS(Socle!$W$2:$W$175,Socle!$C$2:$C$175,A50,Socle!$D$2:$D$175,C50,Socle!$E$2:$E$175,D50,Socle!$F$2:$F$175,E50,Socle!$G$2:$G$175,"2026")</f>
        <v/>
      </c>
      <c r="K50">
        <f>SUMIFS(Socle!$X$2:$X$175,Socle!$C$2:$C$175,A50,Socle!$D$2:$D$175,C50,Socle!$E$2:$E$175,D50,Socle!$F$2:$F$175,E50,Socle!$G$2:$G$175,"2026")</f>
        <v/>
      </c>
      <c r="L50">
        <f>SUMIFS(Socle!$Y$2:$Y$175,Socle!$C$2:$C$175,A50,Socle!$D$2:$D$175,C50,Socle!$E$2:$E$175,D50,Socle!$F$2:$F$175,E50,Socle!$G$2:$G$175,"2026")</f>
        <v/>
      </c>
      <c r="M50">
        <f>SUMIFS(Socle!$V$2:$V$175,Socle!$C$2:$C$175,A50,Socle!$D$2:$D$175,C50,Socle!$E$2:$E$175,D50,Socle!$F$2:$F$175,E50,Socle!$G$2:$G$175,"2026")</f>
        <v/>
      </c>
      <c r="N50">
        <f>IF(OR(D50="B1",D50="M1",D50="BTS1"),1,0)</f>
        <v/>
      </c>
      <c r="O50">
        <f>SUMIFS(Campagne!$D$2:$D$15,Campagne!$C$2:$C$15,A50)</f>
        <v/>
      </c>
      <c r="P50">
        <f>SUMIFS(Campagne!$E$2:$E$15,Campagne!$C$2:$C$15,A50)</f>
        <v/>
      </c>
      <c r="Q50">
        <f>SUMIFS(Campagne!$F$2:$F$15,Campagne!$C$2:$C$15,A50)</f>
        <v/>
      </c>
      <c r="R50">
        <f>SUMIFS(Campagne!$K$2:$K$15,Campagne!$C$2:$C$15,A50)</f>
        <v/>
      </c>
      <c r="S50">
        <f>SUMIFS(Campagne!$M$2:$M$15,Campagne!$C$2:$C$15,A50)</f>
        <v/>
      </c>
      <c r="T50">
        <f>SUMIFS(Pilotage!$Q$13:$Q$26,Pilotage!$F$13:$F$26,A50)</f>
        <v/>
      </c>
      <c r="U50">
        <f>SUMIFS(Pilotage!$N$13:$N$26,Pilotage!$F$13:$F$26,A50)</f>
        <v/>
      </c>
      <c r="V50">
        <f>IF(B50="V01",cad!$I$21,IF(B50="V02",cad!$J$21,cad!$K$21))</f>
        <v/>
      </c>
      <c r="W50">
        <f>IF(B50="V01",cad!$I$22,IF(B50="V02",cad!$J$22,cad!$K$22))</f>
        <v/>
      </c>
      <c r="X50">
        <f>IF(B50="V01",cad!$I$23,IF(B50="V02",cad!$J$23,cad!$K$23))</f>
        <v/>
      </c>
      <c r="Y50">
        <f>IF(B50="V01",cad!$I$24,IF(B50="V02",cad!$J$24,cad!$K$24))</f>
        <v/>
      </c>
      <c r="Z50">
        <f>IF(B50="V01",cad!$I$25,IF(B50="V02",cad!$J$25,cad!$K$25))</f>
        <v/>
      </c>
      <c r="AA50">
        <f>IF(B50="V01",cad!$I$26,IF(B50="V02",cad!$J$26,cad!$K$26))</f>
        <v/>
      </c>
      <c r="AB50">
        <f>IF(B50="V01",cad!$I$37,IF(B50="V02",cad!$J$37,cad!$K$37))</f>
        <v/>
      </c>
      <c r="AC50">
        <f>IF(F50="MBWAY",cad!$I$9,IF(F50="ISCOM",cad!$I$10,IF(F50="IPAC",cad!$I$11,IF(F50="PIGIER",cad!$I$12,cad!$I$13))))</f>
        <v/>
      </c>
      <c r="AD50">
        <f>(O50*(1+W50)^S50+P50*((T50/U50)*(1+V50))^R50)*IFERROR(G50/Q50,0)*(J50+Y50)*K50*(L50+Z50)</f>
        <v/>
      </c>
      <c r="AE50">
        <f>IF(N50=1,AD50,0)</f>
        <v/>
      </c>
      <c r="AF50">
        <f>IF(N50=1,AD50,H50*(M50+AA50))</f>
        <v/>
      </c>
      <c r="AG50">
        <f>I50*(1+X50*AC50)</f>
        <v/>
      </c>
      <c r="AH50">
        <f>AF50*AG50+AE50*AB50</f>
        <v/>
      </c>
    </row>
    <row r="51">
      <c r="A51">
        <f>Moteur!D51</f>
        <v/>
      </c>
      <c r="B51">
        <f>Moteur!B51</f>
        <v/>
      </c>
      <c r="C51">
        <f>Moteur!F51</f>
        <v/>
      </c>
      <c r="D51">
        <f>Moteur!G51</f>
        <v/>
      </c>
      <c r="E51">
        <f>Moteur!H51</f>
        <v/>
      </c>
      <c r="F51">
        <f>Moteur!E51</f>
        <v/>
      </c>
      <c r="G51">
        <f>SUMIFS(Socle!$H$2:$H$175,Socle!$C$2:$C$175,A51,Socle!$D$2:$D$175,C51,Socle!$E$2:$E$175,D51,Socle!$F$2:$F$175,E51,Socle!$G$2:$G$175,"2026")</f>
        <v/>
      </c>
      <c r="H51">
        <f>SUMIFS(Socle!$N$2:$N$175,Socle!$C$2:$C$175,A51,Socle!$D$2:$D$175,C51,Socle!$E$2:$E$175,D51,Socle!$F$2:$F$175,E51,Socle!$G$2:$G$175,"2026")</f>
        <v/>
      </c>
      <c r="I51">
        <f>SUMIFS(Socle!$P$2:$P$175,Socle!$C$2:$C$175,A51,Socle!$D$2:$D$175,C51,Socle!$E$2:$E$175,D51,Socle!$F$2:$F$175,E51,Socle!$G$2:$G$175,"2026")</f>
        <v/>
      </c>
      <c r="J51">
        <f>SUMIFS(Socle!$W$2:$W$175,Socle!$C$2:$C$175,A51,Socle!$D$2:$D$175,C51,Socle!$E$2:$E$175,D51,Socle!$F$2:$F$175,E51,Socle!$G$2:$G$175,"2026")</f>
        <v/>
      </c>
      <c r="K51">
        <f>SUMIFS(Socle!$X$2:$X$175,Socle!$C$2:$C$175,A51,Socle!$D$2:$D$175,C51,Socle!$E$2:$E$175,D51,Socle!$F$2:$F$175,E51,Socle!$G$2:$G$175,"2026")</f>
        <v/>
      </c>
      <c r="L51">
        <f>SUMIFS(Socle!$Y$2:$Y$175,Socle!$C$2:$C$175,A51,Socle!$D$2:$D$175,C51,Socle!$E$2:$E$175,D51,Socle!$F$2:$F$175,E51,Socle!$G$2:$G$175,"2026")</f>
        <v/>
      </c>
      <c r="M51">
        <f>SUMIFS(Socle!$V$2:$V$175,Socle!$C$2:$C$175,A51,Socle!$D$2:$D$175,C51,Socle!$E$2:$E$175,D51,Socle!$F$2:$F$175,E51,Socle!$G$2:$G$175,"2026")</f>
        <v/>
      </c>
      <c r="N51">
        <f>IF(OR(D51="B1",D51="M1",D51="BTS1"),1,0)</f>
        <v/>
      </c>
      <c r="O51">
        <f>SUMIFS(Campagne!$D$2:$D$15,Campagne!$C$2:$C$15,A51)</f>
        <v/>
      </c>
      <c r="P51">
        <f>SUMIFS(Campagne!$E$2:$E$15,Campagne!$C$2:$C$15,A51)</f>
        <v/>
      </c>
      <c r="Q51">
        <f>SUMIFS(Campagne!$F$2:$F$15,Campagne!$C$2:$C$15,A51)</f>
        <v/>
      </c>
      <c r="R51">
        <f>SUMIFS(Campagne!$K$2:$K$15,Campagne!$C$2:$C$15,A51)</f>
        <v/>
      </c>
      <c r="S51">
        <f>SUMIFS(Campagne!$M$2:$M$15,Campagne!$C$2:$C$15,A51)</f>
        <v/>
      </c>
      <c r="T51">
        <f>SUMIFS(Pilotage!$Q$13:$Q$26,Pilotage!$F$13:$F$26,A51)</f>
        <v/>
      </c>
      <c r="U51">
        <f>SUMIFS(Pilotage!$N$13:$N$26,Pilotage!$F$13:$F$26,A51)</f>
        <v/>
      </c>
      <c r="V51">
        <f>IF(B51="V01",cad!$I$21,IF(B51="V02",cad!$J$21,cad!$K$21))</f>
        <v/>
      </c>
      <c r="W51">
        <f>IF(B51="V01",cad!$I$22,IF(B51="V02",cad!$J$22,cad!$K$22))</f>
        <v/>
      </c>
      <c r="X51">
        <f>IF(B51="V01",cad!$I$23,IF(B51="V02",cad!$J$23,cad!$K$23))</f>
        <v/>
      </c>
      <c r="Y51">
        <f>IF(B51="V01",cad!$I$24,IF(B51="V02",cad!$J$24,cad!$K$24))</f>
        <v/>
      </c>
      <c r="Z51">
        <f>IF(B51="V01",cad!$I$25,IF(B51="V02",cad!$J$25,cad!$K$25))</f>
        <v/>
      </c>
      <c r="AA51">
        <f>IF(B51="V01",cad!$I$26,IF(B51="V02",cad!$J$26,cad!$K$26))</f>
        <v/>
      </c>
      <c r="AB51">
        <f>IF(B51="V01",cad!$I$37,IF(B51="V02",cad!$J$37,cad!$K$37))</f>
        <v/>
      </c>
      <c r="AC51">
        <f>IF(F51="MBWAY",cad!$I$9,IF(F51="ISCOM",cad!$I$10,IF(F51="IPAC",cad!$I$11,IF(F51="PIGIER",cad!$I$12,cad!$I$13))))</f>
        <v/>
      </c>
      <c r="AD51">
        <f>(O51*(1+W51)^S51+P51*((T51/U51)*(1+V51))^R51)*IFERROR(G51/Q51,0)*(J51+Y51)*K51*(L51+Z51)</f>
        <v/>
      </c>
      <c r="AE51">
        <f>IF(N51=1,AD51,0)</f>
        <v/>
      </c>
      <c r="AF51">
        <f>IF(N51=1,AD51,H51*(M51+AA51))</f>
        <v/>
      </c>
      <c r="AG51">
        <f>I51*(1+X51*AC51)</f>
        <v/>
      </c>
      <c r="AH51">
        <f>AF51*AG51+AE51*AB51</f>
        <v/>
      </c>
    </row>
    <row r="52">
      <c r="A52">
        <f>Moteur!D52</f>
        <v/>
      </c>
      <c r="B52">
        <f>Moteur!B52</f>
        <v/>
      </c>
      <c r="C52">
        <f>Moteur!F52</f>
        <v/>
      </c>
      <c r="D52">
        <f>Moteur!G52</f>
        <v/>
      </c>
      <c r="E52">
        <f>Moteur!H52</f>
        <v/>
      </c>
      <c r="F52">
        <f>Moteur!E52</f>
        <v/>
      </c>
      <c r="G52">
        <f>SUMIFS(Socle!$H$2:$H$175,Socle!$C$2:$C$175,A52,Socle!$D$2:$D$175,C52,Socle!$E$2:$E$175,D52,Socle!$F$2:$F$175,E52,Socle!$G$2:$G$175,"2026")</f>
        <v/>
      </c>
      <c r="H52">
        <f>SUMIFS(Socle!$N$2:$N$175,Socle!$C$2:$C$175,A52,Socle!$D$2:$D$175,C52,Socle!$E$2:$E$175,D52,Socle!$F$2:$F$175,E52,Socle!$G$2:$G$175,"2026")</f>
        <v/>
      </c>
      <c r="I52">
        <f>SUMIFS(Socle!$P$2:$P$175,Socle!$C$2:$C$175,A52,Socle!$D$2:$D$175,C52,Socle!$E$2:$E$175,D52,Socle!$F$2:$F$175,E52,Socle!$G$2:$G$175,"2026")</f>
        <v/>
      </c>
      <c r="J52">
        <f>SUMIFS(Socle!$W$2:$W$175,Socle!$C$2:$C$175,A52,Socle!$D$2:$D$175,C52,Socle!$E$2:$E$175,D52,Socle!$F$2:$F$175,E52,Socle!$G$2:$G$175,"2026")</f>
        <v/>
      </c>
      <c r="K52">
        <f>SUMIFS(Socle!$X$2:$X$175,Socle!$C$2:$C$175,A52,Socle!$D$2:$D$175,C52,Socle!$E$2:$E$175,D52,Socle!$F$2:$F$175,E52,Socle!$G$2:$G$175,"2026")</f>
        <v/>
      </c>
      <c r="L52">
        <f>SUMIFS(Socle!$Y$2:$Y$175,Socle!$C$2:$C$175,A52,Socle!$D$2:$D$175,C52,Socle!$E$2:$E$175,D52,Socle!$F$2:$F$175,E52,Socle!$G$2:$G$175,"2026")</f>
        <v/>
      </c>
      <c r="M52">
        <f>SUMIFS(Socle!$V$2:$V$175,Socle!$C$2:$C$175,A52,Socle!$D$2:$D$175,C52,Socle!$E$2:$E$175,D52,Socle!$F$2:$F$175,E52,Socle!$G$2:$G$175,"2026")</f>
        <v/>
      </c>
      <c r="N52">
        <f>IF(OR(D52="B1",D52="M1",D52="BTS1"),1,0)</f>
        <v/>
      </c>
      <c r="O52">
        <f>SUMIFS(Campagne!$D$2:$D$15,Campagne!$C$2:$C$15,A52)</f>
        <v/>
      </c>
      <c r="P52">
        <f>SUMIFS(Campagne!$E$2:$E$15,Campagne!$C$2:$C$15,A52)</f>
        <v/>
      </c>
      <c r="Q52">
        <f>SUMIFS(Campagne!$F$2:$F$15,Campagne!$C$2:$C$15,A52)</f>
        <v/>
      </c>
      <c r="R52">
        <f>SUMIFS(Campagne!$K$2:$K$15,Campagne!$C$2:$C$15,A52)</f>
        <v/>
      </c>
      <c r="S52">
        <f>SUMIFS(Campagne!$M$2:$M$15,Campagne!$C$2:$C$15,A52)</f>
        <v/>
      </c>
      <c r="T52">
        <f>SUMIFS(Pilotage!$Q$13:$Q$26,Pilotage!$F$13:$F$26,A52)</f>
        <v/>
      </c>
      <c r="U52">
        <f>SUMIFS(Pilotage!$N$13:$N$26,Pilotage!$F$13:$F$26,A52)</f>
        <v/>
      </c>
      <c r="V52">
        <f>IF(B52="V01",cad!$I$21,IF(B52="V02",cad!$J$21,cad!$K$21))</f>
        <v/>
      </c>
      <c r="W52">
        <f>IF(B52="V01",cad!$I$22,IF(B52="V02",cad!$J$22,cad!$K$22))</f>
        <v/>
      </c>
      <c r="X52">
        <f>IF(B52="V01",cad!$I$23,IF(B52="V02",cad!$J$23,cad!$K$23))</f>
        <v/>
      </c>
      <c r="Y52">
        <f>IF(B52="V01",cad!$I$24,IF(B52="V02",cad!$J$24,cad!$K$24))</f>
        <v/>
      </c>
      <c r="Z52">
        <f>IF(B52="V01",cad!$I$25,IF(B52="V02",cad!$J$25,cad!$K$25))</f>
        <v/>
      </c>
      <c r="AA52">
        <f>IF(B52="V01",cad!$I$26,IF(B52="V02",cad!$J$26,cad!$K$26))</f>
        <v/>
      </c>
      <c r="AB52">
        <f>IF(B52="V01",cad!$I$37,IF(B52="V02",cad!$J$37,cad!$K$37))</f>
        <v/>
      </c>
      <c r="AC52">
        <f>IF(F52="MBWAY",cad!$I$9,IF(F52="ISCOM",cad!$I$10,IF(F52="IPAC",cad!$I$11,IF(F52="PIGIER",cad!$I$12,cad!$I$13))))</f>
        <v/>
      </c>
      <c r="AD52">
        <f>(O52*(1+W52)^S52+P52*((T52/U52)*(1+V52))^R52)*IFERROR(G52/Q52,0)*(J52+Y52)*K52*(L52+Z52)</f>
        <v/>
      </c>
      <c r="AE52">
        <f>IF(N52=1,AD52,0)</f>
        <v/>
      </c>
      <c r="AF52">
        <f>IF(N52=1,AD52,H52*(M52+AA52))</f>
        <v/>
      </c>
      <c r="AG52">
        <f>I52*(1+X52*AC52)</f>
        <v/>
      </c>
      <c r="AH52">
        <f>AF52*AG52+AE52*AB52</f>
        <v/>
      </c>
    </row>
    <row r="53">
      <c r="A53">
        <f>Moteur!D53</f>
        <v/>
      </c>
      <c r="B53">
        <f>Moteur!B53</f>
        <v/>
      </c>
      <c r="C53">
        <f>Moteur!F53</f>
        <v/>
      </c>
      <c r="D53">
        <f>Moteur!G53</f>
        <v/>
      </c>
      <c r="E53">
        <f>Moteur!H53</f>
        <v/>
      </c>
      <c r="F53">
        <f>Moteur!E53</f>
        <v/>
      </c>
      <c r="G53">
        <f>SUMIFS(Socle!$H$2:$H$175,Socle!$C$2:$C$175,A53,Socle!$D$2:$D$175,C53,Socle!$E$2:$E$175,D53,Socle!$F$2:$F$175,E53,Socle!$G$2:$G$175,"2026")</f>
        <v/>
      </c>
      <c r="H53">
        <f>SUMIFS(Socle!$N$2:$N$175,Socle!$C$2:$C$175,A53,Socle!$D$2:$D$175,C53,Socle!$E$2:$E$175,D53,Socle!$F$2:$F$175,E53,Socle!$G$2:$G$175,"2026")</f>
        <v/>
      </c>
      <c r="I53">
        <f>SUMIFS(Socle!$P$2:$P$175,Socle!$C$2:$C$175,A53,Socle!$D$2:$D$175,C53,Socle!$E$2:$E$175,D53,Socle!$F$2:$F$175,E53,Socle!$G$2:$G$175,"2026")</f>
        <v/>
      </c>
      <c r="J53">
        <f>SUMIFS(Socle!$W$2:$W$175,Socle!$C$2:$C$175,A53,Socle!$D$2:$D$175,C53,Socle!$E$2:$E$175,D53,Socle!$F$2:$F$175,E53,Socle!$G$2:$G$175,"2026")</f>
        <v/>
      </c>
      <c r="K53">
        <f>SUMIFS(Socle!$X$2:$X$175,Socle!$C$2:$C$175,A53,Socle!$D$2:$D$175,C53,Socle!$E$2:$E$175,D53,Socle!$F$2:$F$175,E53,Socle!$G$2:$G$175,"2026")</f>
        <v/>
      </c>
      <c r="L53">
        <f>SUMIFS(Socle!$Y$2:$Y$175,Socle!$C$2:$C$175,A53,Socle!$D$2:$D$175,C53,Socle!$E$2:$E$175,D53,Socle!$F$2:$F$175,E53,Socle!$G$2:$G$175,"2026")</f>
        <v/>
      </c>
      <c r="M53">
        <f>SUMIFS(Socle!$V$2:$V$175,Socle!$C$2:$C$175,A53,Socle!$D$2:$D$175,C53,Socle!$E$2:$E$175,D53,Socle!$F$2:$F$175,E53,Socle!$G$2:$G$175,"2026")</f>
        <v/>
      </c>
      <c r="N53">
        <f>IF(OR(D53="B1",D53="M1",D53="BTS1"),1,0)</f>
        <v/>
      </c>
      <c r="O53">
        <f>SUMIFS(Campagne!$D$2:$D$15,Campagne!$C$2:$C$15,A53)</f>
        <v/>
      </c>
      <c r="P53">
        <f>SUMIFS(Campagne!$E$2:$E$15,Campagne!$C$2:$C$15,A53)</f>
        <v/>
      </c>
      <c r="Q53">
        <f>SUMIFS(Campagne!$F$2:$F$15,Campagne!$C$2:$C$15,A53)</f>
        <v/>
      </c>
      <c r="R53">
        <f>SUMIFS(Campagne!$K$2:$K$15,Campagne!$C$2:$C$15,A53)</f>
        <v/>
      </c>
      <c r="S53">
        <f>SUMIFS(Campagne!$M$2:$M$15,Campagne!$C$2:$C$15,A53)</f>
        <v/>
      </c>
      <c r="T53">
        <f>SUMIFS(Pilotage!$Q$13:$Q$26,Pilotage!$F$13:$F$26,A53)</f>
        <v/>
      </c>
      <c r="U53">
        <f>SUMIFS(Pilotage!$N$13:$N$26,Pilotage!$F$13:$F$26,A53)</f>
        <v/>
      </c>
      <c r="V53">
        <f>IF(B53="V01",cad!$I$21,IF(B53="V02",cad!$J$21,cad!$K$21))</f>
        <v/>
      </c>
      <c r="W53">
        <f>IF(B53="V01",cad!$I$22,IF(B53="V02",cad!$J$22,cad!$K$22))</f>
        <v/>
      </c>
      <c r="X53">
        <f>IF(B53="V01",cad!$I$23,IF(B53="V02",cad!$J$23,cad!$K$23))</f>
        <v/>
      </c>
      <c r="Y53">
        <f>IF(B53="V01",cad!$I$24,IF(B53="V02",cad!$J$24,cad!$K$24))</f>
        <v/>
      </c>
      <c r="Z53">
        <f>IF(B53="V01",cad!$I$25,IF(B53="V02",cad!$J$25,cad!$K$25))</f>
        <v/>
      </c>
      <c r="AA53">
        <f>IF(B53="V01",cad!$I$26,IF(B53="V02",cad!$J$26,cad!$K$26))</f>
        <v/>
      </c>
      <c r="AB53">
        <f>IF(B53="V01",cad!$I$37,IF(B53="V02",cad!$J$37,cad!$K$37))</f>
        <v/>
      </c>
      <c r="AC53">
        <f>IF(F53="MBWAY",cad!$I$9,IF(F53="ISCOM",cad!$I$10,IF(F53="IPAC",cad!$I$11,IF(F53="PIGIER",cad!$I$12,cad!$I$13))))</f>
        <v/>
      </c>
      <c r="AD53">
        <f>(O53*(1+W53)^S53+P53*((T53/U53)*(1+V53))^R53)*IFERROR(G53/Q53,0)*(J53+Y53)*K53*(L53+Z53)</f>
        <v/>
      </c>
      <c r="AE53">
        <f>IF(N53=1,AD53,0)</f>
        <v/>
      </c>
      <c r="AF53">
        <f>IF(N53=1,AD53,H53*(M53+AA53))</f>
        <v/>
      </c>
      <c r="AG53">
        <f>I53*(1+X53*AC53)</f>
        <v/>
      </c>
      <c r="AH53">
        <f>AF53*AG53+AE53*AB53</f>
        <v/>
      </c>
    </row>
    <row r="54">
      <c r="A54">
        <f>Moteur!D54</f>
        <v/>
      </c>
      <c r="B54">
        <f>Moteur!B54</f>
        <v/>
      </c>
      <c r="C54">
        <f>Moteur!F54</f>
        <v/>
      </c>
      <c r="D54">
        <f>Moteur!G54</f>
        <v/>
      </c>
      <c r="E54">
        <f>Moteur!H54</f>
        <v/>
      </c>
      <c r="F54">
        <f>Moteur!E54</f>
        <v/>
      </c>
      <c r="G54">
        <f>SUMIFS(Socle!$H$2:$H$175,Socle!$C$2:$C$175,A54,Socle!$D$2:$D$175,C54,Socle!$E$2:$E$175,D54,Socle!$F$2:$F$175,E54,Socle!$G$2:$G$175,"2026")</f>
        <v/>
      </c>
      <c r="H54">
        <f>SUMIFS(Socle!$N$2:$N$175,Socle!$C$2:$C$175,A54,Socle!$D$2:$D$175,C54,Socle!$E$2:$E$175,D54,Socle!$F$2:$F$175,E54,Socle!$G$2:$G$175,"2026")</f>
        <v/>
      </c>
      <c r="I54">
        <f>SUMIFS(Socle!$P$2:$P$175,Socle!$C$2:$C$175,A54,Socle!$D$2:$D$175,C54,Socle!$E$2:$E$175,D54,Socle!$F$2:$F$175,E54,Socle!$G$2:$G$175,"2026")</f>
        <v/>
      </c>
      <c r="J54">
        <f>SUMIFS(Socle!$W$2:$W$175,Socle!$C$2:$C$175,A54,Socle!$D$2:$D$175,C54,Socle!$E$2:$E$175,D54,Socle!$F$2:$F$175,E54,Socle!$G$2:$G$175,"2026")</f>
        <v/>
      </c>
      <c r="K54">
        <f>SUMIFS(Socle!$X$2:$X$175,Socle!$C$2:$C$175,A54,Socle!$D$2:$D$175,C54,Socle!$E$2:$E$175,D54,Socle!$F$2:$F$175,E54,Socle!$G$2:$G$175,"2026")</f>
        <v/>
      </c>
      <c r="L54">
        <f>SUMIFS(Socle!$Y$2:$Y$175,Socle!$C$2:$C$175,A54,Socle!$D$2:$D$175,C54,Socle!$E$2:$E$175,D54,Socle!$F$2:$F$175,E54,Socle!$G$2:$G$175,"2026")</f>
        <v/>
      </c>
      <c r="M54">
        <f>SUMIFS(Socle!$V$2:$V$175,Socle!$C$2:$C$175,A54,Socle!$D$2:$D$175,C54,Socle!$E$2:$E$175,D54,Socle!$F$2:$F$175,E54,Socle!$G$2:$G$175,"2026")</f>
        <v/>
      </c>
      <c r="N54">
        <f>IF(OR(D54="B1",D54="M1",D54="BTS1"),1,0)</f>
        <v/>
      </c>
      <c r="O54">
        <f>SUMIFS(Campagne!$D$2:$D$15,Campagne!$C$2:$C$15,A54)</f>
        <v/>
      </c>
      <c r="P54">
        <f>SUMIFS(Campagne!$E$2:$E$15,Campagne!$C$2:$C$15,A54)</f>
        <v/>
      </c>
      <c r="Q54">
        <f>SUMIFS(Campagne!$F$2:$F$15,Campagne!$C$2:$C$15,A54)</f>
        <v/>
      </c>
      <c r="R54">
        <f>SUMIFS(Campagne!$K$2:$K$15,Campagne!$C$2:$C$15,A54)</f>
        <v/>
      </c>
      <c r="S54">
        <f>SUMIFS(Campagne!$M$2:$M$15,Campagne!$C$2:$C$15,A54)</f>
        <v/>
      </c>
      <c r="T54">
        <f>SUMIFS(Pilotage!$Q$13:$Q$26,Pilotage!$F$13:$F$26,A54)</f>
        <v/>
      </c>
      <c r="U54">
        <f>SUMIFS(Pilotage!$N$13:$N$26,Pilotage!$F$13:$F$26,A54)</f>
        <v/>
      </c>
      <c r="V54">
        <f>IF(B54="V01",cad!$I$21,IF(B54="V02",cad!$J$21,cad!$K$21))</f>
        <v/>
      </c>
      <c r="W54">
        <f>IF(B54="V01",cad!$I$22,IF(B54="V02",cad!$J$22,cad!$K$22))</f>
        <v/>
      </c>
      <c r="X54">
        <f>IF(B54="V01",cad!$I$23,IF(B54="V02",cad!$J$23,cad!$K$23))</f>
        <v/>
      </c>
      <c r="Y54">
        <f>IF(B54="V01",cad!$I$24,IF(B54="V02",cad!$J$24,cad!$K$24))</f>
        <v/>
      </c>
      <c r="Z54">
        <f>IF(B54="V01",cad!$I$25,IF(B54="V02",cad!$J$25,cad!$K$25))</f>
        <v/>
      </c>
      <c r="AA54">
        <f>IF(B54="V01",cad!$I$26,IF(B54="V02",cad!$J$26,cad!$K$26))</f>
        <v/>
      </c>
      <c r="AB54">
        <f>IF(B54="V01",cad!$I$37,IF(B54="V02",cad!$J$37,cad!$K$37))</f>
        <v/>
      </c>
      <c r="AC54">
        <f>IF(F54="MBWAY",cad!$I$9,IF(F54="ISCOM",cad!$I$10,IF(F54="IPAC",cad!$I$11,IF(F54="PIGIER",cad!$I$12,cad!$I$13))))</f>
        <v/>
      </c>
      <c r="AD54">
        <f>(O54*(1+W54)^S54+P54*((T54/U54)*(1+V54))^R54)*IFERROR(G54/Q54,0)*(J54+Y54)*K54*(L54+Z54)</f>
        <v/>
      </c>
      <c r="AE54">
        <f>IF(N54=1,AD54,0)</f>
        <v/>
      </c>
      <c r="AF54">
        <f>IF(N54=1,AD54,H54*(M54+AA54))</f>
        <v/>
      </c>
      <c r="AG54">
        <f>I54*(1+X54*AC54)</f>
        <v/>
      </c>
      <c r="AH54">
        <f>AF54*AG54+AE54*AB54</f>
        <v/>
      </c>
    </row>
    <row r="55">
      <c r="A55">
        <f>Moteur!D55</f>
        <v/>
      </c>
      <c r="B55">
        <f>Moteur!B55</f>
        <v/>
      </c>
      <c r="C55">
        <f>Moteur!F55</f>
        <v/>
      </c>
      <c r="D55">
        <f>Moteur!G55</f>
        <v/>
      </c>
      <c r="E55">
        <f>Moteur!H55</f>
        <v/>
      </c>
      <c r="F55">
        <f>Moteur!E55</f>
        <v/>
      </c>
      <c r="G55">
        <f>SUMIFS(Socle!$H$2:$H$175,Socle!$C$2:$C$175,A55,Socle!$D$2:$D$175,C55,Socle!$E$2:$E$175,D55,Socle!$F$2:$F$175,E55,Socle!$G$2:$G$175,"2026")</f>
        <v/>
      </c>
      <c r="H55">
        <f>SUMIFS(Socle!$N$2:$N$175,Socle!$C$2:$C$175,A55,Socle!$D$2:$D$175,C55,Socle!$E$2:$E$175,D55,Socle!$F$2:$F$175,E55,Socle!$G$2:$G$175,"2026")</f>
        <v/>
      </c>
      <c r="I55">
        <f>SUMIFS(Socle!$P$2:$P$175,Socle!$C$2:$C$175,A55,Socle!$D$2:$D$175,C55,Socle!$E$2:$E$175,D55,Socle!$F$2:$F$175,E55,Socle!$G$2:$G$175,"2026")</f>
        <v/>
      </c>
      <c r="J55">
        <f>SUMIFS(Socle!$W$2:$W$175,Socle!$C$2:$C$175,A55,Socle!$D$2:$D$175,C55,Socle!$E$2:$E$175,D55,Socle!$F$2:$F$175,E55,Socle!$G$2:$G$175,"2026")</f>
        <v/>
      </c>
      <c r="K55">
        <f>SUMIFS(Socle!$X$2:$X$175,Socle!$C$2:$C$175,A55,Socle!$D$2:$D$175,C55,Socle!$E$2:$E$175,D55,Socle!$F$2:$F$175,E55,Socle!$G$2:$G$175,"2026")</f>
        <v/>
      </c>
      <c r="L55">
        <f>SUMIFS(Socle!$Y$2:$Y$175,Socle!$C$2:$C$175,A55,Socle!$D$2:$D$175,C55,Socle!$E$2:$E$175,D55,Socle!$F$2:$F$175,E55,Socle!$G$2:$G$175,"2026")</f>
        <v/>
      </c>
      <c r="M55">
        <f>SUMIFS(Socle!$V$2:$V$175,Socle!$C$2:$C$175,A55,Socle!$D$2:$D$175,C55,Socle!$E$2:$E$175,D55,Socle!$F$2:$F$175,E55,Socle!$G$2:$G$175,"2026")</f>
        <v/>
      </c>
      <c r="N55">
        <f>IF(OR(D55="B1",D55="M1",D55="BTS1"),1,0)</f>
        <v/>
      </c>
      <c r="O55">
        <f>SUMIFS(Campagne!$D$2:$D$15,Campagne!$C$2:$C$15,A55)</f>
        <v/>
      </c>
      <c r="P55">
        <f>SUMIFS(Campagne!$E$2:$E$15,Campagne!$C$2:$C$15,A55)</f>
        <v/>
      </c>
      <c r="Q55">
        <f>SUMIFS(Campagne!$F$2:$F$15,Campagne!$C$2:$C$15,A55)</f>
        <v/>
      </c>
      <c r="R55">
        <f>SUMIFS(Campagne!$K$2:$K$15,Campagne!$C$2:$C$15,A55)</f>
        <v/>
      </c>
      <c r="S55">
        <f>SUMIFS(Campagne!$M$2:$M$15,Campagne!$C$2:$C$15,A55)</f>
        <v/>
      </c>
      <c r="T55">
        <f>SUMIFS(Pilotage!$Q$13:$Q$26,Pilotage!$F$13:$F$26,A55)</f>
        <v/>
      </c>
      <c r="U55">
        <f>SUMIFS(Pilotage!$N$13:$N$26,Pilotage!$F$13:$F$26,A55)</f>
        <v/>
      </c>
      <c r="V55">
        <f>IF(B55="V01",cad!$I$21,IF(B55="V02",cad!$J$21,cad!$K$21))</f>
        <v/>
      </c>
      <c r="W55">
        <f>IF(B55="V01",cad!$I$22,IF(B55="V02",cad!$J$22,cad!$K$22))</f>
        <v/>
      </c>
      <c r="X55">
        <f>IF(B55="V01",cad!$I$23,IF(B55="V02",cad!$J$23,cad!$K$23))</f>
        <v/>
      </c>
      <c r="Y55">
        <f>IF(B55="V01",cad!$I$24,IF(B55="V02",cad!$J$24,cad!$K$24))</f>
        <v/>
      </c>
      <c r="Z55">
        <f>IF(B55="V01",cad!$I$25,IF(B55="V02",cad!$J$25,cad!$K$25))</f>
        <v/>
      </c>
      <c r="AA55">
        <f>IF(B55="V01",cad!$I$26,IF(B55="V02",cad!$J$26,cad!$K$26))</f>
        <v/>
      </c>
      <c r="AB55">
        <f>IF(B55="V01",cad!$I$37,IF(B55="V02",cad!$J$37,cad!$K$37))</f>
        <v/>
      </c>
      <c r="AC55">
        <f>IF(F55="MBWAY",cad!$I$9,IF(F55="ISCOM",cad!$I$10,IF(F55="IPAC",cad!$I$11,IF(F55="PIGIER",cad!$I$12,cad!$I$13))))</f>
        <v/>
      </c>
      <c r="AD55">
        <f>(O55*(1+W55)^S55+P55*((T55/U55)*(1+V55))^R55)*IFERROR(G55/Q55,0)*(J55+Y55)*K55*(L55+Z55)</f>
        <v/>
      </c>
      <c r="AE55">
        <f>IF(N55=1,AD55,0)</f>
        <v/>
      </c>
      <c r="AF55">
        <f>IF(N55=1,AD55,H55*(M55+AA55))</f>
        <v/>
      </c>
      <c r="AG55">
        <f>I55*(1+X55*AC55)</f>
        <v/>
      </c>
      <c r="AH55">
        <f>AF55*AG55+AE55*AB55</f>
        <v/>
      </c>
    </row>
    <row r="56">
      <c r="A56">
        <f>Moteur!D56</f>
        <v/>
      </c>
      <c r="B56">
        <f>Moteur!B56</f>
        <v/>
      </c>
      <c r="C56">
        <f>Moteur!F56</f>
        <v/>
      </c>
      <c r="D56">
        <f>Moteur!G56</f>
        <v/>
      </c>
      <c r="E56">
        <f>Moteur!H56</f>
        <v/>
      </c>
      <c r="F56">
        <f>Moteur!E56</f>
        <v/>
      </c>
      <c r="G56">
        <f>SUMIFS(Socle!$H$2:$H$175,Socle!$C$2:$C$175,A56,Socle!$D$2:$D$175,C56,Socle!$E$2:$E$175,D56,Socle!$F$2:$F$175,E56,Socle!$G$2:$G$175,"2026")</f>
        <v/>
      </c>
      <c r="H56">
        <f>SUMIFS(Socle!$N$2:$N$175,Socle!$C$2:$C$175,A56,Socle!$D$2:$D$175,C56,Socle!$E$2:$E$175,D56,Socle!$F$2:$F$175,E56,Socle!$G$2:$G$175,"2026")</f>
        <v/>
      </c>
      <c r="I56">
        <f>SUMIFS(Socle!$P$2:$P$175,Socle!$C$2:$C$175,A56,Socle!$D$2:$D$175,C56,Socle!$E$2:$E$175,D56,Socle!$F$2:$F$175,E56,Socle!$G$2:$G$175,"2026")</f>
        <v/>
      </c>
      <c r="J56">
        <f>SUMIFS(Socle!$W$2:$W$175,Socle!$C$2:$C$175,A56,Socle!$D$2:$D$175,C56,Socle!$E$2:$E$175,D56,Socle!$F$2:$F$175,E56,Socle!$G$2:$G$175,"2026")</f>
        <v/>
      </c>
      <c r="K56">
        <f>SUMIFS(Socle!$X$2:$X$175,Socle!$C$2:$C$175,A56,Socle!$D$2:$D$175,C56,Socle!$E$2:$E$175,D56,Socle!$F$2:$F$175,E56,Socle!$G$2:$G$175,"2026")</f>
        <v/>
      </c>
      <c r="L56">
        <f>SUMIFS(Socle!$Y$2:$Y$175,Socle!$C$2:$C$175,A56,Socle!$D$2:$D$175,C56,Socle!$E$2:$E$175,D56,Socle!$F$2:$F$175,E56,Socle!$G$2:$G$175,"2026")</f>
        <v/>
      </c>
      <c r="M56">
        <f>SUMIFS(Socle!$V$2:$V$175,Socle!$C$2:$C$175,A56,Socle!$D$2:$D$175,C56,Socle!$E$2:$E$175,D56,Socle!$F$2:$F$175,E56,Socle!$G$2:$G$175,"2026")</f>
        <v/>
      </c>
      <c r="N56">
        <f>IF(OR(D56="B1",D56="M1",D56="BTS1"),1,0)</f>
        <v/>
      </c>
      <c r="O56">
        <f>SUMIFS(Campagne!$D$2:$D$15,Campagne!$C$2:$C$15,A56)</f>
        <v/>
      </c>
      <c r="P56">
        <f>SUMIFS(Campagne!$E$2:$E$15,Campagne!$C$2:$C$15,A56)</f>
        <v/>
      </c>
      <c r="Q56">
        <f>SUMIFS(Campagne!$F$2:$F$15,Campagne!$C$2:$C$15,A56)</f>
        <v/>
      </c>
      <c r="R56">
        <f>SUMIFS(Campagne!$K$2:$K$15,Campagne!$C$2:$C$15,A56)</f>
        <v/>
      </c>
      <c r="S56">
        <f>SUMIFS(Campagne!$M$2:$M$15,Campagne!$C$2:$C$15,A56)</f>
        <v/>
      </c>
      <c r="T56">
        <f>SUMIFS(Pilotage!$Q$13:$Q$26,Pilotage!$F$13:$F$26,A56)</f>
        <v/>
      </c>
      <c r="U56">
        <f>SUMIFS(Pilotage!$N$13:$N$26,Pilotage!$F$13:$F$26,A56)</f>
        <v/>
      </c>
      <c r="V56">
        <f>IF(B56="V01",cad!$I$21,IF(B56="V02",cad!$J$21,cad!$K$21))</f>
        <v/>
      </c>
      <c r="W56">
        <f>IF(B56="V01",cad!$I$22,IF(B56="V02",cad!$J$22,cad!$K$22))</f>
        <v/>
      </c>
      <c r="X56">
        <f>IF(B56="V01",cad!$I$23,IF(B56="V02",cad!$J$23,cad!$K$23))</f>
        <v/>
      </c>
      <c r="Y56">
        <f>IF(B56="V01",cad!$I$24,IF(B56="V02",cad!$J$24,cad!$K$24))</f>
        <v/>
      </c>
      <c r="Z56">
        <f>IF(B56="V01",cad!$I$25,IF(B56="V02",cad!$J$25,cad!$K$25))</f>
        <v/>
      </c>
      <c r="AA56">
        <f>IF(B56="V01",cad!$I$26,IF(B56="V02",cad!$J$26,cad!$K$26))</f>
        <v/>
      </c>
      <c r="AB56">
        <f>IF(B56="V01",cad!$I$37,IF(B56="V02",cad!$J$37,cad!$K$37))</f>
        <v/>
      </c>
      <c r="AC56">
        <f>IF(F56="MBWAY",cad!$I$9,IF(F56="ISCOM",cad!$I$10,IF(F56="IPAC",cad!$I$11,IF(F56="PIGIER",cad!$I$12,cad!$I$13))))</f>
        <v/>
      </c>
      <c r="AD56">
        <f>(O56*(1+W56)^S56+P56*((T56/U56)*(1+V56))^R56)*IFERROR(G56/Q56,0)*(J56+Y56)*K56*(L56+Z56)</f>
        <v/>
      </c>
      <c r="AE56">
        <f>IF(N56=1,AD56,0)</f>
        <v/>
      </c>
      <c r="AF56">
        <f>IF(N56=1,AD56,H56*(M56+AA56))</f>
        <v/>
      </c>
      <c r="AG56">
        <f>I56*(1+X56*AC56)</f>
        <v/>
      </c>
      <c r="AH56">
        <f>AF56*AG56+AE56*AB56</f>
        <v/>
      </c>
    </row>
    <row r="57">
      <c r="A57">
        <f>Moteur!D57</f>
        <v/>
      </c>
      <c r="B57">
        <f>Moteur!B57</f>
        <v/>
      </c>
      <c r="C57">
        <f>Moteur!F57</f>
        <v/>
      </c>
      <c r="D57">
        <f>Moteur!G57</f>
        <v/>
      </c>
      <c r="E57">
        <f>Moteur!H57</f>
        <v/>
      </c>
      <c r="F57">
        <f>Moteur!E57</f>
        <v/>
      </c>
      <c r="G57">
        <f>SUMIFS(Socle!$H$2:$H$175,Socle!$C$2:$C$175,A57,Socle!$D$2:$D$175,C57,Socle!$E$2:$E$175,D57,Socle!$F$2:$F$175,E57,Socle!$G$2:$G$175,"2026")</f>
        <v/>
      </c>
      <c r="H57">
        <f>SUMIFS(Socle!$N$2:$N$175,Socle!$C$2:$C$175,A57,Socle!$D$2:$D$175,C57,Socle!$E$2:$E$175,D57,Socle!$F$2:$F$175,E57,Socle!$G$2:$G$175,"2026")</f>
        <v/>
      </c>
      <c r="I57">
        <f>SUMIFS(Socle!$P$2:$P$175,Socle!$C$2:$C$175,A57,Socle!$D$2:$D$175,C57,Socle!$E$2:$E$175,D57,Socle!$F$2:$F$175,E57,Socle!$G$2:$G$175,"2026")</f>
        <v/>
      </c>
      <c r="J57">
        <f>SUMIFS(Socle!$W$2:$W$175,Socle!$C$2:$C$175,A57,Socle!$D$2:$D$175,C57,Socle!$E$2:$E$175,D57,Socle!$F$2:$F$175,E57,Socle!$G$2:$G$175,"2026")</f>
        <v/>
      </c>
      <c r="K57">
        <f>SUMIFS(Socle!$X$2:$X$175,Socle!$C$2:$C$175,A57,Socle!$D$2:$D$175,C57,Socle!$E$2:$E$175,D57,Socle!$F$2:$F$175,E57,Socle!$G$2:$G$175,"2026")</f>
        <v/>
      </c>
      <c r="L57">
        <f>SUMIFS(Socle!$Y$2:$Y$175,Socle!$C$2:$C$175,A57,Socle!$D$2:$D$175,C57,Socle!$E$2:$E$175,D57,Socle!$F$2:$F$175,E57,Socle!$G$2:$G$175,"2026")</f>
        <v/>
      </c>
      <c r="M57">
        <f>SUMIFS(Socle!$V$2:$V$175,Socle!$C$2:$C$175,A57,Socle!$D$2:$D$175,C57,Socle!$E$2:$E$175,D57,Socle!$F$2:$F$175,E57,Socle!$G$2:$G$175,"2026")</f>
        <v/>
      </c>
      <c r="N57">
        <f>IF(OR(D57="B1",D57="M1",D57="BTS1"),1,0)</f>
        <v/>
      </c>
      <c r="O57">
        <f>SUMIFS(Campagne!$D$2:$D$15,Campagne!$C$2:$C$15,A57)</f>
        <v/>
      </c>
      <c r="P57">
        <f>SUMIFS(Campagne!$E$2:$E$15,Campagne!$C$2:$C$15,A57)</f>
        <v/>
      </c>
      <c r="Q57">
        <f>SUMIFS(Campagne!$F$2:$F$15,Campagne!$C$2:$C$15,A57)</f>
        <v/>
      </c>
      <c r="R57">
        <f>SUMIFS(Campagne!$K$2:$K$15,Campagne!$C$2:$C$15,A57)</f>
        <v/>
      </c>
      <c r="S57">
        <f>SUMIFS(Campagne!$M$2:$M$15,Campagne!$C$2:$C$15,A57)</f>
        <v/>
      </c>
      <c r="T57">
        <f>SUMIFS(Pilotage!$Q$13:$Q$26,Pilotage!$F$13:$F$26,A57)</f>
        <v/>
      </c>
      <c r="U57">
        <f>SUMIFS(Pilotage!$N$13:$N$26,Pilotage!$F$13:$F$26,A57)</f>
        <v/>
      </c>
      <c r="V57">
        <f>IF(B57="V01",cad!$I$21,IF(B57="V02",cad!$J$21,cad!$K$21))</f>
        <v/>
      </c>
      <c r="W57">
        <f>IF(B57="V01",cad!$I$22,IF(B57="V02",cad!$J$22,cad!$K$22))</f>
        <v/>
      </c>
      <c r="X57">
        <f>IF(B57="V01",cad!$I$23,IF(B57="V02",cad!$J$23,cad!$K$23))</f>
        <v/>
      </c>
      <c r="Y57">
        <f>IF(B57="V01",cad!$I$24,IF(B57="V02",cad!$J$24,cad!$K$24))</f>
        <v/>
      </c>
      <c r="Z57">
        <f>IF(B57="V01",cad!$I$25,IF(B57="V02",cad!$J$25,cad!$K$25))</f>
        <v/>
      </c>
      <c r="AA57">
        <f>IF(B57="V01",cad!$I$26,IF(B57="V02",cad!$J$26,cad!$K$26))</f>
        <v/>
      </c>
      <c r="AB57">
        <f>IF(B57="V01",cad!$I$37,IF(B57="V02",cad!$J$37,cad!$K$37))</f>
        <v/>
      </c>
      <c r="AC57">
        <f>IF(F57="MBWAY",cad!$I$9,IF(F57="ISCOM",cad!$I$10,IF(F57="IPAC",cad!$I$11,IF(F57="PIGIER",cad!$I$12,cad!$I$13))))</f>
        <v/>
      </c>
      <c r="AD57">
        <f>(O57*(1+W57)^S57+P57*((T57/U57)*(1+V57))^R57)*IFERROR(G57/Q57,0)*(J57+Y57)*K57*(L57+Z57)</f>
        <v/>
      </c>
      <c r="AE57">
        <f>IF(N57=1,AD57,0)</f>
        <v/>
      </c>
      <c r="AF57">
        <f>IF(N57=1,AD57,H57*(M57+AA57))</f>
        <v/>
      </c>
      <c r="AG57">
        <f>I57*(1+X57*AC57)</f>
        <v/>
      </c>
      <c r="AH57">
        <f>AF57*AG57+AE57*AB57</f>
        <v/>
      </c>
    </row>
    <row r="58">
      <c r="A58">
        <f>Moteur!D58</f>
        <v/>
      </c>
      <c r="B58">
        <f>Moteur!B58</f>
        <v/>
      </c>
      <c r="C58">
        <f>Moteur!F58</f>
        <v/>
      </c>
      <c r="D58">
        <f>Moteur!G58</f>
        <v/>
      </c>
      <c r="E58">
        <f>Moteur!H58</f>
        <v/>
      </c>
      <c r="F58">
        <f>Moteur!E58</f>
        <v/>
      </c>
      <c r="G58">
        <f>SUMIFS(Socle!$H$2:$H$175,Socle!$C$2:$C$175,A58,Socle!$D$2:$D$175,C58,Socle!$E$2:$E$175,D58,Socle!$F$2:$F$175,E58,Socle!$G$2:$G$175,"2026")</f>
        <v/>
      </c>
      <c r="H58">
        <f>SUMIFS(Socle!$N$2:$N$175,Socle!$C$2:$C$175,A58,Socle!$D$2:$D$175,C58,Socle!$E$2:$E$175,D58,Socle!$F$2:$F$175,E58,Socle!$G$2:$G$175,"2026")</f>
        <v/>
      </c>
      <c r="I58">
        <f>SUMIFS(Socle!$P$2:$P$175,Socle!$C$2:$C$175,A58,Socle!$D$2:$D$175,C58,Socle!$E$2:$E$175,D58,Socle!$F$2:$F$175,E58,Socle!$G$2:$G$175,"2026")</f>
        <v/>
      </c>
      <c r="J58">
        <f>SUMIFS(Socle!$W$2:$W$175,Socle!$C$2:$C$175,A58,Socle!$D$2:$D$175,C58,Socle!$E$2:$E$175,D58,Socle!$F$2:$F$175,E58,Socle!$G$2:$G$175,"2026")</f>
        <v/>
      </c>
      <c r="K58">
        <f>SUMIFS(Socle!$X$2:$X$175,Socle!$C$2:$C$175,A58,Socle!$D$2:$D$175,C58,Socle!$E$2:$E$175,D58,Socle!$F$2:$F$175,E58,Socle!$G$2:$G$175,"2026")</f>
        <v/>
      </c>
      <c r="L58">
        <f>SUMIFS(Socle!$Y$2:$Y$175,Socle!$C$2:$C$175,A58,Socle!$D$2:$D$175,C58,Socle!$E$2:$E$175,D58,Socle!$F$2:$F$175,E58,Socle!$G$2:$G$175,"2026")</f>
        <v/>
      </c>
      <c r="M58">
        <f>SUMIFS(Socle!$V$2:$V$175,Socle!$C$2:$C$175,A58,Socle!$D$2:$D$175,C58,Socle!$E$2:$E$175,D58,Socle!$F$2:$F$175,E58,Socle!$G$2:$G$175,"2026")</f>
        <v/>
      </c>
      <c r="N58">
        <f>IF(OR(D58="B1",D58="M1",D58="BTS1"),1,0)</f>
        <v/>
      </c>
      <c r="O58">
        <f>SUMIFS(Campagne!$D$2:$D$15,Campagne!$C$2:$C$15,A58)</f>
        <v/>
      </c>
      <c r="P58">
        <f>SUMIFS(Campagne!$E$2:$E$15,Campagne!$C$2:$C$15,A58)</f>
        <v/>
      </c>
      <c r="Q58">
        <f>SUMIFS(Campagne!$F$2:$F$15,Campagne!$C$2:$C$15,A58)</f>
        <v/>
      </c>
      <c r="R58">
        <f>SUMIFS(Campagne!$K$2:$K$15,Campagne!$C$2:$C$15,A58)</f>
        <v/>
      </c>
      <c r="S58">
        <f>SUMIFS(Campagne!$M$2:$M$15,Campagne!$C$2:$C$15,A58)</f>
        <v/>
      </c>
      <c r="T58">
        <f>SUMIFS(Pilotage!$Q$13:$Q$26,Pilotage!$F$13:$F$26,A58)</f>
        <v/>
      </c>
      <c r="U58">
        <f>SUMIFS(Pilotage!$N$13:$N$26,Pilotage!$F$13:$F$26,A58)</f>
        <v/>
      </c>
      <c r="V58">
        <f>IF(B58="V01",cad!$I$21,IF(B58="V02",cad!$J$21,cad!$K$21))</f>
        <v/>
      </c>
      <c r="W58">
        <f>IF(B58="V01",cad!$I$22,IF(B58="V02",cad!$J$22,cad!$K$22))</f>
        <v/>
      </c>
      <c r="X58">
        <f>IF(B58="V01",cad!$I$23,IF(B58="V02",cad!$J$23,cad!$K$23))</f>
        <v/>
      </c>
      <c r="Y58">
        <f>IF(B58="V01",cad!$I$24,IF(B58="V02",cad!$J$24,cad!$K$24))</f>
        <v/>
      </c>
      <c r="Z58">
        <f>IF(B58="V01",cad!$I$25,IF(B58="V02",cad!$J$25,cad!$K$25))</f>
        <v/>
      </c>
      <c r="AA58">
        <f>IF(B58="V01",cad!$I$26,IF(B58="V02",cad!$J$26,cad!$K$26))</f>
        <v/>
      </c>
      <c r="AB58">
        <f>IF(B58="V01",cad!$I$37,IF(B58="V02",cad!$J$37,cad!$K$37))</f>
        <v/>
      </c>
      <c r="AC58">
        <f>IF(F58="MBWAY",cad!$I$9,IF(F58="ISCOM",cad!$I$10,IF(F58="IPAC",cad!$I$11,IF(F58="PIGIER",cad!$I$12,cad!$I$13))))</f>
        <v/>
      </c>
      <c r="AD58">
        <f>(O58*(1+W58)^S58+P58*((T58/U58)*(1+V58))^R58)*IFERROR(G58/Q58,0)*(J58+Y58)*K58*(L58+Z58)</f>
        <v/>
      </c>
      <c r="AE58">
        <f>IF(N58=1,AD58,0)</f>
        <v/>
      </c>
      <c r="AF58">
        <f>IF(N58=1,AD58,H58*(M58+AA58))</f>
        <v/>
      </c>
      <c r="AG58">
        <f>I58*(1+X58*AC58)</f>
        <v/>
      </c>
      <c r="AH58">
        <f>AF58*AG58+AE58*AB58</f>
        <v/>
      </c>
    </row>
    <row r="59">
      <c r="A59">
        <f>Moteur!D59</f>
        <v/>
      </c>
      <c r="B59">
        <f>Moteur!B59</f>
        <v/>
      </c>
      <c r="C59">
        <f>Moteur!F59</f>
        <v/>
      </c>
      <c r="D59">
        <f>Moteur!G59</f>
        <v/>
      </c>
      <c r="E59">
        <f>Moteur!H59</f>
        <v/>
      </c>
      <c r="F59">
        <f>Moteur!E59</f>
        <v/>
      </c>
      <c r="G59">
        <f>SUMIFS(Socle!$H$2:$H$175,Socle!$C$2:$C$175,A59,Socle!$D$2:$D$175,C59,Socle!$E$2:$E$175,D59,Socle!$F$2:$F$175,E59,Socle!$G$2:$G$175,"2026")</f>
        <v/>
      </c>
      <c r="H59">
        <f>SUMIFS(Socle!$N$2:$N$175,Socle!$C$2:$C$175,A59,Socle!$D$2:$D$175,C59,Socle!$E$2:$E$175,D59,Socle!$F$2:$F$175,E59,Socle!$G$2:$G$175,"2026")</f>
        <v/>
      </c>
      <c r="I59">
        <f>SUMIFS(Socle!$P$2:$P$175,Socle!$C$2:$C$175,A59,Socle!$D$2:$D$175,C59,Socle!$E$2:$E$175,D59,Socle!$F$2:$F$175,E59,Socle!$G$2:$G$175,"2026")</f>
        <v/>
      </c>
      <c r="J59">
        <f>SUMIFS(Socle!$W$2:$W$175,Socle!$C$2:$C$175,A59,Socle!$D$2:$D$175,C59,Socle!$E$2:$E$175,D59,Socle!$F$2:$F$175,E59,Socle!$G$2:$G$175,"2026")</f>
        <v/>
      </c>
      <c r="K59">
        <f>SUMIFS(Socle!$X$2:$X$175,Socle!$C$2:$C$175,A59,Socle!$D$2:$D$175,C59,Socle!$E$2:$E$175,D59,Socle!$F$2:$F$175,E59,Socle!$G$2:$G$175,"2026")</f>
        <v/>
      </c>
      <c r="L59">
        <f>SUMIFS(Socle!$Y$2:$Y$175,Socle!$C$2:$C$175,A59,Socle!$D$2:$D$175,C59,Socle!$E$2:$E$175,D59,Socle!$F$2:$F$175,E59,Socle!$G$2:$G$175,"2026")</f>
        <v/>
      </c>
      <c r="M59">
        <f>SUMIFS(Socle!$V$2:$V$175,Socle!$C$2:$C$175,A59,Socle!$D$2:$D$175,C59,Socle!$E$2:$E$175,D59,Socle!$F$2:$F$175,E59,Socle!$G$2:$G$175,"2026")</f>
        <v/>
      </c>
      <c r="N59">
        <f>IF(OR(D59="B1",D59="M1",D59="BTS1"),1,0)</f>
        <v/>
      </c>
      <c r="O59">
        <f>SUMIFS(Campagne!$D$2:$D$15,Campagne!$C$2:$C$15,A59)</f>
        <v/>
      </c>
      <c r="P59">
        <f>SUMIFS(Campagne!$E$2:$E$15,Campagne!$C$2:$C$15,A59)</f>
        <v/>
      </c>
      <c r="Q59">
        <f>SUMIFS(Campagne!$F$2:$F$15,Campagne!$C$2:$C$15,A59)</f>
        <v/>
      </c>
      <c r="R59">
        <f>SUMIFS(Campagne!$K$2:$K$15,Campagne!$C$2:$C$15,A59)</f>
        <v/>
      </c>
      <c r="S59">
        <f>SUMIFS(Campagne!$M$2:$M$15,Campagne!$C$2:$C$15,A59)</f>
        <v/>
      </c>
      <c r="T59">
        <f>SUMIFS(Pilotage!$Q$13:$Q$26,Pilotage!$F$13:$F$26,A59)</f>
        <v/>
      </c>
      <c r="U59">
        <f>SUMIFS(Pilotage!$N$13:$N$26,Pilotage!$F$13:$F$26,A59)</f>
        <v/>
      </c>
      <c r="V59">
        <f>IF(B59="V01",cad!$I$21,IF(B59="V02",cad!$J$21,cad!$K$21))</f>
        <v/>
      </c>
      <c r="W59">
        <f>IF(B59="V01",cad!$I$22,IF(B59="V02",cad!$J$22,cad!$K$22))</f>
        <v/>
      </c>
      <c r="X59">
        <f>IF(B59="V01",cad!$I$23,IF(B59="V02",cad!$J$23,cad!$K$23))</f>
        <v/>
      </c>
      <c r="Y59">
        <f>IF(B59="V01",cad!$I$24,IF(B59="V02",cad!$J$24,cad!$K$24))</f>
        <v/>
      </c>
      <c r="Z59">
        <f>IF(B59="V01",cad!$I$25,IF(B59="V02",cad!$J$25,cad!$K$25))</f>
        <v/>
      </c>
      <c r="AA59">
        <f>IF(B59="V01",cad!$I$26,IF(B59="V02",cad!$J$26,cad!$K$26))</f>
        <v/>
      </c>
      <c r="AB59">
        <f>IF(B59="V01",cad!$I$37,IF(B59="V02",cad!$J$37,cad!$K$37))</f>
        <v/>
      </c>
      <c r="AC59">
        <f>IF(F59="MBWAY",cad!$I$9,IF(F59="ISCOM",cad!$I$10,IF(F59="IPAC",cad!$I$11,IF(F59="PIGIER",cad!$I$12,cad!$I$13))))</f>
        <v/>
      </c>
      <c r="AD59">
        <f>(O59*(1+W59)^S59+P59*((T59/U59)*(1+V59))^R59)*IFERROR(G59/Q59,0)*(J59+Y59)*K59*(L59+Z59)</f>
        <v/>
      </c>
      <c r="AE59">
        <f>IF(N59=1,AD59,0)</f>
        <v/>
      </c>
      <c r="AF59">
        <f>IF(N59=1,AD59,H59*(M59+AA59))</f>
        <v/>
      </c>
      <c r="AG59">
        <f>I59*(1+X59*AC59)</f>
        <v/>
      </c>
      <c r="AH59">
        <f>AF59*AG59+AE59*AB59</f>
        <v/>
      </c>
    </row>
    <row r="60">
      <c r="A60">
        <f>Moteur!D60</f>
        <v/>
      </c>
      <c r="B60">
        <f>Moteur!B60</f>
        <v/>
      </c>
      <c r="C60">
        <f>Moteur!F60</f>
        <v/>
      </c>
      <c r="D60">
        <f>Moteur!G60</f>
        <v/>
      </c>
      <c r="E60">
        <f>Moteur!H60</f>
        <v/>
      </c>
      <c r="F60">
        <f>Moteur!E60</f>
        <v/>
      </c>
      <c r="G60">
        <f>SUMIFS(Socle!$H$2:$H$175,Socle!$C$2:$C$175,A60,Socle!$D$2:$D$175,C60,Socle!$E$2:$E$175,D60,Socle!$F$2:$F$175,E60,Socle!$G$2:$G$175,"2026")</f>
        <v/>
      </c>
      <c r="H60">
        <f>SUMIFS(Socle!$N$2:$N$175,Socle!$C$2:$C$175,A60,Socle!$D$2:$D$175,C60,Socle!$E$2:$E$175,D60,Socle!$F$2:$F$175,E60,Socle!$G$2:$G$175,"2026")</f>
        <v/>
      </c>
      <c r="I60">
        <f>SUMIFS(Socle!$P$2:$P$175,Socle!$C$2:$C$175,A60,Socle!$D$2:$D$175,C60,Socle!$E$2:$E$175,D60,Socle!$F$2:$F$175,E60,Socle!$G$2:$G$175,"2026")</f>
        <v/>
      </c>
      <c r="J60">
        <f>SUMIFS(Socle!$W$2:$W$175,Socle!$C$2:$C$175,A60,Socle!$D$2:$D$175,C60,Socle!$E$2:$E$175,D60,Socle!$F$2:$F$175,E60,Socle!$G$2:$G$175,"2026")</f>
        <v/>
      </c>
      <c r="K60">
        <f>SUMIFS(Socle!$X$2:$X$175,Socle!$C$2:$C$175,A60,Socle!$D$2:$D$175,C60,Socle!$E$2:$E$175,D60,Socle!$F$2:$F$175,E60,Socle!$G$2:$G$175,"2026")</f>
        <v/>
      </c>
      <c r="L60">
        <f>SUMIFS(Socle!$Y$2:$Y$175,Socle!$C$2:$C$175,A60,Socle!$D$2:$D$175,C60,Socle!$E$2:$E$175,D60,Socle!$F$2:$F$175,E60,Socle!$G$2:$G$175,"2026")</f>
        <v/>
      </c>
      <c r="M60">
        <f>SUMIFS(Socle!$V$2:$V$175,Socle!$C$2:$C$175,A60,Socle!$D$2:$D$175,C60,Socle!$E$2:$E$175,D60,Socle!$F$2:$F$175,E60,Socle!$G$2:$G$175,"2026")</f>
        <v/>
      </c>
      <c r="N60">
        <f>IF(OR(D60="B1",D60="M1",D60="BTS1"),1,0)</f>
        <v/>
      </c>
      <c r="O60">
        <f>SUMIFS(Campagne!$D$2:$D$15,Campagne!$C$2:$C$15,A60)</f>
        <v/>
      </c>
      <c r="P60">
        <f>SUMIFS(Campagne!$E$2:$E$15,Campagne!$C$2:$C$15,A60)</f>
        <v/>
      </c>
      <c r="Q60">
        <f>SUMIFS(Campagne!$F$2:$F$15,Campagne!$C$2:$C$15,A60)</f>
        <v/>
      </c>
      <c r="R60">
        <f>SUMIFS(Campagne!$K$2:$K$15,Campagne!$C$2:$C$15,A60)</f>
        <v/>
      </c>
      <c r="S60">
        <f>SUMIFS(Campagne!$M$2:$M$15,Campagne!$C$2:$C$15,A60)</f>
        <v/>
      </c>
      <c r="T60">
        <f>SUMIFS(Pilotage!$Q$13:$Q$26,Pilotage!$F$13:$F$26,A60)</f>
        <v/>
      </c>
      <c r="U60">
        <f>SUMIFS(Pilotage!$N$13:$N$26,Pilotage!$F$13:$F$26,A60)</f>
        <v/>
      </c>
      <c r="V60">
        <f>IF(B60="V01",cad!$I$21,IF(B60="V02",cad!$J$21,cad!$K$21))</f>
        <v/>
      </c>
      <c r="W60">
        <f>IF(B60="V01",cad!$I$22,IF(B60="V02",cad!$J$22,cad!$K$22))</f>
        <v/>
      </c>
      <c r="X60">
        <f>IF(B60="V01",cad!$I$23,IF(B60="V02",cad!$J$23,cad!$K$23))</f>
        <v/>
      </c>
      <c r="Y60">
        <f>IF(B60="V01",cad!$I$24,IF(B60="V02",cad!$J$24,cad!$K$24))</f>
        <v/>
      </c>
      <c r="Z60">
        <f>IF(B60="V01",cad!$I$25,IF(B60="V02",cad!$J$25,cad!$K$25))</f>
        <v/>
      </c>
      <c r="AA60">
        <f>IF(B60="V01",cad!$I$26,IF(B60="V02",cad!$J$26,cad!$K$26))</f>
        <v/>
      </c>
      <c r="AB60">
        <f>IF(B60="V01",cad!$I$37,IF(B60="V02",cad!$J$37,cad!$K$37))</f>
        <v/>
      </c>
      <c r="AC60">
        <f>IF(F60="MBWAY",cad!$I$9,IF(F60="ISCOM",cad!$I$10,IF(F60="IPAC",cad!$I$11,IF(F60="PIGIER",cad!$I$12,cad!$I$13))))</f>
        <v/>
      </c>
      <c r="AD60">
        <f>(O60*(1+W60)^S60+P60*((T60/U60)*(1+V60))^R60)*IFERROR(G60/Q60,0)*(J60+Y60)*K60*(L60+Z60)</f>
        <v/>
      </c>
      <c r="AE60">
        <f>IF(N60=1,AD60,0)</f>
        <v/>
      </c>
      <c r="AF60">
        <f>IF(N60=1,AD60,H60*(M60+AA60))</f>
        <v/>
      </c>
      <c r="AG60">
        <f>I60*(1+X60*AC60)</f>
        <v/>
      </c>
      <c r="AH60">
        <f>AF60*AG60+AE60*AB60</f>
        <v/>
      </c>
    </row>
    <row r="61">
      <c r="A61">
        <f>Moteur!D61</f>
        <v/>
      </c>
      <c r="B61">
        <f>Moteur!B61</f>
        <v/>
      </c>
      <c r="C61">
        <f>Moteur!F61</f>
        <v/>
      </c>
      <c r="D61">
        <f>Moteur!G61</f>
        <v/>
      </c>
      <c r="E61">
        <f>Moteur!H61</f>
        <v/>
      </c>
      <c r="F61">
        <f>Moteur!E61</f>
        <v/>
      </c>
      <c r="G61">
        <f>SUMIFS(Socle!$H$2:$H$175,Socle!$C$2:$C$175,A61,Socle!$D$2:$D$175,C61,Socle!$E$2:$E$175,D61,Socle!$F$2:$F$175,E61,Socle!$G$2:$G$175,"2026")</f>
        <v/>
      </c>
      <c r="H61">
        <f>SUMIFS(Socle!$N$2:$N$175,Socle!$C$2:$C$175,A61,Socle!$D$2:$D$175,C61,Socle!$E$2:$E$175,D61,Socle!$F$2:$F$175,E61,Socle!$G$2:$G$175,"2026")</f>
        <v/>
      </c>
      <c r="I61">
        <f>SUMIFS(Socle!$P$2:$P$175,Socle!$C$2:$C$175,A61,Socle!$D$2:$D$175,C61,Socle!$E$2:$E$175,D61,Socle!$F$2:$F$175,E61,Socle!$G$2:$G$175,"2026")</f>
        <v/>
      </c>
      <c r="J61">
        <f>SUMIFS(Socle!$W$2:$W$175,Socle!$C$2:$C$175,A61,Socle!$D$2:$D$175,C61,Socle!$E$2:$E$175,D61,Socle!$F$2:$F$175,E61,Socle!$G$2:$G$175,"2026")</f>
        <v/>
      </c>
      <c r="K61">
        <f>SUMIFS(Socle!$X$2:$X$175,Socle!$C$2:$C$175,A61,Socle!$D$2:$D$175,C61,Socle!$E$2:$E$175,D61,Socle!$F$2:$F$175,E61,Socle!$G$2:$G$175,"2026")</f>
        <v/>
      </c>
      <c r="L61">
        <f>SUMIFS(Socle!$Y$2:$Y$175,Socle!$C$2:$C$175,A61,Socle!$D$2:$D$175,C61,Socle!$E$2:$E$175,D61,Socle!$F$2:$F$175,E61,Socle!$G$2:$G$175,"2026")</f>
        <v/>
      </c>
      <c r="M61">
        <f>SUMIFS(Socle!$V$2:$V$175,Socle!$C$2:$C$175,A61,Socle!$D$2:$D$175,C61,Socle!$E$2:$E$175,D61,Socle!$F$2:$F$175,E61,Socle!$G$2:$G$175,"2026")</f>
        <v/>
      </c>
      <c r="N61">
        <f>IF(OR(D61="B1",D61="M1",D61="BTS1"),1,0)</f>
        <v/>
      </c>
      <c r="O61">
        <f>SUMIFS(Campagne!$D$2:$D$15,Campagne!$C$2:$C$15,A61)</f>
        <v/>
      </c>
      <c r="P61">
        <f>SUMIFS(Campagne!$E$2:$E$15,Campagne!$C$2:$C$15,A61)</f>
        <v/>
      </c>
      <c r="Q61">
        <f>SUMIFS(Campagne!$F$2:$F$15,Campagne!$C$2:$C$15,A61)</f>
        <v/>
      </c>
      <c r="R61">
        <f>SUMIFS(Campagne!$K$2:$K$15,Campagne!$C$2:$C$15,A61)</f>
        <v/>
      </c>
      <c r="S61">
        <f>SUMIFS(Campagne!$M$2:$M$15,Campagne!$C$2:$C$15,A61)</f>
        <v/>
      </c>
      <c r="T61">
        <f>SUMIFS(Pilotage!$Q$13:$Q$26,Pilotage!$F$13:$F$26,A61)</f>
        <v/>
      </c>
      <c r="U61">
        <f>SUMIFS(Pilotage!$N$13:$N$26,Pilotage!$F$13:$F$26,A61)</f>
        <v/>
      </c>
      <c r="V61">
        <f>IF(B61="V01",cad!$I$21,IF(B61="V02",cad!$J$21,cad!$K$21))</f>
        <v/>
      </c>
      <c r="W61">
        <f>IF(B61="V01",cad!$I$22,IF(B61="V02",cad!$J$22,cad!$K$22))</f>
        <v/>
      </c>
      <c r="X61">
        <f>IF(B61="V01",cad!$I$23,IF(B61="V02",cad!$J$23,cad!$K$23))</f>
        <v/>
      </c>
      <c r="Y61">
        <f>IF(B61="V01",cad!$I$24,IF(B61="V02",cad!$J$24,cad!$K$24))</f>
        <v/>
      </c>
      <c r="Z61">
        <f>IF(B61="V01",cad!$I$25,IF(B61="V02",cad!$J$25,cad!$K$25))</f>
        <v/>
      </c>
      <c r="AA61">
        <f>IF(B61="V01",cad!$I$26,IF(B61="V02",cad!$J$26,cad!$K$26))</f>
        <v/>
      </c>
      <c r="AB61">
        <f>IF(B61="V01",cad!$I$37,IF(B61="V02",cad!$J$37,cad!$K$37))</f>
        <v/>
      </c>
      <c r="AC61">
        <f>IF(F61="MBWAY",cad!$I$9,IF(F61="ISCOM",cad!$I$10,IF(F61="IPAC",cad!$I$11,IF(F61="PIGIER",cad!$I$12,cad!$I$13))))</f>
        <v/>
      </c>
      <c r="AD61">
        <f>(O61*(1+W61)^S61+P61*((T61/U61)*(1+V61))^R61)*IFERROR(G61/Q61,0)*(J61+Y61)*K61*(L61+Z61)</f>
        <v/>
      </c>
      <c r="AE61">
        <f>IF(N61=1,AD61,0)</f>
        <v/>
      </c>
      <c r="AF61">
        <f>IF(N61=1,AD61,H61*(M61+AA61))</f>
        <v/>
      </c>
      <c r="AG61">
        <f>I61*(1+X61*AC61)</f>
        <v/>
      </c>
      <c r="AH61">
        <f>AF61*AG61+AE61*AB61</f>
        <v/>
      </c>
    </row>
    <row r="62">
      <c r="A62">
        <f>Moteur!D62</f>
        <v/>
      </c>
      <c r="B62">
        <f>Moteur!B62</f>
        <v/>
      </c>
      <c r="C62">
        <f>Moteur!F62</f>
        <v/>
      </c>
      <c r="D62">
        <f>Moteur!G62</f>
        <v/>
      </c>
      <c r="E62">
        <f>Moteur!H62</f>
        <v/>
      </c>
      <c r="F62">
        <f>Moteur!E62</f>
        <v/>
      </c>
      <c r="G62">
        <f>SUMIFS(Socle!$H$2:$H$175,Socle!$C$2:$C$175,A62,Socle!$D$2:$D$175,C62,Socle!$E$2:$E$175,D62,Socle!$F$2:$F$175,E62,Socle!$G$2:$G$175,"2026")</f>
        <v/>
      </c>
      <c r="H62">
        <f>SUMIFS(Socle!$N$2:$N$175,Socle!$C$2:$C$175,A62,Socle!$D$2:$D$175,C62,Socle!$E$2:$E$175,D62,Socle!$F$2:$F$175,E62,Socle!$G$2:$G$175,"2026")</f>
        <v/>
      </c>
      <c r="I62">
        <f>SUMIFS(Socle!$P$2:$P$175,Socle!$C$2:$C$175,A62,Socle!$D$2:$D$175,C62,Socle!$E$2:$E$175,D62,Socle!$F$2:$F$175,E62,Socle!$G$2:$G$175,"2026")</f>
        <v/>
      </c>
      <c r="J62">
        <f>SUMIFS(Socle!$W$2:$W$175,Socle!$C$2:$C$175,A62,Socle!$D$2:$D$175,C62,Socle!$E$2:$E$175,D62,Socle!$F$2:$F$175,E62,Socle!$G$2:$G$175,"2026")</f>
        <v/>
      </c>
      <c r="K62">
        <f>SUMIFS(Socle!$X$2:$X$175,Socle!$C$2:$C$175,A62,Socle!$D$2:$D$175,C62,Socle!$E$2:$E$175,D62,Socle!$F$2:$F$175,E62,Socle!$G$2:$G$175,"2026")</f>
        <v/>
      </c>
      <c r="L62">
        <f>SUMIFS(Socle!$Y$2:$Y$175,Socle!$C$2:$C$175,A62,Socle!$D$2:$D$175,C62,Socle!$E$2:$E$175,D62,Socle!$F$2:$F$175,E62,Socle!$G$2:$G$175,"2026")</f>
        <v/>
      </c>
      <c r="M62">
        <f>SUMIFS(Socle!$V$2:$V$175,Socle!$C$2:$C$175,A62,Socle!$D$2:$D$175,C62,Socle!$E$2:$E$175,D62,Socle!$F$2:$F$175,E62,Socle!$G$2:$G$175,"2026")</f>
        <v/>
      </c>
      <c r="N62">
        <f>IF(OR(D62="B1",D62="M1",D62="BTS1"),1,0)</f>
        <v/>
      </c>
      <c r="O62">
        <f>SUMIFS(Campagne!$D$2:$D$15,Campagne!$C$2:$C$15,A62)</f>
        <v/>
      </c>
      <c r="P62">
        <f>SUMIFS(Campagne!$E$2:$E$15,Campagne!$C$2:$C$15,A62)</f>
        <v/>
      </c>
      <c r="Q62">
        <f>SUMIFS(Campagne!$F$2:$F$15,Campagne!$C$2:$C$15,A62)</f>
        <v/>
      </c>
      <c r="R62">
        <f>SUMIFS(Campagne!$K$2:$K$15,Campagne!$C$2:$C$15,A62)</f>
        <v/>
      </c>
      <c r="S62">
        <f>SUMIFS(Campagne!$M$2:$M$15,Campagne!$C$2:$C$15,A62)</f>
        <v/>
      </c>
      <c r="T62">
        <f>SUMIFS(Pilotage!$Q$13:$Q$26,Pilotage!$F$13:$F$26,A62)</f>
        <v/>
      </c>
      <c r="U62">
        <f>SUMIFS(Pilotage!$N$13:$N$26,Pilotage!$F$13:$F$26,A62)</f>
        <v/>
      </c>
      <c r="V62">
        <f>IF(B62="V01",cad!$I$21,IF(B62="V02",cad!$J$21,cad!$K$21))</f>
        <v/>
      </c>
      <c r="W62">
        <f>IF(B62="V01",cad!$I$22,IF(B62="V02",cad!$J$22,cad!$K$22))</f>
        <v/>
      </c>
      <c r="X62">
        <f>IF(B62="V01",cad!$I$23,IF(B62="V02",cad!$J$23,cad!$K$23))</f>
        <v/>
      </c>
      <c r="Y62">
        <f>IF(B62="V01",cad!$I$24,IF(B62="V02",cad!$J$24,cad!$K$24))</f>
        <v/>
      </c>
      <c r="Z62">
        <f>IF(B62="V01",cad!$I$25,IF(B62="V02",cad!$J$25,cad!$K$25))</f>
        <v/>
      </c>
      <c r="AA62">
        <f>IF(B62="V01",cad!$I$26,IF(B62="V02",cad!$J$26,cad!$K$26))</f>
        <v/>
      </c>
      <c r="AB62">
        <f>IF(B62="V01",cad!$I$37,IF(B62="V02",cad!$J$37,cad!$K$37))</f>
        <v/>
      </c>
      <c r="AC62">
        <f>IF(F62="MBWAY",cad!$I$9,IF(F62="ISCOM",cad!$I$10,IF(F62="IPAC",cad!$I$11,IF(F62="PIGIER",cad!$I$12,cad!$I$13))))</f>
        <v/>
      </c>
      <c r="AD62">
        <f>(O62*(1+W62)^S62+P62*((T62/U62)*(1+V62))^R62)*IFERROR(G62/Q62,0)*(J62+Y62)*K62*(L62+Z62)</f>
        <v/>
      </c>
      <c r="AE62">
        <f>IF(N62=1,AD62,0)</f>
        <v/>
      </c>
      <c r="AF62">
        <f>IF(N62=1,AD62,H62*(M62+AA62))</f>
        <v/>
      </c>
      <c r="AG62">
        <f>I62*(1+X62*AC62)</f>
        <v/>
      </c>
      <c r="AH62">
        <f>AF62*AG62+AE62*AB62</f>
        <v/>
      </c>
    </row>
    <row r="63">
      <c r="A63">
        <f>Moteur!D63</f>
        <v/>
      </c>
      <c r="B63">
        <f>Moteur!B63</f>
        <v/>
      </c>
      <c r="C63">
        <f>Moteur!F63</f>
        <v/>
      </c>
      <c r="D63">
        <f>Moteur!G63</f>
        <v/>
      </c>
      <c r="E63">
        <f>Moteur!H63</f>
        <v/>
      </c>
      <c r="F63">
        <f>Moteur!E63</f>
        <v/>
      </c>
      <c r="G63">
        <f>SUMIFS(Socle!$H$2:$H$175,Socle!$C$2:$C$175,A63,Socle!$D$2:$D$175,C63,Socle!$E$2:$E$175,D63,Socle!$F$2:$F$175,E63,Socle!$G$2:$G$175,"2026")</f>
        <v/>
      </c>
      <c r="H63">
        <f>SUMIFS(Socle!$N$2:$N$175,Socle!$C$2:$C$175,A63,Socle!$D$2:$D$175,C63,Socle!$E$2:$E$175,D63,Socle!$F$2:$F$175,E63,Socle!$G$2:$G$175,"2026")</f>
        <v/>
      </c>
      <c r="I63">
        <f>SUMIFS(Socle!$P$2:$P$175,Socle!$C$2:$C$175,A63,Socle!$D$2:$D$175,C63,Socle!$E$2:$E$175,D63,Socle!$F$2:$F$175,E63,Socle!$G$2:$G$175,"2026")</f>
        <v/>
      </c>
      <c r="J63">
        <f>SUMIFS(Socle!$W$2:$W$175,Socle!$C$2:$C$175,A63,Socle!$D$2:$D$175,C63,Socle!$E$2:$E$175,D63,Socle!$F$2:$F$175,E63,Socle!$G$2:$G$175,"2026")</f>
        <v/>
      </c>
      <c r="K63">
        <f>SUMIFS(Socle!$X$2:$X$175,Socle!$C$2:$C$175,A63,Socle!$D$2:$D$175,C63,Socle!$E$2:$E$175,D63,Socle!$F$2:$F$175,E63,Socle!$G$2:$G$175,"2026")</f>
        <v/>
      </c>
      <c r="L63">
        <f>SUMIFS(Socle!$Y$2:$Y$175,Socle!$C$2:$C$175,A63,Socle!$D$2:$D$175,C63,Socle!$E$2:$E$175,D63,Socle!$F$2:$F$175,E63,Socle!$G$2:$G$175,"2026")</f>
        <v/>
      </c>
      <c r="M63">
        <f>SUMIFS(Socle!$V$2:$V$175,Socle!$C$2:$C$175,A63,Socle!$D$2:$D$175,C63,Socle!$E$2:$E$175,D63,Socle!$F$2:$F$175,E63,Socle!$G$2:$G$175,"2026")</f>
        <v/>
      </c>
      <c r="N63">
        <f>IF(OR(D63="B1",D63="M1",D63="BTS1"),1,0)</f>
        <v/>
      </c>
      <c r="O63">
        <f>SUMIFS(Campagne!$D$2:$D$15,Campagne!$C$2:$C$15,A63)</f>
        <v/>
      </c>
      <c r="P63">
        <f>SUMIFS(Campagne!$E$2:$E$15,Campagne!$C$2:$C$15,A63)</f>
        <v/>
      </c>
      <c r="Q63">
        <f>SUMIFS(Campagne!$F$2:$F$15,Campagne!$C$2:$C$15,A63)</f>
        <v/>
      </c>
      <c r="R63">
        <f>SUMIFS(Campagne!$K$2:$K$15,Campagne!$C$2:$C$15,A63)</f>
        <v/>
      </c>
      <c r="S63">
        <f>SUMIFS(Campagne!$M$2:$M$15,Campagne!$C$2:$C$15,A63)</f>
        <v/>
      </c>
      <c r="T63">
        <f>SUMIFS(Pilotage!$Q$13:$Q$26,Pilotage!$F$13:$F$26,A63)</f>
        <v/>
      </c>
      <c r="U63">
        <f>SUMIFS(Pilotage!$N$13:$N$26,Pilotage!$F$13:$F$26,A63)</f>
        <v/>
      </c>
      <c r="V63">
        <f>IF(B63="V01",cad!$I$21,IF(B63="V02",cad!$J$21,cad!$K$21))</f>
        <v/>
      </c>
      <c r="W63">
        <f>IF(B63="V01",cad!$I$22,IF(B63="V02",cad!$J$22,cad!$K$22))</f>
        <v/>
      </c>
      <c r="X63">
        <f>IF(B63="V01",cad!$I$23,IF(B63="V02",cad!$J$23,cad!$K$23))</f>
        <v/>
      </c>
      <c r="Y63">
        <f>IF(B63="V01",cad!$I$24,IF(B63="V02",cad!$J$24,cad!$K$24))</f>
        <v/>
      </c>
      <c r="Z63">
        <f>IF(B63="V01",cad!$I$25,IF(B63="V02",cad!$J$25,cad!$K$25))</f>
        <v/>
      </c>
      <c r="AA63">
        <f>IF(B63="V01",cad!$I$26,IF(B63="V02",cad!$J$26,cad!$K$26))</f>
        <v/>
      </c>
      <c r="AB63">
        <f>IF(B63="V01",cad!$I$37,IF(B63="V02",cad!$J$37,cad!$K$37))</f>
        <v/>
      </c>
      <c r="AC63">
        <f>IF(F63="MBWAY",cad!$I$9,IF(F63="ISCOM",cad!$I$10,IF(F63="IPAC",cad!$I$11,IF(F63="PIGIER",cad!$I$12,cad!$I$13))))</f>
        <v/>
      </c>
      <c r="AD63">
        <f>(O63*(1+W63)^S63+P63*((T63/U63)*(1+V63))^R63)*IFERROR(G63/Q63,0)*(J63+Y63)*K63*(L63+Z63)</f>
        <v/>
      </c>
      <c r="AE63">
        <f>IF(N63=1,AD63,0)</f>
        <v/>
      </c>
      <c r="AF63">
        <f>IF(N63=1,AD63,H63*(M63+AA63))</f>
        <v/>
      </c>
      <c r="AG63">
        <f>I63*(1+X63*AC63)</f>
        <v/>
      </c>
      <c r="AH63">
        <f>AF63*AG63+AE63*AB63</f>
        <v/>
      </c>
    </row>
    <row r="64">
      <c r="A64">
        <f>Moteur!D64</f>
        <v/>
      </c>
      <c r="B64">
        <f>Moteur!B64</f>
        <v/>
      </c>
      <c r="C64">
        <f>Moteur!F64</f>
        <v/>
      </c>
      <c r="D64">
        <f>Moteur!G64</f>
        <v/>
      </c>
      <c r="E64">
        <f>Moteur!H64</f>
        <v/>
      </c>
      <c r="F64">
        <f>Moteur!E64</f>
        <v/>
      </c>
      <c r="G64">
        <f>SUMIFS(Socle!$H$2:$H$175,Socle!$C$2:$C$175,A64,Socle!$D$2:$D$175,C64,Socle!$E$2:$E$175,D64,Socle!$F$2:$F$175,E64,Socle!$G$2:$G$175,"2026")</f>
        <v/>
      </c>
      <c r="H64">
        <f>SUMIFS(Socle!$N$2:$N$175,Socle!$C$2:$C$175,A64,Socle!$D$2:$D$175,C64,Socle!$E$2:$E$175,D64,Socle!$F$2:$F$175,E64,Socle!$G$2:$G$175,"2026")</f>
        <v/>
      </c>
      <c r="I64">
        <f>SUMIFS(Socle!$P$2:$P$175,Socle!$C$2:$C$175,A64,Socle!$D$2:$D$175,C64,Socle!$E$2:$E$175,D64,Socle!$F$2:$F$175,E64,Socle!$G$2:$G$175,"2026")</f>
        <v/>
      </c>
      <c r="J64">
        <f>SUMIFS(Socle!$W$2:$W$175,Socle!$C$2:$C$175,A64,Socle!$D$2:$D$175,C64,Socle!$E$2:$E$175,D64,Socle!$F$2:$F$175,E64,Socle!$G$2:$G$175,"2026")</f>
        <v/>
      </c>
      <c r="K64">
        <f>SUMIFS(Socle!$X$2:$X$175,Socle!$C$2:$C$175,A64,Socle!$D$2:$D$175,C64,Socle!$E$2:$E$175,D64,Socle!$F$2:$F$175,E64,Socle!$G$2:$G$175,"2026")</f>
        <v/>
      </c>
      <c r="L64">
        <f>SUMIFS(Socle!$Y$2:$Y$175,Socle!$C$2:$C$175,A64,Socle!$D$2:$D$175,C64,Socle!$E$2:$E$175,D64,Socle!$F$2:$F$175,E64,Socle!$G$2:$G$175,"2026")</f>
        <v/>
      </c>
      <c r="M64">
        <f>SUMIFS(Socle!$V$2:$V$175,Socle!$C$2:$C$175,A64,Socle!$D$2:$D$175,C64,Socle!$E$2:$E$175,D64,Socle!$F$2:$F$175,E64,Socle!$G$2:$G$175,"2026")</f>
        <v/>
      </c>
      <c r="N64">
        <f>IF(OR(D64="B1",D64="M1",D64="BTS1"),1,0)</f>
        <v/>
      </c>
      <c r="O64">
        <f>SUMIFS(Campagne!$D$2:$D$15,Campagne!$C$2:$C$15,A64)</f>
        <v/>
      </c>
      <c r="P64">
        <f>SUMIFS(Campagne!$E$2:$E$15,Campagne!$C$2:$C$15,A64)</f>
        <v/>
      </c>
      <c r="Q64">
        <f>SUMIFS(Campagne!$F$2:$F$15,Campagne!$C$2:$C$15,A64)</f>
        <v/>
      </c>
      <c r="R64">
        <f>SUMIFS(Campagne!$K$2:$K$15,Campagne!$C$2:$C$15,A64)</f>
        <v/>
      </c>
      <c r="S64">
        <f>SUMIFS(Campagne!$M$2:$M$15,Campagne!$C$2:$C$15,A64)</f>
        <v/>
      </c>
      <c r="T64">
        <f>SUMIFS(Pilotage!$Q$13:$Q$26,Pilotage!$F$13:$F$26,A64)</f>
        <v/>
      </c>
      <c r="U64">
        <f>SUMIFS(Pilotage!$N$13:$N$26,Pilotage!$F$13:$F$26,A64)</f>
        <v/>
      </c>
      <c r="V64">
        <f>IF(B64="V01",cad!$I$21,IF(B64="V02",cad!$J$21,cad!$K$21))</f>
        <v/>
      </c>
      <c r="W64">
        <f>IF(B64="V01",cad!$I$22,IF(B64="V02",cad!$J$22,cad!$K$22))</f>
        <v/>
      </c>
      <c r="X64">
        <f>IF(B64="V01",cad!$I$23,IF(B64="V02",cad!$J$23,cad!$K$23))</f>
        <v/>
      </c>
      <c r="Y64">
        <f>IF(B64="V01",cad!$I$24,IF(B64="V02",cad!$J$24,cad!$K$24))</f>
        <v/>
      </c>
      <c r="Z64">
        <f>IF(B64="V01",cad!$I$25,IF(B64="V02",cad!$J$25,cad!$K$25))</f>
        <v/>
      </c>
      <c r="AA64">
        <f>IF(B64="V01",cad!$I$26,IF(B64="V02",cad!$J$26,cad!$K$26))</f>
        <v/>
      </c>
      <c r="AB64">
        <f>IF(B64="V01",cad!$I$37,IF(B64="V02",cad!$J$37,cad!$K$37))</f>
        <v/>
      </c>
      <c r="AC64">
        <f>IF(F64="MBWAY",cad!$I$9,IF(F64="ISCOM",cad!$I$10,IF(F64="IPAC",cad!$I$11,IF(F64="PIGIER",cad!$I$12,cad!$I$13))))</f>
        <v/>
      </c>
      <c r="AD64">
        <f>(O64*(1+W64)^S64+P64*((T64/U64)*(1+V64))^R64)*IFERROR(G64/Q64,0)*(J64+Y64)*K64*(L64+Z64)</f>
        <v/>
      </c>
      <c r="AE64">
        <f>IF(N64=1,AD64,0)</f>
        <v/>
      </c>
      <c r="AF64">
        <f>IF(N64=1,AD64,H64*(M64+AA64))</f>
        <v/>
      </c>
      <c r="AG64">
        <f>I64*(1+X64*AC64)</f>
        <v/>
      </c>
      <c r="AH64">
        <f>AF64*AG64+AE64*AB64</f>
        <v/>
      </c>
    </row>
    <row r="65">
      <c r="A65">
        <f>Moteur!D65</f>
        <v/>
      </c>
      <c r="B65">
        <f>Moteur!B65</f>
        <v/>
      </c>
      <c r="C65">
        <f>Moteur!F65</f>
        <v/>
      </c>
      <c r="D65">
        <f>Moteur!G65</f>
        <v/>
      </c>
      <c r="E65">
        <f>Moteur!H65</f>
        <v/>
      </c>
      <c r="F65">
        <f>Moteur!E65</f>
        <v/>
      </c>
      <c r="G65">
        <f>SUMIFS(Socle!$H$2:$H$175,Socle!$C$2:$C$175,A65,Socle!$D$2:$D$175,C65,Socle!$E$2:$E$175,D65,Socle!$F$2:$F$175,E65,Socle!$G$2:$G$175,"2026")</f>
        <v/>
      </c>
      <c r="H65">
        <f>SUMIFS(Socle!$N$2:$N$175,Socle!$C$2:$C$175,A65,Socle!$D$2:$D$175,C65,Socle!$E$2:$E$175,D65,Socle!$F$2:$F$175,E65,Socle!$G$2:$G$175,"2026")</f>
        <v/>
      </c>
      <c r="I65">
        <f>SUMIFS(Socle!$P$2:$P$175,Socle!$C$2:$C$175,A65,Socle!$D$2:$D$175,C65,Socle!$E$2:$E$175,D65,Socle!$F$2:$F$175,E65,Socle!$G$2:$G$175,"2026")</f>
        <v/>
      </c>
      <c r="J65">
        <f>SUMIFS(Socle!$W$2:$W$175,Socle!$C$2:$C$175,A65,Socle!$D$2:$D$175,C65,Socle!$E$2:$E$175,D65,Socle!$F$2:$F$175,E65,Socle!$G$2:$G$175,"2026")</f>
        <v/>
      </c>
      <c r="K65">
        <f>SUMIFS(Socle!$X$2:$X$175,Socle!$C$2:$C$175,A65,Socle!$D$2:$D$175,C65,Socle!$E$2:$E$175,D65,Socle!$F$2:$F$175,E65,Socle!$G$2:$G$175,"2026")</f>
        <v/>
      </c>
      <c r="L65">
        <f>SUMIFS(Socle!$Y$2:$Y$175,Socle!$C$2:$C$175,A65,Socle!$D$2:$D$175,C65,Socle!$E$2:$E$175,D65,Socle!$F$2:$F$175,E65,Socle!$G$2:$G$175,"2026")</f>
        <v/>
      </c>
      <c r="M65">
        <f>SUMIFS(Socle!$V$2:$V$175,Socle!$C$2:$C$175,A65,Socle!$D$2:$D$175,C65,Socle!$E$2:$E$175,D65,Socle!$F$2:$F$175,E65,Socle!$G$2:$G$175,"2026")</f>
        <v/>
      </c>
      <c r="N65">
        <f>IF(OR(D65="B1",D65="M1",D65="BTS1"),1,0)</f>
        <v/>
      </c>
      <c r="O65">
        <f>SUMIFS(Campagne!$D$2:$D$15,Campagne!$C$2:$C$15,A65)</f>
        <v/>
      </c>
      <c r="P65">
        <f>SUMIFS(Campagne!$E$2:$E$15,Campagne!$C$2:$C$15,A65)</f>
        <v/>
      </c>
      <c r="Q65">
        <f>SUMIFS(Campagne!$F$2:$F$15,Campagne!$C$2:$C$15,A65)</f>
        <v/>
      </c>
      <c r="R65">
        <f>SUMIFS(Campagne!$K$2:$K$15,Campagne!$C$2:$C$15,A65)</f>
        <v/>
      </c>
      <c r="S65">
        <f>SUMIFS(Campagne!$M$2:$M$15,Campagne!$C$2:$C$15,A65)</f>
        <v/>
      </c>
      <c r="T65">
        <f>SUMIFS(Pilotage!$Q$13:$Q$26,Pilotage!$F$13:$F$26,A65)</f>
        <v/>
      </c>
      <c r="U65">
        <f>SUMIFS(Pilotage!$N$13:$N$26,Pilotage!$F$13:$F$26,A65)</f>
        <v/>
      </c>
      <c r="V65">
        <f>IF(B65="V01",cad!$I$21,IF(B65="V02",cad!$J$21,cad!$K$21))</f>
        <v/>
      </c>
      <c r="W65">
        <f>IF(B65="V01",cad!$I$22,IF(B65="V02",cad!$J$22,cad!$K$22))</f>
        <v/>
      </c>
      <c r="X65">
        <f>IF(B65="V01",cad!$I$23,IF(B65="V02",cad!$J$23,cad!$K$23))</f>
        <v/>
      </c>
      <c r="Y65">
        <f>IF(B65="V01",cad!$I$24,IF(B65="V02",cad!$J$24,cad!$K$24))</f>
        <v/>
      </c>
      <c r="Z65">
        <f>IF(B65="V01",cad!$I$25,IF(B65="V02",cad!$J$25,cad!$K$25))</f>
        <v/>
      </c>
      <c r="AA65">
        <f>IF(B65="V01",cad!$I$26,IF(B65="V02",cad!$J$26,cad!$K$26))</f>
        <v/>
      </c>
      <c r="AB65">
        <f>IF(B65="V01",cad!$I$37,IF(B65="V02",cad!$J$37,cad!$K$37))</f>
        <v/>
      </c>
      <c r="AC65">
        <f>IF(F65="MBWAY",cad!$I$9,IF(F65="ISCOM",cad!$I$10,IF(F65="IPAC",cad!$I$11,IF(F65="PIGIER",cad!$I$12,cad!$I$13))))</f>
        <v/>
      </c>
      <c r="AD65">
        <f>(O65*(1+W65)^S65+P65*((T65/U65)*(1+V65))^R65)*IFERROR(G65/Q65,0)*(J65+Y65)*K65*(L65+Z65)</f>
        <v/>
      </c>
      <c r="AE65">
        <f>IF(N65=1,AD65,0)</f>
        <v/>
      </c>
      <c r="AF65">
        <f>IF(N65=1,AD65,H65*(M65+AA65))</f>
        <v/>
      </c>
      <c r="AG65">
        <f>I65*(1+X65*AC65)</f>
        <v/>
      </c>
      <c r="AH65">
        <f>AF65*AG65+AE65*AB65</f>
        <v/>
      </c>
    </row>
    <row r="66">
      <c r="A66">
        <f>Moteur!D66</f>
        <v/>
      </c>
      <c r="B66">
        <f>Moteur!B66</f>
        <v/>
      </c>
      <c r="C66">
        <f>Moteur!F66</f>
        <v/>
      </c>
      <c r="D66">
        <f>Moteur!G66</f>
        <v/>
      </c>
      <c r="E66">
        <f>Moteur!H66</f>
        <v/>
      </c>
      <c r="F66">
        <f>Moteur!E66</f>
        <v/>
      </c>
      <c r="G66">
        <f>SUMIFS(Socle!$H$2:$H$175,Socle!$C$2:$C$175,A66,Socle!$D$2:$D$175,C66,Socle!$E$2:$E$175,D66,Socle!$F$2:$F$175,E66,Socle!$G$2:$G$175,"2026")</f>
        <v/>
      </c>
      <c r="H66">
        <f>SUMIFS(Socle!$N$2:$N$175,Socle!$C$2:$C$175,A66,Socle!$D$2:$D$175,C66,Socle!$E$2:$E$175,D66,Socle!$F$2:$F$175,E66,Socle!$G$2:$G$175,"2026")</f>
        <v/>
      </c>
      <c r="I66">
        <f>SUMIFS(Socle!$P$2:$P$175,Socle!$C$2:$C$175,A66,Socle!$D$2:$D$175,C66,Socle!$E$2:$E$175,D66,Socle!$F$2:$F$175,E66,Socle!$G$2:$G$175,"2026")</f>
        <v/>
      </c>
      <c r="J66">
        <f>SUMIFS(Socle!$W$2:$W$175,Socle!$C$2:$C$175,A66,Socle!$D$2:$D$175,C66,Socle!$E$2:$E$175,D66,Socle!$F$2:$F$175,E66,Socle!$G$2:$G$175,"2026")</f>
        <v/>
      </c>
      <c r="K66">
        <f>SUMIFS(Socle!$X$2:$X$175,Socle!$C$2:$C$175,A66,Socle!$D$2:$D$175,C66,Socle!$E$2:$E$175,D66,Socle!$F$2:$F$175,E66,Socle!$G$2:$G$175,"2026")</f>
        <v/>
      </c>
      <c r="L66">
        <f>SUMIFS(Socle!$Y$2:$Y$175,Socle!$C$2:$C$175,A66,Socle!$D$2:$D$175,C66,Socle!$E$2:$E$175,D66,Socle!$F$2:$F$175,E66,Socle!$G$2:$G$175,"2026")</f>
        <v/>
      </c>
      <c r="M66">
        <f>SUMIFS(Socle!$V$2:$V$175,Socle!$C$2:$C$175,A66,Socle!$D$2:$D$175,C66,Socle!$E$2:$E$175,D66,Socle!$F$2:$F$175,E66,Socle!$G$2:$G$175,"2026")</f>
        <v/>
      </c>
      <c r="N66">
        <f>IF(OR(D66="B1",D66="M1",D66="BTS1"),1,0)</f>
        <v/>
      </c>
      <c r="O66">
        <f>SUMIFS(Campagne!$D$2:$D$15,Campagne!$C$2:$C$15,A66)</f>
        <v/>
      </c>
      <c r="P66">
        <f>SUMIFS(Campagne!$E$2:$E$15,Campagne!$C$2:$C$15,A66)</f>
        <v/>
      </c>
      <c r="Q66">
        <f>SUMIFS(Campagne!$F$2:$F$15,Campagne!$C$2:$C$15,A66)</f>
        <v/>
      </c>
      <c r="R66">
        <f>SUMIFS(Campagne!$K$2:$K$15,Campagne!$C$2:$C$15,A66)</f>
        <v/>
      </c>
      <c r="S66">
        <f>SUMIFS(Campagne!$M$2:$M$15,Campagne!$C$2:$C$15,A66)</f>
        <v/>
      </c>
      <c r="T66">
        <f>SUMIFS(Pilotage!$Q$13:$Q$26,Pilotage!$F$13:$F$26,A66)</f>
        <v/>
      </c>
      <c r="U66">
        <f>SUMIFS(Pilotage!$N$13:$N$26,Pilotage!$F$13:$F$26,A66)</f>
        <v/>
      </c>
      <c r="V66">
        <f>IF(B66="V01",cad!$I$21,IF(B66="V02",cad!$J$21,cad!$K$21))</f>
        <v/>
      </c>
      <c r="W66">
        <f>IF(B66="V01",cad!$I$22,IF(B66="V02",cad!$J$22,cad!$K$22))</f>
        <v/>
      </c>
      <c r="X66">
        <f>IF(B66="V01",cad!$I$23,IF(B66="V02",cad!$J$23,cad!$K$23))</f>
        <v/>
      </c>
      <c r="Y66">
        <f>IF(B66="V01",cad!$I$24,IF(B66="V02",cad!$J$24,cad!$K$24))</f>
        <v/>
      </c>
      <c r="Z66">
        <f>IF(B66="V01",cad!$I$25,IF(B66="V02",cad!$J$25,cad!$K$25))</f>
        <v/>
      </c>
      <c r="AA66">
        <f>IF(B66="V01",cad!$I$26,IF(B66="V02",cad!$J$26,cad!$K$26))</f>
        <v/>
      </c>
      <c r="AB66">
        <f>IF(B66="V01",cad!$I$37,IF(B66="V02",cad!$J$37,cad!$K$37))</f>
        <v/>
      </c>
      <c r="AC66">
        <f>IF(F66="MBWAY",cad!$I$9,IF(F66="ISCOM",cad!$I$10,IF(F66="IPAC",cad!$I$11,IF(F66="PIGIER",cad!$I$12,cad!$I$13))))</f>
        <v/>
      </c>
      <c r="AD66">
        <f>(O66*(1+W66)^S66+P66*((T66/U66)*(1+V66))^R66)*IFERROR(G66/Q66,0)*(J66+Y66)*K66*(L66+Z66)</f>
        <v/>
      </c>
      <c r="AE66">
        <f>IF(N66=1,AD66,0)</f>
        <v/>
      </c>
      <c r="AF66">
        <f>IF(N66=1,AD66,H66*(M66+AA66))</f>
        <v/>
      </c>
      <c r="AG66">
        <f>I66*(1+X66*AC66)</f>
        <v/>
      </c>
      <c r="AH66">
        <f>AF66*AG66+AE66*AB66</f>
        <v/>
      </c>
    </row>
    <row r="67">
      <c r="A67">
        <f>Moteur!D67</f>
        <v/>
      </c>
      <c r="B67">
        <f>Moteur!B67</f>
        <v/>
      </c>
      <c r="C67">
        <f>Moteur!F67</f>
        <v/>
      </c>
      <c r="D67">
        <f>Moteur!G67</f>
        <v/>
      </c>
      <c r="E67">
        <f>Moteur!H67</f>
        <v/>
      </c>
      <c r="F67">
        <f>Moteur!E67</f>
        <v/>
      </c>
      <c r="G67">
        <f>SUMIFS(Socle!$H$2:$H$175,Socle!$C$2:$C$175,A67,Socle!$D$2:$D$175,C67,Socle!$E$2:$E$175,D67,Socle!$F$2:$F$175,E67,Socle!$G$2:$G$175,"2026")</f>
        <v/>
      </c>
      <c r="H67">
        <f>SUMIFS(Socle!$N$2:$N$175,Socle!$C$2:$C$175,A67,Socle!$D$2:$D$175,C67,Socle!$E$2:$E$175,D67,Socle!$F$2:$F$175,E67,Socle!$G$2:$G$175,"2026")</f>
        <v/>
      </c>
      <c r="I67">
        <f>SUMIFS(Socle!$P$2:$P$175,Socle!$C$2:$C$175,A67,Socle!$D$2:$D$175,C67,Socle!$E$2:$E$175,D67,Socle!$F$2:$F$175,E67,Socle!$G$2:$G$175,"2026")</f>
        <v/>
      </c>
      <c r="J67">
        <f>SUMIFS(Socle!$W$2:$W$175,Socle!$C$2:$C$175,A67,Socle!$D$2:$D$175,C67,Socle!$E$2:$E$175,D67,Socle!$F$2:$F$175,E67,Socle!$G$2:$G$175,"2026")</f>
        <v/>
      </c>
      <c r="K67">
        <f>SUMIFS(Socle!$X$2:$X$175,Socle!$C$2:$C$175,A67,Socle!$D$2:$D$175,C67,Socle!$E$2:$E$175,D67,Socle!$F$2:$F$175,E67,Socle!$G$2:$G$175,"2026")</f>
        <v/>
      </c>
      <c r="L67">
        <f>SUMIFS(Socle!$Y$2:$Y$175,Socle!$C$2:$C$175,A67,Socle!$D$2:$D$175,C67,Socle!$E$2:$E$175,D67,Socle!$F$2:$F$175,E67,Socle!$G$2:$G$175,"2026")</f>
        <v/>
      </c>
      <c r="M67">
        <f>SUMIFS(Socle!$V$2:$V$175,Socle!$C$2:$C$175,A67,Socle!$D$2:$D$175,C67,Socle!$E$2:$E$175,D67,Socle!$F$2:$F$175,E67,Socle!$G$2:$G$175,"2026")</f>
        <v/>
      </c>
      <c r="N67">
        <f>IF(OR(D67="B1",D67="M1",D67="BTS1"),1,0)</f>
        <v/>
      </c>
      <c r="O67">
        <f>SUMIFS(Campagne!$D$2:$D$15,Campagne!$C$2:$C$15,A67)</f>
        <v/>
      </c>
      <c r="P67">
        <f>SUMIFS(Campagne!$E$2:$E$15,Campagne!$C$2:$C$15,A67)</f>
        <v/>
      </c>
      <c r="Q67">
        <f>SUMIFS(Campagne!$F$2:$F$15,Campagne!$C$2:$C$15,A67)</f>
        <v/>
      </c>
      <c r="R67">
        <f>SUMIFS(Campagne!$K$2:$K$15,Campagne!$C$2:$C$15,A67)</f>
        <v/>
      </c>
      <c r="S67">
        <f>SUMIFS(Campagne!$M$2:$M$15,Campagne!$C$2:$C$15,A67)</f>
        <v/>
      </c>
      <c r="T67">
        <f>SUMIFS(Pilotage!$Q$13:$Q$26,Pilotage!$F$13:$F$26,A67)</f>
        <v/>
      </c>
      <c r="U67">
        <f>SUMIFS(Pilotage!$N$13:$N$26,Pilotage!$F$13:$F$26,A67)</f>
        <v/>
      </c>
      <c r="V67">
        <f>IF(B67="V01",cad!$I$21,IF(B67="V02",cad!$J$21,cad!$K$21))</f>
        <v/>
      </c>
      <c r="W67">
        <f>IF(B67="V01",cad!$I$22,IF(B67="V02",cad!$J$22,cad!$K$22))</f>
        <v/>
      </c>
      <c r="X67">
        <f>IF(B67="V01",cad!$I$23,IF(B67="V02",cad!$J$23,cad!$K$23))</f>
        <v/>
      </c>
      <c r="Y67">
        <f>IF(B67="V01",cad!$I$24,IF(B67="V02",cad!$J$24,cad!$K$24))</f>
        <v/>
      </c>
      <c r="Z67">
        <f>IF(B67="V01",cad!$I$25,IF(B67="V02",cad!$J$25,cad!$K$25))</f>
        <v/>
      </c>
      <c r="AA67">
        <f>IF(B67="V01",cad!$I$26,IF(B67="V02",cad!$J$26,cad!$K$26))</f>
        <v/>
      </c>
      <c r="AB67">
        <f>IF(B67="V01",cad!$I$37,IF(B67="V02",cad!$J$37,cad!$K$37))</f>
        <v/>
      </c>
      <c r="AC67">
        <f>IF(F67="MBWAY",cad!$I$9,IF(F67="ISCOM",cad!$I$10,IF(F67="IPAC",cad!$I$11,IF(F67="PIGIER",cad!$I$12,cad!$I$13))))</f>
        <v/>
      </c>
      <c r="AD67">
        <f>(O67*(1+W67)^S67+P67*((T67/U67)*(1+V67))^R67)*IFERROR(G67/Q67,0)*(J67+Y67)*K67*(L67+Z67)</f>
        <v/>
      </c>
      <c r="AE67">
        <f>IF(N67=1,AD67,0)</f>
        <v/>
      </c>
      <c r="AF67">
        <f>IF(N67=1,AD67,H67*(M67+AA67))</f>
        <v/>
      </c>
      <c r="AG67">
        <f>I67*(1+X67*AC67)</f>
        <v/>
      </c>
      <c r="AH67">
        <f>AF67*AG67+AE67*AB67</f>
        <v/>
      </c>
    </row>
    <row r="68">
      <c r="A68">
        <f>Moteur!D68</f>
        <v/>
      </c>
      <c r="B68">
        <f>Moteur!B68</f>
        <v/>
      </c>
      <c r="C68">
        <f>Moteur!F68</f>
        <v/>
      </c>
      <c r="D68">
        <f>Moteur!G68</f>
        <v/>
      </c>
      <c r="E68">
        <f>Moteur!H68</f>
        <v/>
      </c>
      <c r="F68">
        <f>Moteur!E68</f>
        <v/>
      </c>
      <c r="G68">
        <f>SUMIFS(Socle!$H$2:$H$175,Socle!$C$2:$C$175,A68,Socle!$D$2:$D$175,C68,Socle!$E$2:$E$175,D68,Socle!$F$2:$F$175,E68,Socle!$G$2:$G$175,"2026")</f>
        <v/>
      </c>
      <c r="H68">
        <f>SUMIFS(Socle!$N$2:$N$175,Socle!$C$2:$C$175,A68,Socle!$D$2:$D$175,C68,Socle!$E$2:$E$175,D68,Socle!$F$2:$F$175,E68,Socle!$G$2:$G$175,"2026")</f>
        <v/>
      </c>
      <c r="I68">
        <f>SUMIFS(Socle!$P$2:$P$175,Socle!$C$2:$C$175,A68,Socle!$D$2:$D$175,C68,Socle!$E$2:$E$175,D68,Socle!$F$2:$F$175,E68,Socle!$G$2:$G$175,"2026")</f>
        <v/>
      </c>
      <c r="J68">
        <f>SUMIFS(Socle!$W$2:$W$175,Socle!$C$2:$C$175,A68,Socle!$D$2:$D$175,C68,Socle!$E$2:$E$175,D68,Socle!$F$2:$F$175,E68,Socle!$G$2:$G$175,"2026")</f>
        <v/>
      </c>
      <c r="K68">
        <f>SUMIFS(Socle!$X$2:$X$175,Socle!$C$2:$C$175,A68,Socle!$D$2:$D$175,C68,Socle!$E$2:$E$175,D68,Socle!$F$2:$F$175,E68,Socle!$G$2:$G$175,"2026")</f>
        <v/>
      </c>
      <c r="L68">
        <f>SUMIFS(Socle!$Y$2:$Y$175,Socle!$C$2:$C$175,A68,Socle!$D$2:$D$175,C68,Socle!$E$2:$E$175,D68,Socle!$F$2:$F$175,E68,Socle!$G$2:$G$175,"2026")</f>
        <v/>
      </c>
      <c r="M68">
        <f>SUMIFS(Socle!$V$2:$V$175,Socle!$C$2:$C$175,A68,Socle!$D$2:$D$175,C68,Socle!$E$2:$E$175,D68,Socle!$F$2:$F$175,E68,Socle!$G$2:$G$175,"2026")</f>
        <v/>
      </c>
      <c r="N68">
        <f>IF(OR(D68="B1",D68="M1",D68="BTS1"),1,0)</f>
        <v/>
      </c>
      <c r="O68">
        <f>SUMIFS(Campagne!$D$2:$D$15,Campagne!$C$2:$C$15,A68)</f>
        <v/>
      </c>
      <c r="P68">
        <f>SUMIFS(Campagne!$E$2:$E$15,Campagne!$C$2:$C$15,A68)</f>
        <v/>
      </c>
      <c r="Q68">
        <f>SUMIFS(Campagne!$F$2:$F$15,Campagne!$C$2:$C$15,A68)</f>
        <v/>
      </c>
      <c r="R68">
        <f>SUMIFS(Campagne!$K$2:$K$15,Campagne!$C$2:$C$15,A68)</f>
        <v/>
      </c>
      <c r="S68">
        <f>SUMIFS(Campagne!$M$2:$M$15,Campagne!$C$2:$C$15,A68)</f>
        <v/>
      </c>
      <c r="T68">
        <f>SUMIFS(Pilotage!$Q$13:$Q$26,Pilotage!$F$13:$F$26,A68)</f>
        <v/>
      </c>
      <c r="U68">
        <f>SUMIFS(Pilotage!$N$13:$N$26,Pilotage!$F$13:$F$26,A68)</f>
        <v/>
      </c>
      <c r="V68">
        <f>IF(B68="V01",cad!$I$21,IF(B68="V02",cad!$J$21,cad!$K$21))</f>
        <v/>
      </c>
      <c r="W68">
        <f>IF(B68="V01",cad!$I$22,IF(B68="V02",cad!$J$22,cad!$K$22))</f>
        <v/>
      </c>
      <c r="X68">
        <f>IF(B68="V01",cad!$I$23,IF(B68="V02",cad!$J$23,cad!$K$23))</f>
        <v/>
      </c>
      <c r="Y68">
        <f>IF(B68="V01",cad!$I$24,IF(B68="V02",cad!$J$24,cad!$K$24))</f>
        <v/>
      </c>
      <c r="Z68">
        <f>IF(B68="V01",cad!$I$25,IF(B68="V02",cad!$J$25,cad!$K$25))</f>
        <v/>
      </c>
      <c r="AA68">
        <f>IF(B68="V01",cad!$I$26,IF(B68="V02",cad!$J$26,cad!$K$26))</f>
        <v/>
      </c>
      <c r="AB68">
        <f>IF(B68="V01",cad!$I$37,IF(B68="V02",cad!$J$37,cad!$K$37))</f>
        <v/>
      </c>
      <c r="AC68">
        <f>IF(F68="MBWAY",cad!$I$9,IF(F68="ISCOM",cad!$I$10,IF(F68="IPAC",cad!$I$11,IF(F68="PIGIER",cad!$I$12,cad!$I$13))))</f>
        <v/>
      </c>
      <c r="AD68">
        <f>(O68*(1+W68)^S68+P68*((T68/U68)*(1+V68))^R68)*IFERROR(G68/Q68,0)*(J68+Y68)*K68*(L68+Z68)</f>
        <v/>
      </c>
      <c r="AE68">
        <f>IF(N68=1,AD68,0)</f>
        <v/>
      </c>
      <c r="AF68">
        <f>IF(N68=1,AD68,H68*(M68+AA68))</f>
        <v/>
      </c>
      <c r="AG68">
        <f>I68*(1+X68*AC68)</f>
        <v/>
      </c>
      <c r="AH68">
        <f>AF68*AG68+AE68*AB68</f>
        <v/>
      </c>
    </row>
    <row r="69">
      <c r="A69">
        <f>Moteur!D69</f>
        <v/>
      </c>
      <c r="B69">
        <f>Moteur!B69</f>
        <v/>
      </c>
      <c r="C69">
        <f>Moteur!F69</f>
        <v/>
      </c>
      <c r="D69">
        <f>Moteur!G69</f>
        <v/>
      </c>
      <c r="E69">
        <f>Moteur!H69</f>
        <v/>
      </c>
      <c r="F69">
        <f>Moteur!E69</f>
        <v/>
      </c>
      <c r="G69">
        <f>SUMIFS(Socle!$H$2:$H$175,Socle!$C$2:$C$175,A69,Socle!$D$2:$D$175,C69,Socle!$E$2:$E$175,D69,Socle!$F$2:$F$175,E69,Socle!$G$2:$G$175,"2026")</f>
        <v/>
      </c>
      <c r="H69">
        <f>SUMIFS(Socle!$N$2:$N$175,Socle!$C$2:$C$175,A69,Socle!$D$2:$D$175,C69,Socle!$E$2:$E$175,D69,Socle!$F$2:$F$175,E69,Socle!$G$2:$G$175,"2026")</f>
        <v/>
      </c>
      <c r="I69">
        <f>SUMIFS(Socle!$P$2:$P$175,Socle!$C$2:$C$175,A69,Socle!$D$2:$D$175,C69,Socle!$E$2:$E$175,D69,Socle!$F$2:$F$175,E69,Socle!$G$2:$G$175,"2026")</f>
        <v/>
      </c>
      <c r="J69">
        <f>SUMIFS(Socle!$W$2:$W$175,Socle!$C$2:$C$175,A69,Socle!$D$2:$D$175,C69,Socle!$E$2:$E$175,D69,Socle!$F$2:$F$175,E69,Socle!$G$2:$G$175,"2026")</f>
        <v/>
      </c>
      <c r="K69">
        <f>SUMIFS(Socle!$X$2:$X$175,Socle!$C$2:$C$175,A69,Socle!$D$2:$D$175,C69,Socle!$E$2:$E$175,D69,Socle!$F$2:$F$175,E69,Socle!$G$2:$G$175,"2026")</f>
        <v/>
      </c>
      <c r="L69">
        <f>SUMIFS(Socle!$Y$2:$Y$175,Socle!$C$2:$C$175,A69,Socle!$D$2:$D$175,C69,Socle!$E$2:$E$175,D69,Socle!$F$2:$F$175,E69,Socle!$G$2:$G$175,"2026")</f>
        <v/>
      </c>
      <c r="M69">
        <f>SUMIFS(Socle!$V$2:$V$175,Socle!$C$2:$C$175,A69,Socle!$D$2:$D$175,C69,Socle!$E$2:$E$175,D69,Socle!$F$2:$F$175,E69,Socle!$G$2:$G$175,"2026")</f>
        <v/>
      </c>
      <c r="N69">
        <f>IF(OR(D69="B1",D69="M1",D69="BTS1"),1,0)</f>
        <v/>
      </c>
      <c r="O69">
        <f>SUMIFS(Campagne!$D$2:$D$15,Campagne!$C$2:$C$15,A69)</f>
        <v/>
      </c>
      <c r="P69">
        <f>SUMIFS(Campagne!$E$2:$E$15,Campagne!$C$2:$C$15,A69)</f>
        <v/>
      </c>
      <c r="Q69">
        <f>SUMIFS(Campagne!$F$2:$F$15,Campagne!$C$2:$C$15,A69)</f>
        <v/>
      </c>
      <c r="R69">
        <f>SUMIFS(Campagne!$K$2:$K$15,Campagne!$C$2:$C$15,A69)</f>
        <v/>
      </c>
      <c r="S69">
        <f>SUMIFS(Campagne!$M$2:$M$15,Campagne!$C$2:$C$15,A69)</f>
        <v/>
      </c>
      <c r="T69">
        <f>SUMIFS(Pilotage!$Q$13:$Q$26,Pilotage!$F$13:$F$26,A69)</f>
        <v/>
      </c>
      <c r="U69">
        <f>SUMIFS(Pilotage!$N$13:$N$26,Pilotage!$F$13:$F$26,A69)</f>
        <v/>
      </c>
      <c r="V69">
        <f>IF(B69="V01",cad!$I$21,IF(B69="V02",cad!$J$21,cad!$K$21))</f>
        <v/>
      </c>
      <c r="W69">
        <f>IF(B69="V01",cad!$I$22,IF(B69="V02",cad!$J$22,cad!$K$22))</f>
        <v/>
      </c>
      <c r="X69">
        <f>IF(B69="V01",cad!$I$23,IF(B69="V02",cad!$J$23,cad!$K$23))</f>
        <v/>
      </c>
      <c r="Y69">
        <f>IF(B69="V01",cad!$I$24,IF(B69="V02",cad!$J$24,cad!$K$24))</f>
        <v/>
      </c>
      <c r="Z69">
        <f>IF(B69="V01",cad!$I$25,IF(B69="V02",cad!$J$25,cad!$K$25))</f>
        <v/>
      </c>
      <c r="AA69">
        <f>IF(B69="V01",cad!$I$26,IF(B69="V02",cad!$J$26,cad!$K$26))</f>
        <v/>
      </c>
      <c r="AB69">
        <f>IF(B69="V01",cad!$I$37,IF(B69="V02",cad!$J$37,cad!$K$37))</f>
        <v/>
      </c>
      <c r="AC69">
        <f>IF(F69="MBWAY",cad!$I$9,IF(F69="ISCOM",cad!$I$10,IF(F69="IPAC",cad!$I$11,IF(F69="PIGIER",cad!$I$12,cad!$I$13))))</f>
        <v/>
      </c>
      <c r="AD69">
        <f>(O69*(1+W69)^S69+P69*((T69/U69)*(1+V69))^R69)*IFERROR(G69/Q69,0)*(J69+Y69)*K69*(L69+Z69)</f>
        <v/>
      </c>
      <c r="AE69">
        <f>IF(N69=1,AD69,0)</f>
        <v/>
      </c>
      <c r="AF69">
        <f>IF(N69=1,AD69,H69*(M69+AA69))</f>
        <v/>
      </c>
      <c r="AG69">
        <f>I69*(1+X69*AC69)</f>
        <v/>
      </c>
      <c r="AH69">
        <f>AF69*AG69+AE69*AB69</f>
        <v/>
      </c>
    </row>
    <row r="70">
      <c r="A70">
        <f>Moteur!D70</f>
        <v/>
      </c>
      <c r="B70">
        <f>Moteur!B70</f>
        <v/>
      </c>
      <c r="C70">
        <f>Moteur!F70</f>
        <v/>
      </c>
      <c r="D70">
        <f>Moteur!G70</f>
        <v/>
      </c>
      <c r="E70">
        <f>Moteur!H70</f>
        <v/>
      </c>
      <c r="F70">
        <f>Moteur!E70</f>
        <v/>
      </c>
      <c r="G70">
        <f>SUMIFS(Socle!$H$2:$H$175,Socle!$C$2:$C$175,A70,Socle!$D$2:$D$175,C70,Socle!$E$2:$E$175,D70,Socle!$F$2:$F$175,E70,Socle!$G$2:$G$175,"2026")</f>
        <v/>
      </c>
      <c r="H70">
        <f>SUMIFS(Socle!$N$2:$N$175,Socle!$C$2:$C$175,A70,Socle!$D$2:$D$175,C70,Socle!$E$2:$E$175,D70,Socle!$F$2:$F$175,E70,Socle!$G$2:$G$175,"2026")</f>
        <v/>
      </c>
      <c r="I70">
        <f>SUMIFS(Socle!$P$2:$P$175,Socle!$C$2:$C$175,A70,Socle!$D$2:$D$175,C70,Socle!$E$2:$E$175,D70,Socle!$F$2:$F$175,E70,Socle!$G$2:$G$175,"2026")</f>
        <v/>
      </c>
      <c r="J70">
        <f>SUMIFS(Socle!$W$2:$W$175,Socle!$C$2:$C$175,A70,Socle!$D$2:$D$175,C70,Socle!$E$2:$E$175,D70,Socle!$F$2:$F$175,E70,Socle!$G$2:$G$175,"2026")</f>
        <v/>
      </c>
      <c r="K70">
        <f>SUMIFS(Socle!$X$2:$X$175,Socle!$C$2:$C$175,A70,Socle!$D$2:$D$175,C70,Socle!$E$2:$E$175,D70,Socle!$F$2:$F$175,E70,Socle!$G$2:$G$175,"2026")</f>
        <v/>
      </c>
      <c r="L70">
        <f>SUMIFS(Socle!$Y$2:$Y$175,Socle!$C$2:$C$175,A70,Socle!$D$2:$D$175,C70,Socle!$E$2:$E$175,D70,Socle!$F$2:$F$175,E70,Socle!$G$2:$G$175,"2026")</f>
        <v/>
      </c>
      <c r="M70">
        <f>SUMIFS(Socle!$V$2:$V$175,Socle!$C$2:$C$175,A70,Socle!$D$2:$D$175,C70,Socle!$E$2:$E$175,D70,Socle!$F$2:$F$175,E70,Socle!$G$2:$G$175,"2026")</f>
        <v/>
      </c>
      <c r="N70">
        <f>IF(OR(D70="B1",D70="M1",D70="BTS1"),1,0)</f>
        <v/>
      </c>
      <c r="O70">
        <f>SUMIFS(Campagne!$D$2:$D$15,Campagne!$C$2:$C$15,A70)</f>
        <v/>
      </c>
      <c r="P70">
        <f>SUMIFS(Campagne!$E$2:$E$15,Campagne!$C$2:$C$15,A70)</f>
        <v/>
      </c>
      <c r="Q70">
        <f>SUMIFS(Campagne!$F$2:$F$15,Campagne!$C$2:$C$15,A70)</f>
        <v/>
      </c>
      <c r="R70">
        <f>SUMIFS(Campagne!$K$2:$K$15,Campagne!$C$2:$C$15,A70)</f>
        <v/>
      </c>
      <c r="S70">
        <f>SUMIFS(Campagne!$M$2:$M$15,Campagne!$C$2:$C$15,A70)</f>
        <v/>
      </c>
      <c r="T70">
        <f>SUMIFS(Pilotage!$Q$13:$Q$26,Pilotage!$F$13:$F$26,A70)</f>
        <v/>
      </c>
      <c r="U70">
        <f>SUMIFS(Pilotage!$N$13:$N$26,Pilotage!$F$13:$F$26,A70)</f>
        <v/>
      </c>
      <c r="V70">
        <f>IF(B70="V01",cad!$I$21,IF(B70="V02",cad!$J$21,cad!$K$21))</f>
        <v/>
      </c>
      <c r="W70">
        <f>IF(B70="V01",cad!$I$22,IF(B70="V02",cad!$J$22,cad!$K$22))</f>
        <v/>
      </c>
      <c r="X70">
        <f>IF(B70="V01",cad!$I$23,IF(B70="V02",cad!$J$23,cad!$K$23))</f>
        <v/>
      </c>
      <c r="Y70">
        <f>IF(B70="V01",cad!$I$24,IF(B70="V02",cad!$J$24,cad!$K$24))</f>
        <v/>
      </c>
      <c r="Z70">
        <f>IF(B70="V01",cad!$I$25,IF(B70="V02",cad!$J$25,cad!$K$25))</f>
        <v/>
      </c>
      <c r="AA70">
        <f>IF(B70="V01",cad!$I$26,IF(B70="V02",cad!$J$26,cad!$K$26))</f>
        <v/>
      </c>
      <c r="AB70">
        <f>IF(B70="V01",cad!$I$37,IF(B70="V02",cad!$J$37,cad!$K$37))</f>
        <v/>
      </c>
      <c r="AC70">
        <f>IF(F70="MBWAY",cad!$I$9,IF(F70="ISCOM",cad!$I$10,IF(F70="IPAC",cad!$I$11,IF(F70="PIGIER",cad!$I$12,cad!$I$13))))</f>
        <v/>
      </c>
      <c r="AD70">
        <f>(O70*(1+W70)^S70+P70*((T70/U70)*(1+V70))^R70)*IFERROR(G70/Q70,0)*(J70+Y70)*K70*(L70+Z70)</f>
        <v/>
      </c>
      <c r="AE70">
        <f>IF(N70=1,AD70,0)</f>
        <v/>
      </c>
      <c r="AF70">
        <f>IF(N70=1,AD70,H70*(M70+AA70))</f>
        <v/>
      </c>
      <c r="AG70">
        <f>I70*(1+X70*AC70)</f>
        <v/>
      </c>
      <c r="AH70">
        <f>AF70*AG70+AE70*AB70</f>
        <v/>
      </c>
    </row>
    <row r="71">
      <c r="A71">
        <f>Moteur!D71</f>
        <v/>
      </c>
      <c r="B71">
        <f>Moteur!B71</f>
        <v/>
      </c>
      <c r="C71">
        <f>Moteur!F71</f>
        <v/>
      </c>
      <c r="D71">
        <f>Moteur!G71</f>
        <v/>
      </c>
      <c r="E71">
        <f>Moteur!H71</f>
        <v/>
      </c>
      <c r="F71">
        <f>Moteur!E71</f>
        <v/>
      </c>
      <c r="G71">
        <f>SUMIFS(Socle!$H$2:$H$175,Socle!$C$2:$C$175,A71,Socle!$D$2:$D$175,C71,Socle!$E$2:$E$175,D71,Socle!$F$2:$F$175,E71,Socle!$G$2:$G$175,"2026")</f>
        <v/>
      </c>
      <c r="H71">
        <f>SUMIFS(Socle!$N$2:$N$175,Socle!$C$2:$C$175,A71,Socle!$D$2:$D$175,C71,Socle!$E$2:$E$175,D71,Socle!$F$2:$F$175,E71,Socle!$G$2:$G$175,"2026")</f>
        <v/>
      </c>
      <c r="I71">
        <f>SUMIFS(Socle!$P$2:$P$175,Socle!$C$2:$C$175,A71,Socle!$D$2:$D$175,C71,Socle!$E$2:$E$175,D71,Socle!$F$2:$F$175,E71,Socle!$G$2:$G$175,"2026")</f>
        <v/>
      </c>
      <c r="J71">
        <f>SUMIFS(Socle!$W$2:$W$175,Socle!$C$2:$C$175,A71,Socle!$D$2:$D$175,C71,Socle!$E$2:$E$175,D71,Socle!$F$2:$F$175,E71,Socle!$G$2:$G$175,"2026")</f>
        <v/>
      </c>
      <c r="K71">
        <f>SUMIFS(Socle!$X$2:$X$175,Socle!$C$2:$C$175,A71,Socle!$D$2:$D$175,C71,Socle!$E$2:$E$175,D71,Socle!$F$2:$F$175,E71,Socle!$G$2:$G$175,"2026")</f>
        <v/>
      </c>
      <c r="L71">
        <f>SUMIFS(Socle!$Y$2:$Y$175,Socle!$C$2:$C$175,A71,Socle!$D$2:$D$175,C71,Socle!$E$2:$E$175,D71,Socle!$F$2:$F$175,E71,Socle!$G$2:$G$175,"2026")</f>
        <v/>
      </c>
      <c r="M71">
        <f>SUMIFS(Socle!$V$2:$V$175,Socle!$C$2:$C$175,A71,Socle!$D$2:$D$175,C71,Socle!$E$2:$E$175,D71,Socle!$F$2:$F$175,E71,Socle!$G$2:$G$175,"2026")</f>
        <v/>
      </c>
      <c r="N71">
        <f>IF(OR(D71="B1",D71="M1",D71="BTS1"),1,0)</f>
        <v/>
      </c>
      <c r="O71">
        <f>SUMIFS(Campagne!$D$2:$D$15,Campagne!$C$2:$C$15,A71)</f>
        <v/>
      </c>
      <c r="P71">
        <f>SUMIFS(Campagne!$E$2:$E$15,Campagne!$C$2:$C$15,A71)</f>
        <v/>
      </c>
      <c r="Q71">
        <f>SUMIFS(Campagne!$F$2:$F$15,Campagne!$C$2:$C$15,A71)</f>
        <v/>
      </c>
      <c r="R71">
        <f>SUMIFS(Campagne!$K$2:$K$15,Campagne!$C$2:$C$15,A71)</f>
        <v/>
      </c>
      <c r="S71">
        <f>SUMIFS(Campagne!$M$2:$M$15,Campagne!$C$2:$C$15,A71)</f>
        <v/>
      </c>
      <c r="T71">
        <f>SUMIFS(Pilotage!$Q$13:$Q$26,Pilotage!$F$13:$F$26,A71)</f>
        <v/>
      </c>
      <c r="U71">
        <f>SUMIFS(Pilotage!$N$13:$N$26,Pilotage!$F$13:$F$26,A71)</f>
        <v/>
      </c>
      <c r="V71">
        <f>IF(B71="V01",cad!$I$21,IF(B71="V02",cad!$J$21,cad!$K$21))</f>
        <v/>
      </c>
      <c r="W71">
        <f>IF(B71="V01",cad!$I$22,IF(B71="V02",cad!$J$22,cad!$K$22))</f>
        <v/>
      </c>
      <c r="X71">
        <f>IF(B71="V01",cad!$I$23,IF(B71="V02",cad!$J$23,cad!$K$23))</f>
        <v/>
      </c>
      <c r="Y71">
        <f>IF(B71="V01",cad!$I$24,IF(B71="V02",cad!$J$24,cad!$K$24))</f>
        <v/>
      </c>
      <c r="Z71">
        <f>IF(B71="V01",cad!$I$25,IF(B71="V02",cad!$J$25,cad!$K$25))</f>
        <v/>
      </c>
      <c r="AA71">
        <f>IF(B71="V01",cad!$I$26,IF(B71="V02",cad!$J$26,cad!$K$26))</f>
        <v/>
      </c>
      <c r="AB71">
        <f>IF(B71="V01",cad!$I$37,IF(B71="V02",cad!$J$37,cad!$K$37))</f>
        <v/>
      </c>
      <c r="AC71">
        <f>IF(F71="MBWAY",cad!$I$9,IF(F71="ISCOM",cad!$I$10,IF(F71="IPAC",cad!$I$11,IF(F71="PIGIER",cad!$I$12,cad!$I$13))))</f>
        <v/>
      </c>
      <c r="AD71">
        <f>(O71*(1+W71)^S71+P71*((T71/U71)*(1+V71))^R71)*IFERROR(G71/Q71,0)*(J71+Y71)*K71*(L71+Z71)</f>
        <v/>
      </c>
      <c r="AE71">
        <f>IF(N71=1,AD71,0)</f>
        <v/>
      </c>
      <c r="AF71">
        <f>IF(N71=1,AD71,H71*(M71+AA71))</f>
        <v/>
      </c>
      <c r="AG71">
        <f>I71*(1+X71*AC71)</f>
        <v/>
      </c>
      <c r="AH71">
        <f>AF71*AG71+AE71*AB71</f>
        <v/>
      </c>
    </row>
    <row r="72">
      <c r="A72">
        <f>Moteur!D72</f>
        <v/>
      </c>
      <c r="B72">
        <f>Moteur!B72</f>
        <v/>
      </c>
      <c r="C72">
        <f>Moteur!F72</f>
        <v/>
      </c>
      <c r="D72">
        <f>Moteur!G72</f>
        <v/>
      </c>
      <c r="E72">
        <f>Moteur!H72</f>
        <v/>
      </c>
      <c r="F72">
        <f>Moteur!E72</f>
        <v/>
      </c>
      <c r="G72">
        <f>SUMIFS(Socle!$H$2:$H$175,Socle!$C$2:$C$175,A72,Socle!$D$2:$D$175,C72,Socle!$E$2:$E$175,D72,Socle!$F$2:$F$175,E72,Socle!$G$2:$G$175,"2026")</f>
        <v/>
      </c>
      <c r="H72">
        <f>SUMIFS(Socle!$N$2:$N$175,Socle!$C$2:$C$175,A72,Socle!$D$2:$D$175,C72,Socle!$E$2:$E$175,D72,Socle!$F$2:$F$175,E72,Socle!$G$2:$G$175,"2026")</f>
        <v/>
      </c>
      <c r="I72">
        <f>SUMIFS(Socle!$P$2:$P$175,Socle!$C$2:$C$175,A72,Socle!$D$2:$D$175,C72,Socle!$E$2:$E$175,D72,Socle!$F$2:$F$175,E72,Socle!$G$2:$G$175,"2026")</f>
        <v/>
      </c>
      <c r="J72">
        <f>SUMIFS(Socle!$W$2:$W$175,Socle!$C$2:$C$175,A72,Socle!$D$2:$D$175,C72,Socle!$E$2:$E$175,D72,Socle!$F$2:$F$175,E72,Socle!$G$2:$G$175,"2026")</f>
        <v/>
      </c>
      <c r="K72">
        <f>SUMIFS(Socle!$X$2:$X$175,Socle!$C$2:$C$175,A72,Socle!$D$2:$D$175,C72,Socle!$E$2:$E$175,D72,Socle!$F$2:$F$175,E72,Socle!$G$2:$G$175,"2026")</f>
        <v/>
      </c>
      <c r="L72">
        <f>SUMIFS(Socle!$Y$2:$Y$175,Socle!$C$2:$C$175,A72,Socle!$D$2:$D$175,C72,Socle!$E$2:$E$175,D72,Socle!$F$2:$F$175,E72,Socle!$G$2:$G$175,"2026")</f>
        <v/>
      </c>
      <c r="M72">
        <f>SUMIFS(Socle!$V$2:$V$175,Socle!$C$2:$C$175,A72,Socle!$D$2:$D$175,C72,Socle!$E$2:$E$175,D72,Socle!$F$2:$F$175,E72,Socle!$G$2:$G$175,"2026")</f>
        <v/>
      </c>
      <c r="N72">
        <f>IF(OR(D72="B1",D72="M1",D72="BTS1"),1,0)</f>
        <v/>
      </c>
      <c r="O72">
        <f>SUMIFS(Campagne!$D$2:$D$15,Campagne!$C$2:$C$15,A72)</f>
        <v/>
      </c>
      <c r="P72">
        <f>SUMIFS(Campagne!$E$2:$E$15,Campagne!$C$2:$C$15,A72)</f>
        <v/>
      </c>
      <c r="Q72">
        <f>SUMIFS(Campagne!$F$2:$F$15,Campagne!$C$2:$C$15,A72)</f>
        <v/>
      </c>
      <c r="R72">
        <f>SUMIFS(Campagne!$K$2:$K$15,Campagne!$C$2:$C$15,A72)</f>
        <v/>
      </c>
      <c r="S72">
        <f>SUMIFS(Campagne!$M$2:$M$15,Campagne!$C$2:$C$15,A72)</f>
        <v/>
      </c>
      <c r="T72">
        <f>SUMIFS(Pilotage!$Q$13:$Q$26,Pilotage!$F$13:$F$26,A72)</f>
        <v/>
      </c>
      <c r="U72">
        <f>SUMIFS(Pilotage!$N$13:$N$26,Pilotage!$F$13:$F$26,A72)</f>
        <v/>
      </c>
      <c r="V72">
        <f>IF(B72="V01",cad!$I$21,IF(B72="V02",cad!$J$21,cad!$K$21))</f>
        <v/>
      </c>
      <c r="W72">
        <f>IF(B72="V01",cad!$I$22,IF(B72="V02",cad!$J$22,cad!$K$22))</f>
        <v/>
      </c>
      <c r="X72">
        <f>IF(B72="V01",cad!$I$23,IF(B72="V02",cad!$J$23,cad!$K$23))</f>
        <v/>
      </c>
      <c r="Y72">
        <f>IF(B72="V01",cad!$I$24,IF(B72="V02",cad!$J$24,cad!$K$24))</f>
        <v/>
      </c>
      <c r="Z72">
        <f>IF(B72="V01",cad!$I$25,IF(B72="V02",cad!$J$25,cad!$K$25))</f>
        <v/>
      </c>
      <c r="AA72">
        <f>IF(B72="V01",cad!$I$26,IF(B72="V02",cad!$J$26,cad!$K$26))</f>
        <v/>
      </c>
      <c r="AB72">
        <f>IF(B72="V01",cad!$I$37,IF(B72="V02",cad!$J$37,cad!$K$37))</f>
        <v/>
      </c>
      <c r="AC72">
        <f>IF(F72="MBWAY",cad!$I$9,IF(F72="ISCOM",cad!$I$10,IF(F72="IPAC",cad!$I$11,IF(F72="PIGIER",cad!$I$12,cad!$I$13))))</f>
        <v/>
      </c>
      <c r="AD72">
        <f>(O72*(1+W72)^S72+P72*((T72/U72)*(1+V72))^R72)*IFERROR(G72/Q72,0)*(J72+Y72)*K72*(L72+Z72)</f>
        <v/>
      </c>
      <c r="AE72">
        <f>IF(N72=1,AD72,0)</f>
        <v/>
      </c>
      <c r="AF72">
        <f>IF(N72=1,AD72,H72*(M72+AA72))</f>
        <v/>
      </c>
      <c r="AG72">
        <f>I72*(1+X72*AC72)</f>
        <v/>
      </c>
      <c r="AH72">
        <f>AF72*AG72+AE72*AB72</f>
        <v/>
      </c>
    </row>
    <row r="73">
      <c r="A73">
        <f>Moteur!D73</f>
        <v/>
      </c>
      <c r="B73">
        <f>Moteur!B73</f>
        <v/>
      </c>
      <c r="C73">
        <f>Moteur!F73</f>
        <v/>
      </c>
      <c r="D73">
        <f>Moteur!G73</f>
        <v/>
      </c>
      <c r="E73">
        <f>Moteur!H73</f>
        <v/>
      </c>
      <c r="F73">
        <f>Moteur!E73</f>
        <v/>
      </c>
      <c r="G73">
        <f>SUMIFS(Socle!$H$2:$H$175,Socle!$C$2:$C$175,A73,Socle!$D$2:$D$175,C73,Socle!$E$2:$E$175,D73,Socle!$F$2:$F$175,E73,Socle!$G$2:$G$175,"2026")</f>
        <v/>
      </c>
      <c r="H73">
        <f>SUMIFS(Socle!$N$2:$N$175,Socle!$C$2:$C$175,A73,Socle!$D$2:$D$175,C73,Socle!$E$2:$E$175,D73,Socle!$F$2:$F$175,E73,Socle!$G$2:$G$175,"2026")</f>
        <v/>
      </c>
      <c r="I73">
        <f>SUMIFS(Socle!$P$2:$P$175,Socle!$C$2:$C$175,A73,Socle!$D$2:$D$175,C73,Socle!$E$2:$E$175,D73,Socle!$F$2:$F$175,E73,Socle!$G$2:$G$175,"2026")</f>
        <v/>
      </c>
      <c r="J73">
        <f>SUMIFS(Socle!$W$2:$W$175,Socle!$C$2:$C$175,A73,Socle!$D$2:$D$175,C73,Socle!$E$2:$E$175,D73,Socle!$F$2:$F$175,E73,Socle!$G$2:$G$175,"2026")</f>
        <v/>
      </c>
      <c r="K73">
        <f>SUMIFS(Socle!$X$2:$X$175,Socle!$C$2:$C$175,A73,Socle!$D$2:$D$175,C73,Socle!$E$2:$E$175,D73,Socle!$F$2:$F$175,E73,Socle!$G$2:$G$175,"2026")</f>
        <v/>
      </c>
      <c r="L73">
        <f>SUMIFS(Socle!$Y$2:$Y$175,Socle!$C$2:$C$175,A73,Socle!$D$2:$D$175,C73,Socle!$E$2:$E$175,D73,Socle!$F$2:$F$175,E73,Socle!$G$2:$G$175,"2026")</f>
        <v/>
      </c>
      <c r="M73">
        <f>SUMIFS(Socle!$V$2:$V$175,Socle!$C$2:$C$175,A73,Socle!$D$2:$D$175,C73,Socle!$E$2:$E$175,D73,Socle!$F$2:$F$175,E73,Socle!$G$2:$G$175,"2026")</f>
        <v/>
      </c>
      <c r="N73">
        <f>IF(OR(D73="B1",D73="M1",D73="BTS1"),1,0)</f>
        <v/>
      </c>
      <c r="O73">
        <f>SUMIFS(Campagne!$D$2:$D$15,Campagne!$C$2:$C$15,A73)</f>
        <v/>
      </c>
      <c r="P73">
        <f>SUMIFS(Campagne!$E$2:$E$15,Campagne!$C$2:$C$15,A73)</f>
        <v/>
      </c>
      <c r="Q73">
        <f>SUMIFS(Campagne!$F$2:$F$15,Campagne!$C$2:$C$15,A73)</f>
        <v/>
      </c>
      <c r="R73">
        <f>SUMIFS(Campagne!$K$2:$K$15,Campagne!$C$2:$C$15,A73)</f>
        <v/>
      </c>
      <c r="S73">
        <f>SUMIFS(Campagne!$M$2:$M$15,Campagne!$C$2:$C$15,A73)</f>
        <v/>
      </c>
      <c r="T73">
        <f>SUMIFS(Pilotage!$Q$13:$Q$26,Pilotage!$F$13:$F$26,A73)</f>
        <v/>
      </c>
      <c r="U73">
        <f>SUMIFS(Pilotage!$N$13:$N$26,Pilotage!$F$13:$F$26,A73)</f>
        <v/>
      </c>
      <c r="V73">
        <f>IF(B73="V01",cad!$I$21,IF(B73="V02",cad!$J$21,cad!$K$21))</f>
        <v/>
      </c>
      <c r="W73">
        <f>IF(B73="V01",cad!$I$22,IF(B73="V02",cad!$J$22,cad!$K$22))</f>
        <v/>
      </c>
      <c r="X73">
        <f>IF(B73="V01",cad!$I$23,IF(B73="V02",cad!$J$23,cad!$K$23))</f>
        <v/>
      </c>
      <c r="Y73">
        <f>IF(B73="V01",cad!$I$24,IF(B73="V02",cad!$J$24,cad!$K$24))</f>
        <v/>
      </c>
      <c r="Z73">
        <f>IF(B73="V01",cad!$I$25,IF(B73="V02",cad!$J$25,cad!$K$25))</f>
        <v/>
      </c>
      <c r="AA73">
        <f>IF(B73="V01",cad!$I$26,IF(B73="V02",cad!$J$26,cad!$K$26))</f>
        <v/>
      </c>
      <c r="AB73">
        <f>IF(B73="V01",cad!$I$37,IF(B73="V02",cad!$J$37,cad!$K$37))</f>
        <v/>
      </c>
      <c r="AC73">
        <f>IF(F73="MBWAY",cad!$I$9,IF(F73="ISCOM",cad!$I$10,IF(F73="IPAC",cad!$I$11,IF(F73="PIGIER",cad!$I$12,cad!$I$13))))</f>
        <v/>
      </c>
      <c r="AD73">
        <f>(O73*(1+W73)^S73+P73*((T73/U73)*(1+V73))^R73)*IFERROR(G73/Q73,0)*(J73+Y73)*K73*(L73+Z73)</f>
        <v/>
      </c>
      <c r="AE73">
        <f>IF(N73=1,AD73,0)</f>
        <v/>
      </c>
      <c r="AF73">
        <f>IF(N73=1,AD73,H73*(M73+AA73))</f>
        <v/>
      </c>
      <c r="AG73">
        <f>I73*(1+X73*AC73)</f>
        <v/>
      </c>
      <c r="AH73">
        <f>AF73*AG73+AE73*AB73</f>
        <v/>
      </c>
    </row>
    <row r="74">
      <c r="A74">
        <f>Moteur!D74</f>
        <v/>
      </c>
      <c r="B74">
        <f>Moteur!B74</f>
        <v/>
      </c>
      <c r="C74">
        <f>Moteur!F74</f>
        <v/>
      </c>
      <c r="D74">
        <f>Moteur!G74</f>
        <v/>
      </c>
      <c r="E74">
        <f>Moteur!H74</f>
        <v/>
      </c>
      <c r="F74">
        <f>Moteur!E74</f>
        <v/>
      </c>
      <c r="G74">
        <f>SUMIFS(Socle!$H$2:$H$175,Socle!$C$2:$C$175,A74,Socle!$D$2:$D$175,C74,Socle!$E$2:$E$175,D74,Socle!$F$2:$F$175,E74,Socle!$G$2:$G$175,"2026")</f>
        <v/>
      </c>
      <c r="H74">
        <f>SUMIFS(Socle!$N$2:$N$175,Socle!$C$2:$C$175,A74,Socle!$D$2:$D$175,C74,Socle!$E$2:$E$175,D74,Socle!$F$2:$F$175,E74,Socle!$G$2:$G$175,"2026")</f>
        <v/>
      </c>
      <c r="I74">
        <f>SUMIFS(Socle!$P$2:$P$175,Socle!$C$2:$C$175,A74,Socle!$D$2:$D$175,C74,Socle!$E$2:$E$175,D74,Socle!$F$2:$F$175,E74,Socle!$G$2:$G$175,"2026")</f>
        <v/>
      </c>
      <c r="J74">
        <f>SUMIFS(Socle!$W$2:$W$175,Socle!$C$2:$C$175,A74,Socle!$D$2:$D$175,C74,Socle!$E$2:$E$175,D74,Socle!$F$2:$F$175,E74,Socle!$G$2:$G$175,"2026")</f>
        <v/>
      </c>
      <c r="K74">
        <f>SUMIFS(Socle!$X$2:$X$175,Socle!$C$2:$C$175,A74,Socle!$D$2:$D$175,C74,Socle!$E$2:$E$175,D74,Socle!$F$2:$F$175,E74,Socle!$G$2:$G$175,"2026")</f>
        <v/>
      </c>
      <c r="L74">
        <f>SUMIFS(Socle!$Y$2:$Y$175,Socle!$C$2:$C$175,A74,Socle!$D$2:$D$175,C74,Socle!$E$2:$E$175,D74,Socle!$F$2:$F$175,E74,Socle!$G$2:$G$175,"2026")</f>
        <v/>
      </c>
      <c r="M74">
        <f>SUMIFS(Socle!$V$2:$V$175,Socle!$C$2:$C$175,A74,Socle!$D$2:$D$175,C74,Socle!$E$2:$E$175,D74,Socle!$F$2:$F$175,E74,Socle!$G$2:$G$175,"2026")</f>
        <v/>
      </c>
      <c r="N74">
        <f>IF(OR(D74="B1",D74="M1",D74="BTS1"),1,0)</f>
        <v/>
      </c>
      <c r="O74">
        <f>SUMIFS(Campagne!$D$2:$D$15,Campagne!$C$2:$C$15,A74)</f>
        <v/>
      </c>
      <c r="P74">
        <f>SUMIFS(Campagne!$E$2:$E$15,Campagne!$C$2:$C$15,A74)</f>
        <v/>
      </c>
      <c r="Q74">
        <f>SUMIFS(Campagne!$F$2:$F$15,Campagne!$C$2:$C$15,A74)</f>
        <v/>
      </c>
      <c r="R74">
        <f>SUMIFS(Campagne!$K$2:$K$15,Campagne!$C$2:$C$15,A74)</f>
        <v/>
      </c>
      <c r="S74">
        <f>SUMIFS(Campagne!$M$2:$M$15,Campagne!$C$2:$C$15,A74)</f>
        <v/>
      </c>
      <c r="T74">
        <f>SUMIFS(Pilotage!$Q$13:$Q$26,Pilotage!$F$13:$F$26,A74)</f>
        <v/>
      </c>
      <c r="U74">
        <f>SUMIFS(Pilotage!$N$13:$N$26,Pilotage!$F$13:$F$26,A74)</f>
        <v/>
      </c>
      <c r="V74">
        <f>IF(B74="V01",cad!$I$21,IF(B74="V02",cad!$J$21,cad!$K$21))</f>
        <v/>
      </c>
      <c r="W74">
        <f>IF(B74="V01",cad!$I$22,IF(B74="V02",cad!$J$22,cad!$K$22))</f>
        <v/>
      </c>
      <c r="X74">
        <f>IF(B74="V01",cad!$I$23,IF(B74="V02",cad!$J$23,cad!$K$23))</f>
        <v/>
      </c>
      <c r="Y74">
        <f>IF(B74="V01",cad!$I$24,IF(B74="V02",cad!$J$24,cad!$K$24))</f>
        <v/>
      </c>
      <c r="Z74">
        <f>IF(B74="V01",cad!$I$25,IF(B74="V02",cad!$J$25,cad!$K$25))</f>
        <v/>
      </c>
      <c r="AA74">
        <f>IF(B74="V01",cad!$I$26,IF(B74="V02",cad!$J$26,cad!$K$26))</f>
        <v/>
      </c>
      <c r="AB74">
        <f>IF(B74="V01",cad!$I$37,IF(B74="V02",cad!$J$37,cad!$K$37))</f>
        <v/>
      </c>
      <c r="AC74">
        <f>IF(F74="MBWAY",cad!$I$9,IF(F74="ISCOM",cad!$I$10,IF(F74="IPAC",cad!$I$11,IF(F74="PIGIER",cad!$I$12,cad!$I$13))))</f>
        <v/>
      </c>
      <c r="AD74">
        <f>(O74*(1+W74)^S74+P74*((T74/U74)*(1+V74))^R74)*IFERROR(G74/Q74,0)*(J74+Y74)*K74*(L74+Z74)</f>
        <v/>
      </c>
      <c r="AE74">
        <f>IF(N74=1,AD74,0)</f>
        <v/>
      </c>
      <c r="AF74">
        <f>IF(N74=1,AD74,H74*(M74+AA74))</f>
        <v/>
      </c>
      <c r="AG74">
        <f>I74*(1+X74*AC74)</f>
        <v/>
      </c>
      <c r="AH74">
        <f>AF74*AG74+AE74*AB74</f>
        <v/>
      </c>
    </row>
    <row r="75">
      <c r="A75">
        <f>Moteur!D75</f>
        <v/>
      </c>
      <c r="B75">
        <f>Moteur!B75</f>
        <v/>
      </c>
      <c r="C75">
        <f>Moteur!F75</f>
        <v/>
      </c>
      <c r="D75">
        <f>Moteur!G75</f>
        <v/>
      </c>
      <c r="E75">
        <f>Moteur!H75</f>
        <v/>
      </c>
      <c r="F75">
        <f>Moteur!E75</f>
        <v/>
      </c>
      <c r="G75">
        <f>SUMIFS(Socle!$H$2:$H$175,Socle!$C$2:$C$175,A75,Socle!$D$2:$D$175,C75,Socle!$E$2:$E$175,D75,Socle!$F$2:$F$175,E75,Socle!$G$2:$G$175,"2026")</f>
        <v/>
      </c>
      <c r="H75">
        <f>SUMIFS(Socle!$N$2:$N$175,Socle!$C$2:$C$175,A75,Socle!$D$2:$D$175,C75,Socle!$E$2:$E$175,D75,Socle!$F$2:$F$175,E75,Socle!$G$2:$G$175,"2026")</f>
        <v/>
      </c>
      <c r="I75">
        <f>SUMIFS(Socle!$P$2:$P$175,Socle!$C$2:$C$175,A75,Socle!$D$2:$D$175,C75,Socle!$E$2:$E$175,D75,Socle!$F$2:$F$175,E75,Socle!$G$2:$G$175,"2026")</f>
        <v/>
      </c>
      <c r="J75">
        <f>SUMIFS(Socle!$W$2:$W$175,Socle!$C$2:$C$175,A75,Socle!$D$2:$D$175,C75,Socle!$E$2:$E$175,D75,Socle!$F$2:$F$175,E75,Socle!$G$2:$G$175,"2026")</f>
        <v/>
      </c>
      <c r="K75">
        <f>SUMIFS(Socle!$X$2:$X$175,Socle!$C$2:$C$175,A75,Socle!$D$2:$D$175,C75,Socle!$E$2:$E$175,D75,Socle!$F$2:$F$175,E75,Socle!$G$2:$G$175,"2026")</f>
        <v/>
      </c>
      <c r="L75">
        <f>SUMIFS(Socle!$Y$2:$Y$175,Socle!$C$2:$C$175,A75,Socle!$D$2:$D$175,C75,Socle!$E$2:$E$175,D75,Socle!$F$2:$F$175,E75,Socle!$G$2:$G$175,"2026")</f>
        <v/>
      </c>
      <c r="M75">
        <f>SUMIFS(Socle!$V$2:$V$175,Socle!$C$2:$C$175,A75,Socle!$D$2:$D$175,C75,Socle!$E$2:$E$175,D75,Socle!$F$2:$F$175,E75,Socle!$G$2:$G$175,"2026")</f>
        <v/>
      </c>
      <c r="N75">
        <f>IF(OR(D75="B1",D75="M1",D75="BTS1"),1,0)</f>
        <v/>
      </c>
      <c r="O75">
        <f>SUMIFS(Campagne!$D$2:$D$15,Campagne!$C$2:$C$15,A75)</f>
        <v/>
      </c>
      <c r="P75">
        <f>SUMIFS(Campagne!$E$2:$E$15,Campagne!$C$2:$C$15,A75)</f>
        <v/>
      </c>
      <c r="Q75">
        <f>SUMIFS(Campagne!$F$2:$F$15,Campagne!$C$2:$C$15,A75)</f>
        <v/>
      </c>
      <c r="R75">
        <f>SUMIFS(Campagne!$K$2:$K$15,Campagne!$C$2:$C$15,A75)</f>
        <v/>
      </c>
      <c r="S75">
        <f>SUMIFS(Campagne!$M$2:$M$15,Campagne!$C$2:$C$15,A75)</f>
        <v/>
      </c>
      <c r="T75">
        <f>SUMIFS(Pilotage!$Q$13:$Q$26,Pilotage!$F$13:$F$26,A75)</f>
        <v/>
      </c>
      <c r="U75">
        <f>SUMIFS(Pilotage!$N$13:$N$26,Pilotage!$F$13:$F$26,A75)</f>
        <v/>
      </c>
      <c r="V75">
        <f>IF(B75="V01",cad!$I$21,IF(B75="V02",cad!$J$21,cad!$K$21))</f>
        <v/>
      </c>
      <c r="W75">
        <f>IF(B75="V01",cad!$I$22,IF(B75="V02",cad!$J$22,cad!$K$22))</f>
        <v/>
      </c>
      <c r="X75">
        <f>IF(B75="V01",cad!$I$23,IF(B75="V02",cad!$J$23,cad!$K$23))</f>
        <v/>
      </c>
      <c r="Y75">
        <f>IF(B75="V01",cad!$I$24,IF(B75="V02",cad!$J$24,cad!$K$24))</f>
        <v/>
      </c>
      <c r="Z75">
        <f>IF(B75="V01",cad!$I$25,IF(B75="V02",cad!$J$25,cad!$K$25))</f>
        <v/>
      </c>
      <c r="AA75">
        <f>IF(B75="V01",cad!$I$26,IF(B75="V02",cad!$J$26,cad!$K$26))</f>
        <v/>
      </c>
      <c r="AB75">
        <f>IF(B75="V01",cad!$I$37,IF(B75="V02",cad!$J$37,cad!$K$37))</f>
        <v/>
      </c>
      <c r="AC75">
        <f>IF(F75="MBWAY",cad!$I$9,IF(F75="ISCOM",cad!$I$10,IF(F75="IPAC",cad!$I$11,IF(F75="PIGIER",cad!$I$12,cad!$I$13))))</f>
        <v/>
      </c>
      <c r="AD75">
        <f>(O75*(1+W75)^S75+P75*((T75/U75)*(1+V75))^R75)*IFERROR(G75/Q75,0)*(J75+Y75)*K75*(L75+Z75)</f>
        <v/>
      </c>
      <c r="AE75">
        <f>IF(N75=1,AD75,0)</f>
        <v/>
      </c>
      <c r="AF75">
        <f>IF(N75=1,AD75,H75*(M75+AA75))</f>
        <v/>
      </c>
      <c r="AG75">
        <f>I75*(1+X75*AC75)</f>
        <v/>
      </c>
      <c r="AH75">
        <f>AF75*AG75+AE75*AB75</f>
        <v/>
      </c>
    </row>
    <row r="76">
      <c r="A76">
        <f>Moteur!D76</f>
        <v/>
      </c>
      <c r="B76">
        <f>Moteur!B76</f>
        <v/>
      </c>
      <c r="C76">
        <f>Moteur!F76</f>
        <v/>
      </c>
      <c r="D76">
        <f>Moteur!G76</f>
        <v/>
      </c>
      <c r="E76">
        <f>Moteur!H76</f>
        <v/>
      </c>
      <c r="F76">
        <f>Moteur!E76</f>
        <v/>
      </c>
      <c r="G76">
        <f>SUMIFS(Socle!$H$2:$H$175,Socle!$C$2:$C$175,A76,Socle!$D$2:$D$175,C76,Socle!$E$2:$E$175,D76,Socle!$F$2:$F$175,E76,Socle!$G$2:$G$175,"2026")</f>
        <v/>
      </c>
      <c r="H76">
        <f>SUMIFS(Socle!$N$2:$N$175,Socle!$C$2:$C$175,A76,Socle!$D$2:$D$175,C76,Socle!$E$2:$E$175,D76,Socle!$F$2:$F$175,E76,Socle!$G$2:$G$175,"2026")</f>
        <v/>
      </c>
      <c r="I76">
        <f>SUMIFS(Socle!$P$2:$P$175,Socle!$C$2:$C$175,A76,Socle!$D$2:$D$175,C76,Socle!$E$2:$E$175,D76,Socle!$F$2:$F$175,E76,Socle!$G$2:$G$175,"2026")</f>
        <v/>
      </c>
      <c r="J76">
        <f>SUMIFS(Socle!$W$2:$W$175,Socle!$C$2:$C$175,A76,Socle!$D$2:$D$175,C76,Socle!$E$2:$E$175,D76,Socle!$F$2:$F$175,E76,Socle!$G$2:$G$175,"2026")</f>
        <v/>
      </c>
      <c r="K76">
        <f>SUMIFS(Socle!$X$2:$X$175,Socle!$C$2:$C$175,A76,Socle!$D$2:$D$175,C76,Socle!$E$2:$E$175,D76,Socle!$F$2:$F$175,E76,Socle!$G$2:$G$175,"2026")</f>
        <v/>
      </c>
      <c r="L76">
        <f>SUMIFS(Socle!$Y$2:$Y$175,Socle!$C$2:$C$175,A76,Socle!$D$2:$D$175,C76,Socle!$E$2:$E$175,D76,Socle!$F$2:$F$175,E76,Socle!$G$2:$G$175,"2026")</f>
        <v/>
      </c>
      <c r="M76">
        <f>SUMIFS(Socle!$V$2:$V$175,Socle!$C$2:$C$175,A76,Socle!$D$2:$D$175,C76,Socle!$E$2:$E$175,D76,Socle!$F$2:$F$175,E76,Socle!$G$2:$G$175,"2026")</f>
        <v/>
      </c>
      <c r="N76">
        <f>IF(OR(D76="B1",D76="M1",D76="BTS1"),1,0)</f>
        <v/>
      </c>
      <c r="O76">
        <f>SUMIFS(Campagne!$D$2:$D$15,Campagne!$C$2:$C$15,A76)</f>
        <v/>
      </c>
      <c r="P76">
        <f>SUMIFS(Campagne!$E$2:$E$15,Campagne!$C$2:$C$15,A76)</f>
        <v/>
      </c>
      <c r="Q76">
        <f>SUMIFS(Campagne!$F$2:$F$15,Campagne!$C$2:$C$15,A76)</f>
        <v/>
      </c>
      <c r="R76">
        <f>SUMIFS(Campagne!$K$2:$K$15,Campagne!$C$2:$C$15,A76)</f>
        <v/>
      </c>
      <c r="S76">
        <f>SUMIFS(Campagne!$M$2:$M$15,Campagne!$C$2:$C$15,A76)</f>
        <v/>
      </c>
      <c r="T76">
        <f>SUMIFS(Pilotage!$Q$13:$Q$26,Pilotage!$F$13:$F$26,A76)</f>
        <v/>
      </c>
      <c r="U76">
        <f>SUMIFS(Pilotage!$N$13:$N$26,Pilotage!$F$13:$F$26,A76)</f>
        <v/>
      </c>
      <c r="V76">
        <f>IF(B76="V01",cad!$I$21,IF(B76="V02",cad!$J$21,cad!$K$21))</f>
        <v/>
      </c>
      <c r="W76">
        <f>IF(B76="V01",cad!$I$22,IF(B76="V02",cad!$J$22,cad!$K$22))</f>
        <v/>
      </c>
      <c r="X76">
        <f>IF(B76="V01",cad!$I$23,IF(B76="V02",cad!$J$23,cad!$K$23))</f>
        <v/>
      </c>
      <c r="Y76">
        <f>IF(B76="V01",cad!$I$24,IF(B76="V02",cad!$J$24,cad!$K$24))</f>
        <v/>
      </c>
      <c r="Z76">
        <f>IF(B76="V01",cad!$I$25,IF(B76="V02",cad!$J$25,cad!$K$25))</f>
        <v/>
      </c>
      <c r="AA76">
        <f>IF(B76="V01",cad!$I$26,IF(B76="V02",cad!$J$26,cad!$K$26))</f>
        <v/>
      </c>
      <c r="AB76">
        <f>IF(B76="V01",cad!$I$37,IF(B76="V02",cad!$J$37,cad!$K$37))</f>
        <v/>
      </c>
      <c r="AC76">
        <f>IF(F76="MBWAY",cad!$I$9,IF(F76="ISCOM",cad!$I$10,IF(F76="IPAC",cad!$I$11,IF(F76="PIGIER",cad!$I$12,cad!$I$13))))</f>
        <v/>
      </c>
      <c r="AD76">
        <f>(O76*(1+W76)^S76+P76*((T76/U76)*(1+V76))^R76)*IFERROR(G76/Q76,0)*(J76+Y76)*K76*(L76+Z76)</f>
        <v/>
      </c>
      <c r="AE76">
        <f>IF(N76=1,AD76,0)</f>
        <v/>
      </c>
      <c r="AF76">
        <f>IF(N76=1,AD76,H76*(M76+AA76))</f>
        <v/>
      </c>
      <c r="AG76">
        <f>I76*(1+X76*AC76)</f>
        <v/>
      </c>
      <c r="AH76">
        <f>AF76*AG76+AE76*AB76</f>
        <v/>
      </c>
    </row>
    <row r="77">
      <c r="A77">
        <f>Moteur!D77</f>
        <v/>
      </c>
      <c r="B77">
        <f>Moteur!B77</f>
        <v/>
      </c>
      <c r="C77">
        <f>Moteur!F77</f>
        <v/>
      </c>
      <c r="D77">
        <f>Moteur!G77</f>
        <v/>
      </c>
      <c r="E77">
        <f>Moteur!H77</f>
        <v/>
      </c>
      <c r="F77">
        <f>Moteur!E77</f>
        <v/>
      </c>
      <c r="G77">
        <f>SUMIFS(Socle!$H$2:$H$175,Socle!$C$2:$C$175,A77,Socle!$D$2:$D$175,C77,Socle!$E$2:$E$175,D77,Socle!$F$2:$F$175,E77,Socle!$G$2:$G$175,"2026")</f>
        <v/>
      </c>
      <c r="H77">
        <f>SUMIFS(Socle!$N$2:$N$175,Socle!$C$2:$C$175,A77,Socle!$D$2:$D$175,C77,Socle!$E$2:$E$175,D77,Socle!$F$2:$F$175,E77,Socle!$G$2:$G$175,"2026")</f>
        <v/>
      </c>
      <c r="I77">
        <f>SUMIFS(Socle!$P$2:$P$175,Socle!$C$2:$C$175,A77,Socle!$D$2:$D$175,C77,Socle!$E$2:$E$175,D77,Socle!$F$2:$F$175,E77,Socle!$G$2:$G$175,"2026")</f>
        <v/>
      </c>
      <c r="J77">
        <f>SUMIFS(Socle!$W$2:$W$175,Socle!$C$2:$C$175,A77,Socle!$D$2:$D$175,C77,Socle!$E$2:$E$175,D77,Socle!$F$2:$F$175,E77,Socle!$G$2:$G$175,"2026")</f>
        <v/>
      </c>
      <c r="K77">
        <f>SUMIFS(Socle!$X$2:$X$175,Socle!$C$2:$C$175,A77,Socle!$D$2:$D$175,C77,Socle!$E$2:$E$175,D77,Socle!$F$2:$F$175,E77,Socle!$G$2:$G$175,"2026")</f>
        <v/>
      </c>
      <c r="L77">
        <f>SUMIFS(Socle!$Y$2:$Y$175,Socle!$C$2:$C$175,A77,Socle!$D$2:$D$175,C77,Socle!$E$2:$E$175,D77,Socle!$F$2:$F$175,E77,Socle!$G$2:$G$175,"2026")</f>
        <v/>
      </c>
      <c r="M77">
        <f>SUMIFS(Socle!$V$2:$V$175,Socle!$C$2:$C$175,A77,Socle!$D$2:$D$175,C77,Socle!$E$2:$E$175,D77,Socle!$F$2:$F$175,E77,Socle!$G$2:$G$175,"2026")</f>
        <v/>
      </c>
      <c r="N77">
        <f>IF(OR(D77="B1",D77="M1",D77="BTS1"),1,0)</f>
        <v/>
      </c>
      <c r="O77">
        <f>SUMIFS(Campagne!$D$2:$D$15,Campagne!$C$2:$C$15,A77)</f>
        <v/>
      </c>
      <c r="P77">
        <f>SUMIFS(Campagne!$E$2:$E$15,Campagne!$C$2:$C$15,A77)</f>
        <v/>
      </c>
      <c r="Q77">
        <f>SUMIFS(Campagne!$F$2:$F$15,Campagne!$C$2:$C$15,A77)</f>
        <v/>
      </c>
      <c r="R77">
        <f>SUMIFS(Campagne!$K$2:$K$15,Campagne!$C$2:$C$15,A77)</f>
        <v/>
      </c>
      <c r="S77">
        <f>SUMIFS(Campagne!$M$2:$M$15,Campagne!$C$2:$C$15,A77)</f>
        <v/>
      </c>
      <c r="T77">
        <f>SUMIFS(Pilotage!$Q$13:$Q$26,Pilotage!$F$13:$F$26,A77)</f>
        <v/>
      </c>
      <c r="U77">
        <f>SUMIFS(Pilotage!$N$13:$N$26,Pilotage!$F$13:$F$26,A77)</f>
        <v/>
      </c>
      <c r="V77">
        <f>IF(B77="V01",cad!$I$21,IF(B77="V02",cad!$J$21,cad!$K$21))</f>
        <v/>
      </c>
      <c r="W77">
        <f>IF(B77="V01",cad!$I$22,IF(B77="V02",cad!$J$22,cad!$K$22))</f>
        <v/>
      </c>
      <c r="X77">
        <f>IF(B77="V01",cad!$I$23,IF(B77="V02",cad!$J$23,cad!$K$23))</f>
        <v/>
      </c>
      <c r="Y77">
        <f>IF(B77="V01",cad!$I$24,IF(B77="V02",cad!$J$24,cad!$K$24))</f>
        <v/>
      </c>
      <c r="Z77">
        <f>IF(B77="V01",cad!$I$25,IF(B77="V02",cad!$J$25,cad!$K$25))</f>
        <v/>
      </c>
      <c r="AA77">
        <f>IF(B77="V01",cad!$I$26,IF(B77="V02",cad!$J$26,cad!$K$26))</f>
        <v/>
      </c>
      <c r="AB77">
        <f>IF(B77="V01",cad!$I$37,IF(B77="V02",cad!$J$37,cad!$K$37))</f>
        <v/>
      </c>
      <c r="AC77">
        <f>IF(F77="MBWAY",cad!$I$9,IF(F77="ISCOM",cad!$I$10,IF(F77="IPAC",cad!$I$11,IF(F77="PIGIER",cad!$I$12,cad!$I$13))))</f>
        <v/>
      </c>
      <c r="AD77">
        <f>(O77*(1+W77)^S77+P77*((T77/U77)*(1+V77))^R77)*IFERROR(G77/Q77,0)*(J77+Y77)*K77*(L77+Z77)</f>
        <v/>
      </c>
      <c r="AE77">
        <f>IF(N77=1,AD77,0)</f>
        <v/>
      </c>
      <c r="AF77">
        <f>IF(N77=1,AD77,H77*(M77+AA77))</f>
        <v/>
      </c>
      <c r="AG77">
        <f>I77*(1+X77*AC77)</f>
        <v/>
      </c>
      <c r="AH77">
        <f>AF77*AG77+AE77*AB77</f>
        <v/>
      </c>
    </row>
    <row r="78">
      <c r="A78">
        <f>Moteur!D78</f>
        <v/>
      </c>
      <c r="B78">
        <f>Moteur!B78</f>
        <v/>
      </c>
      <c r="C78">
        <f>Moteur!F78</f>
        <v/>
      </c>
      <c r="D78">
        <f>Moteur!G78</f>
        <v/>
      </c>
      <c r="E78">
        <f>Moteur!H78</f>
        <v/>
      </c>
      <c r="F78">
        <f>Moteur!E78</f>
        <v/>
      </c>
      <c r="G78">
        <f>SUMIFS(Socle!$H$2:$H$175,Socle!$C$2:$C$175,A78,Socle!$D$2:$D$175,C78,Socle!$E$2:$E$175,D78,Socle!$F$2:$F$175,E78,Socle!$G$2:$G$175,"2026")</f>
        <v/>
      </c>
      <c r="H78">
        <f>SUMIFS(Socle!$N$2:$N$175,Socle!$C$2:$C$175,A78,Socle!$D$2:$D$175,C78,Socle!$E$2:$E$175,D78,Socle!$F$2:$F$175,E78,Socle!$G$2:$G$175,"2026")</f>
        <v/>
      </c>
      <c r="I78">
        <f>SUMIFS(Socle!$P$2:$P$175,Socle!$C$2:$C$175,A78,Socle!$D$2:$D$175,C78,Socle!$E$2:$E$175,D78,Socle!$F$2:$F$175,E78,Socle!$G$2:$G$175,"2026")</f>
        <v/>
      </c>
      <c r="J78">
        <f>SUMIFS(Socle!$W$2:$W$175,Socle!$C$2:$C$175,A78,Socle!$D$2:$D$175,C78,Socle!$E$2:$E$175,D78,Socle!$F$2:$F$175,E78,Socle!$G$2:$G$175,"2026")</f>
        <v/>
      </c>
      <c r="K78">
        <f>SUMIFS(Socle!$X$2:$X$175,Socle!$C$2:$C$175,A78,Socle!$D$2:$D$175,C78,Socle!$E$2:$E$175,D78,Socle!$F$2:$F$175,E78,Socle!$G$2:$G$175,"2026")</f>
        <v/>
      </c>
      <c r="L78">
        <f>SUMIFS(Socle!$Y$2:$Y$175,Socle!$C$2:$C$175,A78,Socle!$D$2:$D$175,C78,Socle!$E$2:$E$175,D78,Socle!$F$2:$F$175,E78,Socle!$G$2:$G$175,"2026")</f>
        <v/>
      </c>
      <c r="M78">
        <f>SUMIFS(Socle!$V$2:$V$175,Socle!$C$2:$C$175,A78,Socle!$D$2:$D$175,C78,Socle!$E$2:$E$175,D78,Socle!$F$2:$F$175,E78,Socle!$G$2:$G$175,"2026")</f>
        <v/>
      </c>
      <c r="N78">
        <f>IF(OR(D78="B1",D78="M1",D78="BTS1"),1,0)</f>
        <v/>
      </c>
      <c r="O78">
        <f>SUMIFS(Campagne!$D$2:$D$15,Campagne!$C$2:$C$15,A78)</f>
        <v/>
      </c>
      <c r="P78">
        <f>SUMIFS(Campagne!$E$2:$E$15,Campagne!$C$2:$C$15,A78)</f>
        <v/>
      </c>
      <c r="Q78">
        <f>SUMIFS(Campagne!$F$2:$F$15,Campagne!$C$2:$C$15,A78)</f>
        <v/>
      </c>
      <c r="R78">
        <f>SUMIFS(Campagne!$K$2:$K$15,Campagne!$C$2:$C$15,A78)</f>
        <v/>
      </c>
      <c r="S78">
        <f>SUMIFS(Campagne!$M$2:$M$15,Campagne!$C$2:$C$15,A78)</f>
        <v/>
      </c>
      <c r="T78">
        <f>SUMIFS(Pilotage!$Q$13:$Q$26,Pilotage!$F$13:$F$26,A78)</f>
        <v/>
      </c>
      <c r="U78">
        <f>SUMIFS(Pilotage!$N$13:$N$26,Pilotage!$F$13:$F$26,A78)</f>
        <v/>
      </c>
      <c r="V78">
        <f>IF(B78="V01",cad!$I$21,IF(B78="V02",cad!$J$21,cad!$K$21))</f>
        <v/>
      </c>
      <c r="W78">
        <f>IF(B78="V01",cad!$I$22,IF(B78="V02",cad!$J$22,cad!$K$22))</f>
        <v/>
      </c>
      <c r="X78">
        <f>IF(B78="V01",cad!$I$23,IF(B78="V02",cad!$J$23,cad!$K$23))</f>
        <v/>
      </c>
      <c r="Y78">
        <f>IF(B78="V01",cad!$I$24,IF(B78="V02",cad!$J$24,cad!$K$24))</f>
        <v/>
      </c>
      <c r="Z78">
        <f>IF(B78="V01",cad!$I$25,IF(B78="V02",cad!$J$25,cad!$K$25))</f>
        <v/>
      </c>
      <c r="AA78">
        <f>IF(B78="V01",cad!$I$26,IF(B78="V02",cad!$J$26,cad!$K$26))</f>
        <v/>
      </c>
      <c r="AB78">
        <f>IF(B78="V01",cad!$I$37,IF(B78="V02",cad!$J$37,cad!$K$37))</f>
        <v/>
      </c>
      <c r="AC78">
        <f>IF(F78="MBWAY",cad!$I$9,IF(F78="ISCOM",cad!$I$10,IF(F78="IPAC",cad!$I$11,IF(F78="PIGIER",cad!$I$12,cad!$I$13))))</f>
        <v/>
      </c>
      <c r="AD78">
        <f>(O78*(1+W78)^S78+P78*((T78/U78)*(1+V78))^R78)*IFERROR(G78/Q78,0)*(J78+Y78)*K78*(L78+Z78)</f>
        <v/>
      </c>
      <c r="AE78">
        <f>IF(N78=1,AD78,0)</f>
        <v/>
      </c>
      <c r="AF78">
        <f>IF(N78=1,AD78,H78*(M78+AA78))</f>
        <v/>
      </c>
      <c r="AG78">
        <f>I78*(1+X78*AC78)</f>
        <v/>
      </c>
      <c r="AH78">
        <f>AF78*AG78+AE78*AB78</f>
        <v/>
      </c>
    </row>
    <row r="79">
      <c r="A79">
        <f>Moteur!D79</f>
        <v/>
      </c>
      <c r="B79">
        <f>Moteur!B79</f>
        <v/>
      </c>
      <c r="C79">
        <f>Moteur!F79</f>
        <v/>
      </c>
      <c r="D79">
        <f>Moteur!G79</f>
        <v/>
      </c>
      <c r="E79">
        <f>Moteur!H79</f>
        <v/>
      </c>
      <c r="F79">
        <f>Moteur!E79</f>
        <v/>
      </c>
      <c r="G79">
        <f>SUMIFS(Socle!$H$2:$H$175,Socle!$C$2:$C$175,A79,Socle!$D$2:$D$175,C79,Socle!$E$2:$E$175,D79,Socle!$F$2:$F$175,E79,Socle!$G$2:$G$175,"2026")</f>
        <v/>
      </c>
      <c r="H79">
        <f>SUMIFS(Socle!$N$2:$N$175,Socle!$C$2:$C$175,A79,Socle!$D$2:$D$175,C79,Socle!$E$2:$E$175,D79,Socle!$F$2:$F$175,E79,Socle!$G$2:$G$175,"2026")</f>
        <v/>
      </c>
      <c r="I79">
        <f>SUMIFS(Socle!$P$2:$P$175,Socle!$C$2:$C$175,A79,Socle!$D$2:$D$175,C79,Socle!$E$2:$E$175,D79,Socle!$F$2:$F$175,E79,Socle!$G$2:$G$175,"2026")</f>
        <v/>
      </c>
      <c r="J79">
        <f>SUMIFS(Socle!$W$2:$W$175,Socle!$C$2:$C$175,A79,Socle!$D$2:$D$175,C79,Socle!$E$2:$E$175,D79,Socle!$F$2:$F$175,E79,Socle!$G$2:$G$175,"2026")</f>
        <v/>
      </c>
      <c r="K79">
        <f>SUMIFS(Socle!$X$2:$X$175,Socle!$C$2:$C$175,A79,Socle!$D$2:$D$175,C79,Socle!$E$2:$E$175,D79,Socle!$F$2:$F$175,E79,Socle!$G$2:$G$175,"2026")</f>
        <v/>
      </c>
      <c r="L79">
        <f>SUMIFS(Socle!$Y$2:$Y$175,Socle!$C$2:$C$175,A79,Socle!$D$2:$D$175,C79,Socle!$E$2:$E$175,D79,Socle!$F$2:$F$175,E79,Socle!$G$2:$G$175,"2026")</f>
        <v/>
      </c>
      <c r="M79">
        <f>SUMIFS(Socle!$V$2:$V$175,Socle!$C$2:$C$175,A79,Socle!$D$2:$D$175,C79,Socle!$E$2:$E$175,D79,Socle!$F$2:$F$175,E79,Socle!$G$2:$G$175,"2026")</f>
        <v/>
      </c>
      <c r="N79">
        <f>IF(OR(D79="B1",D79="M1",D79="BTS1"),1,0)</f>
        <v/>
      </c>
      <c r="O79">
        <f>SUMIFS(Campagne!$D$2:$D$15,Campagne!$C$2:$C$15,A79)</f>
        <v/>
      </c>
      <c r="P79">
        <f>SUMIFS(Campagne!$E$2:$E$15,Campagne!$C$2:$C$15,A79)</f>
        <v/>
      </c>
      <c r="Q79">
        <f>SUMIFS(Campagne!$F$2:$F$15,Campagne!$C$2:$C$15,A79)</f>
        <v/>
      </c>
      <c r="R79">
        <f>SUMIFS(Campagne!$K$2:$K$15,Campagne!$C$2:$C$15,A79)</f>
        <v/>
      </c>
      <c r="S79">
        <f>SUMIFS(Campagne!$M$2:$M$15,Campagne!$C$2:$C$15,A79)</f>
        <v/>
      </c>
      <c r="T79">
        <f>SUMIFS(Pilotage!$Q$13:$Q$26,Pilotage!$F$13:$F$26,A79)</f>
        <v/>
      </c>
      <c r="U79">
        <f>SUMIFS(Pilotage!$N$13:$N$26,Pilotage!$F$13:$F$26,A79)</f>
        <v/>
      </c>
      <c r="V79">
        <f>IF(B79="V01",cad!$I$21,IF(B79="V02",cad!$J$21,cad!$K$21))</f>
        <v/>
      </c>
      <c r="W79">
        <f>IF(B79="V01",cad!$I$22,IF(B79="V02",cad!$J$22,cad!$K$22))</f>
        <v/>
      </c>
      <c r="X79">
        <f>IF(B79="V01",cad!$I$23,IF(B79="V02",cad!$J$23,cad!$K$23))</f>
        <v/>
      </c>
      <c r="Y79">
        <f>IF(B79="V01",cad!$I$24,IF(B79="V02",cad!$J$24,cad!$K$24))</f>
        <v/>
      </c>
      <c r="Z79">
        <f>IF(B79="V01",cad!$I$25,IF(B79="V02",cad!$J$25,cad!$K$25))</f>
        <v/>
      </c>
      <c r="AA79">
        <f>IF(B79="V01",cad!$I$26,IF(B79="V02",cad!$J$26,cad!$K$26))</f>
        <v/>
      </c>
      <c r="AB79">
        <f>IF(B79="V01",cad!$I$37,IF(B79="V02",cad!$J$37,cad!$K$37))</f>
        <v/>
      </c>
      <c r="AC79">
        <f>IF(F79="MBWAY",cad!$I$9,IF(F79="ISCOM",cad!$I$10,IF(F79="IPAC",cad!$I$11,IF(F79="PIGIER",cad!$I$12,cad!$I$13))))</f>
        <v/>
      </c>
      <c r="AD79">
        <f>(O79*(1+W79)^S79+P79*((T79/U79)*(1+V79))^R79)*IFERROR(G79/Q79,0)*(J79+Y79)*K79*(L79+Z79)</f>
        <v/>
      </c>
      <c r="AE79">
        <f>IF(N79=1,AD79,0)</f>
        <v/>
      </c>
      <c r="AF79">
        <f>IF(N79=1,AD79,H79*(M79+AA79))</f>
        <v/>
      </c>
      <c r="AG79">
        <f>I79*(1+X79*AC79)</f>
        <v/>
      </c>
      <c r="AH79">
        <f>AF79*AG79+AE79*AB79</f>
        <v/>
      </c>
    </row>
    <row r="80">
      <c r="A80">
        <f>Moteur!D80</f>
        <v/>
      </c>
      <c r="B80">
        <f>Moteur!B80</f>
        <v/>
      </c>
      <c r="C80">
        <f>Moteur!F80</f>
        <v/>
      </c>
      <c r="D80">
        <f>Moteur!G80</f>
        <v/>
      </c>
      <c r="E80">
        <f>Moteur!H80</f>
        <v/>
      </c>
      <c r="F80">
        <f>Moteur!E80</f>
        <v/>
      </c>
      <c r="G80">
        <f>SUMIFS(Socle!$H$2:$H$175,Socle!$C$2:$C$175,A80,Socle!$D$2:$D$175,C80,Socle!$E$2:$E$175,D80,Socle!$F$2:$F$175,E80,Socle!$G$2:$G$175,"2026")</f>
        <v/>
      </c>
      <c r="H80">
        <f>SUMIFS(Socle!$N$2:$N$175,Socle!$C$2:$C$175,A80,Socle!$D$2:$D$175,C80,Socle!$E$2:$E$175,D80,Socle!$F$2:$F$175,E80,Socle!$G$2:$G$175,"2026")</f>
        <v/>
      </c>
      <c r="I80">
        <f>SUMIFS(Socle!$P$2:$P$175,Socle!$C$2:$C$175,A80,Socle!$D$2:$D$175,C80,Socle!$E$2:$E$175,D80,Socle!$F$2:$F$175,E80,Socle!$G$2:$G$175,"2026")</f>
        <v/>
      </c>
      <c r="J80">
        <f>SUMIFS(Socle!$W$2:$W$175,Socle!$C$2:$C$175,A80,Socle!$D$2:$D$175,C80,Socle!$E$2:$E$175,D80,Socle!$F$2:$F$175,E80,Socle!$G$2:$G$175,"2026")</f>
        <v/>
      </c>
      <c r="K80">
        <f>SUMIFS(Socle!$X$2:$X$175,Socle!$C$2:$C$175,A80,Socle!$D$2:$D$175,C80,Socle!$E$2:$E$175,D80,Socle!$F$2:$F$175,E80,Socle!$G$2:$G$175,"2026")</f>
        <v/>
      </c>
      <c r="L80">
        <f>SUMIFS(Socle!$Y$2:$Y$175,Socle!$C$2:$C$175,A80,Socle!$D$2:$D$175,C80,Socle!$E$2:$E$175,D80,Socle!$F$2:$F$175,E80,Socle!$G$2:$G$175,"2026")</f>
        <v/>
      </c>
      <c r="M80">
        <f>SUMIFS(Socle!$V$2:$V$175,Socle!$C$2:$C$175,A80,Socle!$D$2:$D$175,C80,Socle!$E$2:$E$175,D80,Socle!$F$2:$F$175,E80,Socle!$G$2:$G$175,"2026")</f>
        <v/>
      </c>
      <c r="N80">
        <f>IF(OR(D80="B1",D80="M1",D80="BTS1"),1,0)</f>
        <v/>
      </c>
      <c r="O80">
        <f>SUMIFS(Campagne!$D$2:$D$15,Campagne!$C$2:$C$15,A80)</f>
        <v/>
      </c>
      <c r="P80">
        <f>SUMIFS(Campagne!$E$2:$E$15,Campagne!$C$2:$C$15,A80)</f>
        <v/>
      </c>
      <c r="Q80">
        <f>SUMIFS(Campagne!$F$2:$F$15,Campagne!$C$2:$C$15,A80)</f>
        <v/>
      </c>
      <c r="R80">
        <f>SUMIFS(Campagne!$K$2:$K$15,Campagne!$C$2:$C$15,A80)</f>
        <v/>
      </c>
      <c r="S80">
        <f>SUMIFS(Campagne!$M$2:$M$15,Campagne!$C$2:$C$15,A80)</f>
        <v/>
      </c>
      <c r="T80">
        <f>SUMIFS(Pilotage!$Q$13:$Q$26,Pilotage!$F$13:$F$26,A80)</f>
        <v/>
      </c>
      <c r="U80">
        <f>SUMIFS(Pilotage!$N$13:$N$26,Pilotage!$F$13:$F$26,A80)</f>
        <v/>
      </c>
      <c r="V80">
        <f>IF(B80="V01",cad!$I$21,IF(B80="V02",cad!$J$21,cad!$K$21))</f>
        <v/>
      </c>
      <c r="W80">
        <f>IF(B80="V01",cad!$I$22,IF(B80="V02",cad!$J$22,cad!$K$22))</f>
        <v/>
      </c>
      <c r="X80">
        <f>IF(B80="V01",cad!$I$23,IF(B80="V02",cad!$J$23,cad!$K$23))</f>
        <v/>
      </c>
      <c r="Y80">
        <f>IF(B80="V01",cad!$I$24,IF(B80="V02",cad!$J$24,cad!$K$24))</f>
        <v/>
      </c>
      <c r="Z80">
        <f>IF(B80="V01",cad!$I$25,IF(B80="V02",cad!$J$25,cad!$K$25))</f>
        <v/>
      </c>
      <c r="AA80">
        <f>IF(B80="V01",cad!$I$26,IF(B80="V02",cad!$J$26,cad!$K$26))</f>
        <v/>
      </c>
      <c r="AB80">
        <f>IF(B80="V01",cad!$I$37,IF(B80="V02",cad!$J$37,cad!$K$37))</f>
        <v/>
      </c>
      <c r="AC80">
        <f>IF(F80="MBWAY",cad!$I$9,IF(F80="ISCOM",cad!$I$10,IF(F80="IPAC",cad!$I$11,IF(F80="PIGIER",cad!$I$12,cad!$I$13))))</f>
        <v/>
      </c>
      <c r="AD80">
        <f>(O80*(1+W80)^S80+P80*((T80/U80)*(1+V80))^R80)*IFERROR(G80/Q80,0)*(J80+Y80)*K80*(L80+Z80)</f>
        <v/>
      </c>
      <c r="AE80">
        <f>IF(N80=1,AD80,0)</f>
        <v/>
      </c>
      <c r="AF80">
        <f>IF(N80=1,AD80,H80*(M80+AA80))</f>
        <v/>
      </c>
      <c r="AG80">
        <f>I80*(1+X80*AC80)</f>
        <v/>
      </c>
      <c r="AH80">
        <f>AF80*AG80+AE80*AB80</f>
        <v/>
      </c>
    </row>
    <row r="81">
      <c r="A81">
        <f>Moteur!D81</f>
        <v/>
      </c>
      <c r="B81">
        <f>Moteur!B81</f>
        <v/>
      </c>
      <c r="C81">
        <f>Moteur!F81</f>
        <v/>
      </c>
      <c r="D81">
        <f>Moteur!G81</f>
        <v/>
      </c>
      <c r="E81">
        <f>Moteur!H81</f>
        <v/>
      </c>
      <c r="F81">
        <f>Moteur!E81</f>
        <v/>
      </c>
      <c r="G81">
        <f>SUMIFS(Socle!$H$2:$H$175,Socle!$C$2:$C$175,A81,Socle!$D$2:$D$175,C81,Socle!$E$2:$E$175,D81,Socle!$F$2:$F$175,E81,Socle!$G$2:$G$175,"2026")</f>
        <v/>
      </c>
      <c r="H81">
        <f>SUMIFS(Socle!$N$2:$N$175,Socle!$C$2:$C$175,A81,Socle!$D$2:$D$175,C81,Socle!$E$2:$E$175,D81,Socle!$F$2:$F$175,E81,Socle!$G$2:$G$175,"2026")</f>
        <v/>
      </c>
      <c r="I81">
        <f>SUMIFS(Socle!$P$2:$P$175,Socle!$C$2:$C$175,A81,Socle!$D$2:$D$175,C81,Socle!$E$2:$E$175,D81,Socle!$F$2:$F$175,E81,Socle!$G$2:$G$175,"2026")</f>
        <v/>
      </c>
      <c r="J81">
        <f>SUMIFS(Socle!$W$2:$W$175,Socle!$C$2:$C$175,A81,Socle!$D$2:$D$175,C81,Socle!$E$2:$E$175,D81,Socle!$F$2:$F$175,E81,Socle!$G$2:$G$175,"2026")</f>
        <v/>
      </c>
      <c r="K81">
        <f>SUMIFS(Socle!$X$2:$X$175,Socle!$C$2:$C$175,A81,Socle!$D$2:$D$175,C81,Socle!$E$2:$E$175,D81,Socle!$F$2:$F$175,E81,Socle!$G$2:$G$175,"2026")</f>
        <v/>
      </c>
      <c r="L81">
        <f>SUMIFS(Socle!$Y$2:$Y$175,Socle!$C$2:$C$175,A81,Socle!$D$2:$D$175,C81,Socle!$E$2:$E$175,D81,Socle!$F$2:$F$175,E81,Socle!$G$2:$G$175,"2026")</f>
        <v/>
      </c>
      <c r="M81">
        <f>SUMIFS(Socle!$V$2:$V$175,Socle!$C$2:$C$175,A81,Socle!$D$2:$D$175,C81,Socle!$E$2:$E$175,D81,Socle!$F$2:$F$175,E81,Socle!$G$2:$G$175,"2026")</f>
        <v/>
      </c>
      <c r="N81">
        <f>IF(OR(D81="B1",D81="M1",D81="BTS1"),1,0)</f>
        <v/>
      </c>
      <c r="O81">
        <f>SUMIFS(Campagne!$D$2:$D$15,Campagne!$C$2:$C$15,A81)</f>
        <v/>
      </c>
      <c r="P81">
        <f>SUMIFS(Campagne!$E$2:$E$15,Campagne!$C$2:$C$15,A81)</f>
        <v/>
      </c>
      <c r="Q81">
        <f>SUMIFS(Campagne!$F$2:$F$15,Campagne!$C$2:$C$15,A81)</f>
        <v/>
      </c>
      <c r="R81">
        <f>SUMIFS(Campagne!$K$2:$K$15,Campagne!$C$2:$C$15,A81)</f>
        <v/>
      </c>
      <c r="S81">
        <f>SUMIFS(Campagne!$M$2:$M$15,Campagne!$C$2:$C$15,A81)</f>
        <v/>
      </c>
      <c r="T81">
        <f>SUMIFS(Pilotage!$Q$13:$Q$26,Pilotage!$F$13:$F$26,A81)</f>
        <v/>
      </c>
      <c r="U81">
        <f>SUMIFS(Pilotage!$N$13:$N$26,Pilotage!$F$13:$F$26,A81)</f>
        <v/>
      </c>
      <c r="V81">
        <f>IF(B81="V01",cad!$I$21,IF(B81="V02",cad!$J$21,cad!$K$21))</f>
        <v/>
      </c>
      <c r="W81">
        <f>IF(B81="V01",cad!$I$22,IF(B81="V02",cad!$J$22,cad!$K$22))</f>
        <v/>
      </c>
      <c r="X81">
        <f>IF(B81="V01",cad!$I$23,IF(B81="V02",cad!$J$23,cad!$K$23))</f>
        <v/>
      </c>
      <c r="Y81">
        <f>IF(B81="V01",cad!$I$24,IF(B81="V02",cad!$J$24,cad!$K$24))</f>
        <v/>
      </c>
      <c r="Z81">
        <f>IF(B81="V01",cad!$I$25,IF(B81="V02",cad!$J$25,cad!$K$25))</f>
        <v/>
      </c>
      <c r="AA81">
        <f>IF(B81="V01",cad!$I$26,IF(B81="V02",cad!$J$26,cad!$K$26))</f>
        <v/>
      </c>
      <c r="AB81">
        <f>IF(B81="V01",cad!$I$37,IF(B81="V02",cad!$J$37,cad!$K$37))</f>
        <v/>
      </c>
      <c r="AC81">
        <f>IF(F81="MBWAY",cad!$I$9,IF(F81="ISCOM",cad!$I$10,IF(F81="IPAC",cad!$I$11,IF(F81="PIGIER",cad!$I$12,cad!$I$13))))</f>
        <v/>
      </c>
      <c r="AD81">
        <f>(O81*(1+W81)^S81+P81*((T81/U81)*(1+V81))^R81)*IFERROR(G81/Q81,0)*(J81+Y81)*K81*(L81+Z81)</f>
        <v/>
      </c>
      <c r="AE81">
        <f>IF(N81=1,AD81,0)</f>
        <v/>
      </c>
      <c r="AF81">
        <f>IF(N81=1,AD81,H81*(M81+AA81))</f>
        <v/>
      </c>
      <c r="AG81">
        <f>I81*(1+X81*AC81)</f>
        <v/>
      </c>
      <c r="AH81">
        <f>AF81*AG81+AE81*AB81</f>
        <v/>
      </c>
    </row>
    <row r="82">
      <c r="A82">
        <f>Moteur!D82</f>
        <v/>
      </c>
      <c r="B82">
        <f>Moteur!B82</f>
        <v/>
      </c>
      <c r="C82">
        <f>Moteur!F82</f>
        <v/>
      </c>
      <c r="D82">
        <f>Moteur!G82</f>
        <v/>
      </c>
      <c r="E82">
        <f>Moteur!H82</f>
        <v/>
      </c>
      <c r="F82">
        <f>Moteur!E82</f>
        <v/>
      </c>
      <c r="G82">
        <f>SUMIFS(Socle!$H$2:$H$175,Socle!$C$2:$C$175,A82,Socle!$D$2:$D$175,C82,Socle!$E$2:$E$175,D82,Socle!$F$2:$F$175,E82,Socle!$G$2:$G$175,"2026")</f>
        <v/>
      </c>
      <c r="H82">
        <f>SUMIFS(Socle!$N$2:$N$175,Socle!$C$2:$C$175,A82,Socle!$D$2:$D$175,C82,Socle!$E$2:$E$175,D82,Socle!$F$2:$F$175,E82,Socle!$G$2:$G$175,"2026")</f>
        <v/>
      </c>
      <c r="I82">
        <f>SUMIFS(Socle!$P$2:$P$175,Socle!$C$2:$C$175,A82,Socle!$D$2:$D$175,C82,Socle!$E$2:$E$175,D82,Socle!$F$2:$F$175,E82,Socle!$G$2:$G$175,"2026")</f>
        <v/>
      </c>
      <c r="J82">
        <f>SUMIFS(Socle!$W$2:$W$175,Socle!$C$2:$C$175,A82,Socle!$D$2:$D$175,C82,Socle!$E$2:$E$175,D82,Socle!$F$2:$F$175,E82,Socle!$G$2:$G$175,"2026")</f>
        <v/>
      </c>
      <c r="K82">
        <f>SUMIFS(Socle!$X$2:$X$175,Socle!$C$2:$C$175,A82,Socle!$D$2:$D$175,C82,Socle!$E$2:$E$175,D82,Socle!$F$2:$F$175,E82,Socle!$G$2:$G$175,"2026")</f>
        <v/>
      </c>
      <c r="L82">
        <f>SUMIFS(Socle!$Y$2:$Y$175,Socle!$C$2:$C$175,A82,Socle!$D$2:$D$175,C82,Socle!$E$2:$E$175,D82,Socle!$F$2:$F$175,E82,Socle!$G$2:$G$175,"2026")</f>
        <v/>
      </c>
      <c r="M82">
        <f>SUMIFS(Socle!$V$2:$V$175,Socle!$C$2:$C$175,A82,Socle!$D$2:$D$175,C82,Socle!$E$2:$E$175,D82,Socle!$F$2:$F$175,E82,Socle!$G$2:$G$175,"2026")</f>
        <v/>
      </c>
      <c r="N82">
        <f>IF(OR(D82="B1",D82="M1",D82="BTS1"),1,0)</f>
        <v/>
      </c>
      <c r="O82">
        <f>SUMIFS(Campagne!$D$2:$D$15,Campagne!$C$2:$C$15,A82)</f>
        <v/>
      </c>
      <c r="P82">
        <f>SUMIFS(Campagne!$E$2:$E$15,Campagne!$C$2:$C$15,A82)</f>
        <v/>
      </c>
      <c r="Q82">
        <f>SUMIFS(Campagne!$F$2:$F$15,Campagne!$C$2:$C$15,A82)</f>
        <v/>
      </c>
      <c r="R82">
        <f>SUMIFS(Campagne!$K$2:$K$15,Campagne!$C$2:$C$15,A82)</f>
        <v/>
      </c>
      <c r="S82">
        <f>SUMIFS(Campagne!$M$2:$M$15,Campagne!$C$2:$C$15,A82)</f>
        <v/>
      </c>
      <c r="T82">
        <f>SUMIFS(Pilotage!$Q$13:$Q$26,Pilotage!$F$13:$F$26,A82)</f>
        <v/>
      </c>
      <c r="U82">
        <f>SUMIFS(Pilotage!$N$13:$N$26,Pilotage!$F$13:$F$26,A82)</f>
        <v/>
      </c>
      <c r="V82">
        <f>IF(B82="V01",cad!$I$21,IF(B82="V02",cad!$J$21,cad!$K$21))</f>
        <v/>
      </c>
      <c r="W82">
        <f>IF(B82="V01",cad!$I$22,IF(B82="V02",cad!$J$22,cad!$K$22))</f>
        <v/>
      </c>
      <c r="X82">
        <f>IF(B82="V01",cad!$I$23,IF(B82="V02",cad!$J$23,cad!$K$23))</f>
        <v/>
      </c>
      <c r="Y82">
        <f>IF(B82="V01",cad!$I$24,IF(B82="V02",cad!$J$24,cad!$K$24))</f>
        <v/>
      </c>
      <c r="Z82">
        <f>IF(B82="V01",cad!$I$25,IF(B82="V02",cad!$J$25,cad!$K$25))</f>
        <v/>
      </c>
      <c r="AA82">
        <f>IF(B82="V01",cad!$I$26,IF(B82="V02",cad!$J$26,cad!$K$26))</f>
        <v/>
      </c>
      <c r="AB82">
        <f>IF(B82="V01",cad!$I$37,IF(B82="V02",cad!$J$37,cad!$K$37))</f>
        <v/>
      </c>
      <c r="AC82">
        <f>IF(F82="MBWAY",cad!$I$9,IF(F82="ISCOM",cad!$I$10,IF(F82="IPAC",cad!$I$11,IF(F82="PIGIER",cad!$I$12,cad!$I$13))))</f>
        <v/>
      </c>
      <c r="AD82">
        <f>(O82*(1+W82)^S82+P82*((T82/U82)*(1+V82))^R82)*IFERROR(G82/Q82,0)*(J82+Y82)*K82*(L82+Z82)</f>
        <v/>
      </c>
      <c r="AE82">
        <f>IF(N82=1,AD82,0)</f>
        <v/>
      </c>
      <c r="AF82">
        <f>IF(N82=1,AD82,H82*(M82+AA82))</f>
        <v/>
      </c>
      <c r="AG82">
        <f>I82*(1+X82*AC82)</f>
        <v/>
      </c>
      <c r="AH82">
        <f>AF82*AG82+AE82*AB82</f>
        <v/>
      </c>
    </row>
    <row r="83">
      <c r="A83">
        <f>Moteur!D83</f>
        <v/>
      </c>
      <c r="B83">
        <f>Moteur!B83</f>
        <v/>
      </c>
      <c r="C83">
        <f>Moteur!F83</f>
        <v/>
      </c>
      <c r="D83">
        <f>Moteur!G83</f>
        <v/>
      </c>
      <c r="E83">
        <f>Moteur!H83</f>
        <v/>
      </c>
      <c r="F83">
        <f>Moteur!E83</f>
        <v/>
      </c>
      <c r="G83">
        <f>SUMIFS(Socle!$H$2:$H$175,Socle!$C$2:$C$175,A83,Socle!$D$2:$D$175,C83,Socle!$E$2:$E$175,D83,Socle!$F$2:$F$175,E83,Socle!$G$2:$G$175,"2026")</f>
        <v/>
      </c>
      <c r="H83">
        <f>SUMIFS(Socle!$N$2:$N$175,Socle!$C$2:$C$175,A83,Socle!$D$2:$D$175,C83,Socle!$E$2:$E$175,D83,Socle!$F$2:$F$175,E83,Socle!$G$2:$G$175,"2026")</f>
        <v/>
      </c>
      <c r="I83">
        <f>SUMIFS(Socle!$P$2:$P$175,Socle!$C$2:$C$175,A83,Socle!$D$2:$D$175,C83,Socle!$E$2:$E$175,D83,Socle!$F$2:$F$175,E83,Socle!$G$2:$G$175,"2026")</f>
        <v/>
      </c>
      <c r="J83">
        <f>SUMIFS(Socle!$W$2:$W$175,Socle!$C$2:$C$175,A83,Socle!$D$2:$D$175,C83,Socle!$E$2:$E$175,D83,Socle!$F$2:$F$175,E83,Socle!$G$2:$G$175,"2026")</f>
        <v/>
      </c>
      <c r="K83">
        <f>SUMIFS(Socle!$X$2:$X$175,Socle!$C$2:$C$175,A83,Socle!$D$2:$D$175,C83,Socle!$E$2:$E$175,D83,Socle!$F$2:$F$175,E83,Socle!$G$2:$G$175,"2026")</f>
        <v/>
      </c>
      <c r="L83">
        <f>SUMIFS(Socle!$Y$2:$Y$175,Socle!$C$2:$C$175,A83,Socle!$D$2:$D$175,C83,Socle!$E$2:$E$175,D83,Socle!$F$2:$F$175,E83,Socle!$G$2:$G$175,"2026")</f>
        <v/>
      </c>
      <c r="M83">
        <f>SUMIFS(Socle!$V$2:$V$175,Socle!$C$2:$C$175,A83,Socle!$D$2:$D$175,C83,Socle!$E$2:$E$175,D83,Socle!$F$2:$F$175,E83,Socle!$G$2:$G$175,"2026")</f>
        <v/>
      </c>
      <c r="N83">
        <f>IF(OR(D83="B1",D83="M1",D83="BTS1"),1,0)</f>
        <v/>
      </c>
      <c r="O83">
        <f>SUMIFS(Campagne!$D$2:$D$15,Campagne!$C$2:$C$15,A83)</f>
        <v/>
      </c>
      <c r="P83">
        <f>SUMIFS(Campagne!$E$2:$E$15,Campagne!$C$2:$C$15,A83)</f>
        <v/>
      </c>
      <c r="Q83">
        <f>SUMIFS(Campagne!$F$2:$F$15,Campagne!$C$2:$C$15,A83)</f>
        <v/>
      </c>
      <c r="R83">
        <f>SUMIFS(Campagne!$K$2:$K$15,Campagne!$C$2:$C$15,A83)</f>
        <v/>
      </c>
      <c r="S83">
        <f>SUMIFS(Campagne!$M$2:$M$15,Campagne!$C$2:$C$15,A83)</f>
        <v/>
      </c>
      <c r="T83">
        <f>SUMIFS(Pilotage!$Q$13:$Q$26,Pilotage!$F$13:$F$26,A83)</f>
        <v/>
      </c>
      <c r="U83">
        <f>SUMIFS(Pilotage!$N$13:$N$26,Pilotage!$F$13:$F$26,A83)</f>
        <v/>
      </c>
      <c r="V83">
        <f>IF(B83="V01",cad!$I$21,IF(B83="V02",cad!$J$21,cad!$K$21))</f>
        <v/>
      </c>
      <c r="W83">
        <f>IF(B83="V01",cad!$I$22,IF(B83="V02",cad!$J$22,cad!$K$22))</f>
        <v/>
      </c>
      <c r="X83">
        <f>IF(B83="V01",cad!$I$23,IF(B83="V02",cad!$J$23,cad!$K$23))</f>
        <v/>
      </c>
      <c r="Y83">
        <f>IF(B83="V01",cad!$I$24,IF(B83="V02",cad!$J$24,cad!$K$24))</f>
        <v/>
      </c>
      <c r="Z83">
        <f>IF(B83="V01",cad!$I$25,IF(B83="V02",cad!$J$25,cad!$K$25))</f>
        <v/>
      </c>
      <c r="AA83">
        <f>IF(B83="V01",cad!$I$26,IF(B83="V02",cad!$J$26,cad!$K$26))</f>
        <v/>
      </c>
      <c r="AB83">
        <f>IF(B83="V01",cad!$I$37,IF(B83="V02",cad!$J$37,cad!$K$37))</f>
        <v/>
      </c>
      <c r="AC83">
        <f>IF(F83="MBWAY",cad!$I$9,IF(F83="ISCOM",cad!$I$10,IF(F83="IPAC",cad!$I$11,IF(F83="PIGIER",cad!$I$12,cad!$I$13))))</f>
        <v/>
      </c>
      <c r="AD83">
        <f>(O83*(1+W83)^S83+P83*((T83/U83)*(1+V83))^R83)*IFERROR(G83/Q83,0)*(J83+Y83)*K83*(L83+Z83)</f>
        <v/>
      </c>
      <c r="AE83">
        <f>IF(N83=1,AD83,0)</f>
        <v/>
      </c>
      <c r="AF83">
        <f>IF(N83=1,AD83,H83*(M83+AA83))</f>
        <v/>
      </c>
      <c r="AG83">
        <f>I83*(1+X83*AC83)</f>
        <v/>
      </c>
      <c r="AH83">
        <f>AF83*AG83+AE83*AB83</f>
        <v/>
      </c>
    </row>
    <row r="84">
      <c r="A84">
        <f>Moteur!D84</f>
        <v/>
      </c>
      <c r="B84">
        <f>Moteur!B84</f>
        <v/>
      </c>
      <c r="C84">
        <f>Moteur!F84</f>
        <v/>
      </c>
      <c r="D84">
        <f>Moteur!G84</f>
        <v/>
      </c>
      <c r="E84">
        <f>Moteur!H84</f>
        <v/>
      </c>
      <c r="F84">
        <f>Moteur!E84</f>
        <v/>
      </c>
      <c r="G84">
        <f>SUMIFS(Socle!$H$2:$H$175,Socle!$C$2:$C$175,A84,Socle!$D$2:$D$175,C84,Socle!$E$2:$E$175,D84,Socle!$F$2:$F$175,E84,Socle!$G$2:$G$175,"2026")</f>
        <v/>
      </c>
      <c r="H84">
        <f>SUMIFS(Socle!$N$2:$N$175,Socle!$C$2:$C$175,A84,Socle!$D$2:$D$175,C84,Socle!$E$2:$E$175,D84,Socle!$F$2:$F$175,E84,Socle!$G$2:$G$175,"2026")</f>
        <v/>
      </c>
      <c r="I84">
        <f>SUMIFS(Socle!$P$2:$P$175,Socle!$C$2:$C$175,A84,Socle!$D$2:$D$175,C84,Socle!$E$2:$E$175,D84,Socle!$F$2:$F$175,E84,Socle!$G$2:$G$175,"2026")</f>
        <v/>
      </c>
      <c r="J84">
        <f>SUMIFS(Socle!$W$2:$W$175,Socle!$C$2:$C$175,A84,Socle!$D$2:$D$175,C84,Socle!$E$2:$E$175,D84,Socle!$F$2:$F$175,E84,Socle!$G$2:$G$175,"2026")</f>
        <v/>
      </c>
      <c r="K84">
        <f>SUMIFS(Socle!$X$2:$X$175,Socle!$C$2:$C$175,A84,Socle!$D$2:$D$175,C84,Socle!$E$2:$E$175,D84,Socle!$F$2:$F$175,E84,Socle!$G$2:$G$175,"2026")</f>
        <v/>
      </c>
      <c r="L84">
        <f>SUMIFS(Socle!$Y$2:$Y$175,Socle!$C$2:$C$175,A84,Socle!$D$2:$D$175,C84,Socle!$E$2:$E$175,D84,Socle!$F$2:$F$175,E84,Socle!$G$2:$G$175,"2026")</f>
        <v/>
      </c>
      <c r="M84">
        <f>SUMIFS(Socle!$V$2:$V$175,Socle!$C$2:$C$175,A84,Socle!$D$2:$D$175,C84,Socle!$E$2:$E$175,D84,Socle!$F$2:$F$175,E84,Socle!$G$2:$G$175,"2026")</f>
        <v/>
      </c>
      <c r="N84">
        <f>IF(OR(D84="B1",D84="M1",D84="BTS1"),1,0)</f>
        <v/>
      </c>
      <c r="O84">
        <f>SUMIFS(Campagne!$D$2:$D$15,Campagne!$C$2:$C$15,A84)</f>
        <v/>
      </c>
      <c r="P84">
        <f>SUMIFS(Campagne!$E$2:$E$15,Campagne!$C$2:$C$15,A84)</f>
        <v/>
      </c>
      <c r="Q84">
        <f>SUMIFS(Campagne!$F$2:$F$15,Campagne!$C$2:$C$15,A84)</f>
        <v/>
      </c>
      <c r="R84">
        <f>SUMIFS(Campagne!$K$2:$K$15,Campagne!$C$2:$C$15,A84)</f>
        <v/>
      </c>
      <c r="S84">
        <f>SUMIFS(Campagne!$M$2:$M$15,Campagne!$C$2:$C$15,A84)</f>
        <v/>
      </c>
      <c r="T84">
        <f>SUMIFS(Pilotage!$Q$13:$Q$26,Pilotage!$F$13:$F$26,A84)</f>
        <v/>
      </c>
      <c r="U84">
        <f>SUMIFS(Pilotage!$N$13:$N$26,Pilotage!$F$13:$F$26,A84)</f>
        <v/>
      </c>
      <c r="V84">
        <f>IF(B84="V01",cad!$I$21,IF(B84="V02",cad!$J$21,cad!$K$21))</f>
        <v/>
      </c>
      <c r="W84">
        <f>IF(B84="V01",cad!$I$22,IF(B84="V02",cad!$J$22,cad!$K$22))</f>
        <v/>
      </c>
      <c r="X84">
        <f>IF(B84="V01",cad!$I$23,IF(B84="V02",cad!$J$23,cad!$K$23))</f>
        <v/>
      </c>
      <c r="Y84">
        <f>IF(B84="V01",cad!$I$24,IF(B84="V02",cad!$J$24,cad!$K$24))</f>
        <v/>
      </c>
      <c r="Z84">
        <f>IF(B84="V01",cad!$I$25,IF(B84="V02",cad!$J$25,cad!$K$25))</f>
        <v/>
      </c>
      <c r="AA84">
        <f>IF(B84="V01",cad!$I$26,IF(B84="V02",cad!$J$26,cad!$K$26))</f>
        <v/>
      </c>
      <c r="AB84">
        <f>IF(B84="V01",cad!$I$37,IF(B84="V02",cad!$J$37,cad!$K$37))</f>
        <v/>
      </c>
      <c r="AC84">
        <f>IF(F84="MBWAY",cad!$I$9,IF(F84="ISCOM",cad!$I$10,IF(F84="IPAC",cad!$I$11,IF(F84="PIGIER",cad!$I$12,cad!$I$13))))</f>
        <v/>
      </c>
      <c r="AD84">
        <f>(O84*(1+W84)^S84+P84*((T84/U84)*(1+V84))^R84)*IFERROR(G84/Q84,0)*(J84+Y84)*K84*(L84+Z84)</f>
        <v/>
      </c>
      <c r="AE84">
        <f>IF(N84=1,AD84,0)</f>
        <v/>
      </c>
      <c r="AF84">
        <f>IF(N84=1,AD84,H84*(M84+AA84))</f>
        <v/>
      </c>
      <c r="AG84">
        <f>I84*(1+X84*AC84)</f>
        <v/>
      </c>
      <c r="AH84">
        <f>AF84*AG84+AE84*AB84</f>
        <v/>
      </c>
    </row>
    <row r="85">
      <c r="A85">
        <f>Moteur!D85</f>
        <v/>
      </c>
      <c r="B85">
        <f>Moteur!B85</f>
        <v/>
      </c>
      <c r="C85">
        <f>Moteur!F85</f>
        <v/>
      </c>
      <c r="D85">
        <f>Moteur!G85</f>
        <v/>
      </c>
      <c r="E85">
        <f>Moteur!H85</f>
        <v/>
      </c>
      <c r="F85">
        <f>Moteur!E85</f>
        <v/>
      </c>
      <c r="G85">
        <f>SUMIFS(Socle!$H$2:$H$175,Socle!$C$2:$C$175,A85,Socle!$D$2:$D$175,C85,Socle!$E$2:$E$175,D85,Socle!$F$2:$F$175,E85,Socle!$G$2:$G$175,"2026")</f>
        <v/>
      </c>
      <c r="H85">
        <f>SUMIFS(Socle!$N$2:$N$175,Socle!$C$2:$C$175,A85,Socle!$D$2:$D$175,C85,Socle!$E$2:$E$175,D85,Socle!$F$2:$F$175,E85,Socle!$G$2:$G$175,"2026")</f>
        <v/>
      </c>
      <c r="I85">
        <f>SUMIFS(Socle!$P$2:$P$175,Socle!$C$2:$C$175,A85,Socle!$D$2:$D$175,C85,Socle!$E$2:$E$175,D85,Socle!$F$2:$F$175,E85,Socle!$G$2:$G$175,"2026")</f>
        <v/>
      </c>
      <c r="J85">
        <f>SUMIFS(Socle!$W$2:$W$175,Socle!$C$2:$C$175,A85,Socle!$D$2:$D$175,C85,Socle!$E$2:$E$175,D85,Socle!$F$2:$F$175,E85,Socle!$G$2:$G$175,"2026")</f>
        <v/>
      </c>
      <c r="K85">
        <f>SUMIFS(Socle!$X$2:$X$175,Socle!$C$2:$C$175,A85,Socle!$D$2:$D$175,C85,Socle!$E$2:$E$175,D85,Socle!$F$2:$F$175,E85,Socle!$G$2:$G$175,"2026")</f>
        <v/>
      </c>
      <c r="L85">
        <f>SUMIFS(Socle!$Y$2:$Y$175,Socle!$C$2:$C$175,A85,Socle!$D$2:$D$175,C85,Socle!$E$2:$E$175,D85,Socle!$F$2:$F$175,E85,Socle!$G$2:$G$175,"2026")</f>
        <v/>
      </c>
      <c r="M85">
        <f>SUMIFS(Socle!$V$2:$V$175,Socle!$C$2:$C$175,A85,Socle!$D$2:$D$175,C85,Socle!$E$2:$E$175,D85,Socle!$F$2:$F$175,E85,Socle!$G$2:$G$175,"2026")</f>
        <v/>
      </c>
      <c r="N85">
        <f>IF(OR(D85="B1",D85="M1",D85="BTS1"),1,0)</f>
        <v/>
      </c>
      <c r="O85">
        <f>SUMIFS(Campagne!$D$2:$D$15,Campagne!$C$2:$C$15,A85)</f>
        <v/>
      </c>
      <c r="P85">
        <f>SUMIFS(Campagne!$E$2:$E$15,Campagne!$C$2:$C$15,A85)</f>
        <v/>
      </c>
      <c r="Q85">
        <f>SUMIFS(Campagne!$F$2:$F$15,Campagne!$C$2:$C$15,A85)</f>
        <v/>
      </c>
      <c r="R85">
        <f>SUMIFS(Campagne!$K$2:$K$15,Campagne!$C$2:$C$15,A85)</f>
        <v/>
      </c>
      <c r="S85">
        <f>SUMIFS(Campagne!$M$2:$M$15,Campagne!$C$2:$C$15,A85)</f>
        <v/>
      </c>
      <c r="T85">
        <f>SUMIFS(Pilotage!$Q$13:$Q$26,Pilotage!$F$13:$F$26,A85)</f>
        <v/>
      </c>
      <c r="U85">
        <f>SUMIFS(Pilotage!$N$13:$N$26,Pilotage!$F$13:$F$26,A85)</f>
        <v/>
      </c>
      <c r="V85">
        <f>IF(B85="V01",cad!$I$21,IF(B85="V02",cad!$J$21,cad!$K$21))</f>
        <v/>
      </c>
      <c r="W85">
        <f>IF(B85="V01",cad!$I$22,IF(B85="V02",cad!$J$22,cad!$K$22))</f>
        <v/>
      </c>
      <c r="X85">
        <f>IF(B85="V01",cad!$I$23,IF(B85="V02",cad!$J$23,cad!$K$23))</f>
        <v/>
      </c>
      <c r="Y85">
        <f>IF(B85="V01",cad!$I$24,IF(B85="V02",cad!$J$24,cad!$K$24))</f>
        <v/>
      </c>
      <c r="Z85">
        <f>IF(B85="V01",cad!$I$25,IF(B85="V02",cad!$J$25,cad!$K$25))</f>
        <v/>
      </c>
      <c r="AA85">
        <f>IF(B85="V01",cad!$I$26,IF(B85="V02",cad!$J$26,cad!$K$26))</f>
        <v/>
      </c>
      <c r="AB85">
        <f>IF(B85="V01",cad!$I$37,IF(B85="V02",cad!$J$37,cad!$K$37))</f>
        <v/>
      </c>
      <c r="AC85">
        <f>IF(F85="MBWAY",cad!$I$9,IF(F85="ISCOM",cad!$I$10,IF(F85="IPAC",cad!$I$11,IF(F85="PIGIER",cad!$I$12,cad!$I$13))))</f>
        <v/>
      </c>
      <c r="AD85">
        <f>(O85*(1+W85)^S85+P85*((T85/U85)*(1+V85))^R85)*IFERROR(G85/Q85,0)*(J85+Y85)*K85*(L85+Z85)</f>
        <v/>
      </c>
      <c r="AE85">
        <f>IF(N85=1,AD85,0)</f>
        <v/>
      </c>
      <c r="AF85">
        <f>IF(N85=1,AD85,H85*(M85+AA85))</f>
        <v/>
      </c>
      <c r="AG85">
        <f>I85*(1+X85*AC85)</f>
        <v/>
      </c>
      <c r="AH85">
        <f>AF85*AG85+AE85*AB85</f>
        <v/>
      </c>
    </row>
    <row r="86">
      <c r="A86">
        <f>Moteur!D86</f>
        <v/>
      </c>
      <c r="B86">
        <f>Moteur!B86</f>
        <v/>
      </c>
      <c r="C86">
        <f>Moteur!F86</f>
        <v/>
      </c>
      <c r="D86">
        <f>Moteur!G86</f>
        <v/>
      </c>
      <c r="E86">
        <f>Moteur!H86</f>
        <v/>
      </c>
      <c r="F86">
        <f>Moteur!E86</f>
        <v/>
      </c>
      <c r="G86">
        <f>SUMIFS(Socle!$H$2:$H$175,Socle!$C$2:$C$175,A86,Socle!$D$2:$D$175,C86,Socle!$E$2:$E$175,D86,Socle!$F$2:$F$175,E86,Socle!$G$2:$G$175,"2026")</f>
        <v/>
      </c>
      <c r="H86">
        <f>SUMIFS(Socle!$N$2:$N$175,Socle!$C$2:$C$175,A86,Socle!$D$2:$D$175,C86,Socle!$E$2:$E$175,D86,Socle!$F$2:$F$175,E86,Socle!$G$2:$G$175,"2026")</f>
        <v/>
      </c>
      <c r="I86">
        <f>SUMIFS(Socle!$P$2:$P$175,Socle!$C$2:$C$175,A86,Socle!$D$2:$D$175,C86,Socle!$E$2:$E$175,D86,Socle!$F$2:$F$175,E86,Socle!$G$2:$G$175,"2026")</f>
        <v/>
      </c>
      <c r="J86">
        <f>SUMIFS(Socle!$W$2:$W$175,Socle!$C$2:$C$175,A86,Socle!$D$2:$D$175,C86,Socle!$E$2:$E$175,D86,Socle!$F$2:$F$175,E86,Socle!$G$2:$G$175,"2026")</f>
        <v/>
      </c>
      <c r="K86">
        <f>SUMIFS(Socle!$X$2:$X$175,Socle!$C$2:$C$175,A86,Socle!$D$2:$D$175,C86,Socle!$E$2:$E$175,D86,Socle!$F$2:$F$175,E86,Socle!$G$2:$G$175,"2026")</f>
        <v/>
      </c>
      <c r="L86">
        <f>SUMIFS(Socle!$Y$2:$Y$175,Socle!$C$2:$C$175,A86,Socle!$D$2:$D$175,C86,Socle!$E$2:$E$175,D86,Socle!$F$2:$F$175,E86,Socle!$G$2:$G$175,"2026")</f>
        <v/>
      </c>
      <c r="M86">
        <f>SUMIFS(Socle!$V$2:$V$175,Socle!$C$2:$C$175,A86,Socle!$D$2:$D$175,C86,Socle!$E$2:$E$175,D86,Socle!$F$2:$F$175,E86,Socle!$G$2:$G$175,"2026")</f>
        <v/>
      </c>
      <c r="N86">
        <f>IF(OR(D86="B1",D86="M1",D86="BTS1"),1,0)</f>
        <v/>
      </c>
      <c r="O86">
        <f>SUMIFS(Campagne!$D$2:$D$15,Campagne!$C$2:$C$15,A86)</f>
        <v/>
      </c>
      <c r="P86">
        <f>SUMIFS(Campagne!$E$2:$E$15,Campagne!$C$2:$C$15,A86)</f>
        <v/>
      </c>
      <c r="Q86">
        <f>SUMIFS(Campagne!$F$2:$F$15,Campagne!$C$2:$C$15,A86)</f>
        <v/>
      </c>
      <c r="R86">
        <f>SUMIFS(Campagne!$K$2:$K$15,Campagne!$C$2:$C$15,A86)</f>
        <v/>
      </c>
      <c r="S86">
        <f>SUMIFS(Campagne!$M$2:$M$15,Campagne!$C$2:$C$15,A86)</f>
        <v/>
      </c>
      <c r="T86">
        <f>SUMIFS(Pilotage!$Q$13:$Q$26,Pilotage!$F$13:$F$26,A86)</f>
        <v/>
      </c>
      <c r="U86">
        <f>SUMIFS(Pilotage!$N$13:$N$26,Pilotage!$F$13:$F$26,A86)</f>
        <v/>
      </c>
      <c r="V86">
        <f>IF(B86="V01",cad!$I$21,IF(B86="V02",cad!$J$21,cad!$K$21))</f>
        <v/>
      </c>
      <c r="W86">
        <f>IF(B86="V01",cad!$I$22,IF(B86="V02",cad!$J$22,cad!$K$22))</f>
        <v/>
      </c>
      <c r="X86">
        <f>IF(B86="V01",cad!$I$23,IF(B86="V02",cad!$J$23,cad!$K$23))</f>
        <v/>
      </c>
      <c r="Y86">
        <f>IF(B86="V01",cad!$I$24,IF(B86="V02",cad!$J$24,cad!$K$24))</f>
        <v/>
      </c>
      <c r="Z86">
        <f>IF(B86="V01",cad!$I$25,IF(B86="V02",cad!$J$25,cad!$K$25))</f>
        <v/>
      </c>
      <c r="AA86">
        <f>IF(B86="V01",cad!$I$26,IF(B86="V02",cad!$J$26,cad!$K$26))</f>
        <v/>
      </c>
      <c r="AB86">
        <f>IF(B86="V01",cad!$I$37,IF(B86="V02",cad!$J$37,cad!$K$37))</f>
        <v/>
      </c>
      <c r="AC86">
        <f>IF(F86="MBWAY",cad!$I$9,IF(F86="ISCOM",cad!$I$10,IF(F86="IPAC",cad!$I$11,IF(F86="PIGIER",cad!$I$12,cad!$I$13))))</f>
        <v/>
      </c>
      <c r="AD86">
        <f>(O86*(1+W86)^S86+P86*((T86/U86)*(1+V86))^R86)*IFERROR(G86/Q86,0)*(J86+Y86)*K86*(L86+Z86)</f>
        <v/>
      </c>
      <c r="AE86">
        <f>IF(N86=1,AD86,0)</f>
        <v/>
      </c>
      <c r="AF86">
        <f>IF(N86=1,AD86,H86*(M86+AA86))</f>
        <v/>
      </c>
      <c r="AG86">
        <f>I86*(1+X86*AC86)</f>
        <v/>
      </c>
      <c r="AH86">
        <f>AF86*AG86+AE86*AB86</f>
        <v/>
      </c>
    </row>
    <row r="87">
      <c r="A87">
        <f>Moteur!D87</f>
        <v/>
      </c>
      <c r="B87">
        <f>Moteur!B87</f>
        <v/>
      </c>
      <c r="C87">
        <f>Moteur!F87</f>
        <v/>
      </c>
      <c r="D87">
        <f>Moteur!G87</f>
        <v/>
      </c>
      <c r="E87">
        <f>Moteur!H87</f>
        <v/>
      </c>
      <c r="F87">
        <f>Moteur!E87</f>
        <v/>
      </c>
      <c r="G87">
        <f>SUMIFS(Socle!$H$2:$H$175,Socle!$C$2:$C$175,A87,Socle!$D$2:$D$175,C87,Socle!$E$2:$E$175,D87,Socle!$F$2:$F$175,E87,Socle!$G$2:$G$175,"2026")</f>
        <v/>
      </c>
      <c r="H87">
        <f>SUMIFS(Socle!$N$2:$N$175,Socle!$C$2:$C$175,A87,Socle!$D$2:$D$175,C87,Socle!$E$2:$E$175,D87,Socle!$F$2:$F$175,E87,Socle!$G$2:$G$175,"2026")</f>
        <v/>
      </c>
      <c r="I87">
        <f>SUMIFS(Socle!$P$2:$P$175,Socle!$C$2:$C$175,A87,Socle!$D$2:$D$175,C87,Socle!$E$2:$E$175,D87,Socle!$F$2:$F$175,E87,Socle!$G$2:$G$175,"2026")</f>
        <v/>
      </c>
      <c r="J87">
        <f>SUMIFS(Socle!$W$2:$W$175,Socle!$C$2:$C$175,A87,Socle!$D$2:$D$175,C87,Socle!$E$2:$E$175,D87,Socle!$F$2:$F$175,E87,Socle!$G$2:$G$175,"2026")</f>
        <v/>
      </c>
      <c r="K87">
        <f>SUMIFS(Socle!$X$2:$X$175,Socle!$C$2:$C$175,A87,Socle!$D$2:$D$175,C87,Socle!$E$2:$E$175,D87,Socle!$F$2:$F$175,E87,Socle!$G$2:$G$175,"2026")</f>
        <v/>
      </c>
      <c r="L87">
        <f>SUMIFS(Socle!$Y$2:$Y$175,Socle!$C$2:$C$175,A87,Socle!$D$2:$D$175,C87,Socle!$E$2:$E$175,D87,Socle!$F$2:$F$175,E87,Socle!$G$2:$G$175,"2026")</f>
        <v/>
      </c>
      <c r="M87">
        <f>SUMIFS(Socle!$V$2:$V$175,Socle!$C$2:$C$175,A87,Socle!$D$2:$D$175,C87,Socle!$E$2:$E$175,D87,Socle!$F$2:$F$175,E87,Socle!$G$2:$G$175,"2026")</f>
        <v/>
      </c>
      <c r="N87">
        <f>IF(OR(D87="B1",D87="M1",D87="BTS1"),1,0)</f>
        <v/>
      </c>
      <c r="O87">
        <f>SUMIFS(Campagne!$D$2:$D$15,Campagne!$C$2:$C$15,A87)</f>
        <v/>
      </c>
      <c r="P87">
        <f>SUMIFS(Campagne!$E$2:$E$15,Campagne!$C$2:$C$15,A87)</f>
        <v/>
      </c>
      <c r="Q87">
        <f>SUMIFS(Campagne!$F$2:$F$15,Campagne!$C$2:$C$15,A87)</f>
        <v/>
      </c>
      <c r="R87">
        <f>SUMIFS(Campagne!$K$2:$K$15,Campagne!$C$2:$C$15,A87)</f>
        <v/>
      </c>
      <c r="S87">
        <f>SUMIFS(Campagne!$M$2:$M$15,Campagne!$C$2:$C$15,A87)</f>
        <v/>
      </c>
      <c r="T87">
        <f>SUMIFS(Pilotage!$Q$13:$Q$26,Pilotage!$F$13:$F$26,A87)</f>
        <v/>
      </c>
      <c r="U87">
        <f>SUMIFS(Pilotage!$N$13:$N$26,Pilotage!$F$13:$F$26,A87)</f>
        <v/>
      </c>
      <c r="V87">
        <f>IF(B87="V01",cad!$I$21,IF(B87="V02",cad!$J$21,cad!$K$21))</f>
        <v/>
      </c>
      <c r="W87">
        <f>IF(B87="V01",cad!$I$22,IF(B87="V02",cad!$J$22,cad!$K$22))</f>
        <v/>
      </c>
      <c r="X87">
        <f>IF(B87="V01",cad!$I$23,IF(B87="V02",cad!$J$23,cad!$K$23))</f>
        <v/>
      </c>
      <c r="Y87">
        <f>IF(B87="V01",cad!$I$24,IF(B87="V02",cad!$J$24,cad!$K$24))</f>
        <v/>
      </c>
      <c r="Z87">
        <f>IF(B87="V01",cad!$I$25,IF(B87="V02",cad!$J$25,cad!$K$25))</f>
        <v/>
      </c>
      <c r="AA87">
        <f>IF(B87="V01",cad!$I$26,IF(B87="V02",cad!$J$26,cad!$K$26))</f>
        <v/>
      </c>
      <c r="AB87">
        <f>IF(B87="V01",cad!$I$37,IF(B87="V02",cad!$J$37,cad!$K$37))</f>
        <v/>
      </c>
      <c r="AC87">
        <f>IF(F87="MBWAY",cad!$I$9,IF(F87="ISCOM",cad!$I$10,IF(F87="IPAC",cad!$I$11,IF(F87="PIGIER",cad!$I$12,cad!$I$13))))</f>
        <v/>
      </c>
      <c r="AD87">
        <f>(O87*(1+W87)^S87+P87*((T87/U87)*(1+V87))^R87)*IFERROR(G87/Q87,0)*(J87+Y87)*K87*(L87+Z87)</f>
        <v/>
      </c>
      <c r="AE87">
        <f>IF(N87=1,AD87,0)</f>
        <v/>
      </c>
      <c r="AF87">
        <f>IF(N87=1,AD87,H87*(M87+AA87))</f>
        <v/>
      </c>
      <c r="AG87">
        <f>I87*(1+X87*AC87)</f>
        <v/>
      </c>
      <c r="AH87">
        <f>AF87*AG87+AE87*AB87</f>
        <v/>
      </c>
    </row>
    <row r="88">
      <c r="A88">
        <f>Moteur!D88</f>
        <v/>
      </c>
      <c r="B88">
        <f>Moteur!B88</f>
        <v/>
      </c>
      <c r="C88">
        <f>Moteur!F88</f>
        <v/>
      </c>
      <c r="D88">
        <f>Moteur!G88</f>
        <v/>
      </c>
      <c r="E88">
        <f>Moteur!H88</f>
        <v/>
      </c>
      <c r="F88">
        <f>Moteur!E88</f>
        <v/>
      </c>
      <c r="G88">
        <f>SUMIFS(Socle!$H$2:$H$175,Socle!$C$2:$C$175,A88,Socle!$D$2:$D$175,C88,Socle!$E$2:$E$175,D88,Socle!$F$2:$F$175,E88,Socle!$G$2:$G$175,"2026")</f>
        <v/>
      </c>
      <c r="H88">
        <f>SUMIFS(Socle!$N$2:$N$175,Socle!$C$2:$C$175,A88,Socle!$D$2:$D$175,C88,Socle!$E$2:$E$175,D88,Socle!$F$2:$F$175,E88,Socle!$G$2:$G$175,"2026")</f>
        <v/>
      </c>
      <c r="I88">
        <f>SUMIFS(Socle!$P$2:$P$175,Socle!$C$2:$C$175,A88,Socle!$D$2:$D$175,C88,Socle!$E$2:$E$175,D88,Socle!$F$2:$F$175,E88,Socle!$G$2:$G$175,"2026")</f>
        <v/>
      </c>
      <c r="J88">
        <f>SUMIFS(Socle!$W$2:$W$175,Socle!$C$2:$C$175,A88,Socle!$D$2:$D$175,C88,Socle!$E$2:$E$175,D88,Socle!$F$2:$F$175,E88,Socle!$G$2:$G$175,"2026")</f>
        <v/>
      </c>
      <c r="K88">
        <f>SUMIFS(Socle!$X$2:$X$175,Socle!$C$2:$C$175,A88,Socle!$D$2:$D$175,C88,Socle!$E$2:$E$175,D88,Socle!$F$2:$F$175,E88,Socle!$G$2:$G$175,"2026")</f>
        <v/>
      </c>
      <c r="L88">
        <f>SUMIFS(Socle!$Y$2:$Y$175,Socle!$C$2:$C$175,A88,Socle!$D$2:$D$175,C88,Socle!$E$2:$E$175,D88,Socle!$F$2:$F$175,E88,Socle!$G$2:$G$175,"2026")</f>
        <v/>
      </c>
      <c r="M88">
        <f>SUMIFS(Socle!$V$2:$V$175,Socle!$C$2:$C$175,A88,Socle!$D$2:$D$175,C88,Socle!$E$2:$E$175,D88,Socle!$F$2:$F$175,E88,Socle!$G$2:$G$175,"2026")</f>
        <v/>
      </c>
      <c r="N88">
        <f>IF(OR(D88="B1",D88="M1",D88="BTS1"),1,0)</f>
        <v/>
      </c>
      <c r="O88">
        <f>SUMIFS(Campagne!$D$2:$D$15,Campagne!$C$2:$C$15,A88)</f>
        <v/>
      </c>
      <c r="P88">
        <f>SUMIFS(Campagne!$E$2:$E$15,Campagne!$C$2:$C$15,A88)</f>
        <v/>
      </c>
      <c r="Q88">
        <f>SUMIFS(Campagne!$F$2:$F$15,Campagne!$C$2:$C$15,A88)</f>
        <v/>
      </c>
      <c r="R88">
        <f>SUMIFS(Campagne!$K$2:$K$15,Campagne!$C$2:$C$15,A88)</f>
        <v/>
      </c>
      <c r="S88">
        <f>SUMIFS(Campagne!$M$2:$M$15,Campagne!$C$2:$C$15,A88)</f>
        <v/>
      </c>
      <c r="T88">
        <f>SUMIFS(Pilotage!$Q$13:$Q$26,Pilotage!$F$13:$F$26,A88)</f>
        <v/>
      </c>
      <c r="U88">
        <f>SUMIFS(Pilotage!$N$13:$N$26,Pilotage!$F$13:$F$26,A88)</f>
        <v/>
      </c>
      <c r="V88">
        <f>IF(B88="V01",cad!$I$21,IF(B88="V02",cad!$J$21,cad!$K$21))</f>
        <v/>
      </c>
      <c r="W88">
        <f>IF(B88="V01",cad!$I$22,IF(B88="V02",cad!$J$22,cad!$K$22))</f>
        <v/>
      </c>
      <c r="X88">
        <f>IF(B88="V01",cad!$I$23,IF(B88="V02",cad!$J$23,cad!$K$23))</f>
        <v/>
      </c>
      <c r="Y88">
        <f>IF(B88="V01",cad!$I$24,IF(B88="V02",cad!$J$24,cad!$K$24))</f>
        <v/>
      </c>
      <c r="Z88">
        <f>IF(B88="V01",cad!$I$25,IF(B88="V02",cad!$J$25,cad!$K$25))</f>
        <v/>
      </c>
      <c r="AA88">
        <f>IF(B88="V01",cad!$I$26,IF(B88="V02",cad!$J$26,cad!$K$26))</f>
        <v/>
      </c>
      <c r="AB88">
        <f>IF(B88="V01",cad!$I$37,IF(B88="V02",cad!$J$37,cad!$K$37))</f>
        <v/>
      </c>
      <c r="AC88">
        <f>IF(F88="MBWAY",cad!$I$9,IF(F88="ISCOM",cad!$I$10,IF(F88="IPAC",cad!$I$11,IF(F88="PIGIER",cad!$I$12,cad!$I$13))))</f>
        <v/>
      </c>
      <c r="AD88">
        <f>(O88*(1+W88)^S88+P88*((T88/U88)*(1+V88))^R88)*IFERROR(G88/Q88,0)*(J88+Y88)*K88*(L88+Z88)</f>
        <v/>
      </c>
      <c r="AE88">
        <f>IF(N88=1,AD88,0)</f>
        <v/>
      </c>
      <c r="AF88">
        <f>IF(N88=1,AD88,H88*(M88+AA88))</f>
        <v/>
      </c>
      <c r="AG88">
        <f>I88*(1+X88*AC88)</f>
        <v/>
      </c>
      <c r="AH88">
        <f>AF88*AG88+AE88*AB88</f>
        <v/>
      </c>
    </row>
    <row r="89">
      <c r="A89">
        <f>Moteur!D89</f>
        <v/>
      </c>
      <c r="B89">
        <f>Moteur!B89</f>
        <v/>
      </c>
      <c r="C89">
        <f>Moteur!F89</f>
        <v/>
      </c>
      <c r="D89">
        <f>Moteur!G89</f>
        <v/>
      </c>
      <c r="E89">
        <f>Moteur!H89</f>
        <v/>
      </c>
      <c r="F89">
        <f>Moteur!E89</f>
        <v/>
      </c>
      <c r="G89">
        <f>SUMIFS(Socle!$H$2:$H$175,Socle!$C$2:$C$175,A89,Socle!$D$2:$D$175,C89,Socle!$E$2:$E$175,D89,Socle!$F$2:$F$175,E89,Socle!$G$2:$G$175,"2026")</f>
        <v/>
      </c>
      <c r="H89">
        <f>SUMIFS(Socle!$N$2:$N$175,Socle!$C$2:$C$175,A89,Socle!$D$2:$D$175,C89,Socle!$E$2:$E$175,D89,Socle!$F$2:$F$175,E89,Socle!$G$2:$G$175,"2026")</f>
        <v/>
      </c>
      <c r="I89">
        <f>SUMIFS(Socle!$P$2:$P$175,Socle!$C$2:$C$175,A89,Socle!$D$2:$D$175,C89,Socle!$E$2:$E$175,D89,Socle!$F$2:$F$175,E89,Socle!$G$2:$G$175,"2026")</f>
        <v/>
      </c>
      <c r="J89">
        <f>SUMIFS(Socle!$W$2:$W$175,Socle!$C$2:$C$175,A89,Socle!$D$2:$D$175,C89,Socle!$E$2:$E$175,D89,Socle!$F$2:$F$175,E89,Socle!$G$2:$G$175,"2026")</f>
        <v/>
      </c>
      <c r="K89">
        <f>SUMIFS(Socle!$X$2:$X$175,Socle!$C$2:$C$175,A89,Socle!$D$2:$D$175,C89,Socle!$E$2:$E$175,D89,Socle!$F$2:$F$175,E89,Socle!$G$2:$G$175,"2026")</f>
        <v/>
      </c>
      <c r="L89">
        <f>SUMIFS(Socle!$Y$2:$Y$175,Socle!$C$2:$C$175,A89,Socle!$D$2:$D$175,C89,Socle!$E$2:$E$175,D89,Socle!$F$2:$F$175,E89,Socle!$G$2:$G$175,"2026")</f>
        <v/>
      </c>
      <c r="M89">
        <f>SUMIFS(Socle!$V$2:$V$175,Socle!$C$2:$C$175,A89,Socle!$D$2:$D$175,C89,Socle!$E$2:$E$175,D89,Socle!$F$2:$F$175,E89,Socle!$G$2:$G$175,"2026")</f>
        <v/>
      </c>
      <c r="N89">
        <f>IF(OR(D89="B1",D89="M1",D89="BTS1"),1,0)</f>
        <v/>
      </c>
      <c r="O89">
        <f>SUMIFS(Campagne!$D$2:$D$15,Campagne!$C$2:$C$15,A89)</f>
        <v/>
      </c>
      <c r="P89">
        <f>SUMIFS(Campagne!$E$2:$E$15,Campagne!$C$2:$C$15,A89)</f>
        <v/>
      </c>
      <c r="Q89">
        <f>SUMIFS(Campagne!$F$2:$F$15,Campagne!$C$2:$C$15,A89)</f>
        <v/>
      </c>
      <c r="R89">
        <f>SUMIFS(Campagne!$K$2:$K$15,Campagne!$C$2:$C$15,A89)</f>
        <v/>
      </c>
      <c r="S89">
        <f>SUMIFS(Campagne!$M$2:$M$15,Campagne!$C$2:$C$15,A89)</f>
        <v/>
      </c>
      <c r="T89">
        <f>SUMIFS(Pilotage!$Q$13:$Q$26,Pilotage!$F$13:$F$26,A89)</f>
        <v/>
      </c>
      <c r="U89">
        <f>SUMIFS(Pilotage!$N$13:$N$26,Pilotage!$F$13:$F$26,A89)</f>
        <v/>
      </c>
      <c r="V89">
        <f>IF(B89="V01",cad!$I$21,IF(B89="V02",cad!$J$21,cad!$K$21))</f>
        <v/>
      </c>
      <c r="W89">
        <f>IF(B89="V01",cad!$I$22,IF(B89="V02",cad!$J$22,cad!$K$22))</f>
        <v/>
      </c>
      <c r="X89">
        <f>IF(B89="V01",cad!$I$23,IF(B89="V02",cad!$J$23,cad!$K$23))</f>
        <v/>
      </c>
      <c r="Y89">
        <f>IF(B89="V01",cad!$I$24,IF(B89="V02",cad!$J$24,cad!$K$24))</f>
        <v/>
      </c>
      <c r="Z89">
        <f>IF(B89="V01",cad!$I$25,IF(B89="V02",cad!$J$25,cad!$K$25))</f>
        <v/>
      </c>
      <c r="AA89">
        <f>IF(B89="V01",cad!$I$26,IF(B89="V02",cad!$J$26,cad!$K$26))</f>
        <v/>
      </c>
      <c r="AB89">
        <f>IF(B89="V01",cad!$I$37,IF(B89="V02",cad!$J$37,cad!$K$37))</f>
        <v/>
      </c>
      <c r="AC89">
        <f>IF(F89="MBWAY",cad!$I$9,IF(F89="ISCOM",cad!$I$10,IF(F89="IPAC",cad!$I$11,IF(F89="PIGIER",cad!$I$12,cad!$I$13))))</f>
        <v/>
      </c>
      <c r="AD89">
        <f>(O89*(1+W89)^S89+P89*((T89/U89)*(1+V89))^R89)*IFERROR(G89/Q89,0)*(J89+Y89)*K89*(L89+Z89)</f>
        <v/>
      </c>
      <c r="AE89">
        <f>IF(N89=1,AD89,0)</f>
        <v/>
      </c>
      <c r="AF89">
        <f>IF(N89=1,AD89,H89*(M89+AA89))</f>
        <v/>
      </c>
      <c r="AG89">
        <f>I89*(1+X89*AC89)</f>
        <v/>
      </c>
      <c r="AH89">
        <f>AF89*AG89+AE89*AB89</f>
        <v/>
      </c>
    </row>
    <row r="90">
      <c r="A90">
        <f>Moteur!D90</f>
        <v/>
      </c>
      <c r="B90">
        <f>Moteur!B90</f>
        <v/>
      </c>
      <c r="C90">
        <f>Moteur!F90</f>
        <v/>
      </c>
      <c r="D90">
        <f>Moteur!G90</f>
        <v/>
      </c>
      <c r="E90">
        <f>Moteur!H90</f>
        <v/>
      </c>
      <c r="F90">
        <f>Moteur!E90</f>
        <v/>
      </c>
      <c r="G90">
        <f>SUMIFS(Socle!$H$2:$H$175,Socle!$C$2:$C$175,A90,Socle!$D$2:$D$175,C90,Socle!$E$2:$E$175,D90,Socle!$F$2:$F$175,E90,Socle!$G$2:$G$175,"2026")</f>
        <v/>
      </c>
      <c r="H90">
        <f>SUMIFS(Socle!$N$2:$N$175,Socle!$C$2:$C$175,A90,Socle!$D$2:$D$175,C90,Socle!$E$2:$E$175,D90,Socle!$F$2:$F$175,E90,Socle!$G$2:$G$175,"2026")</f>
        <v/>
      </c>
      <c r="I90">
        <f>SUMIFS(Socle!$P$2:$P$175,Socle!$C$2:$C$175,A90,Socle!$D$2:$D$175,C90,Socle!$E$2:$E$175,D90,Socle!$F$2:$F$175,E90,Socle!$G$2:$G$175,"2026")</f>
        <v/>
      </c>
      <c r="J90">
        <f>SUMIFS(Socle!$W$2:$W$175,Socle!$C$2:$C$175,A90,Socle!$D$2:$D$175,C90,Socle!$E$2:$E$175,D90,Socle!$F$2:$F$175,E90,Socle!$G$2:$G$175,"2026")</f>
        <v/>
      </c>
      <c r="K90">
        <f>SUMIFS(Socle!$X$2:$X$175,Socle!$C$2:$C$175,A90,Socle!$D$2:$D$175,C90,Socle!$E$2:$E$175,D90,Socle!$F$2:$F$175,E90,Socle!$G$2:$G$175,"2026")</f>
        <v/>
      </c>
      <c r="L90">
        <f>SUMIFS(Socle!$Y$2:$Y$175,Socle!$C$2:$C$175,A90,Socle!$D$2:$D$175,C90,Socle!$E$2:$E$175,D90,Socle!$F$2:$F$175,E90,Socle!$G$2:$G$175,"2026")</f>
        <v/>
      </c>
      <c r="M90">
        <f>SUMIFS(Socle!$V$2:$V$175,Socle!$C$2:$C$175,A90,Socle!$D$2:$D$175,C90,Socle!$E$2:$E$175,D90,Socle!$F$2:$F$175,E90,Socle!$G$2:$G$175,"2026")</f>
        <v/>
      </c>
      <c r="N90">
        <f>IF(OR(D90="B1",D90="M1",D90="BTS1"),1,0)</f>
        <v/>
      </c>
      <c r="O90">
        <f>SUMIFS(Campagne!$D$2:$D$15,Campagne!$C$2:$C$15,A90)</f>
        <v/>
      </c>
      <c r="P90">
        <f>SUMIFS(Campagne!$E$2:$E$15,Campagne!$C$2:$C$15,A90)</f>
        <v/>
      </c>
      <c r="Q90">
        <f>SUMIFS(Campagne!$F$2:$F$15,Campagne!$C$2:$C$15,A90)</f>
        <v/>
      </c>
      <c r="R90">
        <f>SUMIFS(Campagne!$K$2:$K$15,Campagne!$C$2:$C$15,A90)</f>
        <v/>
      </c>
      <c r="S90">
        <f>SUMIFS(Campagne!$M$2:$M$15,Campagne!$C$2:$C$15,A90)</f>
        <v/>
      </c>
      <c r="T90">
        <f>SUMIFS(Pilotage!$Q$13:$Q$26,Pilotage!$F$13:$F$26,A90)</f>
        <v/>
      </c>
      <c r="U90">
        <f>SUMIFS(Pilotage!$N$13:$N$26,Pilotage!$F$13:$F$26,A90)</f>
        <v/>
      </c>
      <c r="V90">
        <f>IF(B90="V01",cad!$I$21,IF(B90="V02",cad!$J$21,cad!$K$21))</f>
        <v/>
      </c>
      <c r="W90">
        <f>IF(B90="V01",cad!$I$22,IF(B90="V02",cad!$J$22,cad!$K$22))</f>
        <v/>
      </c>
      <c r="X90">
        <f>IF(B90="V01",cad!$I$23,IF(B90="V02",cad!$J$23,cad!$K$23))</f>
        <v/>
      </c>
      <c r="Y90">
        <f>IF(B90="V01",cad!$I$24,IF(B90="V02",cad!$J$24,cad!$K$24))</f>
        <v/>
      </c>
      <c r="Z90">
        <f>IF(B90="V01",cad!$I$25,IF(B90="V02",cad!$J$25,cad!$K$25))</f>
        <v/>
      </c>
      <c r="AA90">
        <f>IF(B90="V01",cad!$I$26,IF(B90="V02",cad!$J$26,cad!$K$26))</f>
        <v/>
      </c>
      <c r="AB90">
        <f>IF(B90="V01",cad!$I$37,IF(B90="V02",cad!$J$37,cad!$K$37))</f>
        <v/>
      </c>
      <c r="AC90">
        <f>IF(F90="MBWAY",cad!$I$9,IF(F90="ISCOM",cad!$I$10,IF(F90="IPAC",cad!$I$11,IF(F90="PIGIER",cad!$I$12,cad!$I$13))))</f>
        <v/>
      </c>
      <c r="AD90">
        <f>(O90*(1+W90)^S90+P90*((T90/U90)*(1+V90))^R90)*IFERROR(G90/Q90,0)*(J90+Y90)*K90*(L90+Z90)</f>
        <v/>
      </c>
      <c r="AE90">
        <f>IF(N90=1,AD90,0)</f>
        <v/>
      </c>
      <c r="AF90">
        <f>IF(N90=1,AD90,H90*(M90+AA90))</f>
        <v/>
      </c>
      <c r="AG90">
        <f>I90*(1+X90*AC90)</f>
        <v/>
      </c>
      <c r="AH90">
        <f>AF90*AG90+AE90*AB90</f>
        <v/>
      </c>
    </row>
    <row r="91">
      <c r="A91">
        <f>Moteur!D91</f>
        <v/>
      </c>
      <c r="B91">
        <f>Moteur!B91</f>
        <v/>
      </c>
      <c r="C91">
        <f>Moteur!F91</f>
        <v/>
      </c>
      <c r="D91">
        <f>Moteur!G91</f>
        <v/>
      </c>
      <c r="E91">
        <f>Moteur!H91</f>
        <v/>
      </c>
      <c r="F91">
        <f>Moteur!E91</f>
        <v/>
      </c>
      <c r="G91">
        <f>SUMIFS(Socle!$H$2:$H$175,Socle!$C$2:$C$175,A91,Socle!$D$2:$D$175,C91,Socle!$E$2:$E$175,D91,Socle!$F$2:$F$175,E91,Socle!$G$2:$G$175,"2026")</f>
        <v/>
      </c>
      <c r="H91">
        <f>SUMIFS(Socle!$N$2:$N$175,Socle!$C$2:$C$175,A91,Socle!$D$2:$D$175,C91,Socle!$E$2:$E$175,D91,Socle!$F$2:$F$175,E91,Socle!$G$2:$G$175,"2026")</f>
        <v/>
      </c>
      <c r="I91">
        <f>SUMIFS(Socle!$P$2:$P$175,Socle!$C$2:$C$175,A91,Socle!$D$2:$D$175,C91,Socle!$E$2:$E$175,D91,Socle!$F$2:$F$175,E91,Socle!$G$2:$G$175,"2026")</f>
        <v/>
      </c>
      <c r="J91">
        <f>SUMIFS(Socle!$W$2:$W$175,Socle!$C$2:$C$175,A91,Socle!$D$2:$D$175,C91,Socle!$E$2:$E$175,D91,Socle!$F$2:$F$175,E91,Socle!$G$2:$G$175,"2026")</f>
        <v/>
      </c>
      <c r="K91">
        <f>SUMIFS(Socle!$X$2:$X$175,Socle!$C$2:$C$175,A91,Socle!$D$2:$D$175,C91,Socle!$E$2:$E$175,D91,Socle!$F$2:$F$175,E91,Socle!$G$2:$G$175,"2026")</f>
        <v/>
      </c>
      <c r="L91">
        <f>SUMIFS(Socle!$Y$2:$Y$175,Socle!$C$2:$C$175,A91,Socle!$D$2:$D$175,C91,Socle!$E$2:$E$175,D91,Socle!$F$2:$F$175,E91,Socle!$G$2:$G$175,"2026")</f>
        <v/>
      </c>
      <c r="M91">
        <f>SUMIFS(Socle!$V$2:$V$175,Socle!$C$2:$C$175,A91,Socle!$D$2:$D$175,C91,Socle!$E$2:$E$175,D91,Socle!$F$2:$F$175,E91,Socle!$G$2:$G$175,"2026")</f>
        <v/>
      </c>
      <c r="N91">
        <f>IF(OR(D91="B1",D91="M1",D91="BTS1"),1,0)</f>
        <v/>
      </c>
      <c r="O91">
        <f>SUMIFS(Campagne!$D$2:$D$15,Campagne!$C$2:$C$15,A91)</f>
        <v/>
      </c>
      <c r="P91">
        <f>SUMIFS(Campagne!$E$2:$E$15,Campagne!$C$2:$C$15,A91)</f>
        <v/>
      </c>
      <c r="Q91">
        <f>SUMIFS(Campagne!$F$2:$F$15,Campagne!$C$2:$C$15,A91)</f>
        <v/>
      </c>
      <c r="R91">
        <f>SUMIFS(Campagne!$K$2:$K$15,Campagne!$C$2:$C$15,A91)</f>
        <v/>
      </c>
      <c r="S91">
        <f>SUMIFS(Campagne!$M$2:$M$15,Campagne!$C$2:$C$15,A91)</f>
        <v/>
      </c>
      <c r="T91">
        <f>SUMIFS(Pilotage!$Q$13:$Q$26,Pilotage!$F$13:$F$26,A91)</f>
        <v/>
      </c>
      <c r="U91">
        <f>SUMIFS(Pilotage!$N$13:$N$26,Pilotage!$F$13:$F$26,A91)</f>
        <v/>
      </c>
      <c r="V91">
        <f>IF(B91="V01",cad!$I$21,IF(B91="V02",cad!$J$21,cad!$K$21))</f>
        <v/>
      </c>
      <c r="W91">
        <f>IF(B91="V01",cad!$I$22,IF(B91="V02",cad!$J$22,cad!$K$22))</f>
        <v/>
      </c>
      <c r="X91">
        <f>IF(B91="V01",cad!$I$23,IF(B91="V02",cad!$J$23,cad!$K$23))</f>
        <v/>
      </c>
      <c r="Y91">
        <f>IF(B91="V01",cad!$I$24,IF(B91="V02",cad!$J$24,cad!$K$24))</f>
        <v/>
      </c>
      <c r="Z91">
        <f>IF(B91="V01",cad!$I$25,IF(B91="V02",cad!$J$25,cad!$K$25))</f>
        <v/>
      </c>
      <c r="AA91">
        <f>IF(B91="V01",cad!$I$26,IF(B91="V02",cad!$J$26,cad!$K$26))</f>
        <v/>
      </c>
      <c r="AB91">
        <f>IF(B91="V01",cad!$I$37,IF(B91="V02",cad!$J$37,cad!$K$37))</f>
        <v/>
      </c>
      <c r="AC91">
        <f>IF(F91="MBWAY",cad!$I$9,IF(F91="ISCOM",cad!$I$10,IF(F91="IPAC",cad!$I$11,IF(F91="PIGIER",cad!$I$12,cad!$I$13))))</f>
        <v/>
      </c>
      <c r="AD91">
        <f>(O91*(1+W91)^S91+P91*((T91/U91)*(1+V91))^R91)*IFERROR(G91/Q91,0)*(J91+Y91)*K91*(L91+Z91)</f>
        <v/>
      </c>
      <c r="AE91">
        <f>IF(N91=1,AD91,0)</f>
        <v/>
      </c>
      <c r="AF91">
        <f>IF(N91=1,AD91,H91*(M91+AA91))</f>
        <v/>
      </c>
      <c r="AG91">
        <f>I91*(1+X91*AC91)</f>
        <v/>
      </c>
      <c r="AH91">
        <f>AF91*AG91+AE91*AB91</f>
        <v/>
      </c>
    </row>
    <row r="92">
      <c r="A92">
        <f>Moteur!D92</f>
        <v/>
      </c>
      <c r="B92">
        <f>Moteur!B92</f>
        <v/>
      </c>
      <c r="C92">
        <f>Moteur!F92</f>
        <v/>
      </c>
      <c r="D92">
        <f>Moteur!G92</f>
        <v/>
      </c>
      <c r="E92">
        <f>Moteur!H92</f>
        <v/>
      </c>
      <c r="F92">
        <f>Moteur!E92</f>
        <v/>
      </c>
      <c r="G92">
        <f>SUMIFS(Socle!$H$2:$H$175,Socle!$C$2:$C$175,A92,Socle!$D$2:$D$175,C92,Socle!$E$2:$E$175,D92,Socle!$F$2:$F$175,E92,Socle!$G$2:$G$175,"2026")</f>
        <v/>
      </c>
      <c r="H92">
        <f>SUMIFS(Socle!$N$2:$N$175,Socle!$C$2:$C$175,A92,Socle!$D$2:$D$175,C92,Socle!$E$2:$E$175,D92,Socle!$F$2:$F$175,E92,Socle!$G$2:$G$175,"2026")</f>
        <v/>
      </c>
      <c r="I92">
        <f>SUMIFS(Socle!$P$2:$P$175,Socle!$C$2:$C$175,A92,Socle!$D$2:$D$175,C92,Socle!$E$2:$E$175,D92,Socle!$F$2:$F$175,E92,Socle!$G$2:$G$175,"2026")</f>
        <v/>
      </c>
      <c r="J92">
        <f>SUMIFS(Socle!$W$2:$W$175,Socle!$C$2:$C$175,A92,Socle!$D$2:$D$175,C92,Socle!$E$2:$E$175,D92,Socle!$F$2:$F$175,E92,Socle!$G$2:$G$175,"2026")</f>
        <v/>
      </c>
      <c r="K92">
        <f>SUMIFS(Socle!$X$2:$X$175,Socle!$C$2:$C$175,A92,Socle!$D$2:$D$175,C92,Socle!$E$2:$E$175,D92,Socle!$F$2:$F$175,E92,Socle!$G$2:$G$175,"2026")</f>
        <v/>
      </c>
      <c r="L92">
        <f>SUMIFS(Socle!$Y$2:$Y$175,Socle!$C$2:$C$175,A92,Socle!$D$2:$D$175,C92,Socle!$E$2:$E$175,D92,Socle!$F$2:$F$175,E92,Socle!$G$2:$G$175,"2026")</f>
        <v/>
      </c>
      <c r="M92">
        <f>SUMIFS(Socle!$V$2:$V$175,Socle!$C$2:$C$175,A92,Socle!$D$2:$D$175,C92,Socle!$E$2:$E$175,D92,Socle!$F$2:$F$175,E92,Socle!$G$2:$G$175,"2026")</f>
        <v/>
      </c>
      <c r="N92">
        <f>IF(OR(D92="B1",D92="M1",D92="BTS1"),1,0)</f>
        <v/>
      </c>
      <c r="O92">
        <f>SUMIFS(Campagne!$D$2:$D$15,Campagne!$C$2:$C$15,A92)</f>
        <v/>
      </c>
      <c r="P92">
        <f>SUMIFS(Campagne!$E$2:$E$15,Campagne!$C$2:$C$15,A92)</f>
        <v/>
      </c>
      <c r="Q92">
        <f>SUMIFS(Campagne!$F$2:$F$15,Campagne!$C$2:$C$15,A92)</f>
        <v/>
      </c>
      <c r="R92">
        <f>SUMIFS(Campagne!$K$2:$K$15,Campagne!$C$2:$C$15,A92)</f>
        <v/>
      </c>
      <c r="S92">
        <f>SUMIFS(Campagne!$M$2:$M$15,Campagne!$C$2:$C$15,A92)</f>
        <v/>
      </c>
      <c r="T92">
        <f>SUMIFS(Pilotage!$Q$13:$Q$26,Pilotage!$F$13:$F$26,A92)</f>
        <v/>
      </c>
      <c r="U92">
        <f>SUMIFS(Pilotage!$N$13:$N$26,Pilotage!$F$13:$F$26,A92)</f>
        <v/>
      </c>
      <c r="V92">
        <f>IF(B92="V01",cad!$I$21,IF(B92="V02",cad!$J$21,cad!$K$21))</f>
        <v/>
      </c>
      <c r="W92">
        <f>IF(B92="V01",cad!$I$22,IF(B92="V02",cad!$J$22,cad!$K$22))</f>
        <v/>
      </c>
      <c r="X92">
        <f>IF(B92="V01",cad!$I$23,IF(B92="V02",cad!$J$23,cad!$K$23))</f>
        <v/>
      </c>
      <c r="Y92">
        <f>IF(B92="V01",cad!$I$24,IF(B92="V02",cad!$J$24,cad!$K$24))</f>
        <v/>
      </c>
      <c r="Z92">
        <f>IF(B92="V01",cad!$I$25,IF(B92="V02",cad!$J$25,cad!$K$25))</f>
        <v/>
      </c>
      <c r="AA92">
        <f>IF(B92="V01",cad!$I$26,IF(B92="V02",cad!$J$26,cad!$K$26))</f>
        <v/>
      </c>
      <c r="AB92">
        <f>IF(B92="V01",cad!$I$37,IF(B92="V02",cad!$J$37,cad!$K$37))</f>
        <v/>
      </c>
      <c r="AC92">
        <f>IF(F92="MBWAY",cad!$I$9,IF(F92="ISCOM",cad!$I$10,IF(F92="IPAC",cad!$I$11,IF(F92="PIGIER",cad!$I$12,cad!$I$13))))</f>
        <v/>
      </c>
      <c r="AD92">
        <f>(O92*(1+W92)^S92+P92*((T92/U92)*(1+V92))^R92)*IFERROR(G92/Q92,0)*(J92+Y92)*K92*(L92+Z92)</f>
        <v/>
      </c>
      <c r="AE92">
        <f>IF(N92=1,AD92,0)</f>
        <v/>
      </c>
      <c r="AF92">
        <f>IF(N92=1,AD92,H92*(M92+AA92))</f>
        <v/>
      </c>
      <c r="AG92">
        <f>I92*(1+X92*AC92)</f>
        <v/>
      </c>
      <c r="AH92">
        <f>AF92*AG92+AE92*AB92</f>
        <v/>
      </c>
    </row>
    <row r="93">
      <c r="A93">
        <f>Moteur!D93</f>
        <v/>
      </c>
      <c r="B93">
        <f>Moteur!B93</f>
        <v/>
      </c>
      <c r="C93">
        <f>Moteur!F93</f>
        <v/>
      </c>
      <c r="D93">
        <f>Moteur!G93</f>
        <v/>
      </c>
      <c r="E93">
        <f>Moteur!H93</f>
        <v/>
      </c>
      <c r="F93">
        <f>Moteur!E93</f>
        <v/>
      </c>
      <c r="G93">
        <f>SUMIFS(Socle!$H$2:$H$175,Socle!$C$2:$C$175,A93,Socle!$D$2:$D$175,C93,Socle!$E$2:$E$175,D93,Socle!$F$2:$F$175,E93,Socle!$G$2:$G$175,"2026")</f>
        <v/>
      </c>
      <c r="H93">
        <f>SUMIFS(Socle!$N$2:$N$175,Socle!$C$2:$C$175,A93,Socle!$D$2:$D$175,C93,Socle!$E$2:$E$175,D93,Socle!$F$2:$F$175,E93,Socle!$G$2:$G$175,"2026")</f>
        <v/>
      </c>
      <c r="I93">
        <f>SUMIFS(Socle!$P$2:$P$175,Socle!$C$2:$C$175,A93,Socle!$D$2:$D$175,C93,Socle!$E$2:$E$175,D93,Socle!$F$2:$F$175,E93,Socle!$G$2:$G$175,"2026")</f>
        <v/>
      </c>
      <c r="J93">
        <f>SUMIFS(Socle!$W$2:$W$175,Socle!$C$2:$C$175,A93,Socle!$D$2:$D$175,C93,Socle!$E$2:$E$175,D93,Socle!$F$2:$F$175,E93,Socle!$G$2:$G$175,"2026")</f>
        <v/>
      </c>
      <c r="K93">
        <f>SUMIFS(Socle!$X$2:$X$175,Socle!$C$2:$C$175,A93,Socle!$D$2:$D$175,C93,Socle!$E$2:$E$175,D93,Socle!$F$2:$F$175,E93,Socle!$G$2:$G$175,"2026")</f>
        <v/>
      </c>
      <c r="L93">
        <f>SUMIFS(Socle!$Y$2:$Y$175,Socle!$C$2:$C$175,A93,Socle!$D$2:$D$175,C93,Socle!$E$2:$E$175,D93,Socle!$F$2:$F$175,E93,Socle!$G$2:$G$175,"2026")</f>
        <v/>
      </c>
      <c r="M93">
        <f>SUMIFS(Socle!$V$2:$V$175,Socle!$C$2:$C$175,A93,Socle!$D$2:$D$175,C93,Socle!$E$2:$E$175,D93,Socle!$F$2:$F$175,E93,Socle!$G$2:$G$175,"2026")</f>
        <v/>
      </c>
      <c r="N93">
        <f>IF(OR(D93="B1",D93="M1",D93="BTS1"),1,0)</f>
        <v/>
      </c>
      <c r="O93">
        <f>SUMIFS(Campagne!$D$2:$D$15,Campagne!$C$2:$C$15,A93)</f>
        <v/>
      </c>
      <c r="P93">
        <f>SUMIFS(Campagne!$E$2:$E$15,Campagne!$C$2:$C$15,A93)</f>
        <v/>
      </c>
      <c r="Q93">
        <f>SUMIFS(Campagne!$F$2:$F$15,Campagne!$C$2:$C$15,A93)</f>
        <v/>
      </c>
      <c r="R93">
        <f>SUMIFS(Campagne!$K$2:$K$15,Campagne!$C$2:$C$15,A93)</f>
        <v/>
      </c>
      <c r="S93">
        <f>SUMIFS(Campagne!$M$2:$M$15,Campagne!$C$2:$C$15,A93)</f>
        <v/>
      </c>
      <c r="T93">
        <f>SUMIFS(Pilotage!$Q$13:$Q$26,Pilotage!$F$13:$F$26,A93)</f>
        <v/>
      </c>
      <c r="U93">
        <f>SUMIFS(Pilotage!$N$13:$N$26,Pilotage!$F$13:$F$26,A93)</f>
        <v/>
      </c>
      <c r="V93">
        <f>IF(B93="V01",cad!$I$21,IF(B93="V02",cad!$J$21,cad!$K$21))</f>
        <v/>
      </c>
      <c r="W93">
        <f>IF(B93="V01",cad!$I$22,IF(B93="V02",cad!$J$22,cad!$K$22))</f>
        <v/>
      </c>
      <c r="X93">
        <f>IF(B93="V01",cad!$I$23,IF(B93="V02",cad!$J$23,cad!$K$23))</f>
        <v/>
      </c>
      <c r="Y93">
        <f>IF(B93="V01",cad!$I$24,IF(B93="V02",cad!$J$24,cad!$K$24))</f>
        <v/>
      </c>
      <c r="Z93">
        <f>IF(B93="V01",cad!$I$25,IF(B93="V02",cad!$J$25,cad!$K$25))</f>
        <v/>
      </c>
      <c r="AA93">
        <f>IF(B93="V01",cad!$I$26,IF(B93="V02",cad!$J$26,cad!$K$26))</f>
        <v/>
      </c>
      <c r="AB93">
        <f>IF(B93="V01",cad!$I$37,IF(B93="V02",cad!$J$37,cad!$K$37))</f>
        <v/>
      </c>
      <c r="AC93">
        <f>IF(F93="MBWAY",cad!$I$9,IF(F93="ISCOM",cad!$I$10,IF(F93="IPAC",cad!$I$11,IF(F93="PIGIER",cad!$I$12,cad!$I$13))))</f>
        <v/>
      </c>
      <c r="AD93">
        <f>(O93*(1+W93)^S93+P93*((T93/U93)*(1+V93))^R93)*IFERROR(G93/Q93,0)*(J93+Y93)*K93*(L93+Z93)</f>
        <v/>
      </c>
      <c r="AE93">
        <f>IF(N93=1,AD93,0)</f>
        <v/>
      </c>
      <c r="AF93">
        <f>IF(N93=1,AD93,H93*(M93+AA93))</f>
        <v/>
      </c>
      <c r="AG93">
        <f>I93*(1+X93*AC93)</f>
        <v/>
      </c>
      <c r="AH93">
        <f>AF93*AG93+AE93*AB93</f>
        <v/>
      </c>
    </row>
    <row r="94">
      <c r="A94">
        <f>Moteur!D94</f>
        <v/>
      </c>
      <c r="B94">
        <f>Moteur!B94</f>
        <v/>
      </c>
      <c r="C94">
        <f>Moteur!F94</f>
        <v/>
      </c>
      <c r="D94">
        <f>Moteur!G94</f>
        <v/>
      </c>
      <c r="E94">
        <f>Moteur!H94</f>
        <v/>
      </c>
      <c r="F94">
        <f>Moteur!E94</f>
        <v/>
      </c>
      <c r="G94">
        <f>SUMIFS(Socle!$H$2:$H$175,Socle!$C$2:$C$175,A94,Socle!$D$2:$D$175,C94,Socle!$E$2:$E$175,D94,Socle!$F$2:$F$175,E94,Socle!$G$2:$G$175,"2026")</f>
        <v/>
      </c>
      <c r="H94">
        <f>SUMIFS(Socle!$N$2:$N$175,Socle!$C$2:$C$175,A94,Socle!$D$2:$D$175,C94,Socle!$E$2:$E$175,D94,Socle!$F$2:$F$175,E94,Socle!$G$2:$G$175,"2026")</f>
        <v/>
      </c>
      <c r="I94">
        <f>SUMIFS(Socle!$P$2:$P$175,Socle!$C$2:$C$175,A94,Socle!$D$2:$D$175,C94,Socle!$E$2:$E$175,D94,Socle!$F$2:$F$175,E94,Socle!$G$2:$G$175,"2026")</f>
        <v/>
      </c>
      <c r="J94">
        <f>SUMIFS(Socle!$W$2:$W$175,Socle!$C$2:$C$175,A94,Socle!$D$2:$D$175,C94,Socle!$E$2:$E$175,D94,Socle!$F$2:$F$175,E94,Socle!$G$2:$G$175,"2026")</f>
        <v/>
      </c>
      <c r="K94">
        <f>SUMIFS(Socle!$X$2:$X$175,Socle!$C$2:$C$175,A94,Socle!$D$2:$D$175,C94,Socle!$E$2:$E$175,D94,Socle!$F$2:$F$175,E94,Socle!$G$2:$G$175,"2026")</f>
        <v/>
      </c>
      <c r="L94">
        <f>SUMIFS(Socle!$Y$2:$Y$175,Socle!$C$2:$C$175,A94,Socle!$D$2:$D$175,C94,Socle!$E$2:$E$175,D94,Socle!$F$2:$F$175,E94,Socle!$G$2:$G$175,"2026")</f>
        <v/>
      </c>
      <c r="M94">
        <f>SUMIFS(Socle!$V$2:$V$175,Socle!$C$2:$C$175,A94,Socle!$D$2:$D$175,C94,Socle!$E$2:$E$175,D94,Socle!$F$2:$F$175,E94,Socle!$G$2:$G$175,"2026")</f>
        <v/>
      </c>
      <c r="N94">
        <f>IF(OR(D94="B1",D94="M1",D94="BTS1"),1,0)</f>
        <v/>
      </c>
      <c r="O94">
        <f>SUMIFS(Campagne!$D$2:$D$15,Campagne!$C$2:$C$15,A94)</f>
        <v/>
      </c>
      <c r="P94">
        <f>SUMIFS(Campagne!$E$2:$E$15,Campagne!$C$2:$C$15,A94)</f>
        <v/>
      </c>
      <c r="Q94">
        <f>SUMIFS(Campagne!$F$2:$F$15,Campagne!$C$2:$C$15,A94)</f>
        <v/>
      </c>
      <c r="R94">
        <f>SUMIFS(Campagne!$K$2:$K$15,Campagne!$C$2:$C$15,A94)</f>
        <v/>
      </c>
      <c r="S94">
        <f>SUMIFS(Campagne!$M$2:$M$15,Campagne!$C$2:$C$15,A94)</f>
        <v/>
      </c>
      <c r="T94">
        <f>SUMIFS(Pilotage!$Q$13:$Q$26,Pilotage!$F$13:$F$26,A94)</f>
        <v/>
      </c>
      <c r="U94">
        <f>SUMIFS(Pilotage!$N$13:$N$26,Pilotage!$F$13:$F$26,A94)</f>
        <v/>
      </c>
      <c r="V94">
        <f>IF(B94="V01",cad!$I$21,IF(B94="V02",cad!$J$21,cad!$K$21))</f>
        <v/>
      </c>
      <c r="W94">
        <f>IF(B94="V01",cad!$I$22,IF(B94="V02",cad!$J$22,cad!$K$22))</f>
        <v/>
      </c>
      <c r="X94">
        <f>IF(B94="V01",cad!$I$23,IF(B94="V02",cad!$J$23,cad!$K$23))</f>
        <v/>
      </c>
      <c r="Y94">
        <f>IF(B94="V01",cad!$I$24,IF(B94="V02",cad!$J$24,cad!$K$24))</f>
        <v/>
      </c>
      <c r="Z94">
        <f>IF(B94="V01",cad!$I$25,IF(B94="V02",cad!$J$25,cad!$K$25))</f>
        <v/>
      </c>
      <c r="AA94">
        <f>IF(B94="V01",cad!$I$26,IF(B94="V02",cad!$J$26,cad!$K$26))</f>
        <v/>
      </c>
      <c r="AB94">
        <f>IF(B94="V01",cad!$I$37,IF(B94="V02",cad!$J$37,cad!$K$37))</f>
        <v/>
      </c>
      <c r="AC94">
        <f>IF(F94="MBWAY",cad!$I$9,IF(F94="ISCOM",cad!$I$10,IF(F94="IPAC",cad!$I$11,IF(F94="PIGIER",cad!$I$12,cad!$I$13))))</f>
        <v/>
      </c>
      <c r="AD94">
        <f>(O94*(1+W94)^S94+P94*((T94/U94)*(1+V94))^R94)*IFERROR(G94/Q94,0)*(J94+Y94)*K94*(L94+Z94)</f>
        <v/>
      </c>
      <c r="AE94">
        <f>IF(N94=1,AD94,0)</f>
        <v/>
      </c>
      <c r="AF94">
        <f>IF(N94=1,AD94,H94*(M94+AA94))</f>
        <v/>
      </c>
      <c r="AG94">
        <f>I94*(1+X94*AC94)</f>
        <v/>
      </c>
      <c r="AH94">
        <f>AF94*AG94+AE94*AB94</f>
        <v/>
      </c>
    </row>
    <row r="95">
      <c r="A95">
        <f>Moteur!D95</f>
        <v/>
      </c>
      <c r="B95">
        <f>Moteur!B95</f>
        <v/>
      </c>
      <c r="C95">
        <f>Moteur!F95</f>
        <v/>
      </c>
      <c r="D95">
        <f>Moteur!G95</f>
        <v/>
      </c>
      <c r="E95">
        <f>Moteur!H95</f>
        <v/>
      </c>
      <c r="F95">
        <f>Moteur!E95</f>
        <v/>
      </c>
      <c r="G95">
        <f>SUMIFS(Socle!$H$2:$H$175,Socle!$C$2:$C$175,A95,Socle!$D$2:$D$175,C95,Socle!$E$2:$E$175,D95,Socle!$F$2:$F$175,E95,Socle!$G$2:$G$175,"2026")</f>
        <v/>
      </c>
      <c r="H95">
        <f>SUMIFS(Socle!$N$2:$N$175,Socle!$C$2:$C$175,A95,Socle!$D$2:$D$175,C95,Socle!$E$2:$E$175,D95,Socle!$F$2:$F$175,E95,Socle!$G$2:$G$175,"2026")</f>
        <v/>
      </c>
      <c r="I95">
        <f>SUMIFS(Socle!$P$2:$P$175,Socle!$C$2:$C$175,A95,Socle!$D$2:$D$175,C95,Socle!$E$2:$E$175,D95,Socle!$F$2:$F$175,E95,Socle!$G$2:$G$175,"2026")</f>
        <v/>
      </c>
      <c r="J95">
        <f>SUMIFS(Socle!$W$2:$W$175,Socle!$C$2:$C$175,A95,Socle!$D$2:$D$175,C95,Socle!$E$2:$E$175,D95,Socle!$F$2:$F$175,E95,Socle!$G$2:$G$175,"2026")</f>
        <v/>
      </c>
      <c r="K95">
        <f>SUMIFS(Socle!$X$2:$X$175,Socle!$C$2:$C$175,A95,Socle!$D$2:$D$175,C95,Socle!$E$2:$E$175,D95,Socle!$F$2:$F$175,E95,Socle!$G$2:$G$175,"2026")</f>
        <v/>
      </c>
      <c r="L95">
        <f>SUMIFS(Socle!$Y$2:$Y$175,Socle!$C$2:$C$175,A95,Socle!$D$2:$D$175,C95,Socle!$E$2:$E$175,D95,Socle!$F$2:$F$175,E95,Socle!$G$2:$G$175,"2026")</f>
        <v/>
      </c>
      <c r="M95">
        <f>SUMIFS(Socle!$V$2:$V$175,Socle!$C$2:$C$175,A95,Socle!$D$2:$D$175,C95,Socle!$E$2:$E$175,D95,Socle!$F$2:$F$175,E95,Socle!$G$2:$G$175,"2026")</f>
        <v/>
      </c>
      <c r="N95">
        <f>IF(OR(D95="B1",D95="M1",D95="BTS1"),1,0)</f>
        <v/>
      </c>
      <c r="O95">
        <f>SUMIFS(Campagne!$D$2:$D$15,Campagne!$C$2:$C$15,A95)</f>
        <v/>
      </c>
      <c r="P95">
        <f>SUMIFS(Campagne!$E$2:$E$15,Campagne!$C$2:$C$15,A95)</f>
        <v/>
      </c>
      <c r="Q95">
        <f>SUMIFS(Campagne!$F$2:$F$15,Campagne!$C$2:$C$15,A95)</f>
        <v/>
      </c>
      <c r="R95">
        <f>SUMIFS(Campagne!$K$2:$K$15,Campagne!$C$2:$C$15,A95)</f>
        <v/>
      </c>
      <c r="S95">
        <f>SUMIFS(Campagne!$M$2:$M$15,Campagne!$C$2:$C$15,A95)</f>
        <v/>
      </c>
      <c r="T95">
        <f>SUMIFS(Pilotage!$Q$13:$Q$26,Pilotage!$F$13:$F$26,A95)</f>
        <v/>
      </c>
      <c r="U95">
        <f>SUMIFS(Pilotage!$N$13:$N$26,Pilotage!$F$13:$F$26,A95)</f>
        <v/>
      </c>
      <c r="V95">
        <f>IF(B95="V01",cad!$I$21,IF(B95="V02",cad!$J$21,cad!$K$21))</f>
        <v/>
      </c>
      <c r="W95">
        <f>IF(B95="V01",cad!$I$22,IF(B95="V02",cad!$J$22,cad!$K$22))</f>
        <v/>
      </c>
      <c r="X95">
        <f>IF(B95="V01",cad!$I$23,IF(B95="V02",cad!$J$23,cad!$K$23))</f>
        <v/>
      </c>
      <c r="Y95">
        <f>IF(B95="V01",cad!$I$24,IF(B95="V02",cad!$J$24,cad!$K$24))</f>
        <v/>
      </c>
      <c r="Z95">
        <f>IF(B95="V01",cad!$I$25,IF(B95="V02",cad!$J$25,cad!$K$25))</f>
        <v/>
      </c>
      <c r="AA95">
        <f>IF(B95="V01",cad!$I$26,IF(B95="V02",cad!$J$26,cad!$K$26))</f>
        <v/>
      </c>
      <c r="AB95">
        <f>IF(B95="V01",cad!$I$37,IF(B95="V02",cad!$J$37,cad!$K$37))</f>
        <v/>
      </c>
      <c r="AC95">
        <f>IF(F95="MBWAY",cad!$I$9,IF(F95="ISCOM",cad!$I$10,IF(F95="IPAC",cad!$I$11,IF(F95="PIGIER",cad!$I$12,cad!$I$13))))</f>
        <v/>
      </c>
      <c r="AD95">
        <f>(O95*(1+W95)^S95+P95*((T95/U95)*(1+V95))^R95)*IFERROR(G95/Q95,0)*(J95+Y95)*K95*(L95+Z95)</f>
        <v/>
      </c>
      <c r="AE95">
        <f>IF(N95=1,AD95,0)</f>
        <v/>
      </c>
      <c r="AF95">
        <f>IF(N95=1,AD95,H95*(M95+AA95))</f>
        <v/>
      </c>
      <c r="AG95">
        <f>I95*(1+X95*AC95)</f>
        <v/>
      </c>
      <c r="AH95">
        <f>AF95*AG95+AE95*AB95</f>
        <v/>
      </c>
    </row>
    <row r="96">
      <c r="A96">
        <f>Moteur!D96</f>
        <v/>
      </c>
      <c r="B96">
        <f>Moteur!B96</f>
        <v/>
      </c>
      <c r="C96">
        <f>Moteur!F96</f>
        <v/>
      </c>
      <c r="D96">
        <f>Moteur!G96</f>
        <v/>
      </c>
      <c r="E96">
        <f>Moteur!H96</f>
        <v/>
      </c>
      <c r="F96">
        <f>Moteur!E96</f>
        <v/>
      </c>
      <c r="G96">
        <f>SUMIFS(Socle!$H$2:$H$175,Socle!$C$2:$C$175,A96,Socle!$D$2:$D$175,C96,Socle!$E$2:$E$175,D96,Socle!$F$2:$F$175,E96,Socle!$G$2:$G$175,"2026")</f>
        <v/>
      </c>
      <c r="H96">
        <f>SUMIFS(Socle!$N$2:$N$175,Socle!$C$2:$C$175,A96,Socle!$D$2:$D$175,C96,Socle!$E$2:$E$175,D96,Socle!$F$2:$F$175,E96,Socle!$G$2:$G$175,"2026")</f>
        <v/>
      </c>
      <c r="I96">
        <f>SUMIFS(Socle!$P$2:$P$175,Socle!$C$2:$C$175,A96,Socle!$D$2:$D$175,C96,Socle!$E$2:$E$175,D96,Socle!$F$2:$F$175,E96,Socle!$G$2:$G$175,"2026")</f>
        <v/>
      </c>
      <c r="J96">
        <f>SUMIFS(Socle!$W$2:$W$175,Socle!$C$2:$C$175,A96,Socle!$D$2:$D$175,C96,Socle!$E$2:$E$175,D96,Socle!$F$2:$F$175,E96,Socle!$G$2:$G$175,"2026")</f>
        <v/>
      </c>
      <c r="K96">
        <f>SUMIFS(Socle!$X$2:$X$175,Socle!$C$2:$C$175,A96,Socle!$D$2:$D$175,C96,Socle!$E$2:$E$175,D96,Socle!$F$2:$F$175,E96,Socle!$G$2:$G$175,"2026")</f>
        <v/>
      </c>
      <c r="L96">
        <f>SUMIFS(Socle!$Y$2:$Y$175,Socle!$C$2:$C$175,A96,Socle!$D$2:$D$175,C96,Socle!$E$2:$E$175,D96,Socle!$F$2:$F$175,E96,Socle!$G$2:$G$175,"2026")</f>
        <v/>
      </c>
      <c r="M96">
        <f>SUMIFS(Socle!$V$2:$V$175,Socle!$C$2:$C$175,A96,Socle!$D$2:$D$175,C96,Socle!$E$2:$E$175,D96,Socle!$F$2:$F$175,E96,Socle!$G$2:$G$175,"2026")</f>
        <v/>
      </c>
      <c r="N96">
        <f>IF(OR(D96="B1",D96="M1",D96="BTS1"),1,0)</f>
        <v/>
      </c>
      <c r="O96">
        <f>SUMIFS(Campagne!$D$2:$D$15,Campagne!$C$2:$C$15,A96)</f>
        <v/>
      </c>
      <c r="P96">
        <f>SUMIFS(Campagne!$E$2:$E$15,Campagne!$C$2:$C$15,A96)</f>
        <v/>
      </c>
      <c r="Q96">
        <f>SUMIFS(Campagne!$F$2:$F$15,Campagne!$C$2:$C$15,A96)</f>
        <v/>
      </c>
      <c r="R96">
        <f>SUMIFS(Campagne!$K$2:$K$15,Campagne!$C$2:$C$15,A96)</f>
        <v/>
      </c>
      <c r="S96">
        <f>SUMIFS(Campagne!$M$2:$M$15,Campagne!$C$2:$C$15,A96)</f>
        <v/>
      </c>
      <c r="T96">
        <f>SUMIFS(Pilotage!$Q$13:$Q$26,Pilotage!$F$13:$F$26,A96)</f>
        <v/>
      </c>
      <c r="U96">
        <f>SUMIFS(Pilotage!$N$13:$N$26,Pilotage!$F$13:$F$26,A96)</f>
        <v/>
      </c>
      <c r="V96">
        <f>IF(B96="V01",cad!$I$21,IF(B96="V02",cad!$J$21,cad!$K$21))</f>
        <v/>
      </c>
      <c r="W96">
        <f>IF(B96="V01",cad!$I$22,IF(B96="V02",cad!$J$22,cad!$K$22))</f>
        <v/>
      </c>
      <c r="X96">
        <f>IF(B96="V01",cad!$I$23,IF(B96="V02",cad!$J$23,cad!$K$23))</f>
        <v/>
      </c>
      <c r="Y96">
        <f>IF(B96="V01",cad!$I$24,IF(B96="V02",cad!$J$24,cad!$K$24))</f>
        <v/>
      </c>
      <c r="Z96">
        <f>IF(B96="V01",cad!$I$25,IF(B96="V02",cad!$J$25,cad!$K$25))</f>
        <v/>
      </c>
      <c r="AA96">
        <f>IF(B96="V01",cad!$I$26,IF(B96="V02",cad!$J$26,cad!$K$26))</f>
        <v/>
      </c>
      <c r="AB96">
        <f>IF(B96="V01",cad!$I$37,IF(B96="V02",cad!$J$37,cad!$K$37))</f>
        <v/>
      </c>
      <c r="AC96">
        <f>IF(F96="MBWAY",cad!$I$9,IF(F96="ISCOM",cad!$I$10,IF(F96="IPAC",cad!$I$11,IF(F96="PIGIER",cad!$I$12,cad!$I$13))))</f>
        <v/>
      </c>
      <c r="AD96">
        <f>(O96*(1+W96)^S96+P96*((T96/U96)*(1+V96))^R96)*IFERROR(G96/Q96,0)*(J96+Y96)*K96*(L96+Z96)</f>
        <v/>
      </c>
      <c r="AE96">
        <f>IF(N96=1,AD96,0)</f>
        <v/>
      </c>
      <c r="AF96">
        <f>IF(N96=1,AD96,H96*(M96+AA96))</f>
        <v/>
      </c>
      <c r="AG96">
        <f>I96*(1+X96*AC96)</f>
        <v/>
      </c>
      <c r="AH96">
        <f>AF96*AG96+AE96*AB96</f>
        <v/>
      </c>
    </row>
    <row r="97">
      <c r="A97">
        <f>Moteur!D97</f>
        <v/>
      </c>
      <c r="B97">
        <f>Moteur!B97</f>
        <v/>
      </c>
      <c r="C97">
        <f>Moteur!F97</f>
        <v/>
      </c>
      <c r="D97">
        <f>Moteur!G97</f>
        <v/>
      </c>
      <c r="E97">
        <f>Moteur!H97</f>
        <v/>
      </c>
      <c r="F97">
        <f>Moteur!E97</f>
        <v/>
      </c>
      <c r="G97">
        <f>SUMIFS(Socle!$H$2:$H$175,Socle!$C$2:$C$175,A97,Socle!$D$2:$D$175,C97,Socle!$E$2:$E$175,D97,Socle!$F$2:$F$175,E97,Socle!$G$2:$G$175,"2026")</f>
        <v/>
      </c>
      <c r="H97">
        <f>SUMIFS(Socle!$N$2:$N$175,Socle!$C$2:$C$175,A97,Socle!$D$2:$D$175,C97,Socle!$E$2:$E$175,D97,Socle!$F$2:$F$175,E97,Socle!$G$2:$G$175,"2026")</f>
        <v/>
      </c>
      <c r="I97">
        <f>SUMIFS(Socle!$P$2:$P$175,Socle!$C$2:$C$175,A97,Socle!$D$2:$D$175,C97,Socle!$E$2:$E$175,D97,Socle!$F$2:$F$175,E97,Socle!$G$2:$G$175,"2026")</f>
        <v/>
      </c>
      <c r="J97">
        <f>SUMIFS(Socle!$W$2:$W$175,Socle!$C$2:$C$175,A97,Socle!$D$2:$D$175,C97,Socle!$E$2:$E$175,D97,Socle!$F$2:$F$175,E97,Socle!$G$2:$G$175,"2026")</f>
        <v/>
      </c>
      <c r="K97">
        <f>SUMIFS(Socle!$X$2:$X$175,Socle!$C$2:$C$175,A97,Socle!$D$2:$D$175,C97,Socle!$E$2:$E$175,D97,Socle!$F$2:$F$175,E97,Socle!$G$2:$G$175,"2026")</f>
        <v/>
      </c>
      <c r="L97">
        <f>SUMIFS(Socle!$Y$2:$Y$175,Socle!$C$2:$C$175,A97,Socle!$D$2:$D$175,C97,Socle!$E$2:$E$175,D97,Socle!$F$2:$F$175,E97,Socle!$G$2:$G$175,"2026")</f>
        <v/>
      </c>
      <c r="M97">
        <f>SUMIFS(Socle!$V$2:$V$175,Socle!$C$2:$C$175,A97,Socle!$D$2:$D$175,C97,Socle!$E$2:$E$175,D97,Socle!$F$2:$F$175,E97,Socle!$G$2:$G$175,"2026")</f>
        <v/>
      </c>
      <c r="N97">
        <f>IF(OR(D97="B1",D97="M1",D97="BTS1"),1,0)</f>
        <v/>
      </c>
      <c r="O97">
        <f>SUMIFS(Campagne!$D$2:$D$15,Campagne!$C$2:$C$15,A97)</f>
        <v/>
      </c>
      <c r="P97">
        <f>SUMIFS(Campagne!$E$2:$E$15,Campagne!$C$2:$C$15,A97)</f>
        <v/>
      </c>
      <c r="Q97">
        <f>SUMIFS(Campagne!$F$2:$F$15,Campagne!$C$2:$C$15,A97)</f>
        <v/>
      </c>
      <c r="R97">
        <f>SUMIFS(Campagne!$K$2:$K$15,Campagne!$C$2:$C$15,A97)</f>
        <v/>
      </c>
      <c r="S97">
        <f>SUMIFS(Campagne!$M$2:$M$15,Campagne!$C$2:$C$15,A97)</f>
        <v/>
      </c>
      <c r="T97">
        <f>SUMIFS(Pilotage!$Q$13:$Q$26,Pilotage!$F$13:$F$26,A97)</f>
        <v/>
      </c>
      <c r="U97">
        <f>SUMIFS(Pilotage!$N$13:$N$26,Pilotage!$F$13:$F$26,A97)</f>
        <v/>
      </c>
      <c r="V97">
        <f>IF(B97="V01",cad!$I$21,IF(B97="V02",cad!$J$21,cad!$K$21))</f>
        <v/>
      </c>
      <c r="W97">
        <f>IF(B97="V01",cad!$I$22,IF(B97="V02",cad!$J$22,cad!$K$22))</f>
        <v/>
      </c>
      <c r="X97">
        <f>IF(B97="V01",cad!$I$23,IF(B97="V02",cad!$J$23,cad!$K$23))</f>
        <v/>
      </c>
      <c r="Y97">
        <f>IF(B97="V01",cad!$I$24,IF(B97="V02",cad!$J$24,cad!$K$24))</f>
        <v/>
      </c>
      <c r="Z97">
        <f>IF(B97="V01",cad!$I$25,IF(B97="V02",cad!$J$25,cad!$K$25))</f>
        <v/>
      </c>
      <c r="AA97">
        <f>IF(B97="V01",cad!$I$26,IF(B97="V02",cad!$J$26,cad!$K$26))</f>
        <v/>
      </c>
      <c r="AB97">
        <f>IF(B97="V01",cad!$I$37,IF(B97="V02",cad!$J$37,cad!$K$37))</f>
        <v/>
      </c>
      <c r="AC97">
        <f>IF(F97="MBWAY",cad!$I$9,IF(F97="ISCOM",cad!$I$10,IF(F97="IPAC",cad!$I$11,IF(F97="PIGIER",cad!$I$12,cad!$I$13))))</f>
        <v/>
      </c>
      <c r="AD97">
        <f>(O97*(1+W97)^S97+P97*((T97/U97)*(1+V97))^R97)*IFERROR(G97/Q97,0)*(J97+Y97)*K97*(L97+Z97)</f>
        <v/>
      </c>
      <c r="AE97">
        <f>IF(N97=1,AD97,0)</f>
        <v/>
      </c>
      <c r="AF97">
        <f>IF(N97=1,AD97,H97*(M97+AA97))</f>
        <v/>
      </c>
      <c r="AG97">
        <f>I97*(1+X97*AC97)</f>
        <v/>
      </c>
      <c r="AH97">
        <f>AF97*AG97+AE97*AB97</f>
        <v/>
      </c>
    </row>
    <row r="98">
      <c r="A98">
        <f>Moteur!D98</f>
        <v/>
      </c>
      <c r="B98">
        <f>Moteur!B98</f>
        <v/>
      </c>
      <c r="C98">
        <f>Moteur!F98</f>
        <v/>
      </c>
      <c r="D98">
        <f>Moteur!G98</f>
        <v/>
      </c>
      <c r="E98">
        <f>Moteur!H98</f>
        <v/>
      </c>
      <c r="F98">
        <f>Moteur!E98</f>
        <v/>
      </c>
      <c r="G98">
        <f>SUMIFS(Socle!$H$2:$H$175,Socle!$C$2:$C$175,A98,Socle!$D$2:$D$175,C98,Socle!$E$2:$E$175,D98,Socle!$F$2:$F$175,E98,Socle!$G$2:$G$175,"2026")</f>
        <v/>
      </c>
      <c r="H98">
        <f>SUMIFS(Socle!$N$2:$N$175,Socle!$C$2:$C$175,A98,Socle!$D$2:$D$175,C98,Socle!$E$2:$E$175,D98,Socle!$F$2:$F$175,E98,Socle!$G$2:$G$175,"2026")</f>
        <v/>
      </c>
      <c r="I98">
        <f>SUMIFS(Socle!$P$2:$P$175,Socle!$C$2:$C$175,A98,Socle!$D$2:$D$175,C98,Socle!$E$2:$E$175,D98,Socle!$F$2:$F$175,E98,Socle!$G$2:$G$175,"2026")</f>
        <v/>
      </c>
      <c r="J98">
        <f>SUMIFS(Socle!$W$2:$W$175,Socle!$C$2:$C$175,A98,Socle!$D$2:$D$175,C98,Socle!$E$2:$E$175,D98,Socle!$F$2:$F$175,E98,Socle!$G$2:$G$175,"2026")</f>
        <v/>
      </c>
      <c r="K98">
        <f>SUMIFS(Socle!$X$2:$X$175,Socle!$C$2:$C$175,A98,Socle!$D$2:$D$175,C98,Socle!$E$2:$E$175,D98,Socle!$F$2:$F$175,E98,Socle!$G$2:$G$175,"2026")</f>
        <v/>
      </c>
      <c r="L98">
        <f>SUMIFS(Socle!$Y$2:$Y$175,Socle!$C$2:$C$175,A98,Socle!$D$2:$D$175,C98,Socle!$E$2:$E$175,D98,Socle!$F$2:$F$175,E98,Socle!$G$2:$G$175,"2026")</f>
        <v/>
      </c>
      <c r="M98">
        <f>SUMIFS(Socle!$V$2:$V$175,Socle!$C$2:$C$175,A98,Socle!$D$2:$D$175,C98,Socle!$E$2:$E$175,D98,Socle!$F$2:$F$175,E98,Socle!$G$2:$G$175,"2026")</f>
        <v/>
      </c>
      <c r="N98">
        <f>IF(OR(D98="B1",D98="M1",D98="BTS1"),1,0)</f>
        <v/>
      </c>
      <c r="O98">
        <f>SUMIFS(Campagne!$D$2:$D$15,Campagne!$C$2:$C$15,A98)</f>
        <v/>
      </c>
      <c r="P98">
        <f>SUMIFS(Campagne!$E$2:$E$15,Campagne!$C$2:$C$15,A98)</f>
        <v/>
      </c>
      <c r="Q98">
        <f>SUMIFS(Campagne!$F$2:$F$15,Campagne!$C$2:$C$15,A98)</f>
        <v/>
      </c>
      <c r="R98">
        <f>SUMIFS(Campagne!$K$2:$K$15,Campagne!$C$2:$C$15,A98)</f>
        <v/>
      </c>
      <c r="S98">
        <f>SUMIFS(Campagne!$M$2:$M$15,Campagne!$C$2:$C$15,A98)</f>
        <v/>
      </c>
      <c r="T98">
        <f>SUMIFS(Pilotage!$Q$13:$Q$26,Pilotage!$F$13:$F$26,A98)</f>
        <v/>
      </c>
      <c r="U98">
        <f>SUMIFS(Pilotage!$N$13:$N$26,Pilotage!$F$13:$F$26,A98)</f>
        <v/>
      </c>
      <c r="V98">
        <f>IF(B98="V01",cad!$I$21,IF(B98="V02",cad!$J$21,cad!$K$21))</f>
        <v/>
      </c>
      <c r="W98">
        <f>IF(B98="V01",cad!$I$22,IF(B98="V02",cad!$J$22,cad!$K$22))</f>
        <v/>
      </c>
      <c r="X98">
        <f>IF(B98="V01",cad!$I$23,IF(B98="V02",cad!$J$23,cad!$K$23))</f>
        <v/>
      </c>
      <c r="Y98">
        <f>IF(B98="V01",cad!$I$24,IF(B98="V02",cad!$J$24,cad!$K$24))</f>
        <v/>
      </c>
      <c r="Z98">
        <f>IF(B98="V01",cad!$I$25,IF(B98="V02",cad!$J$25,cad!$K$25))</f>
        <v/>
      </c>
      <c r="AA98">
        <f>IF(B98="V01",cad!$I$26,IF(B98="V02",cad!$J$26,cad!$K$26))</f>
        <v/>
      </c>
      <c r="AB98">
        <f>IF(B98="V01",cad!$I$37,IF(B98="V02",cad!$J$37,cad!$K$37))</f>
        <v/>
      </c>
      <c r="AC98">
        <f>IF(F98="MBWAY",cad!$I$9,IF(F98="ISCOM",cad!$I$10,IF(F98="IPAC",cad!$I$11,IF(F98="PIGIER",cad!$I$12,cad!$I$13))))</f>
        <v/>
      </c>
      <c r="AD98">
        <f>(O98*(1+W98)^S98+P98*((T98/U98)*(1+V98))^R98)*IFERROR(G98/Q98,0)*(J98+Y98)*K98*(L98+Z98)</f>
        <v/>
      </c>
      <c r="AE98">
        <f>IF(N98=1,AD98,0)</f>
        <v/>
      </c>
      <c r="AF98">
        <f>IF(N98=1,AD98,H98*(M98+AA98))</f>
        <v/>
      </c>
      <c r="AG98">
        <f>I98*(1+X98*AC98)</f>
        <v/>
      </c>
      <c r="AH98">
        <f>AF98*AG98+AE98*AB98</f>
        <v/>
      </c>
    </row>
    <row r="99">
      <c r="A99">
        <f>Moteur!D99</f>
        <v/>
      </c>
      <c r="B99">
        <f>Moteur!B99</f>
        <v/>
      </c>
      <c r="C99">
        <f>Moteur!F99</f>
        <v/>
      </c>
      <c r="D99">
        <f>Moteur!G99</f>
        <v/>
      </c>
      <c r="E99">
        <f>Moteur!H99</f>
        <v/>
      </c>
      <c r="F99">
        <f>Moteur!E99</f>
        <v/>
      </c>
      <c r="G99">
        <f>SUMIFS(Socle!$H$2:$H$175,Socle!$C$2:$C$175,A99,Socle!$D$2:$D$175,C99,Socle!$E$2:$E$175,D99,Socle!$F$2:$F$175,E99,Socle!$G$2:$G$175,"2026")</f>
        <v/>
      </c>
      <c r="H99">
        <f>SUMIFS(Socle!$N$2:$N$175,Socle!$C$2:$C$175,A99,Socle!$D$2:$D$175,C99,Socle!$E$2:$E$175,D99,Socle!$F$2:$F$175,E99,Socle!$G$2:$G$175,"2026")</f>
        <v/>
      </c>
      <c r="I99">
        <f>SUMIFS(Socle!$P$2:$P$175,Socle!$C$2:$C$175,A99,Socle!$D$2:$D$175,C99,Socle!$E$2:$E$175,D99,Socle!$F$2:$F$175,E99,Socle!$G$2:$G$175,"2026")</f>
        <v/>
      </c>
      <c r="J99">
        <f>SUMIFS(Socle!$W$2:$W$175,Socle!$C$2:$C$175,A99,Socle!$D$2:$D$175,C99,Socle!$E$2:$E$175,D99,Socle!$F$2:$F$175,E99,Socle!$G$2:$G$175,"2026")</f>
        <v/>
      </c>
      <c r="K99">
        <f>SUMIFS(Socle!$X$2:$X$175,Socle!$C$2:$C$175,A99,Socle!$D$2:$D$175,C99,Socle!$E$2:$E$175,D99,Socle!$F$2:$F$175,E99,Socle!$G$2:$G$175,"2026")</f>
        <v/>
      </c>
      <c r="L99">
        <f>SUMIFS(Socle!$Y$2:$Y$175,Socle!$C$2:$C$175,A99,Socle!$D$2:$D$175,C99,Socle!$E$2:$E$175,D99,Socle!$F$2:$F$175,E99,Socle!$G$2:$G$175,"2026")</f>
        <v/>
      </c>
      <c r="M99">
        <f>SUMIFS(Socle!$V$2:$V$175,Socle!$C$2:$C$175,A99,Socle!$D$2:$D$175,C99,Socle!$E$2:$E$175,D99,Socle!$F$2:$F$175,E99,Socle!$G$2:$G$175,"2026")</f>
        <v/>
      </c>
      <c r="N99">
        <f>IF(OR(D99="B1",D99="M1",D99="BTS1"),1,0)</f>
        <v/>
      </c>
      <c r="O99">
        <f>SUMIFS(Campagne!$D$2:$D$15,Campagne!$C$2:$C$15,A99)</f>
        <v/>
      </c>
      <c r="P99">
        <f>SUMIFS(Campagne!$E$2:$E$15,Campagne!$C$2:$C$15,A99)</f>
        <v/>
      </c>
      <c r="Q99">
        <f>SUMIFS(Campagne!$F$2:$F$15,Campagne!$C$2:$C$15,A99)</f>
        <v/>
      </c>
      <c r="R99">
        <f>SUMIFS(Campagne!$K$2:$K$15,Campagne!$C$2:$C$15,A99)</f>
        <v/>
      </c>
      <c r="S99">
        <f>SUMIFS(Campagne!$M$2:$M$15,Campagne!$C$2:$C$15,A99)</f>
        <v/>
      </c>
      <c r="T99">
        <f>SUMIFS(Pilotage!$Q$13:$Q$26,Pilotage!$F$13:$F$26,A99)</f>
        <v/>
      </c>
      <c r="U99">
        <f>SUMIFS(Pilotage!$N$13:$N$26,Pilotage!$F$13:$F$26,A99)</f>
        <v/>
      </c>
      <c r="V99">
        <f>IF(B99="V01",cad!$I$21,IF(B99="V02",cad!$J$21,cad!$K$21))</f>
        <v/>
      </c>
      <c r="W99">
        <f>IF(B99="V01",cad!$I$22,IF(B99="V02",cad!$J$22,cad!$K$22))</f>
        <v/>
      </c>
      <c r="X99">
        <f>IF(B99="V01",cad!$I$23,IF(B99="V02",cad!$J$23,cad!$K$23))</f>
        <v/>
      </c>
      <c r="Y99">
        <f>IF(B99="V01",cad!$I$24,IF(B99="V02",cad!$J$24,cad!$K$24))</f>
        <v/>
      </c>
      <c r="Z99">
        <f>IF(B99="V01",cad!$I$25,IF(B99="V02",cad!$J$25,cad!$K$25))</f>
        <v/>
      </c>
      <c r="AA99">
        <f>IF(B99="V01",cad!$I$26,IF(B99="V02",cad!$J$26,cad!$K$26))</f>
        <v/>
      </c>
      <c r="AB99">
        <f>IF(B99="V01",cad!$I$37,IF(B99="V02",cad!$J$37,cad!$K$37))</f>
        <v/>
      </c>
      <c r="AC99">
        <f>IF(F99="MBWAY",cad!$I$9,IF(F99="ISCOM",cad!$I$10,IF(F99="IPAC",cad!$I$11,IF(F99="PIGIER",cad!$I$12,cad!$I$13))))</f>
        <v/>
      </c>
      <c r="AD99">
        <f>(O99*(1+W99)^S99+P99*((T99/U99)*(1+V99))^R99)*IFERROR(G99/Q99,0)*(J99+Y99)*K99*(L99+Z99)</f>
        <v/>
      </c>
      <c r="AE99">
        <f>IF(N99=1,AD99,0)</f>
        <v/>
      </c>
      <c r="AF99">
        <f>IF(N99=1,AD99,H99*(M99+AA99))</f>
        <v/>
      </c>
      <c r="AG99">
        <f>I99*(1+X99*AC99)</f>
        <v/>
      </c>
      <c r="AH99">
        <f>AF99*AG99+AE99*AB99</f>
        <v/>
      </c>
    </row>
    <row r="100">
      <c r="A100">
        <f>Moteur!D100</f>
        <v/>
      </c>
      <c r="B100">
        <f>Moteur!B100</f>
        <v/>
      </c>
      <c r="C100">
        <f>Moteur!F100</f>
        <v/>
      </c>
      <c r="D100">
        <f>Moteur!G100</f>
        <v/>
      </c>
      <c r="E100">
        <f>Moteur!H100</f>
        <v/>
      </c>
      <c r="F100">
        <f>Moteur!E100</f>
        <v/>
      </c>
      <c r="G100">
        <f>SUMIFS(Socle!$H$2:$H$175,Socle!$C$2:$C$175,A100,Socle!$D$2:$D$175,C100,Socle!$E$2:$E$175,D100,Socle!$F$2:$F$175,E100,Socle!$G$2:$G$175,"2026")</f>
        <v/>
      </c>
      <c r="H100">
        <f>SUMIFS(Socle!$N$2:$N$175,Socle!$C$2:$C$175,A100,Socle!$D$2:$D$175,C100,Socle!$E$2:$E$175,D100,Socle!$F$2:$F$175,E100,Socle!$G$2:$G$175,"2026")</f>
        <v/>
      </c>
      <c r="I100">
        <f>SUMIFS(Socle!$P$2:$P$175,Socle!$C$2:$C$175,A100,Socle!$D$2:$D$175,C100,Socle!$E$2:$E$175,D100,Socle!$F$2:$F$175,E100,Socle!$G$2:$G$175,"2026")</f>
        <v/>
      </c>
      <c r="J100">
        <f>SUMIFS(Socle!$W$2:$W$175,Socle!$C$2:$C$175,A100,Socle!$D$2:$D$175,C100,Socle!$E$2:$E$175,D100,Socle!$F$2:$F$175,E100,Socle!$G$2:$G$175,"2026")</f>
        <v/>
      </c>
      <c r="K100">
        <f>SUMIFS(Socle!$X$2:$X$175,Socle!$C$2:$C$175,A100,Socle!$D$2:$D$175,C100,Socle!$E$2:$E$175,D100,Socle!$F$2:$F$175,E100,Socle!$G$2:$G$175,"2026")</f>
        <v/>
      </c>
      <c r="L100">
        <f>SUMIFS(Socle!$Y$2:$Y$175,Socle!$C$2:$C$175,A100,Socle!$D$2:$D$175,C100,Socle!$E$2:$E$175,D100,Socle!$F$2:$F$175,E100,Socle!$G$2:$G$175,"2026")</f>
        <v/>
      </c>
      <c r="M100">
        <f>SUMIFS(Socle!$V$2:$V$175,Socle!$C$2:$C$175,A100,Socle!$D$2:$D$175,C100,Socle!$E$2:$E$175,D100,Socle!$F$2:$F$175,E100,Socle!$G$2:$G$175,"2026")</f>
        <v/>
      </c>
      <c r="N100">
        <f>IF(OR(D100="B1",D100="M1",D100="BTS1"),1,0)</f>
        <v/>
      </c>
      <c r="O100">
        <f>SUMIFS(Campagne!$D$2:$D$15,Campagne!$C$2:$C$15,A100)</f>
        <v/>
      </c>
      <c r="P100">
        <f>SUMIFS(Campagne!$E$2:$E$15,Campagne!$C$2:$C$15,A100)</f>
        <v/>
      </c>
      <c r="Q100">
        <f>SUMIFS(Campagne!$F$2:$F$15,Campagne!$C$2:$C$15,A100)</f>
        <v/>
      </c>
      <c r="R100">
        <f>SUMIFS(Campagne!$K$2:$K$15,Campagne!$C$2:$C$15,A100)</f>
        <v/>
      </c>
      <c r="S100">
        <f>SUMIFS(Campagne!$M$2:$M$15,Campagne!$C$2:$C$15,A100)</f>
        <v/>
      </c>
      <c r="T100">
        <f>SUMIFS(Pilotage!$Q$13:$Q$26,Pilotage!$F$13:$F$26,A100)</f>
        <v/>
      </c>
      <c r="U100">
        <f>SUMIFS(Pilotage!$N$13:$N$26,Pilotage!$F$13:$F$26,A100)</f>
        <v/>
      </c>
      <c r="V100">
        <f>IF(B100="V01",cad!$I$21,IF(B100="V02",cad!$J$21,cad!$K$21))</f>
        <v/>
      </c>
      <c r="W100">
        <f>IF(B100="V01",cad!$I$22,IF(B100="V02",cad!$J$22,cad!$K$22))</f>
        <v/>
      </c>
      <c r="X100">
        <f>IF(B100="V01",cad!$I$23,IF(B100="V02",cad!$J$23,cad!$K$23))</f>
        <v/>
      </c>
      <c r="Y100">
        <f>IF(B100="V01",cad!$I$24,IF(B100="V02",cad!$J$24,cad!$K$24))</f>
        <v/>
      </c>
      <c r="Z100">
        <f>IF(B100="V01",cad!$I$25,IF(B100="V02",cad!$J$25,cad!$K$25))</f>
        <v/>
      </c>
      <c r="AA100">
        <f>IF(B100="V01",cad!$I$26,IF(B100="V02",cad!$J$26,cad!$K$26))</f>
        <v/>
      </c>
      <c r="AB100">
        <f>IF(B100="V01",cad!$I$37,IF(B100="V02",cad!$J$37,cad!$K$37))</f>
        <v/>
      </c>
      <c r="AC100">
        <f>IF(F100="MBWAY",cad!$I$9,IF(F100="ISCOM",cad!$I$10,IF(F100="IPAC",cad!$I$11,IF(F100="PIGIER",cad!$I$12,cad!$I$13))))</f>
        <v/>
      </c>
      <c r="AD100">
        <f>(O100*(1+W100)^S100+P100*((T100/U100)*(1+V100))^R100)*IFERROR(G100/Q100,0)*(J100+Y100)*K100*(L100+Z100)</f>
        <v/>
      </c>
      <c r="AE100">
        <f>IF(N100=1,AD100,0)</f>
        <v/>
      </c>
      <c r="AF100">
        <f>IF(N100=1,AD100,H100*(M100+AA100))</f>
        <v/>
      </c>
      <c r="AG100">
        <f>I100*(1+X100*AC100)</f>
        <v/>
      </c>
      <c r="AH100">
        <f>AF100*AG100+AE100*AB100</f>
        <v/>
      </c>
    </row>
    <row r="101">
      <c r="A101">
        <f>Moteur!D101</f>
        <v/>
      </c>
      <c r="B101">
        <f>Moteur!B101</f>
        <v/>
      </c>
      <c r="C101">
        <f>Moteur!F101</f>
        <v/>
      </c>
      <c r="D101">
        <f>Moteur!G101</f>
        <v/>
      </c>
      <c r="E101">
        <f>Moteur!H101</f>
        <v/>
      </c>
      <c r="F101">
        <f>Moteur!E101</f>
        <v/>
      </c>
      <c r="G101">
        <f>SUMIFS(Socle!$H$2:$H$175,Socle!$C$2:$C$175,A101,Socle!$D$2:$D$175,C101,Socle!$E$2:$E$175,D101,Socle!$F$2:$F$175,E101,Socle!$G$2:$G$175,"2026")</f>
        <v/>
      </c>
      <c r="H101">
        <f>SUMIFS(Socle!$N$2:$N$175,Socle!$C$2:$C$175,A101,Socle!$D$2:$D$175,C101,Socle!$E$2:$E$175,D101,Socle!$F$2:$F$175,E101,Socle!$G$2:$G$175,"2026")</f>
        <v/>
      </c>
      <c r="I101">
        <f>SUMIFS(Socle!$P$2:$P$175,Socle!$C$2:$C$175,A101,Socle!$D$2:$D$175,C101,Socle!$E$2:$E$175,D101,Socle!$F$2:$F$175,E101,Socle!$G$2:$G$175,"2026")</f>
        <v/>
      </c>
      <c r="J101">
        <f>SUMIFS(Socle!$W$2:$W$175,Socle!$C$2:$C$175,A101,Socle!$D$2:$D$175,C101,Socle!$E$2:$E$175,D101,Socle!$F$2:$F$175,E101,Socle!$G$2:$G$175,"2026")</f>
        <v/>
      </c>
      <c r="K101">
        <f>SUMIFS(Socle!$X$2:$X$175,Socle!$C$2:$C$175,A101,Socle!$D$2:$D$175,C101,Socle!$E$2:$E$175,D101,Socle!$F$2:$F$175,E101,Socle!$G$2:$G$175,"2026")</f>
        <v/>
      </c>
      <c r="L101">
        <f>SUMIFS(Socle!$Y$2:$Y$175,Socle!$C$2:$C$175,A101,Socle!$D$2:$D$175,C101,Socle!$E$2:$E$175,D101,Socle!$F$2:$F$175,E101,Socle!$G$2:$G$175,"2026")</f>
        <v/>
      </c>
      <c r="M101">
        <f>SUMIFS(Socle!$V$2:$V$175,Socle!$C$2:$C$175,A101,Socle!$D$2:$D$175,C101,Socle!$E$2:$E$175,D101,Socle!$F$2:$F$175,E101,Socle!$G$2:$G$175,"2026")</f>
        <v/>
      </c>
      <c r="N101">
        <f>IF(OR(D101="B1",D101="M1",D101="BTS1"),1,0)</f>
        <v/>
      </c>
      <c r="O101">
        <f>SUMIFS(Campagne!$D$2:$D$15,Campagne!$C$2:$C$15,A101)</f>
        <v/>
      </c>
      <c r="P101">
        <f>SUMIFS(Campagne!$E$2:$E$15,Campagne!$C$2:$C$15,A101)</f>
        <v/>
      </c>
      <c r="Q101">
        <f>SUMIFS(Campagne!$F$2:$F$15,Campagne!$C$2:$C$15,A101)</f>
        <v/>
      </c>
      <c r="R101">
        <f>SUMIFS(Campagne!$K$2:$K$15,Campagne!$C$2:$C$15,A101)</f>
        <v/>
      </c>
      <c r="S101">
        <f>SUMIFS(Campagne!$M$2:$M$15,Campagne!$C$2:$C$15,A101)</f>
        <v/>
      </c>
      <c r="T101">
        <f>SUMIFS(Pilotage!$Q$13:$Q$26,Pilotage!$F$13:$F$26,A101)</f>
        <v/>
      </c>
      <c r="U101">
        <f>SUMIFS(Pilotage!$N$13:$N$26,Pilotage!$F$13:$F$26,A101)</f>
        <v/>
      </c>
      <c r="V101">
        <f>IF(B101="V01",cad!$I$21,IF(B101="V02",cad!$J$21,cad!$K$21))</f>
        <v/>
      </c>
      <c r="W101">
        <f>IF(B101="V01",cad!$I$22,IF(B101="V02",cad!$J$22,cad!$K$22))</f>
        <v/>
      </c>
      <c r="X101">
        <f>IF(B101="V01",cad!$I$23,IF(B101="V02",cad!$J$23,cad!$K$23))</f>
        <v/>
      </c>
      <c r="Y101">
        <f>IF(B101="V01",cad!$I$24,IF(B101="V02",cad!$J$24,cad!$K$24))</f>
        <v/>
      </c>
      <c r="Z101">
        <f>IF(B101="V01",cad!$I$25,IF(B101="V02",cad!$J$25,cad!$K$25))</f>
        <v/>
      </c>
      <c r="AA101">
        <f>IF(B101="V01",cad!$I$26,IF(B101="V02",cad!$J$26,cad!$K$26))</f>
        <v/>
      </c>
      <c r="AB101">
        <f>IF(B101="V01",cad!$I$37,IF(B101="V02",cad!$J$37,cad!$K$37))</f>
        <v/>
      </c>
      <c r="AC101">
        <f>IF(F101="MBWAY",cad!$I$9,IF(F101="ISCOM",cad!$I$10,IF(F101="IPAC",cad!$I$11,IF(F101="PIGIER",cad!$I$12,cad!$I$13))))</f>
        <v/>
      </c>
      <c r="AD101">
        <f>(O101*(1+W101)^S101+P101*((T101/U101)*(1+V101))^R101)*IFERROR(G101/Q101,0)*(J101+Y101)*K101*(L101+Z101)</f>
        <v/>
      </c>
      <c r="AE101">
        <f>IF(N101=1,AD101,0)</f>
        <v/>
      </c>
      <c r="AF101">
        <f>IF(N101=1,AD101,H101*(M101+AA101))</f>
        <v/>
      </c>
      <c r="AG101">
        <f>I101*(1+X101*AC101)</f>
        <v/>
      </c>
      <c r="AH101">
        <f>AF101*AG101+AE101*AB101</f>
        <v/>
      </c>
    </row>
    <row r="102">
      <c r="A102">
        <f>Moteur!D102</f>
        <v/>
      </c>
      <c r="B102">
        <f>Moteur!B102</f>
        <v/>
      </c>
      <c r="C102">
        <f>Moteur!F102</f>
        <v/>
      </c>
      <c r="D102">
        <f>Moteur!G102</f>
        <v/>
      </c>
      <c r="E102">
        <f>Moteur!H102</f>
        <v/>
      </c>
      <c r="F102">
        <f>Moteur!E102</f>
        <v/>
      </c>
      <c r="G102">
        <f>SUMIFS(Socle!$H$2:$H$175,Socle!$C$2:$C$175,A102,Socle!$D$2:$D$175,C102,Socle!$E$2:$E$175,D102,Socle!$F$2:$F$175,E102,Socle!$G$2:$G$175,"2026")</f>
        <v/>
      </c>
      <c r="H102">
        <f>SUMIFS(Socle!$N$2:$N$175,Socle!$C$2:$C$175,A102,Socle!$D$2:$D$175,C102,Socle!$E$2:$E$175,D102,Socle!$F$2:$F$175,E102,Socle!$G$2:$G$175,"2026")</f>
        <v/>
      </c>
      <c r="I102">
        <f>SUMIFS(Socle!$P$2:$P$175,Socle!$C$2:$C$175,A102,Socle!$D$2:$D$175,C102,Socle!$E$2:$E$175,D102,Socle!$F$2:$F$175,E102,Socle!$G$2:$G$175,"2026")</f>
        <v/>
      </c>
      <c r="J102">
        <f>SUMIFS(Socle!$W$2:$W$175,Socle!$C$2:$C$175,A102,Socle!$D$2:$D$175,C102,Socle!$E$2:$E$175,D102,Socle!$F$2:$F$175,E102,Socle!$G$2:$G$175,"2026")</f>
        <v/>
      </c>
      <c r="K102">
        <f>SUMIFS(Socle!$X$2:$X$175,Socle!$C$2:$C$175,A102,Socle!$D$2:$D$175,C102,Socle!$E$2:$E$175,D102,Socle!$F$2:$F$175,E102,Socle!$G$2:$G$175,"2026")</f>
        <v/>
      </c>
      <c r="L102">
        <f>SUMIFS(Socle!$Y$2:$Y$175,Socle!$C$2:$C$175,A102,Socle!$D$2:$D$175,C102,Socle!$E$2:$E$175,D102,Socle!$F$2:$F$175,E102,Socle!$G$2:$G$175,"2026")</f>
        <v/>
      </c>
      <c r="M102">
        <f>SUMIFS(Socle!$V$2:$V$175,Socle!$C$2:$C$175,A102,Socle!$D$2:$D$175,C102,Socle!$E$2:$E$175,D102,Socle!$F$2:$F$175,E102,Socle!$G$2:$G$175,"2026")</f>
        <v/>
      </c>
      <c r="N102">
        <f>IF(OR(D102="B1",D102="M1",D102="BTS1"),1,0)</f>
        <v/>
      </c>
      <c r="O102">
        <f>SUMIFS(Campagne!$D$2:$D$15,Campagne!$C$2:$C$15,A102)</f>
        <v/>
      </c>
      <c r="P102">
        <f>SUMIFS(Campagne!$E$2:$E$15,Campagne!$C$2:$C$15,A102)</f>
        <v/>
      </c>
      <c r="Q102">
        <f>SUMIFS(Campagne!$F$2:$F$15,Campagne!$C$2:$C$15,A102)</f>
        <v/>
      </c>
      <c r="R102">
        <f>SUMIFS(Campagne!$K$2:$K$15,Campagne!$C$2:$C$15,A102)</f>
        <v/>
      </c>
      <c r="S102">
        <f>SUMIFS(Campagne!$M$2:$M$15,Campagne!$C$2:$C$15,A102)</f>
        <v/>
      </c>
      <c r="T102">
        <f>SUMIFS(Pilotage!$Q$13:$Q$26,Pilotage!$F$13:$F$26,A102)</f>
        <v/>
      </c>
      <c r="U102">
        <f>SUMIFS(Pilotage!$N$13:$N$26,Pilotage!$F$13:$F$26,A102)</f>
        <v/>
      </c>
      <c r="V102">
        <f>IF(B102="V01",cad!$I$21,IF(B102="V02",cad!$J$21,cad!$K$21))</f>
        <v/>
      </c>
      <c r="W102">
        <f>IF(B102="V01",cad!$I$22,IF(B102="V02",cad!$J$22,cad!$K$22))</f>
        <v/>
      </c>
      <c r="X102">
        <f>IF(B102="V01",cad!$I$23,IF(B102="V02",cad!$J$23,cad!$K$23))</f>
        <v/>
      </c>
      <c r="Y102">
        <f>IF(B102="V01",cad!$I$24,IF(B102="V02",cad!$J$24,cad!$K$24))</f>
        <v/>
      </c>
      <c r="Z102">
        <f>IF(B102="V01",cad!$I$25,IF(B102="V02",cad!$J$25,cad!$K$25))</f>
        <v/>
      </c>
      <c r="AA102">
        <f>IF(B102="V01",cad!$I$26,IF(B102="V02",cad!$J$26,cad!$K$26))</f>
        <v/>
      </c>
      <c r="AB102">
        <f>IF(B102="V01",cad!$I$37,IF(B102="V02",cad!$J$37,cad!$K$37))</f>
        <v/>
      </c>
      <c r="AC102">
        <f>IF(F102="MBWAY",cad!$I$9,IF(F102="ISCOM",cad!$I$10,IF(F102="IPAC",cad!$I$11,IF(F102="PIGIER",cad!$I$12,cad!$I$13))))</f>
        <v/>
      </c>
      <c r="AD102">
        <f>(O102*(1+W102)^S102+P102*((T102/U102)*(1+V102))^R102)*IFERROR(G102/Q102,0)*(J102+Y102)*K102*(L102+Z102)</f>
        <v/>
      </c>
      <c r="AE102">
        <f>IF(N102=1,AD102,0)</f>
        <v/>
      </c>
      <c r="AF102">
        <f>IF(N102=1,AD102,H102*(M102+AA102))</f>
        <v/>
      </c>
      <c r="AG102">
        <f>I102*(1+X102*AC102)</f>
        <v/>
      </c>
      <c r="AH102">
        <f>AF102*AG102+AE102*AB102</f>
        <v/>
      </c>
    </row>
    <row r="103">
      <c r="A103">
        <f>Moteur!D103</f>
        <v/>
      </c>
      <c r="B103">
        <f>Moteur!B103</f>
        <v/>
      </c>
      <c r="C103">
        <f>Moteur!F103</f>
        <v/>
      </c>
      <c r="D103">
        <f>Moteur!G103</f>
        <v/>
      </c>
      <c r="E103">
        <f>Moteur!H103</f>
        <v/>
      </c>
      <c r="F103">
        <f>Moteur!E103</f>
        <v/>
      </c>
      <c r="G103">
        <f>SUMIFS(Socle!$H$2:$H$175,Socle!$C$2:$C$175,A103,Socle!$D$2:$D$175,C103,Socle!$E$2:$E$175,D103,Socle!$F$2:$F$175,E103,Socle!$G$2:$G$175,"2026")</f>
        <v/>
      </c>
      <c r="H103">
        <f>SUMIFS(Socle!$N$2:$N$175,Socle!$C$2:$C$175,A103,Socle!$D$2:$D$175,C103,Socle!$E$2:$E$175,D103,Socle!$F$2:$F$175,E103,Socle!$G$2:$G$175,"2026")</f>
        <v/>
      </c>
      <c r="I103">
        <f>SUMIFS(Socle!$P$2:$P$175,Socle!$C$2:$C$175,A103,Socle!$D$2:$D$175,C103,Socle!$E$2:$E$175,D103,Socle!$F$2:$F$175,E103,Socle!$G$2:$G$175,"2026")</f>
        <v/>
      </c>
      <c r="J103">
        <f>SUMIFS(Socle!$W$2:$W$175,Socle!$C$2:$C$175,A103,Socle!$D$2:$D$175,C103,Socle!$E$2:$E$175,D103,Socle!$F$2:$F$175,E103,Socle!$G$2:$G$175,"2026")</f>
        <v/>
      </c>
      <c r="K103">
        <f>SUMIFS(Socle!$X$2:$X$175,Socle!$C$2:$C$175,A103,Socle!$D$2:$D$175,C103,Socle!$E$2:$E$175,D103,Socle!$F$2:$F$175,E103,Socle!$G$2:$G$175,"2026")</f>
        <v/>
      </c>
      <c r="L103">
        <f>SUMIFS(Socle!$Y$2:$Y$175,Socle!$C$2:$C$175,A103,Socle!$D$2:$D$175,C103,Socle!$E$2:$E$175,D103,Socle!$F$2:$F$175,E103,Socle!$G$2:$G$175,"2026")</f>
        <v/>
      </c>
      <c r="M103">
        <f>SUMIFS(Socle!$V$2:$V$175,Socle!$C$2:$C$175,A103,Socle!$D$2:$D$175,C103,Socle!$E$2:$E$175,D103,Socle!$F$2:$F$175,E103,Socle!$G$2:$G$175,"2026")</f>
        <v/>
      </c>
      <c r="N103">
        <f>IF(OR(D103="B1",D103="M1",D103="BTS1"),1,0)</f>
        <v/>
      </c>
      <c r="O103">
        <f>SUMIFS(Campagne!$D$2:$D$15,Campagne!$C$2:$C$15,A103)</f>
        <v/>
      </c>
      <c r="P103">
        <f>SUMIFS(Campagne!$E$2:$E$15,Campagne!$C$2:$C$15,A103)</f>
        <v/>
      </c>
      <c r="Q103">
        <f>SUMIFS(Campagne!$F$2:$F$15,Campagne!$C$2:$C$15,A103)</f>
        <v/>
      </c>
      <c r="R103">
        <f>SUMIFS(Campagne!$K$2:$K$15,Campagne!$C$2:$C$15,A103)</f>
        <v/>
      </c>
      <c r="S103">
        <f>SUMIFS(Campagne!$M$2:$M$15,Campagne!$C$2:$C$15,A103)</f>
        <v/>
      </c>
      <c r="T103">
        <f>SUMIFS(Pilotage!$Q$13:$Q$26,Pilotage!$F$13:$F$26,A103)</f>
        <v/>
      </c>
      <c r="U103">
        <f>SUMIFS(Pilotage!$N$13:$N$26,Pilotage!$F$13:$F$26,A103)</f>
        <v/>
      </c>
      <c r="V103">
        <f>IF(B103="V01",cad!$I$21,IF(B103="V02",cad!$J$21,cad!$K$21))</f>
        <v/>
      </c>
      <c r="W103">
        <f>IF(B103="V01",cad!$I$22,IF(B103="V02",cad!$J$22,cad!$K$22))</f>
        <v/>
      </c>
      <c r="X103">
        <f>IF(B103="V01",cad!$I$23,IF(B103="V02",cad!$J$23,cad!$K$23))</f>
        <v/>
      </c>
      <c r="Y103">
        <f>IF(B103="V01",cad!$I$24,IF(B103="V02",cad!$J$24,cad!$K$24))</f>
        <v/>
      </c>
      <c r="Z103">
        <f>IF(B103="V01",cad!$I$25,IF(B103="V02",cad!$J$25,cad!$K$25))</f>
        <v/>
      </c>
      <c r="AA103">
        <f>IF(B103="V01",cad!$I$26,IF(B103="V02",cad!$J$26,cad!$K$26))</f>
        <v/>
      </c>
      <c r="AB103">
        <f>IF(B103="V01",cad!$I$37,IF(B103="V02",cad!$J$37,cad!$K$37))</f>
        <v/>
      </c>
      <c r="AC103">
        <f>IF(F103="MBWAY",cad!$I$9,IF(F103="ISCOM",cad!$I$10,IF(F103="IPAC",cad!$I$11,IF(F103="PIGIER",cad!$I$12,cad!$I$13))))</f>
        <v/>
      </c>
      <c r="AD103">
        <f>(O103*(1+W103)^S103+P103*((T103/U103)*(1+V103))^R103)*IFERROR(G103/Q103,0)*(J103+Y103)*K103*(L103+Z103)</f>
        <v/>
      </c>
      <c r="AE103">
        <f>IF(N103=1,AD103,0)</f>
        <v/>
      </c>
      <c r="AF103">
        <f>IF(N103=1,AD103,H103*(M103+AA103))</f>
        <v/>
      </c>
      <c r="AG103">
        <f>I103*(1+X103*AC103)</f>
        <v/>
      </c>
      <c r="AH103">
        <f>AF103*AG103+AE103*AB103</f>
        <v/>
      </c>
    </row>
    <row r="104">
      <c r="A104">
        <f>Moteur!D104</f>
        <v/>
      </c>
      <c r="B104">
        <f>Moteur!B104</f>
        <v/>
      </c>
      <c r="C104">
        <f>Moteur!F104</f>
        <v/>
      </c>
      <c r="D104">
        <f>Moteur!G104</f>
        <v/>
      </c>
      <c r="E104">
        <f>Moteur!H104</f>
        <v/>
      </c>
      <c r="F104">
        <f>Moteur!E104</f>
        <v/>
      </c>
      <c r="G104">
        <f>SUMIFS(Socle!$H$2:$H$175,Socle!$C$2:$C$175,A104,Socle!$D$2:$D$175,C104,Socle!$E$2:$E$175,D104,Socle!$F$2:$F$175,E104,Socle!$G$2:$G$175,"2026")</f>
        <v/>
      </c>
      <c r="H104">
        <f>SUMIFS(Socle!$N$2:$N$175,Socle!$C$2:$C$175,A104,Socle!$D$2:$D$175,C104,Socle!$E$2:$E$175,D104,Socle!$F$2:$F$175,E104,Socle!$G$2:$G$175,"2026")</f>
        <v/>
      </c>
      <c r="I104">
        <f>SUMIFS(Socle!$P$2:$P$175,Socle!$C$2:$C$175,A104,Socle!$D$2:$D$175,C104,Socle!$E$2:$E$175,D104,Socle!$F$2:$F$175,E104,Socle!$G$2:$G$175,"2026")</f>
        <v/>
      </c>
      <c r="J104">
        <f>SUMIFS(Socle!$W$2:$W$175,Socle!$C$2:$C$175,A104,Socle!$D$2:$D$175,C104,Socle!$E$2:$E$175,D104,Socle!$F$2:$F$175,E104,Socle!$G$2:$G$175,"2026")</f>
        <v/>
      </c>
      <c r="K104">
        <f>SUMIFS(Socle!$X$2:$X$175,Socle!$C$2:$C$175,A104,Socle!$D$2:$D$175,C104,Socle!$E$2:$E$175,D104,Socle!$F$2:$F$175,E104,Socle!$G$2:$G$175,"2026")</f>
        <v/>
      </c>
      <c r="L104">
        <f>SUMIFS(Socle!$Y$2:$Y$175,Socle!$C$2:$C$175,A104,Socle!$D$2:$D$175,C104,Socle!$E$2:$E$175,D104,Socle!$F$2:$F$175,E104,Socle!$G$2:$G$175,"2026")</f>
        <v/>
      </c>
      <c r="M104">
        <f>SUMIFS(Socle!$V$2:$V$175,Socle!$C$2:$C$175,A104,Socle!$D$2:$D$175,C104,Socle!$E$2:$E$175,D104,Socle!$F$2:$F$175,E104,Socle!$G$2:$G$175,"2026")</f>
        <v/>
      </c>
      <c r="N104">
        <f>IF(OR(D104="B1",D104="M1",D104="BTS1"),1,0)</f>
        <v/>
      </c>
      <c r="O104">
        <f>SUMIFS(Campagne!$D$2:$D$15,Campagne!$C$2:$C$15,A104)</f>
        <v/>
      </c>
      <c r="P104">
        <f>SUMIFS(Campagne!$E$2:$E$15,Campagne!$C$2:$C$15,A104)</f>
        <v/>
      </c>
      <c r="Q104">
        <f>SUMIFS(Campagne!$F$2:$F$15,Campagne!$C$2:$C$15,A104)</f>
        <v/>
      </c>
      <c r="R104">
        <f>SUMIFS(Campagne!$K$2:$K$15,Campagne!$C$2:$C$15,A104)</f>
        <v/>
      </c>
      <c r="S104">
        <f>SUMIFS(Campagne!$M$2:$M$15,Campagne!$C$2:$C$15,A104)</f>
        <v/>
      </c>
      <c r="T104">
        <f>SUMIFS(Pilotage!$Q$13:$Q$26,Pilotage!$F$13:$F$26,A104)</f>
        <v/>
      </c>
      <c r="U104">
        <f>SUMIFS(Pilotage!$N$13:$N$26,Pilotage!$F$13:$F$26,A104)</f>
        <v/>
      </c>
      <c r="V104">
        <f>IF(B104="V01",cad!$I$21,IF(B104="V02",cad!$J$21,cad!$K$21))</f>
        <v/>
      </c>
      <c r="W104">
        <f>IF(B104="V01",cad!$I$22,IF(B104="V02",cad!$J$22,cad!$K$22))</f>
        <v/>
      </c>
      <c r="X104">
        <f>IF(B104="V01",cad!$I$23,IF(B104="V02",cad!$J$23,cad!$K$23))</f>
        <v/>
      </c>
      <c r="Y104">
        <f>IF(B104="V01",cad!$I$24,IF(B104="V02",cad!$J$24,cad!$K$24))</f>
        <v/>
      </c>
      <c r="Z104">
        <f>IF(B104="V01",cad!$I$25,IF(B104="V02",cad!$J$25,cad!$K$25))</f>
        <v/>
      </c>
      <c r="AA104">
        <f>IF(B104="V01",cad!$I$26,IF(B104="V02",cad!$J$26,cad!$K$26))</f>
        <v/>
      </c>
      <c r="AB104">
        <f>IF(B104="V01",cad!$I$37,IF(B104="V02",cad!$J$37,cad!$K$37))</f>
        <v/>
      </c>
      <c r="AC104">
        <f>IF(F104="MBWAY",cad!$I$9,IF(F104="ISCOM",cad!$I$10,IF(F104="IPAC",cad!$I$11,IF(F104="PIGIER",cad!$I$12,cad!$I$13))))</f>
        <v/>
      </c>
      <c r="AD104">
        <f>(O104*(1+W104)^S104+P104*((T104/U104)*(1+V104))^R104)*IFERROR(G104/Q104,0)*(J104+Y104)*K104*(L104+Z104)</f>
        <v/>
      </c>
      <c r="AE104">
        <f>IF(N104=1,AD104,0)</f>
        <v/>
      </c>
      <c r="AF104">
        <f>IF(N104=1,AD104,H104*(M104+AA104))</f>
        <v/>
      </c>
      <c r="AG104">
        <f>I104*(1+X104*AC104)</f>
        <v/>
      </c>
      <c r="AH104">
        <f>AF104*AG104+AE104*AB104</f>
        <v/>
      </c>
    </row>
    <row r="105">
      <c r="A105">
        <f>Moteur!D105</f>
        <v/>
      </c>
      <c r="B105">
        <f>Moteur!B105</f>
        <v/>
      </c>
      <c r="C105">
        <f>Moteur!F105</f>
        <v/>
      </c>
      <c r="D105">
        <f>Moteur!G105</f>
        <v/>
      </c>
      <c r="E105">
        <f>Moteur!H105</f>
        <v/>
      </c>
      <c r="F105">
        <f>Moteur!E105</f>
        <v/>
      </c>
      <c r="G105">
        <f>SUMIFS(Socle!$H$2:$H$175,Socle!$C$2:$C$175,A105,Socle!$D$2:$D$175,C105,Socle!$E$2:$E$175,D105,Socle!$F$2:$F$175,E105,Socle!$G$2:$G$175,"2026")</f>
        <v/>
      </c>
      <c r="H105">
        <f>SUMIFS(Socle!$N$2:$N$175,Socle!$C$2:$C$175,A105,Socle!$D$2:$D$175,C105,Socle!$E$2:$E$175,D105,Socle!$F$2:$F$175,E105,Socle!$G$2:$G$175,"2026")</f>
        <v/>
      </c>
      <c r="I105">
        <f>SUMIFS(Socle!$P$2:$P$175,Socle!$C$2:$C$175,A105,Socle!$D$2:$D$175,C105,Socle!$E$2:$E$175,D105,Socle!$F$2:$F$175,E105,Socle!$G$2:$G$175,"2026")</f>
        <v/>
      </c>
      <c r="J105">
        <f>SUMIFS(Socle!$W$2:$W$175,Socle!$C$2:$C$175,A105,Socle!$D$2:$D$175,C105,Socle!$E$2:$E$175,D105,Socle!$F$2:$F$175,E105,Socle!$G$2:$G$175,"2026")</f>
        <v/>
      </c>
      <c r="K105">
        <f>SUMIFS(Socle!$X$2:$X$175,Socle!$C$2:$C$175,A105,Socle!$D$2:$D$175,C105,Socle!$E$2:$E$175,D105,Socle!$F$2:$F$175,E105,Socle!$G$2:$G$175,"2026")</f>
        <v/>
      </c>
      <c r="L105">
        <f>SUMIFS(Socle!$Y$2:$Y$175,Socle!$C$2:$C$175,A105,Socle!$D$2:$D$175,C105,Socle!$E$2:$E$175,D105,Socle!$F$2:$F$175,E105,Socle!$G$2:$G$175,"2026")</f>
        <v/>
      </c>
      <c r="M105">
        <f>SUMIFS(Socle!$V$2:$V$175,Socle!$C$2:$C$175,A105,Socle!$D$2:$D$175,C105,Socle!$E$2:$E$175,D105,Socle!$F$2:$F$175,E105,Socle!$G$2:$G$175,"2026")</f>
        <v/>
      </c>
      <c r="N105">
        <f>IF(OR(D105="B1",D105="M1",D105="BTS1"),1,0)</f>
        <v/>
      </c>
      <c r="O105">
        <f>SUMIFS(Campagne!$D$2:$D$15,Campagne!$C$2:$C$15,A105)</f>
        <v/>
      </c>
      <c r="P105">
        <f>SUMIFS(Campagne!$E$2:$E$15,Campagne!$C$2:$C$15,A105)</f>
        <v/>
      </c>
      <c r="Q105">
        <f>SUMIFS(Campagne!$F$2:$F$15,Campagne!$C$2:$C$15,A105)</f>
        <v/>
      </c>
      <c r="R105">
        <f>SUMIFS(Campagne!$K$2:$K$15,Campagne!$C$2:$C$15,A105)</f>
        <v/>
      </c>
      <c r="S105">
        <f>SUMIFS(Campagne!$M$2:$M$15,Campagne!$C$2:$C$15,A105)</f>
        <v/>
      </c>
      <c r="T105">
        <f>SUMIFS(Pilotage!$Q$13:$Q$26,Pilotage!$F$13:$F$26,A105)</f>
        <v/>
      </c>
      <c r="U105">
        <f>SUMIFS(Pilotage!$N$13:$N$26,Pilotage!$F$13:$F$26,A105)</f>
        <v/>
      </c>
      <c r="V105">
        <f>IF(B105="V01",cad!$I$21,IF(B105="V02",cad!$J$21,cad!$K$21))</f>
        <v/>
      </c>
      <c r="W105">
        <f>IF(B105="V01",cad!$I$22,IF(B105="V02",cad!$J$22,cad!$K$22))</f>
        <v/>
      </c>
      <c r="X105">
        <f>IF(B105="V01",cad!$I$23,IF(B105="V02",cad!$J$23,cad!$K$23))</f>
        <v/>
      </c>
      <c r="Y105">
        <f>IF(B105="V01",cad!$I$24,IF(B105="V02",cad!$J$24,cad!$K$24))</f>
        <v/>
      </c>
      <c r="Z105">
        <f>IF(B105="V01",cad!$I$25,IF(B105="V02",cad!$J$25,cad!$K$25))</f>
        <v/>
      </c>
      <c r="AA105">
        <f>IF(B105="V01",cad!$I$26,IF(B105="V02",cad!$J$26,cad!$K$26))</f>
        <v/>
      </c>
      <c r="AB105">
        <f>IF(B105="V01",cad!$I$37,IF(B105="V02",cad!$J$37,cad!$K$37))</f>
        <v/>
      </c>
      <c r="AC105">
        <f>IF(F105="MBWAY",cad!$I$9,IF(F105="ISCOM",cad!$I$10,IF(F105="IPAC",cad!$I$11,IF(F105="PIGIER",cad!$I$12,cad!$I$13))))</f>
        <v/>
      </c>
      <c r="AD105">
        <f>(O105*(1+W105)^S105+P105*((T105/U105)*(1+V105))^R105)*IFERROR(G105/Q105,0)*(J105+Y105)*K105*(L105+Z105)</f>
        <v/>
      </c>
      <c r="AE105">
        <f>IF(N105=1,AD105,0)</f>
        <v/>
      </c>
      <c r="AF105">
        <f>IF(N105=1,AD105,H105*(M105+AA105))</f>
        <v/>
      </c>
      <c r="AG105">
        <f>I105*(1+X105*AC105)</f>
        <v/>
      </c>
      <c r="AH105">
        <f>AF105*AG105+AE105*AB105</f>
        <v/>
      </c>
    </row>
    <row r="106">
      <c r="A106">
        <f>Moteur!D106</f>
        <v/>
      </c>
      <c r="B106">
        <f>Moteur!B106</f>
        <v/>
      </c>
      <c r="C106">
        <f>Moteur!F106</f>
        <v/>
      </c>
      <c r="D106">
        <f>Moteur!G106</f>
        <v/>
      </c>
      <c r="E106">
        <f>Moteur!H106</f>
        <v/>
      </c>
      <c r="F106">
        <f>Moteur!E106</f>
        <v/>
      </c>
      <c r="G106">
        <f>SUMIFS(Socle!$H$2:$H$175,Socle!$C$2:$C$175,A106,Socle!$D$2:$D$175,C106,Socle!$E$2:$E$175,D106,Socle!$F$2:$F$175,E106,Socle!$G$2:$G$175,"2026")</f>
        <v/>
      </c>
      <c r="H106">
        <f>SUMIFS(Socle!$N$2:$N$175,Socle!$C$2:$C$175,A106,Socle!$D$2:$D$175,C106,Socle!$E$2:$E$175,D106,Socle!$F$2:$F$175,E106,Socle!$G$2:$G$175,"2026")</f>
        <v/>
      </c>
      <c r="I106">
        <f>SUMIFS(Socle!$P$2:$P$175,Socle!$C$2:$C$175,A106,Socle!$D$2:$D$175,C106,Socle!$E$2:$E$175,D106,Socle!$F$2:$F$175,E106,Socle!$G$2:$G$175,"2026")</f>
        <v/>
      </c>
      <c r="J106">
        <f>SUMIFS(Socle!$W$2:$W$175,Socle!$C$2:$C$175,A106,Socle!$D$2:$D$175,C106,Socle!$E$2:$E$175,D106,Socle!$F$2:$F$175,E106,Socle!$G$2:$G$175,"2026")</f>
        <v/>
      </c>
      <c r="K106">
        <f>SUMIFS(Socle!$X$2:$X$175,Socle!$C$2:$C$175,A106,Socle!$D$2:$D$175,C106,Socle!$E$2:$E$175,D106,Socle!$F$2:$F$175,E106,Socle!$G$2:$G$175,"2026")</f>
        <v/>
      </c>
      <c r="L106">
        <f>SUMIFS(Socle!$Y$2:$Y$175,Socle!$C$2:$C$175,A106,Socle!$D$2:$D$175,C106,Socle!$E$2:$E$175,D106,Socle!$F$2:$F$175,E106,Socle!$G$2:$G$175,"2026")</f>
        <v/>
      </c>
      <c r="M106">
        <f>SUMIFS(Socle!$V$2:$V$175,Socle!$C$2:$C$175,A106,Socle!$D$2:$D$175,C106,Socle!$E$2:$E$175,D106,Socle!$F$2:$F$175,E106,Socle!$G$2:$G$175,"2026")</f>
        <v/>
      </c>
      <c r="N106">
        <f>IF(OR(D106="B1",D106="M1",D106="BTS1"),1,0)</f>
        <v/>
      </c>
      <c r="O106">
        <f>SUMIFS(Campagne!$D$2:$D$15,Campagne!$C$2:$C$15,A106)</f>
        <v/>
      </c>
      <c r="P106">
        <f>SUMIFS(Campagne!$E$2:$E$15,Campagne!$C$2:$C$15,A106)</f>
        <v/>
      </c>
      <c r="Q106">
        <f>SUMIFS(Campagne!$F$2:$F$15,Campagne!$C$2:$C$15,A106)</f>
        <v/>
      </c>
      <c r="R106">
        <f>SUMIFS(Campagne!$K$2:$K$15,Campagne!$C$2:$C$15,A106)</f>
        <v/>
      </c>
      <c r="S106">
        <f>SUMIFS(Campagne!$M$2:$M$15,Campagne!$C$2:$C$15,A106)</f>
        <v/>
      </c>
      <c r="T106">
        <f>SUMIFS(Pilotage!$Q$13:$Q$26,Pilotage!$F$13:$F$26,A106)</f>
        <v/>
      </c>
      <c r="U106">
        <f>SUMIFS(Pilotage!$N$13:$N$26,Pilotage!$F$13:$F$26,A106)</f>
        <v/>
      </c>
      <c r="V106">
        <f>IF(B106="V01",cad!$I$21,IF(B106="V02",cad!$J$21,cad!$K$21))</f>
        <v/>
      </c>
      <c r="W106">
        <f>IF(B106="V01",cad!$I$22,IF(B106="V02",cad!$J$22,cad!$K$22))</f>
        <v/>
      </c>
      <c r="X106">
        <f>IF(B106="V01",cad!$I$23,IF(B106="V02",cad!$J$23,cad!$K$23))</f>
        <v/>
      </c>
      <c r="Y106">
        <f>IF(B106="V01",cad!$I$24,IF(B106="V02",cad!$J$24,cad!$K$24))</f>
        <v/>
      </c>
      <c r="Z106">
        <f>IF(B106="V01",cad!$I$25,IF(B106="V02",cad!$J$25,cad!$K$25))</f>
        <v/>
      </c>
      <c r="AA106">
        <f>IF(B106="V01",cad!$I$26,IF(B106="V02",cad!$J$26,cad!$K$26))</f>
        <v/>
      </c>
      <c r="AB106">
        <f>IF(B106="V01",cad!$I$37,IF(B106="V02",cad!$J$37,cad!$K$37))</f>
        <v/>
      </c>
      <c r="AC106">
        <f>IF(F106="MBWAY",cad!$I$9,IF(F106="ISCOM",cad!$I$10,IF(F106="IPAC",cad!$I$11,IF(F106="PIGIER",cad!$I$12,cad!$I$13))))</f>
        <v/>
      </c>
      <c r="AD106">
        <f>(O106*(1+W106)^S106+P106*((T106/U106)*(1+V106))^R106)*IFERROR(G106/Q106,0)*(J106+Y106)*K106*(L106+Z106)</f>
        <v/>
      </c>
      <c r="AE106">
        <f>IF(N106=1,AD106,0)</f>
        <v/>
      </c>
      <c r="AF106">
        <f>IF(N106=1,AD106,H106*(M106+AA106))</f>
        <v/>
      </c>
      <c r="AG106">
        <f>I106*(1+X106*AC106)</f>
        <v/>
      </c>
      <c r="AH106">
        <f>AF106*AG106+AE106*AB106</f>
        <v/>
      </c>
    </row>
    <row r="107">
      <c r="A107">
        <f>Moteur!D107</f>
        <v/>
      </c>
      <c r="B107">
        <f>Moteur!B107</f>
        <v/>
      </c>
      <c r="C107">
        <f>Moteur!F107</f>
        <v/>
      </c>
      <c r="D107">
        <f>Moteur!G107</f>
        <v/>
      </c>
      <c r="E107">
        <f>Moteur!H107</f>
        <v/>
      </c>
      <c r="F107">
        <f>Moteur!E107</f>
        <v/>
      </c>
      <c r="G107">
        <f>SUMIFS(Socle!$H$2:$H$175,Socle!$C$2:$C$175,A107,Socle!$D$2:$D$175,C107,Socle!$E$2:$E$175,D107,Socle!$F$2:$F$175,E107,Socle!$G$2:$G$175,"2026")</f>
        <v/>
      </c>
      <c r="H107">
        <f>SUMIFS(Socle!$N$2:$N$175,Socle!$C$2:$C$175,A107,Socle!$D$2:$D$175,C107,Socle!$E$2:$E$175,D107,Socle!$F$2:$F$175,E107,Socle!$G$2:$G$175,"2026")</f>
        <v/>
      </c>
      <c r="I107">
        <f>SUMIFS(Socle!$P$2:$P$175,Socle!$C$2:$C$175,A107,Socle!$D$2:$D$175,C107,Socle!$E$2:$E$175,D107,Socle!$F$2:$F$175,E107,Socle!$G$2:$G$175,"2026")</f>
        <v/>
      </c>
      <c r="J107">
        <f>SUMIFS(Socle!$W$2:$W$175,Socle!$C$2:$C$175,A107,Socle!$D$2:$D$175,C107,Socle!$E$2:$E$175,D107,Socle!$F$2:$F$175,E107,Socle!$G$2:$G$175,"2026")</f>
        <v/>
      </c>
      <c r="K107">
        <f>SUMIFS(Socle!$X$2:$X$175,Socle!$C$2:$C$175,A107,Socle!$D$2:$D$175,C107,Socle!$E$2:$E$175,D107,Socle!$F$2:$F$175,E107,Socle!$G$2:$G$175,"2026")</f>
        <v/>
      </c>
      <c r="L107">
        <f>SUMIFS(Socle!$Y$2:$Y$175,Socle!$C$2:$C$175,A107,Socle!$D$2:$D$175,C107,Socle!$E$2:$E$175,D107,Socle!$F$2:$F$175,E107,Socle!$G$2:$G$175,"2026")</f>
        <v/>
      </c>
      <c r="M107">
        <f>SUMIFS(Socle!$V$2:$V$175,Socle!$C$2:$C$175,A107,Socle!$D$2:$D$175,C107,Socle!$E$2:$E$175,D107,Socle!$F$2:$F$175,E107,Socle!$G$2:$G$175,"2026")</f>
        <v/>
      </c>
      <c r="N107">
        <f>IF(OR(D107="B1",D107="M1",D107="BTS1"),1,0)</f>
        <v/>
      </c>
      <c r="O107">
        <f>SUMIFS(Campagne!$D$2:$D$15,Campagne!$C$2:$C$15,A107)</f>
        <v/>
      </c>
      <c r="P107">
        <f>SUMIFS(Campagne!$E$2:$E$15,Campagne!$C$2:$C$15,A107)</f>
        <v/>
      </c>
      <c r="Q107">
        <f>SUMIFS(Campagne!$F$2:$F$15,Campagne!$C$2:$C$15,A107)</f>
        <v/>
      </c>
      <c r="R107">
        <f>SUMIFS(Campagne!$K$2:$K$15,Campagne!$C$2:$C$15,A107)</f>
        <v/>
      </c>
      <c r="S107">
        <f>SUMIFS(Campagne!$M$2:$M$15,Campagne!$C$2:$C$15,A107)</f>
        <v/>
      </c>
      <c r="T107">
        <f>SUMIFS(Pilotage!$Q$13:$Q$26,Pilotage!$F$13:$F$26,A107)</f>
        <v/>
      </c>
      <c r="U107">
        <f>SUMIFS(Pilotage!$N$13:$N$26,Pilotage!$F$13:$F$26,A107)</f>
        <v/>
      </c>
      <c r="V107">
        <f>IF(B107="V01",cad!$I$21,IF(B107="V02",cad!$J$21,cad!$K$21))</f>
        <v/>
      </c>
      <c r="W107">
        <f>IF(B107="V01",cad!$I$22,IF(B107="V02",cad!$J$22,cad!$K$22))</f>
        <v/>
      </c>
      <c r="X107">
        <f>IF(B107="V01",cad!$I$23,IF(B107="V02",cad!$J$23,cad!$K$23))</f>
        <v/>
      </c>
      <c r="Y107">
        <f>IF(B107="V01",cad!$I$24,IF(B107="V02",cad!$J$24,cad!$K$24))</f>
        <v/>
      </c>
      <c r="Z107">
        <f>IF(B107="V01",cad!$I$25,IF(B107="V02",cad!$J$25,cad!$K$25))</f>
        <v/>
      </c>
      <c r="AA107">
        <f>IF(B107="V01",cad!$I$26,IF(B107="V02",cad!$J$26,cad!$K$26))</f>
        <v/>
      </c>
      <c r="AB107">
        <f>IF(B107="V01",cad!$I$37,IF(B107="V02",cad!$J$37,cad!$K$37))</f>
        <v/>
      </c>
      <c r="AC107">
        <f>IF(F107="MBWAY",cad!$I$9,IF(F107="ISCOM",cad!$I$10,IF(F107="IPAC",cad!$I$11,IF(F107="PIGIER",cad!$I$12,cad!$I$13))))</f>
        <v/>
      </c>
      <c r="AD107">
        <f>(O107*(1+W107)^S107+P107*((T107/U107)*(1+V107))^R107)*IFERROR(G107/Q107,0)*(J107+Y107)*K107*(L107+Z107)</f>
        <v/>
      </c>
      <c r="AE107">
        <f>IF(N107=1,AD107,0)</f>
        <v/>
      </c>
      <c r="AF107">
        <f>IF(N107=1,AD107,H107*(M107+AA107))</f>
        <v/>
      </c>
      <c r="AG107">
        <f>I107*(1+X107*AC107)</f>
        <v/>
      </c>
      <c r="AH107">
        <f>AF107*AG107+AE107*AB107</f>
        <v/>
      </c>
    </row>
    <row r="108">
      <c r="A108">
        <f>Moteur!D108</f>
        <v/>
      </c>
      <c r="B108">
        <f>Moteur!B108</f>
        <v/>
      </c>
      <c r="C108">
        <f>Moteur!F108</f>
        <v/>
      </c>
      <c r="D108">
        <f>Moteur!G108</f>
        <v/>
      </c>
      <c r="E108">
        <f>Moteur!H108</f>
        <v/>
      </c>
      <c r="F108">
        <f>Moteur!E108</f>
        <v/>
      </c>
      <c r="G108">
        <f>SUMIFS(Socle!$H$2:$H$175,Socle!$C$2:$C$175,A108,Socle!$D$2:$D$175,C108,Socle!$E$2:$E$175,D108,Socle!$F$2:$F$175,E108,Socle!$G$2:$G$175,"2026")</f>
        <v/>
      </c>
      <c r="H108">
        <f>SUMIFS(Socle!$N$2:$N$175,Socle!$C$2:$C$175,A108,Socle!$D$2:$D$175,C108,Socle!$E$2:$E$175,D108,Socle!$F$2:$F$175,E108,Socle!$G$2:$G$175,"2026")</f>
        <v/>
      </c>
      <c r="I108">
        <f>SUMIFS(Socle!$P$2:$P$175,Socle!$C$2:$C$175,A108,Socle!$D$2:$D$175,C108,Socle!$E$2:$E$175,D108,Socle!$F$2:$F$175,E108,Socle!$G$2:$G$175,"2026")</f>
        <v/>
      </c>
      <c r="J108">
        <f>SUMIFS(Socle!$W$2:$W$175,Socle!$C$2:$C$175,A108,Socle!$D$2:$D$175,C108,Socle!$E$2:$E$175,D108,Socle!$F$2:$F$175,E108,Socle!$G$2:$G$175,"2026")</f>
        <v/>
      </c>
      <c r="K108">
        <f>SUMIFS(Socle!$X$2:$X$175,Socle!$C$2:$C$175,A108,Socle!$D$2:$D$175,C108,Socle!$E$2:$E$175,D108,Socle!$F$2:$F$175,E108,Socle!$G$2:$G$175,"2026")</f>
        <v/>
      </c>
      <c r="L108">
        <f>SUMIFS(Socle!$Y$2:$Y$175,Socle!$C$2:$C$175,A108,Socle!$D$2:$D$175,C108,Socle!$E$2:$E$175,D108,Socle!$F$2:$F$175,E108,Socle!$G$2:$G$175,"2026")</f>
        <v/>
      </c>
      <c r="M108">
        <f>SUMIFS(Socle!$V$2:$V$175,Socle!$C$2:$C$175,A108,Socle!$D$2:$D$175,C108,Socle!$E$2:$E$175,D108,Socle!$F$2:$F$175,E108,Socle!$G$2:$G$175,"2026")</f>
        <v/>
      </c>
      <c r="N108">
        <f>IF(OR(D108="B1",D108="M1",D108="BTS1"),1,0)</f>
        <v/>
      </c>
      <c r="O108">
        <f>SUMIFS(Campagne!$D$2:$D$15,Campagne!$C$2:$C$15,A108)</f>
        <v/>
      </c>
      <c r="P108">
        <f>SUMIFS(Campagne!$E$2:$E$15,Campagne!$C$2:$C$15,A108)</f>
        <v/>
      </c>
      <c r="Q108">
        <f>SUMIFS(Campagne!$F$2:$F$15,Campagne!$C$2:$C$15,A108)</f>
        <v/>
      </c>
      <c r="R108">
        <f>SUMIFS(Campagne!$K$2:$K$15,Campagne!$C$2:$C$15,A108)</f>
        <v/>
      </c>
      <c r="S108">
        <f>SUMIFS(Campagne!$M$2:$M$15,Campagne!$C$2:$C$15,A108)</f>
        <v/>
      </c>
      <c r="T108">
        <f>SUMIFS(Pilotage!$Q$13:$Q$26,Pilotage!$F$13:$F$26,A108)</f>
        <v/>
      </c>
      <c r="U108">
        <f>SUMIFS(Pilotage!$N$13:$N$26,Pilotage!$F$13:$F$26,A108)</f>
        <v/>
      </c>
      <c r="V108">
        <f>IF(B108="V01",cad!$I$21,IF(B108="V02",cad!$J$21,cad!$K$21))</f>
        <v/>
      </c>
      <c r="W108">
        <f>IF(B108="V01",cad!$I$22,IF(B108="V02",cad!$J$22,cad!$K$22))</f>
        <v/>
      </c>
      <c r="X108">
        <f>IF(B108="V01",cad!$I$23,IF(B108="V02",cad!$J$23,cad!$K$23))</f>
        <v/>
      </c>
      <c r="Y108">
        <f>IF(B108="V01",cad!$I$24,IF(B108="V02",cad!$J$24,cad!$K$24))</f>
        <v/>
      </c>
      <c r="Z108">
        <f>IF(B108="V01",cad!$I$25,IF(B108="V02",cad!$J$25,cad!$K$25))</f>
        <v/>
      </c>
      <c r="AA108">
        <f>IF(B108="V01",cad!$I$26,IF(B108="V02",cad!$J$26,cad!$K$26))</f>
        <v/>
      </c>
      <c r="AB108">
        <f>IF(B108="V01",cad!$I$37,IF(B108="V02",cad!$J$37,cad!$K$37))</f>
        <v/>
      </c>
      <c r="AC108">
        <f>IF(F108="MBWAY",cad!$I$9,IF(F108="ISCOM",cad!$I$10,IF(F108="IPAC",cad!$I$11,IF(F108="PIGIER",cad!$I$12,cad!$I$13))))</f>
        <v/>
      </c>
      <c r="AD108">
        <f>(O108*(1+W108)^S108+P108*((T108/U108)*(1+V108))^R108)*IFERROR(G108/Q108,0)*(J108+Y108)*K108*(L108+Z108)</f>
        <v/>
      </c>
      <c r="AE108">
        <f>IF(N108=1,AD108,0)</f>
        <v/>
      </c>
      <c r="AF108">
        <f>IF(N108=1,AD108,H108*(M108+AA108))</f>
        <v/>
      </c>
      <c r="AG108">
        <f>I108*(1+X108*AC108)</f>
        <v/>
      </c>
      <c r="AH108">
        <f>AF108*AG108+AE108*AB108</f>
        <v/>
      </c>
    </row>
    <row r="109">
      <c r="A109">
        <f>Moteur!D109</f>
        <v/>
      </c>
      <c r="B109">
        <f>Moteur!B109</f>
        <v/>
      </c>
      <c r="C109">
        <f>Moteur!F109</f>
        <v/>
      </c>
      <c r="D109">
        <f>Moteur!G109</f>
        <v/>
      </c>
      <c r="E109">
        <f>Moteur!H109</f>
        <v/>
      </c>
      <c r="F109">
        <f>Moteur!E109</f>
        <v/>
      </c>
      <c r="G109">
        <f>SUMIFS(Socle!$H$2:$H$175,Socle!$C$2:$C$175,A109,Socle!$D$2:$D$175,C109,Socle!$E$2:$E$175,D109,Socle!$F$2:$F$175,E109,Socle!$G$2:$G$175,"2026")</f>
        <v/>
      </c>
      <c r="H109">
        <f>SUMIFS(Socle!$N$2:$N$175,Socle!$C$2:$C$175,A109,Socle!$D$2:$D$175,C109,Socle!$E$2:$E$175,D109,Socle!$F$2:$F$175,E109,Socle!$G$2:$G$175,"2026")</f>
        <v/>
      </c>
      <c r="I109">
        <f>SUMIFS(Socle!$P$2:$P$175,Socle!$C$2:$C$175,A109,Socle!$D$2:$D$175,C109,Socle!$E$2:$E$175,D109,Socle!$F$2:$F$175,E109,Socle!$G$2:$G$175,"2026")</f>
        <v/>
      </c>
      <c r="J109">
        <f>SUMIFS(Socle!$W$2:$W$175,Socle!$C$2:$C$175,A109,Socle!$D$2:$D$175,C109,Socle!$E$2:$E$175,D109,Socle!$F$2:$F$175,E109,Socle!$G$2:$G$175,"2026")</f>
        <v/>
      </c>
      <c r="K109">
        <f>SUMIFS(Socle!$X$2:$X$175,Socle!$C$2:$C$175,A109,Socle!$D$2:$D$175,C109,Socle!$E$2:$E$175,D109,Socle!$F$2:$F$175,E109,Socle!$G$2:$G$175,"2026")</f>
        <v/>
      </c>
      <c r="L109">
        <f>SUMIFS(Socle!$Y$2:$Y$175,Socle!$C$2:$C$175,A109,Socle!$D$2:$D$175,C109,Socle!$E$2:$E$175,D109,Socle!$F$2:$F$175,E109,Socle!$G$2:$G$175,"2026")</f>
        <v/>
      </c>
      <c r="M109">
        <f>SUMIFS(Socle!$V$2:$V$175,Socle!$C$2:$C$175,A109,Socle!$D$2:$D$175,C109,Socle!$E$2:$E$175,D109,Socle!$F$2:$F$175,E109,Socle!$G$2:$G$175,"2026")</f>
        <v/>
      </c>
      <c r="N109">
        <f>IF(OR(D109="B1",D109="M1",D109="BTS1"),1,0)</f>
        <v/>
      </c>
      <c r="O109">
        <f>SUMIFS(Campagne!$D$2:$D$15,Campagne!$C$2:$C$15,A109)</f>
        <v/>
      </c>
      <c r="P109">
        <f>SUMIFS(Campagne!$E$2:$E$15,Campagne!$C$2:$C$15,A109)</f>
        <v/>
      </c>
      <c r="Q109">
        <f>SUMIFS(Campagne!$F$2:$F$15,Campagne!$C$2:$C$15,A109)</f>
        <v/>
      </c>
      <c r="R109">
        <f>SUMIFS(Campagne!$K$2:$K$15,Campagne!$C$2:$C$15,A109)</f>
        <v/>
      </c>
      <c r="S109">
        <f>SUMIFS(Campagne!$M$2:$M$15,Campagne!$C$2:$C$15,A109)</f>
        <v/>
      </c>
      <c r="T109">
        <f>SUMIFS(Pilotage!$Q$13:$Q$26,Pilotage!$F$13:$F$26,A109)</f>
        <v/>
      </c>
      <c r="U109">
        <f>SUMIFS(Pilotage!$N$13:$N$26,Pilotage!$F$13:$F$26,A109)</f>
        <v/>
      </c>
      <c r="V109">
        <f>IF(B109="V01",cad!$I$21,IF(B109="V02",cad!$J$21,cad!$K$21))</f>
        <v/>
      </c>
      <c r="W109">
        <f>IF(B109="V01",cad!$I$22,IF(B109="V02",cad!$J$22,cad!$K$22))</f>
        <v/>
      </c>
      <c r="X109">
        <f>IF(B109="V01",cad!$I$23,IF(B109="V02",cad!$J$23,cad!$K$23))</f>
        <v/>
      </c>
      <c r="Y109">
        <f>IF(B109="V01",cad!$I$24,IF(B109="V02",cad!$J$24,cad!$K$24))</f>
        <v/>
      </c>
      <c r="Z109">
        <f>IF(B109="V01",cad!$I$25,IF(B109="V02",cad!$J$25,cad!$K$25))</f>
        <v/>
      </c>
      <c r="AA109">
        <f>IF(B109="V01",cad!$I$26,IF(B109="V02",cad!$J$26,cad!$K$26))</f>
        <v/>
      </c>
      <c r="AB109">
        <f>IF(B109="V01",cad!$I$37,IF(B109="V02",cad!$J$37,cad!$K$37))</f>
        <v/>
      </c>
      <c r="AC109">
        <f>IF(F109="MBWAY",cad!$I$9,IF(F109="ISCOM",cad!$I$10,IF(F109="IPAC",cad!$I$11,IF(F109="PIGIER",cad!$I$12,cad!$I$13))))</f>
        <v/>
      </c>
      <c r="AD109">
        <f>(O109*(1+W109)^S109+P109*((T109/U109)*(1+V109))^R109)*IFERROR(G109/Q109,0)*(J109+Y109)*K109*(L109+Z109)</f>
        <v/>
      </c>
      <c r="AE109">
        <f>IF(N109=1,AD109,0)</f>
        <v/>
      </c>
      <c r="AF109">
        <f>IF(N109=1,AD109,H109*(M109+AA109))</f>
        <v/>
      </c>
      <c r="AG109">
        <f>I109*(1+X109*AC109)</f>
        <v/>
      </c>
      <c r="AH109">
        <f>AF109*AG109+AE109*AB109</f>
        <v/>
      </c>
    </row>
    <row r="110">
      <c r="A110">
        <f>Moteur!D110</f>
        <v/>
      </c>
      <c r="B110">
        <f>Moteur!B110</f>
        <v/>
      </c>
      <c r="C110">
        <f>Moteur!F110</f>
        <v/>
      </c>
      <c r="D110">
        <f>Moteur!G110</f>
        <v/>
      </c>
      <c r="E110">
        <f>Moteur!H110</f>
        <v/>
      </c>
      <c r="F110">
        <f>Moteur!E110</f>
        <v/>
      </c>
      <c r="G110">
        <f>SUMIFS(Socle!$H$2:$H$175,Socle!$C$2:$C$175,A110,Socle!$D$2:$D$175,C110,Socle!$E$2:$E$175,D110,Socle!$F$2:$F$175,E110,Socle!$G$2:$G$175,"2026")</f>
        <v/>
      </c>
      <c r="H110">
        <f>SUMIFS(Socle!$N$2:$N$175,Socle!$C$2:$C$175,A110,Socle!$D$2:$D$175,C110,Socle!$E$2:$E$175,D110,Socle!$F$2:$F$175,E110,Socle!$G$2:$G$175,"2026")</f>
        <v/>
      </c>
      <c r="I110">
        <f>SUMIFS(Socle!$P$2:$P$175,Socle!$C$2:$C$175,A110,Socle!$D$2:$D$175,C110,Socle!$E$2:$E$175,D110,Socle!$F$2:$F$175,E110,Socle!$G$2:$G$175,"2026")</f>
        <v/>
      </c>
      <c r="J110">
        <f>SUMIFS(Socle!$W$2:$W$175,Socle!$C$2:$C$175,A110,Socle!$D$2:$D$175,C110,Socle!$E$2:$E$175,D110,Socle!$F$2:$F$175,E110,Socle!$G$2:$G$175,"2026")</f>
        <v/>
      </c>
      <c r="K110">
        <f>SUMIFS(Socle!$X$2:$X$175,Socle!$C$2:$C$175,A110,Socle!$D$2:$D$175,C110,Socle!$E$2:$E$175,D110,Socle!$F$2:$F$175,E110,Socle!$G$2:$G$175,"2026")</f>
        <v/>
      </c>
      <c r="L110">
        <f>SUMIFS(Socle!$Y$2:$Y$175,Socle!$C$2:$C$175,A110,Socle!$D$2:$D$175,C110,Socle!$E$2:$E$175,D110,Socle!$F$2:$F$175,E110,Socle!$G$2:$G$175,"2026")</f>
        <v/>
      </c>
      <c r="M110">
        <f>SUMIFS(Socle!$V$2:$V$175,Socle!$C$2:$C$175,A110,Socle!$D$2:$D$175,C110,Socle!$E$2:$E$175,D110,Socle!$F$2:$F$175,E110,Socle!$G$2:$G$175,"2026")</f>
        <v/>
      </c>
      <c r="N110">
        <f>IF(OR(D110="B1",D110="M1",D110="BTS1"),1,0)</f>
        <v/>
      </c>
      <c r="O110">
        <f>SUMIFS(Campagne!$D$2:$D$15,Campagne!$C$2:$C$15,A110)</f>
        <v/>
      </c>
      <c r="P110">
        <f>SUMIFS(Campagne!$E$2:$E$15,Campagne!$C$2:$C$15,A110)</f>
        <v/>
      </c>
      <c r="Q110">
        <f>SUMIFS(Campagne!$F$2:$F$15,Campagne!$C$2:$C$15,A110)</f>
        <v/>
      </c>
      <c r="R110">
        <f>SUMIFS(Campagne!$K$2:$K$15,Campagne!$C$2:$C$15,A110)</f>
        <v/>
      </c>
      <c r="S110">
        <f>SUMIFS(Campagne!$M$2:$M$15,Campagne!$C$2:$C$15,A110)</f>
        <v/>
      </c>
      <c r="T110">
        <f>SUMIFS(Pilotage!$Q$13:$Q$26,Pilotage!$F$13:$F$26,A110)</f>
        <v/>
      </c>
      <c r="U110">
        <f>SUMIFS(Pilotage!$N$13:$N$26,Pilotage!$F$13:$F$26,A110)</f>
        <v/>
      </c>
      <c r="V110">
        <f>IF(B110="V01",cad!$I$21,IF(B110="V02",cad!$J$21,cad!$K$21))</f>
        <v/>
      </c>
      <c r="W110">
        <f>IF(B110="V01",cad!$I$22,IF(B110="V02",cad!$J$22,cad!$K$22))</f>
        <v/>
      </c>
      <c r="X110">
        <f>IF(B110="V01",cad!$I$23,IF(B110="V02",cad!$J$23,cad!$K$23))</f>
        <v/>
      </c>
      <c r="Y110">
        <f>IF(B110="V01",cad!$I$24,IF(B110="V02",cad!$J$24,cad!$K$24))</f>
        <v/>
      </c>
      <c r="Z110">
        <f>IF(B110="V01",cad!$I$25,IF(B110="V02",cad!$J$25,cad!$K$25))</f>
        <v/>
      </c>
      <c r="AA110">
        <f>IF(B110="V01",cad!$I$26,IF(B110="V02",cad!$J$26,cad!$K$26))</f>
        <v/>
      </c>
      <c r="AB110">
        <f>IF(B110="V01",cad!$I$37,IF(B110="V02",cad!$J$37,cad!$K$37))</f>
        <v/>
      </c>
      <c r="AC110">
        <f>IF(F110="MBWAY",cad!$I$9,IF(F110="ISCOM",cad!$I$10,IF(F110="IPAC",cad!$I$11,IF(F110="PIGIER",cad!$I$12,cad!$I$13))))</f>
        <v/>
      </c>
      <c r="AD110">
        <f>(O110*(1+W110)^S110+P110*((T110/U110)*(1+V110))^R110)*IFERROR(G110/Q110,0)*(J110+Y110)*K110*(L110+Z110)</f>
        <v/>
      </c>
      <c r="AE110">
        <f>IF(N110=1,AD110,0)</f>
        <v/>
      </c>
      <c r="AF110">
        <f>IF(N110=1,AD110,H110*(M110+AA110))</f>
        <v/>
      </c>
      <c r="AG110">
        <f>I110*(1+X110*AC110)</f>
        <v/>
      </c>
      <c r="AH110">
        <f>AF110*AG110+AE110*AB110</f>
        <v/>
      </c>
    </row>
    <row r="111">
      <c r="A111">
        <f>Moteur!D111</f>
        <v/>
      </c>
      <c r="B111">
        <f>Moteur!B111</f>
        <v/>
      </c>
      <c r="C111">
        <f>Moteur!F111</f>
        <v/>
      </c>
      <c r="D111">
        <f>Moteur!G111</f>
        <v/>
      </c>
      <c r="E111">
        <f>Moteur!H111</f>
        <v/>
      </c>
      <c r="F111">
        <f>Moteur!E111</f>
        <v/>
      </c>
      <c r="G111">
        <f>SUMIFS(Socle!$H$2:$H$175,Socle!$C$2:$C$175,A111,Socle!$D$2:$D$175,C111,Socle!$E$2:$E$175,D111,Socle!$F$2:$F$175,E111,Socle!$G$2:$G$175,"2026")</f>
        <v/>
      </c>
      <c r="H111">
        <f>SUMIFS(Socle!$N$2:$N$175,Socle!$C$2:$C$175,A111,Socle!$D$2:$D$175,C111,Socle!$E$2:$E$175,D111,Socle!$F$2:$F$175,E111,Socle!$G$2:$G$175,"2026")</f>
        <v/>
      </c>
      <c r="I111">
        <f>SUMIFS(Socle!$P$2:$P$175,Socle!$C$2:$C$175,A111,Socle!$D$2:$D$175,C111,Socle!$E$2:$E$175,D111,Socle!$F$2:$F$175,E111,Socle!$G$2:$G$175,"2026")</f>
        <v/>
      </c>
      <c r="J111">
        <f>SUMIFS(Socle!$W$2:$W$175,Socle!$C$2:$C$175,A111,Socle!$D$2:$D$175,C111,Socle!$E$2:$E$175,D111,Socle!$F$2:$F$175,E111,Socle!$G$2:$G$175,"2026")</f>
        <v/>
      </c>
      <c r="K111">
        <f>SUMIFS(Socle!$X$2:$X$175,Socle!$C$2:$C$175,A111,Socle!$D$2:$D$175,C111,Socle!$E$2:$E$175,D111,Socle!$F$2:$F$175,E111,Socle!$G$2:$G$175,"2026")</f>
        <v/>
      </c>
      <c r="L111">
        <f>SUMIFS(Socle!$Y$2:$Y$175,Socle!$C$2:$C$175,A111,Socle!$D$2:$D$175,C111,Socle!$E$2:$E$175,D111,Socle!$F$2:$F$175,E111,Socle!$G$2:$G$175,"2026")</f>
        <v/>
      </c>
      <c r="M111">
        <f>SUMIFS(Socle!$V$2:$V$175,Socle!$C$2:$C$175,A111,Socle!$D$2:$D$175,C111,Socle!$E$2:$E$175,D111,Socle!$F$2:$F$175,E111,Socle!$G$2:$G$175,"2026")</f>
        <v/>
      </c>
      <c r="N111">
        <f>IF(OR(D111="B1",D111="M1",D111="BTS1"),1,0)</f>
        <v/>
      </c>
      <c r="O111">
        <f>SUMIFS(Campagne!$D$2:$D$15,Campagne!$C$2:$C$15,A111)</f>
        <v/>
      </c>
      <c r="P111">
        <f>SUMIFS(Campagne!$E$2:$E$15,Campagne!$C$2:$C$15,A111)</f>
        <v/>
      </c>
      <c r="Q111">
        <f>SUMIFS(Campagne!$F$2:$F$15,Campagne!$C$2:$C$15,A111)</f>
        <v/>
      </c>
      <c r="R111">
        <f>SUMIFS(Campagne!$K$2:$K$15,Campagne!$C$2:$C$15,A111)</f>
        <v/>
      </c>
      <c r="S111">
        <f>SUMIFS(Campagne!$M$2:$M$15,Campagne!$C$2:$C$15,A111)</f>
        <v/>
      </c>
      <c r="T111">
        <f>SUMIFS(Pilotage!$Q$13:$Q$26,Pilotage!$F$13:$F$26,A111)</f>
        <v/>
      </c>
      <c r="U111">
        <f>SUMIFS(Pilotage!$N$13:$N$26,Pilotage!$F$13:$F$26,A111)</f>
        <v/>
      </c>
      <c r="V111">
        <f>IF(B111="V01",cad!$I$21,IF(B111="V02",cad!$J$21,cad!$K$21))</f>
        <v/>
      </c>
      <c r="W111">
        <f>IF(B111="V01",cad!$I$22,IF(B111="V02",cad!$J$22,cad!$K$22))</f>
        <v/>
      </c>
      <c r="X111">
        <f>IF(B111="V01",cad!$I$23,IF(B111="V02",cad!$J$23,cad!$K$23))</f>
        <v/>
      </c>
      <c r="Y111">
        <f>IF(B111="V01",cad!$I$24,IF(B111="V02",cad!$J$24,cad!$K$24))</f>
        <v/>
      </c>
      <c r="Z111">
        <f>IF(B111="V01",cad!$I$25,IF(B111="V02",cad!$J$25,cad!$K$25))</f>
        <v/>
      </c>
      <c r="AA111">
        <f>IF(B111="V01",cad!$I$26,IF(B111="V02",cad!$J$26,cad!$K$26))</f>
        <v/>
      </c>
      <c r="AB111">
        <f>IF(B111="V01",cad!$I$37,IF(B111="V02",cad!$J$37,cad!$K$37))</f>
        <v/>
      </c>
      <c r="AC111">
        <f>IF(F111="MBWAY",cad!$I$9,IF(F111="ISCOM",cad!$I$10,IF(F111="IPAC",cad!$I$11,IF(F111="PIGIER",cad!$I$12,cad!$I$13))))</f>
        <v/>
      </c>
      <c r="AD111">
        <f>(O111*(1+W111)^S111+P111*((T111/U111)*(1+V111))^R111)*IFERROR(G111/Q111,0)*(J111+Y111)*K111*(L111+Z111)</f>
        <v/>
      </c>
      <c r="AE111">
        <f>IF(N111=1,AD111,0)</f>
        <v/>
      </c>
      <c r="AF111">
        <f>IF(N111=1,AD111,H111*(M111+AA111))</f>
        <v/>
      </c>
      <c r="AG111">
        <f>I111*(1+X111*AC111)</f>
        <v/>
      </c>
      <c r="AH111">
        <f>AF111*AG111+AE111*AB111</f>
        <v/>
      </c>
    </row>
    <row r="112">
      <c r="A112">
        <f>Moteur!D112</f>
        <v/>
      </c>
      <c r="B112">
        <f>Moteur!B112</f>
        <v/>
      </c>
      <c r="C112">
        <f>Moteur!F112</f>
        <v/>
      </c>
      <c r="D112">
        <f>Moteur!G112</f>
        <v/>
      </c>
      <c r="E112">
        <f>Moteur!H112</f>
        <v/>
      </c>
      <c r="F112">
        <f>Moteur!E112</f>
        <v/>
      </c>
      <c r="G112">
        <f>SUMIFS(Socle!$H$2:$H$175,Socle!$C$2:$C$175,A112,Socle!$D$2:$D$175,C112,Socle!$E$2:$E$175,D112,Socle!$F$2:$F$175,E112,Socle!$G$2:$G$175,"2026")</f>
        <v/>
      </c>
      <c r="H112">
        <f>SUMIFS(Socle!$N$2:$N$175,Socle!$C$2:$C$175,A112,Socle!$D$2:$D$175,C112,Socle!$E$2:$E$175,D112,Socle!$F$2:$F$175,E112,Socle!$G$2:$G$175,"2026")</f>
        <v/>
      </c>
      <c r="I112">
        <f>SUMIFS(Socle!$P$2:$P$175,Socle!$C$2:$C$175,A112,Socle!$D$2:$D$175,C112,Socle!$E$2:$E$175,D112,Socle!$F$2:$F$175,E112,Socle!$G$2:$G$175,"2026")</f>
        <v/>
      </c>
      <c r="J112">
        <f>SUMIFS(Socle!$W$2:$W$175,Socle!$C$2:$C$175,A112,Socle!$D$2:$D$175,C112,Socle!$E$2:$E$175,D112,Socle!$F$2:$F$175,E112,Socle!$G$2:$G$175,"2026")</f>
        <v/>
      </c>
      <c r="K112">
        <f>SUMIFS(Socle!$X$2:$X$175,Socle!$C$2:$C$175,A112,Socle!$D$2:$D$175,C112,Socle!$E$2:$E$175,D112,Socle!$F$2:$F$175,E112,Socle!$G$2:$G$175,"2026")</f>
        <v/>
      </c>
      <c r="L112">
        <f>SUMIFS(Socle!$Y$2:$Y$175,Socle!$C$2:$C$175,A112,Socle!$D$2:$D$175,C112,Socle!$E$2:$E$175,D112,Socle!$F$2:$F$175,E112,Socle!$G$2:$G$175,"2026")</f>
        <v/>
      </c>
      <c r="M112">
        <f>SUMIFS(Socle!$V$2:$V$175,Socle!$C$2:$C$175,A112,Socle!$D$2:$D$175,C112,Socle!$E$2:$E$175,D112,Socle!$F$2:$F$175,E112,Socle!$G$2:$G$175,"2026")</f>
        <v/>
      </c>
      <c r="N112">
        <f>IF(OR(D112="B1",D112="M1",D112="BTS1"),1,0)</f>
        <v/>
      </c>
      <c r="O112">
        <f>SUMIFS(Campagne!$D$2:$D$15,Campagne!$C$2:$C$15,A112)</f>
        <v/>
      </c>
      <c r="P112">
        <f>SUMIFS(Campagne!$E$2:$E$15,Campagne!$C$2:$C$15,A112)</f>
        <v/>
      </c>
      <c r="Q112">
        <f>SUMIFS(Campagne!$F$2:$F$15,Campagne!$C$2:$C$15,A112)</f>
        <v/>
      </c>
      <c r="R112">
        <f>SUMIFS(Campagne!$K$2:$K$15,Campagne!$C$2:$C$15,A112)</f>
        <v/>
      </c>
      <c r="S112">
        <f>SUMIFS(Campagne!$M$2:$M$15,Campagne!$C$2:$C$15,A112)</f>
        <v/>
      </c>
      <c r="T112">
        <f>SUMIFS(Pilotage!$Q$13:$Q$26,Pilotage!$F$13:$F$26,A112)</f>
        <v/>
      </c>
      <c r="U112">
        <f>SUMIFS(Pilotage!$N$13:$N$26,Pilotage!$F$13:$F$26,A112)</f>
        <v/>
      </c>
      <c r="V112">
        <f>IF(B112="V01",cad!$I$21,IF(B112="V02",cad!$J$21,cad!$K$21))</f>
        <v/>
      </c>
      <c r="W112">
        <f>IF(B112="V01",cad!$I$22,IF(B112="V02",cad!$J$22,cad!$K$22))</f>
        <v/>
      </c>
      <c r="X112">
        <f>IF(B112="V01",cad!$I$23,IF(B112="V02",cad!$J$23,cad!$K$23))</f>
        <v/>
      </c>
      <c r="Y112">
        <f>IF(B112="V01",cad!$I$24,IF(B112="V02",cad!$J$24,cad!$K$24))</f>
        <v/>
      </c>
      <c r="Z112">
        <f>IF(B112="V01",cad!$I$25,IF(B112="V02",cad!$J$25,cad!$K$25))</f>
        <v/>
      </c>
      <c r="AA112">
        <f>IF(B112="V01",cad!$I$26,IF(B112="V02",cad!$J$26,cad!$K$26))</f>
        <v/>
      </c>
      <c r="AB112">
        <f>IF(B112="V01",cad!$I$37,IF(B112="V02",cad!$J$37,cad!$K$37))</f>
        <v/>
      </c>
      <c r="AC112">
        <f>IF(F112="MBWAY",cad!$I$9,IF(F112="ISCOM",cad!$I$10,IF(F112="IPAC",cad!$I$11,IF(F112="PIGIER",cad!$I$12,cad!$I$13))))</f>
        <v/>
      </c>
      <c r="AD112">
        <f>(O112*(1+W112)^S112+P112*((T112/U112)*(1+V112))^R112)*IFERROR(G112/Q112,0)*(J112+Y112)*K112*(L112+Z112)</f>
        <v/>
      </c>
      <c r="AE112">
        <f>IF(N112=1,AD112,0)</f>
        <v/>
      </c>
      <c r="AF112">
        <f>IF(N112=1,AD112,H112*(M112+AA112))</f>
        <v/>
      </c>
      <c r="AG112">
        <f>I112*(1+X112*AC112)</f>
        <v/>
      </c>
      <c r="AH112">
        <f>AF112*AG112+AE112*AB112</f>
        <v/>
      </c>
    </row>
    <row r="113">
      <c r="A113">
        <f>Moteur!D113</f>
        <v/>
      </c>
      <c r="B113">
        <f>Moteur!B113</f>
        <v/>
      </c>
      <c r="C113">
        <f>Moteur!F113</f>
        <v/>
      </c>
      <c r="D113">
        <f>Moteur!G113</f>
        <v/>
      </c>
      <c r="E113">
        <f>Moteur!H113</f>
        <v/>
      </c>
      <c r="F113">
        <f>Moteur!E113</f>
        <v/>
      </c>
      <c r="G113">
        <f>SUMIFS(Socle!$H$2:$H$175,Socle!$C$2:$C$175,A113,Socle!$D$2:$D$175,C113,Socle!$E$2:$E$175,D113,Socle!$F$2:$F$175,E113,Socle!$G$2:$G$175,"2026")</f>
        <v/>
      </c>
      <c r="H113">
        <f>SUMIFS(Socle!$N$2:$N$175,Socle!$C$2:$C$175,A113,Socle!$D$2:$D$175,C113,Socle!$E$2:$E$175,D113,Socle!$F$2:$F$175,E113,Socle!$G$2:$G$175,"2026")</f>
        <v/>
      </c>
      <c r="I113">
        <f>SUMIFS(Socle!$P$2:$P$175,Socle!$C$2:$C$175,A113,Socle!$D$2:$D$175,C113,Socle!$E$2:$E$175,D113,Socle!$F$2:$F$175,E113,Socle!$G$2:$G$175,"2026")</f>
        <v/>
      </c>
      <c r="J113">
        <f>SUMIFS(Socle!$W$2:$W$175,Socle!$C$2:$C$175,A113,Socle!$D$2:$D$175,C113,Socle!$E$2:$E$175,D113,Socle!$F$2:$F$175,E113,Socle!$G$2:$G$175,"2026")</f>
        <v/>
      </c>
      <c r="K113">
        <f>SUMIFS(Socle!$X$2:$X$175,Socle!$C$2:$C$175,A113,Socle!$D$2:$D$175,C113,Socle!$E$2:$E$175,D113,Socle!$F$2:$F$175,E113,Socle!$G$2:$G$175,"2026")</f>
        <v/>
      </c>
      <c r="L113">
        <f>SUMIFS(Socle!$Y$2:$Y$175,Socle!$C$2:$C$175,A113,Socle!$D$2:$D$175,C113,Socle!$E$2:$E$175,D113,Socle!$F$2:$F$175,E113,Socle!$G$2:$G$175,"2026")</f>
        <v/>
      </c>
      <c r="M113">
        <f>SUMIFS(Socle!$V$2:$V$175,Socle!$C$2:$C$175,A113,Socle!$D$2:$D$175,C113,Socle!$E$2:$E$175,D113,Socle!$F$2:$F$175,E113,Socle!$G$2:$G$175,"2026")</f>
        <v/>
      </c>
      <c r="N113">
        <f>IF(OR(D113="B1",D113="M1",D113="BTS1"),1,0)</f>
        <v/>
      </c>
      <c r="O113">
        <f>SUMIFS(Campagne!$D$2:$D$15,Campagne!$C$2:$C$15,A113)</f>
        <v/>
      </c>
      <c r="P113">
        <f>SUMIFS(Campagne!$E$2:$E$15,Campagne!$C$2:$C$15,A113)</f>
        <v/>
      </c>
      <c r="Q113">
        <f>SUMIFS(Campagne!$F$2:$F$15,Campagne!$C$2:$C$15,A113)</f>
        <v/>
      </c>
      <c r="R113">
        <f>SUMIFS(Campagne!$K$2:$K$15,Campagne!$C$2:$C$15,A113)</f>
        <v/>
      </c>
      <c r="S113">
        <f>SUMIFS(Campagne!$M$2:$M$15,Campagne!$C$2:$C$15,A113)</f>
        <v/>
      </c>
      <c r="T113">
        <f>SUMIFS(Pilotage!$Q$13:$Q$26,Pilotage!$F$13:$F$26,A113)</f>
        <v/>
      </c>
      <c r="U113">
        <f>SUMIFS(Pilotage!$N$13:$N$26,Pilotage!$F$13:$F$26,A113)</f>
        <v/>
      </c>
      <c r="V113">
        <f>IF(B113="V01",cad!$I$21,IF(B113="V02",cad!$J$21,cad!$K$21))</f>
        <v/>
      </c>
      <c r="W113">
        <f>IF(B113="V01",cad!$I$22,IF(B113="V02",cad!$J$22,cad!$K$22))</f>
        <v/>
      </c>
      <c r="X113">
        <f>IF(B113="V01",cad!$I$23,IF(B113="V02",cad!$J$23,cad!$K$23))</f>
        <v/>
      </c>
      <c r="Y113">
        <f>IF(B113="V01",cad!$I$24,IF(B113="V02",cad!$J$24,cad!$K$24))</f>
        <v/>
      </c>
      <c r="Z113">
        <f>IF(B113="V01",cad!$I$25,IF(B113="V02",cad!$J$25,cad!$K$25))</f>
        <v/>
      </c>
      <c r="AA113">
        <f>IF(B113="V01",cad!$I$26,IF(B113="V02",cad!$J$26,cad!$K$26))</f>
        <v/>
      </c>
      <c r="AB113">
        <f>IF(B113="V01",cad!$I$37,IF(B113="V02",cad!$J$37,cad!$K$37))</f>
        <v/>
      </c>
      <c r="AC113">
        <f>IF(F113="MBWAY",cad!$I$9,IF(F113="ISCOM",cad!$I$10,IF(F113="IPAC",cad!$I$11,IF(F113="PIGIER",cad!$I$12,cad!$I$13))))</f>
        <v/>
      </c>
      <c r="AD113">
        <f>(O113*(1+W113)^S113+P113*((T113/U113)*(1+V113))^R113)*IFERROR(G113/Q113,0)*(J113+Y113)*K113*(L113+Z113)</f>
        <v/>
      </c>
      <c r="AE113">
        <f>IF(N113=1,AD113,0)</f>
        <v/>
      </c>
      <c r="AF113">
        <f>IF(N113=1,AD113,H113*(M113+AA113))</f>
        <v/>
      </c>
      <c r="AG113">
        <f>I113*(1+X113*AC113)</f>
        <v/>
      </c>
      <c r="AH113">
        <f>AF113*AG113+AE113*AB113</f>
        <v/>
      </c>
    </row>
    <row r="114">
      <c r="A114">
        <f>Moteur!D114</f>
        <v/>
      </c>
      <c r="B114">
        <f>Moteur!B114</f>
        <v/>
      </c>
      <c r="C114">
        <f>Moteur!F114</f>
        <v/>
      </c>
      <c r="D114">
        <f>Moteur!G114</f>
        <v/>
      </c>
      <c r="E114">
        <f>Moteur!H114</f>
        <v/>
      </c>
      <c r="F114">
        <f>Moteur!E114</f>
        <v/>
      </c>
      <c r="G114">
        <f>SUMIFS(Socle!$H$2:$H$175,Socle!$C$2:$C$175,A114,Socle!$D$2:$D$175,C114,Socle!$E$2:$E$175,D114,Socle!$F$2:$F$175,E114,Socle!$G$2:$G$175,"2026")</f>
        <v/>
      </c>
      <c r="H114">
        <f>SUMIFS(Socle!$N$2:$N$175,Socle!$C$2:$C$175,A114,Socle!$D$2:$D$175,C114,Socle!$E$2:$E$175,D114,Socle!$F$2:$F$175,E114,Socle!$G$2:$G$175,"2026")</f>
        <v/>
      </c>
      <c r="I114">
        <f>SUMIFS(Socle!$P$2:$P$175,Socle!$C$2:$C$175,A114,Socle!$D$2:$D$175,C114,Socle!$E$2:$E$175,D114,Socle!$F$2:$F$175,E114,Socle!$G$2:$G$175,"2026")</f>
        <v/>
      </c>
      <c r="J114">
        <f>SUMIFS(Socle!$W$2:$W$175,Socle!$C$2:$C$175,A114,Socle!$D$2:$D$175,C114,Socle!$E$2:$E$175,D114,Socle!$F$2:$F$175,E114,Socle!$G$2:$G$175,"2026")</f>
        <v/>
      </c>
      <c r="K114">
        <f>SUMIFS(Socle!$X$2:$X$175,Socle!$C$2:$C$175,A114,Socle!$D$2:$D$175,C114,Socle!$E$2:$E$175,D114,Socle!$F$2:$F$175,E114,Socle!$G$2:$G$175,"2026")</f>
        <v/>
      </c>
      <c r="L114">
        <f>SUMIFS(Socle!$Y$2:$Y$175,Socle!$C$2:$C$175,A114,Socle!$D$2:$D$175,C114,Socle!$E$2:$E$175,D114,Socle!$F$2:$F$175,E114,Socle!$G$2:$G$175,"2026")</f>
        <v/>
      </c>
      <c r="M114">
        <f>SUMIFS(Socle!$V$2:$V$175,Socle!$C$2:$C$175,A114,Socle!$D$2:$D$175,C114,Socle!$E$2:$E$175,D114,Socle!$F$2:$F$175,E114,Socle!$G$2:$G$175,"2026")</f>
        <v/>
      </c>
      <c r="N114">
        <f>IF(OR(D114="B1",D114="M1",D114="BTS1"),1,0)</f>
        <v/>
      </c>
      <c r="O114">
        <f>SUMIFS(Campagne!$D$2:$D$15,Campagne!$C$2:$C$15,A114)</f>
        <v/>
      </c>
      <c r="P114">
        <f>SUMIFS(Campagne!$E$2:$E$15,Campagne!$C$2:$C$15,A114)</f>
        <v/>
      </c>
      <c r="Q114">
        <f>SUMIFS(Campagne!$F$2:$F$15,Campagne!$C$2:$C$15,A114)</f>
        <v/>
      </c>
      <c r="R114">
        <f>SUMIFS(Campagne!$K$2:$K$15,Campagne!$C$2:$C$15,A114)</f>
        <v/>
      </c>
      <c r="S114">
        <f>SUMIFS(Campagne!$M$2:$M$15,Campagne!$C$2:$C$15,A114)</f>
        <v/>
      </c>
      <c r="T114">
        <f>SUMIFS(Pilotage!$Q$13:$Q$26,Pilotage!$F$13:$F$26,A114)</f>
        <v/>
      </c>
      <c r="U114">
        <f>SUMIFS(Pilotage!$N$13:$N$26,Pilotage!$F$13:$F$26,A114)</f>
        <v/>
      </c>
      <c r="V114">
        <f>IF(B114="V01",cad!$I$21,IF(B114="V02",cad!$J$21,cad!$K$21))</f>
        <v/>
      </c>
      <c r="W114">
        <f>IF(B114="V01",cad!$I$22,IF(B114="V02",cad!$J$22,cad!$K$22))</f>
        <v/>
      </c>
      <c r="X114">
        <f>IF(B114="V01",cad!$I$23,IF(B114="V02",cad!$J$23,cad!$K$23))</f>
        <v/>
      </c>
      <c r="Y114">
        <f>IF(B114="V01",cad!$I$24,IF(B114="V02",cad!$J$24,cad!$K$24))</f>
        <v/>
      </c>
      <c r="Z114">
        <f>IF(B114="V01",cad!$I$25,IF(B114="V02",cad!$J$25,cad!$K$25))</f>
        <v/>
      </c>
      <c r="AA114">
        <f>IF(B114="V01",cad!$I$26,IF(B114="V02",cad!$J$26,cad!$K$26))</f>
        <v/>
      </c>
      <c r="AB114">
        <f>IF(B114="V01",cad!$I$37,IF(B114="V02",cad!$J$37,cad!$K$37))</f>
        <v/>
      </c>
      <c r="AC114">
        <f>IF(F114="MBWAY",cad!$I$9,IF(F114="ISCOM",cad!$I$10,IF(F114="IPAC",cad!$I$11,IF(F114="PIGIER",cad!$I$12,cad!$I$13))))</f>
        <v/>
      </c>
      <c r="AD114">
        <f>(O114*(1+W114)^S114+P114*((T114/U114)*(1+V114))^R114)*IFERROR(G114/Q114,0)*(J114+Y114)*K114*(L114+Z114)</f>
        <v/>
      </c>
      <c r="AE114">
        <f>IF(N114=1,AD114,0)</f>
        <v/>
      </c>
      <c r="AF114">
        <f>IF(N114=1,AD114,H114*(M114+AA114))</f>
        <v/>
      </c>
      <c r="AG114">
        <f>I114*(1+X114*AC114)</f>
        <v/>
      </c>
      <c r="AH114">
        <f>AF114*AG114+AE114*AB114</f>
        <v/>
      </c>
    </row>
    <row r="115">
      <c r="A115">
        <f>Moteur!D115</f>
        <v/>
      </c>
      <c r="B115">
        <f>Moteur!B115</f>
        <v/>
      </c>
      <c r="C115">
        <f>Moteur!F115</f>
        <v/>
      </c>
      <c r="D115">
        <f>Moteur!G115</f>
        <v/>
      </c>
      <c r="E115">
        <f>Moteur!H115</f>
        <v/>
      </c>
      <c r="F115">
        <f>Moteur!E115</f>
        <v/>
      </c>
      <c r="G115">
        <f>SUMIFS(Socle!$H$2:$H$175,Socle!$C$2:$C$175,A115,Socle!$D$2:$D$175,C115,Socle!$E$2:$E$175,D115,Socle!$F$2:$F$175,E115,Socle!$G$2:$G$175,"2026")</f>
        <v/>
      </c>
      <c r="H115">
        <f>SUMIFS(Socle!$N$2:$N$175,Socle!$C$2:$C$175,A115,Socle!$D$2:$D$175,C115,Socle!$E$2:$E$175,D115,Socle!$F$2:$F$175,E115,Socle!$G$2:$G$175,"2026")</f>
        <v/>
      </c>
      <c r="I115">
        <f>SUMIFS(Socle!$P$2:$P$175,Socle!$C$2:$C$175,A115,Socle!$D$2:$D$175,C115,Socle!$E$2:$E$175,D115,Socle!$F$2:$F$175,E115,Socle!$G$2:$G$175,"2026")</f>
        <v/>
      </c>
      <c r="J115">
        <f>SUMIFS(Socle!$W$2:$W$175,Socle!$C$2:$C$175,A115,Socle!$D$2:$D$175,C115,Socle!$E$2:$E$175,D115,Socle!$F$2:$F$175,E115,Socle!$G$2:$G$175,"2026")</f>
        <v/>
      </c>
      <c r="K115">
        <f>SUMIFS(Socle!$X$2:$X$175,Socle!$C$2:$C$175,A115,Socle!$D$2:$D$175,C115,Socle!$E$2:$E$175,D115,Socle!$F$2:$F$175,E115,Socle!$G$2:$G$175,"2026")</f>
        <v/>
      </c>
      <c r="L115">
        <f>SUMIFS(Socle!$Y$2:$Y$175,Socle!$C$2:$C$175,A115,Socle!$D$2:$D$175,C115,Socle!$E$2:$E$175,D115,Socle!$F$2:$F$175,E115,Socle!$G$2:$G$175,"2026")</f>
        <v/>
      </c>
      <c r="M115">
        <f>SUMIFS(Socle!$V$2:$V$175,Socle!$C$2:$C$175,A115,Socle!$D$2:$D$175,C115,Socle!$E$2:$E$175,D115,Socle!$F$2:$F$175,E115,Socle!$G$2:$G$175,"2026")</f>
        <v/>
      </c>
      <c r="N115">
        <f>IF(OR(D115="B1",D115="M1",D115="BTS1"),1,0)</f>
        <v/>
      </c>
      <c r="O115">
        <f>SUMIFS(Campagne!$D$2:$D$15,Campagne!$C$2:$C$15,A115)</f>
        <v/>
      </c>
      <c r="P115">
        <f>SUMIFS(Campagne!$E$2:$E$15,Campagne!$C$2:$C$15,A115)</f>
        <v/>
      </c>
      <c r="Q115">
        <f>SUMIFS(Campagne!$F$2:$F$15,Campagne!$C$2:$C$15,A115)</f>
        <v/>
      </c>
      <c r="R115">
        <f>SUMIFS(Campagne!$K$2:$K$15,Campagne!$C$2:$C$15,A115)</f>
        <v/>
      </c>
      <c r="S115">
        <f>SUMIFS(Campagne!$M$2:$M$15,Campagne!$C$2:$C$15,A115)</f>
        <v/>
      </c>
      <c r="T115">
        <f>SUMIFS(Pilotage!$Q$13:$Q$26,Pilotage!$F$13:$F$26,A115)</f>
        <v/>
      </c>
      <c r="U115">
        <f>SUMIFS(Pilotage!$N$13:$N$26,Pilotage!$F$13:$F$26,A115)</f>
        <v/>
      </c>
      <c r="V115">
        <f>IF(B115="V01",cad!$I$21,IF(B115="V02",cad!$J$21,cad!$K$21))</f>
        <v/>
      </c>
      <c r="W115">
        <f>IF(B115="V01",cad!$I$22,IF(B115="V02",cad!$J$22,cad!$K$22))</f>
        <v/>
      </c>
      <c r="X115">
        <f>IF(B115="V01",cad!$I$23,IF(B115="V02",cad!$J$23,cad!$K$23))</f>
        <v/>
      </c>
      <c r="Y115">
        <f>IF(B115="V01",cad!$I$24,IF(B115="V02",cad!$J$24,cad!$K$24))</f>
        <v/>
      </c>
      <c r="Z115">
        <f>IF(B115="V01",cad!$I$25,IF(B115="V02",cad!$J$25,cad!$K$25))</f>
        <v/>
      </c>
      <c r="AA115">
        <f>IF(B115="V01",cad!$I$26,IF(B115="V02",cad!$J$26,cad!$K$26))</f>
        <v/>
      </c>
      <c r="AB115">
        <f>IF(B115="V01",cad!$I$37,IF(B115="V02",cad!$J$37,cad!$K$37))</f>
        <v/>
      </c>
      <c r="AC115">
        <f>IF(F115="MBWAY",cad!$I$9,IF(F115="ISCOM",cad!$I$10,IF(F115="IPAC",cad!$I$11,IF(F115="PIGIER",cad!$I$12,cad!$I$13))))</f>
        <v/>
      </c>
      <c r="AD115">
        <f>(O115*(1+W115)^S115+P115*((T115/U115)*(1+V115))^R115)*IFERROR(G115/Q115,0)*(J115+Y115)*K115*(L115+Z115)</f>
        <v/>
      </c>
      <c r="AE115">
        <f>IF(N115=1,AD115,0)</f>
        <v/>
      </c>
      <c r="AF115">
        <f>IF(N115=1,AD115,H115*(M115+AA115))</f>
        <v/>
      </c>
      <c r="AG115">
        <f>I115*(1+X115*AC115)</f>
        <v/>
      </c>
      <c r="AH115">
        <f>AF115*AG115+AE115*AB115</f>
        <v/>
      </c>
    </row>
    <row r="116">
      <c r="A116">
        <f>Moteur!D116</f>
        <v/>
      </c>
      <c r="B116">
        <f>Moteur!B116</f>
        <v/>
      </c>
      <c r="C116">
        <f>Moteur!F116</f>
        <v/>
      </c>
      <c r="D116">
        <f>Moteur!G116</f>
        <v/>
      </c>
      <c r="E116">
        <f>Moteur!H116</f>
        <v/>
      </c>
      <c r="F116">
        <f>Moteur!E116</f>
        <v/>
      </c>
      <c r="G116">
        <f>SUMIFS(Socle!$H$2:$H$175,Socle!$C$2:$C$175,A116,Socle!$D$2:$D$175,C116,Socle!$E$2:$E$175,D116,Socle!$F$2:$F$175,E116,Socle!$G$2:$G$175,"2026")</f>
        <v/>
      </c>
      <c r="H116">
        <f>SUMIFS(Socle!$N$2:$N$175,Socle!$C$2:$C$175,A116,Socle!$D$2:$D$175,C116,Socle!$E$2:$E$175,D116,Socle!$F$2:$F$175,E116,Socle!$G$2:$G$175,"2026")</f>
        <v/>
      </c>
      <c r="I116">
        <f>SUMIFS(Socle!$P$2:$P$175,Socle!$C$2:$C$175,A116,Socle!$D$2:$D$175,C116,Socle!$E$2:$E$175,D116,Socle!$F$2:$F$175,E116,Socle!$G$2:$G$175,"2026")</f>
        <v/>
      </c>
      <c r="J116">
        <f>SUMIFS(Socle!$W$2:$W$175,Socle!$C$2:$C$175,A116,Socle!$D$2:$D$175,C116,Socle!$E$2:$E$175,D116,Socle!$F$2:$F$175,E116,Socle!$G$2:$G$175,"2026")</f>
        <v/>
      </c>
      <c r="K116">
        <f>SUMIFS(Socle!$X$2:$X$175,Socle!$C$2:$C$175,A116,Socle!$D$2:$D$175,C116,Socle!$E$2:$E$175,D116,Socle!$F$2:$F$175,E116,Socle!$G$2:$G$175,"2026")</f>
        <v/>
      </c>
      <c r="L116">
        <f>SUMIFS(Socle!$Y$2:$Y$175,Socle!$C$2:$C$175,A116,Socle!$D$2:$D$175,C116,Socle!$E$2:$E$175,D116,Socle!$F$2:$F$175,E116,Socle!$G$2:$G$175,"2026")</f>
        <v/>
      </c>
      <c r="M116">
        <f>SUMIFS(Socle!$V$2:$V$175,Socle!$C$2:$C$175,A116,Socle!$D$2:$D$175,C116,Socle!$E$2:$E$175,D116,Socle!$F$2:$F$175,E116,Socle!$G$2:$G$175,"2026")</f>
        <v/>
      </c>
      <c r="N116">
        <f>IF(OR(D116="B1",D116="M1",D116="BTS1"),1,0)</f>
        <v/>
      </c>
      <c r="O116">
        <f>SUMIFS(Campagne!$D$2:$D$15,Campagne!$C$2:$C$15,A116)</f>
        <v/>
      </c>
      <c r="P116">
        <f>SUMIFS(Campagne!$E$2:$E$15,Campagne!$C$2:$C$15,A116)</f>
        <v/>
      </c>
      <c r="Q116">
        <f>SUMIFS(Campagne!$F$2:$F$15,Campagne!$C$2:$C$15,A116)</f>
        <v/>
      </c>
      <c r="R116">
        <f>SUMIFS(Campagne!$K$2:$K$15,Campagne!$C$2:$C$15,A116)</f>
        <v/>
      </c>
      <c r="S116">
        <f>SUMIFS(Campagne!$M$2:$M$15,Campagne!$C$2:$C$15,A116)</f>
        <v/>
      </c>
      <c r="T116">
        <f>SUMIFS(Pilotage!$Q$13:$Q$26,Pilotage!$F$13:$F$26,A116)</f>
        <v/>
      </c>
      <c r="U116">
        <f>SUMIFS(Pilotage!$N$13:$N$26,Pilotage!$F$13:$F$26,A116)</f>
        <v/>
      </c>
      <c r="V116">
        <f>IF(B116="V01",cad!$I$21,IF(B116="V02",cad!$J$21,cad!$K$21))</f>
        <v/>
      </c>
      <c r="W116">
        <f>IF(B116="V01",cad!$I$22,IF(B116="V02",cad!$J$22,cad!$K$22))</f>
        <v/>
      </c>
      <c r="X116">
        <f>IF(B116="V01",cad!$I$23,IF(B116="V02",cad!$J$23,cad!$K$23))</f>
        <v/>
      </c>
      <c r="Y116">
        <f>IF(B116="V01",cad!$I$24,IF(B116="V02",cad!$J$24,cad!$K$24))</f>
        <v/>
      </c>
      <c r="Z116">
        <f>IF(B116="V01",cad!$I$25,IF(B116="V02",cad!$J$25,cad!$K$25))</f>
        <v/>
      </c>
      <c r="AA116">
        <f>IF(B116="V01",cad!$I$26,IF(B116="V02",cad!$J$26,cad!$K$26))</f>
        <v/>
      </c>
      <c r="AB116">
        <f>IF(B116="V01",cad!$I$37,IF(B116="V02",cad!$J$37,cad!$K$37))</f>
        <v/>
      </c>
      <c r="AC116">
        <f>IF(F116="MBWAY",cad!$I$9,IF(F116="ISCOM",cad!$I$10,IF(F116="IPAC",cad!$I$11,IF(F116="PIGIER",cad!$I$12,cad!$I$13))))</f>
        <v/>
      </c>
      <c r="AD116">
        <f>(O116*(1+W116)^S116+P116*((T116/U116)*(1+V116))^R116)*IFERROR(G116/Q116,0)*(J116+Y116)*K116*(L116+Z116)</f>
        <v/>
      </c>
      <c r="AE116">
        <f>IF(N116=1,AD116,0)</f>
        <v/>
      </c>
      <c r="AF116">
        <f>IF(N116=1,AD116,H116*(M116+AA116))</f>
        <v/>
      </c>
      <c r="AG116">
        <f>I116*(1+X116*AC116)</f>
        <v/>
      </c>
      <c r="AH116">
        <f>AF116*AG116+AE116*AB116</f>
        <v/>
      </c>
    </row>
    <row r="117">
      <c r="A117">
        <f>Moteur!D117</f>
        <v/>
      </c>
      <c r="B117">
        <f>Moteur!B117</f>
        <v/>
      </c>
      <c r="C117">
        <f>Moteur!F117</f>
        <v/>
      </c>
      <c r="D117">
        <f>Moteur!G117</f>
        <v/>
      </c>
      <c r="E117">
        <f>Moteur!H117</f>
        <v/>
      </c>
      <c r="F117">
        <f>Moteur!E117</f>
        <v/>
      </c>
      <c r="G117">
        <f>SUMIFS(Socle!$H$2:$H$175,Socle!$C$2:$C$175,A117,Socle!$D$2:$D$175,C117,Socle!$E$2:$E$175,D117,Socle!$F$2:$F$175,E117,Socle!$G$2:$G$175,"2026")</f>
        <v/>
      </c>
      <c r="H117">
        <f>SUMIFS(Socle!$N$2:$N$175,Socle!$C$2:$C$175,A117,Socle!$D$2:$D$175,C117,Socle!$E$2:$E$175,D117,Socle!$F$2:$F$175,E117,Socle!$G$2:$G$175,"2026")</f>
        <v/>
      </c>
      <c r="I117">
        <f>SUMIFS(Socle!$P$2:$P$175,Socle!$C$2:$C$175,A117,Socle!$D$2:$D$175,C117,Socle!$E$2:$E$175,D117,Socle!$F$2:$F$175,E117,Socle!$G$2:$G$175,"2026")</f>
        <v/>
      </c>
      <c r="J117">
        <f>SUMIFS(Socle!$W$2:$W$175,Socle!$C$2:$C$175,A117,Socle!$D$2:$D$175,C117,Socle!$E$2:$E$175,D117,Socle!$F$2:$F$175,E117,Socle!$G$2:$G$175,"2026")</f>
        <v/>
      </c>
      <c r="K117">
        <f>SUMIFS(Socle!$X$2:$X$175,Socle!$C$2:$C$175,A117,Socle!$D$2:$D$175,C117,Socle!$E$2:$E$175,D117,Socle!$F$2:$F$175,E117,Socle!$G$2:$G$175,"2026")</f>
        <v/>
      </c>
      <c r="L117">
        <f>SUMIFS(Socle!$Y$2:$Y$175,Socle!$C$2:$C$175,A117,Socle!$D$2:$D$175,C117,Socle!$E$2:$E$175,D117,Socle!$F$2:$F$175,E117,Socle!$G$2:$G$175,"2026")</f>
        <v/>
      </c>
      <c r="M117">
        <f>SUMIFS(Socle!$V$2:$V$175,Socle!$C$2:$C$175,A117,Socle!$D$2:$D$175,C117,Socle!$E$2:$E$175,D117,Socle!$F$2:$F$175,E117,Socle!$G$2:$G$175,"2026")</f>
        <v/>
      </c>
      <c r="N117">
        <f>IF(OR(D117="B1",D117="M1",D117="BTS1"),1,0)</f>
        <v/>
      </c>
      <c r="O117">
        <f>SUMIFS(Campagne!$D$2:$D$15,Campagne!$C$2:$C$15,A117)</f>
        <v/>
      </c>
      <c r="P117">
        <f>SUMIFS(Campagne!$E$2:$E$15,Campagne!$C$2:$C$15,A117)</f>
        <v/>
      </c>
      <c r="Q117">
        <f>SUMIFS(Campagne!$F$2:$F$15,Campagne!$C$2:$C$15,A117)</f>
        <v/>
      </c>
      <c r="R117">
        <f>SUMIFS(Campagne!$K$2:$K$15,Campagne!$C$2:$C$15,A117)</f>
        <v/>
      </c>
      <c r="S117">
        <f>SUMIFS(Campagne!$M$2:$M$15,Campagne!$C$2:$C$15,A117)</f>
        <v/>
      </c>
      <c r="T117">
        <f>SUMIFS(Pilotage!$Q$13:$Q$26,Pilotage!$F$13:$F$26,A117)</f>
        <v/>
      </c>
      <c r="U117">
        <f>SUMIFS(Pilotage!$N$13:$N$26,Pilotage!$F$13:$F$26,A117)</f>
        <v/>
      </c>
      <c r="V117">
        <f>IF(B117="V01",cad!$I$21,IF(B117="V02",cad!$J$21,cad!$K$21))</f>
        <v/>
      </c>
      <c r="W117">
        <f>IF(B117="V01",cad!$I$22,IF(B117="V02",cad!$J$22,cad!$K$22))</f>
        <v/>
      </c>
      <c r="X117">
        <f>IF(B117="V01",cad!$I$23,IF(B117="V02",cad!$J$23,cad!$K$23))</f>
        <v/>
      </c>
      <c r="Y117">
        <f>IF(B117="V01",cad!$I$24,IF(B117="V02",cad!$J$24,cad!$K$24))</f>
        <v/>
      </c>
      <c r="Z117">
        <f>IF(B117="V01",cad!$I$25,IF(B117="V02",cad!$J$25,cad!$K$25))</f>
        <v/>
      </c>
      <c r="AA117">
        <f>IF(B117="V01",cad!$I$26,IF(B117="V02",cad!$J$26,cad!$K$26))</f>
        <v/>
      </c>
      <c r="AB117">
        <f>IF(B117="V01",cad!$I$37,IF(B117="V02",cad!$J$37,cad!$K$37))</f>
        <v/>
      </c>
      <c r="AC117">
        <f>IF(F117="MBWAY",cad!$I$9,IF(F117="ISCOM",cad!$I$10,IF(F117="IPAC",cad!$I$11,IF(F117="PIGIER",cad!$I$12,cad!$I$13))))</f>
        <v/>
      </c>
      <c r="AD117">
        <f>(O117*(1+W117)^S117+P117*((T117/U117)*(1+V117))^R117)*IFERROR(G117/Q117,0)*(J117+Y117)*K117*(L117+Z117)</f>
        <v/>
      </c>
      <c r="AE117">
        <f>IF(N117=1,AD117,0)</f>
        <v/>
      </c>
      <c r="AF117">
        <f>IF(N117=1,AD117,H117*(M117+AA117))</f>
        <v/>
      </c>
      <c r="AG117">
        <f>I117*(1+X117*AC117)</f>
        <v/>
      </c>
      <c r="AH117">
        <f>AF117*AG117+AE117*AB117</f>
        <v/>
      </c>
    </row>
    <row r="118">
      <c r="A118">
        <f>Moteur!D118</f>
        <v/>
      </c>
      <c r="B118">
        <f>Moteur!B118</f>
        <v/>
      </c>
      <c r="C118">
        <f>Moteur!F118</f>
        <v/>
      </c>
      <c r="D118">
        <f>Moteur!G118</f>
        <v/>
      </c>
      <c r="E118">
        <f>Moteur!H118</f>
        <v/>
      </c>
      <c r="F118">
        <f>Moteur!E118</f>
        <v/>
      </c>
      <c r="G118">
        <f>SUMIFS(Socle!$H$2:$H$175,Socle!$C$2:$C$175,A118,Socle!$D$2:$D$175,C118,Socle!$E$2:$E$175,D118,Socle!$F$2:$F$175,E118,Socle!$G$2:$G$175,"2026")</f>
        <v/>
      </c>
      <c r="H118">
        <f>SUMIFS(Socle!$N$2:$N$175,Socle!$C$2:$C$175,A118,Socle!$D$2:$D$175,C118,Socle!$E$2:$E$175,D118,Socle!$F$2:$F$175,E118,Socle!$G$2:$G$175,"2026")</f>
        <v/>
      </c>
      <c r="I118">
        <f>SUMIFS(Socle!$P$2:$P$175,Socle!$C$2:$C$175,A118,Socle!$D$2:$D$175,C118,Socle!$E$2:$E$175,D118,Socle!$F$2:$F$175,E118,Socle!$G$2:$G$175,"2026")</f>
        <v/>
      </c>
      <c r="J118">
        <f>SUMIFS(Socle!$W$2:$W$175,Socle!$C$2:$C$175,A118,Socle!$D$2:$D$175,C118,Socle!$E$2:$E$175,D118,Socle!$F$2:$F$175,E118,Socle!$G$2:$G$175,"2026")</f>
        <v/>
      </c>
      <c r="K118">
        <f>SUMIFS(Socle!$X$2:$X$175,Socle!$C$2:$C$175,A118,Socle!$D$2:$D$175,C118,Socle!$E$2:$E$175,D118,Socle!$F$2:$F$175,E118,Socle!$G$2:$G$175,"2026")</f>
        <v/>
      </c>
      <c r="L118">
        <f>SUMIFS(Socle!$Y$2:$Y$175,Socle!$C$2:$C$175,A118,Socle!$D$2:$D$175,C118,Socle!$E$2:$E$175,D118,Socle!$F$2:$F$175,E118,Socle!$G$2:$G$175,"2026")</f>
        <v/>
      </c>
      <c r="M118">
        <f>SUMIFS(Socle!$V$2:$V$175,Socle!$C$2:$C$175,A118,Socle!$D$2:$D$175,C118,Socle!$E$2:$E$175,D118,Socle!$F$2:$F$175,E118,Socle!$G$2:$G$175,"2026")</f>
        <v/>
      </c>
      <c r="N118">
        <f>IF(OR(D118="B1",D118="M1",D118="BTS1"),1,0)</f>
        <v/>
      </c>
      <c r="O118">
        <f>SUMIFS(Campagne!$D$2:$D$15,Campagne!$C$2:$C$15,A118)</f>
        <v/>
      </c>
      <c r="P118">
        <f>SUMIFS(Campagne!$E$2:$E$15,Campagne!$C$2:$C$15,A118)</f>
        <v/>
      </c>
      <c r="Q118">
        <f>SUMIFS(Campagne!$F$2:$F$15,Campagne!$C$2:$C$15,A118)</f>
        <v/>
      </c>
      <c r="R118">
        <f>SUMIFS(Campagne!$K$2:$K$15,Campagne!$C$2:$C$15,A118)</f>
        <v/>
      </c>
      <c r="S118">
        <f>SUMIFS(Campagne!$M$2:$M$15,Campagne!$C$2:$C$15,A118)</f>
        <v/>
      </c>
      <c r="T118">
        <f>SUMIFS(Pilotage!$Q$13:$Q$26,Pilotage!$F$13:$F$26,A118)</f>
        <v/>
      </c>
      <c r="U118">
        <f>SUMIFS(Pilotage!$N$13:$N$26,Pilotage!$F$13:$F$26,A118)</f>
        <v/>
      </c>
      <c r="V118">
        <f>IF(B118="V01",cad!$I$21,IF(B118="V02",cad!$J$21,cad!$K$21))</f>
        <v/>
      </c>
      <c r="W118">
        <f>IF(B118="V01",cad!$I$22,IF(B118="V02",cad!$J$22,cad!$K$22))</f>
        <v/>
      </c>
      <c r="X118">
        <f>IF(B118="V01",cad!$I$23,IF(B118="V02",cad!$J$23,cad!$K$23))</f>
        <v/>
      </c>
      <c r="Y118">
        <f>IF(B118="V01",cad!$I$24,IF(B118="V02",cad!$J$24,cad!$K$24))</f>
        <v/>
      </c>
      <c r="Z118">
        <f>IF(B118="V01",cad!$I$25,IF(B118="V02",cad!$J$25,cad!$K$25))</f>
        <v/>
      </c>
      <c r="AA118">
        <f>IF(B118="V01",cad!$I$26,IF(B118="V02",cad!$J$26,cad!$K$26))</f>
        <v/>
      </c>
      <c r="AB118">
        <f>IF(B118="V01",cad!$I$37,IF(B118="V02",cad!$J$37,cad!$K$37))</f>
        <v/>
      </c>
      <c r="AC118">
        <f>IF(F118="MBWAY",cad!$I$9,IF(F118="ISCOM",cad!$I$10,IF(F118="IPAC",cad!$I$11,IF(F118="PIGIER",cad!$I$12,cad!$I$13))))</f>
        <v/>
      </c>
      <c r="AD118">
        <f>(O118*(1+W118)^S118+P118*((T118/U118)*(1+V118))^R118)*IFERROR(G118/Q118,0)*(J118+Y118)*K118*(L118+Z118)</f>
        <v/>
      </c>
      <c r="AE118">
        <f>IF(N118=1,AD118,0)</f>
        <v/>
      </c>
      <c r="AF118">
        <f>IF(N118=1,AD118,H118*(M118+AA118))</f>
        <v/>
      </c>
      <c r="AG118">
        <f>I118*(1+X118*AC118)</f>
        <v/>
      </c>
      <c r="AH118">
        <f>AF118*AG118+AE118*AB118</f>
        <v/>
      </c>
    </row>
    <row r="119">
      <c r="A119">
        <f>Moteur!D119</f>
        <v/>
      </c>
      <c r="B119">
        <f>Moteur!B119</f>
        <v/>
      </c>
      <c r="C119">
        <f>Moteur!F119</f>
        <v/>
      </c>
      <c r="D119">
        <f>Moteur!G119</f>
        <v/>
      </c>
      <c r="E119">
        <f>Moteur!H119</f>
        <v/>
      </c>
      <c r="F119">
        <f>Moteur!E119</f>
        <v/>
      </c>
      <c r="G119">
        <f>SUMIFS(Socle!$H$2:$H$175,Socle!$C$2:$C$175,A119,Socle!$D$2:$D$175,C119,Socle!$E$2:$E$175,D119,Socle!$F$2:$F$175,E119,Socle!$G$2:$G$175,"2026")</f>
        <v/>
      </c>
      <c r="H119">
        <f>SUMIFS(Socle!$N$2:$N$175,Socle!$C$2:$C$175,A119,Socle!$D$2:$D$175,C119,Socle!$E$2:$E$175,D119,Socle!$F$2:$F$175,E119,Socle!$G$2:$G$175,"2026")</f>
        <v/>
      </c>
      <c r="I119">
        <f>SUMIFS(Socle!$P$2:$P$175,Socle!$C$2:$C$175,A119,Socle!$D$2:$D$175,C119,Socle!$E$2:$E$175,D119,Socle!$F$2:$F$175,E119,Socle!$G$2:$G$175,"2026")</f>
        <v/>
      </c>
      <c r="J119">
        <f>SUMIFS(Socle!$W$2:$W$175,Socle!$C$2:$C$175,A119,Socle!$D$2:$D$175,C119,Socle!$E$2:$E$175,D119,Socle!$F$2:$F$175,E119,Socle!$G$2:$G$175,"2026")</f>
        <v/>
      </c>
      <c r="K119">
        <f>SUMIFS(Socle!$X$2:$X$175,Socle!$C$2:$C$175,A119,Socle!$D$2:$D$175,C119,Socle!$E$2:$E$175,D119,Socle!$F$2:$F$175,E119,Socle!$G$2:$G$175,"2026")</f>
        <v/>
      </c>
      <c r="L119">
        <f>SUMIFS(Socle!$Y$2:$Y$175,Socle!$C$2:$C$175,A119,Socle!$D$2:$D$175,C119,Socle!$E$2:$E$175,D119,Socle!$F$2:$F$175,E119,Socle!$G$2:$G$175,"2026")</f>
        <v/>
      </c>
      <c r="M119">
        <f>SUMIFS(Socle!$V$2:$V$175,Socle!$C$2:$C$175,A119,Socle!$D$2:$D$175,C119,Socle!$E$2:$E$175,D119,Socle!$F$2:$F$175,E119,Socle!$G$2:$G$175,"2026")</f>
        <v/>
      </c>
      <c r="N119">
        <f>IF(OR(D119="B1",D119="M1",D119="BTS1"),1,0)</f>
        <v/>
      </c>
      <c r="O119">
        <f>SUMIFS(Campagne!$D$2:$D$15,Campagne!$C$2:$C$15,A119)</f>
        <v/>
      </c>
      <c r="P119">
        <f>SUMIFS(Campagne!$E$2:$E$15,Campagne!$C$2:$C$15,A119)</f>
        <v/>
      </c>
      <c r="Q119">
        <f>SUMIFS(Campagne!$F$2:$F$15,Campagne!$C$2:$C$15,A119)</f>
        <v/>
      </c>
      <c r="R119">
        <f>SUMIFS(Campagne!$K$2:$K$15,Campagne!$C$2:$C$15,A119)</f>
        <v/>
      </c>
      <c r="S119">
        <f>SUMIFS(Campagne!$M$2:$M$15,Campagne!$C$2:$C$15,A119)</f>
        <v/>
      </c>
      <c r="T119">
        <f>SUMIFS(Pilotage!$Q$13:$Q$26,Pilotage!$F$13:$F$26,A119)</f>
        <v/>
      </c>
      <c r="U119">
        <f>SUMIFS(Pilotage!$N$13:$N$26,Pilotage!$F$13:$F$26,A119)</f>
        <v/>
      </c>
      <c r="V119">
        <f>IF(B119="V01",cad!$I$21,IF(B119="V02",cad!$J$21,cad!$K$21))</f>
        <v/>
      </c>
      <c r="W119">
        <f>IF(B119="V01",cad!$I$22,IF(B119="V02",cad!$J$22,cad!$K$22))</f>
        <v/>
      </c>
      <c r="X119">
        <f>IF(B119="V01",cad!$I$23,IF(B119="V02",cad!$J$23,cad!$K$23))</f>
        <v/>
      </c>
      <c r="Y119">
        <f>IF(B119="V01",cad!$I$24,IF(B119="V02",cad!$J$24,cad!$K$24))</f>
        <v/>
      </c>
      <c r="Z119">
        <f>IF(B119="V01",cad!$I$25,IF(B119="V02",cad!$J$25,cad!$K$25))</f>
        <v/>
      </c>
      <c r="AA119">
        <f>IF(B119="V01",cad!$I$26,IF(B119="V02",cad!$J$26,cad!$K$26))</f>
        <v/>
      </c>
      <c r="AB119">
        <f>IF(B119="V01",cad!$I$37,IF(B119="V02",cad!$J$37,cad!$K$37))</f>
        <v/>
      </c>
      <c r="AC119">
        <f>IF(F119="MBWAY",cad!$I$9,IF(F119="ISCOM",cad!$I$10,IF(F119="IPAC",cad!$I$11,IF(F119="PIGIER",cad!$I$12,cad!$I$13))))</f>
        <v/>
      </c>
      <c r="AD119">
        <f>(O119*(1+W119)^S119+P119*((T119/U119)*(1+V119))^R119)*IFERROR(G119/Q119,0)*(J119+Y119)*K119*(L119+Z119)</f>
        <v/>
      </c>
      <c r="AE119">
        <f>IF(N119=1,AD119,0)</f>
        <v/>
      </c>
      <c r="AF119">
        <f>IF(N119=1,AD119,H119*(M119+AA119))</f>
        <v/>
      </c>
      <c r="AG119">
        <f>I119*(1+X119*AC119)</f>
        <v/>
      </c>
      <c r="AH119">
        <f>AF119*AG119+AE119*AB119</f>
        <v/>
      </c>
    </row>
    <row r="120">
      <c r="A120">
        <f>Moteur!D120</f>
        <v/>
      </c>
      <c r="B120">
        <f>Moteur!B120</f>
        <v/>
      </c>
      <c r="C120">
        <f>Moteur!F120</f>
        <v/>
      </c>
      <c r="D120">
        <f>Moteur!G120</f>
        <v/>
      </c>
      <c r="E120">
        <f>Moteur!H120</f>
        <v/>
      </c>
      <c r="F120">
        <f>Moteur!E120</f>
        <v/>
      </c>
      <c r="G120">
        <f>SUMIFS(Socle!$H$2:$H$175,Socle!$C$2:$C$175,A120,Socle!$D$2:$D$175,C120,Socle!$E$2:$E$175,D120,Socle!$F$2:$F$175,E120,Socle!$G$2:$G$175,"2026")</f>
        <v/>
      </c>
      <c r="H120">
        <f>SUMIFS(Socle!$N$2:$N$175,Socle!$C$2:$C$175,A120,Socle!$D$2:$D$175,C120,Socle!$E$2:$E$175,D120,Socle!$F$2:$F$175,E120,Socle!$G$2:$G$175,"2026")</f>
        <v/>
      </c>
      <c r="I120">
        <f>SUMIFS(Socle!$P$2:$P$175,Socle!$C$2:$C$175,A120,Socle!$D$2:$D$175,C120,Socle!$E$2:$E$175,D120,Socle!$F$2:$F$175,E120,Socle!$G$2:$G$175,"2026")</f>
        <v/>
      </c>
      <c r="J120">
        <f>SUMIFS(Socle!$W$2:$W$175,Socle!$C$2:$C$175,A120,Socle!$D$2:$D$175,C120,Socle!$E$2:$E$175,D120,Socle!$F$2:$F$175,E120,Socle!$G$2:$G$175,"2026")</f>
        <v/>
      </c>
      <c r="K120">
        <f>SUMIFS(Socle!$X$2:$X$175,Socle!$C$2:$C$175,A120,Socle!$D$2:$D$175,C120,Socle!$E$2:$E$175,D120,Socle!$F$2:$F$175,E120,Socle!$G$2:$G$175,"2026")</f>
        <v/>
      </c>
      <c r="L120">
        <f>SUMIFS(Socle!$Y$2:$Y$175,Socle!$C$2:$C$175,A120,Socle!$D$2:$D$175,C120,Socle!$E$2:$E$175,D120,Socle!$F$2:$F$175,E120,Socle!$G$2:$G$175,"2026")</f>
        <v/>
      </c>
      <c r="M120">
        <f>SUMIFS(Socle!$V$2:$V$175,Socle!$C$2:$C$175,A120,Socle!$D$2:$D$175,C120,Socle!$E$2:$E$175,D120,Socle!$F$2:$F$175,E120,Socle!$G$2:$G$175,"2026")</f>
        <v/>
      </c>
      <c r="N120">
        <f>IF(OR(D120="B1",D120="M1",D120="BTS1"),1,0)</f>
        <v/>
      </c>
      <c r="O120">
        <f>SUMIFS(Campagne!$D$2:$D$15,Campagne!$C$2:$C$15,A120)</f>
        <v/>
      </c>
      <c r="P120">
        <f>SUMIFS(Campagne!$E$2:$E$15,Campagne!$C$2:$C$15,A120)</f>
        <v/>
      </c>
      <c r="Q120">
        <f>SUMIFS(Campagne!$F$2:$F$15,Campagne!$C$2:$C$15,A120)</f>
        <v/>
      </c>
      <c r="R120">
        <f>SUMIFS(Campagne!$K$2:$K$15,Campagne!$C$2:$C$15,A120)</f>
        <v/>
      </c>
      <c r="S120">
        <f>SUMIFS(Campagne!$M$2:$M$15,Campagne!$C$2:$C$15,A120)</f>
        <v/>
      </c>
      <c r="T120">
        <f>SUMIFS(Pilotage!$Q$13:$Q$26,Pilotage!$F$13:$F$26,A120)</f>
        <v/>
      </c>
      <c r="U120">
        <f>SUMIFS(Pilotage!$N$13:$N$26,Pilotage!$F$13:$F$26,A120)</f>
        <v/>
      </c>
      <c r="V120">
        <f>IF(B120="V01",cad!$I$21,IF(B120="V02",cad!$J$21,cad!$K$21))</f>
        <v/>
      </c>
      <c r="W120">
        <f>IF(B120="V01",cad!$I$22,IF(B120="V02",cad!$J$22,cad!$K$22))</f>
        <v/>
      </c>
      <c r="X120">
        <f>IF(B120="V01",cad!$I$23,IF(B120="V02",cad!$J$23,cad!$K$23))</f>
        <v/>
      </c>
      <c r="Y120">
        <f>IF(B120="V01",cad!$I$24,IF(B120="V02",cad!$J$24,cad!$K$24))</f>
        <v/>
      </c>
      <c r="Z120">
        <f>IF(B120="V01",cad!$I$25,IF(B120="V02",cad!$J$25,cad!$K$25))</f>
        <v/>
      </c>
      <c r="AA120">
        <f>IF(B120="V01",cad!$I$26,IF(B120="V02",cad!$J$26,cad!$K$26))</f>
        <v/>
      </c>
      <c r="AB120">
        <f>IF(B120="V01",cad!$I$37,IF(B120="V02",cad!$J$37,cad!$K$37))</f>
        <v/>
      </c>
      <c r="AC120">
        <f>IF(F120="MBWAY",cad!$I$9,IF(F120="ISCOM",cad!$I$10,IF(F120="IPAC",cad!$I$11,IF(F120="PIGIER",cad!$I$12,cad!$I$13))))</f>
        <v/>
      </c>
      <c r="AD120">
        <f>(O120*(1+W120)^S120+P120*((T120/U120)*(1+V120))^R120)*IFERROR(G120/Q120,0)*(J120+Y120)*K120*(L120+Z120)</f>
        <v/>
      </c>
      <c r="AE120">
        <f>IF(N120=1,AD120,0)</f>
        <v/>
      </c>
      <c r="AF120">
        <f>IF(N120=1,AD120,H120*(M120+AA120))</f>
        <v/>
      </c>
      <c r="AG120">
        <f>I120*(1+X120*AC120)</f>
        <v/>
      </c>
      <c r="AH120">
        <f>AF120*AG120+AE120*AB120</f>
        <v/>
      </c>
    </row>
    <row r="121">
      <c r="A121">
        <f>Moteur!D121</f>
        <v/>
      </c>
      <c r="B121">
        <f>Moteur!B121</f>
        <v/>
      </c>
      <c r="C121">
        <f>Moteur!F121</f>
        <v/>
      </c>
      <c r="D121">
        <f>Moteur!G121</f>
        <v/>
      </c>
      <c r="E121">
        <f>Moteur!H121</f>
        <v/>
      </c>
      <c r="F121">
        <f>Moteur!E121</f>
        <v/>
      </c>
      <c r="G121">
        <f>SUMIFS(Socle!$H$2:$H$175,Socle!$C$2:$C$175,A121,Socle!$D$2:$D$175,C121,Socle!$E$2:$E$175,D121,Socle!$F$2:$F$175,E121,Socle!$G$2:$G$175,"2026")</f>
        <v/>
      </c>
      <c r="H121">
        <f>SUMIFS(Socle!$N$2:$N$175,Socle!$C$2:$C$175,A121,Socle!$D$2:$D$175,C121,Socle!$E$2:$E$175,D121,Socle!$F$2:$F$175,E121,Socle!$G$2:$G$175,"2026")</f>
        <v/>
      </c>
      <c r="I121">
        <f>SUMIFS(Socle!$P$2:$P$175,Socle!$C$2:$C$175,A121,Socle!$D$2:$D$175,C121,Socle!$E$2:$E$175,D121,Socle!$F$2:$F$175,E121,Socle!$G$2:$G$175,"2026")</f>
        <v/>
      </c>
      <c r="J121">
        <f>SUMIFS(Socle!$W$2:$W$175,Socle!$C$2:$C$175,A121,Socle!$D$2:$D$175,C121,Socle!$E$2:$E$175,D121,Socle!$F$2:$F$175,E121,Socle!$G$2:$G$175,"2026")</f>
        <v/>
      </c>
      <c r="K121">
        <f>SUMIFS(Socle!$X$2:$X$175,Socle!$C$2:$C$175,A121,Socle!$D$2:$D$175,C121,Socle!$E$2:$E$175,D121,Socle!$F$2:$F$175,E121,Socle!$G$2:$G$175,"2026")</f>
        <v/>
      </c>
      <c r="L121">
        <f>SUMIFS(Socle!$Y$2:$Y$175,Socle!$C$2:$C$175,A121,Socle!$D$2:$D$175,C121,Socle!$E$2:$E$175,D121,Socle!$F$2:$F$175,E121,Socle!$G$2:$G$175,"2026")</f>
        <v/>
      </c>
      <c r="M121">
        <f>SUMIFS(Socle!$V$2:$V$175,Socle!$C$2:$C$175,A121,Socle!$D$2:$D$175,C121,Socle!$E$2:$E$175,D121,Socle!$F$2:$F$175,E121,Socle!$G$2:$G$175,"2026")</f>
        <v/>
      </c>
      <c r="N121">
        <f>IF(OR(D121="B1",D121="M1",D121="BTS1"),1,0)</f>
        <v/>
      </c>
      <c r="O121">
        <f>SUMIFS(Campagne!$D$2:$D$15,Campagne!$C$2:$C$15,A121)</f>
        <v/>
      </c>
      <c r="P121">
        <f>SUMIFS(Campagne!$E$2:$E$15,Campagne!$C$2:$C$15,A121)</f>
        <v/>
      </c>
      <c r="Q121">
        <f>SUMIFS(Campagne!$F$2:$F$15,Campagne!$C$2:$C$15,A121)</f>
        <v/>
      </c>
      <c r="R121">
        <f>SUMIFS(Campagne!$K$2:$K$15,Campagne!$C$2:$C$15,A121)</f>
        <v/>
      </c>
      <c r="S121">
        <f>SUMIFS(Campagne!$M$2:$M$15,Campagne!$C$2:$C$15,A121)</f>
        <v/>
      </c>
      <c r="T121">
        <f>SUMIFS(Pilotage!$Q$13:$Q$26,Pilotage!$F$13:$F$26,A121)</f>
        <v/>
      </c>
      <c r="U121">
        <f>SUMIFS(Pilotage!$N$13:$N$26,Pilotage!$F$13:$F$26,A121)</f>
        <v/>
      </c>
      <c r="V121">
        <f>IF(B121="V01",cad!$I$21,IF(B121="V02",cad!$J$21,cad!$K$21))</f>
        <v/>
      </c>
      <c r="W121">
        <f>IF(B121="V01",cad!$I$22,IF(B121="V02",cad!$J$22,cad!$K$22))</f>
        <v/>
      </c>
      <c r="X121">
        <f>IF(B121="V01",cad!$I$23,IF(B121="V02",cad!$J$23,cad!$K$23))</f>
        <v/>
      </c>
      <c r="Y121">
        <f>IF(B121="V01",cad!$I$24,IF(B121="V02",cad!$J$24,cad!$K$24))</f>
        <v/>
      </c>
      <c r="Z121">
        <f>IF(B121="V01",cad!$I$25,IF(B121="V02",cad!$J$25,cad!$K$25))</f>
        <v/>
      </c>
      <c r="AA121">
        <f>IF(B121="V01",cad!$I$26,IF(B121="V02",cad!$J$26,cad!$K$26))</f>
        <v/>
      </c>
      <c r="AB121">
        <f>IF(B121="V01",cad!$I$37,IF(B121="V02",cad!$J$37,cad!$K$37))</f>
        <v/>
      </c>
      <c r="AC121">
        <f>IF(F121="MBWAY",cad!$I$9,IF(F121="ISCOM",cad!$I$10,IF(F121="IPAC",cad!$I$11,IF(F121="PIGIER",cad!$I$12,cad!$I$13))))</f>
        <v/>
      </c>
      <c r="AD121">
        <f>(O121*(1+W121)^S121+P121*((T121/U121)*(1+V121))^R121)*IFERROR(G121/Q121,0)*(J121+Y121)*K121*(L121+Z121)</f>
        <v/>
      </c>
      <c r="AE121">
        <f>IF(N121=1,AD121,0)</f>
        <v/>
      </c>
      <c r="AF121">
        <f>IF(N121=1,AD121,H121*(M121+AA121))</f>
        <v/>
      </c>
      <c r="AG121">
        <f>I121*(1+X121*AC121)</f>
        <v/>
      </c>
      <c r="AH121">
        <f>AF121*AG121+AE121*AB121</f>
        <v/>
      </c>
    </row>
    <row r="122">
      <c r="A122">
        <f>Moteur!D122</f>
        <v/>
      </c>
      <c r="B122">
        <f>Moteur!B122</f>
        <v/>
      </c>
      <c r="C122">
        <f>Moteur!F122</f>
        <v/>
      </c>
      <c r="D122">
        <f>Moteur!G122</f>
        <v/>
      </c>
      <c r="E122">
        <f>Moteur!H122</f>
        <v/>
      </c>
      <c r="F122">
        <f>Moteur!E122</f>
        <v/>
      </c>
      <c r="G122">
        <f>SUMIFS(Socle!$H$2:$H$175,Socle!$C$2:$C$175,A122,Socle!$D$2:$D$175,C122,Socle!$E$2:$E$175,D122,Socle!$F$2:$F$175,E122,Socle!$G$2:$G$175,"2026")</f>
        <v/>
      </c>
      <c r="H122">
        <f>SUMIFS(Socle!$N$2:$N$175,Socle!$C$2:$C$175,A122,Socle!$D$2:$D$175,C122,Socle!$E$2:$E$175,D122,Socle!$F$2:$F$175,E122,Socle!$G$2:$G$175,"2026")</f>
        <v/>
      </c>
      <c r="I122">
        <f>SUMIFS(Socle!$P$2:$P$175,Socle!$C$2:$C$175,A122,Socle!$D$2:$D$175,C122,Socle!$E$2:$E$175,D122,Socle!$F$2:$F$175,E122,Socle!$G$2:$G$175,"2026")</f>
        <v/>
      </c>
      <c r="J122">
        <f>SUMIFS(Socle!$W$2:$W$175,Socle!$C$2:$C$175,A122,Socle!$D$2:$D$175,C122,Socle!$E$2:$E$175,D122,Socle!$F$2:$F$175,E122,Socle!$G$2:$G$175,"2026")</f>
        <v/>
      </c>
      <c r="K122">
        <f>SUMIFS(Socle!$X$2:$X$175,Socle!$C$2:$C$175,A122,Socle!$D$2:$D$175,C122,Socle!$E$2:$E$175,D122,Socle!$F$2:$F$175,E122,Socle!$G$2:$G$175,"2026")</f>
        <v/>
      </c>
      <c r="L122">
        <f>SUMIFS(Socle!$Y$2:$Y$175,Socle!$C$2:$C$175,A122,Socle!$D$2:$D$175,C122,Socle!$E$2:$E$175,D122,Socle!$F$2:$F$175,E122,Socle!$G$2:$G$175,"2026")</f>
        <v/>
      </c>
      <c r="M122">
        <f>SUMIFS(Socle!$V$2:$V$175,Socle!$C$2:$C$175,A122,Socle!$D$2:$D$175,C122,Socle!$E$2:$E$175,D122,Socle!$F$2:$F$175,E122,Socle!$G$2:$G$175,"2026")</f>
        <v/>
      </c>
      <c r="N122">
        <f>IF(OR(D122="B1",D122="M1",D122="BTS1"),1,0)</f>
        <v/>
      </c>
      <c r="O122">
        <f>SUMIFS(Campagne!$D$2:$D$15,Campagne!$C$2:$C$15,A122)</f>
        <v/>
      </c>
      <c r="P122">
        <f>SUMIFS(Campagne!$E$2:$E$15,Campagne!$C$2:$C$15,A122)</f>
        <v/>
      </c>
      <c r="Q122">
        <f>SUMIFS(Campagne!$F$2:$F$15,Campagne!$C$2:$C$15,A122)</f>
        <v/>
      </c>
      <c r="R122">
        <f>SUMIFS(Campagne!$K$2:$K$15,Campagne!$C$2:$C$15,A122)</f>
        <v/>
      </c>
      <c r="S122">
        <f>SUMIFS(Campagne!$M$2:$M$15,Campagne!$C$2:$C$15,A122)</f>
        <v/>
      </c>
      <c r="T122">
        <f>SUMIFS(Pilotage!$Q$13:$Q$26,Pilotage!$F$13:$F$26,A122)</f>
        <v/>
      </c>
      <c r="U122">
        <f>SUMIFS(Pilotage!$N$13:$N$26,Pilotage!$F$13:$F$26,A122)</f>
        <v/>
      </c>
      <c r="V122">
        <f>IF(B122="V01",cad!$I$21,IF(B122="V02",cad!$J$21,cad!$K$21))</f>
        <v/>
      </c>
      <c r="W122">
        <f>IF(B122="V01",cad!$I$22,IF(B122="V02",cad!$J$22,cad!$K$22))</f>
        <v/>
      </c>
      <c r="X122">
        <f>IF(B122="V01",cad!$I$23,IF(B122="V02",cad!$J$23,cad!$K$23))</f>
        <v/>
      </c>
      <c r="Y122">
        <f>IF(B122="V01",cad!$I$24,IF(B122="V02",cad!$J$24,cad!$K$24))</f>
        <v/>
      </c>
      <c r="Z122">
        <f>IF(B122="V01",cad!$I$25,IF(B122="V02",cad!$J$25,cad!$K$25))</f>
        <v/>
      </c>
      <c r="AA122">
        <f>IF(B122="V01",cad!$I$26,IF(B122="V02",cad!$J$26,cad!$K$26))</f>
        <v/>
      </c>
      <c r="AB122">
        <f>IF(B122="V01",cad!$I$37,IF(B122="V02",cad!$J$37,cad!$K$37))</f>
        <v/>
      </c>
      <c r="AC122">
        <f>IF(F122="MBWAY",cad!$I$9,IF(F122="ISCOM",cad!$I$10,IF(F122="IPAC",cad!$I$11,IF(F122="PIGIER",cad!$I$12,cad!$I$13))))</f>
        <v/>
      </c>
      <c r="AD122">
        <f>(O122*(1+W122)^S122+P122*((T122/U122)*(1+V122))^R122)*IFERROR(G122/Q122,0)*(J122+Y122)*K122*(L122+Z122)</f>
        <v/>
      </c>
      <c r="AE122">
        <f>IF(N122=1,AD122,0)</f>
        <v/>
      </c>
      <c r="AF122">
        <f>IF(N122=1,AD122,H122*(M122+AA122))</f>
        <v/>
      </c>
      <c r="AG122">
        <f>I122*(1+X122*AC122)</f>
        <v/>
      </c>
      <c r="AH122">
        <f>AF122*AG122+AE122*AB122</f>
        <v/>
      </c>
    </row>
    <row r="123">
      <c r="A123">
        <f>Moteur!D123</f>
        <v/>
      </c>
      <c r="B123">
        <f>Moteur!B123</f>
        <v/>
      </c>
      <c r="C123">
        <f>Moteur!F123</f>
        <v/>
      </c>
      <c r="D123">
        <f>Moteur!G123</f>
        <v/>
      </c>
      <c r="E123">
        <f>Moteur!H123</f>
        <v/>
      </c>
      <c r="F123">
        <f>Moteur!E123</f>
        <v/>
      </c>
      <c r="G123">
        <f>SUMIFS(Socle!$H$2:$H$175,Socle!$C$2:$C$175,A123,Socle!$D$2:$D$175,C123,Socle!$E$2:$E$175,D123,Socle!$F$2:$F$175,E123,Socle!$G$2:$G$175,"2026")</f>
        <v/>
      </c>
      <c r="H123">
        <f>SUMIFS(Socle!$N$2:$N$175,Socle!$C$2:$C$175,A123,Socle!$D$2:$D$175,C123,Socle!$E$2:$E$175,D123,Socle!$F$2:$F$175,E123,Socle!$G$2:$G$175,"2026")</f>
        <v/>
      </c>
      <c r="I123">
        <f>SUMIFS(Socle!$P$2:$P$175,Socle!$C$2:$C$175,A123,Socle!$D$2:$D$175,C123,Socle!$E$2:$E$175,D123,Socle!$F$2:$F$175,E123,Socle!$G$2:$G$175,"2026")</f>
        <v/>
      </c>
      <c r="J123">
        <f>SUMIFS(Socle!$W$2:$W$175,Socle!$C$2:$C$175,A123,Socle!$D$2:$D$175,C123,Socle!$E$2:$E$175,D123,Socle!$F$2:$F$175,E123,Socle!$G$2:$G$175,"2026")</f>
        <v/>
      </c>
      <c r="K123">
        <f>SUMIFS(Socle!$X$2:$X$175,Socle!$C$2:$C$175,A123,Socle!$D$2:$D$175,C123,Socle!$E$2:$E$175,D123,Socle!$F$2:$F$175,E123,Socle!$G$2:$G$175,"2026")</f>
        <v/>
      </c>
      <c r="L123">
        <f>SUMIFS(Socle!$Y$2:$Y$175,Socle!$C$2:$C$175,A123,Socle!$D$2:$D$175,C123,Socle!$E$2:$E$175,D123,Socle!$F$2:$F$175,E123,Socle!$G$2:$G$175,"2026")</f>
        <v/>
      </c>
      <c r="M123">
        <f>SUMIFS(Socle!$V$2:$V$175,Socle!$C$2:$C$175,A123,Socle!$D$2:$D$175,C123,Socle!$E$2:$E$175,D123,Socle!$F$2:$F$175,E123,Socle!$G$2:$G$175,"2026")</f>
        <v/>
      </c>
      <c r="N123">
        <f>IF(OR(D123="B1",D123="M1",D123="BTS1"),1,0)</f>
        <v/>
      </c>
      <c r="O123">
        <f>SUMIFS(Campagne!$D$2:$D$15,Campagne!$C$2:$C$15,A123)</f>
        <v/>
      </c>
      <c r="P123">
        <f>SUMIFS(Campagne!$E$2:$E$15,Campagne!$C$2:$C$15,A123)</f>
        <v/>
      </c>
      <c r="Q123">
        <f>SUMIFS(Campagne!$F$2:$F$15,Campagne!$C$2:$C$15,A123)</f>
        <v/>
      </c>
      <c r="R123">
        <f>SUMIFS(Campagne!$K$2:$K$15,Campagne!$C$2:$C$15,A123)</f>
        <v/>
      </c>
      <c r="S123">
        <f>SUMIFS(Campagne!$M$2:$M$15,Campagne!$C$2:$C$15,A123)</f>
        <v/>
      </c>
      <c r="T123">
        <f>SUMIFS(Pilotage!$Q$13:$Q$26,Pilotage!$F$13:$F$26,A123)</f>
        <v/>
      </c>
      <c r="U123">
        <f>SUMIFS(Pilotage!$N$13:$N$26,Pilotage!$F$13:$F$26,A123)</f>
        <v/>
      </c>
      <c r="V123">
        <f>IF(B123="V01",cad!$I$21,IF(B123="V02",cad!$J$21,cad!$K$21))</f>
        <v/>
      </c>
      <c r="W123">
        <f>IF(B123="V01",cad!$I$22,IF(B123="V02",cad!$J$22,cad!$K$22))</f>
        <v/>
      </c>
      <c r="X123">
        <f>IF(B123="V01",cad!$I$23,IF(B123="V02",cad!$J$23,cad!$K$23))</f>
        <v/>
      </c>
      <c r="Y123">
        <f>IF(B123="V01",cad!$I$24,IF(B123="V02",cad!$J$24,cad!$K$24))</f>
        <v/>
      </c>
      <c r="Z123">
        <f>IF(B123="V01",cad!$I$25,IF(B123="V02",cad!$J$25,cad!$K$25))</f>
        <v/>
      </c>
      <c r="AA123">
        <f>IF(B123="V01",cad!$I$26,IF(B123="V02",cad!$J$26,cad!$K$26))</f>
        <v/>
      </c>
      <c r="AB123">
        <f>IF(B123="V01",cad!$I$37,IF(B123="V02",cad!$J$37,cad!$K$37))</f>
        <v/>
      </c>
      <c r="AC123">
        <f>IF(F123="MBWAY",cad!$I$9,IF(F123="ISCOM",cad!$I$10,IF(F123="IPAC",cad!$I$11,IF(F123="PIGIER",cad!$I$12,cad!$I$13))))</f>
        <v/>
      </c>
      <c r="AD123">
        <f>(O123*(1+W123)^S123+P123*((T123/U123)*(1+V123))^R123)*IFERROR(G123/Q123,0)*(J123+Y123)*K123*(L123+Z123)</f>
        <v/>
      </c>
      <c r="AE123">
        <f>IF(N123=1,AD123,0)</f>
        <v/>
      </c>
      <c r="AF123">
        <f>IF(N123=1,AD123,H123*(M123+AA123))</f>
        <v/>
      </c>
      <c r="AG123">
        <f>I123*(1+X123*AC123)</f>
        <v/>
      </c>
      <c r="AH123">
        <f>AF123*AG123+AE123*AB123</f>
        <v/>
      </c>
    </row>
    <row r="124">
      <c r="A124">
        <f>Moteur!D124</f>
        <v/>
      </c>
      <c r="B124">
        <f>Moteur!B124</f>
        <v/>
      </c>
      <c r="C124">
        <f>Moteur!F124</f>
        <v/>
      </c>
      <c r="D124">
        <f>Moteur!G124</f>
        <v/>
      </c>
      <c r="E124">
        <f>Moteur!H124</f>
        <v/>
      </c>
      <c r="F124">
        <f>Moteur!E124</f>
        <v/>
      </c>
      <c r="G124">
        <f>SUMIFS(Socle!$H$2:$H$175,Socle!$C$2:$C$175,A124,Socle!$D$2:$D$175,C124,Socle!$E$2:$E$175,D124,Socle!$F$2:$F$175,E124,Socle!$G$2:$G$175,"2026")</f>
        <v/>
      </c>
      <c r="H124">
        <f>SUMIFS(Socle!$N$2:$N$175,Socle!$C$2:$C$175,A124,Socle!$D$2:$D$175,C124,Socle!$E$2:$E$175,D124,Socle!$F$2:$F$175,E124,Socle!$G$2:$G$175,"2026")</f>
        <v/>
      </c>
      <c r="I124">
        <f>SUMIFS(Socle!$P$2:$P$175,Socle!$C$2:$C$175,A124,Socle!$D$2:$D$175,C124,Socle!$E$2:$E$175,D124,Socle!$F$2:$F$175,E124,Socle!$G$2:$G$175,"2026")</f>
        <v/>
      </c>
      <c r="J124">
        <f>SUMIFS(Socle!$W$2:$W$175,Socle!$C$2:$C$175,A124,Socle!$D$2:$D$175,C124,Socle!$E$2:$E$175,D124,Socle!$F$2:$F$175,E124,Socle!$G$2:$G$175,"2026")</f>
        <v/>
      </c>
      <c r="K124">
        <f>SUMIFS(Socle!$X$2:$X$175,Socle!$C$2:$C$175,A124,Socle!$D$2:$D$175,C124,Socle!$E$2:$E$175,D124,Socle!$F$2:$F$175,E124,Socle!$G$2:$G$175,"2026")</f>
        <v/>
      </c>
      <c r="L124">
        <f>SUMIFS(Socle!$Y$2:$Y$175,Socle!$C$2:$C$175,A124,Socle!$D$2:$D$175,C124,Socle!$E$2:$E$175,D124,Socle!$F$2:$F$175,E124,Socle!$G$2:$G$175,"2026")</f>
        <v/>
      </c>
      <c r="M124">
        <f>SUMIFS(Socle!$V$2:$V$175,Socle!$C$2:$C$175,A124,Socle!$D$2:$D$175,C124,Socle!$E$2:$E$175,D124,Socle!$F$2:$F$175,E124,Socle!$G$2:$G$175,"2026")</f>
        <v/>
      </c>
      <c r="N124">
        <f>IF(OR(D124="B1",D124="M1",D124="BTS1"),1,0)</f>
        <v/>
      </c>
      <c r="O124">
        <f>SUMIFS(Campagne!$D$2:$D$15,Campagne!$C$2:$C$15,A124)</f>
        <v/>
      </c>
      <c r="P124">
        <f>SUMIFS(Campagne!$E$2:$E$15,Campagne!$C$2:$C$15,A124)</f>
        <v/>
      </c>
      <c r="Q124">
        <f>SUMIFS(Campagne!$F$2:$F$15,Campagne!$C$2:$C$15,A124)</f>
        <v/>
      </c>
      <c r="R124">
        <f>SUMIFS(Campagne!$K$2:$K$15,Campagne!$C$2:$C$15,A124)</f>
        <v/>
      </c>
      <c r="S124">
        <f>SUMIFS(Campagne!$M$2:$M$15,Campagne!$C$2:$C$15,A124)</f>
        <v/>
      </c>
      <c r="T124">
        <f>SUMIFS(Pilotage!$Q$13:$Q$26,Pilotage!$F$13:$F$26,A124)</f>
        <v/>
      </c>
      <c r="U124">
        <f>SUMIFS(Pilotage!$N$13:$N$26,Pilotage!$F$13:$F$26,A124)</f>
        <v/>
      </c>
      <c r="V124">
        <f>IF(B124="V01",cad!$I$21,IF(B124="V02",cad!$J$21,cad!$K$21))</f>
        <v/>
      </c>
      <c r="W124">
        <f>IF(B124="V01",cad!$I$22,IF(B124="V02",cad!$J$22,cad!$K$22))</f>
        <v/>
      </c>
      <c r="X124">
        <f>IF(B124="V01",cad!$I$23,IF(B124="V02",cad!$J$23,cad!$K$23))</f>
        <v/>
      </c>
      <c r="Y124">
        <f>IF(B124="V01",cad!$I$24,IF(B124="V02",cad!$J$24,cad!$K$24))</f>
        <v/>
      </c>
      <c r="Z124">
        <f>IF(B124="V01",cad!$I$25,IF(B124="V02",cad!$J$25,cad!$K$25))</f>
        <v/>
      </c>
      <c r="AA124">
        <f>IF(B124="V01",cad!$I$26,IF(B124="V02",cad!$J$26,cad!$K$26))</f>
        <v/>
      </c>
      <c r="AB124">
        <f>IF(B124="V01",cad!$I$37,IF(B124="V02",cad!$J$37,cad!$K$37))</f>
        <v/>
      </c>
      <c r="AC124">
        <f>IF(F124="MBWAY",cad!$I$9,IF(F124="ISCOM",cad!$I$10,IF(F124="IPAC",cad!$I$11,IF(F124="PIGIER",cad!$I$12,cad!$I$13))))</f>
        <v/>
      </c>
      <c r="AD124">
        <f>(O124*(1+W124)^S124+P124*((T124/U124)*(1+V124))^R124)*IFERROR(G124/Q124,0)*(J124+Y124)*K124*(L124+Z124)</f>
        <v/>
      </c>
      <c r="AE124">
        <f>IF(N124=1,AD124,0)</f>
        <v/>
      </c>
      <c r="AF124">
        <f>IF(N124=1,AD124,H124*(M124+AA124))</f>
        <v/>
      </c>
      <c r="AG124">
        <f>I124*(1+X124*AC124)</f>
        <v/>
      </c>
      <c r="AH124">
        <f>AF124*AG124+AE124*AB124</f>
        <v/>
      </c>
    </row>
    <row r="125">
      <c r="A125">
        <f>Moteur!D125</f>
        <v/>
      </c>
      <c r="B125">
        <f>Moteur!B125</f>
        <v/>
      </c>
      <c r="C125">
        <f>Moteur!F125</f>
        <v/>
      </c>
      <c r="D125">
        <f>Moteur!G125</f>
        <v/>
      </c>
      <c r="E125">
        <f>Moteur!H125</f>
        <v/>
      </c>
      <c r="F125">
        <f>Moteur!E125</f>
        <v/>
      </c>
      <c r="G125">
        <f>SUMIFS(Socle!$H$2:$H$175,Socle!$C$2:$C$175,A125,Socle!$D$2:$D$175,C125,Socle!$E$2:$E$175,D125,Socle!$F$2:$F$175,E125,Socle!$G$2:$G$175,"2026")</f>
        <v/>
      </c>
      <c r="H125">
        <f>SUMIFS(Socle!$N$2:$N$175,Socle!$C$2:$C$175,A125,Socle!$D$2:$D$175,C125,Socle!$E$2:$E$175,D125,Socle!$F$2:$F$175,E125,Socle!$G$2:$G$175,"2026")</f>
        <v/>
      </c>
      <c r="I125">
        <f>SUMIFS(Socle!$P$2:$P$175,Socle!$C$2:$C$175,A125,Socle!$D$2:$D$175,C125,Socle!$E$2:$E$175,D125,Socle!$F$2:$F$175,E125,Socle!$G$2:$G$175,"2026")</f>
        <v/>
      </c>
      <c r="J125">
        <f>SUMIFS(Socle!$W$2:$W$175,Socle!$C$2:$C$175,A125,Socle!$D$2:$D$175,C125,Socle!$E$2:$E$175,D125,Socle!$F$2:$F$175,E125,Socle!$G$2:$G$175,"2026")</f>
        <v/>
      </c>
      <c r="K125">
        <f>SUMIFS(Socle!$X$2:$X$175,Socle!$C$2:$C$175,A125,Socle!$D$2:$D$175,C125,Socle!$E$2:$E$175,D125,Socle!$F$2:$F$175,E125,Socle!$G$2:$G$175,"2026")</f>
        <v/>
      </c>
      <c r="L125">
        <f>SUMIFS(Socle!$Y$2:$Y$175,Socle!$C$2:$C$175,A125,Socle!$D$2:$D$175,C125,Socle!$E$2:$E$175,D125,Socle!$F$2:$F$175,E125,Socle!$G$2:$G$175,"2026")</f>
        <v/>
      </c>
      <c r="M125">
        <f>SUMIFS(Socle!$V$2:$V$175,Socle!$C$2:$C$175,A125,Socle!$D$2:$D$175,C125,Socle!$E$2:$E$175,D125,Socle!$F$2:$F$175,E125,Socle!$G$2:$G$175,"2026")</f>
        <v/>
      </c>
      <c r="N125">
        <f>IF(OR(D125="B1",D125="M1",D125="BTS1"),1,0)</f>
        <v/>
      </c>
      <c r="O125">
        <f>SUMIFS(Campagne!$D$2:$D$15,Campagne!$C$2:$C$15,A125)</f>
        <v/>
      </c>
      <c r="P125">
        <f>SUMIFS(Campagne!$E$2:$E$15,Campagne!$C$2:$C$15,A125)</f>
        <v/>
      </c>
      <c r="Q125">
        <f>SUMIFS(Campagne!$F$2:$F$15,Campagne!$C$2:$C$15,A125)</f>
        <v/>
      </c>
      <c r="R125">
        <f>SUMIFS(Campagne!$K$2:$K$15,Campagne!$C$2:$C$15,A125)</f>
        <v/>
      </c>
      <c r="S125">
        <f>SUMIFS(Campagne!$M$2:$M$15,Campagne!$C$2:$C$15,A125)</f>
        <v/>
      </c>
      <c r="T125">
        <f>SUMIFS(Pilotage!$Q$13:$Q$26,Pilotage!$F$13:$F$26,A125)</f>
        <v/>
      </c>
      <c r="U125">
        <f>SUMIFS(Pilotage!$N$13:$N$26,Pilotage!$F$13:$F$26,A125)</f>
        <v/>
      </c>
      <c r="V125">
        <f>IF(B125="V01",cad!$I$21,IF(B125="V02",cad!$J$21,cad!$K$21))</f>
        <v/>
      </c>
      <c r="W125">
        <f>IF(B125="V01",cad!$I$22,IF(B125="V02",cad!$J$22,cad!$K$22))</f>
        <v/>
      </c>
      <c r="X125">
        <f>IF(B125="V01",cad!$I$23,IF(B125="V02",cad!$J$23,cad!$K$23))</f>
        <v/>
      </c>
      <c r="Y125">
        <f>IF(B125="V01",cad!$I$24,IF(B125="V02",cad!$J$24,cad!$K$24))</f>
        <v/>
      </c>
      <c r="Z125">
        <f>IF(B125="V01",cad!$I$25,IF(B125="V02",cad!$J$25,cad!$K$25))</f>
        <v/>
      </c>
      <c r="AA125">
        <f>IF(B125="V01",cad!$I$26,IF(B125="V02",cad!$J$26,cad!$K$26))</f>
        <v/>
      </c>
      <c r="AB125">
        <f>IF(B125="V01",cad!$I$37,IF(B125="V02",cad!$J$37,cad!$K$37))</f>
        <v/>
      </c>
      <c r="AC125">
        <f>IF(F125="MBWAY",cad!$I$9,IF(F125="ISCOM",cad!$I$10,IF(F125="IPAC",cad!$I$11,IF(F125="PIGIER",cad!$I$12,cad!$I$13))))</f>
        <v/>
      </c>
      <c r="AD125">
        <f>(O125*(1+W125)^S125+P125*((T125/U125)*(1+V125))^R125)*IFERROR(G125/Q125,0)*(J125+Y125)*K125*(L125+Z125)</f>
        <v/>
      </c>
      <c r="AE125">
        <f>IF(N125=1,AD125,0)</f>
        <v/>
      </c>
      <c r="AF125">
        <f>IF(N125=1,AD125,H125*(M125+AA125))</f>
        <v/>
      </c>
      <c r="AG125">
        <f>I125*(1+X125*AC125)</f>
        <v/>
      </c>
      <c r="AH125">
        <f>AF125*AG125+AE125*AB125</f>
        <v/>
      </c>
    </row>
    <row r="126">
      <c r="A126">
        <f>Moteur!D126</f>
        <v/>
      </c>
      <c r="B126">
        <f>Moteur!B126</f>
        <v/>
      </c>
      <c r="C126">
        <f>Moteur!F126</f>
        <v/>
      </c>
      <c r="D126">
        <f>Moteur!G126</f>
        <v/>
      </c>
      <c r="E126">
        <f>Moteur!H126</f>
        <v/>
      </c>
      <c r="F126">
        <f>Moteur!E126</f>
        <v/>
      </c>
      <c r="G126">
        <f>SUMIFS(Socle!$H$2:$H$175,Socle!$C$2:$C$175,A126,Socle!$D$2:$D$175,C126,Socle!$E$2:$E$175,D126,Socle!$F$2:$F$175,E126,Socle!$G$2:$G$175,"2026")</f>
        <v/>
      </c>
      <c r="H126">
        <f>SUMIFS(Socle!$N$2:$N$175,Socle!$C$2:$C$175,A126,Socle!$D$2:$D$175,C126,Socle!$E$2:$E$175,D126,Socle!$F$2:$F$175,E126,Socle!$G$2:$G$175,"2026")</f>
        <v/>
      </c>
      <c r="I126">
        <f>SUMIFS(Socle!$P$2:$P$175,Socle!$C$2:$C$175,A126,Socle!$D$2:$D$175,C126,Socle!$E$2:$E$175,D126,Socle!$F$2:$F$175,E126,Socle!$G$2:$G$175,"2026")</f>
        <v/>
      </c>
      <c r="J126">
        <f>SUMIFS(Socle!$W$2:$W$175,Socle!$C$2:$C$175,A126,Socle!$D$2:$D$175,C126,Socle!$E$2:$E$175,D126,Socle!$F$2:$F$175,E126,Socle!$G$2:$G$175,"2026")</f>
        <v/>
      </c>
      <c r="K126">
        <f>SUMIFS(Socle!$X$2:$X$175,Socle!$C$2:$C$175,A126,Socle!$D$2:$D$175,C126,Socle!$E$2:$E$175,D126,Socle!$F$2:$F$175,E126,Socle!$G$2:$G$175,"2026")</f>
        <v/>
      </c>
      <c r="L126">
        <f>SUMIFS(Socle!$Y$2:$Y$175,Socle!$C$2:$C$175,A126,Socle!$D$2:$D$175,C126,Socle!$E$2:$E$175,D126,Socle!$F$2:$F$175,E126,Socle!$G$2:$G$175,"2026")</f>
        <v/>
      </c>
      <c r="M126">
        <f>SUMIFS(Socle!$V$2:$V$175,Socle!$C$2:$C$175,A126,Socle!$D$2:$D$175,C126,Socle!$E$2:$E$175,D126,Socle!$F$2:$F$175,E126,Socle!$G$2:$G$175,"2026")</f>
        <v/>
      </c>
      <c r="N126">
        <f>IF(OR(D126="B1",D126="M1",D126="BTS1"),1,0)</f>
        <v/>
      </c>
      <c r="O126">
        <f>SUMIFS(Campagne!$D$2:$D$15,Campagne!$C$2:$C$15,A126)</f>
        <v/>
      </c>
      <c r="P126">
        <f>SUMIFS(Campagne!$E$2:$E$15,Campagne!$C$2:$C$15,A126)</f>
        <v/>
      </c>
      <c r="Q126">
        <f>SUMIFS(Campagne!$F$2:$F$15,Campagne!$C$2:$C$15,A126)</f>
        <v/>
      </c>
      <c r="R126">
        <f>SUMIFS(Campagne!$K$2:$K$15,Campagne!$C$2:$C$15,A126)</f>
        <v/>
      </c>
      <c r="S126">
        <f>SUMIFS(Campagne!$M$2:$M$15,Campagne!$C$2:$C$15,A126)</f>
        <v/>
      </c>
      <c r="T126">
        <f>SUMIFS(Pilotage!$Q$13:$Q$26,Pilotage!$F$13:$F$26,A126)</f>
        <v/>
      </c>
      <c r="U126">
        <f>SUMIFS(Pilotage!$N$13:$N$26,Pilotage!$F$13:$F$26,A126)</f>
        <v/>
      </c>
      <c r="V126">
        <f>IF(B126="V01",cad!$I$21,IF(B126="V02",cad!$J$21,cad!$K$21))</f>
        <v/>
      </c>
      <c r="W126">
        <f>IF(B126="V01",cad!$I$22,IF(B126="V02",cad!$J$22,cad!$K$22))</f>
        <v/>
      </c>
      <c r="X126">
        <f>IF(B126="V01",cad!$I$23,IF(B126="V02",cad!$J$23,cad!$K$23))</f>
        <v/>
      </c>
      <c r="Y126">
        <f>IF(B126="V01",cad!$I$24,IF(B126="V02",cad!$J$24,cad!$K$24))</f>
        <v/>
      </c>
      <c r="Z126">
        <f>IF(B126="V01",cad!$I$25,IF(B126="V02",cad!$J$25,cad!$K$25))</f>
        <v/>
      </c>
      <c r="AA126">
        <f>IF(B126="V01",cad!$I$26,IF(B126="V02",cad!$J$26,cad!$K$26))</f>
        <v/>
      </c>
      <c r="AB126">
        <f>IF(B126="V01",cad!$I$37,IF(B126="V02",cad!$J$37,cad!$K$37))</f>
        <v/>
      </c>
      <c r="AC126">
        <f>IF(F126="MBWAY",cad!$I$9,IF(F126="ISCOM",cad!$I$10,IF(F126="IPAC",cad!$I$11,IF(F126="PIGIER",cad!$I$12,cad!$I$13))))</f>
        <v/>
      </c>
      <c r="AD126">
        <f>(O126*(1+W126)^S126+P126*((T126/U126)*(1+V126))^R126)*IFERROR(G126/Q126,0)*(J126+Y126)*K126*(L126+Z126)</f>
        <v/>
      </c>
      <c r="AE126">
        <f>IF(N126=1,AD126,0)</f>
        <v/>
      </c>
      <c r="AF126">
        <f>IF(N126=1,AD126,H126*(M126+AA126))</f>
        <v/>
      </c>
      <c r="AG126">
        <f>I126*(1+X126*AC126)</f>
        <v/>
      </c>
      <c r="AH126">
        <f>AF126*AG126+AE126*AB126</f>
        <v/>
      </c>
    </row>
    <row r="127">
      <c r="A127">
        <f>Moteur!D127</f>
        <v/>
      </c>
      <c r="B127">
        <f>Moteur!B127</f>
        <v/>
      </c>
      <c r="C127">
        <f>Moteur!F127</f>
        <v/>
      </c>
      <c r="D127">
        <f>Moteur!G127</f>
        <v/>
      </c>
      <c r="E127">
        <f>Moteur!H127</f>
        <v/>
      </c>
      <c r="F127">
        <f>Moteur!E127</f>
        <v/>
      </c>
      <c r="G127">
        <f>SUMIFS(Socle!$H$2:$H$175,Socle!$C$2:$C$175,A127,Socle!$D$2:$D$175,C127,Socle!$E$2:$E$175,D127,Socle!$F$2:$F$175,E127,Socle!$G$2:$G$175,"2026")</f>
        <v/>
      </c>
      <c r="H127">
        <f>SUMIFS(Socle!$N$2:$N$175,Socle!$C$2:$C$175,A127,Socle!$D$2:$D$175,C127,Socle!$E$2:$E$175,D127,Socle!$F$2:$F$175,E127,Socle!$G$2:$G$175,"2026")</f>
        <v/>
      </c>
      <c r="I127">
        <f>SUMIFS(Socle!$P$2:$P$175,Socle!$C$2:$C$175,A127,Socle!$D$2:$D$175,C127,Socle!$E$2:$E$175,D127,Socle!$F$2:$F$175,E127,Socle!$G$2:$G$175,"2026")</f>
        <v/>
      </c>
      <c r="J127">
        <f>SUMIFS(Socle!$W$2:$W$175,Socle!$C$2:$C$175,A127,Socle!$D$2:$D$175,C127,Socle!$E$2:$E$175,D127,Socle!$F$2:$F$175,E127,Socle!$G$2:$G$175,"2026")</f>
        <v/>
      </c>
      <c r="K127">
        <f>SUMIFS(Socle!$X$2:$X$175,Socle!$C$2:$C$175,A127,Socle!$D$2:$D$175,C127,Socle!$E$2:$E$175,D127,Socle!$F$2:$F$175,E127,Socle!$G$2:$G$175,"2026")</f>
        <v/>
      </c>
      <c r="L127">
        <f>SUMIFS(Socle!$Y$2:$Y$175,Socle!$C$2:$C$175,A127,Socle!$D$2:$D$175,C127,Socle!$E$2:$E$175,D127,Socle!$F$2:$F$175,E127,Socle!$G$2:$G$175,"2026")</f>
        <v/>
      </c>
      <c r="M127">
        <f>SUMIFS(Socle!$V$2:$V$175,Socle!$C$2:$C$175,A127,Socle!$D$2:$D$175,C127,Socle!$E$2:$E$175,D127,Socle!$F$2:$F$175,E127,Socle!$G$2:$G$175,"2026")</f>
        <v/>
      </c>
      <c r="N127">
        <f>IF(OR(D127="B1",D127="M1",D127="BTS1"),1,0)</f>
        <v/>
      </c>
      <c r="O127">
        <f>SUMIFS(Campagne!$D$2:$D$15,Campagne!$C$2:$C$15,A127)</f>
        <v/>
      </c>
      <c r="P127">
        <f>SUMIFS(Campagne!$E$2:$E$15,Campagne!$C$2:$C$15,A127)</f>
        <v/>
      </c>
      <c r="Q127">
        <f>SUMIFS(Campagne!$F$2:$F$15,Campagne!$C$2:$C$15,A127)</f>
        <v/>
      </c>
      <c r="R127">
        <f>SUMIFS(Campagne!$K$2:$K$15,Campagne!$C$2:$C$15,A127)</f>
        <v/>
      </c>
      <c r="S127">
        <f>SUMIFS(Campagne!$M$2:$M$15,Campagne!$C$2:$C$15,A127)</f>
        <v/>
      </c>
      <c r="T127">
        <f>SUMIFS(Pilotage!$Q$13:$Q$26,Pilotage!$F$13:$F$26,A127)</f>
        <v/>
      </c>
      <c r="U127">
        <f>SUMIFS(Pilotage!$N$13:$N$26,Pilotage!$F$13:$F$26,A127)</f>
        <v/>
      </c>
      <c r="V127">
        <f>IF(B127="V01",cad!$I$21,IF(B127="V02",cad!$J$21,cad!$K$21))</f>
        <v/>
      </c>
      <c r="W127">
        <f>IF(B127="V01",cad!$I$22,IF(B127="V02",cad!$J$22,cad!$K$22))</f>
        <v/>
      </c>
      <c r="X127">
        <f>IF(B127="V01",cad!$I$23,IF(B127="V02",cad!$J$23,cad!$K$23))</f>
        <v/>
      </c>
      <c r="Y127">
        <f>IF(B127="V01",cad!$I$24,IF(B127="V02",cad!$J$24,cad!$K$24))</f>
        <v/>
      </c>
      <c r="Z127">
        <f>IF(B127="V01",cad!$I$25,IF(B127="V02",cad!$J$25,cad!$K$25))</f>
        <v/>
      </c>
      <c r="AA127">
        <f>IF(B127="V01",cad!$I$26,IF(B127="V02",cad!$J$26,cad!$K$26))</f>
        <v/>
      </c>
      <c r="AB127">
        <f>IF(B127="V01",cad!$I$37,IF(B127="V02",cad!$J$37,cad!$K$37))</f>
        <v/>
      </c>
      <c r="AC127">
        <f>IF(F127="MBWAY",cad!$I$9,IF(F127="ISCOM",cad!$I$10,IF(F127="IPAC",cad!$I$11,IF(F127="PIGIER",cad!$I$12,cad!$I$13))))</f>
        <v/>
      </c>
      <c r="AD127">
        <f>(O127*(1+W127)^S127+P127*((T127/U127)*(1+V127))^R127)*IFERROR(G127/Q127,0)*(J127+Y127)*K127*(L127+Z127)</f>
        <v/>
      </c>
      <c r="AE127">
        <f>IF(N127=1,AD127,0)</f>
        <v/>
      </c>
      <c r="AF127">
        <f>IF(N127=1,AD127,H127*(M127+AA127))</f>
        <v/>
      </c>
      <c r="AG127">
        <f>I127*(1+X127*AC127)</f>
        <v/>
      </c>
      <c r="AH127">
        <f>AF127*AG127+AE127*AB127</f>
        <v/>
      </c>
    </row>
    <row r="128">
      <c r="A128">
        <f>Moteur!D128</f>
        <v/>
      </c>
      <c r="B128">
        <f>Moteur!B128</f>
        <v/>
      </c>
      <c r="C128">
        <f>Moteur!F128</f>
        <v/>
      </c>
      <c r="D128">
        <f>Moteur!G128</f>
        <v/>
      </c>
      <c r="E128">
        <f>Moteur!H128</f>
        <v/>
      </c>
      <c r="F128">
        <f>Moteur!E128</f>
        <v/>
      </c>
      <c r="G128">
        <f>SUMIFS(Socle!$H$2:$H$175,Socle!$C$2:$C$175,A128,Socle!$D$2:$D$175,C128,Socle!$E$2:$E$175,D128,Socle!$F$2:$F$175,E128,Socle!$G$2:$G$175,"2026")</f>
        <v/>
      </c>
      <c r="H128">
        <f>SUMIFS(Socle!$N$2:$N$175,Socle!$C$2:$C$175,A128,Socle!$D$2:$D$175,C128,Socle!$E$2:$E$175,D128,Socle!$F$2:$F$175,E128,Socle!$G$2:$G$175,"2026")</f>
        <v/>
      </c>
      <c r="I128">
        <f>SUMIFS(Socle!$P$2:$P$175,Socle!$C$2:$C$175,A128,Socle!$D$2:$D$175,C128,Socle!$E$2:$E$175,D128,Socle!$F$2:$F$175,E128,Socle!$G$2:$G$175,"2026")</f>
        <v/>
      </c>
      <c r="J128">
        <f>SUMIFS(Socle!$W$2:$W$175,Socle!$C$2:$C$175,A128,Socle!$D$2:$D$175,C128,Socle!$E$2:$E$175,D128,Socle!$F$2:$F$175,E128,Socle!$G$2:$G$175,"2026")</f>
        <v/>
      </c>
      <c r="K128">
        <f>SUMIFS(Socle!$X$2:$X$175,Socle!$C$2:$C$175,A128,Socle!$D$2:$D$175,C128,Socle!$E$2:$E$175,D128,Socle!$F$2:$F$175,E128,Socle!$G$2:$G$175,"2026")</f>
        <v/>
      </c>
      <c r="L128">
        <f>SUMIFS(Socle!$Y$2:$Y$175,Socle!$C$2:$C$175,A128,Socle!$D$2:$D$175,C128,Socle!$E$2:$E$175,D128,Socle!$F$2:$F$175,E128,Socle!$G$2:$G$175,"2026")</f>
        <v/>
      </c>
      <c r="M128">
        <f>SUMIFS(Socle!$V$2:$V$175,Socle!$C$2:$C$175,A128,Socle!$D$2:$D$175,C128,Socle!$E$2:$E$175,D128,Socle!$F$2:$F$175,E128,Socle!$G$2:$G$175,"2026")</f>
        <v/>
      </c>
      <c r="N128">
        <f>IF(OR(D128="B1",D128="M1",D128="BTS1"),1,0)</f>
        <v/>
      </c>
      <c r="O128">
        <f>SUMIFS(Campagne!$D$2:$D$15,Campagne!$C$2:$C$15,A128)</f>
        <v/>
      </c>
      <c r="P128">
        <f>SUMIFS(Campagne!$E$2:$E$15,Campagne!$C$2:$C$15,A128)</f>
        <v/>
      </c>
      <c r="Q128">
        <f>SUMIFS(Campagne!$F$2:$F$15,Campagne!$C$2:$C$15,A128)</f>
        <v/>
      </c>
      <c r="R128">
        <f>SUMIFS(Campagne!$K$2:$K$15,Campagne!$C$2:$C$15,A128)</f>
        <v/>
      </c>
      <c r="S128">
        <f>SUMIFS(Campagne!$M$2:$M$15,Campagne!$C$2:$C$15,A128)</f>
        <v/>
      </c>
      <c r="T128">
        <f>SUMIFS(Pilotage!$Q$13:$Q$26,Pilotage!$F$13:$F$26,A128)</f>
        <v/>
      </c>
      <c r="U128">
        <f>SUMIFS(Pilotage!$N$13:$N$26,Pilotage!$F$13:$F$26,A128)</f>
        <v/>
      </c>
      <c r="V128">
        <f>IF(B128="V01",cad!$I$21,IF(B128="V02",cad!$J$21,cad!$K$21))</f>
        <v/>
      </c>
      <c r="W128">
        <f>IF(B128="V01",cad!$I$22,IF(B128="V02",cad!$J$22,cad!$K$22))</f>
        <v/>
      </c>
      <c r="X128">
        <f>IF(B128="V01",cad!$I$23,IF(B128="V02",cad!$J$23,cad!$K$23))</f>
        <v/>
      </c>
      <c r="Y128">
        <f>IF(B128="V01",cad!$I$24,IF(B128="V02",cad!$J$24,cad!$K$24))</f>
        <v/>
      </c>
      <c r="Z128">
        <f>IF(B128="V01",cad!$I$25,IF(B128="V02",cad!$J$25,cad!$K$25))</f>
        <v/>
      </c>
      <c r="AA128">
        <f>IF(B128="V01",cad!$I$26,IF(B128="V02",cad!$J$26,cad!$K$26))</f>
        <v/>
      </c>
      <c r="AB128">
        <f>IF(B128="V01",cad!$I$37,IF(B128="V02",cad!$J$37,cad!$K$37))</f>
        <v/>
      </c>
      <c r="AC128">
        <f>IF(F128="MBWAY",cad!$I$9,IF(F128="ISCOM",cad!$I$10,IF(F128="IPAC",cad!$I$11,IF(F128="PIGIER",cad!$I$12,cad!$I$13))))</f>
        <v/>
      </c>
      <c r="AD128">
        <f>(O128*(1+W128)^S128+P128*((T128/U128)*(1+V128))^R128)*IFERROR(G128/Q128,0)*(J128+Y128)*K128*(L128+Z128)</f>
        <v/>
      </c>
      <c r="AE128">
        <f>IF(N128=1,AD128,0)</f>
        <v/>
      </c>
      <c r="AF128">
        <f>IF(N128=1,AD128,H128*(M128+AA128))</f>
        <v/>
      </c>
      <c r="AG128">
        <f>I128*(1+X128*AC128)</f>
        <v/>
      </c>
      <c r="AH128">
        <f>AF128*AG128+AE128*AB128</f>
        <v/>
      </c>
    </row>
    <row r="129">
      <c r="A129">
        <f>Moteur!D129</f>
        <v/>
      </c>
      <c r="B129">
        <f>Moteur!B129</f>
        <v/>
      </c>
      <c r="C129">
        <f>Moteur!F129</f>
        <v/>
      </c>
      <c r="D129">
        <f>Moteur!G129</f>
        <v/>
      </c>
      <c r="E129">
        <f>Moteur!H129</f>
        <v/>
      </c>
      <c r="F129">
        <f>Moteur!E129</f>
        <v/>
      </c>
      <c r="G129">
        <f>SUMIFS(Socle!$H$2:$H$175,Socle!$C$2:$C$175,A129,Socle!$D$2:$D$175,C129,Socle!$E$2:$E$175,D129,Socle!$F$2:$F$175,E129,Socle!$G$2:$G$175,"2026")</f>
        <v/>
      </c>
      <c r="H129">
        <f>SUMIFS(Socle!$N$2:$N$175,Socle!$C$2:$C$175,A129,Socle!$D$2:$D$175,C129,Socle!$E$2:$E$175,D129,Socle!$F$2:$F$175,E129,Socle!$G$2:$G$175,"2026")</f>
        <v/>
      </c>
      <c r="I129">
        <f>SUMIFS(Socle!$P$2:$P$175,Socle!$C$2:$C$175,A129,Socle!$D$2:$D$175,C129,Socle!$E$2:$E$175,D129,Socle!$F$2:$F$175,E129,Socle!$G$2:$G$175,"2026")</f>
        <v/>
      </c>
      <c r="J129">
        <f>SUMIFS(Socle!$W$2:$W$175,Socle!$C$2:$C$175,A129,Socle!$D$2:$D$175,C129,Socle!$E$2:$E$175,D129,Socle!$F$2:$F$175,E129,Socle!$G$2:$G$175,"2026")</f>
        <v/>
      </c>
      <c r="K129">
        <f>SUMIFS(Socle!$X$2:$X$175,Socle!$C$2:$C$175,A129,Socle!$D$2:$D$175,C129,Socle!$E$2:$E$175,D129,Socle!$F$2:$F$175,E129,Socle!$G$2:$G$175,"2026")</f>
        <v/>
      </c>
      <c r="L129">
        <f>SUMIFS(Socle!$Y$2:$Y$175,Socle!$C$2:$C$175,A129,Socle!$D$2:$D$175,C129,Socle!$E$2:$E$175,D129,Socle!$F$2:$F$175,E129,Socle!$G$2:$G$175,"2026")</f>
        <v/>
      </c>
      <c r="M129">
        <f>SUMIFS(Socle!$V$2:$V$175,Socle!$C$2:$C$175,A129,Socle!$D$2:$D$175,C129,Socle!$E$2:$E$175,D129,Socle!$F$2:$F$175,E129,Socle!$G$2:$G$175,"2026")</f>
        <v/>
      </c>
      <c r="N129">
        <f>IF(OR(D129="B1",D129="M1",D129="BTS1"),1,0)</f>
        <v/>
      </c>
      <c r="O129">
        <f>SUMIFS(Campagne!$D$2:$D$15,Campagne!$C$2:$C$15,A129)</f>
        <v/>
      </c>
      <c r="P129">
        <f>SUMIFS(Campagne!$E$2:$E$15,Campagne!$C$2:$C$15,A129)</f>
        <v/>
      </c>
      <c r="Q129">
        <f>SUMIFS(Campagne!$F$2:$F$15,Campagne!$C$2:$C$15,A129)</f>
        <v/>
      </c>
      <c r="R129">
        <f>SUMIFS(Campagne!$K$2:$K$15,Campagne!$C$2:$C$15,A129)</f>
        <v/>
      </c>
      <c r="S129">
        <f>SUMIFS(Campagne!$M$2:$M$15,Campagne!$C$2:$C$15,A129)</f>
        <v/>
      </c>
      <c r="T129">
        <f>SUMIFS(Pilotage!$Q$13:$Q$26,Pilotage!$F$13:$F$26,A129)</f>
        <v/>
      </c>
      <c r="U129">
        <f>SUMIFS(Pilotage!$N$13:$N$26,Pilotage!$F$13:$F$26,A129)</f>
        <v/>
      </c>
      <c r="V129">
        <f>IF(B129="V01",cad!$I$21,IF(B129="V02",cad!$J$21,cad!$K$21))</f>
        <v/>
      </c>
      <c r="W129">
        <f>IF(B129="V01",cad!$I$22,IF(B129="V02",cad!$J$22,cad!$K$22))</f>
        <v/>
      </c>
      <c r="X129">
        <f>IF(B129="V01",cad!$I$23,IF(B129="V02",cad!$J$23,cad!$K$23))</f>
        <v/>
      </c>
      <c r="Y129">
        <f>IF(B129="V01",cad!$I$24,IF(B129="V02",cad!$J$24,cad!$K$24))</f>
        <v/>
      </c>
      <c r="Z129">
        <f>IF(B129="V01",cad!$I$25,IF(B129="V02",cad!$J$25,cad!$K$25))</f>
        <v/>
      </c>
      <c r="AA129">
        <f>IF(B129="V01",cad!$I$26,IF(B129="V02",cad!$J$26,cad!$K$26))</f>
        <v/>
      </c>
      <c r="AB129">
        <f>IF(B129="V01",cad!$I$37,IF(B129="V02",cad!$J$37,cad!$K$37))</f>
        <v/>
      </c>
      <c r="AC129">
        <f>IF(F129="MBWAY",cad!$I$9,IF(F129="ISCOM",cad!$I$10,IF(F129="IPAC",cad!$I$11,IF(F129="PIGIER",cad!$I$12,cad!$I$13))))</f>
        <v/>
      </c>
      <c r="AD129">
        <f>(O129*(1+W129)^S129+P129*((T129/U129)*(1+V129))^R129)*IFERROR(G129/Q129,0)*(J129+Y129)*K129*(L129+Z129)</f>
        <v/>
      </c>
      <c r="AE129">
        <f>IF(N129=1,AD129,0)</f>
        <v/>
      </c>
      <c r="AF129">
        <f>IF(N129=1,AD129,H129*(M129+AA129))</f>
        <v/>
      </c>
      <c r="AG129">
        <f>I129*(1+X129*AC129)</f>
        <v/>
      </c>
      <c r="AH129">
        <f>AF129*AG129+AE129*AB129</f>
        <v/>
      </c>
    </row>
    <row r="130">
      <c r="A130">
        <f>Moteur!D130</f>
        <v/>
      </c>
      <c r="B130">
        <f>Moteur!B130</f>
        <v/>
      </c>
      <c r="C130">
        <f>Moteur!F130</f>
        <v/>
      </c>
      <c r="D130">
        <f>Moteur!G130</f>
        <v/>
      </c>
      <c r="E130">
        <f>Moteur!H130</f>
        <v/>
      </c>
      <c r="F130">
        <f>Moteur!E130</f>
        <v/>
      </c>
      <c r="G130">
        <f>SUMIFS(Socle!$H$2:$H$175,Socle!$C$2:$C$175,A130,Socle!$D$2:$D$175,C130,Socle!$E$2:$E$175,D130,Socle!$F$2:$F$175,E130,Socle!$G$2:$G$175,"2026")</f>
        <v/>
      </c>
      <c r="H130">
        <f>SUMIFS(Socle!$N$2:$N$175,Socle!$C$2:$C$175,A130,Socle!$D$2:$D$175,C130,Socle!$E$2:$E$175,D130,Socle!$F$2:$F$175,E130,Socle!$G$2:$G$175,"2026")</f>
        <v/>
      </c>
      <c r="I130">
        <f>SUMIFS(Socle!$P$2:$P$175,Socle!$C$2:$C$175,A130,Socle!$D$2:$D$175,C130,Socle!$E$2:$E$175,D130,Socle!$F$2:$F$175,E130,Socle!$G$2:$G$175,"2026")</f>
        <v/>
      </c>
      <c r="J130">
        <f>SUMIFS(Socle!$W$2:$W$175,Socle!$C$2:$C$175,A130,Socle!$D$2:$D$175,C130,Socle!$E$2:$E$175,D130,Socle!$F$2:$F$175,E130,Socle!$G$2:$G$175,"2026")</f>
        <v/>
      </c>
      <c r="K130">
        <f>SUMIFS(Socle!$X$2:$X$175,Socle!$C$2:$C$175,A130,Socle!$D$2:$D$175,C130,Socle!$E$2:$E$175,D130,Socle!$F$2:$F$175,E130,Socle!$G$2:$G$175,"2026")</f>
        <v/>
      </c>
      <c r="L130">
        <f>SUMIFS(Socle!$Y$2:$Y$175,Socle!$C$2:$C$175,A130,Socle!$D$2:$D$175,C130,Socle!$E$2:$E$175,D130,Socle!$F$2:$F$175,E130,Socle!$G$2:$G$175,"2026")</f>
        <v/>
      </c>
      <c r="M130">
        <f>SUMIFS(Socle!$V$2:$V$175,Socle!$C$2:$C$175,A130,Socle!$D$2:$D$175,C130,Socle!$E$2:$E$175,D130,Socle!$F$2:$F$175,E130,Socle!$G$2:$G$175,"2026")</f>
        <v/>
      </c>
      <c r="N130">
        <f>IF(OR(D130="B1",D130="M1",D130="BTS1"),1,0)</f>
        <v/>
      </c>
      <c r="O130">
        <f>SUMIFS(Campagne!$D$2:$D$15,Campagne!$C$2:$C$15,A130)</f>
        <v/>
      </c>
      <c r="P130">
        <f>SUMIFS(Campagne!$E$2:$E$15,Campagne!$C$2:$C$15,A130)</f>
        <v/>
      </c>
      <c r="Q130">
        <f>SUMIFS(Campagne!$F$2:$F$15,Campagne!$C$2:$C$15,A130)</f>
        <v/>
      </c>
      <c r="R130">
        <f>SUMIFS(Campagne!$K$2:$K$15,Campagne!$C$2:$C$15,A130)</f>
        <v/>
      </c>
      <c r="S130">
        <f>SUMIFS(Campagne!$M$2:$M$15,Campagne!$C$2:$C$15,A130)</f>
        <v/>
      </c>
      <c r="T130">
        <f>SUMIFS(Pilotage!$Q$13:$Q$26,Pilotage!$F$13:$F$26,A130)</f>
        <v/>
      </c>
      <c r="U130">
        <f>SUMIFS(Pilotage!$N$13:$N$26,Pilotage!$F$13:$F$26,A130)</f>
        <v/>
      </c>
      <c r="V130">
        <f>IF(B130="V01",cad!$I$21,IF(B130="V02",cad!$J$21,cad!$K$21))</f>
        <v/>
      </c>
      <c r="W130">
        <f>IF(B130="V01",cad!$I$22,IF(B130="V02",cad!$J$22,cad!$K$22))</f>
        <v/>
      </c>
      <c r="X130">
        <f>IF(B130="V01",cad!$I$23,IF(B130="V02",cad!$J$23,cad!$K$23))</f>
        <v/>
      </c>
      <c r="Y130">
        <f>IF(B130="V01",cad!$I$24,IF(B130="V02",cad!$J$24,cad!$K$24))</f>
        <v/>
      </c>
      <c r="Z130">
        <f>IF(B130="V01",cad!$I$25,IF(B130="V02",cad!$J$25,cad!$K$25))</f>
        <v/>
      </c>
      <c r="AA130">
        <f>IF(B130="V01",cad!$I$26,IF(B130="V02",cad!$J$26,cad!$K$26))</f>
        <v/>
      </c>
      <c r="AB130">
        <f>IF(B130="V01",cad!$I$37,IF(B130="V02",cad!$J$37,cad!$K$37))</f>
        <v/>
      </c>
      <c r="AC130">
        <f>IF(F130="MBWAY",cad!$I$9,IF(F130="ISCOM",cad!$I$10,IF(F130="IPAC",cad!$I$11,IF(F130="PIGIER",cad!$I$12,cad!$I$13))))</f>
        <v/>
      </c>
      <c r="AD130">
        <f>(O130*(1+W130)^S130+P130*((T130/U130)*(1+V130))^R130)*IFERROR(G130/Q130,0)*(J130+Y130)*K130*(L130+Z130)</f>
        <v/>
      </c>
      <c r="AE130">
        <f>IF(N130=1,AD130,0)</f>
        <v/>
      </c>
      <c r="AF130">
        <f>IF(N130=1,AD130,H130*(M130+AA130))</f>
        <v/>
      </c>
      <c r="AG130">
        <f>I130*(1+X130*AC130)</f>
        <v/>
      </c>
      <c r="AH130">
        <f>AF130*AG130+AE130*AB130</f>
        <v/>
      </c>
    </row>
    <row r="131">
      <c r="A131">
        <f>Moteur!D131</f>
        <v/>
      </c>
      <c r="B131">
        <f>Moteur!B131</f>
        <v/>
      </c>
      <c r="C131">
        <f>Moteur!F131</f>
        <v/>
      </c>
      <c r="D131">
        <f>Moteur!G131</f>
        <v/>
      </c>
      <c r="E131">
        <f>Moteur!H131</f>
        <v/>
      </c>
      <c r="F131">
        <f>Moteur!E131</f>
        <v/>
      </c>
      <c r="G131">
        <f>SUMIFS(Socle!$H$2:$H$175,Socle!$C$2:$C$175,A131,Socle!$D$2:$D$175,C131,Socle!$E$2:$E$175,D131,Socle!$F$2:$F$175,E131,Socle!$G$2:$G$175,"2026")</f>
        <v/>
      </c>
      <c r="H131">
        <f>SUMIFS(Socle!$N$2:$N$175,Socle!$C$2:$C$175,A131,Socle!$D$2:$D$175,C131,Socle!$E$2:$E$175,D131,Socle!$F$2:$F$175,E131,Socle!$G$2:$G$175,"2026")</f>
        <v/>
      </c>
      <c r="I131">
        <f>SUMIFS(Socle!$P$2:$P$175,Socle!$C$2:$C$175,A131,Socle!$D$2:$D$175,C131,Socle!$E$2:$E$175,D131,Socle!$F$2:$F$175,E131,Socle!$G$2:$G$175,"2026")</f>
        <v/>
      </c>
      <c r="J131">
        <f>SUMIFS(Socle!$W$2:$W$175,Socle!$C$2:$C$175,A131,Socle!$D$2:$D$175,C131,Socle!$E$2:$E$175,D131,Socle!$F$2:$F$175,E131,Socle!$G$2:$G$175,"2026")</f>
        <v/>
      </c>
      <c r="K131">
        <f>SUMIFS(Socle!$X$2:$X$175,Socle!$C$2:$C$175,A131,Socle!$D$2:$D$175,C131,Socle!$E$2:$E$175,D131,Socle!$F$2:$F$175,E131,Socle!$G$2:$G$175,"2026")</f>
        <v/>
      </c>
      <c r="L131">
        <f>SUMIFS(Socle!$Y$2:$Y$175,Socle!$C$2:$C$175,A131,Socle!$D$2:$D$175,C131,Socle!$E$2:$E$175,D131,Socle!$F$2:$F$175,E131,Socle!$G$2:$G$175,"2026")</f>
        <v/>
      </c>
      <c r="M131">
        <f>SUMIFS(Socle!$V$2:$V$175,Socle!$C$2:$C$175,A131,Socle!$D$2:$D$175,C131,Socle!$E$2:$E$175,D131,Socle!$F$2:$F$175,E131,Socle!$G$2:$G$175,"2026")</f>
        <v/>
      </c>
      <c r="N131">
        <f>IF(OR(D131="B1",D131="M1",D131="BTS1"),1,0)</f>
        <v/>
      </c>
      <c r="O131">
        <f>SUMIFS(Campagne!$D$2:$D$15,Campagne!$C$2:$C$15,A131)</f>
        <v/>
      </c>
      <c r="P131">
        <f>SUMIFS(Campagne!$E$2:$E$15,Campagne!$C$2:$C$15,A131)</f>
        <v/>
      </c>
      <c r="Q131">
        <f>SUMIFS(Campagne!$F$2:$F$15,Campagne!$C$2:$C$15,A131)</f>
        <v/>
      </c>
      <c r="R131">
        <f>SUMIFS(Campagne!$K$2:$K$15,Campagne!$C$2:$C$15,A131)</f>
        <v/>
      </c>
      <c r="S131">
        <f>SUMIFS(Campagne!$M$2:$M$15,Campagne!$C$2:$C$15,A131)</f>
        <v/>
      </c>
      <c r="T131">
        <f>SUMIFS(Pilotage!$Q$13:$Q$26,Pilotage!$F$13:$F$26,A131)</f>
        <v/>
      </c>
      <c r="U131">
        <f>SUMIFS(Pilotage!$N$13:$N$26,Pilotage!$F$13:$F$26,A131)</f>
        <v/>
      </c>
      <c r="V131">
        <f>IF(B131="V01",cad!$I$21,IF(B131="V02",cad!$J$21,cad!$K$21))</f>
        <v/>
      </c>
      <c r="W131">
        <f>IF(B131="V01",cad!$I$22,IF(B131="V02",cad!$J$22,cad!$K$22))</f>
        <v/>
      </c>
      <c r="X131">
        <f>IF(B131="V01",cad!$I$23,IF(B131="V02",cad!$J$23,cad!$K$23))</f>
        <v/>
      </c>
      <c r="Y131">
        <f>IF(B131="V01",cad!$I$24,IF(B131="V02",cad!$J$24,cad!$K$24))</f>
        <v/>
      </c>
      <c r="Z131">
        <f>IF(B131="V01",cad!$I$25,IF(B131="V02",cad!$J$25,cad!$K$25))</f>
        <v/>
      </c>
      <c r="AA131">
        <f>IF(B131="V01",cad!$I$26,IF(B131="V02",cad!$J$26,cad!$K$26))</f>
        <v/>
      </c>
      <c r="AB131">
        <f>IF(B131="V01",cad!$I$37,IF(B131="V02",cad!$J$37,cad!$K$37))</f>
        <v/>
      </c>
      <c r="AC131">
        <f>IF(F131="MBWAY",cad!$I$9,IF(F131="ISCOM",cad!$I$10,IF(F131="IPAC",cad!$I$11,IF(F131="PIGIER",cad!$I$12,cad!$I$13))))</f>
        <v/>
      </c>
      <c r="AD131">
        <f>(O131*(1+W131)^S131+P131*((T131/U131)*(1+V131))^R131)*IFERROR(G131/Q131,0)*(J131+Y131)*K131*(L131+Z131)</f>
        <v/>
      </c>
      <c r="AE131">
        <f>IF(N131=1,AD131,0)</f>
        <v/>
      </c>
      <c r="AF131">
        <f>IF(N131=1,AD131,H131*(M131+AA131))</f>
        <v/>
      </c>
      <c r="AG131">
        <f>I131*(1+X131*AC131)</f>
        <v/>
      </c>
      <c r="AH131">
        <f>AF131*AG131+AE131*AB131</f>
        <v/>
      </c>
    </row>
    <row r="132">
      <c r="A132">
        <f>Moteur!D132</f>
        <v/>
      </c>
      <c r="B132">
        <f>Moteur!B132</f>
        <v/>
      </c>
      <c r="C132">
        <f>Moteur!F132</f>
        <v/>
      </c>
      <c r="D132">
        <f>Moteur!G132</f>
        <v/>
      </c>
      <c r="E132">
        <f>Moteur!H132</f>
        <v/>
      </c>
      <c r="F132">
        <f>Moteur!E132</f>
        <v/>
      </c>
      <c r="G132">
        <f>SUMIFS(Socle!$H$2:$H$175,Socle!$C$2:$C$175,A132,Socle!$D$2:$D$175,C132,Socle!$E$2:$E$175,D132,Socle!$F$2:$F$175,E132,Socle!$G$2:$G$175,"2026")</f>
        <v/>
      </c>
      <c r="H132">
        <f>SUMIFS(Socle!$N$2:$N$175,Socle!$C$2:$C$175,A132,Socle!$D$2:$D$175,C132,Socle!$E$2:$E$175,D132,Socle!$F$2:$F$175,E132,Socle!$G$2:$G$175,"2026")</f>
        <v/>
      </c>
      <c r="I132">
        <f>SUMIFS(Socle!$P$2:$P$175,Socle!$C$2:$C$175,A132,Socle!$D$2:$D$175,C132,Socle!$E$2:$E$175,D132,Socle!$F$2:$F$175,E132,Socle!$G$2:$G$175,"2026")</f>
        <v/>
      </c>
      <c r="J132">
        <f>SUMIFS(Socle!$W$2:$W$175,Socle!$C$2:$C$175,A132,Socle!$D$2:$D$175,C132,Socle!$E$2:$E$175,D132,Socle!$F$2:$F$175,E132,Socle!$G$2:$G$175,"2026")</f>
        <v/>
      </c>
      <c r="K132">
        <f>SUMIFS(Socle!$X$2:$X$175,Socle!$C$2:$C$175,A132,Socle!$D$2:$D$175,C132,Socle!$E$2:$E$175,D132,Socle!$F$2:$F$175,E132,Socle!$G$2:$G$175,"2026")</f>
        <v/>
      </c>
      <c r="L132">
        <f>SUMIFS(Socle!$Y$2:$Y$175,Socle!$C$2:$C$175,A132,Socle!$D$2:$D$175,C132,Socle!$E$2:$E$175,D132,Socle!$F$2:$F$175,E132,Socle!$G$2:$G$175,"2026")</f>
        <v/>
      </c>
      <c r="M132">
        <f>SUMIFS(Socle!$V$2:$V$175,Socle!$C$2:$C$175,A132,Socle!$D$2:$D$175,C132,Socle!$E$2:$E$175,D132,Socle!$F$2:$F$175,E132,Socle!$G$2:$G$175,"2026")</f>
        <v/>
      </c>
      <c r="N132">
        <f>IF(OR(D132="B1",D132="M1",D132="BTS1"),1,0)</f>
        <v/>
      </c>
      <c r="O132">
        <f>SUMIFS(Campagne!$D$2:$D$15,Campagne!$C$2:$C$15,A132)</f>
        <v/>
      </c>
      <c r="P132">
        <f>SUMIFS(Campagne!$E$2:$E$15,Campagne!$C$2:$C$15,A132)</f>
        <v/>
      </c>
      <c r="Q132">
        <f>SUMIFS(Campagne!$F$2:$F$15,Campagne!$C$2:$C$15,A132)</f>
        <v/>
      </c>
      <c r="R132">
        <f>SUMIFS(Campagne!$K$2:$K$15,Campagne!$C$2:$C$15,A132)</f>
        <v/>
      </c>
      <c r="S132">
        <f>SUMIFS(Campagne!$M$2:$M$15,Campagne!$C$2:$C$15,A132)</f>
        <v/>
      </c>
      <c r="T132">
        <f>SUMIFS(Pilotage!$Q$13:$Q$26,Pilotage!$F$13:$F$26,A132)</f>
        <v/>
      </c>
      <c r="U132">
        <f>SUMIFS(Pilotage!$N$13:$N$26,Pilotage!$F$13:$F$26,A132)</f>
        <v/>
      </c>
      <c r="V132">
        <f>IF(B132="V01",cad!$I$21,IF(B132="V02",cad!$J$21,cad!$K$21))</f>
        <v/>
      </c>
      <c r="W132">
        <f>IF(B132="V01",cad!$I$22,IF(B132="V02",cad!$J$22,cad!$K$22))</f>
        <v/>
      </c>
      <c r="X132">
        <f>IF(B132="V01",cad!$I$23,IF(B132="V02",cad!$J$23,cad!$K$23))</f>
        <v/>
      </c>
      <c r="Y132">
        <f>IF(B132="V01",cad!$I$24,IF(B132="V02",cad!$J$24,cad!$K$24))</f>
        <v/>
      </c>
      <c r="Z132">
        <f>IF(B132="V01",cad!$I$25,IF(B132="V02",cad!$J$25,cad!$K$25))</f>
        <v/>
      </c>
      <c r="AA132">
        <f>IF(B132="V01",cad!$I$26,IF(B132="V02",cad!$J$26,cad!$K$26))</f>
        <v/>
      </c>
      <c r="AB132">
        <f>IF(B132="V01",cad!$I$37,IF(B132="V02",cad!$J$37,cad!$K$37))</f>
        <v/>
      </c>
      <c r="AC132">
        <f>IF(F132="MBWAY",cad!$I$9,IF(F132="ISCOM",cad!$I$10,IF(F132="IPAC",cad!$I$11,IF(F132="PIGIER",cad!$I$12,cad!$I$13))))</f>
        <v/>
      </c>
      <c r="AD132">
        <f>(O132*(1+W132)^S132+P132*((T132/U132)*(1+V132))^R132)*IFERROR(G132/Q132,0)*(J132+Y132)*K132*(L132+Z132)</f>
        <v/>
      </c>
      <c r="AE132">
        <f>IF(N132=1,AD132,0)</f>
        <v/>
      </c>
      <c r="AF132">
        <f>IF(N132=1,AD132,H132*(M132+AA132))</f>
        <v/>
      </c>
      <c r="AG132">
        <f>I132*(1+X132*AC132)</f>
        <v/>
      </c>
      <c r="AH132">
        <f>AF132*AG132+AE132*AB132</f>
        <v/>
      </c>
    </row>
    <row r="133">
      <c r="A133">
        <f>Moteur!D133</f>
        <v/>
      </c>
      <c r="B133">
        <f>Moteur!B133</f>
        <v/>
      </c>
      <c r="C133">
        <f>Moteur!F133</f>
        <v/>
      </c>
      <c r="D133">
        <f>Moteur!G133</f>
        <v/>
      </c>
      <c r="E133">
        <f>Moteur!H133</f>
        <v/>
      </c>
      <c r="F133">
        <f>Moteur!E133</f>
        <v/>
      </c>
      <c r="G133">
        <f>SUMIFS(Socle!$H$2:$H$175,Socle!$C$2:$C$175,A133,Socle!$D$2:$D$175,C133,Socle!$E$2:$E$175,D133,Socle!$F$2:$F$175,E133,Socle!$G$2:$G$175,"2026")</f>
        <v/>
      </c>
      <c r="H133">
        <f>SUMIFS(Socle!$N$2:$N$175,Socle!$C$2:$C$175,A133,Socle!$D$2:$D$175,C133,Socle!$E$2:$E$175,D133,Socle!$F$2:$F$175,E133,Socle!$G$2:$G$175,"2026")</f>
        <v/>
      </c>
      <c r="I133">
        <f>SUMIFS(Socle!$P$2:$P$175,Socle!$C$2:$C$175,A133,Socle!$D$2:$D$175,C133,Socle!$E$2:$E$175,D133,Socle!$F$2:$F$175,E133,Socle!$G$2:$G$175,"2026")</f>
        <v/>
      </c>
      <c r="J133">
        <f>SUMIFS(Socle!$W$2:$W$175,Socle!$C$2:$C$175,A133,Socle!$D$2:$D$175,C133,Socle!$E$2:$E$175,D133,Socle!$F$2:$F$175,E133,Socle!$G$2:$G$175,"2026")</f>
        <v/>
      </c>
      <c r="K133">
        <f>SUMIFS(Socle!$X$2:$X$175,Socle!$C$2:$C$175,A133,Socle!$D$2:$D$175,C133,Socle!$E$2:$E$175,D133,Socle!$F$2:$F$175,E133,Socle!$G$2:$G$175,"2026")</f>
        <v/>
      </c>
      <c r="L133">
        <f>SUMIFS(Socle!$Y$2:$Y$175,Socle!$C$2:$C$175,A133,Socle!$D$2:$D$175,C133,Socle!$E$2:$E$175,D133,Socle!$F$2:$F$175,E133,Socle!$G$2:$G$175,"2026")</f>
        <v/>
      </c>
      <c r="M133">
        <f>SUMIFS(Socle!$V$2:$V$175,Socle!$C$2:$C$175,A133,Socle!$D$2:$D$175,C133,Socle!$E$2:$E$175,D133,Socle!$F$2:$F$175,E133,Socle!$G$2:$G$175,"2026")</f>
        <v/>
      </c>
      <c r="N133">
        <f>IF(OR(D133="B1",D133="M1",D133="BTS1"),1,0)</f>
        <v/>
      </c>
      <c r="O133">
        <f>SUMIFS(Campagne!$D$2:$D$15,Campagne!$C$2:$C$15,A133)</f>
        <v/>
      </c>
      <c r="P133">
        <f>SUMIFS(Campagne!$E$2:$E$15,Campagne!$C$2:$C$15,A133)</f>
        <v/>
      </c>
      <c r="Q133">
        <f>SUMIFS(Campagne!$F$2:$F$15,Campagne!$C$2:$C$15,A133)</f>
        <v/>
      </c>
      <c r="R133">
        <f>SUMIFS(Campagne!$K$2:$K$15,Campagne!$C$2:$C$15,A133)</f>
        <v/>
      </c>
      <c r="S133">
        <f>SUMIFS(Campagne!$M$2:$M$15,Campagne!$C$2:$C$15,A133)</f>
        <v/>
      </c>
      <c r="T133">
        <f>SUMIFS(Pilotage!$Q$13:$Q$26,Pilotage!$F$13:$F$26,A133)</f>
        <v/>
      </c>
      <c r="U133">
        <f>SUMIFS(Pilotage!$N$13:$N$26,Pilotage!$F$13:$F$26,A133)</f>
        <v/>
      </c>
      <c r="V133">
        <f>IF(B133="V01",cad!$I$21,IF(B133="V02",cad!$J$21,cad!$K$21))</f>
        <v/>
      </c>
      <c r="W133">
        <f>IF(B133="V01",cad!$I$22,IF(B133="V02",cad!$J$22,cad!$K$22))</f>
        <v/>
      </c>
      <c r="X133">
        <f>IF(B133="V01",cad!$I$23,IF(B133="V02",cad!$J$23,cad!$K$23))</f>
        <v/>
      </c>
      <c r="Y133">
        <f>IF(B133="V01",cad!$I$24,IF(B133="V02",cad!$J$24,cad!$K$24))</f>
        <v/>
      </c>
      <c r="Z133">
        <f>IF(B133="V01",cad!$I$25,IF(B133="V02",cad!$J$25,cad!$K$25))</f>
        <v/>
      </c>
      <c r="AA133">
        <f>IF(B133="V01",cad!$I$26,IF(B133="V02",cad!$J$26,cad!$K$26))</f>
        <v/>
      </c>
      <c r="AB133">
        <f>IF(B133="V01",cad!$I$37,IF(B133="V02",cad!$J$37,cad!$K$37))</f>
        <v/>
      </c>
      <c r="AC133">
        <f>IF(F133="MBWAY",cad!$I$9,IF(F133="ISCOM",cad!$I$10,IF(F133="IPAC",cad!$I$11,IF(F133="PIGIER",cad!$I$12,cad!$I$13))))</f>
        <v/>
      </c>
      <c r="AD133">
        <f>(O133*(1+W133)^S133+P133*((T133/U133)*(1+V133))^R133)*IFERROR(G133/Q133,0)*(J133+Y133)*K133*(L133+Z133)</f>
        <v/>
      </c>
      <c r="AE133">
        <f>IF(N133=1,AD133,0)</f>
        <v/>
      </c>
      <c r="AF133">
        <f>IF(N133=1,AD133,H133*(M133+AA133))</f>
        <v/>
      </c>
      <c r="AG133">
        <f>I133*(1+X133*AC133)</f>
        <v/>
      </c>
      <c r="AH133">
        <f>AF133*AG133+AE133*AB133</f>
        <v/>
      </c>
    </row>
    <row r="134">
      <c r="A134">
        <f>Moteur!D134</f>
        <v/>
      </c>
      <c r="B134">
        <f>Moteur!B134</f>
        <v/>
      </c>
      <c r="C134">
        <f>Moteur!F134</f>
        <v/>
      </c>
      <c r="D134">
        <f>Moteur!G134</f>
        <v/>
      </c>
      <c r="E134">
        <f>Moteur!H134</f>
        <v/>
      </c>
      <c r="F134">
        <f>Moteur!E134</f>
        <v/>
      </c>
      <c r="G134">
        <f>SUMIFS(Socle!$H$2:$H$175,Socle!$C$2:$C$175,A134,Socle!$D$2:$D$175,C134,Socle!$E$2:$E$175,D134,Socle!$F$2:$F$175,E134,Socle!$G$2:$G$175,"2026")</f>
        <v/>
      </c>
      <c r="H134">
        <f>SUMIFS(Socle!$N$2:$N$175,Socle!$C$2:$C$175,A134,Socle!$D$2:$D$175,C134,Socle!$E$2:$E$175,D134,Socle!$F$2:$F$175,E134,Socle!$G$2:$G$175,"2026")</f>
        <v/>
      </c>
      <c r="I134">
        <f>SUMIFS(Socle!$P$2:$P$175,Socle!$C$2:$C$175,A134,Socle!$D$2:$D$175,C134,Socle!$E$2:$E$175,D134,Socle!$F$2:$F$175,E134,Socle!$G$2:$G$175,"2026")</f>
        <v/>
      </c>
      <c r="J134">
        <f>SUMIFS(Socle!$W$2:$W$175,Socle!$C$2:$C$175,A134,Socle!$D$2:$D$175,C134,Socle!$E$2:$E$175,D134,Socle!$F$2:$F$175,E134,Socle!$G$2:$G$175,"2026")</f>
        <v/>
      </c>
      <c r="K134">
        <f>SUMIFS(Socle!$X$2:$X$175,Socle!$C$2:$C$175,A134,Socle!$D$2:$D$175,C134,Socle!$E$2:$E$175,D134,Socle!$F$2:$F$175,E134,Socle!$G$2:$G$175,"2026")</f>
        <v/>
      </c>
      <c r="L134">
        <f>SUMIFS(Socle!$Y$2:$Y$175,Socle!$C$2:$C$175,A134,Socle!$D$2:$D$175,C134,Socle!$E$2:$E$175,D134,Socle!$F$2:$F$175,E134,Socle!$G$2:$G$175,"2026")</f>
        <v/>
      </c>
      <c r="M134">
        <f>SUMIFS(Socle!$V$2:$V$175,Socle!$C$2:$C$175,A134,Socle!$D$2:$D$175,C134,Socle!$E$2:$E$175,D134,Socle!$F$2:$F$175,E134,Socle!$G$2:$G$175,"2026")</f>
        <v/>
      </c>
      <c r="N134">
        <f>IF(OR(D134="B1",D134="M1",D134="BTS1"),1,0)</f>
        <v/>
      </c>
      <c r="O134">
        <f>SUMIFS(Campagne!$D$2:$D$15,Campagne!$C$2:$C$15,A134)</f>
        <v/>
      </c>
      <c r="P134">
        <f>SUMIFS(Campagne!$E$2:$E$15,Campagne!$C$2:$C$15,A134)</f>
        <v/>
      </c>
      <c r="Q134">
        <f>SUMIFS(Campagne!$F$2:$F$15,Campagne!$C$2:$C$15,A134)</f>
        <v/>
      </c>
      <c r="R134">
        <f>SUMIFS(Campagne!$K$2:$K$15,Campagne!$C$2:$C$15,A134)</f>
        <v/>
      </c>
      <c r="S134">
        <f>SUMIFS(Campagne!$M$2:$M$15,Campagne!$C$2:$C$15,A134)</f>
        <v/>
      </c>
      <c r="T134">
        <f>SUMIFS(Pilotage!$Q$13:$Q$26,Pilotage!$F$13:$F$26,A134)</f>
        <v/>
      </c>
      <c r="U134">
        <f>SUMIFS(Pilotage!$N$13:$N$26,Pilotage!$F$13:$F$26,A134)</f>
        <v/>
      </c>
      <c r="V134">
        <f>IF(B134="V01",cad!$I$21,IF(B134="V02",cad!$J$21,cad!$K$21))</f>
        <v/>
      </c>
      <c r="W134">
        <f>IF(B134="V01",cad!$I$22,IF(B134="V02",cad!$J$22,cad!$K$22))</f>
        <v/>
      </c>
      <c r="X134">
        <f>IF(B134="V01",cad!$I$23,IF(B134="V02",cad!$J$23,cad!$K$23))</f>
        <v/>
      </c>
      <c r="Y134">
        <f>IF(B134="V01",cad!$I$24,IF(B134="V02",cad!$J$24,cad!$K$24))</f>
        <v/>
      </c>
      <c r="Z134">
        <f>IF(B134="V01",cad!$I$25,IF(B134="V02",cad!$J$25,cad!$K$25))</f>
        <v/>
      </c>
      <c r="AA134">
        <f>IF(B134="V01",cad!$I$26,IF(B134="V02",cad!$J$26,cad!$K$26))</f>
        <v/>
      </c>
      <c r="AB134">
        <f>IF(B134="V01",cad!$I$37,IF(B134="V02",cad!$J$37,cad!$K$37))</f>
        <v/>
      </c>
      <c r="AC134">
        <f>IF(F134="MBWAY",cad!$I$9,IF(F134="ISCOM",cad!$I$10,IF(F134="IPAC",cad!$I$11,IF(F134="PIGIER",cad!$I$12,cad!$I$13))))</f>
        <v/>
      </c>
      <c r="AD134">
        <f>(O134*(1+W134)^S134+P134*((T134/U134)*(1+V134))^R134)*IFERROR(G134/Q134,0)*(J134+Y134)*K134*(L134+Z134)</f>
        <v/>
      </c>
      <c r="AE134">
        <f>IF(N134=1,AD134,0)</f>
        <v/>
      </c>
      <c r="AF134">
        <f>IF(N134=1,AD134,H134*(M134+AA134))</f>
        <v/>
      </c>
      <c r="AG134">
        <f>I134*(1+X134*AC134)</f>
        <v/>
      </c>
      <c r="AH134">
        <f>AF134*AG134+AE134*AB134</f>
        <v/>
      </c>
    </row>
    <row r="135">
      <c r="A135">
        <f>Moteur!D135</f>
        <v/>
      </c>
      <c r="B135">
        <f>Moteur!B135</f>
        <v/>
      </c>
      <c r="C135">
        <f>Moteur!F135</f>
        <v/>
      </c>
      <c r="D135">
        <f>Moteur!G135</f>
        <v/>
      </c>
      <c r="E135">
        <f>Moteur!H135</f>
        <v/>
      </c>
      <c r="F135">
        <f>Moteur!E135</f>
        <v/>
      </c>
      <c r="G135">
        <f>SUMIFS(Socle!$H$2:$H$175,Socle!$C$2:$C$175,A135,Socle!$D$2:$D$175,C135,Socle!$E$2:$E$175,D135,Socle!$F$2:$F$175,E135,Socle!$G$2:$G$175,"2026")</f>
        <v/>
      </c>
      <c r="H135">
        <f>SUMIFS(Socle!$N$2:$N$175,Socle!$C$2:$C$175,A135,Socle!$D$2:$D$175,C135,Socle!$E$2:$E$175,D135,Socle!$F$2:$F$175,E135,Socle!$G$2:$G$175,"2026")</f>
        <v/>
      </c>
      <c r="I135">
        <f>SUMIFS(Socle!$P$2:$P$175,Socle!$C$2:$C$175,A135,Socle!$D$2:$D$175,C135,Socle!$E$2:$E$175,D135,Socle!$F$2:$F$175,E135,Socle!$G$2:$G$175,"2026")</f>
        <v/>
      </c>
      <c r="J135">
        <f>SUMIFS(Socle!$W$2:$W$175,Socle!$C$2:$C$175,A135,Socle!$D$2:$D$175,C135,Socle!$E$2:$E$175,D135,Socle!$F$2:$F$175,E135,Socle!$G$2:$G$175,"2026")</f>
        <v/>
      </c>
      <c r="K135">
        <f>SUMIFS(Socle!$X$2:$X$175,Socle!$C$2:$C$175,A135,Socle!$D$2:$D$175,C135,Socle!$E$2:$E$175,D135,Socle!$F$2:$F$175,E135,Socle!$G$2:$G$175,"2026")</f>
        <v/>
      </c>
      <c r="L135">
        <f>SUMIFS(Socle!$Y$2:$Y$175,Socle!$C$2:$C$175,A135,Socle!$D$2:$D$175,C135,Socle!$E$2:$E$175,D135,Socle!$F$2:$F$175,E135,Socle!$G$2:$G$175,"2026")</f>
        <v/>
      </c>
      <c r="M135">
        <f>SUMIFS(Socle!$V$2:$V$175,Socle!$C$2:$C$175,A135,Socle!$D$2:$D$175,C135,Socle!$E$2:$E$175,D135,Socle!$F$2:$F$175,E135,Socle!$G$2:$G$175,"2026")</f>
        <v/>
      </c>
      <c r="N135">
        <f>IF(OR(D135="B1",D135="M1",D135="BTS1"),1,0)</f>
        <v/>
      </c>
      <c r="O135">
        <f>SUMIFS(Campagne!$D$2:$D$15,Campagne!$C$2:$C$15,A135)</f>
        <v/>
      </c>
      <c r="P135">
        <f>SUMIFS(Campagne!$E$2:$E$15,Campagne!$C$2:$C$15,A135)</f>
        <v/>
      </c>
      <c r="Q135">
        <f>SUMIFS(Campagne!$F$2:$F$15,Campagne!$C$2:$C$15,A135)</f>
        <v/>
      </c>
      <c r="R135">
        <f>SUMIFS(Campagne!$K$2:$K$15,Campagne!$C$2:$C$15,A135)</f>
        <v/>
      </c>
      <c r="S135">
        <f>SUMIFS(Campagne!$M$2:$M$15,Campagne!$C$2:$C$15,A135)</f>
        <v/>
      </c>
      <c r="T135">
        <f>SUMIFS(Pilotage!$Q$13:$Q$26,Pilotage!$F$13:$F$26,A135)</f>
        <v/>
      </c>
      <c r="U135">
        <f>SUMIFS(Pilotage!$N$13:$N$26,Pilotage!$F$13:$F$26,A135)</f>
        <v/>
      </c>
      <c r="V135">
        <f>IF(B135="V01",cad!$I$21,IF(B135="V02",cad!$J$21,cad!$K$21))</f>
        <v/>
      </c>
      <c r="W135">
        <f>IF(B135="V01",cad!$I$22,IF(B135="V02",cad!$J$22,cad!$K$22))</f>
        <v/>
      </c>
      <c r="X135">
        <f>IF(B135="V01",cad!$I$23,IF(B135="V02",cad!$J$23,cad!$K$23))</f>
        <v/>
      </c>
      <c r="Y135">
        <f>IF(B135="V01",cad!$I$24,IF(B135="V02",cad!$J$24,cad!$K$24))</f>
        <v/>
      </c>
      <c r="Z135">
        <f>IF(B135="V01",cad!$I$25,IF(B135="V02",cad!$J$25,cad!$K$25))</f>
        <v/>
      </c>
      <c r="AA135">
        <f>IF(B135="V01",cad!$I$26,IF(B135="V02",cad!$J$26,cad!$K$26))</f>
        <v/>
      </c>
      <c r="AB135">
        <f>IF(B135="V01",cad!$I$37,IF(B135="V02",cad!$J$37,cad!$K$37))</f>
        <v/>
      </c>
      <c r="AC135">
        <f>IF(F135="MBWAY",cad!$I$9,IF(F135="ISCOM",cad!$I$10,IF(F135="IPAC",cad!$I$11,IF(F135="PIGIER",cad!$I$12,cad!$I$13))))</f>
        <v/>
      </c>
      <c r="AD135">
        <f>(O135*(1+W135)^S135+P135*((T135/U135)*(1+V135))^R135)*IFERROR(G135/Q135,0)*(J135+Y135)*K135*(L135+Z135)</f>
        <v/>
      </c>
      <c r="AE135">
        <f>IF(N135=1,AD135,0)</f>
        <v/>
      </c>
      <c r="AF135">
        <f>IF(N135=1,AD135,H135*(M135+AA135))</f>
        <v/>
      </c>
      <c r="AG135">
        <f>I135*(1+X135*AC135)</f>
        <v/>
      </c>
      <c r="AH135">
        <f>AF135*AG135+AE135*AB135</f>
        <v/>
      </c>
    </row>
    <row r="136">
      <c r="A136">
        <f>Moteur!D136</f>
        <v/>
      </c>
      <c r="B136">
        <f>Moteur!B136</f>
        <v/>
      </c>
      <c r="C136">
        <f>Moteur!F136</f>
        <v/>
      </c>
      <c r="D136">
        <f>Moteur!G136</f>
        <v/>
      </c>
      <c r="E136">
        <f>Moteur!H136</f>
        <v/>
      </c>
      <c r="F136">
        <f>Moteur!E136</f>
        <v/>
      </c>
      <c r="G136">
        <f>SUMIFS(Socle!$H$2:$H$175,Socle!$C$2:$C$175,A136,Socle!$D$2:$D$175,C136,Socle!$E$2:$E$175,D136,Socle!$F$2:$F$175,E136,Socle!$G$2:$G$175,"2026")</f>
        <v/>
      </c>
      <c r="H136">
        <f>SUMIFS(Socle!$N$2:$N$175,Socle!$C$2:$C$175,A136,Socle!$D$2:$D$175,C136,Socle!$E$2:$E$175,D136,Socle!$F$2:$F$175,E136,Socle!$G$2:$G$175,"2026")</f>
        <v/>
      </c>
      <c r="I136">
        <f>SUMIFS(Socle!$P$2:$P$175,Socle!$C$2:$C$175,A136,Socle!$D$2:$D$175,C136,Socle!$E$2:$E$175,D136,Socle!$F$2:$F$175,E136,Socle!$G$2:$G$175,"2026")</f>
        <v/>
      </c>
      <c r="J136">
        <f>SUMIFS(Socle!$W$2:$W$175,Socle!$C$2:$C$175,A136,Socle!$D$2:$D$175,C136,Socle!$E$2:$E$175,D136,Socle!$F$2:$F$175,E136,Socle!$G$2:$G$175,"2026")</f>
        <v/>
      </c>
      <c r="K136">
        <f>SUMIFS(Socle!$X$2:$X$175,Socle!$C$2:$C$175,A136,Socle!$D$2:$D$175,C136,Socle!$E$2:$E$175,D136,Socle!$F$2:$F$175,E136,Socle!$G$2:$G$175,"2026")</f>
        <v/>
      </c>
      <c r="L136">
        <f>SUMIFS(Socle!$Y$2:$Y$175,Socle!$C$2:$C$175,A136,Socle!$D$2:$D$175,C136,Socle!$E$2:$E$175,D136,Socle!$F$2:$F$175,E136,Socle!$G$2:$G$175,"2026")</f>
        <v/>
      </c>
      <c r="M136">
        <f>SUMIFS(Socle!$V$2:$V$175,Socle!$C$2:$C$175,A136,Socle!$D$2:$D$175,C136,Socle!$E$2:$E$175,D136,Socle!$F$2:$F$175,E136,Socle!$G$2:$G$175,"2026")</f>
        <v/>
      </c>
      <c r="N136">
        <f>IF(OR(D136="B1",D136="M1",D136="BTS1"),1,0)</f>
        <v/>
      </c>
      <c r="O136">
        <f>SUMIFS(Campagne!$D$2:$D$15,Campagne!$C$2:$C$15,A136)</f>
        <v/>
      </c>
      <c r="P136">
        <f>SUMIFS(Campagne!$E$2:$E$15,Campagne!$C$2:$C$15,A136)</f>
        <v/>
      </c>
      <c r="Q136">
        <f>SUMIFS(Campagne!$F$2:$F$15,Campagne!$C$2:$C$15,A136)</f>
        <v/>
      </c>
      <c r="R136">
        <f>SUMIFS(Campagne!$K$2:$K$15,Campagne!$C$2:$C$15,A136)</f>
        <v/>
      </c>
      <c r="S136">
        <f>SUMIFS(Campagne!$M$2:$M$15,Campagne!$C$2:$C$15,A136)</f>
        <v/>
      </c>
      <c r="T136">
        <f>SUMIFS(Pilotage!$Q$13:$Q$26,Pilotage!$F$13:$F$26,A136)</f>
        <v/>
      </c>
      <c r="U136">
        <f>SUMIFS(Pilotage!$N$13:$N$26,Pilotage!$F$13:$F$26,A136)</f>
        <v/>
      </c>
      <c r="V136">
        <f>IF(B136="V01",cad!$I$21,IF(B136="V02",cad!$J$21,cad!$K$21))</f>
        <v/>
      </c>
      <c r="W136">
        <f>IF(B136="V01",cad!$I$22,IF(B136="V02",cad!$J$22,cad!$K$22))</f>
        <v/>
      </c>
      <c r="X136">
        <f>IF(B136="V01",cad!$I$23,IF(B136="V02",cad!$J$23,cad!$K$23))</f>
        <v/>
      </c>
      <c r="Y136">
        <f>IF(B136="V01",cad!$I$24,IF(B136="V02",cad!$J$24,cad!$K$24))</f>
        <v/>
      </c>
      <c r="Z136">
        <f>IF(B136="V01",cad!$I$25,IF(B136="V02",cad!$J$25,cad!$K$25))</f>
        <v/>
      </c>
      <c r="AA136">
        <f>IF(B136="V01",cad!$I$26,IF(B136="V02",cad!$J$26,cad!$K$26))</f>
        <v/>
      </c>
      <c r="AB136">
        <f>IF(B136="V01",cad!$I$37,IF(B136="V02",cad!$J$37,cad!$K$37))</f>
        <v/>
      </c>
      <c r="AC136">
        <f>IF(F136="MBWAY",cad!$I$9,IF(F136="ISCOM",cad!$I$10,IF(F136="IPAC",cad!$I$11,IF(F136="PIGIER",cad!$I$12,cad!$I$13))))</f>
        <v/>
      </c>
      <c r="AD136">
        <f>(O136*(1+W136)^S136+P136*((T136/U136)*(1+V136))^R136)*IFERROR(G136/Q136,0)*(J136+Y136)*K136*(L136+Z136)</f>
        <v/>
      </c>
      <c r="AE136">
        <f>IF(N136=1,AD136,0)</f>
        <v/>
      </c>
      <c r="AF136">
        <f>IF(N136=1,AD136,H136*(M136+AA136))</f>
        <v/>
      </c>
      <c r="AG136">
        <f>I136*(1+X136*AC136)</f>
        <v/>
      </c>
      <c r="AH136">
        <f>AF136*AG136+AE136*AB136</f>
        <v/>
      </c>
    </row>
    <row r="137">
      <c r="A137">
        <f>Moteur!D137</f>
        <v/>
      </c>
      <c r="B137">
        <f>Moteur!B137</f>
        <v/>
      </c>
      <c r="C137">
        <f>Moteur!F137</f>
        <v/>
      </c>
      <c r="D137">
        <f>Moteur!G137</f>
        <v/>
      </c>
      <c r="E137">
        <f>Moteur!H137</f>
        <v/>
      </c>
      <c r="F137">
        <f>Moteur!E137</f>
        <v/>
      </c>
      <c r="G137">
        <f>SUMIFS(Socle!$H$2:$H$175,Socle!$C$2:$C$175,A137,Socle!$D$2:$D$175,C137,Socle!$E$2:$E$175,D137,Socle!$F$2:$F$175,E137,Socle!$G$2:$G$175,"2026")</f>
        <v/>
      </c>
      <c r="H137">
        <f>SUMIFS(Socle!$N$2:$N$175,Socle!$C$2:$C$175,A137,Socle!$D$2:$D$175,C137,Socle!$E$2:$E$175,D137,Socle!$F$2:$F$175,E137,Socle!$G$2:$G$175,"2026")</f>
        <v/>
      </c>
      <c r="I137">
        <f>SUMIFS(Socle!$P$2:$P$175,Socle!$C$2:$C$175,A137,Socle!$D$2:$D$175,C137,Socle!$E$2:$E$175,D137,Socle!$F$2:$F$175,E137,Socle!$G$2:$G$175,"2026")</f>
        <v/>
      </c>
      <c r="J137">
        <f>SUMIFS(Socle!$W$2:$W$175,Socle!$C$2:$C$175,A137,Socle!$D$2:$D$175,C137,Socle!$E$2:$E$175,D137,Socle!$F$2:$F$175,E137,Socle!$G$2:$G$175,"2026")</f>
        <v/>
      </c>
      <c r="K137">
        <f>SUMIFS(Socle!$X$2:$X$175,Socle!$C$2:$C$175,A137,Socle!$D$2:$D$175,C137,Socle!$E$2:$E$175,D137,Socle!$F$2:$F$175,E137,Socle!$G$2:$G$175,"2026")</f>
        <v/>
      </c>
      <c r="L137">
        <f>SUMIFS(Socle!$Y$2:$Y$175,Socle!$C$2:$C$175,A137,Socle!$D$2:$D$175,C137,Socle!$E$2:$E$175,D137,Socle!$F$2:$F$175,E137,Socle!$G$2:$G$175,"2026")</f>
        <v/>
      </c>
      <c r="M137">
        <f>SUMIFS(Socle!$V$2:$V$175,Socle!$C$2:$C$175,A137,Socle!$D$2:$D$175,C137,Socle!$E$2:$E$175,D137,Socle!$F$2:$F$175,E137,Socle!$G$2:$G$175,"2026")</f>
        <v/>
      </c>
      <c r="N137">
        <f>IF(OR(D137="B1",D137="M1",D137="BTS1"),1,0)</f>
        <v/>
      </c>
      <c r="O137">
        <f>SUMIFS(Campagne!$D$2:$D$15,Campagne!$C$2:$C$15,A137)</f>
        <v/>
      </c>
      <c r="P137">
        <f>SUMIFS(Campagne!$E$2:$E$15,Campagne!$C$2:$C$15,A137)</f>
        <v/>
      </c>
      <c r="Q137">
        <f>SUMIFS(Campagne!$F$2:$F$15,Campagne!$C$2:$C$15,A137)</f>
        <v/>
      </c>
      <c r="R137">
        <f>SUMIFS(Campagne!$K$2:$K$15,Campagne!$C$2:$C$15,A137)</f>
        <v/>
      </c>
      <c r="S137">
        <f>SUMIFS(Campagne!$M$2:$M$15,Campagne!$C$2:$C$15,A137)</f>
        <v/>
      </c>
      <c r="T137">
        <f>SUMIFS(Pilotage!$Q$13:$Q$26,Pilotage!$F$13:$F$26,A137)</f>
        <v/>
      </c>
      <c r="U137">
        <f>SUMIFS(Pilotage!$N$13:$N$26,Pilotage!$F$13:$F$26,A137)</f>
        <v/>
      </c>
      <c r="V137">
        <f>IF(B137="V01",cad!$I$21,IF(B137="V02",cad!$J$21,cad!$K$21))</f>
        <v/>
      </c>
      <c r="W137">
        <f>IF(B137="V01",cad!$I$22,IF(B137="V02",cad!$J$22,cad!$K$22))</f>
        <v/>
      </c>
      <c r="X137">
        <f>IF(B137="V01",cad!$I$23,IF(B137="V02",cad!$J$23,cad!$K$23))</f>
        <v/>
      </c>
      <c r="Y137">
        <f>IF(B137="V01",cad!$I$24,IF(B137="V02",cad!$J$24,cad!$K$24))</f>
        <v/>
      </c>
      <c r="Z137">
        <f>IF(B137="V01",cad!$I$25,IF(B137="V02",cad!$J$25,cad!$K$25))</f>
        <v/>
      </c>
      <c r="AA137">
        <f>IF(B137="V01",cad!$I$26,IF(B137="V02",cad!$J$26,cad!$K$26))</f>
        <v/>
      </c>
      <c r="AB137">
        <f>IF(B137="V01",cad!$I$37,IF(B137="V02",cad!$J$37,cad!$K$37))</f>
        <v/>
      </c>
      <c r="AC137">
        <f>IF(F137="MBWAY",cad!$I$9,IF(F137="ISCOM",cad!$I$10,IF(F137="IPAC",cad!$I$11,IF(F137="PIGIER",cad!$I$12,cad!$I$13))))</f>
        <v/>
      </c>
      <c r="AD137">
        <f>(O137*(1+W137)^S137+P137*((T137/U137)*(1+V137))^R137)*IFERROR(G137/Q137,0)*(J137+Y137)*K137*(L137+Z137)</f>
        <v/>
      </c>
      <c r="AE137">
        <f>IF(N137=1,AD137,0)</f>
        <v/>
      </c>
      <c r="AF137">
        <f>IF(N137=1,AD137,H137*(M137+AA137))</f>
        <v/>
      </c>
      <c r="AG137">
        <f>I137*(1+X137*AC137)</f>
        <v/>
      </c>
      <c r="AH137">
        <f>AF137*AG137+AE137*AB137</f>
        <v/>
      </c>
    </row>
    <row r="138">
      <c r="A138">
        <f>Moteur!D138</f>
        <v/>
      </c>
      <c r="B138">
        <f>Moteur!B138</f>
        <v/>
      </c>
      <c r="C138">
        <f>Moteur!F138</f>
        <v/>
      </c>
      <c r="D138">
        <f>Moteur!G138</f>
        <v/>
      </c>
      <c r="E138">
        <f>Moteur!H138</f>
        <v/>
      </c>
      <c r="F138">
        <f>Moteur!E138</f>
        <v/>
      </c>
      <c r="G138">
        <f>SUMIFS(Socle!$H$2:$H$175,Socle!$C$2:$C$175,A138,Socle!$D$2:$D$175,C138,Socle!$E$2:$E$175,D138,Socle!$F$2:$F$175,E138,Socle!$G$2:$G$175,"2026")</f>
        <v/>
      </c>
      <c r="H138">
        <f>SUMIFS(Socle!$N$2:$N$175,Socle!$C$2:$C$175,A138,Socle!$D$2:$D$175,C138,Socle!$E$2:$E$175,D138,Socle!$F$2:$F$175,E138,Socle!$G$2:$G$175,"2026")</f>
        <v/>
      </c>
      <c r="I138">
        <f>SUMIFS(Socle!$P$2:$P$175,Socle!$C$2:$C$175,A138,Socle!$D$2:$D$175,C138,Socle!$E$2:$E$175,D138,Socle!$F$2:$F$175,E138,Socle!$G$2:$G$175,"2026")</f>
        <v/>
      </c>
      <c r="J138">
        <f>SUMIFS(Socle!$W$2:$W$175,Socle!$C$2:$C$175,A138,Socle!$D$2:$D$175,C138,Socle!$E$2:$E$175,D138,Socle!$F$2:$F$175,E138,Socle!$G$2:$G$175,"2026")</f>
        <v/>
      </c>
      <c r="K138">
        <f>SUMIFS(Socle!$X$2:$X$175,Socle!$C$2:$C$175,A138,Socle!$D$2:$D$175,C138,Socle!$E$2:$E$175,D138,Socle!$F$2:$F$175,E138,Socle!$G$2:$G$175,"2026")</f>
        <v/>
      </c>
      <c r="L138">
        <f>SUMIFS(Socle!$Y$2:$Y$175,Socle!$C$2:$C$175,A138,Socle!$D$2:$D$175,C138,Socle!$E$2:$E$175,D138,Socle!$F$2:$F$175,E138,Socle!$G$2:$G$175,"2026")</f>
        <v/>
      </c>
      <c r="M138">
        <f>SUMIFS(Socle!$V$2:$V$175,Socle!$C$2:$C$175,A138,Socle!$D$2:$D$175,C138,Socle!$E$2:$E$175,D138,Socle!$F$2:$F$175,E138,Socle!$G$2:$G$175,"2026")</f>
        <v/>
      </c>
      <c r="N138">
        <f>IF(OR(D138="B1",D138="M1",D138="BTS1"),1,0)</f>
        <v/>
      </c>
      <c r="O138">
        <f>SUMIFS(Campagne!$D$2:$D$15,Campagne!$C$2:$C$15,A138)</f>
        <v/>
      </c>
      <c r="P138">
        <f>SUMIFS(Campagne!$E$2:$E$15,Campagne!$C$2:$C$15,A138)</f>
        <v/>
      </c>
      <c r="Q138">
        <f>SUMIFS(Campagne!$F$2:$F$15,Campagne!$C$2:$C$15,A138)</f>
        <v/>
      </c>
      <c r="R138">
        <f>SUMIFS(Campagne!$K$2:$K$15,Campagne!$C$2:$C$15,A138)</f>
        <v/>
      </c>
      <c r="S138">
        <f>SUMIFS(Campagne!$M$2:$M$15,Campagne!$C$2:$C$15,A138)</f>
        <v/>
      </c>
      <c r="T138">
        <f>SUMIFS(Pilotage!$Q$13:$Q$26,Pilotage!$F$13:$F$26,A138)</f>
        <v/>
      </c>
      <c r="U138">
        <f>SUMIFS(Pilotage!$N$13:$N$26,Pilotage!$F$13:$F$26,A138)</f>
        <v/>
      </c>
      <c r="V138">
        <f>IF(B138="V01",cad!$I$21,IF(B138="V02",cad!$J$21,cad!$K$21))</f>
        <v/>
      </c>
      <c r="W138">
        <f>IF(B138="V01",cad!$I$22,IF(B138="V02",cad!$J$22,cad!$K$22))</f>
        <v/>
      </c>
      <c r="X138">
        <f>IF(B138="V01",cad!$I$23,IF(B138="V02",cad!$J$23,cad!$K$23))</f>
        <v/>
      </c>
      <c r="Y138">
        <f>IF(B138="V01",cad!$I$24,IF(B138="V02",cad!$J$24,cad!$K$24))</f>
        <v/>
      </c>
      <c r="Z138">
        <f>IF(B138="V01",cad!$I$25,IF(B138="V02",cad!$J$25,cad!$K$25))</f>
        <v/>
      </c>
      <c r="AA138">
        <f>IF(B138="V01",cad!$I$26,IF(B138="V02",cad!$J$26,cad!$K$26))</f>
        <v/>
      </c>
      <c r="AB138">
        <f>IF(B138="V01",cad!$I$37,IF(B138="V02",cad!$J$37,cad!$K$37))</f>
        <v/>
      </c>
      <c r="AC138">
        <f>IF(F138="MBWAY",cad!$I$9,IF(F138="ISCOM",cad!$I$10,IF(F138="IPAC",cad!$I$11,IF(F138="PIGIER",cad!$I$12,cad!$I$13))))</f>
        <v/>
      </c>
      <c r="AD138">
        <f>(O138*(1+W138)^S138+P138*((T138/U138)*(1+V138))^R138)*IFERROR(G138/Q138,0)*(J138+Y138)*K138*(L138+Z138)</f>
        <v/>
      </c>
      <c r="AE138">
        <f>IF(N138=1,AD138,0)</f>
        <v/>
      </c>
      <c r="AF138">
        <f>IF(N138=1,AD138,H138*(M138+AA138))</f>
        <v/>
      </c>
      <c r="AG138">
        <f>I138*(1+X138*AC138)</f>
        <v/>
      </c>
      <c r="AH138">
        <f>AF138*AG138+AE138*AB138</f>
        <v/>
      </c>
    </row>
    <row r="139">
      <c r="A139">
        <f>Moteur!D139</f>
        <v/>
      </c>
      <c r="B139">
        <f>Moteur!B139</f>
        <v/>
      </c>
      <c r="C139">
        <f>Moteur!F139</f>
        <v/>
      </c>
      <c r="D139">
        <f>Moteur!G139</f>
        <v/>
      </c>
      <c r="E139">
        <f>Moteur!H139</f>
        <v/>
      </c>
      <c r="F139">
        <f>Moteur!E139</f>
        <v/>
      </c>
      <c r="G139">
        <f>SUMIFS(Socle!$H$2:$H$175,Socle!$C$2:$C$175,A139,Socle!$D$2:$D$175,C139,Socle!$E$2:$E$175,D139,Socle!$F$2:$F$175,E139,Socle!$G$2:$G$175,"2026")</f>
        <v/>
      </c>
      <c r="H139">
        <f>SUMIFS(Socle!$N$2:$N$175,Socle!$C$2:$C$175,A139,Socle!$D$2:$D$175,C139,Socle!$E$2:$E$175,D139,Socle!$F$2:$F$175,E139,Socle!$G$2:$G$175,"2026")</f>
        <v/>
      </c>
      <c r="I139">
        <f>SUMIFS(Socle!$P$2:$P$175,Socle!$C$2:$C$175,A139,Socle!$D$2:$D$175,C139,Socle!$E$2:$E$175,D139,Socle!$F$2:$F$175,E139,Socle!$G$2:$G$175,"2026")</f>
        <v/>
      </c>
      <c r="J139">
        <f>SUMIFS(Socle!$W$2:$W$175,Socle!$C$2:$C$175,A139,Socle!$D$2:$D$175,C139,Socle!$E$2:$E$175,D139,Socle!$F$2:$F$175,E139,Socle!$G$2:$G$175,"2026")</f>
        <v/>
      </c>
      <c r="K139">
        <f>SUMIFS(Socle!$X$2:$X$175,Socle!$C$2:$C$175,A139,Socle!$D$2:$D$175,C139,Socle!$E$2:$E$175,D139,Socle!$F$2:$F$175,E139,Socle!$G$2:$G$175,"2026")</f>
        <v/>
      </c>
      <c r="L139">
        <f>SUMIFS(Socle!$Y$2:$Y$175,Socle!$C$2:$C$175,A139,Socle!$D$2:$D$175,C139,Socle!$E$2:$E$175,D139,Socle!$F$2:$F$175,E139,Socle!$G$2:$G$175,"2026")</f>
        <v/>
      </c>
      <c r="M139">
        <f>SUMIFS(Socle!$V$2:$V$175,Socle!$C$2:$C$175,A139,Socle!$D$2:$D$175,C139,Socle!$E$2:$E$175,D139,Socle!$F$2:$F$175,E139,Socle!$G$2:$G$175,"2026")</f>
        <v/>
      </c>
      <c r="N139">
        <f>IF(OR(D139="B1",D139="M1",D139="BTS1"),1,0)</f>
        <v/>
      </c>
      <c r="O139">
        <f>SUMIFS(Campagne!$D$2:$D$15,Campagne!$C$2:$C$15,A139)</f>
        <v/>
      </c>
      <c r="P139">
        <f>SUMIFS(Campagne!$E$2:$E$15,Campagne!$C$2:$C$15,A139)</f>
        <v/>
      </c>
      <c r="Q139">
        <f>SUMIFS(Campagne!$F$2:$F$15,Campagne!$C$2:$C$15,A139)</f>
        <v/>
      </c>
      <c r="R139">
        <f>SUMIFS(Campagne!$K$2:$K$15,Campagne!$C$2:$C$15,A139)</f>
        <v/>
      </c>
      <c r="S139">
        <f>SUMIFS(Campagne!$M$2:$M$15,Campagne!$C$2:$C$15,A139)</f>
        <v/>
      </c>
      <c r="T139">
        <f>SUMIFS(Pilotage!$Q$13:$Q$26,Pilotage!$F$13:$F$26,A139)</f>
        <v/>
      </c>
      <c r="U139">
        <f>SUMIFS(Pilotage!$N$13:$N$26,Pilotage!$F$13:$F$26,A139)</f>
        <v/>
      </c>
      <c r="V139">
        <f>IF(B139="V01",cad!$I$21,IF(B139="V02",cad!$J$21,cad!$K$21))</f>
        <v/>
      </c>
      <c r="W139">
        <f>IF(B139="V01",cad!$I$22,IF(B139="V02",cad!$J$22,cad!$K$22))</f>
        <v/>
      </c>
      <c r="X139">
        <f>IF(B139="V01",cad!$I$23,IF(B139="V02",cad!$J$23,cad!$K$23))</f>
        <v/>
      </c>
      <c r="Y139">
        <f>IF(B139="V01",cad!$I$24,IF(B139="V02",cad!$J$24,cad!$K$24))</f>
        <v/>
      </c>
      <c r="Z139">
        <f>IF(B139="V01",cad!$I$25,IF(B139="V02",cad!$J$25,cad!$K$25))</f>
        <v/>
      </c>
      <c r="AA139">
        <f>IF(B139="V01",cad!$I$26,IF(B139="V02",cad!$J$26,cad!$K$26))</f>
        <v/>
      </c>
      <c r="AB139">
        <f>IF(B139="V01",cad!$I$37,IF(B139="V02",cad!$J$37,cad!$K$37))</f>
        <v/>
      </c>
      <c r="AC139">
        <f>IF(F139="MBWAY",cad!$I$9,IF(F139="ISCOM",cad!$I$10,IF(F139="IPAC",cad!$I$11,IF(F139="PIGIER",cad!$I$12,cad!$I$13))))</f>
        <v/>
      </c>
      <c r="AD139">
        <f>(O139*(1+W139)^S139+P139*((T139/U139)*(1+V139))^R139)*IFERROR(G139/Q139,0)*(J139+Y139)*K139*(L139+Z139)</f>
        <v/>
      </c>
      <c r="AE139">
        <f>IF(N139=1,AD139,0)</f>
        <v/>
      </c>
      <c r="AF139">
        <f>IF(N139=1,AD139,H139*(M139+AA139))</f>
        <v/>
      </c>
      <c r="AG139">
        <f>I139*(1+X139*AC139)</f>
        <v/>
      </c>
      <c r="AH139">
        <f>AF139*AG139+AE139*AB139</f>
        <v/>
      </c>
    </row>
    <row r="140">
      <c r="A140">
        <f>Moteur!D140</f>
        <v/>
      </c>
      <c r="B140">
        <f>Moteur!B140</f>
        <v/>
      </c>
      <c r="C140">
        <f>Moteur!F140</f>
        <v/>
      </c>
      <c r="D140">
        <f>Moteur!G140</f>
        <v/>
      </c>
      <c r="E140">
        <f>Moteur!H140</f>
        <v/>
      </c>
      <c r="F140">
        <f>Moteur!E140</f>
        <v/>
      </c>
      <c r="G140">
        <f>SUMIFS(Socle!$H$2:$H$175,Socle!$C$2:$C$175,A140,Socle!$D$2:$D$175,C140,Socle!$E$2:$E$175,D140,Socle!$F$2:$F$175,E140,Socle!$G$2:$G$175,"2026")</f>
        <v/>
      </c>
      <c r="H140">
        <f>SUMIFS(Socle!$N$2:$N$175,Socle!$C$2:$C$175,A140,Socle!$D$2:$D$175,C140,Socle!$E$2:$E$175,D140,Socle!$F$2:$F$175,E140,Socle!$G$2:$G$175,"2026")</f>
        <v/>
      </c>
      <c r="I140">
        <f>SUMIFS(Socle!$P$2:$P$175,Socle!$C$2:$C$175,A140,Socle!$D$2:$D$175,C140,Socle!$E$2:$E$175,D140,Socle!$F$2:$F$175,E140,Socle!$G$2:$G$175,"2026")</f>
        <v/>
      </c>
      <c r="J140">
        <f>SUMIFS(Socle!$W$2:$W$175,Socle!$C$2:$C$175,A140,Socle!$D$2:$D$175,C140,Socle!$E$2:$E$175,D140,Socle!$F$2:$F$175,E140,Socle!$G$2:$G$175,"2026")</f>
        <v/>
      </c>
      <c r="K140">
        <f>SUMIFS(Socle!$X$2:$X$175,Socle!$C$2:$C$175,A140,Socle!$D$2:$D$175,C140,Socle!$E$2:$E$175,D140,Socle!$F$2:$F$175,E140,Socle!$G$2:$G$175,"2026")</f>
        <v/>
      </c>
      <c r="L140">
        <f>SUMIFS(Socle!$Y$2:$Y$175,Socle!$C$2:$C$175,A140,Socle!$D$2:$D$175,C140,Socle!$E$2:$E$175,D140,Socle!$F$2:$F$175,E140,Socle!$G$2:$G$175,"2026")</f>
        <v/>
      </c>
      <c r="M140">
        <f>SUMIFS(Socle!$V$2:$V$175,Socle!$C$2:$C$175,A140,Socle!$D$2:$D$175,C140,Socle!$E$2:$E$175,D140,Socle!$F$2:$F$175,E140,Socle!$G$2:$G$175,"2026")</f>
        <v/>
      </c>
      <c r="N140">
        <f>IF(OR(D140="B1",D140="M1",D140="BTS1"),1,0)</f>
        <v/>
      </c>
      <c r="O140">
        <f>SUMIFS(Campagne!$D$2:$D$15,Campagne!$C$2:$C$15,A140)</f>
        <v/>
      </c>
      <c r="P140">
        <f>SUMIFS(Campagne!$E$2:$E$15,Campagne!$C$2:$C$15,A140)</f>
        <v/>
      </c>
      <c r="Q140">
        <f>SUMIFS(Campagne!$F$2:$F$15,Campagne!$C$2:$C$15,A140)</f>
        <v/>
      </c>
      <c r="R140">
        <f>SUMIFS(Campagne!$K$2:$K$15,Campagne!$C$2:$C$15,A140)</f>
        <v/>
      </c>
      <c r="S140">
        <f>SUMIFS(Campagne!$M$2:$M$15,Campagne!$C$2:$C$15,A140)</f>
        <v/>
      </c>
      <c r="T140">
        <f>SUMIFS(Pilotage!$Q$13:$Q$26,Pilotage!$F$13:$F$26,A140)</f>
        <v/>
      </c>
      <c r="U140">
        <f>SUMIFS(Pilotage!$N$13:$N$26,Pilotage!$F$13:$F$26,A140)</f>
        <v/>
      </c>
      <c r="V140">
        <f>IF(B140="V01",cad!$I$21,IF(B140="V02",cad!$J$21,cad!$K$21))</f>
        <v/>
      </c>
      <c r="W140">
        <f>IF(B140="V01",cad!$I$22,IF(B140="V02",cad!$J$22,cad!$K$22))</f>
        <v/>
      </c>
      <c r="X140">
        <f>IF(B140="V01",cad!$I$23,IF(B140="V02",cad!$J$23,cad!$K$23))</f>
        <v/>
      </c>
      <c r="Y140">
        <f>IF(B140="V01",cad!$I$24,IF(B140="V02",cad!$J$24,cad!$K$24))</f>
        <v/>
      </c>
      <c r="Z140">
        <f>IF(B140="V01",cad!$I$25,IF(B140="V02",cad!$J$25,cad!$K$25))</f>
        <v/>
      </c>
      <c r="AA140">
        <f>IF(B140="V01",cad!$I$26,IF(B140="V02",cad!$J$26,cad!$K$26))</f>
        <v/>
      </c>
      <c r="AB140">
        <f>IF(B140="V01",cad!$I$37,IF(B140="V02",cad!$J$37,cad!$K$37))</f>
        <v/>
      </c>
      <c r="AC140">
        <f>IF(F140="MBWAY",cad!$I$9,IF(F140="ISCOM",cad!$I$10,IF(F140="IPAC",cad!$I$11,IF(F140="PIGIER",cad!$I$12,cad!$I$13))))</f>
        <v/>
      </c>
      <c r="AD140">
        <f>(O140*(1+W140)^S140+P140*((T140/U140)*(1+V140))^R140)*IFERROR(G140/Q140,0)*(J140+Y140)*K140*(L140+Z140)</f>
        <v/>
      </c>
      <c r="AE140">
        <f>IF(N140=1,AD140,0)</f>
        <v/>
      </c>
      <c r="AF140">
        <f>IF(N140=1,AD140,H140*(M140+AA140))</f>
        <v/>
      </c>
      <c r="AG140">
        <f>I140*(1+X140*AC140)</f>
        <v/>
      </c>
      <c r="AH140">
        <f>AF140*AG140+AE140*AB140</f>
        <v/>
      </c>
    </row>
    <row r="141">
      <c r="A141">
        <f>Moteur!D141</f>
        <v/>
      </c>
      <c r="B141">
        <f>Moteur!B141</f>
        <v/>
      </c>
      <c r="C141">
        <f>Moteur!F141</f>
        <v/>
      </c>
      <c r="D141">
        <f>Moteur!G141</f>
        <v/>
      </c>
      <c r="E141">
        <f>Moteur!H141</f>
        <v/>
      </c>
      <c r="F141">
        <f>Moteur!E141</f>
        <v/>
      </c>
      <c r="G141">
        <f>SUMIFS(Socle!$H$2:$H$175,Socle!$C$2:$C$175,A141,Socle!$D$2:$D$175,C141,Socle!$E$2:$E$175,D141,Socle!$F$2:$F$175,E141,Socle!$G$2:$G$175,"2026")</f>
        <v/>
      </c>
      <c r="H141">
        <f>SUMIFS(Socle!$N$2:$N$175,Socle!$C$2:$C$175,A141,Socle!$D$2:$D$175,C141,Socle!$E$2:$E$175,D141,Socle!$F$2:$F$175,E141,Socle!$G$2:$G$175,"2026")</f>
        <v/>
      </c>
      <c r="I141">
        <f>SUMIFS(Socle!$P$2:$P$175,Socle!$C$2:$C$175,A141,Socle!$D$2:$D$175,C141,Socle!$E$2:$E$175,D141,Socle!$F$2:$F$175,E141,Socle!$G$2:$G$175,"2026")</f>
        <v/>
      </c>
      <c r="J141">
        <f>SUMIFS(Socle!$W$2:$W$175,Socle!$C$2:$C$175,A141,Socle!$D$2:$D$175,C141,Socle!$E$2:$E$175,D141,Socle!$F$2:$F$175,E141,Socle!$G$2:$G$175,"2026")</f>
        <v/>
      </c>
      <c r="K141">
        <f>SUMIFS(Socle!$X$2:$X$175,Socle!$C$2:$C$175,A141,Socle!$D$2:$D$175,C141,Socle!$E$2:$E$175,D141,Socle!$F$2:$F$175,E141,Socle!$G$2:$G$175,"2026")</f>
        <v/>
      </c>
      <c r="L141">
        <f>SUMIFS(Socle!$Y$2:$Y$175,Socle!$C$2:$C$175,A141,Socle!$D$2:$D$175,C141,Socle!$E$2:$E$175,D141,Socle!$F$2:$F$175,E141,Socle!$G$2:$G$175,"2026")</f>
        <v/>
      </c>
      <c r="M141">
        <f>SUMIFS(Socle!$V$2:$V$175,Socle!$C$2:$C$175,A141,Socle!$D$2:$D$175,C141,Socle!$E$2:$E$175,D141,Socle!$F$2:$F$175,E141,Socle!$G$2:$G$175,"2026")</f>
        <v/>
      </c>
      <c r="N141">
        <f>IF(OR(D141="B1",D141="M1",D141="BTS1"),1,0)</f>
        <v/>
      </c>
      <c r="O141">
        <f>SUMIFS(Campagne!$D$2:$D$15,Campagne!$C$2:$C$15,A141)</f>
        <v/>
      </c>
      <c r="P141">
        <f>SUMIFS(Campagne!$E$2:$E$15,Campagne!$C$2:$C$15,A141)</f>
        <v/>
      </c>
      <c r="Q141">
        <f>SUMIFS(Campagne!$F$2:$F$15,Campagne!$C$2:$C$15,A141)</f>
        <v/>
      </c>
      <c r="R141">
        <f>SUMIFS(Campagne!$K$2:$K$15,Campagne!$C$2:$C$15,A141)</f>
        <v/>
      </c>
      <c r="S141">
        <f>SUMIFS(Campagne!$M$2:$M$15,Campagne!$C$2:$C$15,A141)</f>
        <v/>
      </c>
      <c r="T141">
        <f>SUMIFS(Pilotage!$Q$13:$Q$26,Pilotage!$F$13:$F$26,A141)</f>
        <v/>
      </c>
      <c r="U141">
        <f>SUMIFS(Pilotage!$N$13:$N$26,Pilotage!$F$13:$F$26,A141)</f>
        <v/>
      </c>
      <c r="V141">
        <f>IF(B141="V01",cad!$I$21,IF(B141="V02",cad!$J$21,cad!$K$21))</f>
        <v/>
      </c>
      <c r="W141">
        <f>IF(B141="V01",cad!$I$22,IF(B141="V02",cad!$J$22,cad!$K$22))</f>
        <v/>
      </c>
      <c r="X141">
        <f>IF(B141="V01",cad!$I$23,IF(B141="V02",cad!$J$23,cad!$K$23))</f>
        <v/>
      </c>
      <c r="Y141">
        <f>IF(B141="V01",cad!$I$24,IF(B141="V02",cad!$J$24,cad!$K$24))</f>
        <v/>
      </c>
      <c r="Z141">
        <f>IF(B141="V01",cad!$I$25,IF(B141="V02",cad!$J$25,cad!$K$25))</f>
        <v/>
      </c>
      <c r="AA141">
        <f>IF(B141="V01",cad!$I$26,IF(B141="V02",cad!$J$26,cad!$K$26))</f>
        <v/>
      </c>
      <c r="AB141">
        <f>IF(B141="V01",cad!$I$37,IF(B141="V02",cad!$J$37,cad!$K$37))</f>
        <v/>
      </c>
      <c r="AC141">
        <f>IF(F141="MBWAY",cad!$I$9,IF(F141="ISCOM",cad!$I$10,IF(F141="IPAC",cad!$I$11,IF(F141="PIGIER",cad!$I$12,cad!$I$13))))</f>
        <v/>
      </c>
      <c r="AD141">
        <f>(O141*(1+W141)^S141+P141*((T141/U141)*(1+V141))^R141)*IFERROR(G141/Q141,0)*(J141+Y141)*K141*(L141+Z141)</f>
        <v/>
      </c>
      <c r="AE141">
        <f>IF(N141=1,AD141,0)</f>
        <v/>
      </c>
      <c r="AF141">
        <f>IF(N141=1,AD141,H141*(M141+AA141))</f>
        <v/>
      </c>
      <c r="AG141">
        <f>I141*(1+X141*AC141)</f>
        <v/>
      </c>
      <c r="AH141">
        <f>AF141*AG141+AE141*AB141</f>
        <v/>
      </c>
    </row>
    <row r="142">
      <c r="A142">
        <f>Moteur!D142</f>
        <v/>
      </c>
      <c r="B142">
        <f>Moteur!B142</f>
        <v/>
      </c>
      <c r="C142">
        <f>Moteur!F142</f>
        <v/>
      </c>
      <c r="D142">
        <f>Moteur!G142</f>
        <v/>
      </c>
      <c r="E142">
        <f>Moteur!H142</f>
        <v/>
      </c>
      <c r="F142">
        <f>Moteur!E142</f>
        <v/>
      </c>
      <c r="G142">
        <f>SUMIFS(Socle!$H$2:$H$175,Socle!$C$2:$C$175,A142,Socle!$D$2:$D$175,C142,Socle!$E$2:$E$175,D142,Socle!$F$2:$F$175,E142,Socle!$G$2:$G$175,"2026")</f>
        <v/>
      </c>
      <c r="H142">
        <f>SUMIFS(Socle!$N$2:$N$175,Socle!$C$2:$C$175,A142,Socle!$D$2:$D$175,C142,Socle!$E$2:$E$175,D142,Socle!$F$2:$F$175,E142,Socle!$G$2:$G$175,"2026")</f>
        <v/>
      </c>
      <c r="I142">
        <f>SUMIFS(Socle!$P$2:$P$175,Socle!$C$2:$C$175,A142,Socle!$D$2:$D$175,C142,Socle!$E$2:$E$175,D142,Socle!$F$2:$F$175,E142,Socle!$G$2:$G$175,"2026")</f>
        <v/>
      </c>
      <c r="J142">
        <f>SUMIFS(Socle!$W$2:$W$175,Socle!$C$2:$C$175,A142,Socle!$D$2:$D$175,C142,Socle!$E$2:$E$175,D142,Socle!$F$2:$F$175,E142,Socle!$G$2:$G$175,"2026")</f>
        <v/>
      </c>
      <c r="K142">
        <f>SUMIFS(Socle!$X$2:$X$175,Socle!$C$2:$C$175,A142,Socle!$D$2:$D$175,C142,Socle!$E$2:$E$175,D142,Socle!$F$2:$F$175,E142,Socle!$G$2:$G$175,"2026")</f>
        <v/>
      </c>
      <c r="L142">
        <f>SUMIFS(Socle!$Y$2:$Y$175,Socle!$C$2:$C$175,A142,Socle!$D$2:$D$175,C142,Socle!$E$2:$E$175,D142,Socle!$F$2:$F$175,E142,Socle!$G$2:$G$175,"2026")</f>
        <v/>
      </c>
      <c r="M142">
        <f>SUMIFS(Socle!$V$2:$V$175,Socle!$C$2:$C$175,A142,Socle!$D$2:$D$175,C142,Socle!$E$2:$E$175,D142,Socle!$F$2:$F$175,E142,Socle!$G$2:$G$175,"2026")</f>
        <v/>
      </c>
      <c r="N142">
        <f>IF(OR(D142="B1",D142="M1",D142="BTS1"),1,0)</f>
        <v/>
      </c>
      <c r="O142">
        <f>SUMIFS(Campagne!$D$2:$D$15,Campagne!$C$2:$C$15,A142)</f>
        <v/>
      </c>
      <c r="P142">
        <f>SUMIFS(Campagne!$E$2:$E$15,Campagne!$C$2:$C$15,A142)</f>
        <v/>
      </c>
      <c r="Q142">
        <f>SUMIFS(Campagne!$F$2:$F$15,Campagne!$C$2:$C$15,A142)</f>
        <v/>
      </c>
      <c r="R142">
        <f>SUMIFS(Campagne!$K$2:$K$15,Campagne!$C$2:$C$15,A142)</f>
        <v/>
      </c>
      <c r="S142">
        <f>SUMIFS(Campagne!$M$2:$M$15,Campagne!$C$2:$C$15,A142)</f>
        <v/>
      </c>
      <c r="T142">
        <f>SUMIFS(Pilotage!$Q$13:$Q$26,Pilotage!$F$13:$F$26,A142)</f>
        <v/>
      </c>
      <c r="U142">
        <f>SUMIFS(Pilotage!$N$13:$N$26,Pilotage!$F$13:$F$26,A142)</f>
        <v/>
      </c>
      <c r="V142">
        <f>IF(B142="V01",cad!$I$21,IF(B142="V02",cad!$J$21,cad!$K$21))</f>
        <v/>
      </c>
      <c r="W142">
        <f>IF(B142="V01",cad!$I$22,IF(B142="V02",cad!$J$22,cad!$K$22))</f>
        <v/>
      </c>
      <c r="X142">
        <f>IF(B142="V01",cad!$I$23,IF(B142="V02",cad!$J$23,cad!$K$23))</f>
        <v/>
      </c>
      <c r="Y142">
        <f>IF(B142="V01",cad!$I$24,IF(B142="V02",cad!$J$24,cad!$K$24))</f>
        <v/>
      </c>
      <c r="Z142">
        <f>IF(B142="V01",cad!$I$25,IF(B142="V02",cad!$J$25,cad!$K$25))</f>
        <v/>
      </c>
      <c r="AA142">
        <f>IF(B142="V01",cad!$I$26,IF(B142="V02",cad!$J$26,cad!$K$26))</f>
        <v/>
      </c>
      <c r="AB142">
        <f>IF(B142="V01",cad!$I$37,IF(B142="V02",cad!$J$37,cad!$K$37))</f>
        <v/>
      </c>
      <c r="AC142">
        <f>IF(F142="MBWAY",cad!$I$9,IF(F142="ISCOM",cad!$I$10,IF(F142="IPAC",cad!$I$11,IF(F142="PIGIER",cad!$I$12,cad!$I$13))))</f>
        <v/>
      </c>
      <c r="AD142">
        <f>(O142*(1+W142)^S142+P142*((T142/U142)*(1+V142))^R142)*IFERROR(G142/Q142,0)*(J142+Y142)*K142*(L142+Z142)</f>
        <v/>
      </c>
      <c r="AE142">
        <f>IF(N142=1,AD142,0)</f>
        <v/>
      </c>
      <c r="AF142">
        <f>IF(N142=1,AD142,H142*(M142+AA142))</f>
        <v/>
      </c>
      <c r="AG142">
        <f>I142*(1+X142*AC142)</f>
        <v/>
      </c>
      <c r="AH142">
        <f>AF142*AG142+AE142*AB142</f>
        <v/>
      </c>
    </row>
    <row r="143">
      <c r="A143">
        <f>Moteur!D143</f>
        <v/>
      </c>
      <c r="B143">
        <f>Moteur!B143</f>
        <v/>
      </c>
      <c r="C143">
        <f>Moteur!F143</f>
        <v/>
      </c>
      <c r="D143">
        <f>Moteur!G143</f>
        <v/>
      </c>
      <c r="E143">
        <f>Moteur!H143</f>
        <v/>
      </c>
      <c r="F143">
        <f>Moteur!E143</f>
        <v/>
      </c>
      <c r="G143">
        <f>SUMIFS(Socle!$H$2:$H$175,Socle!$C$2:$C$175,A143,Socle!$D$2:$D$175,C143,Socle!$E$2:$E$175,D143,Socle!$F$2:$F$175,E143,Socle!$G$2:$G$175,"2026")</f>
        <v/>
      </c>
      <c r="H143">
        <f>SUMIFS(Socle!$N$2:$N$175,Socle!$C$2:$C$175,A143,Socle!$D$2:$D$175,C143,Socle!$E$2:$E$175,D143,Socle!$F$2:$F$175,E143,Socle!$G$2:$G$175,"2026")</f>
        <v/>
      </c>
      <c r="I143">
        <f>SUMIFS(Socle!$P$2:$P$175,Socle!$C$2:$C$175,A143,Socle!$D$2:$D$175,C143,Socle!$E$2:$E$175,D143,Socle!$F$2:$F$175,E143,Socle!$G$2:$G$175,"2026")</f>
        <v/>
      </c>
      <c r="J143">
        <f>SUMIFS(Socle!$W$2:$W$175,Socle!$C$2:$C$175,A143,Socle!$D$2:$D$175,C143,Socle!$E$2:$E$175,D143,Socle!$F$2:$F$175,E143,Socle!$G$2:$G$175,"2026")</f>
        <v/>
      </c>
      <c r="K143">
        <f>SUMIFS(Socle!$X$2:$X$175,Socle!$C$2:$C$175,A143,Socle!$D$2:$D$175,C143,Socle!$E$2:$E$175,D143,Socle!$F$2:$F$175,E143,Socle!$G$2:$G$175,"2026")</f>
        <v/>
      </c>
      <c r="L143">
        <f>SUMIFS(Socle!$Y$2:$Y$175,Socle!$C$2:$C$175,A143,Socle!$D$2:$D$175,C143,Socle!$E$2:$E$175,D143,Socle!$F$2:$F$175,E143,Socle!$G$2:$G$175,"2026")</f>
        <v/>
      </c>
      <c r="M143">
        <f>SUMIFS(Socle!$V$2:$V$175,Socle!$C$2:$C$175,A143,Socle!$D$2:$D$175,C143,Socle!$E$2:$E$175,D143,Socle!$F$2:$F$175,E143,Socle!$G$2:$G$175,"2026")</f>
        <v/>
      </c>
      <c r="N143">
        <f>IF(OR(D143="B1",D143="M1",D143="BTS1"),1,0)</f>
        <v/>
      </c>
      <c r="O143">
        <f>SUMIFS(Campagne!$D$2:$D$15,Campagne!$C$2:$C$15,A143)</f>
        <v/>
      </c>
      <c r="P143">
        <f>SUMIFS(Campagne!$E$2:$E$15,Campagne!$C$2:$C$15,A143)</f>
        <v/>
      </c>
      <c r="Q143">
        <f>SUMIFS(Campagne!$F$2:$F$15,Campagne!$C$2:$C$15,A143)</f>
        <v/>
      </c>
      <c r="R143">
        <f>SUMIFS(Campagne!$K$2:$K$15,Campagne!$C$2:$C$15,A143)</f>
        <v/>
      </c>
      <c r="S143">
        <f>SUMIFS(Campagne!$M$2:$M$15,Campagne!$C$2:$C$15,A143)</f>
        <v/>
      </c>
      <c r="T143">
        <f>SUMIFS(Pilotage!$Q$13:$Q$26,Pilotage!$F$13:$F$26,A143)</f>
        <v/>
      </c>
      <c r="U143">
        <f>SUMIFS(Pilotage!$N$13:$N$26,Pilotage!$F$13:$F$26,A143)</f>
        <v/>
      </c>
      <c r="V143">
        <f>IF(B143="V01",cad!$I$21,IF(B143="V02",cad!$J$21,cad!$K$21))</f>
        <v/>
      </c>
      <c r="W143">
        <f>IF(B143="V01",cad!$I$22,IF(B143="V02",cad!$J$22,cad!$K$22))</f>
        <v/>
      </c>
      <c r="X143">
        <f>IF(B143="V01",cad!$I$23,IF(B143="V02",cad!$J$23,cad!$K$23))</f>
        <v/>
      </c>
      <c r="Y143">
        <f>IF(B143="V01",cad!$I$24,IF(B143="V02",cad!$J$24,cad!$K$24))</f>
        <v/>
      </c>
      <c r="Z143">
        <f>IF(B143="V01",cad!$I$25,IF(B143="V02",cad!$J$25,cad!$K$25))</f>
        <v/>
      </c>
      <c r="AA143">
        <f>IF(B143="V01",cad!$I$26,IF(B143="V02",cad!$J$26,cad!$K$26))</f>
        <v/>
      </c>
      <c r="AB143">
        <f>IF(B143="V01",cad!$I$37,IF(B143="V02",cad!$J$37,cad!$K$37))</f>
        <v/>
      </c>
      <c r="AC143">
        <f>IF(F143="MBWAY",cad!$I$9,IF(F143="ISCOM",cad!$I$10,IF(F143="IPAC",cad!$I$11,IF(F143="PIGIER",cad!$I$12,cad!$I$13))))</f>
        <v/>
      </c>
      <c r="AD143">
        <f>(O143*(1+W143)^S143+P143*((T143/U143)*(1+V143))^R143)*IFERROR(G143/Q143,0)*(J143+Y143)*K143*(L143+Z143)</f>
        <v/>
      </c>
      <c r="AE143">
        <f>IF(N143=1,AD143,0)</f>
        <v/>
      </c>
      <c r="AF143">
        <f>IF(N143=1,AD143,H143*(M143+AA143))</f>
        <v/>
      </c>
      <c r="AG143">
        <f>I143*(1+X143*AC143)</f>
        <v/>
      </c>
      <c r="AH143">
        <f>AF143*AG143+AE143*AB143</f>
        <v/>
      </c>
    </row>
    <row r="144">
      <c r="A144">
        <f>Moteur!D144</f>
        <v/>
      </c>
      <c r="B144">
        <f>Moteur!B144</f>
        <v/>
      </c>
      <c r="C144">
        <f>Moteur!F144</f>
        <v/>
      </c>
      <c r="D144">
        <f>Moteur!G144</f>
        <v/>
      </c>
      <c r="E144">
        <f>Moteur!H144</f>
        <v/>
      </c>
      <c r="F144">
        <f>Moteur!E144</f>
        <v/>
      </c>
      <c r="G144">
        <f>SUMIFS(Socle!$H$2:$H$175,Socle!$C$2:$C$175,A144,Socle!$D$2:$D$175,C144,Socle!$E$2:$E$175,D144,Socle!$F$2:$F$175,E144,Socle!$G$2:$G$175,"2026")</f>
        <v/>
      </c>
      <c r="H144">
        <f>SUMIFS(Socle!$N$2:$N$175,Socle!$C$2:$C$175,A144,Socle!$D$2:$D$175,C144,Socle!$E$2:$E$175,D144,Socle!$F$2:$F$175,E144,Socle!$G$2:$G$175,"2026")</f>
        <v/>
      </c>
      <c r="I144">
        <f>SUMIFS(Socle!$P$2:$P$175,Socle!$C$2:$C$175,A144,Socle!$D$2:$D$175,C144,Socle!$E$2:$E$175,D144,Socle!$F$2:$F$175,E144,Socle!$G$2:$G$175,"2026")</f>
        <v/>
      </c>
      <c r="J144">
        <f>SUMIFS(Socle!$W$2:$W$175,Socle!$C$2:$C$175,A144,Socle!$D$2:$D$175,C144,Socle!$E$2:$E$175,D144,Socle!$F$2:$F$175,E144,Socle!$G$2:$G$175,"2026")</f>
        <v/>
      </c>
      <c r="K144">
        <f>SUMIFS(Socle!$X$2:$X$175,Socle!$C$2:$C$175,A144,Socle!$D$2:$D$175,C144,Socle!$E$2:$E$175,D144,Socle!$F$2:$F$175,E144,Socle!$G$2:$G$175,"2026")</f>
        <v/>
      </c>
      <c r="L144">
        <f>SUMIFS(Socle!$Y$2:$Y$175,Socle!$C$2:$C$175,A144,Socle!$D$2:$D$175,C144,Socle!$E$2:$E$175,D144,Socle!$F$2:$F$175,E144,Socle!$G$2:$G$175,"2026")</f>
        <v/>
      </c>
      <c r="M144">
        <f>SUMIFS(Socle!$V$2:$V$175,Socle!$C$2:$C$175,A144,Socle!$D$2:$D$175,C144,Socle!$E$2:$E$175,D144,Socle!$F$2:$F$175,E144,Socle!$G$2:$G$175,"2026")</f>
        <v/>
      </c>
      <c r="N144">
        <f>IF(OR(D144="B1",D144="M1",D144="BTS1"),1,0)</f>
        <v/>
      </c>
      <c r="O144">
        <f>SUMIFS(Campagne!$D$2:$D$15,Campagne!$C$2:$C$15,A144)</f>
        <v/>
      </c>
      <c r="P144">
        <f>SUMIFS(Campagne!$E$2:$E$15,Campagne!$C$2:$C$15,A144)</f>
        <v/>
      </c>
      <c r="Q144">
        <f>SUMIFS(Campagne!$F$2:$F$15,Campagne!$C$2:$C$15,A144)</f>
        <v/>
      </c>
      <c r="R144">
        <f>SUMIFS(Campagne!$K$2:$K$15,Campagne!$C$2:$C$15,A144)</f>
        <v/>
      </c>
      <c r="S144">
        <f>SUMIFS(Campagne!$M$2:$M$15,Campagne!$C$2:$C$15,A144)</f>
        <v/>
      </c>
      <c r="T144">
        <f>SUMIFS(Pilotage!$Q$13:$Q$26,Pilotage!$F$13:$F$26,A144)</f>
        <v/>
      </c>
      <c r="U144">
        <f>SUMIFS(Pilotage!$N$13:$N$26,Pilotage!$F$13:$F$26,A144)</f>
        <v/>
      </c>
      <c r="V144">
        <f>IF(B144="V01",cad!$I$21,IF(B144="V02",cad!$J$21,cad!$K$21))</f>
        <v/>
      </c>
      <c r="W144">
        <f>IF(B144="V01",cad!$I$22,IF(B144="V02",cad!$J$22,cad!$K$22))</f>
        <v/>
      </c>
      <c r="X144">
        <f>IF(B144="V01",cad!$I$23,IF(B144="V02",cad!$J$23,cad!$K$23))</f>
        <v/>
      </c>
      <c r="Y144">
        <f>IF(B144="V01",cad!$I$24,IF(B144="V02",cad!$J$24,cad!$K$24))</f>
        <v/>
      </c>
      <c r="Z144">
        <f>IF(B144="V01",cad!$I$25,IF(B144="V02",cad!$J$25,cad!$K$25))</f>
        <v/>
      </c>
      <c r="AA144">
        <f>IF(B144="V01",cad!$I$26,IF(B144="V02",cad!$J$26,cad!$K$26))</f>
        <v/>
      </c>
      <c r="AB144">
        <f>IF(B144="V01",cad!$I$37,IF(B144="V02",cad!$J$37,cad!$K$37))</f>
        <v/>
      </c>
      <c r="AC144">
        <f>IF(F144="MBWAY",cad!$I$9,IF(F144="ISCOM",cad!$I$10,IF(F144="IPAC",cad!$I$11,IF(F144="PIGIER",cad!$I$12,cad!$I$13))))</f>
        <v/>
      </c>
      <c r="AD144">
        <f>(O144*(1+W144)^S144+P144*((T144/U144)*(1+V144))^R144)*IFERROR(G144/Q144,0)*(J144+Y144)*K144*(L144+Z144)</f>
        <v/>
      </c>
      <c r="AE144">
        <f>IF(N144=1,AD144,0)</f>
        <v/>
      </c>
      <c r="AF144">
        <f>IF(N144=1,AD144,H144*(M144+AA144))</f>
        <v/>
      </c>
      <c r="AG144">
        <f>I144*(1+X144*AC144)</f>
        <v/>
      </c>
      <c r="AH144">
        <f>AF144*AG144+AE144*AB144</f>
        <v/>
      </c>
    </row>
    <row r="145">
      <c r="A145">
        <f>Moteur!D145</f>
        <v/>
      </c>
      <c r="B145">
        <f>Moteur!B145</f>
        <v/>
      </c>
      <c r="C145">
        <f>Moteur!F145</f>
        <v/>
      </c>
      <c r="D145">
        <f>Moteur!G145</f>
        <v/>
      </c>
      <c r="E145">
        <f>Moteur!H145</f>
        <v/>
      </c>
      <c r="F145">
        <f>Moteur!E145</f>
        <v/>
      </c>
      <c r="G145">
        <f>SUMIFS(Socle!$H$2:$H$175,Socle!$C$2:$C$175,A145,Socle!$D$2:$D$175,C145,Socle!$E$2:$E$175,D145,Socle!$F$2:$F$175,E145,Socle!$G$2:$G$175,"2026")</f>
        <v/>
      </c>
      <c r="H145">
        <f>SUMIFS(Socle!$N$2:$N$175,Socle!$C$2:$C$175,A145,Socle!$D$2:$D$175,C145,Socle!$E$2:$E$175,D145,Socle!$F$2:$F$175,E145,Socle!$G$2:$G$175,"2026")</f>
        <v/>
      </c>
      <c r="I145">
        <f>SUMIFS(Socle!$P$2:$P$175,Socle!$C$2:$C$175,A145,Socle!$D$2:$D$175,C145,Socle!$E$2:$E$175,D145,Socle!$F$2:$F$175,E145,Socle!$G$2:$G$175,"2026")</f>
        <v/>
      </c>
      <c r="J145">
        <f>SUMIFS(Socle!$W$2:$W$175,Socle!$C$2:$C$175,A145,Socle!$D$2:$D$175,C145,Socle!$E$2:$E$175,D145,Socle!$F$2:$F$175,E145,Socle!$G$2:$G$175,"2026")</f>
        <v/>
      </c>
      <c r="K145">
        <f>SUMIFS(Socle!$X$2:$X$175,Socle!$C$2:$C$175,A145,Socle!$D$2:$D$175,C145,Socle!$E$2:$E$175,D145,Socle!$F$2:$F$175,E145,Socle!$G$2:$G$175,"2026")</f>
        <v/>
      </c>
      <c r="L145">
        <f>SUMIFS(Socle!$Y$2:$Y$175,Socle!$C$2:$C$175,A145,Socle!$D$2:$D$175,C145,Socle!$E$2:$E$175,D145,Socle!$F$2:$F$175,E145,Socle!$G$2:$G$175,"2026")</f>
        <v/>
      </c>
      <c r="M145">
        <f>SUMIFS(Socle!$V$2:$V$175,Socle!$C$2:$C$175,A145,Socle!$D$2:$D$175,C145,Socle!$E$2:$E$175,D145,Socle!$F$2:$F$175,E145,Socle!$G$2:$G$175,"2026")</f>
        <v/>
      </c>
      <c r="N145">
        <f>IF(OR(D145="B1",D145="M1",D145="BTS1"),1,0)</f>
        <v/>
      </c>
      <c r="O145">
        <f>SUMIFS(Campagne!$D$2:$D$15,Campagne!$C$2:$C$15,A145)</f>
        <v/>
      </c>
      <c r="P145">
        <f>SUMIFS(Campagne!$E$2:$E$15,Campagne!$C$2:$C$15,A145)</f>
        <v/>
      </c>
      <c r="Q145">
        <f>SUMIFS(Campagne!$F$2:$F$15,Campagne!$C$2:$C$15,A145)</f>
        <v/>
      </c>
      <c r="R145">
        <f>SUMIFS(Campagne!$K$2:$K$15,Campagne!$C$2:$C$15,A145)</f>
        <v/>
      </c>
      <c r="S145">
        <f>SUMIFS(Campagne!$M$2:$M$15,Campagne!$C$2:$C$15,A145)</f>
        <v/>
      </c>
      <c r="T145">
        <f>SUMIFS(Pilotage!$Q$13:$Q$26,Pilotage!$F$13:$F$26,A145)</f>
        <v/>
      </c>
      <c r="U145">
        <f>SUMIFS(Pilotage!$N$13:$N$26,Pilotage!$F$13:$F$26,A145)</f>
        <v/>
      </c>
      <c r="V145">
        <f>IF(B145="V01",cad!$I$21,IF(B145="V02",cad!$J$21,cad!$K$21))</f>
        <v/>
      </c>
      <c r="W145">
        <f>IF(B145="V01",cad!$I$22,IF(B145="V02",cad!$J$22,cad!$K$22))</f>
        <v/>
      </c>
      <c r="X145">
        <f>IF(B145="V01",cad!$I$23,IF(B145="V02",cad!$J$23,cad!$K$23))</f>
        <v/>
      </c>
      <c r="Y145">
        <f>IF(B145="V01",cad!$I$24,IF(B145="V02",cad!$J$24,cad!$K$24))</f>
        <v/>
      </c>
      <c r="Z145">
        <f>IF(B145="V01",cad!$I$25,IF(B145="V02",cad!$J$25,cad!$K$25))</f>
        <v/>
      </c>
      <c r="AA145">
        <f>IF(B145="V01",cad!$I$26,IF(B145="V02",cad!$J$26,cad!$K$26))</f>
        <v/>
      </c>
      <c r="AB145">
        <f>IF(B145="V01",cad!$I$37,IF(B145="V02",cad!$J$37,cad!$K$37))</f>
        <v/>
      </c>
      <c r="AC145">
        <f>IF(F145="MBWAY",cad!$I$9,IF(F145="ISCOM",cad!$I$10,IF(F145="IPAC",cad!$I$11,IF(F145="PIGIER",cad!$I$12,cad!$I$13))))</f>
        <v/>
      </c>
      <c r="AD145">
        <f>(O145*(1+W145)^S145+P145*((T145/U145)*(1+V145))^R145)*IFERROR(G145/Q145,0)*(J145+Y145)*K145*(L145+Z145)</f>
        <v/>
      </c>
      <c r="AE145">
        <f>IF(N145=1,AD145,0)</f>
        <v/>
      </c>
      <c r="AF145">
        <f>IF(N145=1,AD145,H145*(M145+AA145))</f>
        <v/>
      </c>
      <c r="AG145">
        <f>I145*(1+X145*AC145)</f>
        <v/>
      </c>
      <c r="AH145">
        <f>AF145*AG145+AE145*AB145</f>
        <v/>
      </c>
    </row>
    <row r="146">
      <c r="A146">
        <f>Moteur!D146</f>
        <v/>
      </c>
      <c r="B146">
        <f>Moteur!B146</f>
        <v/>
      </c>
      <c r="C146">
        <f>Moteur!F146</f>
        <v/>
      </c>
      <c r="D146">
        <f>Moteur!G146</f>
        <v/>
      </c>
      <c r="E146">
        <f>Moteur!H146</f>
        <v/>
      </c>
      <c r="F146">
        <f>Moteur!E146</f>
        <v/>
      </c>
      <c r="G146">
        <f>SUMIFS(Socle!$H$2:$H$175,Socle!$C$2:$C$175,A146,Socle!$D$2:$D$175,C146,Socle!$E$2:$E$175,D146,Socle!$F$2:$F$175,E146,Socle!$G$2:$G$175,"2026")</f>
        <v/>
      </c>
      <c r="H146">
        <f>SUMIFS(Socle!$N$2:$N$175,Socle!$C$2:$C$175,A146,Socle!$D$2:$D$175,C146,Socle!$E$2:$E$175,D146,Socle!$F$2:$F$175,E146,Socle!$G$2:$G$175,"2026")</f>
        <v/>
      </c>
      <c r="I146">
        <f>SUMIFS(Socle!$P$2:$P$175,Socle!$C$2:$C$175,A146,Socle!$D$2:$D$175,C146,Socle!$E$2:$E$175,D146,Socle!$F$2:$F$175,E146,Socle!$G$2:$G$175,"2026")</f>
        <v/>
      </c>
      <c r="J146">
        <f>SUMIFS(Socle!$W$2:$W$175,Socle!$C$2:$C$175,A146,Socle!$D$2:$D$175,C146,Socle!$E$2:$E$175,D146,Socle!$F$2:$F$175,E146,Socle!$G$2:$G$175,"2026")</f>
        <v/>
      </c>
      <c r="K146">
        <f>SUMIFS(Socle!$X$2:$X$175,Socle!$C$2:$C$175,A146,Socle!$D$2:$D$175,C146,Socle!$E$2:$E$175,D146,Socle!$F$2:$F$175,E146,Socle!$G$2:$G$175,"2026")</f>
        <v/>
      </c>
      <c r="L146">
        <f>SUMIFS(Socle!$Y$2:$Y$175,Socle!$C$2:$C$175,A146,Socle!$D$2:$D$175,C146,Socle!$E$2:$E$175,D146,Socle!$F$2:$F$175,E146,Socle!$G$2:$G$175,"2026")</f>
        <v/>
      </c>
      <c r="M146">
        <f>SUMIFS(Socle!$V$2:$V$175,Socle!$C$2:$C$175,A146,Socle!$D$2:$D$175,C146,Socle!$E$2:$E$175,D146,Socle!$F$2:$F$175,E146,Socle!$G$2:$G$175,"2026")</f>
        <v/>
      </c>
      <c r="N146">
        <f>IF(OR(D146="B1",D146="M1",D146="BTS1"),1,0)</f>
        <v/>
      </c>
      <c r="O146">
        <f>SUMIFS(Campagne!$D$2:$D$15,Campagne!$C$2:$C$15,A146)</f>
        <v/>
      </c>
      <c r="P146">
        <f>SUMIFS(Campagne!$E$2:$E$15,Campagne!$C$2:$C$15,A146)</f>
        <v/>
      </c>
      <c r="Q146">
        <f>SUMIFS(Campagne!$F$2:$F$15,Campagne!$C$2:$C$15,A146)</f>
        <v/>
      </c>
      <c r="R146">
        <f>SUMIFS(Campagne!$K$2:$K$15,Campagne!$C$2:$C$15,A146)</f>
        <v/>
      </c>
      <c r="S146">
        <f>SUMIFS(Campagne!$M$2:$M$15,Campagne!$C$2:$C$15,A146)</f>
        <v/>
      </c>
      <c r="T146">
        <f>SUMIFS(Pilotage!$Q$13:$Q$26,Pilotage!$F$13:$F$26,A146)</f>
        <v/>
      </c>
      <c r="U146">
        <f>SUMIFS(Pilotage!$N$13:$N$26,Pilotage!$F$13:$F$26,A146)</f>
        <v/>
      </c>
      <c r="V146">
        <f>IF(B146="V01",cad!$I$21,IF(B146="V02",cad!$J$21,cad!$K$21))</f>
        <v/>
      </c>
      <c r="W146">
        <f>IF(B146="V01",cad!$I$22,IF(B146="V02",cad!$J$22,cad!$K$22))</f>
        <v/>
      </c>
      <c r="X146">
        <f>IF(B146="V01",cad!$I$23,IF(B146="V02",cad!$J$23,cad!$K$23))</f>
        <v/>
      </c>
      <c r="Y146">
        <f>IF(B146="V01",cad!$I$24,IF(B146="V02",cad!$J$24,cad!$K$24))</f>
        <v/>
      </c>
      <c r="Z146">
        <f>IF(B146="V01",cad!$I$25,IF(B146="V02",cad!$J$25,cad!$K$25))</f>
        <v/>
      </c>
      <c r="AA146">
        <f>IF(B146="V01",cad!$I$26,IF(B146="V02",cad!$J$26,cad!$K$26))</f>
        <v/>
      </c>
      <c r="AB146">
        <f>IF(B146="V01",cad!$I$37,IF(B146="V02",cad!$J$37,cad!$K$37))</f>
        <v/>
      </c>
      <c r="AC146">
        <f>IF(F146="MBWAY",cad!$I$9,IF(F146="ISCOM",cad!$I$10,IF(F146="IPAC",cad!$I$11,IF(F146="PIGIER",cad!$I$12,cad!$I$13))))</f>
        <v/>
      </c>
      <c r="AD146">
        <f>(O146*(1+W146)^S146+P146*((T146/U146)*(1+V146))^R146)*IFERROR(G146/Q146,0)*(J146+Y146)*K146*(L146+Z146)</f>
        <v/>
      </c>
      <c r="AE146">
        <f>IF(N146=1,AD146,0)</f>
        <v/>
      </c>
      <c r="AF146">
        <f>IF(N146=1,AD146,H146*(M146+AA146))</f>
        <v/>
      </c>
      <c r="AG146">
        <f>I146*(1+X146*AC146)</f>
        <v/>
      </c>
      <c r="AH146">
        <f>AF146*AG146+AE146*AB146</f>
        <v/>
      </c>
    </row>
    <row r="147">
      <c r="A147">
        <f>Moteur!D147</f>
        <v/>
      </c>
      <c r="B147">
        <f>Moteur!B147</f>
        <v/>
      </c>
      <c r="C147">
        <f>Moteur!F147</f>
        <v/>
      </c>
      <c r="D147">
        <f>Moteur!G147</f>
        <v/>
      </c>
      <c r="E147">
        <f>Moteur!H147</f>
        <v/>
      </c>
      <c r="F147">
        <f>Moteur!E147</f>
        <v/>
      </c>
      <c r="G147">
        <f>SUMIFS(Socle!$H$2:$H$175,Socle!$C$2:$C$175,A147,Socle!$D$2:$D$175,C147,Socle!$E$2:$E$175,D147,Socle!$F$2:$F$175,E147,Socle!$G$2:$G$175,"2026")</f>
        <v/>
      </c>
      <c r="H147">
        <f>SUMIFS(Socle!$N$2:$N$175,Socle!$C$2:$C$175,A147,Socle!$D$2:$D$175,C147,Socle!$E$2:$E$175,D147,Socle!$F$2:$F$175,E147,Socle!$G$2:$G$175,"2026")</f>
        <v/>
      </c>
      <c r="I147">
        <f>SUMIFS(Socle!$P$2:$P$175,Socle!$C$2:$C$175,A147,Socle!$D$2:$D$175,C147,Socle!$E$2:$E$175,D147,Socle!$F$2:$F$175,E147,Socle!$G$2:$G$175,"2026")</f>
        <v/>
      </c>
      <c r="J147">
        <f>SUMIFS(Socle!$W$2:$W$175,Socle!$C$2:$C$175,A147,Socle!$D$2:$D$175,C147,Socle!$E$2:$E$175,D147,Socle!$F$2:$F$175,E147,Socle!$G$2:$G$175,"2026")</f>
        <v/>
      </c>
      <c r="K147">
        <f>SUMIFS(Socle!$X$2:$X$175,Socle!$C$2:$C$175,A147,Socle!$D$2:$D$175,C147,Socle!$E$2:$E$175,D147,Socle!$F$2:$F$175,E147,Socle!$G$2:$G$175,"2026")</f>
        <v/>
      </c>
      <c r="L147">
        <f>SUMIFS(Socle!$Y$2:$Y$175,Socle!$C$2:$C$175,A147,Socle!$D$2:$D$175,C147,Socle!$E$2:$E$175,D147,Socle!$F$2:$F$175,E147,Socle!$G$2:$G$175,"2026")</f>
        <v/>
      </c>
      <c r="M147">
        <f>SUMIFS(Socle!$V$2:$V$175,Socle!$C$2:$C$175,A147,Socle!$D$2:$D$175,C147,Socle!$E$2:$E$175,D147,Socle!$F$2:$F$175,E147,Socle!$G$2:$G$175,"2026")</f>
        <v/>
      </c>
      <c r="N147">
        <f>IF(OR(D147="B1",D147="M1",D147="BTS1"),1,0)</f>
        <v/>
      </c>
      <c r="O147">
        <f>SUMIFS(Campagne!$D$2:$D$15,Campagne!$C$2:$C$15,A147)</f>
        <v/>
      </c>
      <c r="P147">
        <f>SUMIFS(Campagne!$E$2:$E$15,Campagne!$C$2:$C$15,A147)</f>
        <v/>
      </c>
      <c r="Q147">
        <f>SUMIFS(Campagne!$F$2:$F$15,Campagne!$C$2:$C$15,A147)</f>
        <v/>
      </c>
      <c r="R147">
        <f>SUMIFS(Campagne!$K$2:$K$15,Campagne!$C$2:$C$15,A147)</f>
        <v/>
      </c>
      <c r="S147">
        <f>SUMIFS(Campagne!$M$2:$M$15,Campagne!$C$2:$C$15,A147)</f>
        <v/>
      </c>
      <c r="T147">
        <f>SUMIFS(Pilotage!$Q$13:$Q$26,Pilotage!$F$13:$F$26,A147)</f>
        <v/>
      </c>
      <c r="U147">
        <f>SUMIFS(Pilotage!$N$13:$N$26,Pilotage!$F$13:$F$26,A147)</f>
        <v/>
      </c>
      <c r="V147">
        <f>IF(B147="V01",cad!$I$21,IF(B147="V02",cad!$J$21,cad!$K$21))</f>
        <v/>
      </c>
      <c r="W147">
        <f>IF(B147="V01",cad!$I$22,IF(B147="V02",cad!$J$22,cad!$K$22))</f>
        <v/>
      </c>
      <c r="X147">
        <f>IF(B147="V01",cad!$I$23,IF(B147="V02",cad!$J$23,cad!$K$23))</f>
        <v/>
      </c>
      <c r="Y147">
        <f>IF(B147="V01",cad!$I$24,IF(B147="V02",cad!$J$24,cad!$K$24))</f>
        <v/>
      </c>
      <c r="Z147">
        <f>IF(B147="V01",cad!$I$25,IF(B147="V02",cad!$J$25,cad!$K$25))</f>
        <v/>
      </c>
      <c r="AA147">
        <f>IF(B147="V01",cad!$I$26,IF(B147="V02",cad!$J$26,cad!$K$26))</f>
        <v/>
      </c>
      <c r="AB147">
        <f>IF(B147="V01",cad!$I$37,IF(B147="V02",cad!$J$37,cad!$K$37))</f>
        <v/>
      </c>
      <c r="AC147">
        <f>IF(F147="MBWAY",cad!$I$9,IF(F147="ISCOM",cad!$I$10,IF(F147="IPAC",cad!$I$11,IF(F147="PIGIER",cad!$I$12,cad!$I$13))))</f>
        <v/>
      </c>
      <c r="AD147">
        <f>(O147*(1+W147)^S147+P147*((T147/U147)*(1+V147))^R147)*IFERROR(G147/Q147,0)*(J147+Y147)*K147*(L147+Z147)</f>
        <v/>
      </c>
      <c r="AE147">
        <f>IF(N147=1,AD147,0)</f>
        <v/>
      </c>
      <c r="AF147">
        <f>IF(N147=1,AD147,H147*(M147+AA147))</f>
        <v/>
      </c>
      <c r="AG147">
        <f>I147*(1+X147*AC147)</f>
        <v/>
      </c>
      <c r="AH147">
        <f>AF147*AG147+AE147*AB147</f>
        <v/>
      </c>
    </row>
    <row r="148">
      <c r="A148">
        <f>Moteur!D148</f>
        <v/>
      </c>
      <c r="B148">
        <f>Moteur!B148</f>
        <v/>
      </c>
      <c r="C148">
        <f>Moteur!F148</f>
        <v/>
      </c>
      <c r="D148">
        <f>Moteur!G148</f>
        <v/>
      </c>
      <c r="E148">
        <f>Moteur!H148</f>
        <v/>
      </c>
      <c r="F148">
        <f>Moteur!E148</f>
        <v/>
      </c>
      <c r="G148">
        <f>SUMIFS(Socle!$H$2:$H$175,Socle!$C$2:$C$175,A148,Socle!$D$2:$D$175,C148,Socle!$E$2:$E$175,D148,Socle!$F$2:$F$175,E148,Socle!$G$2:$G$175,"2026")</f>
        <v/>
      </c>
      <c r="H148">
        <f>SUMIFS(Socle!$N$2:$N$175,Socle!$C$2:$C$175,A148,Socle!$D$2:$D$175,C148,Socle!$E$2:$E$175,D148,Socle!$F$2:$F$175,E148,Socle!$G$2:$G$175,"2026")</f>
        <v/>
      </c>
      <c r="I148">
        <f>SUMIFS(Socle!$P$2:$P$175,Socle!$C$2:$C$175,A148,Socle!$D$2:$D$175,C148,Socle!$E$2:$E$175,D148,Socle!$F$2:$F$175,E148,Socle!$G$2:$G$175,"2026")</f>
        <v/>
      </c>
      <c r="J148">
        <f>SUMIFS(Socle!$W$2:$W$175,Socle!$C$2:$C$175,A148,Socle!$D$2:$D$175,C148,Socle!$E$2:$E$175,D148,Socle!$F$2:$F$175,E148,Socle!$G$2:$G$175,"2026")</f>
        <v/>
      </c>
      <c r="K148">
        <f>SUMIFS(Socle!$X$2:$X$175,Socle!$C$2:$C$175,A148,Socle!$D$2:$D$175,C148,Socle!$E$2:$E$175,D148,Socle!$F$2:$F$175,E148,Socle!$G$2:$G$175,"2026")</f>
        <v/>
      </c>
      <c r="L148">
        <f>SUMIFS(Socle!$Y$2:$Y$175,Socle!$C$2:$C$175,A148,Socle!$D$2:$D$175,C148,Socle!$E$2:$E$175,D148,Socle!$F$2:$F$175,E148,Socle!$G$2:$G$175,"2026")</f>
        <v/>
      </c>
      <c r="M148">
        <f>SUMIFS(Socle!$V$2:$V$175,Socle!$C$2:$C$175,A148,Socle!$D$2:$D$175,C148,Socle!$E$2:$E$175,D148,Socle!$F$2:$F$175,E148,Socle!$G$2:$G$175,"2026")</f>
        <v/>
      </c>
      <c r="N148">
        <f>IF(OR(D148="B1",D148="M1",D148="BTS1"),1,0)</f>
        <v/>
      </c>
      <c r="O148">
        <f>SUMIFS(Campagne!$D$2:$D$15,Campagne!$C$2:$C$15,A148)</f>
        <v/>
      </c>
      <c r="P148">
        <f>SUMIFS(Campagne!$E$2:$E$15,Campagne!$C$2:$C$15,A148)</f>
        <v/>
      </c>
      <c r="Q148">
        <f>SUMIFS(Campagne!$F$2:$F$15,Campagne!$C$2:$C$15,A148)</f>
        <v/>
      </c>
      <c r="R148">
        <f>SUMIFS(Campagne!$K$2:$K$15,Campagne!$C$2:$C$15,A148)</f>
        <v/>
      </c>
      <c r="S148">
        <f>SUMIFS(Campagne!$M$2:$M$15,Campagne!$C$2:$C$15,A148)</f>
        <v/>
      </c>
      <c r="T148">
        <f>SUMIFS(Pilotage!$Q$13:$Q$26,Pilotage!$F$13:$F$26,A148)</f>
        <v/>
      </c>
      <c r="U148">
        <f>SUMIFS(Pilotage!$N$13:$N$26,Pilotage!$F$13:$F$26,A148)</f>
        <v/>
      </c>
      <c r="V148">
        <f>IF(B148="V01",cad!$I$21,IF(B148="V02",cad!$J$21,cad!$K$21))</f>
        <v/>
      </c>
      <c r="W148">
        <f>IF(B148="V01",cad!$I$22,IF(B148="V02",cad!$J$22,cad!$K$22))</f>
        <v/>
      </c>
      <c r="X148">
        <f>IF(B148="V01",cad!$I$23,IF(B148="V02",cad!$J$23,cad!$K$23))</f>
        <v/>
      </c>
      <c r="Y148">
        <f>IF(B148="V01",cad!$I$24,IF(B148="V02",cad!$J$24,cad!$K$24))</f>
        <v/>
      </c>
      <c r="Z148">
        <f>IF(B148="V01",cad!$I$25,IF(B148="V02",cad!$J$25,cad!$K$25))</f>
        <v/>
      </c>
      <c r="AA148">
        <f>IF(B148="V01",cad!$I$26,IF(B148="V02",cad!$J$26,cad!$K$26))</f>
        <v/>
      </c>
      <c r="AB148">
        <f>IF(B148="V01",cad!$I$37,IF(B148="V02",cad!$J$37,cad!$K$37))</f>
        <v/>
      </c>
      <c r="AC148">
        <f>IF(F148="MBWAY",cad!$I$9,IF(F148="ISCOM",cad!$I$10,IF(F148="IPAC",cad!$I$11,IF(F148="PIGIER",cad!$I$12,cad!$I$13))))</f>
        <v/>
      </c>
      <c r="AD148">
        <f>(O148*(1+W148)^S148+P148*((T148/U148)*(1+V148))^R148)*IFERROR(G148/Q148,0)*(J148+Y148)*K148*(L148+Z148)</f>
        <v/>
      </c>
      <c r="AE148">
        <f>IF(N148=1,AD148,0)</f>
        <v/>
      </c>
      <c r="AF148">
        <f>IF(N148=1,AD148,H148*(M148+AA148))</f>
        <v/>
      </c>
      <c r="AG148">
        <f>I148*(1+X148*AC148)</f>
        <v/>
      </c>
      <c r="AH148">
        <f>AF148*AG148+AE148*AB148</f>
        <v/>
      </c>
    </row>
    <row r="149">
      <c r="A149">
        <f>Moteur!D149</f>
        <v/>
      </c>
      <c r="B149">
        <f>Moteur!B149</f>
        <v/>
      </c>
      <c r="C149">
        <f>Moteur!F149</f>
        <v/>
      </c>
      <c r="D149">
        <f>Moteur!G149</f>
        <v/>
      </c>
      <c r="E149">
        <f>Moteur!H149</f>
        <v/>
      </c>
      <c r="F149">
        <f>Moteur!E149</f>
        <v/>
      </c>
      <c r="G149">
        <f>SUMIFS(Socle!$H$2:$H$175,Socle!$C$2:$C$175,A149,Socle!$D$2:$D$175,C149,Socle!$E$2:$E$175,D149,Socle!$F$2:$F$175,E149,Socle!$G$2:$G$175,"2026")</f>
        <v/>
      </c>
      <c r="H149">
        <f>SUMIFS(Socle!$N$2:$N$175,Socle!$C$2:$C$175,A149,Socle!$D$2:$D$175,C149,Socle!$E$2:$E$175,D149,Socle!$F$2:$F$175,E149,Socle!$G$2:$G$175,"2026")</f>
        <v/>
      </c>
      <c r="I149">
        <f>SUMIFS(Socle!$P$2:$P$175,Socle!$C$2:$C$175,A149,Socle!$D$2:$D$175,C149,Socle!$E$2:$E$175,D149,Socle!$F$2:$F$175,E149,Socle!$G$2:$G$175,"2026")</f>
        <v/>
      </c>
      <c r="J149">
        <f>SUMIFS(Socle!$W$2:$W$175,Socle!$C$2:$C$175,A149,Socle!$D$2:$D$175,C149,Socle!$E$2:$E$175,D149,Socle!$F$2:$F$175,E149,Socle!$G$2:$G$175,"2026")</f>
        <v/>
      </c>
      <c r="K149">
        <f>SUMIFS(Socle!$X$2:$X$175,Socle!$C$2:$C$175,A149,Socle!$D$2:$D$175,C149,Socle!$E$2:$E$175,D149,Socle!$F$2:$F$175,E149,Socle!$G$2:$G$175,"2026")</f>
        <v/>
      </c>
      <c r="L149">
        <f>SUMIFS(Socle!$Y$2:$Y$175,Socle!$C$2:$C$175,A149,Socle!$D$2:$D$175,C149,Socle!$E$2:$E$175,D149,Socle!$F$2:$F$175,E149,Socle!$G$2:$G$175,"2026")</f>
        <v/>
      </c>
      <c r="M149">
        <f>SUMIFS(Socle!$V$2:$V$175,Socle!$C$2:$C$175,A149,Socle!$D$2:$D$175,C149,Socle!$E$2:$E$175,D149,Socle!$F$2:$F$175,E149,Socle!$G$2:$G$175,"2026")</f>
        <v/>
      </c>
      <c r="N149">
        <f>IF(OR(D149="B1",D149="M1",D149="BTS1"),1,0)</f>
        <v/>
      </c>
      <c r="O149">
        <f>SUMIFS(Campagne!$D$2:$D$15,Campagne!$C$2:$C$15,A149)</f>
        <v/>
      </c>
      <c r="P149">
        <f>SUMIFS(Campagne!$E$2:$E$15,Campagne!$C$2:$C$15,A149)</f>
        <v/>
      </c>
      <c r="Q149">
        <f>SUMIFS(Campagne!$F$2:$F$15,Campagne!$C$2:$C$15,A149)</f>
        <v/>
      </c>
      <c r="R149">
        <f>SUMIFS(Campagne!$K$2:$K$15,Campagne!$C$2:$C$15,A149)</f>
        <v/>
      </c>
      <c r="S149">
        <f>SUMIFS(Campagne!$M$2:$M$15,Campagne!$C$2:$C$15,A149)</f>
        <v/>
      </c>
      <c r="T149">
        <f>SUMIFS(Pilotage!$Q$13:$Q$26,Pilotage!$F$13:$F$26,A149)</f>
        <v/>
      </c>
      <c r="U149">
        <f>SUMIFS(Pilotage!$N$13:$N$26,Pilotage!$F$13:$F$26,A149)</f>
        <v/>
      </c>
      <c r="V149">
        <f>IF(B149="V01",cad!$I$21,IF(B149="V02",cad!$J$21,cad!$K$21))</f>
        <v/>
      </c>
      <c r="W149">
        <f>IF(B149="V01",cad!$I$22,IF(B149="V02",cad!$J$22,cad!$K$22))</f>
        <v/>
      </c>
      <c r="X149">
        <f>IF(B149="V01",cad!$I$23,IF(B149="V02",cad!$J$23,cad!$K$23))</f>
        <v/>
      </c>
      <c r="Y149">
        <f>IF(B149="V01",cad!$I$24,IF(B149="V02",cad!$J$24,cad!$K$24))</f>
        <v/>
      </c>
      <c r="Z149">
        <f>IF(B149="V01",cad!$I$25,IF(B149="V02",cad!$J$25,cad!$K$25))</f>
        <v/>
      </c>
      <c r="AA149">
        <f>IF(B149="V01",cad!$I$26,IF(B149="V02",cad!$J$26,cad!$K$26))</f>
        <v/>
      </c>
      <c r="AB149">
        <f>IF(B149="V01",cad!$I$37,IF(B149="V02",cad!$J$37,cad!$K$37))</f>
        <v/>
      </c>
      <c r="AC149">
        <f>IF(F149="MBWAY",cad!$I$9,IF(F149="ISCOM",cad!$I$10,IF(F149="IPAC",cad!$I$11,IF(F149="PIGIER",cad!$I$12,cad!$I$13))))</f>
        <v/>
      </c>
      <c r="AD149">
        <f>(O149*(1+W149)^S149+P149*((T149/U149)*(1+V149))^R149)*IFERROR(G149/Q149,0)*(J149+Y149)*K149*(L149+Z149)</f>
        <v/>
      </c>
      <c r="AE149">
        <f>IF(N149=1,AD149,0)</f>
        <v/>
      </c>
      <c r="AF149">
        <f>IF(N149=1,AD149,H149*(M149+AA149))</f>
        <v/>
      </c>
      <c r="AG149">
        <f>I149*(1+X149*AC149)</f>
        <v/>
      </c>
      <c r="AH149">
        <f>AF149*AG149+AE149*AB149</f>
        <v/>
      </c>
    </row>
    <row r="150">
      <c r="A150">
        <f>Moteur!D150</f>
        <v/>
      </c>
      <c r="B150">
        <f>Moteur!B150</f>
        <v/>
      </c>
      <c r="C150">
        <f>Moteur!F150</f>
        <v/>
      </c>
      <c r="D150">
        <f>Moteur!G150</f>
        <v/>
      </c>
      <c r="E150">
        <f>Moteur!H150</f>
        <v/>
      </c>
      <c r="F150">
        <f>Moteur!E150</f>
        <v/>
      </c>
      <c r="G150">
        <f>SUMIFS(Socle!$H$2:$H$175,Socle!$C$2:$C$175,A150,Socle!$D$2:$D$175,C150,Socle!$E$2:$E$175,D150,Socle!$F$2:$F$175,E150,Socle!$G$2:$G$175,"2026")</f>
        <v/>
      </c>
      <c r="H150">
        <f>SUMIFS(Socle!$N$2:$N$175,Socle!$C$2:$C$175,A150,Socle!$D$2:$D$175,C150,Socle!$E$2:$E$175,D150,Socle!$F$2:$F$175,E150,Socle!$G$2:$G$175,"2026")</f>
        <v/>
      </c>
      <c r="I150">
        <f>SUMIFS(Socle!$P$2:$P$175,Socle!$C$2:$C$175,A150,Socle!$D$2:$D$175,C150,Socle!$E$2:$E$175,D150,Socle!$F$2:$F$175,E150,Socle!$G$2:$G$175,"2026")</f>
        <v/>
      </c>
      <c r="J150">
        <f>SUMIFS(Socle!$W$2:$W$175,Socle!$C$2:$C$175,A150,Socle!$D$2:$D$175,C150,Socle!$E$2:$E$175,D150,Socle!$F$2:$F$175,E150,Socle!$G$2:$G$175,"2026")</f>
        <v/>
      </c>
      <c r="K150">
        <f>SUMIFS(Socle!$X$2:$X$175,Socle!$C$2:$C$175,A150,Socle!$D$2:$D$175,C150,Socle!$E$2:$E$175,D150,Socle!$F$2:$F$175,E150,Socle!$G$2:$G$175,"2026")</f>
        <v/>
      </c>
      <c r="L150">
        <f>SUMIFS(Socle!$Y$2:$Y$175,Socle!$C$2:$C$175,A150,Socle!$D$2:$D$175,C150,Socle!$E$2:$E$175,D150,Socle!$F$2:$F$175,E150,Socle!$G$2:$G$175,"2026")</f>
        <v/>
      </c>
      <c r="M150">
        <f>SUMIFS(Socle!$V$2:$V$175,Socle!$C$2:$C$175,A150,Socle!$D$2:$D$175,C150,Socle!$E$2:$E$175,D150,Socle!$F$2:$F$175,E150,Socle!$G$2:$G$175,"2026")</f>
        <v/>
      </c>
      <c r="N150">
        <f>IF(OR(D150="B1",D150="M1",D150="BTS1"),1,0)</f>
        <v/>
      </c>
      <c r="O150">
        <f>SUMIFS(Campagne!$D$2:$D$15,Campagne!$C$2:$C$15,A150)</f>
        <v/>
      </c>
      <c r="P150">
        <f>SUMIFS(Campagne!$E$2:$E$15,Campagne!$C$2:$C$15,A150)</f>
        <v/>
      </c>
      <c r="Q150">
        <f>SUMIFS(Campagne!$F$2:$F$15,Campagne!$C$2:$C$15,A150)</f>
        <v/>
      </c>
      <c r="R150">
        <f>SUMIFS(Campagne!$K$2:$K$15,Campagne!$C$2:$C$15,A150)</f>
        <v/>
      </c>
      <c r="S150">
        <f>SUMIFS(Campagne!$M$2:$M$15,Campagne!$C$2:$C$15,A150)</f>
        <v/>
      </c>
      <c r="T150">
        <f>SUMIFS(Pilotage!$Q$13:$Q$26,Pilotage!$F$13:$F$26,A150)</f>
        <v/>
      </c>
      <c r="U150">
        <f>SUMIFS(Pilotage!$N$13:$N$26,Pilotage!$F$13:$F$26,A150)</f>
        <v/>
      </c>
      <c r="V150">
        <f>IF(B150="V01",cad!$I$21,IF(B150="V02",cad!$J$21,cad!$K$21))</f>
        <v/>
      </c>
      <c r="W150">
        <f>IF(B150="V01",cad!$I$22,IF(B150="V02",cad!$J$22,cad!$K$22))</f>
        <v/>
      </c>
      <c r="X150">
        <f>IF(B150="V01",cad!$I$23,IF(B150="V02",cad!$J$23,cad!$K$23))</f>
        <v/>
      </c>
      <c r="Y150">
        <f>IF(B150="V01",cad!$I$24,IF(B150="V02",cad!$J$24,cad!$K$24))</f>
        <v/>
      </c>
      <c r="Z150">
        <f>IF(B150="V01",cad!$I$25,IF(B150="V02",cad!$J$25,cad!$K$25))</f>
        <v/>
      </c>
      <c r="AA150">
        <f>IF(B150="V01",cad!$I$26,IF(B150="V02",cad!$J$26,cad!$K$26))</f>
        <v/>
      </c>
      <c r="AB150">
        <f>IF(B150="V01",cad!$I$37,IF(B150="V02",cad!$J$37,cad!$K$37))</f>
        <v/>
      </c>
      <c r="AC150">
        <f>IF(F150="MBWAY",cad!$I$9,IF(F150="ISCOM",cad!$I$10,IF(F150="IPAC",cad!$I$11,IF(F150="PIGIER",cad!$I$12,cad!$I$13))))</f>
        <v/>
      </c>
      <c r="AD150">
        <f>(O150*(1+W150)^S150+P150*((T150/U150)*(1+V150))^R150)*IFERROR(G150/Q150,0)*(J150+Y150)*K150*(L150+Z150)</f>
        <v/>
      </c>
      <c r="AE150">
        <f>IF(N150=1,AD150,0)</f>
        <v/>
      </c>
      <c r="AF150">
        <f>IF(N150=1,AD150,H150*(M150+AA150))</f>
        <v/>
      </c>
      <c r="AG150">
        <f>I150*(1+X150*AC150)</f>
        <v/>
      </c>
      <c r="AH150">
        <f>AF150*AG150+AE150*AB150</f>
        <v/>
      </c>
    </row>
    <row r="151">
      <c r="A151">
        <f>Moteur!D151</f>
        <v/>
      </c>
      <c r="B151">
        <f>Moteur!B151</f>
        <v/>
      </c>
      <c r="C151">
        <f>Moteur!F151</f>
        <v/>
      </c>
      <c r="D151">
        <f>Moteur!G151</f>
        <v/>
      </c>
      <c r="E151">
        <f>Moteur!H151</f>
        <v/>
      </c>
      <c r="F151">
        <f>Moteur!E151</f>
        <v/>
      </c>
      <c r="G151">
        <f>SUMIFS(Socle!$H$2:$H$175,Socle!$C$2:$C$175,A151,Socle!$D$2:$D$175,C151,Socle!$E$2:$E$175,D151,Socle!$F$2:$F$175,E151,Socle!$G$2:$G$175,"2026")</f>
        <v/>
      </c>
      <c r="H151">
        <f>SUMIFS(Socle!$N$2:$N$175,Socle!$C$2:$C$175,A151,Socle!$D$2:$D$175,C151,Socle!$E$2:$E$175,D151,Socle!$F$2:$F$175,E151,Socle!$G$2:$G$175,"2026")</f>
        <v/>
      </c>
      <c r="I151">
        <f>SUMIFS(Socle!$P$2:$P$175,Socle!$C$2:$C$175,A151,Socle!$D$2:$D$175,C151,Socle!$E$2:$E$175,D151,Socle!$F$2:$F$175,E151,Socle!$G$2:$G$175,"2026")</f>
        <v/>
      </c>
      <c r="J151">
        <f>SUMIFS(Socle!$W$2:$W$175,Socle!$C$2:$C$175,A151,Socle!$D$2:$D$175,C151,Socle!$E$2:$E$175,D151,Socle!$F$2:$F$175,E151,Socle!$G$2:$G$175,"2026")</f>
        <v/>
      </c>
      <c r="K151">
        <f>SUMIFS(Socle!$X$2:$X$175,Socle!$C$2:$C$175,A151,Socle!$D$2:$D$175,C151,Socle!$E$2:$E$175,D151,Socle!$F$2:$F$175,E151,Socle!$G$2:$G$175,"2026")</f>
        <v/>
      </c>
      <c r="L151">
        <f>SUMIFS(Socle!$Y$2:$Y$175,Socle!$C$2:$C$175,A151,Socle!$D$2:$D$175,C151,Socle!$E$2:$E$175,D151,Socle!$F$2:$F$175,E151,Socle!$G$2:$G$175,"2026")</f>
        <v/>
      </c>
      <c r="M151">
        <f>SUMIFS(Socle!$V$2:$V$175,Socle!$C$2:$C$175,A151,Socle!$D$2:$D$175,C151,Socle!$E$2:$E$175,D151,Socle!$F$2:$F$175,E151,Socle!$G$2:$G$175,"2026")</f>
        <v/>
      </c>
      <c r="N151">
        <f>IF(OR(D151="B1",D151="M1",D151="BTS1"),1,0)</f>
        <v/>
      </c>
      <c r="O151">
        <f>SUMIFS(Campagne!$D$2:$D$15,Campagne!$C$2:$C$15,A151)</f>
        <v/>
      </c>
      <c r="P151">
        <f>SUMIFS(Campagne!$E$2:$E$15,Campagne!$C$2:$C$15,A151)</f>
        <v/>
      </c>
      <c r="Q151">
        <f>SUMIFS(Campagne!$F$2:$F$15,Campagne!$C$2:$C$15,A151)</f>
        <v/>
      </c>
      <c r="R151">
        <f>SUMIFS(Campagne!$K$2:$K$15,Campagne!$C$2:$C$15,A151)</f>
        <v/>
      </c>
      <c r="S151">
        <f>SUMIFS(Campagne!$M$2:$M$15,Campagne!$C$2:$C$15,A151)</f>
        <v/>
      </c>
      <c r="T151">
        <f>SUMIFS(Pilotage!$Q$13:$Q$26,Pilotage!$F$13:$F$26,A151)</f>
        <v/>
      </c>
      <c r="U151">
        <f>SUMIFS(Pilotage!$N$13:$N$26,Pilotage!$F$13:$F$26,A151)</f>
        <v/>
      </c>
      <c r="V151">
        <f>IF(B151="V01",cad!$I$21,IF(B151="V02",cad!$J$21,cad!$K$21))</f>
        <v/>
      </c>
      <c r="W151">
        <f>IF(B151="V01",cad!$I$22,IF(B151="V02",cad!$J$22,cad!$K$22))</f>
        <v/>
      </c>
      <c r="X151">
        <f>IF(B151="V01",cad!$I$23,IF(B151="V02",cad!$J$23,cad!$K$23))</f>
        <v/>
      </c>
      <c r="Y151">
        <f>IF(B151="V01",cad!$I$24,IF(B151="V02",cad!$J$24,cad!$K$24))</f>
        <v/>
      </c>
      <c r="Z151">
        <f>IF(B151="V01",cad!$I$25,IF(B151="V02",cad!$J$25,cad!$K$25))</f>
        <v/>
      </c>
      <c r="AA151">
        <f>IF(B151="V01",cad!$I$26,IF(B151="V02",cad!$J$26,cad!$K$26))</f>
        <v/>
      </c>
      <c r="AB151">
        <f>IF(B151="V01",cad!$I$37,IF(B151="V02",cad!$J$37,cad!$K$37))</f>
        <v/>
      </c>
      <c r="AC151">
        <f>IF(F151="MBWAY",cad!$I$9,IF(F151="ISCOM",cad!$I$10,IF(F151="IPAC",cad!$I$11,IF(F151="PIGIER",cad!$I$12,cad!$I$13))))</f>
        <v/>
      </c>
      <c r="AD151">
        <f>(O151*(1+W151)^S151+P151*((T151/U151)*(1+V151))^R151)*IFERROR(G151/Q151,0)*(J151+Y151)*K151*(L151+Z151)</f>
        <v/>
      </c>
      <c r="AE151">
        <f>IF(N151=1,AD151,0)</f>
        <v/>
      </c>
      <c r="AF151">
        <f>IF(N151=1,AD151,H151*(M151+AA151))</f>
        <v/>
      </c>
      <c r="AG151">
        <f>I151*(1+X151*AC151)</f>
        <v/>
      </c>
      <c r="AH151">
        <f>AF151*AG151+AE151*AB151</f>
        <v/>
      </c>
    </row>
    <row r="152">
      <c r="A152">
        <f>Moteur!D152</f>
        <v/>
      </c>
      <c r="B152">
        <f>Moteur!B152</f>
        <v/>
      </c>
      <c r="C152">
        <f>Moteur!F152</f>
        <v/>
      </c>
      <c r="D152">
        <f>Moteur!G152</f>
        <v/>
      </c>
      <c r="E152">
        <f>Moteur!H152</f>
        <v/>
      </c>
      <c r="F152">
        <f>Moteur!E152</f>
        <v/>
      </c>
      <c r="G152">
        <f>SUMIFS(Socle!$H$2:$H$175,Socle!$C$2:$C$175,A152,Socle!$D$2:$D$175,C152,Socle!$E$2:$E$175,D152,Socle!$F$2:$F$175,E152,Socle!$G$2:$G$175,"2026")</f>
        <v/>
      </c>
      <c r="H152">
        <f>SUMIFS(Socle!$N$2:$N$175,Socle!$C$2:$C$175,A152,Socle!$D$2:$D$175,C152,Socle!$E$2:$E$175,D152,Socle!$F$2:$F$175,E152,Socle!$G$2:$G$175,"2026")</f>
        <v/>
      </c>
      <c r="I152">
        <f>SUMIFS(Socle!$P$2:$P$175,Socle!$C$2:$C$175,A152,Socle!$D$2:$D$175,C152,Socle!$E$2:$E$175,D152,Socle!$F$2:$F$175,E152,Socle!$G$2:$G$175,"2026")</f>
        <v/>
      </c>
      <c r="J152">
        <f>SUMIFS(Socle!$W$2:$W$175,Socle!$C$2:$C$175,A152,Socle!$D$2:$D$175,C152,Socle!$E$2:$E$175,D152,Socle!$F$2:$F$175,E152,Socle!$G$2:$G$175,"2026")</f>
        <v/>
      </c>
      <c r="K152">
        <f>SUMIFS(Socle!$X$2:$X$175,Socle!$C$2:$C$175,A152,Socle!$D$2:$D$175,C152,Socle!$E$2:$E$175,D152,Socle!$F$2:$F$175,E152,Socle!$G$2:$G$175,"2026")</f>
        <v/>
      </c>
      <c r="L152">
        <f>SUMIFS(Socle!$Y$2:$Y$175,Socle!$C$2:$C$175,A152,Socle!$D$2:$D$175,C152,Socle!$E$2:$E$175,D152,Socle!$F$2:$F$175,E152,Socle!$G$2:$G$175,"2026")</f>
        <v/>
      </c>
      <c r="M152">
        <f>SUMIFS(Socle!$V$2:$V$175,Socle!$C$2:$C$175,A152,Socle!$D$2:$D$175,C152,Socle!$E$2:$E$175,D152,Socle!$F$2:$F$175,E152,Socle!$G$2:$G$175,"2026")</f>
        <v/>
      </c>
      <c r="N152">
        <f>IF(OR(D152="B1",D152="M1",D152="BTS1"),1,0)</f>
        <v/>
      </c>
      <c r="O152">
        <f>SUMIFS(Campagne!$D$2:$D$15,Campagne!$C$2:$C$15,A152)</f>
        <v/>
      </c>
      <c r="P152">
        <f>SUMIFS(Campagne!$E$2:$E$15,Campagne!$C$2:$C$15,A152)</f>
        <v/>
      </c>
      <c r="Q152">
        <f>SUMIFS(Campagne!$F$2:$F$15,Campagne!$C$2:$C$15,A152)</f>
        <v/>
      </c>
      <c r="R152">
        <f>SUMIFS(Campagne!$K$2:$K$15,Campagne!$C$2:$C$15,A152)</f>
        <v/>
      </c>
      <c r="S152">
        <f>SUMIFS(Campagne!$M$2:$M$15,Campagne!$C$2:$C$15,A152)</f>
        <v/>
      </c>
      <c r="T152">
        <f>SUMIFS(Pilotage!$Q$13:$Q$26,Pilotage!$F$13:$F$26,A152)</f>
        <v/>
      </c>
      <c r="U152">
        <f>SUMIFS(Pilotage!$N$13:$N$26,Pilotage!$F$13:$F$26,A152)</f>
        <v/>
      </c>
      <c r="V152">
        <f>IF(B152="V01",cad!$I$21,IF(B152="V02",cad!$J$21,cad!$K$21))</f>
        <v/>
      </c>
      <c r="W152">
        <f>IF(B152="V01",cad!$I$22,IF(B152="V02",cad!$J$22,cad!$K$22))</f>
        <v/>
      </c>
      <c r="X152">
        <f>IF(B152="V01",cad!$I$23,IF(B152="V02",cad!$J$23,cad!$K$23))</f>
        <v/>
      </c>
      <c r="Y152">
        <f>IF(B152="V01",cad!$I$24,IF(B152="V02",cad!$J$24,cad!$K$24))</f>
        <v/>
      </c>
      <c r="Z152">
        <f>IF(B152="V01",cad!$I$25,IF(B152="V02",cad!$J$25,cad!$K$25))</f>
        <v/>
      </c>
      <c r="AA152">
        <f>IF(B152="V01",cad!$I$26,IF(B152="V02",cad!$J$26,cad!$K$26))</f>
        <v/>
      </c>
      <c r="AB152">
        <f>IF(B152="V01",cad!$I$37,IF(B152="V02",cad!$J$37,cad!$K$37))</f>
        <v/>
      </c>
      <c r="AC152">
        <f>IF(F152="MBWAY",cad!$I$9,IF(F152="ISCOM",cad!$I$10,IF(F152="IPAC",cad!$I$11,IF(F152="PIGIER",cad!$I$12,cad!$I$13))))</f>
        <v/>
      </c>
      <c r="AD152">
        <f>(O152*(1+W152)^S152+P152*((T152/U152)*(1+V152))^R152)*IFERROR(G152/Q152,0)*(J152+Y152)*K152*(L152+Z152)</f>
        <v/>
      </c>
      <c r="AE152">
        <f>IF(N152=1,AD152,0)</f>
        <v/>
      </c>
      <c r="AF152">
        <f>IF(N152=1,AD152,H152*(M152+AA152))</f>
        <v/>
      </c>
      <c r="AG152">
        <f>I152*(1+X152*AC152)</f>
        <v/>
      </c>
      <c r="AH152">
        <f>AF152*AG152+AE152*AB152</f>
        <v/>
      </c>
    </row>
    <row r="153">
      <c r="A153">
        <f>Moteur!D153</f>
        <v/>
      </c>
      <c r="B153">
        <f>Moteur!B153</f>
        <v/>
      </c>
      <c r="C153">
        <f>Moteur!F153</f>
        <v/>
      </c>
      <c r="D153">
        <f>Moteur!G153</f>
        <v/>
      </c>
      <c r="E153">
        <f>Moteur!H153</f>
        <v/>
      </c>
      <c r="F153">
        <f>Moteur!E153</f>
        <v/>
      </c>
      <c r="G153">
        <f>SUMIFS(Socle!$H$2:$H$175,Socle!$C$2:$C$175,A153,Socle!$D$2:$D$175,C153,Socle!$E$2:$E$175,D153,Socle!$F$2:$F$175,E153,Socle!$G$2:$G$175,"2026")</f>
        <v/>
      </c>
      <c r="H153">
        <f>SUMIFS(Socle!$N$2:$N$175,Socle!$C$2:$C$175,A153,Socle!$D$2:$D$175,C153,Socle!$E$2:$E$175,D153,Socle!$F$2:$F$175,E153,Socle!$G$2:$G$175,"2026")</f>
        <v/>
      </c>
      <c r="I153">
        <f>SUMIFS(Socle!$P$2:$P$175,Socle!$C$2:$C$175,A153,Socle!$D$2:$D$175,C153,Socle!$E$2:$E$175,D153,Socle!$F$2:$F$175,E153,Socle!$G$2:$G$175,"2026")</f>
        <v/>
      </c>
      <c r="J153">
        <f>SUMIFS(Socle!$W$2:$W$175,Socle!$C$2:$C$175,A153,Socle!$D$2:$D$175,C153,Socle!$E$2:$E$175,D153,Socle!$F$2:$F$175,E153,Socle!$G$2:$G$175,"2026")</f>
        <v/>
      </c>
      <c r="K153">
        <f>SUMIFS(Socle!$X$2:$X$175,Socle!$C$2:$C$175,A153,Socle!$D$2:$D$175,C153,Socle!$E$2:$E$175,D153,Socle!$F$2:$F$175,E153,Socle!$G$2:$G$175,"2026")</f>
        <v/>
      </c>
      <c r="L153">
        <f>SUMIFS(Socle!$Y$2:$Y$175,Socle!$C$2:$C$175,A153,Socle!$D$2:$D$175,C153,Socle!$E$2:$E$175,D153,Socle!$F$2:$F$175,E153,Socle!$G$2:$G$175,"2026")</f>
        <v/>
      </c>
      <c r="M153">
        <f>SUMIFS(Socle!$V$2:$V$175,Socle!$C$2:$C$175,A153,Socle!$D$2:$D$175,C153,Socle!$E$2:$E$175,D153,Socle!$F$2:$F$175,E153,Socle!$G$2:$G$175,"2026")</f>
        <v/>
      </c>
      <c r="N153">
        <f>IF(OR(D153="B1",D153="M1",D153="BTS1"),1,0)</f>
        <v/>
      </c>
      <c r="O153">
        <f>SUMIFS(Campagne!$D$2:$D$15,Campagne!$C$2:$C$15,A153)</f>
        <v/>
      </c>
      <c r="P153">
        <f>SUMIFS(Campagne!$E$2:$E$15,Campagne!$C$2:$C$15,A153)</f>
        <v/>
      </c>
      <c r="Q153">
        <f>SUMIFS(Campagne!$F$2:$F$15,Campagne!$C$2:$C$15,A153)</f>
        <v/>
      </c>
      <c r="R153">
        <f>SUMIFS(Campagne!$K$2:$K$15,Campagne!$C$2:$C$15,A153)</f>
        <v/>
      </c>
      <c r="S153">
        <f>SUMIFS(Campagne!$M$2:$M$15,Campagne!$C$2:$C$15,A153)</f>
        <v/>
      </c>
      <c r="T153">
        <f>SUMIFS(Pilotage!$Q$13:$Q$26,Pilotage!$F$13:$F$26,A153)</f>
        <v/>
      </c>
      <c r="U153">
        <f>SUMIFS(Pilotage!$N$13:$N$26,Pilotage!$F$13:$F$26,A153)</f>
        <v/>
      </c>
      <c r="V153">
        <f>IF(B153="V01",cad!$I$21,IF(B153="V02",cad!$J$21,cad!$K$21))</f>
        <v/>
      </c>
      <c r="W153">
        <f>IF(B153="V01",cad!$I$22,IF(B153="V02",cad!$J$22,cad!$K$22))</f>
        <v/>
      </c>
      <c r="X153">
        <f>IF(B153="V01",cad!$I$23,IF(B153="V02",cad!$J$23,cad!$K$23))</f>
        <v/>
      </c>
      <c r="Y153">
        <f>IF(B153="V01",cad!$I$24,IF(B153="V02",cad!$J$24,cad!$K$24))</f>
        <v/>
      </c>
      <c r="Z153">
        <f>IF(B153="V01",cad!$I$25,IF(B153="V02",cad!$J$25,cad!$K$25))</f>
        <v/>
      </c>
      <c r="AA153">
        <f>IF(B153="V01",cad!$I$26,IF(B153="V02",cad!$J$26,cad!$K$26))</f>
        <v/>
      </c>
      <c r="AB153">
        <f>IF(B153="V01",cad!$I$37,IF(B153="V02",cad!$J$37,cad!$K$37))</f>
        <v/>
      </c>
      <c r="AC153">
        <f>IF(F153="MBWAY",cad!$I$9,IF(F153="ISCOM",cad!$I$10,IF(F153="IPAC",cad!$I$11,IF(F153="PIGIER",cad!$I$12,cad!$I$13))))</f>
        <v/>
      </c>
      <c r="AD153">
        <f>(O153*(1+W153)^S153+P153*((T153/U153)*(1+V153))^R153)*IFERROR(G153/Q153,0)*(J153+Y153)*K153*(L153+Z153)</f>
        <v/>
      </c>
      <c r="AE153">
        <f>IF(N153=1,AD153,0)</f>
        <v/>
      </c>
      <c r="AF153">
        <f>IF(N153=1,AD153,H153*(M153+AA153))</f>
        <v/>
      </c>
      <c r="AG153">
        <f>I153*(1+X153*AC153)</f>
        <v/>
      </c>
      <c r="AH153">
        <f>AF153*AG153+AE153*AB153</f>
        <v/>
      </c>
    </row>
    <row r="154">
      <c r="A154">
        <f>Moteur!D154</f>
        <v/>
      </c>
      <c r="B154">
        <f>Moteur!B154</f>
        <v/>
      </c>
      <c r="C154">
        <f>Moteur!F154</f>
        <v/>
      </c>
      <c r="D154">
        <f>Moteur!G154</f>
        <v/>
      </c>
      <c r="E154">
        <f>Moteur!H154</f>
        <v/>
      </c>
      <c r="F154">
        <f>Moteur!E154</f>
        <v/>
      </c>
      <c r="G154">
        <f>SUMIFS(Socle!$H$2:$H$175,Socle!$C$2:$C$175,A154,Socle!$D$2:$D$175,C154,Socle!$E$2:$E$175,D154,Socle!$F$2:$F$175,E154,Socle!$G$2:$G$175,"2026")</f>
        <v/>
      </c>
      <c r="H154">
        <f>SUMIFS(Socle!$N$2:$N$175,Socle!$C$2:$C$175,A154,Socle!$D$2:$D$175,C154,Socle!$E$2:$E$175,D154,Socle!$F$2:$F$175,E154,Socle!$G$2:$G$175,"2026")</f>
        <v/>
      </c>
      <c r="I154">
        <f>SUMIFS(Socle!$P$2:$P$175,Socle!$C$2:$C$175,A154,Socle!$D$2:$D$175,C154,Socle!$E$2:$E$175,D154,Socle!$F$2:$F$175,E154,Socle!$G$2:$G$175,"2026")</f>
        <v/>
      </c>
      <c r="J154">
        <f>SUMIFS(Socle!$W$2:$W$175,Socle!$C$2:$C$175,A154,Socle!$D$2:$D$175,C154,Socle!$E$2:$E$175,D154,Socle!$F$2:$F$175,E154,Socle!$G$2:$G$175,"2026")</f>
        <v/>
      </c>
      <c r="K154">
        <f>SUMIFS(Socle!$X$2:$X$175,Socle!$C$2:$C$175,A154,Socle!$D$2:$D$175,C154,Socle!$E$2:$E$175,D154,Socle!$F$2:$F$175,E154,Socle!$G$2:$G$175,"2026")</f>
        <v/>
      </c>
      <c r="L154">
        <f>SUMIFS(Socle!$Y$2:$Y$175,Socle!$C$2:$C$175,A154,Socle!$D$2:$D$175,C154,Socle!$E$2:$E$175,D154,Socle!$F$2:$F$175,E154,Socle!$G$2:$G$175,"2026")</f>
        <v/>
      </c>
      <c r="M154">
        <f>SUMIFS(Socle!$V$2:$V$175,Socle!$C$2:$C$175,A154,Socle!$D$2:$D$175,C154,Socle!$E$2:$E$175,D154,Socle!$F$2:$F$175,E154,Socle!$G$2:$G$175,"2026")</f>
        <v/>
      </c>
      <c r="N154">
        <f>IF(OR(D154="B1",D154="M1",D154="BTS1"),1,0)</f>
        <v/>
      </c>
      <c r="O154">
        <f>SUMIFS(Campagne!$D$2:$D$15,Campagne!$C$2:$C$15,A154)</f>
        <v/>
      </c>
      <c r="P154">
        <f>SUMIFS(Campagne!$E$2:$E$15,Campagne!$C$2:$C$15,A154)</f>
        <v/>
      </c>
      <c r="Q154">
        <f>SUMIFS(Campagne!$F$2:$F$15,Campagne!$C$2:$C$15,A154)</f>
        <v/>
      </c>
      <c r="R154">
        <f>SUMIFS(Campagne!$K$2:$K$15,Campagne!$C$2:$C$15,A154)</f>
        <v/>
      </c>
      <c r="S154">
        <f>SUMIFS(Campagne!$M$2:$M$15,Campagne!$C$2:$C$15,A154)</f>
        <v/>
      </c>
      <c r="T154">
        <f>SUMIFS(Pilotage!$Q$13:$Q$26,Pilotage!$F$13:$F$26,A154)</f>
        <v/>
      </c>
      <c r="U154">
        <f>SUMIFS(Pilotage!$N$13:$N$26,Pilotage!$F$13:$F$26,A154)</f>
        <v/>
      </c>
      <c r="V154">
        <f>IF(B154="V01",cad!$I$21,IF(B154="V02",cad!$J$21,cad!$K$21))</f>
        <v/>
      </c>
      <c r="W154">
        <f>IF(B154="V01",cad!$I$22,IF(B154="V02",cad!$J$22,cad!$K$22))</f>
        <v/>
      </c>
      <c r="X154">
        <f>IF(B154="V01",cad!$I$23,IF(B154="V02",cad!$J$23,cad!$K$23))</f>
        <v/>
      </c>
      <c r="Y154">
        <f>IF(B154="V01",cad!$I$24,IF(B154="V02",cad!$J$24,cad!$K$24))</f>
        <v/>
      </c>
      <c r="Z154">
        <f>IF(B154="V01",cad!$I$25,IF(B154="V02",cad!$J$25,cad!$K$25))</f>
        <v/>
      </c>
      <c r="AA154">
        <f>IF(B154="V01",cad!$I$26,IF(B154="V02",cad!$J$26,cad!$K$26))</f>
        <v/>
      </c>
      <c r="AB154">
        <f>IF(B154="V01",cad!$I$37,IF(B154="V02",cad!$J$37,cad!$K$37))</f>
        <v/>
      </c>
      <c r="AC154">
        <f>IF(F154="MBWAY",cad!$I$9,IF(F154="ISCOM",cad!$I$10,IF(F154="IPAC",cad!$I$11,IF(F154="PIGIER",cad!$I$12,cad!$I$13))))</f>
        <v/>
      </c>
      <c r="AD154">
        <f>(O154*(1+W154)^S154+P154*((T154/U154)*(1+V154))^R154)*IFERROR(G154/Q154,0)*(J154+Y154)*K154*(L154+Z154)</f>
        <v/>
      </c>
      <c r="AE154">
        <f>IF(N154=1,AD154,0)</f>
        <v/>
      </c>
      <c r="AF154">
        <f>IF(N154=1,AD154,H154*(M154+AA154))</f>
        <v/>
      </c>
      <c r="AG154">
        <f>I154*(1+X154*AC154)</f>
        <v/>
      </c>
      <c r="AH154">
        <f>AF154*AG154+AE154*AB154</f>
        <v/>
      </c>
    </row>
    <row r="155">
      <c r="A155">
        <f>Moteur!D155</f>
        <v/>
      </c>
      <c r="B155">
        <f>Moteur!B155</f>
        <v/>
      </c>
      <c r="C155">
        <f>Moteur!F155</f>
        <v/>
      </c>
      <c r="D155">
        <f>Moteur!G155</f>
        <v/>
      </c>
      <c r="E155">
        <f>Moteur!H155</f>
        <v/>
      </c>
      <c r="F155">
        <f>Moteur!E155</f>
        <v/>
      </c>
      <c r="G155">
        <f>SUMIFS(Socle!$H$2:$H$175,Socle!$C$2:$C$175,A155,Socle!$D$2:$D$175,C155,Socle!$E$2:$E$175,D155,Socle!$F$2:$F$175,E155,Socle!$G$2:$G$175,"2026")</f>
        <v/>
      </c>
      <c r="H155">
        <f>SUMIFS(Socle!$N$2:$N$175,Socle!$C$2:$C$175,A155,Socle!$D$2:$D$175,C155,Socle!$E$2:$E$175,D155,Socle!$F$2:$F$175,E155,Socle!$G$2:$G$175,"2026")</f>
        <v/>
      </c>
      <c r="I155">
        <f>SUMIFS(Socle!$P$2:$P$175,Socle!$C$2:$C$175,A155,Socle!$D$2:$D$175,C155,Socle!$E$2:$E$175,D155,Socle!$F$2:$F$175,E155,Socle!$G$2:$G$175,"2026")</f>
        <v/>
      </c>
      <c r="J155">
        <f>SUMIFS(Socle!$W$2:$W$175,Socle!$C$2:$C$175,A155,Socle!$D$2:$D$175,C155,Socle!$E$2:$E$175,D155,Socle!$F$2:$F$175,E155,Socle!$G$2:$G$175,"2026")</f>
        <v/>
      </c>
      <c r="K155">
        <f>SUMIFS(Socle!$X$2:$X$175,Socle!$C$2:$C$175,A155,Socle!$D$2:$D$175,C155,Socle!$E$2:$E$175,D155,Socle!$F$2:$F$175,E155,Socle!$G$2:$G$175,"2026")</f>
        <v/>
      </c>
      <c r="L155">
        <f>SUMIFS(Socle!$Y$2:$Y$175,Socle!$C$2:$C$175,A155,Socle!$D$2:$D$175,C155,Socle!$E$2:$E$175,D155,Socle!$F$2:$F$175,E155,Socle!$G$2:$G$175,"2026")</f>
        <v/>
      </c>
      <c r="M155">
        <f>SUMIFS(Socle!$V$2:$V$175,Socle!$C$2:$C$175,A155,Socle!$D$2:$D$175,C155,Socle!$E$2:$E$175,D155,Socle!$F$2:$F$175,E155,Socle!$G$2:$G$175,"2026")</f>
        <v/>
      </c>
      <c r="N155">
        <f>IF(OR(D155="B1",D155="M1",D155="BTS1"),1,0)</f>
        <v/>
      </c>
      <c r="O155">
        <f>SUMIFS(Campagne!$D$2:$D$15,Campagne!$C$2:$C$15,A155)</f>
        <v/>
      </c>
      <c r="P155">
        <f>SUMIFS(Campagne!$E$2:$E$15,Campagne!$C$2:$C$15,A155)</f>
        <v/>
      </c>
      <c r="Q155">
        <f>SUMIFS(Campagne!$F$2:$F$15,Campagne!$C$2:$C$15,A155)</f>
        <v/>
      </c>
      <c r="R155">
        <f>SUMIFS(Campagne!$K$2:$K$15,Campagne!$C$2:$C$15,A155)</f>
        <v/>
      </c>
      <c r="S155">
        <f>SUMIFS(Campagne!$M$2:$M$15,Campagne!$C$2:$C$15,A155)</f>
        <v/>
      </c>
      <c r="T155">
        <f>SUMIFS(Pilotage!$Q$13:$Q$26,Pilotage!$F$13:$F$26,A155)</f>
        <v/>
      </c>
      <c r="U155">
        <f>SUMIFS(Pilotage!$N$13:$N$26,Pilotage!$F$13:$F$26,A155)</f>
        <v/>
      </c>
      <c r="V155">
        <f>IF(B155="V01",cad!$I$21,IF(B155="V02",cad!$J$21,cad!$K$21))</f>
        <v/>
      </c>
      <c r="W155">
        <f>IF(B155="V01",cad!$I$22,IF(B155="V02",cad!$J$22,cad!$K$22))</f>
        <v/>
      </c>
      <c r="X155">
        <f>IF(B155="V01",cad!$I$23,IF(B155="V02",cad!$J$23,cad!$K$23))</f>
        <v/>
      </c>
      <c r="Y155">
        <f>IF(B155="V01",cad!$I$24,IF(B155="V02",cad!$J$24,cad!$K$24))</f>
        <v/>
      </c>
      <c r="Z155">
        <f>IF(B155="V01",cad!$I$25,IF(B155="V02",cad!$J$25,cad!$K$25))</f>
        <v/>
      </c>
      <c r="AA155">
        <f>IF(B155="V01",cad!$I$26,IF(B155="V02",cad!$J$26,cad!$K$26))</f>
        <v/>
      </c>
      <c r="AB155">
        <f>IF(B155="V01",cad!$I$37,IF(B155="V02",cad!$J$37,cad!$K$37))</f>
        <v/>
      </c>
      <c r="AC155">
        <f>IF(F155="MBWAY",cad!$I$9,IF(F155="ISCOM",cad!$I$10,IF(F155="IPAC",cad!$I$11,IF(F155="PIGIER",cad!$I$12,cad!$I$13))))</f>
        <v/>
      </c>
      <c r="AD155">
        <f>(O155*(1+W155)^S155+P155*((T155/U155)*(1+V155))^R155)*IFERROR(G155/Q155,0)*(J155+Y155)*K155*(L155+Z155)</f>
        <v/>
      </c>
      <c r="AE155">
        <f>IF(N155=1,AD155,0)</f>
        <v/>
      </c>
      <c r="AF155">
        <f>IF(N155=1,AD155,H155*(M155+AA155))</f>
        <v/>
      </c>
      <c r="AG155">
        <f>I155*(1+X155*AC155)</f>
        <v/>
      </c>
      <c r="AH155">
        <f>AF155*AG155+AE155*AB155</f>
        <v/>
      </c>
    </row>
    <row r="156">
      <c r="A156">
        <f>Moteur!D156</f>
        <v/>
      </c>
      <c r="B156">
        <f>Moteur!B156</f>
        <v/>
      </c>
      <c r="C156">
        <f>Moteur!F156</f>
        <v/>
      </c>
      <c r="D156">
        <f>Moteur!G156</f>
        <v/>
      </c>
      <c r="E156">
        <f>Moteur!H156</f>
        <v/>
      </c>
      <c r="F156">
        <f>Moteur!E156</f>
        <v/>
      </c>
      <c r="G156">
        <f>SUMIFS(Socle!$H$2:$H$175,Socle!$C$2:$C$175,A156,Socle!$D$2:$D$175,C156,Socle!$E$2:$E$175,D156,Socle!$F$2:$F$175,E156,Socle!$G$2:$G$175,"2026")</f>
        <v/>
      </c>
      <c r="H156">
        <f>SUMIFS(Socle!$N$2:$N$175,Socle!$C$2:$C$175,A156,Socle!$D$2:$D$175,C156,Socle!$E$2:$E$175,D156,Socle!$F$2:$F$175,E156,Socle!$G$2:$G$175,"2026")</f>
        <v/>
      </c>
      <c r="I156">
        <f>SUMIFS(Socle!$P$2:$P$175,Socle!$C$2:$C$175,A156,Socle!$D$2:$D$175,C156,Socle!$E$2:$E$175,D156,Socle!$F$2:$F$175,E156,Socle!$G$2:$G$175,"2026")</f>
        <v/>
      </c>
      <c r="J156">
        <f>SUMIFS(Socle!$W$2:$W$175,Socle!$C$2:$C$175,A156,Socle!$D$2:$D$175,C156,Socle!$E$2:$E$175,D156,Socle!$F$2:$F$175,E156,Socle!$G$2:$G$175,"2026")</f>
        <v/>
      </c>
      <c r="K156">
        <f>SUMIFS(Socle!$X$2:$X$175,Socle!$C$2:$C$175,A156,Socle!$D$2:$D$175,C156,Socle!$E$2:$E$175,D156,Socle!$F$2:$F$175,E156,Socle!$G$2:$G$175,"2026")</f>
        <v/>
      </c>
      <c r="L156">
        <f>SUMIFS(Socle!$Y$2:$Y$175,Socle!$C$2:$C$175,A156,Socle!$D$2:$D$175,C156,Socle!$E$2:$E$175,D156,Socle!$F$2:$F$175,E156,Socle!$G$2:$G$175,"2026")</f>
        <v/>
      </c>
      <c r="M156">
        <f>SUMIFS(Socle!$V$2:$V$175,Socle!$C$2:$C$175,A156,Socle!$D$2:$D$175,C156,Socle!$E$2:$E$175,D156,Socle!$F$2:$F$175,E156,Socle!$G$2:$G$175,"2026")</f>
        <v/>
      </c>
      <c r="N156">
        <f>IF(OR(D156="B1",D156="M1",D156="BTS1"),1,0)</f>
        <v/>
      </c>
      <c r="O156">
        <f>SUMIFS(Campagne!$D$2:$D$15,Campagne!$C$2:$C$15,A156)</f>
        <v/>
      </c>
      <c r="P156">
        <f>SUMIFS(Campagne!$E$2:$E$15,Campagne!$C$2:$C$15,A156)</f>
        <v/>
      </c>
      <c r="Q156">
        <f>SUMIFS(Campagne!$F$2:$F$15,Campagne!$C$2:$C$15,A156)</f>
        <v/>
      </c>
      <c r="R156">
        <f>SUMIFS(Campagne!$K$2:$K$15,Campagne!$C$2:$C$15,A156)</f>
        <v/>
      </c>
      <c r="S156">
        <f>SUMIFS(Campagne!$M$2:$M$15,Campagne!$C$2:$C$15,A156)</f>
        <v/>
      </c>
      <c r="T156">
        <f>SUMIFS(Pilotage!$Q$13:$Q$26,Pilotage!$F$13:$F$26,A156)</f>
        <v/>
      </c>
      <c r="U156">
        <f>SUMIFS(Pilotage!$N$13:$N$26,Pilotage!$F$13:$F$26,A156)</f>
        <v/>
      </c>
      <c r="V156">
        <f>IF(B156="V01",cad!$I$21,IF(B156="V02",cad!$J$21,cad!$K$21))</f>
        <v/>
      </c>
      <c r="W156">
        <f>IF(B156="V01",cad!$I$22,IF(B156="V02",cad!$J$22,cad!$K$22))</f>
        <v/>
      </c>
      <c r="X156">
        <f>IF(B156="V01",cad!$I$23,IF(B156="V02",cad!$J$23,cad!$K$23))</f>
        <v/>
      </c>
      <c r="Y156">
        <f>IF(B156="V01",cad!$I$24,IF(B156="V02",cad!$J$24,cad!$K$24))</f>
        <v/>
      </c>
      <c r="Z156">
        <f>IF(B156="V01",cad!$I$25,IF(B156="V02",cad!$J$25,cad!$K$25))</f>
        <v/>
      </c>
      <c r="AA156">
        <f>IF(B156="V01",cad!$I$26,IF(B156="V02",cad!$J$26,cad!$K$26))</f>
        <v/>
      </c>
      <c r="AB156">
        <f>IF(B156="V01",cad!$I$37,IF(B156="V02",cad!$J$37,cad!$K$37))</f>
        <v/>
      </c>
      <c r="AC156">
        <f>IF(F156="MBWAY",cad!$I$9,IF(F156="ISCOM",cad!$I$10,IF(F156="IPAC",cad!$I$11,IF(F156="PIGIER",cad!$I$12,cad!$I$13))))</f>
        <v/>
      </c>
      <c r="AD156">
        <f>(O156*(1+W156)^S156+P156*((T156/U156)*(1+V156))^R156)*IFERROR(G156/Q156,0)*(J156+Y156)*K156*(L156+Z156)</f>
        <v/>
      </c>
      <c r="AE156">
        <f>IF(N156=1,AD156,0)</f>
        <v/>
      </c>
      <c r="AF156">
        <f>IF(N156=1,AD156,H156*(M156+AA156))</f>
        <v/>
      </c>
      <c r="AG156">
        <f>I156*(1+X156*AC156)</f>
        <v/>
      </c>
      <c r="AH156">
        <f>AF156*AG156+AE156*AB156</f>
        <v/>
      </c>
    </row>
    <row r="157">
      <c r="A157">
        <f>Moteur!D157</f>
        <v/>
      </c>
      <c r="B157">
        <f>Moteur!B157</f>
        <v/>
      </c>
      <c r="C157">
        <f>Moteur!F157</f>
        <v/>
      </c>
      <c r="D157">
        <f>Moteur!G157</f>
        <v/>
      </c>
      <c r="E157">
        <f>Moteur!H157</f>
        <v/>
      </c>
      <c r="F157">
        <f>Moteur!E157</f>
        <v/>
      </c>
      <c r="G157">
        <f>SUMIFS(Socle!$H$2:$H$175,Socle!$C$2:$C$175,A157,Socle!$D$2:$D$175,C157,Socle!$E$2:$E$175,D157,Socle!$F$2:$F$175,E157,Socle!$G$2:$G$175,"2026")</f>
        <v/>
      </c>
      <c r="H157">
        <f>SUMIFS(Socle!$N$2:$N$175,Socle!$C$2:$C$175,A157,Socle!$D$2:$D$175,C157,Socle!$E$2:$E$175,D157,Socle!$F$2:$F$175,E157,Socle!$G$2:$G$175,"2026")</f>
        <v/>
      </c>
      <c r="I157">
        <f>SUMIFS(Socle!$P$2:$P$175,Socle!$C$2:$C$175,A157,Socle!$D$2:$D$175,C157,Socle!$E$2:$E$175,D157,Socle!$F$2:$F$175,E157,Socle!$G$2:$G$175,"2026")</f>
        <v/>
      </c>
      <c r="J157">
        <f>SUMIFS(Socle!$W$2:$W$175,Socle!$C$2:$C$175,A157,Socle!$D$2:$D$175,C157,Socle!$E$2:$E$175,D157,Socle!$F$2:$F$175,E157,Socle!$G$2:$G$175,"2026")</f>
        <v/>
      </c>
      <c r="K157">
        <f>SUMIFS(Socle!$X$2:$X$175,Socle!$C$2:$C$175,A157,Socle!$D$2:$D$175,C157,Socle!$E$2:$E$175,D157,Socle!$F$2:$F$175,E157,Socle!$G$2:$G$175,"2026")</f>
        <v/>
      </c>
      <c r="L157">
        <f>SUMIFS(Socle!$Y$2:$Y$175,Socle!$C$2:$C$175,A157,Socle!$D$2:$D$175,C157,Socle!$E$2:$E$175,D157,Socle!$F$2:$F$175,E157,Socle!$G$2:$G$175,"2026")</f>
        <v/>
      </c>
      <c r="M157">
        <f>SUMIFS(Socle!$V$2:$V$175,Socle!$C$2:$C$175,A157,Socle!$D$2:$D$175,C157,Socle!$E$2:$E$175,D157,Socle!$F$2:$F$175,E157,Socle!$G$2:$G$175,"2026")</f>
        <v/>
      </c>
      <c r="N157">
        <f>IF(OR(D157="B1",D157="M1",D157="BTS1"),1,0)</f>
        <v/>
      </c>
      <c r="O157">
        <f>SUMIFS(Campagne!$D$2:$D$15,Campagne!$C$2:$C$15,A157)</f>
        <v/>
      </c>
      <c r="P157">
        <f>SUMIFS(Campagne!$E$2:$E$15,Campagne!$C$2:$C$15,A157)</f>
        <v/>
      </c>
      <c r="Q157">
        <f>SUMIFS(Campagne!$F$2:$F$15,Campagne!$C$2:$C$15,A157)</f>
        <v/>
      </c>
      <c r="R157">
        <f>SUMIFS(Campagne!$K$2:$K$15,Campagne!$C$2:$C$15,A157)</f>
        <v/>
      </c>
      <c r="S157">
        <f>SUMIFS(Campagne!$M$2:$M$15,Campagne!$C$2:$C$15,A157)</f>
        <v/>
      </c>
      <c r="T157">
        <f>SUMIFS(Pilotage!$Q$13:$Q$26,Pilotage!$F$13:$F$26,A157)</f>
        <v/>
      </c>
      <c r="U157">
        <f>SUMIFS(Pilotage!$N$13:$N$26,Pilotage!$F$13:$F$26,A157)</f>
        <v/>
      </c>
      <c r="V157">
        <f>IF(B157="V01",cad!$I$21,IF(B157="V02",cad!$J$21,cad!$K$21))</f>
        <v/>
      </c>
      <c r="W157">
        <f>IF(B157="V01",cad!$I$22,IF(B157="V02",cad!$J$22,cad!$K$22))</f>
        <v/>
      </c>
      <c r="X157">
        <f>IF(B157="V01",cad!$I$23,IF(B157="V02",cad!$J$23,cad!$K$23))</f>
        <v/>
      </c>
      <c r="Y157">
        <f>IF(B157="V01",cad!$I$24,IF(B157="V02",cad!$J$24,cad!$K$24))</f>
        <v/>
      </c>
      <c r="Z157">
        <f>IF(B157="V01",cad!$I$25,IF(B157="V02",cad!$J$25,cad!$K$25))</f>
        <v/>
      </c>
      <c r="AA157">
        <f>IF(B157="V01",cad!$I$26,IF(B157="V02",cad!$J$26,cad!$K$26))</f>
        <v/>
      </c>
      <c r="AB157">
        <f>IF(B157="V01",cad!$I$37,IF(B157="V02",cad!$J$37,cad!$K$37))</f>
        <v/>
      </c>
      <c r="AC157">
        <f>IF(F157="MBWAY",cad!$I$9,IF(F157="ISCOM",cad!$I$10,IF(F157="IPAC",cad!$I$11,IF(F157="PIGIER",cad!$I$12,cad!$I$13))))</f>
        <v/>
      </c>
      <c r="AD157">
        <f>(O157*(1+W157)^S157+P157*((T157/U157)*(1+V157))^R157)*IFERROR(G157/Q157,0)*(J157+Y157)*K157*(L157+Z157)</f>
        <v/>
      </c>
      <c r="AE157">
        <f>IF(N157=1,AD157,0)</f>
        <v/>
      </c>
      <c r="AF157">
        <f>IF(N157=1,AD157,H157*(M157+AA157))</f>
        <v/>
      </c>
      <c r="AG157">
        <f>I157*(1+X157*AC157)</f>
        <v/>
      </c>
      <c r="AH157">
        <f>AF157*AG157+AE157*AB157</f>
        <v/>
      </c>
    </row>
    <row r="158">
      <c r="A158">
        <f>Moteur!D158</f>
        <v/>
      </c>
      <c r="B158">
        <f>Moteur!B158</f>
        <v/>
      </c>
      <c r="C158">
        <f>Moteur!F158</f>
        <v/>
      </c>
      <c r="D158">
        <f>Moteur!G158</f>
        <v/>
      </c>
      <c r="E158">
        <f>Moteur!H158</f>
        <v/>
      </c>
      <c r="F158">
        <f>Moteur!E158</f>
        <v/>
      </c>
      <c r="G158">
        <f>SUMIFS(Socle!$H$2:$H$175,Socle!$C$2:$C$175,A158,Socle!$D$2:$D$175,C158,Socle!$E$2:$E$175,D158,Socle!$F$2:$F$175,E158,Socle!$G$2:$G$175,"2026")</f>
        <v/>
      </c>
      <c r="H158">
        <f>SUMIFS(Socle!$N$2:$N$175,Socle!$C$2:$C$175,A158,Socle!$D$2:$D$175,C158,Socle!$E$2:$E$175,D158,Socle!$F$2:$F$175,E158,Socle!$G$2:$G$175,"2026")</f>
        <v/>
      </c>
      <c r="I158">
        <f>SUMIFS(Socle!$P$2:$P$175,Socle!$C$2:$C$175,A158,Socle!$D$2:$D$175,C158,Socle!$E$2:$E$175,D158,Socle!$F$2:$F$175,E158,Socle!$G$2:$G$175,"2026")</f>
        <v/>
      </c>
      <c r="J158">
        <f>SUMIFS(Socle!$W$2:$W$175,Socle!$C$2:$C$175,A158,Socle!$D$2:$D$175,C158,Socle!$E$2:$E$175,D158,Socle!$F$2:$F$175,E158,Socle!$G$2:$G$175,"2026")</f>
        <v/>
      </c>
      <c r="K158">
        <f>SUMIFS(Socle!$X$2:$X$175,Socle!$C$2:$C$175,A158,Socle!$D$2:$D$175,C158,Socle!$E$2:$E$175,D158,Socle!$F$2:$F$175,E158,Socle!$G$2:$G$175,"2026")</f>
        <v/>
      </c>
      <c r="L158">
        <f>SUMIFS(Socle!$Y$2:$Y$175,Socle!$C$2:$C$175,A158,Socle!$D$2:$D$175,C158,Socle!$E$2:$E$175,D158,Socle!$F$2:$F$175,E158,Socle!$G$2:$G$175,"2026")</f>
        <v/>
      </c>
      <c r="M158">
        <f>SUMIFS(Socle!$V$2:$V$175,Socle!$C$2:$C$175,A158,Socle!$D$2:$D$175,C158,Socle!$E$2:$E$175,D158,Socle!$F$2:$F$175,E158,Socle!$G$2:$G$175,"2026")</f>
        <v/>
      </c>
      <c r="N158">
        <f>IF(OR(D158="B1",D158="M1",D158="BTS1"),1,0)</f>
        <v/>
      </c>
      <c r="O158">
        <f>SUMIFS(Campagne!$D$2:$D$15,Campagne!$C$2:$C$15,A158)</f>
        <v/>
      </c>
      <c r="P158">
        <f>SUMIFS(Campagne!$E$2:$E$15,Campagne!$C$2:$C$15,A158)</f>
        <v/>
      </c>
      <c r="Q158">
        <f>SUMIFS(Campagne!$F$2:$F$15,Campagne!$C$2:$C$15,A158)</f>
        <v/>
      </c>
      <c r="R158">
        <f>SUMIFS(Campagne!$K$2:$K$15,Campagne!$C$2:$C$15,A158)</f>
        <v/>
      </c>
      <c r="S158">
        <f>SUMIFS(Campagne!$M$2:$M$15,Campagne!$C$2:$C$15,A158)</f>
        <v/>
      </c>
      <c r="T158">
        <f>SUMIFS(Pilotage!$Q$13:$Q$26,Pilotage!$F$13:$F$26,A158)</f>
        <v/>
      </c>
      <c r="U158">
        <f>SUMIFS(Pilotage!$N$13:$N$26,Pilotage!$F$13:$F$26,A158)</f>
        <v/>
      </c>
      <c r="V158">
        <f>IF(B158="V01",cad!$I$21,IF(B158="V02",cad!$J$21,cad!$K$21))</f>
        <v/>
      </c>
      <c r="W158">
        <f>IF(B158="V01",cad!$I$22,IF(B158="V02",cad!$J$22,cad!$K$22))</f>
        <v/>
      </c>
      <c r="X158">
        <f>IF(B158="V01",cad!$I$23,IF(B158="V02",cad!$J$23,cad!$K$23))</f>
        <v/>
      </c>
      <c r="Y158">
        <f>IF(B158="V01",cad!$I$24,IF(B158="V02",cad!$J$24,cad!$K$24))</f>
        <v/>
      </c>
      <c r="Z158">
        <f>IF(B158="V01",cad!$I$25,IF(B158="V02",cad!$J$25,cad!$K$25))</f>
        <v/>
      </c>
      <c r="AA158">
        <f>IF(B158="V01",cad!$I$26,IF(B158="V02",cad!$J$26,cad!$K$26))</f>
        <v/>
      </c>
      <c r="AB158">
        <f>IF(B158="V01",cad!$I$37,IF(B158="V02",cad!$J$37,cad!$K$37))</f>
        <v/>
      </c>
      <c r="AC158">
        <f>IF(F158="MBWAY",cad!$I$9,IF(F158="ISCOM",cad!$I$10,IF(F158="IPAC",cad!$I$11,IF(F158="PIGIER",cad!$I$12,cad!$I$13))))</f>
        <v/>
      </c>
      <c r="AD158">
        <f>(O158*(1+W158)^S158+P158*((T158/U158)*(1+V158))^R158)*IFERROR(G158/Q158,0)*(J158+Y158)*K158*(L158+Z158)</f>
        <v/>
      </c>
      <c r="AE158">
        <f>IF(N158=1,AD158,0)</f>
        <v/>
      </c>
      <c r="AF158">
        <f>IF(N158=1,AD158,H158*(M158+AA158))</f>
        <v/>
      </c>
      <c r="AG158">
        <f>I158*(1+X158*AC158)</f>
        <v/>
      </c>
      <c r="AH158">
        <f>AF158*AG158+AE158*AB158</f>
        <v/>
      </c>
    </row>
    <row r="159">
      <c r="A159">
        <f>Moteur!D159</f>
        <v/>
      </c>
      <c r="B159">
        <f>Moteur!B159</f>
        <v/>
      </c>
      <c r="C159">
        <f>Moteur!F159</f>
        <v/>
      </c>
      <c r="D159">
        <f>Moteur!G159</f>
        <v/>
      </c>
      <c r="E159">
        <f>Moteur!H159</f>
        <v/>
      </c>
      <c r="F159">
        <f>Moteur!E159</f>
        <v/>
      </c>
      <c r="G159">
        <f>SUMIFS(Socle!$H$2:$H$175,Socle!$C$2:$C$175,A159,Socle!$D$2:$D$175,C159,Socle!$E$2:$E$175,D159,Socle!$F$2:$F$175,E159,Socle!$G$2:$G$175,"2026")</f>
        <v/>
      </c>
      <c r="H159">
        <f>SUMIFS(Socle!$N$2:$N$175,Socle!$C$2:$C$175,A159,Socle!$D$2:$D$175,C159,Socle!$E$2:$E$175,D159,Socle!$F$2:$F$175,E159,Socle!$G$2:$G$175,"2026")</f>
        <v/>
      </c>
      <c r="I159">
        <f>SUMIFS(Socle!$P$2:$P$175,Socle!$C$2:$C$175,A159,Socle!$D$2:$D$175,C159,Socle!$E$2:$E$175,D159,Socle!$F$2:$F$175,E159,Socle!$G$2:$G$175,"2026")</f>
        <v/>
      </c>
      <c r="J159">
        <f>SUMIFS(Socle!$W$2:$W$175,Socle!$C$2:$C$175,A159,Socle!$D$2:$D$175,C159,Socle!$E$2:$E$175,D159,Socle!$F$2:$F$175,E159,Socle!$G$2:$G$175,"2026")</f>
        <v/>
      </c>
      <c r="K159">
        <f>SUMIFS(Socle!$X$2:$X$175,Socle!$C$2:$C$175,A159,Socle!$D$2:$D$175,C159,Socle!$E$2:$E$175,D159,Socle!$F$2:$F$175,E159,Socle!$G$2:$G$175,"2026")</f>
        <v/>
      </c>
      <c r="L159">
        <f>SUMIFS(Socle!$Y$2:$Y$175,Socle!$C$2:$C$175,A159,Socle!$D$2:$D$175,C159,Socle!$E$2:$E$175,D159,Socle!$F$2:$F$175,E159,Socle!$G$2:$G$175,"2026")</f>
        <v/>
      </c>
      <c r="M159">
        <f>SUMIFS(Socle!$V$2:$V$175,Socle!$C$2:$C$175,A159,Socle!$D$2:$D$175,C159,Socle!$E$2:$E$175,D159,Socle!$F$2:$F$175,E159,Socle!$G$2:$G$175,"2026")</f>
        <v/>
      </c>
      <c r="N159">
        <f>IF(OR(D159="B1",D159="M1",D159="BTS1"),1,0)</f>
        <v/>
      </c>
      <c r="O159">
        <f>SUMIFS(Campagne!$D$2:$D$15,Campagne!$C$2:$C$15,A159)</f>
        <v/>
      </c>
      <c r="P159">
        <f>SUMIFS(Campagne!$E$2:$E$15,Campagne!$C$2:$C$15,A159)</f>
        <v/>
      </c>
      <c r="Q159">
        <f>SUMIFS(Campagne!$F$2:$F$15,Campagne!$C$2:$C$15,A159)</f>
        <v/>
      </c>
      <c r="R159">
        <f>SUMIFS(Campagne!$K$2:$K$15,Campagne!$C$2:$C$15,A159)</f>
        <v/>
      </c>
      <c r="S159">
        <f>SUMIFS(Campagne!$M$2:$M$15,Campagne!$C$2:$C$15,A159)</f>
        <v/>
      </c>
      <c r="T159">
        <f>SUMIFS(Pilotage!$Q$13:$Q$26,Pilotage!$F$13:$F$26,A159)</f>
        <v/>
      </c>
      <c r="U159">
        <f>SUMIFS(Pilotage!$N$13:$N$26,Pilotage!$F$13:$F$26,A159)</f>
        <v/>
      </c>
      <c r="V159">
        <f>IF(B159="V01",cad!$I$21,IF(B159="V02",cad!$J$21,cad!$K$21))</f>
        <v/>
      </c>
      <c r="W159">
        <f>IF(B159="V01",cad!$I$22,IF(B159="V02",cad!$J$22,cad!$K$22))</f>
        <v/>
      </c>
      <c r="X159">
        <f>IF(B159="V01",cad!$I$23,IF(B159="V02",cad!$J$23,cad!$K$23))</f>
        <v/>
      </c>
      <c r="Y159">
        <f>IF(B159="V01",cad!$I$24,IF(B159="V02",cad!$J$24,cad!$K$24))</f>
        <v/>
      </c>
      <c r="Z159">
        <f>IF(B159="V01",cad!$I$25,IF(B159="V02",cad!$J$25,cad!$K$25))</f>
        <v/>
      </c>
      <c r="AA159">
        <f>IF(B159="V01",cad!$I$26,IF(B159="V02",cad!$J$26,cad!$K$26))</f>
        <v/>
      </c>
      <c r="AB159">
        <f>IF(B159="V01",cad!$I$37,IF(B159="V02",cad!$J$37,cad!$K$37))</f>
        <v/>
      </c>
      <c r="AC159">
        <f>IF(F159="MBWAY",cad!$I$9,IF(F159="ISCOM",cad!$I$10,IF(F159="IPAC",cad!$I$11,IF(F159="PIGIER",cad!$I$12,cad!$I$13))))</f>
        <v/>
      </c>
      <c r="AD159">
        <f>(O159*(1+W159)^S159+P159*((T159/U159)*(1+V159))^R159)*IFERROR(G159/Q159,0)*(J159+Y159)*K159*(L159+Z159)</f>
        <v/>
      </c>
      <c r="AE159">
        <f>IF(N159=1,AD159,0)</f>
        <v/>
      </c>
      <c r="AF159">
        <f>IF(N159=1,AD159,H159*(M159+AA159))</f>
        <v/>
      </c>
      <c r="AG159">
        <f>I159*(1+X159*AC159)</f>
        <v/>
      </c>
      <c r="AH159">
        <f>AF159*AG159+AE159*AB159</f>
        <v/>
      </c>
    </row>
    <row r="160">
      <c r="A160">
        <f>Moteur!D160</f>
        <v/>
      </c>
      <c r="B160">
        <f>Moteur!B160</f>
        <v/>
      </c>
      <c r="C160">
        <f>Moteur!F160</f>
        <v/>
      </c>
      <c r="D160">
        <f>Moteur!G160</f>
        <v/>
      </c>
      <c r="E160">
        <f>Moteur!H160</f>
        <v/>
      </c>
      <c r="F160">
        <f>Moteur!E160</f>
        <v/>
      </c>
      <c r="G160">
        <f>SUMIFS(Socle!$H$2:$H$175,Socle!$C$2:$C$175,A160,Socle!$D$2:$D$175,C160,Socle!$E$2:$E$175,D160,Socle!$F$2:$F$175,E160,Socle!$G$2:$G$175,"2026")</f>
        <v/>
      </c>
      <c r="H160">
        <f>SUMIFS(Socle!$N$2:$N$175,Socle!$C$2:$C$175,A160,Socle!$D$2:$D$175,C160,Socle!$E$2:$E$175,D160,Socle!$F$2:$F$175,E160,Socle!$G$2:$G$175,"2026")</f>
        <v/>
      </c>
      <c r="I160">
        <f>SUMIFS(Socle!$P$2:$P$175,Socle!$C$2:$C$175,A160,Socle!$D$2:$D$175,C160,Socle!$E$2:$E$175,D160,Socle!$F$2:$F$175,E160,Socle!$G$2:$G$175,"2026")</f>
        <v/>
      </c>
      <c r="J160">
        <f>SUMIFS(Socle!$W$2:$W$175,Socle!$C$2:$C$175,A160,Socle!$D$2:$D$175,C160,Socle!$E$2:$E$175,D160,Socle!$F$2:$F$175,E160,Socle!$G$2:$G$175,"2026")</f>
        <v/>
      </c>
      <c r="K160">
        <f>SUMIFS(Socle!$X$2:$X$175,Socle!$C$2:$C$175,A160,Socle!$D$2:$D$175,C160,Socle!$E$2:$E$175,D160,Socle!$F$2:$F$175,E160,Socle!$G$2:$G$175,"2026")</f>
        <v/>
      </c>
      <c r="L160">
        <f>SUMIFS(Socle!$Y$2:$Y$175,Socle!$C$2:$C$175,A160,Socle!$D$2:$D$175,C160,Socle!$E$2:$E$175,D160,Socle!$F$2:$F$175,E160,Socle!$G$2:$G$175,"2026")</f>
        <v/>
      </c>
      <c r="M160">
        <f>SUMIFS(Socle!$V$2:$V$175,Socle!$C$2:$C$175,A160,Socle!$D$2:$D$175,C160,Socle!$E$2:$E$175,D160,Socle!$F$2:$F$175,E160,Socle!$G$2:$G$175,"2026")</f>
        <v/>
      </c>
      <c r="N160">
        <f>IF(OR(D160="B1",D160="M1",D160="BTS1"),1,0)</f>
        <v/>
      </c>
      <c r="O160">
        <f>SUMIFS(Campagne!$D$2:$D$15,Campagne!$C$2:$C$15,A160)</f>
        <v/>
      </c>
      <c r="P160">
        <f>SUMIFS(Campagne!$E$2:$E$15,Campagne!$C$2:$C$15,A160)</f>
        <v/>
      </c>
      <c r="Q160">
        <f>SUMIFS(Campagne!$F$2:$F$15,Campagne!$C$2:$C$15,A160)</f>
        <v/>
      </c>
      <c r="R160">
        <f>SUMIFS(Campagne!$K$2:$K$15,Campagne!$C$2:$C$15,A160)</f>
        <v/>
      </c>
      <c r="S160">
        <f>SUMIFS(Campagne!$M$2:$M$15,Campagne!$C$2:$C$15,A160)</f>
        <v/>
      </c>
      <c r="T160">
        <f>SUMIFS(Pilotage!$Q$13:$Q$26,Pilotage!$F$13:$F$26,A160)</f>
        <v/>
      </c>
      <c r="U160">
        <f>SUMIFS(Pilotage!$N$13:$N$26,Pilotage!$F$13:$F$26,A160)</f>
        <v/>
      </c>
      <c r="V160">
        <f>IF(B160="V01",cad!$I$21,IF(B160="V02",cad!$J$21,cad!$K$21))</f>
        <v/>
      </c>
      <c r="W160">
        <f>IF(B160="V01",cad!$I$22,IF(B160="V02",cad!$J$22,cad!$K$22))</f>
        <v/>
      </c>
      <c r="X160">
        <f>IF(B160="V01",cad!$I$23,IF(B160="V02",cad!$J$23,cad!$K$23))</f>
        <v/>
      </c>
      <c r="Y160">
        <f>IF(B160="V01",cad!$I$24,IF(B160="V02",cad!$J$24,cad!$K$24))</f>
        <v/>
      </c>
      <c r="Z160">
        <f>IF(B160="V01",cad!$I$25,IF(B160="V02",cad!$J$25,cad!$K$25))</f>
        <v/>
      </c>
      <c r="AA160">
        <f>IF(B160="V01",cad!$I$26,IF(B160="V02",cad!$J$26,cad!$K$26))</f>
        <v/>
      </c>
      <c r="AB160">
        <f>IF(B160="V01",cad!$I$37,IF(B160="V02",cad!$J$37,cad!$K$37))</f>
        <v/>
      </c>
      <c r="AC160">
        <f>IF(F160="MBWAY",cad!$I$9,IF(F160="ISCOM",cad!$I$10,IF(F160="IPAC",cad!$I$11,IF(F160="PIGIER",cad!$I$12,cad!$I$13))))</f>
        <v/>
      </c>
      <c r="AD160">
        <f>(O160*(1+W160)^S160+P160*((T160/U160)*(1+V160))^R160)*IFERROR(G160/Q160,0)*(J160+Y160)*K160*(L160+Z160)</f>
        <v/>
      </c>
      <c r="AE160">
        <f>IF(N160=1,AD160,0)</f>
        <v/>
      </c>
      <c r="AF160">
        <f>IF(N160=1,AD160,H160*(M160+AA160))</f>
        <v/>
      </c>
      <c r="AG160">
        <f>I160*(1+X160*AC160)</f>
        <v/>
      </c>
      <c r="AH160">
        <f>AF160*AG160+AE160*AB160</f>
        <v/>
      </c>
    </row>
    <row r="161">
      <c r="A161">
        <f>Moteur!D161</f>
        <v/>
      </c>
      <c r="B161">
        <f>Moteur!B161</f>
        <v/>
      </c>
      <c r="C161">
        <f>Moteur!F161</f>
        <v/>
      </c>
      <c r="D161">
        <f>Moteur!G161</f>
        <v/>
      </c>
      <c r="E161">
        <f>Moteur!H161</f>
        <v/>
      </c>
      <c r="F161">
        <f>Moteur!E161</f>
        <v/>
      </c>
      <c r="G161">
        <f>SUMIFS(Socle!$H$2:$H$175,Socle!$C$2:$C$175,A161,Socle!$D$2:$D$175,C161,Socle!$E$2:$E$175,D161,Socle!$F$2:$F$175,E161,Socle!$G$2:$G$175,"2026")</f>
        <v/>
      </c>
      <c r="H161">
        <f>SUMIFS(Socle!$N$2:$N$175,Socle!$C$2:$C$175,A161,Socle!$D$2:$D$175,C161,Socle!$E$2:$E$175,D161,Socle!$F$2:$F$175,E161,Socle!$G$2:$G$175,"2026")</f>
        <v/>
      </c>
      <c r="I161">
        <f>SUMIFS(Socle!$P$2:$P$175,Socle!$C$2:$C$175,A161,Socle!$D$2:$D$175,C161,Socle!$E$2:$E$175,D161,Socle!$F$2:$F$175,E161,Socle!$G$2:$G$175,"2026")</f>
        <v/>
      </c>
      <c r="J161">
        <f>SUMIFS(Socle!$W$2:$W$175,Socle!$C$2:$C$175,A161,Socle!$D$2:$D$175,C161,Socle!$E$2:$E$175,D161,Socle!$F$2:$F$175,E161,Socle!$G$2:$G$175,"2026")</f>
        <v/>
      </c>
      <c r="K161">
        <f>SUMIFS(Socle!$X$2:$X$175,Socle!$C$2:$C$175,A161,Socle!$D$2:$D$175,C161,Socle!$E$2:$E$175,D161,Socle!$F$2:$F$175,E161,Socle!$G$2:$G$175,"2026")</f>
        <v/>
      </c>
      <c r="L161">
        <f>SUMIFS(Socle!$Y$2:$Y$175,Socle!$C$2:$C$175,A161,Socle!$D$2:$D$175,C161,Socle!$E$2:$E$175,D161,Socle!$F$2:$F$175,E161,Socle!$G$2:$G$175,"2026")</f>
        <v/>
      </c>
      <c r="M161">
        <f>SUMIFS(Socle!$V$2:$V$175,Socle!$C$2:$C$175,A161,Socle!$D$2:$D$175,C161,Socle!$E$2:$E$175,D161,Socle!$F$2:$F$175,E161,Socle!$G$2:$G$175,"2026")</f>
        <v/>
      </c>
      <c r="N161">
        <f>IF(OR(D161="B1",D161="M1",D161="BTS1"),1,0)</f>
        <v/>
      </c>
      <c r="O161">
        <f>SUMIFS(Campagne!$D$2:$D$15,Campagne!$C$2:$C$15,A161)</f>
        <v/>
      </c>
      <c r="P161">
        <f>SUMIFS(Campagne!$E$2:$E$15,Campagne!$C$2:$C$15,A161)</f>
        <v/>
      </c>
      <c r="Q161">
        <f>SUMIFS(Campagne!$F$2:$F$15,Campagne!$C$2:$C$15,A161)</f>
        <v/>
      </c>
      <c r="R161">
        <f>SUMIFS(Campagne!$K$2:$K$15,Campagne!$C$2:$C$15,A161)</f>
        <v/>
      </c>
      <c r="S161">
        <f>SUMIFS(Campagne!$M$2:$M$15,Campagne!$C$2:$C$15,A161)</f>
        <v/>
      </c>
      <c r="T161">
        <f>SUMIFS(Pilotage!$Q$13:$Q$26,Pilotage!$F$13:$F$26,A161)</f>
        <v/>
      </c>
      <c r="U161">
        <f>SUMIFS(Pilotage!$N$13:$N$26,Pilotage!$F$13:$F$26,A161)</f>
        <v/>
      </c>
      <c r="V161">
        <f>IF(B161="V01",cad!$I$21,IF(B161="V02",cad!$J$21,cad!$K$21))</f>
        <v/>
      </c>
      <c r="W161">
        <f>IF(B161="V01",cad!$I$22,IF(B161="V02",cad!$J$22,cad!$K$22))</f>
        <v/>
      </c>
      <c r="X161">
        <f>IF(B161="V01",cad!$I$23,IF(B161="V02",cad!$J$23,cad!$K$23))</f>
        <v/>
      </c>
      <c r="Y161">
        <f>IF(B161="V01",cad!$I$24,IF(B161="V02",cad!$J$24,cad!$K$24))</f>
        <v/>
      </c>
      <c r="Z161">
        <f>IF(B161="V01",cad!$I$25,IF(B161="V02",cad!$J$25,cad!$K$25))</f>
        <v/>
      </c>
      <c r="AA161">
        <f>IF(B161="V01",cad!$I$26,IF(B161="V02",cad!$J$26,cad!$K$26))</f>
        <v/>
      </c>
      <c r="AB161">
        <f>IF(B161="V01",cad!$I$37,IF(B161="V02",cad!$J$37,cad!$K$37))</f>
        <v/>
      </c>
      <c r="AC161">
        <f>IF(F161="MBWAY",cad!$I$9,IF(F161="ISCOM",cad!$I$10,IF(F161="IPAC",cad!$I$11,IF(F161="PIGIER",cad!$I$12,cad!$I$13))))</f>
        <v/>
      </c>
      <c r="AD161">
        <f>(O161*(1+W161)^S161+P161*((T161/U161)*(1+V161))^R161)*IFERROR(G161/Q161,0)*(J161+Y161)*K161*(L161+Z161)</f>
        <v/>
      </c>
      <c r="AE161">
        <f>IF(N161=1,AD161,0)</f>
        <v/>
      </c>
      <c r="AF161">
        <f>IF(N161=1,AD161,H161*(M161+AA161))</f>
        <v/>
      </c>
      <c r="AG161">
        <f>I161*(1+X161*AC161)</f>
        <v/>
      </c>
      <c r="AH161">
        <f>AF161*AG161+AE161*AB161</f>
        <v/>
      </c>
    </row>
    <row r="162">
      <c r="A162">
        <f>Moteur!D162</f>
        <v/>
      </c>
      <c r="B162">
        <f>Moteur!B162</f>
        <v/>
      </c>
      <c r="C162">
        <f>Moteur!F162</f>
        <v/>
      </c>
      <c r="D162">
        <f>Moteur!G162</f>
        <v/>
      </c>
      <c r="E162">
        <f>Moteur!H162</f>
        <v/>
      </c>
      <c r="F162">
        <f>Moteur!E162</f>
        <v/>
      </c>
      <c r="G162">
        <f>SUMIFS(Socle!$H$2:$H$175,Socle!$C$2:$C$175,A162,Socle!$D$2:$D$175,C162,Socle!$E$2:$E$175,D162,Socle!$F$2:$F$175,E162,Socle!$G$2:$G$175,"2026")</f>
        <v/>
      </c>
      <c r="H162">
        <f>SUMIFS(Socle!$N$2:$N$175,Socle!$C$2:$C$175,A162,Socle!$D$2:$D$175,C162,Socle!$E$2:$E$175,D162,Socle!$F$2:$F$175,E162,Socle!$G$2:$G$175,"2026")</f>
        <v/>
      </c>
      <c r="I162">
        <f>SUMIFS(Socle!$P$2:$P$175,Socle!$C$2:$C$175,A162,Socle!$D$2:$D$175,C162,Socle!$E$2:$E$175,D162,Socle!$F$2:$F$175,E162,Socle!$G$2:$G$175,"2026")</f>
        <v/>
      </c>
      <c r="J162">
        <f>SUMIFS(Socle!$W$2:$W$175,Socle!$C$2:$C$175,A162,Socle!$D$2:$D$175,C162,Socle!$E$2:$E$175,D162,Socle!$F$2:$F$175,E162,Socle!$G$2:$G$175,"2026")</f>
        <v/>
      </c>
      <c r="K162">
        <f>SUMIFS(Socle!$X$2:$X$175,Socle!$C$2:$C$175,A162,Socle!$D$2:$D$175,C162,Socle!$E$2:$E$175,D162,Socle!$F$2:$F$175,E162,Socle!$G$2:$G$175,"2026")</f>
        <v/>
      </c>
      <c r="L162">
        <f>SUMIFS(Socle!$Y$2:$Y$175,Socle!$C$2:$C$175,A162,Socle!$D$2:$D$175,C162,Socle!$E$2:$E$175,D162,Socle!$F$2:$F$175,E162,Socle!$G$2:$G$175,"2026")</f>
        <v/>
      </c>
      <c r="M162">
        <f>SUMIFS(Socle!$V$2:$V$175,Socle!$C$2:$C$175,A162,Socle!$D$2:$D$175,C162,Socle!$E$2:$E$175,D162,Socle!$F$2:$F$175,E162,Socle!$G$2:$G$175,"2026")</f>
        <v/>
      </c>
      <c r="N162">
        <f>IF(OR(D162="B1",D162="M1",D162="BTS1"),1,0)</f>
        <v/>
      </c>
      <c r="O162">
        <f>SUMIFS(Campagne!$D$2:$D$15,Campagne!$C$2:$C$15,A162)</f>
        <v/>
      </c>
      <c r="P162">
        <f>SUMIFS(Campagne!$E$2:$E$15,Campagne!$C$2:$C$15,A162)</f>
        <v/>
      </c>
      <c r="Q162">
        <f>SUMIFS(Campagne!$F$2:$F$15,Campagne!$C$2:$C$15,A162)</f>
        <v/>
      </c>
      <c r="R162">
        <f>SUMIFS(Campagne!$K$2:$K$15,Campagne!$C$2:$C$15,A162)</f>
        <v/>
      </c>
      <c r="S162">
        <f>SUMIFS(Campagne!$M$2:$M$15,Campagne!$C$2:$C$15,A162)</f>
        <v/>
      </c>
      <c r="T162">
        <f>SUMIFS(Pilotage!$Q$13:$Q$26,Pilotage!$F$13:$F$26,A162)</f>
        <v/>
      </c>
      <c r="U162">
        <f>SUMIFS(Pilotage!$N$13:$N$26,Pilotage!$F$13:$F$26,A162)</f>
        <v/>
      </c>
      <c r="V162">
        <f>IF(B162="V01",cad!$I$21,IF(B162="V02",cad!$J$21,cad!$K$21))</f>
        <v/>
      </c>
      <c r="W162">
        <f>IF(B162="V01",cad!$I$22,IF(B162="V02",cad!$J$22,cad!$K$22))</f>
        <v/>
      </c>
      <c r="X162">
        <f>IF(B162="V01",cad!$I$23,IF(B162="V02",cad!$J$23,cad!$K$23))</f>
        <v/>
      </c>
      <c r="Y162">
        <f>IF(B162="V01",cad!$I$24,IF(B162="V02",cad!$J$24,cad!$K$24))</f>
        <v/>
      </c>
      <c r="Z162">
        <f>IF(B162="V01",cad!$I$25,IF(B162="V02",cad!$J$25,cad!$K$25))</f>
        <v/>
      </c>
      <c r="AA162">
        <f>IF(B162="V01",cad!$I$26,IF(B162="V02",cad!$J$26,cad!$K$26))</f>
        <v/>
      </c>
      <c r="AB162">
        <f>IF(B162="V01",cad!$I$37,IF(B162="V02",cad!$J$37,cad!$K$37))</f>
        <v/>
      </c>
      <c r="AC162">
        <f>IF(F162="MBWAY",cad!$I$9,IF(F162="ISCOM",cad!$I$10,IF(F162="IPAC",cad!$I$11,IF(F162="PIGIER",cad!$I$12,cad!$I$13))))</f>
        <v/>
      </c>
      <c r="AD162">
        <f>(O162*(1+W162)^S162+P162*((T162/U162)*(1+V162))^R162)*IFERROR(G162/Q162,0)*(J162+Y162)*K162*(L162+Z162)</f>
        <v/>
      </c>
      <c r="AE162">
        <f>IF(N162=1,AD162,0)</f>
        <v/>
      </c>
      <c r="AF162">
        <f>IF(N162=1,AD162,H162*(M162+AA162))</f>
        <v/>
      </c>
      <c r="AG162">
        <f>I162*(1+X162*AC162)</f>
        <v/>
      </c>
      <c r="AH162">
        <f>AF162*AG162+AE162*AB162</f>
        <v/>
      </c>
    </row>
    <row r="163">
      <c r="A163">
        <f>Moteur!D163</f>
        <v/>
      </c>
      <c r="B163">
        <f>Moteur!B163</f>
        <v/>
      </c>
      <c r="C163">
        <f>Moteur!F163</f>
        <v/>
      </c>
      <c r="D163">
        <f>Moteur!G163</f>
        <v/>
      </c>
      <c r="E163">
        <f>Moteur!H163</f>
        <v/>
      </c>
      <c r="F163">
        <f>Moteur!E163</f>
        <v/>
      </c>
      <c r="G163">
        <f>SUMIFS(Socle!$H$2:$H$175,Socle!$C$2:$C$175,A163,Socle!$D$2:$D$175,C163,Socle!$E$2:$E$175,D163,Socle!$F$2:$F$175,E163,Socle!$G$2:$G$175,"2026")</f>
        <v/>
      </c>
      <c r="H163">
        <f>SUMIFS(Socle!$N$2:$N$175,Socle!$C$2:$C$175,A163,Socle!$D$2:$D$175,C163,Socle!$E$2:$E$175,D163,Socle!$F$2:$F$175,E163,Socle!$G$2:$G$175,"2026")</f>
        <v/>
      </c>
      <c r="I163">
        <f>SUMIFS(Socle!$P$2:$P$175,Socle!$C$2:$C$175,A163,Socle!$D$2:$D$175,C163,Socle!$E$2:$E$175,D163,Socle!$F$2:$F$175,E163,Socle!$G$2:$G$175,"2026")</f>
        <v/>
      </c>
      <c r="J163">
        <f>SUMIFS(Socle!$W$2:$W$175,Socle!$C$2:$C$175,A163,Socle!$D$2:$D$175,C163,Socle!$E$2:$E$175,D163,Socle!$F$2:$F$175,E163,Socle!$G$2:$G$175,"2026")</f>
        <v/>
      </c>
      <c r="K163">
        <f>SUMIFS(Socle!$X$2:$X$175,Socle!$C$2:$C$175,A163,Socle!$D$2:$D$175,C163,Socle!$E$2:$E$175,D163,Socle!$F$2:$F$175,E163,Socle!$G$2:$G$175,"2026")</f>
        <v/>
      </c>
      <c r="L163">
        <f>SUMIFS(Socle!$Y$2:$Y$175,Socle!$C$2:$C$175,A163,Socle!$D$2:$D$175,C163,Socle!$E$2:$E$175,D163,Socle!$F$2:$F$175,E163,Socle!$G$2:$G$175,"2026")</f>
        <v/>
      </c>
      <c r="M163">
        <f>SUMIFS(Socle!$V$2:$V$175,Socle!$C$2:$C$175,A163,Socle!$D$2:$D$175,C163,Socle!$E$2:$E$175,D163,Socle!$F$2:$F$175,E163,Socle!$G$2:$G$175,"2026")</f>
        <v/>
      </c>
      <c r="N163">
        <f>IF(OR(D163="B1",D163="M1",D163="BTS1"),1,0)</f>
        <v/>
      </c>
      <c r="O163">
        <f>SUMIFS(Campagne!$D$2:$D$15,Campagne!$C$2:$C$15,A163)</f>
        <v/>
      </c>
      <c r="P163">
        <f>SUMIFS(Campagne!$E$2:$E$15,Campagne!$C$2:$C$15,A163)</f>
        <v/>
      </c>
      <c r="Q163">
        <f>SUMIFS(Campagne!$F$2:$F$15,Campagne!$C$2:$C$15,A163)</f>
        <v/>
      </c>
      <c r="R163">
        <f>SUMIFS(Campagne!$K$2:$K$15,Campagne!$C$2:$C$15,A163)</f>
        <v/>
      </c>
      <c r="S163">
        <f>SUMIFS(Campagne!$M$2:$M$15,Campagne!$C$2:$C$15,A163)</f>
        <v/>
      </c>
      <c r="T163">
        <f>SUMIFS(Pilotage!$Q$13:$Q$26,Pilotage!$F$13:$F$26,A163)</f>
        <v/>
      </c>
      <c r="U163">
        <f>SUMIFS(Pilotage!$N$13:$N$26,Pilotage!$F$13:$F$26,A163)</f>
        <v/>
      </c>
      <c r="V163">
        <f>IF(B163="V01",cad!$I$21,IF(B163="V02",cad!$J$21,cad!$K$21))</f>
        <v/>
      </c>
      <c r="W163">
        <f>IF(B163="V01",cad!$I$22,IF(B163="V02",cad!$J$22,cad!$K$22))</f>
        <v/>
      </c>
      <c r="X163">
        <f>IF(B163="V01",cad!$I$23,IF(B163="V02",cad!$J$23,cad!$K$23))</f>
        <v/>
      </c>
      <c r="Y163">
        <f>IF(B163="V01",cad!$I$24,IF(B163="V02",cad!$J$24,cad!$K$24))</f>
        <v/>
      </c>
      <c r="Z163">
        <f>IF(B163="V01",cad!$I$25,IF(B163="V02",cad!$J$25,cad!$K$25))</f>
        <v/>
      </c>
      <c r="AA163">
        <f>IF(B163="V01",cad!$I$26,IF(B163="V02",cad!$J$26,cad!$K$26))</f>
        <v/>
      </c>
      <c r="AB163">
        <f>IF(B163="V01",cad!$I$37,IF(B163="V02",cad!$J$37,cad!$K$37))</f>
        <v/>
      </c>
      <c r="AC163">
        <f>IF(F163="MBWAY",cad!$I$9,IF(F163="ISCOM",cad!$I$10,IF(F163="IPAC",cad!$I$11,IF(F163="PIGIER",cad!$I$12,cad!$I$13))))</f>
        <v/>
      </c>
      <c r="AD163">
        <f>(O163*(1+W163)^S163+P163*((T163/U163)*(1+V163))^R163)*IFERROR(G163/Q163,0)*(J163+Y163)*K163*(L163+Z163)</f>
        <v/>
      </c>
      <c r="AE163">
        <f>IF(N163=1,AD163,0)</f>
        <v/>
      </c>
      <c r="AF163">
        <f>IF(N163=1,AD163,H163*(M163+AA163))</f>
        <v/>
      </c>
      <c r="AG163">
        <f>I163*(1+X163*AC163)</f>
        <v/>
      </c>
      <c r="AH163">
        <f>AF163*AG163+AE163*AB163</f>
        <v/>
      </c>
    </row>
    <row r="164">
      <c r="A164">
        <f>Moteur!D164</f>
        <v/>
      </c>
      <c r="B164">
        <f>Moteur!B164</f>
        <v/>
      </c>
      <c r="C164">
        <f>Moteur!F164</f>
        <v/>
      </c>
      <c r="D164">
        <f>Moteur!G164</f>
        <v/>
      </c>
      <c r="E164">
        <f>Moteur!H164</f>
        <v/>
      </c>
      <c r="F164">
        <f>Moteur!E164</f>
        <v/>
      </c>
      <c r="G164">
        <f>SUMIFS(Socle!$H$2:$H$175,Socle!$C$2:$C$175,A164,Socle!$D$2:$D$175,C164,Socle!$E$2:$E$175,D164,Socle!$F$2:$F$175,E164,Socle!$G$2:$G$175,"2026")</f>
        <v/>
      </c>
      <c r="H164">
        <f>SUMIFS(Socle!$N$2:$N$175,Socle!$C$2:$C$175,A164,Socle!$D$2:$D$175,C164,Socle!$E$2:$E$175,D164,Socle!$F$2:$F$175,E164,Socle!$G$2:$G$175,"2026")</f>
        <v/>
      </c>
      <c r="I164">
        <f>SUMIFS(Socle!$P$2:$P$175,Socle!$C$2:$C$175,A164,Socle!$D$2:$D$175,C164,Socle!$E$2:$E$175,D164,Socle!$F$2:$F$175,E164,Socle!$G$2:$G$175,"2026")</f>
        <v/>
      </c>
      <c r="J164">
        <f>SUMIFS(Socle!$W$2:$W$175,Socle!$C$2:$C$175,A164,Socle!$D$2:$D$175,C164,Socle!$E$2:$E$175,D164,Socle!$F$2:$F$175,E164,Socle!$G$2:$G$175,"2026")</f>
        <v/>
      </c>
      <c r="K164">
        <f>SUMIFS(Socle!$X$2:$X$175,Socle!$C$2:$C$175,A164,Socle!$D$2:$D$175,C164,Socle!$E$2:$E$175,D164,Socle!$F$2:$F$175,E164,Socle!$G$2:$G$175,"2026")</f>
        <v/>
      </c>
      <c r="L164">
        <f>SUMIFS(Socle!$Y$2:$Y$175,Socle!$C$2:$C$175,A164,Socle!$D$2:$D$175,C164,Socle!$E$2:$E$175,D164,Socle!$F$2:$F$175,E164,Socle!$G$2:$G$175,"2026")</f>
        <v/>
      </c>
      <c r="M164">
        <f>SUMIFS(Socle!$V$2:$V$175,Socle!$C$2:$C$175,A164,Socle!$D$2:$D$175,C164,Socle!$E$2:$E$175,D164,Socle!$F$2:$F$175,E164,Socle!$G$2:$G$175,"2026")</f>
        <v/>
      </c>
      <c r="N164">
        <f>IF(OR(D164="B1",D164="M1",D164="BTS1"),1,0)</f>
        <v/>
      </c>
      <c r="O164">
        <f>SUMIFS(Campagne!$D$2:$D$15,Campagne!$C$2:$C$15,A164)</f>
        <v/>
      </c>
      <c r="P164">
        <f>SUMIFS(Campagne!$E$2:$E$15,Campagne!$C$2:$C$15,A164)</f>
        <v/>
      </c>
      <c r="Q164">
        <f>SUMIFS(Campagne!$F$2:$F$15,Campagne!$C$2:$C$15,A164)</f>
        <v/>
      </c>
      <c r="R164">
        <f>SUMIFS(Campagne!$K$2:$K$15,Campagne!$C$2:$C$15,A164)</f>
        <v/>
      </c>
      <c r="S164">
        <f>SUMIFS(Campagne!$M$2:$M$15,Campagne!$C$2:$C$15,A164)</f>
        <v/>
      </c>
      <c r="T164">
        <f>SUMIFS(Pilotage!$Q$13:$Q$26,Pilotage!$F$13:$F$26,A164)</f>
        <v/>
      </c>
      <c r="U164">
        <f>SUMIFS(Pilotage!$N$13:$N$26,Pilotage!$F$13:$F$26,A164)</f>
        <v/>
      </c>
      <c r="V164">
        <f>IF(B164="V01",cad!$I$21,IF(B164="V02",cad!$J$21,cad!$K$21))</f>
        <v/>
      </c>
      <c r="W164">
        <f>IF(B164="V01",cad!$I$22,IF(B164="V02",cad!$J$22,cad!$K$22))</f>
        <v/>
      </c>
      <c r="X164">
        <f>IF(B164="V01",cad!$I$23,IF(B164="V02",cad!$J$23,cad!$K$23))</f>
        <v/>
      </c>
      <c r="Y164">
        <f>IF(B164="V01",cad!$I$24,IF(B164="V02",cad!$J$24,cad!$K$24))</f>
        <v/>
      </c>
      <c r="Z164">
        <f>IF(B164="V01",cad!$I$25,IF(B164="V02",cad!$J$25,cad!$K$25))</f>
        <v/>
      </c>
      <c r="AA164">
        <f>IF(B164="V01",cad!$I$26,IF(B164="V02",cad!$J$26,cad!$K$26))</f>
        <v/>
      </c>
      <c r="AB164">
        <f>IF(B164="V01",cad!$I$37,IF(B164="V02",cad!$J$37,cad!$K$37))</f>
        <v/>
      </c>
      <c r="AC164">
        <f>IF(F164="MBWAY",cad!$I$9,IF(F164="ISCOM",cad!$I$10,IF(F164="IPAC",cad!$I$11,IF(F164="PIGIER",cad!$I$12,cad!$I$13))))</f>
        <v/>
      </c>
      <c r="AD164">
        <f>(O164*(1+W164)^S164+P164*((T164/U164)*(1+V164))^R164)*IFERROR(G164/Q164,0)*(J164+Y164)*K164*(L164+Z164)</f>
        <v/>
      </c>
      <c r="AE164">
        <f>IF(N164=1,AD164,0)</f>
        <v/>
      </c>
      <c r="AF164">
        <f>IF(N164=1,AD164,H164*(M164+AA164))</f>
        <v/>
      </c>
      <c r="AG164">
        <f>I164*(1+X164*AC164)</f>
        <v/>
      </c>
      <c r="AH164">
        <f>AF164*AG164+AE164*AB164</f>
        <v/>
      </c>
    </row>
    <row r="165">
      <c r="A165">
        <f>Moteur!D165</f>
        <v/>
      </c>
      <c r="B165">
        <f>Moteur!B165</f>
        <v/>
      </c>
      <c r="C165">
        <f>Moteur!F165</f>
        <v/>
      </c>
      <c r="D165">
        <f>Moteur!G165</f>
        <v/>
      </c>
      <c r="E165">
        <f>Moteur!H165</f>
        <v/>
      </c>
      <c r="F165">
        <f>Moteur!E165</f>
        <v/>
      </c>
      <c r="G165">
        <f>SUMIFS(Socle!$H$2:$H$175,Socle!$C$2:$C$175,A165,Socle!$D$2:$D$175,C165,Socle!$E$2:$E$175,D165,Socle!$F$2:$F$175,E165,Socle!$G$2:$G$175,"2026")</f>
        <v/>
      </c>
      <c r="H165">
        <f>SUMIFS(Socle!$N$2:$N$175,Socle!$C$2:$C$175,A165,Socle!$D$2:$D$175,C165,Socle!$E$2:$E$175,D165,Socle!$F$2:$F$175,E165,Socle!$G$2:$G$175,"2026")</f>
        <v/>
      </c>
      <c r="I165">
        <f>SUMIFS(Socle!$P$2:$P$175,Socle!$C$2:$C$175,A165,Socle!$D$2:$D$175,C165,Socle!$E$2:$E$175,D165,Socle!$F$2:$F$175,E165,Socle!$G$2:$G$175,"2026")</f>
        <v/>
      </c>
      <c r="J165">
        <f>SUMIFS(Socle!$W$2:$W$175,Socle!$C$2:$C$175,A165,Socle!$D$2:$D$175,C165,Socle!$E$2:$E$175,D165,Socle!$F$2:$F$175,E165,Socle!$G$2:$G$175,"2026")</f>
        <v/>
      </c>
      <c r="K165">
        <f>SUMIFS(Socle!$X$2:$X$175,Socle!$C$2:$C$175,A165,Socle!$D$2:$D$175,C165,Socle!$E$2:$E$175,D165,Socle!$F$2:$F$175,E165,Socle!$G$2:$G$175,"2026")</f>
        <v/>
      </c>
      <c r="L165">
        <f>SUMIFS(Socle!$Y$2:$Y$175,Socle!$C$2:$C$175,A165,Socle!$D$2:$D$175,C165,Socle!$E$2:$E$175,D165,Socle!$F$2:$F$175,E165,Socle!$G$2:$G$175,"2026")</f>
        <v/>
      </c>
      <c r="M165">
        <f>SUMIFS(Socle!$V$2:$V$175,Socle!$C$2:$C$175,A165,Socle!$D$2:$D$175,C165,Socle!$E$2:$E$175,D165,Socle!$F$2:$F$175,E165,Socle!$G$2:$G$175,"2026")</f>
        <v/>
      </c>
      <c r="N165">
        <f>IF(OR(D165="B1",D165="M1",D165="BTS1"),1,0)</f>
        <v/>
      </c>
      <c r="O165">
        <f>SUMIFS(Campagne!$D$2:$D$15,Campagne!$C$2:$C$15,A165)</f>
        <v/>
      </c>
      <c r="P165">
        <f>SUMIFS(Campagne!$E$2:$E$15,Campagne!$C$2:$C$15,A165)</f>
        <v/>
      </c>
      <c r="Q165">
        <f>SUMIFS(Campagne!$F$2:$F$15,Campagne!$C$2:$C$15,A165)</f>
        <v/>
      </c>
      <c r="R165">
        <f>SUMIFS(Campagne!$K$2:$K$15,Campagne!$C$2:$C$15,A165)</f>
        <v/>
      </c>
      <c r="S165">
        <f>SUMIFS(Campagne!$M$2:$M$15,Campagne!$C$2:$C$15,A165)</f>
        <v/>
      </c>
      <c r="T165">
        <f>SUMIFS(Pilotage!$Q$13:$Q$26,Pilotage!$F$13:$F$26,A165)</f>
        <v/>
      </c>
      <c r="U165">
        <f>SUMIFS(Pilotage!$N$13:$N$26,Pilotage!$F$13:$F$26,A165)</f>
        <v/>
      </c>
      <c r="V165">
        <f>IF(B165="V01",cad!$I$21,IF(B165="V02",cad!$J$21,cad!$K$21))</f>
        <v/>
      </c>
      <c r="W165">
        <f>IF(B165="V01",cad!$I$22,IF(B165="V02",cad!$J$22,cad!$K$22))</f>
        <v/>
      </c>
      <c r="X165">
        <f>IF(B165="V01",cad!$I$23,IF(B165="V02",cad!$J$23,cad!$K$23))</f>
        <v/>
      </c>
      <c r="Y165">
        <f>IF(B165="V01",cad!$I$24,IF(B165="V02",cad!$J$24,cad!$K$24))</f>
        <v/>
      </c>
      <c r="Z165">
        <f>IF(B165="V01",cad!$I$25,IF(B165="V02",cad!$J$25,cad!$K$25))</f>
        <v/>
      </c>
      <c r="AA165">
        <f>IF(B165="V01",cad!$I$26,IF(B165="V02",cad!$J$26,cad!$K$26))</f>
        <v/>
      </c>
      <c r="AB165">
        <f>IF(B165="V01",cad!$I$37,IF(B165="V02",cad!$J$37,cad!$K$37))</f>
        <v/>
      </c>
      <c r="AC165">
        <f>IF(F165="MBWAY",cad!$I$9,IF(F165="ISCOM",cad!$I$10,IF(F165="IPAC",cad!$I$11,IF(F165="PIGIER",cad!$I$12,cad!$I$13))))</f>
        <v/>
      </c>
      <c r="AD165">
        <f>(O165*(1+W165)^S165+P165*((T165/U165)*(1+V165))^R165)*IFERROR(G165/Q165,0)*(J165+Y165)*K165*(L165+Z165)</f>
        <v/>
      </c>
      <c r="AE165">
        <f>IF(N165=1,AD165,0)</f>
        <v/>
      </c>
      <c r="AF165">
        <f>IF(N165=1,AD165,H165*(M165+AA165))</f>
        <v/>
      </c>
      <c r="AG165">
        <f>I165*(1+X165*AC165)</f>
        <v/>
      </c>
      <c r="AH165">
        <f>AF165*AG165+AE165*AB165</f>
        <v/>
      </c>
    </row>
    <row r="166">
      <c r="A166">
        <f>Moteur!D166</f>
        <v/>
      </c>
      <c r="B166">
        <f>Moteur!B166</f>
        <v/>
      </c>
      <c r="C166">
        <f>Moteur!F166</f>
        <v/>
      </c>
      <c r="D166">
        <f>Moteur!G166</f>
        <v/>
      </c>
      <c r="E166">
        <f>Moteur!H166</f>
        <v/>
      </c>
      <c r="F166">
        <f>Moteur!E166</f>
        <v/>
      </c>
      <c r="G166">
        <f>SUMIFS(Socle!$H$2:$H$175,Socle!$C$2:$C$175,A166,Socle!$D$2:$D$175,C166,Socle!$E$2:$E$175,D166,Socle!$F$2:$F$175,E166,Socle!$G$2:$G$175,"2026")</f>
        <v/>
      </c>
      <c r="H166">
        <f>SUMIFS(Socle!$N$2:$N$175,Socle!$C$2:$C$175,A166,Socle!$D$2:$D$175,C166,Socle!$E$2:$E$175,D166,Socle!$F$2:$F$175,E166,Socle!$G$2:$G$175,"2026")</f>
        <v/>
      </c>
      <c r="I166">
        <f>SUMIFS(Socle!$P$2:$P$175,Socle!$C$2:$C$175,A166,Socle!$D$2:$D$175,C166,Socle!$E$2:$E$175,D166,Socle!$F$2:$F$175,E166,Socle!$G$2:$G$175,"2026")</f>
        <v/>
      </c>
      <c r="J166">
        <f>SUMIFS(Socle!$W$2:$W$175,Socle!$C$2:$C$175,A166,Socle!$D$2:$D$175,C166,Socle!$E$2:$E$175,D166,Socle!$F$2:$F$175,E166,Socle!$G$2:$G$175,"2026")</f>
        <v/>
      </c>
      <c r="K166">
        <f>SUMIFS(Socle!$X$2:$X$175,Socle!$C$2:$C$175,A166,Socle!$D$2:$D$175,C166,Socle!$E$2:$E$175,D166,Socle!$F$2:$F$175,E166,Socle!$G$2:$G$175,"2026")</f>
        <v/>
      </c>
      <c r="L166">
        <f>SUMIFS(Socle!$Y$2:$Y$175,Socle!$C$2:$C$175,A166,Socle!$D$2:$D$175,C166,Socle!$E$2:$E$175,D166,Socle!$F$2:$F$175,E166,Socle!$G$2:$G$175,"2026")</f>
        <v/>
      </c>
      <c r="M166">
        <f>SUMIFS(Socle!$V$2:$V$175,Socle!$C$2:$C$175,A166,Socle!$D$2:$D$175,C166,Socle!$E$2:$E$175,D166,Socle!$F$2:$F$175,E166,Socle!$G$2:$G$175,"2026")</f>
        <v/>
      </c>
      <c r="N166">
        <f>IF(OR(D166="B1",D166="M1",D166="BTS1"),1,0)</f>
        <v/>
      </c>
      <c r="O166">
        <f>SUMIFS(Campagne!$D$2:$D$15,Campagne!$C$2:$C$15,A166)</f>
        <v/>
      </c>
      <c r="P166">
        <f>SUMIFS(Campagne!$E$2:$E$15,Campagne!$C$2:$C$15,A166)</f>
        <v/>
      </c>
      <c r="Q166">
        <f>SUMIFS(Campagne!$F$2:$F$15,Campagne!$C$2:$C$15,A166)</f>
        <v/>
      </c>
      <c r="R166">
        <f>SUMIFS(Campagne!$K$2:$K$15,Campagne!$C$2:$C$15,A166)</f>
        <v/>
      </c>
      <c r="S166">
        <f>SUMIFS(Campagne!$M$2:$M$15,Campagne!$C$2:$C$15,A166)</f>
        <v/>
      </c>
      <c r="T166">
        <f>SUMIFS(Pilotage!$Q$13:$Q$26,Pilotage!$F$13:$F$26,A166)</f>
        <v/>
      </c>
      <c r="U166">
        <f>SUMIFS(Pilotage!$N$13:$N$26,Pilotage!$F$13:$F$26,A166)</f>
        <v/>
      </c>
      <c r="V166">
        <f>IF(B166="V01",cad!$I$21,IF(B166="V02",cad!$J$21,cad!$K$21))</f>
        <v/>
      </c>
      <c r="W166">
        <f>IF(B166="V01",cad!$I$22,IF(B166="V02",cad!$J$22,cad!$K$22))</f>
        <v/>
      </c>
      <c r="X166">
        <f>IF(B166="V01",cad!$I$23,IF(B166="V02",cad!$J$23,cad!$K$23))</f>
        <v/>
      </c>
      <c r="Y166">
        <f>IF(B166="V01",cad!$I$24,IF(B166="V02",cad!$J$24,cad!$K$24))</f>
        <v/>
      </c>
      <c r="Z166">
        <f>IF(B166="V01",cad!$I$25,IF(B166="V02",cad!$J$25,cad!$K$25))</f>
        <v/>
      </c>
      <c r="AA166">
        <f>IF(B166="V01",cad!$I$26,IF(B166="V02",cad!$J$26,cad!$K$26))</f>
        <v/>
      </c>
      <c r="AB166">
        <f>IF(B166="V01",cad!$I$37,IF(B166="V02",cad!$J$37,cad!$K$37))</f>
        <v/>
      </c>
      <c r="AC166">
        <f>IF(F166="MBWAY",cad!$I$9,IF(F166="ISCOM",cad!$I$10,IF(F166="IPAC",cad!$I$11,IF(F166="PIGIER",cad!$I$12,cad!$I$13))))</f>
        <v/>
      </c>
      <c r="AD166">
        <f>(O166*(1+W166)^S166+P166*((T166/U166)*(1+V166))^R166)*IFERROR(G166/Q166,0)*(J166+Y166)*K166*(L166+Z166)</f>
        <v/>
      </c>
      <c r="AE166">
        <f>IF(N166=1,AD166,0)</f>
        <v/>
      </c>
      <c r="AF166">
        <f>IF(N166=1,AD166,H166*(M166+AA166))</f>
        <v/>
      </c>
      <c r="AG166">
        <f>I166*(1+X166*AC166)</f>
        <v/>
      </c>
      <c r="AH166">
        <f>AF166*AG166+AE166*AB166</f>
        <v/>
      </c>
    </row>
    <row r="167">
      <c r="A167">
        <f>Moteur!D167</f>
        <v/>
      </c>
      <c r="B167">
        <f>Moteur!B167</f>
        <v/>
      </c>
      <c r="C167">
        <f>Moteur!F167</f>
        <v/>
      </c>
      <c r="D167">
        <f>Moteur!G167</f>
        <v/>
      </c>
      <c r="E167">
        <f>Moteur!H167</f>
        <v/>
      </c>
      <c r="F167">
        <f>Moteur!E167</f>
        <v/>
      </c>
      <c r="G167">
        <f>SUMIFS(Socle!$H$2:$H$175,Socle!$C$2:$C$175,A167,Socle!$D$2:$D$175,C167,Socle!$E$2:$E$175,D167,Socle!$F$2:$F$175,E167,Socle!$G$2:$G$175,"2026")</f>
        <v/>
      </c>
      <c r="H167">
        <f>SUMIFS(Socle!$N$2:$N$175,Socle!$C$2:$C$175,A167,Socle!$D$2:$D$175,C167,Socle!$E$2:$E$175,D167,Socle!$F$2:$F$175,E167,Socle!$G$2:$G$175,"2026")</f>
        <v/>
      </c>
      <c r="I167">
        <f>SUMIFS(Socle!$P$2:$P$175,Socle!$C$2:$C$175,A167,Socle!$D$2:$D$175,C167,Socle!$E$2:$E$175,D167,Socle!$F$2:$F$175,E167,Socle!$G$2:$G$175,"2026")</f>
        <v/>
      </c>
      <c r="J167">
        <f>SUMIFS(Socle!$W$2:$W$175,Socle!$C$2:$C$175,A167,Socle!$D$2:$D$175,C167,Socle!$E$2:$E$175,D167,Socle!$F$2:$F$175,E167,Socle!$G$2:$G$175,"2026")</f>
        <v/>
      </c>
      <c r="K167">
        <f>SUMIFS(Socle!$X$2:$X$175,Socle!$C$2:$C$175,A167,Socle!$D$2:$D$175,C167,Socle!$E$2:$E$175,D167,Socle!$F$2:$F$175,E167,Socle!$G$2:$G$175,"2026")</f>
        <v/>
      </c>
      <c r="L167">
        <f>SUMIFS(Socle!$Y$2:$Y$175,Socle!$C$2:$C$175,A167,Socle!$D$2:$D$175,C167,Socle!$E$2:$E$175,D167,Socle!$F$2:$F$175,E167,Socle!$G$2:$G$175,"2026")</f>
        <v/>
      </c>
      <c r="M167">
        <f>SUMIFS(Socle!$V$2:$V$175,Socle!$C$2:$C$175,A167,Socle!$D$2:$D$175,C167,Socle!$E$2:$E$175,D167,Socle!$F$2:$F$175,E167,Socle!$G$2:$G$175,"2026")</f>
        <v/>
      </c>
      <c r="N167">
        <f>IF(OR(D167="B1",D167="M1",D167="BTS1"),1,0)</f>
        <v/>
      </c>
      <c r="O167">
        <f>SUMIFS(Campagne!$D$2:$D$15,Campagne!$C$2:$C$15,A167)</f>
        <v/>
      </c>
      <c r="P167">
        <f>SUMIFS(Campagne!$E$2:$E$15,Campagne!$C$2:$C$15,A167)</f>
        <v/>
      </c>
      <c r="Q167">
        <f>SUMIFS(Campagne!$F$2:$F$15,Campagne!$C$2:$C$15,A167)</f>
        <v/>
      </c>
      <c r="R167">
        <f>SUMIFS(Campagne!$K$2:$K$15,Campagne!$C$2:$C$15,A167)</f>
        <v/>
      </c>
      <c r="S167">
        <f>SUMIFS(Campagne!$M$2:$M$15,Campagne!$C$2:$C$15,A167)</f>
        <v/>
      </c>
      <c r="T167">
        <f>SUMIFS(Pilotage!$Q$13:$Q$26,Pilotage!$F$13:$F$26,A167)</f>
        <v/>
      </c>
      <c r="U167">
        <f>SUMIFS(Pilotage!$N$13:$N$26,Pilotage!$F$13:$F$26,A167)</f>
        <v/>
      </c>
      <c r="V167">
        <f>IF(B167="V01",cad!$I$21,IF(B167="V02",cad!$J$21,cad!$K$21))</f>
        <v/>
      </c>
      <c r="W167">
        <f>IF(B167="V01",cad!$I$22,IF(B167="V02",cad!$J$22,cad!$K$22))</f>
        <v/>
      </c>
      <c r="X167">
        <f>IF(B167="V01",cad!$I$23,IF(B167="V02",cad!$J$23,cad!$K$23))</f>
        <v/>
      </c>
      <c r="Y167">
        <f>IF(B167="V01",cad!$I$24,IF(B167="V02",cad!$J$24,cad!$K$24))</f>
        <v/>
      </c>
      <c r="Z167">
        <f>IF(B167="V01",cad!$I$25,IF(B167="V02",cad!$J$25,cad!$K$25))</f>
        <v/>
      </c>
      <c r="AA167">
        <f>IF(B167="V01",cad!$I$26,IF(B167="V02",cad!$J$26,cad!$K$26))</f>
        <v/>
      </c>
      <c r="AB167">
        <f>IF(B167="V01",cad!$I$37,IF(B167="V02",cad!$J$37,cad!$K$37))</f>
        <v/>
      </c>
      <c r="AC167">
        <f>IF(F167="MBWAY",cad!$I$9,IF(F167="ISCOM",cad!$I$10,IF(F167="IPAC",cad!$I$11,IF(F167="PIGIER",cad!$I$12,cad!$I$13))))</f>
        <v/>
      </c>
      <c r="AD167">
        <f>(O167*(1+W167)^S167+P167*((T167/U167)*(1+V167))^R167)*IFERROR(G167/Q167,0)*(J167+Y167)*K167*(L167+Z167)</f>
        <v/>
      </c>
      <c r="AE167">
        <f>IF(N167=1,AD167,0)</f>
        <v/>
      </c>
      <c r="AF167">
        <f>IF(N167=1,AD167,H167*(M167+AA167))</f>
        <v/>
      </c>
      <c r="AG167">
        <f>I167*(1+X167*AC167)</f>
        <v/>
      </c>
      <c r="AH167">
        <f>AF167*AG167+AE167*AB167</f>
        <v/>
      </c>
    </row>
    <row r="168">
      <c r="A168">
        <f>Moteur!D168</f>
        <v/>
      </c>
      <c r="B168">
        <f>Moteur!B168</f>
        <v/>
      </c>
      <c r="C168">
        <f>Moteur!F168</f>
        <v/>
      </c>
      <c r="D168">
        <f>Moteur!G168</f>
        <v/>
      </c>
      <c r="E168">
        <f>Moteur!H168</f>
        <v/>
      </c>
      <c r="F168">
        <f>Moteur!E168</f>
        <v/>
      </c>
      <c r="G168">
        <f>SUMIFS(Socle!$H$2:$H$175,Socle!$C$2:$C$175,A168,Socle!$D$2:$D$175,C168,Socle!$E$2:$E$175,D168,Socle!$F$2:$F$175,E168,Socle!$G$2:$G$175,"2026")</f>
        <v/>
      </c>
      <c r="H168">
        <f>SUMIFS(Socle!$N$2:$N$175,Socle!$C$2:$C$175,A168,Socle!$D$2:$D$175,C168,Socle!$E$2:$E$175,D168,Socle!$F$2:$F$175,E168,Socle!$G$2:$G$175,"2026")</f>
        <v/>
      </c>
      <c r="I168">
        <f>SUMIFS(Socle!$P$2:$P$175,Socle!$C$2:$C$175,A168,Socle!$D$2:$D$175,C168,Socle!$E$2:$E$175,D168,Socle!$F$2:$F$175,E168,Socle!$G$2:$G$175,"2026")</f>
        <v/>
      </c>
      <c r="J168">
        <f>SUMIFS(Socle!$W$2:$W$175,Socle!$C$2:$C$175,A168,Socle!$D$2:$D$175,C168,Socle!$E$2:$E$175,D168,Socle!$F$2:$F$175,E168,Socle!$G$2:$G$175,"2026")</f>
        <v/>
      </c>
      <c r="K168">
        <f>SUMIFS(Socle!$X$2:$X$175,Socle!$C$2:$C$175,A168,Socle!$D$2:$D$175,C168,Socle!$E$2:$E$175,D168,Socle!$F$2:$F$175,E168,Socle!$G$2:$G$175,"2026")</f>
        <v/>
      </c>
      <c r="L168">
        <f>SUMIFS(Socle!$Y$2:$Y$175,Socle!$C$2:$C$175,A168,Socle!$D$2:$D$175,C168,Socle!$E$2:$E$175,D168,Socle!$F$2:$F$175,E168,Socle!$G$2:$G$175,"2026")</f>
        <v/>
      </c>
      <c r="M168">
        <f>SUMIFS(Socle!$V$2:$V$175,Socle!$C$2:$C$175,A168,Socle!$D$2:$D$175,C168,Socle!$E$2:$E$175,D168,Socle!$F$2:$F$175,E168,Socle!$G$2:$G$175,"2026")</f>
        <v/>
      </c>
      <c r="N168">
        <f>IF(OR(D168="B1",D168="M1",D168="BTS1"),1,0)</f>
        <v/>
      </c>
      <c r="O168">
        <f>SUMIFS(Campagne!$D$2:$D$15,Campagne!$C$2:$C$15,A168)</f>
        <v/>
      </c>
      <c r="P168">
        <f>SUMIFS(Campagne!$E$2:$E$15,Campagne!$C$2:$C$15,A168)</f>
        <v/>
      </c>
      <c r="Q168">
        <f>SUMIFS(Campagne!$F$2:$F$15,Campagne!$C$2:$C$15,A168)</f>
        <v/>
      </c>
      <c r="R168">
        <f>SUMIFS(Campagne!$K$2:$K$15,Campagne!$C$2:$C$15,A168)</f>
        <v/>
      </c>
      <c r="S168">
        <f>SUMIFS(Campagne!$M$2:$M$15,Campagne!$C$2:$C$15,A168)</f>
        <v/>
      </c>
      <c r="T168">
        <f>SUMIFS(Pilotage!$Q$13:$Q$26,Pilotage!$F$13:$F$26,A168)</f>
        <v/>
      </c>
      <c r="U168">
        <f>SUMIFS(Pilotage!$N$13:$N$26,Pilotage!$F$13:$F$26,A168)</f>
        <v/>
      </c>
      <c r="V168">
        <f>IF(B168="V01",cad!$I$21,IF(B168="V02",cad!$J$21,cad!$K$21))</f>
        <v/>
      </c>
      <c r="W168">
        <f>IF(B168="V01",cad!$I$22,IF(B168="V02",cad!$J$22,cad!$K$22))</f>
        <v/>
      </c>
      <c r="X168">
        <f>IF(B168="V01",cad!$I$23,IF(B168="V02",cad!$J$23,cad!$K$23))</f>
        <v/>
      </c>
      <c r="Y168">
        <f>IF(B168="V01",cad!$I$24,IF(B168="V02",cad!$J$24,cad!$K$24))</f>
        <v/>
      </c>
      <c r="Z168">
        <f>IF(B168="V01",cad!$I$25,IF(B168="V02",cad!$J$25,cad!$K$25))</f>
        <v/>
      </c>
      <c r="AA168">
        <f>IF(B168="V01",cad!$I$26,IF(B168="V02",cad!$J$26,cad!$K$26))</f>
        <v/>
      </c>
      <c r="AB168">
        <f>IF(B168="V01",cad!$I$37,IF(B168="V02",cad!$J$37,cad!$K$37))</f>
        <v/>
      </c>
      <c r="AC168">
        <f>IF(F168="MBWAY",cad!$I$9,IF(F168="ISCOM",cad!$I$10,IF(F168="IPAC",cad!$I$11,IF(F168="PIGIER",cad!$I$12,cad!$I$13))))</f>
        <v/>
      </c>
      <c r="AD168">
        <f>(O168*(1+W168)^S168+P168*((T168/U168)*(1+V168))^R168)*IFERROR(G168/Q168,0)*(J168+Y168)*K168*(L168+Z168)</f>
        <v/>
      </c>
      <c r="AE168">
        <f>IF(N168=1,AD168,0)</f>
        <v/>
      </c>
      <c r="AF168">
        <f>IF(N168=1,AD168,H168*(M168+AA168))</f>
        <v/>
      </c>
      <c r="AG168">
        <f>I168*(1+X168*AC168)</f>
        <v/>
      </c>
      <c r="AH168">
        <f>AF168*AG168+AE168*AB168</f>
        <v/>
      </c>
    </row>
    <row r="169">
      <c r="A169">
        <f>Moteur!D169</f>
        <v/>
      </c>
      <c r="B169">
        <f>Moteur!B169</f>
        <v/>
      </c>
      <c r="C169">
        <f>Moteur!F169</f>
        <v/>
      </c>
      <c r="D169">
        <f>Moteur!G169</f>
        <v/>
      </c>
      <c r="E169">
        <f>Moteur!H169</f>
        <v/>
      </c>
      <c r="F169">
        <f>Moteur!E169</f>
        <v/>
      </c>
      <c r="G169">
        <f>SUMIFS(Socle!$H$2:$H$175,Socle!$C$2:$C$175,A169,Socle!$D$2:$D$175,C169,Socle!$E$2:$E$175,D169,Socle!$F$2:$F$175,E169,Socle!$G$2:$G$175,"2026")</f>
        <v/>
      </c>
      <c r="H169">
        <f>SUMIFS(Socle!$N$2:$N$175,Socle!$C$2:$C$175,A169,Socle!$D$2:$D$175,C169,Socle!$E$2:$E$175,D169,Socle!$F$2:$F$175,E169,Socle!$G$2:$G$175,"2026")</f>
        <v/>
      </c>
      <c r="I169">
        <f>SUMIFS(Socle!$P$2:$P$175,Socle!$C$2:$C$175,A169,Socle!$D$2:$D$175,C169,Socle!$E$2:$E$175,D169,Socle!$F$2:$F$175,E169,Socle!$G$2:$G$175,"2026")</f>
        <v/>
      </c>
      <c r="J169">
        <f>SUMIFS(Socle!$W$2:$W$175,Socle!$C$2:$C$175,A169,Socle!$D$2:$D$175,C169,Socle!$E$2:$E$175,D169,Socle!$F$2:$F$175,E169,Socle!$G$2:$G$175,"2026")</f>
        <v/>
      </c>
      <c r="K169">
        <f>SUMIFS(Socle!$X$2:$X$175,Socle!$C$2:$C$175,A169,Socle!$D$2:$D$175,C169,Socle!$E$2:$E$175,D169,Socle!$F$2:$F$175,E169,Socle!$G$2:$G$175,"2026")</f>
        <v/>
      </c>
      <c r="L169">
        <f>SUMIFS(Socle!$Y$2:$Y$175,Socle!$C$2:$C$175,A169,Socle!$D$2:$D$175,C169,Socle!$E$2:$E$175,D169,Socle!$F$2:$F$175,E169,Socle!$G$2:$G$175,"2026")</f>
        <v/>
      </c>
      <c r="M169">
        <f>SUMIFS(Socle!$V$2:$V$175,Socle!$C$2:$C$175,A169,Socle!$D$2:$D$175,C169,Socle!$E$2:$E$175,D169,Socle!$F$2:$F$175,E169,Socle!$G$2:$G$175,"2026")</f>
        <v/>
      </c>
      <c r="N169">
        <f>IF(OR(D169="B1",D169="M1",D169="BTS1"),1,0)</f>
        <v/>
      </c>
      <c r="O169">
        <f>SUMIFS(Campagne!$D$2:$D$15,Campagne!$C$2:$C$15,A169)</f>
        <v/>
      </c>
      <c r="P169">
        <f>SUMIFS(Campagne!$E$2:$E$15,Campagne!$C$2:$C$15,A169)</f>
        <v/>
      </c>
      <c r="Q169">
        <f>SUMIFS(Campagne!$F$2:$F$15,Campagne!$C$2:$C$15,A169)</f>
        <v/>
      </c>
      <c r="R169">
        <f>SUMIFS(Campagne!$K$2:$K$15,Campagne!$C$2:$C$15,A169)</f>
        <v/>
      </c>
      <c r="S169">
        <f>SUMIFS(Campagne!$M$2:$M$15,Campagne!$C$2:$C$15,A169)</f>
        <v/>
      </c>
      <c r="T169">
        <f>SUMIFS(Pilotage!$Q$13:$Q$26,Pilotage!$F$13:$F$26,A169)</f>
        <v/>
      </c>
      <c r="U169">
        <f>SUMIFS(Pilotage!$N$13:$N$26,Pilotage!$F$13:$F$26,A169)</f>
        <v/>
      </c>
      <c r="V169">
        <f>IF(B169="V01",cad!$I$21,IF(B169="V02",cad!$J$21,cad!$K$21))</f>
        <v/>
      </c>
      <c r="W169">
        <f>IF(B169="V01",cad!$I$22,IF(B169="V02",cad!$J$22,cad!$K$22))</f>
        <v/>
      </c>
      <c r="X169">
        <f>IF(B169="V01",cad!$I$23,IF(B169="V02",cad!$J$23,cad!$K$23))</f>
        <v/>
      </c>
      <c r="Y169">
        <f>IF(B169="V01",cad!$I$24,IF(B169="V02",cad!$J$24,cad!$K$24))</f>
        <v/>
      </c>
      <c r="Z169">
        <f>IF(B169="V01",cad!$I$25,IF(B169="V02",cad!$J$25,cad!$K$25))</f>
        <v/>
      </c>
      <c r="AA169">
        <f>IF(B169="V01",cad!$I$26,IF(B169="V02",cad!$J$26,cad!$K$26))</f>
        <v/>
      </c>
      <c r="AB169">
        <f>IF(B169="V01",cad!$I$37,IF(B169="V02",cad!$J$37,cad!$K$37))</f>
        <v/>
      </c>
      <c r="AC169">
        <f>IF(F169="MBWAY",cad!$I$9,IF(F169="ISCOM",cad!$I$10,IF(F169="IPAC",cad!$I$11,IF(F169="PIGIER",cad!$I$12,cad!$I$13))))</f>
        <v/>
      </c>
      <c r="AD169">
        <f>(O169*(1+W169)^S169+P169*((T169/U169)*(1+V169))^R169)*IFERROR(G169/Q169,0)*(J169+Y169)*K169*(L169+Z169)</f>
        <v/>
      </c>
      <c r="AE169">
        <f>IF(N169=1,AD169,0)</f>
        <v/>
      </c>
      <c r="AF169">
        <f>IF(N169=1,AD169,H169*(M169+AA169))</f>
        <v/>
      </c>
      <c r="AG169">
        <f>I169*(1+X169*AC169)</f>
        <v/>
      </c>
      <c r="AH169">
        <f>AF169*AG169+AE169*AB169</f>
        <v/>
      </c>
    </row>
    <row r="170">
      <c r="A170">
        <f>Moteur!D170</f>
        <v/>
      </c>
      <c r="B170">
        <f>Moteur!B170</f>
        <v/>
      </c>
      <c r="C170">
        <f>Moteur!F170</f>
        <v/>
      </c>
      <c r="D170">
        <f>Moteur!G170</f>
        <v/>
      </c>
      <c r="E170">
        <f>Moteur!H170</f>
        <v/>
      </c>
      <c r="F170">
        <f>Moteur!E170</f>
        <v/>
      </c>
      <c r="G170">
        <f>SUMIFS(Socle!$H$2:$H$175,Socle!$C$2:$C$175,A170,Socle!$D$2:$D$175,C170,Socle!$E$2:$E$175,D170,Socle!$F$2:$F$175,E170,Socle!$G$2:$G$175,"2026")</f>
        <v/>
      </c>
      <c r="H170">
        <f>SUMIFS(Socle!$N$2:$N$175,Socle!$C$2:$C$175,A170,Socle!$D$2:$D$175,C170,Socle!$E$2:$E$175,D170,Socle!$F$2:$F$175,E170,Socle!$G$2:$G$175,"2026")</f>
        <v/>
      </c>
      <c r="I170">
        <f>SUMIFS(Socle!$P$2:$P$175,Socle!$C$2:$C$175,A170,Socle!$D$2:$D$175,C170,Socle!$E$2:$E$175,D170,Socle!$F$2:$F$175,E170,Socle!$G$2:$G$175,"2026")</f>
        <v/>
      </c>
      <c r="J170">
        <f>SUMIFS(Socle!$W$2:$W$175,Socle!$C$2:$C$175,A170,Socle!$D$2:$D$175,C170,Socle!$E$2:$E$175,D170,Socle!$F$2:$F$175,E170,Socle!$G$2:$G$175,"2026")</f>
        <v/>
      </c>
      <c r="K170">
        <f>SUMIFS(Socle!$X$2:$X$175,Socle!$C$2:$C$175,A170,Socle!$D$2:$D$175,C170,Socle!$E$2:$E$175,D170,Socle!$F$2:$F$175,E170,Socle!$G$2:$G$175,"2026")</f>
        <v/>
      </c>
      <c r="L170">
        <f>SUMIFS(Socle!$Y$2:$Y$175,Socle!$C$2:$C$175,A170,Socle!$D$2:$D$175,C170,Socle!$E$2:$E$175,D170,Socle!$F$2:$F$175,E170,Socle!$G$2:$G$175,"2026")</f>
        <v/>
      </c>
      <c r="M170">
        <f>SUMIFS(Socle!$V$2:$V$175,Socle!$C$2:$C$175,A170,Socle!$D$2:$D$175,C170,Socle!$E$2:$E$175,D170,Socle!$F$2:$F$175,E170,Socle!$G$2:$G$175,"2026")</f>
        <v/>
      </c>
      <c r="N170">
        <f>IF(OR(D170="B1",D170="M1",D170="BTS1"),1,0)</f>
        <v/>
      </c>
      <c r="O170">
        <f>SUMIFS(Campagne!$D$2:$D$15,Campagne!$C$2:$C$15,A170)</f>
        <v/>
      </c>
      <c r="P170">
        <f>SUMIFS(Campagne!$E$2:$E$15,Campagne!$C$2:$C$15,A170)</f>
        <v/>
      </c>
      <c r="Q170">
        <f>SUMIFS(Campagne!$F$2:$F$15,Campagne!$C$2:$C$15,A170)</f>
        <v/>
      </c>
      <c r="R170">
        <f>SUMIFS(Campagne!$K$2:$K$15,Campagne!$C$2:$C$15,A170)</f>
        <v/>
      </c>
      <c r="S170">
        <f>SUMIFS(Campagne!$M$2:$M$15,Campagne!$C$2:$C$15,A170)</f>
        <v/>
      </c>
      <c r="T170">
        <f>SUMIFS(Pilotage!$Q$13:$Q$26,Pilotage!$F$13:$F$26,A170)</f>
        <v/>
      </c>
      <c r="U170">
        <f>SUMIFS(Pilotage!$N$13:$N$26,Pilotage!$F$13:$F$26,A170)</f>
        <v/>
      </c>
      <c r="V170">
        <f>IF(B170="V01",cad!$I$21,IF(B170="V02",cad!$J$21,cad!$K$21))</f>
        <v/>
      </c>
      <c r="W170">
        <f>IF(B170="V01",cad!$I$22,IF(B170="V02",cad!$J$22,cad!$K$22))</f>
        <v/>
      </c>
      <c r="X170">
        <f>IF(B170="V01",cad!$I$23,IF(B170="V02",cad!$J$23,cad!$K$23))</f>
        <v/>
      </c>
      <c r="Y170">
        <f>IF(B170="V01",cad!$I$24,IF(B170="V02",cad!$J$24,cad!$K$24))</f>
        <v/>
      </c>
      <c r="Z170">
        <f>IF(B170="V01",cad!$I$25,IF(B170="V02",cad!$J$25,cad!$K$25))</f>
        <v/>
      </c>
      <c r="AA170">
        <f>IF(B170="V01",cad!$I$26,IF(B170="V02",cad!$J$26,cad!$K$26))</f>
        <v/>
      </c>
      <c r="AB170">
        <f>IF(B170="V01",cad!$I$37,IF(B170="V02",cad!$J$37,cad!$K$37))</f>
        <v/>
      </c>
      <c r="AC170">
        <f>IF(F170="MBWAY",cad!$I$9,IF(F170="ISCOM",cad!$I$10,IF(F170="IPAC",cad!$I$11,IF(F170="PIGIER",cad!$I$12,cad!$I$13))))</f>
        <v/>
      </c>
      <c r="AD170">
        <f>(O170*(1+W170)^S170+P170*((T170/U170)*(1+V170))^R170)*IFERROR(G170/Q170,0)*(J170+Y170)*K170*(L170+Z170)</f>
        <v/>
      </c>
      <c r="AE170">
        <f>IF(N170=1,AD170,0)</f>
        <v/>
      </c>
      <c r="AF170">
        <f>IF(N170=1,AD170,H170*(M170+AA170))</f>
        <v/>
      </c>
      <c r="AG170">
        <f>I170*(1+X170*AC170)</f>
        <v/>
      </c>
      <c r="AH170">
        <f>AF170*AG170+AE170*AB170</f>
        <v/>
      </c>
    </row>
    <row r="171">
      <c r="A171">
        <f>Moteur!D171</f>
        <v/>
      </c>
      <c r="B171">
        <f>Moteur!B171</f>
        <v/>
      </c>
      <c r="C171">
        <f>Moteur!F171</f>
        <v/>
      </c>
      <c r="D171">
        <f>Moteur!G171</f>
        <v/>
      </c>
      <c r="E171">
        <f>Moteur!H171</f>
        <v/>
      </c>
      <c r="F171">
        <f>Moteur!E171</f>
        <v/>
      </c>
      <c r="G171">
        <f>SUMIFS(Socle!$H$2:$H$175,Socle!$C$2:$C$175,A171,Socle!$D$2:$D$175,C171,Socle!$E$2:$E$175,D171,Socle!$F$2:$F$175,E171,Socle!$G$2:$G$175,"2026")</f>
        <v/>
      </c>
      <c r="H171">
        <f>SUMIFS(Socle!$N$2:$N$175,Socle!$C$2:$C$175,A171,Socle!$D$2:$D$175,C171,Socle!$E$2:$E$175,D171,Socle!$F$2:$F$175,E171,Socle!$G$2:$G$175,"2026")</f>
        <v/>
      </c>
      <c r="I171">
        <f>SUMIFS(Socle!$P$2:$P$175,Socle!$C$2:$C$175,A171,Socle!$D$2:$D$175,C171,Socle!$E$2:$E$175,D171,Socle!$F$2:$F$175,E171,Socle!$G$2:$G$175,"2026")</f>
        <v/>
      </c>
      <c r="J171">
        <f>SUMIFS(Socle!$W$2:$W$175,Socle!$C$2:$C$175,A171,Socle!$D$2:$D$175,C171,Socle!$E$2:$E$175,D171,Socle!$F$2:$F$175,E171,Socle!$G$2:$G$175,"2026")</f>
        <v/>
      </c>
      <c r="K171">
        <f>SUMIFS(Socle!$X$2:$X$175,Socle!$C$2:$C$175,A171,Socle!$D$2:$D$175,C171,Socle!$E$2:$E$175,D171,Socle!$F$2:$F$175,E171,Socle!$G$2:$G$175,"2026")</f>
        <v/>
      </c>
      <c r="L171">
        <f>SUMIFS(Socle!$Y$2:$Y$175,Socle!$C$2:$C$175,A171,Socle!$D$2:$D$175,C171,Socle!$E$2:$E$175,D171,Socle!$F$2:$F$175,E171,Socle!$G$2:$G$175,"2026")</f>
        <v/>
      </c>
      <c r="M171">
        <f>SUMIFS(Socle!$V$2:$V$175,Socle!$C$2:$C$175,A171,Socle!$D$2:$D$175,C171,Socle!$E$2:$E$175,D171,Socle!$F$2:$F$175,E171,Socle!$G$2:$G$175,"2026")</f>
        <v/>
      </c>
      <c r="N171">
        <f>IF(OR(D171="B1",D171="M1",D171="BTS1"),1,0)</f>
        <v/>
      </c>
      <c r="O171">
        <f>SUMIFS(Campagne!$D$2:$D$15,Campagne!$C$2:$C$15,A171)</f>
        <v/>
      </c>
      <c r="P171">
        <f>SUMIFS(Campagne!$E$2:$E$15,Campagne!$C$2:$C$15,A171)</f>
        <v/>
      </c>
      <c r="Q171">
        <f>SUMIFS(Campagne!$F$2:$F$15,Campagne!$C$2:$C$15,A171)</f>
        <v/>
      </c>
      <c r="R171">
        <f>SUMIFS(Campagne!$K$2:$K$15,Campagne!$C$2:$C$15,A171)</f>
        <v/>
      </c>
      <c r="S171">
        <f>SUMIFS(Campagne!$M$2:$M$15,Campagne!$C$2:$C$15,A171)</f>
        <v/>
      </c>
      <c r="T171">
        <f>SUMIFS(Pilotage!$Q$13:$Q$26,Pilotage!$F$13:$F$26,A171)</f>
        <v/>
      </c>
      <c r="U171">
        <f>SUMIFS(Pilotage!$N$13:$N$26,Pilotage!$F$13:$F$26,A171)</f>
        <v/>
      </c>
      <c r="V171">
        <f>IF(B171="V01",cad!$I$21,IF(B171="V02",cad!$J$21,cad!$K$21))</f>
        <v/>
      </c>
      <c r="W171">
        <f>IF(B171="V01",cad!$I$22,IF(B171="V02",cad!$J$22,cad!$K$22))</f>
        <v/>
      </c>
      <c r="X171">
        <f>IF(B171="V01",cad!$I$23,IF(B171="V02",cad!$J$23,cad!$K$23))</f>
        <v/>
      </c>
      <c r="Y171">
        <f>IF(B171="V01",cad!$I$24,IF(B171="V02",cad!$J$24,cad!$K$24))</f>
        <v/>
      </c>
      <c r="Z171">
        <f>IF(B171="V01",cad!$I$25,IF(B171="V02",cad!$J$25,cad!$K$25))</f>
        <v/>
      </c>
      <c r="AA171">
        <f>IF(B171="V01",cad!$I$26,IF(B171="V02",cad!$J$26,cad!$K$26))</f>
        <v/>
      </c>
      <c r="AB171">
        <f>IF(B171="V01",cad!$I$37,IF(B171="V02",cad!$J$37,cad!$K$37))</f>
        <v/>
      </c>
      <c r="AC171">
        <f>IF(F171="MBWAY",cad!$I$9,IF(F171="ISCOM",cad!$I$10,IF(F171="IPAC",cad!$I$11,IF(F171="PIGIER",cad!$I$12,cad!$I$13))))</f>
        <v/>
      </c>
      <c r="AD171">
        <f>(O171*(1+W171)^S171+P171*((T171/U171)*(1+V171))^R171)*IFERROR(G171/Q171,0)*(J171+Y171)*K171*(L171+Z171)</f>
        <v/>
      </c>
      <c r="AE171">
        <f>IF(N171=1,AD171,0)</f>
        <v/>
      </c>
      <c r="AF171">
        <f>IF(N171=1,AD171,H171*(M171+AA171))</f>
        <v/>
      </c>
      <c r="AG171">
        <f>I171*(1+X171*AC171)</f>
        <v/>
      </c>
      <c r="AH171">
        <f>AF171*AG171+AE171*AB171</f>
        <v/>
      </c>
    </row>
    <row r="172">
      <c r="A172">
        <f>Moteur!D172</f>
        <v/>
      </c>
      <c r="B172">
        <f>Moteur!B172</f>
        <v/>
      </c>
      <c r="C172">
        <f>Moteur!F172</f>
        <v/>
      </c>
      <c r="D172">
        <f>Moteur!G172</f>
        <v/>
      </c>
      <c r="E172">
        <f>Moteur!H172</f>
        <v/>
      </c>
      <c r="F172">
        <f>Moteur!E172</f>
        <v/>
      </c>
      <c r="G172">
        <f>SUMIFS(Socle!$H$2:$H$175,Socle!$C$2:$C$175,A172,Socle!$D$2:$D$175,C172,Socle!$E$2:$E$175,D172,Socle!$F$2:$F$175,E172,Socle!$G$2:$G$175,"2026")</f>
        <v/>
      </c>
      <c r="H172">
        <f>SUMIFS(Socle!$N$2:$N$175,Socle!$C$2:$C$175,A172,Socle!$D$2:$D$175,C172,Socle!$E$2:$E$175,D172,Socle!$F$2:$F$175,E172,Socle!$G$2:$G$175,"2026")</f>
        <v/>
      </c>
      <c r="I172">
        <f>SUMIFS(Socle!$P$2:$P$175,Socle!$C$2:$C$175,A172,Socle!$D$2:$D$175,C172,Socle!$E$2:$E$175,D172,Socle!$F$2:$F$175,E172,Socle!$G$2:$G$175,"2026")</f>
        <v/>
      </c>
      <c r="J172">
        <f>SUMIFS(Socle!$W$2:$W$175,Socle!$C$2:$C$175,A172,Socle!$D$2:$D$175,C172,Socle!$E$2:$E$175,D172,Socle!$F$2:$F$175,E172,Socle!$G$2:$G$175,"2026")</f>
        <v/>
      </c>
      <c r="K172">
        <f>SUMIFS(Socle!$X$2:$X$175,Socle!$C$2:$C$175,A172,Socle!$D$2:$D$175,C172,Socle!$E$2:$E$175,D172,Socle!$F$2:$F$175,E172,Socle!$G$2:$G$175,"2026")</f>
        <v/>
      </c>
      <c r="L172">
        <f>SUMIFS(Socle!$Y$2:$Y$175,Socle!$C$2:$C$175,A172,Socle!$D$2:$D$175,C172,Socle!$E$2:$E$175,D172,Socle!$F$2:$F$175,E172,Socle!$G$2:$G$175,"2026")</f>
        <v/>
      </c>
      <c r="M172">
        <f>SUMIFS(Socle!$V$2:$V$175,Socle!$C$2:$C$175,A172,Socle!$D$2:$D$175,C172,Socle!$E$2:$E$175,D172,Socle!$F$2:$F$175,E172,Socle!$G$2:$G$175,"2026")</f>
        <v/>
      </c>
      <c r="N172">
        <f>IF(OR(D172="B1",D172="M1",D172="BTS1"),1,0)</f>
        <v/>
      </c>
      <c r="O172">
        <f>SUMIFS(Campagne!$D$2:$D$15,Campagne!$C$2:$C$15,A172)</f>
        <v/>
      </c>
      <c r="P172">
        <f>SUMIFS(Campagne!$E$2:$E$15,Campagne!$C$2:$C$15,A172)</f>
        <v/>
      </c>
      <c r="Q172">
        <f>SUMIFS(Campagne!$F$2:$F$15,Campagne!$C$2:$C$15,A172)</f>
        <v/>
      </c>
      <c r="R172">
        <f>SUMIFS(Campagne!$K$2:$K$15,Campagne!$C$2:$C$15,A172)</f>
        <v/>
      </c>
      <c r="S172">
        <f>SUMIFS(Campagne!$M$2:$M$15,Campagne!$C$2:$C$15,A172)</f>
        <v/>
      </c>
      <c r="T172">
        <f>SUMIFS(Pilotage!$Q$13:$Q$26,Pilotage!$F$13:$F$26,A172)</f>
        <v/>
      </c>
      <c r="U172">
        <f>SUMIFS(Pilotage!$N$13:$N$26,Pilotage!$F$13:$F$26,A172)</f>
        <v/>
      </c>
      <c r="V172">
        <f>IF(B172="V01",cad!$I$21,IF(B172="V02",cad!$J$21,cad!$K$21))</f>
        <v/>
      </c>
      <c r="W172">
        <f>IF(B172="V01",cad!$I$22,IF(B172="V02",cad!$J$22,cad!$K$22))</f>
        <v/>
      </c>
      <c r="X172">
        <f>IF(B172="V01",cad!$I$23,IF(B172="V02",cad!$J$23,cad!$K$23))</f>
        <v/>
      </c>
      <c r="Y172">
        <f>IF(B172="V01",cad!$I$24,IF(B172="V02",cad!$J$24,cad!$K$24))</f>
        <v/>
      </c>
      <c r="Z172">
        <f>IF(B172="V01",cad!$I$25,IF(B172="V02",cad!$J$25,cad!$K$25))</f>
        <v/>
      </c>
      <c r="AA172">
        <f>IF(B172="V01",cad!$I$26,IF(B172="V02",cad!$J$26,cad!$K$26))</f>
        <v/>
      </c>
      <c r="AB172">
        <f>IF(B172="V01",cad!$I$37,IF(B172="V02",cad!$J$37,cad!$K$37))</f>
        <v/>
      </c>
      <c r="AC172">
        <f>IF(F172="MBWAY",cad!$I$9,IF(F172="ISCOM",cad!$I$10,IF(F172="IPAC",cad!$I$11,IF(F172="PIGIER",cad!$I$12,cad!$I$13))))</f>
        <v/>
      </c>
      <c r="AD172">
        <f>(O172*(1+W172)^S172+P172*((T172/U172)*(1+V172))^R172)*IFERROR(G172/Q172,0)*(J172+Y172)*K172*(L172+Z172)</f>
        <v/>
      </c>
      <c r="AE172">
        <f>IF(N172=1,AD172,0)</f>
        <v/>
      </c>
      <c r="AF172">
        <f>IF(N172=1,AD172,H172*(M172+AA172))</f>
        <v/>
      </c>
      <c r="AG172">
        <f>I172*(1+X172*AC172)</f>
        <v/>
      </c>
      <c r="AH172">
        <f>AF172*AG172+AE172*AB172</f>
        <v/>
      </c>
    </row>
    <row r="173">
      <c r="A173">
        <f>Moteur!D173</f>
        <v/>
      </c>
      <c r="B173">
        <f>Moteur!B173</f>
        <v/>
      </c>
      <c r="C173">
        <f>Moteur!F173</f>
        <v/>
      </c>
      <c r="D173">
        <f>Moteur!G173</f>
        <v/>
      </c>
      <c r="E173">
        <f>Moteur!H173</f>
        <v/>
      </c>
      <c r="F173">
        <f>Moteur!E173</f>
        <v/>
      </c>
      <c r="G173">
        <f>SUMIFS(Socle!$H$2:$H$175,Socle!$C$2:$C$175,A173,Socle!$D$2:$D$175,C173,Socle!$E$2:$E$175,D173,Socle!$F$2:$F$175,E173,Socle!$G$2:$G$175,"2026")</f>
        <v/>
      </c>
      <c r="H173">
        <f>SUMIFS(Socle!$N$2:$N$175,Socle!$C$2:$C$175,A173,Socle!$D$2:$D$175,C173,Socle!$E$2:$E$175,D173,Socle!$F$2:$F$175,E173,Socle!$G$2:$G$175,"2026")</f>
        <v/>
      </c>
      <c r="I173">
        <f>SUMIFS(Socle!$P$2:$P$175,Socle!$C$2:$C$175,A173,Socle!$D$2:$D$175,C173,Socle!$E$2:$E$175,D173,Socle!$F$2:$F$175,E173,Socle!$G$2:$G$175,"2026")</f>
        <v/>
      </c>
      <c r="J173">
        <f>SUMIFS(Socle!$W$2:$W$175,Socle!$C$2:$C$175,A173,Socle!$D$2:$D$175,C173,Socle!$E$2:$E$175,D173,Socle!$F$2:$F$175,E173,Socle!$G$2:$G$175,"2026")</f>
        <v/>
      </c>
      <c r="K173">
        <f>SUMIFS(Socle!$X$2:$X$175,Socle!$C$2:$C$175,A173,Socle!$D$2:$D$175,C173,Socle!$E$2:$E$175,D173,Socle!$F$2:$F$175,E173,Socle!$G$2:$G$175,"2026")</f>
        <v/>
      </c>
      <c r="L173">
        <f>SUMIFS(Socle!$Y$2:$Y$175,Socle!$C$2:$C$175,A173,Socle!$D$2:$D$175,C173,Socle!$E$2:$E$175,D173,Socle!$F$2:$F$175,E173,Socle!$G$2:$G$175,"2026")</f>
        <v/>
      </c>
      <c r="M173">
        <f>SUMIFS(Socle!$V$2:$V$175,Socle!$C$2:$C$175,A173,Socle!$D$2:$D$175,C173,Socle!$E$2:$E$175,D173,Socle!$F$2:$F$175,E173,Socle!$G$2:$G$175,"2026")</f>
        <v/>
      </c>
      <c r="N173">
        <f>IF(OR(D173="B1",D173="M1",D173="BTS1"),1,0)</f>
        <v/>
      </c>
      <c r="O173">
        <f>SUMIFS(Campagne!$D$2:$D$15,Campagne!$C$2:$C$15,A173)</f>
        <v/>
      </c>
      <c r="P173">
        <f>SUMIFS(Campagne!$E$2:$E$15,Campagne!$C$2:$C$15,A173)</f>
        <v/>
      </c>
      <c r="Q173">
        <f>SUMIFS(Campagne!$F$2:$F$15,Campagne!$C$2:$C$15,A173)</f>
        <v/>
      </c>
      <c r="R173">
        <f>SUMIFS(Campagne!$K$2:$K$15,Campagne!$C$2:$C$15,A173)</f>
        <v/>
      </c>
      <c r="S173">
        <f>SUMIFS(Campagne!$M$2:$M$15,Campagne!$C$2:$C$15,A173)</f>
        <v/>
      </c>
      <c r="T173">
        <f>SUMIFS(Pilotage!$Q$13:$Q$26,Pilotage!$F$13:$F$26,A173)</f>
        <v/>
      </c>
      <c r="U173">
        <f>SUMIFS(Pilotage!$N$13:$N$26,Pilotage!$F$13:$F$26,A173)</f>
        <v/>
      </c>
      <c r="V173">
        <f>IF(B173="V01",cad!$I$21,IF(B173="V02",cad!$J$21,cad!$K$21))</f>
        <v/>
      </c>
      <c r="W173">
        <f>IF(B173="V01",cad!$I$22,IF(B173="V02",cad!$J$22,cad!$K$22))</f>
        <v/>
      </c>
      <c r="X173">
        <f>IF(B173="V01",cad!$I$23,IF(B173="V02",cad!$J$23,cad!$K$23))</f>
        <v/>
      </c>
      <c r="Y173">
        <f>IF(B173="V01",cad!$I$24,IF(B173="V02",cad!$J$24,cad!$K$24))</f>
        <v/>
      </c>
      <c r="Z173">
        <f>IF(B173="V01",cad!$I$25,IF(B173="V02",cad!$J$25,cad!$K$25))</f>
        <v/>
      </c>
      <c r="AA173">
        <f>IF(B173="V01",cad!$I$26,IF(B173="V02",cad!$J$26,cad!$K$26))</f>
        <v/>
      </c>
      <c r="AB173">
        <f>IF(B173="V01",cad!$I$37,IF(B173="V02",cad!$J$37,cad!$K$37))</f>
        <v/>
      </c>
      <c r="AC173">
        <f>IF(F173="MBWAY",cad!$I$9,IF(F173="ISCOM",cad!$I$10,IF(F173="IPAC",cad!$I$11,IF(F173="PIGIER",cad!$I$12,cad!$I$13))))</f>
        <v/>
      </c>
      <c r="AD173">
        <f>(O173*(1+W173)^S173+P173*((T173/U173)*(1+V173))^R173)*IFERROR(G173/Q173,0)*(J173+Y173)*K173*(L173+Z173)</f>
        <v/>
      </c>
      <c r="AE173">
        <f>IF(N173=1,AD173,0)</f>
        <v/>
      </c>
      <c r="AF173">
        <f>IF(N173=1,AD173,H173*(M173+AA173))</f>
        <v/>
      </c>
      <c r="AG173">
        <f>I173*(1+X173*AC173)</f>
        <v/>
      </c>
      <c r="AH173">
        <f>AF173*AG173+AE173*AB173</f>
        <v/>
      </c>
    </row>
    <row r="174">
      <c r="A174">
        <f>Moteur!D174</f>
        <v/>
      </c>
      <c r="B174">
        <f>Moteur!B174</f>
        <v/>
      </c>
      <c r="C174">
        <f>Moteur!F174</f>
        <v/>
      </c>
      <c r="D174">
        <f>Moteur!G174</f>
        <v/>
      </c>
      <c r="E174">
        <f>Moteur!H174</f>
        <v/>
      </c>
      <c r="F174">
        <f>Moteur!E174</f>
        <v/>
      </c>
      <c r="G174">
        <f>SUMIFS(Socle!$H$2:$H$175,Socle!$C$2:$C$175,A174,Socle!$D$2:$D$175,C174,Socle!$E$2:$E$175,D174,Socle!$F$2:$F$175,E174,Socle!$G$2:$G$175,"2026")</f>
        <v/>
      </c>
      <c r="H174">
        <f>SUMIFS(Socle!$N$2:$N$175,Socle!$C$2:$C$175,A174,Socle!$D$2:$D$175,C174,Socle!$E$2:$E$175,D174,Socle!$F$2:$F$175,E174,Socle!$G$2:$G$175,"2026")</f>
        <v/>
      </c>
      <c r="I174">
        <f>SUMIFS(Socle!$P$2:$P$175,Socle!$C$2:$C$175,A174,Socle!$D$2:$D$175,C174,Socle!$E$2:$E$175,D174,Socle!$F$2:$F$175,E174,Socle!$G$2:$G$175,"2026")</f>
        <v/>
      </c>
      <c r="J174">
        <f>SUMIFS(Socle!$W$2:$W$175,Socle!$C$2:$C$175,A174,Socle!$D$2:$D$175,C174,Socle!$E$2:$E$175,D174,Socle!$F$2:$F$175,E174,Socle!$G$2:$G$175,"2026")</f>
        <v/>
      </c>
      <c r="K174">
        <f>SUMIFS(Socle!$X$2:$X$175,Socle!$C$2:$C$175,A174,Socle!$D$2:$D$175,C174,Socle!$E$2:$E$175,D174,Socle!$F$2:$F$175,E174,Socle!$G$2:$G$175,"2026")</f>
        <v/>
      </c>
      <c r="L174">
        <f>SUMIFS(Socle!$Y$2:$Y$175,Socle!$C$2:$C$175,A174,Socle!$D$2:$D$175,C174,Socle!$E$2:$E$175,D174,Socle!$F$2:$F$175,E174,Socle!$G$2:$G$175,"2026")</f>
        <v/>
      </c>
      <c r="M174">
        <f>SUMIFS(Socle!$V$2:$V$175,Socle!$C$2:$C$175,A174,Socle!$D$2:$D$175,C174,Socle!$E$2:$E$175,D174,Socle!$F$2:$F$175,E174,Socle!$G$2:$G$175,"2026")</f>
        <v/>
      </c>
      <c r="N174">
        <f>IF(OR(D174="B1",D174="M1",D174="BTS1"),1,0)</f>
        <v/>
      </c>
      <c r="O174">
        <f>SUMIFS(Campagne!$D$2:$D$15,Campagne!$C$2:$C$15,A174)</f>
        <v/>
      </c>
      <c r="P174">
        <f>SUMIFS(Campagne!$E$2:$E$15,Campagne!$C$2:$C$15,A174)</f>
        <v/>
      </c>
      <c r="Q174">
        <f>SUMIFS(Campagne!$F$2:$F$15,Campagne!$C$2:$C$15,A174)</f>
        <v/>
      </c>
      <c r="R174">
        <f>SUMIFS(Campagne!$K$2:$K$15,Campagne!$C$2:$C$15,A174)</f>
        <v/>
      </c>
      <c r="S174">
        <f>SUMIFS(Campagne!$M$2:$M$15,Campagne!$C$2:$C$15,A174)</f>
        <v/>
      </c>
      <c r="T174">
        <f>SUMIFS(Pilotage!$Q$13:$Q$26,Pilotage!$F$13:$F$26,A174)</f>
        <v/>
      </c>
      <c r="U174">
        <f>SUMIFS(Pilotage!$N$13:$N$26,Pilotage!$F$13:$F$26,A174)</f>
        <v/>
      </c>
      <c r="V174">
        <f>IF(B174="V01",cad!$I$21,IF(B174="V02",cad!$J$21,cad!$K$21))</f>
        <v/>
      </c>
      <c r="W174">
        <f>IF(B174="V01",cad!$I$22,IF(B174="V02",cad!$J$22,cad!$K$22))</f>
        <v/>
      </c>
      <c r="X174">
        <f>IF(B174="V01",cad!$I$23,IF(B174="V02",cad!$J$23,cad!$K$23))</f>
        <v/>
      </c>
      <c r="Y174">
        <f>IF(B174="V01",cad!$I$24,IF(B174="V02",cad!$J$24,cad!$K$24))</f>
        <v/>
      </c>
      <c r="Z174">
        <f>IF(B174="V01",cad!$I$25,IF(B174="V02",cad!$J$25,cad!$K$25))</f>
        <v/>
      </c>
      <c r="AA174">
        <f>IF(B174="V01",cad!$I$26,IF(B174="V02",cad!$J$26,cad!$K$26))</f>
        <v/>
      </c>
      <c r="AB174">
        <f>IF(B174="V01",cad!$I$37,IF(B174="V02",cad!$J$37,cad!$K$37))</f>
        <v/>
      </c>
      <c r="AC174">
        <f>IF(F174="MBWAY",cad!$I$9,IF(F174="ISCOM",cad!$I$10,IF(F174="IPAC",cad!$I$11,IF(F174="PIGIER",cad!$I$12,cad!$I$13))))</f>
        <v/>
      </c>
      <c r="AD174">
        <f>(O174*(1+W174)^S174+P174*((T174/U174)*(1+V174))^R174)*IFERROR(G174/Q174,0)*(J174+Y174)*K174*(L174+Z174)</f>
        <v/>
      </c>
      <c r="AE174">
        <f>IF(N174=1,AD174,0)</f>
        <v/>
      </c>
      <c r="AF174">
        <f>IF(N174=1,AD174,H174*(M174+AA174))</f>
        <v/>
      </c>
      <c r="AG174">
        <f>I174*(1+X174*AC174)</f>
        <v/>
      </c>
      <c r="AH174">
        <f>AF174*AG174+AE174*AB174</f>
        <v/>
      </c>
    </row>
    <row r="175">
      <c r="A175">
        <f>Moteur!D175</f>
        <v/>
      </c>
      <c r="B175">
        <f>Moteur!B175</f>
        <v/>
      </c>
      <c r="C175">
        <f>Moteur!F175</f>
        <v/>
      </c>
      <c r="D175">
        <f>Moteur!G175</f>
        <v/>
      </c>
      <c r="E175">
        <f>Moteur!H175</f>
        <v/>
      </c>
      <c r="F175">
        <f>Moteur!E175</f>
        <v/>
      </c>
      <c r="G175">
        <f>SUMIFS(Socle!$H$2:$H$175,Socle!$C$2:$C$175,A175,Socle!$D$2:$D$175,C175,Socle!$E$2:$E$175,D175,Socle!$F$2:$F$175,E175,Socle!$G$2:$G$175,"2026")</f>
        <v/>
      </c>
      <c r="H175">
        <f>SUMIFS(Socle!$N$2:$N$175,Socle!$C$2:$C$175,A175,Socle!$D$2:$D$175,C175,Socle!$E$2:$E$175,D175,Socle!$F$2:$F$175,E175,Socle!$G$2:$G$175,"2026")</f>
        <v/>
      </c>
      <c r="I175">
        <f>SUMIFS(Socle!$P$2:$P$175,Socle!$C$2:$C$175,A175,Socle!$D$2:$D$175,C175,Socle!$E$2:$E$175,D175,Socle!$F$2:$F$175,E175,Socle!$G$2:$G$175,"2026")</f>
        <v/>
      </c>
      <c r="J175">
        <f>SUMIFS(Socle!$W$2:$W$175,Socle!$C$2:$C$175,A175,Socle!$D$2:$D$175,C175,Socle!$E$2:$E$175,D175,Socle!$F$2:$F$175,E175,Socle!$G$2:$G$175,"2026")</f>
        <v/>
      </c>
      <c r="K175">
        <f>SUMIFS(Socle!$X$2:$X$175,Socle!$C$2:$C$175,A175,Socle!$D$2:$D$175,C175,Socle!$E$2:$E$175,D175,Socle!$F$2:$F$175,E175,Socle!$G$2:$G$175,"2026")</f>
        <v/>
      </c>
      <c r="L175">
        <f>SUMIFS(Socle!$Y$2:$Y$175,Socle!$C$2:$C$175,A175,Socle!$D$2:$D$175,C175,Socle!$E$2:$E$175,D175,Socle!$F$2:$F$175,E175,Socle!$G$2:$G$175,"2026")</f>
        <v/>
      </c>
      <c r="M175">
        <f>SUMIFS(Socle!$V$2:$V$175,Socle!$C$2:$C$175,A175,Socle!$D$2:$D$175,C175,Socle!$E$2:$E$175,D175,Socle!$F$2:$F$175,E175,Socle!$G$2:$G$175,"2026")</f>
        <v/>
      </c>
      <c r="N175">
        <f>IF(OR(D175="B1",D175="M1",D175="BTS1"),1,0)</f>
        <v/>
      </c>
      <c r="O175">
        <f>SUMIFS(Campagne!$D$2:$D$15,Campagne!$C$2:$C$15,A175)</f>
        <v/>
      </c>
      <c r="P175">
        <f>SUMIFS(Campagne!$E$2:$E$15,Campagne!$C$2:$C$15,A175)</f>
        <v/>
      </c>
      <c r="Q175">
        <f>SUMIFS(Campagne!$F$2:$F$15,Campagne!$C$2:$C$15,A175)</f>
        <v/>
      </c>
      <c r="R175">
        <f>SUMIFS(Campagne!$K$2:$K$15,Campagne!$C$2:$C$15,A175)</f>
        <v/>
      </c>
      <c r="S175">
        <f>SUMIFS(Campagne!$M$2:$M$15,Campagne!$C$2:$C$15,A175)</f>
        <v/>
      </c>
      <c r="T175">
        <f>SUMIFS(Pilotage!$Q$13:$Q$26,Pilotage!$F$13:$F$26,A175)</f>
        <v/>
      </c>
      <c r="U175">
        <f>SUMIFS(Pilotage!$N$13:$N$26,Pilotage!$F$13:$F$26,A175)</f>
        <v/>
      </c>
      <c r="V175">
        <f>IF(B175="V01",cad!$I$21,IF(B175="V02",cad!$J$21,cad!$K$21))</f>
        <v/>
      </c>
      <c r="W175">
        <f>IF(B175="V01",cad!$I$22,IF(B175="V02",cad!$J$22,cad!$K$22))</f>
        <v/>
      </c>
      <c r="X175">
        <f>IF(B175="V01",cad!$I$23,IF(B175="V02",cad!$J$23,cad!$K$23))</f>
        <v/>
      </c>
      <c r="Y175">
        <f>IF(B175="V01",cad!$I$24,IF(B175="V02",cad!$J$24,cad!$K$24))</f>
        <v/>
      </c>
      <c r="Z175">
        <f>IF(B175="V01",cad!$I$25,IF(B175="V02",cad!$J$25,cad!$K$25))</f>
        <v/>
      </c>
      <c r="AA175">
        <f>IF(B175="V01",cad!$I$26,IF(B175="V02",cad!$J$26,cad!$K$26))</f>
        <v/>
      </c>
      <c r="AB175">
        <f>IF(B175="V01",cad!$I$37,IF(B175="V02",cad!$J$37,cad!$K$37))</f>
        <v/>
      </c>
      <c r="AC175">
        <f>IF(F175="MBWAY",cad!$I$9,IF(F175="ISCOM",cad!$I$10,IF(F175="IPAC",cad!$I$11,IF(F175="PIGIER",cad!$I$12,cad!$I$13))))</f>
        <v/>
      </c>
      <c r="AD175">
        <f>(O175*(1+W175)^S175+P175*((T175/U175)*(1+V175))^R175)*IFERROR(G175/Q175,0)*(J175+Y175)*K175*(L175+Z175)</f>
        <v/>
      </c>
      <c r="AE175">
        <f>IF(N175=1,AD175,0)</f>
        <v/>
      </c>
      <c r="AF175">
        <f>IF(N175=1,AD175,H175*(M175+AA175))</f>
        <v/>
      </c>
      <c r="AG175">
        <f>I175*(1+X175*AC175)</f>
        <v/>
      </c>
      <c r="AH175">
        <f>AF175*AG175+AE175*AB175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347"/>
  <sheetViews>
    <sheetView workbookViewId="0">
      <selection activeCell="A1" sqref="A1"/>
    </sheetView>
  </sheetViews>
  <sheetFormatPr baseColWidth="8" defaultRowHeight="15"/>
  <sheetData>
    <row r="1">
      <c r="A1" s="28" t="inlineStr">
        <is>
          <t>ENT</t>
        </is>
      </c>
      <c r="B1" s="28" t="inlineStr">
        <is>
          <t>ACC</t>
        </is>
      </c>
      <c r="C1" s="28" t="inlineStr">
        <is>
          <t>EX</t>
        </is>
      </c>
      <c r="D1" s="28" t="inlineStr">
        <is>
          <t>VER</t>
        </is>
      </c>
      <c r="E1" s="28" t="inlineStr">
        <is>
          <t>ISBUD</t>
        </is>
      </c>
      <c r="F1" s="28" t="inlineStr">
        <is>
          <t>CPT26</t>
        </is>
      </c>
      <c r="G1" s="28" t="inlineStr">
        <is>
          <t>ACQ</t>
        </is>
      </c>
      <c r="H1" s="28" t="inlineStr">
        <is>
          <t>BRAND</t>
        </is>
      </c>
      <c r="I1" s="28" t="inlineStr">
        <is>
          <t>INFL</t>
        </is>
      </c>
      <c r="J1" s="28" t="inlineStr">
        <is>
          <t>SAL</t>
        </is>
      </c>
      <c r="K1" s="28" t="inlineStr">
        <is>
          <t>FTE</t>
        </is>
      </c>
      <c r="L1" s="28" t="inlineStr">
        <is>
          <t>PROD</t>
        </is>
      </c>
      <c r="M1" s="28" t="inlineStr">
        <is>
          <t>STRUCT</t>
        </is>
      </c>
      <c r="N1" s="28" t="inlineStr">
        <is>
          <t>CAF</t>
        </is>
      </c>
      <c r="O1" s="28" t="inlineStr">
        <is>
          <t>FAC</t>
        </is>
      </c>
      <c r="P1" s="28" t="inlineStr">
        <is>
          <t>AMT_LIVE</t>
        </is>
      </c>
      <c r="R1">
        <f>SUMIFS(Compta!$F$2:$F$675,Compta!$B$2:$B$675,"7062",Compta!$C$2:$C$675,"2026")+SUMIFS(Compta!$F$2:$F$675,Compta!$B$2:$B$675,"706",Compta!$C$2:$C$675,"2026")+SUMIFS(Compta!$F$2:$F$675,Compta!$B$2:$B$675,"708",Compta!$C$2:$C$675,"2026")</f>
        <v/>
      </c>
    </row>
    <row r="2">
      <c r="A2">
        <f>PNL!A2</f>
        <v/>
      </c>
      <c r="B2">
        <f>PNL!B2</f>
        <v/>
      </c>
      <c r="C2">
        <f>PNL!C2</f>
        <v/>
      </c>
      <c r="D2">
        <f>PNL!D2</f>
        <v/>
      </c>
      <c r="E2">
        <f>IF(AND(C2="2027",OR(D2="V01",D2="V02",D2="V03")),1,0)</f>
        <v/>
      </c>
      <c r="F2">
        <f>IF(E2=1,SUMIFS(Compta!$F$2:$F$675,Compta!$A$2:$A$675,A2,Compta!$B$2:$B$675,B2,Compta!$C$2:$C$675,"2026"),0)</f>
        <v/>
      </c>
      <c r="G2">
        <f>IF(D2="V01",cad!$I$21,IF(D2="V02",cad!$J$21,cad!$K$21))</f>
        <v/>
      </c>
      <c r="H2">
        <f>IF(D2="V01",cad!$I$22,IF(D2="V02",cad!$J$22,cad!$K$22))</f>
        <v/>
      </c>
      <c r="I2">
        <f>IF(D2="V01",cad!$I$27,IF(D2="V02",cad!$J$27,cad!$K$27))</f>
        <v/>
      </c>
      <c r="J2">
        <f>IF(D2="V01",cad!$I$28,IF(D2="V02",cad!$J$28,cad!$K$28))</f>
        <v/>
      </c>
      <c r="K2">
        <f>IF(D2="V01",cad!$I$29,IF(D2="V02",cad!$J$29,cad!$K$29))</f>
        <v/>
      </c>
      <c r="L2">
        <f>IF(D2="V01",cad!$I$30,IF(D2="V02",cad!$J$30,cad!$K$30))</f>
        <v/>
      </c>
      <c r="M2">
        <f>IF(D2="V01",cad!$I$31,IF(D2="V02",cad!$J$31,cad!$K$31))</f>
        <v/>
      </c>
      <c r="N2">
        <f>IF(D2="V01",$R$2,IF(D2="V02",$R$3,$R$4))</f>
        <v/>
      </c>
      <c r="O2">
        <f>IF(OR(B2="7062",B2="706",B2="708"),N2,IF(B2="6231",1+G2,IF(B2="6236",1+H2,IF(OR(B2="621",B2="604",B2="6063"),N2*(1-L2),IF(OR(B2="6411",B2="6413",B2="6414",B2="645"),(1+J2)*(1+K2),IF(OR(B2="613",B2="615",B2="616",B2="6226",B2="625",B2="626",B2="6281"),(1+I2)*(1-L2)*(1+M2),IF(OR(B2="6331",B2="63511",B2="6333"),(1+I2)*(1-L2),IF(B2="6811",1+I2,1))))))))</f>
        <v/>
      </c>
      <c r="P2">
        <f>IF(E2=1,F2*O2,"")</f>
        <v/>
      </c>
      <c r="R2">
        <f>SUMIFS(Moteur!$R$2:$R$175,Moteur!$B$2:$B$175,"V01")/$R$1</f>
        <v/>
      </c>
    </row>
    <row r="3">
      <c r="A3">
        <f>PNL!A3</f>
        <v/>
      </c>
      <c r="B3">
        <f>PNL!B3</f>
        <v/>
      </c>
      <c r="C3">
        <f>PNL!C3</f>
        <v/>
      </c>
      <c r="D3">
        <f>PNL!D3</f>
        <v/>
      </c>
      <c r="E3">
        <f>IF(AND(C3="2027",OR(D3="V01",D3="V02",D3="V03")),1,0)</f>
        <v/>
      </c>
      <c r="F3">
        <f>IF(E3=1,SUMIFS(Compta!$F$2:$F$675,Compta!$A$2:$A$675,A3,Compta!$B$2:$B$675,B3,Compta!$C$2:$C$675,"2026"),0)</f>
        <v/>
      </c>
      <c r="G3">
        <f>IF(D3="V01",cad!$I$21,IF(D3="V02",cad!$J$21,cad!$K$21))</f>
        <v/>
      </c>
      <c r="H3">
        <f>IF(D3="V01",cad!$I$22,IF(D3="V02",cad!$J$22,cad!$K$22))</f>
        <v/>
      </c>
      <c r="I3">
        <f>IF(D3="V01",cad!$I$27,IF(D3="V02",cad!$J$27,cad!$K$27))</f>
        <v/>
      </c>
      <c r="J3">
        <f>IF(D3="V01",cad!$I$28,IF(D3="V02",cad!$J$28,cad!$K$28))</f>
        <v/>
      </c>
      <c r="K3">
        <f>IF(D3="V01",cad!$I$29,IF(D3="V02",cad!$J$29,cad!$K$29))</f>
        <v/>
      </c>
      <c r="L3">
        <f>IF(D3="V01",cad!$I$30,IF(D3="V02",cad!$J$30,cad!$K$30))</f>
        <v/>
      </c>
      <c r="M3">
        <f>IF(D3="V01",cad!$I$31,IF(D3="V02",cad!$J$31,cad!$K$31))</f>
        <v/>
      </c>
      <c r="N3">
        <f>IF(D3="V01",$R$2,IF(D3="V02",$R$3,$R$4))</f>
        <v/>
      </c>
      <c r="O3">
        <f>IF(OR(B3="7062",B3="706",B3="708"),N3,IF(B3="6231",1+G3,IF(B3="6236",1+H3,IF(OR(B3="621",B3="604",B3="6063"),N3*(1-L3),IF(OR(B3="6411",B3="6413",B3="6414",B3="645"),(1+J3)*(1+K3),IF(OR(B3="613",B3="615",B3="616",B3="6226",B3="625",B3="626",B3="6281"),(1+I3)*(1-L3)*(1+M3),IF(OR(B3="6331",B3="63511",B3="6333"),(1+I3)*(1-L3),IF(B3="6811",1+I3,1))))))))</f>
        <v/>
      </c>
      <c r="P3">
        <f>IF(E3=1,F3*O3,"")</f>
        <v/>
      </c>
      <c r="R3">
        <f>SUMIFS(Moteur!$R$2:$R$175,Moteur!$B$2:$B$175,"V02")/$R$1</f>
        <v/>
      </c>
    </row>
    <row r="4">
      <c r="A4">
        <f>PNL!A4</f>
        <v/>
      </c>
      <c r="B4">
        <f>PNL!B4</f>
        <v/>
      </c>
      <c r="C4">
        <f>PNL!C4</f>
        <v/>
      </c>
      <c r="D4">
        <f>PNL!D4</f>
        <v/>
      </c>
      <c r="E4">
        <f>IF(AND(C4="2027",OR(D4="V01",D4="V02",D4="V03")),1,0)</f>
        <v/>
      </c>
      <c r="F4">
        <f>IF(E4=1,SUMIFS(Compta!$F$2:$F$675,Compta!$A$2:$A$675,A4,Compta!$B$2:$B$675,B4,Compta!$C$2:$C$675,"2026"),0)</f>
        <v/>
      </c>
      <c r="G4">
        <f>IF(D4="V01",cad!$I$21,IF(D4="V02",cad!$J$21,cad!$K$21))</f>
        <v/>
      </c>
      <c r="H4">
        <f>IF(D4="V01",cad!$I$22,IF(D4="V02",cad!$J$22,cad!$K$22))</f>
        <v/>
      </c>
      <c r="I4">
        <f>IF(D4="V01",cad!$I$27,IF(D4="V02",cad!$J$27,cad!$K$27))</f>
        <v/>
      </c>
      <c r="J4">
        <f>IF(D4="V01",cad!$I$28,IF(D4="V02",cad!$J$28,cad!$K$28))</f>
        <v/>
      </c>
      <c r="K4">
        <f>IF(D4="V01",cad!$I$29,IF(D4="V02",cad!$J$29,cad!$K$29))</f>
        <v/>
      </c>
      <c r="L4">
        <f>IF(D4="V01",cad!$I$30,IF(D4="V02",cad!$J$30,cad!$K$30))</f>
        <v/>
      </c>
      <c r="M4">
        <f>IF(D4="V01",cad!$I$31,IF(D4="V02",cad!$J$31,cad!$K$31))</f>
        <v/>
      </c>
      <c r="N4">
        <f>IF(D4="V01",$R$2,IF(D4="V02",$R$3,$R$4))</f>
        <v/>
      </c>
      <c r="O4">
        <f>IF(OR(B4="7062",B4="706",B4="708"),N4,IF(B4="6231",1+G4,IF(B4="6236",1+H4,IF(OR(B4="621",B4="604",B4="6063"),N4*(1-L4),IF(OR(B4="6411",B4="6413",B4="6414",B4="645"),(1+J4)*(1+K4),IF(OR(B4="613",B4="615",B4="616",B4="6226",B4="625",B4="626",B4="6281"),(1+I4)*(1-L4)*(1+M4),IF(OR(B4="6331",B4="63511",B4="6333"),(1+I4)*(1-L4),IF(B4="6811",1+I4,1))))))))</f>
        <v/>
      </c>
      <c r="P4">
        <f>IF(E4=1,F4*O4,"")</f>
        <v/>
      </c>
      <c r="R4">
        <f>SUMIFS(Moteur!$R$2:$R$175,Moteur!$B$2:$B$175,"V03")/$R$1</f>
        <v/>
      </c>
    </row>
    <row r="5">
      <c r="A5">
        <f>PNL!A5</f>
        <v/>
      </c>
      <c r="B5">
        <f>PNL!B5</f>
        <v/>
      </c>
      <c r="C5">
        <f>PNL!C5</f>
        <v/>
      </c>
      <c r="D5">
        <f>PNL!D5</f>
        <v/>
      </c>
      <c r="E5">
        <f>IF(AND(C5="2027",OR(D5="V01",D5="V02",D5="V03")),1,0)</f>
        <v/>
      </c>
      <c r="F5">
        <f>IF(E5=1,SUMIFS(Compta!$F$2:$F$675,Compta!$A$2:$A$675,A5,Compta!$B$2:$B$675,B5,Compta!$C$2:$C$675,"2026"),0)</f>
        <v/>
      </c>
      <c r="G5">
        <f>IF(D5="V01",cad!$I$21,IF(D5="V02",cad!$J$21,cad!$K$21))</f>
        <v/>
      </c>
      <c r="H5">
        <f>IF(D5="V01",cad!$I$22,IF(D5="V02",cad!$J$22,cad!$K$22))</f>
        <v/>
      </c>
      <c r="I5">
        <f>IF(D5="V01",cad!$I$27,IF(D5="V02",cad!$J$27,cad!$K$27))</f>
        <v/>
      </c>
      <c r="J5">
        <f>IF(D5="V01",cad!$I$28,IF(D5="V02",cad!$J$28,cad!$K$28))</f>
        <v/>
      </c>
      <c r="K5">
        <f>IF(D5="V01",cad!$I$29,IF(D5="V02",cad!$J$29,cad!$K$29))</f>
        <v/>
      </c>
      <c r="L5">
        <f>IF(D5="V01",cad!$I$30,IF(D5="V02",cad!$J$30,cad!$K$30))</f>
        <v/>
      </c>
      <c r="M5">
        <f>IF(D5="V01",cad!$I$31,IF(D5="V02",cad!$J$31,cad!$K$31))</f>
        <v/>
      </c>
      <c r="N5">
        <f>IF(D5="V01",$R$2,IF(D5="V02",$R$3,$R$4))</f>
        <v/>
      </c>
      <c r="O5">
        <f>IF(OR(B5="7062",B5="706",B5="708"),N5,IF(B5="6231",1+G5,IF(B5="6236",1+H5,IF(OR(B5="621",B5="604",B5="6063"),N5*(1-L5),IF(OR(B5="6411",B5="6413",B5="6414",B5="645"),(1+J5)*(1+K5),IF(OR(B5="613",B5="615",B5="616",B5="6226",B5="625",B5="626",B5="6281"),(1+I5)*(1-L5)*(1+M5),IF(OR(B5="6331",B5="63511",B5="6333"),(1+I5)*(1-L5),IF(B5="6811",1+I5,1))))))))</f>
        <v/>
      </c>
      <c r="P5">
        <f>IF(E5=1,F5*O5,"")</f>
        <v/>
      </c>
    </row>
    <row r="6">
      <c r="A6">
        <f>PNL!A6</f>
        <v/>
      </c>
      <c r="B6">
        <f>PNL!B6</f>
        <v/>
      </c>
      <c r="C6">
        <f>PNL!C6</f>
        <v/>
      </c>
      <c r="D6">
        <f>PNL!D6</f>
        <v/>
      </c>
      <c r="E6">
        <f>IF(AND(C6="2027",OR(D6="V01",D6="V02",D6="V03")),1,0)</f>
        <v/>
      </c>
      <c r="F6">
        <f>IF(E6=1,SUMIFS(Compta!$F$2:$F$675,Compta!$A$2:$A$675,A6,Compta!$B$2:$B$675,B6,Compta!$C$2:$C$675,"2026"),0)</f>
        <v/>
      </c>
      <c r="G6">
        <f>IF(D6="V01",cad!$I$21,IF(D6="V02",cad!$J$21,cad!$K$21))</f>
        <v/>
      </c>
      <c r="H6">
        <f>IF(D6="V01",cad!$I$22,IF(D6="V02",cad!$J$22,cad!$K$22))</f>
        <v/>
      </c>
      <c r="I6">
        <f>IF(D6="V01",cad!$I$27,IF(D6="V02",cad!$J$27,cad!$K$27))</f>
        <v/>
      </c>
      <c r="J6">
        <f>IF(D6="V01",cad!$I$28,IF(D6="V02",cad!$J$28,cad!$K$28))</f>
        <v/>
      </c>
      <c r="K6">
        <f>IF(D6="V01",cad!$I$29,IF(D6="V02",cad!$J$29,cad!$K$29))</f>
        <v/>
      </c>
      <c r="L6">
        <f>IF(D6="V01",cad!$I$30,IF(D6="V02",cad!$J$30,cad!$K$30))</f>
        <v/>
      </c>
      <c r="M6">
        <f>IF(D6="V01",cad!$I$31,IF(D6="V02",cad!$J$31,cad!$K$31))</f>
        <v/>
      </c>
      <c r="N6">
        <f>IF(D6="V01",$R$2,IF(D6="V02",$R$3,$R$4))</f>
        <v/>
      </c>
      <c r="O6">
        <f>IF(OR(B6="7062",B6="706",B6="708"),N6,IF(B6="6231",1+G6,IF(B6="6236",1+H6,IF(OR(B6="621",B6="604",B6="6063"),N6*(1-L6),IF(OR(B6="6411",B6="6413",B6="6414",B6="645"),(1+J6)*(1+K6),IF(OR(B6="613",B6="615",B6="616",B6="6226",B6="625",B6="626",B6="6281"),(1+I6)*(1-L6)*(1+M6),IF(OR(B6="6331",B6="63511",B6="6333"),(1+I6)*(1-L6),IF(B6="6811",1+I6,1))))))))</f>
        <v/>
      </c>
      <c r="P6">
        <f>IF(E6=1,F6*O6,"")</f>
        <v/>
      </c>
    </row>
    <row r="7">
      <c r="A7">
        <f>PNL!A7</f>
        <v/>
      </c>
      <c r="B7">
        <f>PNL!B7</f>
        <v/>
      </c>
      <c r="C7">
        <f>PNL!C7</f>
        <v/>
      </c>
      <c r="D7">
        <f>PNL!D7</f>
        <v/>
      </c>
      <c r="E7">
        <f>IF(AND(C7="2027",OR(D7="V01",D7="V02",D7="V03")),1,0)</f>
        <v/>
      </c>
      <c r="F7">
        <f>IF(E7=1,SUMIFS(Compta!$F$2:$F$675,Compta!$A$2:$A$675,A7,Compta!$B$2:$B$675,B7,Compta!$C$2:$C$675,"2026"),0)</f>
        <v/>
      </c>
      <c r="G7">
        <f>IF(D7="V01",cad!$I$21,IF(D7="V02",cad!$J$21,cad!$K$21))</f>
        <v/>
      </c>
      <c r="H7">
        <f>IF(D7="V01",cad!$I$22,IF(D7="V02",cad!$J$22,cad!$K$22))</f>
        <v/>
      </c>
      <c r="I7">
        <f>IF(D7="V01",cad!$I$27,IF(D7="V02",cad!$J$27,cad!$K$27))</f>
        <v/>
      </c>
      <c r="J7">
        <f>IF(D7="V01",cad!$I$28,IF(D7="V02",cad!$J$28,cad!$K$28))</f>
        <v/>
      </c>
      <c r="K7">
        <f>IF(D7="V01",cad!$I$29,IF(D7="V02",cad!$J$29,cad!$K$29))</f>
        <v/>
      </c>
      <c r="L7">
        <f>IF(D7="V01",cad!$I$30,IF(D7="V02",cad!$J$30,cad!$K$30))</f>
        <v/>
      </c>
      <c r="M7">
        <f>IF(D7="V01",cad!$I$31,IF(D7="V02",cad!$J$31,cad!$K$31))</f>
        <v/>
      </c>
      <c r="N7">
        <f>IF(D7="V01",$R$2,IF(D7="V02",$R$3,$R$4))</f>
        <v/>
      </c>
      <c r="O7">
        <f>IF(OR(B7="7062",B7="706",B7="708"),N7,IF(B7="6231",1+G7,IF(B7="6236",1+H7,IF(OR(B7="621",B7="604",B7="6063"),N7*(1-L7),IF(OR(B7="6411",B7="6413",B7="6414",B7="645"),(1+J7)*(1+K7),IF(OR(B7="613",B7="615",B7="616",B7="6226",B7="625",B7="626",B7="6281"),(1+I7)*(1-L7)*(1+M7),IF(OR(B7="6331",B7="63511",B7="6333"),(1+I7)*(1-L7),IF(B7="6811",1+I7,1))))))))</f>
        <v/>
      </c>
      <c r="P7">
        <f>IF(E7=1,F7*O7,"")</f>
        <v/>
      </c>
    </row>
    <row r="8">
      <c r="A8">
        <f>PNL!A8</f>
        <v/>
      </c>
      <c r="B8">
        <f>PNL!B8</f>
        <v/>
      </c>
      <c r="C8">
        <f>PNL!C8</f>
        <v/>
      </c>
      <c r="D8">
        <f>PNL!D8</f>
        <v/>
      </c>
      <c r="E8">
        <f>IF(AND(C8="2027",OR(D8="V01",D8="V02",D8="V03")),1,0)</f>
        <v/>
      </c>
      <c r="F8">
        <f>IF(E8=1,SUMIFS(Compta!$F$2:$F$675,Compta!$A$2:$A$675,A8,Compta!$B$2:$B$675,B8,Compta!$C$2:$C$675,"2026"),0)</f>
        <v/>
      </c>
      <c r="G8">
        <f>IF(D8="V01",cad!$I$21,IF(D8="V02",cad!$J$21,cad!$K$21))</f>
        <v/>
      </c>
      <c r="H8">
        <f>IF(D8="V01",cad!$I$22,IF(D8="V02",cad!$J$22,cad!$K$22))</f>
        <v/>
      </c>
      <c r="I8">
        <f>IF(D8="V01",cad!$I$27,IF(D8="V02",cad!$J$27,cad!$K$27))</f>
        <v/>
      </c>
      <c r="J8">
        <f>IF(D8="V01",cad!$I$28,IF(D8="V02",cad!$J$28,cad!$K$28))</f>
        <v/>
      </c>
      <c r="K8">
        <f>IF(D8="V01",cad!$I$29,IF(D8="V02",cad!$J$29,cad!$K$29))</f>
        <v/>
      </c>
      <c r="L8">
        <f>IF(D8="V01",cad!$I$30,IF(D8="V02",cad!$J$30,cad!$K$30))</f>
        <v/>
      </c>
      <c r="M8">
        <f>IF(D8="V01",cad!$I$31,IF(D8="V02",cad!$J$31,cad!$K$31))</f>
        <v/>
      </c>
      <c r="N8">
        <f>IF(D8="V01",$R$2,IF(D8="V02",$R$3,$R$4))</f>
        <v/>
      </c>
      <c r="O8">
        <f>IF(OR(B8="7062",B8="706",B8="708"),N8,IF(B8="6231",1+G8,IF(B8="6236",1+H8,IF(OR(B8="621",B8="604",B8="6063"),N8*(1-L8),IF(OR(B8="6411",B8="6413",B8="6414",B8="645"),(1+J8)*(1+K8),IF(OR(B8="613",B8="615",B8="616",B8="6226",B8="625",B8="626",B8="6281"),(1+I8)*(1-L8)*(1+M8),IF(OR(B8="6331",B8="63511",B8="6333"),(1+I8)*(1-L8),IF(B8="6811",1+I8,1))))))))</f>
        <v/>
      </c>
      <c r="P8">
        <f>IF(E8=1,F8*O8,"")</f>
        <v/>
      </c>
    </row>
    <row r="9">
      <c r="A9">
        <f>PNL!A9</f>
        <v/>
      </c>
      <c r="B9">
        <f>PNL!B9</f>
        <v/>
      </c>
      <c r="C9">
        <f>PNL!C9</f>
        <v/>
      </c>
      <c r="D9">
        <f>PNL!D9</f>
        <v/>
      </c>
      <c r="E9">
        <f>IF(AND(C9="2027",OR(D9="V01",D9="V02",D9="V03")),1,0)</f>
        <v/>
      </c>
      <c r="F9">
        <f>IF(E9=1,SUMIFS(Compta!$F$2:$F$675,Compta!$A$2:$A$675,A9,Compta!$B$2:$B$675,B9,Compta!$C$2:$C$675,"2026"),0)</f>
        <v/>
      </c>
      <c r="G9">
        <f>IF(D9="V01",cad!$I$21,IF(D9="V02",cad!$J$21,cad!$K$21))</f>
        <v/>
      </c>
      <c r="H9">
        <f>IF(D9="V01",cad!$I$22,IF(D9="V02",cad!$J$22,cad!$K$22))</f>
        <v/>
      </c>
      <c r="I9">
        <f>IF(D9="V01",cad!$I$27,IF(D9="V02",cad!$J$27,cad!$K$27))</f>
        <v/>
      </c>
      <c r="J9">
        <f>IF(D9="V01",cad!$I$28,IF(D9="V02",cad!$J$28,cad!$K$28))</f>
        <v/>
      </c>
      <c r="K9">
        <f>IF(D9="V01",cad!$I$29,IF(D9="V02",cad!$J$29,cad!$K$29))</f>
        <v/>
      </c>
      <c r="L9">
        <f>IF(D9="V01",cad!$I$30,IF(D9="V02",cad!$J$30,cad!$K$30))</f>
        <v/>
      </c>
      <c r="M9">
        <f>IF(D9="V01",cad!$I$31,IF(D9="V02",cad!$J$31,cad!$K$31))</f>
        <v/>
      </c>
      <c r="N9">
        <f>IF(D9="V01",$R$2,IF(D9="V02",$R$3,$R$4))</f>
        <v/>
      </c>
      <c r="O9">
        <f>IF(OR(B9="7062",B9="706",B9="708"),N9,IF(B9="6231",1+G9,IF(B9="6236",1+H9,IF(OR(B9="621",B9="604",B9="6063"),N9*(1-L9),IF(OR(B9="6411",B9="6413",B9="6414",B9="645"),(1+J9)*(1+K9),IF(OR(B9="613",B9="615",B9="616",B9="6226",B9="625",B9="626",B9="6281"),(1+I9)*(1-L9)*(1+M9),IF(OR(B9="6331",B9="63511",B9="6333"),(1+I9)*(1-L9),IF(B9="6811",1+I9,1))))))))</f>
        <v/>
      </c>
      <c r="P9">
        <f>IF(E9=1,F9*O9,"")</f>
        <v/>
      </c>
    </row>
    <row r="10">
      <c r="A10">
        <f>PNL!A10</f>
        <v/>
      </c>
      <c r="B10">
        <f>PNL!B10</f>
        <v/>
      </c>
      <c r="C10">
        <f>PNL!C10</f>
        <v/>
      </c>
      <c r="D10">
        <f>PNL!D10</f>
        <v/>
      </c>
      <c r="E10">
        <f>IF(AND(C10="2027",OR(D10="V01",D10="V02",D10="V03")),1,0)</f>
        <v/>
      </c>
      <c r="F10">
        <f>IF(E10=1,SUMIFS(Compta!$F$2:$F$675,Compta!$A$2:$A$675,A10,Compta!$B$2:$B$675,B10,Compta!$C$2:$C$675,"2026"),0)</f>
        <v/>
      </c>
      <c r="G10">
        <f>IF(D10="V01",cad!$I$21,IF(D10="V02",cad!$J$21,cad!$K$21))</f>
        <v/>
      </c>
      <c r="H10">
        <f>IF(D10="V01",cad!$I$22,IF(D10="V02",cad!$J$22,cad!$K$22))</f>
        <v/>
      </c>
      <c r="I10">
        <f>IF(D10="V01",cad!$I$27,IF(D10="V02",cad!$J$27,cad!$K$27))</f>
        <v/>
      </c>
      <c r="J10">
        <f>IF(D10="V01",cad!$I$28,IF(D10="V02",cad!$J$28,cad!$K$28))</f>
        <v/>
      </c>
      <c r="K10">
        <f>IF(D10="V01",cad!$I$29,IF(D10="V02",cad!$J$29,cad!$K$29))</f>
        <v/>
      </c>
      <c r="L10">
        <f>IF(D10="V01",cad!$I$30,IF(D10="V02",cad!$J$30,cad!$K$30))</f>
        <v/>
      </c>
      <c r="M10">
        <f>IF(D10="V01",cad!$I$31,IF(D10="V02",cad!$J$31,cad!$K$31))</f>
        <v/>
      </c>
      <c r="N10">
        <f>IF(D10="V01",$R$2,IF(D10="V02",$R$3,$R$4))</f>
        <v/>
      </c>
      <c r="O10">
        <f>IF(OR(B10="7062",B10="706",B10="708"),N10,IF(B10="6231",1+G10,IF(B10="6236",1+H10,IF(OR(B10="621",B10="604",B10="6063"),N10*(1-L10),IF(OR(B10="6411",B10="6413",B10="6414",B10="645"),(1+J10)*(1+K10),IF(OR(B10="613",B10="615",B10="616",B10="6226",B10="625",B10="626",B10="6281"),(1+I10)*(1-L10)*(1+M10),IF(OR(B10="6331",B10="63511",B10="6333"),(1+I10)*(1-L10),IF(B10="6811",1+I10,1))))))))</f>
        <v/>
      </c>
      <c r="P10">
        <f>IF(E10=1,F10*O10,"")</f>
        <v/>
      </c>
    </row>
    <row r="11">
      <c r="A11">
        <f>PNL!A11</f>
        <v/>
      </c>
      <c r="B11">
        <f>PNL!B11</f>
        <v/>
      </c>
      <c r="C11">
        <f>PNL!C11</f>
        <v/>
      </c>
      <c r="D11">
        <f>PNL!D11</f>
        <v/>
      </c>
      <c r="E11">
        <f>IF(AND(C11="2027",OR(D11="V01",D11="V02",D11="V03")),1,0)</f>
        <v/>
      </c>
      <c r="F11">
        <f>IF(E11=1,SUMIFS(Compta!$F$2:$F$675,Compta!$A$2:$A$675,A11,Compta!$B$2:$B$675,B11,Compta!$C$2:$C$675,"2026"),0)</f>
        <v/>
      </c>
      <c r="G11">
        <f>IF(D11="V01",cad!$I$21,IF(D11="V02",cad!$J$21,cad!$K$21))</f>
        <v/>
      </c>
      <c r="H11">
        <f>IF(D11="V01",cad!$I$22,IF(D11="V02",cad!$J$22,cad!$K$22))</f>
        <v/>
      </c>
      <c r="I11">
        <f>IF(D11="V01",cad!$I$27,IF(D11="V02",cad!$J$27,cad!$K$27))</f>
        <v/>
      </c>
      <c r="J11">
        <f>IF(D11="V01",cad!$I$28,IF(D11="V02",cad!$J$28,cad!$K$28))</f>
        <v/>
      </c>
      <c r="K11">
        <f>IF(D11="V01",cad!$I$29,IF(D11="V02",cad!$J$29,cad!$K$29))</f>
        <v/>
      </c>
      <c r="L11">
        <f>IF(D11="V01",cad!$I$30,IF(D11="V02",cad!$J$30,cad!$K$30))</f>
        <v/>
      </c>
      <c r="M11">
        <f>IF(D11="V01",cad!$I$31,IF(D11="V02",cad!$J$31,cad!$K$31))</f>
        <v/>
      </c>
      <c r="N11">
        <f>IF(D11="V01",$R$2,IF(D11="V02",$R$3,$R$4))</f>
        <v/>
      </c>
      <c r="O11">
        <f>IF(OR(B11="7062",B11="706",B11="708"),N11,IF(B11="6231",1+G11,IF(B11="6236",1+H11,IF(OR(B11="621",B11="604",B11="6063"),N11*(1-L11),IF(OR(B11="6411",B11="6413",B11="6414",B11="645"),(1+J11)*(1+K11),IF(OR(B11="613",B11="615",B11="616",B11="6226",B11="625",B11="626",B11="6281"),(1+I11)*(1-L11)*(1+M11),IF(OR(B11="6331",B11="63511",B11="6333"),(1+I11)*(1-L11),IF(B11="6811",1+I11,1))))))))</f>
        <v/>
      </c>
      <c r="P11">
        <f>IF(E11=1,F11*O11,"")</f>
        <v/>
      </c>
    </row>
    <row r="12">
      <c r="A12">
        <f>PNL!A12</f>
        <v/>
      </c>
      <c r="B12">
        <f>PNL!B12</f>
        <v/>
      </c>
      <c r="C12">
        <f>PNL!C12</f>
        <v/>
      </c>
      <c r="D12">
        <f>PNL!D12</f>
        <v/>
      </c>
      <c r="E12">
        <f>IF(AND(C12="2027",OR(D12="V01",D12="V02",D12="V03")),1,0)</f>
        <v/>
      </c>
      <c r="F12">
        <f>IF(E12=1,SUMIFS(Compta!$F$2:$F$675,Compta!$A$2:$A$675,A12,Compta!$B$2:$B$675,B12,Compta!$C$2:$C$675,"2026"),0)</f>
        <v/>
      </c>
      <c r="G12">
        <f>IF(D12="V01",cad!$I$21,IF(D12="V02",cad!$J$21,cad!$K$21))</f>
        <v/>
      </c>
      <c r="H12">
        <f>IF(D12="V01",cad!$I$22,IF(D12="V02",cad!$J$22,cad!$K$22))</f>
        <v/>
      </c>
      <c r="I12">
        <f>IF(D12="V01",cad!$I$27,IF(D12="V02",cad!$J$27,cad!$K$27))</f>
        <v/>
      </c>
      <c r="J12">
        <f>IF(D12="V01",cad!$I$28,IF(D12="V02",cad!$J$28,cad!$K$28))</f>
        <v/>
      </c>
      <c r="K12">
        <f>IF(D12="V01",cad!$I$29,IF(D12="V02",cad!$J$29,cad!$K$29))</f>
        <v/>
      </c>
      <c r="L12">
        <f>IF(D12="V01",cad!$I$30,IF(D12="V02",cad!$J$30,cad!$K$30))</f>
        <v/>
      </c>
      <c r="M12">
        <f>IF(D12="V01",cad!$I$31,IF(D12="V02",cad!$J$31,cad!$K$31))</f>
        <v/>
      </c>
      <c r="N12">
        <f>IF(D12="V01",$R$2,IF(D12="V02",$R$3,$R$4))</f>
        <v/>
      </c>
      <c r="O12">
        <f>IF(OR(B12="7062",B12="706",B12="708"),N12,IF(B12="6231",1+G12,IF(B12="6236",1+H12,IF(OR(B12="621",B12="604",B12="6063"),N12*(1-L12),IF(OR(B12="6411",B12="6413",B12="6414",B12="645"),(1+J12)*(1+K12),IF(OR(B12="613",B12="615",B12="616",B12="6226",B12="625",B12="626",B12="6281"),(1+I12)*(1-L12)*(1+M12),IF(OR(B12="6331",B12="63511",B12="6333"),(1+I12)*(1-L12),IF(B12="6811",1+I12,1))))))))</f>
        <v/>
      </c>
      <c r="P12">
        <f>IF(E12=1,F12*O12,"")</f>
        <v/>
      </c>
    </row>
    <row r="13">
      <c r="A13">
        <f>PNL!A13</f>
        <v/>
      </c>
      <c r="B13">
        <f>PNL!B13</f>
        <v/>
      </c>
      <c r="C13">
        <f>PNL!C13</f>
        <v/>
      </c>
      <c r="D13">
        <f>PNL!D13</f>
        <v/>
      </c>
      <c r="E13">
        <f>IF(AND(C13="2027",OR(D13="V01",D13="V02",D13="V03")),1,0)</f>
        <v/>
      </c>
      <c r="F13">
        <f>IF(E13=1,SUMIFS(Compta!$F$2:$F$675,Compta!$A$2:$A$675,A13,Compta!$B$2:$B$675,B13,Compta!$C$2:$C$675,"2026"),0)</f>
        <v/>
      </c>
      <c r="G13">
        <f>IF(D13="V01",cad!$I$21,IF(D13="V02",cad!$J$21,cad!$K$21))</f>
        <v/>
      </c>
      <c r="H13">
        <f>IF(D13="V01",cad!$I$22,IF(D13="V02",cad!$J$22,cad!$K$22))</f>
        <v/>
      </c>
      <c r="I13">
        <f>IF(D13="V01",cad!$I$27,IF(D13="V02",cad!$J$27,cad!$K$27))</f>
        <v/>
      </c>
      <c r="J13">
        <f>IF(D13="V01",cad!$I$28,IF(D13="V02",cad!$J$28,cad!$K$28))</f>
        <v/>
      </c>
      <c r="K13">
        <f>IF(D13="V01",cad!$I$29,IF(D13="V02",cad!$J$29,cad!$K$29))</f>
        <v/>
      </c>
      <c r="L13">
        <f>IF(D13="V01",cad!$I$30,IF(D13="V02",cad!$J$30,cad!$K$30))</f>
        <v/>
      </c>
      <c r="M13">
        <f>IF(D13="V01",cad!$I$31,IF(D13="V02",cad!$J$31,cad!$K$31))</f>
        <v/>
      </c>
      <c r="N13">
        <f>IF(D13="V01",$R$2,IF(D13="V02",$R$3,$R$4))</f>
        <v/>
      </c>
      <c r="O13">
        <f>IF(OR(B13="7062",B13="706",B13="708"),N13,IF(B13="6231",1+G13,IF(B13="6236",1+H13,IF(OR(B13="621",B13="604",B13="6063"),N13*(1-L13),IF(OR(B13="6411",B13="6413",B13="6414",B13="645"),(1+J13)*(1+K13),IF(OR(B13="613",B13="615",B13="616",B13="6226",B13="625",B13="626",B13="6281"),(1+I13)*(1-L13)*(1+M13),IF(OR(B13="6331",B13="63511",B13="6333"),(1+I13)*(1-L13),IF(B13="6811",1+I13,1))))))))</f>
        <v/>
      </c>
      <c r="P13">
        <f>IF(E13=1,F13*O13,"")</f>
        <v/>
      </c>
    </row>
    <row r="14">
      <c r="A14">
        <f>PNL!A14</f>
        <v/>
      </c>
      <c r="B14">
        <f>PNL!B14</f>
        <v/>
      </c>
      <c r="C14">
        <f>PNL!C14</f>
        <v/>
      </c>
      <c r="D14">
        <f>PNL!D14</f>
        <v/>
      </c>
      <c r="E14">
        <f>IF(AND(C14="2027",OR(D14="V01",D14="V02",D14="V03")),1,0)</f>
        <v/>
      </c>
      <c r="F14">
        <f>IF(E14=1,SUMIFS(Compta!$F$2:$F$675,Compta!$A$2:$A$675,A14,Compta!$B$2:$B$675,B14,Compta!$C$2:$C$675,"2026"),0)</f>
        <v/>
      </c>
      <c r="G14">
        <f>IF(D14="V01",cad!$I$21,IF(D14="V02",cad!$J$21,cad!$K$21))</f>
        <v/>
      </c>
      <c r="H14">
        <f>IF(D14="V01",cad!$I$22,IF(D14="V02",cad!$J$22,cad!$K$22))</f>
        <v/>
      </c>
      <c r="I14">
        <f>IF(D14="V01",cad!$I$27,IF(D14="V02",cad!$J$27,cad!$K$27))</f>
        <v/>
      </c>
      <c r="J14">
        <f>IF(D14="V01",cad!$I$28,IF(D14="V02",cad!$J$28,cad!$K$28))</f>
        <v/>
      </c>
      <c r="K14">
        <f>IF(D14="V01",cad!$I$29,IF(D14="V02",cad!$J$29,cad!$K$29))</f>
        <v/>
      </c>
      <c r="L14">
        <f>IF(D14="V01",cad!$I$30,IF(D14="V02",cad!$J$30,cad!$K$30))</f>
        <v/>
      </c>
      <c r="M14">
        <f>IF(D14="V01",cad!$I$31,IF(D14="V02",cad!$J$31,cad!$K$31))</f>
        <v/>
      </c>
      <c r="N14">
        <f>IF(D14="V01",$R$2,IF(D14="V02",$R$3,$R$4))</f>
        <v/>
      </c>
      <c r="O14">
        <f>IF(OR(B14="7062",B14="706",B14="708"),N14,IF(B14="6231",1+G14,IF(B14="6236",1+H14,IF(OR(B14="621",B14="604",B14="6063"),N14*(1-L14),IF(OR(B14="6411",B14="6413",B14="6414",B14="645"),(1+J14)*(1+K14),IF(OR(B14="613",B14="615",B14="616",B14="6226",B14="625",B14="626",B14="6281"),(1+I14)*(1-L14)*(1+M14),IF(OR(B14="6331",B14="63511",B14="6333"),(1+I14)*(1-L14),IF(B14="6811",1+I14,1))))))))</f>
        <v/>
      </c>
      <c r="P14">
        <f>IF(E14=1,F14*O14,"")</f>
        <v/>
      </c>
    </row>
    <row r="15">
      <c r="A15">
        <f>PNL!A15</f>
        <v/>
      </c>
      <c r="B15">
        <f>PNL!B15</f>
        <v/>
      </c>
      <c r="C15">
        <f>PNL!C15</f>
        <v/>
      </c>
      <c r="D15">
        <f>PNL!D15</f>
        <v/>
      </c>
      <c r="E15">
        <f>IF(AND(C15="2027",OR(D15="V01",D15="V02",D15="V03")),1,0)</f>
        <v/>
      </c>
      <c r="F15">
        <f>IF(E15=1,SUMIFS(Compta!$F$2:$F$675,Compta!$A$2:$A$675,A15,Compta!$B$2:$B$675,B15,Compta!$C$2:$C$675,"2026"),0)</f>
        <v/>
      </c>
      <c r="G15">
        <f>IF(D15="V01",cad!$I$21,IF(D15="V02",cad!$J$21,cad!$K$21))</f>
        <v/>
      </c>
      <c r="H15">
        <f>IF(D15="V01",cad!$I$22,IF(D15="V02",cad!$J$22,cad!$K$22))</f>
        <v/>
      </c>
      <c r="I15">
        <f>IF(D15="V01",cad!$I$27,IF(D15="V02",cad!$J$27,cad!$K$27))</f>
        <v/>
      </c>
      <c r="J15">
        <f>IF(D15="V01",cad!$I$28,IF(D15="V02",cad!$J$28,cad!$K$28))</f>
        <v/>
      </c>
      <c r="K15">
        <f>IF(D15="V01",cad!$I$29,IF(D15="V02",cad!$J$29,cad!$K$29))</f>
        <v/>
      </c>
      <c r="L15">
        <f>IF(D15="V01",cad!$I$30,IF(D15="V02",cad!$J$30,cad!$K$30))</f>
        <v/>
      </c>
      <c r="M15">
        <f>IF(D15="V01",cad!$I$31,IF(D15="V02",cad!$J$31,cad!$K$31))</f>
        <v/>
      </c>
      <c r="N15">
        <f>IF(D15="V01",$R$2,IF(D15="V02",$R$3,$R$4))</f>
        <v/>
      </c>
      <c r="O15">
        <f>IF(OR(B15="7062",B15="706",B15="708"),N15,IF(B15="6231",1+G15,IF(B15="6236",1+H15,IF(OR(B15="621",B15="604",B15="6063"),N15*(1-L15),IF(OR(B15="6411",B15="6413",B15="6414",B15="645"),(1+J15)*(1+K15),IF(OR(B15="613",B15="615",B15="616",B15="6226",B15="625",B15="626",B15="6281"),(1+I15)*(1-L15)*(1+M15),IF(OR(B15="6331",B15="63511",B15="6333"),(1+I15)*(1-L15),IF(B15="6811",1+I15,1))))))))</f>
        <v/>
      </c>
      <c r="P15">
        <f>IF(E15=1,F15*O15,"")</f>
        <v/>
      </c>
    </row>
    <row r="16">
      <c r="A16">
        <f>PNL!A16</f>
        <v/>
      </c>
      <c r="B16">
        <f>PNL!B16</f>
        <v/>
      </c>
      <c r="C16">
        <f>PNL!C16</f>
        <v/>
      </c>
      <c r="D16">
        <f>PNL!D16</f>
        <v/>
      </c>
      <c r="E16">
        <f>IF(AND(C16="2027",OR(D16="V01",D16="V02",D16="V03")),1,0)</f>
        <v/>
      </c>
      <c r="F16">
        <f>IF(E16=1,SUMIFS(Compta!$F$2:$F$675,Compta!$A$2:$A$675,A16,Compta!$B$2:$B$675,B16,Compta!$C$2:$C$675,"2026"),0)</f>
        <v/>
      </c>
      <c r="G16">
        <f>IF(D16="V01",cad!$I$21,IF(D16="V02",cad!$J$21,cad!$K$21))</f>
        <v/>
      </c>
      <c r="H16">
        <f>IF(D16="V01",cad!$I$22,IF(D16="V02",cad!$J$22,cad!$K$22))</f>
        <v/>
      </c>
      <c r="I16">
        <f>IF(D16="V01",cad!$I$27,IF(D16="V02",cad!$J$27,cad!$K$27))</f>
        <v/>
      </c>
      <c r="J16">
        <f>IF(D16="V01",cad!$I$28,IF(D16="V02",cad!$J$28,cad!$K$28))</f>
        <v/>
      </c>
      <c r="K16">
        <f>IF(D16="V01",cad!$I$29,IF(D16="V02",cad!$J$29,cad!$K$29))</f>
        <v/>
      </c>
      <c r="L16">
        <f>IF(D16="V01",cad!$I$30,IF(D16="V02",cad!$J$30,cad!$K$30))</f>
        <v/>
      </c>
      <c r="M16">
        <f>IF(D16="V01",cad!$I$31,IF(D16="V02",cad!$J$31,cad!$K$31))</f>
        <v/>
      </c>
      <c r="N16">
        <f>IF(D16="V01",$R$2,IF(D16="V02",$R$3,$R$4))</f>
        <v/>
      </c>
      <c r="O16">
        <f>IF(OR(B16="7062",B16="706",B16="708"),N16,IF(B16="6231",1+G16,IF(B16="6236",1+H16,IF(OR(B16="621",B16="604",B16="6063"),N16*(1-L16),IF(OR(B16="6411",B16="6413",B16="6414",B16="645"),(1+J16)*(1+K16),IF(OR(B16="613",B16="615",B16="616",B16="6226",B16="625",B16="626",B16="6281"),(1+I16)*(1-L16)*(1+M16),IF(OR(B16="6331",B16="63511",B16="6333"),(1+I16)*(1-L16),IF(B16="6811",1+I16,1))))))))</f>
        <v/>
      </c>
      <c r="P16">
        <f>IF(E16=1,F16*O16,"")</f>
        <v/>
      </c>
    </row>
    <row r="17">
      <c r="A17">
        <f>PNL!A17</f>
        <v/>
      </c>
      <c r="B17">
        <f>PNL!B17</f>
        <v/>
      </c>
      <c r="C17">
        <f>PNL!C17</f>
        <v/>
      </c>
      <c r="D17">
        <f>PNL!D17</f>
        <v/>
      </c>
      <c r="E17">
        <f>IF(AND(C17="2027",OR(D17="V01",D17="V02",D17="V03")),1,0)</f>
        <v/>
      </c>
      <c r="F17">
        <f>IF(E17=1,SUMIFS(Compta!$F$2:$F$675,Compta!$A$2:$A$675,A17,Compta!$B$2:$B$675,B17,Compta!$C$2:$C$675,"2026"),0)</f>
        <v/>
      </c>
      <c r="G17">
        <f>IF(D17="V01",cad!$I$21,IF(D17="V02",cad!$J$21,cad!$K$21))</f>
        <v/>
      </c>
      <c r="H17">
        <f>IF(D17="V01",cad!$I$22,IF(D17="V02",cad!$J$22,cad!$K$22))</f>
        <v/>
      </c>
      <c r="I17">
        <f>IF(D17="V01",cad!$I$27,IF(D17="V02",cad!$J$27,cad!$K$27))</f>
        <v/>
      </c>
      <c r="J17">
        <f>IF(D17="V01",cad!$I$28,IF(D17="V02",cad!$J$28,cad!$K$28))</f>
        <v/>
      </c>
      <c r="K17">
        <f>IF(D17="V01",cad!$I$29,IF(D17="V02",cad!$J$29,cad!$K$29))</f>
        <v/>
      </c>
      <c r="L17">
        <f>IF(D17="V01",cad!$I$30,IF(D17="V02",cad!$J$30,cad!$K$30))</f>
        <v/>
      </c>
      <c r="M17">
        <f>IF(D17="V01",cad!$I$31,IF(D17="V02",cad!$J$31,cad!$K$31))</f>
        <v/>
      </c>
      <c r="N17">
        <f>IF(D17="V01",$R$2,IF(D17="V02",$R$3,$R$4))</f>
        <v/>
      </c>
      <c r="O17">
        <f>IF(OR(B17="7062",B17="706",B17="708"),N17,IF(B17="6231",1+G17,IF(B17="6236",1+H17,IF(OR(B17="621",B17="604",B17="6063"),N17*(1-L17),IF(OR(B17="6411",B17="6413",B17="6414",B17="645"),(1+J17)*(1+K17),IF(OR(B17="613",B17="615",B17="616",B17="6226",B17="625",B17="626",B17="6281"),(1+I17)*(1-L17)*(1+M17),IF(OR(B17="6331",B17="63511",B17="6333"),(1+I17)*(1-L17),IF(B17="6811",1+I17,1))))))))</f>
        <v/>
      </c>
      <c r="P17">
        <f>IF(E17=1,F17*O17,"")</f>
        <v/>
      </c>
    </row>
    <row r="18">
      <c r="A18">
        <f>PNL!A18</f>
        <v/>
      </c>
      <c r="B18">
        <f>PNL!B18</f>
        <v/>
      </c>
      <c r="C18">
        <f>PNL!C18</f>
        <v/>
      </c>
      <c r="D18">
        <f>PNL!D18</f>
        <v/>
      </c>
      <c r="E18">
        <f>IF(AND(C18="2027",OR(D18="V01",D18="V02",D18="V03")),1,0)</f>
        <v/>
      </c>
      <c r="F18">
        <f>IF(E18=1,SUMIFS(Compta!$F$2:$F$675,Compta!$A$2:$A$675,A18,Compta!$B$2:$B$675,B18,Compta!$C$2:$C$675,"2026"),0)</f>
        <v/>
      </c>
      <c r="G18">
        <f>IF(D18="V01",cad!$I$21,IF(D18="V02",cad!$J$21,cad!$K$21))</f>
        <v/>
      </c>
      <c r="H18">
        <f>IF(D18="V01",cad!$I$22,IF(D18="V02",cad!$J$22,cad!$K$22))</f>
        <v/>
      </c>
      <c r="I18">
        <f>IF(D18="V01",cad!$I$27,IF(D18="V02",cad!$J$27,cad!$K$27))</f>
        <v/>
      </c>
      <c r="J18">
        <f>IF(D18="V01",cad!$I$28,IF(D18="V02",cad!$J$28,cad!$K$28))</f>
        <v/>
      </c>
      <c r="K18">
        <f>IF(D18="V01",cad!$I$29,IF(D18="V02",cad!$J$29,cad!$K$29))</f>
        <v/>
      </c>
      <c r="L18">
        <f>IF(D18="V01",cad!$I$30,IF(D18="V02",cad!$J$30,cad!$K$30))</f>
        <v/>
      </c>
      <c r="M18">
        <f>IF(D18="V01",cad!$I$31,IF(D18="V02",cad!$J$31,cad!$K$31))</f>
        <v/>
      </c>
      <c r="N18">
        <f>IF(D18="V01",$R$2,IF(D18="V02",$R$3,$R$4))</f>
        <v/>
      </c>
      <c r="O18">
        <f>IF(OR(B18="7062",B18="706",B18="708"),N18,IF(B18="6231",1+G18,IF(B18="6236",1+H18,IF(OR(B18="621",B18="604",B18="6063"),N18*(1-L18),IF(OR(B18="6411",B18="6413",B18="6414",B18="645"),(1+J18)*(1+K18),IF(OR(B18="613",B18="615",B18="616",B18="6226",B18="625",B18="626",B18="6281"),(1+I18)*(1-L18)*(1+M18),IF(OR(B18="6331",B18="63511",B18="6333"),(1+I18)*(1-L18),IF(B18="6811",1+I18,1))))))))</f>
        <v/>
      </c>
      <c r="P18">
        <f>IF(E18=1,F18*O18,"")</f>
        <v/>
      </c>
    </row>
    <row r="19">
      <c r="A19">
        <f>PNL!A19</f>
        <v/>
      </c>
      <c r="B19">
        <f>PNL!B19</f>
        <v/>
      </c>
      <c r="C19">
        <f>PNL!C19</f>
        <v/>
      </c>
      <c r="D19">
        <f>PNL!D19</f>
        <v/>
      </c>
      <c r="E19">
        <f>IF(AND(C19="2027",OR(D19="V01",D19="V02",D19="V03")),1,0)</f>
        <v/>
      </c>
      <c r="F19">
        <f>IF(E19=1,SUMIFS(Compta!$F$2:$F$675,Compta!$A$2:$A$675,A19,Compta!$B$2:$B$675,B19,Compta!$C$2:$C$675,"2026"),0)</f>
        <v/>
      </c>
      <c r="G19">
        <f>IF(D19="V01",cad!$I$21,IF(D19="V02",cad!$J$21,cad!$K$21))</f>
        <v/>
      </c>
      <c r="H19">
        <f>IF(D19="V01",cad!$I$22,IF(D19="V02",cad!$J$22,cad!$K$22))</f>
        <v/>
      </c>
      <c r="I19">
        <f>IF(D19="V01",cad!$I$27,IF(D19="V02",cad!$J$27,cad!$K$27))</f>
        <v/>
      </c>
      <c r="J19">
        <f>IF(D19="V01",cad!$I$28,IF(D19="V02",cad!$J$28,cad!$K$28))</f>
        <v/>
      </c>
      <c r="K19">
        <f>IF(D19="V01",cad!$I$29,IF(D19="V02",cad!$J$29,cad!$K$29))</f>
        <v/>
      </c>
      <c r="L19">
        <f>IF(D19="V01",cad!$I$30,IF(D19="V02",cad!$J$30,cad!$K$30))</f>
        <v/>
      </c>
      <c r="M19">
        <f>IF(D19="V01",cad!$I$31,IF(D19="V02",cad!$J$31,cad!$K$31))</f>
        <v/>
      </c>
      <c r="N19">
        <f>IF(D19="V01",$R$2,IF(D19="V02",$R$3,$R$4))</f>
        <v/>
      </c>
      <c r="O19">
        <f>IF(OR(B19="7062",B19="706",B19="708"),N19,IF(B19="6231",1+G19,IF(B19="6236",1+H19,IF(OR(B19="621",B19="604",B19="6063"),N19*(1-L19),IF(OR(B19="6411",B19="6413",B19="6414",B19="645"),(1+J19)*(1+K19),IF(OR(B19="613",B19="615",B19="616",B19="6226",B19="625",B19="626",B19="6281"),(1+I19)*(1-L19)*(1+M19),IF(OR(B19="6331",B19="63511",B19="6333"),(1+I19)*(1-L19),IF(B19="6811",1+I19,1))))))))</f>
        <v/>
      </c>
      <c r="P19">
        <f>IF(E19=1,F19*O19,"")</f>
        <v/>
      </c>
    </row>
    <row r="20">
      <c r="A20">
        <f>PNL!A20</f>
        <v/>
      </c>
      <c r="B20">
        <f>PNL!B20</f>
        <v/>
      </c>
      <c r="C20">
        <f>PNL!C20</f>
        <v/>
      </c>
      <c r="D20">
        <f>PNL!D20</f>
        <v/>
      </c>
      <c r="E20">
        <f>IF(AND(C20="2027",OR(D20="V01",D20="V02",D20="V03")),1,0)</f>
        <v/>
      </c>
      <c r="F20">
        <f>IF(E20=1,SUMIFS(Compta!$F$2:$F$675,Compta!$A$2:$A$675,A20,Compta!$B$2:$B$675,B20,Compta!$C$2:$C$675,"2026"),0)</f>
        <v/>
      </c>
      <c r="G20">
        <f>IF(D20="V01",cad!$I$21,IF(D20="V02",cad!$J$21,cad!$K$21))</f>
        <v/>
      </c>
      <c r="H20">
        <f>IF(D20="V01",cad!$I$22,IF(D20="V02",cad!$J$22,cad!$K$22))</f>
        <v/>
      </c>
      <c r="I20">
        <f>IF(D20="V01",cad!$I$27,IF(D20="V02",cad!$J$27,cad!$K$27))</f>
        <v/>
      </c>
      <c r="J20">
        <f>IF(D20="V01",cad!$I$28,IF(D20="V02",cad!$J$28,cad!$K$28))</f>
        <v/>
      </c>
      <c r="K20">
        <f>IF(D20="V01",cad!$I$29,IF(D20="V02",cad!$J$29,cad!$K$29))</f>
        <v/>
      </c>
      <c r="L20">
        <f>IF(D20="V01",cad!$I$30,IF(D20="V02",cad!$J$30,cad!$K$30))</f>
        <v/>
      </c>
      <c r="M20">
        <f>IF(D20="V01",cad!$I$31,IF(D20="V02",cad!$J$31,cad!$K$31))</f>
        <v/>
      </c>
      <c r="N20">
        <f>IF(D20="V01",$R$2,IF(D20="V02",$R$3,$R$4))</f>
        <v/>
      </c>
      <c r="O20">
        <f>IF(OR(B20="7062",B20="706",B20="708"),N20,IF(B20="6231",1+G20,IF(B20="6236",1+H20,IF(OR(B20="621",B20="604",B20="6063"),N20*(1-L20),IF(OR(B20="6411",B20="6413",B20="6414",B20="645"),(1+J20)*(1+K20),IF(OR(B20="613",B20="615",B20="616",B20="6226",B20="625",B20="626",B20="6281"),(1+I20)*(1-L20)*(1+M20),IF(OR(B20="6331",B20="63511",B20="6333"),(1+I20)*(1-L20),IF(B20="6811",1+I20,1))))))))</f>
        <v/>
      </c>
      <c r="P20">
        <f>IF(E20=1,F20*O20,"")</f>
        <v/>
      </c>
    </row>
    <row r="21">
      <c r="A21">
        <f>PNL!A21</f>
        <v/>
      </c>
      <c r="B21">
        <f>PNL!B21</f>
        <v/>
      </c>
      <c r="C21">
        <f>PNL!C21</f>
        <v/>
      </c>
      <c r="D21">
        <f>PNL!D21</f>
        <v/>
      </c>
      <c r="E21">
        <f>IF(AND(C21="2027",OR(D21="V01",D21="V02",D21="V03")),1,0)</f>
        <v/>
      </c>
      <c r="F21">
        <f>IF(E21=1,SUMIFS(Compta!$F$2:$F$675,Compta!$A$2:$A$675,A21,Compta!$B$2:$B$675,B21,Compta!$C$2:$C$675,"2026"),0)</f>
        <v/>
      </c>
      <c r="G21">
        <f>IF(D21="V01",cad!$I$21,IF(D21="V02",cad!$J$21,cad!$K$21))</f>
        <v/>
      </c>
      <c r="H21">
        <f>IF(D21="V01",cad!$I$22,IF(D21="V02",cad!$J$22,cad!$K$22))</f>
        <v/>
      </c>
      <c r="I21">
        <f>IF(D21="V01",cad!$I$27,IF(D21="V02",cad!$J$27,cad!$K$27))</f>
        <v/>
      </c>
      <c r="J21">
        <f>IF(D21="V01",cad!$I$28,IF(D21="V02",cad!$J$28,cad!$K$28))</f>
        <v/>
      </c>
      <c r="K21">
        <f>IF(D21="V01",cad!$I$29,IF(D21="V02",cad!$J$29,cad!$K$29))</f>
        <v/>
      </c>
      <c r="L21">
        <f>IF(D21="V01",cad!$I$30,IF(D21="V02",cad!$J$30,cad!$K$30))</f>
        <v/>
      </c>
      <c r="M21">
        <f>IF(D21="V01",cad!$I$31,IF(D21="V02",cad!$J$31,cad!$K$31))</f>
        <v/>
      </c>
      <c r="N21">
        <f>IF(D21="V01",$R$2,IF(D21="V02",$R$3,$R$4))</f>
        <v/>
      </c>
      <c r="O21">
        <f>IF(OR(B21="7062",B21="706",B21="708"),N21,IF(B21="6231",1+G21,IF(B21="6236",1+H21,IF(OR(B21="621",B21="604",B21="6063"),N21*(1-L21),IF(OR(B21="6411",B21="6413",B21="6414",B21="645"),(1+J21)*(1+K21),IF(OR(B21="613",B21="615",B21="616",B21="6226",B21="625",B21="626",B21="6281"),(1+I21)*(1-L21)*(1+M21),IF(OR(B21="6331",B21="63511",B21="6333"),(1+I21)*(1-L21),IF(B21="6811",1+I21,1))))))))</f>
        <v/>
      </c>
      <c r="P21">
        <f>IF(E21=1,F21*O21,"")</f>
        <v/>
      </c>
    </row>
    <row r="22">
      <c r="A22">
        <f>PNL!A22</f>
        <v/>
      </c>
      <c r="B22">
        <f>PNL!B22</f>
        <v/>
      </c>
      <c r="C22">
        <f>PNL!C22</f>
        <v/>
      </c>
      <c r="D22">
        <f>PNL!D22</f>
        <v/>
      </c>
      <c r="E22">
        <f>IF(AND(C22="2027",OR(D22="V01",D22="V02",D22="V03")),1,0)</f>
        <v/>
      </c>
      <c r="F22">
        <f>IF(E22=1,SUMIFS(Compta!$F$2:$F$675,Compta!$A$2:$A$675,A22,Compta!$B$2:$B$675,B22,Compta!$C$2:$C$675,"2026"),0)</f>
        <v/>
      </c>
      <c r="G22">
        <f>IF(D22="V01",cad!$I$21,IF(D22="V02",cad!$J$21,cad!$K$21))</f>
        <v/>
      </c>
      <c r="H22">
        <f>IF(D22="V01",cad!$I$22,IF(D22="V02",cad!$J$22,cad!$K$22))</f>
        <v/>
      </c>
      <c r="I22">
        <f>IF(D22="V01",cad!$I$27,IF(D22="V02",cad!$J$27,cad!$K$27))</f>
        <v/>
      </c>
      <c r="J22">
        <f>IF(D22="V01",cad!$I$28,IF(D22="V02",cad!$J$28,cad!$K$28))</f>
        <v/>
      </c>
      <c r="K22">
        <f>IF(D22="V01",cad!$I$29,IF(D22="V02",cad!$J$29,cad!$K$29))</f>
        <v/>
      </c>
      <c r="L22">
        <f>IF(D22="V01",cad!$I$30,IF(D22="V02",cad!$J$30,cad!$K$30))</f>
        <v/>
      </c>
      <c r="M22">
        <f>IF(D22="V01",cad!$I$31,IF(D22="V02",cad!$J$31,cad!$K$31))</f>
        <v/>
      </c>
      <c r="N22">
        <f>IF(D22="V01",$R$2,IF(D22="V02",$R$3,$R$4))</f>
        <v/>
      </c>
      <c r="O22">
        <f>IF(OR(B22="7062",B22="706",B22="708"),N22,IF(B22="6231",1+G22,IF(B22="6236",1+H22,IF(OR(B22="621",B22="604",B22="6063"),N22*(1-L22),IF(OR(B22="6411",B22="6413",B22="6414",B22="645"),(1+J22)*(1+K22),IF(OR(B22="613",B22="615",B22="616",B22="6226",B22="625",B22="626",B22="6281"),(1+I22)*(1-L22)*(1+M22),IF(OR(B22="6331",B22="63511",B22="6333"),(1+I22)*(1-L22),IF(B22="6811",1+I22,1))))))))</f>
        <v/>
      </c>
      <c r="P22">
        <f>IF(E22=1,F22*O22,"")</f>
        <v/>
      </c>
    </row>
    <row r="23">
      <c r="A23">
        <f>PNL!A23</f>
        <v/>
      </c>
      <c r="B23">
        <f>PNL!B23</f>
        <v/>
      </c>
      <c r="C23">
        <f>PNL!C23</f>
        <v/>
      </c>
      <c r="D23">
        <f>PNL!D23</f>
        <v/>
      </c>
      <c r="E23">
        <f>IF(AND(C23="2027",OR(D23="V01",D23="V02",D23="V03")),1,0)</f>
        <v/>
      </c>
      <c r="F23">
        <f>IF(E23=1,SUMIFS(Compta!$F$2:$F$675,Compta!$A$2:$A$675,A23,Compta!$B$2:$B$675,B23,Compta!$C$2:$C$675,"2026"),0)</f>
        <v/>
      </c>
      <c r="G23">
        <f>IF(D23="V01",cad!$I$21,IF(D23="V02",cad!$J$21,cad!$K$21))</f>
        <v/>
      </c>
      <c r="H23">
        <f>IF(D23="V01",cad!$I$22,IF(D23="V02",cad!$J$22,cad!$K$22))</f>
        <v/>
      </c>
      <c r="I23">
        <f>IF(D23="V01",cad!$I$27,IF(D23="V02",cad!$J$27,cad!$K$27))</f>
        <v/>
      </c>
      <c r="J23">
        <f>IF(D23="V01",cad!$I$28,IF(D23="V02",cad!$J$28,cad!$K$28))</f>
        <v/>
      </c>
      <c r="K23">
        <f>IF(D23="V01",cad!$I$29,IF(D23="V02",cad!$J$29,cad!$K$29))</f>
        <v/>
      </c>
      <c r="L23">
        <f>IF(D23="V01",cad!$I$30,IF(D23="V02",cad!$J$30,cad!$K$30))</f>
        <v/>
      </c>
      <c r="M23">
        <f>IF(D23="V01",cad!$I$31,IF(D23="V02",cad!$J$31,cad!$K$31))</f>
        <v/>
      </c>
      <c r="N23">
        <f>IF(D23="V01",$R$2,IF(D23="V02",$R$3,$R$4))</f>
        <v/>
      </c>
      <c r="O23">
        <f>IF(OR(B23="7062",B23="706",B23="708"),N23,IF(B23="6231",1+G23,IF(B23="6236",1+H23,IF(OR(B23="621",B23="604",B23="6063"),N23*(1-L23),IF(OR(B23="6411",B23="6413",B23="6414",B23="645"),(1+J23)*(1+K23),IF(OR(B23="613",B23="615",B23="616",B23="6226",B23="625",B23="626",B23="6281"),(1+I23)*(1-L23)*(1+M23),IF(OR(B23="6331",B23="63511",B23="6333"),(1+I23)*(1-L23),IF(B23="6811",1+I23,1))))))))</f>
        <v/>
      </c>
      <c r="P23">
        <f>IF(E23=1,F23*O23,"")</f>
        <v/>
      </c>
    </row>
    <row r="24">
      <c r="A24">
        <f>PNL!A24</f>
        <v/>
      </c>
      <c r="B24">
        <f>PNL!B24</f>
        <v/>
      </c>
      <c r="C24">
        <f>PNL!C24</f>
        <v/>
      </c>
      <c r="D24">
        <f>PNL!D24</f>
        <v/>
      </c>
      <c r="E24">
        <f>IF(AND(C24="2027",OR(D24="V01",D24="V02",D24="V03")),1,0)</f>
        <v/>
      </c>
      <c r="F24">
        <f>IF(E24=1,SUMIFS(Compta!$F$2:$F$675,Compta!$A$2:$A$675,A24,Compta!$B$2:$B$675,B24,Compta!$C$2:$C$675,"2026"),0)</f>
        <v/>
      </c>
      <c r="G24">
        <f>IF(D24="V01",cad!$I$21,IF(D24="V02",cad!$J$21,cad!$K$21))</f>
        <v/>
      </c>
      <c r="H24">
        <f>IF(D24="V01",cad!$I$22,IF(D24="V02",cad!$J$22,cad!$K$22))</f>
        <v/>
      </c>
      <c r="I24">
        <f>IF(D24="V01",cad!$I$27,IF(D24="V02",cad!$J$27,cad!$K$27))</f>
        <v/>
      </c>
      <c r="J24">
        <f>IF(D24="V01",cad!$I$28,IF(D24="V02",cad!$J$28,cad!$K$28))</f>
        <v/>
      </c>
      <c r="K24">
        <f>IF(D24="V01",cad!$I$29,IF(D24="V02",cad!$J$29,cad!$K$29))</f>
        <v/>
      </c>
      <c r="L24">
        <f>IF(D24="V01",cad!$I$30,IF(D24="V02",cad!$J$30,cad!$K$30))</f>
        <v/>
      </c>
      <c r="M24">
        <f>IF(D24="V01",cad!$I$31,IF(D24="V02",cad!$J$31,cad!$K$31))</f>
        <v/>
      </c>
      <c r="N24">
        <f>IF(D24="V01",$R$2,IF(D24="V02",$R$3,$R$4))</f>
        <v/>
      </c>
      <c r="O24">
        <f>IF(OR(B24="7062",B24="706",B24="708"),N24,IF(B24="6231",1+G24,IF(B24="6236",1+H24,IF(OR(B24="621",B24="604",B24="6063"),N24*(1-L24),IF(OR(B24="6411",B24="6413",B24="6414",B24="645"),(1+J24)*(1+K24),IF(OR(B24="613",B24="615",B24="616",B24="6226",B24="625",B24="626",B24="6281"),(1+I24)*(1-L24)*(1+M24),IF(OR(B24="6331",B24="63511",B24="6333"),(1+I24)*(1-L24),IF(B24="6811",1+I24,1))))))))</f>
        <v/>
      </c>
      <c r="P24">
        <f>IF(E24=1,F24*O24,"")</f>
        <v/>
      </c>
    </row>
    <row r="25">
      <c r="A25">
        <f>PNL!A25</f>
        <v/>
      </c>
      <c r="B25">
        <f>PNL!B25</f>
        <v/>
      </c>
      <c r="C25">
        <f>PNL!C25</f>
        <v/>
      </c>
      <c r="D25">
        <f>PNL!D25</f>
        <v/>
      </c>
      <c r="E25">
        <f>IF(AND(C25="2027",OR(D25="V01",D25="V02",D25="V03")),1,0)</f>
        <v/>
      </c>
      <c r="F25">
        <f>IF(E25=1,SUMIFS(Compta!$F$2:$F$675,Compta!$A$2:$A$675,A25,Compta!$B$2:$B$675,B25,Compta!$C$2:$C$675,"2026"),0)</f>
        <v/>
      </c>
      <c r="G25">
        <f>IF(D25="V01",cad!$I$21,IF(D25="V02",cad!$J$21,cad!$K$21))</f>
        <v/>
      </c>
      <c r="H25">
        <f>IF(D25="V01",cad!$I$22,IF(D25="V02",cad!$J$22,cad!$K$22))</f>
        <v/>
      </c>
      <c r="I25">
        <f>IF(D25="V01",cad!$I$27,IF(D25="V02",cad!$J$27,cad!$K$27))</f>
        <v/>
      </c>
      <c r="J25">
        <f>IF(D25="V01",cad!$I$28,IF(D25="V02",cad!$J$28,cad!$K$28))</f>
        <v/>
      </c>
      <c r="K25">
        <f>IF(D25="V01",cad!$I$29,IF(D25="V02",cad!$J$29,cad!$K$29))</f>
        <v/>
      </c>
      <c r="L25">
        <f>IF(D25="V01",cad!$I$30,IF(D25="V02",cad!$J$30,cad!$K$30))</f>
        <v/>
      </c>
      <c r="M25">
        <f>IF(D25="V01",cad!$I$31,IF(D25="V02",cad!$J$31,cad!$K$31))</f>
        <v/>
      </c>
      <c r="N25">
        <f>IF(D25="V01",$R$2,IF(D25="V02",$R$3,$R$4))</f>
        <v/>
      </c>
      <c r="O25">
        <f>IF(OR(B25="7062",B25="706",B25="708"),N25,IF(B25="6231",1+G25,IF(B25="6236",1+H25,IF(OR(B25="621",B25="604",B25="6063"),N25*(1-L25),IF(OR(B25="6411",B25="6413",B25="6414",B25="645"),(1+J25)*(1+K25),IF(OR(B25="613",B25="615",B25="616",B25="6226",B25="625",B25="626",B25="6281"),(1+I25)*(1-L25)*(1+M25),IF(OR(B25="6331",B25="63511",B25="6333"),(1+I25)*(1-L25),IF(B25="6811",1+I25,1))))))))</f>
        <v/>
      </c>
      <c r="P25">
        <f>IF(E25=1,F25*O25,"")</f>
        <v/>
      </c>
    </row>
    <row r="26">
      <c r="A26">
        <f>PNL!A26</f>
        <v/>
      </c>
      <c r="B26">
        <f>PNL!B26</f>
        <v/>
      </c>
      <c r="C26">
        <f>PNL!C26</f>
        <v/>
      </c>
      <c r="D26">
        <f>PNL!D26</f>
        <v/>
      </c>
      <c r="E26">
        <f>IF(AND(C26="2027",OR(D26="V01",D26="V02",D26="V03")),1,0)</f>
        <v/>
      </c>
      <c r="F26">
        <f>IF(E26=1,SUMIFS(Compta!$F$2:$F$675,Compta!$A$2:$A$675,A26,Compta!$B$2:$B$675,B26,Compta!$C$2:$C$675,"2026"),0)</f>
        <v/>
      </c>
      <c r="G26">
        <f>IF(D26="V01",cad!$I$21,IF(D26="V02",cad!$J$21,cad!$K$21))</f>
        <v/>
      </c>
      <c r="H26">
        <f>IF(D26="V01",cad!$I$22,IF(D26="V02",cad!$J$22,cad!$K$22))</f>
        <v/>
      </c>
      <c r="I26">
        <f>IF(D26="V01",cad!$I$27,IF(D26="V02",cad!$J$27,cad!$K$27))</f>
        <v/>
      </c>
      <c r="J26">
        <f>IF(D26="V01",cad!$I$28,IF(D26="V02",cad!$J$28,cad!$K$28))</f>
        <v/>
      </c>
      <c r="K26">
        <f>IF(D26="V01",cad!$I$29,IF(D26="V02",cad!$J$29,cad!$K$29))</f>
        <v/>
      </c>
      <c r="L26">
        <f>IF(D26="V01",cad!$I$30,IF(D26="V02",cad!$J$30,cad!$K$30))</f>
        <v/>
      </c>
      <c r="M26">
        <f>IF(D26="V01",cad!$I$31,IF(D26="V02",cad!$J$31,cad!$K$31))</f>
        <v/>
      </c>
      <c r="N26">
        <f>IF(D26="V01",$R$2,IF(D26="V02",$R$3,$R$4))</f>
        <v/>
      </c>
      <c r="O26">
        <f>IF(OR(B26="7062",B26="706",B26="708"),N26,IF(B26="6231",1+G26,IF(B26="6236",1+H26,IF(OR(B26="621",B26="604",B26="6063"),N26*(1-L26),IF(OR(B26="6411",B26="6413",B26="6414",B26="645"),(1+J26)*(1+K26),IF(OR(B26="613",B26="615",B26="616",B26="6226",B26="625",B26="626",B26="6281"),(1+I26)*(1-L26)*(1+M26),IF(OR(B26="6331",B26="63511",B26="6333"),(1+I26)*(1-L26),IF(B26="6811",1+I26,1))))))))</f>
        <v/>
      </c>
      <c r="P26">
        <f>IF(E26=1,F26*O26,"")</f>
        <v/>
      </c>
    </row>
    <row r="27">
      <c r="A27">
        <f>PNL!A27</f>
        <v/>
      </c>
      <c r="B27">
        <f>PNL!B27</f>
        <v/>
      </c>
      <c r="C27">
        <f>PNL!C27</f>
        <v/>
      </c>
      <c r="D27">
        <f>PNL!D27</f>
        <v/>
      </c>
      <c r="E27">
        <f>IF(AND(C27="2027",OR(D27="V01",D27="V02",D27="V03")),1,0)</f>
        <v/>
      </c>
      <c r="F27">
        <f>IF(E27=1,SUMIFS(Compta!$F$2:$F$675,Compta!$A$2:$A$675,A27,Compta!$B$2:$B$675,B27,Compta!$C$2:$C$675,"2026"),0)</f>
        <v/>
      </c>
      <c r="G27">
        <f>IF(D27="V01",cad!$I$21,IF(D27="V02",cad!$J$21,cad!$K$21))</f>
        <v/>
      </c>
      <c r="H27">
        <f>IF(D27="V01",cad!$I$22,IF(D27="V02",cad!$J$22,cad!$K$22))</f>
        <v/>
      </c>
      <c r="I27">
        <f>IF(D27="V01",cad!$I$27,IF(D27="V02",cad!$J$27,cad!$K$27))</f>
        <v/>
      </c>
      <c r="J27">
        <f>IF(D27="V01",cad!$I$28,IF(D27="V02",cad!$J$28,cad!$K$28))</f>
        <v/>
      </c>
      <c r="K27">
        <f>IF(D27="V01",cad!$I$29,IF(D27="V02",cad!$J$29,cad!$K$29))</f>
        <v/>
      </c>
      <c r="L27">
        <f>IF(D27="V01",cad!$I$30,IF(D27="V02",cad!$J$30,cad!$K$30))</f>
        <v/>
      </c>
      <c r="M27">
        <f>IF(D27="V01",cad!$I$31,IF(D27="V02",cad!$J$31,cad!$K$31))</f>
        <v/>
      </c>
      <c r="N27">
        <f>IF(D27="V01",$R$2,IF(D27="V02",$R$3,$R$4))</f>
        <v/>
      </c>
      <c r="O27">
        <f>IF(OR(B27="7062",B27="706",B27="708"),N27,IF(B27="6231",1+G27,IF(B27="6236",1+H27,IF(OR(B27="621",B27="604",B27="6063"),N27*(1-L27),IF(OR(B27="6411",B27="6413",B27="6414",B27="645"),(1+J27)*(1+K27),IF(OR(B27="613",B27="615",B27="616",B27="6226",B27="625",B27="626",B27="6281"),(1+I27)*(1-L27)*(1+M27),IF(OR(B27="6331",B27="63511",B27="6333"),(1+I27)*(1-L27),IF(B27="6811",1+I27,1))))))))</f>
        <v/>
      </c>
      <c r="P27">
        <f>IF(E27=1,F27*O27,"")</f>
        <v/>
      </c>
    </row>
    <row r="28">
      <c r="A28">
        <f>PNL!A28</f>
        <v/>
      </c>
      <c r="B28">
        <f>PNL!B28</f>
        <v/>
      </c>
      <c r="C28">
        <f>PNL!C28</f>
        <v/>
      </c>
      <c r="D28">
        <f>PNL!D28</f>
        <v/>
      </c>
      <c r="E28">
        <f>IF(AND(C28="2027",OR(D28="V01",D28="V02",D28="V03")),1,0)</f>
        <v/>
      </c>
      <c r="F28">
        <f>IF(E28=1,SUMIFS(Compta!$F$2:$F$675,Compta!$A$2:$A$675,A28,Compta!$B$2:$B$675,B28,Compta!$C$2:$C$675,"2026"),0)</f>
        <v/>
      </c>
      <c r="G28">
        <f>IF(D28="V01",cad!$I$21,IF(D28="V02",cad!$J$21,cad!$K$21))</f>
        <v/>
      </c>
      <c r="H28">
        <f>IF(D28="V01",cad!$I$22,IF(D28="V02",cad!$J$22,cad!$K$22))</f>
        <v/>
      </c>
      <c r="I28">
        <f>IF(D28="V01",cad!$I$27,IF(D28="V02",cad!$J$27,cad!$K$27))</f>
        <v/>
      </c>
      <c r="J28">
        <f>IF(D28="V01",cad!$I$28,IF(D28="V02",cad!$J$28,cad!$K$28))</f>
        <v/>
      </c>
      <c r="K28">
        <f>IF(D28="V01",cad!$I$29,IF(D28="V02",cad!$J$29,cad!$K$29))</f>
        <v/>
      </c>
      <c r="L28">
        <f>IF(D28="V01",cad!$I$30,IF(D28="V02",cad!$J$30,cad!$K$30))</f>
        <v/>
      </c>
      <c r="M28">
        <f>IF(D28="V01",cad!$I$31,IF(D28="V02",cad!$J$31,cad!$K$31))</f>
        <v/>
      </c>
      <c r="N28">
        <f>IF(D28="V01",$R$2,IF(D28="V02",$R$3,$R$4))</f>
        <v/>
      </c>
      <c r="O28">
        <f>IF(OR(B28="7062",B28="706",B28="708"),N28,IF(B28="6231",1+G28,IF(B28="6236",1+H28,IF(OR(B28="621",B28="604",B28="6063"),N28*(1-L28),IF(OR(B28="6411",B28="6413",B28="6414",B28="645"),(1+J28)*(1+K28),IF(OR(B28="613",B28="615",B28="616",B28="6226",B28="625",B28="626",B28="6281"),(1+I28)*(1-L28)*(1+M28),IF(OR(B28="6331",B28="63511",B28="6333"),(1+I28)*(1-L28),IF(B28="6811",1+I28,1))))))))</f>
        <v/>
      </c>
      <c r="P28">
        <f>IF(E28=1,F28*O28,"")</f>
        <v/>
      </c>
    </row>
    <row r="29">
      <c r="A29">
        <f>PNL!A29</f>
        <v/>
      </c>
      <c r="B29">
        <f>PNL!B29</f>
        <v/>
      </c>
      <c r="C29">
        <f>PNL!C29</f>
        <v/>
      </c>
      <c r="D29">
        <f>PNL!D29</f>
        <v/>
      </c>
      <c r="E29">
        <f>IF(AND(C29="2027",OR(D29="V01",D29="V02",D29="V03")),1,0)</f>
        <v/>
      </c>
      <c r="F29">
        <f>IF(E29=1,SUMIFS(Compta!$F$2:$F$675,Compta!$A$2:$A$675,A29,Compta!$B$2:$B$675,B29,Compta!$C$2:$C$675,"2026"),0)</f>
        <v/>
      </c>
      <c r="G29">
        <f>IF(D29="V01",cad!$I$21,IF(D29="V02",cad!$J$21,cad!$K$21))</f>
        <v/>
      </c>
      <c r="H29">
        <f>IF(D29="V01",cad!$I$22,IF(D29="V02",cad!$J$22,cad!$K$22))</f>
        <v/>
      </c>
      <c r="I29">
        <f>IF(D29="V01",cad!$I$27,IF(D29="V02",cad!$J$27,cad!$K$27))</f>
        <v/>
      </c>
      <c r="J29">
        <f>IF(D29="V01",cad!$I$28,IF(D29="V02",cad!$J$28,cad!$K$28))</f>
        <v/>
      </c>
      <c r="K29">
        <f>IF(D29="V01",cad!$I$29,IF(D29="V02",cad!$J$29,cad!$K$29))</f>
        <v/>
      </c>
      <c r="L29">
        <f>IF(D29="V01",cad!$I$30,IF(D29="V02",cad!$J$30,cad!$K$30))</f>
        <v/>
      </c>
      <c r="M29">
        <f>IF(D29="V01",cad!$I$31,IF(D29="V02",cad!$J$31,cad!$K$31))</f>
        <v/>
      </c>
      <c r="N29">
        <f>IF(D29="V01",$R$2,IF(D29="V02",$R$3,$R$4))</f>
        <v/>
      </c>
      <c r="O29">
        <f>IF(OR(B29="7062",B29="706",B29="708"),N29,IF(B29="6231",1+G29,IF(B29="6236",1+H29,IF(OR(B29="621",B29="604",B29="6063"),N29*(1-L29),IF(OR(B29="6411",B29="6413",B29="6414",B29="645"),(1+J29)*(1+K29),IF(OR(B29="613",B29="615",B29="616",B29="6226",B29="625",B29="626",B29="6281"),(1+I29)*(1-L29)*(1+M29),IF(OR(B29="6331",B29="63511",B29="6333"),(1+I29)*(1-L29),IF(B29="6811",1+I29,1))))))))</f>
        <v/>
      </c>
      <c r="P29">
        <f>IF(E29=1,F29*O29,"")</f>
        <v/>
      </c>
    </row>
    <row r="30">
      <c r="A30">
        <f>PNL!A30</f>
        <v/>
      </c>
      <c r="B30">
        <f>PNL!B30</f>
        <v/>
      </c>
      <c r="C30">
        <f>PNL!C30</f>
        <v/>
      </c>
      <c r="D30">
        <f>PNL!D30</f>
        <v/>
      </c>
      <c r="E30">
        <f>IF(AND(C30="2027",OR(D30="V01",D30="V02",D30="V03")),1,0)</f>
        <v/>
      </c>
      <c r="F30">
        <f>IF(E30=1,SUMIFS(Compta!$F$2:$F$675,Compta!$A$2:$A$675,A30,Compta!$B$2:$B$675,B30,Compta!$C$2:$C$675,"2026"),0)</f>
        <v/>
      </c>
      <c r="G30">
        <f>IF(D30="V01",cad!$I$21,IF(D30="V02",cad!$J$21,cad!$K$21))</f>
        <v/>
      </c>
      <c r="H30">
        <f>IF(D30="V01",cad!$I$22,IF(D30="V02",cad!$J$22,cad!$K$22))</f>
        <v/>
      </c>
      <c r="I30">
        <f>IF(D30="V01",cad!$I$27,IF(D30="V02",cad!$J$27,cad!$K$27))</f>
        <v/>
      </c>
      <c r="J30">
        <f>IF(D30="V01",cad!$I$28,IF(D30="V02",cad!$J$28,cad!$K$28))</f>
        <v/>
      </c>
      <c r="K30">
        <f>IF(D30="V01",cad!$I$29,IF(D30="V02",cad!$J$29,cad!$K$29))</f>
        <v/>
      </c>
      <c r="L30">
        <f>IF(D30="V01",cad!$I$30,IF(D30="V02",cad!$J$30,cad!$K$30))</f>
        <v/>
      </c>
      <c r="M30">
        <f>IF(D30="V01",cad!$I$31,IF(D30="V02",cad!$J$31,cad!$K$31))</f>
        <v/>
      </c>
      <c r="N30">
        <f>IF(D30="V01",$R$2,IF(D30="V02",$R$3,$R$4))</f>
        <v/>
      </c>
      <c r="O30">
        <f>IF(OR(B30="7062",B30="706",B30="708"),N30,IF(B30="6231",1+G30,IF(B30="6236",1+H30,IF(OR(B30="621",B30="604",B30="6063"),N30*(1-L30),IF(OR(B30="6411",B30="6413",B30="6414",B30="645"),(1+J30)*(1+K30),IF(OR(B30="613",B30="615",B30="616",B30="6226",B30="625",B30="626",B30="6281"),(1+I30)*(1-L30)*(1+M30),IF(OR(B30="6331",B30="63511",B30="6333"),(1+I30)*(1-L30),IF(B30="6811",1+I30,1))))))))</f>
        <v/>
      </c>
      <c r="P30">
        <f>IF(E30=1,F30*O30,"")</f>
        <v/>
      </c>
    </row>
    <row r="31">
      <c r="A31">
        <f>PNL!A31</f>
        <v/>
      </c>
      <c r="B31">
        <f>PNL!B31</f>
        <v/>
      </c>
      <c r="C31">
        <f>PNL!C31</f>
        <v/>
      </c>
      <c r="D31">
        <f>PNL!D31</f>
        <v/>
      </c>
      <c r="E31">
        <f>IF(AND(C31="2027",OR(D31="V01",D31="V02",D31="V03")),1,0)</f>
        <v/>
      </c>
      <c r="F31">
        <f>IF(E31=1,SUMIFS(Compta!$F$2:$F$675,Compta!$A$2:$A$675,A31,Compta!$B$2:$B$675,B31,Compta!$C$2:$C$675,"2026"),0)</f>
        <v/>
      </c>
      <c r="G31">
        <f>IF(D31="V01",cad!$I$21,IF(D31="V02",cad!$J$21,cad!$K$21))</f>
        <v/>
      </c>
      <c r="H31">
        <f>IF(D31="V01",cad!$I$22,IF(D31="V02",cad!$J$22,cad!$K$22))</f>
        <v/>
      </c>
      <c r="I31">
        <f>IF(D31="V01",cad!$I$27,IF(D31="V02",cad!$J$27,cad!$K$27))</f>
        <v/>
      </c>
      <c r="J31">
        <f>IF(D31="V01",cad!$I$28,IF(D31="V02",cad!$J$28,cad!$K$28))</f>
        <v/>
      </c>
      <c r="K31">
        <f>IF(D31="V01",cad!$I$29,IF(D31="V02",cad!$J$29,cad!$K$29))</f>
        <v/>
      </c>
      <c r="L31">
        <f>IF(D31="V01",cad!$I$30,IF(D31="V02",cad!$J$30,cad!$K$30))</f>
        <v/>
      </c>
      <c r="M31">
        <f>IF(D31="V01",cad!$I$31,IF(D31="V02",cad!$J$31,cad!$K$31))</f>
        <v/>
      </c>
      <c r="N31">
        <f>IF(D31="V01",$R$2,IF(D31="V02",$R$3,$R$4))</f>
        <v/>
      </c>
      <c r="O31">
        <f>IF(OR(B31="7062",B31="706",B31="708"),N31,IF(B31="6231",1+G31,IF(B31="6236",1+H31,IF(OR(B31="621",B31="604",B31="6063"),N31*(1-L31),IF(OR(B31="6411",B31="6413",B31="6414",B31="645"),(1+J31)*(1+K31),IF(OR(B31="613",B31="615",B31="616",B31="6226",B31="625",B31="626",B31="6281"),(1+I31)*(1-L31)*(1+M31),IF(OR(B31="6331",B31="63511",B31="6333"),(1+I31)*(1-L31),IF(B31="6811",1+I31,1))))))))</f>
        <v/>
      </c>
      <c r="P31">
        <f>IF(E31=1,F31*O31,"")</f>
        <v/>
      </c>
    </row>
    <row r="32">
      <c r="A32">
        <f>PNL!A32</f>
        <v/>
      </c>
      <c r="B32">
        <f>PNL!B32</f>
        <v/>
      </c>
      <c r="C32">
        <f>PNL!C32</f>
        <v/>
      </c>
      <c r="D32">
        <f>PNL!D32</f>
        <v/>
      </c>
      <c r="E32">
        <f>IF(AND(C32="2027",OR(D32="V01",D32="V02",D32="V03")),1,0)</f>
        <v/>
      </c>
      <c r="F32">
        <f>IF(E32=1,SUMIFS(Compta!$F$2:$F$675,Compta!$A$2:$A$675,A32,Compta!$B$2:$B$675,B32,Compta!$C$2:$C$675,"2026"),0)</f>
        <v/>
      </c>
      <c r="G32">
        <f>IF(D32="V01",cad!$I$21,IF(D32="V02",cad!$J$21,cad!$K$21))</f>
        <v/>
      </c>
      <c r="H32">
        <f>IF(D32="V01",cad!$I$22,IF(D32="V02",cad!$J$22,cad!$K$22))</f>
        <v/>
      </c>
      <c r="I32">
        <f>IF(D32="V01",cad!$I$27,IF(D32="V02",cad!$J$27,cad!$K$27))</f>
        <v/>
      </c>
      <c r="J32">
        <f>IF(D32="V01",cad!$I$28,IF(D32="V02",cad!$J$28,cad!$K$28))</f>
        <v/>
      </c>
      <c r="K32">
        <f>IF(D32="V01",cad!$I$29,IF(D32="V02",cad!$J$29,cad!$K$29))</f>
        <v/>
      </c>
      <c r="L32">
        <f>IF(D32="V01",cad!$I$30,IF(D32="V02",cad!$J$30,cad!$K$30))</f>
        <v/>
      </c>
      <c r="M32">
        <f>IF(D32="V01",cad!$I$31,IF(D32="V02",cad!$J$31,cad!$K$31))</f>
        <v/>
      </c>
      <c r="N32">
        <f>IF(D32="V01",$R$2,IF(D32="V02",$R$3,$R$4))</f>
        <v/>
      </c>
      <c r="O32">
        <f>IF(OR(B32="7062",B32="706",B32="708"),N32,IF(B32="6231",1+G32,IF(B32="6236",1+H32,IF(OR(B32="621",B32="604",B32="6063"),N32*(1-L32),IF(OR(B32="6411",B32="6413",B32="6414",B32="645"),(1+J32)*(1+K32),IF(OR(B32="613",B32="615",B32="616",B32="6226",B32="625",B32="626",B32="6281"),(1+I32)*(1-L32)*(1+M32),IF(OR(B32="6331",B32="63511",B32="6333"),(1+I32)*(1-L32),IF(B32="6811",1+I32,1))))))))</f>
        <v/>
      </c>
      <c r="P32">
        <f>IF(E32=1,F32*O32,"")</f>
        <v/>
      </c>
    </row>
    <row r="33">
      <c r="A33">
        <f>PNL!A33</f>
        <v/>
      </c>
      <c r="B33">
        <f>PNL!B33</f>
        <v/>
      </c>
      <c r="C33">
        <f>PNL!C33</f>
        <v/>
      </c>
      <c r="D33">
        <f>PNL!D33</f>
        <v/>
      </c>
      <c r="E33">
        <f>IF(AND(C33="2027",OR(D33="V01",D33="V02",D33="V03")),1,0)</f>
        <v/>
      </c>
      <c r="F33">
        <f>IF(E33=1,SUMIFS(Compta!$F$2:$F$675,Compta!$A$2:$A$675,A33,Compta!$B$2:$B$675,B33,Compta!$C$2:$C$675,"2026"),0)</f>
        <v/>
      </c>
      <c r="G33">
        <f>IF(D33="V01",cad!$I$21,IF(D33="V02",cad!$J$21,cad!$K$21))</f>
        <v/>
      </c>
      <c r="H33">
        <f>IF(D33="V01",cad!$I$22,IF(D33="V02",cad!$J$22,cad!$K$22))</f>
        <v/>
      </c>
      <c r="I33">
        <f>IF(D33="V01",cad!$I$27,IF(D33="V02",cad!$J$27,cad!$K$27))</f>
        <v/>
      </c>
      <c r="J33">
        <f>IF(D33="V01",cad!$I$28,IF(D33="V02",cad!$J$28,cad!$K$28))</f>
        <v/>
      </c>
      <c r="K33">
        <f>IF(D33="V01",cad!$I$29,IF(D33="V02",cad!$J$29,cad!$K$29))</f>
        <v/>
      </c>
      <c r="L33">
        <f>IF(D33="V01",cad!$I$30,IF(D33="V02",cad!$J$30,cad!$K$30))</f>
        <v/>
      </c>
      <c r="M33">
        <f>IF(D33="V01",cad!$I$31,IF(D33="V02",cad!$J$31,cad!$K$31))</f>
        <v/>
      </c>
      <c r="N33">
        <f>IF(D33="V01",$R$2,IF(D33="V02",$R$3,$R$4))</f>
        <v/>
      </c>
      <c r="O33">
        <f>IF(OR(B33="7062",B33="706",B33="708"),N33,IF(B33="6231",1+G33,IF(B33="6236",1+H33,IF(OR(B33="621",B33="604",B33="6063"),N33*(1-L33),IF(OR(B33="6411",B33="6413",B33="6414",B33="645"),(1+J33)*(1+K33),IF(OR(B33="613",B33="615",B33="616",B33="6226",B33="625",B33="626",B33="6281"),(1+I33)*(1-L33)*(1+M33),IF(OR(B33="6331",B33="63511",B33="6333"),(1+I33)*(1-L33),IF(B33="6811",1+I33,1))))))))</f>
        <v/>
      </c>
      <c r="P33">
        <f>IF(E33=1,F33*O33,"")</f>
        <v/>
      </c>
    </row>
    <row r="34">
      <c r="A34">
        <f>PNL!A34</f>
        <v/>
      </c>
      <c r="B34">
        <f>PNL!B34</f>
        <v/>
      </c>
      <c r="C34">
        <f>PNL!C34</f>
        <v/>
      </c>
      <c r="D34">
        <f>PNL!D34</f>
        <v/>
      </c>
      <c r="E34">
        <f>IF(AND(C34="2027",OR(D34="V01",D34="V02",D34="V03")),1,0)</f>
        <v/>
      </c>
      <c r="F34">
        <f>IF(E34=1,SUMIFS(Compta!$F$2:$F$675,Compta!$A$2:$A$675,A34,Compta!$B$2:$B$675,B34,Compta!$C$2:$C$675,"2026"),0)</f>
        <v/>
      </c>
      <c r="G34">
        <f>IF(D34="V01",cad!$I$21,IF(D34="V02",cad!$J$21,cad!$K$21))</f>
        <v/>
      </c>
      <c r="H34">
        <f>IF(D34="V01",cad!$I$22,IF(D34="V02",cad!$J$22,cad!$K$22))</f>
        <v/>
      </c>
      <c r="I34">
        <f>IF(D34="V01",cad!$I$27,IF(D34="V02",cad!$J$27,cad!$K$27))</f>
        <v/>
      </c>
      <c r="J34">
        <f>IF(D34="V01",cad!$I$28,IF(D34="V02",cad!$J$28,cad!$K$28))</f>
        <v/>
      </c>
      <c r="K34">
        <f>IF(D34="V01",cad!$I$29,IF(D34="V02",cad!$J$29,cad!$K$29))</f>
        <v/>
      </c>
      <c r="L34">
        <f>IF(D34="V01",cad!$I$30,IF(D34="V02",cad!$J$30,cad!$K$30))</f>
        <v/>
      </c>
      <c r="M34">
        <f>IF(D34="V01",cad!$I$31,IF(D34="V02",cad!$J$31,cad!$K$31))</f>
        <v/>
      </c>
      <c r="N34">
        <f>IF(D34="V01",$R$2,IF(D34="V02",$R$3,$R$4))</f>
        <v/>
      </c>
      <c r="O34">
        <f>IF(OR(B34="7062",B34="706",B34="708"),N34,IF(B34="6231",1+G34,IF(B34="6236",1+H34,IF(OR(B34="621",B34="604",B34="6063"),N34*(1-L34),IF(OR(B34="6411",B34="6413",B34="6414",B34="645"),(1+J34)*(1+K34),IF(OR(B34="613",B34="615",B34="616",B34="6226",B34="625",B34="626",B34="6281"),(1+I34)*(1-L34)*(1+M34),IF(OR(B34="6331",B34="63511",B34="6333"),(1+I34)*(1-L34),IF(B34="6811",1+I34,1))))))))</f>
        <v/>
      </c>
      <c r="P34">
        <f>IF(E34=1,F34*O34,"")</f>
        <v/>
      </c>
    </row>
    <row r="35">
      <c r="A35">
        <f>PNL!A35</f>
        <v/>
      </c>
      <c r="B35">
        <f>PNL!B35</f>
        <v/>
      </c>
      <c r="C35">
        <f>PNL!C35</f>
        <v/>
      </c>
      <c r="D35">
        <f>PNL!D35</f>
        <v/>
      </c>
      <c r="E35">
        <f>IF(AND(C35="2027",OR(D35="V01",D35="V02",D35="V03")),1,0)</f>
        <v/>
      </c>
      <c r="F35">
        <f>IF(E35=1,SUMIFS(Compta!$F$2:$F$675,Compta!$A$2:$A$675,A35,Compta!$B$2:$B$675,B35,Compta!$C$2:$C$675,"2026"),0)</f>
        <v/>
      </c>
      <c r="G35">
        <f>IF(D35="V01",cad!$I$21,IF(D35="V02",cad!$J$21,cad!$K$21))</f>
        <v/>
      </c>
      <c r="H35">
        <f>IF(D35="V01",cad!$I$22,IF(D35="V02",cad!$J$22,cad!$K$22))</f>
        <v/>
      </c>
      <c r="I35">
        <f>IF(D35="V01",cad!$I$27,IF(D35="V02",cad!$J$27,cad!$K$27))</f>
        <v/>
      </c>
      <c r="J35">
        <f>IF(D35="V01",cad!$I$28,IF(D35="V02",cad!$J$28,cad!$K$28))</f>
        <v/>
      </c>
      <c r="K35">
        <f>IF(D35="V01",cad!$I$29,IF(D35="V02",cad!$J$29,cad!$K$29))</f>
        <v/>
      </c>
      <c r="L35">
        <f>IF(D35="V01",cad!$I$30,IF(D35="V02",cad!$J$30,cad!$K$30))</f>
        <v/>
      </c>
      <c r="M35">
        <f>IF(D35="V01",cad!$I$31,IF(D35="V02",cad!$J$31,cad!$K$31))</f>
        <v/>
      </c>
      <c r="N35">
        <f>IF(D35="V01",$R$2,IF(D35="V02",$R$3,$R$4))</f>
        <v/>
      </c>
      <c r="O35">
        <f>IF(OR(B35="7062",B35="706",B35="708"),N35,IF(B35="6231",1+G35,IF(B35="6236",1+H35,IF(OR(B35="621",B35="604",B35="6063"),N35*(1-L35),IF(OR(B35="6411",B35="6413",B35="6414",B35="645"),(1+J35)*(1+K35),IF(OR(B35="613",B35="615",B35="616",B35="6226",B35="625",B35="626",B35="6281"),(1+I35)*(1-L35)*(1+M35),IF(OR(B35="6331",B35="63511",B35="6333"),(1+I35)*(1-L35),IF(B35="6811",1+I35,1))))))))</f>
        <v/>
      </c>
      <c r="P35">
        <f>IF(E35=1,F35*O35,"")</f>
        <v/>
      </c>
    </row>
    <row r="36">
      <c r="A36">
        <f>PNL!A36</f>
        <v/>
      </c>
      <c r="B36">
        <f>PNL!B36</f>
        <v/>
      </c>
      <c r="C36">
        <f>PNL!C36</f>
        <v/>
      </c>
      <c r="D36">
        <f>PNL!D36</f>
        <v/>
      </c>
      <c r="E36">
        <f>IF(AND(C36="2027",OR(D36="V01",D36="V02",D36="V03")),1,0)</f>
        <v/>
      </c>
      <c r="F36">
        <f>IF(E36=1,SUMIFS(Compta!$F$2:$F$675,Compta!$A$2:$A$675,A36,Compta!$B$2:$B$675,B36,Compta!$C$2:$C$675,"2026"),0)</f>
        <v/>
      </c>
      <c r="G36">
        <f>IF(D36="V01",cad!$I$21,IF(D36="V02",cad!$J$21,cad!$K$21))</f>
        <v/>
      </c>
      <c r="H36">
        <f>IF(D36="V01",cad!$I$22,IF(D36="V02",cad!$J$22,cad!$K$22))</f>
        <v/>
      </c>
      <c r="I36">
        <f>IF(D36="V01",cad!$I$27,IF(D36="V02",cad!$J$27,cad!$K$27))</f>
        <v/>
      </c>
      <c r="J36">
        <f>IF(D36="V01",cad!$I$28,IF(D36="V02",cad!$J$28,cad!$K$28))</f>
        <v/>
      </c>
      <c r="K36">
        <f>IF(D36="V01",cad!$I$29,IF(D36="V02",cad!$J$29,cad!$K$29))</f>
        <v/>
      </c>
      <c r="L36">
        <f>IF(D36="V01",cad!$I$30,IF(D36="V02",cad!$J$30,cad!$K$30))</f>
        <v/>
      </c>
      <c r="M36">
        <f>IF(D36="V01",cad!$I$31,IF(D36="V02",cad!$J$31,cad!$K$31))</f>
        <v/>
      </c>
      <c r="N36">
        <f>IF(D36="V01",$R$2,IF(D36="V02",$R$3,$R$4))</f>
        <v/>
      </c>
      <c r="O36">
        <f>IF(OR(B36="7062",B36="706",B36="708"),N36,IF(B36="6231",1+G36,IF(B36="6236",1+H36,IF(OR(B36="621",B36="604",B36="6063"),N36*(1-L36),IF(OR(B36="6411",B36="6413",B36="6414",B36="645"),(1+J36)*(1+K36),IF(OR(B36="613",B36="615",B36="616",B36="6226",B36="625",B36="626",B36="6281"),(1+I36)*(1-L36)*(1+M36),IF(OR(B36="6331",B36="63511",B36="6333"),(1+I36)*(1-L36),IF(B36="6811",1+I36,1))))))))</f>
        <v/>
      </c>
      <c r="P36">
        <f>IF(E36=1,F36*O36,"")</f>
        <v/>
      </c>
    </row>
    <row r="37">
      <c r="A37">
        <f>PNL!A37</f>
        <v/>
      </c>
      <c r="B37">
        <f>PNL!B37</f>
        <v/>
      </c>
      <c r="C37">
        <f>PNL!C37</f>
        <v/>
      </c>
      <c r="D37">
        <f>PNL!D37</f>
        <v/>
      </c>
      <c r="E37">
        <f>IF(AND(C37="2027",OR(D37="V01",D37="V02",D37="V03")),1,0)</f>
        <v/>
      </c>
      <c r="F37">
        <f>IF(E37=1,SUMIFS(Compta!$F$2:$F$675,Compta!$A$2:$A$675,A37,Compta!$B$2:$B$675,B37,Compta!$C$2:$C$675,"2026"),0)</f>
        <v/>
      </c>
      <c r="G37">
        <f>IF(D37="V01",cad!$I$21,IF(D37="V02",cad!$J$21,cad!$K$21))</f>
        <v/>
      </c>
      <c r="H37">
        <f>IF(D37="V01",cad!$I$22,IF(D37="V02",cad!$J$22,cad!$K$22))</f>
        <v/>
      </c>
      <c r="I37">
        <f>IF(D37="V01",cad!$I$27,IF(D37="V02",cad!$J$27,cad!$K$27))</f>
        <v/>
      </c>
      <c r="J37">
        <f>IF(D37="V01",cad!$I$28,IF(D37="V02",cad!$J$28,cad!$K$28))</f>
        <v/>
      </c>
      <c r="K37">
        <f>IF(D37="V01",cad!$I$29,IF(D37="V02",cad!$J$29,cad!$K$29))</f>
        <v/>
      </c>
      <c r="L37">
        <f>IF(D37="V01",cad!$I$30,IF(D37="V02",cad!$J$30,cad!$K$30))</f>
        <v/>
      </c>
      <c r="M37">
        <f>IF(D37="V01",cad!$I$31,IF(D37="V02",cad!$J$31,cad!$K$31))</f>
        <v/>
      </c>
      <c r="N37">
        <f>IF(D37="V01",$R$2,IF(D37="V02",$R$3,$R$4))</f>
        <v/>
      </c>
      <c r="O37">
        <f>IF(OR(B37="7062",B37="706",B37="708"),N37,IF(B37="6231",1+G37,IF(B37="6236",1+H37,IF(OR(B37="621",B37="604",B37="6063"),N37*(1-L37),IF(OR(B37="6411",B37="6413",B37="6414",B37="645"),(1+J37)*(1+K37),IF(OR(B37="613",B37="615",B37="616",B37="6226",B37="625",B37="626",B37="6281"),(1+I37)*(1-L37)*(1+M37),IF(OR(B37="6331",B37="63511",B37="6333"),(1+I37)*(1-L37),IF(B37="6811",1+I37,1))))))))</f>
        <v/>
      </c>
      <c r="P37">
        <f>IF(E37=1,F37*O37,"")</f>
        <v/>
      </c>
    </row>
    <row r="38">
      <c r="A38">
        <f>PNL!A38</f>
        <v/>
      </c>
      <c r="B38">
        <f>PNL!B38</f>
        <v/>
      </c>
      <c r="C38">
        <f>PNL!C38</f>
        <v/>
      </c>
      <c r="D38">
        <f>PNL!D38</f>
        <v/>
      </c>
      <c r="E38">
        <f>IF(AND(C38="2027",OR(D38="V01",D38="V02",D38="V03")),1,0)</f>
        <v/>
      </c>
      <c r="F38">
        <f>IF(E38=1,SUMIFS(Compta!$F$2:$F$675,Compta!$A$2:$A$675,A38,Compta!$B$2:$B$675,B38,Compta!$C$2:$C$675,"2026"),0)</f>
        <v/>
      </c>
      <c r="G38">
        <f>IF(D38="V01",cad!$I$21,IF(D38="V02",cad!$J$21,cad!$K$21))</f>
        <v/>
      </c>
      <c r="H38">
        <f>IF(D38="V01",cad!$I$22,IF(D38="V02",cad!$J$22,cad!$K$22))</f>
        <v/>
      </c>
      <c r="I38">
        <f>IF(D38="V01",cad!$I$27,IF(D38="V02",cad!$J$27,cad!$K$27))</f>
        <v/>
      </c>
      <c r="J38">
        <f>IF(D38="V01",cad!$I$28,IF(D38="V02",cad!$J$28,cad!$K$28))</f>
        <v/>
      </c>
      <c r="K38">
        <f>IF(D38="V01",cad!$I$29,IF(D38="V02",cad!$J$29,cad!$K$29))</f>
        <v/>
      </c>
      <c r="L38">
        <f>IF(D38="V01",cad!$I$30,IF(D38="V02",cad!$J$30,cad!$K$30))</f>
        <v/>
      </c>
      <c r="M38">
        <f>IF(D38="V01",cad!$I$31,IF(D38="V02",cad!$J$31,cad!$K$31))</f>
        <v/>
      </c>
      <c r="N38">
        <f>IF(D38="V01",$R$2,IF(D38="V02",$R$3,$R$4))</f>
        <v/>
      </c>
      <c r="O38">
        <f>IF(OR(B38="7062",B38="706",B38="708"),N38,IF(B38="6231",1+G38,IF(B38="6236",1+H38,IF(OR(B38="621",B38="604",B38="6063"),N38*(1-L38),IF(OR(B38="6411",B38="6413",B38="6414",B38="645"),(1+J38)*(1+K38),IF(OR(B38="613",B38="615",B38="616",B38="6226",B38="625",B38="626",B38="6281"),(1+I38)*(1-L38)*(1+M38),IF(OR(B38="6331",B38="63511",B38="6333"),(1+I38)*(1-L38),IF(B38="6811",1+I38,1))))))))</f>
        <v/>
      </c>
      <c r="P38">
        <f>IF(E38=1,F38*O38,"")</f>
        <v/>
      </c>
    </row>
    <row r="39">
      <c r="A39">
        <f>PNL!A39</f>
        <v/>
      </c>
      <c r="B39">
        <f>PNL!B39</f>
        <v/>
      </c>
      <c r="C39">
        <f>PNL!C39</f>
        <v/>
      </c>
      <c r="D39">
        <f>PNL!D39</f>
        <v/>
      </c>
      <c r="E39">
        <f>IF(AND(C39="2027",OR(D39="V01",D39="V02",D39="V03")),1,0)</f>
        <v/>
      </c>
      <c r="F39">
        <f>IF(E39=1,SUMIFS(Compta!$F$2:$F$675,Compta!$A$2:$A$675,A39,Compta!$B$2:$B$675,B39,Compta!$C$2:$C$675,"2026"),0)</f>
        <v/>
      </c>
      <c r="G39">
        <f>IF(D39="V01",cad!$I$21,IF(D39="V02",cad!$J$21,cad!$K$21))</f>
        <v/>
      </c>
      <c r="H39">
        <f>IF(D39="V01",cad!$I$22,IF(D39="V02",cad!$J$22,cad!$K$22))</f>
        <v/>
      </c>
      <c r="I39">
        <f>IF(D39="V01",cad!$I$27,IF(D39="V02",cad!$J$27,cad!$K$27))</f>
        <v/>
      </c>
      <c r="J39">
        <f>IF(D39="V01",cad!$I$28,IF(D39="V02",cad!$J$28,cad!$K$28))</f>
        <v/>
      </c>
      <c r="K39">
        <f>IF(D39="V01",cad!$I$29,IF(D39="V02",cad!$J$29,cad!$K$29))</f>
        <v/>
      </c>
      <c r="L39">
        <f>IF(D39="V01",cad!$I$30,IF(D39="V02",cad!$J$30,cad!$K$30))</f>
        <v/>
      </c>
      <c r="M39">
        <f>IF(D39="V01",cad!$I$31,IF(D39="V02",cad!$J$31,cad!$K$31))</f>
        <v/>
      </c>
      <c r="N39">
        <f>IF(D39="V01",$R$2,IF(D39="V02",$R$3,$R$4))</f>
        <v/>
      </c>
      <c r="O39">
        <f>IF(OR(B39="7062",B39="706",B39="708"),N39,IF(B39="6231",1+G39,IF(B39="6236",1+H39,IF(OR(B39="621",B39="604",B39="6063"),N39*(1-L39),IF(OR(B39="6411",B39="6413",B39="6414",B39="645"),(1+J39)*(1+K39),IF(OR(B39="613",B39="615",B39="616",B39="6226",B39="625",B39="626",B39="6281"),(1+I39)*(1-L39)*(1+M39),IF(OR(B39="6331",B39="63511",B39="6333"),(1+I39)*(1-L39),IF(B39="6811",1+I39,1))))))))</f>
        <v/>
      </c>
      <c r="P39">
        <f>IF(E39=1,F39*O39,"")</f>
        <v/>
      </c>
    </row>
    <row r="40">
      <c r="A40">
        <f>PNL!A40</f>
        <v/>
      </c>
      <c r="B40">
        <f>PNL!B40</f>
        <v/>
      </c>
      <c r="C40">
        <f>PNL!C40</f>
        <v/>
      </c>
      <c r="D40">
        <f>PNL!D40</f>
        <v/>
      </c>
      <c r="E40">
        <f>IF(AND(C40="2027",OR(D40="V01",D40="V02",D40="V03")),1,0)</f>
        <v/>
      </c>
      <c r="F40">
        <f>IF(E40=1,SUMIFS(Compta!$F$2:$F$675,Compta!$A$2:$A$675,A40,Compta!$B$2:$B$675,B40,Compta!$C$2:$C$675,"2026"),0)</f>
        <v/>
      </c>
      <c r="G40">
        <f>IF(D40="V01",cad!$I$21,IF(D40="V02",cad!$J$21,cad!$K$21))</f>
        <v/>
      </c>
      <c r="H40">
        <f>IF(D40="V01",cad!$I$22,IF(D40="V02",cad!$J$22,cad!$K$22))</f>
        <v/>
      </c>
      <c r="I40">
        <f>IF(D40="V01",cad!$I$27,IF(D40="V02",cad!$J$27,cad!$K$27))</f>
        <v/>
      </c>
      <c r="J40">
        <f>IF(D40="V01",cad!$I$28,IF(D40="V02",cad!$J$28,cad!$K$28))</f>
        <v/>
      </c>
      <c r="K40">
        <f>IF(D40="V01",cad!$I$29,IF(D40="V02",cad!$J$29,cad!$K$29))</f>
        <v/>
      </c>
      <c r="L40">
        <f>IF(D40="V01",cad!$I$30,IF(D40="V02",cad!$J$30,cad!$K$30))</f>
        <v/>
      </c>
      <c r="M40">
        <f>IF(D40="V01",cad!$I$31,IF(D40="V02",cad!$J$31,cad!$K$31))</f>
        <v/>
      </c>
      <c r="N40">
        <f>IF(D40="V01",$R$2,IF(D40="V02",$R$3,$R$4))</f>
        <v/>
      </c>
      <c r="O40">
        <f>IF(OR(B40="7062",B40="706",B40="708"),N40,IF(B40="6231",1+G40,IF(B40="6236",1+H40,IF(OR(B40="621",B40="604",B40="6063"),N40*(1-L40),IF(OR(B40="6411",B40="6413",B40="6414",B40="645"),(1+J40)*(1+K40),IF(OR(B40="613",B40="615",B40="616",B40="6226",B40="625",B40="626",B40="6281"),(1+I40)*(1-L40)*(1+M40),IF(OR(B40="6331",B40="63511",B40="6333"),(1+I40)*(1-L40),IF(B40="6811",1+I40,1))))))))</f>
        <v/>
      </c>
      <c r="P40">
        <f>IF(E40=1,F40*O40,"")</f>
        <v/>
      </c>
    </row>
    <row r="41">
      <c r="A41">
        <f>PNL!A41</f>
        <v/>
      </c>
      <c r="B41">
        <f>PNL!B41</f>
        <v/>
      </c>
      <c r="C41">
        <f>PNL!C41</f>
        <v/>
      </c>
      <c r="D41">
        <f>PNL!D41</f>
        <v/>
      </c>
      <c r="E41">
        <f>IF(AND(C41="2027",OR(D41="V01",D41="V02",D41="V03")),1,0)</f>
        <v/>
      </c>
      <c r="F41">
        <f>IF(E41=1,SUMIFS(Compta!$F$2:$F$675,Compta!$A$2:$A$675,A41,Compta!$B$2:$B$675,B41,Compta!$C$2:$C$675,"2026"),0)</f>
        <v/>
      </c>
      <c r="G41">
        <f>IF(D41="V01",cad!$I$21,IF(D41="V02",cad!$J$21,cad!$K$21))</f>
        <v/>
      </c>
      <c r="H41">
        <f>IF(D41="V01",cad!$I$22,IF(D41="V02",cad!$J$22,cad!$K$22))</f>
        <v/>
      </c>
      <c r="I41">
        <f>IF(D41="V01",cad!$I$27,IF(D41="V02",cad!$J$27,cad!$K$27))</f>
        <v/>
      </c>
      <c r="J41">
        <f>IF(D41="V01",cad!$I$28,IF(D41="V02",cad!$J$28,cad!$K$28))</f>
        <v/>
      </c>
      <c r="K41">
        <f>IF(D41="V01",cad!$I$29,IF(D41="V02",cad!$J$29,cad!$K$29))</f>
        <v/>
      </c>
      <c r="L41">
        <f>IF(D41="V01",cad!$I$30,IF(D41="V02",cad!$J$30,cad!$K$30))</f>
        <v/>
      </c>
      <c r="M41">
        <f>IF(D41="V01",cad!$I$31,IF(D41="V02",cad!$J$31,cad!$K$31))</f>
        <v/>
      </c>
      <c r="N41">
        <f>IF(D41="V01",$R$2,IF(D41="V02",$R$3,$R$4))</f>
        <v/>
      </c>
      <c r="O41">
        <f>IF(OR(B41="7062",B41="706",B41="708"),N41,IF(B41="6231",1+G41,IF(B41="6236",1+H41,IF(OR(B41="621",B41="604",B41="6063"),N41*(1-L41),IF(OR(B41="6411",B41="6413",B41="6414",B41="645"),(1+J41)*(1+K41),IF(OR(B41="613",B41="615",B41="616",B41="6226",B41="625",B41="626",B41="6281"),(1+I41)*(1-L41)*(1+M41),IF(OR(B41="6331",B41="63511",B41="6333"),(1+I41)*(1-L41),IF(B41="6811",1+I41,1))))))))</f>
        <v/>
      </c>
      <c r="P41">
        <f>IF(E41=1,F41*O41,"")</f>
        <v/>
      </c>
    </row>
    <row r="42">
      <c r="A42">
        <f>PNL!A42</f>
        <v/>
      </c>
      <c r="B42">
        <f>PNL!B42</f>
        <v/>
      </c>
      <c r="C42">
        <f>PNL!C42</f>
        <v/>
      </c>
      <c r="D42">
        <f>PNL!D42</f>
        <v/>
      </c>
      <c r="E42">
        <f>IF(AND(C42="2027",OR(D42="V01",D42="V02",D42="V03")),1,0)</f>
        <v/>
      </c>
      <c r="F42">
        <f>IF(E42=1,SUMIFS(Compta!$F$2:$F$675,Compta!$A$2:$A$675,A42,Compta!$B$2:$B$675,B42,Compta!$C$2:$C$675,"2026"),0)</f>
        <v/>
      </c>
      <c r="G42">
        <f>IF(D42="V01",cad!$I$21,IF(D42="V02",cad!$J$21,cad!$K$21))</f>
        <v/>
      </c>
      <c r="H42">
        <f>IF(D42="V01",cad!$I$22,IF(D42="V02",cad!$J$22,cad!$K$22))</f>
        <v/>
      </c>
      <c r="I42">
        <f>IF(D42="V01",cad!$I$27,IF(D42="V02",cad!$J$27,cad!$K$27))</f>
        <v/>
      </c>
      <c r="J42">
        <f>IF(D42="V01",cad!$I$28,IF(D42="V02",cad!$J$28,cad!$K$28))</f>
        <v/>
      </c>
      <c r="K42">
        <f>IF(D42="V01",cad!$I$29,IF(D42="V02",cad!$J$29,cad!$K$29))</f>
        <v/>
      </c>
      <c r="L42">
        <f>IF(D42="V01",cad!$I$30,IF(D42="V02",cad!$J$30,cad!$K$30))</f>
        <v/>
      </c>
      <c r="M42">
        <f>IF(D42="V01",cad!$I$31,IF(D42="V02",cad!$J$31,cad!$K$31))</f>
        <v/>
      </c>
      <c r="N42">
        <f>IF(D42="V01",$R$2,IF(D42="V02",$R$3,$R$4))</f>
        <v/>
      </c>
      <c r="O42">
        <f>IF(OR(B42="7062",B42="706",B42="708"),N42,IF(B42="6231",1+G42,IF(B42="6236",1+H42,IF(OR(B42="621",B42="604",B42="6063"),N42*(1-L42),IF(OR(B42="6411",B42="6413",B42="6414",B42="645"),(1+J42)*(1+K42),IF(OR(B42="613",B42="615",B42="616",B42="6226",B42="625",B42="626",B42="6281"),(1+I42)*(1-L42)*(1+M42),IF(OR(B42="6331",B42="63511",B42="6333"),(1+I42)*(1-L42),IF(B42="6811",1+I42,1))))))))</f>
        <v/>
      </c>
      <c r="P42">
        <f>IF(E42=1,F42*O42,"")</f>
        <v/>
      </c>
    </row>
    <row r="43">
      <c r="A43">
        <f>PNL!A43</f>
        <v/>
      </c>
      <c r="B43">
        <f>PNL!B43</f>
        <v/>
      </c>
      <c r="C43">
        <f>PNL!C43</f>
        <v/>
      </c>
      <c r="D43">
        <f>PNL!D43</f>
        <v/>
      </c>
      <c r="E43">
        <f>IF(AND(C43="2027",OR(D43="V01",D43="V02",D43="V03")),1,0)</f>
        <v/>
      </c>
      <c r="F43">
        <f>IF(E43=1,SUMIFS(Compta!$F$2:$F$675,Compta!$A$2:$A$675,A43,Compta!$B$2:$B$675,B43,Compta!$C$2:$C$675,"2026"),0)</f>
        <v/>
      </c>
      <c r="G43">
        <f>IF(D43="V01",cad!$I$21,IF(D43="V02",cad!$J$21,cad!$K$21))</f>
        <v/>
      </c>
      <c r="H43">
        <f>IF(D43="V01",cad!$I$22,IF(D43="V02",cad!$J$22,cad!$K$22))</f>
        <v/>
      </c>
      <c r="I43">
        <f>IF(D43="V01",cad!$I$27,IF(D43="V02",cad!$J$27,cad!$K$27))</f>
        <v/>
      </c>
      <c r="J43">
        <f>IF(D43="V01",cad!$I$28,IF(D43="V02",cad!$J$28,cad!$K$28))</f>
        <v/>
      </c>
      <c r="K43">
        <f>IF(D43="V01",cad!$I$29,IF(D43="V02",cad!$J$29,cad!$K$29))</f>
        <v/>
      </c>
      <c r="L43">
        <f>IF(D43="V01",cad!$I$30,IF(D43="V02",cad!$J$30,cad!$K$30))</f>
        <v/>
      </c>
      <c r="M43">
        <f>IF(D43="V01",cad!$I$31,IF(D43="V02",cad!$J$31,cad!$K$31))</f>
        <v/>
      </c>
      <c r="N43">
        <f>IF(D43="V01",$R$2,IF(D43="V02",$R$3,$R$4))</f>
        <v/>
      </c>
      <c r="O43">
        <f>IF(OR(B43="7062",B43="706",B43="708"),N43,IF(B43="6231",1+G43,IF(B43="6236",1+H43,IF(OR(B43="621",B43="604",B43="6063"),N43*(1-L43),IF(OR(B43="6411",B43="6413",B43="6414",B43="645"),(1+J43)*(1+K43),IF(OR(B43="613",B43="615",B43="616",B43="6226",B43="625",B43="626",B43="6281"),(1+I43)*(1-L43)*(1+M43),IF(OR(B43="6331",B43="63511",B43="6333"),(1+I43)*(1-L43),IF(B43="6811",1+I43,1))))))))</f>
        <v/>
      </c>
      <c r="P43">
        <f>IF(E43=1,F43*O43,"")</f>
        <v/>
      </c>
    </row>
    <row r="44">
      <c r="A44">
        <f>PNL!A44</f>
        <v/>
      </c>
      <c r="B44">
        <f>PNL!B44</f>
        <v/>
      </c>
      <c r="C44">
        <f>PNL!C44</f>
        <v/>
      </c>
      <c r="D44">
        <f>PNL!D44</f>
        <v/>
      </c>
      <c r="E44">
        <f>IF(AND(C44="2027",OR(D44="V01",D44="V02",D44="V03")),1,0)</f>
        <v/>
      </c>
      <c r="F44">
        <f>IF(E44=1,SUMIFS(Compta!$F$2:$F$675,Compta!$A$2:$A$675,A44,Compta!$B$2:$B$675,B44,Compta!$C$2:$C$675,"2026"),0)</f>
        <v/>
      </c>
      <c r="G44">
        <f>IF(D44="V01",cad!$I$21,IF(D44="V02",cad!$J$21,cad!$K$21))</f>
        <v/>
      </c>
      <c r="H44">
        <f>IF(D44="V01",cad!$I$22,IF(D44="V02",cad!$J$22,cad!$K$22))</f>
        <v/>
      </c>
      <c r="I44">
        <f>IF(D44="V01",cad!$I$27,IF(D44="V02",cad!$J$27,cad!$K$27))</f>
        <v/>
      </c>
      <c r="J44">
        <f>IF(D44="V01",cad!$I$28,IF(D44="V02",cad!$J$28,cad!$K$28))</f>
        <v/>
      </c>
      <c r="K44">
        <f>IF(D44="V01",cad!$I$29,IF(D44="V02",cad!$J$29,cad!$K$29))</f>
        <v/>
      </c>
      <c r="L44">
        <f>IF(D44="V01",cad!$I$30,IF(D44="V02",cad!$J$30,cad!$K$30))</f>
        <v/>
      </c>
      <c r="M44">
        <f>IF(D44="V01",cad!$I$31,IF(D44="V02",cad!$J$31,cad!$K$31))</f>
        <v/>
      </c>
      <c r="N44">
        <f>IF(D44="V01",$R$2,IF(D44="V02",$R$3,$R$4))</f>
        <v/>
      </c>
      <c r="O44">
        <f>IF(OR(B44="7062",B44="706",B44="708"),N44,IF(B44="6231",1+G44,IF(B44="6236",1+H44,IF(OR(B44="621",B44="604",B44="6063"),N44*(1-L44),IF(OR(B44="6411",B44="6413",B44="6414",B44="645"),(1+J44)*(1+K44),IF(OR(B44="613",B44="615",B44="616",B44="6226",B44="625",B44="626",B44="6281"),(1+I44)*(1-L44)*(1+M44),IF(OR(B44="6331",B44="63511",B44="6333"),(1+I44)*(1-L44),IF(B44="6811",1+I44,1))))))))</f>
        <v/>
      </c>
      <c r="P44">
        <f>IF(E44=1,F44*O44,"")</f>
        <v/>
      </c>
    </row>
    <row r="45">
      <c r="A45">
        <f>PNL!A45</f>
        <v/>
      </c>
      <c r="B45">
        <f>PNL!B45</f>
        <v/>
      </c>
      <c r="C45">
        <f>PNL!C45</f>
        <v/>
      </c>
      <c r="D45">
        <f>PNL!D45</f>
        <v/>
      </c>
      <c r="E45">
        <f>IF(AND(C45="2027",OR(D45="V01",D45="V02",D45="V03")),1,0)</f>
        <v/>
      </c>
      <c r="F45">
        <f>IF(E45=1,SUMIFS(Compta!$F$2:$F$675,Compta!$A$2:$A$675,A45,Compta!$B$2:$B$675,B45,Compta!$C$2:$C$675,"2026"),0)</f>
        <v/>
      </c>
      <c r="G45">
        <f>IF(D45="V01",cad!$I$21,IF(D45="V02",cad!$J$21,cad!$K$21))</f>
        <v/>
      </c>
      <c r="H45">
        <f>IF(D45="V01",cad!$I$22,IF(D45="V02",cad!$J$22,cad!$K$22))</f>
        <v/>
      </c>
      <c r="I45">
        <f>IF(D45="V01",cad!$I$27,IF(D45="V02",cad!$J$27,cad!$K$27))</f>
        <v/>
      </c>
      <c r="J45">
        <f>IF(D45="V01",cad!$I$28,IF(D45="V02",cad!$J$28,cad!$K$28))</f>
        <v/>
      </c>
      <c r="K45">
        <f>IF(D45="V01",cad!$I$29,IF(D45="V02",cad!$J$29,cad!$K$29))</f>
        <v/>
      </c>
      <c r="L45">
        <f>IF(D45="V01",cad!$I$30,IF(D45="V02",cad!$J$30,cad!$K$30))</f>
        <v/>
      </c>
      <c r="M45">
        <f>IF(D45="V01",cad!$I$31,IF(D45="V02",cad!$J$31,cad!$K$31))</f>
        <v/>
      </c>
      <c r="N45">
        <f>IF(D45="V01",$R$2,IF(D45="V02",$R$3,$R$4))</f>
        <v/>
      </c>
      <c r="O45">
        <f>IF(OR(B45="7062",B45="706",B45="708"),N45,IF(B45="6231",1+G45,IF(B45="6236",1+H45,IF(OR(B45="621",B45="604",B45="6063"),N45*(1-L45),IF(OR(B45="6411",B45="6413",B45="6414",B45="645"),(1+J45)*(1+K45),IF(OR(B45="613",B45="615",B45="616",B45="6226",B45="625",B45="626",B45="6281"),(1+I45)*(1-L45)*(1+M45),IF(OR(B45="6331",B45="63511",B45="6333"),(1+I45)*(1-L45),IF(B45="6811",1+I45,1))))))))</f>
        <v/>
      </c>
      <c r="P45">
        <f>IF(E45=1,F45*O45,"")</f>
        <v/>
      </c>
    </row>
    <row r="46">
      <c r="A46">
        <f>PNL!A46</f>
        <v/>
      </c>
      <c r="B46">
        <f>PNL!B46</f>
        <v/>
      </c>
      <c r="C46">
        <f>PNL!C46</f>
        <v/>
      </c>
      <c r="D46">
        <f>PNL!D46</f>
        <v/>
      </c>
      <c r="E46">
        <f>IF(AND(C46="2027",OR(D46="V01",D46="V02",D46="V03")),1,0)</f>
        <v/>
      </c>
      <c r="F46">
        <f>IF(E46=1,SUMIFS(Compta!$F$2:$F$675,Compta!$A$2:$A$675,A46,Compta!$B$2:$B$675,B46,Compta!$C$2:$C$675,"2026"),0)</f>
        <v/>
      </c>
      <c r="G46">
        <f>IF(D46="V01",cad!$I$21,IF(D46="V02",cad!$J$21,cad!$K$21))</f>
        <v/>
      </c>
      <c r="H46">
        <f>IF(D46="V01",cad!$I$22,IF(D46="V02",cad!$J$22,cad!$K$22))</f>
        <v/>
      </c>
      <c r="I46">
        <f>IF(D46="V01",cad!$I$27,IF(D46="V02",cad!$J$27,cad!$K$27))</f>
        <v/>
      </c>
      <c r="J46">
        <f>IF(D46="V01",cad!$I$28,IF(D46="V02",cad!$J$28,cad!$K$28))</f>
        <v/>
      </c>
      <c r="K46">
        <f>IF(D46="V01",cad!$I$29,IF(D46="V02",cad!$J$29,cad!$K$29))</f>
        <v/>
      </c>
      <c r="L46">
        <f>IF(D46="V01",cad!$I$30,IF(D46="V02",cad!$J$30,cad!$K$30))</f>
        <v/>
      </c>
      <c r="M46">
        <f>IF(D46="V01",cad!$I$31,IF(D46="V02",cad!$J$31,cad!$K$31))</f>
        <v/>
      </c>
      <c r="N46">
        <f>IF(D46="V01",$R$2,IF(D46="V02",$R$3,$R$4))</f>
        <v/>
      </c>
      <c r="O46">
        <f>IF(OR(B46="7062",B46="706",B46="708"),N46,IF(B46="6231",1+G46,IF(B46="6236",1+H46,IF(OR(B46="621",B46="604",B46="6063"),N46*(1-L46),IF(OR(B46="6411",B46="6413",B46="6414",B46="645"),(1+J46)*(1+K46),IF(OR(B46="613",B46="615",B46="616",B46="6226",B46="625",B46="626",B46="6281"),(1+I46)*(1-L46)*(1+M46),IF(OR(B46="6331",B46="63511",B46="6333"),(1+I46)*(1-L46),IF(B46="6811",1+I46,1))))))))</f>
        <v/>
      </c>
      <c r="P46">
        <f>IF(E46=1,F46*O46,"")</f>
        <v/>
      </c>
    </row>
    <row r="47">
      <c r="A47">
        <f>PNL!A47</f>
        <v/>
      </c>
      <c r="B47">
        <f>PNL!B47</f>
        <v/>
      </c>
      <c r="C47">
        <f>PNL!C47</f>
        <v/>
      </c>
      <c r="D47">
        <f>PNL!D47</f>
        <v/>
      </c>
      <c r="E47">
        <f>IF(AND(C47="2027",OR(D47="V01",D47="V02",D47="V03")),1,0)</f>
        <v/>
      </c>
      <c r="F47">
        <f>IF(E47=1,SUMIFS(Compta!$F$2:$F$675,Compta!$A$2:$A$675,A47,Compta!$B$2:$B$675,B47,Compta!$C$2:$C$675,"2026"),0)</f>
        <v/>
      </c>
      <c r="G47">
        <f>IF(D47="V01",cad!$I$21,IF(D47="V02",cad!$J$21,cad!$K$21))</f>
        <v/>
      </c>
      <c r="H47">
        <f>IF(D47="V01",cad!$I$22,IF(D47="V02",cad!$J$22,cad!$K$22))</f>
        <v/>
      </c>
      <c r="I47">
        <f>IF(D47="V01",cad!$I$27,IF(D47="V02",cad!$J$27,cad!$K$27))</f>
        <v/>
      </c>
      <c r="J47">
        <f>IF(D47="V01",cad!$I$28,IF(D47="V02",cad!$J$28,cad!$K$28))</f>
        <v/>
      </c>
      <c r="K47">
        <f>IF(D47="V01",cad!$I$29,IF(D47="V02",cad!$J$29,cad!$K$29))</f>
        <v/>
      </c>
      <c r="L47">
        <f>IF(D47="V01",cad!$I$30,IF(D47="V02",cad!$J$30,cad!$K$30))</f>
        <v/>
      </c>
      <c r="M47">
        <f>IF(D47="V01",cad!$I$31,IF(D47="V02",cad!$J$31,cad!$K$31))</f>
        <v/>
      </c>
      <c r="N47">
        <f>IF(D47="V01",$R$2,IF(D47="V02",$R$3,$R$4))</f>
        <v/>
      </c>
      <c r="O47">
        <f>IF(OR(B47="7062",B47="706",B47="708"),N47,IF(B47="6231",1+G47,IF(B47="6236",1+H47,IF(OR(B47="621",B47="604",B47="6063"),N47*(1-L47),IF(OR(B47="6411",B47="6413",B47="6414",B47="645"),(1+J47)*(1+K47),IF(OR(B47="613",B47="615",B47="616",B47="6226",B47="625",B47="626",B47="6281"),(1+I47)*(1-L47)*(1+M47),IF(OR(B47="6331",B47="63511",B47="6333"),(1+I47)*(1-L47),IF(B47="6811",1+I47,1))))))))</f>
        <v/>
      </c>
      <c r="P47">
        <f>IF(E47=1,F47*O47,"")</f>
        <v/>
      </c>
    </row>
    <row r="48">
      <c r="A48">
        <f>PNL!A48</f>
        <v/>
      </c>
      <c r="B48">
        <f>PNL!B48</f>
        <v/>
      </c>
      <c r="C48">
        <f>PNL!C48</f>
        <v/>
      </c>
      <c r="D48">
        <f>PNL!D48</f>
        <v/>
      </c>
      <c r="E48">
        <f>IF(AND(C48="2027",OR(D48="V01",D48="V02",D48="V03")),1,0)</f>
        <v/>
      </c>
      <c r="F48">
        <f>IF(E48=1,SUMIFS(Compta!$F$2:$F$675,Compta!$A$2:$A$675,A48,Compta!$B$2:$B$675,B48,Compta!$C$2:$C$675,"2026"),0)</f>
        <v/>
      </c>
      <c r="G48">
        <f>IF(D48="V01",cad!$I$21,IF(D48="V02",cad!$J$21,cad!$K$21))</f>
        <v/>
      </c>
      <c r="H48">
        <f>IF(D48="V01",cad!$I$22,IF(D48="V02",cad!$J$22,cad!$K$22))</f>
        <v/>
      </c>
      <c r="I48">
        <f>IF(D48="V01",cad!$I$27,IF(D48="V02",cad!$J$27,cad!$K$27))</f>
        <v/>
      </c>
      <c r="J48">
        <f>IF(D48="V01",cad!$I$28,IF(D48="V02",cad!$J$28,cad!$K$28))</f>
        <v/>
      </c>
      <c r="K48">
        <f>IF(D48="V01",cad!$I$29,IF(D48="V02",cad!$J$29,cad!$K$29))</f>
        <v/>
      </c>
      <c r="L48">
        <f>IF(D48="V01",cad!$I$30,IF(D48="V02",cad!$J$30,cad!$K$30))</f>
        <v/>
      </c>
      <c r="M48">
        <f>IF(D48="V01",cad!$I$31,IF(D48="V02",cad!$J$31,cad!$K$31))</f>
        <v/>
      </c>
      <c r="N48">
        <f>IF(D48="V01",$R$2,IF(D48="V02",$R$3,$R$4))</f>
        <v/>
      </c>
      <c r="O48">
        <f>IF(OR(B48="7062",B48="706",B48="708"),N48,IF(B48="6231",1+G48,IF(B48="6236",1+H48,IF(OR(B48="621",B48="604",B48="6063"),N48*(1-L48),IF(OR(B48="6411",B48="6413",B48="6414",B48="645"),(1+J48)*(1+K48),IF(OR(B48="613",B48="615",B48="616",B48="6226",B48="625",B48="626",B48="6281"),(1+I48)*(1-L48)*(1+M48),IF(OR(B48="6331",B48="63511",B48="6333"),(1+I48)*(1-L48),IF(B48="6811",1+I48,1))))))))</f>
        <v/>
      </c>
      <c r="P48">
        <f>IF(E48=1,F48*O48,"")</f>
        <v/>
      </c>
    </row>
    <row r="49">
      <c r="A49">
        <f>PNL!A49</f>
        <v/>
      </c>
      <c r="B49">
        <f>PNL!B49</f>
        <v/>
      </c>
      <c r="C49">
        <f>PNL!C49</f>
        <v/>
      </c>
      <c r="D49">
        <f>PNL!D49</f>
        <v/>
      </c>
      <c r="E49">
        <f>IF(AND(C49="2027",OR(D49="V01",D49="V02",D49="V03")),1,0)</f>
        <v/>
      </c>
      <c r="F49">
        <f>IF(E49=1,SUMIFS(Compta!$F$2:$F$675,Compta!$A$2:$A$675,A49,Compta!$B$2:$B$675,B49,Compta!$C$2:$C$675,"2026"),0)</f>
        <v/>
      </c>
      <c r="G49">
        <f>IF(D49="V01",cad!$I$21,IF(D49="V02",cad!$J$21,cad!$K$21))</f>
        <v/>
      </c>
      <c r="H49">
        <f>IF(D49="V01",cad!$I$22,IF(D49="V02",cad!$J$22,cad!$K$22))</f>
        <v/>
      </c>
      <c r="I49">
        <f>IF(D49="V01",cad!$I$27,IF(D49="V02",cad!$J$27,cad!$K$27))</f>
        <v/>
      </c>
      <c r="J49">
        <f>IF(D49="V01",cad!$I$28,IF(D49="V02",cad!$J$28,cad!$K$28))</f>
        <v/>
      </c>
      <c r="K49">
        <f>IF(D49="V01",cad!$I$29,IF(D49="V02",cad!$J$29,cad!$K$29))</f>
        <v/>
      </c>
      <c r="L49">
        <f>IF(D49="V01",cad!$I$30,IF(D49="V02",cad!$J$30,cad!$K$30))</f>
        <v/>
      </c>
      <c r="M49">
        <f>IF(D49="V01",cad!$I$31,IF(D49="V02",cad!$J$31,cad!$K$31))</f>
        <v/>
      </c>
      <c r="N49">
        <f>IF(D49="V01",$R$2,IF(D49="V02",$R$3,$R$4))</f>
        <v/>
      </c>
      <c r="O49">
        <f>IF(OR(B49="7062",B49="706",B49="708"),N49,IF(B49="6231",1+G49,IF(B49="6236",1+H49,IF(OR(B49="621",B49="604",B49="6063"),N49*(1-L49),IF(OR(B49="6411",B49="6413",B49="6414",B49="645"),(1+J49)*(1+K49),IF(OR(B49="613",B49="615",B49="616",B49="6226",B49="625",B49="626",B49="6281"),(1+I49)*(1-L49)*(1+M49),IF(OR(B49="6331",B49="63511",B49="6333"),(1+I49)*(1-L49),IF(B49="6811",1+I49,1))))))))</f>
        <v/>
      </c>
      <c r="P49">
        <f>IF(E49=1,F49*O49,"")</f>
        <v/>
      </c>
    </row>
    <row r="50">
      <c r="A50">
        <f>PNL!A50</f>
        <v/>
      </c>
      <c r="B50">
        <f>PNL!B50</f>
        <v/>
      </c>
      <c r="C50">
        <f>PNL!C50</f>
        <v/>
      </c>
      <c r="D50">
        <f>PNL!D50</f>
        <v/>
      </c>
      <c r="E50">
        <f>IF(AND(C50="2027",OR(D50="V01",D50="V02",D50="V03")),1,0)</f>
        <v/>
      </c>
      <c r="F50">
        <f>IF(E50=1,SUMIFS(Compta!$F$2:$F$675,Compta!$A$2:$A$675,A50,Compta!$B$2:$B$675,B50,Compta!$C$2:$C$675,"2026"),0)</f>
        <v/>
      </c>
      <c r="G50">
        <f>IF(D50="V01",cad!$I$21,IF(D50="V02",cad!$J$21,cad!$K$21))</f>
        <v/>
      </c>
      <c r="H50">
        <f>IF(D50="V01",cad!$I$22,IF(D50="V02",cad!$J$22,cad!$K$22))</f>
        <v/>
      </c>
      <c r="I50">
        <f>IF(D50="V01",cad!$I$27,IF(D50="V02",cad!$J$27,cad!$K$27))</f>
        <v/>
      </c>
      <c r="J50">
        <f>IF(D50="V01",cad!$I$28,IF(D50="V02",cad!$J$28,cad!$K$28))</f>
        <v/>
      </c>
      <c r="K50">
        <f>IF(D50="V01",cad!$I$29,IF(D50="V02",cad!$J$29,cad!$K$29))</f>
        <v/>
      </c>
      <c r="L50">
        <f>IF(D50="V01",cad!$I$30,IF(D50="V02",cad!$J$30,cad!$K$30))</f>
        <v/>
      </c>
      <c r="M50">
        <f>IF(D50="V01",cad!$I$31,IF(D50="V02",cad!$J$31,cad!$K$31))</f>
        <v/>
      </c>
      <c r="N50">
        <f>IF(D50="V01",$R$2,IF(D50="V02",$R$3,$R$4))</f>
        <v/>
      </c>
      <c r="O50">
        <f>IF(OR(B50="7062",B50="706",B50="708"),N50,IF(B50="6231",1+G50,IF(B50="6236",1+H50,IF(OR(B50="621",B50="604",B50="6063"),N50*(1-L50),IF(OR(B50="6411",B50="6413",B50="6414",B50="645"),(1+J50)*(1+K50),IF(OR(B50="613",B50="615",B50="616",B50="6226",B50="625",B50="626",B50="6281"),(1+I50)*(1-L50)*(1+M50),IF(OR(B50="6331",B50="63511",B50="6333"),(1+I50)*(1-L50),IF(B50="6811",1+I50,1))))))))</f>
        <v/>
      </c>
      <c r="P50">
        <f>IF(E50=1,F50*O50,"")</f>
        <v/>
      </c>
    </row>
    <row r="51">
      <c r="A51">
        <f>PNL!A51</f>
        <v/>
      </c>
      <c r="B51">
        <f>PNL!B51</f>
        <v/>
      </c>
      <c r="C51">
        <f>PNL!C51</f>
        <v/>
      </c>
      <c r="D51">
        <f>PNL!D51</f>
        <v/>
      </c>
      <c r="E51">
        <f>IF(AND(C51="2027",OR(D51="V01",D51="V02",D51="V03")),1,0)</f>
        <v/>
      </c>
      <c r="F51">
        <f>IF(E51=1,SUMIFS(Compta!$F$2:$F$675,Compta!$A$2:$A$675,A51,Compta!$B$2:$B$675,B51,Compta!$C$2:$C$675,"2026"),0)</f>
        <v/>
      </c>
      <c r="G51">
        <f>IF(D51="V01",cad!$I$21,IF(D51="V02",cad!$J$21,cad!$K$21))</f>
        <v/>
      </c>
      <c r="H51">
        <f>IF(D51="V01",cad!$I$22,IF(D51="V02",cad!$J$22,cad!$K$22))</f>
        <v/>
      </c>
      <c r="I51">
        <f>IF(D51="V01",cad!$I$27,IF(D51="V02",cad!$J$27,cad!$K$27))</f>
        <v/>
      </c>
      <c r="J51">
        <f>IF(D51="V01",cad!$I$28,IF(D51="V02",cad!$J$28,cad!$K$28))</f>
        <v/>
      </c>
      <c r="K51">
        <f>IF(D51="V01",cad!$I$29,IF(D51="V02",cad!$J$29,cad!$K$29))</f>
        <v/>
      </c>
      <c r="L51">
        <f>IF(D51="V01",cad!$I$30,IF(D51="V02",cad!$J$30,cad!$K$30))</f>
        <v/>
      </c>
      <c r="M51">
        <f>IF(D51="V01",cad!$I$31,IF(D51="V02",cad!$J$31,cad!$K$31))</f>
        <v/>
      </c>
      <c r="N51">
        <f>IF(D51="V01",$R$2,IF(D51="V02",$R$3,$R$4))</f>
        <v/>
      </c>
      <c r="O51">
        <f>IF(OR(B51="7062",B51="706",B51="708"),N51,IF(B51="6231",1+G51,IF(B51="6236",1+H51,IF(OR(B51="621",B51="604",B51="6063"),N51*(1-L51),IF(OR(B51="6411",B51="6413",B51="6414",B51="645"),(1+J51)*(1+K51),IF(OR(B51="613",B51="615",B51="616",B51="6226",B51="625",B51="626",B51="6281"),(1+I51)*(1-L51)*(1+M51),IF(OR(B51="6331",B51="63511",B51="6333"),(1+I51)*(1-L51),IF(B51="6811",1+I51,1))))))))</f>
        <v/>
      </c>
      <c r="P51">
        <f>IF(E51=1,F51*O51,"")</f>
        <v/>
      </c>
    </row>
    <row r="52">
      <c r="A52">
        <f>PNL!A52</f>
        <v/>
      </c>
      <c r="B52">
        <f>PNL!B52</f>
        <v/>
      </c>
      <c r="C52">
        <f>PNL!C52</f>
        <v/>
      </c>
      <c r="D52">
        <f>PNL!D52</f>
        <v/>
      </c>
      <c r="E52">
        <f>IF(AND(C52="2027",OR(D52="V01",D52="V02",D52="V03")),1,0)</f>
        <v/>
      </c>
      <c r="F52">
        <f>IF(E52=1,SUMIFS(Compta!$F$2:$F$675,Compta!$A$2:$A$675,A52,Compta!$B$2:$B$675,B52,Compta!$C$2:$C$675,"2026"),0)</f>
        <v/>
      </c>
      <c r="G52">
        <f>IF(D52="V01",cad!$I$21,IF(D52="V02",cad!$J$21,cad!$K$21))</f>
        <v/>
      </c>
      <c r="H52">
        <f>IF(D52="V01",cad!$I$22,IF(D52="V02",cad!$J$22,cad!$K$22))</f>
        <v/>
      </c>
      <c r="I52">
        <f>IF(D52="V01",cad!$I$27,IF(D52="V02",cad!$J$27,cad!$K$27))</f>
        <v/>
      </c>
      <c r="J52">
        <f>IF(D52="V01",cad!$I$28,IF(D52="V02",cad!$J$28,cad!$K$28))</f>
        <v/>
      </c>
      <c r="K52">
        <f>IF(D52="V01",cad!$I$29,IF(D52="V02",cad!$J$29,cad!$K$29))</f>
        <v/>
      </c>
      <c r="L52">
        <f>IF(D52="V01",cad!$I$30,IF(D52="V02",cad!$J$30,cad!$K$30))</f>
        <v/>
      </c>
      <c r="M52">
        <f>IF(D52="V01",cad!$I$31,IF(D52="V02",cad!$J$31,cad!$K$31))</f>
        <v/>
      </c>
      <c r="N52">
        <f>IF(D52="V01",$R$2,IF(D52="V02",$R$3,$R$4))</f>
        <v/>
      </c>
      <c r="O52">
        <f>IF(OR(B52="7062",B52="706",B52="708"),N52,IF(B52="6231",1+G52,IF(B52="6236",1+H52,IF(OR(B52="621",B52="604",B52="6063"),N52*(1-L52),IF(OR(B52="6411",B52="6413",B52="6414",B52="645"),(1+J52)*(1+K52),IF(OR(B52="613",B52="615",B52="616",B52="6226",B52="625",B52="626",B52="6281"),(1+I52)*(1-L52)*(1+M52),IF(OR(B52="6331",B52="63511",B52="6333"),(1+I52)*(1-L52),IF(B52="6811",1+I52,1))))))))</f>
        <v/>
      </c>
      <c r="P52">
        <f>IF(E52=1,F52*O52,"")</f>
        <v/>
      </c>
    </row>
    <row r="53">
      <c r="A53">
        <f>PNL!A53</f>
        <v/>
      </c>
      <c r="B53">
        <f>PNL!B53</f>
        <v/>
      </c>
      <c r="C53">
        <f>PNL!C53</f>
        <v/>
      </c>
      <c r="D53">
        <f>PNL!D53</f>
        <v/>
      </c>
      <c r="E53">
        <f>IF(AND(C53="2027",OR(D53="V01",D53="V02",D53="V03")),1,0)</f>
        <v/>
      </c>
      <c r="F53">
        <f>IF(E53=1,SUMIFS(Compta!$F$2:$F$675,Compta!$A$2:$A$675,A53,Compta!$B$2:$B$675,B53,Compta!$C$2:$C$675,"2026"),0)</f>
        <v/>
      </c>
      <c r="G53">
        <f>IF(D53="V01",cad!$I$21,IF(D53="V02",cad!$J$21,cad!$K$21))</f>
        <v/>
      </c>
      <c r="H53">
        <f>IF(D53="V01",cad!$I$22,IF(D53="V02",cad!$J$22,cad!$K$22))</f>
        <v/>
      </c>
      <c r="I53">
        <f>IF(D53="V01",cad!$I$27,IF(D53="V02",cad!$J$27,cad!$K$27))</f>
        <v/>
      </c>
      <c r="J53">
        <f>IF(D53="V01",cad!$I$28,IF(D53="V02",cad!$J$28,cad!$K$28))</f>
        <v/>
      </c>
      <c r="K53">
        <f>IF(D53="V01",cad!$I$29,IF(D53="V02",cad!$J$29,cad!$K$29))</f>
        <v/>
      </c>
      <c r="L53">
        <f>IF(D53="V01",cad!$I$30,IF(D53="V02",cad!$J$30,cad!$K$30))</f>
        <v/>
      </c>
      <c r="M53">
        <f>IF(D53="V01",cad!$I$31,IF(D53="V02",cad!$J$31,cad!$K$31))</f>
        <v/>
      </c>
      <c r="N53">
        <f>IF(D53="V01",$R$2,IF(D53="V02",$R$3,$R$4))</f>
        <v/>
      </c>
      <c r="O53">
        <f>IF(OR(B53="7062",B53="706",B53="708"),N53,IF(B53="6231",1+G53,IF(B53="6236",1+H53,IF(OR(B53="621",B53="604",B53="6063"),N53*(1-L53),IF(OR(B53="6411",B53="6413",B53="6414",B53="645"),(1+J53)*(1+K53),IF(OR(B53="613",B53="615",B53="616",B53="6226",B53="625",B53="626",B53="6281"),(1+I53)*(1-L53)*(1+M53),IF(OR(B53="6331",B53="63511",B53="6333"),(1+I53)*(1-L53),IF(B53="6811",1+I53,1))))))))</f>
        <v/>
      </c>
      <c r="P53">
        <f>IF(E53=1,F53*O53,"")</f>
        <v/>
      </c>
    </row>
    <row r="54">
      <c r="A54">
        <f>PNL!A54</f>
        <v/>
      </c>
      <c r="B54">
        <f>PNL!B54</f>
        <v/>
      </c>
      <c r="C54">
        <f>PNL!C54</f>
        <v/>
      </c>
      <c r="D54">
        <f>PNL!D54</f>
        <v/>
      </c>
      <c r="E54">
        <f>IF(AND(C54="2027",OR(D54="V01",D54="V02",D54="V03")),1,0)</f>
        <v/>
      </c>
      <c r="F54">
        <f>IF(E54=1,SUMIFS(Compta!$F$2:$F$675,Compta!$A$2:$A$675,A54,Compta!$B$2:$B$675,B54,Compta!$C$2:$C$675,"2026"),0)</f>
        <v/>
      </c>
      <c r="G54">
        <f>IF(D54="V01",cad!$I$21,IF(D54="V02",cad!$J$21,cad!$K$21))</f>
        <v/>
      </c>
      <c r="H54">
        <f>IF(D54="V01",cad!$I$22,IF(D54="V02",cad!$J$22,cad!$K$22))</f>
        <v/>
      </c>
      <c r="I54">
        <f>IF(D54="V01",cad!$I$27,IF(D54="V02",cad!$J$27,cad!$K$27))</f>
        <v/>
      </c>
      <c r="J54">
        <f>IF(D54="V01",cad!$I$28,IF(D54="V02",cad!$J$28,cad!$K$28))</f>
        <v/>
      </c>
      <c r="K54">
        <f>IF(D54="V01",cad!$I$29,IF(D54="V02",cad!$J$29,cad!$K$29))</f>
        <v/>
      </c>
      <c r="L54">
        <f>IF(D54="V01",cad!$I$30,IF(D54="V02",cad!$J$30,cad!$K$30))</f>
        <v/>
      </c>
      <c r="M54">
        <f>IF(D54="V01",cad!$I$31,IF(D54="V02",cad!$J$31,cad!$K$31))</f>
        <v/>
      </c>
      <c r="N54">
        <f>IF(D54="V01",$R$2,IF(D54="V02",$R$3,$R$4))</f>
        <v/>
      </c>
      <c r="O54">
        <f>IF(OR(B54="7062",B54="706",B54="708"),N54,IF(B54="6231",1+G54,IF(B54="6236",1+H54,IF(OR(B54="621",B54="604",B54="6063"),N54*(1-L54),IF(OR(B54="6411",B54="6413",B54="6414",B54="645"),(1+J54)*(1+K54),IF(OR(B54="613",B54="615",B54="616",B54="6226",B54="625",B54="626",B54="6281"),(1+I54)*(1-L54)*(1+M54),IF(OR(B54="6331",B54="63511",B54="6333"),(1+I54)*(1-L54),IF(B54="6811",1+I54,1))))))))</f>
        <v/>
      </c>
      <c r="P54">
        <f>IF(E54=1,F54*O54,"")</f>
        <v/>
      </c>
    </row>
    <row r="55">
      <c r="A55">
        <f>PNL!A55</f>
        <v/>
      </c>
      <c r="B55">
        <f>PNL!B55</f>
        <v/>
      </c>
      <c r="C55">
        <f>PNL!C55</f>
        <v/>
      </c>
      <c r="D55">
        <f>PNL!D55</f>
        <v/>
      </c>
      <c r="E55">
        <f>IF(AND(C55="2027",OR(D55="V01",D55="V02",D55="V03")),1,0)</f>
        <v/>
      </c>
      <c r="F55">
        <f>IF(E55=1,SUMIFS(Compta!$F$2:$F$675,Compta!$A$2:$A$675,A55,Compta!$B$2:$B$675,B55,Compta!$C$2:$C$675,"2026"),0)</f>
        <v/>
      </c>
      <c r="G55">
        <f>IF(D55="V01",cad!$I$21,IF(D55="V02",cad!$J$21,cad!$K$21))</f>
        <v/>
      </c>
      <c r="H55">
        <f>IF(D55="V01",cad!$I$22,IF(D55="V02",cad!$J$22,cad!$K$22))</f>
        <v/>
      </c>
      <c r="I55">
        <f>IF(D55="V01",cad!$I$27,IF(D55="V02",cad!$J$27,cad!$K$27))</f>
        <v/>
      </c>
      <c r="J55">
        <f>IF(D55="V01",cad!$I$28,IF(D55="V02",cad!$J$28,cad!$K$28))</f>
        <v/>
      </c>
      <c r="K55">
        <f>IF(D55="V01",cad!$I$29,IF(D55="V02",cad!$J$29,cad!$K$29))</f>
        <v/>
      </c>
      <c r="L55">
        <f>IF(D55="V01",cad!$I$30,IF(D55="V02",cad!$J$30,cad!$K$30))</f>
        <v/>
      </c>
      <c r="M55">
        <f>IF(D55="V01",cad!$I$31,IF(D55="V02",cad!$J$31,cad!$K$31))</f>
        <v/>
      </c>
      <c r="N55">
        <f>IF(D55="V01",$R$2,IF(D55="V02",$R$3,$R$4))</f>
        <v/>
      </c>
      <c r="O55">
        <f>IF(OR(B55="7062",B55="706",B55="708"),N55,IF(B55="6231",1+G55,IF(B55="6236",1+H55,IF(OR(B55="621",B55="604",B55="6063"),N55*(1-L55),IF(OR(B55="6411",B55="6413",B55="6414",B55="645"),(1+J55)*(1+K55),IF(OR(B55="613",B55="615",B55="616",B55="6226",B55="625",B55="626",B55="6281"),(1+I55)*(1-L55)*(1+M55),IF(OR(B55="6331",B55="63511",B55="6333"),(1+I55)*(1-L55),IF(B55="6811",1+I55,1))))))))</f>
        <v/>
      </c>
      <c r="P55">
        <f>IF(E55=1,F55*O55,"")</f>
        <v/>
      </c>
    </row>
    <row r="56">
      <c r="A56">
        <f>PNL!A56</f>
        <v/>
      </c>
      <c r="B56">
        <f>PNL!B56</f>
        <v/>
      </c>
      <c r="C56">
        <f>PNL!C56</f>
        <v/>
      </c>
      <c r="D56">
        <f>PNL!D56</f>
        <v/>
      </c>
      <c r="E56">
        <f>IF(AND(C56="2027",OR(D56="V01",D56="V02",D56="V03")),1,0)</f>
        <v/>
      </c>
      <c r="F56">
        <f>IF(E56=1,SUMIFS(Compta!$F$2:$F$675,Compta!$A$2:$A$675,A56,Compta!$B$2:$B$675,B56,Compta!$C$2:$C$675,"2026"),0)</f>
        <v/>
      </c>
      <c r="G56">
        <f>IF(D56="V01",cad!$I$21,IF(D56="V02",cad!$J$21,cad!$K$21))</f>
        <v/>
      </c>
      <c r="H56">
        <f>IF(D56="V01",cad!$I$22,IF(D56="V02",cad!$J$22,cad!$K$22))</f>
        <v/>
      </c>
      <c r="I56">
        <f>IF(D56="V01",cad!$I$27,IF(D56="V02",cad!$J$27,cad!$K$27))</f>
        <v/>
      </c>
      <c r="J56">
        <f>IF(D56="V01",cad!$I$28,IF(D56="V02",cad!$J$28,cad!$K$28))</f>
        <v/>
      </c>
      <c r="K56">
        <f>IF(D56="V01",cad!$I$29,IF(D56="V02",cad!$J$29,cad!$K$29))</f>
        <v/>
      </c>
      <c r="L56">
        <f>IF(D56="V01",cad!$I$30,IF(D56="V02",cad!$J$30,cad!$K$30))</f>
        <v/>
      </c>
      <c r="M56">
        <f>IF(D56="V01",cad!$I$31,IF(D56="V02",cad!$J$31,cad!$K$31))</f>
        <v/>
      </c>
      <c r="N56">
        <f>IF(D56="V01",$R$2,IF(D56="V02",$R$3,$R$4))</f>
        <v/>
      </c>
      <c r="O56">
        <f>IF(OR(B56="7062",B56="706",B56="708"),N56,IF(B56="6231",1+G56,IF(B56="6236",1+H56,IF(OR(B56="621",B56="604",B56="6063"),N56*(1-L56),IF(OR(B56="6411",B56="6413",B56="6414",B56="645"),(1+J56)*(1+K56),IF(OR(B56="613",B56="615",B56="616",B56="6226",B56="625",B56="626",B56="6281"),(1+I56)*(1-L56)*(1+M56),IF(OR(B56="6331",B56="63511",B56="6333"),(1+I56)*(1-L56),IF(B56="6811",1+I56,1))))))))</f>
        <v/>
      </c>
      <c r="P56">
        <f>IF(E56=1,F56*O56,"")</f>
        <v/>
      </c>
    </row>
    <row r="57">
      <c r="A57">
        <f>PNL!A57</f>
        <v/>
      </c>
      <c r="B57">
        <f>PNL!B57</f>
        <v/>
      </c>
      <c r="C57">
        <f>PNL!C57</f>
        <v/>
      </c>
      <c r="D57">
        <f>PNL!D57</f>
        <v/>
      </c>
      <c r="E57">
        <f>IF(AND(C57="2027",OR(D57="V01",D57="V02",D57="V03")),1,0)</f>
        <v/>
      </c>
      <c r="F57">
        <f>IF(E57=1,SUMIFS(Compta!$F$2:$F$675,Compta!$A$2:$A$675,A57,Compta!$B$2:$B$675,B57,Compta!$C$2:$C$675,"2026"),0)</f>
        <v/>
      </c>
      <c r="G57">
        <f>IF(D57="V01",cad!$I$21,IF(D57="V02",cad!$J$21,cad!$K$21))</f>
        <v/>
      </c>
      <c r="H57">
        <f>IF(D57="V01",cad!$I$22,IF(D57="V02",cad!$J$22,cad!$K$22))</f>
        <v/>
      </c>
      <c r="I57">
        <f>IF(D57="V01",cad!$I$27,IF(D57="V02",cad!$J$27,cad!$K$27))</f>
        <v/>
      </c>
      <c r="J57">
        <f>IF(D57="V01",cad!$I$28,IF(D57="V02",cad!$J$28,cad!$K$28))</f>
        <v/>
      </c>
      <c r="K57">
        <f>IF(D57="V01",cad!$I$29,IF(D57="V02",cad!$J$29,cad!$K$29))</f>
        <v/>
      </c>
      <c r="L57">
        <f>IF(D57="V01",cad!$I$30,IF(D57="V02",cad!$J$30,cad!$K$30))</f>
        <v/>
      </c>
      <c r="M57">
        <f>IF(D57="V01",cad!$I$31,IF(D57="V02",cad!$J$31,cad!$K$31))</f>
        <v/>
      </c>
      <c r="N57">
        <f>IF(D57="V01",$R$2,IF(D57="V02",$R$3,$R$4))</f>
        <v/>
      </c>
      <c r="O57">
        <f>IF(OR(B57="7062",B57="706",B57="708"),N57,IF(B57="6231",1+G57,IF(B57="6236",1+H57,IF(OR(B57="621",B57="604",B57="6063"),N57*(1-L57),IF(OR(B57="6411",B57="6413",B57="6414",B57="645"),(1+J57)*(1+K57),IF(OR(B57="613",B57="615",B57="616",B57="6226",B57="625",B57="626",B57="6281"),(1+I57)*(1-L57)*(1+M57),IF(OR(B57="6331",B57="63511",B57="6333"),(1+I57)*(1-L57),IF(B57="6811",1+I57,1))))))))</f>
        <v/>
      </c>
      <c r="P57">
        <f>IF(E57=1,F57*O57,"")</f>
        <v/>
      </c>
    </row>
    <row r="58">
      <c r="A58">
        <f>PNL!A58</f>
        <v/>
      </c>
      <c r="B58">
        <f>PNL!B58</f>
        <v/>
      </c>
      <c r="C58">
        <f>PNL!C58</f>
        <v/>
      </c>
      <c r="D58">
        <f>PNL!D58</f>
        <v/>
      </c>
      <c r="E58">
        <f>IF(AND(C58="2027",OR(D58="V01",D58="V02",D58="V03")),1,0)</f>
        <v/>
      </c>
      <c r="F58">
        <f>IF(E58=1,SUMIFS(Compta!$F$2:$F$675,Compta!$A$2:$A$675,A58,Compta!$B$2:$B$675,B58,Compta!$C$2:$C$675,"2026"),0)</f>
        <v/>
      </c>
      <c r="G58">
        <f>IF(D58="V01",cad!$I$21,IF(D58="V02",cad!$J$21,cad!$K$21))</f>
        <v/>
      </c>
      <c r="H58">
        <f>IF(D58="V01",cad!$I$22,IF(D58="V02",cad!$J$22,cad!$K$22))</f>
        <v/>
      </c>
      <c r="I58">
        <f>IF(D58="V01",cad!$I$27,IF(D58="V02",cad!$J$27,cad!$K$27))</f>
        <v/>
      </c>
      <c r="J58">
        <f>IF(D58="V01",cad!$I$28,IF(D58="V02",cad!$J$28,cad!$K$28))</f>
        <v/>
      </c>
      <c r="K58">
        <f>IF(D58="V01",cad!$I$29,IF(D58="V02",cad!$J$29,cad!$K$29))</f>
        <v/>
      </c>
      <c r="L58">
        <f>IF(D58="V01",cad!$I$30,IF(D58="V02",cad!$J$30,cad!$K$30))</f>
        <v/>
      </c>
      <c r="M58">
        <f>IF(D58="V01",cad!$I$31,IF(D58="V02",cad!$J$31,cad!$K$31))</f>
        <v/>
      </c>
      <c r="N58">
        <f>IF(D58="V01",$R$2,IF(D58="V02",$R$3,$R$4))</f>
        <v/>
      </c>
      <c r="O58">
        <f>IF(OR(B58="7062",B58="706",B58="708"),N58,IF(B58="6231",1+G58,IF(B58="6236",1+H58,IF(OR(B58="621",B58="604",B58="6063"),N58*(1-L58),IF(OR(B58="6411",B58="6413",B58="6414",B58="645"),(1+J58)*(1+K58),IF(OR(B58="613",B58="615",B58="616",B58="6226",B58="625",B58="626",B58="6281"),(1+I58)*(1-L58)*(1+M58),IF(OR(B58="6331",B58="63511",B58="6333"),(1+I58)*(1-L58),IF(B58="6811",1+I58,1))))))))</f>
        <v/>
      </c>
      <c r="P58">
        <f>IF(E58=1,F58*O58,"")</f>
        <v/>
      </c>
    </row>
    <row r="59">
      <c r="A59">
        <f>PNL!A59</f>
        <v/>
      </c>
      <c r="B59">
        <f>PNL!B59</f>
        <v/>
      </c>
      <c r="C59">
        <f>PNL!C59</f>
        <v/>
      </c>
      <c r="D59">
        <f>PNL!D59</f>
        <v/>
      </c>
      <c r="E59">
        <f>IF(AND(C59="2027",OR(D59="V01",D59="V02",D59="V03")),1,0)</f>
        <v/>
      </c>
      <c r="F59">
        <f>IF(E59=1,SUMIFS(Compta!$F$2:$F$675,Compta!$A$2:$A$675,A59,Compta!$B$2:$B$675,B59,Compta!$C$2:$C$675,"2026"),0)</f>
        <v/>
      </c>
      <c r="G59">
        <f>IF(D59="V01",cad!$I$21,IF(D59="V02",cad!$J$21,cad!$K$21))</f>
        <v/>
      </c>
      <c r="H59">
        <f>IF(D59="V01",cad!$I$22,IF(D59="V02",cad!$J$22,cad!$K$22))</f>
        <v/>
      </c>
      <c r="I59">
        <f>IF(D59="V01",cad!$I$27,IF(D59="V02",cad!$J$27,cad!$K$27))</f>
        <v/>
      </c>
      <c r="J59">
        <f>IF(D59="V01",cad!$I$28,IF(D59="V02",cad!$J$28,cad!$K$28))</f>
        <v/>
      </c>
      <c r="K59">
        <f>IF(D59="V01",cad!$I$29,IF(D59="V02",cad!$J$29,cad!$K$29))</f>
        <v/>
      </c>
      <c r="L59">
        <f>IF(D59="V01",cad!$I$30,IF(D59="V02",cad!$J$30,cad!$K$30))</f>
        <v/>
      </c>
      <c r="M59">
        <f>IF(D59="V01",cad!$I$31,IF(D59="V02",cad!$J$31,cad!$K$31))</f>
        <v/>
      </c>
      <c r="N59">
        <f>IF(D59="V01",$R$2,IF(D59="V02",$R$3,$R$4))</f>
        <v/>
      </c>
      <c r="O59">
        <f>IF(OR(B59="7062",B59="706",B59="708"),N59,IF(B59="6231",1+G59,IF(B59="6236",1+H59,IF(OR(B59="621",B59="604",B59="6063"),N59*(1-L59),IF(OR(B59="6411",B59="6413",B59="6414",B59="645"),(1+J59)*(1+K59),IF(OR(B59="613",B59="615",B59="616",B59="6226",B59="625",B59="626",B59="6281"),(1+I59)*(1-L59)*(1+M59),IF(OR(B59="6331",B59="63511",B59="6333"),(1+I59)*(1-L59),IF(B59="6811",1+I59,1))))))))</f>
        <v/>
      </c>
      <c r="P59">
        <f>IF(E59=1,F59*O59,"")</f>
        <v/>
      </c>
    </row>
    <row r="60">
      <c r="A60">
        <f>PNL!A60</f>
        <v/>
      </c>
      <c r="B60">
        <f>PNL!B60</f>
        <v/>
      </c>
      <c r="C60">
        <f>PNL!C60</f>
        <v/>
      </c>
      <c r="D60">
        <f>PNL!D60</f>
        <v/>
      </c>
      <c r="E60">
        <f>IF(AND(C60="2027",OR(D60="V01",D60="V02",D60="V03")),1,0)</f>
        <v/>
      </c>
      <c r="F60">
        <f>IF(E60=1,SUMIFS(Compta!$F$2:$F$675,Compta!$A$2:$A$675,A60,Compta!$B$2:$B$675,B60,Compta!$C$2:$C$675,"2026"),0)</f>
        <v/>
      </c>
      <c r="G60">
        <f>IF(D60="V01",cad!$I$21,IF(D60="V02",cad!$J$21,cad!$K$21))</f>
        <v/>
      </c>
      <c r="H60">
        <f>IF(D60="V01",cad!$I$22,IF(D60="V02",cad!$J$22,cad!$K$22))</f>
        <v/>
      </c>
      <c r="I60">
        <f>IF(D60="V01",cad!$I$27,IF(D60="V02",cad!$J$27,cad!$K$27))</f>
        <v/>
      </c>
      <c r="J60">
        <f>IF(D60="V01",cad!$I$28,IF(D60="V02",cad!$J$28,cad!$K$28))</f>
        <v/>
      </c>
      <c r="K60">
        <f>IF(D60="V01",cad!$I$29,IF(D60="V02",cad!$J$29,cad!$K$29))</f>
        <v/>
      </c>
      <c r="L60">
        <f>IF(D60="V01",cad!$I$30,IF(D60="V02",cad!$J$30,cad!$K$30))</f>
        <v/>
      </c>
      <c r="M60">
        <f>IF(D60="V01",cad!$I$31,IF(D60="V02",cad!$J$31,cad!$K$31))</f>
        <v/>
      </c>
      <c r="N60">
        <f>IF(D60="V01",$R$2,IF(D60="V02",$R$3,$R$4))</f>
        <v/>
      </c>
      <c r="O60">
        <f>IF(OR(B60="7062",B60="706",B60="708"),N60,IF(B60="6231",1+G60,IF(B60="6236",1+H60,IF(OR(B60="621",B60="604",B60="6063"),N60*(1-L60),IF(OR(B60="6411",B60="6413",B60="6414",B60="645"),(1+J60)*(1+K60),IF(OR(B60="613",B60="615",B60="616",B60="6226",B60="625",B60="626",B60="6281"),(1+I60)*(1-L60)*(1+M60),IF(OR(B60="6331",B60="63511",B60="6333"),(1+I60)*(1-L60),IF(B60="6811",1+I60,1))))))))</f>
        <v/>
      </c>
      <c r="P60">
        <f>IF(E60=1,F60*O60,"")</f>
        <v/>
      </c>
    </row>
    <row r="61">
      <c r="A61">
        <f>PNL!A61</f>
        <v/>
      </c>
      <c r="B61">
        <f>PNL!B61</f>
        <v/>
      </c>
      <c r="C61">
        <f>PNL!C61</f>
        <v/>
      </c>
      <c r="D61">
        <f>PNL!D61</f>
        <v/>
      </c>
      <c r="E61">
        <f>IF(AND(C61="2027",OR(D61="V01",D61="V02",D61="V03")),1,0)</f>
        <v/>
      </c>
      <c r="F61">
        <f>IF(E61=1,SUMIFS(Compta!$F$2:$F$675,Compta!$A$2:$A$675,A61,Compta!$B$2:$B$675,B61,Compta!$C$2:$C$675,"2026"),0)</f>
        <v/>
      </c>
      <c r="G61">
        <f>IF(D61="V01",cad!$I$21,IF(D61="V02",cad!$J$21,cad!$K$21))</f>
        <v/>
      </c>
      <c r="H61">
        <f>IF(D61="V01",cad!$I$22,IF(D61="V02",cad!$J$22,cad!$K$22))</f>
        <v/>
      </c>
      <c r="I61">
        <f>IF(D61="V01",cad!$I$27,IF(D61="V02",cad!$J$27,cad!$K$27))</f>
        <v/>
      </c>
      <c r="J61">
        <f>IF(D61="V01",cad!$I$28,IF(D61="V02",cad!$J$28,cad!$K$28))</f>
        <v/>
      </c>
      <c r="K61">
        <f>IF(D61="V01",cad!$I$29,IF(D61="V02",cad!$J$29,cad!$K$29))</f>
        <v/>
      </c>
      <c r="L61">
        <f>IF(D61="V01",cad!$I$30,IF(D61="V02",cad!$J$30,cad!$K$30))</f>
        <v/>
      </c>
      <c r="M61">
        <f>IF(D61="V01",cad!$I$31,IF(D61="V02",cad!$J$31,cad!$K$31))</f>
        <v/>
      </c>
      <c r="N61">
        <f>IF(D61="V01",$R$2,IF(D61="V02",$R$3,$R$4))</f>
        <v/>
      </c>
      <c r="O61">
        <f>IF(OR(B61="7062",B61="706",B61="708"),N61,IF(B61="6231",1+G61,IF(B61="6236",1+H61,IF(OR(B61="621",B61="604",B61="6063"),N61*(1-L61),IF(OR(B61="6411",B61="6413",B61="6414",B61="645"),(1+J61)*(1+K61),IF(OR(B61="613",B61="615",B61="616",B61="6226",B61="625",B61="626",B61="6281"),(1+I61)*(1-L61)*(1+M61),IF(OR(B61="6331",B61="63511",B61="6333"),(1+I61)*(1-L61),IF(B61="6811",1+I61,1))))))))</f>
        <v/>
      </c>
      <c r="P61">
        <f>IF(E61=1,F61*O61,"")</f>
        <v/>
      </c>
    </row>
    <row r="62">
      <c r="A62">
        <f>PNL!A62</f>
        <v/>
      </c>
      <c r="B62">
        <f>PNL!B62</f>
        <v/>
      </c>
      <c r="C62">
        <f>PNL!C62</f>
        <v/>
      </c>
      <c r="D62">
        <f>PNL!D62</f>
        <v/>
      </c>
      <c r="E62">
        <f>IF(AND(C62="2027",OR(D62="V01",D62="V02",D62="V03")),1,0)</f>
        <v/>
      </c>
      <c r="F62">
        <f>IF(E62=1,SUMIFS(Compta!$F$2:$F$675,Compta!$A$2:$A$675,A62,Compta!$B$2:$B$675,B62,Compta!$C$2:$C$675,"2026"),0)</f>
        <v/>
      </c>
      <c r="G62">
        <f>IF(D62="V01",cad!$I$21,IF(D62="V02",cad!$J$21,cad!$K$21))</f>
        <v/>
      </c>
      <c r="H62">
        <f>IF(D62="V01",cad!$I$22,IF(D62="V02",cad!$J$22,cad!$K$22))</f>
        <v/>
      </c>
      <c r="I62">
        <f>IF(D62="V01",cad!$I$27,IF(D62="V02",cad!$J$27,cad!$K$27))</f>
        <v/>
      </c>
      <c r="J62">
        <f>IF(D62="V01",cad!$I$28,IF(D62="V02",cad!$J$28,cad!$K$28))</f>
        <v/>
      </c>
      <c r="K62">
        <f>IF(D62="V01",cad!$I$29,IF(D62="V02",cad!$J$29,cad!$K$29))</f>
        <v/>
      </c>
      <c r="L62">
        <f>IF(D62="V01",cad!$I$30,IF(D62="V02",cad!$J$30,cad!$K$30))</f>
        <v/>
      </c>
      <c r="M62">
        <f>IF(D62="V01",cad!$I$31,IF(D62="V02",cad!$J$31,cad!$K$31))</f>
        <v/>
      </c>
      <c r="N62">
        <f>IF(D62="V01",$R$2,IF(D62="V02",$R$3,$R$4))</f>
        <v/>
      </c>
      <c r="O62">
        <f>IF(OR(B62="7062",B62="706",B62="708"),N62,IF(B62="6231",1+G62,IF(B62="6236",1+H62,IF(OR(B62="621",B62="604",B62="6063"),N62*(1-L62),IF(OR(B62="6411",B62="6413",B62="6414",B62="645"),(1+J62)*(1+K62),IF(OR(B62="613",B62="615",B62="616",B62="6226",B62="625",B62="626",B62="6281"),(1+I62)*(1-L62)*(1+M62),IF(OR(B62="6331",B62="63511",B62="6333"),(1+I62)*(1-L62),IF(B62="6811",1+I62,1))))))))</f>
        <v/>
      </c>
      <c r="P62">
        <f>IF(E62=1,F62*O62,"")</f>
        <v/>
      </c>
    </row>
    <row r="63">
      <c r="A63">
        <f>PNL!A63</f>
        <v/>
      </c>
      <c r="B63">
        <f>PNL!B63</f>
        <v/>
      </c>
      <c r="C63">
        <f>PNL!C63</f>
        <v/>
      </c>
      <c r="D63">
        <f>PNL!D63</f>
        <v/>
      </c>
      <c r="E63">
        <f>IF(AND(C63="2027",OR(D63="V01",D63="V02",D63="V03")),1,0)</f>
        <v/>
      </c>
      <c r="F63">
        <f>IF(E63=1,SUMIFS(Compta!$F$2:$F$675,Compta!$A$2:$A$675,A63,Compta!$B$2:$B$675,B63,Compta!$C$2:$C$675,"2026"),0)</f>
        <v/>
      </c>
      <c r="G63">
        <f>IF(D63="V01",cad!$I$21,IF(D63="V02",cad!$J$21,cad!$K$21))</f>
        <v/>
      </c>
      <c r="H63">
        <f>IF(D63="V01",cad!$I$22,IF(D63="V02",cad!$J$22,cad!$K$22))</f>
        <v/>
      </c>
      <c r="I63">
        <f>IF(D63="V01",cad!$I$27,IF(D63="V02",cad!$J$27,cad!$K$27))</f>
        <v/>
      </c>
      <c r="J63">
        <f>IF(D63="V01",cad!$I$28,IF(D63="V02",cad!$J$28,cad!$K$28))</f>
        <v/>
      </c>
      <c r="K63">
        <f>IF(D63="V01",cad!$I$29,IF(D63="V02",cad!$J$29,cad!$K$29))</f>
        <v/>
      </c>
      <c r="L63">
        <f>IF(D63="V01",cad!$I$30,IF(D63="V02",cad!$J$30,cad!$K$30))</f>
        <v/>
      </c>
      <c r="M63">
        <f>IF(D63="V01",cad!$I$31,IF(D63="V02",cad!$J$31,cad!$K$31))</f>
        <v/>
      </c>
      <c r="N63">
        <f>IF(D63="V01",$R$2,IF(D63="V02",$R$3,$R$4))</f>
        <v/>
      </c>
      <c r="O63">
        <f>IF(OR(B63="7062",B63="706",B63="708"),N63,IF(B63="6231",1+G63,IF(B63="6236",1+H63,IF(OR(B63="621",B63="604",B63="6063"),N63*(1-L63),IF(OR(B63="6411",B63="6413",B63="6414",B63="645"),(1+J63)*(1+K63),IF(OR(B63="613",B63="615",B63="616",B63="6226",B63="625",B63="626",B63="6281"),(1+I63)*(1-L63)*(1+M63),IF(OR(B63="6331",B63="63511",B63="6333"),(1+I63)*(1-L63),IF(B63="6811",1+I63,1))))))))</f>
        <v/>
      </c>
      <c r="P63">
        <f>IF(E63=1,F63*O63,"")</f>
        <v/>
      </c>
    </row>
    <row r="64">
      <c r="A64">
        <f>PNL!A64</f>
        <v/>
      </c>
      <c r="B64">
        <f>PNL!B64</f>
        <v/>
      </c>
      <c r="C64">
        <f>PNL!C64</f>
        <v/>
      </c>
      <c r="D64">
        <f>PNL!D64</f>
        <v/>
      </c>
      <c r="E64">
        <f>IF(AND(C64="2027",OR(D64="V01",D64="V02",D64="V03")),1,0)</f>
        <v/>
      </c>
      <c r="F64">
        <f>IF(E64=1,SUMIFS(Compta!$F$2:$F$675,Compta!$A$2:$A$675,A64,Compta!$B$2:$B$675,B64,Compta!$C$2:$C$675,"2026"),0)</f>
        <v/>
      </c>
      <c r="G64">
        <f>IF(D64="V01",cad!$I$21,IF(D64="V02",cad!$J$21,cad!$K$21))</f>
        <v/>
      </c>
      <c r="H64">
        <f>IF(D64="V01",cad!$I$22,IF(D64="V02",cad!$J$22,cad!$K$22))</f>
        <v/>
      </c>
      <c r="I64">
        <f>IF(D64="V01",cad!$I$27,IF(D64="V02",cad!$J$27,cad!$K$27))</f>
        <v/>
      </c>
      <c r="J64">
        <f>IF(D64="V01",cad!$I$28,IF(D64="V02",cad!$J$28,cad!$K$28))</f>
        <v/>
      </c>
      <c r="K64">
        <f>IF(D64="V01",cad!$I$29,IF(D64="V02",cad!$J$29,cad!$K$29))</f>
        <v/>
      </c>
      <c r="L64">
        <f>IF(D64="V01",cad!$I$30,IF(D64="V02",cad!$J$30,cad!$K$30))</f>
        <v/>
      </c>
      <c r="M64">
        <f>IF(D64="V01",cad!$I$31,IF(D64="V02",cad!$J$31,cad!$K$31))</f>
        <v/>
      </c>
      <c r="N64">
        <f>IF(D64="V01",$R$2,IF(D64="V02",$R$3,$R$4))</f>
        <v/>
      </c>
      <c r="O64">
        <f>IF(OR(B64="7062",B64="706",B64="708"),N64,IF(B64="6231",1+G64,IF(B64="6236",1+H64,IF(OR(B64="621",B64="604",B64="6063"),N64*(1-L64),IF(OR(B64="6411",B64="6413",B64="6414",B64="645"),(1+J64)*(1+K64),IF(OR(B64="613",B64="615",B64="616",B64="6226",B64="625",B64="626",B64="6281"),(1+I64)*(1-L64)*(1+M64),IF(OR(B64="6331",B64="63511",B64="6333"),(1+I64)*(1-L64),IF(B64="6811",1+I64,1))))))))</f>
        <v/>
      </c>
      <c r="P64">
        <f>IF(E64=1,F64*O64,"")</f>
        <v/>
      </c>
    </row>
    <row r="65">
      <c r="A65">
        <f>PNL!A65</f>
        <v/>
      </c>
      <c r="B65">
        <f>PNL!B65</f>
        <v/>
      </c>
      <c r="C65">
        <f>PNL!C65</f>
        <v/>
      </c>
      <c r="D65">
        <f>PNL!D65</f>
        <v/>
      </c>
      <c r="E65">
        <f>IF(AND(C65="2027",OR(D65="V01",D65="V02",D65="V03")),1,0)</f>
        <v/>
      </c>
      <c r="F65">
        <f>IF(E65=1,SUMIFS(Compta!$F$2:$F$675,Compta!$A$2:$A$675,A65,Compta!$B$2:$B$675,B65,Compta!$C$2:$C$675,"2026"),0)</f>
        <v/>
      </c>
      <c r="G65">
        <f>IF(D65="V01",cad!$I$21,IF(D65="V02",cad!$J$21,cad!$K$21))</f>
        <v/>
      </c>
      <c r="H65">
        <f>IF(D65="V01",cad!$I$22,IF(D65="V02",cad!$J$22,cad!$K$22))</f>
        <v/>
      </c>
      <c r="I65">
        <f>IF(D65="V01",cad!$I$27,IF(D65="V02",cad!$J$27,cad!$K$27))</f>
        <v/>
      </c>
      <c r="J65">
        <f>IF(D65="V01",cad!$I$28,IF(D65="V02",cad!$J$28,cad!$K$28))</f>
        <v/>
      </c>
      <c r="K65">
        <f>IF(D65="V01",cad!$I$29,IF(D65="V02",cad!$J$29,cad!$K$29))</f>
        <v/>
      </c>
      <c r="L65">
        <f>IF(D65="V01",cad!$I$30,IF(D65="V02",cad!$J$30,cad!$K$30))</f>
        <v/>
      </c>
      <c r="M65">
        <f>IF(D65="V01",cad!$I$31,IF(D65="V02",cad!$J$31,cad!$K$31))</f>
        <v/>
      </c>
      <c r="N65">
        <f>IF(D65="V01",$R$2,IF(D65="V02",$R$3,$R$4))</f>
        <v/>
      </c>
      <c r="O65">
        <f>IF(OR(B65="7062",B65="706",B65="708"),N65,IF(B65="6231",1+G65,IF(B65="6236",1+H65,IF(OR(B65="621",B65="604",B65="6063"),N65*(1-L65),IF(OR(B65="6411",B65="6413",B65="6414",B65="645"),(1+J65)*(1+K65),IF(OR(B65="613",B65="615",B65="616",B65="6226",B65="625",B65="626",B65="6281"),(1+I65)*(1-L65)*(1+M65),IF(OR(B65="6331",B65="63511",B65="6333"),(1+I65)*(1-L65),IF(B65="6811",1+I65,1))))))))</f>
        <v/>
      </c>
      <c r="P65">
        <f>IF(E65=1,F65*O65,"")</f>
        <v/>
      </c>
    </row>
    <row r="66">
      <c r="A66">
        <f>PNL!A66</f>
        <v/>
      </c>
      <c r="B66">
        <f>PNL!B66</f>
        <v/>
      </c>
      <c r="C66">
        <f>PNL!C66</f>
        <v/>
      </c>
      <c r="D66">
        <f>PNL!D66</f>
        <v/>
      </c>
      <c r="E66">
        <f>IF(AND(C66="2027",OR(D66="V01",D66="V02",D66="V03")),1,0)</f>
        <v/>
      </c>
      <c r="F66">
        <f>IF(E66=1,SUMIFS(Compta!$F$2:$F$675,Compta!$A$2:$A$675,A66,Compta!$B$2:$B$675,B66,Compta!$C$2:$C$675,"2026"),0)</f>
        <v/>
      </c>
      <c r="G66">
        <f>IF(D66="V01",cad!$I$21,IF(D66="V02",cad!$J$21,cad!$K$21))</f>
        <v/>
      </c>
      <c r="H66">
        <f>IF(D66="V01",cad!$I$22,IF(D66="V02",cad!$J$22,cad!$K$22))</f>
        <v/>
      </c>
      <c r="I66">
        <f>IF(D66="V01",cad!$I$27,IF(D66="V02",cad!$J$27,cad!$K$27))</f>
        <v/>
      </c>
      <c r="J66">
        <f>IF(D66="V01",cad!$I$28,IF(D66="V02",cad!$J$28,cad!$K$28))</f>
        <v/>
      </c>
      <c r="K66">
        <f>IF(D66="V01",cad!$I$29,IF(D66="V02",cad!$J$29,cad!$K$29))</f>
        <v/>
      </c>
      <c r="L66">
        <f>IF(D66="V01",cad!$I$30,IF(D66="V02",cad!$J$30,cad!$K$30))</f>
        <v/>
      </c>
      <c r="M66">
        <f>IF(D66="V01",cad!$I$31,IF(D66="V02",cad!$J$31,cad!$K$31))</f>
        <v/>
      </c>
      <c r="N66">
        <f>IF(D66="V01",$R$2,IF(D66="V02",$R$3,$R$4))</f>
        <v/>
      </c>
      <c r="O66">
        <f>IF(OR(B66="7062",B66="706",B66="708"),N66,IF(B66="6231",1+G66,IF(B66="6236",1+H66,IF(OR(B66="621",B66="604",B66="6063"),N66*(1-L66),IF(OR(B66="6411",B66="6413",B66="6414",B66="645"),(1+J66)*(1+K66),IF(OR(B66="613",B66="615",B66="616",B66="6226",B66="625",B66="626",B66="6281"),(1+I66)*(1-L66)*(1+M66),IF(OR(B66="6331",B66="63511",B66="6333"),(1+I66)*(1-L66),IF(B66="6811",1+I66,1))))))))</f>
        <v/>
      </c>
      <c r="P66">
        <f>IF(E66=1,F66*O66,"")</f>
        <v/>
      </c>
    </row>
    <row r="67">
      <c r="A67">
        <f>PNL!A67</f>
        <v/>
      </c>
      <c r="B67">
        <f>PNL!B67</f>
        <v/>
      </c>
      <c r="C67">
        <f>PNL!C67</f>
        <v/>
      </c>
      <c r="D67">
        <f>PNL!D67</f>
        <v/>
      </c>
      <c r="E67">
        <f>IF(AND(C67="2027",OR(D67="V01",D67="V02",D67="V03")),1,0)</f>
        <v/>
      </c>
      <c r="F67">
        <f>IF(E67=1,SUMIFS(Compta!$F$2:$F$675,Compta!$A$2:$A$675,A67,Compta!$B$2:$B$675,B67,Compta!$C$2:$C$675,"2026"),0)</f>
        <v/>
      </c>
      <c r="G67">
        <f>IF(D67="V01",cad!$I$21,IF(D67="V02",cad!$J$21,cad!$K$21))</f>
        <v/>
      </c>
      <c r="H67">
        <f>IF(D67="V01",cad!$I$22,IF(D67="V02",cad!$J$22,cad!$K$22))</f>
        <v/>
      </c>
      <c r="I67">
        <f>IF(D67="V01",cad!$I$27,IF(D67="V02",cad!$J$27,cad!$K$27))</f>
        <v/>
      </c>
      <c r="J67">
        <f>IF(D67="V01",cad!$I$28,IF(D67="V02",cad!$J$28,cad!$K$28))</f>
        <v/>
      </c>
      <c r="K67">
        <f>IF(D67="V01",cad!$I$29,IF(D67="V02",cad!$J$29,cad!$K$29))</f>
        <v/>
      </c>
      <c r="L67">
        <f>IF(D67="V01",cad!$I$30,IF(D67="V02",cad!$J$30,cad!$K$30))</f>
        <v/>
      </c>
      <c r="M67">
        <f>IF(D67="V01",cad!$I$31,IF(D67="V02",cad!$J$31,cad!$K$31))</f>
        <v/>
      </c>
      <c r="N67">
        <f>IF(D67="V01",$R$2,IF(D67="V02",$R$3,$R$4))</f>
        <v/>
      </c>
      <c r="O67">
        <f>IF(OR(B67="7062",B67="706",B67="708"),N67,IF(B67="6231",1+G67,IF(B67="6236",1+H67,IF(OR(B67="621",B67="604",B67="6063"),N67*(1-L67),IF(OR(B67="6411",B67="6413",B67="6414",B67="645"),(1+J67)*(1+K67),IF(OR(B67="613",B67="615",B67="616",B67="6226",B67="625",B67="626",B67="6281"),(1+I67)*(1-L67)*(1+M67),IF(OR(B67="6331",B67="63511",B67="6333"),(1+I67)*(1-L67),IF(B67="6811",1+I67,1))))))))</f>
        <v/>
      </c>
      <c r="P67">
        <f>IF(E67=1,F67*O67,"")</f>
        <v/>
      </c>
    </row>
    <row r="68">
      <c r="A68">
        <f>PNL!A68</f>
        <v/>
      </c>
      <c r="B68">
        <f>PNL!B68</f>
        <v/>
      </c>
      <c r="C68">
        <f>PNL!C68</f>
        <v/>
      </c>
      <c r="D68">
        <f>PNL!D68</f>
        <v/>
      </c>
      <c r="E68">
        <f>IF(AND(C68="2027",OR(D68="V01",D68="V02",D68="V03")),1,0)</f>
        <v/>
      </c>
      <c r="F68">
        <f>IF(E68=1,SUMIFS(Compta!$F$2:$F$675,Compta!$A$2:$A$675,A68,Compta!$B$2:$B$675,B68,Compta!$C$2:$C$675,"2026"),0)</f>
        <v/>
      </c>
      <c r="G68">
        <f>IF(D68="V01",cad!$I$21,IF(D68="V02",cad!$J$21,cad!$K$21))</f>
        <v/>
      </c>
      <c r="H68">
        <f>IF(D68="V01",cad!$I$22,IF(D68="V02",cad!$J$22,cad!$K$22))</f>
        <v/>
      </c>
      <c r="I68">
        <f>IF(D68="V01",cad!$I$27,IF(D68="V02",cad!$J$27,cad!$K$27))</f>
        <v/>
      </c>
      <c r="J68">
        <f>IF(D68="V01",cad!$I$28,IF(D68="V02",cad!$J$28,cad!$K$28))</f>
        <v/>
      </c>
      <c r="K68">
        <f>IF(D68="V01",cad!$I$29,IF(D68="V02",cad!$J$29,cad!$K$29))</f>
        <v/>
      </c>
      <c r="L68">
        <f>IF(D68="V01",cad!$I$30,IF(D68="V02",cad!$J$30,cad!$K$30))</f>
        <v/>
      </c>
      <c r="M68">
        <f>IF(D68="V01",cad!$I$31,IF(D68="V02",cad!$J$31,cad!$K$31))</f>
        <v/>
      </c>
      <c r="N68">
        <f>IF(D68="V01",$R$2,IF(D68="V02",$R$3,$R$4))</f>
        <v/>
      </c>
      <c r="O68">
        <f>IF(OR(B68="7062",B68="706",B68="708"),N68,IF(B68="6231",1+G68,IF(B68="6236",1+H68,IF(OR(B68="621",B68="604",B68="6063"),N68*(1-L68),IF(OR(B68="6411",B68="6413",B68="6414",B68="645"),(1+J68)*(1+K68),IF(OR(B68="613",B68="615",B68="616",B68="6226",B68="625",B68="626",B68="6281"),(1+I68)*(1-L68)*(1+M68),IF(OR(B68="6331",B68="63511",B68="6333"),(1+I68)*(1-L68),IF(B68="6811",1+I68,1))))))))</f>
        <v/>
      </c>
      <c r="P68">
        <f>IF(E68=1,F68*O68,"")</f>
        <v/>
      </c>
    </row>
    <row r="69">
      <c r="A69">
        <f>PNL!A69</f>
        <v/>
      </c>
      <c r="B69">
        <f>PNL!B69</f>
        <v/>
      </c>
      <c r="C69">
        <f>PNL!C69</f>
        <v/>
      </c>
      <c r="D69">
        <f>PNL!D69</f>
        <v/>
      </c>
      <c r="E69">
        <f>IF(AND(C69="2027",OR(D69="V01",D69="V02",D69="V03")),1,0)</f>
        <v/>
      </c>
      <c r="F69">
        <f>IF(E69=1,SUMIFS(Compta!$F$2:$F$675,Compta!$A$2:$A$675,A69,Compta!$B$2:$B$675,B69,Compta!$C$2:$C$675,"2026"),0)</f>
        <v/>
      </c>
      <c r="G69">
        <f>IF(D69="V01",cad!$I$21,IF(D69="V02",cad!$J$21,cad!$K$21))</f>
        <v/>
      </c>
      <c r="H69">
        <f>IF(D69="V01",cad!$I$22,IF(D69="V02",cad!$J$22,cad!$K$22))</f>
        <v/>
      </c>
      <c r="I69">
        <f>IF(D69="V01",cad!$I$27,IF(D69="V02",cad!$J$27,cad!$K$27))</f>
        <v/>
      </c>
      <c r="J69">
        <f>IF(D69="V01",cad!$I$28,IF(D69="V02",cad!$J$28,cad!$K$28))</f>
        <v/>
      </c>
      <c r="K69">
        <f>IF(D69="V01",cad!$I$29,IF(D69="V02",cad!$J$29,cad!$K$29))</f>
        <v/>
      </c>
      <c r="L69">
        <f>IF(D69="V01",cad!$I$30,IF(D69="V02",cad!$J$30,cad!$K$30))</f>
        <v/>
      </c>
      <c r="M69">
        <f>IF(D69="V01",cad!$I$31,IF(D69="V02",cad!$J$31,cad!$K$31))</f>
        <v/>
      </c>
      <c r="N69">
        <f>IF(D69="V01",$R$2,IF(D69="V02",$R$3,$R$4))</f>
        <v/>
      </c>
      <c r="O69">
        <f>IF(OR(B69="7062",B69="706",B69="708"),N69,IF(B69="6231",1+G69,IF(B69="6236",1+H69,IF(OR(B69="621",B69="604",B69="6063"),N69*(1-L69),IF(OR(B69="6411",B69="6413",B69="6414",B69="645"),(1+J69)*(1+K69),IF(OR(B69="613",B69="615",B69="616",B69="6226",B69="625",B69="626",B69="6281"),(1+I69)*(1-L69)*(1+M69),IF(OR(B69="6331",B69="63511",B69="6333"),(1+I69)*(1-L69),IF(B69="6811",1+I69,1))))))))</f>
        <v/>
      </c>
      <c r="P69">
        <f>IF(E69=1,F69*O69,"")</f>
        <v/>
      </c>
    </row>
    <row r="70">
      <c r="A70">
        <f>PNL!A70</f>
        <v/>
      </c>
      <c r="B70">
        <f>PNL!B70</f>
        <v/>
      </c>
      <c r="C70">
        <f>PNL!C70</f>
        <v/>
      </c>
      <c r="D70">
        <f>PNL!D70</f>
        <v/>
      </c>
      <c r="E70">
        <f>IF(AND(C70="2027",OR(D70="V01",D70="V02",D70="V03")),1,0)</f>
        <v/>
      </c>
      <c r="F70">
        <f>IF(E70=1,SUMIFS(Compta!$F$2:$F$675,Compta!$A$2:$A$675,A70,Compta!$B$2:$B$675,B70,Compta!$C$2:$C$675,"2026"),0)</f>
        <v/>
      </c>
      <c r="G70">
        <f>IF(D70="V01",cad!$I$21,IF(D70="V02",cad!$J$21,cad!$K$21))</f>
        <v/>
      </c>
      <c r="H70">
        <f>IF(D70="V01",cad!$I$22,IF(D70="V02",cad!$J$22,cad!$K$22))</f>
        <v/>
      </c>
      <c r="I70">
        <f>IF(D70="V01",cad!$I$27,IF(D70="V02",cad!$J$27,cad!$K$27))</f>
        <v/>
      </c>
      <c r="J70">
        <f>IF(D70="V01",cad!$I$28,IF(D70="V02",cad!$J$28,cad!$K$28))</f>
        <v/>
      </c>
      <c r="K70">
        <f>IF(D70="V01",cad!$I$29,IF(D70="V02",cad!$J$29,cad!$K$29))</f>
        <v/>
      </c>
      <c r="L70">
        <f>IF(D70="V01",cad!$I$30,IF(D70="V02",cad!$J$30,cad!$K$30))</f>
        <v/>
      </c>
      <c r="M70">
        <f>IF(D70="V01",cad!$I$31,IF(D70="V02",cad!$J$31,cad!$K$31))</f>
        <v/>
      </c>
      <c r="N70">
        <f>IF(D70="V01",$R$2,IF(D70="V02",$R$3,$R$4))</f>
        <v/>
      </c>
      <c r="O70">
        <f>IF(OR(B70="7062",B70="706",B70="708"),N70,IF(B70="6231",1+G70,IF(B70="6236",1+H70,IF(OR(B70="621",B70="604",B70="6063"),N70*(1-L70),IF(OR(B70="6411",B70="6413",B70="6414",B70="645"),(1+J70)*(1+K70),IF(OR(B70="613",B70="615",B70="616",B70="6226",B70="625",B70="626",B70="6281"),(1+I70)*(1-L70)*(1+M70),IF(OR(B70="6331",B70="63511",B70="6333"),(1+I70)*(1-L70),IF(B70="6811",1+I70,1))))))))</f>
        <v/>
      </c>
      <c r="P70">
        <f>IF(E70=1,F70*O70,"")</f>
        <v/>
      </c>
    </row>
    <row r="71">
      <c r="A71">
        <f>PNL!A71</f>
        <v/>
      </c>
      <c r="B71">
        <f>PNL!B71</f>
        <v/>
      </c>
      <c r="C71">
        <f>PNL!C71</f>
        <v/>
      </c>
      <c r="D71">
        <f>PNL!D71</f>
        <v/>
      </c>
      <c r="E71">
        <f>IF(AND(C71="2027",OR(D71="V01",D71="V02",D71="V03")),1,0)</f>
        <v/>
      </c>
      <c r="F71">
        <f>IF(E71=1,SUMIFS(Compta!$F$2:$F$675,Compta!$A$2:$A$675,A71,Compta!$B$2:$B$675,B71,Compta!$C$2:$C$675,"2026"),0)</f>
        <v/>
      </c>
      <c r="G71">
        <f>IF(D71="V01",cad!$I$21,IF(D71="V02",cad!$J$21,cad!$K$21))</f>
        <v/>
      </c>
      <c r="H71">
        <f>IF(D71="V01",cad!$I$22,IF(D71="V02",cad!$J$22,cad!$K$22))</f>
        <v/>
      </c>
      <c r="I71">
        <f>IF(D71="V01",cad!$I$27,IF(D71="V02",cad!$J$27,cad!$K$27))</f>
        <v/>
      </c>
      <c r="J71">
        <f>IF(D71="V01",cad!$I$28,IF(D71="V02",cad!$J$28,cad!$K$28))</f>
        <v/>
      </c>
      <c r="K71">
        <f>IF(D71="V01",cad!$I$29,IF(D71="V02",cad!$J$29,cad!$K$29))</f>
        <v/>
      </c>
      <c r="L71">
        <f>IF(D71="V01",cad!$I$30,IF(D71="V02",cad!$J$30,cad!$K$30))</f>
        <v/>
      </c>
      <c r="M71">
        <f>IF(D71="V01",cad!$I$31,IF(D71="V02",cad!$J$31,cad!$K$31))</f>
        <v/>
      </c>
      <c r="N71">
        <f>IF(D71="V01",$R$2,IF(D71="V02",$R$3,$R$4))</f>
        <v/>
      </c>
      <c r="O71">
        <f>IF(OR(B71="7062",B71="706",B71="708"),N71,IF(B71="6231",1+G71,IF(B71="6236",1+H71,IF(OR(B71="621",B71="604",B71="6063"),N71*(1-L71),IF(OR(B71="6411",B71="6413",B71="6414",B71="645"),(1+J71)*(1+K71),IF(OR(B71="613",B71="615",B71="616",B71="6226",B71="625",B71="626",B71="6281"),(1+I71)*(1-L71)*(1+M71),IF(OR(B71="6331",B71="63511",B71="6333"),(1+I71)*(1-L71),IF(B71="6811",1+I71,1))))))))</f>
        <v/>
      </c>
      <c r="P71">
        <f>IF(E71=1,F71*O71,"")</f>
        <v/>
      </c>
    </row>
    <row r="72">
      <c r="A72">
        <f>PNL!A72</f>
        <v/>
      </c>
      <c r="B72">
        <f>PNL!B72</f>
        <v/>
      </c>
      <c r="C72">
        <f>PNL!C72</f>
        <v/>
      </c>
      <c r="D72">
        <f>PNL!D72</f>
        <v/>
      </c>
      <c r="E72">
        <f>IF(AND(C72="2027",OR(D72="V01",D72="V02",D72="V03")),1,0)</f>
        <v/>
      </c>
      <c r="F72">
        <f>IF(E72=1,SUMIFS(Compta!$F$2:$F$675,Compta!$A$2:$A$675,A72,Compta!$B$2:$B$675,B72,Compta!$C$2:$C$675,"2026"),0)</f>
        <v/>
      </c>
      <c r="G72">
        <f>IF(D72="V01",cad!$I$21,IF(D72="V02",cad!$J$21,cad!$K$21))</f>
        <v/>
      </c>
      <c r="H72">
        <f>IF(D72="V01",cad!$I$22,IF(D72="V02",cad!$J$22,cad!$K$22))</f>
        <v/>
      </c>
      <c r="I72">
        <f>IF(D72="V01",cad!$I$27,IF(D72="V02",cad!$J$27,cad!$K$27))</f>
        <v/>
      </c>
      <c r="J72">
        <f>IF(D72="V01",cad!$I$28,IF(D72="V02",cad!$J$28,cad!$K$28))</f>
        <v/>
      </c>
      <c r="K72">
        <f>IF(D72="V01",cad!$I$29,IF(D72="V02",cad!$J$29,cad!$K$29))</f>
        <v/>
      </c>
      <c r="L72">
        <f>IF(D72="V01",cad!$I$30,IF(D72="V02",cad!$J$30,cad!$K$30))</f>
        <v/>
      </c>
      <c r="M72">
        <f>IF(D72="V01",cad!$I$31,IF(D72="V02",cad!$J$31,cad!$K$31))</f>
        <v/>
      </c>
      <c r="N72">
        <f>IF(D72="V01",$R$2,IF(D72="V02",$R$3,$R$4))</f>
        <v/>
      </c>
      <c r="O72">
        <f>IF(OR(B72="7062",B72="706",B72="708"),N72,IF(B72="6231",1+G72,IF(B72="6236",1+H72,IF(OR(B72="621",B72="604",B72="6063"),N72*(1-L72),IF(OR(B72="6411",B72="6413",B72="6414",B72="645"),(1+J72)*(1+K72),IF(OR(B72="613",B72="615",B72="616",B72="6226",B72="625",B72="626",B72="6281"),(1+I72)*(1-L72)*(1+M72),IF(OR(B72="6331",B72="63511",B72="6333"),(1+I72)*(1-L72),IF(B72="6811",1+I72,1))))))))</f>
        <v/>
      </c>
      <c r="P72">
        <f>IF(E72=1,F72*O72,"")</f>
        <v/>
      </c>
    </row>
    <row r="73">
      <c r="A73">
        <f>PNL!A73</f>
        <v/>
      </c>
      <c r="B73">
        <f>PNL!B73</f>
        <v/>
      </c>
      <c r="C73">
        <f>PNL!C73</f>
        <v/>
      </c>
      <c r="D73">
        <f>PNL!D73</f>
        <v/>
      </c>
      <c r="E73">
        <f>IF(AND(C73="2027",OR(D73="V01",D73="V02",D73="V03")),1,0)</f>
        <v/>
      </c>
      <c r="F73">
        <f>IF(E73=1,SUMIFS(Compta!$F$2:$F$675,Compta!$A$2:$A$675,A73,Compta!$B$2:$B$675,B73,Compta!$C$2:$C$675,"2026"),0)</f>
        <v/>
      </c>
      <c r="G73">
        <f>IF(D73="V01",cad!$I$21,IF(D73="V02",cad!$J$21,cad!$K$21))</f>
        <v/>
      </c>
      <c r="H73">
        <f>IF(D73="V01",cad!$I$22,IF(D73="V02",cad!$J$22,cad!$K$22))</f>
        <v/>
      </c>
      <c r="I73">
        <f>IF(D73="V01",cad!$I$27,IF(D73="V02",cad!$J$27,cad!$K$27))</f>
        <v/>
      </c>
      <c r="J73">
        <f>IF(D73="V01",cad!$I$28,IF(D73="V02",cad!$J$28,cad!$K$28))</f>
        <v/>
      </c>
      <c r="K73">
        <f>IF(D73="V01",cad!$I$29,IF(D73="V02",cad!$J$29,cad!$K$29))</f>
        <v/>
      </c>
      <c r="L73">
        <f>IF(D73="V01",cad!$I$30,IF(D73="V02",cad!$J$30,cad!$K$30))</f>
        <v/>
      </c>
      <c r="M73">
        <f>IF(D73="V01",cad!$I$31,IF(D73="V02",cad!$J$31,cad!$K$31))</f>
        <v/>
      </c>
      <c r="N73">
        <f>IF(D73="V01",$R$2,IF(D73="V02",$R$3,$R$4))</f>
        <v/>
      </c>
      <c r="O73">
        <f>IF(OR(B73="7062",B73="706",B73="708"),N73,IF(B73="6231",1+G73,IF(B73="6236",1+H73,IF(OR(B73="621",B73="604",B73="6063"),N73*(1-L73),IF(OR(B73="6411",B73="6413",B73="6414",B73="645"),(1+J73)*(1+K73),IF(OR(B73="613",B73="615",B73="616",B73="6226",B73="625",B73="626",B73="6281"),(1+I73)*(1-L73)*(1+M73),IF(OR(B73="6331",B73="63511",B73="6333"),(1+I73)*(1-L73),IF(B73="6811",1+I73,1))))))))</f>
        <v/>
      </c>
      <c r="P73">
        <f>IF(E73=1,F73*O73,"")</f>
        <v/>
      </c>
    </row>
    <row r="74">
      <c r="A74">
        <f>PNL!A74</f>
        <v/>
      </c>
      <c r="B74">
        <f>PNL!B74</f>
        <v/>
      </c>
      <c r="C74">
        <f>PNL!C74</f>
        <v/>
      </c>
      <c r="D74">
        <f>PNL!D74</f>
        <v/>
      </c>
      <c r="E74">
        <f>IF(AND(C74="2027",OR(D74="V01",D74="V02",D74="V03")),1,0)</f>
        <v/>
      </c>
      <c r="F74">
        <f>IF(E74=1,SUMIFS(Compta!$F$2:$F$675,Compta!$A$2:$A$675,A74,Compta!$B$2:$B$675,B74,Compta!$C$2:$C$675,"2026"),0)</f>
        <v/>
      </c>
      <c r="G74">
        <f>IF(D74="V01",cad!$I$21,IF(D74="V02",cad!$J$21,cad!$K$21))</f>
        <v/>
      </c>
      <c r="H74">
        <f>IF(D74="V01",cad!$I$22,IF(D74="V02",cad!$J$22,cad!$K$22))</f>
        <v/>
      </c>
      <c r="I74">
        <f>IF(D74="V01",cad!$I$27,IF(D74="V02",cad!$J$27,cad!$K$27))</f>
        <v/>
      </c>
      <c r="J74">
        <f>IF(D74="V01",cad!$I$28,IF(D74="V02",cad!$J$28,cad!$K$28))</f>
        <v/>
      </c>
      <c r="K74">
        <f>IF(D74="V01",cad!$I$29,IF(D74="V02",cad!$J$29,cad!$K$29))</f>
        <v/>
      </c>
      <c r="L74">
        <f>IF(D74="V01",cad!$I$30,IF(D74="V02",cad!$J$30,cad!$K$30))</f>
        <v/>
      </c>
      <c r="M74">
        <f>IF(D74="V01",cad!$I$31,IF(D74="V02",cad!$J$31,cad!$K$31))</f>
        <v/>
      </c>
      <c r="N74">
        <f>IF(D74="V01",$R$2,IF(D74="V02",$R$3,$R$4))</f>
        <v/>
      </c>
      <c r="O74">
        <f>IF(OR(B74="7062",B74="706",B74="708"),N74,IF(B74="6231",1+G74,IF(B74="6236",1+H74,IF(OR(B74="621",B74="604",B74="6063"),N74*(1-L74),IF(OR(B74="6411",B74="6413",B74="6414",B74="645"),(1+J74)*(1+K74),IF(OR(B74="613",B74="615",B74="616",B74="6226",B74="625",B74="626",B74="6281"),(1+I74)*(1-L74)*(1+M74),IF(OR(B74="6331",B74="63511",B74="6333"),(1+I74)*(1-L74),IF(B74="6811",1+I74,1))))))))</f>
        <v/>
      </c>
      <c r="P74">
        <f>IF(E74=1,F74*O74,"")</f>
        <v/>
      </c>
    </row>
    <row r="75">
      <c r="A75">
        <f>PNL!A75</f>
        <v/>
      </c>
      <c r="B75">
        <f>PNL!B75</f>
        <v/>
      </c>
      <c r="C75">
        <f>PNL!C75</f>
        <v/>
      </c>
      <c r="D75">
        <f>PNL!D75</f>
        <v/>
      </c>
      <c r="E75">
        <f>IF(AND(C75="2027",OR(D75="V01",D75="V02",D75="V03")),1,0)</f>
        <v/>
      </c>
      <c r="F75">
        <f>IF(E75=1,SUMIFS(Compta!$F$2:$F$675,Compta!$A$2:$A$675,A75,Compta!$B$2:$B$675,B75,Compta!$C$2:$C$675,"2026"),0)</f>
        <v/>
      </c>
      <c r="G75">
        <f>IF(D75="V01",cad!$I$21,IF(D75="V02",cad!$J$21,cad!$K$21))</f>
        <v/>
      </c>
      <c r="H75">
        <f>IF(D75="V01",cad!$I$22,IF(D75="V02",cad!$J$22,cad!$K$22))</f>
        <v/>
      </c>
      <c r="I75">
        <f>IF(D75="V01",cad!$I$27,IF(D75="V02",cad!$J$27,cad!$K$27))</f>
        <v/>
      </c>
      <c r="J75">
        <f>IF(D75="V01",cad!$I$28,IF(D75="V02",cad!$J$28,cad!$K$28))</f>
        <v/>
      </c>
      <c r="K75">
        <f>IF(D75="V01",cad!$I$29,IF(D75="V02",cad!$J$29,cad!$K$29))</f>
        <v/>
      </c>
      <c r="L75">
        <f>IF(D75="V01",cad!$I$30,IF(D75="V02",cad!$J$30,cad!$K$30))</f>
        <v/>
      </c>
      <c r="M75">
        <f>IF(D75="V01",cad!$I$31,IF(D75="V02",cad!$J$31,cad!$K$31))</f>
        <v/>
      </c>
      <c r="N75">
        <f>IF(D75="V01",$R$2,IF(D75="V02",$R$3,$R$4))</f>
        <v/>
      </c>
      <c r="O75">
        <f>IF(OR(B75="7062",B75="706",B75="708"),N75,IF(B75="6231",1+G75,IF(B75="6236",1+H75,IF(OR(B75="621",B75="604",B75="6063"),N75*(1-L75),IF(OR(B75="6411",B75="6413",B75="6414",B75="645"),(1+J75)*(1+K75),IF(OR(B75="613",B75="615",B75="616",B75="6226",B75="625",B75="626",B75="6281"),(1+I75)*(1-L75)*(1+M75),IF(OR(B75="6331",B75="63511",B75="6333"),(1+I75)*(1-L75),IF(B75="6811",1+I75,1))))))))</f>
        <v/>
      </c>
      <c r="P75">
        <f>IF(E75=1,F75*O75,"")</f>
        <v/>
      </c>
    </row>
    <row r="76">
      <c r="A76">
        <f>PNL!A76</f>
        <v/>
      </c>
      <c r="B76">
        <f>PNL!B76</f>
        <v/>
      </c>
      <c r="C76">
        <f>PNL!C76</f>
        <v/>
      </c>
      <c r="D76">
        <f>PNL!D76</f>
        <v/>
      </c>
      <c r="E76">
        <f>IF(AND(C76="2027",OR(D76="V01",D76="V02",D76="V03")),1,0)</f>
        <v/>
      </c>
      <c r="F76">
        <f>IF(E76=1,SUMIFS(Compta!$F$2:$F$675,Compta!$A$2:$A$675,A76,Compta!$B$2:$B$675,B76,Compta!$C$2:$C$675,"2026"),0)</f>
        <v/>
      </c>
      <c r="G76">
        <f>IF(D76="V01",cad!$I$21,IF(D76="V02",cad!$J$21,cad!$K$21))</f>
        <v/>
      </c>
      <c r="H76">
        <f>IF(D76="V01",cad!$I$22,IF(D76="V02",cad!$J$22,cad!$K$22))</f>
        <v/>
      </c>
      <c r="I76">
        <f>IF(D76="V01",cad!$I$27,IF(D76="V02",cad!$J$27,cad!$K$27))</f>
        <v/>
      </c>
      <c r="J76">
        <f>IF(D76="V01",cad!$I$28,IF(D76="V02",cad!$J$28,cad!$K$28))</f>
        <v/>
      </c>
      <c r="K76">
        <f>IF(D76="V01",cad!$I$29,IF(D76="V02",cad!$J$29,cad!$K$29))</f>
        <v/>
      </c>
      <c r="L76">
        <f>IF(D76="V01",cad!$I$30,IF(D76="V02",cad!$J$30,cad!$K$30))</f>
        <v/>
      </c>
      <c r="M76">
        <f>IF(D76="V01",cad!$I$31,IF(D76="V02",cad!$J$31,cad!$K$31))</f>
        <v/>
      </c>
      <c r="N76">
        <f>IF(D76="V01",$R$2,IF(D76="V02",$R$3,$R$4))</f>
        <v/>
      </c>
      <c r="O76">
        <f>IF(OR(B76="7062",B76="706",B76="708"),N76,IF(B76="6231",1+G76,IF(B76="6236",1+H76,IF(OR(B76="621",B76="604",B76="6063"),N76*(1-L76),IF(OR(B76="6411",B76="6413",B76="6414",B76="645"),(1+J76)*(1+K76),IF(OR(B76="613",B76="615",B76="616",B76="6226",B76="625",B76="626",B76="6281"),(1+I76)*(1-L76)*(1+M76),IF(OR(B76="6331",B76="63511",B76="6333"),(1+I76)*(1-L76),IF(B76="6811",1+I76,1))))))))</f>
        <v/>
      </c>
      <c r="P76">
        <f>IF(E76=1,F76*O76,"")</f>
        <v/>
      </c>
    </row>
    <row r="77">
      <c r="A77">
        <f>PNL!A77</f>
        <v/>
      </c>
      <c r="B77">
        <f>PNL!B77</f>
        <v/>
      </c>
      <c r="C77">
        <f>PNL!C77</f>
        <v/>
      </c>
      <c r="D77">
        <f>PNL!D77</f>
        <v/>
      </c>
      <c r="E77">
        <f>IF(AND(C77="2027",OR(D77="V01",D77="V02",D77="V03")),1,0)</f>
        <v/>
      </c>
      <c r="F77">
        <f>IF(E77=1,SUMIFS(Compta!$F$2:$F$675,Compta!$A$2:$A$675,A77,Compta!$B$2:$B$675,B77,Compta!$C$2:$C$675,"2026"),0)</f>
        <v/>
      </c>
      <c r="G77">
        <f>IF(D77="V01",cad!$I$21,IF(D77="V02",cad!$J$21,cad!$K$21))</f>
        <v/>
      </c>
      <c r="H77">
        <f>IF(D77="V01",cad!$I$22,IF(D77="V02",cad!$J$22,cad!$K$22))</f>
        <v/>
      </c>
      <c r="I77">
        <f>IF(D77="V01",cad!$I$27,IF(D77="V02",cad!$J$27,cad!$K$27))</f>
        <v/>
      </c>
      <c r="J77">
        <f>IF(D77="V01",cad!$I$28,IF(D77="V02",cad!$J$28,cad!$K$28))</f>
        <v/>
      </c>
      <c r="K77">
        <f>IF(D77="V01",cad!$I$29,IF(D77="V02",cad!$J$29,cad!$K$29))</f>
        <v/>
      </c>
      <c r="L77">
        <f>IF(D77="V01",cad!$I$30,IF(D77="V02",cad!$J$30,cad!$K$30))</f>
        <v/>
      </c>
      <c r="M77">
        <f>IF(D77="V01",cad!$I$31,IF(D77="V02",cad!$J$31,cad!$K$31))</f>
        <v/>
      </c>
      <c r="N77">
        <f>IF(D77="V01",$R$2,IF(D77="V02",$R$3,$R$4))</f>
        <v/>
      </c>
      <c r="O77">
        <f>IF(OR(B77="7062",B77="706",B77="708"),N77,IF(B77="6231",1+G77,IF(B77="6236",1+H77,IF(OR(B77="621",B77="604",B77="6063"),N77*(1-L77),IF(OR(B77="6411",B77="6413",B77="6414",B77="645"),(1+J77)*(1+K77),IF(OR(B77="613",B77="615",B77="616",B77="6226",B77="625",B77="626",B77="6281"),(1+I77)*(1-L77)*(1+M77),IF(OR(B77="6331",B77="63511",B77="6333"),(1+I77)*(1-L77),IF(B77="6811",1+I77,1))))))))</f>
        <v/>
      </c>
      <c r="P77">
        <f>IF(E77=1,F77*O77,"")</f>
        <v/>
      </c>
    </row>
    <row r="78">
      <c r="A78">
        <f>PNL!A78</f>
        <v/>
      </c>
      <c r="B78">
        <f>PNL!B78</f>
        <v/>
      </c>
      <c r="C78">
        <f>PNL!C78</f>
        <v/>
      </c>
      <c r="D78">
        <f>PNL!D78</f>
        <v/>
      </c>
      <c r="E78">
        <f>IF(AND(C78="2027",OR(D78="V01",D78="V02",D78="V03")),1,0)</f>
        <v/>
      </c>
      <c r="F78">
        <f>IF(E78=1,SUMIFS(Compta!$F$2:$F$675,Compta!$A$2:$A$675,A78,Compta!$B$2:$B$675,B78,Compta!$C$2:$C$675,"2026"),0)</f>
        <v/>
      </c>
      <c r="G78">
        <f>IF(D78="V01",cad!$I$21,IF(D78="V02",cad!$J$21,cad!$K$21))</f>
        <v/>
      </c>
      <c r="H78">
        <f>IF(D78="V01",cad!$I$22,IF(D78="V02",cad!$J$22,cad!$K$22))</f>
        <v/>
      </c>
      <c r="I78">
        <f>IF(D78="V01",cad!$I$27,IF(D78="V02",cad!$J$27,cad!$K$27))</f>
        <v/>
      </c>
      <c r="J78">
        <f>IF(D78="V01",cad!$I$28,IF(D78="V02",cad!$J$28,cad!$K$28))</f>
        <v/>
      </c>
      <c r="K78">
        <f>IF(D78="V01",cad!$I$29,IF(D78="V02",cad!$J$29,cad!$K$29))</f>
        <v/>
      </c>
      <c r="L78">
        <f>IF(D78="V01",cad!$I$30,IF(D78="V02",cad!$J$30,cad!$K$30))</f>
        <v/>
      </c>
      <c r="M78">
        <f>IF(D78="V01",cad!$I$31,IF(D78="V02",cad!$J$31,cad!$K$31))</f>
        <v/>
      </c>
      <c r="N78">
        <f>IF(D78="V01",$R$2,IF(D78="V02",$R$3,$R$4))</f>
        <v/>
      </c>
      <c r="O78">
        <f>IF(OR(B78="7062",B78="706",B78="708"),N78,IF(B78="6231",1+G78,IF(B78="6236",1+H78,IF(OR(B78="621",B78="604",B78="6063"),N78*(1-L78),IF(OR(B78="6411",B78="6413",B78="6414",B78="645"),(1+J78)*(1+K78),IF(OR(B78="613",B78="615",B78="616",B78="6226",B78="625",B78="626",B78="6281"),(1+I78)*(1-L78)*(1+M78),IF(OR(B78="6331",B78="63511",B78="6333"),(1+I78)*(1-L78),IF(B78="6811",1+I78,1))))))))</f>
        <v/>
      </c>
      <c r="P78">
        <f>IF(E78=1,F78*O78,"")</f>
        <v/>
      </c>
    </row>
    <row r="79">
      <c r="A79">
        <f>PNL!A79</f>
        <v/>
      </c>
      <c r="B79">
        <f>PNL!B79</f>
        <v/>
      </c>
      <c r="C79">
        <f>PNL!C79</f>
        <v/>
      </c>
      <c r="D79">
        <f>PNL!D79</f>
        <v/>
      </c>
      <c r="E79">
        <f>IF(AND(C79="2027",OR(D79="V01",D79="V02",D79="V03")),1,0)</f>
        <v/>
      </c>
      <c r="F79">
        <f>IF(E79=1,SUMIFS(Compta!$F$2:$F$675,Compta!$A$2:$A$675,A79,Compta!$B$2:$B$675,B79,Compta!$C$2:$C$675,"2026"),0)</f>
        <v/>
      </c>
      <c r="G79">
        <f>IF(D79="V01",cad!$I$21,IF(D79="V02",cad!$J$21,cad!$K$21))</f>
        <v/>
      </c>
      <c r="H79">
        <f>IF(D79="V01",cad!$I$22,IF(D79="V02",cad!$J$22,cad!$K$22))</f>
        <v/>
      </c>
      <c r="I79">
        <f>IF(D79="V01",cad!$I$27,IF(D79="V02",cad!$J$27,cad!$K$27))</f>
        <v/>
      </c>
      <c r="J79">
        <f>IF(D79="V01",cad!$I$28,IF(D79="V02",cad!$J$28,cad!$K$28))</f>
        <v/>
      </c>
      <c r="K79">
        <f>IF(D79="V01",cad!$I$29,IF(D79="V02",cad!$J$29,cad!$K$29))</f>
        <v/>
      </c>
      <c r="L79">
        <f>IF(D79="V01",cad!$I$30,IF(D79="V02",cad!$J$30,cad!$K$30))</f>
        <v/>
      </c>
      <c r="M79">
        <f>IF(D79="V01",cad!$I$31,IF(D79="V02",cad!$J$31,cad!$K$31))</f>
        <v/>
      </c>
      <c r="N79">
        <f>IF(D79="V01",$R$2,IF(D79="V02",$R$3,$R$4))</f>
        <v/>
      </c>
      <c r="O79">
        <f>IF(OR(B79="7062",B79="706",B79="708"),N79,IF(B79="6231",1+G79,IF(B79="6236",1+H79,IF(OR(B79="621",B79="604",B79="6063"),N79*(1-L79),IF(OR(B79="6411",B79="6413",B79="6414",B79="645"),(1+J79)*(1+K79),IF(OR(B79="613",B79="615",B79="616",B79="6226",B79="625",B79="626",B79="6281"),(1+I79)*(1-L79)*(1+M79),IF(OR(B79="6331",B79="63511",B79="6333"),(1+I79)*(1-L79),IF(B79="6811",1+I79,1))))))))</f>
        <v/>
      </c>
      <c r="P79">
        <f>IF(E79=1,F79*O79,"")</f>
        <v/>
      </c>
    </row>
    <row r="80">
      <c r="A80">
        <f>PNL!A80</f>
        <v/>
      </c>
      <c r="B80">
        <f>PNL!B80</f>
        <v/>
      </c>
      <c r="C80">
        <f>PNL!C80</f>
        <v/>
      </c>
      <c r="D80">
        <f>PNL!D80</f>
        <v/>
      </c>
      <c r="E80">
        <f>IF(AND(C80="2027",OR(D80="V01",D80="V02",D80="V03")),1,0)</f>
        <v/>
      </c>
      <c r="F80">
        <f>IF(E80=1,SUMIFS(Compta!$F$2:$F$675,Compta!$A$2:$A$675,A80,Compta!$B$2:$B$675,B80,Compta!$C$2:$C$675,"2026"),0)</f>
        <v/>
      </c>
      <c r="G80">
        <f>IF(D80="V01",cad!$I$21,IF(D80="V02",cad!$J$21,cad!$K$21))</f>
        <v/>
      </c>
      <c r="H80">
        <f>IF(D80="V01",cad!$I$22,IF(D80="V02",cad!$J$22,cad!$K$22))</f>
        <v/>
      </c>
      <c r="I80">
        <f>IF(D80="V01",cad!$I$27,IF(D80="V02",cad!$J$27,cad!$K$27))</f>
        <v/>
      </c>
      <c r="J80">
        <f>IF(D80="V01",cad!$I$28,IF(D80="V02",cad!$J$28,cad!$K$28))</f>
        <v/>
      </c>
      <c r="K80">
        <f>IF(D80="V01",cad!$I$29,IF(D80="V02",cad!$J$29,cad!$K$29))</f>
        <v/>
      </c>
      <c r="L80">
        <f>IF(D80="V01",cad!$I$30,IF(D80="V02",cad!$J$30,cad!$K$30))</f>
        <v/>
      </c>
      <c r="M80">
        <f>IF(D80="V01",cad!$I$31,IF(D80="V02",cad!$J$31,cad!$K$31))</f>
        <v/>
      </c>
      <c r="N80">
        <f>IF(D80="V01",$R$2,IF(D80="V02",$R$3,$R$4))</f>
        <v/>
      </c>
      <c r="O80">
        <f>IF(OR(B80="7062",B80="706",B80="708"),N80,IF(B80="6231",1+G80,IF(B80="6236",1+H80,IF(OR(B80="621",B80="604",B80="6063"),N80*(1-L80),IF(OR(B80="6411",B80="6413",B80="6414",B80="645"),(1+J80)*(1+K80),IF(OR(B80="613",B80="615",B80="616",B80="6226",B80="625",B80="626",B80="6281"),(1+I80)*(1-L80)*(1+M80),IF(OR(B80="6331",B80="63511",B80="6333"),(1+I80)*(1-L80),IF(B80="6811",1+I80,1))))))))</f>
        <v/>
      </c>
      <c r="P80">
        <f>IF(E80=1,F80*O80,"")</f>
        <v/>
      </c>
    </row>
    <row r="81">
      <c r="A81">
        <f>PNL!A81</f>
        <v/>
      </c>
      <c r="B81">
        <f>PNL!B81</f>
        <v/>
      </c>
      <c r="C81">
        <f>PNL!C81</f>
        <v/>
      </c>
      <c r="D81">
        <f>PNL!D81</f>
        <v/>
      </c>
      <c r="E81">
        <f>IF(AND(C81="2027",OR(D81="V01",D81="V02",D81="V03")),1,0)</f>
        <v/>
      </c>
      <c r="F81">
        <f>IF(E81=1,SUMIFS(Compta!$F$2:$F$675,Compta!$A$2:$A$675,A81,Compta!$B$2:$B$675,B81,Compta!$C$2:$C$675,"2026"),0)</f>
        <v/>
      </c>
      <c r="G81">
        <f>IF(D81="V01",cad!$I$21,IF(D81="V02",cad!$J$21,cad!$K$21))</f>
        <v/>
      </c>
      <c r="H81">
        <f>IF(D81="V01",cad!$I$22,IF(D81="V02",cad!$J$22,cad!$K$22))</f>
        <v/>
      </c>
      <c r="I81">
        <f>IF(D81="V01",cad!$I$27,IF(D81="V02",cad!$J$27,cad!$K$27))</f>
        <v/>
      </c>
      <c r="J81">
        <f>IF(D81="V01",cad!$I$28,IF(D81="V02",cad!$J$28,cad!$K$28))</f>
        <v/>
      </c>
      <c r="K81">
        <f>IF(D81="V01",cad!$I$29,IF(D81="V02",cad!$J$29,cad!$K$29))</f>
        <v/>
      </c>
      <c r="L81">
        <f>IF(D81="V01",cad!$I$30,IF(D81="V02",cad!$J$30,cad!$K$30))</f>
        <v/>
      </c>
      <c r="M81">
        <f>IF(D81="V01",cad!$I$31,IF(D81="V02",cad!$J$31,cad!$K$31))</f>
        <v/>
      </c>
      <c r="N81">
        <f>IF(D81="V01",$R$2,IF(D81="V02",$R$3,$R$4))</f>
        <v/>
      </c>
      <c r="O81">
        <f>IF(OR(B81="7062",B81="706",B81="708"),N81,IF(B81="6231",1+G81,IF(B81="6236",1+H81,IF(OR(B81="621",B81="604",B81="6063"),N81*(1-L81),IF(OR(B81="6411",B81="6413",B81="6414",B81="645"),(1+J81)*(1+K81),IF(OR(B81="613",B81="615",B81="616",B81="6226",B81="625",B81="626",B81="6281"),(1+I81)*(1-L81)*(1+M81),IF(OR(B81="6331",B81="63511",B81="6333"),(1+I81)*(1-L81),IF(B81="6811",1+I81,1))))))))</f>
        <v/>
      </c>
      <c r="P81">
        <f>IF(E81=1,F81*O81,"")</f>
        <v/>
      </c>
    </row>
    <row r="82">
      <c r="A82">
        <f>PNL!A82</f>
        <v/>
      </c>
      <c r="B82">
        <f>PNL!B82</f>
        <v/>
      </c>
      <c r="C82">
        <f>PNL!C82</f>
        <v/>
      </c>
      <c r="D82">
        <f>PNL!D82</f>
        <v/>
      </c>
      <c r="E82">
        <f>IF(AND(C82="2027",OR(D82="V01",D82="V02",D82="V03")),1,0)</f>
        <v/>
      </c>
      <c r="F82">
        <f>IF(E82=1,SUMIFS(Compta!$F$2:$F$675,Compta!$A$2:$A$675,A82,Compta!$B$2:$B$675,B82,Compta!$C$2:$C$675,"2026"),0)</f>
        <v/>
      </c>
      <c r="G82">
        <f>IF(D82="V01",cad!$I$21,IF(D82="V02",cad!$J$21,cad!$K$21))</f>
        <v/>
      </c>
      <c r="H82">
        <f>IF(D82="V01",cad!$I$22,IF(D82="V02",cad!$J$22,cad!$K$22))</f>
        <v/>
      </c>
      <c r="I82">
        <f>IF(D82="V01",cad!$I$27,IF(D82="V02",cad!$J$27,cad!$K$27))</f>
        <v/>
      </c>
      <c r="J82">
        <f>IF(D82="V01",cad!$I$28,IF(D82="V02",cad!$J$28,cad!$K$28))</f>
        <v/>
      </c>
      <c r="K82">
        <f>IF(D82="V01",cad!$I$29,IF(D82="V02",cad!$J$29,cad!$K$29))</f>
        <v/>
      </c>
      <c r="L82">
        <f>IF(D82="V01",cad!$I$30,IF(D82="V02",cad!$J$30,cad!$K$30))</f>
        <v/>
      </c>
      <c r="M82">
        <f>IF(D82="V01",cad!$I$31,IF(D82="V02",cad!$J$31,cad!$K$31))</f>
        <v/>
      </c>
      <c r="N82">
        <f>IF(D82="V01",$R$2,IF(D82="V02",$R$3,$R$4))</f>
        <v/>
      </c>
      <c r="O82">
        <f>IF(OR(B82="7062",B82="706",B82="708"),N82,IF(B82="6231",1+G82,IF(B82="6236",1+H82,IF(OR(B82="621",B82="604",B82="6063"),N82*(1-L82),IF(OR(B82="6411",B82="6413",B82="6414",B82="645"),(1+J82)*(1+K82),IF(OR(B82="613",B82="615",B82="616",B82="6226",B82="625",B82="626",B82="6281"),(1+I82)*(1-L82)*(1+M82),IF(OR(B82="6331",B82="63511",B82="6333"),(1+I82)*(1-L82),IF(B82="6811",1+I82,1))))))))</f>
        <v/>
      </c>
      <c r="P82">
        <f>IF(E82=1,F82*O82,"")</f>
        <v/>
      </c>
    </row>
    <row r="83">
      <c r="A83">
        <f>PNL!A83</f>
        <v/>
      </c>
      <c r="B83">
        <f>PNL!B83</f>
        <v/>
      </c>
      <c r="C83">
        <f>PNL!C83</f>
        <v/>
      </c>
      <c r="D83">
        <f>PNL!D83</f>
        <v/>
      </c>
      <c r="E83">
        <f>IF(AND(C83="2027",OR(D83="V01",D83="V02",D83="V03")),1,0)</f>
        <v/>
      </c>
      <c r="F83">
        <f>IF(E83=1,SUMIFS(Compta!$F$2:$F$675,Compta!$A$2:$A$675,A83,Compta!$B$2:$B$675,B83,Compta!$C$2:$C$675,"2026"),0)</f>
        <v/>
      </c>
      <c r="G83">
        <f>IF(D83="V01",cad!$I$21,IF(D83="V02",cad!$J$21,cad!$K$21))</f>
        <v/>
      </c>
      <c r="H83">
        <f>IF(D83="V01",cad!$I$22,IF(D83="V02",cad!$J$22,cad!$K$22))</f>
        <v/>
      </c>
      <c r="I83">
        <f>IF(D83="V01",cad!$I$27,IF(D83="V02",cad!$J$27,cad!$K$27))</f>
        <v/>
      </c>
      <c r="J83">
        <f>IF(D83="V01",cad!$I$28,IF(D83="V02",cad!$J$28,cad!$K$28))</f>
        <v/>
      </c>
      <c r="K83">
        <f>IF(D83="V01",cad!$I$29,IF(D83="V02",cad!$J$29,cad!$K$29))</f>
        <v/>
      </c>
      <c r="L83">
        <f>IF(D83="V01",cad!$I$30,IF(D83="V02",cad!$J$30,cad!$K$30))</f>
        <v/>
      </c>
      <c r="M83">
        <f>IF(D83="V01",cad!$I$31,IF(D83="V02",cad!$J$31,cad!$K$31))</f>
        <v/>
      </c>
      <c r="N83">
        <f>IF(D83="V01",$R$2,IF(D83="V02",$R$3,$R$4))</f>
        <v/>
      </c>
      <c r="O83">
        <f>IF(OR(B83="7062",B83="706",B83="708"),N83,IF(B83="6231",1+G83,IF(B83="6236",1+H83,IF(OR(B83="621",B83="604",B83="6063"),N83*(1-L83),IF(OR(B83="6411",B83="6413",B83="6414",B83="645"),(1+J83)*(1+K83),IF(OR(B83="613",B83="615",B83="616",B83="6226",B83="625",B83="626",B83="6281"),(1+I83)*(1-L83)*(1+M83),IF(OR(B83="6331",B83="63511",B83="6333"),(1+I83)*(1-L83),IF(B83="6811",1+I83,1))))))))</f>
        <v/>
      </c>
      <c r="P83">
        <f>IF(E83=1,F83*O83,"")</f>
        <v/>
      </c>
    </row>
    <row r="84">
      <c r="A84">
        <f>PNL!A84</f>
        <v/>
      </c>
      <c r="B84">
        <f>PNL!B84</f>
        <v/>
      </c>
      <c r="C84">
        <f>PNL!C84</f>
        <v/>
      </c>
      <c r="D84">
        <f>PNL!D84</f>
        <v/>
      </c>
      <c r="E84">
        <f>IF(AND(C84="2027",OR(D84="V01",D84="V02",D84="V03")),1,0)</f>
        <v/>
      </c>
      <c r="F84">
        <f>IF(E84=1,SUMIFS(Compta!$F$2:$F$675,Compta!$A$2:$A$675,A84,Compta!$B$2:$B$675,B84,Compta!$C$2:$C$675,"2026"),0)</f>
        <v/>
      </c>
      <c r="G84">
        <f>IF(D84="V01",cad!$I$21,IF(D84="V02",cad!$J$21,cad!$K$21))</f>
        <v/>
      </c>
      <c r="H84">
        <f>IF(D84="V01",cad!$I$22,IF(D84="V02",cad!$J$22,cad!$K$22))</f>
        <v/>
      </c>
      <c r="I84">
        <f>IF(D84="V01",cad!$I$27,IF(D84="V02",cad!$J$27,cad!$K$27))</f>
        <v/>
      </c>
      <c r="J84">
        <f>IF(D84="V01",cad!$I$28,IF(D84="V02",cad!$J$28,cad!$K$28))</f>
        <v/>
      </c>
      <c r="K84">
        <f>IF(D84="V01",cad!$I$29,IF(D84="V02",cad!$J$29,cad!$K$29))</f>
        <v/>
      </c>
      <c r="L84">
        <f>IF(D84="V01",cad!$I$30,IF(D84="V02",cad!$J$30,cad!$K$30))</f>
        <v/>
      </c>
      <c r="M84">
        <f>IF(D84="V01",cad!$I$31,IF(D84="V02",cad!$J$31,cad!$K$31))</f>
        <v/>
      </c>
      <c r="N84">
        <f>IF(D84="V01",$R$2,IF(D84="V02",$R$3,$R$4))</f>
        <v/>
      </c>
      <c r="O84">
        <f>IF(OR(B84="7062",B84="706",B84="708"),N84,IF(B84="6231",1+G84,IF(B84="6236",1+H84,IF(OR(B84="621",B84="604",B84="6063"),N84*(1-L84),IF(OR(B84="6411",B84="6413",B84="6414",B84="645"),(1+J84)*(1+K84),IF(OR(B84="613",B84="615",B84="616",B84="6226",B84="625",B84="626",B84="6281"),(1+I84)*(1-L84)*(1+M84),IF(OR(B84="6331",B84="63511",B84="6333"),(1+I84)*(1-L84),IF(B84="6811",1+I84,1))))))))</f>
        <v/>
      </c>
      <c r="P84">
        <f>IF(E84=1,F84*O84,"")</f>
        <v/>
      </c>
    </row>
    <row r="85">
      <c r="A85">
        <f>PNL!A85</f>
        <v/>
      </c>
      <c r="B85">
        <f>PNL!B85</f>
        <v/>
      </c>
      <c r="C85">
        <f>PNL!C85</f>
        <v/>
      </c>
      <c r="D85">
        <f>PNL!D85</f>
        <v/>
      </c>
      <c r="E85">
        <f>IF(AND(C85="2027",OR(D85="V01",D85="V02",D85="V03")),1,0)</f>
        <v/>
      </c>
      <c r="F85">
        <f>IF(E85=1,SUMIFS(Compta!$F$2:$F$675,Compta!$A$2:$A$675,A85,Compta!$B$2:$B$675,B85,Compta!$C$2:$C$675,"2026"),0)</f>
        <v/>
      </c>
      <c r="G85">
        <f>IF(D85="V01",cad!$I$21,IF(D85="V02",cad!$J$21,cad!$K$21))</f>
        <v/>
      </c>
      <c r="H85">
        <f>IF(D85="V01",cad!$I$22,IF(D85="V02",cad!$J$22,cad!$K$22))</f>
        <v/>
      </c>
      <c r="I85">
        <f>IF(D85="V01",cad!$I$27,IF(D85="V02",cad!$J$27,cad!$K$27))</f>
        <v/>
      </c>
      <c r="J85">
        <f>IF(D85="V01",cad!$I$28,IF(D85="V02",cad!$J$28,cad!$K$28))</f>
        <v/>
      </c>
      <c r="K85">
        <f>IF(D85="V01",cad!$I$29,IF(D85="V02",cad!$J$29,cad!$K$29))</f>
        <v/>
      </c>
      <c r="L85">
        <f>IF(D85="V01",cad!$I$30,IF(D85="V02",cad!$J$30,cad!$K$30))</f>
        <v/>
      </c>
      <c r="M85">
        <f>IF(D85="V01",cad!$I$31,IF(D85="V02",cad!$J$31,cad!$K$31))</f>
        <v/>
      </c>
      <c r="N85">
        <f>IF(D85="V01",$R$2,IF(D85="V02",$R$3,$R$4))</f>
        <v/>
      </c>
      <c r="O85">
        <f>IF(OR(B85="7062",B85="706",B85="708"),N85,IF(B85="6231",1+G85,IF(B85="6236",1+H85,IF(OR(B85="621",B85="604",B85="6063"),N85*(1-L85),IF(OR(B85="6411",B85="6413",B85="6414",B85="645"),(1+J85)*(1+K85),IF(OR(B85="613",B85="615",B85="616",B85="6226",B85="625",B85="626",B85="6281"),(1+I85)*(1-L85)*(1+M85),IF(OR(B85="6331",B85="63511",B85="6333"),(1+I85)*(1-L85),IF(B85="6811",1+I85,1))))))))</f>
        <v/>
      </c>
      <c r="P85">
        <f>IF(E85=1,F85*O85,"")</f>
        <v/>
      </c>
    </row>
    <row r="86">
      <c r="A86">
        <f>PNL!A86</f>
        <v/>
      </c>
      <c r="B86">
        <f>PNL!B86</f>
        <v/>
      </c>
      <c r="C86">
        <f>PNL!C86</f>
        <v/>
      </c>
      <c r="D86">
        <f>PNL!D86</f>
        <v/>
      </c>
      <c r="E86">
        <f>IF(AND(C86="2027",OR(D86="V01",D86="V02",D86="V03")),1,0)</f>
        <v/>
      </c>
      <c r="F86">
        <f>IF(E86=1,SUMIFS(Compta!$F$2:$F$675,Compta!$A$2:$A$675,A86,Compta!$B$2:$B$675,B86,Compta!$C$2:$C$675,"2026"),0)</f>
        <v/>
      </c>
      <c r="G86">
        <f>IF(D86="V01",cad!$I$21,IF(D86="V02",cad!$J$21,cad!$K$21))</f>
        <v/>
      </c>
      <c r="H86">
        <f>IF(D86="V01",cad!$I$22,IF(D86="V02",cad!$J$22,cad!$K$22))</f>
        <v/>
      </c>
      <c r="I86">
        <f>IF(D86="V01",cad!$I$27,IF(D86="V02",cad!$J$27,cad!$K$27))</f>
        <v/>
      </c>
      <c r="J86">
        <f>IF(D86="V01",cad!$I$28,IF(D86="V02",cad!$J$28,cad!$K$28))</f>
        <v/>
      </c>
      <c r="K86">
        <f>IF(D86="V01",cad!$I$29,IF(D86="V02",cad!$J$29,cad!$K$29))</f>
        <v/>
      </c>
      <c r="L86">
        <f>IF(D86="V01",cad!$I$30,IF(D86="V02",cad!$J$30,cad!$K$30))</f>
        <v/>
      </c>
      <c r="M86">
        <f>IF(D86="V01",cad!$I$31,IF(D86="V02",cad!$J$31,cad!$K$31))</f>
        <v/>
      </c>
      <c r="N86">
        <f>IF(D86="V01",$R$2,IF(D86="V02",$R$3,$R$4))</f>
        <v/>
      </c>
      <c r="O86">
        <f>IF(OR(B86="7062",B86="706",B86="708"),N86,IF(B86="6231",1+G86,IF(B86="6236",1+H86,IF(OR(B86="621",B86="604",B86="6063"),N86*(1-L86),IF(OR(B86="6411",B86="6413",B86="6414",B86="645"),(1+J86)*(1+K86),IF(OR(B86="613",B86="615",B86="616",B86="6226",B86="625",B86="626",B86="6281"),(1+I86)*(1-L86)*(1+M86),IF(OR(B86="6331",B86="63511",B86="6333"),(1+I86)*(1-L86),IF(B86="6811",1+I86,1))))))))</f>
        <v/>
      </c>
      <c r="P86">
        <f>IF(E86=1,F86*O86,"")</f>
        <v/>
      </c>
    </row>
    <row r="87">
      <c r="A87">
        <f>PNL!A87</f>
        <v/>
      </c>
      <c r="B87">
        <f>PNL!B87</f>
        <v/>
      </c>
      <c r="C87">
        <f>PNL!C87</f>
        <v/>
      </c>
      <c r="D87">
        <f>PNL!D87</f>
        <v/>
      </c>
      <c r="E87">
        <f>IF(AND(C87="2027",OR(D87="V01",D87="V02",D87="V03")),1,0)</f>
        <v/>
      </c>
      <c r="F87">
        <f>IF(E87=1,SUMIFS(Compta!$F$2:$F$675,Compta!$A$2:$A$675,A87,Compta!$B$2:$B$675,B87,Compta!$C$2:$C$675,"2026"),0)</f>
        <v/>
      </c>
      <c r="G87">
        <f>IF(D87="V01",cad!$I$21,IF(D87="V02",cad!$J$21,cad!$K$21))</f>
        <v/>
      </c>
      <c r="H87">
        <f>IF(D87="V01",cad!$I$22,IF(D87="V02",cad!$J$22,cad!$K$22))</f>
        <v/>
      </c>
      <c r="I87">
        <f>IF(D87="V01",cad!$I$27,IF(D87="V02",cad!$J$27,cad!$K$27))</f>
        <v/>
      </c>
      <c r="J87">
        <f>IF(D87="V01",cad!$I$28,IF(D87="V02",cad!$J$28,cad!$K$28))</f>
        <v/>
      </c>
      <c r="K87">
        <f>IF(D87="V01",cad!$I$29,IF(D87="V02",cad!$J$29,cad!$K$29))</f>
        <v/>
      </c>
      <c r="L87">
        <f>IF(D87="V01",cad!$I$30,IF(D87="V02",cad!$J$30,cad!$K$30))</f>
        <v/>
      </c>
      <c r="M87">
        <f>IF(D87="V01",cad!$I$31,IF(D87="V02",cad!$J$31,cad!$K$31))</f>
        <v/>
      </c>
      <c r="N87">
        <f>IF(D87="V01",$R$2,IF(D87="V02",$R$3,$R$4))</f>
        <v/>
      </c>
      <c r="O87">
        <f>IF(OR(B87="7062",B87="706",B87="708"),N87,IF(B87="6231",1+G87,IF(B87="6236",1+H87,IF(OR(B87="621",B87="604",B87="6063"),N87*(1-L87),IF(OR(B87="6411",B87="6413",B87="6414",B87="645"),(1+J87)*(1+K87),IF(OR(B87="613",B87="615",B87="616",B87="6226",B87="625",B87="626",B87="6281"),(1+I87)*(1-L87)*(1+M87),IF(OR(B87="6331",B87="63511",B87="6333"),(1+I87)*(1-L87),IF(B87="6811",1+I87,1))))))))</f>
        <v/>
      </c>
      <c r="P87">
        <f>IF(E87=1,F87*O87,"")</f>
        <v/>
      </c>
    </row>
    <row r="88">
      <c r="A88">
        <f>PNL!A88</f>
        <v/>
      </c>
      <c r="B88">
        <f>PNL!B88</f>
        <v/>
      </c>
      <c r="C88">
        <f>PNL!C88</f>
        <v/>
      </c>
      <c r="D88">
        <f>PNL!D88</f>
        <v/>
      </c>
      <c r="E88">
        <f>IF(AND(C88="2027",OR(D88="V01",D88="V02",D88="V03")),1,0)</f>
        <v/>
      </c>
      <c r="F88">
        <f>IF(E88=1,SUMIFS(Compta!$F$2:$F$675,Compta!$A$2:$A$675,A88,Compta!$B$2:$B$675,B88,Compta!$C$2:$C$675,"2026"),0)</f>
        <v/>
      </c>
      <c r="G88">
        <f>IF(D88="V01",cad!$I$21,IF(D88="V02",cad!$J$21,cad!$K$21))</f>
        <v/>
      </c>
      <c r="H88">
        <f>IF(D88="V01",cad!$I$22,IF(D88="V02",cad!$J$22,cad!$K$22))</f>
        <v/>
      </c>
      <c r="I88">
        <f>IF(D88="V01",cad!$I$27,IF(D88="V02",cad!$J$27,cad!$K$27))</f>
        <v/>
      </c>
      <c r="J88">
        <f>IF(D88="V01",cad!$I$28,IF(D88="V02",cad!$J$28,cad!$K$28))</f>
        <v/>
      </c>
      <c r="K88">
        <f>IF(D88="V01",cad!$I$29,IF(D88="V02",cad!$J$29,cad!$K$29))</f>
        <v/>
      </c>
      <c r="L88">
        <f>IF(D88="V01",cad!$I$30,IF(D88="V02",cad!$J$30,cad!$K$30))</f>
        <v/>
      </c>
      <c r="M88">
        <f>IF(D88="V01",cad!$I$31,IF(D88="V02",cad!$J$31,cad!$K$31))</f>
        <v/>
      </c>
      <c r="N88">
        <f>IF(D88="V01",$R$2,IF(D88="V02",$R$3,$R$4))</f>
        <v/>
      </c>
      <c r="O88">
        <f>IF(OR(B88="7062",B88="706",B88="708"),N88,IF(B88="6231",1+G88,IF(B88="6236",1+H88,IF(OR(B88="621",B88="604",B88="6063"),N88*(1-L88),IF(OR(B88="6411",B88="6413",B88="6414",B88="645"),(1+J88)*(1+K88),IF(OR(B88="613",B88="615",B88="616",B88="6226",B88="625",B88="626",B88="6281"),(1+I88)*(1-L88)*(1+M88),IF(OR(B88="6331",B88="63511",B88="6333"),(1+I88)*(1-L88),IF(B88="6811",1+I88,1))))))))</f>
        <v/>
      </c>
      <c r="P88">
        <f>IF(E88=1,F88*O88,"")</f>
        <v/>
      </c>
    </row>
    <row r="89">
      <c r="A89">
        <f>PNL!A89</f>
        <v/>
      </c>
      <c r="B89">
        <f>PNL!B89</f>
        <v/>
      </c>
      <c r="C89">
        <f>PNL!C89</f>
        <v/>
      </c>
      <c r="D89">
        <f>PNL!D89</f>
        <v/>
      </c>
      <c r="E89">
        <f>IF(AND(C89="2027",OR(D89="V01",D89="V02",D89="V03")),1,0)</f>
        <v/>
      </c>
      <c r="F89">
        <f>IF(E89=1,SUMIFS(Compta!$F$2:$F$675,Compta!$A$2:$A$675,A89,Compta!$B$2:$B$675,B89,Compta!$C$2:$C$675,"2026"),0)</f>
        <v/>
      </c>
      <c r="G89">
        <f>IF(D89="V01",cad!$I$21,IF(D89="V02",cad!$J$21,cad!$K$21))</f>
        <v/>
      </c>
      <c r="H89">
        <f>IF(D89="V01",cad!$I$22,IF(D89="V02",cad!$J$22,cad!$K$22))</f>
        <v/>
      </c>
      <c r="I89">
        <f>IF(D89="V01",cad!$I$27,IF(D89="V02",cad!$J$27,cad!$K$27))</f>
        <v/>
      </c>
      <c r="J89">
        <f>IF(D89="V01",cad!$I$28,IF(D89="V02",cad!$J$28,cad!$K$28))</f>
        <v/>
      </c>
      <c r="K89">
        <f>IF(D89="V01",cad!$I$29,IF(D89="V02",cad!$J$29,cad!$K$29))</f>
        <v/>
      </c>
      <c r="L89">
        <f>IF(D89="V01",cad!$I$30,IF(D89="V02",cad!$J$30,cad!$K$30))</f>
        <v/>
      </c>
      <c r="M89">
        <f>IF(D89="V01",cad!$I$31,IF(D89="V02",cad!$J$31,cad!$K$31))</f>
        <v/>
      </c>
      <c r="N89">
        <f>IF(D89="V01",$R$2,IF(D89="V02",$R$3,$R$4))</f>
        <v/>
      </c>
      <c r="O89">
        <f>IF(OR(B89="7062",B89="706",B89="708"),N89,IF(B89="6231",1+G89,IF(B89="6236",1+H89,IF(OR(B89="621",B89="604",B89="6063"),N89*(1-L89),IF(OR(B89="6411",B89="6413",B89="6414",B89="645"),(1+J89)*(1+K89),IF(OR(B89="613",B89="615",B89="616",B89="6226",B89="625",B89="626",B89="6281"),(1+I89)*(1-L89)*(1+M89),IF(OR(B89="6331",B89="63511",B89="6333"),(1+I89)*(1-L89),IF(B89="6811",1+I89,1))))))))</f>
        <v/>
      </c>
      <c r="P89">
        <f>IF(E89=1,F89*O89,"")</f>
        <v/>
      </c>
    </row>
    <row r="90">
      <c r="A90">
        <f>PNL!A90</f>
        <v/>
      </c>
      <c r="B90">
        <f>PNL!B90</f>
        <v/>
      </c>
      <c r="C90">
        <f>PNL!C90</f>
        <v/>
      </c>
      <c r="D90">
        <f>PNL!D90</f>
        <v/>
      </c>
      <c r="E90">
        <f>IF(AND(C90="2027",OR(D90="V01",D90="V02",D90="V03")),1,0)</f>
        <v/>
      </c>
      <c r="F90">
        <f>IF(E90=1,SUMIFS(Compta!$F$2:$F$675,Compta!$A$2:$A$675,A90,Compta!$B$2:$B$675,B90,Compta!$C$2:$C$675,"2026"),0)</f>
        <v/>
      </c>
      <c r="G90">
        <f>IF(D90="V01",cad!$I$21,IF(D90="V02",cad!$J$21,cad!$K$21))</f>
        <v/>
      </c>
      <c r="H90">
        <f>IF(D90="V01",cad!$I$22,IF(D90="V02",cad!$J$22,cad!$K$22))</f>
        <v/>
      </c>
      <c r="I90">
        <f>IF(D90="V01",cad!$I$27,IF(D90="V02",cad!$J$27,cad!$K$27))</f>
        <v/>
      </c>
      <c r="J90">
        <f>IF(D90="V01",cad!$I$28,IF(D90="V02",cad!$J$28,cad!$K$28))</f>
        <v/>
      </c>
      <c r="K90">
        <f>IF(D90="V01",cad!$I$29,IF(D90="V02",cad!$J$29,cad!$K$29))</f>
        <v/>
      </c>
      <c r="L90">
        <f>IF(D90="V01",cad!$I$30,IF(D90="V02",cad!$J$30,cad!$K$30))</f>
        <v/>
      </c>
      <c r="M90">
        <f>IF(D90="V01",cad!$I$31,IF(D90="V02",cad!$J$31,cad!$K$31))</f>
        <v/>
      </c>
      <c r="N90">
        <f>IF(D90="V01",$R$2,IF(D90="V02",$R$3,$R$4))</f>
        <v/>
      </c>
      <c r="O90">
        <f>IF(OR(B90="7062",B90="706",B90="708"),N90,IF(B90="6231",1+G90,IF(B90="6236",1+H90,IF(OR(B90="621",B90="604",B90="6063"),N90*(1-L90),IF(OR(B90="6411",B90="6413",B90="6414",B90="645"),(1+J90)*(1+K90),IF(OR(B90="613",B90="615",B90="616",B90="6226",B90="625",B90="626",B90="6281"),(1+I90)*(1-L90)*(1+M90),IF(OR(B90="6331",B90="63511",B90="6333"),(1+I90)*(1-L90),IF(B90="6811",1+I90,1))))))))</f>
        <v/>
      </c>
      <c r="P90">
        <f>IF(E90=1,F90*O90,"")</f>
        <v/>
      </c>
    </row>
    <row r="91">
      <c r="A91">
        <f>PNL!A91</f>
        <v/>
      </c>
      <c r="B91">
        <f>PNL!B91</f>
        <v/>
      </c>
      <c r="C91">
        <f>PNL!C91</f>
        <v/>
      </c>
      <c r="D91">
        <f>PNL!D91</f>
        <v/>
      </c>
      <c r="E91">
        <f>IF(AND(C91="2027",OR(D91="V01",D91="V02",D91="V03")),1,0)</f>
        <v/>
      </c>
      <c r="F91">
        <f>IF(E91=1,SUMIFS(Compta!$F$2:$F$675,Compta!$A$2:$A$675,A91,Compta!$B$2:$B$675,B91,Compta!$C$2:$C$675,"2026"),0)</f>
        <v/>
      </c>
      <c r="G91">
        <f>IF(D91="V01",cad!$I$21,IF(D91="V02",cad!$J$21,cad!$K$21))</f>
        <v/>
      </c>
      <c r="H91">
        <f>IF(D91="V01",cad!$I$22,IF(D91="V02",cad!$J$22,cad!$K$22))</f>
        <v/>
      </c>
      <c r="I91">
        <f>IF(D91="V01",cad!$I$27,IF(D91="V02",cad!$J$27,cad!$K$27))</f>
        <v/>
      </c>
      <c r="J91">
        <f>IF(D91="V01",cad!$I$28,IF(D91="V02",cad!$J$28,cad!$K$28))</f>
        <v/>
      </c>
      <c r="K91">
        <f>IF(D91="V01",cad!$I$29,IF(D91="V02",cad!$J$29,cad!$K$29))</f>
        <v/>
      </c>
      <c r="L91">
        <f>IF(D91="V01",cad!$I$30,IF(D91="V02",cad!$J$30,cad!$K$30))</f>
        <v/>
      </c>
      <c r="M91">
        <f>IF(D91="V01",cad!$I$31,IF(D91="V02",cad!$J$31,cad!$K$31))</f>
        <v/>
      </c>
      <c r="N91">
        <f>IF(D91="V01",$R$2,IF(D91="V02",$R$3,$R$4))</f>
        <v/>
      </c>
      <c r="O91">
        <f>IF(OR(B91="7062",B91="706",B91="708"),N91,IF(B91="6231",1+G91,IF(B91="6236",1+H91,IF(OR(B91="621",B91="604",B91="6063"),N91*(1-L91),IF(OR(B91="6411",B91="6413",B91="6414",B91="645"),(1+J91)*(1+K91),IF(OR(B91="613",B91="615",B91="616",B91="6226",B91="625",B91="626",B91="6281"),(1+I91)*(1-L91)*(1+M91),IF(OR(B91="6331",B91="63511",B91="6333"),(1+I91)*(1-L91),IF(B91="6811",1+I91,1))))))))</f>
        <v/>
      </c>
      <c r="P91">
        <f>IF(E91=1,F91*O91,"")</f>
        <v/>
      </c>
    </row>
    <row r="92">
      <c r="A92">
        <f>PNL!A92</f>
        <v/>
      </c>
      <c r="B92">
        <f>PNL!B92</f>
        <v/>
      </c>
      <c r="C92">
        <f>PNL!C92</f>
        <v/>
      </c>
      <c r="D92">
        <f>PNL!D92</f>
        <v/>
      </c>
      <c r="E92">
        <f>IF(AND(C92="2027",OR(D92="V01",D92="V02",D92="V03")),1,0)</f>
        <v/>
      </c>
      <c r="F92">
        <f>IF(E92=1,SUMIFS(Compta!$F$2:$F$675,Compta!$A$2:$A$675,A92,Compta!$B$2:$B$675,B92,Compta!$C$2:$C$675,"2026"),0)</f>
        <v/>
      </c>
      <c r="G92">
        <f>IF(D92="V01",cad!$I$21,IF(D92="V02",cad!$J$21,cad!$K$21))</f>
        <v/>
      </c>
      <c r="H92">
        <f>IF(D92="V01",cad!$I$22,IF(D92="V02",cad!$J$22,cad!$K$22))</f>
        <v/>
      </c>
      <c r="I92">
        <f>IF(D92="V01",cad!$I$27,IF(D92="V02",cad!$J$27,cad!$K$27))</f>
        <v/>
      </c>
      <c r="J92">
        <f>IF(D92="V01",cad!$I$28,IF(D92="V02",cad!$J$28,cad!$K$28))</f>
        <v/>
      </c>
      <c r="K92">
        <f>IF(D92="V01",cad!$I$29,IF(D92="V02",cad!$J$29,cad!$K$29))</f>
        <v/>
      </c>
      <c r="L92">
        <f>IF(D92="V01",cad!$I$30,IF(D92="V02",cad!$J$30,cad!$K$30))</f>
        <v/>
      </c>
      <c r="M92">
        <f>IF(D92="V01",cad!$I$31,IF(D92="V02",cad!$J$31,cad!$K$31))</f>
        <v/>
      </c>
      <c r="N92">
        <f>IF(D92="V01",$R$2,IF(D92="V02",$R$3,$R$4))</f>
        <v/>
      </c>
      <c r="O92">
        <f>IF(OR(B92="7062",B92="706",B92="708"),N92,IF(B92="6231",1+G92,IF(B92="6236",1+H92,IF(OR(B92="621",B92="604",B92="6063"),N92*(1-L92),IF(OR(B92="6411",B92="6413",B92="6414",B92="645"),(1+J92)*(1+K92),IF(OR(B92="613",B92="615",B92="616",B92="6226",B92="625",B92="626",B92="6281"),(1+I92)*(1-L92)*(1+M92),IF(OR(B92="6331",B92="63511",B92="6333"),(1+I92)*(1-L92),IF(B92="6811",1+I92,1))))))))</f>
        <v/>
      </c>
      <c r="P92">
        <f>IF(E92=1,F92*O92,"")</f>
        <v/>
      </c>
    </row>
    <row r="93">
      <c r="A93">
        <f>PNL!A93</f>
        <v/>
      </c>
      <c r="B93">
        <f>PNL!B93</f>
        <v/>
      </c>
      <c r="C93">
        <f>PNL!C93</f>
        <v/>
      </c>
      <c r="D93">
        <f>PNL!D93</f>
        <v/>
      </c>
      <c r="E93">
        <f>IF(AND(C93="2027",OR(D93="V01",D93="V02",D93="V03")),1,0)</f>
        <v/>
      </c>
      <c r="F93">
        <f>IF(E93=1,SUMIFS(Compta!$F$2:$F$675,Compta!$A$2:$A$675,A93,Compta!$B$2:$B$675,B93,Compta!$C$2:$C$675,"2026"),0)</f>
        <v/>
      </c>
      <c r="G93">
        <f>IF(D93="V01",cad!$I$21,IF(D93="V02",cad!$J$21,cad!$K$21))</f>
        <v/>
      </c>
      <c r="H93">
        <f>IF(D93="V01",cad!$I$22,IF(D93="V02",cad!$J$22,cad!$K$22))</f>
        <v/>
      </c>
      <c r="I93">
        <f>IF(D93="V01",cad!$I$27,IF(D93="V02",cad!$J$27,cad!$K$27))</f>
        <v/>
      </c>
      <c r="J93">
        <f>IF(D93="V01",cad!$I$28,IF(D93="V02",cad!$J$28,cad!$K$28))</f>
        <v/>
      </c>
      <c r="K93">
        <f>IF(D93="V01",cad!$I$29,IF(D93="V02",cad!$J$29,cad!$K$29))</f>
        <v/>
      </c>
      <c r="L93">
        <f>IF(D93="V01",cad!$I$30,IF(D93="V02",cad!$J$30,cad!$K$30))</f>
        <v/>
      </c>
      <c r="M93">
        <f>IF(D93="V01",cad!$I$31,IF(D93="V02",cad!$J$31,cad!$K$31))</f>
        <v/>
      </c>
      <c r="N93">
        <f>IF(D93="V01",$R$2,IF(D93="V02",$R$3,$R$4))</f>
        <v/>
      </c>
      <c r="O93">
        <f>IF(OR(B93="7062",B93="706",B93="708"),N93,IF(B93="6231",1+G93,IF(B93="6236",1+H93,IF(OR(B93="621",B93="604",B93="6063"),N93*(1-L93),IF(OR(B93="6411",B93="6413",B93="6414",B93="645"),(1+J93)*(1+K93),IF(OR(B93="613",B93="615",B93="616",B93="6226",B93="625",B93="626",B93="6281"),(1+I93)*(1-L93)*(1+M93),IF(OR(B93="6331",B93="63511",B93="6333"),(1+I93)*(1-L93),IF(B93="6811",1+I93,1))))))))</f>
        <v/>
      </c>
      <c r="P93">
        <f>IF(E93=1,F93*O93,"")</f>
        <v/>
      </c>
    </row>
    <row r="94">
      <c r="A94">
        <f>PNL!A94</f>
        <v/>
      </c>
      <c r="B94">
        <f>PNL!B94</f>
        <v/>
      </c>
      <c r="C94">
        <f>PNL!C94</f>
        <v/>
      </c>
      <c r="D94">
        <f>PNL!D94</f>
        <v/>
      </c>
      <c r="E94">
        <f>IF(AND(C94="2027",OR(D94="V01",D94="V02",D94="V03")),1,0)</f>
        <v/>
      </c>
      <c r="F94">
        <f>IF(E94=1,SUMIFS(Compta!$F$2:$F$675,Compta!$A$2:$A$675,A94,Compta!$B$2:$B$675,B94,Compta!$C$2:$C$675,"2026"),0)</f>
        <v/>
      </c>
      <c r="G94">
        <f>IF(D94="V01",cad!$I$21,IF(D94="V02",cad!$J$21,cad!$K$21))</f>
        <v/>
      </c>
      <c r="H94">
        <f>IF(D94="V01",cad!$I$22,IF(D94="V02",cad!$J$22,cad!$K$22))</f>
        <v/>
      </c>
      <c r="I94">
        <f>IF(D94="V01",cad!$I$27,IF(D94="V02",cad!$J$27,cad!$K$27))</f>
        <v/>
      </c>
      <c r="J94">
        <f>IF(D94="V01",cad!$I$28,IF(D94="V02",cad!$J$28,cad!$K$28))</f>
        <v/>
      </c>
      <c r="K94">
        <f>IF(D94="V01",cad!$I$29,IF(D94="V02",cad!$J$29,cad!$K$29))</f>
        <v/>
      </c>
      <c r="L94">
        <f>IF(D94="V01",cad!$I$30,IF(D94="V02",cad!$J$30,cad!$K$30))</f>
        <v/>
      </c>
      <c r="M94">
        <f>IF(D94="V01",cad!$I$31,IF(D94="V02",cad!$J$31,cad!$K$31))</f>
        <v/>
      </c>
      <c r="N94">
        <f>IF(D94="V01",$R$2,IF(D94="V02",$R$3,$R$4))</f>
        <v/>
      </c>
      <c r="O94">
        <f>IF(OR(B94="7062",B94="706",B94="708"),N94,IF(B94="6231",1+G94,IF(B94="6236",1+H94,IF(OR(B94="621",B94="604",B94="6063"),N94*(1-L94),IF(OR(B94="6411",B94="6413",B94="6414",B94="645"),(1+J94)*(1+K94),IF(OR(B94="613",B94="615",B94="616",B94="6226",B94="625",B94="626",B94="6281"),(1+I94)*(1-L94)*(1+M94),IF(OR(B94="6331",B94="63511",B94="6333"),(1+I94)*(1-L94),IF(B94="6811",1+I94,1))))))))</f>
        <v/>
      </c>
      <c r="P94">
        <f>IF(E94=1,F94*O94,"")</f>
        <v/>
      </c>
    </row>
    <row r="95">
      <c r="A95">
        <f>PNL!A95</f>
        <v/>
      </c>
      <c r="B95">
        <f>PNL!B95</f>
        <v/>
      </c>
      <c r="C95">
        <f>PNL!C95</f>
        <v/>
      </c>
      <c r="D95">
        <f>PNL!D95</f>
        <v/>
      </c>
      <c r="E95">
        <f>IF(AND(C95="2027",OR(D95="V01",D95="V02",D95="V03")),1,0)</f>
        <v/>
      </c>
      <c r="F95">
        <f>IF(E95=1,SUMIFS(Compta!$F$2:$F$675,Compta!$A$2:$A$675,A95,Compta!$B$2:$B$675,B95,Compta!$C$2:$C$675,"2026"),0)</f>
        <v/>
      </c>
      <c r="G95">
        <f>IF(D95="V01",cad!$I$21,IF(D95="V02",cad!$J$21,cad!$K$21))</f>
        <v/>
      </c>
      <c r="H95">
        <f>IF(D95="V01",cad!$I$22,IF(D95="V02",cad!$J$22,cad!$K$22))</f>
        <v/>
      </c>
      <c r="I95">
        <f>IF(D95="V01",cad!$I$27,IF(D95="V02",cad!$J$27,cad!$K$27))</f>
        <v/>
      </c>
      <c r="J95">
        <f>IF(D95="V01",cad!$I$28,IF(D95="V02",cad!$J$28,cad!$K$28))</f>
        <v/>
      </c>
      <c r="K95">
        <f>IF(D95="V01",cad!$I$29,IF(D95="V02",cad!$J$29,cad!$K$29))</f>
        <v/>
      </c>
      <c r="L95">
        <f>IF(D95="V01",cad!$I$30,IF(D95="V02",cad!$J$30,cad!$K$30))</f>
        <v/>
      </c>
      <c r="M95">
        <f>IF(D95="V01",cad!$I$31,IF(D95="V02",cad!$J$31,cad!$K$31))</f>
        <v/>
      </c>
      <c r="N95">
        <f>IF(D95="V01",$R$2,IF(D95="V02",$R$3,$R$4))</f>
        <v/>
      </c>
      <c r="O95">
        <f>IF(OR(B95="7062",B95="706",B95="708"),N95,IF(B95="6231",1+G95,IF(B95="6236",1+H95,IF(OR(B95="621",B95="604",B95="6063"),N95*(1-L95),IF(OR(B95="6411",B95="6413",B95="6414",B95="645"),(1+J95)*(1+K95),IF(OR(B95="613",B95="615",B95="616",B95="6226",B95="625",B95="626",B95="6281"),(1+I95)*(1-L95)*(1+M95),IF(OR(B95="6331",B95="63511",B95="6333"),(1+I95)*(1-L95),IF(B95="6811",1+I95,1))))))))</f>
        <v/>
      </c>
      <c r="P95">
        <f>IF(E95=1,F95*O95,"")</f>
        <v/>
      </c>
    </row>
    <row r="96">
      <c r="A96">
        <f>PNL!A96</f>
        <v/>
      </c>
      <c r="B96">
        <f>PNL!B96</f>
        <v/>
      </c>
      <c r="C96">
        <f>PNL!C96</f>
        <v/>
      </c>
      <c r="D96">
        <f>PNL!D96</f>
        <v/>
      </c>
      <c r="E96">
        <f>IF(AND(C96="2027",OR(D96="V01",D96="V02",D96="V03")),1,0)</f>
        <v/>
      </c>
      <c r="F96">
        <f>IF(E96=1,SUMIFS(Compta!$F$2:$F$675,Compta!$A$2:$A$675,A96,Compta!$B$2:$B$675,B96,Compta!$C$2:$C$675,"2026"),0)</f>
        <v/>
      </c>
      <c r="G96">
        <f>IF(D96="V01",cad!$I$21,IF(D96="V02",cad!$J$21,cad!$K$21))</f>
        <v/>
      </c>
      <c r="H96">
        <f>IF(D96="V01",cad!$I$22,IF(D96="V02",cad!$J$22,cad!$K$22))</f>
        <v/>
      </c>
      <c r="I96">
        <f>IF(D96="V01",cad!$I$27,IF(D96="V02",cad!$J$27,cad!$K$27))</f>
        <v/>
      </c>
      <c r="J96">
        <f>IF(D96="V01",cad!$I$28,IF(D96="V02",cad!$J$28,cad!$K$28))</f>
        <v/>
      </c>
      <c r="K96">
        <f>IF(D96="V01",cad!$I$29,IF(D96="V02",cad!$J$29,cad!$K$29))</f>
        <v/>
      </c>
      <c r="L96">
        <f>IF(D96="V01",cad!$I$30,IF(D96="V02",cad!$J$30,cad!$K$30))</f>
        <v/>
      </c>
      <c r="M96">
        <f>IF(D96="V01",cad!$I$31,IF(D96="V02",cad!$J$31,cad!$K$31))</f>
        <v/>
      </c>
      <c r="N96">
        <f>IF(D96="V01",$R$2,IF(D96="V02",$R$3,$R$4))</f>
        <v/>
      </c>
      <c r="O96">
        <f>IF(OR(B96="7062",B96="706",B96="708"),N96,IF(B96="6231",1+G96,IF(B96="6236",1+H96,IF(OR(B96="621",B96="604",B96="6063"),N96*(1-L96),IF(OR(B96="6411",B96="6413",B96="6414",B96="645"),(1+J96)*(1+K96),IF(OR(B96="613",B96="615",B96="616",B96="6226",B96="625",B96="626",B96="6281"),(1+I96)*(1-L96)*(1+M96),IF(OR(B96="6331",B96="63511",B96="6333"),(1+I96)*(1-L96),IF(B96="6811",1+I96,1))))))))</f>
        <v/>
      </c>
      <c r="P96">
        <f>IF(E96=1,F96*O96,"")</f>
        <v/>
      </c>
    </row>
    <row r="97">
      <c r="A97">
        <f>PNL!A97</f>
        <v/>
      </c>
      <c r="B97">
        <f>PNL!B97</f>
        <v/>
      </c>
      <c r="C97">
        <f>PNL!C97</f>
        <v/>
      </c>
      <c r="D97">
        <f>PNL!D97</f>
        <v/>
      </c>
      <c r="E97">
        <f>IF(AND(C97="2027",OR(D97="V01",D97="V02",D97="V03")),1,0)</f>
        <v/>
      </c>
      <c r="F97">
        <f>IF(E97=1,SUMIFS(Compta!$F$2:$F$675,Compta!$A$2:$A$675,A97,Compta!$B$2:$B$675,B97,Compta!$C$2:$C$675,"2026"),0)</f>
        <v/>
      </c>
      <c r="G97">
        <f>IF(D97="V01",cad!$I$21,IF(D97="V02",cad!$J$21,cad!$K$21))</f>
        <v/>
      </c>
      <c r="H97">
        <f>IF(D97="V01",cad!$I$22,IF(D97="V02",cad!$J$22,cad!$K$22))</f>
        <v/>
      </c>
      <c r="I97">
        <f>IF(D97="V01",cad!$I$27,IF(D97="V02",cad!$J$27,cad!$K$27))</f>
        <v/>
      </c>
      <c r="J97">
        <f>IF(D97="V01",cad!$I$28,IF(D97="V02",cad!$J$28,cad!$K$28))</f>
        <v/>
      </c>
      <c r="K97">
        <f>IF(D97="V01",cad!$I$29,IF(D97="V02",cad!$J$29,cad!$K$29))</f>
        <v/>
      </c>
      <c r="L97">
        <f>IF(D97="V01",cad!$I$30,IF(D97="V02",cad!$J$30,cad!$K$30))</f>
        <v/>
      </c>
      <c r="M97">
        <f>IF(D97="V01",cad!$I$31,IF(D97="V02",cad!$J$31,cad!$K$31))</f>
        <v/>
      </c>
      <c r="N97">
        <f>IF(D97="V01",$R$2,IF(D97="V02",$R$3,$R$4))</f>
        <v/>
      </c>
      <c r="O97">
        <f>IF(OR(B97="7062",B97="706",B97="708"),N97,IF(B97="6231",1+G97,IF(B97="6236",1+H97,IF(OR(B97="621",B97="604",B97="6063"),N97*(1-L97),IF(OR(B97="6411",B97="6413",B97="6414",B97="645"),(1+J97)*(1+K97),IF(OR(B97="613",B97="615",B97="616",B97="6226",B97="625",B97="626",B97="6281"),(1+I97)*(1-L97)*(1+M97),IF(OR(B97="6331",B97="63511",B97="6333"),(1+I97)*(1-L97),IF(B97="6811",1+I97,1))))))))</f>
        <v/>
      </c>
      <c r="P97">
        <f>IF(E97=1,F97*O97,"")</f>
        <v/>
      </c>
    </row>
    <row r="98">
      <c r="A98">
        <f>PNL!A98</f>
        <v/>
      </c>
      <c r="B98">
        <f>PNL!B98</f>
        <v/>
      </c>
      <c r="C98">
        <f>PNL!C98</f>
        <v/>
      </c>
      <c r="D98">
        <f>PNL!D98</f>
        <v/>
      </c>
      <c r="E98">
        <f>IF(AND(C98="2027",OR(D98="V01",D98="V02",D98="V03")),1,0)</f>
        <v/>
      </c>
      <c r="F98">
        <f>IF(E98=1,SUMIFS(Compta!$F$2:$F$675,Compta!$A$2:$A$675,A98,Compta!$B$2:$B$675,B98,Compta!$C$2:$C$675,"2026"),0)</f>
        <v/>
      </c>
      <c r="G98">
        <f>IF(D98="V01",cad!$I$21,IF(D98="V02",cad!$J$21,cad!$K$21))</f>
        <v/>
      </c>
      <c r="H98">
        <f>IF(D98="V01",cad!$I$22,IF(D98="V02",cad!$J$22,cad!$K$22))</f>
        <v/>
      </c>
      <c r="I98">
        <f>IF(D98="V01",cad!$I$27,IF(D98="V02",cad!$J$27,cad!$K$27))</f>
        <v/>
      </c>
      <c r="J98">
        <f>IF(D98="V01",cad!$I$28,IF(D98="V02",cad!$J$28,cad!$K$28))</f>
        <v/>
      </c>
      <c r="K98">
        <f>IF(D98="V01",cad!$I$29,IF(D98="V02",cad!$J$29,cad!$K$29))</f>
        <v/>
      </c>
      <c r="L98">
        <f>IF(D98="V01",cad!$I$30,IF(D98="V02",cad!$J$30,cad!$K$30))</f>
        <v/>
      </c>
      <c r="M98">
        <f>IF(D98="V01",cad!$I$31,IF(D98="V02",cad!$J$31,cad!$K$31))</f>
        <v/>
      </c>
      <c r="N98">
        <f>IF(D98="V01",$R$2,IF(D98="V02",$R$3,$R$4))</f>
        <v/>
      </c>
      <c r="O98">
        <f>IF(OR(B98="7062",B98="706",B98="708"),N98,IF(B98="6231",1+G98,IF(B98="6236",1+H98,IF(OR(B98="621",B98="604",B98="6063"),N98*(1-L98),IF(OR(B98="6411",B98="6413",B98="6414",B98="645"),(1+J98)*(1+K98),IF(OR(B98="613",B98="615",B98="616",B98="6226",B98="625",B98="626",B98="6281"),(1+I98)*(1-L98)*(1+M98),IF(OR(B98="6331",B98="63511",B98="6333"),(1+I98)*(1-L98),IF(B98="6811",1+I98,1))))))))</f>
        <v/>
      </c>
      <c r="P98">
        <f>IF(E98=1,F98*O98,"")</f>
        <v/>
      </c>
    </row>
    <row r="99">
      <c r="A99">
        <f>PNL!A99</f>
        <v/>
      </c>
      <c r="B99">
        <f>PNL!B99</f>
        <v/>
      </c>
      <c r="C99">
        <f>PNL!C99</f>
        <v/>
      </c>
      <c r="D99">
        <f>PNL!D99</f>
        <v/>
      </c>
      <c r="E99">
        <f>IF(AND(C99="2027",OR(D99="V01",D99="V02",D99="V03")),1,0)</f>
        <v/>
      </c>
      <c r="F99">
        <f>IF(E99=1,SUMIFS(Compta!$F$2:$F$675,Compta!$A$2:$A$675,A99,Compta!$B$2:$B$675,B99,Compta!$C$2:$C$675,"2026"),0)</f>
        <v/>
      </c>
      <c r="G99">
        <f>IF(D99="V01",cad!$I$21,IF(D99="V02",cad!$J$21,cad!$K$21))</f>
        <v/>
      </c>
      <c r="H99">
        <f>IF(D99="V01",cad!$I$22,IF(D99="V02",cad!$J$22,cad!$K$22))</f>
        <v/>
      </c>
      <c r="I99">
        <f>IF(D99="V01",cad!$I$27,IF(D99="V02",cad!$J$27,cad!$K$27))</f>
        <v/>
      </c>
      <c r="J99">
        <f>IF(D99="V01",cad!$I$28,IF(D99="V02",cad!$J$28,cad!$K$28))</f>
        <v/>
      </c>
      <c r="K99">
        <f>IF(D99="V01",cad!$I$29,IF(D99="V02",cad!$J$29,cad!$K$29))</f>
        <v/>
      </c>
      <c r="L99">
        <f>IF(D99="V01",cad!$I$30,IF(D99="V02",cad!$J$30,cad!$K$30))</f>
        <v/>
      </c>
      <c r="M99">
        <f>IF(D99="V01",cad!$I$31,IF(D99="V02",cad!$J$31,cad!$K$31))</f>
        <v/>
      </c>
      <c r="N99">
        <f>IF(D99="V01",$R$2,IF(D99="V02",$R$3,$R$4))</f>
        <v/>
      </c>
      <c r="O99">
        <f>IF(OR(B99="7062",B99="706",B99="708"),N99,IF(B99="6231",1+G99,IF(B99="6236",1+H99,IF(OR(B99="621",B99="604",B99="6063"),N99*(1-L99),IF(OR(B99="6411",B99="6413",B99="6414",B99="645"),(1+J99)*(1+K99),IF(OR(B99="613",B99="615",B99="616",B99="6226",B99="625",B99="626",B99="6281"),(1+I99)*(1-L99)*(1+M99),IF(OR(B99="6331",B99="63511",B99="6333"),(1+I99)*(1-L99),IF(B99="6811",1+I99,1))))))))</f>
        <v/>
      </c>
      <c r="P99">
        <f>IF(E99=1,F99*O99,"")</f>
        <v/>
      </c>
    </row>
    <row r="100">
      <c r="A100">
        <f>PNL!A100</f>
        <v/>
      </c>
      <c r="B100">
        <f>PNL!B100</f>
        <v/>
      </c>
      <c r="C100">
        <f>PNL!C100</f>
        <v/>
      </c>
      <c r="D100">
        <f>PNL!D100</f>
        <v/>
      </c>
      <c r="E100">
        <f>IF(AND(C100="2027",OR(D100="V01",D100="V02",D100="V03")),1,0)</f>
        <v/>
      </c>
      <c r="F100">
        <f>IF(E100=1,SUMIFS(Compta!$F$2:$F$675,Compta!$A$2:$A$675,A100,Compta!$B$2:$B$675,B100,Compta!$C$2:$C$675,"2026"),0)</f>
        <v/>
      </c>
      <c r="G100">
        <f>IF(D100="V01",cad!$I$21,IF(D100="V02",cad!$J$21,cad!$K$21))</f>
        <v/>
      </c>
      <c r="H100">
        <f>IF(D100="V01",cad!$I$22,IF(D100="V02",cad!$J$22,cad!$K$22))</f>
        <v/>
      </c>
      <c r="I100">
        <f>IF(D100="V01",cad!$I$27,IF(D100="V02",cad!$J$27,cad!$K$27))</f>
        <v/>
      </c>
      <c r="J100">
        <f>IF(D100="V01",cad!$I$28,IF(D100="V02",cad!$J$28,cad!$K$28))</f>
        <v/>
      </c>
      <c r="K100">
        <f>IF(D100="V01",cad!$I$29,IF(D100="V02",cad!$J$29,cad!$K$29))</f>
        <v/>
      </c>
      <c r="L100">
        <f>IF(D100="V01",cad!$I$30,IF(D100="V02",cad!$J$30,cad!$K$30))</f>
        <v/>
      </c>
      <c r="M100">
        <f>IF(D100="V01",cad!$I$31,IF(D100="V02",cad!$J$31,cad!$K$31))</f>
        <v/>
      </c>
      <c r="N100">
        <f>IF(D100="V01",$R$2,IF(D100="V02",$R$3,$R$4))</f>
        <v/>
      </c>
      <c r="O100">
        <f>IF(OR(B100="7062",B100="706",B100="708"),N100,IF(B100="6231",1+G100,IF(B100="6236",1+H100,IF(OR(B100="621",B100="604",B100="6063"),N100*(1-L100),IF(OR(B100="6411",B100="6413",B100="6414",B100="645"),(1+J100)*(1+K100),IF(OR(B100="613",B100="615",B100="616",B100="6226",B100="625",B100="626",B100="6281"),(1+I100)*(1-L100)*(1+M100),IF(OR(B100="6331",B100="63511",B100="6333"),(1+I100)*(1-L100),IF(B100="6811",1+I100,1))))))))</f>
        <v/>
      </c>
      <c r="P100">
        <f>IF(E100=1,F100*O100,"")</f>
        <v/>
      </c>
    </row>
    <row r="101">
      <c r="A101">
        <f>PNL!A101</f>
        <v/>
      </c>
      <c r="B101">
        <f>PNL!B101</f>
        <v/>
      </c>
      <c r="C101">
        <f>PNL!C101</f>
        <v/>
      </c>
      <c r="D101">
        <f>PNL!D101</f>
        <v/>
      </c>
      <c r="E101">
        <f>IF(AND(C101="2027",OR(D101="V01",D101="V02",D101="V03")),1,0)</f>
        <v/>
      </c>
      <c r="F101">
        <f>IF(E101=1,SUMIFS(Compta!$F$2:$F$675,Compta!$A$2:$A$675,A101,Compta!$B$2:$B$675,B101,Compta!$C$2:$C$675,"2026"),0)</f>
        <v/>
      </c>
      <c r="G101">
        <f>IF(D101="V01",cad!$I$21,IF(D101="V02",cad!$J$21,cad!$K$21))</f>
        <v/>
      </c>
      <c r="H101">
        <f>IF(D101="V01",cad!$I$22,IF(D101="V02",cad!$J$22,cad!$K$22))</f>
        <v/>
      </c>
      <c r="I101">
        <f>IF(D101="V01",cad!$I$27,IF(D101="V02",cad!$J$27,cad!$K$27))</f>
        <v/>
      </c>
      <c r="J101">
        <f>IF(D101="V01",cad!$I$28,IF(D101="V02",cad!$J$28,cad!$K$28))</f>
        <v/>
      </c>
      <c r="K101">
        <f>IF(D101="V01",cad!$I$29,IF(D101="V02",cad!$J$29,cad!$K$29))</f>
        <v/>
      </c>
      <c r="L101">
        <f>IF(D101="V01",cad!$I$30,IF(D101="V02",cad!$J$30,cad!$K$30))</f>
        <v/>
      </c>
      <c r="M101">
        <f>IF(D101="V01",cad!$I$31,IF(D101="V02",cad!$J$31,cad!$K$31))</f>
        <v/>
      </c>
      <c r="N101">
        <f>IF(D101="V01",$R$2,IF(D101="V02",$R$3,$R$4))</f>
        <v/>
      </c>
      <c r="O101">
        <f>IF(OR(B101="7062",B101="706",B101="708"),N101,IF(B101="6231",1+G101,IF(B101="6236",1+H101,IF(OR(B101="621",B101="604",B101="6063"),N101*(1-L101),IF(OR(B101="6411",B101="6413",B101="6414",B101="645"),(1+J101)*(1+K101),IF(OR(B101="613",B101="615",B101="616",B101="6226",B101="625",B101="626",B101="6281"),(1+I101)*(1-L101)*(1+M101),IF(OR(B101="6331",B101="63511",B101="6333"),(1+I101)*(1-L101),IF(B101="6811",1+I101,1))))))))</f>
        <v/>
      </c>
      <c r="P101">
        <f>IF(E101=1,F101*O101,"")</f>
        <v/>
      </c>
    </row>
    <row r="102">
      <c r="A102">
        <f>PNL!A102</f>
        <v/>
      </c>
      <c r="B102">
        <f>PNL!B102</f>
        <v/>
      </c>
      <c r="C102">
        <f>PNL!C102</f>
        <v/>
      </c>
      <c r="D102">
        <f>PNL!D102</f>
        <v/>
      </c>
      <c r="E102">
        <f>IF(AND(C102="2027",OR(D102="V01",D102="V02",D102="V03")),1,0)</f>
        <v/>
      </c>
      <c r="F102">
        <f>IF(E102=1,SUMIFS(Compta!$F$2:$F$675,Compta!$A$2:$A$675,A102,Compta!$B$2:$B$675,B102,Compta!$C$2:$C$675,"2026"),0)</f>
        <v/>
      </c>
      <c r="G102">
        <f>IF(D102="V01",cad!$I$21,IF(D102="V02",cad!$J$21,cad!$K$21))</f>
        <v/>
      </c>
      <c r="H102">
        <f>IF(D102="V01",cad!$I$22,IF(D102="V02",cad!$J$22,cad!$K$22))</f>
        <v/>
      </c>
      <c r="I102">
        <f>IF(D102="V01",cad!$I$27,IF(D102="V02",cad!$J$27,cad!$K$27))</f>
        <v/>
      </c>
      <c r="J102">
        <f>IF(D102="V01",cad!$I$28,IF(D102="V02",cad!$J$28,cad!$K$28))</f>
        <v/>
      </c>
      <c r="K102">
        <f>IF(D102="V01",cad!$I$29,IF(D102="V02",cad!$J$29,cad!$K$29))</f>
        <v/>
      </c>
      <c r="L102">
        <f>IF(D102="V01",cad!$I$30,IF(D102="V02",cad!$J$30,cad!$K$30))</f>
        <v/>
      </c>
      <c r="M102">
        <f>IF(D102="V01",cad!$I$31,IF(D102="V02",cad!$J$31,cad!$K$31))</f>
        <v/>
      </c>
      <c r="N102">
        <f>IF(D102="V01",$R$2,IF(D102="V02",$R$3,$R$4))</f>
        <v/>
      </c>
      <c r="O102">
        <f>IF(OR(B102="7062",B102="706",B102="708"),N102,IF(B102="6231",1+G102,IF(B102="6236",1+H102,IF(OR(B102="621",B102="604",B102="6063"),N102*(1-L102),IF(OR(B102="6411",B102="6413",B102="6414",B102="645"),(1+J102)*(1+K102),IF(OR(B102="613",B102="615",B102="616",B102="6226",B102="625",B102="626",B102="6281"),(1+I102)*(1-L102)*(1+M102),IF(OR(B102="6331",B102="63511",B102="6333"),(1+I102)*(1-L102),IF(B102="6811",1+I102,1))))))))</f>
        <v/>
      </c>
      <c r="P102">
        <f>IF(E102=1,F102*O102,"")</f>
        <v/>
      </c>
    </row>
    <row r="103">
      <c r="A103">
        <f>PNL!A103</f>
        <v/>
      </c>
      <c r="B103">
        <f>PNL!B103</f>
        <v/>
      </c>
      <c r="C103">
        <f>PNL!C103</f>
        <v/>
      </c>
      <c r="D103">
        <f>PNL!D103</f>
        <v/>
      </c>
      <c r="E103">
        <f>IF(AND(C103="2027",OR(D103="V01",D103="V02",D103="V03")),1,0)</f>
        <v/>
      </c>
      <c r="F103">
        <f>IF(E103=1,SUMIFS(Compta!$F$2:$F$675,Compta!$A$2:$A$675,A103,Compta!$B$2:$B$675,B103,Compta!$C$2:$C$675,"2026"),0)</f>
        <v/>
      </c>
      <c r="G103">
        <f>IF(D103="V01",cad!$I$21,IF(D103="V02",cad!$J$21,cad!$K$21))</f>
        <v/>
      </c>
      <c r="H103">
        <f>IF(D103="V01",cad!$I$22,IF(D103="V02",cad!$J$22,cad!$K$22))</f>
        <v/>
      </c>
      <c r="I103">
        <f>IF(D103="V01",cad!$I$27,IF(D103="V02",cad!$J$27,cad!$K$27))</f>
        <v/>
      </c>
      <c r="J103">
        <f>IF(D103="V01",cad!$I$28,IF(D103="V02",cad!$J$28,cad!$K$28))</f>
        <v/>
      </c>
      <c r="K103">
        <f>IF(D103="V01",cad!$I$29,IF(D103="V02",cad!$J$29,cad!$K$29))</f>
        <v/>
      </c>
      <c r="L103">
        <f>IF(D103="V01",cad!$I$30,IF(D103="V02",cad!$J$30,cad!$K$30))</f>
        <v/>
      </c>
      <c r="M103">
        <f>IF(D103="V01",cad!$I$31,IF(D103="V02",cad!$J$31,cad!$K$31))</f>
        <v/>
      </c>
      <c r="N103">
        <f>IF(D103="V01",$R$2,IF(D103="V02",$R$3,$R$4))</f>
        <v/>
      </c>
      <c r="O103">
        <f>IF(OR(B103="7062",B103="706",B103="708"),N103,IF(B103="6231",1+G103,IF(B103="6236",1+H103,IF(OR(B103="621",B103="604",B103="6063"),N103*(1-L103),IF(OR(B103="6411",B103="6413",B103="6414",B103="645"),(1+J103)*(1+K103),IF(OR(B103="613",B103="615",B103="616",B103="6226",B103="625",B103="626",B103="6281"),(1+I103)*(1-L103)*(1+M103),IF(OR(B103="6331",B103="63511",B103="6333"),(1+I103)*(1-L103),IF(B103="6811",1+I103,1))))))))</f>
        <v/>
      </c>
      <c r="P103">
        <f>IF(E103=1,F103*O103,"")</f>
        <v/>
      </c>
    </row>
    <row r="104">
      <c r="A104">
        <f>PNL!A104</f>
        <v/>
      </c>
      <c r="B104">
        <f>PNL!B104</f>
        <v/>
      </c>
      <c r="C104">
        <f>PNL!C104</f>
        <v/>
      </c>
      <c r="D104">
        <f>PNL!D104</f>
        <v/>
      </c>
      <c r="E104">
        <f>IF(AND(C104="2027",OR(D104="V01",D104="V02",D104="V03")),1,0)</f>
        <v/>
      </c>
      <c r="F104">
        <f>IF(E104=1,SUMIFS(Compta!$F$2:$F$675,Compta!$A$2:$A$675,A104,Compta!$B$2:$B$675,B104,Compta!$C$2:$C$675,"2026"),0)</f>
        <v/>
      </c>
      <c r="G104">
        <f>IF(D104="V01",cad!$I$21,IF(D104="V02",cad!$J$21,cad!$K$21))</f>
        <v/>
      </c>
      <c r="H104">
        <f>IF(D104="V01",cad!$I$22,IF(D104="V02",cad!$J$22,cad!$K$22))</f>
        <v/>
      </c>
      <c r="I104">
        <f>IF(D104="V01",cad!$I$27,IF(D104="V02",cad!$J$27,cad!$K$27))</f>
        <v/>
      </c>
      <c r="J104">
        <f>IF(D104="V01",cad!$I$28,IF(D104="V02",cad!$J$28,cad!$K$28))</f>
        <v/>
      </c>
      <c r="K104">
        <f>IF(D104="V01",cad!$I$29,IF(D104="V02",cad!$J$29,cad!$K$29))</f>
        <v/>
      </c>
      <c r="L104">
        <f>IF(D104="V01",cad!$I$30,IF(D104="V02",cad!$J$30,cad!$K$30))</f>
        <v/>
      </c>
      <c r="M104">
        <f>IF(D104="V01",cad!$I$31,IF(D104="V02",cad!$J$31,cad!$K$31))</f>
        <v/>
      </c>
      <c r="N104">
        <f>IF(D104="V01",$R$2,IF(D104="V02",$R$3,$R$4))</f>
        <v/>
      </c>
      <c r="O104">
        <f>IF(OR(B104="7062",B104="706",B104="708"),N104,IF(B104="6231",1+G104,IF(B104="6236",1+H104,IF(OR(B104="621",B104="604",B104="6063"),N104*(1-L104),IF(OR(B104="6411",B104="6413",B104="6414",B104="645"),(1+J104)*(1+K104),IF(OR(B104="613",B104="615",B104="616",B104="6226",B104="625",B104="626",B104="6281"),(1+I104)*(1-L104)*(1+M104),IF(OR(B104="6331",B104="63511",B104="6333"),(1+I104)*(1-L104),IF(B104="6811",1+I104,1))))))))</f>
        <v/>
      </c>
      <c r="P104">
        <f>IF(E104=1,F104*O104,"")</f>
        <v/>
      </c>
    </row>
    <row r="105">
      <c r="A105">
        <f>PNL!A105</f>
        <v/>
      </c>
      <c r="B105">
        <f>PNL!B105</f>
        <v/>
      </c>
      <c r="C105">
        <f>PNL!C105</f>
        <v/>
      </c>
      <c r="D105">
        <f>PNL!D105</f>
        <v/>
      </c>
      <c r="E105">
        <f>IF(AND(C105="2027",OR(D105="V01",D105="V02",D105="V03")),1,0)</f>
        <v/>
      </c>
      <c r="F105">
        <f>IF(E105=1,SUMIFS(Compta!$F$2:$F$675,Compta!$A$2:$A$675,A105,Compta!$B$2:$B$675,B105,Compta!$C$2:$C$675,"2026"),0)</f>
        <v/>
      </c>
      <c r="G105">
        <f>IF(D105="V01",cad!$I$21,IF(D105="V02",cad!$J$21,cad!$K$21))</f>
        <v/>
      </c>
      <c r="H105">
        <f>IF(D105="V01",cad!$I$22,IF(D105="V02",cad!$J$22,cad!$K$22))</f>
        <v/>
      </c>
      <c r="I105">
        <f>IF(D105="V01",cad!$I$27,IF(D105="V02",cad!$J$27,cad!$K$27))</f>
        <v/>
      </c>
      <c r="J105">
        <f>IF(D105="V01",cad!$I$28,IF(D105="V02",cad!$J$28,cad!$K$28))</f>
        <v/>
      </c>
      <c r="K105">
        <f>IF(D105="V01",cad!$I$29,IF(D105="V02",cad!$J$29,cad!$K$29))</f>
        <v/>
      </c>
      <c r="L105">
        <f>IF(D105="V01",cad!$I$30,IF(D105="V02",cad!$J$30,cad!$K$30))</f>
        <v/>
      </c>
      <c r="M105">
        <f>IF(D105="V01",cad!$I$31,IF(D105="V02",cad!$J$31,cad!$K$31))</f>
        <v/>
      </c>
      <c r="N105">
        <f>IF(D105="V01",$R$2,IF(D105="V02",$R$3,$R$4))</f>
        <v/>
      </c>
      <c r="O105">
        <f>IF(OR(B105="7062",B105="706",B105="708"),N105,IF(B105="6231",1+G105,IF(B105="6236",1+H105,IF(OR(B105="621",B105="604",B105="6063"),N105*(1-L105),IF(OR(B105="6411",B105="6413",B105="6414",B105="645"),(1+J105)*(1+K105),IF(OR(B105="613",B105="615",B105="616",B105="6226",B105="625",B105="626",B105="6281"),(1+I105)*(1-L105)*(1+M105),IF(OR(B105="6331",B105="63511",B105="6333"),(1+I105)*(1-L105),IF(B105="6811",1+I105,1))))))))</f>
        <v/>
      </c>
      <c r="P105">
        <f>IF(E105=1,F105*O105,"")</f>
        <v/>
      </c>
    </row>
    <row r="106">
      <c r="A106">
        <f>PNL!A106</f>
        <v/>
      </c>
      <c r="B106">
        <f>PNL!B106</f>
        <v/>
      </c>
      <c r="C106">
        <f>PNL!C106</f>
        <v/>
      </c>
      <c r="D106">
        <f>PNL!D106</f>
        <v/>
      </c>
      <c r="E106">
        <f>IF(AND(C106="2027",OR(D106="V01",D106="V02",D106="V03")),1,0)</f>
        <v/>
      </c>
      <c r="F106">
        <f>IF(E106=1,SUMIFS(Compta!$F$2:$F$675,Compta!$A$2:$A$675,A106,Compta!$B$2:$B$675,B106,Compta!$C$2:$C$675,"2026"),0)</f>
        <v/>
      </c>
      <c r="G106">
        <f>IF(D106="V01",cad!$I$21,IF(D106="V02",cad!$J$21,cad!$K$21))</f>
        <v/>
      </c>
      <c r="H106">
        <f>IF(D106="V01",cad!$I$22,IF(D106="V02",cad!$J$22,cad!$K$22))</f>
        <v/>
      </c>
      <c r="I106">
        <f>IF(D106="V01",cad!$I$27,IF(D106="V02",cad!$J$27,cad!$K$27))</f>
        <v/>
      </c>
      <c r="J106">
        <f>IF(D106="V01",cad!$I$28,IF(D106="V02",cad!$J$28,cad!$K$28))</f>
        <v/>
      </c>
      <c r="K106">
        <f>IF(D106="V01",cad!$I$29,IF(D106="V02",cad!$J$29,cad!$K$29))</f>
        <v/>
      </c>
      <c r="L106">
        <f>IF(D106="V01",cad!$I$30,IF(D106="V02",cad!$J$30,cad!$K$30))</f>
        <v/>
      </c>
      <c r="M106">
        <f>IF(D106="V01",cad!$I$31,IF(D106="V02",cad!$J$31,cad!$K$31))</f>
        <v/>
      </c>
      <c r="N106">
        <f>IF(D106="V01",$R$2,IF(D106="V02",$R$3,$R$4))</f>
        <v/>
      </c>
      <c r="O106">
        <f>IF(OR(B106="7062",B106="706",B106="708"),N106,IF(B106="6231",1+G106,IF(B106="6236",1+H106,IF(OR(B106="621",B106="604",B106="6063"),N106*(1-L106),IF(OR(B106="6411",B106="6413",B106="6414",B106="645"),(1+J106)*(1+K106),IF(OR(B106="613",B106="615",B106="616",B106="6226",B106="625",B106="626",B106="6281"),(1+I106)*(1-L106)*(1+M106),IF(OR(B106="6331",B106="63511",B106="6333"),(1+I106)*(1-L106),IF(B106="6811",1+I106,1))))))))</f>
        <v/>
      </c>
      <c r="P106">
        <f>IF(E106=1,F106*O106,"")</f>
        <v/>
      </c>
    </row>
    <row r="107">
      <c r="A107">
        <f>PNL!A107</f>
        <v/>
      </c>
      <c r="B107">
        <f>PNL!B107</f>
        <v/>
      </c>
      <c r="C107">
        <f>PNL!C107</f>
        <v/>
      </c>
      <c r="D107">
        <f>PNL!D107</f>
        <v/>
      </c>
      <c r="E107">
        <f>IF(AND(C107="2027",OR(D107="V01",D107="V02",D107="V03")),1,0)</f>
        <v/>
      </c>
      <c r="F107">
        <f>IF(E107=1,SUMIFS(Compta!$F$2:$F$675,Compta!$A$2:$A$675,A107,Compta!$B$2:$B$675,B107,Compta!$C$2:$C$675,"2026"),0)</f>
        <v/>
      </c>
      <c r="G107">
        <f>IF(D107="V01",cad!$I$21,IF(D107="V02",cad!$J$21,cad!$K$21))</f>
        <v/>
      </c>
      <c r="H107">
        <f>IF(D107="V01",cad!$I$22,IF(D107="V02",cad!$J$22,cad!$K$22))</f>
        <v/>
      </c>
      <c r="I107">
        <f>IF(D107="V01",cad!$I$27,IF(D107="V02",cad!$J$27,cad!$K$27))</f>
        <v/>
      </c>
      <c r="J107">
        <f>IF(D107="V01",cad!$I$28,IF(D107="V02",cad!$J$28,cad!$K$28))</f>
        <v/>
      </c>
      <c r="K107">
        <f>IF(D107="V01",cad!$I$29,IF(D107="V02",cad!$J$29,cad!$K$29))</f>
        <v/>
      </c>
      <c r="L107">
        <f>IF(D107="V01",cad!$I$30,IF(D107="V02",cad!$J$30,cad!$K$30))</f>
        <v/>
      </c>
      <c r="M107">
        <f>IF(D107="V01",cad!$I$31,IF(D107="V02",cad!$J$31,cad!$K$31))</f>
        <v/>
      </c>
      <c r="N107">
        <f>IF(D107="V01",$R$2,IF(D107="V02",$R$3,$R$4))</f>
        <v/>
      </c>
      <c r="O107">
        <f>IF(OR(B107="7062",B107="706",B107="708"),N107,IF(B107="6231",1+G107,IF(B107="6236",1+H107,IF(OR(B107="621",B107="604",B107="6063"),N107*(1-L107),IF(OR(B107="6411",B107="6413",B107="6414",B107="645"),(1+J107)*(1+K107),IF(OR(B107="613",B107="615",B107="616",B107="6226",B107="625",B107="626",B107="6281"),(1+I107)*(1-L107)*(1+M107),IF(OR(B107="6331",B107="63511",B107="6333"),(1+I107)*(1-L107),IF(B107="6811",1+I107,1))))))))</f>
        <v/>
      </c>
      <c r="P107">
        <f>IF(E107=1,F107*O107,"")</f>
        <v/>
      </c>
    </row>
    <row r="108">
      <c r="A108">
        <f>PNL!A108</f>
        <v/>
      </c>
      <c r="B108">
        <f>PNL!B108</f>
        <v/>
      </c>
      <c r="C108">
        <f>PNL!C108</f>
        <v/>
      </c>
      <c r="D108">
        <f>PNL!D108</f>
        <v/>
      </c>
      <c r="E108">
        <f>IF(AND(C108="2027",OR(D108="V01",D108="V02",D108="V03")),1,0)</f>
        <v/>
      </c>
      <c r="F108">
        <f>IF(E108=1,SUMIFS(Compta!$F$2:$F$675,Compta!$A$2:$A$675,A108,Compta!$B$2:$B$675,B108,Compta!$C$2:$C$675,"2026"),0)</f>
        <v/>
      </c>
      <c r="G108">
        <f>IF(D108="V01",cad!$I$21,IF(D108="V02",cad!$J$21,cad!$K$21))</f>
        <v/>
      </c>
      <c r="H108">
        <f>IF(D108="V01",cad!$I$22,IF(D108="V02",cad!$J$22,cad!$K$22))</f>
        <v/>
      </c>
      <c r="I108">
        <f>IF(D108="V01",cad!$I$27,IF(D108="V02",cad!$J$27,cad!$K$27))</f>
        <v/>
      </c>
      <c r="J108">
        <f>IF(D108="V01",cad!$I$28,IF(D108="V02",cad!$J$28,cad!$K$28))</f>
        <v/>
      </c>
      <c r="K108">
        <f>IF(D108="V01",cad!$I$29,IF(D108="V02",cad!$J$29,cad!$K$29))</f>
        <v/>
      </c>
      <c r="L108">
        <f>IF(D108="V01",cad!$I$30,IF(D108="V02",cad!$J$30,cad!$K$30))</f>
        <v/>
      </c>
      <c r="M108">
        <f>IF(D108="V01",cad!$I$31,IF(D108="V02",cad!$J$31,cad!$K$31))</f>
        <v/>
      </c>
      <c r="N108">
        <f>IF(D108="V01",$R$2,IF(D108="V02",$R$3,$R$4))</f>
        <v/>
      </c>
      <c r="O108">
        <f>IF(OR(B108="7062",B108="706",B108="708"),N108,IF(B108="6231",1+G108,IF(B108="6236",1+H108,IF(OR(B108="621",B108="604",B108="6063"),N108*(1-L108),IF(OR(B108="6411",B108="6413",B108="6414",B108="645"),(1+J108)*(1+K108),IF(OR(B108="613",B108="615",B108="616",B108="6226",B108="625",B108="626",B108="6281"),(1+I108)*(1-L108)*(1+M108),IF(OR(B108="6331",B108="63511",B108="6333"),(1+I108)*(1-L108),IF(B108="6811",1+I108,1))))))))</f>
        <v/>
      </c>
      <c r="P108">
        <f>IF(E108=1,F108*O108,"")</f>
        <v/>
      </c>
    </row>
    <row r="109">
      <c r="A109">
        <f>PNL!A109</f>
        <v/>
      </c>
      <c r="B109">
        <f>PNL!B109</f>
        <v/>
      </c>
      <c r="C109">
        <f>PNL!C109</f>
        <v/>
      </c>
      <c r="D109">
        <f>PNL!D109</f>
        <v/>
      </c>
      <c r="E109">
        <f>IF(AND(C109="2027",OR(D109="V01",D109="V02",D109="V03")),1,0)</f>
        <v/>
      </c>
      <c r="F109">
        <f>IF(E109=1,SUMIFS(Compta!$F$2:$F$675,Compta!$A$2:$A$675,A109,Compta!$B$2:$B$675,B109,Compta!$C$2:$C$675,"2026"),0)</f>
        <v/>
      </c>
      <c r="G109">
        <f>IF(D109="V01",cad!$I$21,IF(D109="V02",cad!$J$21,cad!$K$21))</f>
        <v/>
      </c>
      <c r="H109">
        <f>IF(D109="V01",cad!$I$22,IF(D109="V02",cad!$J$22,cad!$K$22))</f>
        <v/>
      </c>
      <c r="I109">
        <f>IF(D109="V01",cad!$I$27,IF(D109="V02",cad!$J$27,cad!$K$27))</f>
        <v/>
      </c>
      <c r="J109">
        <f>IF(D109="V01",cad!$I$28,IF(D109="V02",cad!$J$28,cad!$K$28))</f>
        <v/>
      </c>
      <c r="K109">
        <f>IF(D109="V01",cad!$I$29,IF(D109="V02",cad!$J$29,cad!$K$29))</f>
        <v/>
      </c>
      <c r="L109">
        <f>IF(D109="V01",cad!$I$30,IF(D109="V02",cad!$J$30,cad!$K$30))</f>
        <v/>
      </c>
      <c r="M109">
        <f>IF(D109="V01",cad!$I$31,IF(D109="V02",cad!$J$31,cad!$K$31))</f>
        <v/>
      </c>
      <c r="N109">
        <f>IF(D109="V01",$R$2,IF(D109="V02",$R$3,$R$4))</f>
        <v/>
      </c>
      <c r="O109">
        <f>IF(OR(B109="7062",B109="706",B109="708"),N109,IF(B109="6231",1+G109,IF(B109="6236",1+H109,IF(OR(B109="621",B109="604",B109="6063"),N109*(1-L109),IF(OR(B109="6411",B109="6413",B109="6414",B109="645"),(1+J109)*(1+K109),IF(OR(B109="613",B109="615",B109="616",B109="6226",B109="625",B109="626",B109="6281"),(1+I109)*(1-L109)*(1+M109),IF(OR(B109="6331",B109="63511",B109="6333"),(1+I109)*(1-L109),IF(B109="6811",1+I109,1))))))))</f>
        <v/>
      </c>
      <c r="P109">
        <f>IF(E109=1,F109*O109,"")</f>
        <v/>
      </c>
    </row>
    <row r="110">
      <c r="A110">
        <f>PNL!A110</f>
        <v/>
      </c>
      <c r="B110">
        <f>PNL!B110</f>
        <v/>
      </c>
      <c r="C110">
        <f>PNL!C110</f>
        <v/>
      </c>
      <c r="D110">
        <f>PNL!D110</f>
        <v/>
      </c>
      <c r="E110">
        <f>IF(AND(C110="2027",OR(D110="V01",D110="V02",D110="V03")),1,0)</f>
        <v/>
      </c>
      <c r="F110">
        <f>IF(E110=1,SUMIFS(Compta!$F$2:$F$675,Compta!$A$2:$A$675,A110,Compta!$B$2:$B$675,B110,Compta!$C$2:$C$675,"2026"),0)</f>
        <v/>
      </c>
      <c r="G110">
        <f>IF(D110="V01",cad!$I$21,IF(D110="V02",cad!$J$21,cad!$K$21))</f>
        <v/>
      </c>
      <c r="H110">
        <f>IF(D110="V01",cad!$I$22,IF(D110="V02",cad!$J$22,cad!$K$22))</f>
        <v/>
      </c>
      <c r="I110">
        <f>IF(D110="V01",cad!$I$27,IF(D110="V02",cad!$J$27,cad!$K$27))</f>
        <v/>
      </c>
      <c r="J110">
        <f>IF(D110="V01",cad!$I$28,IF(D110="V02",cad!$J$28,cad!$K$28))</f>
        <v/>
      </c>
      <c r="K110">
        <f>IF(D110="V01",cad!$I$29,IF(D110="V02",cad!$J$29,cad!$K$29))</f>
        <v/>
      </c>
      <c r="L110">
        <f>IF(D110="V01",cad!$I$30,IF(D110="V02",cad!$J$30,cad!$K$30))</f>
        <v/>
      </c>
      <c r="M110">
        <f>IF(D110="V01",cad!$I$31,IF(D110="V02",cad!$J$31,cad!$K$31))</f>
        <v/>
      </c>
      <c r="N110">
        <f>IF(D110="V01",$R$2,IF(D110="V02",$R$3,$R$4))</f>
        <v/>
      </c>
      <c r="O110">
        <f>IF(OR(B110="7062",B110="706",B110="708"),N110,IF(B110="6231",1+G110,IF(B110="6236",1+H110,IF(OR(B110="621",B110="604",B110="6063"),N110*(1-L110),IF(OR(B110="6411",B110="6413",B110="6414",B110="645"),(1+J110)*(1+K110),IF(OR(B110="613",B110="615",B110="616",B110="6226",B110="625",B110="626",B110="6281"),(1+I110)*(1-L110)*(1+M110),IF(OR(B110="6331",B110="63511",B110="6333"),(1+I110)*(1-L110),IF(B110="6811",1+I110,1))))))))</f>
        <v/>
      </c>
      <c r="P110">
        <f>IF(E110=1,F110*O110,"")</f>
        <v/>
      </c>
    </row>
    <row r="111">
      <c r="A111">
        <f>PNL!A111</f>
        <v/>
      </c>
      <c r="B111">
        <f>PNL!B111</f>
        <v/>
      </c>
      <c r="C111">
        <f>PNL!C111</f>
        <v/>
      </c>
      <c r="D111">
        <f>PNL!D111</f>
        <v/>
      </c>
      <c r="E111">
        <f>IF(AND(C111="2027",OR(D111="V01",D111="V02",D111="V03")),1,0)</f>
        <v/>
      </c>
      <c r="F111">
        <f>IF(E111=1,SUMIFS(Compta!$F$2:$F$675,Compta!$A$2:$A$675,A111,Compta!$B$2:$B$675,B111,Compta!$C$2:$C$675,"2026"),0)</f>
        <v/>
      </c>
      <c r="G111">
        <f>IF(D111="V01",cad!$I$21,IF(D111="V02",cad!$J$21,cad!$K$21))</f>
        <v/>
      </c>
      <c r="H111">
        <f>IF(D111="V01",cad!$I$22,IF(D111="V02",cad!$J$22,cad!$K$22))</f>
        <v/>
      </c>
      <c r="I111">
        <f>IF(D111="V01",cad!$I$27,IF(D111="V02",cad!$J$27,cad!$K$27))</f>
        <v/>
      </c>
      <c r="J111">
        <f>IF(D111="V01",cad!$I$28,IF(D111="V02",cad!$J$28,cad!$K$28))</f>
        <v/>
      </c>
      <c r="K111">
        <f>IF(D111="V01",cad!$I$29,IF(D111="V02",cad!$J$29,cad!$K$29))</f>
        <v/>
      </c>
      <c r="L111">
        <f>IF(D111="V01",cad!$I$30,IF(D111="V02",cad!$J$30,cad!$K$30))</f>
        <v/>
      </c>
      <c r="M111">
        <f>IF(D111="V01",cad!$I$31,IF(D111="V02",cad!$J$31,cad!$K$31))</f>
        <v/>
      </c>
      <c r="N111">
        <f>IF(D111="V01",$R$2,IF(D111="V02",$R$3,$R$4))</f>
        <v/>
      </c>
      <c r="O111">
        <f>IF(OR(B111="7062",B111="706",B111="708"),N111,IF(B111="6231",1+G111,IF(B111="6236",1+H111,IF(OR(B111="621",B111="604",B111="6063"),N111*(1-L111),IF(OR(B111="6411",B111="6413",B111="6414",B111="645"),(1+J111)*(1+K111),IF(OR(B111="613",B111="615",B111="616",B111="6226",B111="625",B111="626",B111="6281"),(1+I111)*(1-L111)*(1+M111),IF(OR(B111="6331",B111="63511",B111="6333"),(1+I111)*(1-L111),IF(B111="6811",1+I111,1))))))))</f>
        <v/>
      </c>
      <c r="P111">
        <f>IF(E111=1,F111*O111,"")</f>
        <v/>
      </c>
    </row>
    <row r="112">
      <c r="A112">
        <f>PNL!A112</f>
        <v/>
      </c>
      <c r="B112">
        <f>PNL!B112</f>
        <v/>
      </c>
      <c r="C112">
        <f>PNL!C112</f>
        <v/>
      </c>
      <c r="D112">
        <f>PNL!D112</f>
        <v/>
      </c>
      <c r="E112">
        <f>IF(AND(C112="2027",OR(D112="V01",D112="V02",D112="V03")),1,0)</f>
        <v/>
      </c>
      <c r="F112">
        <f>IF(E112=1,SUMIFS(Compta!$F$2:$F$675,Compta!$A$2:$A$675,A112,Compta!$B$2:$B$675,B112,Compta!$C$2:$C$675,"2026"),0)</f>
        <v/>
      </c>
      <c r="G112">
        <f>IF(D112="V01",cad!$I$21,IF(D112="V02",cad!$J$21,cad!$K$21))</f>
        <v/>
      </c>
      <c r="H112">
        <f>IF(D112="V01",cad!$I$22,IF(D112="V02",cad!$J$22,cad!$K$22))</f>
        <v/>
      </c>
      <c r="I112">
        <f>IF(D112="V01",cad!$I$27,IF(D112="V02",cad!$J$27,cad!$K$27))</f>
        <v/>
      </c>
      <c r="J112">
        <f>IF(D112="V01",cad!$I$28,IF(D112="V02",cad!$J$28,cad!$K$28))</f>
        <v/>
      </c>
      <c r="K112">
        <f>IF(D112="V01",cad!$I$29,IF(D112="V02",cad!$J$29,cad!$K$29))</f>
        <v/>
      </c>
      <c r="L112">
        <f>IF(D112="V01",cad!$I$30,IF(D112="V02",cad!$J$30,cad!$K$30))</f>
        <v/>
      </c>
      <c r="M112">
        <f>IF(D112="V01",cad!$I$31,IF(D112="V02",cad!$J$31,cad!$K$31))</f>
        <v/>
      </c>
      <c r="N112">
        <f>IF(D112="V01",$R$2,IF(D112="V02",$R$3,$R$4))</f>
        <v/>
      </c>
      <c r="O112">
        <f>IF(OR(B112="7062",B112="706",B112="708"),N112,IF(B112="6231",1+G112,IF(B112="6236",1+H112,IF(OR(B112="621",B112="604",B112="6063"),N112*(1-L112),IF(OR(B112="6411",B112="6413",B112="6414",B112="645"),(1+J112)*(1+K112),IF(OR(B112="613",B112="615",B112="616",B112="6226",B112="625",B112="626",B112="6281"),(1+I112)*(1-L112)*(1+M112),IF(OR(B112="6331",B112="63511",B112="6333"),(1+I112)*(1-L112),IF(B112="6811",1+I112,1))))))))</f>
        <v/>
      </c>
      <c r="P112">
        <f>IF(E112=1,F112*O112,"")</f>
        <v/>
      </c>
    </row>
    <row r="113">
      <c r="A113">
        <f>PNL!A113</f>
        <v/>
      </c>
      <c r="B113">
        <f>PNL!B113</f>
        <v/>
      </c>
      <c r="C113">
        <f>PNL!C113</f>
        <v/>
      </c>
      <c r="D113">
        <f>PNL!D113</f>
        <v/>
      </c>
      <c r="E113">
        <f>IF(AND(C113="2027",OR(D113="V01",D113="V02",D113="V03")),1,0)</f>
        <v/>
      </c>
      <c r="F113">
        <f>IF(E113=1,SUMIFS(Compta!$F$2:$F$675,Compta!$A$2:$A$675,A113,Compta!$B$2:$B$675,B113,Compta!$C$2:$C$675,"2026"),0)</f>
        <v/>
      </c>
      <c r="G113">
        <f>IF(D113="V01",cad!$I$21,IF(D113="V02",cad!$J$21,cad!$K$21))</f>
        <v/>
      </c>
      <c r="H113">
        <f>IF(D113="V01",cad!$I$22,IF(D113="V02",cad!$J$22,cad!$K$22))</f>
        <v/>
      </c>
      <c r="I113">
        <f>IF(D113="V01",cad!$I$27,IF(D113="V02",cad!$J$27,cad!$K$27))</f>
        <v/>
      </c>
      <c r="J113">
        <f>IF(D113="V01",cad!$I$28,IF(D113="V02",cad!$J$28,cad!$K$28))</f>
        <v/>
      </c>
      <c r="K113">
        <f>IF(D113="V01",cad!$I$29,IF(D113="V02",cad!$J$29,cad!$K$29))</f>
        <v/>
      </c>
      <c r="L113">
        <f>IF(D113="V01",cad!$I$30,IF(D113="V02",cad!$J$30,cad!$K$30))</f>
        <v/>
      </c>
      <c r="M113">
        <f>IF(D113="V01",cad!$I$31,IF(D113="V02",cad!$J$31,cad!$K$31))</f>
        <v/>
      </c>
      <c r="N113">
        <f>IF(D113="V01",$R$2,IF(D113="V02",$R$3,$R$4))</f>
        <v/>
      </c>
      <c r="O113">
        <f>IF(OR(B113="7062",B113="706",B113="708"),N113,IF(B113="6231",1+G113,IF(B113="6236",1+H113,IF(OR(B113="621",B113="604",B113="6063"),N113*(1-L113),IF(OR(B113="6411",B113="6413",B113="6414",B113="645"),(1+J113)*(1+K113),IF(OR(B113="613",B113="615",B113="616",B113="6226",B113="625",B113="626",B113="6281"),(1+I113)*(1-L113)*(1+M113),IF(OR(B113="6331",B113="63511",B113="6333"),(1+I113)*(1-L113),IF(B113="6811",1+I113,1))))))))</f>
        <v/>
      </c>
      <c r="P113">
        <f>IF(E113=1,F113*O113,"")</f>
        <v/>
      </c>
    </row>
    <row r="114">
      <c r="A114">
        <f>PNL!A114</f>
        <v/>
      </c>
      <c r="B114">
        <f>PNL!B114</f>
        <v/>
      </c>
      <c r="C114">
        <f>PNL!C114</f>
        <v/>
      </c>
      <c r="D114">
        <f>PNL!D114</f>
        <v/>
      </c>
      <c r="E114">
        <f>IF(AND(C114="2027",OR(D114="V01",D114="V02",D114="V03")),1,0)</f>
        <v/>
      </c>
      <c r="F114">
        <f>IF(E114=1,SUMIFS(Compta!$F$2:$F$675,Compta!$A$2:$A$675,A114,Compta!$B$2:$B$675,B114,Compta!$C$2:$C$675,"2026"),0)</f>
        <v/>
      </c>
      <c r="G114">
        <f>IF(D114="V01",cad!$I$21,IF(D114="V02",cad!$J$21,cad!$K$21))</f>
        <v/>
      </c>
      <c r="H114">
        <f>IF(D114="V01",cad!$I$22,IF(D114="V02",cad!$J$22,cad!$K$22))</f>
        <v/>
      </c>
      <c r="I114">
        <f>IF(D114="V01",cad!$I$27,IF(D114="V02",cad!$J$27,cad!$K$27))</f>
        <v/>
      </c>
      <c r="J114">
        <f>IF(D114="V01",cad!$I$28,IF(D114="V02",cad!$J$28,cad!$K$28))</f>
        <v/>
      </c>
      <c r="K114">
        <f>IF(D114="V01",cad!$I$29,IF(D114="V02",cad!$J$29,cad!$K$29))</f>
        <v/>
      </c>
      <c r="L114">
        <f>IF(D114="V01",cad!$I$30,IF(D114="V02",cad!$J$30,cad!$K$30))</f>
        <v/>
      </c>
      <c r="M114">
        <f>IF(D114="V01",cad!$I$31,IF(D114="V02",cad!$J$31,cad!$K$31))</f>
        <v/>
      </c>
      <c r="N114">
        <f>IF(D114="V01",$R$2,IF(D114="V02",$R$3,$R$4))</f>
        <v/>
      </c>
      <c r="O114">
        <f>IF(OR(B114="7062",B114="706",B114="708"),N114,IF(B114="6231",1+G114,IF(B114="6236",1+H114,IF(OR(B114="621",B114="604",B114="6063"),N114*(1-L114),IF(OR(B114="6411",B114="6413",B114="6414",B114="645"),(1+J114)*(1+K114),IF(OR(B114="613",B114="615",B114="616",B114="6226",B114="625",B114="626",B114="6281"),(1+I114)*(1-L114)*(1+M114),IF(OR(B114="6331",B114="63511",B114="6333"),(1+I114)*(1-L114),IF(B114="6811",1+I114,1))))))))</f>
        <v/>
      </c>
      <c r="P114">
        <f>IF(E114=1,F114*O114,"")</f>
        <v/>
      </c>
    </row>
    <row r="115">
      <c r="A115">
        <f>PNL!A115</f>
        <v/>
      </c>
      <c r="B115">
        <f>PNL!B115</f>
        <v/>
      </c>
      <c r="C115">
        <f>PNL!C115</f>
        <v/>
      </c>
      <c r="D115">
        <f>PNL!D115</f>
        <v/>
      </c>
      <c r="E115">
        <f>IF(AND(C115="2027",OR(D115="V01",D115="V02",D115="V03")),1,0)</f>
        <v/>
      </c>
      <c r="F115">
        <f>IF(E115=1,SUMIFS(Compta!$F$2:$F$675,Compta!$A$2:$A$675,A115,Compta!$B$2:$B$675,B115,Compta!$C$2:$C$675,"2026"),0)</f>
        <v/>
      </c>
      <c r="G115">
        <f>IF(D115="V01",cad!$I$21,IF(D115="V02",cad!$J$21,cad!$K$21))</f>
        <v/>
      </c>
      <c r="H115">
        <f>IF(D115="V01",cad!$I$22,IF(D115="V02",cad!$J$22,cad!$K$22))</f>
        <v/>
      </c>
      <c r="I115">
        <f>IF(D115="V01",cad!$I$27,IF(D115="V02",cad!$J$27,cad!$K$27))</f>
        <v/>
      </c>
      <c r="J115">
        <f>IF(D115="V01",cad!$I$28,IF(D115="V02",cad!$J$28,cad!$K$28))</f>
        <v/>
      </c>
      <c r="K115">
        <f>IF(D115="V01",cad!$I$29,IF(D115="V02",cad!$J$29,cad!$K$29))</f>
        <v/>
      </c>
      <c r="L115">
        <f>IF(D115="V01",cad!$I$30,IF(D115="V02",cad!$J$30,cad!$K$30))</f>
        <v/>
      </c>
      <c r="M115">
        <f>IF(D115="V01",cad!$I$31,IF(D115="V02",cad!$J$31,cad!$K$31))</f>
        <v/>
      </c>
      <c r="N115">
        <f>IF(D115="V01",$R$2,IF(D115="V02",$R$3,$R$4))</f>
        <v/>
      </c>
      <c r="O115">
        <f>IF(OR(B115="7062",B115="706",B115="708"),N115,IF(B115="6231",1+G115,IF(B115="6236",1+H115,IF(OR(B115="621",B115="604",B115="6063"),N115*(1-L115),IF(OR(B115="6411",B115="6413",B115="6414",B115="645"),(1+J115)*(1+K115),IF(OR(B115="613",B115="615",B115="616",B115="6226",B115="625",B115="626",B115="6281"),(1+I115)*(1-L115)*(1+M115),IF(OR(B115="6331",B115="63511",B115="6333"),(1+I115)*(1-L115),IF(B115="6811",1+I115,1))))))))</f>
        <v/>
      </c>
      <c r="P115">
        <f>IF(E115=1,F115*O115,"")</f>
        <v/>
      </c>
    </row>
    <row r="116">
      <c r="A116">
        <f>PNL!A116</f>
        <v/>
      </c>
      <c r="B116">
        <f>PNL!B116</f>
        <v/>
      </c>
      <c r="C116">
        <f>PNL!C116</f>
        <v/>
      </c>
      <c r="D116">
        <f>PNL!D116</f>
        <v/>
      </c>
      <c r="E116">
        <f>IF(AND(C116="2027",OR(D116="V01",D116="V02",D116="V03")),1,0)</f>
        <v/>
      </c>
      <c r="F116">
        <f>IF(E116=1,SUMIFS(Compta!$F$2:$F$675,Compta!$A$2:$A$675,A116,Compta!$B$2:$B$675,B116,Compta!$C$2:$C$675,"2026"),0)</f>
        <v/>
      </c>
      <c r="G116">
        <f>IF(D116="V01",cad!$I$21,IF(D116="V02",cad!$J$21,cad!$K$21))</f>
        <v/>
      </c>
      <c r="H116">
        <f>IF(D116="V01",cad!$I$22,IF(D116="V02",cad!$J$22,cad!$K$22))</f>
        <v/>
      </c>
      <c r="I116">
        <f>IF(D116="V01",cad!$I$27,IF(D116="V02",cad!$J$27,cad!$K$27))</f>
        <v/>
      </c>
      <c r="J116">
        <f>IF(D116="V01",cad!$I$28,IF(D116="V02",cad!$J$28,cad!$K$28))</f>
        <v/>
      </c>
      <c r="K116">
        <f>IF(D116="V01",cad!$I$29,IF(D116="V02",cad!$J$29,cad!$K$29))</f>
        <v/>
      </c>
      <c r="L116">
        <f>IF(D116="V01",cad!$I$30,IF(D116="V02",cad!$J$30,cad!$K$30))</f>
        <v/>
      </c>
      <c r="M116">
        <f>IF(D116="V01",cad!$I$31,IF(D116="V02",cad!$J$31,cad!$K$31))</f>
        <v/>
      </c>
      <c r="N116">
        <f>IF(D116="V01",$R$2,IF(D116="V02",$R$3,$R$4))</f>
        <v/>
      </c>
      <c r="O116">
        <f>IF(OR(B116="7062",B116="706",B116="708"),N116,IF(B116="6231",1+G116,IF(B116="6236",1+H116,IF(OR(B116="621",B116="604",B116="6063"),N116*(1-L116),IF(OR(B116="6411",B116="6413",B116="6414",B116="645"),(1+J116)*(1+K116),IF(OR(B116="613",B116="615",B116="616",B116="6226",B116="625",B116="626",B116="6281"),(1+I116)*(1-L116)*(1+M116),IF(OR(B116="6331",B116="63511",B116="6333"),(1+I116)*(1-L116),IF(B116="6811",1+I116,1))))))))</f>
        <v/>
      </c>
      <c r="P116">
        <f>IF(E116=1,F116*O116,"")</f>
        <v/>
      </c>
    </row>
    <row r="117">
      <c r="A117">
        <f>PNL!A117</f>
        <v/>
      </c>
      <c r="B117">
        <f>PNL!B117</f>
        <v/>
      </c>
      <c r="C117">
        <f>PNL!C117</f>
        <v/>
      </c>
      <c r="D117">
        <f>PNL!D117</f>
        <v/>
      </c>
      <c r="E117">
        <f>IF(AND(C117="2027",OR(D117="V01",D117="V02",D117="V03")),1,0)</f>
        <v/>
      </c>
      <c r="F117">
        <f>IF(E117=1,SUMIFS(Compta!$F$2:$F$675,Compta!$A$2:$A$675,A117,Compta!$B$2:$B$675,B117,Compta!$C$2:$C$675,"2026"),0)</f>
        <v/>
      </c>
      <c r="G117">
        <f>IF(D117="V01",cad!$I$21,IF(D117="V02",cad!$J$21,cad!$K$21))</f>
        <v/>
      </c>
      <c r="H117">
        <f>IF(D117="V01",cad!$I$22,IF(D117="V02",cad!$J$22,cad!$K$22))</f>
        <v/>
      </c>
      <c r="I117">
        <f>IF(D117="V01",cad!$I$27,IF(D117="V02",cad!$J$27,cad!$K$27))</f>
        <v/>
      </c>
      <c r="J117">
        <f>IF(D117="V01",cad!$I$28,IF(D117="V02",cad!$J$28,cad!$K$28))</f>
        <v/>
      </c>
      <c r="K117">
        <f>IF(D117="V01",cad!$I$29,IF(D117="V02",cad!$J$29,cad!$K$29))</f>
        <v/>
      </c>
      <c r="L117">
        <f>IF(D117="V01",cad!$I$30,IF(D117="V02",cad!$J$30,cad!$K$30))</f>
        <v/>
      </c>
      <c r="M117">
        <f>IF(D117="V01",cad!$I$31,IF(D117="V02",cad!$J$31,cad!$K$31))</f>
        <v/>
      </c>
      <c r="N117">
        <f>IF(D117="V01",$R$2,IF(D117="V02",$R$3,$R$4))</f>
        <v/>
      </c>
      <c r="O117">
        <f>IF(OR(B117="7062",B117="706",B117="708"),N117,IF(B117="6231",1+G117,IF(B117="6236",1+H117,IF(OR(B117="621",B117="604",B117="6063"),N117*(1-L117),IF(OR(B117="6411",B117="6413",B117="6414",B117="645"),(1+J117)*(1+K117),IF(OR(B117="613",B117="615",B117="616",B117="6226",B117="625",B117="626",B117="6281"),(1+I117)*(1-L117)*(1+M117),IF(OR(B117="6331",B117="63511",B117="6333"),(1+I117)*(1-L117),IF(B117="6811",1+I117,1))))))))</f>
        <v/>
      </c>
      <c r="P117">
        <f>IF(E117=1,F117*O117,"")</f>
        <v/>
      </c>
    </row>
    <row r="118">
      <c r="A118">
        <f>PNL!A118</f>
        <v/>
      </c>
      <c r="B118">
        <f>PNL!B118</f>
        <v/>
      </c>
      <c r="C118">
        <f>PNL!C118</f>
        <v/>
      </c>
      <c r="D118">
        <f>PNL!D118</f>
        <v/>
      </c>
      <c r="E118">
        <f>IF(AND(C118="2027",OR(D118="V01",D118="V02",D118="V03")),1,0)</f>
        <v/>
      </c>
      <c r="F118">
        <f>IF(E118=1,SUMIFS(Compta!$F$2:$F$675,Compta!$A$2:$A$675,A118,Compta!$B$2:$B$675,B118,Compta!$C$2:$C$675,"2026"),0)</f>
        <v/>
      </c>
      <c r="G118">
        <f>IF(D118="V01",cad!$I$21,IF(D118="V02",cad!$J$21,cad!$K$21))</f>
        <v/>
      </c>
      <c r="H118">
        <f>IF(D118="V01",cad!$I$22,IF(D118="V02",cad!$J$22,cad!$K$22))</f>
        <v/>
      </c>
      <c r="I118">
        <f>IF(D118="V01",cad!$I$27,IF(D118="V02",cad!$J$27,cad!$K$27))</f>
        <v/>
      </c>
      <c r="J118">
        <f>IF(D118="V01",cad!$I$28,IF(D118="V02",cad!$J$28,cad!$K$28))</f>
        <v/>
      </c>
      <c r="K118">
        <f>IF(D118="V01",cad!$I$29,IF(D118="V02",cad!$J$29,cad!$K$29))</f>
        <v/>
      </c>
      <c r="L118">
        <f>IF(D118="V01",cad!$I$30,IF(D118="V02",cad!$J$30,cad!$K$30))</f>
        <v/>
      </c>
      <c r="M118">
        <f>IF(D118="V01",cad!$I$31,IF(D118="V02",cad!$J$31,cad!$K$31))</f>
        <v/>
      </c>
      <c r="N118">
        <f>IF(D118="V01",$R$2,IF(D118="V02",$R$3,$R$4))</f>
        <v/>
      </c>
      <c r="O118">
        <f>IF(OR(B118="7062",B118="706",B118="708"),N118,IF(B118="6231",1+G118,IF(B118="6236",1+H118,IF(OR(B118="621",B118="604",B118="6063"),N118*(1-L118),IF(OR(B118="6411",B118="6413",B118="6414",B118="645"),(1+J118)*(1+K118),IF(OR(B118="613",B118="615",B118="616",B118="6226",B118="625",B118="626",B118="6281"),(1+I118)*(1-L118)*(1+M118),IF(OR(B118="6331",B118="63511",B118="6333"),(1+I118)*(1-L118),IF(B118="6811",1+I118,1))))))))</f>
        <v/>
      </c>
      <c r="P118">
        <f>IF(E118=1,F118*O118,"")</f>
        <v/>
      </c>
    </row>
    <row r="119">
      <c r="A119">
        <f>PNL!A119</f>
        <v/>
      </c>
      <c r="B119">
        <f>PNL!B119</f>
        <v/>
      </c>
      <c r="C119">
        <f>PNL!C119</f>
        <v/>
      </c>
      <c r="D119">
        <f>PNL!D119</f>
        <v/>
      </c>
      <c r="E119">
        <f>IF(AND(C119="2027",OR(D119="V01",D119="V02",D119="V03")),1,0)</f>
        <v/>
      </c>
      <c r="F119">
        <f>IF(E119=1,SUMIFS(Compta!$F$2:$F$675,Compta!$A$2:$A$675,A119,Compta!$B$2:$B$675,B119,Compta!$C$2:$C$675,"2026"),0)</f>
        <v/>
      </c>
      <c r="G119">
        <f>IF(D119="V01",cad!$I$21,IF(D119="V02",cad!$J$21,cad!$K$21))</f>
        <v/>
      </c>
      <c r="H119">
        <f>IF(D119="V01",cad!$I$22,IF(D119="V02",cad!$J$22,cad!$K$22))</f>
        <v/>
      </c>
      <c r="I119">
        <f>IF(D119="V01",cad!$I$27,IF(D119="V02",cad!$J$27,cad!$K$27))</f>
        <v/>
      </c>
      <c r="J119">
        <f>IF(D119="V01",cad!$I$28,IF(D119="V02",cad!$J$28,cad!$K$28))</f>
        <v/>
      </c>
      <c r="K119">
        <f>IF(D119="V01",cad!$I$29,IF(D119="V02",cad!$J$29,cad!$K$29))</f>
        <v/>
      </c>
      <c r="L119">
        <f>IF(D119="V01",cad!$I$30,IF(D119="V02",cad!$J$30,cad!$K$30))</f>
        <v/>
      </c>
      <c r="M119">
        <f>IF(D119="V01",cad!$I$31,IF(D119="V02",cad!$J$31,cad!$K$31))</f>
        <v/>
      </c>
      <c r="N119">
        <f>IF(D119="V01",$R$2,IF(D119="V02",$R$3,$R$4))</f>
        <v/>
      </c>
      <c r="O119">
        <f>IF(OR(B119="7062",B119="706",B119="708"),N119,IF(B119="6231",1+G119,IF(B119="6236",1+H119,IF(OR(B119="621",B119="604",B119="6063"),N119*(1-L119),IF(OR(B119="6411",B119="6413",B119="6414",B119="645"),(1+J119)*(1+K119),IF(OR(B119="613",B119="615",B119="616",B119="6226",B119="625",B119="626",B119="6281"),(1+I119)*(1-L119)*(1+M119),IF(OR(B119="6331",B119="63511",B119="6333"),(1+I119)*(1-L119),IF(B119="6811",1+I119,1))))))))</f>
        <v/>
      </c>
      <c r="P119">
        <f>IF(E119=1,F119*O119,"")</f>
        <v/>
      </c>
    </row>
    <row r="120">
      <c r="A120">
        <f>PNL!A120</f>
        <v/>
      </c>
      <c r="B120">
        <f>PNL!B120</f>
        <v/>
      </c>
      <c r="C120">
        <f>PNL!C120</f>
        <v/>
      </c>
      <c r="D120">
        <f>PNL!D120</f>
        <v/>
      </c>
      <c r="E120">
        <f>IF(AND(C120="2027",OR(D120="V01",D120="V02",D120="V03")),1,0)</f>
        <v/>
      </c>
      <c r="F120">
        <f>IF(E120=1,SUMIFS(Compta!$F$2:$F$675,Compta!$A$2:$A$675,A120,Compta!$B$2:$B$675,B120,Compta!$C$2:$C$675,"2026"),0)</f>
        <v/>
      </c>
      <c r="G120">
        <f>IF(D120="V01",cad!$I$21,IF(D120="V02",cad!$J$21,cad!$K$21))</f>
        <v/>
      </c>
      <c r="H120">
        <f>IF(D120="V01",cad!$I$22,IF(D120="V02",cad!$J$22,cad!$K$22))</f>
        <v/>
      </c>
      <c r="I120">
        <f>IF(D120="V01",cad!$I$27,IF(D120="V02",cad!$J$27,cad!$K$27))</f>
        <v/>
      </c>
      <c r="J120">
        <f>IF(D120="V01",cad!$I$28,IF(D120="V02",cad!$J$28,cad!$K$28))</f>
        <v/>
      </c>
      <c r="K120">
        <f>IF(D120="V01",cad!$I$29,IF(D120="V02",cad!$J$29,cad!$K$29))</f>
        <v/>
      </c>
      <c r="L120">
        <f>IF(D120="V01",cad!$I$30,IF(D120="V02",cad!$J$30,cad!$K$30))</f>
        <v/>
      </c>
      <c r="M120">
        <f>IF(D120="V01",cad!$I$31,IF(D120="V02",cad!$J$31,cad!$K$31))</f>
        <v/>
      </c>
      <c r="N120">
        <f>IF(D120="V01",$R$2,IF(D120="V02",$R$3,$R$4))</f>
        <v/>
      </c>
      <c r="O120">
        <f>IF(OR(B120="7062",B120="706",B120="708"),N120,IF(B120="6231",1+G120,IF(B120="6236",1+H120,IF(OR(B120="621",B120="604",B120="6063"),N120*(1-L120),IF(OR(B120="6411",B120="6413",B120="6414",B120="645"),(1+J120)*(1+K120),IF(OR(B120="613",B120="615",B120="616",B120="6226",B120="625",B120="626",B120="6281"),(1+I120)*(1-L120)*(1+M120),IF(OR(B120="6331",B120="63511",B120="6333"),(1+I120)*(1-L120),IF(B120="6811",1+I120,1))))))))</f>
        <v/>
      </c>
      <c r="P120">
        <f>IF(E120=1,F120*O120,"")</f>
        <v/>
      </c>
    </row>
    <row r="121">
      <c r="A121">
        <f>PNL!A121</f>
        <v/>
      </c>
      <c r="B121">
        <f>PNL!B121</f>
        <v/>
      </c>
      <c r="C121">
        <f>PNL!C121</f>
        <v/>
      </c>
      <c r="D121">
        <f>PNL!D121</f>
        <v/>
      </c>
      <c r="E121">
        <f>IF(AND(C121="2027",OR(D121="V01",D121="V02",D121="V03")),1,0)</f>
        <v/>
      </c>
      <c r="F121">
        <f>IF(E121=1,SUMIFS(Compta!$F$2:$F$675,Compta!$A$2:$A$675,A121,Compta!$B$2:$B$675,B121,Compta!$C$2:$C$675,"2026"),0)</f>
        <v/>
      </c>
      <c r="G121">
        <f>IF(D121="V01",cad!$I$21,IF(D121="V02",cad!$J$21,cad!$K$21))</f>
        <v/>
      </c>
      <c r="H121">
        <f>IF(D121="V01",cad!$I$22,IF(D121="V02",cad!$J$22,cad!$K$22))</f>
        <v/>
      </c>
      <c r="I121">
        <f>IF(D121="V01",cad!$I$27,IF(D121="V02",cad!$J$27,cad!$K$27))</f>
        <v/>
      </c>
      <c r="J121">
        <f>IF(D121="V01",cad!$I$28,IF(D121="V02",cad!$J$28,cad!$K$28))</f>
        <v/>
      </c>
      <c r="K121">
        <f>IF(D121="V01",cad!$I$29,IF(D121="V02",cad!$J$29,cad!$K$29))</f>
        <v/>
      </c>
      <c r="L121">
        <f>IF(D121="V01",cad!$I$30,IF(D121="V02",cad!$J$30,cad!$K$30))</f>
        <v/>
      </c>
      <c r="M121">
        <f>IF(D121="V01",cad!$I$31,IF(D121="V02",cad!$J$31,cad!$K$31))</f>
        <v/>
      </c>
      <c r="N121">
        <f>IF(D121="V01",$R$2,IF(D121="V02",$R$3,$R$4))</f>
        <v/>
      </c>
      <c r="O121">
        <f>IF(OR(B121="7062",B121="706",B121="708"),N121,IF(B121="6231",1+G121,IF(B121="6236",1+H121,IF(OR(B121="621",B121="604",B121="6063"),N121*(1-L121),IF(OR(B121="6411",B121="6413",B121="6414",B121="645"),(1+J121)*(1+K121),IF(OR(B121="613",B121="615",B121="616",B121="6226",B121="625",B121="626",B121="6281"),(1+I121)*(1-L121)*(1+M121),IF(OR(B121="6331",B121="63511",B121="6333"),(1+I121)*(1-L121),IF(B121="6811",1+I121,1))))))))</f>
        <v/>
      </c>
      <c r="P121">
        <f>IF(E121=1,F121*O121,"")</f>
        <v/>
      </c>
    </row>
    <row r="122">
      <c r="A122">
        <f>PNL!A122</f>
        <v/>
      </c>
      <c r="B122">
        <f>PNL!B122</f>
        <v/>
      </c>
      <c r="C122">
        <f>PNL!C122</f>
        <v/>
      </c>
      <c r="D122">
        <f>PNL!D122</f>
        <v/>
      </c>
      <c r="E122">
        <f>IF(AND(C122="2027",OR(D122="V01",D122="V02",D122="V03")),1,0)</f>
        <v/>
      </c>
      <c r="F122">
        <f>IF(E122=1,SUMIFS(Compta!$F$2:$F$675,Compta!$A$2:$A$675,A122,Compta!$B$2:$B$675,B122,Compta!$C$2:$C$675,"2026"),0)</f>
        <v/>
      </c>
      <c r="G122">
        <f>IF(D122="V01",cad!$I$21,IF(D122="V02",cad!$J$21,cad!$K$21))</f>
        <v/>
      </c>
      <c r="H122">
        <f>IF(D122="V01",cad!$I$22,IF(D122="V02",cad!$J$22,cad!$K$22))</f>
        <v/>
      </c>
      <c r="I122">
        <f>IF(D122="V01",cad!$I$27,IF(D122="V02",cad!$J$27,cad!$K$27))</f>
        <v/>
      </c>
      <c r="J122">
        <f>IF(D122="V01",cad!$I$28,IF(D122="V02",cad!$J$28,cad!$K$28))</f>
        <v/>
      </c>
      <c r="K122">
        <f>IF(D122="V01",cad!$I$29,IF(D122="V02",cad!$J$29,cad!$K$29))</f>
        <v/>
      </c>
      <c r="L122">
        <f>IF(D122="V01",cad!$I$30,IF(D122="V02",cad!$J$30,cad!$K$30))</f>
        <v/>
      </c>
      <c r="M122">
        <f>IF(D122="V01",cad!$I$31,IF(D122="V02",cad!$J$31,cad!$K$31))</f>
        <v/>
      </c>
      <c r="N122">
        <f>IF(D122="V01",$R$2,IF(D122="V02",$R$3,$R$4))</f>
        <v/>
      </c>
      <c r="O122">
        <f>IF(OR(B122="7062",B122="706",B122="708"),N122,IF(B122="6231",1+G122,IF(B122="6236",1+H122,IF(OR(B122="621",B122="604",B122="6063"),N122*(1-L122),IF(OR(B122="6411",B122="6413",B122="6414",B122="645"),(1+J122)*(1+K122),IF(OR(B122="613",B122="615",B122="616",B122="6226",B122="625",B122="626",B122="6281"),(1+I122)*(1-L122)*(1+M122),IF(OR(B122="6331",B122="63511",B122="6333"),(1+I122)*(1-L122),IF(B122="6811",1+I122,1))))))))</f>
        <v/>
      </c>
      <c r="P122">
        <f>IF(E122=1,F122*O122,"")</f>
        <v/>
      </c>
    </row>
    <row r="123">
      <c r="A123">
        <f>PNL!A123</f>
        <v/>
      </c>
      <c r="B123">
        <f>PNL!B123</f>
        <v/>
      </c>
      <c r="C123">
        <f>PNL!C123</f>
        <v/>
      </c>
      <c r="D123">
        <f>PNL!D123</f>
        <v/>
      </c>
      <c r="E123">
        <f>IF(AND(C123="2027",OR(D123="V01",D123="V02",D123="V03")),1,0)</f>
        <v/>
      </c>
      <c r="F123">
        <f>IF(E123=1,SUMIFS(Compta!$F$2:$F$675,Compta!$A$2:$A$675,A123,Compta!$B$2:$B$675,B123,Compta!$C$2:$C$675,"2026"),0)</f>
        <v/>
      </c>
      <c r="G123">
        <f>IF(D123="V01",cad!$I$21,IF(D123="V02",cad!$J$21,cad!$K$21))</f>
        <v/>
      </c>
      <c r="H123">
        <f>IF(D123="V01",cad!$I$22,IF(D123="V02",cad!$J$22,cad!$K$22))</f>
        <v/>
      </c>
      <c r="I123">
        <f>IF(D123="V01",cad!$I$27,IF(D123="V02",cad!$J$27,cad!$K$27))</f>
        <v/>
      </c>
      <c r="J123">
        <f>IF(D123="V01",cad!$I$28,IF(D123="V02",cad!$J$28,cad!$K$28))</f>
        <v/>
      </c>
      <c r="K123">
        <f>IF(D123="V01",cad!$I$29,IF(D123="V02",cad!$J$29,cad!$K$29))</f>
        <v/>
      </c>
      <c r="L123">
        <f>IF(D123="V01",cad!$I$30,IF(D123="V02",cad!$J$30,cad!$K$30))</f>
        <v/>
      </c>
      <c r="M123">
        <f>IF(D123="V01",cad!$I$31,IF(D123="V02",cad!$J$31,cad!$K$31))</f>
        <v/>
      </c>
      <c r="N123">
        <f>IF(D123="V01",$R$2,IF(D123="V02",$R$3,$R$4))</f>
        <v/>
      </c>
      <c r="O123">
        <f>IF(OR(B123="7062",B123="706",B123="708"),N123,IF(B123="6231",1+G123,IF(B123="6236",1+H123,IF(OR(B123="621",B123="604",B123="6063"),N123*(1-L123),IF(OR(B123="6411",B123="6413",B123="6414",B123="645"),(1+J123)*(1+K123),IF(OR(B123="613",B123="615",B123="616",B123="6226",B123="625",B123="626",B123="6281"),(1+I123)*(1-L123)*(1+M123),IF(OR(B123="6331",B123="63511",B123="6333"),(1+I123)*(1-L123),IF(B123="6811",1+I123,1))))))))</f>
        <v/>
      </c>
      <c r="P123">
        <f>IF(E123=1,F123*O123,"")</f>
        <v/>
      </c>
    </row>
    <row r="124">
      <c r="A124">
        <f>PNL!A124</f>
        <v/>
      </c>
      <c r="B124">
        <f>PNL!B124</f>
        <v/>
      </c>
      <c r="C124">
        <f>PNL!C124</f>
        <v/>
      </c>
      <c r="D124">
        <f>PNL!D124</f>
        <v/>
      </c>
      <c r="E124">
        <f>IF(AND(C124="2027",OR(D124="V01",D124="V02",D124="V03")),1,0)</f>
        <v/>
      </c>
      <c r="F124">
        <f>IF(E124=1,SUMIFS(Compta!$F$2:$F$675,Compta!$A$2:$A$675,A124,Compta!$B$2:$B$675,B124,Compta!$C$2:$C$675,"2026"),0)</f>
        <v/>
      </c>
      <c r="G124">
        <f>IF(D124="V01",cad!$I$21,IF(D124="V02",cad!$J$21,cad!$K$21))</f>
        <v/>
      </c>
      <c r="H124">
        <f>IF(D124="V01",cad!$I$22,IF(D124="V02",cad!$J$22,cad!$K$22))</f>
        <v/>
      </c>
      <c r="I124">
        <f>IF(D124="V01",cad!$I$27,IF(D124="V02",cad!$J$27,cad!$K$27))</f>
        <v/>
      </c>
      <c r="J124">
        <f>IF(D124="V01",cad!$I$28,IF(D124="V02",cad!$J$28,cad!$K$28))</f>
        <v/>
      </c>
      <c r="K124">
        <f>IF(D124="V01",cad!$I$29,IF(D124="V02",cad!$J$29,cad!$K$29))</f>
        <v/>
      </c>
      <c r="L124">
        <f>IF(D124="V01",cad!$I$30,IF(D124="V02",cad!$J$30,cad!$K$30))</f>
        <v/>
      </c>
      <c r="M124">
        <f>IF(D124="V01",cad!$I$31,IF(D124="V02",cad!$J$31,cad!$K$31))</f>
        <v/>
      </c>
      <c r="N124">
        <f>IF(D124="V01",$R$2,IF(D124="V02",$R$3,$R$4))</f>
        <v/>
      </c>
      <c r="O124">
        <f>IF(OR(B124="7062",B124="706",B124="708"),N124,IF(B124="6231",1+G124,IF(B124="6236",1+H124,IF(OR(B124="621",B124="604",B124="6063"),N124*(1-L124),IF(OR(B124="6411",B124="6413",B124="6414",B124="645"),(1+J124)*(1+K124),IF(OR(B124="613",B124="615",B124="616",B124="6226",B124="625",B124="626",B124="6281"),(1+I124)*(1-L124)*(1+M124),IF(OR(B124="6331",B124="63511",B124="6333"),(1+I124)*(1-L124),IF(B124="6811",1+I124,1))))))))</f>
        <v/>
      </c>
      <c r="P124">
        <f>IF(E124=1,F124*O124,"")</f>
        <v/>
      </c>
    </row>
    <row r="125">
      <c r="A125">
        <f>PNL!A125</f>
        <v/>
      </c>
      <c r="B125">
        <f>PNL!B125</f>
        <v/>
      </c>
      <c r="C125">
        <f>PNL!C125</f>
        <v/>
      </c>
      <c r="D125">
        <f>PNL!D125</f>
        <v/>
      </c>
      <c r="E125">
        <f>IF(AND(C125="2027",OR(D125="V01",D125="V02",D125="V03")),1,0)</f>
        <v/>
      </c>
      <c r="F125">
        <f>IF(E125=1,SUMIFS(Compta!$F$2:$F$675,Compta!$A$2:$A$675,A125,Compta!$B$2:$B$675,B125,Compta!$C$2:$C$675,"2026"),0)</f>
        <v/>
      </c>
      <c r="G125">
        <f>IF(D125="V01",cad!$I$21,IF(D125="V02",cad!$J$21,cad!$K$21))</f>
        <v/>
      </c>
      <c r="H125">
        <f>IF(D125="V01",cad!$I$22,IF(D125="V02",cad!$J$22,cad!$K$22))</f>
        <v/>
      </c>
      <c r="I125">
        <f>IF(D125="V01",cad!$I$27,IF(D125="V02",cad!$J$27,cad!$K$27))</f>
        <v/>
      </c>
      <c r="J125">
        <f>IF(D125="V01",cad!$I$28,IF(D125="V02",cad!$J$28,cad!$K$28))</f>
        <v/>
      </c>
      <c r="K125">
        <f>IF(D125="V01",cad!$I$29,IF(D125="V02",cad!$J$29,cad!$K$29))</f>
        <v/>
      </c>
      <c r="L125">
        <f>IF(D125="V01",cad!$I$30,IF(D125="V02",cad!$J$30,cad!$K$30))</f>
        <v/>
      </c>
      <c r="M125">
        <f>IF(D125="V01",cad!$I$31,IF(D125="V02",cad!$J$31,cad!$K$31))</f>
        <v/>
      </c>
      <c r="N125">
        <f>IF(D125="V01",$R$2,IF(D125="V02",$R$3,$R$4))</f>
        <v/>
      </c>
      <c r="O125">
        <f>IF(OR(B125="7062",B125="706",B125="708"),N125,IF(B125="6231",1+G125,IF(B125="6236",1+H125,IF(OR(B125="621",B125="604",B125="6063"),N125*(1-L125),IF(OR(B125="6411",B125="6413",B125="6414",B125="645"),(1+J125)*(1+K125),IF(OR(B125="613",B125="615",B125="616",B125="6226",B125="625",B125="626",B125="6281"),(1+I125)*(1-L125)*(1+M125),IF(OR(B125="6331",B125="63511",B125="6333"),(1+I125)*(1-L125),IF(B125="6811",1+I125,1))))))))</f>
        <v/>
      </c>
      <c r="P125">
        <f>IF(E125=1,F125*O125,"")</f>
        <v/>
      </c>
    </row>
    <row r="126">
      <c r="A126">
        <f>PNL!A126</f>
        <v/>
      </c>
      <c r="B126">
        <f>PNL!B126</f>
        <v/>
      </c>
      <c r="C126">
        <f>PNL!C126</f>
        <v/>
      </c>
      <c r="D126">
        <f>PNL!D126</f>
        <v/>
      </c>
      <c r="E126">
        <f>IF(AND(C126="2027",OR(D126="V01",D126="V02",D126="V03")),1,0)</f>
        <v/>
      </c>
      <c r="F126">
        <f>IF(E126=1,SUMIFS(Compta!$F$2:$F$675,Compta!$A$2:$A$675,A126,Compta!$B$2:$B$675,B126,Compta!$C$2:$C$675,"2026"),0)</f>
        <v/>
      </c>
      <c r="G126">
        <f>IF(D126="V01",cad!$I$21,IF(D126="V02",cad!$J$21,cad!$K$21))</f>
        <v/>
      </c>
      <c r="H126">
        <f>IF(D126="V01",cad!$I$22,IF(D126="V02",cad!$J$22,cad!$K$22))</f>
        <v/>
      </c>
      <c r="I126">
        <f>IF(D126="V01",cad!$I$27,IF(D126="V02",cad!$J$27,cad!$K$27))</f>
        <v/>
      </c>
      <c r="J126">
        <f>IF(D126="V01",cad!$I$28,IF(D126="V02",cad!$J$28,cad!$K$28))</f>
        <v/>
      </c>
      <c r="K126">
        <f>IF(D126="V01",cad!$I$29,IF(D126="V02",cad!$J$29,cad!$K$29))</f>
        <v/>
      </c>
      <c r="L126">
        <f>IF(D126="V01",cad!$I$30,IF(D126="V02",cad!$J$30,cad!$K$30))</f>
        <v/>
      </c>
      <c r="M126">
        <f>IF(D126="V01",cad!$I$31,IF(D126="V02",cad!$J$31,cad!$K$31))</f>
        <v/>
      </c>
      <c r="N126">
        <f>IF(D126="V01",$R$2,IF(D126="V02",$R$3,$R$4))</f>
        <v/>
      </c>
      <c r="O126">
        <f>IF(OR(B126="7062",B126="706",B126="708"),N126,IF(B126="6231",1+G126,IF(B126="6236",1+H126,IF(OR(B126="621",B126="604",B126="6063"),N126*(1-L126),IF(OR(B126="6411",B126="6413",B126="6414",B126="645"),(1+J126)*(1+K126),IF(OR(B126="613",B126="615",B126="616",B126="6226",B126="625",B126="626",B126="6281"),(1+I126)*(1-L126)*(1+M126),IF(OR(B126="6331",B126="63511",B126="6333"),(1+I126)*(1-L126),IF(B126="6811",1+I126,1))))))))</f>
        <v/>
      </c>
      <c r="P126">
        <f>IF(E126=1,F126*O126,"")</f>
        <v/>
      </c>
    </row>
    <row r="127">
      <c r="A127">
        <f>PNL!A127</f>
        <v/>
      </c>
      <c r="B127">
        <f>PNL!B127</f>
        <v/>
      </c>
      <c r="C127">
        <f>PNL!C127</f>
        <v/>
      </c>
      <c r="D127">
        <f>PNL!D127</f>
        <v/>
      </c>
      <c r="E127">
        <f>IF(AND(C127="2027",OR(D127="V01",D127="V02",D127="V03")),1,0)</f>
        <v/>
      </c>
      <c r="F127">
        <f>IF(E127=1,SUMIFS(Compta!$F$2:$F$675,Compta!$A$2:$A$675,A127,Compta!$B$2:$B$675,B127,Compta!$C$2:$C$675,"2026"),0)</f>
        <v/>
      </c>
      <c r="G127">
        <f>IF(D127="V01",cad!$I$21,IF(D127="V02",cad!$J$21,cad!$K$21))</f>
        <v/>
      </c>
      <c r="H127">
        <f>IF(D127="V01",cad!$I$22,IF(D127="V02",cad!$J$22,cad!$K$22))</f>
        <v/>
      </c>
      <c r="I127">
        <f>IF(D127="V01",cad!$I$27,IF(D127="V02",cad!$J$27,cad!$K$27))</f>
        <v/>
      </c>
      <c r="J127">
        <f>IF(D127="V01",cad!$I$28,IF(D127="V02",cad!$J$28,cad!$K$28))</f>
        <v/>
      </c>
      <c r="K127">
        <f>IF(D127="V01",cad!$I$29,IF(D127="V02",cad!$J$29,cad!$K$29))</f>
        <v/>
      </c>
      <c r="L127">
        <f>IF(D127="V01",cad!$I$30,IF(D127="V02",cad!$J$30,cad!$K$30))</f>
        <v/>
      </c>
      <c r="M127">
        <f>IF(D127="V01",cad!$I$31,IF(D127="V02",cad!$J$31,cad!$K$31))</f>
        <v/>
      </c>
      <c r="N127">
        <f>IF(D127="V01",$R$2,IF(D127="V02",$R$3,$R$4))</f>
        <v/>
      </c>
      <c r="O127">
        <f>IF(OR(B127="7062",B127="706",B127="708"),N127,IF(B127="6231",1+G127,IF(B127="6236",1+H127,IF(OR(B127="621",B127="604",B127="6063"),N127*(1-L127),IF(OR(B127="6411",B127="6413",B127="6414",B127="645"),(1+J127)*(1+K127),IF(OR(B127="613",B127="615",B127="616",B127="6226",B127="625",B127="626",B127="6281"),(1+I127)*(1-L127)*(1+M127),IF(OR(B127="6331",B127="63511",B127="6333"),(1+I127)*(1-L127),IF(B127="6811",1+I127,1))))))))</f>
        <v/>
      </c>
      <c r="P127">
        <f>IF(E127=1,F127*O127,"")</f>
        <v/>
      </c>
    </row>
    <row r="128">
      <c r="A128">
        <f>PNL!A128</f>
        <v/>
      </c>
      <c r="B128">
        <f>PNL!B128</f>
        <v/>
      </c>
      <c r="C128">
        <f>PNL!C128</f>
        <v/>
      </c>
      <c r="D128">
        <f>PNL!D128</f>
        <v/>
      </c>
      <c r="E128">
        <f>IF(AND(C128="2027",OR(D128="V01",D128="V02",D128="V03")),1,0)</f>
        <v/>
      </c>
      <c r="F128">
        <f>IF(E128=1,SUMIFS(Compta!$F$2:$F$675,Compta!$A$2:$A$675,A128,Compta!$B$2:$B$675,B128,Compta!$C$2:$C$675,"2026"),0)</f>
        <v/>
      </c>
      <c r="G128">
        <f>IF(D128="V01",cad!$I$21,IF(D128="V02",cad!$J$21,cad!$K$21))</f>
        <v/>
      </c>
      <c r="H128">
        <f>IF(D128="V01",cad!$I$22,IF(D128="V02",cad!$J$22,cad!$K$22))</f>
        <v/>
      </c>
      <c r="I128">
        <f>IF(D128="V01",cad!$I$27,IF(D128="V02",cad!$J$27,cad!$K$27))</f>
        <v/>
      </c>
      <c r="J128">
        <f>IF(D128="V01",cad!$I$28,IF(D128="V02",cad!$J$28,cad!$K$28))</f>
        <v/>
      </c>
      <c r="K128">
        <f>IF(D128="V01",cad!$I$29,IF(D128="V02",cad!$J$29,cad!$K$29))</f>
        <v/>
      </c>
      <c r="L128">
        <f>IF(D128="V01",cad!$I$30,IF(D128="V02",cad!$J$30,cad!$K$30))</f>
        <v/>
      </c>
      <c r="M128">
        <f>IF(D128="V01",cad!$I$31,IF(D128="V02",cad!$J$31,cad!$K$31))</f>
        <v/>
      </c>
      <c r="N128">
        <f>IF(D128="V01",$R$2,IF(D128="V02",$R$3,$R$4))</f>
        <v/>
      </c>
      <c r="O128">
        <f>IF(OR(B128="7062",B128="706",B128="708"),N128,IF(B128="6231",1+G128,IF(B128="6236",1+H128,IF(OR(B128="621",B128="604",B128="6063"),N128*(1-L128),IF(OR(B128="6411",B128="6413",B128="6414",B128="645"),(1+J128)*(1+K128),IF(OR(B128="613",B128="615",B128="616",B128="6226",B128="625",B128="626",B128="6281"),(1+I128)*(1-L128)*(1+M128),IF(OR(B128="6331",B128="63511",B128="6333"),(1+I128)*(1-L128),IF(B128="6811",1+I128,1))))))))</f>
        <v/>
      </c>
      <c r="P128">
        <f>IF(E128=1,F128*O128,"")</f>
        <v/>
      </c>
    </row>
    <row r="129">
      <c r="A129">
        <f>PNL!A129</f>
        <v/>
      </c>
      <c r="B129">
        <f>PNL!B129</f>
        <v/>
      </c>
      <c r="C129">
        <f>PNL!C129</f>
        <v/>
      </c>
      <c r="D129">
        <f>PNL!D129</f>
        <v/>
      </c>
      <c r="E129">
        <f>IF(AND(C129="2027",OR(D129="V01",D129="V02",D129="V03")),1,0)</f>
        <v/>
      </c>
      <c r="F129">
        <f>IF(E129=1,SUMIFS(Compta!$F$2:$F$675,Compta!$A$2:$A$675,A129,Compta!$B$2:$B$675,B129,Compta!$C$2:$C$675,"2026"),0)</f>
        <v/>
      </c>
      <c r="G129">
        <f>IF(D129="V01",cad!$I$21,IF(D129="V02",cad!$J$21,cad!$K$21))</f>
        <v/>
      </c>
      <c r="H129">
        <f>IF(D129="V01",cad!$I$22,IF(D129="V02",cad!$J$22,cad!$K$22))</f>
        <v/>
      </c>
      <c r="I129">
        <f>IF(D129="V01",cad!$I$27,IF(D129="V02",cad!$J$27,cad!$K$27))</f>
        <v/>
      </c>
      <c r="J129">
        <f>IF(D129="V01",cad!$I$28,IF(D129="V02",cad!$J$28,cad!$K$28))</f>
        <v/>
      </c>
      <c r="K129">
        <f>IF(D129="V01",cad!$I$29,IF(D129="V02",cad!$J$29,cad!$K$29))</f>
        <v/>
      </c>
      <c r="L129">
        <f>IF(D129="V01",cad!$I$30,IF(D129="V02",cad!$J$30,cad!$K$30))</f>
        <v/>
      </c>
      <c r="M129">
        <f>IF(D129="V01",cad!$I$31,IF(D129="V02",cad!$J$31,cad!$K$31))</f>
        <v/>
      </c>
      <c r="N129">
        <f>IF(D129="V01",$R$2,IF(D129="V02",$R$3,$R$4))</f>
        <v/>
      </c>
      <c r="O129">
        <f>IF(OR(B129="7062",B129="706",B129="708"),N129,IF(B129="6231",1+G129,IF(B129="6236",1+H129,IF(OR(B129="621",B129="604",B129="6063"),N129*(1-L129),IF(OR(B129="6411",B129="6413",B129="6414",B129="645"),(1+J129)*(1+K129),IF(OR(B129="613",B129="615",B129="616",B129="6226",B129="625",B129="626",B129="6281"),(1+I129)*(1-L129)*(1+M129),IF(OR(B129="6331",B129="63511",B129="6333"),(1+I129)*(1-L129),IF(B129="6811",1+I129,1))))))))</f>
        <v/>
      </c>
      <c r="P129">
        <f>IF(E129=1,F129*O129,"")</f>
        <v/>
      </c>
    </row>
    <row r="130">
      <c r="A130">
        <f>PNL!A130</f>
        <v/>
      </c>
      <c r="B130">
        <f>PNL!B130</f>
        <v/>
      </c>
      <c r="C130">
        <f>PNL!C130</f>
        <v/>
      </c>
      <c r="D130">
        <f>PNL!D130</f>
        <v/>
      </c>
      <c r="E130">
        <f>IF(AND(C130="2027",OR(D130="V01",D130="V02",D130="V03")),1,0)</f>
        <v/>
      </c>
      <c r="F130">
        <f>IF(E130=1,SUMIFS(Compta!$F$2:$F$675,Compta!$A$2:$A$675,A130,Compta!$B$2:$B$675,B130,Compta!$C$2:$C$675,"2026"),0)</f>
        <v/>
      </c>
      <c r="G130">
        <f>IF(D130="V01",cad!$I$21,IF(D130="V02",cad!$J$21,cad!$K$21))</f>
        <v/>
      </c>
      <c r="H130">
        <f>IF(D130="V01",cad!$I$22,IF(D130="V02",cad!$J$22,cad!$K$22))</f>
        <v/>
      </c>
      <c r="I130">
        <f>IF(D130="V01",cad!$I$27,IF(D130="V02",cad!$J$27,cad!$K$27))</f>
        <v/>
      </c>
      <c r="J130">
        <f>IF(D130="V01",cad!$I$28,IF(D130="V02",cad!$J$28,cad!$K$28))</f>
        <v/>
      </c>
      <c r="K130">
        <f>IF(D130="V01",cad!$I$29,IF(D130="V02",cad!$J$29,cad!$K$29))</f>
        <v/>
      </c>
      <c r="L130">
        <f>IF(D130="V01",cad!$I$30,IF(D130="V02",cad!$J$30,cad!$K$30))</f>
        <v/>
      </c>
      <c r="M130">
        <f>IF(D130="V01",cad!$I$31,IF(D130="V02",cad!$J$31,cad!$K$31))</f>
        <v/>
      </c>
      <c r="N130">
        <f>IF(D130="V01",$R$2,IF(D130="V02",$R$3,$R$4))</f>
        <v/>
      </c>
      <c r="O130">
        <f>IF(OR(B130="7062",B130="706",B130="708"),N130,IF(B130="6231",1+G130,IF(B130="6236",1+H130,IF(OR(B130="621",B130="604",B130="6063"),N130*(1-L130),IF(OR(B130="6411",B130="6413",B130="6414",B130="645"),(1+J130)*(1+K130),IF(OR(B130="613",B130="615",B130="616",B130="6226",B130="625",B130="626",B130="6281"),(1+I130)*(1-L130)*(1+M130),IF(OR(B130="6331",B130="63511",B130="6333"),(1+I130)*(1-L130),IF(B130="6811",1+I130,1))))))))</f>
        <v/>
      </c>
      <c r="P130">
        <f>IF(E130=1,F130*O130,"")</f>
        <v/>
      </c>
    </row>
    <row r="131">
      <c r="A131">
        <f>PNL!A131</f>
        <v/>
      </c>
      <c r="B131">
        <f>PNL!B131</f>
        <v/>
      </c>
      <c r="C131">
        <f>PNL!C131</f>
        <v/>
      </c>
      <c r="D131">
        <f>PNL!D131</f>
        <v/>
      </c>
      <c r="E131">
        <f>IF(AND(C131="2027",OR(D131="V01",D131="V02",D131="V03")),1,0)</f>
        <v/>
      </c>
      <c r="F131">
        <f>IF(E131=1,SUMIFS(Compta!$F$2:$F$675,Compta!$A$2:$A$675,A131,Compta!$B$2:$B$675,B131,Compta!$C$2:$C$675,"2026"),0)</f>
        <v/>
      </c>
      <c r="G131">
        <f>IF(D131="V01",cad!$I$21,IF(D131="V02",cad!$J$21,cad!$K$21))</f>
        <v/>
      </c>
      <c r="H131">
        <f>IF(D131="V01",cad!$I$22,IF(D131="V02",cad!$J$22,cad!$K$22))</f>
        <v/>
      </c>
      <c r="I131">
        <f>IF(D131="V01",cad!$I$27,IF(D131="V02",cad!$J$27,cad!$K$27))</f>
        <v/>
      </c>
      <c r="J131">
        <f>IF(D131="V01",cad!$I$28,IF(D131="V02",cad!$J$28,cad!$K$28))</f>
        <v/>
      </c>
      <c r="K131">
        <f>IF(D131="V01",cad!$I$29,IF(D131="V02",cad!$J$29,cad!$K$29))</f>
        <v/>
      </c>
      <c r="L131">
        <f>IF(D131="V01",cad!$I$30,IF(D131="V02",cad!$J$30,cad!$K$30))</f>
        <v/>
      </c>
      <c r="M131">
        <f>IF(D131="V01",cad!$I$31,IF(D131="V02",cad!$J$31,cad!$K$31))</f>
        <v/>
      </c>
      <c r="N131">
        <f>IF(D131="V01",$R$2,IF(D131="V02",$R$3,$R$4))</f>
        <v/>
      </c>
      <c r="O131">
        <f>IF(OR(B131="7062",B131="706",B131="708"),N131,IF(B131="6231",1+G131,IF(B131="6236",1+H131,IF(OR(B131="621",B131="604",B131="6063"),N131*(1-L131),IF(OR(B131="6411",B131="6413",B131="6414",B131="645"),(1+J131)*(1+K131),IF(OR(B131="613",B131="615",B131="616",B131="6226",B131="625",B131="626",B131="6281"),(1+I131)*(1-L131)*(1+M131),IF(OR(B131="6331",B131="63511",B131="6333"),(1+I131)*(1-L131),IF(B131="6811",1+I131,1))))))))</f>
        <v/>
      </c>
      <c r="P131">
        <f>IF(E131=1,F131*O131,"")</f>
        <v/>
      </c>
    </row>
    <row r="132">
      <c r="A132">
        <f>PNL!A132</f>
        <v/>
      </c>
      <c r="B132">
        <f>PNL!B132</f>
        <v/>
      </c>
      <c r="C132">
        <f>PNL!C132</f>
        <v/>
      </c>
      <c r="D132">
        <f>PNL!D132</f>
        <v/>
      </c>
      <c r="E132">
        <f>IF(AND(C132="2027",OR(D132="V01",D132="V02",D132="V03")),1,0)</f>
        <v/>
      </c>
      <c r="F132">
        <f>IF(E132=1,SUMIFS(Compta!$F$2:$F$675,Compta!$A$2:$A$675,A132,Compta!$B$2:$B$675,B132,Compta!$C$2:$C$675,"2026"),0)</f>
        <v/>
      </c>
      <c r="G132">
        <f>IF(D132="V01",cad!$I$21,IF(D132="V02",cad!$J$21,cad!$K$21))</f>
        <v/>
      </c>
      <c r="H132">
        <f>IF(D132="V01",cad!$I$22,IF(D132="V02",cad!$J$22,cad!$K$22))</f>
        <v/>
      </c>
      <c r="I132">
        <f>IF(D132="V01",cad!$I$27,IF(D132="V02",cad!$J$27,cad!$K$27))</f>
        <v/>
      </c>
      <c r="J132">
        <f>IF(D132="V01",cad!$I$28,IF(D132="V02",cad!$J$28,cad!$K$28))</f>
        <v/>
      </c>
      <c r="K132">
        <f>IF(D132="V01",cad!$I$29,IF(D132="V02",cad!$J$29,cad!$K$29))</f>
        <v/>
      </c>
      <c r="L132">
        <f>IF(D132="V01",cad!$I$30,IF(D132="V02",cad!$J$30,cad!$K$30))</f>
        <v/>
      </c>
      <c r="M132">
        <f>IF(D132="V01",cad!$I$31,IF(D132="V02",cad!$J$31,cad!$K$31))</f>
        <v/>
      </c>
      <c r="N132">
        <f>IF(D132="V01",$R$2,IF(D132="V02",$R$3,$R$4))</f>
        <v/>
      </c>
      <c r="O132">
        <f>IF(OR(B132="7062",B132="706",B132="708"),N132,IF(B132="6231",1+G132,IF(B132="6236",1+H132,IF(OR(B132="621",B132="604",B132="6063"),N132*(1-L132),IF(OR(B132="6411",B132="6413",B132="6414",B132="645"),(1+J132)*(1+K132),IF(OR(B132="613",B132="615",B132="616",B132="6226",B132="625",B132="626",B132="6281"),(1+I132)*(1-L132)*(1+M132),IF(OR(B132="6331",B132="63511",B132="6333"),(1+I132)*(1-L132),IF(B132="6811",1+I132,1))))))))</f>
        <v/>
      </c>
      <c r="P132">
        <f>IF(E132=1,F132*O132,"")</f>
        <v/>
      </c>
    </row>
    <row r="133">
      <c r="A133">
        <f>PNL!A133</f>
        <v/>
      </c>
      <c r="B133">
        <f>PNL!B133</f>
        <v/>
      </c>
      <c r="C133">
        <f>PNL!C133</f>
        <v/>
      </c>
      <c r="D133">
        <f>PNL!D133</f>
        <v/>
      </c>
      <c r="E133">
        <f>IF(AND(C133="2027",OR(D133="V01",D133="V02",D133="V03")),1,0)</f>
        <v/>
      </c>
      <c r="F133">
        <f>IF(E133=1,SUMIFS(Compta!$F$2:$F$675,Compta!$A$2:$A$675,A133,Compta!$B$2:$B$675,B133,Compta!$C$2:$C$675,"2026"),0)</f>
        <v/>
      </c>
      <c r="G133">
        <f>IF(D133="V01",cad!$I$21,IF(D133="V02",cad!$J$21,cad!$K$21))</f>
        <v/>
      </c>
      <c r="H133">
        <f>IF(D133="V01",cad!$I$22,IF(D133="V02",cad!$J$22,cad!$K$22))</f>
        <v/>
      </c>
      <c r="I133">
        <f>IF(D133="V01",cad!$I$27,IF(D133="V02",cad!$J$27,cad!$K$27))</f>
        <v/>
      </c>
      <c r="J133">
        <f>IF(D133="V01",cad!$I$28,IF(D133="V02",cad!$J$28,cad!$K$28))</f>
        <v/>
      </c>
      <c r="K133">
        <f>IF(D133="V01",cad!$I$29,IF(D133="V02",cad!$J$29,cad!$K$29))</f>
        <v/>
      </c>
      <c r="L133">
        <f>IF(D133="V01",cad!$I$30,IF(D133="V02",cad!$J$30,cad!$K$30))</f>
        <v/>
      </c>
      <c r="M133">
        <f>IF(D133="V01",cad!$I$31,IF(D133="V02",cad!$J$31,cad!$K$31))</f>
        <v/>
      </c>
      <c r="N133">
        <f>IF(D133="V01",$R$2,IF(D133="V02",$R$3,$R$4))</f>
        <v/>
      </c>
      <c r="O133">
        <f>IF(OR(B133="7062",B133="706",B133="708"),N133,IF(B133="6231",1+G133,IF(B133="6236",1+H133,IF(OR(B133="621",B133="604",B133="6063"),N133*(1-L133),IF(OR(B133="6411",B133="6413",B133="6414",B133="645"),(1+J133)*(1+K133),IF(OR(B133="613",B133="615",B133="616",B133="6226",B133="625",B133="626",B133="6281"),(1+I133)*(1-L133)*(1+M133),IF(OR(B133="6331",B133="63511",B133="6333"),(1+I133)*(1-L133),IF(B133="6811",1+I133,1))))))))</f>
        <v/>
      </c>
      <c r="P133">
        <f>IF(E133=1,F133*O133,"")</f>
        <v/>
      </c>
    </row>
    <row r="134">
      <c r="A134">
        <f>PNL!A134</f>
        <v/>
      </c>
      <c r="B134">
        <f>PNL!B134</f>
        <v/>
      </c>
      <c r="C134">
        <f>PNL!C134</f>
        <v/>
      </c>
      <c r="D134">
        <f>PNL!D134</f>
        <v/>
      </c>
      <c r="E134">
        <f>IF(AND(C134="2027",OR(D134="V01",D134="V02",D134="V03")),1,0)</f>
        <v/>
      </c>
      <c r="F134">
        <f>IF(E134=1,SUMIFS(Compta!$F$2:$F$675,Compta!$A$2:$A$675,A134,Compta!$B$2:$B$675,B134,Compta!$C$2:$C$675,"2026"),0)</f>
        <v/>
      </c>
      <c r="G134">
        <f>IF(D134="V01",cad!$I$21,IF(D134="V02",cad!$J$21,cad!$K$21))</f>
        <v/>
      </c>
      <c r="H134">
        <f>IF(D134="V01",cad!$I$22,IF(D134="V02",cad!$J$22,cad!$K$22))</f>
        <v/>
      </c>
      <c r="I134">
        <f>IF(D134="V01",cad!$I$27,IF(D134="V02",cad!$J$27,cad!$K$27))</f>
        <v/>
      </c>
      <c r="J134">
        <f>IF(D134="V01",cad!$I$28,IF(D134="V02",cad!$J$28,cad!$K$28))</f>
        <v/>
      </c>
      <c r="K134">
        <f>IF(D134="V01",cad!$I$29,IF(D134="V02",cad!$J$29,cad!$K$29))</f>
        <v/>
      </c>
      <c r="L134">
        <f>IF(D134="V01",cad!$I$30,IF(D134="V02",cad!$J$30,cad!$K$30))</f>
        <v/>
      </c>
      <c r="M134">
        <f>IF(D134="V01",cad!$I$31,IF(D134="V02",cad!$J$31,cad!$K$31))</f>
        <v/>
      </c>
      <c r="N134">
        <f>IF(D134="V01",$R$2,IF(D134="V02",$R$3,$R$4))</f>
        <v/>
      </c>
      <c r="O134">
        <f>IF(OR(B134="7062",B134="706",B134="708"),N134,IF(B134="6231",1+G134,IF(B134="6236",1+H134,IF(OR(B134="621",B134="604",B134="6063"),N134*(1-L134),IF(OR(B134="6411",B134="6413",B134="6414",B134="645"),(1+J134)*(1+K134),IF(OR(B134="613",B134="615",B134="616",B134="6226",B134="625",B134="626",B134="6281"),(1+I134)*(1-L134)*(1+M134),IF(OR(B134="6331",B134="63511",B134="6333"),(1+I134)*(1-L134),IF(B134="6811",1+I134,1))))))))</f>
        <v/>
      </c>
      <c r="P134">
        <f>IF(E134=1,F134*O134,"")</f>
        <v/>
      </c>
    </row>
    <row r="135">
      <c r="A135">
        <f>PNL!A135</f>
        <v/>
      </c>
      <c r="B135">
        <f>PNL!B135</f>
        <v/>
      </c>
      <c r="C135">
        <f>PNL!C135</f>
        <v/>
      </c>
      <c r="D135">
        <f>PNL!D135</f>
        <v/>
      </c>
      <c r="E135">
        <f>IF(AND(C135="2027",OR(D135="V01",D135="V02",D135="V03")),1,0)</f>
        <v/>
      </c>
      <c r="F135">
        <f>IF(E135=1,SUMIFS(Compta!$F$2:$F$675,Compta!$A$2:$A$675,A135,Compta!$B$2:$B$675,B135,Compta!$C$2:$C$675,"2026"),0)</f>
        <v/>
      </c>
      <c r="G135">
        <f>IF(D135="V01",cad!$I$21,IF(D135="V02",cad!$J$21,cad!$K$21))</f>
        <v/>
      </c>
      <c r="H135">
        <f>IF(D135="V01",cad!$I$22,IF(D135="V02",cad!$J$22,cad!$K$22))</f>
        <v/>
      </c>
      <c r="I135">
        <f>IF(D135="V01",cad!$I$27,IF(D135="V02",cad!$J$27,cad!$K$27))</f>
        <v/>
      </c>
      <c r="J135">
        <f>IF(D135="V01",cad!$I$28,IF(D135="V02",cad!$J$28,cad!$K$28))</f>
        <v/>
      </c>
      <c r="K135">
        <f>IF(D135="V01",cad!$I$29,IF(D135="V02",cad!$J$29,cad!$K$29))</f>
        <v/>
      </c>
      <c r="L135">
        <f>IF(D135="V01",cad!$I$30,IF(D135="V02",cad!$J$30,cad!$K$30))</f>
        <v/>
      </c>
      <c r="M135">
        <f>IF(D135="V01",cad!$I$31,IF(D135="V02",cad!$J$31,cad!$K$31))</f>
        <v/>
      </c>
      <c r="N135">
        <f>IF(D135="V01",$R$2,IF(D135="V02",$R$3,$R$4))</f>
        <v/>
      </c>
      <c r="O135">
        <f>IF(OR(B135="7062",B135="706",B135="708"),N135,IF(B135="6231",1+G135,IF(B135="6236",1+H135,IF(OR(B135="621",B135="604",B135="6063"),N135*(1-L135),IF(OR(B135="6411",B135="6413",B135="6414",B135="645"),(1+J135)*(1+K135),IF(OR(B135="613",B135="615",B135="616",B135="6226",B135="625",B135="626",B135="6281"),(1+I135)*(1-L135)*(1+M135),IF(OR(B135="6331",B135="63511",B135="6333"),(1+I135)*(1-L135),IF(B135="6811",1+I135,1))))))))</f>
        <v/>
      </c>
      <c r="P135">
        <f>IF(E135=1,F135*O135,"")</f>
        <v/>
      </c>
    </row>
    <row r="136">
      <c r="A136">
        <f>PNL!A136</f>
        <v/>
      </c>
      <c r="B136">
        <f>PNL!B136</f>
        <v/>
      </c>
      <c r="C136">
        <f>PNL!C136</f>
        <v/>
      </c>
      <c r="D136">
        <f>PNL!D136</f>
        <v/>
      </c>
      <c r="E136">
        <f>IF(AND(C136="2027",OR(D136="V01",D136="V02",D136="V03")),1,0)</f>
        <v/>
      </c>
      <c r="F136">
        <f>IF(E136=1,SUMIFS(Compta!$F$2:$F$675,Compta!$A$2:$A$675,A136,Compta!$B$2:$B$675,B136,Compta!$C$2:$C$675,"2026"),0)</f>
        <v/>
      </c>
      <c r="G136">
        <f>IF(D136="V01",cad!$I$21,IF(D136="V02",cad!$J$21,cad!$K$21))</f>
        <v/>
      </c>
      <c r="H136">
        <f>IF(D136="V01",cad!$I$22,IF(D136="V02",cad!$J$22,cad!$K$22))</f>
        <v/>
      </c>
      <c r="I136">
        <f>IF(D136="V01",cad!$I$27,IF(D136="V02",cad!$J$27,cad!$K$27))</f>
        <v/>
      </c>
      <c r="J136">
        <f>IF(D136="V01",cad!$I$28,IF(D136="V02",cad!$J$28,cad!$K$28))</f>
        <v/>
      </c>
      <c r="K136">
        <f>IF(D136="V01",cad!$I$29,IF(D136="V02",cad!$J$29,cad!$K$29))</f>
        <v/>
      </c>
      <c r="L136">
        <f>IF(D136="V01",cad!$I$30,IF(D136="V02",cad!$J$30,cad!$K$30))</f>
        <v/>
      </c>
      <c r="M136">
        <f>IF(D136="V01",cad!$I$31,IF(D136="V02",cad!$J$31,cad!$K$31))</f>
        <v/>
      </c>
      <c r="N136">
        <f>IF(D136="V01",$R$2,IF(D136="V02",$R$3,$R$4))</f>
        <v/>
      </c>
      <c r="O136">
        <f>IF(OR(B136="7062",B136="706",B136="708"),N136,IF(B136="6231",1+G136,IF(B136="6236",1+H136,IF(OR(B136="621",B136="604",B136="6063"),N136*(1-L136),IF(OR(B136="6411",B136="6413",B136="6414",B136="645"),(1+J136)*(1+K136),IF(OR(B136="613",B136="615",B136="616",B136="6226",B136="625",B136="626",B136="6281"),(1+I136)*(1-L136)*(1+M136),IF(OR(B136="6331",B136="63511",B136="6333"),(1+I136)*(1-L136),IF(B136="6811",1+I136,1))))))))</f>
        <v/>
      </c>
      <c r="P136">
        <f>IF(E136=1,F136*O136,"")</f>
        <v/>
      </c>
    </row>
    <row r="137">
      <c r="A137">
        <f>PNL!A137</f>
        <v/>
      </c>
      <c r="B137">
        <f>PNL!B137</f>
        <v/>
      </c>
      <c r="C137">
        <f>PNL!C137</f>
        <v/>
      </c>
      <c r="D137">
        <f>PNL!D137</f>
        <v/>
      </c>
      <c r="E137">
        <f>IF(AND(C137="2027",OR(D137="V01",D137="V02",D137="V03")),1,0)</f>
        <v/>
      </c>
      <c r="F137">
        <f>IF(E137=1,SUMIFS(Compta!$F$2:$F$675,Compta!$A$2:$A$675,A137,Compta!$B$2:$B$675,B137,Compta!$C$2:$C$675,"2026"),0)</f>
        <v/>
      </c>
      <c r="G137">
        <f>IF(D137="V01",cad!$I$21,IF(D137="V02",cad!$J$21,cad!$K$21))</f>
        <v/>
      </c>
      <c r="H137">
        <f>IF(D137="V01",cad!$I$22,IF(D137="V02",cad!$J$22,cad!$K$22))</f>
        <v/>
      </c>
      <c r="I137">
        <f>IF(D137="V01",cad!$I$27,IF(D137="V02",cad!$J$27,cad!$K$27))</f>
        <v/>
      </c>
      <c r="J137">
        <f>IF(D137="V01",cad!$I$28,IF(D137="V02",cad!$J$28,cad!$K$28))</f>
        <v/>
      </c>
      <c r="K137">
        <f>IF(D137="V01",cad!$I$29,IF(D137="V02",cad!$J$29,cad!$K$29))</f>
        <v/>
      </c>
      <c r="L137">
        <f>IF(D137="V01",cad!$I$30,IF(D137="V02",cad!$J$30,cad!$K$30))</f>
        <v/>
      </c>
      <c r="M137">
        <f>IF(D137="V01",cad!$I$31,IF(D137="V02",cad!$J$31,cad!$K$31))</f>
        <v/>
      </c>
      <c r="N137">
        <f>IF(D137="V01",$R$2,IF(D137="V02",$R$3,$R$4))</f>
        <v/>
      </c>
      <c r="O137">
        <f>IF(OR(B137="7062",B137="706",B137="708"),N137,IF(B137="6231",1+G137,IF(B137="6236",1+H137,IF(OR(B137="621",B137="604",B137="6063"),N137*(1-L137),IF(OR(B137="6411",B137="6413",B137="6414",B137="645"),(1+J137)*(1+K137),IF(OR(B137="613",B137="615",B137="616",B137="6226",B137="625",B137="626",B137="6281"),(1+I137)*(1-L137)*(1+M137),IF(OR(B137="6331",B137="63511",B137="6333"),(1+I137)*(1-L137),IF(B137="6811",1+I137,1))))))))</f>
        <v/>
      </c>
      <c r="P137">
        <f>IF(E137=1,F137*O137,"")</f>
        <v/>
      </c>
    </row>
    <row r="138">
      <c r="A138">
        <f>PNL!A138</f>
        <v/>
      </c>
      <c r="B138">
        <f>PNL!B138</f>
        <v/>
      </c>
      <c r="C138">
        <f>PNL!C138</f>
        <v/>
      </c>
      <c r="D138">
        <f>PNL!D138</f>
        <v/>
      </c>
      <c r="E138">
        <f>IF(AND(C138="2027",OR(D138="V01",D138="V02",D138="V03")),1,0)</f>
        <v/>
      </c>
      <c r="F138">
        <f>IF(E138=1,SUMIFS(Compta!$F$2:$F$675,Compta!$A$2:$A$675,A138,Compta!$B$2:$B$675,B138,Compta!$C$2:$C$675,"2026"),0)</f>
        <v/>
      </c>
      <c r="G138">
        <f>IF(D138="V01",cad!$I$21,IF(D138="V02",cad!$J$21,cad!$K$21))</f>
        <v/>
      </c>
      <c r="H138">
        <f>IF(D138="V01",cad!$I$22,IF(D138="V02",cad!$J$22,cad!$K$22))</f>
        <v/>
      </c>
      <c r="I138">
        <f>IF(D138="V01",cad!$I$27,IF(D138="V02",cad!$J$27,cad!$K$27))</f>
        <v/>
      </c>
      <c r="J138">
        <f>IF(D138="V01",cad!$I$28,IF(D138="V02",cad!$J$28,cad!$K$28))</f>
        <v/>
      </c>
      <c r="K138">
        <f>IF(D138="V01",cad!$I$29,IF(D138="V02",cad!$J$29,cad!$K$29))</f>
        <v/>
      </c>
      <c r="L138">
        <f>IF(D138="V01",cad!$I$30,IF(D138="V02",cad!$J$30,cad!$K$30))</f>
        <v/>
      </c>
      <c r="M138">
        <f>IF(D138="V01",cad!$I$31,IF(D138="V02",cad!$J$31,cad!$K$31))</f>
        <v/>
      </c>
      <c r="N138">
        <f>IF(D138="V01",$R$2,IF(D138="V02",$R$3,$R$4))</f>
        <v/>
      </c>
      <c r="O138">
        <f>IF(OR(B138="7062",B138="706",B138="708"),N138,IF(B138="6231",1+G138,IF(B138="6236",1+H138,IF(OR(B138="621",B138="604",B138="6063"),N138*(1-L138),IF(OR(B138="6411",B138="6413",B138="6414",B138="645"),(1+J138)*(1+K138),IF(OR(B138="613",B138="615",B138="616",B138="6226",B138="625",B138="626",B138="6281"),(1+I138)*(1-L138)*(1+M138),IF(OR(B138="6331",B138="63511",B138="6333"),(1+I138)*(1-L138),IF(B138="6811",1+I138,1))))))))</f>
        <v/>
      </c>
      <c r="P138">
        <f>IF(E138=1,F138*O138,"")</f>
        <v/>
      </c>
    </row>
    <row r="139">
      <c r="A139">
        <f>PNL!A139</f>
        <v/>
      </c>
      <c r="B139">
        <f>PNL!B139</f>
        <v/>
      </c>
      <c r="C139">
        <f>PNL!C139</f>
        <v/>
      </c>
      <c r="D139">
        <f>PNL!D139</f>
        <v/>
      </c>
      <c r="E139">
        <f>IF(AND(C139="2027",OR(D139="V01",D139="V02",D139="V03")),1,0)</f>
        <v/>
      </c>
      <c r="F139">
        <f>IF(E139=1,SUMIFS(Compta!$F$2:$F$675,Compta!$A$2:$A$675,A139,Compta!$B$2:$B$675,B139,Compta!$C$2:$C$675,"2026"),0)</f>
        <v/>
      </c>
      <c r="G139">
        <f>IF(D139="V01",cad!$I$21,IF(D139="V02",cad!$J$21,cad!$K$21))</f>
        <v/>
      </c>
      <c r="H139">
        <f>IF(D139="V01",cad!$I$22,IF(D139="V02",cad!$J$22,cad!$K$22))</f>
        <v/>
      </c>
      <c r="I139">
        <f>IF(D139="V01",cad!$I$27,IF(D139="V02",cad!$J$27,cad!$K$27))</f>
        <v/>
      </c>
      <c r="J139">
        <f>IF(D139="V01",cad!$I$28,IF(D139="V02",cad!$J$28,cad!$K$28))</f>
        <v/>
      </c>
      <c r="K139">
        <f>IF(D139="V01",cad!$I$29,IF(D139="V02",cad!$J$29,cad!$K$29))</f>
        <v/>
      </c>
      <c r="L139">
        <f>IF(D139="V01",cad!$I$30,IF(D139="V02",cad!$J$30,cad!$K$30))</f>
        <v/>
      </c>
      <c r="M139">
        <f>IF(D139="V01",cad!$I$31,IF(D139="V02",cad!$J$31,cad!$K$31))</f>
        <v/>
      </c>
      <c r="N139">
        <f>IF(D139="V01",$R$2,IF(D139="V02",$R$3,$R$4))</f>
        <v/>
      </c>
      <c r="O139">
        <f>IF(OR(B139="7062",B139="706",B139="708"),N139,IF(B139="6231",1+G139,IF(B139="6236",1+H139,IF(OR(B139="621",B139="604",B139="6063"),N139*(1-L139),IF(OR(B139="6411",B139="6413",B139="6414",B139="645"),(1+J139)*(1+K139),IF(OR(B139="613",B139="615",B139="616",B139="6226",B139="625",B139="626",B139="6281"),(1+I139)*(1-L139)*(1+M139),IF(OR(B139="6331",B139="63511",B139="6333"),(1+I139)*(1-L139),IF(B139="6811",1+I139,1))))))))</f>
        <v/>
      </c>
      <c r="P139">
        <f>IF(E139=1,F139*O139,"")</f>
        <v/>
      </c>
    </row>
    <row r="140">
      <c r="A140">
        <f>PNL!A140</f>
        <v/>
      </c>
      <c r="B140">
        <f>PNL!B140</f>
        <v/>
      </c>
      <c r="C140">
        <f>PNL!C140</f>
        <v/>
      </c>
      <c r="D140">
        <f>PNL!D140</f>
        <v/>
      </c>
      <c r="E140">
        <f>IF(AND(C140="2027",OR(D140="V01",D140="V02",D140="V03")),1,0)</f>
        <v/>
      </c>
      <c r="F140">
        <f>IF(E140=1,SUMIFS(Compta!$F$2:$F$675,Compta!$A$2:$A$675,A140,Compta!$B$2:$B$675,B140,Compta!$C$2:$C$675,"2026"),0)</f>
        <v/>
      </c>
      <c r="G140">
        <f>IF(D140="V01",cad!$I$21,IF(D140="V02",cad!$J$21,cad!$K$21))</f>
        <v/>
      </c>
      <c r="H140">
        <f>IF(D140="V01",cad!$I$22,IF(D140="V02",cad!$J$22,cad!$K$22))</f>
        <v/>
      </c>
      <c r="I140">
        <f>IF(D140="V01",cad!$I$27,IF(D140="V02",cad!$J$27,cad!$K$27))</f>
        <v/>
      </c>
      <c r="J140">
        <f>IF(D140="V01",cad!$I$28,IF(D140="V02",cad!$J$28,cad!$K$28))</f>
        <v/>
      </c>
      <c r="K140">
        <f>IF(D140="V01",cad!$I$29,IF(D140="V02",cad!$J$29,cad!$K$29))</f>
        <v/>
      </c>
      <c r="L140">
        <f>IF(D140="V01",cad!$I$30,IF(D140="V02",cad!$J$30,cad!$K$30))</f>
        <v/>
      </c>
      <c r="M140">
        <f>IF(D140="V01",cad!$I$31,IF(D140="V02",cad!$J$31,cad!$K$31))</f>
        <v/>
      </c>
      <c r="N140">
        <f>IF(D140="V01",$R$2,IF(D140="V02",$R$3,$R$4))</f>
        <v/>
      </c>
      <c r="O140">
        <f>IF(OR(B140="7062",B140="706",B140="708"),N140,IF(B140="6231",1+G140,IF(B140="6236",1+H140,IF(OR(B140="621",B140="604",B140="6063"),N140*(1-L140),IF(OR(B140="6411",B140="6413",B140="6414",B140="645"),(1+J140)*(1+K140),IF(OR(B140="613",B140="615",B140="616",B140="6226",B140="625",B140="626",B140="6281"),(1+I140)*(1-L140)*(1+M140),IF(OR(B140="6331",B140="63511",B140="6333"),(1+I140)*(1-L140),IF(B140="6811",1+I140,1))))))))</f>
        <v/>
      </c>
      <c r="P140">
        <f>IF(E140=1,F140*O140,"")</f>
        <v/>
      </c>
    </row>
    <row r="141">
      <c r="A141">
        <f>PNL!A141</f>
        <v/>
      </c>
      <c r="B141">
        <f>PNL!B141</f>
        <v/>
      </c>
      <c r="C141">
        <f>PNL!C141</f>
        <v/>
      </c>
      <c r="D141">
        <f>PNL!D141</f>
        <v/>
      </c>
      <c r="E141">
        <f>IF(AND(C141="2027",OR(D141="V01",D141="V02",D141="V03")),1,0)</f>
        <v/>
      </c>
      <c r="F141">
        <f>IF(E141=1,SUMIFS(Compta!$F$2:$F$675,Compta!$A$2:$A$675,A141,Compta!$B$2:$B$675,B141,Compta!$C$2:$C$675,"2026"),0)</f>
        <v/>
      </c>
      <c r="G141">
        <f>IF(D141="V01",cad!$I$21,IF(D141="V02",cad!$J$21,cad!$K$21))</f>
        <v/>
      </c>
      <c r="H141">
        <f>IF(D141="V01",cad!$I$22,IF(D141="V02",cad!$J$22,cad!$K$22))</f>
        <v/>
      </c>
      <c r="I141">
        <f>IF(D141="V01",cad!$I$27,IF(D141="V02",cad!$J$27,cad!$K$27))</f>
        <v/>
      </c>
      <c r="J141">
        <f>IF(D141="V01",cad!$I$28,IF(D141="V02",cad!$J$28,cad!$K$28))</f>
        <v/>
      </c>
      <c r="K141">
        <f>IF(D141="V01",cad!$I$29,IF(D141="V02",cad!$J$29,cad!$K$29))</f>
        <v/>
      </c>
      <c r="L141">
        <f>IF(D141="V01",cad!$I$30,IF(D141="V02",cad!$J$30,cad!$K$30))</f>
        <v/>
      </c>
      <c r="M141">
        <f>IF(D141="V01",cad!$I$31,IF(D141="V02",cad!$J$31,cad!$K$31))</f>
        <v/>
      </c>
      <c r="N141">
        <f>IF(D141="V01",$R$2,IF(D141="V02",$R$3,$R$4))</f>
        <v/>
      </c>
      <c r="O141">
        <f>IF(OR(B141="7062",B141="706",B141="708"),N141,IF(B141="6231",1+G141,IF(B141="6236",1+H141,IF(OR(B141="621",B141="604",B141="6063"),N141*(1-L141),IF(OR(B141="6411",B141="6413",B141="6414",B141="645"),(1+J141)*(1+K141),IF(OR(B141="613",B141="615",B141="616",B141="6226",B141="625",B141="626",B141="6281"),(1+I141)*(1-L141)*(1+M141),IF(OR(B141="6331",B141="63511",B141="6333"),(1+I141)*(1-L141),IF(B141="6811",1+I141,1))))))))</f>
        <v/>
      </c>
      <c r="P141">
        <f>IF(E141=1,F141*O141,"")</f>
        <v/>
      </c>
    </row>
    <row r="142">
      <c r="A142">
        <f>PNL!A142</f>
        <v/>
      </c>
      <c r="B142">
        <f>PNL!B142</f>
        <v/>
      </c>
      <c r="C142">
        <f>PNL!C142</f>
        <v/>
      </c>
      <c r="D142">
        <f>PNL!D142</f>
        <v/>
      </c>
      <c r="E142">
        <f>IF(AND(C142="2027",OR(D142="V01",D142="V02",D142="V03")),1,0)</f>
        <v/>
      </c>
      <c r="F142">
        <f>IF(E142=1,SUMIFS(Compta!$F$2:$F$675,Compta!$A$2:$A$675,A142,Compta!$B$2:$B$675,B142,Compta!$C$2:$C$675,"2026"),0)</f>
        <v/>
      </c>
      <c r="G142">
        <f>IF(D142="V01",cad!$I$21,IF(D142="V02",cad!$J$21,cad!$K$21))</f>
        <v/>
      </c>
      <c r="H142">
        <f>IF(D142="V01",cad!$I$22,IF(D142="V02",cad!$J$22,cad!$K$22))</f>
        <v/>
      </c>
      <c r="I142">
        <f>IF(D142="V01",cad!$I$27,IF(D142="V02",cad!$J$27,cad!$K$27))</f>
        <v/>
      </c>
      <c r="J142">
        <f>IF(D142="V01",cad!$I$28,IF(D142="V02",cad!$J$28,cad!$K$28))</f>
        <v/>
      </c>
      <c r="K142">
        <f>IF(D142="V01",cad!$I$29,IF(D142="V02",cad!$J$29,cad!$K$29))</f>
        <v/>
      </c>
      <c r="L142">
        <f>IF(D142="V01",cad!$I$30,IF(D142="V02",cad!$J$30,cad!$K$30))</f>
        <v/>
      </c>
      <c r="M142">
        <f>IF(D142="V01",cad!$I$31,IF(D142="V02",cad!$J$31,cad!$K$31))</f>
        <v/>
      </c>
      <c r="N142">
        <f>IF(D142="V01",$R$2,IF(D142="V02",$R$3,$R$4))</f>
        <v/>
      </c>
      <c r="O142">
        <f>IF(OR(B142="7062",B142="706",B142="708"),N142,IF(B142="6231",1+G142,IF(B142="6236",1+H142,IF(OR(B142="621",B142="604",B142="6063"),N142*(1-L142),IF(OR(B142="6411",B142="6413",B142="6414",B142="645"),(1+J142)*(1+K142),IF(OR(B142="613",B142="615",B142="616",B142="6226",B142="625",B142="626",B142="6281"),(1+I142)*(1-L142)*(1+M142),IF(OR(B142="6331",B142="63511",B142="6333"),(1+I142)*(1-L142),IF(B142="6811",1+I142,1))))))))</f>
        <v/>
      </c>
      <c r="P142">
        <f>IF(E142=1,F142*O142,"")</f>
        <v/>
      </c>
    </row>
    <row r="143">
      <c r="A143">
        <f>PNL!A143</f>
        <v/>
      </c>
      <c r="B143">
        <f>PNL!B143</f>
        <v/>
      </c>
      <c r="C143">
        <f>PNL!C143</f>
        <v/>
      </c>
      <c r="D143">
        <f>PNL!D143</f>
        <v/>
      </c>
      <c r="E143">
        <f>IF(AND(C143="2027",OR(D143="V01",D143="V02",D143="V03")),1,0)</f>
        <v/>
      </c>
      <c r="F143">
        <f>IF(E143=1,SUMIFS(Compta!$F$2:$F$675,Compta!$A$2:$A$675,A143,Compta!$B$2:$B$675,B143,Compta!$C$2:$C$675,"2026"),0)</f>
        <v/>
      </c>
      <c r="G143">
        <f>IF(D143="V01",cad!$I$21,IF(D143="V02",cad!$J$21,cad!$K$21))</f>
        <v/>
      </c>
      <c r="H143">
        <f>IF(D143="V01",cad!$I$22,IF(D143="V02",cad!$J$22,cad!$K$22))</f>
        <v/>
      </c>
      <c r="I143">
        <f>IF(D143="V01",cad!$I$27,IF(D143="V02",cad!$J$27,cad!$K$27))</f>
        <v/>
      </c>
      <c r="J143">
        <f>IF(D143="V01",cad!$I$28,IF(D143="V02",cad!$J$28,cad!$K$28))</f>
        <v/>
      </c>
      <c r="K143">
        <f>IF(D143="V01",cad!$I$29,IF(D143="V02",cad!$J$29,cad!$K$29))</f>
        <v/>
      </c>
      <c r="L143">
        <f>IF(D143="V01",cad!$I$30,IF(D143="V02",cad!$J$30,cad!$K$30))</f>
        <v/>
      </c>
      <c r="M143">
        <f>IF(D143="V01",cad!$I$31,IF(D143="V02",cad!$J$31,cad!$K$31))</f>
        <v/>
      </c>
      <c r="N143">
        <f>IF(D143="V01",$R$2,IF(D143="V02",$R$3,$R$4))</f>
        <v/>
      </c>
      <c r="O143">
        <f>IF(OR(B143="7062",B143="706",B143="708"),N143,IF(B143="6231",1+G143,IF(B143="6236",1+H143,IF(OR(B143="621",B143="604",B143="6063"),N143*(1-L143),IF(OR(B143="6411",B143="6413",B143="6414",B143="645"),(1+J143)*(1+K143),IF(OR(B143="613",B143="615",B143="616",B143="6226",B143="625",B143="626",B143="6281"),(1+I143)*(1-L143)*(1+M143),IF(OR(B143="6331",B143="63511",B143="6333"),(1+I143)*(1-L143),IF(B143="6811",1+I143,1))))))))</f>
        <v/>
      </c>
      <c r="P143">
        <f>IF(E143=1,F143*O143,"")</f>
        <v/>
      </c>
    </row>
    <row r="144">
      <c r="A144">
        <f>PNL!A144</f>
        <v/>
      </c>
      <c r="B144">
        <f>PNL!B144</f>
        <v/>
      </c>
      <c r="C144">
        <f>PNL!C144</f>
        <v/>
      </c>
      <c r="D144">
        <f>PNL!D144</f>
        <v/>
      </c>
      <c r="E144">
        <f>IF(AND(C144="2027",OR(D144="V01",D144="V02",D144="V03")),1,0)</f>
        <v/>
      </c>
      <c r="F144">
        <f>IF(E144=1,SUMIFS(Compta!$F$2:$F$675,Compta!$A$2:$A$675,A144,Compta!$B$2:$B$675,B144,Compta!$C$2:$C$675,"2026"),0)</f>
        <v/>
      </c>
      <c r="G144">
        <f>IF(D144="V01",cad!$I$21,IF(D144="V02",cad!$J$21,cad!$K$21))</f>
        <v/>
      </c>
      <c r="H144">
        <f>IF(D144="V01",cad!$I$22,IF(D144="V02",cad!$J$22,cad!$K$22))</f>
        <v/>
      </c>
      <c r="I144">
        <f>IF(D144="V01",cad!$I$27,IF(D144="V02",cad!$J$27,cad!$K$27))</f>
        <v/>
      </c>
      <c r="J144">
        <f>IF(D144="V01",cad!$I$28,IF(D144="V02",cad!$J$28,cad!$K$28))</f>
        <v/>
      </c>
      <c r="K144">
        <f>IF(D144="V01",cad!$I$29,IF(D144="V02",cad!$J$29,cad!$K$29))</f>
        <v/>
      </c>
      <c r="L144">
        <f>IF(D144="V01",cad!$I$30,IF(D144="V02",cad!$J$30,cad!$K$30))</f>
        <v/>
      </c>
      <c r="M144">
        <f>IF(D144="V01",cad!$I$31,IF(D144="V02",cad!$J$31,cad!$K$31))</f>
        <v/>
      </c>
      <c r="N144">
        <f>IF(D144="V01",$R$2,IF(D144="V02",$R$3,$R$4))</f>
        <v/>
      </c>
      <c r="O144">
        <f>IF(OR(B144="7062",B144="706",B144="708"),N144,IF(B144="6231",1+G144,IF(B144="6236",1+H144,IF(OR(B144="621",B144="604",B144="6063"),N144*(1-L144),IF(OR(B144="6411",B144="6413",B144="6414",B144="645"),(1+J144)*(1+K144),IF(OR(B144="613",B144="615",B144="616",B144="6226",B144="625",B144="626",B144="6281"),(1+I144)*(1-L144)*(1+M144),IF(OR(B144="6331",B144="63511",B144="6333"),(1+I144)*(1-L144),IF(B144="6811",1+I144,1))))))))</f>
        <v/>
      </c>
      <c r="P144">
        <f>IF(E144=1,F144*O144,"")</f>
        <v/>
      </c>
    </row>
    <row r="145">
      <c r="A145">
        <f>PNL!A145</f>
        <v/>
      </c>
      <c r="B145">
        <f>PNL!B145</f>
        <v/>
      </c>
      <c r="C145">
        <f>PNL!C145</f>
        <v/>
      </c>
      <c r="D145">
        <f>PNL!D145</f>
        <v/>
      </c>
      <c r="E145">
        <f>IF(AND(C145="2027",OR(D145="V01",D145="V02",D145="V03")),1,0)</f>
        <v/>
      </c>
      <c r="F145">
        <f>IF(E145=1,SUMIFS(Compta!$F$2:$F$675,Compta!$A$2:$A$675,A145,Compta!$B$2:$B$675,B145,Compta!$C$2:$C$675,"2026"),0)</f>
        <v/>
      </c>
      <c r="G145">
        <f>IF(D145="V01",cad!$I$21,IF(D145="V02",cad!$J$21,cad!$K$21))</f>
        <v/>
      </c>
      <c r="H145">
        <f>IF(D145="V01",cad!$I$22,IF(D145="V02",cad!$J$22,cad!$K$22))</f>
        <v/>
      </c>
      <c r="I145">
        <f>IF(D145="V01",cad!$I$27,IF(D145="V02",cad!$J$27,cad!$K$27))</f>
        <v/>
      </c>
      <c r="J145">
        <f>IF(D145="V01",cad!$I$28,IF(D145="V02",cad!$J$28,cad!$K$28))</f>
        <v/>
      </c>
      <c r="K145">
        <f>IF(D145="V01",cad!$I$29,IF(D145="V02",cad!$J$29,cad!$K$29))</f>
        <v/>
      </c>
      <c r="L145">
        <f>IF(D145="V01",cad!$I$30,IF(D145="V02",cad!$J$30,cad!$K$30))</f>
        <v/>
      </c>
      <c r="M145">
        <f>IF(D145="V01",cad!$I$31,IF(D145="V02",cad!$J$31,cad!$K$31))</f>
        <v/>
      </c>
      <c r="N145">
        <f>IF(D145="V01",$R$2,IF(D145="V02",$R$3,$R$4))</f>
        <v/>
      </c>
      <c r="O145">
        <f>IF(OR(B145="7062",B145="706",B145="708"),N145,IF(B145="6231",1+G145,IF(B145="6236",1+H145,IF(OR(B145="621",B145="604",B145="6063"),N145*(1-L145),IF(OR(B145="6411",B145="6413",B145="6414",B145="645"),(1+J145)*(1+K145),IF(OR(B145="613",B145="615",B145="616",B145="6226",B145="625",B145="626",B145="6281"),(1+I145)*(1-L145)*(1+M145),IF(OR(B145="6331",B145="63511",B145="6333"),(1+I145)*(1-L145),IF(B145="6811",1+I145,1))))))))</f>
        <v/>
      </c>
      <c r="P145">
        <f>IF(E145=1,F145*O145,"")</f>
        <v/>
      </c>
    </row>
    <row r="146">
      <c r="A146">
        <f>PNL!A146</f>
        <v/>
      </c>
      <c r="B146">
        <f>PNL!B146</f>
        <v/>
      </c>
      <c r="C146">
        <f>PNL!C146</f>
        <v/>
      </c>
      <c r="D146">
        <f>PNL!D146</f>
        <v/>
      </c>
      <c r="E146">
        <f>IF(AND(C146="2027",OR(D146="V01",D146="V02",D146="V03")),1,0)</f>
        <v/>
      </c>
      <c r="F146">
        <f>IF(E146=1,SUMIFS(Compta!$F$2:$F$675,Compta!$A$2:$A$675,A146,Compta!$B$2:$B$675,B146,Compta!$C$2:$C$675,"2026"),0)</f>
        <v/>
      </c>
      <c r="G146">
        <f>IF(D146="V01",cad!$I$21,IF(D146="V02",cad!$J$21,cad!$K$21))</f>
        <v/>
      </c>
      <c r="H146">
        <f>IF(D146="V01",cad!$I$22,IF(D146="V02",cad!$J$22,cad!$K$22))</f>
        <v/>
      </c>
      <c r="I146">
        <f>IF(D146="V01",cad!$I$27,IF(D146="V02",cad!$J$27,cad!$K$27))</f>
        <v/>
      </c>
      <c r="J146">
        <f>IF(D146="V01",cad!$I$28,IF(D146="V02",cad!$J$28,cad!$K$28))</f>
        <v/>
      </c>
      <c r="K146">
        <f>IF(D146="V01",cad!$I$29,IF(D146="V02",cad!$J$29,cad!$K$29))</f>
        <v/>
      </c>
      <c r="L146">
        <f>IF(D146="V01",cad!$I$30,IF(D146="V02",cad!$J$30,cad!$K$30))</f>
        <v/>
      </c>
      <c r="M146">
        <f>IF(D146="V01",cad!$I$31,IF(D146="V02",cad!$J$31,cad!$K$31))</f>
        <v/>
      </c>
      <c r="N146">
        <f>IF(D146="V01",$R$2,IF(D146="V02",$R$3,$R$4))</f>
        <v/>
      </c>
      <c r="O146">
        <f>IF(OR(B146="7062",B146="706",B146="708"),N146,IF(B146="6231",1+G146,IF(B146="6236",1+H146,IF(OR(B146="621",B146="604",B146="6063"),N146*(1-L146),IF(OR(B146="6411",B146="6413",B146="6414",B146="645"),(1+J146)*(1+K146),IF(OR(B146="613",B146="615",B146="616",B146="6226",B146="625",B146="626",B146="6281"),(1+I146)*(1-L146)*(1+M146),IF(OR(B146="6331",B146="63511",B146="6333"),(1+I146)*(1-L146),IF(B146="6811",1+I146,1))))))))</f>
        <v/>
      </c>
      <c r="P146">
        <f>IF(E146=1,F146*O146,"")</f>
        <v/>
      </c>
    </row>
    <row r="147">
      <c r="A147">
        <f>PNL!A147</f>
        <v/>
      </c>
      <c r="B147">
        <f>PNL!B147</f>
        <v/>
      </c>
      <c r="C147">
        <f>PNL!C147</f>
        <v/>
      </c>
      <c r="D147">
        <f>PNL!D147</f>
        <v/>
      </c>
      <c r="E147">
        <f>IF(AND(C147="2027",OR(D147="V01",D147="V02",D147="V03")),1,0)</f>
        <v/>
      </c>
      <c r="F147">
        <f>IF(E147=1,SUMIFS(Compta!$F$2:$F$675,Compta!$A$2:$A$675,A147,Compta!$B$2:$B$675,B147,Compta!$C$2:$C$675,"2026"),0)</f>
        <v/>
      </c>
      <c r="G147">
        <f>IF(D147="V01",cad!$I$21,IF(D147="V02",cad!$J$21,cad!$K$21))</f>
        <v/>
      </c>
      <c r="H147">
        <f>IF(D147="V01",cad!$I$22,IF(D147="V02",cad!$J$22,cad!$K$22))</f>
        <v/>
      </c>
      <c r="I147">
        <f>IF(D147="V01",cad!$I$27,IF(D147="V02",cad!$J$27,cad!$K$27))</f>
        <v/>
      </c>
      <c r="J147">
        <f>IF(D147="V01",cad!$I$28,IF(D147="V02",cad!$J$28,cad!$K$28))</f>
        <v/>
      </c>
      <c r="K147">
        <f>IF(D147="V01",cad!$I$29,IF(D147="V02",cad!$J$29,cad!$K$29))</f>
        <v/>
      </c>
      <c r="L147">
        <f>IF(D147="V01",cad!$I$30,IF(D147="V02",cad!$J$30,cad!$K$30))</f>
        <v/>
      </c>
      <c r="M147">
        <f>IF(D147="V01",cad!$I$31,IF(D147="V02",cad!$J$31,cad!$K$31))</f>
        <v/>
      </c>
      <c r="N147">
        <f>IF(D147="V01",$R$2,IF(D147="V02",$R$3,$R$4))</f>
        <v/>
      </c>
      <c r="O147">
        <f>IF(OR(B147="7062",B147="706",B147="708"),N147,IF(B147="6231",1+G147,IF(B147="6236",1+H147,IF(OR(B147="621",B147="604",B147="6063"),N147*(1-L147),IF(OR(B147="6411",B147="6413",B147="6414",B147="645"),(1+J147)*(1+K147),IF(OR(B147="613",B147="615",B147="616",B147="6226",B147="625",B147="626",B147="6281"),(1+I147)*(1-L147)*(1+M147),IF(OR(B147="6331",B147="63511",B147="6333"),(1+I147)*(1-L147),IF(B147="6811",1+I147,1))))))))</f>
        <v/>
      </c>
      <c r="P147">
        <f>IF(E147=1,F147*O147,"")</f>
        <v/>
      </c>
    </row>
    <row r="148">
      <c r="A148">
        <f>PNL!A148</f>
        <v/>
      </c>
      <c r="B148">
        <f>PNL!B148</f>
        <v/>
      </c>
      <c r="C148">
        <f>PNL!C148</f>
        <v/>
      </c>
      <c r="D148">
        <f>PNL!D148</f>
        <v/>
      </c>
      <c r="E148">
        <f>IF(AND(C148="2027",OR(D148="V01",D148="V02",D148="V03")),1,0)</f>
        <v/>
      </c>
      <c r="F148">
        <f>IF(E148=1,SUMIFS(Compta!$F$2:$F$675,Compta!$A$2:$A$675,A148,Compta!$B$2:$B$675,B148,Compta!$C$2:$C$675,"2026"),0)</f>
        <v/>
      </c>
      <c r="G148">
        <f>IF(D148="V01",cad!$I$21,IF(D148="V02",cad!$J$21,cad!$K$21))</f>
        <v/>
      </c>
      <c r="H148">
        <f>IF(D148="V01",cad!$I$22,IF(D148="V02",cad!$J$22,cad!$K$22))</f>
        <v/>
      </c>
      <c r="I148">
        <f>IF(D148="V01",cad!$I$27,IF(D148="V02",cad!$J$27,cad!$K$27))</f>
        <v/>
      </c>
      <c r="J148">
        <f>IF(D148="V01",cad!$I$28,IF(D148="V02",cad!$J$28,cad!$K$28))</f>
        <v/>
      </c>
      <c r="K148">
        <f>IF(D148="V01",cad!$I$29,IF(D148="V02",cad!$J$29,cad!$K$29))</f>
        <v/>
      </c>
      <c r="L148">
        <f>IF(D148="V01",cad!$I$30,IF(D148="V02",cad!$J$30,cad!$K$30))</f>
        <v/>
      </c>
      <c r="M148">
        <f>IF(D148="V01",cad!$I$31,IF(D148="V02",cad!$J$31,cad!$K$31))</f>
        <v/>
      </c>
      <c r="N148">
        <f>IF(D148="V01",$R$2,IF(D148="V02",$R$3,$R$4))</f>
        <v/>
      </c>
      <c r="O148">
        <f>IF(OR(B148="7062",B148="706",B148="708"),N148,IF(B148="6231",1+G148,IF(B148="6236",1+H148,IF(OR(B148="621",B148="604",B148="6063"),N148*(1-L148),IF(OR(B148="6411",B148="6413",B148="6414",B148="645"),(1+J148)*(1+K148),IF(OR(B148="613",B148="615",B148="616",B148="6226",B148="625",B148="626",B148="6281"),(1+I148)*(1-L148)*(1+M148),IF(OR(B148="6331",B148="63511",B148="6333"),(1+I148)*(1-L148),IF(B148="6811",1+I148,1))))))))</f>
        <v/>
      </c>
      <c r="P148">
        <f>IF(E148=1,F148*O148,"")</f>
        <v/>
      </c>
    </row>
    <row r="149">
      <c r="A149">
        <f>PNL!A149</f>
        <v/>
      </c>
      <c r="B149">
        <f>PNL!B149</f>
        <v/>
      </c>
      <c r="C149">
        <f>PNL!C149</f>
        <v/>
      </c>
      <c r="D149">
        <f>PNL!D149</f>
        <v/>
      </c>
      <c r="E149">
        <f>IF(AND(C149="2027",OR(D149="V01",D149="V02",D149="V03")),1,0)</f>
        <v/>
      </c>
      <c r="F149">
        <f>IF(E149=1,SUMIFS(Compta!$F$2:$F$675,Compta!$A$2:$A$675,A149,Compta!$B$2:$B$675,B149,Compta!$C$2:$C$675,"2026"),0)</f>
        <v/>
      </c>
      <c r="G149">
        <f>IF(D149="V01",cad!$I$21,IF(D149="V02",cad!$J$21,cad!$K$21))</f>
        <v/>
      </c>
      <c r="H149">
        <f>IF(D149="V01",cad!$I$22,IF(D149="V02",cad!$J$22,cad!$K$22))</f>
        <v/>
      </c>
      <c r="I149">
        <f>IF(D149="V01",cad!$I$27,IF(D149="V02",cad!$J$27,cad!$K$27))</f>
        <v/>
      </c>
      <c r="J149">
        <f>IF(D149="V01",cad!$I$28,IF(D149="V02",cad!$J$28,cad!$K$28))</f>
        <v/>
      </c>
      <c r="K149">
        <f>IF(D149="V01",cad!$I$29,IF(D149="V02",cad!$J$29,cad!$K$29))</f>
        <v/>
      </c>
      <c r="L149">
        <f>IF(D149="V01",cad!$I$30,IF(D149="V02",cad!$J$30,cad!$K$30))</f>
        <v/>
      </c>
      <c r="M149">
        <f>IF(D149="V01",cad!$I$31,IF(D149="V02",cad!$J$31,cad!$K$31))</f>
        <v/>
      </c>
      <c r="N149">
        <f>IF(D149="V01",$R$2,IF(D149="V02",$R$3,$R$4))</f>
        <v/>
      </c>
      <c r="O149">
        <f>IF(OR(B149="7062",B149="706",B149="708"),N149,IF(B149="6231",1+G149,IF(B149="6236",1+H149,IF(OR(B149="621",B149="604",B149="6063"),N149*(1-L149),IF(OR(B149="6411",B149="6413",B149="6414",B149="645"),(1+J149)*(1+K149),IF(OR(B149="613",B149="615",B149="616",B149="6226",B149="625",B149="626",B149="6281"),(1+I149)*(1-L149)*(1+M149),IF(OR(B149="6331",B149="63511",B149="6333"),(1+I149)*(1-L149),IF(B149="6811",1+I149,1))))))))</f>
        <v/>
      </c>
      <c r="P149">
        <f>IF(E149=1,F149*O149,"")</f>
        <v/>
      </c>
    </row>
    <row r="150">
      <c r="A150">
        <f>PNL!A150</f>
        <v/>
      </c>
      <c r="B150">
        <f>PNL!B150</f>
        <v/>
      </c>
      <c r="C150">
        <f>PNL!C150</f>
        <v/>
      </c>
      <c r="D150">
        <f>PNL!D150</f>
        <v/>
      </c>
      <c r="E150">
        <f>IF(AND(C150="2027",OR(D150="V01",D150="V02",D150="V03")),1,0)</f>
        <v/>
      </c>
      <c r="F150">
        <f>IF(E150=1,SUMIFS(Compta!$F$2:$F$675,Compta!$A$2:$A$675,A150,Compta!$B$2:$B$675,B150,Compta!$C$2:$C$675,"2026"),0)</f>
        <v/>
      </c>
      <c r="G150">
        <f>IF(D150="V01",cad!$I$21,IF(D150="V02",cad!$J$21,cad!$K$21))</f>
        <v/>
      </c>
      <c r="H150">
        <f>IF(D150="V01",cad!$I$22,IF(D150="V02",cad!$J$22,cad!$K$22))</f>
        <v/>
      </c>
      <c r="I150">
        <f>IF(D150="V01",cad!$I$27,IF(D150="V02",cad!$J$27,cad!$K$27))</f>
        <v/>
      </c>
      <c r="J150">
        <f>IF(D150="V01",cad!$I$28,IF(D150="V02",cad!$J$28,cad!$K$28))</f>
        <v/>
      </c>
      <c r="K150">
        <f>IF(D150="V01",cad!$I$29,IF(D150="V02",cad!$J$29,cad!$K$29))</f>
        <v/>
      </c>
      <c r="L150">
        <f>IF(D150="V01",cad!$I$30,IF(D150="V02",cad!$J$30,cad!$K$30))</f>
        <v/>
      </c>
      <c r="M150">
        <f>IF(D150="V01",cad!$I$31,IF(D150="V02",cad!$J$31,cad!$K$31))</f>
        <v/>
      </c>
      <c r="N150">
        <f>IF(D150="V01",$R$2,IF(D150="V02",$R$3,$R$4))</f>
        <v/>
      </c>
      <c r="O150">
        <f>IF(OR(B150="7062",B150="706",B150="708"),N150,IF(B150="6231",1+G150,IF(B150="6236",1+H150,IF(OR(B150="621",B150="604",B150="6063"),N150*(1-L150),IF(OR(B150="6411",B150="6413",B150="6414",B150="645"),(1+J150)*(1+K150),IF(OR(B150="613",B150="615",B150="616",B150="6226",B150="625",B150="626",B150="6281"),(1+I150)*(1-L150)*(1+M150),IF(OR(B150="6331",B150="63511",B150="6333"),(1+I150)*(1-L150),IF(B150="6811",1+I150,1))))))))</f>
        <v/>
      </c>
      <c r="P150">
        <f>IF(E150=1,F150*O150,"")</f>
        <v/>
      </c>
    </row>
    <row r="151">
      <c r="A151">
        <f>PNL!A151</f>
        <v/>
      </c>
      <c r="B151">
        <f>PNL!B151</f>
        <v/>
      </c>
      <c r="C151">
        <f>PNL!C151</f>
        <v/>
      </c>
      <c r="D151">
        <f>PNL!D151</f>
        <v/>
      </c>
      <c r="E151">
        <f>IF(AND(C151="2027",OR(D151="V01",D151="V02",D151="V03")),1,0)</f>
        <v/>
      </c>
      <c r="F151">
        <f>IF(E151=1,SUMIFS(Compta!$F$2:$F$675,Compta!$A$2:$A$675,A151,Compta!$B$2:$B$675,B151,Compta!$C$2:$C$675,"2026"),0)</f>
        <v/>
      </c>
      <c r="G151">
        <f>IF(D151="V01",cad!$I$21,IF(D151="V02",cad!$J$21,cad!$K$21))</f>
        <v/>
      </c>
      <c r="H151">
        <f>IF(D151="V01",cad!$I$22,IF(D151="V02",cad!$J$22,cad!$K$22))</f>
        <v/>
      </c>
      <c r="I151">
        <f>IF(D151="V01",cad!$I$27,IF(D151="V02",cad!$J$27,cad!$K$27))</f>
        <v/>
      </c>
      <c r="J151">
        <f>IF(D151="V01",cad!$I$28,IF(D151="V02",cad!$J$28,cad!$K$28))</f>
        <v/>
      </c>
      <c r="K151">
        <f>IF(D151="V01",cad!$I$29,IF(D151="V02",cad!$J$29,cad!$K$29))</f>
        <v/>
      </c>
      <c r="L151">
        <f>IF(D151="V01",cad!$I$30,IF(D151="V02",cad!$J$30,cad!$K$30))</f>
        <v/>
      </c>
      <c r="M151">
        <f>IF(D151="V01",cad!$I$31,IF(D151="V02",cad!$J$31,cad!$K$31))</f>
        <v/>
      </c>
      <c r="N151">
        <f>IF(D151="V01",$R$2,IF(D151="V02",$R$3,$R$4))</f>
        <v/>
      </c>
      <c r="O151">
        <f>IF(OR(B151="7062",B151="706",B151="708"),N151,IF(B151="6231",1+G151,IF(B151="6236",1+H151,IF(OR(B151="621",B151="604",B151="6063"),N151*(1-L151),IF(OR(B151="6411",B151="6413",B151="6414",B151="645"),(1+J151)*(1+K151),IF(OR(B151="613",B151="615",B151="616",B151="6226",B151="625",B151="626",B151="6281"),(1+I151)*(1-L151)*(1+M151),IF(OR(B151="6331",B151="63511",B151="6333"),(1+I151)*(1-L151),IF(B151="6811",1+I151,1))))))))</f>
        <v/>
      </c>
      <c r="P151">
        <f>IF(E151=1,F151*O151,"")</f>
        <v/>
      </c>
    </row>
    <row r="152">
      <c r="A152">
        <f>PNL!A152</f>
        <v/>
      </c>
      <c r="B152">
        <f>PNL!B152</f>
        <v/>
      </c>
      <c r="C152">
        <f>PNL!C152</f>
        <v/>
      </c>
      <c r="D152">
        <f>PNL!D152</f>
        <v/>
      </c>
      <c r="E152">
        <f>IF(AND(C152="2027",OR(D152="V01",D152="V02",D152="V03")),1,0)</f>
        <v/>
      </c>
      <c r="F152">
        <f>IF(E152=1,SUMIFS(Compta!$F$2:$F$675,Compta!$A$2:$A$675,A152,Compta!$B$2:$B$675,B152,Compta!$C$2:$C$675,"2026"),0)</f>
        <v/>
      </c>
      <c r="G152">
        <f>IF(D152="V01",cad!$I$21,IF(D152="V02",cad!$J$21,cad!$K$21))</f>
        <v/>
      </c>
      <c r="H152">
        <f>IF(D152="V01",cad!$I$22,IF(D152="V02",cad!$J$22,cad!$K$22))</f>
        <v/>
      </c>
      <c r="I152">
        <f>IF(D152="V01",cad!$I$27,IF(D152="V02",cad!$J$27,cad!$K$27))</f>
        <v/>
      </c>
      <c r="J152">
        <f>IF(D152="V01",cad!$I$28,IF(D152="V02",cad!$J$28,cad!$K$28))</f>
        <v/>
      </c>
      <c r="K152">
        <f>IF(D152="V01",cad!$I$29,IF(D152="V02",cad!$J$29,cad!$K$29))</f>
        <v/>
      </c>
      <c r="L152">
        <f>IF(D152="V01",cad!$I$30,IF(D152="V02",cad!$J$30,cad!$K$30))</f>
        <v/>
      </c>
      <c r="M152">
        <f>IF(D152="V01",cad!$I$31,IF(D152="V02",cad!$J$31,cad!$K$31))</f>
        <v/>
      </c>
      <c r="N152">
        <f>IF(D152="V01",$R$2,IF(D152="V02",$R$3,$R$4))</f>
        <v/>
      </c>
      <c r="O152">
        <f>IF(OR(B152="7062",B152="706",B152="708"),N152,IF(B152="6231",1+G152,IF(B152="6236",1+H152,IF(OR(B152="621",B152="604",B152="6063"),N152*(1-L152),IF(OR(B152="6411",B152="6413",B152="6414",B152="645"),(1+J152)*(1+K152),IF(OR(B152="613",B152="615",B152="616",B152="6226",B152="625",B152="626",B152="6281"),(1+I152)*(1-L152)*(1+M152),IF(OR(B152="6331",B152="63511",B152="6333"),(1+I152)*(1-L152),IF(B152="6811",1+I152,1))))))))</f>
        <v/>
      </c>
      <c r="P152">
        <f>IF(E152=1,F152*O152,"")</f>
        <v/>
      </c>
    </row>
    <row r="153">
      <c r="A153">
        <f>PNL!A153</f>
        <v/>
      </c>
      <c r="B153">
        <f>PNL!B153</f>
        <v/>
      </c>
      <c r="C153">
        <f>PNL!C153</f>
        <v/>
      </c>
      <c r="D153">
        <f>PNL!D153</f>
        <v/>
      </c>
      <c r="E153">
        <f>IF(AND(C153="2027",OR(D153="V01",D153="V02",D153="V03")),1,0)</f>
        <v/>
      </c>
      <c r="F153">
        <f>IF(E153=1,SUMIFS(Compta!$F$2:$F$675,Compta!$A$2:$A$675,A153,Compta!$B$2:$B$675,B153,Compta!$C$2:$C$675,"2026"),0)</f>
        <v/>
      </c>
      <c r="G153">
        <f>IF(D153="V01",cad!$I$21,IF(D153="V02",cad!$J$21,cad!$K$21))</f>
        <v/>
      </c>
      <c r="H153">
        <f>IF(D153="V01",cad!$I$22,IF(D153="V02",cad!$J$22,cad!$K$22))</f>
        <v/>
      </c>
      <c r="I153">
        <f>IF(D153="V01",cad!$I$27,IF(D153="V02",cad!$J$27,cad!$K$27))</f>
        <v/>
      </c>
      <c r="J153">
        <f>IF(D153="V01",cad!$I$28,IF(D153="V02",cad!$J$28,cad!$K$28))</f>
        <v/>
      </c>
      <c r="K153">
        <f>IF(D153="V01",cad!$I$29,IF(D153="V02",cad!$J$29,cad!$K$29))</f>
        <v/>
      </c>
      <c r="L153">
        <f>IF(D153="V01",cad!$I$30,IF(D153="V02",cad!$J$30,cad!$K$30))</f>
        <v/>
      </c>
      <c r="M153">
        <f>IF(D153="V01",cad!$I$31,IF(D153="V02",cad!$J$31,cad!$K$31))</f>
        <v/>
      </c>
      <c r="N153">
        <f>IF(D153="V01",$R$2,IF(D153="V02",$R$3,$R$4))</f>
        <v/>
      </c>
      <c r="O153">
        <f>IF(OR(B153="7062",B153="706",B153="708"),N153,IF(B153="6231",1+G153,IF(B153="6236",1+H153,IF(OR(B153="621",B153="604",B153="6063"),N153*(1-L153),IF(OR(B153="6411",B153="6413",B153="6414",B153="645"),(1+J153)*(1+K153),IF(OR(B153="613",B153="615",B153="616",B153="6226",B153="625",B153="626",B153="6281"),(1+I153)*(1-L153)*(1+M153),IF(OR(B153="6331",B153="63511",B153="6333"),(1+I153)*(1-L153),IF(B153="6811",1+I153,1))))))))</f>
        <v/>
      </c>
      <c r="P153">
        <f>IF(E153=1,F153*O153,"")</f>
        <v/>
      </c>
    </row>
    <row r="154">
      <c r="A154">
        <f>PNL!A154</f>
        <v/>
      </c>
      <c r="B154">
        <f>PNL!B154</f>
        <v/>
      </c>
      <c r="C154">
        <f>PNL!C154</f>
        <v/>
      </c>
      <c r="D154">
        <f>PNL!D154</f>
        <v/>
      </c>
      <c r="E154">
        <f>IF(AND(C154="2027",OR(D154="V01",D154="V02",D154="V03")),1,0)</f>
        <v/>
      </c>
      <c r="F154">
        <f>IF(E154=1,SUMIFS(Compta!$F$2:$F$675,Compta!$A$2:$A$675,A154,Compta!$B$2:$B$675,B154,Compta!$C$2:$C$675,"2026"),0)</f>
        <v/>
      </c>
      <c r="G154">
        <f>IF(D154="V01",cad!$I$21,IF(D154="V02",cad!$J$21,cad!$K$21))</f>
        <v/>
      </c>
      <c r="H154">
        <f>IF(D154="V01",cad!$I$22,IF(D154="V02",cad!$J$22,cad!$K$22))</f>
        <v/>
      </c>
      <c r="I154">
        <f>IF(D154="V01",cad!$I$27,IF(D154="V02",cad!$J$27,cad!$K$27))</f>
        <v/>
      </c>
      <c r="J154">
        <f>IF(D154="V01",cad!$I$28,IF(D154="V02",cad!$J$28,cad!$K$28))</f>
        <v/>
      </c>
      <c r="K154">
        <f>IF(D154="V01",cad!$I$29,IF(D154="V02",cad!$J$29,cad!$K$29))</f>
        <v/>
      </c>
      <c r="L154">
        <f>IF(D154="V01",cad!$I$30,IF(D154="V02",cad!$J$30,cad!$K$30))</f>
        <v/>
      </c>
      <c r="M154">
        <f>IF(D154="V01",cad!$I$31,IF(D154="V02",cad!$J$31,cad!$K$31))</f>
        <v/>
      </c>
      <c r="N154">
        <f>IF(D154="V01",$R$2,IF(D154="V02",$R$3,$R$4))</f>
        <v/>
      </c>
      <c r="O154">
        <f>IF(OR(B154="7062",B154="706",B154="708"),N154,IF(B154="6231",1+G154,IF(B154="6236",1+H154,IF(OR(B154="621",B154="604",B154="6063"),N154*(1-L154),IF(OR(B154="6411",B154="6413",B154="6414",B154="645"),(1+J154)*(1+K154),IF(OR(B154="613",B154="615",B154="616",B154="6226",B154="625",B154="626",B154="6281"),(1+I154)*(1-L154)*(1+M154),IF(OR(B154="6331",B154="63511",B154="6333"),(1+I154)*(1-L154),IF(B154="6811",1+I154,1))))))))</f>
        <v/>
      </c>
      <c r="P154">
        <f>IF(E154=1,F154*O154,"")</f>
        <v/>
      </c>
    </row>
    <row r="155">
      <c r="A155">
        <f>PNL!A155</f>
        <v/>
      </c>
      <c r="B155">
        <f>PNL!B155</f>
        <v/>
      </c>
      <c r="C155">
        <f>PNL!C155</f>
        <v/>
      </c>
      <c r="D155">
        <f>PNL!D155</f>
        <v/>
      </c>
      <c r="E155">
        <f>IF(AND(C155="2027",OR(D155="V01",D155="V02",D155="V03")),1,0)</f>
        <v/>
      </c>
      <c r="F155">
        <f>IF(E155=1,SUMIFS(Compta!$F$2:$F$675,Compta!$A$2:$A$675,A155,Compta!$B$2:$B$675,B155,Compta!$C$2:$C$675,"2026"),0)</f>
        <v/>
      </c>
      <c r="G155">
        <f>IF(D155="V01",cad!$I$21,IF(D155="V02",cad!$J$21,cad!$K$21))</f>
        <v/>
      </c>
      <c r="H155">
        <f>IF(D155="V01",cad!$I$22,IF(D155="V02",cad!$J$22,cad!$K$22))</f>
        <v/>
      </c>
      <c r="I155">
        <f>IF(D155="V01",cad!$I$27,IF(D155="V02",cad!$J$27,cad!$K$27))</f>
        <v/>
      </c>
      <c r="J155">
        <f>IF(D155="V01",cad!$I$28,IF(D155="V02",cad!$J$28,cad!$K$28))</f>
        <v/>
      </c>
      <c r="K155">
        <f>IF(D155="V01",cad!$I$29,IF(D155="V02",cad!$J$29,cad!$K$29))</f>
        <v/>
      </c>
      <c r="L155">
        <f>IF(D155="V01",cad!$I$30,IF(D155="V02",cad!$J$30,cad!$K$30))</f>
        <v/>
      </c>
      <c r="M155">
        <f>IF(D155="V01",cad!$I$31,IF(D155="V02",cad!$J$31,cad!$K$31))</f>
        <v/>
      </c>
      <c r="N155">
        <f>IF(D155="V01",$R$2,IF(D155="V02",$R$3,$R$4))</f>
        <v/>
      </c>
      <c r="O155">
        <f>IF(OR(B155="7062",B155="706",B155="708"),N155,IF(B155="6231",1+G155,IF(B155="6236",1+H155,IF(OR(B155="621",B155="604",B155="6063"),N155*(1-L155),IF(OR(B155="6411",B155="6413",B155="6414",B155="645"),(1+J155)*(1+K155),IF(OR(B155="613",B155="615",B155="616",B155="6226",B155="625",B155="626",B155="6281"),(1+I155)*(1-L155)*(1+M155),IF(OR(B155="6331",B155="63511",B155="6333"),(1+I155)*(1-L155),IF(B155="6811",1+I155,1))))))))</f>
        <v/>
      </c>
      <c r="P155">
        <f>IF(E155=1,F155*O155,"")</f>
        <v/>
      </c>
    </row>
    <row r="156">
      <c r="A156">
        <f>PNL!A156</f>
        <v/>
      </c>
      <c r="B156">
        <f>PNL!B156</f>
        <v/>
      </c>
      <c r="C156">
        <f>PNL!C156</f>
        <v/>
      </c>
      <c r="D156">
        <f>PNL!D156</f>
        <v/>
      </c>
      <c r="E156">
        <f>IF(AND(C156="2027",OR(D156="V01",D156="V02",D156="V03")),1,0)</f>
        <v/>
      </c>
      <c r="F156">
        <f>IF(E156=1,SUMIFS(Compta!$F$2:$F$675,Compta!$A$2:$A$675,A156,Compta!$B$2:$B$675,B156,Compta!$C$2:$C$675,"2026"),0)</f>
        <v/>
      </c>
      <c r="G156">
        <f>IF(D156="V01",cad!$I$21,IF(D156="V02",cad!$J$21,cad!$K$21))</f>
        <v/>
      </c>
      <c r="H156">
        <f>IF(D156="V01",cad!$I$22,IF(D156="V02",cad!$J$22,cad!$K$22))</f>
        <v/>
      </c>
      <c r="I156">
        <f>IF(D156="V01",cad!$I$27,IF(D156="V02",cad!$J$27,cad!$K$27))</f>
        <v/>
      </c>
      <c r="J156">
        <f>IF(D156="V01",cad!$I$28,IF(D156="V02",cad!$J$28,cad!$K$28))</f>
        <v/>
      </c>
      <c r="K156">
        <f>IF(D156="V01",cad!$I$29,IF(D156="V02",cad!$J$29,cad!$K$29))</f>
        <v/>
      </c>
      <c r="L156">
        <f>IF(D156="V01",cad!$I$30,IF(D156="V02",cad!$J$30,cad!$K$30))</f>
        <v/>
      </c>
      <c r="M156">
        <f>IF(D156="V01",cad!$I$31,IF(D156="V02",cad!$J$31,cad!$K$31))</f>
        <v/>
      </c>
      <c r="N156">
        <f>IF(D156="V01",$R$2,IF(D156="V02",$R$3,$R$4))</f>
        <v/>
      </c>
      <c r="O156">
        <f>IF(OR(B156="7062",B156="706",B156="708"),N156,IF(B156="6231",1+G156,IF(B156="6236",1+H156,IF(OR(B156="621",B156="604",B156="6063"),N156*(1-L156),IF(OR(B156="6411",B156="6413",B156="6414",B156="645"),(1+J156)*(1+K156),IF(OR(B156="613",B156="615",B156="616",B156="6226",B156="625",B156="626",B156="6281"),(1+I156)*(1-L156)*(1+M156),IF(OR(B156="6331",B156="63511",B156="6333"),(1+I156)*(1-L156),IF(B156="6811",1+I156,1))))))))</f>
        <v/>
      </c>
      <c r="P156">
        <f>IF(E156=1,F156*O156,"")</f>
        <v/>
      </c>
    </row>
    <row r="157">
      <c r="A157">
        <f>PNL!A157</f>
        <v/>
      </c>
      <c r="B157">
        <f>PNL!B157</f>
        <v/>
      </c>
      <c r="C157">
        <f>PNL!C157</f>
        <v/>
      </c>
      <c r="D157">
        <f>PNL!D157</f>
        <v/>
      </c>
      <c r="E157">
        <f>IF(AND(C157="2027",OR(D157="V01",D157="V02",D157="V03")),1,0)</f>
        <v/>
      </c>
      <c r="F157">
        <f>IF(E157=1,SUMIFS(Compta!$F$2:$F$675,Compta!$A$2:$A$675,A157,Compta!$B$2:$B$675,B157,Compta!$C$2:$C$675,"2026"),0)</f>
        <v/>
      </c>
      <c r="G157">
        <f>IF(D157="V01",cad!$I$21,IF(D157="V02",cad!$J$21,cad!$K$21))</f>
        <v/>
      </c>
      <c r="H157">
        <f>IF(D157="V01",cad!$I$22,IF(D157="V02",cad!$J$22,cad!$K$22))</f>
        <v/>
      </c>
      <c r="I157">
        <f>IF(D157="V01",cad!$I$27,IF(D157="V02",cad!$J$27,cad!$K$27))</f>
        <v/>
      </c>
      <c r="J157">
        <f>IF(D157="V01",cad!$I$28,IF(D157="V02",cad!$J$28,cad!$K$28))</f>
        <v/>
      </c>
      <c r="K157">
        <f>IF(D157="V01",cad!$I$29,IF(D157="V02",cad!$J$29,cad!$K$29))</f>
        <v/>
      </c>
      <c r="L157">
        <f>IF(D157="V01",cad!$I$30,IF(D157="V02",cad!$J$30,cad!$K$30))</f>
        <v/>
      </c>
      <c r="M157">
        <f>IF(D157="V01",cad!$I$31,IF(D157="V02",cad!$J$31,cad!$K$31))</f>
        <v/>
      </c>
      <c r="N157">
        <f>IF(D157="V01",$R$2,IF(D157="V02",$R$3,$R$4))</f>
        <v/>
      </c>
      <c r="O157">
        <f>IF(OR(B157="7062",B157="706",B157="708"),N157,IF(B157="6231",1+G157,IF(B157="6236",1+H157,IF(OR(B157="621",B157="604",B157="6063"),N157*(1-L157),IF(OR(B157="6411",B157="6413",B157="6414",B157="645"),(1+J157)*(1+K157),IF(OR(B157="613",B157="615",B157="616",B157="6226",B157="625",B157="626",B157="6281"),(1+I157)*(1-L157)*(1+M157),IF(OR(B157="6331",B157="63511",B157="6333"),(1+I157)*(1-L157),IF(B157="6811",1+I157,1))))))))</f>
        <v/>
      </c>
      <c r="P157">
        <f>IF(E157=1,F157*O157,"")</f>
        <v/>
      </c>
    </row>
    <row r="158">
      <c r="A158">
        <f>PNL!A158</f>
        <v/>
      </c>
      <c r="B158">
        <f>PNL!B158</f>
        <v/>
      </c>
      <c r="C158">
        <f>PNL!C158</f>
        <v/>
      </c>
      <c r="D158">
        <f>PNL!D158</f>
        <v/>
      </c>
      <c r="E158">
        <f>IF(AND(C158="2027",OR(D158="V01",D158="V02",D158="V03")),1,0)</f>
        <v/>
      </c>
      <c r="F158">
        <f>IF(E158=1,SUMIFS(Compta!$F$2:$F$675,Compta!$A$2:$A$675,A158,Compta!$B$2:$B$675,B158,Compta!$C$2:$C$675,"2026"),0)</f>
        <v/>
      </c>
      <c r="G158">
        <f>IF(D158="V01",cad!$I$21,IF(D158="V02",cad!$J$21,cad!$K$21))</f>
        <v/>
      </c>
      <c r="H158">
        <f>IF(D158="V01",cad!$I$22,IF(D158="V02",cad!$J$22,cad!$K$22))</f>
        <v/>
      </c>
      <c r="I158">
        <f>IF(D158="V01",cad!$I$27,IF(D158="V02",cad!$J$27,cad!$K$27))</f>
        <v/>
      </c>
      <c r="J158">
        <f>IF(D158="V01",cad!$I$28,IF(D158="V02",cad!$J$28,cad!$K$28))</f>
        <v/>
      </c>
      <c r="K158">
        <f>IF(D158="V01",cad!$I$29,IF(D158="V02",cad!$J$29,cad!$K$29))</f>
        <v/>
      </c>
      <c r="L158">
        <f>IF(D158="V01",cad!$I$30,IF(D158="V02",cad!$J$30,cad!$K$30))</f>
        <v/>
      </c>
      <c r="M158">
        <f>IF(D158="V01",cad!$I$31,IF(D158="V02",cad!$J$31,cad!$K$31))</f>
        <v/>
      </c>
      <c r="N158">
        <f>IF(D158="V01",$R$2,IF(D158="V02",$R$3,$R$4))</f>
        <v/>
      </c>
      <c r="O158">
        <f>IF(OR(B158="7062",B158="706",B158="708"),N158,IF(B158="6231",1+G158,IF(B158="6236",1+H158,IF(OR(B158="621",B158="604",B158="6063"),N158*(1-L158),IF(OR(B158="6411",B158="6413",B158="6414",B158="645"),(1+J158)*(1+K158),IF(OR(B158="613",B158="615",B158="616",B158="6226",B158="625",B158="626",B158="6281"),(1+I158)*(1-L158)*(1+M158),IF(OR(B158="6331",B158="63511",B158="6333"),(1+I158)*(1-L158),IF(B158="6811",1+I158,1))))))))</f>
        <v/>
      </c>
      <c r="P158">
        <f>IF(E158=1,F158*O158,"")</f>
        <v/>
      </c>
    </row>
    <row r="159">
      <c r="A159">
        <f>PNL!A159</f>
        <v/>
      </c>
      <c r="B159">
        <f>PNL!B159</f>
        <v/>
      </c>
      <c r="C159">
        <f>PNL!C159</f>
        <v/>
      </c>
      <c r="D159">
        <f>PNL!D159</f>
        <v/>
      </c>
      <c r="E159">
        <f>IF(AND(C159="2027",OR(D159="V01",D159="V02",D159="V03")),1,0)</f>
        <v/>
      </c>
      <c r="F159">
        <f>IF(E159=1,SUMIFS(Compta!$F$2:$F$675,Compta!$A$2:$A$675,A159,Compta!$B$2:$B$675,B159,Compta!$C$2:$C$675,"2026"),0)</f>
        <v/>
      </c>
      <c r="G159">
        <f>IF(D159="V01",cad!$I$21,IF(D159="V02",cad!$J$21,cad!$K$21))</f>
        <v/>
      </c>
      <c r="H159">
        <f>IF(D159="V01",cad!$I$22,IF(D159="V02",cad!$J$22,cad!$K$22))</f>
        <v/>
      </c>
      <c r="I159">
        <f>IF(D159="V01",cad!$I$27,IF(D159="V02",cad!$J$27,cad!$K$27))</f>
        <v/>
      </c>
      <c r="J159">
        <f>IF(D159="V01",cad!$I$28,IF(D159="V02",cad!$J$28,cad!$K$28))</f>
        <v/>
      </c>
      <c r="K159">
        <f>IF(D159="V01",cad!$I$29,IF(D159="V02",cad!$J$29,cad!$K$29))</f>
        <v/>
      </c>
      <c r="L159">
        <f>IF(D159="V01",cad!$I$30,IF(D159="V02",cad!$J$30,cad!$K$30))</f>
        <v/>
      </c>
      <c r="M159">
        <f>IF(D159="V01",cad!$I$31,IF(D159="V02",cad!$J$31,cad!$K$31))</f>
        <v/>
      </c>
      <c r="N159">
        <f>IF(D159="V01",$R$2,IF(D159="V02",$R$3,$R$4))</f>
        <v/>
      </c>
      <c r="O159">
        <f>IF(OR(B159="7062",B159="706",B159="708"),N159,IF(B159="6231",1+G159,IF(B159="6236",1+H159,IF(OR(B159="621",B159="604",B159="6063"),N159*(1-L159),IF(OR(B159="6411",B159="6413",B159="6414",B159="645"),(1+J159)*(1+K159),IF(OR(B159="613",B159="615",B159="616",B159="6226",B159="625",B159="626",B159="6281"),(1+I159)*(1-L159)*(1+M159),IF(OR(B159="6331",B159="63511",B159="6333"),(1+I159)*(1-L159),IF(B159="6811",1+I159,1))))))))</f>
        <v/>
      </c>
      <c r="P159">
        <f>IF(E159=1,F159*O159,"")</f>
        <v/>
      </c>
    </row>
    <row r="160">
      <c r="A160">
        <f>PNL!A160</f>
        <v/>
      </c>
      <c r="B160">
        <f>PNL!B160</f>
        <v/>
      </c>
      <c r="C160">
        <f>PNL!C160</f>
        <v/>
      </c>
      <c r="D160">
        <f>PNL!D160</f>
        <v/>
      </c>
      <c r="E160">
        <f>IF(AND(C160="2027",OR(D160="V01",D160="V02",D160="V03")),1,0)</f>
        <v/>
      </c>
      <c r="F160">
        <f>IF(E160=1,SUMIFS(Compta!$F$2:$F$675,Compta!$A$2:$A$675,A160,Compta!$B$2:$B$675,B160,Compta!$C$2:$C$675,"2026"),0)</f>
        <v/>
      </c>
      <c r="G160">
        <f>IF(D160="V01",cad!$I$21,IF(D160="V02",cad!$J$21,cad!$K$21))</f>
        <v/>
      </c>
      <c r="H160">
        <f>IF(D160="V01",cad!$I$22,IF(D160="V02",cad!$J$22,cad!$K$22))</f>
        <v/>
      </c>
      <c r="I160">
        <f>IF(D160="V01",cad!$I$27,IF(D160="V02",cad!$J$27,cad!$K$27))</f>
        <v/>
      </c>
      <c r="J160">
        <f>IF(D160="V01",cad!$I$28,IF(D160="V02",cad!$J$28,cad!$K$28))</f>
        <v/>
      </c>
      <c r="K160">
        <f>IF(D160="V01",cad!$I$29,IF(D160="V02",cad!$J$29,cad!$K$29))</f>
        <v/>
      </c>
      <c r="L160">
        <f>IF(D160="V01",cad!$I$30,IF(D160="V02",cad!$J$30,cad!$K$30))</f>
        <v/>
      </c>
      <c r="M160">
        <f>IF(D160="V01",cad!$I$31,IF(D160="V02",cad!$J$31,cad!$K$31))</f>
        <v/>
      </c>
      <c r="N160">
        <f>IF(D160="V01",$R$2,IF(D160="V02",$R$3,$R$4))</f>
        <v/>
      </c>
      <c r="O160">
        <f>IF(OR(B160="7062",B160="706",B160="708"),N160,IF(B160="6231",1+G160,IF(B160="6236",1+H160,IF(OR(B160="621",B160="604",B160="6063"),N160*(1-L160),IF(OR(B160="6411",B160="6413",B160="6414",B160="645"),(1+J160)*(1+K160),IF(OR(B160="613",B160="615",B160="616",B160="6226",B160="625",B160="626",B160="6281"),(1+I160)*(1-L160)*(1+M160),IF(OR(B160="6331",B160="63511",B160="6333"),(1+I160)*(1-L160),IF(B160="6811",1+I160,1))))))))</f>
        <v/>
      </c>
      <c r="P160">
        <f>IF(E160=1,F160*O160,"")</f>
        <v/>
      </c>
    </row>
    <row r="161">
      <c r="A161">
        <f>PNL!A161</f>
        <v/>
      </c>
      <c r="B161">
        <f>PNL!B161</f>
        <v/>
      </c>
      <c r="C161">
        <f>PNL!C161</f>
        <v/>
      </c>
      <c r="D161">
        <f>PNL!D161</f>
        <v/>
      </c>
      <c r="E161">
        <f>IF(AND(C161="2027",OR(D161="V01",D161="V02",D161="V03")),1,0)</f>
        <v/>
      </c>
      <c r="F161">
        <f>IF(E161=1,SUMIFS(Compta!$F$2:$F$675,Compta!$A$2:$A$675,A161,Compta!$B$2:$B$675,B161,Compta!$C$2:$C$675,"2026"),0)</f>
        <v/>
      </c>
      <c r="G161">
        <f>IF(D161="V01",cad!$I$21,IF(D161="V02",cad!$J$21,cad!$K$21))</f>
        <v/>
      </c>
      <c r="H161">
        <f>IF(D161="V01",cad!$I$22,IF(D161="V02",cad!$J$22,cad!$K$22))</f>
        <v/>
      </c>
      <c r="I161">
        <f>IF(D161="V01",cad!$I$27,IF(D161="V02",cad!$J$27,cad!$K$27))</f>
        <v/>
      </c>
      <c r="J161">
        <f>IF(D161="V01",cad!$I$28,IF(D161="V02",cad!$J$28,cad!$K$28))</f>
        <v/>
      </c>
      <c r="K161">
        <f>IF(D161="V01",cad!$I$29,IF(D161="V02",cad!$J$29,cad!$K$29))</f>
        <v/>
      </c>
      <c r="L161">
        <f>IF(D161="V01",cad!$I$30,IF(D161="V02",cad!$J$30,cad!$K$30))</f>
        <v/>
      </c>
      <c r="M161">
        <f>IF(D161="V01",cad!$I$31,IF(D161="V02",cad!$J$31,cad!$K$31))</f>
        <v/>
      </c>
      <c r="N161">
        <f>IF(D161="V01",$R$2,IF(D161="V02",$R$3,$R$4))</f>
        <v/>
      </c>
      <c r="O161">
        <f>IF(OR(B161="7062",B161="706",B161="708"),N161,IF(B161="6231",1+G161,IF(B161="6236",1+H161,IF(OR(B161="621",B161="604",B161="6063"),N161*(1-L161),IF(OR(B161="6411",B161="6413",B161="6414",B161="645"),(1+J161)*(1+K161),IF(OR(B161="613",B161="615",B161="616",B161="6226",B161="625",B161="626",B161="6281"),(1+I161)*(1-L161)*(1+M161),IF(OR(B161="6331",B161="63511",B161="6333"),(1+I161)*(1-L161),IF(B161="6811",1+I161,1))))))))</f>
        <v/>
      </c>
      <c r="P161">
        <f>IF(E161=1,F161*O161,"")</f>
        <v/>
      </c>
    </row>
    <row r="162">
      <c r="A162">
        <f>PNL!A162</f>
        <v/>
      </c>
      <c r="B162">
        <f>PNL!B162</f>
        <v/>
      </c>
      <c r="C162">
        <f>PNL!C162</f>
        <v/>
      </c>
      <c r="D162">
        <f>PNL!D162</f>
        <v/>
      </c>
      <c r="E162">
        <f>IF(AND(C162="2027",OR(D162="V01",D162="V02",D162="V03")),1,0)</f>
        <v/>
      </c>
      <c r="F162">
        <f>IF(E162=1,SUMIFS(Compta!$F$2:$F$675,Compta!$A$2:$A$675,A162,Compta!$B$2:$B$675,B162,Compta!$C$2:$C$675,"2026"),0)</f>
        <v/>
      </c>
      <c r="G162">
        <f>IF(D162="V01",cad!$I$21,IF(D162="V02",cad!$J$21,cad!$K$21))</f>
        <v/>
      </c>
      <c r="H162">
        <f>IF(D162="V01",cad!$I$22,IF(D162="V02",cad!$J$22,cad!$K$22))</f>
        <v/>
      </c>
      <c r="I162">
        <f>IF(D162="V01",cad!$I$27,IF(D162="V02",cad!$J$27,cad!$K$27))</f>
        <v/>
      </c>
      <c r="J162">
        <f>IF(D162="V01",cad!$I$28,IF(D162="V02",cad!$J$28,cad!$K$28))</f>
        <v/>
      </c>
      <c r="K162">
        <f>IF(D162="V01",cad!$I$29,IF(D162="V02",cad!$J$29,cad!$K$29))</f>
        <v/>
      </c>
      <c r="L162">
        <f>IF(D162="V01",cad!$I$30,IF(D162="V02",cad!$J$30,cad!$K$30))</f>
        <v/>
      </c>
      <c r="M162">
        <f>IF(D162="V01",cad!$I$31,IF(D162="V02",cad!$J$31,cad!$K$31))</f>
        <v/>
      </c>
      <c r="N162">
        <f>IF(D162="V01",$R$2,IF(D162="V02",$R$3,$R$4))</f>
        <v/>
      </c>
      <c r="O162">
        <f>IF(OR(B162="7062",B162="706",B162="708"),N162,IF(B162="6231",1+G162,IF(B162="6236",1+H162,IF(OR(B162="621",B162="604",B162="6063"),N162*(1-L162),IF(OR(B162="6411",B162="6413",B162="6414",B162="645"),(1+J162)*(1+K162),IF(OR(B162="613",B162="615",B162="616",B162="6226",B162="625",B162="626",B162="6281"),(1+I162)*(1-L162)*(1+M162),IF(OR(B162="6331",B162="63511",B162="6333"),(1+I162)*(1-L162),IF(B162="6811",1+I162,1))))))))</f>
        <v/>
      </c>
      <c r="P162">
        <f>IF(E162=1,F162*O162,"")</f>
        <v/>
      </c>
    </row>
    <row r="163">
      <c r="A163">
        <f>PNL!A163</f>
        <v/>
      </c>
      <c r="B163">
        <f>PNL!B163</f>
        <v/>
      </c>
      <c r="C163">
        <f>PNL!C163</f>
        <v/>
      </c>
      <c r="D163">
        <f>PNL!D163</f>
        <v/>
      </c>
      <c r="E163">
        <f>IF(AND(C163="2027",OR(D163="V01",D163="V02",D163="V03")),1,0)</f>
        <v/>
      </c>
      <c r="F163">
        <f>IF(E163=1,SUMIFS(Compta!$F$2:$F$675,Compta!$A$2:$A$675,A163,Compta!$B$2:$B$675,B163,Compta!$C$2:$C$675,"2026"),0)</f>
        <v/>
      </c>
      <c r="G163">
        <f>IF(D163="V01",cad!$I$21,IF(D163="V02",cad!$J$21,cad!$K$21))</f>
        <v/>
      </c>
      <c r="H163">
        <f>IF(D163="V01",cad!$I$22,IF(D163="V02",cad!$J$22,cad!$K$22))</f>
        <v/>
      </c>
      <c r="I163">
        <f>IF(D163="V01",cad!$I$27,IF(D163="V02",cad!$J$27,cad!$K$27))</f>
        <v/>
      </c>
      <c r="J163">
        <f>IF(D163="V01",cad!$I$28,IF(D163="V02",cad!$J$28,cad!$K$28))</f>
        <v/>
      </c>
      <c r="K163">
        <f>IF(D163="V01",cad!$I$29,IF(D163="V02",cad!$J$29,cad!$K$29))</f>
        <v/>
      </c>
      <c r="L163">
        <f>IF(D163="V01",cad!$I$30,IF(D163="V02",cad!$J$30,cad!$K$30))</f>
        <v/>
      </c>
      <c r="M163">
        <f>IF(D163="V01",cad!$I$31,IF(D163="V02",cad!$J$31,cad!$K$31))</f>
        <v/>
      </c>
      <c r="N163">
        <f>IF(D163="V01",$R$2,IF(D163="V02",$R$3,$R$4))</f>
        <v/>
      </c>
      <c r="O163">
        <f>IF(OR(B163="7062",B163="706",B163="708"),N163,IF(B163="6231",1+G163,IF(B163="6236",1+H163,IF(OR(B163="621",B163="604",B163="6063"),N163*(1-L163),IF(OR(B163="6411",B163="6413",B163="6414",B163="645"),(1+J163)*(1+K163),IF(OR(B163="613",B163="615",B163="616",B163="6226",B163="625",B163="626",B163="6281"),(1+I163)*(1-L163)*(1+M163),IF(OR(B163="6331",B163="63511",B163="6333"),(1+I163)*(1-L163),IF(B163="6811",1+I163,1))))))))</f>
        <v/>
      </c>
      <c r="P163">
        <f>IF(E163=1,F163*O163,"")</f>
        <v/>
      </c>
    </row>
    <row r="164">
      <c r="A164">
        <f>PNL!A164</f>
        <v/>
      </c>
      <c r="B164">
        <f>PNL!B164</f>
        <v/>
      </c>
      <c r="C164">
        <f>PNL!C164</f>
        <v/>
      </c>
      <c r="D164">
        <f>PNL!D164</f>
        <v/>
      </c>
      <c r="E164">
        <f>IF(AND(C164="2027",OR(D164="V01",D164="V02",D164="V03")),1,0)</f>
        <v/>
      </c>
      <c r="F164">
        <f>IF(E164=1,SUMIFS(Compta!$F$2:$F$675,Compta!$A$2:$A$675,A164,Compta!$B$2:$B$675,B164,Compta!$C$2:$C$675,"2026"),0)</f>
        <v/>
      </c>
      <c r="G164">
        <f>IF(D164="V01",cad!$I$21,IF(D164="V02",cad!$J$21,cad!$K$21))</f>
        <v/>
      </c>
      <c r="H164">
        <f>IF(D164="V01",cad!$I$22,IF(D164="V02",cad!$J$22,cad!$K$22))</f>
        <v/>
      </c>
      <c r="I164">
        <f>IF(D164="V01",cad!$I$27,IF(D164="V02",cad!$J$27,cad!$K$27))</f>
        <v/>
      </c>
      <c r="J164">
        <f>IF(D164="V01",cad!$I$28,IF(D164="V02",cad!$J$28,cad!$K$28))</f>
        <v/>
      </c>
      <c r="K164">
        <f>IF(D164="V01",cad!$I$29,IF(D164="V02",cad!$J$29,cad!$K$29))</f>
        <v/>
      </c>
      <c r="L164">
        <f>IF(D164="V01",cad!$I$30,IF(D164="V02",cad!$J$30,cad!$K$30))</f>
        <v/>
      </c>
      <c r="M164">
        <f>IF(D164="V01",cad!$I$31,IF(D164="V02",cad!$J$31,cad!$K$31))</f>
        <v/>
      </c>
      <c r="N164">
        <f>IF(D164="V01",$R$2,IF(D164="V02",$R$3,$R$4))</f>
        <v/>
      </c>
      <c r="O164">
        <f>IF(OR(B164="7062",B164="706",B164="708"),N164,IF(B164="6231",1+G164,IF(B164="6236",1+H164,IF(OR(B164="621",B164="604",B164="6063"),N164*(1-L164),IF(OR(B164="6411",B164="6413",B164="6414",B164="645"),(1+J164)*(1+K164),IF(OR(B164="613",B164="615",B164="616",B164="6226",B164="625",B164="626",B164="6281"),(1+I164)*(1-L164)*(1+M164),IF(OR(B164="6331",B164="63511",B164="6333"),(1+I164)*(1-L164),IF(B164="6811",1+I164,1))))))))</f>
        <v/>
      </c>
      <c r="P164">
        <f>IF(E164=1,F164*O164,"")</f>
        <v/>
      </c>
    </row>
    <row r="165">
      <c r="A165">
        <f>PNL!A165</f>
        <v/>
      </c>
      <c r="B165">
        <f>PNL!B165</f>
        <v/>
      </c>
      <c r="C165">
        <f>PNL!C165</f>
        <v/>
      </c>
      <c r="D165">
        <f>PNL!D165</f>
        <v/>
      </c>
      <c r="E165">
        <f>IF(AND(C165="2027",OR(D165="V01",D165="V02",D165="V03")),1,0)</f>
        <v/>
      </c>
      <c r="F165">
        <f>IF(E165=1,SUMIFS(Compta!$F$2:$F$675,Compta!$A$2:$A$675,A165,Compta!$B$2:$B$675,B165,Compta!$C$2:$C$675,"2026"),0)</f>
        <v/>
      </c>
      <c r="G165">
        <f>IF(D165="V01",cad!$I$21,IF(D165="V02",cad!$J$21,cad!$K$21))</f>
        <v/>
      </c>
      <c r="H165">
        <f>IF(D165="V01",cad!$I$22,IF(D165="V02",cad!$J$22,cad!$K$22))</f>
        <v/>
      </c>
      <c r="I165">
        <f>IF(D165="V01",cad!$I$27,IF(D165="V02",cad!$J$27,cad!$K$27))</f>
        <v/>
      </c>
      <c r="J165">
        <f>IF(D165="V01",cad!$I$28,IF(D165="V02",cad!$J$28,cad!$K$28))</f>
        <v/>
      </c>
      <c r="K165">
        <f>IF(D165="V01",cad!$I$29,IF(D165="V02",cad!$J$29,cad!$K$29))</f>
        <v/>
      </c>
      <c r="L165">
        <f>IF(D165="V01",cad!$I$30,IF(D165="V02",cad!$J$30,cad!$K$30))</f>
        <v/>
      </c>
      <c r="M165">
        <f>IF(D165="V01",cad!$I$31,IF(D165="V02",cad!$J$31,cad!$K$31))</f>
        <v/>
      </c>
      <c r="N165">
        <f>IF(D165="V01",$R$2,IF(D165="V02",$R$3,$R$4))</f>
        <v/>
      </c>
      <c r="O165">
        <f>IF(OR(B165="7062",B165="706",B165="708"),N165,IF(B165="6231",1+G165,IF(B165="6236",1+H165,IF(OR(B165="621",B165="604",B165="6063"),N165*(1-L165),IF(OR(B165="6411",B165="6413",B165="6414",B165="645"),(1+J165)*(1+K165),IF(OR(B165="613",B165="615",B165="616",B165="6226",B165="625",B165="626",B165="6281"),(1+I165)*(1-L165)*(1+M165),IF(OR(B165="6331",B165="63511",B165="6333"),(1+I165)*(1-L165),IF(B165="6811",1+I165,1))))))))</f>
        <v/>
      </c>
      <c r="P165">
        <f>IF(E165=1,F165*O165,"")</f>
        <v/>
      </c>
    </row>
    <row r="166">
      <c r="A166">
        <f>PNL!A166</f>
        <v/>
      </c>
      <c r="B166">
        <f>PNL!B166</f>
        <v/>
      </c>
      <c r="C166">
        <f>PNL!C166</f>
        <v/>
      </c>
      <c r="D166">
        <f>PNL!D166</f>
        <v/>
      </c>
      <c r="E166">
        <f>IF(AND(C166="2027",OR(D166="V01",D166="V02",D166="V03")),1,0)</f>
        <v/>
      </c>
      <c r="F166">
        <f>IF(E166=1,SUMIFS(Compta!$F$2:$F$675,Compta!$A$2:$A$675,A166,Compta!$B$2:$B$675,B166,Compta!$C$2:$C$675,"2026"),0)</f>
        <v/>
      </c>
      <c r="G166">
        <f>IF(D166="V01",cad!$I$21,IF(D166="V02",cad!$J$21,cad!$K$21))</f>
        <v/>
      </c>
      <c r="H166">
        <f>IF(D166="V01",cad!$I$22,IF(D166="V02",cad!$J$22,cad!$K$22))</f>
        <v/>
      </c>
      <c r="I166">
        <f>IF(D166="V01",cad!$I$27,IF(D166="V02",cad!$J$27,cad!$K$27))</f>
        <v/>
      </c>
      <c r="J166">
        <f>IF(D166="V01",cad!$I$28,IF(D166="V02",cad!$J$28,cad!$K$28))</f>
        <v/>
      </c>
      <c r="K166">
        <f>IF(D166="V01",cad!$I$29,IF(D166="V02",cad!$J$29,cad!$K$29))</f>
        <v/>
      </c>
      <c r="L166">
        <f>IF(D166="V01",cad!$I$30,IF(D166="V02",cad!$J$30,cad!$K$30))</f>
        <v/>
      </c>
      <c r="M166">
        <f>IF(D166="V01",cad!$I$31,IF(D166="V02",cad!$J$31,cad!$K$31))</f>
        <v/>
      </c>
      <c r="N166">
        <f>IF(D166="V01",$R$2,IF(D166="V02",$R$3,$R$4))</f>
        <v/>
      </c>
      <c r="O166">
        <f>IF(OR(B166="7062",B166="706",B166="708"),N166,IF(B166="6231",1+G166,IF(B166="6236",1+H166,IF(OR(B166="621",B166="604",B166="6063"),N166*(1-L166),IF(OR(B166="6411",B166="6413",B166="6414",B166="645"),(1+J166)*(1+K166),IF(OR(B166="613",B166="615",B166="616",B166="6226",B166="625",B166="626",B166="6281"),(1+I166)*(1-L166)*(1+M166),IF(OR(B166="6331",B166="63511",B166="6333"),(1+I166)*(1-L166),IF(B166="6811",1+I166,1))))))))</f>
        <v/>
      </c>
      <c r="P166">
        <f>IF(E166=1,F166*O166,"")</f>
        <v/>
      </c>
    </row>
    <row r="167">
      <c r="A167">
        <f>PNL!A167</f>
        <v/>
      </c>
      <c r="B167">
        <f>PNL!B167</f>
        <v/>
      </c>
      <c r="C167">
        <f>PNL!C167</f>
        <v/>
      </c>
      <c r="D167">
        <f>PNL!D167</f>
        <v/>
      </c>
      <c r="E167">
        <f>IF(AND(C167="2027",OR(D167="V01",D167="V02",D167="V03")),1,0)</f>
        <v/>
      </c>
      <c r="F167">
        <f>IF(E167=1,SUMIFS(Compta!$F$2:$F$675,Compta!$A$2:$A$675,A167,Compta!$B$2:$B$675,B167,Compta!$C$2:$C$675,"2026"),0)</f>
        <v/>
      </c>
      <c r="G167">
        <f>IF(D167="V01",cad!$I$21,IF(D167="V02",cad!$J$21,cad!$K$21))</f>
        <v/>
      </c>
      <c r="H167">
        <f>IF(D167="V01",cad!$I$22,IF(D167="V02",cad!$J$22,cad!$K$22))</f>
        <v/>
      </c>
      <c r="I167">
        <f>IF(D167="V01",cad!$I$27,IF(D167="V02",cad!$J$27,cad!$K$27))</f>
        <v/>
      </c>
      <c r="J167">
        <f>IF(D167="V01",cad!$I$28,IF(D167="V02",cad!$J$28,cad!$K$28))</f>
        <v/>
      </c>
      <c r="K167">
        <f>IF(D167="V01",cad!$I$29,IF(D167="V02",cad!$J$29,cad!$K$29))</f>
        <v/>
      </c>
      <c r="L167">
        <f>IF(D167="V01",cad!$I$30,IF(D167="V02",cad!$J$30,cad!$K$30))</f>
        <v/>
      </c>
      <c r="M167">
        <f>IF(D167="V01",cad!$I$31,IF(D167="V02",cad!$J$31,cad!$K$31))</f>
        <v/>
      </c>
      <c r="N167">
        <f>IF(D167="V01",$R$2,IF(D167="V02",$R$3,$R$4))</f>
        <v/>
      </c>
      <c r="O167">
        <f>IF(OR(B167="7062",B167="706",B167="708"),N167,IF(B167="6231",1+G167,IF(B167="6236",1+H167,IF(OR(B167="621",B167="604",B167="6063"),N167*(1-L167),IF(OR(B167="6411",B167="6413",B167="6414",B167="645"),(1+J167)*(1+K167),IF(OR(B167="613",B167="615",B167="616",B167="6226",B167="625",B167="626",B167="6281"),(1+I167)*(1-L167)*(1+M167),IF(OR(B167="6331",B167="63511",B167="6333"),(1+I167)*(1-L167),IF(B167="6811",1+I167,1))))))))</f>
        <v/>
      </c>
      <c r="P167">
        <f>IF(E167=1,F167*O167,"")</f>
        <v/>
      </c>
    </row>
    <row r="168">
      <c r="A168">
        <f>PNL!A168</f>
        <v/>
      </c>
      <c r="B168">
        <f>PNL!B168</f>
        <v/>
      </c>
      <c r="C168">
        <f>PNL!C168</f>
        <v/>
      </c>
      <c r="D168">
        <f>PNL!D168</f>
        <v/>
      </c>
      <c r="E168">
        <f>IF(AND(C168="2027",OR(D168="V01",D168="V02",D168="V03")),1,0)</f>
        <v/>
      </c>
      <c r="F168">
        <f>IF(E168=1,SUMIFS(Compta!$F$2:$F$675,Compta!$A$2:$A$675,A168,Compta!$B$2:$B$675,B168,Compta!$C$2:$C$675,"2026"),0)</f>
        <v/>
      </c>
      <c r="G168">
        <f>IF(D168="V01",cad!$I$21,IF(D168="V02",cad!$J$21,cad!$K$21))</f>
        <v/>
      </c>
      <c r="H168">
        <f>IF(D168="V01",cad!$I$22,IF(D168="V02",cad!$J$22,cad!$K$22))</f>
        <v/>
      </c>
      <c r="I168">
        <f>IF(D168="V01",cad!$I$27,IF(D168="V02",cad!$J$27,cad!$K$27))</f>
        <v/>
      </c>
      <c r="J168">
        <f>IF(D168="V01",cad!$I$28,IF(D168="V02",cad!$J$28,cad!$K$28))</f>
        <v/>
      </c>
      <c r="K168">
        <f>IF(D168="V01",cad!$I$29,IF(D168="V02",cad!$J$29,cad!$K$29))</f>
        <v/>
      </c>
      <c r="L168">
        <f>IF(D168="V01",cad!$I$30,IF(D168="V02",cad!$J$30,cad!$K$30))</f>
        <v/>
      </c>
      <c r="M168">
        <f>IF(D168="V01",cad!$I$31,IF(D168="V02",cad!$J$31,cad!$K$31))</f>
        <v/>
      </c>
      <c r="N168">
        <f>IF(D168="V01",$R$2,IF(D168="V02",$R$3,$R$4))</f>
        <v/>
      </c>
      <c r="O168">
        <f>IF(OR(B168="7062",B168="706",B168="708"),N168,IF(B168="6231",1+G168,IF(B168="6236",1+H168,IF(OR(B168="621",B168="604",B168="6063"),N168*(1-L168),IF(OR(B168="6411",B168="6413",B168="6414",B168="645"),(1+J168)*(1+K168),IF(OR(B168="613",B168="615",B168="616",B168="6226",B168="625",B168="626",B168="6281"),(1+I168)*(1-L168)*(1+M168),IF(OR(B168="6331",B168="63511",B168="6333"),(1+I168)*(1-L168),IF(B168="6811",1+I168,1))))))))</f>
        <v/>
      </c>
      <c r="P168">
        <f>IF(E168=1,F168*O168,"")</f>
        <v/>
      </c>
    </row>
    <row r="169">
      <c r="A169">
        <f>PNL!A169</f>
        <v/>
      </c>
      <c r="B169">
        <f>PNL!B169</f>
        <v/>
      </c>
      <c r="C169">
        <f>PNL!C169</f>
        <v/>
      </c>
      <c r="D169">
        <f>PNL!D169</f>
        <v/>
      </c>
      <c r="E169">
        <f>IF(AND(C169="2027",OR(D169="V01",D169="V02",D169="V03")),1,0)</f>
        <v/>
      </c>
      <c r="F169">
        <f>IF(E169=1,SUMIFS(Compta!$F$2:$F$675,Compta!$A$2:$A$675,A169,Compta!$B$2:$B$675,B169,Compta!$C$2:$C$675,"2026"),0)</f>
        <v/>
      </c>
      <c r="G169">
        <f>IF(D169="V01",cad!$I$21,IF(D169="V02",cad!$J$21,cad!$K$21))</f>
        <v/>
      </c>
      <c r="H169">
        <f>IF(D169="V01",cad!$I$22,IF(D169="V02",cad!$J$22,cad!$K$22))</f>
        <v/>
      </c>
      <c r="I169">
        <f>IF(D169="V01",cad!$I$27,IF(D169="V02",cad!$J$27,cad!$K$27))</f>
        <v/>
      </c>
      <c r="J169">
        <f>IF(D169="V01",cad!$I$28,IF(D169="V02",cad!$J$28,cad!$K$28))</f>
        <v/>
      </c>
      <c r="K169">
        <f>IF(D169="V01",cad!$I$29,IF(D169="V02",cad!$J$29,cad!$K$29))</f>
        <v/>
      </c>
      <c r="L169">
        <f>IF(D169="V01",cad!$I$30,IF(D169="V02",cad!$J$30,cad!$K$30))</f>
        <v/>
      </c>
      <c r="M169">
        <f>IF(D169="V01",cad!$I$31,IF(D169="V02",cad!$J$31,cad!$K$31))</f>
        <v/>
      </c>
      <c r="N169">
        <f>IF(D169="V01",$R$2,IF(D169="V02",$R$3,$R$4))</f>
        <v/>
      </c>
      <c r="O169">
        <f>IF(OR(B169="7062",B169="706",B169="708"),N169,IF(B169="6231",1+G169,IF(B169="6236",1+H169,IF(OR(B169="621",B169="604",B169="6063"),N169*(1-L169),IF(OR(B169="6411",B169="6413",B169="6414",B169="645"),(1+J169)*(1+K169),IF(OR(B169="613",B169="615",B169="616",B169="6226",B169="625",B169="626",B169="6281"),(1+I169)*(1-L169)*(1+M169),IF(OR(B169="6331",B169="63511",B169="6333"),(1+I169)*(1-L169),IF(B169="6811",1+I169,1))))))))</f>
        <v/>
      </c>
      <c r="P169">
        <f>IF(E169=1,F169*O169,"")</f>
        <v/>
      </c>
    </row>
    <row r="170">
      <c r="A170">
        <f>PNL!A170</f>
        <v/>
      </c>
      <c r="B170">
        <f>PNL!B170</f>
        <v/>
      </c>
      <c r="C170">
        <f>PNL!C170</f>
        <v/>
      </c>
      <c r="D170">
        <f>PNL!D170</f>
        <v/>
      </c>
      <c r="E170">
        <f>IF(AND(C170="2027",OR(D170="V01",D170="V02",D170="V03")),1,0)</f>
        <v/>
      </c>
      <c r="F170">
        <f>IF(E170=1,SUMIFS(Compta!$F$2:$F$675,Compta!$A$2:$A$675,A170,Compta!$B$2:$B$675,B170,Compta!$C$2:$C$675,"2026"),0)</f>
        <v/>
      </c>
      <c r="G170">
        <f>IF(D170="V01",cad!$I$21,IF(D170="V02",cad!$J$21,cad!$K$21))</f>
        <v/>
      </c>
      <c r="H170">
        <f>IF(D170="V01",cad!$I$22,IF(D170="V02",cad!$J$22,cad!$K$22))</f>
        <v/>
      </c>
      <c r="I170">
        <f>IF(D170="V01",cad!$I$27,IF(D170="V02",cad!$J$27,cad!$K$27))</f>
        <v/>
      </c>
      <c r="J170">
        <f>IF(D170="V01",cad!$I$28,IF(D170="V02",cad!$J$28,cad!$K$28))</f>
        <v/>
      </c>
      <c r="K170">
        <f>IF(D170="V01",cad!$I$29,IF(D170="V02",cad!$J$29,cad!$K$29))</f>
        <v/>
      </c>
      <c r="L170">
        <f>IF(D170="V01",cad!$I$30,IF(D170="V02",cad!$J$30,cad!$K$30))</f>
        <v/>
      </c>
      <c r="M170">
        <f>IF(D170="V01",cad!$I$31,IF(D170="V02",cad!$J$31,cad!$K$31))</f>
        <v/>
      </c>
      <c r="N170">
        <f>IF(D170="V01",$R$2,IF(D170="V02",$R$3,$R$4))</f>
        <v/>
      </c>
      <c r="O170">
        <f>IF(OR(B170="7062",B170="706",B170="708"),N170,IF(B170="6231",1+G170,IF(B170="6236",1+H170,IF(OR(B170="621",B170="604",B170="6063"),N170*(1-L170),IF(OR(B170="6411",B170="6413",B170="6414",B170="645"),(1+J170)*(1+K170),IF(OR(B170="613",B170="615",B170="616",B170="6226",B170="625",B170="626",B170="6281"),(1+I170)*(1-L170)*(1+M170),IF(OR(B170="6331",B170="63511",B170="6333"),(1+I170)*(1-L170),IF(B170="6811",1+I170,1))))))))</f>
        <v/>
      </c>
      <c r="P170">
        <f>IF(E170=1,F170*O170,"")</f>
        <v/>
      </c>
    </row>
    <row r="171">
      <c r="A171">
        <f>PNL!A171</f>
        <v/>
      </c>
      <c r="B171">
        <f>PNL!B171</f>
        <v/>
      </c>
      <c r="C171">
        <f>PNL!C171</f>
        <v/>
      </c>
      <c r="D171">
        <f>PNL!D171</f>
        <v/>
      </c>
      <c r="E171">
        <f>IF(AND(C171="2027",OR(D171="V01",D171="V02",D171="V03")),1,0)</f>
        <v/>
      </c>
      <c r="F171">
        <f>IF(E171=1,SUMIFS(Compta!$F$2:$F$675,Compta!$A$2:$A$675,A171,Compta!$B$2:$B$675,B171,Compta!$C$2:$C$675,"2026"),0)</f>
        <v/>
      </c>
      <c r="G171">
        <f>IF(D171="V01",cad!$I$21,IF(D171="V02",cad!$J$21,cad!$K$21))</f>
        <v/>
      </c>
      <c r="H171">
        <f>IF(D171="V01",cad!$I$22,IF(D171="V02",cad!$J$22,cad!$K$22))</f>
        <v/>
      </c>
      <c r="I171">
        <f>IF(D171="V01",cad!$I$27,IF(D171="V02",cad!$J$27,cad!$K$27))</f>
        <v/>
      </c>
      <c r="J171">
        <f>IF(D171="V01",cad!$I$28,IF(D171="V02",cad!$J$28,cad!$K$28))</f>
        <v/>
      </c>
      <c r="K171">
        <f>IF(D171="V01",cad!$I$29,IF(D171="V02",cad!$J$29,cad!$K$29))</f>
        <v/>
      </c>
      <c r="L171">
        <f>IF(D171="V01",cad!$I$30,IF(D171="V02",cad!$J$30,cad!$K$30))</f>
        <v/>
      </c>
      <c r="M171">
        <f>IF(D171="V01",cad!$I$31,IF(D171="V02",cad!$J$31,cad!$K$31))</f>
        <v/>
      </c>
      <c r="N171">
        <f>IF(D171="V01",$R$2,IF(D171="V02",$R$3,$R$4))</f>
        <v/>
      </c>
      <c r="O171">
        <f>IF(OR(B171="7062",B171="706",B171="708"),N171,IF(B171="6231",1+G171,IF(B171="6236",1+H171,IF(OR(B171="621",B171="604",B171="6063"),N171*(1-L171),IF(OR(B171="6411",B171="6413",B171="6414",B171="645"),(1+J171)*(1+K171),IF(OR(B171="613",B171="615",B171="616",B171="6226",B171="625",B171="626",B171="6281"),(1+I171)*(1-L171)*(1+M171),IF(OR(B171="6331",B171="63511",B171="6333"),(1+I171)*(1-L171),IF(B171="6811",1+I171,1))))))))</f>
        <v/>
      </c>
      <c r="P171">
        <f>IF(E171=1,F171*O171,"")</f>
        <v/>
      </c>
    </row>
    <row r="172">
      <c r="A172">
        <f>PNL!A172</f>
        <v/>
      </c>
      <c r="B172">
        <f>PNL!B172</f>
        <v/>
      </c>
      <c r="C172">
        <f>PNL!C172</f>
        <v/>
      </c>
      <c r="D172">
        <f>PNL!D172</f>
        <v/>
      </c>
      <c r="E172">
        <f>IF(AND(C172="2027",OR(D172="V01",D172="V02",D172="V03")),1,0)</f>
        <v/>
      </c>
      <c r="F172">
        <f>IF(E172=1,SUMIFS(Compta!$F$2:$F$675,Compta!$A$2:$A$675,A172,Compta!$B$2:$B$675,B172,Compta!$C$2:$C$675,"2026"),0)</f>
        <v/>
      </c>
      <c r="G172">
        <f>IF(D172="V01",cad!$I$21,IF(D172="V02",cad!$J$21,cad!$K$21))</f>
        <v/>
      </c>
      <c r="H172">
        <f>IF(D172="V01",cad!$I$22,IF(D172="V02",cad!$J$22,cad!$K$22))</f>
        <v/>
      </c>
      <c r="I172">
        <f>IF(D172="V01",cad!$I$27,IF(D172="V02",cad!$J$27,cad!$K$27))</f>
        <v/>
      </c>
      <c r="J172">
        <f>IF(D172="V01",cad!$I$28,IF(D172="V02",cad!$J$28,cad!$K$28))</f>
        <v/>
      </c>
      <c r="K172">
        <f>IF(D172="V01",cad!$I$29,IF(D172="V02",cad!$J$29,cad!$K$29))</f>
        <v/>
      </c>
      <c r="L172">
        <f>IF(D172="V01",cad!$I$30,IF(D172="V02",cad!$J$30,cad!$K$30))</f>
        <v/>
      </c>
      <c r="M172">
        <f>IF(D172="V01",cad!$I$31,IF(D172="V02",cad!$J$31,cad!$K$31))</f>
        <v/>
      </c>
      <c r="N172">
        <f>IF(D172="V01",$R$2,IF(D172="V02",$R$3,$R$4))</f>
        <v/>
      </c>
      <c r="O172">
        <f>IF(OR(B172="7062",B172="706",B172="708"),N172,IF(B172="6231",1+G172,IF(B172="6236",1+H172,IF(OR(B172="621",B172="604",B172="6063"),N172*(1-L172),IF(OR(B172="6411",B172="6413",B172="6414",B172="645"),(1+J172)*(1+K172),IF(OR(B172="613",B172="615",B172="616",B172="6226",B172="625",B172="626",B172="6281"),(1+I172)*(1-L172)*(1+M172),IF(OR(B172="6331",B172="63511",B172="6333"),(1+I172)*(1-L172),IF(B172="6811",1+I172,1))))))))</f>
        <v/>
      </c>
      <c r="P172">
        <f>IF(E172=1,F172*O172,"")</f>
        <v/>
      </c>
    </row>
    <row r="173">
      <c r="A173">
        <f>PNL!A173</f>
        <v/>
      </c>
      <c r="B173">
        <f>PNL!B173</f>
        <v/>
      </c>
      <c r="C173">
        <f>PNL!C173</f>
        <v/>
      </c>
      <c r="D173">
        <f>PNL!D173</f>
        <v/>
      </c>
      <c r="E173">
        <f>IF(AND(C173="2027",OR(D173="V01",D173="V02",D173="V03")),1,0)</f>
        <v/>
      </c>
      <c r="F173">
        <f>IF(E173=1,SUMIFS(Compta!$F$2:$F$675,Compta!$A$2:$A$675,A173,Compta!$B$2:$B$675,B173,Compta!$C$2:$C$675,"2026"),0)</f>
        <v/>
      </c>
      <c r="G173">
        <f>IF(D173="V01",cad!$I$21,IF(D173="V02",cad!$J$21,cad!$K$21))</f>
        <v/>
      </c>
      <c r="H173">
        <f>IF(D173="V01",cad!$I$22,IF(D173="V02",cad!$J$22,cad!$K$22))</f>
        <v/>
      </c>
      <c r="I173">
        <f>IF(D173="V01",cad!$I$27,IF(D173="V02",cad!$J$27,cad!$K$27))</f>
        <v/>
      </c>
      <c r="J173">
        <f>IF(D173="V01",cad!$I$28,IF(D173="V02",cad!$J$28,cad!$K$28))</f>
        <v/>
      </c>
      <c r="K173">
        <f>IF(D173="V01",cad!$I$29,IF(D173="V02",cad!$J$29,cad!$K$29))</f>
        <v/>
      </c>
      <c r="L173">
        <f>IF(D173="V01",cad!$I$30,IF(D173="V02",cad!$J$30,cad!$K$30))</f>
        <v/>
      </c>
      <c r="M173">
        <f>IF(D173="V01",cad!$I$31,IF(D173="V02",cad!$J$31,cad!$K$31))</f>
        <v/>
      </c>
      <c r="N173">
        <f>IF(D173="V01",$R$2,IF(D173="V02",$R$3,$R$4))</f>
        <v/>
      </c>
      <c r="O173">
        <f>IF(OR(B173="7062",B173="706",B173="708"),N173,IF(B173="6231",1+G173,IF(B173="6236",1+H173,IF(OR(B173="621",B173="604",B173="6063"),N173*(1-L173),IF(OR(B173="6411",B173="6413",B173="6414",B173="645"),(1+J173)*(1+K173),IF(OR(B173="613",B173="615",B173="616",B173="6226",B173="625",B173="626",B173="6281"),(1+I173)*(1-L173)*(1+M173),IF(OR(B173="6331",B173="63511",B173="6333"),(1+I173)*(1-L173),IF(B173="6811",1+I173,1))))))))</f>
        <v/>
      </c>
      <c r="P173">
        <f>IF(E173=1,F173*O173,"")</f>
        <v/>
      </c>
    </row>
    <row r="174">
      <c r="A174">
        <f>PNL!A174</f>
        <v/>
      </c>
      <c r="B174">
        <f>PNL!B174</f>
        <v/>
      </c>
      <c r="C174">
        <f>PNL!C174</f>
        <v/>
      </c>
      <c r="D174">
        <f>PNL!D174</f>
        <v/>
      </c>
      <c r="E174">
        <f>IF(AND(C174="2027",OR(D174="V01",D174="V02",D174="V03")),1,0)</f>
        <v/>
      </c>
      <c r="F174">
        <f>IF(E174=1,SUMIFS(Compta!$F$2:$F$675,Compta!$A$2:$A$675,A174,Compta!$B$2:$B$675,B174,Compta!$C$2:$C$675,"2026"),0)</f>
        <v/>
      </c>
      <c r="G174">
        <f>IF(D174="V01",cad!$I$21,IF(D174="V02",cad!$J$21,cad!$K$21))</f>
        <v/>
      </c>
      <c r="H174">
        <f>IF(D174="V01",cad!$I$22,IF(D174="V02",cad!$J$22,cad!$K$22))</f>
        <v/>
      </c>
      <c r="I174">
        <f>IF(D174="V01",cad!$I$27,IF(D174="V02",cad!$J$27,cad!$K$27))</f>
        <v/>
      </c>
      <c r="J174">
        <f>IF(D174="V01",cad!$I$28,IF(D174="V02",cad!$J$28,cad!$K$28))</f>
        <v/>
      </c>
      <c r="K174">
        <f>IF(D174="V01",cad!$I$29,IF(D174="V02",cad!$J$29,cad!$K$29))</f>
        <v/>
      </c>
      <c r="L174">
        <f>IF(D174="V01",cad!$I$30,IF(D174="V02",cad!$J$30,cad!$K$30))</f>
        <v/>
      </c>
      <c r="M174">
        <f>IF(D174="V01",cad!$I$31,IF(D174="V02",cad!$J$31,cad!$K$31))</f>
        <v/>
      </c>
      <c r="N174">
        <f>IF(D174="V01",$R$2,IF(D174="V02",$R$3,$R$4))</f>
        <v/>
      </c>
      <c r="O174">
        <f>IF(OR(B174="7062",B174="706",B174="708"),N174,IF(B174="6231",1+G174,IF(B174="6236",1+H174,IF(OR(B174="621",B174="604",B174="6063"),N174*(1-L174),IF(OR(B174="6411",B174="6413",B174="6414",B174="645"),(1+J174)*(1+K174),IF(OR(B174="613",B174="615",B174="616",B174="6226",B174="625",B174="626",B174="6281"),(1+I174)*(1-L174)*(1+M174),IF(OR(B174="6331",B174="63511",B174="6333"),(1+I174)*(1-L174),IF(B174="6811",1+I174,1))))))))</f>
        <v/>
      </c>
      <c r="P174">
        <f>IF(E174=1,F174*O174,"")</f>
        <v/>
      </c>
    </row>
    <row r="175">
      <c r="A175">
        <f>PNL!A175</f>
        <v/>
      </c>
      <c r="B175">
        <f>PNL!B175</f>
        <v/>
      </c>
      <c r="C175">
        <f>PNL!C175</f>
        <v/>
      </c>
      <c r="D175">
        <f>PNL!D175</f>
        <v/>
      </c>
      <c r="E175">
        <f>IF(AND(C175="2027",OR(D175="V01",D175="V02",D175="V03")),1,0)</f>
        <v/>
      </c>
      <c r="F175">
        <f>IF(E175=1,SUMIFS(Compta!$F$2:$F$675,Compta!$A$2:$A$675,A175,Compta!$B$2:$B$675,B175,Compta!$C$2:$C$675,"2026"),0)</f>
        <v/>
      </c>
      <c r="G175">
        <f>IF(D175="V01",cad!$I$21,IF(D175="V02",cad!$J$21,cad!$K$21))</f>
        <v/>
      </c>
      <c r="H175">
        <f>IF(D175="V01",cad!$I$22,IF(D175="V02",cad!$J$22,cad!$K$22))</f>
        <v/>
      </c>
      <c r="I175">
        <f>IF(D175="V01",cad!$I$27,IF(D175="V02",cad!$J$27,cad!$K$27))</f>
        <v/>
      </c>
      <c r="J175">
        <f>IF(D175="V01",cad!$I$28,IF(D175="V02",cad!$J$28,cad!$K$28))</f>
        <v/>
      </c>
      <c r="K175">
        <f>IF(D175="V01",cad!$I$29,IF(D175="V02",cad!$J$29,cad!$K$29))</f>
        <v/>
      </c>
      <c r="L175">
        <f>IF(D175="V01",cad!$I$30,IF(D175="V02",cad!$J$30,cad!$K$30))</f>
        <v/>
      </c>
      <c r="M175">
        <f>IF(D175="V01",cad!$I$31,IF(D175="V02",cad!$J$31,cad!$K$31))</f>
        <v/>
      </c>
      <c r="N175">
        <f>IF(D175="V01",$R$2,IF(D175="V02",$R$3,$R$4))</f>
        <v/>
      </c>
      <c r="O175">
        <f>IF(OR(B175="7062",B175="706",B175="708"),N175,IF(B175="6231",1+G175,IF(B175="6236",1+H175,IF(OR(B175="621",B175="604",B175="6063"),N175*(1-L175),IF(OR(B175="6411",B175="6413",B175="6414",B175="645"),(1+J175)*(1+K175),IF(OR(B175="613",B175="615",B175="616",B175="6226",B175="625",B175="626",B175="6281"),(1+I175)*(1-L175)*(1+M175),IF(OR(B175="6331",B175="63511",B175="6333"),(1+I175)*(1-L175),IF(B175="6811",1+I175,1))))))))</f>
        <v/>
      </c>
      <c r="P175">
        <f>IF(E175=1,F175*O175,"")</f>
        <v/>
      </c>
    </row>
    <row r="176">
      <c r="A176">
        <f>PNL!A176</f>
        <v/>
      </c>
      <c r="B176">
        <f>PNL!B176</f>
        <v/>
      </c>
      <c r="C176">
        <f>PNL!C176</f>
        <v/>
      </c>
      <c r="D176">
        <f>PNL!D176</f>
        <v/>
      </c>
      <c r="E176">
        <f>IF(AND(C176="2027",OR(D176="V01",D176="V02",D176="V03")),1,0)</f>
        <v/>
      </c>
      <c r="F176">
        <f>IF(E176=1,SUMIFS(Compta!$F$2:$F$675,Compta!$A$2:$A$675,A176,Compta!$B$2:$B$675,B176,Compta!$C$2:$C$675,"2026"),0)</f>
        <v/>
      </c>
      <c r="G176">
        <f>IF(D176="V01",cad!$I$21,IF(D176="V02",cad!$J$21,cad!$K$21))</f>
        <v/>
      </c>
      <c r="H176">
        <f>IF(D176="V01",cad!$I$22,IF(D176="V02",cad!$J$22,cad!$K$22))</f>
        <v/>
      </c>
      <c r="I176">
        <f>IF(D176="V01",cad!$I$27,IF(D176="V02",cad!$J$27,cad!$K$27))</f>
        <v/>
      </c>
      <c r="J176">
        <f>IF(D176="V01",cad!$I$28,IF(D176="V02",cad!$J$28,cad!$K$28))</f>
        <v/>
      </c>
      <c r="K176">
        <f>IF(D176="V01",cad!$I$29,IF(D176="V02",cad!$J$29,cad!$K$29))</f>
        <v/>
      </c>
      <c r="L176">
        <f>IF(D176="V01",cad!$I$30,IF(D176="V02",cad!$J$30,cad!$K$30))</f>
        <v/>
      </c>
      <c r="M176">
        <f>IF(D176="V01",cad!$I$31,IF(D176="V02",cad!$J$31,cad!$K$31))</f>
        <v/>
      </c>
      <c r="N176">
        <f>IF(D176="V01",$R$2,IF(D176="V02",$R$3,$R$4))</f>
        <v/>
      </c>
      <c r="O176">
        <f>IF(OR(B176="7062",B176="706",B176="708"),N176,IF(B176="6231",1+G176,IF(B176="6236",1+H176,IF(OR(B176="621",B176="604",B176="6063"),N176*(1-L176),IF(OR(B176="6411",B176="6413",B176="6414",B176="645"),(1+J176)*(1+K176),IF(OR(B176="613",B176="615",B176="616",B176="6226",B176="625",B176="626",B176="6281"),(1+I176)*(1-L176)*(1+M176),IF(OR(B176="6331",B176="63511",B176="6333"),(1+I176)*(1-L176),IF(B176="6811",1+I176,1))))))))</f>
        <v/>
      </c>
      <c r="P176">
        <f>IF(E176=1,F176*O176,"")</f>
        <v/>
      </c>
    </row>
    <row r="177">
      <c r="A177">
        <f>PNL!A177</f>
        <v/>
      </c>
      <c r="B177">
        <f>PNL!B177</f>
        <v/>
      </c>
      <c r="C177">
        <f>PNL!C177</f>
        <v/>
      </c>
      <c r="D177">
        <f>PNL!D177</f>
        <v/>
      </c>
      <c r="E177">
        <f>IF(AND(C177="2027",OR(D177="V01",D177="V02",D177="V03")),1,0)</f>
        <v/>
      </c>
      <c r="F177">
        <f>IF(E177=1,SUMIFS(Compta!$F$2:$F$675,Compta!$A$2:$A$675,A177,Compta!$B$2:$B$675,B177,Compta!$C$2:$C$675,"2026"),0)</f>
        <v/>
      </c>
      <c r="G177">
        <f>IF(D177="V01",cad!$I$21,IF(D177="V02",cad!$J$21,cad!$K$21))</f>
        <v/>
      </c>
      <c r="H177">
        <f>IF(D177="V01",cad!$I$22,IF(D177="V02",cad!$J$22,cad!$K$22))</f>
        <v/>
      </c>
      <c r="I177">
        <f>IF(D177="V01",cad!$I$27,IF(D177="V02",cad!$J$27,cad!$K$27))</f>
        <v/>
      </c>
      <c r="J177">
        <f>IF(D177="V01",cad!$I$28,IF(D177="V02",cad!$J$28,cad!$K$28))</f>
        <v/>
      </c>
      <c r="K177">
        <f>IF(D177="V01",cad!$I$29,IF(D177="V02",cad!$J$29,cad!$K$29))</f>
        <v/>
      </c>
      <c r="L177">
        <f>IF(D177="V01",cad!$I$30,IF(D177="V02",cad!$J$30,cad!$K$30))</f>
        <v/>
      </c>
      <c r="M177">
        <f>IF(D177="V01",cad!$I$31,IF(D177="V02",cad!$J$31,cad!$K$31))</f>
        <v/>
      </c>
      <c r="N177">
        <f>IF(D177="V01",$R$2,IF(D177="V02",$R$3,$R$4))</f>
        <v/>
      </c>
      <c r="O177">
        <f>IF(OR(B177="7062",B177="706",B177="708"),N177,IF(B177="6231",1+G177,IF(B177="6236",1+H177,IF(OR(B177="621",B177="604",B177="6063"),N177*(1-L177),IF(OR(B177="6411",B177="6413",B177="6414",B177="645"),(1+J177)*(1+K177),IF(OR(B177="613",B177="615",B177="616",B177="6226",B177="625",B177="626",B177="6281"),(1+I177)*(1-L177)*(1+M177),IF(OR(B177="6331",B177="63511",B177="6333"),(1+I177)*(1-L177),IF(B177="6811",1+I177,1))))))))</f>
        <v/>
      </c>
      <c r="P177">
        <f>IF(E177=1,F177*O177,"")</f>
        <v/>
      </c>
    </row>
    <row r="178">
      <c r="A178">
        <f>PNL!A178</f>
        <v/>
      </c>
      <c r="B178">
        <f>PNL!B178</f>
        <v/>
      </c>
      <c r="C178">
        <f>PNL!C178</f>
        <v/>
      </c>
      <c r="D178">
        <f>PNL!D178</f>
        <v/>
      </c>
      <c r="E178">
        <f>IF(AND(C178="2027",OR(D178="V01",D178="V02",D178="V03")),1,0)</f>
        <v/>
      </c>
      <c r="F178">
        <f>IF(E178=1,SUMIFS(Compta!$F$2:$F$675,Compta!$A$2:$A$675,A178,Compta!$B$2:$B$675,B178,Compta!$C$2:$C$675,"2026"),0)</f>
        <v/>
      </c>
      <c r="G178">
        <f>IF(D178="V01",cad!$I$21,IF(D178="V02",cad!$J$21,cad!$K$21))</f>
        <v/>
      </c>
      <c r="H178">
        <f>IF(D178="V01",cad!$I$22,IF(D178="V02",cad!$J$22,cad!$K$22))</f>
        <v/>
      </c>
      <c r="I178">
        <f>IF(D178="V01",cad!$I$27,IF(D178="V02",cad!$J$27,cad!$K$27))</f>
        <v/>
      </c>
      <c r="J178">
        <f>IF(D178="V01",cad!$I$28,IF(D178="V02",cad!$J$28,cad!$K$28))</f>
        <v/>
      </c>
      <c r="K178">
        <f>IF(D178="V01",cad!$I$29,IF(D178="V02",cad!$J$29,cad!$K$29))</f>
        <v/>
      </c>
      <c r="L178">
        <f>IF(D178="V01",cad!$I$30,IF(D178="V02",cad!$J$30,cad!$K$30))</f>
        <v/>
      </c>
      <c r="M178">
        <f>IF(D178="V01",cad!$I$31,IF(D178="V02",cad!$J$31,cad!$K$31))</f>
        <v/>
      </c>
      <c r="N178">
        <f>IF(D178="V01",$R$2,IF(D178="V02",$R$3,$R$4))</f>
        <v/>
      </c>
      <c r="O178">
        <f>IF(OR(B178="7062",B178="706",B178="708"),N178,IF(B178="6231",1+G178,IF(B178="6236",1+H178,IF(OR(B178="621",B178="604",B178="6063"),N178*(1-L178),IF(OR(B178="6411",B178="6413",B178="6414",B178="645"),(1+J178)*(1+K178),IF(OR(B178="613",B178="615",B178="616",B178="6226",B178="625",B178="626",B178="6281"),(1+I178)*(1-L178)*(1+M178),IF(OR(B178="6331",B178="63511",B178="6333"),(1+I178)*(1-L178),IF(B178="6811",1+I178,1))))))))</f>
        <v/>
      </c>
      <c r="P178">
        <f>IF(E178=1,F178*O178,"")</f>
        <v/>
      </c>
    </row>
    <row r="179">
      <c r="A179">
        <f>PNL!A179</f>
        <v/>
      </c>
      <c r="B179">
        <f>PNL!B179</f>
        <v/>
      </c>
      <c r="C179">
        <f>PNL!C179</f>
        <v/>
      </c>
      <c r="D179">
        <f>PNL!D179</f>
        <v/>
      </c>
      <c r="E179">
        <f>IF(AND(C179="2027",OR(D179="V01",D179="V02",D179="V03")),1,0)</f>
        <v/>
      </c>
      <c r="F179">
        <f>IF(E179=1,SUMIFS(Compta!$F$2:$F$675,Compta!$A$2:$A$675,A179,Compta!$B$2:$B$675,B179,Compta!$C$2:$C$675,"2026"),0)</f>
        <v/>
      </c>
      <c r="G179">
        <f>IF(D179="V01",cad!$I$21,IF(D179="V02",cad!$J$21,cad!$K$21))</f>
        <v/>
      </c>
      <c r="H179">
        <f>IF(D179="V01",cad!$I$22,IF(D179="V02",cad!$J$22,cad!$K$22))</f>
        <v/>
      </c>
      <c r="I179">
        <f>IF(D179="V01",cad!$I$27,IF(D179="V02",cad!$J$27,cad!$K$27))</f>
        <v/>
      </c>
      <c r="J179">
        <f>IF(D179="V01",cad!$I$28,IF(D179="V02",cad!$J$28,cad!$K$28))</f>
        <v/>
      </c>
      <c r="K179">
        <f>IF(D179="V01",cad!$I$29,IF(D179="V02",cad!$J$29,cad!$K$29))</f>
        <v/>
      </c>
      <c r="L179">
        <f>IF(D179="V01",cad!$I$30,IF(D179="V02",cad!$J$30,cad!$K$30))</f>
        <v/>
      </c>
      <c r="M179">
        <f>IF(D179="V01",cad!$I$31,IF(D179="V02",cad!$J$31,cad!$K$31))</f>
        <v/>
      </c>
      <c r="N179">
        <f>IF(D179="V01",$R$2,IF(D179="V02",$R$3,$R$4))</f>
        <v/>
      </c>
      <c r="O179">
        <f>IF(OR(B179="7062",B179="706",B179="708"),N179,IF(B179="6231",1+G179,IF(B179="6236",1+H179,IF(OR(B179="621",B179="604",B179="6063"),N179*(1-L179),IF(OR(B179="6411",B179="6413",B179="6414",B179="645"),(1+J179)*(1+K179),IF(OR(B179="613",B179="615",B179="616",B179="6226",B179="625",B179="626",B179="6281"),(1+I179)*(1-L179)*(1+M179),IF(OR(B179="6331",B179="63511",B179="6333"),(1+I179)*(1-L179),IF(B179="6811",1+I179,1))))))))</f>
        <v/>
      </c>
      <c r="P179">
        <f>IF(E179=1,F179*O179,"")</f>
        <v/>
      </c>
    </row>
    <row r="180">
      <c r="A180">
        <f>PNL!A180</f>
        <v/>
      </c>
      <c r="B180">
        <f>PNL!B180</f>
        <v/>
      </c>
      <c r="C180">
        <f>PNL!C180</f>
        <v/>
      </c>
      <c r="D180">
        <f>PNL!D180</f>
        <v/>
      </c>
      <c r="E180">
        <f>IF(AND(C180="2027",OR(D180="V01",D180="V02",D180="V03")),1,0)</f>
        <v/>
      </c>
      <c r="F180">
        <f>IF(E180=1,SUMIFS(Compta!$F$2:$F$675,Compta!$A$2:$A$675,A180,Compta!$B$2:$B$675,B180,Compta!$C$2:$C$675,"2026"),0)</f>
        <v/>
      </c>
      <c r="G180">
        <f>IF(D180="V01",cad!$I$21,IF(D180="V02",cad!$J$21,cad!$K$21))</f>
        <v/>
      </c>
      <c r="H180">
        <f>IF(D180="V01",cad!$I$22,IF(D180="V02",cad!$J$22,cad!$K$22))</f>
        <v/>
      </c>
      <c r="I180">
        <f>IF(D180="V01",cad!$I$27,IF(D180="V02",cad!$J$27,cad!$K$27))</f>
        <v/>
      </c>
      <c r="J180">
        <f>IF(D180="V01",cad!$I$28,IF(D180="V02",cad!$J$28,cad!$K$28))</f>
        <v/>
      </c>
      <c r="K180">
        <f>IF(D180="V01",cad!$I$29,IF(D180="V02",cad!$J$29,cad!$K$29))</f>
        <v/>
      </c>
      <c r="L180">
        <f>IF(D180="V01",cad!$I$30,IF(D180="V02",cad!$J$30,cad!$K$30))</f>
        <v/>
      </c>
      <c r="M180">
        <f>IF(D180="V01",cad!$I$31,IF(D180="V02",cad!$J$31,cad!$K$31))</f>
        <v/>
      </c>
      <c r="N180">
        <f>IF(D180="V01",$R$2,IF(D180="V02",$R$3,$R$4))</f>
        <v/>
      </c>
      <c r="O180">
        <f>IF(OR(B180="7062",B180="706",B180="708"),N180,IF(B180="6231",1+G180,IF(B180="6236",1+H180,IF(OR(B180="621",B180="604",B180="6063"),N180*(1-L180),IF(OR(B180="6411",B180="6413",B180="6414",B180="645"),(1+J180)*(1+K180),IF(OR(B180="613",B180="615",B180="616",B180="6226",B180="625",B180="626",B180="6281"),(1+I180)*(1-L180)*(1+M180),IF(OR(B180="6331",B180="63511",B180="6333"),(1+I180)*(1-L180),IF(B180="6811",1+I180,1))))))))</f>
        <v/>
      </c>
      <c r="P180">
        <f>IF(E180=1,F180*O180,"")</f>
        <v/>
      </c>
    </row>
    <row r="181">
      <c r="A181">
        <f>PNL!A181</f>
        <v/>
      </c>
      <c r="B181">
        <f>PNL!B181</f>
        <v/>
      </c>
      <c r="C181">
        <f>PNL!C181</f>
        <v/>
      </c>
      <c r="D181">
        <f>PNL!D181</f>
        <v/>
      </c>
      <c r="E181">
        <f>IF(AND(C181="2027",OR(D181="V01",D181="V02",D181="V03")),1,0)</f>
        <v/>
      </c>
      <c r="F181">
        <f>IF(E181=1,SUMIFS(Compta!$F$2:$F$675,Compta!$A$2:$A$675,A181,Compta!$B$2:$B$675,B181,Compta!$C$2:$C$675,"2026"),0)</f>
        <v/>
      </c>
      <c r="G181">
        <f>IF(D181="V01",cad!$I$21,IF(D181="V02",cad!$J$21,cad!$K$21))</f>
        <v/>
      </c>
      <c r="H181">
        <f>IF(D181="V01",cad!$I$22,IF(D181="V02",cad!$J$22,cad!$K$22))</f>
        <v/>
      </c>
      <c r="I181">
        <f>IF(D181="V01",cad!$I$27,IF(D181="V02",cad!$J$27,cad!$K$27))</f>
        <v/>
      </c>
      <c r="J181">
        <f>IF(D181="V01",cad!$I$28,IF(D181="V02",cad!$J$28,cad!$K$28))</f>
        <v/>
      </c>
      <c r="K181">
        <f>IF(D181="V01",cad!$I$29,IF(D181="V02",cad!$J$29,cad!$K$29))</f>
        <v/>
      </c>
      <c r="L181">
        <f>IF(D181="V01",cad!$I$30,IF(D181="V02",cad!$J$30,cad!$K$30))</f>
        <v/>
      </c>
      <c r="M181">
        <f>IF(D181="V01",cad!$I$31,IF(D181="V02",cad!$J$31,cad!$K$31))</f>
        <v/>
      </c>
      <c r="N181">
        <f>IF(D181="V01",$R$2,IF(D181="V02",$R$3,$R$4))</f>
        <v/>
      </c>
      <c r="O181">
        <f>IF(OR(B181="7062",B181="706",B181="708"),N181,IF(B181="6231",1+G181,IF(B181="6236",1+H181,IF(OR(B181="621",B181="604",B181="6063"),N181*(1-L181),IF(OR(B181="6411",B181="6413",B181="6414",B181="645"),(1+J181)*(1+K181),IF(OR(B181="613",B181="615",B181="616",B181="6226",B181="625",B181="626",B181="6281"),(1+I181)*(1-L181)*(1+M181),IF(OR(B181="6331",B181="63511",B181="6333"),(1+I181)*(1-L181),IF(B181="6811",1+I181,1))))))))</f>
        <v/>
      </c>
      <c r="P181">
        <f>IF(E181=1,F181*O181,"")</f>
        <v/>
      </c>
    </row>
    <row r="182">
      <c r="A182">
        <f>PNL!A182</f>
        <v/>
      </c>
      <c r="B182">
        <f>PNL!B182</f>
        <v/>
      </c>
      <c r="C182">
        <f>PNL!C182</f>
        <v/>
      </c>
      <c r="D182">
        <f>PNL!D182</f>
        <v/>
      </c>
      <c r="E182">
        <f>IF(AND(C182="2027",OR(D182="V01",D182="V02",D182="V03")),1,0)</f>
        <v/>
      </c>
      <c r="F182">
        <f>IF(E182=1,SUMIFS(Compta!$F$2:$F$675,Compta!$A$2:$A$675,A182,Compta!$B$2:$B$675,B182,Compta!$C$2:$C$675,"2026"),0)</f>
        <v/>
      </c>
      <c r="G182">
        <f>IF(D182="V01",cad!$I$21,IF(D182="V02",cad!$J$21,cad!$K$21))</f>
        <v/>
      </c>
      <c r="H182">
        <f>IF(D182="V01",cad!$I$22,IF(D182="V02",cad!$J$22,cad!$K$22))</f>
        <v/>
      </c>
      <c r="I182">
        <f>IF(D182="V01",cad!$I$27,IF(D182="V02",cad!$J$27,cad!$K$27))</f>
        <v/>
      </c>
      <c r="J182">
        <f>IF(D182="V01",cad!$I$28,IF(D182="V02",cad!$J$28,cad!$K$28))</f>
        <v/>
      </c>
      <c r="K182">
        <f>IF(D182="V01",cad!$I$29,IF(D182="V02",cad!$J$29,cad!$K$29))</f>
        <v/>
      </c>
      <c r="L182">
        <f>IF(D182="V01",cad!$I$30,IF(D182="V02",cad!$J$30,cad!$K$30))</f>
        <v/>
      </c>
      <c r="M182">
        <f>IF(D182="V01",cad!$I$31,IF(D182="V02",cad!$J$31,cad!$K$31))</f>
        <v/>
      </c>
      <c r="N182">
        <f>IF(D182="V01",$R$2,IF(D182="V02",$R$3,$R$4))</f>
        <v/>
      </c>
      <c r="O182">
        <f>IF(OR(B182="7062",B182="706",B182="708"),N182,IF(B182="6231",1+G182,IF(B182="6236",1+H182,IF(OR(B182="621",B182="604",B182="6063"),N182*(1-L182),IF(OR(B182="6411",B182="6413",B182="6414",B182="645"),(1+J182)*(1+K182),IF(OR(B182="613",B182="615",B182="616",B182="6226",B182="625",B182="626",B182="6281"),(1+I182)*(1-L182)*(1+M182),IF(OR(B182="6331",B182="63511",B182="6333"),(1+I182)*(1-L182),IF(B182="6811",1+I182,1))))))))</f>
        <v/>
      </c>
      <c r="P182">
        <f>IF(E182=1,F182*O182,"")</f>
        <v/>
      </c>
    </row>
    <row r="183">
      <c r="A183">
        <f>PNL!A183</f>
        <v/>
      </c>
      <c r="B183">
        <f>PNL!B183</f>
        <v/>
      </c>
      <c r="C183">
        <f>PNL!C183</f>
        <v/>
      </c>
      <c r="D183">
        <f>PNL!D183</f>
        <v/>
      </c>
      <c r="E183">
        <f>IF(AND(C183="2027",OR(D183="V01",D183="V02",D183="V03")),1,0)</f>
        <v/>
      </c>
      <c r="F183">
        <f>IF(E183=1,SUMIFS(Compta!$F$2:$F$675,Compta!$A$2:$A$675,A183,Compta!$B$2:$B$675,B183,Compta!$C$2:$C$675,"2026"),0)</f>
        <v/>
      </c>
      <c r="G183">
        <f>IF(D183="V01",cad!$I$21,IF(D183="V02",cad!$J$21,cad!$K$21))</f>
        <v/>
      </c>
      <c r="H183">
        <f>IF(D183="V01",cad!$I$22,IF(D183="V02",cad!$J$22,cad!$K$22))</f>
        <v/>
      </c>
      <c r="I183">
        <f>IF(D183="V01",cad!$I$27,IF(D183="V02",cad!$J$27,cad!$K$27))</f>
        <v/>
      </c>
      <c r="J183">
        <f>IF(D183="V01",cad!$I$28,IF(D183="V02",cad!$J$28,cad!$K$28))</f>
        <v/>
      </c>
      <c r="K183">
        <f>IF(D183="V01",cad!$I$29,IF(D183="V02",cad!$J$29,cad!$K$29))</f>
        <v/>
      </c>
      <c r="L183">
        <f>IF(D183="V01",cad!$I$30,IF(D183="V02",cad!$J$30,cad!$K$30))</f>
        <v/>
      </c>
      <c r="M183">
        <f>IF(D183="V01",cad!$I$31,IF(D183="V02",cad!$J$31,cad!$K$31))</f>
        <v/>
      </c>
      <c r="N183">
        <f>IF(D183="V01",$R$2,IF(D183="V02",$R$3,$R$4))</f>
        <v/>
      </c>
      <c r="O183">
        <f>IF(OR(B183="7062",B183="706",B183="708"),N183,IF(B183="6231",1+G183,IF(B183="6236",1+H183,IF(OR(B183="621",B183="604",B183="6063"),N183*(1-L183),IF(OR(B183="6411",B183="6413",B183="6414",B183="645"),(1+J183)*(1+K183),IF(OR(B183="613",B183="615",B183="616",B183="6226",B183="625",B183="626",B183="6281"),(1+I183)*(1-L183)*(1+M183),IF(OR(B183="6331",B183="63511",B183="6333"),(1+I183)*(1-L183),IF(B183="6811",1+I183,1))))))))</f>
        <v/>
      </c>
      <c r="P183">
        <f>IF(E183=1,F183*O183,"")</f>
        <v/>
      </c>
    </row>
    <row r="184">
      <c r="A184">
        <f>PNL!A184</f>
        <v/>
      </c>
      <c r="B184">
        <f>PNL!B184</f>
        <v/>
      </c>
      <c r="C184">
        <f>PNL!C184</f>
        <v/>
      </c>
      <c r="D184">
        <f>PNL!D184</f>
        <v/>
      </c>
      <c r="E184">
        <f>IF(AND(C184="2027",OR(D184="V01",D184="V02",D184="V03")),1,0)</f>
        <v/>
      </c>
      <c r="F184">
        <f>IF(E184=1,SUMIFS(Compta!$F$2:$F$675,Compta!$A$2:$A$675,A184,Compta!$B$2:$B$675,B184,Compta!$C$2:$C$675,"2026"),0)</f>
        <v/>
      </c>
      <c r="G184">
        <f>IF(D184="V01",cad!$I$21,IF(D184="V02",cad!$J$21,cad!$K$21))</f>
        <v/>
      </c>
      <c r="H184">
        <f>IF(D184="V01",cad!$I$22,IF(D184="V02",cad!$J$22,cad!$K$22))</f>
        <v/>
      </c>
      <c r="I184">
        <f>IF(D184="V01",cad!$I$27,IF(D184="V02",cad!$J$27,cad!$K$27))</f>
        <v/>
      </c>
      <c r="J184">
        <f>IF(D184="V01",cad!$I$28,IF(D184="V02",cad!$J$28,cad!$K$28))</f>
        <v/>
      </c>
      <c r="K184">
        <f>IF(D184="V01",cad!$I$29,IF(D184="V02",cad!$J$29,cad!$K$29))</f>
        <v/>
      </c>
      <c r="L184">
        <f>IF(D184="V01",cad!$I$30,IF(D184="V02",cad!$J$30,cad!$K$30))</f>
        <v/>
      </c>
      <c r="M184">
        <f>IF(D184="V01",cad!$I$31,IF(D184="V02",cad!$J$31,cad!$K$31))</f>
        <v/>
      </c>
      <c r="N184">
        <f>IF(D184="V01",$R$2,IF(D184="V02",$R$3,$R$4))</f>
        <v/>
      </c>
      <c r="O184">
        <f>IF(OR(B184="7062",B184="706",B184="708"),N184,IF(B184="6231",1+G184,IF(B184="6236",1+H184,IF(OR(B184="621",B184="604",B184="6063"),N184*(1-L184),IF(OR(B184="6411",B184="6413",B184="6414",B184="645"),(1+J184)*(1+K184),IF(OR(B184="613",B184="615",B184="616",B184="6226",B184="625",B184="626",B184="6281"),(1+I184)*(1-L184)*(1+M184),IF(OR(B184="6331",B184="63511",B184="6333"),(1+I184)*(1-L184),IF(B184="6811",1+I184,1))))))))</f>
        <v/>
      </c>
      <c r="P184">
        <f>IF(E184=1,F184*O184,"")</f>
        <v/>
      </c>
    </row>
    <row r="185">
      <c r="A185">
        <f>PNL!A185</f>
        <v/>
      </c>
      <c r="B185">
        <f>PNL!B185</f>
        <v/>
      </c>
      <c r="C185">
        <f>PNL!C185</f>
        <v/>
      </c>
      <c r="D185">
        <f>PNL!D185</f>
        <v/>
      </c>
      <c r="E185">
        <f>IF(AND(C185="2027",OR(D185="V01",D185="V02",D185="V03")),1,0)</f>
        <v/>
      </c>
      <c r="F185">
        <f>IF(E185=1,SUMIFS(Compta!$F$2:$F$675,Compta!$A$2:$A$675,A185,Compta!$B$2:$B$675,B185,Compta!$C$2:$C$675,"2026"),0)</f>
        <v/>
      </c>
      <c r="G185">
        <f>IF(D185="V01",cad!$I$21,IF(D185="V02",cad!$J$21,cad!$K$21))</f>
        <v/>
      </c>
      <c r="H185">
        <f>IF(D185="V01",cad!$I$22,IF(D185="V02",cad!$J$22,cad!$K$22))</f>
        <v/>
      </c>
      <c r="I185">
        <f>IF(D185="V01",cad!$I$27,IF(D185="V02",cad!$J$27,cad!$K$27))</f>
        <v/>
      </c>
      <c r="J185">
        <f>IF(D185="V01",cad!$I$28,IF(D185="V02",cad!$J$28,cad!$K$28))</f>
        <v/>
      </c>
      <c r="K185">
        <f>IF(D185="V01",cad!$I$29,IF(D185="V02",cad!$J$29,cad!$K$29))</f>
        <v/>
      </c>
      <c r="L185">
        <f>IF(D185="V01",cad!$I$30,IF(D185="V02",cad!$J$30,cad!$K$30))</f>
        <v/>
      </c>
      <c r="M185">
        <f>IF(D185="V01",cad!$I$31,IF(D185="V02",cad!$J$31,cad!$K$31))</f>
        <v/>
      </c>
      <c r="N185">
        <f>IF(D185="V01",$R$2,IF(D185="V02",$R$3,$R$4))</f>
        <v/>
      </c>
      <c r="O185">
        <f>IF(OR(B185="7062",B185="706",B185="708"),N185,IF(B185="6231",1+G185,IF(B185="6236",1+H185,IF(OR(B185="621",B185="604",B185="6063"),N185*(1-L185),IF(OR(B185="6411",B185="6413",B185="6414",B185="645"),(1+J185)*(1+K185),IF(OR(B185="613",B185="615",B185="616",B185="6226",B185="625",B185="626",B185="6281"),(1+I185)*(1-L185)*(1+M185),IF(OR(B185="6331",B185="63511",B185="6333"),(1+I185)*(1-L185),IF(B185="6811",1+I185,1))))))))</f>
        <v/>
      </c>
      <c r="P185">
        <f>IF(E185=1,F185*O185,"")</f>
        <v/>
      </c>
    </row>
    <row r="186">
      <c r="A186">
        <f>PNL!A186</f>
        <v/>
      </c>
      <c r="B186">
        <f>PNL!B186</f>
        <v/>
      </c>
      <c r="C186">
        <f>PNL!C186</f>
        <v/>
      </c>
      <c r="D186">
        <f>PNL!D186</f>
        <v/>
      </c>
      <c r="E186">
        <f>IF(AND(C186="2027",OR(D186="V01",D186="V02",D186="V03")),1,0)</f>
        <v/>
      </c>
      <c r="F186">
        <f>IF(E186=1,SUMIFS(Compta!$F$2:$F$675,Compta!$A$2:$A$675,A186,Compta!$B$2:$B$675,B186,Compta!$C$2:$C$675,"2026"),0)</f>
        <v/>
      </c>
      <c r="G186">
        <f>IF(D186="V01",cad!$I$21,IF(D186="V02",cad!$J$21,cad!$K$21))</f>
        <v/>
      </c>
      <c r="H186">
        <f>IF(D186="V01",cad!$I$22,IF(D186="V02",cad!$J$22,cad!$K$22))</f>
        <v/>
      </c>
      <c r="I186">
        <f>IF(D186="V01",cad!$I$27,IF(D186="V02",cad!$J$27,cad!$K$27))</f>
        <v/>
      </c>
      <c r="J186">
        <f>IF(D186="V01",cad!$I$28,IF(D186="V02",cad!$J$28,cad!$K$28))</f>
        <v/>
      </c>
      <c r="K186">
        <f>IF(D186="V01",cad!$I$29,IF(D186="V02",cad!$J$29,cad!$K$29))</f>
        <v/>
      </c>
      <c r="L186">
        <f>IF(D186="V01",cad!$I$30,IF(D186="V02",cad!$J$30,cad!$K$30))</f>
        <v/>
      </c>
      <c r="M186">
        <f>IF(D186="V01",cad!$I$31,IF(D186="V02",cad!$J$31,cad!$K$31))</f>
        <v/>
      </c>
      <c r="N186">
        <f>IF(D186="V01",$R$2,IF(D186="V02",$R$3,$R$4))</f>
        <v/>
      </c>
      <c r="O186">
        <f>IF(OR(B186="7062",B186="706",B186="708"),N186,IF(B186="6231",1+G186,IF(B186="6236",1+H186,IF(OR(B186="621",B186="604",B186="6063"),N186*(1-L186),IF(OR(B186="6411",B186="6413",B186="6414",B186="645"),(1+J186)*(1+K186),IF(OR(B186="613",B186="615",B186="616",B186="6226",B186="625",B186="626",B186="6281"),(1+I186)*(1-L186)*(1+M186),IF(OR(B186="6331",B186="63511",B186="6333"),(1+I186)*(1-L186),IF(B186="6811",1+I186,1))))))))</f>
        <v/>
      </c>
      <c r="P186">
        <f>IF(E186=1,F186*O186,"")</f>
        <v/>
      </c>
    </row>
    <row r="187">
      <c r="A187">
        <f>PNL!A187</f>
        <v/>
      </c>
      <c r="B187">
        <f>PNL!B187</f>
        <v/>
      </c>
      <c r="C187">
        <f>PNL!C187</f>
        <v/>
      </c>
      <c r="D187">
        <f>PNL!D187</f>
        <v/>
      </c>
      <c r="E187">
        <f>IF(AND(C187="2027",OR(D187="V01",D187="V02",D187="V03")),1,0)</f>
        <v/>
      </c>
      <c r="F187">
        <f>IF(E187=1,SUMIFS(Compta!$F$2:$F$675,Compta!$A$2:$A$675,A187,Compta!$B$2:$B$675,B187,Compta!$C$2:$C$675,"2026"),0)</f>
        <v/>
      </c>
      <c r="G187">
        <f>IF(D187="V01",cad!$I$21,IF(D187="V02",cad!$J$21,cad!$K$21))</f>
        <v/>
      </c>
      <c r="H187">
        <f>IF(D187="V01",cad!$I$22,IF(D187="V02",cad!$J$22,cad!$K$22))</f>
        <v/>
      </c>
      <c r="I187">
        <f>IF(D187="V01",cad!$I$27,IF(D187="V02",cad!$J$27,cad!$K$27))</f>
        <v/>
      </c>
      <c r="J187">
        <f>IF(D187="V01",cad!$I$28,IF(D187="V02",cad!$J$28,cad!$K$28))</f>
        <v/>
      </c>
      <c r="K187">
        <f>IF(D187="V01",cad!$I$29,IF(D187="V02",cad!$J$29,cad!$K$29))</f>
        <v/>
      </c>
      <c r="L187">
        <f>IF(D187="V01",cad!$I$30,IF(D187="V02",cad!$J$30,cad!$K$30))</f>
        <v/>
      </c>
      <c r="M187">
        <f>IF(D187="V01",cad!$I$31,IF(D187="V02",cad!$J$31,cad!$K$31))</f>
        <v/>
      </c>
      <c r="N187">
        <f>IF(D187="V01",$R$2,IF(D187="V02",$R$3,$R$4))</f>
        <v/>
      </c>
      <c r="O187">
        <f>IF(OR(B187="7062",B187="706",B187="708"),N187,IF(B187="6231",1+G187,IF(B187="6236",1+H187,IF(OR(B187="621",B187="604",B187="6063"),N187*(1-L187),IF(OR(B187="6411",B187="6413",B187="6414",B187="645"),(1+J187)*(1+K187),IF(OR(B187="613",B187="615",B187="616",B187="6226",B187="625",B187="626",B187="6281"),(1+I187)*(1-L187)*(1+M187),IF(OR(B187="6331",B187="63511",B187="6333"),(1+I187)*(1-L187),IF(B187="6811",1+I187,1))))))))</f>
        <v/>
      </c>
      <c r="P187">
        <f>IF(E187=1,F187*O187,"")</f>
        <v/>
      </c>
    </row>
    <row r="188">
      <c r="A188">
        <f>PNL!A188</f>
        <v/>
      </c>
      <c r="B188">
        <f>PNL!B188</f>
        <v/>
      </c>
      <c r="C188">
        <f>PNL!C188</f>
        <v/>
      </c>
      <c r="D188">
        <f>PNL!D188</f>
        <v/>
      </c>
      <c r="E188">
        <f>IF(AND(C188="2027",OR(D188="V01",D188="V02",D188="V03")),1,0)</f>
        <v/>
      </c>
      <c r="F188">
        <f>IF(E188=1,SUMIFS(Compta!$F$2:$F$675,Compta!$A$2:$A$675,A188,Compta!$B$2:$B$675,B188,Compta!$C$2:$C$675,"2026"),0)</f>
        <v/>
      </c>
      <c r="G188">
        <f>IF(D188="V01",cad!$I$21,IF(D188="V02",cad!$J$21,cad!$K$21))</f>
        <v/>
      </c>
      <c r="H188">
        <f>IF(D188="V01",cad!$I$22,IF(D188="V02",cad!$J$22,cad!$K$22))</f>
        <v/>
      </c>
      <c r="I188">
        <f>IF(D188="V01",cad!$I$27,IF(D188="V02",cad!$J$27,cad!$K$27))</f>
        <v/>
      </c>
      <c r="J188">
        <f>IF(D188="V01",cad!$I$28,IF(D188="V02",cad!$J$28,cad!$K$28))</f>
        <v/>
      </c>
      <c r="K188">
        <f>IF(D188="V01",cad!$I$29,IF(D188="V02",cad!$J$29,cad!$K$29))</f>
        <v/>
      </c>
      <c r="L188">
        <f>IF(D188="V01",cad!$I$30,IF(D188="V02",cad!$J$30,cad!$K$30))</f>
        <v/>
      </c>
      <c r="M188">
        <f>IF(D188="V01",cad!$I$31,IF(D188="V02",cad!$J$31,cad!$K$31))</f>
        <v/>
      </c>
      <c r="N188">
        <f>IF(D188="V01",$R$2,IF(D188="V02",$R$3,$R$4))</f>
        <v/>
      </c>
      <c r="O188">
        <f>IF(OR(B188="7062",B188="706",B188="708"),N188,IF(B188="6231",1+G188,IF(B188="6236",1+H188,IF(OR(B188="621",B188="604",B188="6063"),N188*(1-L188),IF(OR(B188="6411",B188="6413",B188="6414",B188="645"),(1+J188)*(1+K188),IF(OR(B188="613",B188="615",B188="616",B188="6226",B188="625",B188="626",B188="6281"),(1+I188)*(1-L188)*(1+M188),IF(OR(B188="6331",B188="63511",B188="6333"),(1+I188)*(1-L188),IF(B188="6811",1+I188,1))))))))</f>
        <v/>
      </c>
      <c r="P188">
        <f>IF(E188=1,F188*O188,"")</f>
        <v/>
      </c>
    </row>
    <row r="189">
      <c r="A189">
        <f>PNL!A189</f>
        <v/>
      </c>
      <c r="B189">
        <f>PNL!B189</f>
        <v/>
      </c>
      <c r="C189">
        <f>PNL!C189</f>
        <v/>
      </c>
      <c r="D189">
        <f>PNL!D189</f>
        <v/>
      </c>
      <c r="E189">
        <f>IF(AND(C189="2027",OR(D189="V01",D189="V02",D189="V03")),1,0)</f>
        <v/>
      </c>
      <c r="F189">
        <f>IF(E189=1,SUMIFS(Compta!$F$2:$F$675,Compta!$A$2:$A$675,A189,Compta!$B$2:$B$675,B189,Compta!$C$2:$C$675,"2026"),0)</f>
        <v/>
      </c>
      <c r="G189">
        <f>IF(D189="V01",cad!$I$21,IF(D189="V02",cad!$J$21,cad!$K$21))</f>
        <v/>
      </c>
      <c r="H189">
        <f>IF(D189="V01",cad!$I$22,IF(D189="V02",cad!$J$22,cad!$K$22))</f>
        <v/>
      </c>
      <c r="I189">
        <f>IF(D189="V01",cad!$I$27,IF(D189="V02",cad!$J$27,cad!$K$27))</f>
        <v/>
      </c>
      <c r="J189">
        <f>IF(D189="V01",cad!$I$28,IF(D189="V02",cad!$J$28,cad!$K$28))</f>
        <v/>
      </c>
      <c r="K189">
        <f>IF(D189="V01",cad!$I$29,IF(D189="V02",cad!$J$29,cad!$K$29))</f>
        <v/>
      </c>
      <c r="L189">
        <f>IF(D189="V01",cad!$I$30,IF(D189="V02",cad!$J$30,cad!$K$30))</f>
        <v/>
      </c>
      <c r="M189">
        <f>IF(D189="V01",cad!$I$31,IF(D189="V02",cad!$J$31,cad!$K$31))</f>
        <v/>
      </c>
      <c r="N189">
        <f>IF(D189="V01",$R$2,IF(D189="V02",$R$3,$R$4))</f>
        <v/>
      </c>
      <c r="O189">
        <f>IF(OR(B189="7062",B189="706",B189="708"),N189,IF(B189="6231",1+G189,IF(B189="6236",1+H189,IF(OR(B189="621",B189="604",B189="6063"),N189*(1-L189),IF(OR(B189="6411",B189="6413",B189="6414",B189="645"),(1+J189)*(1+K189),IF(OR(B189="613",B189="615",B189="616",B189="6226",B189="625",B189="626",B189="6281"),(1+I189)*(1-L189)*(1+M189),IF(OR(B189="6331",B189="63511",B189="6333"),(1+I189)*(1-L189),IF(B189="6811",1+I189,1))))))))</f>
        <v/>
      </c>
      <c r="P189">
        <f>IF(E189=1,F189*O189,"")</f>
        <v/>
      </c>
    </row>
    <row r="190">
      <c r="A190">
        <f>PNL!A190</f>
        <v/>
      </c>
      <c r="B190">
        <f>PNL!B190</f>
        <v/>
      </c>
      <c r="C190">
        <f>PNL!C190</f>
        <v/>
      </c>
      <c r="D190">
        <f>PNL!D190</f>
        <v/>
      </c>
      <c r="E190">
        <f>IF(AND(C190="2027",OR(D190="V01",D190="V02",D190="V03")),1,0)</f>
        <v/>
      </c>
      <c r="F190">
        <f>IF(E190=1,SUMIFS(Compta!$F$2:$F$675,Compta!$A$2:$A$675,A190,Compta!$B$2:$B$675,B190,Compta!$C$2:$C$675,"2026"),0)</f>
        <v/>
      </c>
      <c r="G190">
        <f>IF(D190="V01",cad!$I$21,IF(D190="V02",cad!$J$21,cad!$K$21))</f>
        <v/>
      </c>
      <c r="H190">
        <f>IF(D190="V01",cad!$I$22,IF(D190="V02",cad!$J$22,cad!$K$22))</f>
        <v/>
      </c>
      <c r="I190">
        <f>IF(D190="V01",cad!$I$27,IF(D190="V02",cad!$J$27,cad!$K$27))</f>
        <v/>
      </c>
      <c r="J190">
        <f>IF(D190="V01",cad!$I$28,IF(D190="V02",cad!$J$28,cad!$K$28))</f>
        <v/>
      </c>
      <c r="K190">
        <f>IF(D190="V01",cad!$I$29,IF(D190="V02",cad!$J$29,cad!$K$29))</f>
        <v/>
      </c>
      <c r="L190">
        <f>IF(D190="V01",cad!$I$30,IF(D190="V02",cad!$J$30,cad!$K$30))</f>
        <v/>
      </c>
      <c r="M190">
        <f>IF(D190="V01",cad!$I$31,IF(D190="V02",cad!$J$31,cad!$K$31))</f>
        <v/>
      </c>
      <c r="N190">
        <f>IF(D190="V01",$R$2,IF(D190="V02",$R$3,$R$4))</f>
        <v/>
      </c>
      <c r="O190">
        <f>IF(OR(B190="7062",B190="706",B190="708"),N190,IF(B190="6231",1+G190,IF(B190="6236",1+H190,IF(OR(B190="621",B190="604",B190="6063"),N190*(1-L190),IF(OR(B190="6411",B190="6413",B190="6414",B190="645"),(1+J190)*(1+K190),IF(OR(B190="613",B190="615",B190="616",B190="6226",B190="625",B190="626",B190="6281"),(1+I190)*(1-L190)*(1+M190),IF(OR(B190="6331",B190="63511",B190="6333"),(1+I190)*(1-L190),IF(B190="6811",1+I190,1))))))))</f>
        <v/>
      </c>
      <c r="P190">
        <f>IF(E190=1,F190*O190,"")</f>
        <v/>
      </c>
    </row>
    <row r="191">
      <c r="A191">
        <f>PNL!A191</f>
        <v/>
      </c>
      <c r="B191">
        <f>PNL!B191</f>
        <v/>
      </c>
      <c r="C191">
        <f>PNL!C191</f>
        <v/>
      </c>
      <c r="D191">
        <f>PNL!D191</f>
        <v/>
      </c>
      <c r="E191">
        <f>IF(AND(C191="2027",OR(D191="V01",D191="V02",D191="V03")),1,0)</f>
        <v/>
      </c>
      <c r="F191">
        <f>IF(E191=1,SUMIFS(Compta!$F$2:$F$675,Compta!$A$2:$A$675,A191,Compta!$B$2:$B$675,B191,Compta!$C$2:$C$675,"2026"),0)</f>
        <v/>
      </c>
      <c r="G191">
        <f>IF(D191="V01",cad!$I$21,IF(D191="V02",cad!$J$21,cad!$K$21))</f>
        <v/>
      </c>
      <c r="H191">
        <f>IF(D191="V01",cad!$I$22,IF(D191="V02",cad!$J$22,cad!$K$22))</f>
        <v/>
      </c>
      <c r="I191">
        <f>IF(D191="V01",cad!$I$27,IF(D191="V02",cad!$J$27,cad!$K$27))</f>
        <v/>
      </c>
      <c r="J191">
        <f>IF(D191="V01",cad!$I$28,IF(D191="V02",cad!$J$28,cad!$K$28))</f>
        <v/>
      </c>
      <c r="K191">
        <f>IF(D191="V01",cad!$I$29,IF(D191="V02",cad!$J$29,cad!$K$29))</f>
        <v/>
      </c>
      <c r="L191">
        <f>IF(D191="V01",cad!$I$30,IF(D191="V02",cad!$J$30,cad!$K$30))</f>
        <v/>
      </c>
      <c r="M191">
        <f>IF(D191="V01",cad!$I$31,IF(D191="V02",cad!$J$31,cad!$K$31))</f>
        <v/>
      </c>
      <c r="N191">
        <f>IF(D191="V01",$R$2,IF(D191="V02",$R$3,$R$4))</f>
        <v/>
      </c>
      <c r="O191">
        <f>IF(OR(B191="7062",B191="706",B191="708"),N191,IF(B191="6231",1+G191,IF(B191="6236",1+H191,IF(OR(B191="621",B191="604",B191="6063"),N191*(1-L191),IF(OR(B191="6411",B191="6413",B191="6414",B191="645"),(1+J191)*(1+K191),IF(OR(B191="613",B191="615",B191="616",B191="6226",B191="625",B191="626",B191="6281"),(1+I191)*(1-L191)*(1+M191),IF(OR(B191="6331",B191="63511",B191="6333"),(1+I191)*(1-L191),IF(B191="6811",1+I191,1))))))))</f>
        <v/>
      </c>
      <c r="P191">
        <f>IF(E191=1,F191*O191,"")</f>
        <v/>
      </c>
    </row>
    <row r="192">
      <c r="A192">
        <f>PNL!A192</f>
        <v/>
      </c>
      <c r="B192">
        <f>PNL!B192</f>
        <v/>
      </c>
      <c r="C192">
        <f>PNL!C192</f>
        <v/>
      </c>
      <c r="D192">
        <f>PNL!D192</f>
        <v/>
      </c>
      <c r="E192">
        <f>IF(AND(C192="2027",OR(D192="V01",D192="V02",D192="V03")),1,0)</f>
        <v/>
      </c>
      <c r="F192">
        <f>IF(E192=1,SUMIFS(Compta!$F$2:$F$675,Compta!$A$2:$A$675,A192,Compta!$B$2:$B$675,B192,Compta!$C$2:$C$675,"2026"),0)</f>
        <v/>
      </c>
      <c r="G192">
        <f>IF(D192="V01",cad!$I$21,IF(D192="V02",cad!$J$21,cad!$K$21))</f>
        <v/>
      </c>
      <c r="H192">
        <f>IF(D192="V01",cad!$I$22,IF(D192="V02",cad!$J$22,cad!$K$22))</f>
        <v/>
      </c>
      <c r="I192">
        <f>IF(D192="V01",cad!$I$27,IF(D192="V02",cad!$J$27,cad!$K$27))</f>
        <v/>
      </c>
      <c r="J192">
        <f>IF(D192="V01",cad!$I$28,IF(D192="V02",cad!$J$28,cad!$K$28))</f>
        <v/>
      </c>
      <c r="K192">
        <f>IF(D192="V01",cad!$I$29,IF(D192="V02",cad!$J$29,cad!$K$29))</f>
        <v/>
      </c>
      <c r="L192">
        <f>IF(D192="V01",cad!$I$30,IF(D192="V02",cad!$J$30,cad!$K$30))</f>
        <v/>
      </c>
      <c r="M192">
        <f>IF(D192="V01",cad!$I$31,IF(D192="V02",cad!$J$31,cad!$K$31))</f>
        <v/>
      </c>
      <c r="N192">
        <f>IF(D192="V01",$R$2,IF(D192="V02",$R$3,$R$4))</f>
        <v/>
      </c>
      <c r="O192">
        <f>IF(OR(B192="7062",B192="706",B192="708"),N192,IF(B192="6231",1+G192,IF(B192="6236",1+H192,IF(OR(B192="621",B192="604",B192="6063"),N192*(1-L192),IF(OR(B192="6411",B192="6413",B192="6414",B192="645"),(1+J192)*(1+K192),IF(OR(B192="613",B192="615",B192="616",B192="6226",B192="625",B192="626",B192="6281"),(1+I192)*(1-L192)*(1+M192),IF(OR(B192="6331",B192="63511",B192="6333"),(1+I192)*(1-L192),IF(B192="6811",1+I192,1))))))))</f>
        <v/>
      </c>
      <c r="P192">
        <f>IF(E192=1,F192*O192,"")</f>
        <v/>
      </c>
    </row>
    <row r="193">
      <c r="A193">
        <f>PNL!A193</f>
        <v/>
      </c>
      <c r="B193">
        <f>PNL!B193</f>
        <v/>
      </c>
      <c r="C193">
        <f>PNL!C193</f>
        <v/>
      </c>
      <c r="D193">
        <f>PNL!D193</f>
        <v/>
      </c>
      <c r="E193">
        <f>IF(AND(C193="2027",OR(D193="V01",D193="V02",D193="V03")),1,0)</f>
        <v/>
      </c>
      <c r="F193">
        <f>IF(E193=1,SUMIFS(Compta!$F$2:$F$675,Compta!$A$2:$A$675,A193,Compta!$B$2:$B$675,B193,Compta!$C$2:$C$675,"2026"),0)</f>
        <v/>
      </c>
      <c r="G193">
        <f>IF(D193="V01",cad!$I$21,IF(D193="V02",cad!$J$21,cad!$K$21))</f>
        <v/>
      </c>
      <c r="H193">
        <f>IF(D193="V01",cad!$I$22,IF(D193="V02",cad!$J$22,cad!$K$22))</f>
        <v/>
      </c>
      <c r="I193">
        <f>IF(D193="V01",cad!$I$27,IF(D193="V02",cad!$J$27,cad!$K$27))</f>
        <v/>
      </c>
      <c r="J193">
        <f>IF(D193="V01",cad!$I$28,IF(D193="V02",cad!$J$28,cad!$K$28))</f>
        <v/>
      </c>
      <c r="K193">
        <f>IF(D193="V01",cad!$I$29,IF(D193="V02",cad!$J$29,cad!$K$29))</f>
        <v/>
      </c>
      <c r="L193">
        <f>IF(D193="V01",cad!$I$30,IF(D193="V02",cad!$J$30,cad!$K$30))</f>
        <v/>
      </c>
      <c r="M193">
        <f>IF(D193="V01",cad!$I$31,IF(D193="V02",cad!$J$31,cad!$K$31))</f>
        <v/>
      </c>
      <c r="N193">
        <f>IF(D193="V01",$R$2,IF(D193="V02",$R$3,$R$4))</f>
        <v/>
      </c>
      <c r="O193">
        <f>IF(OR(B193="7062",B193="706",B193="708"),N193,IF(B193="6231",1+G193,IF(B193="6236",1+H193,IF(OR(B193="621",B193="604",B193="6063"),N193*(1-L193),IF(OR(B193="6411",B193="6413",B193="6414",B193="645"),(1+J193)*(1+K193),IF(OR(B193="613",B193="615",B193="616",B193="6226",B193="625",B193="626",B193="6281"),(1+I193)*(1-L193)*(1+M193),IF(OR(B193="6331",B193="63511",B193="6333"),(1+I193)*(1-L193),IF(B193="6811",1+I193,1))))))))</f>
        <v/>
      </c>
      <c r="P193">
        <f>IF(E193=1,F193*O193,"")</f>
        <v/>
      </c>
    </row>
    <row r="194">
      <c r="A194">
        <f>PNL!A194</f>
        <v/>
      </c>
      <c r="B194">
        <f>PNL!B194</f>
        <v/>
      </c>
      <c r="C194">
        <f>PNL!C194</f>
        <v/>
      </c>
      <c r="D194">
        <f>PNL!D194</f>
        <v/>
      </c>
      <c r="E194">
        <f>IF(AND(C194="2027",OR(D194="V01",D194="V02",D194="V03")),1,0)</f>
        <v/>
      </c>
      <c r="F194">
        <f>IF(E194=1,SUMIFS(Compta!$F$2:$F$675,Compta!$A$2:$A$675,A194,Compta!$B$2:$B$675,B194,Compta!$C$2:$C$675,"2026"),0)</f>
        <v/>
      </c>
      <c r="G194">
        <f>IF(D194="V01",cad!$I$21,IF(D194="V02",cad!$J$21,cad!$K$21))</f>
        <v/>
      </c>
      <c r="H194">
        <f>IF(D194="V01",cad!$I$22,IF(D194="V02",cad!$J$22,cad!$K$22))</f>
        <v/>
      </c>
      <c r="I194">
        <f>IF(D194="V01",cad!$I$27,IF(D194="V02",cad!$J$27,cad!$K$27))</f>
        <v/>
      </c>
      <c r="J194">
        <f>IF(D194="V01",cad!$I$28,IF(D194="V02",cad!$J$28,cad!$K$28))</f>
        <v/>
      </c>
      <c r="K194">
        <f>IF(D194="V01",cad!$I$29,IF(D194="V02",cad!$J$29,cad!$K$29))</f>
        <v/>
      </c>
      <c r="L194">
        <f>IF(D194="V01",cad!$I$30,IF(D194="V02",cad!$J$30,cad!$K$30))</f>
        <v/>
      </c>
      <c r="M194">
        <f>IF(D194="V01",cad!$I$31,IF(D194="V02",cad!$J$31,cad!$K$31))</f>
        <v/>
      </c>
      <c r="N194">
        <f>IF(D194="V01",$R$2,IF(D194="V02",$R$3,$R$4))</f>
        <v/>
      </c>
      <c r="O194">
        <f>IF(OR(B194="7062",B194="706",B194="708"),N194,IF(B194="6231",1+G194,IF(B194="6236",1+H194,IF(OR(B194="621",B194="604",B194="6063"),N194*(1-L194),IF(OR(B194="6411",B194="6413",B194="6414",B194="645"),(1+J194)*(1+K194),IF(OR(B194="613",B194="615",B194="616",B194="6226",B194="625",B194="626",B194="6281"),(1+I194)*(1-L194)*(1+M194),IF(OR(B194="6331",B194="63511",B194="6333"),(1+I194)*(1-L194),IF(B194="6811",1+I194,1))))))))</f>
        <v/>
      </c>
      <c r="P194">
        <f>IF(E194=1,F194*O194,"")</f>
        <v/>
      </c>
    </row>
    <row r="195">
      <c r="A195">
        <f>PNL!A195</f>
        <v/>
      </c>
      <c r="B195">
        <f>PNL!B195</f>
        <v/>
      </c>
      <c r="C195">
        <f>PNL!C195</f>
        <v/>
      </c>
      <c r="D195">
        <f>PNL!D195</f>
        <v/>
      </c>
      <c r="E195">
        <f>IF(AND(C195="2027",OR(D195="V01",D195="V02",D195="V03")),1,0)</f>
        <v/>
      </c>
      <c r="F195">
        <f>IF(E195=1,SUMIFS(Compta!$F$2:$F$675,Compta!$A$2:$A$675,A195,Compta!$B$2:$B$675,B195,Compta!$C$2:$C$675,"2026"),0)</f>
        <v/>
      </c>
      <c r="G195">
        <f>IF(D195="V01",cad!$I$21,IF(D195="V02",cad!$J$21,cad!$K$21))</f>
        <v/>
      </c>
      <c r="H195">
        <f>IF(D195="V01",cad!$I$22,IF(D195="V02",cad!$J$22,cad!$K$22))</f>
        <v/>
      </c>
      <c r="I195">
        <f>IF(D195="V01",cad!$I$27,IF(D195="V02",cad!$J$27,cad!$K$27))</f>
        <v/>
      </c>
      <c r="J195">
        <f>IF(D195="V01",cad!$I$28,IF(D195="V02",cad!$J$28,cad!$K$28))</f>
        <v/>
      </c>
      <c r="K195">
        <f>IF(D195="V01",cad!$I$29,IF(D195="V02",cad!$J$29,cad!$K$29))</f>
        <v/>
      </c>
      <c r="L195">
        <f>IF(D195="V01",cad!$I$30,IF(D195="V02",cad!$J$30,cad!$K$30))</f>
        <v/>
      </c>
      <c r="M195">
        <f>IF(D195="V01",cad!$I$31,IF(D195="V02",cad!$J$31,cad!$K$31))</f>
        <v/>
      </c>
      <c r="N195">
        <f>IF(D195="V01",$R$2,IF(D195="V02",$R$3,$R$4))</f>
        <v/>
      </c>
      <c r="O195">
        <f>IF(OR(B195="7062",B195="706",B195="708"),N195,IF(B195="6231",1+G195,IF(B195="6236",1+H195,IF(OR(B195="621",B195="604",B195="6063"),N195*(1-L195),IF(OR(B195="6411",B195="6413",B195="6414",B195="645"),(1+J195)*(1+K195),IF(OR(B195="613",B195="615",B195="616",B195="6226",B195="625",B195="626",B195="6281"),(1+I195)*(1-L195)*(1+M195),IF(OR(B195="6331",B195="63511",B195="6333"),(1+I195)*(1-L195),IF(B195="6811",1+I195,1))))))))</f>
        <v/>
      </c>
      <c r="P195">
        <f>IF(E195=1,F195*O195,"")</f>
        <v/>
      </c>
    </row>
    <row r="196">
      <c r="A196">
        <f>PNL!A196</f>
        <v/>
      </c>
      <c r="B196">
        <f>PNL!B196</f>
        <v/>
      </c>
      <c r="C196">
        <f>PNL!C196</f>
        <v/>
      </c>
      <c r="D196">
        <f>PNL!D196</f>
        <v/>
      </c>
      <c r="E196">
        <f>IF(AND(C196="2027",OR(D196="V01",D196="V02",D196="V03")),1,0)</f>
        <v/>
      </c>
      <c r="F196">
        <f>IF(E196=1,SUMIFS(Compta!$F$2:$F$675,Compta!$A$2:$A$675,A196,Compta!$B$2:$B$675,B196,Compta!$C$2:$C$675,"2026"),0)</f>
        <v/>
      </c>
      <c r="G196">
        <f>IF(D196="V01",cad!$I$21,IF(D196="V02",cad!$J$21,cad!$K$21))</f>
        <v/>
      </c>
      <c r="H196">
        <f>IF(D196="V01",cad!$I$22,IF(D196="V02",cad!$J$22,cad!$K$22))</f>
        <v/>
      </c>
      <c r="I196">
        <f>IF(D196="V01",cad!$I$27,IF(D196="V02",cad!$J$27,cad!$K$27))</f>
        <v/>
      </c>
      <c r="J196">
        <f>IF(D196="V01",cad!$I$28,IF(D196="V02",cad!$J$28,cad!$K$28))</f>
        <v/>
      </c>
      <c r="K196">
        <f>IF(D196="V01",cad!$I$29,IF(D196="V02",cad!$J$29,cad!$K$29))</f>
        <v/>
      </c>
      <c r="L196">
        <f>IF(D196="V01",cad!$I$30,IF(D196="V02",cad!$J$30,cad!$K$30))</f>
        <v/>
      </c>
      <c r="M196">
        <f>IF(D196="V01",cad!$I$31,IF(D196="V02",cad!$J$31,cad!$K$31))</f>
        <v/>
      </c>
      <c r="N196">
        <f>IF(D196="V01",$R$2,IF(D196="V02",$R$3,$R$4))</f>
        <v/>
      </c>
      <c r="O196">
        <f>IF(OR(B196="7062",B196="706",B196="708"),N196,IF(B196="6231",1+G196,IF(B196="6236",1+H196,IF(OR(B196="621",B196="604",B196="6063"),N196*(1-L196),IF(OR(B196="6411",B196="6413",B196="6414",B196="645"),(1+J196)*(1+K196),IF(OR(B196="613",B196="615",B196="616",B196="6226",B196="625",B196="626",B196="6281"),(1+I196)*(1-L196)*(1+M196),IF(OR(B196="6331",B196="63511",B196="6333"),(1+I196)*(1-L196),IF(B196="6811",1+I196,1))))))))</f>
        <v/>
      </c>
      <c r="P196">
        <f>IF(E196=1,F196*O196,"")</f>
        <v/>
      </c>
    </row>
    <row r="197">
      <c r="A197">
        <f>PNL!A197</f>
        <v/>
      </c>
      <c r="B197">
        <f>PNL!B197</f>
        <v/>
      </c>
      <c r="C197">
        <f>PNL!C197</f>
        <v/>
      </c>
      <c r="D197">
        <f>PNL!D197</f>
        <v/>
      </c>
      <c r="E197">
        <f>IF(AND(C197="2027",OR(D197="V01",D197="V02",D197="V03")),1,0)</f>
        <v/>
      </c>
      <c r="F197">
        <f>IF(E197=1,SUMIFS(Compta!$F$2:$F$675,Compta!$A$2:$A$675,A197,Compta!$B$2:$B$675,B197,Compta!$C$2:$C$675,"2026"),0)</f>
        <v/>
      </c>
      <c r="G197">
        <f>IF(D197="V01",cad!$I$21,IF(D197="V02",cad!$J$21,cad!$K$21))</f>
        <v/>
      </c>
      <c r="H197">
        <f>IF(D197="V01",cad!$I$22,IF(D197="V02",cad!$J$22,cad!$K$22))</f>
        <v/>
      </c>
      <c r="I197">
        <f>IF(D197="V01",cad!$I$27,IF(D197="V02",cad!$J$27,cad!$K$27))</f>
        <v/>
      </c>
      <c r="J197">
        <f>IF(D197="V01",cad!$I$28,IF(D197="V02",cad!$J$28,cad!$K$28))</f>
        <v/>
      </c>
      <c r="K197">
        <f>IF(D197="V01",cad!$I$29,IF(D197="V02",cad!$J$29,cad!$K$29))</f>
        <v/>
      </c>
      <c r="L197">
        <f>IF(D197="V01",cad!$I$30,IF(D197="V02",cad!$J$30,cad!$K$30))</f>
        <v/>
      </c>
      <c r="M197">
        <f>IF(D197="V01",cad!$I$31,IF(D197="V02",cad!$J$31,cad!$K$31))</f>
        <v/>
      </c>
      <c r="N197">
        <f>IF(D197="V01",$R$2,IF(D197="V02",$R$3,$R$4))</f>
        <v/>
      </c>
      <c r="O197">
        <f>IF(OR(B197="7062",B197="706",B197="708"),N197,IF(B197="6231",1+G197,IF(B197="6236",1+H197,IF(OR(B197="621",B197="604",B197="6063"),N197*(1-L197),IF(OR(B197="6411",B197="6413",B197="6414",B197="645"),(1+J197)*(1+K197),IF(OR(B197="613",B197="615",B197="616",B197="6226",B197="625",B197="626",B197="6281"),(1+I197)*(1-L197)*(1+M197),IF(OR(B197="6331",B197="63511",B197="6333"),(1+I197)*(1-L197),IF(B197="6811",1+I197,1))))))))</f>
        <v/>
      </c>
      <c r="P197">
        <f>IF(E197=1,F197*O197,"")</f>
        <v/>
      </c>
    </row>
    <row r="198">
      <c r="A198">
        <f>PNL!A198</f>
        <v/>
      </c>
      <c r="B198">
        <f>PNL!B198</f>
        <v/>
      </c>
      <c r="C198">
        <f>PNL!C198</f>
        <v/>
      </c>
      <c r="D198">
        <f>PNL!D198</f>
        <v/>
      </c>
      <c r="E198">
        <f>IF(AND(C198="2027",OR(D198="V01",D198="V02",D198="V03")),1,0)</f>
        <v/>
      </c>
      <c r="F198">
        <f>IF(E198=1,SUMIFS(Compta!$F$2:$F$675,Compta!$A$2:$A$675,A198,Compta!$B$2:$B$675,B198,Compta!$C$2:$C$675,"2026"),0)</f>
        <v/>
      </c>
      <c r="G198">
        <f>IF(D198="V01",cad!$I$21,IF(D198="V02",cad!$J$21,cad!$K$21))</f>
        <v/>
      </c>
      <c r="H198">
        <f>IF(D198="V01",cad!$I$22,IF(D198="V02",cad!$J$22,cad!$K$22))</f>
        <v/>
      </c>
      <c r="I198">
        <f>IF(D198="V01",cad!$I$27,IF(D198="V02",cad!$J$27,cad!$K$27))</f>
        <v/>
      </c>
      <c r="J198">
        <f>IF(D198="V01",cad!$I$28,IF(D198="V02",cad!$J$28,cad!$K$28))</f>
        <v/>
      </c>
      <c r="K198">
        <f>IF(D198="V01",cad!$I$29,IF(D198="V02",cad!$J$29,cad!$K$29))</f>
        <v/>
      </c>
      <c r="L198">
        <f>IF(D198="V01",cad!$I$30,IF(D198="V02",cad!$J$30,cad!$K$30))</f>
        <v/>
      </c>
      <c r="M198">
        <f>IF(D198="V01",cad!$I$31,IF(D198="V02",cad!$J$31,cad!$K$31))</f>
        <v/>
      </c>
      <c r="N198">
        <f>IF(D198="V01",$R$2,IF(D198="V02",$R$3,$R$4))</f>
        <v/>
      </c>
      <c r="O198">
        <f>IF(OR(B198="7062",B198="706",B198="708"),N198,IF(B198="6231",1+G198,IF(B198="6236",1+H198,IF(OR(B198="621",B198="604",B198="6063"),N198*(1-L198),IF(OR(B198="6411",B198="6413",B198="6414",B198="645"),(1+J198)*(1+K198),IF(OR(B198="613",B198="615",B198="616",B198="6226",B198="625",B198="626",B198="6281"),(1+I198)*(1-L198)*(1+M198),IF(OR(B198="6331",B198="63511",B198="6333"),(1+I198)*(1-L198),IF(B198="6811",1+I198,1))))))))</f>
        <v/>
      </c>
      <c r="P198">
        <f>IF(E198=1,F198*O198,"")</f>
        <v/>
      </c>
    </row>
    <row r="199">
      <c r="A199">
        <f>PNL!A199</f>
        <v/>
      </c>
      <c r="B199">
        <f>PNL!B199</f>
        <v/>
      </c>
      <c r="C199">
        <f>PNL!C199</f>
        <v/>
      </c>
      <c r="D199">
        <f>PNL!D199</f>
        <v/>
      </c>
      <c r="E199">
        <f>IF(AND(C199="2027",OR(D199="V01",D199="V02",D199="V03")),1,0)</f>
        <v/>
      </c>
      <c r="F199">
        <f>IF(E199=1,SUMIFS(Compta!$F$2:$F$675,Compta!$A$2:$A$675,A199,Compta!$B$2:$B$675,B199,Compta!$C$2:$C$675,"2026"),0)</f>
        <v/>
      </c>
      <c r="G199">
        <f>IF(D199="V01",cad!$I$21,IF(D199="V02",cad!$J$21,cad!$K$21))</f>
        <v/>
      </c>
      <c r="H199">
        <f>IF(D199="V01",cad!$I$22,IF(D199="V02",cad!$J$22,cad!$K$22))</f>
        <v/>
      </c>
      <c r="I199">
        <f>IF(D199="V01",cad!$I$27,IF(D199="V02",cad!$J$27,cad!$K$27))</f>
        <v/>
      </c>
      <c r="J199">
        <f>IF(D199="V01",cad!$I$28,IF(D199="V02",cad!$J$28,cad!$K$28))</f>
        <v/>
      </c>
      <c r="K199">
        <f>IF(D199="V01",cad!$I$29,IF(D199="V02",cad!$J$29,cad!$K$29))</f>
        <v/>
      </c>
      <c r="L199">
        <f>IF(D199="V01",cad!$I$30,IF(D199="V02",cad!$J$30,cad!$K$30))</f>
        <v/>
      </c>
      <c r="M199">
        <f>IF(D199="V01",cad!$I$31,IF(D199="V02",cad!$J$31,cad!$K$31))</f>
        <v/>
      </c>
      <c r="N199">
        <f>IF(D199="V01",$R$2,IF(D199="V02",$R$3,$R$4))</f>
        <v/>
      </c>
      <c r="O199">
        <f>IF(OR(B199="7062",B199="706",B199="708"),N199,IF(B199="6231",1+G199,IF(B199="6236",1+H199,IF(OR(B199="621",B199="604",B199="6063"),N199*(1-L199),IF(OR(B199="6411",B199="6413",B199="6414",B199="645"),(1+J199)*(1+K199),IF(OR(B199="613",B199="615",B199="616",B199="6226",B199="625",B199="626",B199="6281"),(1+I199)*(1-L199)*(1+M199),IF(OR(B199="6331",B199="63511",B199="6333"),(1+I199)*(1-L199),IF(B199="6811",1+I199,1))))))))</f>
        <v/>
      </c>
      <c r="P199">
        <f>IF(E199=1,F199*O199,"")</f>
        <v/>
      </c>
    </row>
    <row r="200">
      <c r="A200">
        <f>PNL!A200</f>
        <v/>
      </c>
      <c r="B200">
        <f>PNL!B200</f>
        <v/>
      </c>
      <c r="C200">
        <f>PNL!C200</f>
        <v/>
      </c>
      <c r="D200">
        <f>PNL!D200</f>
        <v/>
      </c>
      <c r="E200">
        <f>IF(AND(C200="2027",OR(D200="V01",D200="V02",D200="V03")),1,0)</f>
        <v/>
      </c>
      <c r="F200">
        <f>IF(E200=1,SUMIFS(Compta!$F$2:$F$675,Compta!$A$2:$A$675,A200,Compta!$B$2:$B$675,B200,Compta!$C$2:$C$675,"2026"),0)</f>
        <v/>
      </c>
      <c r="G200">
        <f>IF(D200="V01",cad!$I$21,IF(D200="V02",cad!$J$21,cad!$K$21))</f>
        <v/>
      </c>
      <c r="H200">
        <f>IF(D200="V01",cad!$I$22,IF(D200="V02",cad!$J$22,cad!$K$22))</f>
        <v/>
      </c>
      <c r="I200">
        <f>IF(D200="V01",cad!$I$27,IF(D200="V02",cad!$J$27,cad!$K$27))</f>
        <v/>
      </c>
      <c r="J200">
        <f>IF(D200="V01",cad!$I$28,IF(D200="V02",cad!$J$28,cad!$K$28))</f>
        <v/>
      </c>
      <c r="K200">
        <f>IF(D200="V01",cad!$I$29,IF(D200="V02",cad!$J$29,cad!$K$29))</f>
        <v/>
      </c>
      <c r="L200">
        <f>IF(D200="V01",cad!$I$30,IF(D200="V02",cad!$J$30,cad!$K$30))</f>
        <v/>
      </c>
      <c r="M200">
        <f>IF(D200="V01",cad!$I$31,IF(D200="V02",cad!$J$31,cad!$K$31))</f>
        <v/>
      </c>
      <c r="N200">
        <f>IF(D200="V01",$R$2,IF(D200="V02",$R$3,$R$4))</f>
        <v/>
      </c>
      <c r="O200">
        <f>IF(OR(B200="7062",B200="706",B200="708"),N200,IF(B200="6231",1+G200,IF(B200="6236",1+H200,IF(OR(B200="621",B200="604",B200="6063"),N200*(1-L200),IF(OR(B200="6411",B200="6413",B200="6414",B200="645"),(1+J200)*(1+K200),IF(OR(B200="613",B200="615",B200="616",B200="6226",B200="625",B200="626",B200="6281"),(1+I200)*(1-L200)*(1+M200),IF(OR(B200="6331",B200="63511",B200="6333"),(1+I200)*(1-L200),IF(B200="6811",1+I200,1))))))))</f>
        <v/>
      </c>
      <c r="P200">
        <f>IF(E200=1,F200*O200,"")</f>
        <v/>
      </c>
    </row>
    <row r="201">
      <c r="A201">
        <f>PNL!A201</f>
        <v/>
      </c>
      <c r="B201">
        <f>PNL!B201</f>
        <v/>
      </c>
      <c r="C201">
        <f>PNL!C201</f>
        <v/>
      </c>
      <c r="D201">
        <f>PNL!D201</f>
        <v/>
      </c>
      <c r="E201">
        <f>IF(AND(C201="2027",OR(D201="V01",D201="V02",D201="V03")),1,0)</f>
        <v/>
      </c>
      <c r="F201">
        <f>IF(E201=1,SUMIFS(Compta!$F$2:$F$675,Compta!$A$2:$A$675,A201,Compta!$B$2:$B$675,B201,Compta!$C$2:$C$675,"2026"),0)</f>
        <v/>
      </c>
      <c r="G201">
        <f>IF(D201="V01",cad!$I$21,IF(D201="V02",cad!$J$21,cad!$K$21))</f>
        <v/>
      </c>
      <c r="H201">
        <f>IF(D201="V01",cad!$I$22,IF(D201="V02",cad!$J$22,cad!$K$22))</f>
        <v/>
      </c>
      <c r="I201">
        <f>IF(D201="V01",cad!$I$27,IF(D201="V02",cad!$J$27,cad!$K$27))</f>
        <v/>
      </c>
      <c r="J201">
        <f>IF(D201="V01",cad!$I$28,IF(D201="V02",cad!$J$28,cad!$K$28))</f>
        <v/>
      </c>
      <c r="K201">
        <f>IF(D201="V01",cad!$I$29,IF(D201="V02",cad!$J$29,cad!$K$29))</f>
        <v/>
      </c>
      <c r="L201">
        <f>IF(D201="V01",cad!$I$30,IF(D201="V02",cad!$J$30,cad!$K$30))</f>
        <v/>
      </c>
      <c r="M201">
        <f>IF(D201="V01",cad!$I$31,IF(D201="V02",cad!$J$31,cad!$K$31))</f>
        <v/>
      </c>
      <c r="N201">
        <f>IF(D201="V01",$R$2,IF(D201="V02",$R$3,$R$4))</f>
        <v/>
      </c>
      <c r="O201">
        <f>IF(OR(B201="7062",B201="706",B201="708"),N201,IF(B201="6231",1+G201,IF(B201="6236",1+H201,IF(OR(B201="621",B201="604",B201="6063"),N201*(1-L201),IF(OR(B201="6411",B201="6413",B201="6414",B201="645"),(1+J201)*(1+K201),IF(OR(B201="613",B201="615",B201="616",B201="6226",B201="625",B201="626",B201="6281"),(1+I201)*(1-L201)*(1+M201),IF(OR(B201="6331",B201="63511",B201="6333"),(1+I201)*(1-L201),IF(B201="6811",1+I201,1))))))))</f>
        <v/>
      </c>
      <c r="P201">
        <f>IF(E201=1,F201*O201,"")</f>
        <v/>
      </c>
    </row>
    <row r="202">
      <c r="A202">
        <f>PNL!A202</f>
        <v/>
      </c>
      <c r="B202">
        <f>PNL!B202</f>
        <v/>
      </c>
      <c r="C202">
        <f>PNL!C202</f>
        <v/>
      </c>
      <c r="D202">
        <f>PNL!D202</f>
        <v/>
      </c>
      <c r="E202">
        <f>IF(AND(C202="2027",OR(D202="V01",D202="V02",D202="V03")),1,0)</f>
        <v/>
      </c>
      <c r="F202">
        <f>IF(E202=1,SUMIFS(Compta!$F$2:$F$675,Compta!$A$2:$A$675,A202,Compta!$B$2:$B$675,B202,Compta!$C$2:$C$675,"2026"),0)</f>
        <v/>
      </c>
      <c r="G202">
        <f>IF(D202="V01",cad!$I$21,IF(D202="V02",cad!$J$21,cad!$K$21))</f>
        <v/>
      </c>
      <c r="H202">
        <f>IF(D202="V01",cad!$I$22,IF(D202="V02",cad!$J$22,cad!$K$22))</f>
        <v/>
      </c>
      <c r="I202">
        <f>IF(D202="V01",cad!$I$27,IF(D202="V02",cad!$J$27,cad!$K$27))</f>
        <v/>
      </c>
      <c r="J202">
        <f>IF(D202="V01",cad!$I$28,IF(D202="V02",cad!$J$28,cad!$K$28))</f>
        <v/>
      </c>
      <c r="K202">
        <f>IF(D202="V01",cad!$I$29,IF(D202="V02",cad!$J$29,cad!$K$29))</f>
        <v/>
      </c>
      <c r="L202">
        <f>IF(D202="V01",cad!$I$30,IF(D202="V02",cad!$J$30,cad!$K$30))</f>
        <v/>
      </c>
      <c r="M202">
        <f>IF(D202="V01",cad!$I$31,IF(D202="V02",cad!$J$31,cad!$K$31))</f>
        <v/>
      </c>
      <c r="N202">
        <f>IF(D202="V01",$R$2,IF(D202="V02",$R$3,$R$4))</f>
        <v/>
      </c>
      <c r="O202">
        <f>IF(OR(B202="7062",B202="706",B202="708"),N202,IF(B202="6231",1+G202,IF(B202="6236",1+H202,IF(OR(B202="621",B202="604",B202="6063"),N202*(1-L202),IF(OR(B202="6411",B202="6413",B202="6414",B202="645"),(1+J202)*(1+K202),IF(OR(B202="613",B202="615",B202="616",B202="6226",B202="625",B202="626",B202="6281"),(1+I202)*(1-L202)*(1+M202),IF(OR(B202="6331",B202="63511",B202="6333"),(1+I202)*(1-L202),IF(B202="6811",1+I202,1))))))))</f>
        <v/>
      </c>
      <c r="P202">
        <f>IF(E202=1,F202*O202,"")</f>
        <v/>
      </c>
    </row>
    <row r="203">
      <c r="A203">
        <f>PNL!A203</f>
        <v/>
      </c>
      <c r="B203">
        <f>PNL!B203</f>
        <v/>
      </c>
      <c r="C203">
        <f>PNL!C203</f>
        <v/>
      </c>
      <c r="D203">
        <f>PNL!D203</f>
        <v/>
      </c>
      <c r="E203">
        <f>IF(AND(C203="2027",OR(D203="V01",D203="V02",D203="V03")),1,0)</f>
        <v/>
      </c>
      <c r="F203">
        <f>IF(E203=1,SUMIFS(Compta!$F$2:$F$675,Compta!$A$2:$A$675,A203,Compta!$B$2:$B$675,B203,Compta!$C$2:$C$675,"2026"),0)</f>
        <v/>
      </c>
      <c r="G203">
        <f>IF(D203="V01",cad!$I$21,IF(D203="V02",cad!$J$21,cad!$K$21))</f>
        <v/>
      </c>
      <c r="H203">
        <f>IF(D203="V01",cad!$I$22,IF(D203="V02",cad!$J$22,cad!$K$22))</f>
        <v/>
      </c>
      <c r="I203">
        <f>IF(D203="V01",cad!$I$27,IF(D203="V02",cad!$J$27,cad!$K$27))</f>
        <v/>
      </c>
      <c r="J203">
        <f>IF(D203="V01",cad!$I$28,IF(D203="V02",cad!$J$28,cad!$K$28))</f>
        <v/>
      </c>
      <c r="K203">
        <f>IF(D203="V01",cad!$I$29,IF(D203="V02",cad!$J$29,cad!$K$29))</f>
        <v/>
      </c>
      <c r="L203">
        <f>IF(D203="V01",cad!$I$30,IF(D203="V02",cad!$J$30,cad!$K$30))</f>
        <v/>
      </c>
      <c r="M203">
        <f>IF(D203="V01",cad!$I$31,IF(D203="V02",cad!$J$31,cad!$K$31))</f>
        <v/>
      </c>
      <c r="N203">
        <f>IF(D203="V01",$R$2,IF(D203="V02",$R$3,$R$4))</f>
        <v/>
      </c>
      <c r="O203">
        <f>IF(OR(B203="7062",B203="706",B203="708"),N203,IF(B203="6231",1+G203,IF(B203="6236",1+H203,IF(OR(B203="621",B203="604",B203="6063"),N203*(1-L203),IF(OR(B203="6411",B203="6413",B203="6414",B203="645"),(1+J203)*(1+K203),IF(OR(B203="613",B203="615",B203="616",B203="6226",B203="625",B203="626",B203="6281"),(1+I203)*(1-L203)*(1+M203),IF(OR(B203="6331",B203="63511",B203="6333"),(1+I203)*(1-L203),IF(B203="6811",1+I203,1))))))))</f>
        <v/>
      </c>
      <c r="P203">
        <f>IF(E203=1,F203*O203,"")</f>
        <v/>
      </c>
    </row>
    <row r="204">
      <c r="A204">
        <f>PNL!A204</f>
        <v/>
      </c>
      <c r="B204">
        <f>PNL!B204</f>
        <v/>
      </c>
      <c r="C204">
        <f>PNL!C204</f>
        <v/>
      </c>
      <c r="D204">
        <f>PNL!D204</f>
        <v/>
      </c>
      <c r="E204">
        <f>IF(AND(C204="2027",OR(D204="V01",D204="V02",D204="V03")),1,0)</f>
        <v/>
      </c>
      <c r="F204">
        <f>IF(E204=1,SUMIFS(Compta!$F$2:$F$675,Compta!$A$2:$A$675,A204,Compta!$B$2:$B$675,B204,Compta!$C$2:$C$675,"2026"),0)</f>
        <v/>
      </c>
      <c r="G204">
        <f>IF(D204="V01",cad!$I$21,IF(D204="V02",cad!$J$21,cad!$K$21))</f>
        <v/>
      </c>
      <c r="H204">
        <f>IF(D204="V01",cad!$I$22,IF(D204="V02",cad!$J$22,cad!$K$22))</f>
        <v/>
      </c>
      <c r="I204">
        <f>IF(D204="V01",cad!$I$27,IF(D204="V02",cad!$J$27,cad!$K$27))</f>
        <v/>
      </c>
      <c r="J204">
        <f>IF(D204="V01",cad!$I$28,IF(D204="V02",cad!$J$28,cad!$K$28))</f>
        <v/>
      </c>
      <c r="K204">
        <f>IF(D204="V01",cad!$I$29,IF(D204="V02",cad!$J$29,cad!$K$29))</f>
        <v/>
      </c>
      <c r="L204">
        <f>IF(D204="V01",cad!$I$30,IF(D204="V02",cad!$J$30,cad!$K$30))</f>
        <v/>
      </c>
      <c r="M204">
        <f>IF(D204="V01",cad!$I$31,IF(D204="V02",cad!$J$31,cad!$K$31))</f>
        <v/>
      </c>
      <c r="N204">
        <f>IF(D204="V01",$R$2,IF(D204="V02",$R$3,$R$4))</f>
        <v/>
      </c>
      <c r="O204">
        <f>IF(OR(B204="7062",B204="706",B204="708"),N204,IF(B204="6231",1+G204,IF(B204="6236",1+H204,IF(OR(B204="621",B204="604",B204="6063"),N204*(1-L204),IF(OR(B204="6411",B204="6413",B204="6414",B204="645"),(1+J204)*(1+K204),IF(OR(B204="613",B204="615",B204="616",B204="6226",B204="625",B204="626",B204="6281"),(1+I204)*(1-L204)*(1+M204),IF(OR(B204="6331",B204="63511",B204="6333"),(1+I204)*(1-L204),IF(B204="6811",1+I204,1))))))))</f>
        <v/>
      </c>
      <c r="P204">
        <f>IF(E204=1,F204*O204,"")</f>
        <v/>
      </c>
    </row>
    <row r="205">
      <c r="A205">
        <f>PNL!A205</f>
        <v/>
      </c>
      <c r="B205">
        <f>PNL!B205</f>
        <v/>
      </c>
      <c r="C205">
        <f>PNL!C205</f>
        <v/>
      </c>
      <c r="D205">
        <f>PNL!D205</f>
        <v/>
      </c>
      <c r="E205">
        <f>IF(AND(C205="2027",OR(D205="V01",D205="V02",D205="V03")),1,0)</f>
        <v/>
      </c>
      <c r="F205">
        <f>IF(E205=1,SUMIFS(Compta!$F$2:$F$675,Compta!$A$2:$A$675,A205,Compta!$B$2:$B$675,B205,Compta!$C$2:$C$675,"2026"),0)</f>
        <v/>
      </c>
      <c r="G205">
        <f>IF(D205="V01",cad!$I$21,IF(D205="V02",cad!$J$21,cad!$K$21))</f>
        <v/>
      </c>
      <c r="H205">
        <f>IF(D205="V01",cad!$I$22,IF(D205="V02",cad!$J$22,cad!$K$22))</f>
        <v/>
      </c>
      <c r="I205">
        <f>IF(D205="V01",cad!$I$27,IF(D205="V02",cad!$J$27,cad!$K$27))</f>
        <v/>
      </c>
      <c r="J205">
        <f>IF(D205="V01",cad!$I$28,IF(D205="V02",cad!$J$28,cad!$K$28))</f>
        <v/>
      </c>
      <c r="K205">
        <f>IF(D205="V01",cad!$I$29,IF(D205="V02",cad!$J$29,cad!$K$29))</f>
        <v/>
      </c>
      <c r="L205">
        <f>IF(D205="V01",cad!$I$30,IF(D205="V02",cad!$J$30,cad!$K$30))</f>
        <v/>
      </c>
      <c r="M205">
        <f>IF(D205="V01",cad!$I$31,IF(D205="V02",cad!$J$31,cad!$K$31))</f>
        <v/>
      </c>
      <c r="N205">
        <f>IF(D205="V01",$R$2,IF(D205="V02",$R$3,$R$4))</f>
        <v/>
      </c>
      <c r="O205">
        <f>IF(OR(B205="7062",B205="706",B205="708"),N205,IF(B205="6231",1+G205,IF(B205="6236",1+H205,IF(OR(B205="621",B205="604",B205="6063"),N205*(1-L205),IF(OR(B205="6411",B205="6413",B205="6414",B205="645"),(1+J205)*(1+K205),IF(OR(B205="613",B205="615",B205="616",B205="6226",B205="625",B205="626",B205="6281"),(1+I205)*(1-L205)*(1+M205),IF(OR(B205="6331",B205="63511",B205="6333"),(1+I205)*(1-L205),IF(B205="6811",1+I205,1))))))))</f>
        <v/>
      </c>
      <c r="P205">
        <f>IF(E205=1,F205*O205,"")</f>
        <v/>
      </c>
    </row>
    <row r="206">
      <c r="A206">
        <f>PNL!A206</f>
        <v/>
      </c>
      <c r="B206">
        <f>PNL!B206</f>
        <v/>
      </c>
      <c r="C206">
        <f>PNL!C206</f>
        <v/>
      </c>
      <c r="D206">
        <f>PNL!D206</f>
        <v/>
      </c>
      <c r="E206">
        <f>IF(AND(C206="2027",OR(D206="V01",D206="V02",D206="V03")),1,0)</f>
        <v/>
      </c>
      <c r="F206">
        <f>IF(E206=1,SUMIFS(Compta!$F$2:$F$675,Compta!$A$2:$A$675,A206,Compta!$B$2:$B$675,B206,Compta!$C$2:$C$675,"2026"),0)</f>
        <v/>
      </c>
      <c r="G206">
        <f>IF(D206="V01",cad!$I$21,IF(D206="V02",cad!$J$21,cad!$K$21))</f>
        <v/>
      </c>
      <c r="H206">
        <f>IF(D206="V01",cad!$I$22,IF(D206="V02",cad!$J$22,cad!$K$22))</f>
        <v/>
      </c>
      <c r="I206">
        <f>IF(D206="V01",cad!$I$27,IF(D206="V02",cad!$J$27,cad!$K$27))</f>
        <v/>
      </c>
      <c r="J206">
        <f>IF(D206="V01",cad!$I$28,IF(D206="V02",cad!$J$28,cad!$K$28))</f>
        <v/>
      </c>
      <c r="K206">
        <f>IF(D206="V01",cad!$I$29,IF(D206="V02",cad!$J$29,cad!$K$29))</f>
        <v/>
      </c>
      <c r="L206">
        <f>IF(D206="V01",cad!$I$30,IF(D206="V02",cad!$J$30,cad!$K$30))</f>
        <v/>
      </c>
      <c r="M206">
        <f>IF(D206="V01",cad!$I$31,IF(D206="V02",cad!$J$31,cad!$K$31))</f>
        <v/>
      </c>
      <c r="N206">
        <f>IF(D206="V01",$R$2,IF(D206="V02",$R$3,$R$4))</f>
        <v/>
      </c>
      <c r="O206">
        <f>IF(OR(B206="7062",B206="706",B206="708"),N206,IF(B206="6231",1+G206,IF(B206="6236",1+H206,IF(OR(B206="621",B206="604",B206="6063"),N206*(1-L206),IF(OR(B206="6411",B206="6413",B206="6414",B206="645"),(1+J206)*(1+K206),IF(OR(B206="613",B206="615",B206="616",B206="6226",B206="625",B206="626",B206="6281"),(1+I206)*(1-L206)*(1+M206),IF(OR(B206="6331",B206="63511",B206="6333"),(1+I206)*(1-L206),IF(B206="6811",1+I206,1))))))))</f>
        <v/>
      </c>
      <c r="P206">
        <f>IF(E206=1,F206*O206,"")</f>
        <v/>
      </c>
    </row>
    <row r="207">
      <c r="A207">
        <f>PNL!A207</f>
        <v/>
      </c>
      <c r="B207">
        <f>PNL!B207</f>
        <v/>
      </c>
      <c r="C207">
        <f>PNL!C207</f>
        <v/>
      </c>
      <c r="D207">
        <f>PNL!D207</f>
        <v/>
      </c>
      <c r="E207">
        <f>IF(AND(C207="2027",OR(D207="V01",D207="V02",D207="V03")),1,0)</f>
        <v/>
      </c>
      <c r="F207">
        <f>IF(E207=1,SUMIFS(Compta!$F$2:$F$675,Compta!$A$2:$A$675,A207,Compta!$B$2:$B$675,B207,Compta!$C$2:$C$675,"2026"),0)</f>
        <v/>
      </c>
      <c r="G207">
        <f>IF(D207="V01",cad!$I$21,IF(D207="V02",cad!$J$21,cad!$K$21))</f>
        <v/>
      </c>
      <c r="H207">
        <f>IF(D207="V01",cad!$I$22,IF(D207="V02",cad!$J$22,cad!$K$22))</f>
        <v/>
      </c>
      <c r="I207">
        <f>IF(D207="V01",cad!$I$27,IF(D207="V02",cad!$J$27,cad!$K$27))</f>
        <v/>
      </c>
      <c r="J207">
        <f>IF(D207="V01",cad!$I$28,IF(D207="V02",cad!$J$28,cad!$K$28))</f>
        <v/>
      </c>
      <c r="K207">
        <f>IF(D207="V01",cad!$I$29,IF(D207="V02",cad!$J$29,cad!$K$29))</f>
        <v/>
      </c>
      <c r="L207">
        <f>IF(D207="V01",cad!$I$30,IF(D207="V02",cad!$J$30,cad!$K$30))</f>
        <v/>
      </c>
      <c r="M207">
        <f>IF(D207="V01",cad!$I$31,IF(D207="V02",cad!$J$31,cad!$K$31))</f>
        <v/>
      </c>
      <c r="N207">
        <f>IF(D207="V01",$R$2,IF(D207="V02",$R$3,$R$4))</f>
        <v/>
      </c>
      <c r="O207">
        <f>IF(OR(B207="7062",B207="706",B207="708"),N207,IF(B207="6231",1+G207,IF(B207="6236",1+H207,IF(OR(B207="621",B207="604",B207="6063"),N207*(1-L207),IF(OR(B207="6411",B207="6413",B207="6414",B207="645"),(1+J207)*(1+K207),IF(OR(B207="613",B207="615",B207="616",B207="6226",B207="625",B207="626",B207="6281"),(1+I207)*(1-L207)*(1+M207),IF(OR(B207="6331",B207="63511",B207="6333"),(1+I207)*(1-L207),IF(B207="6811",1+I207,1))))))))</f>
        <v/>
      </c>
      <c r="P207">
        <f>IF(E207=1,F207*O207,"")</f>
        <v/>
      </c>
    </row>
    <row r="208">
      <c r="A208">
        <f>PNL!A208</f>
        <v/>
      </c>
      <c r="B208">
        <f>PNL!B208</f>
        <v/>
      </c>
      <c r="C208">
        <f>PNL!C208</f>
        <v/>
      </c>
      <c r="D208">
        <f>PNL!D208</f>
        <v/>
      </c>
      <c r="E208">
        <f>IF(AND(C208="2027",OR(D208="V01",D208="V02",D208="V03")),1,0)</f>
        <v/>
      </c>
      <c r="F208">
        <f>IF(E208=1,SUMIFS(Compta!$F$2:$F$675,Compta!$A$2:$A$675,A208,Compta!$B$2:$B$675,B208,Compta!$C$2:$C$675,"2026"),0)</f>
        <v/>
      </c>
      <c r="G208">
        <f>IF(D208="V01",cad!$I$21,IF(D208="V02",cad!$J$21,cad!$K$21))</f>
        <v/>
      </c>
      <c r="H208">
        <f>IF(D208="V01",cad!$I$22,IF(D208="V02",cad!$J$22,cad!$K$22))</f>
        <v/>
      </c>
      <c r="I208">
        <f>IF(D208="V01",cad!$I$27,IF(D208="V02",cad!$J$27,cad!$K$27))</f>
        <v/>
      </c>
      <c r="J208">
        <f>IF(D208="V01",cad!$I$28,IF(D208="V02",cad!$J$28,cad!$K$28))</f>
        <v/>
      </c>
      <c r="K208">
        <f>IF(D208="V01",cad!$I$29,IF(D208="V02",cad!$J$29,cad!$K$29))</f>
        <v/>
      </c>
      <c r="L208">
        <f>IF(D208="V01",cad!$I$30,IF(D208="V02",cad!$J$30,cad!$K$30))</f>
        <v/>
      </c>
      <c r="M208">
        <f>IF(D208="V01",cad!$I$31,IF(D208="V02",cad!$J$31,cad!$K$31))</f>
        <v/>
      </c>
      <c r="N208">
        <f>IF(D208="V01",$R$2,IF(D208="V02",$R$3,$R$4))</f>
        <v/>
      </c>
      <c r="O208">
        <f>IF(OR(B208="7062",B208="706",B208="708"),N208,IF(B208="6231",1+G208,IF(B208="6236",1+H208,IF(OR(B208="621",B208="604",B208="6063"),N208*(1-L208),IF(OR(B208="6411",B208="6413",B208="6414",B208="645"),(1+J208)*(1+K208),IF(OR(B208="613",B208="615",B208="616",B208="6226",B208="625",B208="626",B208="6281"),(1+I208)*(1-L208)*(1+M208),IF(OR(B208="6331",B208="63511",B208="6333"),(1+I208)*(1-L208),IF(B208="6811",1+I208,1))))))))</f>
        <v/>
      </c>
      <c r="P208">
        <f>IF(E208=1,F208*O208,"")</f>
        <v/>
      </c>
    </row>
    <row r="209">
      <c r="A209">
        <f>PNL!A209</f>
        <v/>
      </c>
      <c r="B209">
        <f>PNL!B209</f>
        <v/>
      </c>
      <c r="C209">
        <f>PNL!C209</f>
        <v/>
      </c>
      <c r="D209">
        <f>PNL!D209</f>
        <v/>
      </c>
      <c r="E209">
        <f>IF(AND(C209="2027",OR(D209="V01",D209="V02",D209="V03")),1,0)</f>
        <v/>
      </c>
      <c r="F209">
        <f>IF(E209=1,SUMIFS(Compta!$F$2:$F$675,Compta!$A$2:$A$675,A209,Compta!$B$2:$B$675,B209,Compta!$C$2:$C$675,"2026"),0)</f>
        <v/>
      </c>
      <c r="G209">
        <f>IF(D209="V01",cad!$I$21,IF(D209="V02",cad!$J$21,cad!$K$21))</f>
        <v/>
      </c>
      <c r="H209">
        <f>IF(D209="V01",cad!$I$22,IF(D209="V02",cad!$J$22,cad!$K$22))</f>
        <v/>
      </c>
      <c r="I209">
        <f>IF(D209="V01",cad!$I$27,IF(D209="V02",cad!$J$27,cad!$K$27))</f>
        <v/>
      </c>
      <c r="J209">
        <f>IF(D209="V01",cad!$I$28,IF(D209="V02",cad!$J$28,cad!$K$28))</f>
        <v/>
      </c>
      <c r="K209">
        <f>IF(D209="V01",cad!$I$29,IF(D209="V02",cad!$J$29,cad!$K$29))</f>
        <v/>
      </c>
      <c r="L209">
        <f>IF(D209="V01",cad!$I$30,IF(D209="V02",cad!$J$30,cad!$K$30))</f>
        <v/>
      </c>
      <c r="M209">
        <f>IF(D209="V01",cad!$I$31,IF(D209="V02",cad!$J$31,cad!$K$31))</f>
        <v/>
      </c>
      <c r="N209">
        <f>IF(D209="V01",$R$2,IF(D209="V02",$R$3,$R$4))</f>
        <v/>
      </c>
      <c r="O209">
        <f>IF(OR(B209="7062",B209="706",B209="708"),N209,IF(B209="6231",1+G209,IF(B209="6236",1+H209,IF(OR(B209="621",B209="604",B209="6063"),N209*(1-L209),IF(OR(B209="6411",B209="6413",B209="6414",B209="645"),(1+J209)*(1+K209),IF(OR(B209="613",B209="615",B209="616",B209="6226",B209="625",B209="626",B209="6281"),(1+I209)*(1-L209)*(1+M209),IF(OR(B209="6331",B209="63511",B209="6333"),(1+I209)*(1-L209),IF(B209="6811",1+I209,1))))))))</f>
        <v/>
      </c>
      <c r="P209">
        <f>IF(E209=1,F209*O209,"")</f>
        <v/>
      </c>
    </row>
    <row r="210">
      <c r="A210">
        <f>PNL!A210</f>
        <v/>
      </c>
      <c r="B210">
        <f>PNL!B210</f>
        <v/>
      </c>
      <c r="C210">
        <f>PNL!C210</f>
        <v/>
      </c>
      <c r="D210">
        <f>PNL!D210</f>
        <v/>
      </c>
      <c r="E210">
        <f>IF(AND(C210="2027",OR(D210="V01",D210="V02",D210="V03")),1,0)</f>
        <v/>
      </c>
      <c r="F210">
        <f>IF(E210=1,SUMIFS(Compta!$F$2:$F$675,Compta!$A$2:$A$675,A210,Compta!$B$2:$B$675,B210,Compta!$C$2:$C$675,"2026"),0)</f>
        <v/>
      </c>
      <c r="G210">
        <f>IF(D210="V01",cad!$I$21,IF(D210="V02",cad!$J$21,cad!$K$21))</f>
        <v/>
      </c>
      <c r="H210">
        <f>IF(D210="V01",cad!$I$22,IF(D210="V02",cad!$J$22,cad!$K$22))</f>
        <v/>
      </c>
      <c r="I210">
        <f>IF(D210="V01",cad!$I$27,IF(D210="V02",cad!$J$27,cad!$K$27))</f>
        <v/>
      </c>
      <c r="J210">
        <f>IF(D210="V01",cad!$I$28,IF(D210="V02",cad!$J$28,cad!$K$28))</f>
        <v/>
      </c>
      <c r="K210">
        <f>IF(D210="V01",cad!$I$29,IF(D210="V02",cad!$J$29,cad!$K$29))</f>
        <v/>
      </c>
      <c r="L210">
        <f>IF(D210="V01",cad!$I$30,IF(D210="V02",cad!$J$30,cad!$K$30))</f>
        <v/>
      </c>
      <c r="M210">
        <f>IF(D210="V01",cad!$I$31,IF(D210="V02",cad!$J$31,cad!$K$31))</f>
        <v/>
      </c>
      <c r="N210">
        <f>IF(D210="V01",$R$2,IF(D210="V02",$R$3,$R$4))</f>
        <v/>
      </c>
      <c r="O210">
        <f>IF(OR(B210="7062",B210="706",B210="708"),N210,IF(B210="6231",1+G210,IF(B210="6236",1+H210,IF(OR(B210="621",B210="604",B210="6063"),N210*(1-L210),IF(OR(B210="6411",B210="6413",B210="6414",B210="645"),(1+J210)*(1+K210),IF(OR(B210="613",B210="615",B210="616",B210="6226",B210="625",B210="626",B210="6281"),(1+I210)*(1-L210)*(1+M210),IF(OR(B210="6331",B210="63511",B210="6333"),(1+I210)*(1-L210),IF(B210="6811",1+I210,1))))))))</f>
        <v/>
      </c>
      <c r="P210">
        <f>IF(E210=1,F210*O210,"")</f>
        <v/>
      </c>
    </row>
    <row r="211">
      <c r="A211">
        <f>PNL!A211</f>
        <v/>
      </c>
      <c r="B211">
        <f>PNL!B211</f>
        <v/>
      </c>
      <c r="C211">
        <f>PNL!C211</f>
        <v/>
      </c>
      <c r="D211">
        <f>PNL!D211</f>
        <v/>
      </c>
      <c r="E211">
        <f>IF(AND(C211="2027",OR(D211="V01",D211="V02",D211="V03")),1,0)</f>
        <v/>
      </c>
      <c r="F211">
        <f>IF(E211=1,SUMIFS(Compta!$F$2:$F$675,Compta!$A$2:$A$675,A211,Compta!$B$2:$B$675,B211,Compta!$C$2:$C$675,"2026"),0)</f>
        <v/>
      </c>
      <c r="G211">
        <f>IF(D211="V01",cad!$I$21,IF(D211="V02",cad!$J$21,cad!$K$21))</f>
        <v/>
      </c>
      <c r="H211">
        <f>IF(D211="V01",cad!$I$22,IF(D211="V02",cad!$J$22,cad!$K$22))</f>
        <v/>
      </c>
      <c r="I211">
        <f>IF(D211="V01",cad!$I$27,IF(D211="V02",cad!$J$27,cad!$K$27))</f>
        <v/>
      </c>
      <c r="J211">
        <f>IF(D211="V01",cad!$I$28,IF(D211="V02",cad!$J$28,cad!$K$28))</f>
        <v/>
      </c>
      <c r="K211">
        <f>IF(D211="V01",cad!$I$29,IF(D211="V02",cad!$J$29,cad!$K$29))</f>
        <v/>
      </c>
      <c r="L211">
        <f>IF(D211="V01",cad!$I$30,IF(D211="V02",cad!$J$30,cad!$K$30))</f>
        <v/>
      </c>
      <c r="M211">
        <f>IF(D211="V01",cad!$I$31,IF(D211="V02",cad!$J$31,cad!$K$31))</f>
        <v/>
      </c>
      <c r="N211">
        <f>IF(D211="V01",$R$2,IF(D211="V02",$R$3,$R$4))</f>
        <v/>
      </c>
      <c r="O211">
        <f>IF(OR(B211="7062",B211="706",B211="708"),N211,IF(B211="6231",1+G211,IF(B211="6236",1+H211,IF(OR(B211="621",B211="604",B211="6063"),N211*(1-L211),IF(OR(B211="6411",B211="6413",B211="6414",B211="645"),(1+J211)*(1+K211),IF(OR(B211="613",B211="615",B211="616",B211="6226",B211="625",B211="626",B211="6281"),(1+I211)*(1-L211)*(1+M211),IF(OR(B211="6331",B211="63511",B211="6333"),(1+I211)*(1-L211),IF(B211="6811",1+I211,1))))))))</f>
        <v/>
      </c>
      <c r="P211">
        <f>IF(E211=1,F211*O211,"")</f>
        <v/>
      </c>
    </row>
    <row r="212">
      <c r="A212">
        <f>PNL!A212</f>
        <v/>
      </c>
      <c r="B212">
        <f>PNL!B212</f>
        <v/>
      </c>
      <c r="C212">
        <f>PNL!C212</f>
        <v/>
      </c>
      <c r="D212">
        <f>PNL!D212</f>
        <v/>
      </c>
      <c r="E212">
        <f>IF(AND(C212="2027",OR(D212="V01",D212="V02",D212="V03")),1,0)</f>
        <v/>
      </c>
      <c r="F212">
        <f>IF(E212=1,SUMIFS(Compta!$F$2:$F$675,Compta!$A$2:$A$675,A212,Compta!$B$2:$B$675,B212,Compta!$C$2:$C$675,"2026"),0)</f>
        <v/>
      </c>
      <c r="G212">
        <f>IF(D212="V01",cad!$I$21,IF(D212="V02",cad!$J$21,cad!$K$21))</f>
        <v/>
      </c>
      <c r="H212">
        <f>IF(D212="V01",cad!$I$22,IF(D212="V02",cad!$J$22,cad!$K$22))</f>
        <v/>
      </c>
      <c r="I212">
        <f>IF(D212="V01",cad!$I$27,IF(D212="V02",cad!$J$27,cad!$K$27))</f>
        <v/>
      </c>
      <c r="J212">
        <f>IF(D212="V01",cad!$I$28,IF(D212="V02",cad!$J$28,cad!$K$28))</f>
        <v/>
      </c>
      <c r="K212">
        <f>IF(D212="V01",cad!$I$29,IF(D212="V02",cad!$J$29,cad!$K$29))</f>
        <v/>
      </c>
      <c r="L212">
        <f>IF(D212="V01",cad!$I$30,IF(D212="V02",cad!$J$30,cad!$K$30))</f>
        <v/>
      </c>
      <c r="M212">
        <f>IF(D212="V01",cad!$I$31,IF(D212="V02",cad!$J$31,cad!$K$31))</f>
        <v/>
      </c>
      <c r="N212">
        <f>IF(D212="V01",$R$2,IF(D212="V02",$R$3,$R$4))</f>
        <v/>
      </c>
      <c r="O212">
        <f>IF(OR(B212="7062",B212="706",B212="708"),N212,IF(B212="6231",1+G212,IF(B212="6236",1+H212,IF(OR(B212="621",B212="604",B212="6063"),N212*(1-L212),IF(OR(B212="6411",B212="6413",B212="6414",B212="645"),(1+J212)*(1+K212),IF(OR(B212="613",B212="615",B212="616",B212="6226",B212="625",B212="626",B212="6281"),(1+I212)*(1-L212)*(1+M212),IF(OR(B212="6331",B212="63511",B212="6333"),(1+I212)*(1-L212),IF(B212="6811",1+I212,1))))))))</f>
        <v/>
      </c>
      <c r="P212">
        <f>IF(E212=1,F212*O212,"")</f>
        <v/>
      </c>
    </row>
    <row r="213">
      <c r="A213">
        <f>PNL!A213</f>
        <v/>
      </c>
      <c r="B213">
        <f>PNL!B213</f>
        <v/>
      </c>
      <c r="C213">
        <f>PNL!C213</f>
        <v/>
      </c>
      <c r="D213">
        <f>PNL!D213</f>
        <v/>
      </c>
      <c r="E213">
        <f>IF(AND(C213="2027",OR(D213="V01",D213="V02",D213="V03")),1,0)</f>
        <v/>
      </c>
      <c r="F213">
        <f>IF(E213=1,SUMIFS(Compta!$F$2:$F$675,Compta!$A$2:$A$675,A213,Compta!$B$2:$B$675,B213,Compta!$C$2:$C$675,"2026"),0)</f>
        <v/>
      </c>
      <c r="G213">
        <f>IF(D213="V01",cad!$I$21,IF(D213="V02",cad!$J$21,cad!$K$21))</f>
        <v/>
      </c>
      <c r="H213">
        <f>IF(D213="V01",cad!$I$22,IF(D213="V02",cad!$J$22,cad!$K$22))</f>
        <v/>
      </c>
      <c r="I213">
        <f>IF(D213="V01",cad!$I$27,IF(D213="V02",cad!$J$27,cad!$K$27))</f>
        <v/>
      </c>
      <c r="J213">
        <f>IF(D213="V01",cad!$I$28,IF(D213="V02",cad!$J$28,cad!$K$28))</f>
        <v/>
      </c>
      <c r="K213">
        <f>IF(D213="V01",cad!$I$29,IF(D213="V02",cad!$J$29,cad!$K$29))</f>
        <v/>
      </c>
      <c r="L213">
        <f>IF(D213="V01",cad!$I$30,IF(D213="V02",cad!$J$30,cad!$K$30))</f>
        <v/>
      </c>
      <c r="M213">
        <f>IF(D213="V01",cad!$I$31,IF(D213="V02",cad!$J$31,cad!$K$31))</f>
        <v/>
      </c>
      <c r="N213">
        <f>IF(D213="V01",$R$2,IF(D213="V02",$R$3,$R$4))</f>
        <v/>
      </c>
      <c r="O213">
        <f>IF(OR(B213="7062",B213="706",B213="708"),N213,IF(B213="6231",1+G213,IF(B213="6236",1+H213,IF(OR(B213="621",B213="604",B213="6063"),N213*(1-L213),IF(OR(B213="6411",B213="6413",B213="6414",B213="645"),(1+J213)*(1+K213),IF(OR(B213="613",B213="615",B213="616",B213="6226",B213="625",B213="626",B213="6281"),(1+I213)*(1-L213)*(1+M213),IF(OR(B213="6331",B213="63511",B213="6333"),(1+I213)*(1-L213),IF(B213="6811",1+I213,1))))))))</f>
        <v/>
      </c>
      <c r="P213">
        <f>IF(E213=1,F213*O213,"")</f>
        <v/>
      </c>
    </row>
    <row r="214">
      <c r="A214">
        <f>PNL!A214</f>
        <v/>
      </c>
      <c r="B214">
        <f>PNL!B214</f>
        <v/>
      </c>
      <c r="C214">
        <f>PNL!C214</f>
        <v/>
      </c>
      <c r="D214">
        <f>PNL!D214</f>
        <v/>
      </c>
      <c r="E214">
        <f>IF(AND(C214="2027",OR(D214="V01",D214="V02",D214="V03")),1,0)</f>
        <v/>
      </c>
      <c r="F214">
        <f>IF(E214=1,SUMIFS(Compta!$F$2:$F$675,Compta!$A$2:$A$675,A214,Compta!$B$2:$B$675,B214,Compta!$C$2:$C$675,"2026"),0)</f>
        <v/>
      </c>
      <c r="G214">
        <f>IF(D214="V01",cad!$I$21,IF(D214="V02",cad!$J$21,cad!$K$21))</f>
        <v/>
      </c>
      <c r="H214">
        <f>IF(D214="V01",cad!$I$22,IF(D214="V02",cad!$J$22,cad!$K$22))</f>
        <v/>
      </c>
      <c r="I214">
        <f>IF(D214="V01",cad!$I$27,IF(D214="V02",cad!$J$27,cad!$K$27))</f>
        <v/>
      </c>
      <c r="J214">
        <f>IF(D214="V01",cad!$I$28,IF(D214="V02",cad!$J$28,cad!$K$28))</f>
        <v/>
      </c>
      <c r="K214">
        <f>IF(D214="V01",cad!$I$29,IF(D214="V02",cad!$J$29,cad!$K$29))</f>
        <v/>
      </c>
      <c r="L214">
        <f>IF(D214="V01",cad!$I$30,IF(D214="V02",cad!$J$30,cad!$K$30))</f>
        <v/>
      </c>
      <c r="M214">
        <f>IF(D214="V01",cad!$I$31,IF(D214="V02",cad!$J$31,cad!$K$31))</f>
        <v/>
      </c>
      <c r="N214">
        <f>IF(D214="V01",$R$2,IF(D214="V02",$R$3,$R$4))</f>
        <v/>
      </c>
      <c r="O214">
        <f>IF(OR(B214="7062",B214="706",B214="708"),N214,IF(B214="6231",1+G214,IF(B214="6236",1+H214,IF(OR(B214="621",B214="604",B214="6063"),N214*(1-L214),IF(OR(B214="6411",B214="6413",B214="6414",B214="645"),(1+J214)*(1+K214),IF(OR(B214="613",B214="615",B214="616",B214="6226",B214="625",B214="626",B214="6281"),(1+I214)*(1-L214)*(1+M214),IF(OR(B214="6331",B214="63511",B214="6333"),(1+I214)*(1-L214),IF(B214="6811",1+I214,1))))))))</f>
        <v/>
      </c>
      <c r="P214">
        <f>IF(E214=1,F214*O214,"")</f>
        <v/>
      </c>
    </row>
    <row r="215">
      <c r="A215">
        <f>PNL!A215</f>
        <v/>
      </c>
      <c r="B215">
        <f>PNL!B215</f>
        <v/>
      </c>
      <c r="C215">
        <f>PNL!C215</f>
        <v/>
      </c>
      <c r="D215">
        <f>PNL!D215</f>
        <v/>
      </c>
      <c r="E215">
        <f>IF(AND(C215="2027",OR(D215="V01",D215="V02",D215="V03")),1,0)</f>
        <v/>
      </c>
      <c r="F215">
        <f>IF(E215=1,SUMIFS(Compta!$F$2:$F$675,Compta!$A$2:$A$675,A215,Compta!$B$2:$B$675,B215,Compta!$C$2:$C$675,"2026"),0)</f>
        <v/>
      </c>
      <c r="G215">
        <f>IF(D215="V01",cad!$I$21,IF(D215="V02",cad!$J$21,cad!$K$21))</f>
        <v/>
      </c>
      <c r="H215">
        <f>IF(D215="V01",cad!$I$22,IF(D215="V02",cad!$J$22,cad!$K$22))</f>
        <v/>
      </c>
      <c r="I215">
        <f>IF(D215="V01",cad!$I$27,IF(D215="V02",cad!$J$27,cad!$K$27))</f>
        <v/>
      </c>
      <c r="J215">
        <f>IF(D215="V01",cad!$I$28,IF(D215="V02",cad!$J$28,cad!$K$28))</f>
        <v/>
      </c>
      <c r="K215">
        <f>IF(D215="V01",cad!$I$29,IF(D215="V02",cad!$J$29,cad!$K$29))</f>
        <v/>
      </c>
      <c r="L215">
        <f>IF(D215="V01",cad!$I$30,IF(D215="V02",cad!$J$30,cad!$K$30))</f>
        <v/>
      </c>
      <c r="M215">
        <f>IF(D215="V01",cad!$I$31,IF(D215="V02",cad!$J$31,cad!$K$31))</f>
        <v/>
      </c>
      <c r="N215">
        <f>IF(D215="V01",$R$2,IF(D215="V02",$R$3,$R$4))</f>
        <v/>
      </c>
      <c r="O215">
        <f>IF(OR(B215="7062",B215="706",B215="708"),N215,IF(B215="6231",1+G215,IF(B215="6236",1+H215,IF(OR(B215="621",B215="604",B215="6063"),N215*(1-L215),IF(OR(B215="6411",B215="6413",B215="6414",B215="645"),(1+J215)*(1+K215),IF(OR(B215="613",B215="615",B215="616",B215="6226",B215="625",B215="626",B215="6281"),(1+I215)*(1-L215)*(1+M215),IF(OR(B215="6331",B215="63511",B215="6333"),(1+I215)*(1-L215),IF(B215="6811",1+I215,1))))))))</f>
        <v/>
      </c>
      <c r="P215">
        <f>IF(E215=1,F215*O215,"")</f>
        <v/>
      </c>
    </row>
    <row r="216">
      <c r="A216">
        <f>PNL!A216</f>
        <v/>
      </c>
      <c r="B216">
        <f>PNL!B216</f>
        <v/>
      </c>
      <c r="C216">
        <f>PNL!C216</f>
        <v/>
      </c>
      <c r="D216">
        <f>PNL!D216</f>
        <v/>
      </c>
      <c r="E216">
        <f>IF(AND(C216="2027",OR(D216="V01",D216="V02",D216="V03")),1,0)</f>
        <v/>
      </c>
      <c r="F216">
        <f>IF(E216=1,SUMIFS(Compta!$F$2:$F$675,Compta!$A$2:$A$675,A216,Compta!$B$2:$B$675,B216,Compta!$C$2:$C$675,"2026"),0)</f>
        <v/>
      </c>
      <c r="G216">
        <f>IF(D216="V01",cad!$I$21,IF(D216="V02",cad!$J$21,cad!$K$21))</f>
        <v/>
      </c>
      <c r="H216">
        <f>IF(D216="V01",cad!$I$22,IF(D216="V02",cad!$J$22,cad!$K$22))</f>
        <v/>
      </c>
      <c r="I216">
        <f>IF(D216="V01",cad!$I$27,IF(D216="V02",cad!$J$27,cad!$K$27))</f>
        <v/>
      </c>
      <c r="J216">
        <f>IF(D216="V01",cad!$I$28,IF(D216="V02",cad!$J$28,cad!$K$28))</f>
        <v/>
      </c>
      <c r="K216">
        <f>IF(D216="V01",cad!$I$29,IF(D216="V02",cad!$J$29,cad!$K$29))</f>
        <v/>
      </c>
      <c r="L216">
        <f>IF(D216="V01",cad!$I$30,IF(D216="V02",cad!$J$30,cad!$K$30))</f>
        <v/>
      </c>
      <c r="M216">
        <f>IF(D216="V01",cad!$I$31,IF(D216="V02",cad!$J$31,cad!$K$31))</f>
        <v/>
      </c>
      <c r="N216">
        <f>IF(D216="V01",$R$2,IF(D216="V02",$R$3,$R$4))</f>
        <v/>
      </c>
      <c r="O216">
        <f>IF(OR(B216="7062",B216="706",B216="708"),N216,IF(B216="6231",1+G216,IF(B216="6236",1+H216,IF(OR(B216="621",B216="604",B216="6063"),N216*(1-L216),IF(OR(B216="6411",B216="6413",B216="6414",B216="645"),(1+J216)*(1+K216),IF(OR(B216="613",B216="615",B216="616",B216="6226",B216="625",B216="626",B216="6281"),(1+I216)*(1-L216)*(1+M216),IF(OR(B216="6331",B216="63511",B216="6333"),(1+I216)*(1-L216),IF(B216="6811",1+I216,1))))))))</f>
        <v/>
      </c>
      <c r="P216">
        <f>IF(E216=1,F216*O216,"")</f>
        <v/>
      </c>
    </row>
    <row r="217">
      <c r="A217">
        <f>PNL!A217</f>
        <v/>
      </c>
      <c r="B217">
        <f>PNL!B217</f>
        <v/>
      </c>
      <c r="C217">
        <f>PNL!C217</f>
        <v/>
      </c>
      <c r="D217">
        <f>PNL!D217</f>
        <v/>
      </c>
      <c r="E217">
        <f>IF(AND(C217="2027",OR(D217="V01",D217="V02",D217="V03")),1,0)</f>
        <v/>
      </c>
      <c r="F217">
        <f>IF(E217=1,SUMIFS(Compta!$F$2:$F$675,Compta!$A$2:$A$675,A217,Compta!$B$2:$B$675,B217,Compta!$C$2:$C$675,"2026"),0)</f>
        <v/>
      </c>
      <c r="G217">
        <f>IF(D217="V01",cad!$I$21,IF(D217="V02",cad!$J$21,cad!$K$21))</f>
        <v/>
      </c>
      <c r="H217">
        <f>IF(D217="V01",cad!$I$22,IF(D217="V02",cad!$J$22,cad!$K$22))</f>
        <v/>
      </c>
      <c r="I217">
        <f>IF(D217="V01",cad!$I$27,IF(D217="V02",cad!$J$27,cad!$K$27))</f>
        <v/>
      </c>
      <c r="J217">
        <f>IF(D217="V01",cad!$I$28,IF(D217="V02",cad!$J$28,cad!$K$28))</f>
        <v/>
      </c>
      <c r="K217">
        <f>IF(D217="V01",cad!$I$29,IF(D217="V02",cad!$J$29,cad!$K$29))</f>
        <v/>
      </c>
      <c r="L217">
        <f>IF(D217="V01",cad!$I$30,IF(D217="V02",cad!$J$30,cad!$K$30))</f>
        <v/>
      </c>
      <c r="M217">
        <f>IF(D217="V01",cad!$I$31,IF(D217="V02",cad!$J$31,cad!$K$31))</f>
        <v/>
      </c>
      <c r="N217">
        <f>IF(D217="V01",$R$2,IF(D217="V02",$R$3,$R$4))</f>
        <v/>
      </c>
      <c r="O217">
        <f>IF(OR(B217="7062",B217="706",B217="708"),N217,IF(B217="6231",1+G217,IF(B217="6236",1+H217,IF(OR(B217="621",B217="604",B217="6063"),N217*(1-L217),IF(OR(B217="6411",B217="6413",B217="6414",B217="645"),(1+J217)*(1+K217),IF(OR(B217="613",B217="615",B217="616",B217="6226",B217="625",B217="626",B217="6281"),(1+I217)*(1-L217)*(1+M217),IF(OR(B217="6331",B217="63511",B217="6333"),(1+I217)*(1-L217),IF(B217="6811",1+I217,1))))))))</f>
        <v/>
      </c>
      <c r="P217">
        <f>IF(E217=1,F217*O217,"")</f>
        <v/>
      </c>
    </row>
    <row r="218">
      <c r="A218">
        <f>PNL!A218</f>
        <v/>
      </c>
      <c r="B218">
        <f>PNL!B218</f>
        <v/>
      </c>
      <c r="C218">
        <f>PNL!C218</f>
        <v/>
      </c>
      <c r="D218">
        <f>PNL!D218</f>
        <v/>
      </c>
      <c r="E218">
        <f>IF(AND(C218="2027",OR(D218="V01",D218="V02",D218="V03")),1,0)</f>
        <v/>
      </c>
      <c r="F218">
        <f>IF(E218=1,SUMIFS(Compta!$F$2:$F$675,Compta!$A$2:$A$675,A218,Compta!$B$2:$B$675,B218,Compta!$C$2:$C$675,"2026"),0)</f>
        <v/>
      </c>
      <c r="G218">
        <f>IF(D218="V01",cad!$I$21,IF(D218="V02",cad!$J$21,cad!$K$21))</f>
        <v/>
      </c>
      <c r="H218">
        <f>IF(D218="V01",cad!$I$22,IF(D218="V02",cad!$J$22,cad!$K$22))</f>
        <v/>
      </c>
      <c r="I218">
        <f>IF(D218="V01",cad!$I$27,IF(D218="V02",cad!$J$27,cad!$K$27))</f>
        <v/>
      </c>
      <c r="J218">
        <f>IF(D218="V01",cad!$I$28,IF(D218="V02",cad!$J$28,cad!$K$28))</f>
        <v/>
      </c>
      <c r="K218">
        <f>IF(D218="V01",cad!$I$29,IF(D218="V02",cad!$J$29,cad!$K$29))</f>
        <v/>
      </c>
      <c r="L218">
        <f>IF(D218="V01",cad!$I$30,IF(D218="V02",cad!$J$30,cad!$K$30))</f>
        <v/>
      </c>
      <c r="M218">
        <f>IF(D218="V01",cad!$I$31,IF(D218="V02",cad!$J$31,cad!$K$31))</f>
        <v/>
      </c>
      <c r="N218">
        <f>IF(D218="V01",$R$2,IF(D218="V02",$R$3,$R$4))</f>
        <v/>
      </c>
      <c r="O218">
        <f>IF(OR(B218="7062",B218="706",B218="708"),N218,IF(B218="6231",1+G218,IF(B218="6236",1+H218,IF(OR(B218="621",B218="604",B218="6063"),N218*(1-L218),IF(OR(B218="6411",B218="6413",B218="6414",B218="645"),(1+J218)*(1+K218),IF(OR(B218="613",B218="615",B218="616",B218="6226",B218="625",B218="626",B218="6281"),(1+I218)*(1-L218)*(1+M218),IF(OR(B218="6331",B218="63511",B218="6333"),(1+I218)*(1-L218),IF(B218="6811",1+I218,1))))))))</f>
        <v/>
      </c>
      <c r="P218">
        <f>IF(E218=1,F218*O218,"")</f>
        <v/>
      </c>
    </row>
    <row r="219">
      <c r="A219">
        <f>PNL!A219</f>
        <v/>
      </c>
      <c r="B219">
        <f>PNL!B219</f>
        <v/>
      </c>
      <c r="C219">
        <f>PNL!C219</f>
        <v/>
      </c>
      <c r="D219">
        <f>PNL!D219</f>
        <v/>
      </c>
      <c r="E219">
        <f>IF(AND(C219="2027",OR(D219="V01",D219="V02",D219="V03")),1,0)</f>
        <v/>
      </c>
      <c r="F219">
        <f>IF(E219=1,SUMIFS(Compta!$F$2:$F$675,Compta!$A$2:$A$675,A219,Compta!$B$2:$B$675,B219,Compta!$C$2:$C$675,"2026"),0)</f>
        <v/>
      </c>
      <c r="G219">
        <f>IF(D219="V01",cad!$I$21,IF(D219="V02",cad!$J$21,cad!$K$21))</f>
        <v/>
      </c>
      <c r="H219">
        <f>IF(D219="V01",cad!$I$22,IF(D219="V02",cad!$J$22,cad!$K$22))</f>
        <v/>
      </c>
      <c r="I219">
        <f>IF(D219="V01",cad!$I$27,IF(D219="V02",cad!$J$27,cad!$K$27))</f>
        <v/>
      </c>
      <c r="J219">
        <f>IF(D219="V01",cad!$I$28,IF(D219="V02",cad!$J$28,cad!$K$28))</f>
        <v/>
      </c>
      <c r="K219">
        <f>IF(D219="V01",cad!$I$29,IF(D219="V02",cad!$J$29,cad!$K$29))</f>
        <v/>
      </c>
      <c r="L219">
        <f>IF(D219="V01",cad!$I$30,IF(D219="V02",cad!$J$30,cad!$K$30))</f>
        <v/>
      </c>
      <c r="M219">
        <f>IF(D219="V01",cad!$I$31,IF(D219="V02",cad!$J$31,cad!$K$31))</f>
        <v/>
      </c>
      <c r="N219">
        <f>IF(D219="V01",$R$2,IF(D219="V02",$R$3,$R$4))</f>
        <v/>
      </c>
      <c r="O219">
        <f>IF(OR(B219="7062",B219="706",B219="708"),N219,IF(B219="6231",1+G219,IF(B219="6236",1+H219,IF(OR(B219="621",B219="604",B219="6063"),N219*(1-L219),IF(OR(B219="6411",B219="6413",B219="6414",B219="645"),(1+J219)*(1+K219),IF(OR(B219="613",B219="615",B219="616",B219="6226",B219="625",B219="626",B219="6281"),(1+I219)*(1-L219)*(1+M219),IF(OR(B219="6331",B219="63511",B219="6333"),(1+I219)*(1-L219),IF(B219="6811",1+I219,1))))))))</f>
        <v/>
      </c>
      <c r="P219">
        <f>IF(E219=1,F219*O219,"")</f>
        <v/>
      </c>
    </row>
    <row r="220">
      <c r="A220">
        <f>PNL!A220</f>
        <v/>
      </c>
      <c r="B220">
        <f>PNL!B220</f>
        <v/>
      </c>
      <c r="C220">
        <f>PNL!C220</f>
        <v/>
      </c>
      <c r="D220">
        <f>PNL!D220</f>
        <v/>
      </c>
      <c r="E220">
        <f>IF(AND(C220="2027",OR(D220="V01",D220="V02",D220="V03")),1,0)</f>
        <v/>
      </c>
      <c r="F220">
        <f>IF(E220=1,SUMIFS(Compta!$F$2:$F$675,Compta!$A$2:$A$675,A220,Compta!$B$2:$B$675,B220,Compta!$C$2:$C$675,"2026"),0)</f>
        <v/>
      </c>
      <c r="G220">
        <f>IF(D220="V01",cad!$I$21,IF(D220="V02",cad!$J$21,cad!$K$21))</f>
        <v/>
      </c>
      <c r="H220">
        <f>IF(D220="V01",cad!$I$22,IF(D220="V02",cad!$J$22,cad!$K$22))</f>
        <v/>
      </c>
      <c r="I220">
        <f>IF(D220="V01",cad!$I$27,IF(D220="V02",cad!$J$27,cad!$K$27))</f>
        <v/>
      </c>
      <c r="J220">
        <f>IF(D220="V01",cad!$I$28,IF(D220="V02",cad!$J$28,cad!$K$28))</f>
        <v/>
      </c>
      <c r="K220">
        <f>IF(D220="V01",cad!$I$29,IF(D220="V02",cad!$J$29,cad!$K$29))</f>
        <v/>
      </c>
      <c r="L220">
        <f>IF(D220="V01",cad!$I$30,IF(D220="V02",cad!$J$30,cad!$K$30))</f>
        <v/>
      </c>
      <c r="M220">
        <f>IF(D220="V01",cad!$I$31,IF(D220="V02",cad!$J$31,cad!$K$31))</f>
        <v/>
      </c>
      <c r="N220">
        <f>IF(D220="V01",$R$2,IF(D220="V02",$R$3,$R$4))</f>
        <v/>
      </c>
      <c r="O220">
        <f>IF(OR(B220="7062",B220="706",B220="708"),N220,IF(B220="6231",1+G220,IF(B220="6236",1+H220,IF(OR(B220="621",B220="604",B220="6063"),N220*(1-L220),IF(OR(B220="6411",B220="6413",B220="6414",B220="645"),(1+J220)*(1+K220),IF(OR(B220="613",B220="615",B220="616",B220="6226",B220="625",B220="626",B220="6281"),(1+I220)*(1-L220)*(1+M220),IF(OR(B220="6331",B220="63511",B220="6333"),(1+I220)*(1-L220),IF(B220="6811",1+I220,1))))))))</f>
        <v/>
      </c>
      <c r="P220">
        <f>IF(E220=1,F220*O220,"")</f>
        <v/>
      </c>
    </row>
    <row r="221">
      <c r="A221">
        <f>PNL!A221</f>
        <v/>
      </c>
      <c r="B221">
        <f>PNL!B221</f>
        <v/>
      </c>
      <c r="C221">
        <f>PNL!C221</f>
        <v/>
      </c>
      <c r="D221">
        <f>PNL!D221</f>
        <v/>
      </c>
      <c r="E221">
        <f>IF(AND(C221="2027",OR(D221="V01",D221="V02",D221="V03")),1,0)</f>
        <v/>
      </c>
      <c r="F221">
        <f>IF(E221=1,SUMIFS(Compta!$F$2:$F$675,Compta!$A$2:$A$675,A221,Compta!$B$2:$B$675,B221,Compta!$C$2:$C$675,"2026"),0)</f>
        <v/>
      </c>
      <c r="G221">
        <f>IF(D221="V01",cad!$I$21,IF(D221="V02",cad!$J$21,cad!$K$21))</f>
        <v/>
      </c>
      <c r="H221">
        <f>IF(D221="V01",cad!$I$22,IF(D221="V02",cad!$J$22,cad!$K$22))</f>
        <v/>
      </c>
      <c r="I221">
        <f>IF(D221="V01",cad!$I$27,IF(D221="V02",cad!$J$27,cad!$K$27))</f>
        <v/>
      </c>
      <c r="J221">
        <f>IF(D221="V01",cad!$I$28,IF(D221="V02",cad!$J$28,cad!$K$28))</f>
        <v/>
      </c>
      <c r="K221">
        <f>IF(D221="V01",cad!$I$29,IF(D221="V02",cad!$J$29,cad!$K$29))</f>
        <v/>
      </c>
      <c r="L221">
        <f>IF(D221="V01",cad!$I$30,IF(D221="V02",cad!$J$30,cad!$K$30))</f>
        <v/>
      </c>
      <c r="M221">
        <f>IF(D221="V01",cad!$I$31,IF(D221="V02",cad!$J$31,cad!$K$31))</f>
        <v/>
      </c>
      <c r="N221">
        <f>IF(D221="V01",$R$2,IF(D221="V02",$R$3,$R$4))</f>
        <v/>
      </c>
      <c r="O221">
        <f>IF(OR(B221="7062",B221="706",B221="708"),N221,IF(B221="6231",1+G221,IF(B221="6236",1+H221,IF(OR(B221="621",B221="604",B221="6063"),N221*(1-L221),IF(OR(B221="6411",B221="6413",B221="6414",B221="645"),(1+J221)*(1+K221),IF(OR(B221="613",B221="615",B221="616",B221="6226",B221="625",B221="626",B221="6281"),(1+I221)*(1-L221)*(1+M221),IF(OR(B221="6331",B221="63511",B221="6333"),(1+I221)*(1-L221),IF(B221="6811",1+I221,1))))))))</f>
        <v/>
      </c>
      <c r="P221">
        <f>IF(E221=1,F221*O221,"")</f>
        <v/>
      </c>
    </row>
    <row r="222">
      <c r="A222">
        <f>PNL!A222</f>
        <v/>
      </c>
      <c r="B222">
        <f>PNL!B222</f>
        <v/>
      </c>
      <c r="C222">
        <f>PNL!C222</f>
        <v/>
      </c>
      <c r="D222">
        <f>PNL!D222</f>
        <v/>
      </c>
      <c r="E222">
        <f>IF(AND(C222="2027",OR(D222="V01",D222="V02",D222="V03")),1,0)</f>
        <v/>
      </c>
      <c r="F222">
        <f>IF(E222=1,SUMIFS(Compta!$F$2:$F$675,Compta!$A$2:$A$675,A222,Compta!$B$2:$B$675,B222,Compta!$C$2:$C$675,"2026"),0)</f>
        <v/>
      </c>
      <c r="G222">
        <f>IF(D222="V01",cad!$I$21,IF(D222="V02",cad!$J$21,cad!$K$21))</f>
        <v/>
      </c>
      <c r="H222">
        <f>IF(D222="V01",cad!$I$22,IF(D222="V02",cad!$J$22,cad!$K$22))</f>
        <v/>
      </c>
      <c r="I222">
        <f>IF(D222="V01",cad!$I$27,IF(D222="V02",cad!$J$27,cad!$K$27))</f>
        <v/>
      </c>
      <c r="J222">
        <f>IF(D222="V01",cad!$I$28,IF(D222="V02",cad!$J$28,cad!$K$28))</f>
        <v/>
      </c>
      <c r="K222">
        <f>IF(D222="V01",cad!$I$29,IF(D222="V02",cad!$J$29,cad!$K$29))</f>
        <v/>
      </c>
      <c r="L222">
        <f>IF(D222="V01",cad!$I$30,IF(D222="V02",cad!$J$30,cad!$K$30))</f>
        <v/>
      </c>
      <c r="M222">
        <f>IF(D222="V01",cad!$I$31,IF(D222="V02",cad!$J$31,cad!$K$31))</f>
        <v/>
      </c>
      <c r="N222">
        <f>IF(D222="V01",$R$2,IF(D222="V02",$R$3,$R$4))</f>
        <v/>
      </c>
      <c r="O222">
        <f>IF(OR(B222="7062",B222="706",B222="708"),N222,IF(B222="6231",1+G222,IF(B222="6236",1+H222,IF(OR(B222="621",B222="604",B222="6063"),N222*(1-L222),IF(OR(B222="6411",B222="6413",B222="6414",B222="645"),(1+J222)*(1+K222),IF(OR(B222="613",B222="615",B222="616",B222="6226",B222="625",B222="626",B222="6281"),(1+I222)*(1-L222)*(1+M222),IF(OR(B222="6331",B222="63511",B222="6333"),(1+I222)*(1-L222),IF(B222="6811",1+I222,1))))))))</f>
        <v/>
      </c>
      <c r="P222">
        <f>IF(E222=1,F222*O222,"")</f>
        <v/>
      </c>
    </row>
    <row r="223">
      <c r="A223">
        <f>PNL!A223</f>
        <v/>
      </c>
      <c r="B223">
        <f>PNL!B223</f>
        <v/>
      </c>
      <c r="C223">
        <f>PNL!C223</f>
        <v/>
      </c>
      <c r="D223">
        <f>PNL!D223</f>
        <v/>
      </c>
      <c r="E223">
        <f>IF(AND(C223="2027",OR(D223="V01",D223="V02",D223="V03")),1,0)</f>
        <v/>
      </c>
      <c r="F223">
        <f>IF(E223=1,SUMIFS(Compta!$F$2:$F$675,Compta!$A$2:$A$675,A223,Compta!$B$2:$B$675,B223,Compta!$C$2:$C$675,"2026"),0)</f>
        <v/>
      </c>
      <c r="G223">
        <f>IF(D223="V01",cad!$I$21,IF(D223="V02",cad!$J$21,cad!$K$21))</f>
        <v/>
      </c>
      <c r="H223">
        <f>IF(D223="V01",cad!$I$22,IF(D223="V02",cad!$J$22,cad!$K$22))</f>
        <v/>
      </c>
      <c r="I223">
        <f>IF(D223="V01",cad!$I$27,IF(D223="V02",cad!$J$27,cad!$K$27))</f>
        <v/>
      </c>
      <c r="J223">
        <f>IF(D223="V01",cad!$I$28,IF(D223="V02",cad!$J$28,cad!$K$28))</f>
        <v/>
      </c>
      <c r="K223">
        <f>IF(D223="V01",cad!$I$29,IF(D223="V02",cad!$J$29,cad!$K$29))</f>
        <v/>
      </c>
      <c r="L223">
        <f>IF(D223="V01",cad!$I$30,IF(D223="V02",cad!$J$30,cad!$K$30))</f>
        <v/>
      </c>
      <c r="M223">
        <f>IF(D223="V01",cad!$I$31,IF(D223="V02",cad!$J$31,cad!$K$31))</f>
        <v/>
      </c>
      <c r="N223">
        <f>IF(D223="V01",$R$2,IF(D223="V02",$R$3,$R$4))</f>
        <v/>
      </c>
      <c r="O223">
        <f>IF(OR(B223="7062",B223="706",B223="708"),N223,IF(B223="6231",1+G223,IF(B223="6236",1+H223,IF(OR(B223="621",B223="604",B223="6063"),N223*(1-L223),IF(OR(B223="6411",B223="6413",B223="6414",B223="645"),(1+J223)*(1+K223),IF(OR(B223="613",B223="615",B223="616",B223="6226",B223="625",B223="626",B223="6281"),(1+I223)*(1-L223)*(1+M223),IF(OR(B223="6331",B223="63511",B223="6333"),(1+I223)*(1-L223),IF(B223="6811",1+I223,1))))))))</f>
        <v/>
      </c>
      <c r="P223">
        <f>IF(E223=1,F223*O223,"")</f>
        <v/>
      </c>
    </row>
    <row r="224">
      <c r="A224">
        <f>PNL!A224</f>
        <v/>
      </c>
      <c r="B224">
        <f>PNL!B224</f>
        <v/>
      </c>
      <c r="C224">
        <f>PNL!C224</f>
        <v/>
      </c>
      <c r="D224">
        <f>PNL!D224</f>
        <v/>
      </c>
      <c r="E224">
        <f>IF(AND(C224="2027",OR(D224="V01",D224="V02",D224="V03")),1,0)</f>
        <v/>
      </c>
      <c r="F224">
        <f>IF(E224=1,SUMIFS(Compta!$F$2:$F$675,Compta!$A$2:$A$675,A224,Compta!$B$2:$B$675,B224,Compta!$C$2:$C$675,"2026"),0)</f>
        <v/>
      </c>
      <c r="G224">
        <f>IF(D224="V01",cad!$I$21,IF(D224="V02",cad!$J$21,cad!$K$21))</f>
        <v/>
      </c>
      <c r="H224">
        <f>IF(D224="V01",cad!$I$22,IF(D224="V02",cad!$J$22,cad!$K$22))</f>
        <v/>
      </c>
      <c r="I224">
        <f>IF(D224="V01",cad!$I$27,IF(D224="V02",cad!$J$27,cad!$K$27))</f>
        <v/>
      </c>
      <c r="J224">
        <f>IF(D224="V01",cad!$I$28,IF(D224="V02",cad!$J$28,cad!$K$28))</f>
        <v/>
      </c>
      <c r="K224">
        <f>IF(D224="V01",cad!$I$29,IF(D224="V02",cad!$J$29,cad!$K$29))</f>
        <v/>
      </c>
      <c r="L224">
        <f>IF(D224="V01",cad!$I$30,IF(D224="V02",cad!$J$30,cad!$K$30))</f>
        <v/>
      </c>
      <c r="M224">
        <f>IF(D224="V01",cad!$I$31,IF(D224="V02",cad!$J$31,cad!$K$31))</f>
        <v/>
      </c>
      <c r="N224">
        <f>IF(D224="V01",$R$2,IF(D224="V02",$R$3,$R$4))</f>
        <v/>
      </c>
      <c r="O224">
        <f>IF(OR(B224="7062",B224="706",B224="708"),N224,IF(B224="6231",1+G224,IF(B224="6236",1+H224,IF(OR(B224="621",B224="604",B224="6063"),N224*(1-L224),IF(OR(B224="6411",B224="6413",B224="6414",B224="645"),(1+J224)*(1+K224),IF(OR(B224="613",B224="615",B224="616",B224="6226",B224="625",B224="626",B224="6281"),(1+I224)*(1-L224)*(1+M224),IF(OR(B224="6331",B224="63511",B224="6333"),(1+I224)*(1-L224),IF(B224="6811",1+I224,1))))))))</f>
        <v/>
      </c>
      <c r="P224">
        <f>IF(E224=1,F224*O224,"")</f>
        <v/>
      </c>
    </row>
    <row r="225">
      <c r="A225">
        <f>PNL!A225</f>
        <v/>
      </c>
      <c r="B225">
        <f>PNL!B225</f>
        <v/>
      </c>
      <c r="C225">
        <f>PNL!C225</f>
        <v/>
      </c>
      <c r="D225">
        <f>PNL!D225</f>
        <v/>
      </c>
      <c r="E225">
        <f>IF(AND(C225="2027",OR(D225="V01",D225="V02",D225="V03")),1,0)</f>
        <v/>
      </c>
      <c r="F225">
        <f>IF(E225=1,SUMIFS(Compta!$F$2:$F$675,Compta!$A$2:$A$675,A225,Compta!$B$2:$B$675,B225,Compta!$C$2:$C$675,"2026"),0)</f>
        <v/>
      </c>
      <c r="G225">
        <f>IF(D225="V01",cad!$I$21,IF(D225="V02",cad!$J$21,cad!$K$21))</f>
        <v/>
      </c>
      <c r="H225">
        <f>IF(D225="V01",cad!$I$22,IF(D225="V02",cad!$J$22,cad!$K$22))</f>
        <v/>
      </c>
      <c r="I225">
        <f>IF(D225="V01",cad!$I$27,IF(D225="V02",cad!$J$27,cad!$K$27))</f>
        <v/>
      </c>
      <c r="J225">
        <f>IF(D225="V01",cad!$I$28,IF(D225="V02",cad!$J$28,cad!$K$28))</f>
        <v/>
      </c>
      <c r="K225">
        <f>IF(D225="V01",cad!$I$29,IF(D225="V02",cad!$J$29,cad!$K$29))</f>
        <v/>
      </c>
      <c r="L225">
        <f>IF(D225="V01",cad!$I$30,IF(D225="V02",cad!$J$30,cad!$K$30))</f>
        <v/>
      </c>
      <c r="M225">
        <f>IF(D225="V01",cad!$I$31,IF(D225="V02",cad!$J$31,cad!$K$31))</f>
        <v/>
      </c>
      <c r="N225">
        <f>IF(D225="V01",$R$2,IF(D225="V02",$R$3,$R$4))</f>
        <v/>
      </c>
      <c r="O225">
        <f>IF(OR(B225="7062",B225="706",B225="708"),N225,IF(B225="6231",1+G225,IF(B225="6236",1+H225,IF(OR(B225="621",B225="604",B225="6063"),N225*(1-L225),IF(OR(B225="6411",B225="6413",B225="6414",B225="645"),(1+J225)*(1+K225),IF(OR(B225="613",B225="615",B225="616",B225="6226",B225="625",B225="626",B225="6281"),(1+I225)*(1-L225)*(1+M225),IF(OR(B225="6331",B225="63511",B225="6333"),(1+I225)*(1-L225),IF(B225="6811",1+I225,1))))))))</f>
        <v/>
      </c>
      <c r="P225">
        <f>IF(E225=1,F225*O225,"")</f>
        <v/>
      </c>
    </row>
    <row r="226">
      <c r="A226">
        <f>PNL!A226</f>
        <v/>
      </c>
      <c r="B226">
        <f>PNL!B226</f>
        <v/>
      </c>
      <c r="C226">
        <f>PNL!C226</f>
        <v/>
      </c>
      <c r="D226">
        <f>PNL!D226</f>
        <v/>
      </c>
      <c r="E226">
        <f>IF(AND(C226="2027",OR(D226="V01",D226="V02",D226="V03")),1,0)</f>
        <v/>
      </c>
      <c r="F226">
        <f>IF(E226=1,SUMIFS(Compta!$F$2:$F$675,Compta!$A$2:$A$675,A226,Compta!$B$2:$B$675,B226,Compta!$C$2:$C$675,"2026"),0)</f>
        <v/>
      </c>
      <c r="G226">
        <f>IF(D226="V01",cad!$I$21,IF(D226="V02",cad!$J$21,cad!$K$21))</f>
        <v/>
      </c>
      <c r="H226">
        <f>IF(D226="V01",cad!$I$22,IF(D226="V02",cad!$J$22,cad!$K$22))</f>
        <v/>
      </c>
      <c r="I226">
        <f>IF(D226="V01",cad!$I$27,IF(D226="V02",cad!$J$27,cad!$K$27))</f>
        <v/>
      </c>
      <c r="J226">
        <f>IF(D226="V01",cad!$I$28,IF(D226="V02",cad!$J$28,cad!$K$28))</f>
        <v/>
      </c>
      <c r="K226">
        <f>IF(D226="V01",cad!$I$29,IF(D226="V02",cad!$J$29,cad!$K$29))</f>
        <v/>
      </c>
      <c r="L226">
        <f>IF(D226="V01",cad!$I$30,IF(D226="V02",cad!$J$30,cad!$K$30))</f>
        <v/>
      </c>
      <c r="M226">
        <f>IF(D226="V01",cad!$I$31,IF(D226="V02",cad!$J$31,cad!$K$31))</f>
        <v/>
      </c>
      <c r="N226">
        <f>IF(D226="V01",$R$2,IF(D226="V02",$R$3,$R$4))</f>
        <v/>
      </c>
      <c r="O226">
        <f>IF(OR(B226="7062",B226="706",B226="708"),N226,IF(B226="6231",1+G226,IF(B226="6236",1+H226,IF(OR(B226="621",B226="604",B226="6063"),N226*(1-L226),IF(OR(B226="6411",B226="6413",B226="6414",B226="645"),(1+J226)*(1+K226),IF(OR(B226="613",B226="615",B226="616",B226="6226",B226="625",B226="626",B226="6281"),(1+I226)*(1-L226)*(1+M226),IF(OR(B226="6331",B226="63511",B226="6333"),(1+I226)*(1-L226),IF(B226="6811",1+I226,1))))))))</f>
        <v/>
      </c>
      <c r="P226">
        <f>IF(E226=1,F226*O226,"")</f>
        <v/>
      </c>
    </row>
    <row r="227">
      <c r="A227">
        <f>PNL!A227</f>
        <v/>
      </c>
      <c r="B227">
        <f>PNL!B227</f>
        <v/>
      </c>
      <c r="C227">
        <f>PNL!C227</f>
        <v/>
      </c>
      <c r="D227">
        <f>PNL!D227</f>
        <v/>
      </c>
      <c r="E227">
        <f>IF(AND(C227="2027",OR(D227="V01",D227="V02",D227="V03")),1,0)</f>
        <v/>
      </c>
      <c r="F227">
        <f>IF(E227=1,SUMIFS(Compta!$F$2:$F$675,Compta!$A$2:$A$675,A227,Compta!$B$2:$B$675,B227,Compta!$C$2:$C$675,"2026"),0)</f>
        <v/>
      </c>
      <c r="G227">
        <f>IF(D227="V01",cad!$I$21,IF(D227="V02",cad!$J$21,cad!$K$21))</f>
        <v/>
      </c>
      <c r="H227">
        <f>IF(D227="V01",cad!$I$22,IF(D227="V02",cad!$J$22,cad!$K$22))</f>
        <v/>
      </c>
      <c r="I227">
        <f>IF(D227="V01",cad!$I$27,IF(D227="V02",cad!$J$27,cad!$K$27))</f>
        <v/>
      </c>
      <c r="J227">
        <f>IF(D227="V01",cad!$I$28,IF(D227="V02",cad!$J$28,cad!$K$28))</f>
        <v/>
      </c>
      <c r="K227">
        <f>IF(D227="V01",cad!$I$29,IF(D227="V02",cad!$J$29,cad!$K$29))</f>
        <v/>
      </c>
      <c r="L227">
        <f>IF(D227="V01",cad!$I$30,IF(D227="V02",cad!$J$30,cad!$K$30))</f>
        <v/>
      </c>
      <c r="M227">
        <f>IF(D227="V01",cad!$I$31,IF(D227="V02",cad!$J$31,cad!$K$31))</f>
        <v/>
      </c>
      <c r="N227">
        <f>IF(D227="V01",$R$2,IF(D227="V02",$R$3,$R$4))</f>
        <v/>
      </c>
      <c r="O227">
        <f>IF(OR(B227="7062",B227="706",B227="708"),N227,IF(B227="6231",1+G227,IF(B227="6236",1+H227,IF(OR(B227="621",B227="604",B227="6063"),N227*(1-L227),IF(OR(B227="6411",B227="6413",B227="6414",B227="645"),(1+J227)*(1+K227),IF(OR(B227="613",B227="615",B227="616",B227="6226",B227="625",B227="626",B227="6281"),(1+I227)*(1-L227)*(1+M227),IF(OR(B227="6331",B227="63511",B227="6333"),(1+I227)*(1-L227),IF(B227="6811",1+I227,1))))))))</f>
        <v/>
      </c>
      <c r="P227">
        <f>IF(E227=1,F227*O227,"")</f>
        <v/>
      </c>
    </row>
    <row r="228">
      <c r="A228">
        <f>PNL!A228</f>
        <v/>
      </c>
      <c r="B228">
        <f>PNL!B228</f>
        <v/>
      </c>
      <c r="C228">
        <f>PNL!C228</f>
        <v/>
      </c>
      <c r="D228">
        <f>PNL!D228</f>
        <v/>
      </c>
      <c r="E228">
        <f>IF(AND(C228="2027",OR(D228="V01",D228="V02",D228="V03")),1,0)</f>
        <v/>
      </c>
      <c r="F228">
        <f>IF(E228=1,SUMIFS(Compta!$F$2:$F$675,Compta!$A$2:$A$675,A228,Compta!$B$2:$B$675,B228,Compta!$C$2:$C$675,"2026"),0)</f>
        <v/>
      </c>
      <c r="G228">
        <f>IF(D228="V01",cad!$I$21,IF(D228="V02",cad!$J$21,cad!$K$21))</f>
        <v/>
      </c>
      <c r="H228">
        <f>IF(D228="V01",cad!$I$22,IF(D228="V02",cad!$J$22,cad!$K$22))</f>
        <v/>
      </c>
      <c r="I228">
        <f>IF(D228="V01",cad!$I$27,IF(D228="V02",cad!$J$27,cad!$K$27))</f>
        <v/>
      </c>
      <c r="J228">
        <f>IF(D228="V01",cad!$I$28,IF(D228="V02",cad!$J$28,cad!$K$28))</f>
        <v/>
      </c>
      <c r="K228">
        <f>IF(D228="V01",cad!$I$29,IF(D228="V02",cad!$J$29,cad!$K$29))</f>
        <v/>
      </c>
      <c r="L228">
        <f>IF(D228="V01",cad!$I$30,IF(D228="V02",cad!$J$30,cad!$K$30))</f>
        <v/>
      </c>
      <c r="M228">
        <f>IF(D228="V01",cad!$I$31,IF(D228="V02",cad!$J$31,cad!$K$31))</f>
        <v/>
      </c>
      <c r="N228">
        <f>IF(D228="V01",$R$2,IF(D228="V02",$R$3,$R$4))</f>
        <v/>
      </c>
      <c r="O228">
        <f>IF(OR(B228="7062",B228="706",B228="708"),N228,IF(B228="6231",1+G228,IF(B228="6236",1+H228,IF(OR(B228="621",B228="604",B228="6063"),N228*(1-L228),IF(OR(B228="6411",B228="6413",B228="6414",B228="645"),(1+J228)*(1+K228),IF(OR(B228="613",B228="615",B228="616",B228="6226",B228="625",B228="626",B228="6281"),(1+I228)*(1-L228)*(1+M228),IF(OR(B228="6331",B228="63511",B228="6333"),(1+I228)*(1-L228),IF(B228="6811",1+I228,1))))))))</f>
        <v/>
      </c>
      <c r="P228">
        <f>IF(E228=1,F228*O228,"")</f>
        <v/>
      </c>
    </row>
    <row r="229">
      <c r="A229">
        <f>PNL!A229</f>
        <v/>
      </c>
      <c r="B229">
        <f>PNL!B229</f>
        <v/>
      </c>
      <c r="C229">
        <f>PNL!C229</f>
        <v/>
      </c>
      <c r="D229">
        <f>PNL!D229</f>
        <v/>
      </c>
      <c r="E229">
        <f>IF(AND(C229="2027",OR(D229="V01",D229="V02",D229="V03")),1,0)</f>
        <v/>
      </c>
      <c r="F229">
        <f>IF(E229=1,SUMIFS(Compta!$F$2:$F$675,Compta!$A$2:$A$675,A229,Compta!$B$2:$B$675,B229,Compta!$C$2:$C$675,"2026"),0)</f>
        <v/>
      </c>
      <c r="G229">
        <f>IF(D229="V01",cad!$I$21,IF(D229="V02",cad!$J$21,cad!$K$21))</f>
        <v/>
      </c>
      <c r="H229">
        <f>IF(D229="V01",cad!$I$22,IF(D229="V02",cad!$J$22,cad!$K$22))</f>
        <v/>
      </c>
      <c r="I229">
        <f>IF(D229="V01",cad!$I$27,IF(D229="V02",cad!$J$27,cad!$K$27))</f>
        <v/>
      </c>
      <c r="J229">
        <f>IF(D229="V01",cad!$I$28,IF(D229="V02",cad!$J$28,cad!$K$28))</f>
        <v/>
      </c>
      <c r="K229">
        <f>IF(D229="V01",cad!$I$29,IF(D229="V02",cad!$J$29,cad!$K$29))</f>
        <v/>
      </c>
      <c r="L229">
        <f>IF(D229="V01",cad!$I$30,IF(D229="V02",cad!$J$30,cad!$K$30))</f>
        <v/>
      </c>
      <c r="M229">
        <f>IF(D229="V01",cad!$I$31,IF(D229="V02",cad!$J$31,cad!$K$31))</f>
        <v/>
      </c>
      <c r="N229">
        <f>IF(D229="V01",$R$2,IF(D229="V02",$R$3,$R$4))</f>
        <v/>
      </c>
      <c r="O229">
        <f>IF(OR(B229="7062",B229="706",B229="708"),N229,IF(B229="6231",1+G229,IF(B229="6236",1+H229,IF(OR(B229="621",B229="604",B229="6063"),N229*(1-L229),IF(OR(B229="6411",B229="6413",B229="6414",B229="645"),(1+J229)*(1+K229),IF(OR(B229="613",B229="615",B229="616",B229="6226",B229="625",B229="626",B229="6281"),(1+I229)*(1-L229)*(1+M229),IF(OR(B229="6331",B229="63511",B229="6333"),(1+I229)*(1-L229),IF(B229="6811",1+I229,1))))))))</f>
        <v/>
      </c>
      <c r="P229">
        <f>IF(E229=1,F229*O229,"")</f>
        <v/>
      </c>
    </row>
    <row r="230">
      <c r="A230">
        <f>PNL!A230</f>
        <v/>
      </c>
      <c r="B230">
        <f>PNL!B230</f>
        <v/>
      </c>
      <c r="C230">
        <f>PNL!C230</f>
        <v/>
      </c>
      <c r="D230">
        <f>PNL!D230</f>
        <v/>
      </c>
      <c r="E230">
        <f>IF(AND(C230="2027",OR(D230="V01",D230="V02",D230="V03")),1,0)</f>
        <v/>
      </c>
      <c r="F230">
        <f>IF(E230=1,SUMIFS(Compta!$F$2:$F$675,Compta!$A$2:$A$675,A230,Compta!$B$2:$B$675,B230,Compta!$C$2:$C$675,"2026"),0)</f>
        <v/>
      </c>
      <c r="G230">
        <f>IF(D230="V01",cad!$I$21,IF(D230="V02",cad!$J$21,cad!$K$21))</f>
        <v/>
      </c>
      <c r="H230">
        <f>IF(D230="V01",cad!$I$22,IF(D230="V02",cad!$J$22,cad!$K$22))</f>
        <v/>
      </c>
      <c r="I230">
        <f>IF(D230="V01",cad!$I$27,IF(D230="V02",cad!$J$27,cad!$K$27))</f>
        <v/>
      </c>
      <c r="J230">
        <f>IF(D230="V01",cad!$I$28,IF(D230="V02",cad!$J$28,cad!$K$28))</f>
        <v/>
      </c>
      <c r="K230">
        <f>IF(D230="V01",cad!$I$29,IF(D230="V02",cad!$J$29,cad!$K$29))</f>
        <v/>
      </c>
      <c r="L230">
        <f>IF(D230="V01",cad!$I$30,IF(D230="V02",cad!$J$30,cad!$K$30))</f>
        <v/>
      </c>
      <c r="M230">
        <f>IF(D230="V01",cad!$I$31,IF(D230="V02",cad!$J$31,cad!$K$31))</f>
        <v/>
      </c>
      <c r="N230">
        <f>IF(D230="V01",$R$2,IF(D230="V02",$R$3,$R$4))</f>
        <v/>
      </c>
      <c r="O230">
        <f>IF(OR(B230="7062",B230="706",B230="708"),N230,IF(B230="6231",1+G230,IF(B230="6236",1+H230,IF(OR(B230="621",B230="604",B230="6063"),N230*(1-L230),IF(OR(B230="6411",B230="6413",B230="6414",B230="645"),(1+J230)*(1+K230),IF(OR(B230="613",B230="615",B230="616",B230="6226",B230="625",B230="626",B230="6281"),(1+I230)*(1-L230)*(1+M230),IF(OR(B230="6331",B230="63511",B230="6333"),(1+I230)*(1-L230),IF(B230="6811",1+I230,1))))))))</f>
        <v/>
      </c>
      <c r="P230">
        <f>IF(E230=1,F230*O230,"")</f>
        <v/>
      </c>
    </row>
    <row r="231">
      <c r="A231">
        <f>PNL!A231</f>
        <v/>
      </c>
      <c r="B231">
        <f>PNL!B231</f>
        <v/>
      </c>
      <c r="C231">
        <f>PNL!C231</f>
        <v/>
      </c>
      <c r="D231">
        <f>PNL!D231</f>
        <v/>
      </c>
      <c r="E231">
        <f>IF(AND(C231="2027",OR(D231="V01",D231="V02",D231="V03")),1,0)</f>
        <v/>
      </c>
      <c r="F231">
        <f>IF(E231=1,SUMIFS(Compta!$F$2:$F$675,Compta!$A$2:$A$675,A231,Compta!$B$2:$B$675,B231,Compta!$C$2:$C$675,"2026"),0)</f>
        <v/>
      </c>
      <c r="G231">
        <f>IF(D231="V01",cad!$I$21,IF(D231="V02",cad!$J$21,cad!$K$21))</f>
        <v/>
      </c>
      <c r="H231">
        <f>IF(D231="V01",cad!$I$22,IF(D231="V02",cad!$J$22,cad!$K$22))</f>
        <v/>
      </c>
      <c r="I231">
        <f>IF(D231="V01",cad!$I$27,IF(D231="V02",cad!$J$27,cad!$K$27))</f>
        <v/>
      </c>
      <c r="J231">
        <f>IF(D231="V01",cad!$I$28,IF(D231="V02",cad!$J$28,cad!$K$28))</f>
        <v/>
      </c>
      <c r="K231">
        <f>IF(D231="V01",cad!$I$29,IF(D231="V02",cad!$J$29,cad!$K$29))</f>
        <v/>
      </c>
      <c r="L231">
        <f>IF(D231="V01",cad!$I$30,IF(D231="V02",cad!$J$30,cad!$K$30))</f>
        <v/>
      </c>
      <c r="M231">
        <f>IF(D231="V01",cad!$I$31,IF(D231="V02",cad!$J$31,cad!$K$31))</f>
        <v/>
      </c>
      <c r="N231">
        <f>IF(D231="V01",$R$2,IF(D231="V02",$R$3,$R$4))</f>
        <v/>
      </c>
      <c r="O231">
        <f>IF(OR(B231="7062",B231="706",B231="708"),N231,IF(B231="6231",1+G231,IF(B231="6236",1+H231,IF(OR(B231="621",B231="604",B231="6063"),N231*(1-L231),IF(OR(B231="6411",B231="6413",B231="6414",B231="645"),(1+J231)*(1+K231),IF(OR(B231="613",B231="615",B231="616",B231="6226",B231="625",B231="626",B231="6281"),(1+I231)*(1-L231)*(1+M231),IF(OR(B231="6331",B231="63511",B231="6333"),(1+I231)*(1-L231),IF(B231="6811",1+I231,1))))))))</f>
        <v/>
      </c>
      <c r="P231">
        <f>IF(E231=1,F231*O231,"")</f>
        <v/>
      </c>
    </row>
    <row r="232">
      <c r="A232">
        <f>PNL!A232</f>
        <v/>
      </c>
      <c r="B232">
        <f>PNL!B232</f>
        <v/>
      </c>
      <c r="C232">
        <f>PNL!C232</f>
        <v/>
      </c>
      <c r="D232">
        <f>PNL!D232</f>
        <v/>
      </c>
      <c r="E232">
        <f>IF(AND(C232="2027",OR(D232="V01",D232="V02",D232="V03")),1,0)</f>
        <v/>
      </c>
      <c r="F232">
        <f>IF(E232=1,SUMIFS(Compta!$F$2:$F$675,Compta!$A$2:$A$675,A232,Compta!$B$2:$B$675,B232,Compta!$C$2:$C$675,"2026"),0)</f>
        <v/>
      </c>
      <c r="G232">
        <f>IF(D232="V01",cad!$I$21,IF(D232="V02",cad!$J$21,cad!$K$21))</f>
        <v/>
      </c>
      <c r="H232">
        <f>IF(D232="V01",cad!$I$22,IF(D232="V02",cad!$J$22,cad!$K$22))</f>
        <v/>
      </c>
      <c r="I232">
        <f>IF(D232="V01",cad!$I$27,IF(D232="V02",cad!$J$27,cad!$K$27))</f>
        <v/>
      </c>
      <c r="J232">
        <f>IF(D232="V01",cad!$I$28,IF(D232="V02",cad!$J$28,cad!$K$28))</f>
        <v/>
      </c>
      <c r="K232">
        <f>IF(D232="V01",cad!$I$29,IF(D232="V02",cad!$J$29,cad!$K$29))</f>
        <v/>
      </c>
      <c r="L232">
        <f>IF(D232="V01",cad!$I$30,IF(D232="V02",cad!$J$30,cad!$K$30))</f>
        <v/>
      </c>
      <c r="M232">
        <f>IF(D232="V01",cad!$I$31,IF(D232="V02",cad!$J$31,cad!$K$31))</f>
        <v/>
      </c>
      <c r="N232">
        <f>IF(D232="V01",$R$2,IF(D232="V02",$R$3,$R$4))</f>
        <v/>
      </c>
      <c r="O232">
        <f>IF(OR(B232="7062",B232="706",B232="708"),N232,IF(B232="6231",1+G232,IF(B232="6236",1+H232,IF(OR(B232="621",B232="604",B232="6063"),N232*(1-L232),IF(OR(B232="6411",B232="6413",B232="6414",B232="645"),(1+J232)*(1+K232),IF(OR(B232="613",B232="615",B232="616",B232="6226",B232="625",B232="626",B232="6281"),(1+I232)*(1-L232)*(1+M232),IF(OR(B232="6331",B232="63511",B232="6333"),(1+I232)*(1-L232),IF(B232="6811",1+I232,1))))))))</f>
        <v/>
      </c>
      <c r="P232">
        <f>IF(E232=1,F232*O232,"")</f>
        <v/>
      </c>
    </row>
    <row r="233">
      <c r="A233">
        <f>PNL!A233</f>
        <v/>
      </c>
      <c r="B233">
        <f>PNL!B233</f>
        <v/>
      </c>
      <c r="C233">
        <f>PNL!C233</f>
        <v/>
      </c>
      <c r="D233">
        <f>PNL!D233</f>
        <v/>
      </c>
      <c r="E233">
        <f>IF(AND(C233="2027",OR(D233="V01",D233="V02",D233="V03")),1,0)</f>
        <v/>
      </c>
      <c r="F233">
        <f>IF(E233=1,SUMIFS(Compta!$F$2:$F$675,Compta!$A$2:$A$675,A233,Compta!$B$2:$B$675,B233,Compta!$C$2:$C$675,"2026"),0)</f>
        <v/>
      </c>
      <c r="G233">
        <f>IF(D233="V01",cad!$I$21,IF(D233="V02",cad!$J$21,cad!$K$21))</f>
        <v/>
      </c>
      <c r="H233">
        <f>IF(D233="V01",cad!$I$22,IF(D233="V02",cad!$J$22,cad!$K$22))</f>
        <v/>
      </c>
      <c r="I233">
        <f>IF(D233="V01",cad!$I$27,IF(D233="V02",cad!$J$27,cad!$K$27))</f>
        <v/>
      </c>
      <c r="J233">
        <f>IF(D233="V01",cad!$I$28,IF(D233="V02",cad!$J$28,cad!$K$28))</f>
        <v/>
      </c>
      <c r="K233">
        <f>IF(D233="V01",cad!$I$29,IF(D233="V02",cad!$J$29,cad!$K$29))</f>
        <v/>
      </c>
      <c r="L233">
        <f>IF(D233="V01",cad!$I$30,IF(D233="V02",cad!$J$30,cad!$K$30))</f>
        <v/>
      </c>
      <c r="M233">
        <f>IF(D233="V01",cad!$I$31,IF(D233="V02",cad!$J$31,cad!$K$31))</f>
        <v/>
      </c>
      <c r="N233">
        <f>IF(D233="V01",$R$2,IF(D233="V02",$R$3,$R$4))</f>
        <v/>
      </c>
      <c r="O233">
        <f>IF(OR(B233="7062",B233="706",B233="708"),N233,IF(B233="6231",1+G233,IF(B233="6236",1+H233,IF(OR(B233="621",B233="604",B233="6063"),N233*(1-L233),IF(OR(B233="6411",B233="6413",B233="6414",B233="645"),(1+J233)*(1+K233),IF(OR(B233="613",B233="615",B233="616",B233="6226",B233="625",B233="626",B233="6281"),(1+I233)*(1-L233)*(1+M233),IF(OR(B233="6331",B233="63511",B233="6333"),(1+I233)*(1-L233),IF(B233="6811",1+I233,1))))))))</f>
        <v/>
      </c>
      <c r="P233">
        <f>IF(E233=1,F233*O233,"")</f>
        <v/>
      </c>
    </row>
    <row r="234">
      <c r="A234">
        <f>PNL!A234</f>
        <v/>
      </c>
      <c r="B234">
        <f>PNL!B234</f>
        <v/>
      </c>
      <c r="C234">
        <f>PNL!C234</f>
        <v/>
      </c>
      <c r="D234">
        <f>PNL!D234</f>
        <v/>
      </c>
      <c r="E234">
        <f>IF(AND(C234="2027",OR(D234="V01",D234="V02",D234="V03")),1,0)</f>
        <v/>
      </c>
      <c r="F234">
        <f>IF(E234=1,SUMIFS(Compta!$F$2:$F$675,Compta!$A$2:$A$675,A234,Compta!$B$2:$B$675,B234,Compta!$C$2:$C$675,"2026"),0)</f>
        <v/>
      </c>
      <c r="G234">
        <f>IF(D234="V01",cad!$I$21,IF(D234="V02",cad!$J$21,cad!$K$21))</f>
        <v/>
      </c>
      <c r="H234">
        <f>IF(D234="V01",cad!$I$22,IF(D234="V02",cad!$J$22,cad!$K$22))</f>
        <v/>
      </c>
      <c r="I234">
        <f>IF(D234="V01",cad!$I$27,IF(D234="V02",cad!$J$27,cad!$K$27))</f>
        <v/>
      </c>
      <c r="J234">
        <f>IF(D234="V01",cad!$I$28,IF(D234="V02",cad!$J$28,cad!$K$28))</f>
        <v/>
      </c>
      <c r="K234">
        <f>IF(D234="V01",cad!$I$29,IF(D234="V02",cad!$J$29,cad!$K$29))</f>
        <v/>
      </c>
      <c r="L234">
        <f>IF(D234="V01",cad!$I$30,IF(D234="V02",cad!$J$30,cad!$K$30))</f>
        <v/>
      </c>
      <c r="M234">
        <f>IF(D234="V01",cad!$I$31,IF(D234="V02",cad!$J$31,cad!$K$31))</f>
        <v/>
      </c>
      <c r="N234">
        <f>IF(D234="V01",$R$2,IF(D234="V02",$R$3,$R$4))</f>
        <v/>
      </c>
      <c r="O234">
        <f>IF(OR(B234="7062",B234="706",B234="708"),N234,IF(B234="6231",1+G234,IF(B234="6236",1+H234,IF(OR(B234="621",B234="604",B234="6063"),N234*(1-L234),IF(OR(B234="6411",B234="6413",B234="6414",B234="645"),(1+J234)*(1+K234),IF(OR(B234="613",B234="615",B234="616",B234="6226",B234="625",B234="626",B234="6281"),(1+I234)*(1-L234)*(1+M234),IF(OR(B234="6331",B234="63511",B234="6333"),(1+I234)*(1-L234),IF(B234="6811",1+I234,1))))))))</f>
        <v/>
      </c>
      <c r="P234">
        <f>IF(E234=1,F234*O234,"")</f>
        <v/>
      </c>
    </row>
    <row r="235">
      <c r="A235">
        <f>PNL!A235</f>
        <v/>
      </c>
      <c r="B235">
        <f>PNL!B235</f>
        <v/>
      </c>
      <c r="C235">
        <f>PNL!C235</f>
        <v/>
      </c>
      <c r="D235">
        <f>PNL!D235</f>
        <v/>
      </c>
      <c r="E235">
        <f>IF(AND(C235="2027",OR(D235="V01",D235="V02",D235="V03")),1,0)</f>
        <v/>
      </c>
      <c r="F235">
        <f>IF(E235=1,SUMIFS(Compta!$F$2:$F$675,Compta!$A$2:$A$675,A235,Compta!$B$2:$B$675,B235,Compta!$C$2:$C$675,"2026"),0)</f>
        <v/>
      </c>
      <c r="G235">
        <f>IF(D235="V01",cad!$I$21,IF(D235="V02",cad!$J$21,cad!$K$21))</f>
        <v/>
      </c>
      <c r="H235">
        <f>IF(D235="V01",cad!$I$22,IF(D235="V02",cad!$J$22,cad!$K$22))</f>
        <v/>
      </c>
      <c r="I235">
        <f>IF(D235="V01",cad!$I$27,IF(D235="V02",cad!$J$27,cad!$K$27))</f>
        <v/>
      </c>
      <c r="J235">
        <f>IF(D235="V01",cad!$I$28,IF(D235="V02",cad!$J$28,cad!$K$28))</f>
        <v/>
      </c>
      <c r="K235">
        <f>IF(D235="V01",cad!$I$29,IF(D235="V02",cad!$J$29,cad!$K$29))</f>
        <v/>
      </c>
      <c r="L235">
        <f>IF(D235="V01",cad!$I$30,IF(D235="V02",cad!$J$30,cad!$K$30))</f>
        <v/>
      </c>
      <c r="M235">
        <f>IF(D235="V01",cad!$I$31,IF(D235="V02",cad!$J$31,cad!$K$31))</f>
        <v/>
      </c>
      <c r="N235">
        <f>IF(D235="V01",$R$2,IF(D235="V02",$R$3,$R$4))</f>
        <v/>
      </c>
      <c r="O235">
        <f>IF(OR(B235="7062",B235="706",B235="708"),N235,IF(B235="6231",1+G235,IF(B235="6236",1+H235,IF(OR(B235="621",B235="604",B235="6063"),N235*(1-L235),IF(OR(B235="6411",B235="6413",B235="6414",B235="645"),(1+J235)*(1+K235),IF(OR(B235="613",B235="615",B235="616",B235="6226",B235="625",B235="626",B235="6281"),(1+I235)*(1-L235)*(1+M235),IF(OR(B235="6331",B235="63511",B235="6333"),(1+I235)*(1-L235),IF(B235="6811",1+I235,1))))))))</f>
        <v/>
      </c>
      <c r="P235">
        <f>IF(E235=1,F235*O235,"")</f>
        <v/>
      </c>
    </row>
    <row r="236">
      <c r="A236">
        <f>PNL!A236</f>
        <v/>
      </c>
      <c r="B236">
        <f>PNL!B236</f>
        <v/>
      </c>
      <c r="C236">
        <f>PNL!C236</f>
        <v/>
      </c>
      <c r="D236">
        <f>PNL!D236</f>
        <v/>
      </c>
      <c r="E236">
        <f>IF(AND(C236="2027",OR(D236="V01",D236="V02",D236="V03")),1,0)</f>
        <v/>
      </c>
      <c r="F236">
        <f>IF(E236=1,SUMIFS(Compta!$F$2:$F$675,Compta!$A$2:$A$675,A236,Compta!$B$2:$B$675,B236,Compta!$C$2:$C$675,"2026"),0)</f>
        <v/>
      </c>
      <c r="G236">
        <f>IF(D236="V01",cad!$I$21,IF(D236="V02",cad!$J$21,cad!$K$21))</f>
        <v/>
      </c>
      <c r="H236">
        <f>IF(D236="V01",cad!$I$22,IF(D236="V02",cad!$J$22,cad!$K$22))</f>
        <v/>
      </c>
      <c r="I236">
        <f>IF(D236="V01",cad!$I$27,IF(D236="V02",cad!$J$27,cad!$K$27))</f>
        <v/>
      </c>
      <c r="J236">
        <f>IF(D236="V01",cad!$I$28,IF(D236="V02",cad!$J$28,cad!$K$28))</f>
        <v/>
      </c>
      <c r="K236">
        <f>IF(D236="V01",cad!$I$29,IF(D236="V02",cad!$J$29,cad!$K$29))</f>
        <v/>
      </c>
      <c r="L236">
        <f>IF(D236="V01",cad!$I$30,IF(D236="V02",cad!$J$30,cad!$K$30))</f>
        <v/>
      </c>
      <c r="M236">
        <f>IF(D236="V01",cad!$I$31,IF(D236="V02",cad!$J$31,cad!$K$31))</f>
        <v/>
      </c>
      <c r="N236">
        <f>IF(D236="V01",$R$2,IF(D236="V02",$R$3,$R$4))</f>
        <v/>
      </c>
      <c r="O236">
        <f>IF(OR(B236="7062",B236="706",B236="708"),N236,IF(B236="6231",1+G236,IF(B236="6236",1+H236,IF(OR(B236="621",B236="604",B236="6063"),N236*(1-L236),IF(OR(B236="6411",B236="6413",B236="6414",B236="645"),(1+J236)*(1+K236),IF(OR(B236="613",B236="615",B236="616",B236="6226",B236="625",B236="626",B236="6281"),(1+I236)*(1-L236)*(1+M236),IF(OR(B236="6331",B236="63511",B236="6333"),(1+I236)*(1-L236),IF(B236="6811",1+I236,1))))))))</f>
        <v/>
      </c>
      <c r="P236">
        <f>IF(E236=1,F236*O236,"")</f>
        <v/>
      </c>
    </row>
    <row r="237">
      <c r="A237">
        <f>PNL!A237</f>
        <v/>
      </c>
      <c r="B237">
        <f>PNL!B237</f>
        <v/>
      </c>
      <c r="C237">
        <f>PNL!C237</f>
        <v/>
      </c>
      <c r="D237">
        <f>PNL!D237</f>
        <v/>
      </c>
      <c r="E237">
        <f>IF(AND(C237="2027",OR(D237="V01",D237="V02",D237="V03")),1,0)</f>
        <v/>
      </c>
      <c r="F237">
        <f>IF(E237=1,SUMIFS(Compta!$F$2:$F$675,Compta!$A$2:$A$675,A237,Compta!$B$2:$B$675,B237,Compta!$C$2:$C$675,"2026"),0)</f>
        <v/>
      </c>
      <c r="G237">
        <f>IF(D237="V01",cad!$I$21,IF(D237="V02",cad!$J$21,cad!$K$21))</f>
        <v/>
      </c>
      <c r="H237">
        <f>IF(D237="V01",cad!$I$22,IF(D237="V02",cad!$J$22,cad!$K$22))</f>
        <v/>
      </c>
      <c r="I237">
        <f>IF(D237="V01",cad!$I$27,IF(D237="V02",cad!$J$27,cad!$K$27))</f>
        <v/>
      </c>
      <c r="J237">
        <f>IF(D237="V01",cad!$I$28,IF(D237="V02",cad!$J$28,cad!$K$28))</f>
        <v/>
      </c>
      <c r="K237">
        <f>IF(D237="V01",cad!$I$29,IF(D237="V02",cad!$J$29,cad!$K$29))</f>
        <v/>
      </c>
      <c r="L237">
        <f>IF(D237="V01",cad!$I$30,IF(D237="V02",cad!$J$30,cad!$K$30))</f>
        <v/>
      </c>
      <c r="M237">
        <f>IF(D237="V01",cad!$I$31,IF(D237="V02",cad!$J$31,cad!$K$31))</f>
        <v/>
      </c>
      <c r="N237">
        <f>IF(D237="V01",$R$2,IF(D237="V02",$R$3,$R$4))</f>
        <v/>
      </c>
      <c r="O237">
        <f>IF(OR(B237="7062",B237="706",B237="708"),N237,IF(B237="6231",1+G237,IF(B237="6236",1+H237,IF(OR(B237="621",B237="604",B237="6063"),N237*(1-L237),IF(OR(B237="6411",B237="6413",B237="6414",B237="645"),(1+J237)*(1+K237),IF(OR(B237="613",B237="615",B237="616",B237="6226",B237="625",B237="626",B237="6281"),(1+I237)*(1-L237)*(1+M237),IF(OR(B237="6331",B237="63511",B237="6333"),(1+I237)*(1-L237),IF(B237="6811",1+I237,1))))))))</f>
        <v/>
      </c>
      <c r="P237">
        <f>IF(E237=1,F237*O237,"")</f>
        <v/>
      </c>
    </row>
    <row r="238">
      <c r="A238">
        <f>PNL!A238</f>
        <v/>
      </c>
      <c r="B238">
        <f>PNL!B238</f>
        <v/>
      </c>
      <c r="C238">
        <f>PNL!C238</f>
        <v/>
      </c>
      <c r="D238">
        <f>PNL!D238</f>
        <v/>
      </c>
      <c r="E238">
        <f>IF(AND(C238="2027",OR(D238="V01",D238="V02",D238="V03")),1,0)</f>
        <v/>
      </c>
      <c r="F238">
        <f>IF(E238=1,SUMIFS(Compta!$F$2:$F$675,Compta!$A$2:$A$675,A238,Compta!$B$2:$B$675,B238,Compta!$C$2:$C$675,"2026"),0)</f>
        <v/>
      </c>
      <c r="G238">
        <f>IF(D238="V01",cad!$I$21,IF(D238="V02",cad!$J$21,cad!$K$21))</f>
        <v/>
      </c>
      <c r="H238">
        <f>IF(D238="V01",cad!$I$22,IF(D238="V02",cad!$J$22,cad!$K$22))</f>
        <v/>
      </c>
      <c r="I238">
        <f>IF(D238="V01",cad!$I$27,IF(D238="V02",cad!$J$27,cad!$K$27))</f>
        <v/>
      </c>
      <c r="J238">
        <f>IF(D238="V01",cad!$I$28,IF(D238="V02",cad!$J$28,cad!$K$28))</f>
        <v/>
      </c>
      <c r="K238">
        <f>IF(D238="V01",cad!$I$29,IF(D238="V02",cad!$J$29,cad!$K$29))</f>
        <v/>
      </c>
      <c r="L238">
        <f>IF(D238="V01",cad!$I$30,IF(D238="V02",cad!$J$30,cad!$K$30))</f>
        <v/>
      </c>
      <c r="M238">
        <f>IF(D238="V01",cad!$I$31,IF(D238="V02",cad!$J$31,cad!$K$31))</f>
        <v/>
      </c>
      <c r="N238">
        <f>IF(D238="V01",$R$2,IF(D238="V02",$R$3,$R$4))</f>
        <v/>
      </c>
      <c r="O238">
        <f>IF(OR(B238="7062",B238="706",B238="708"),N238,IF(B238="6231",1+G238,IF(B238="6236",1+H238,IF(OR(B238="621",B238="604",B238="6063"),N238*(1-L238),IF(OR(B238="6411",B238="6413",B238="6414",B238="645"),(1+J238)*(1+K238),IF(OR(B238="613",B238="615",B238="616",B238="6226",B238="625",B238="626",B238="6281"),(1+I238)*(1-L238)*(1+M238),IF(OR(B238="6331",B238="63511",B238="6333"),(1+I238)*(1-L238),IF(B238="6811",1+I238,1))))))))</f>
        <v/>
      </c>
      <c r="P238">
        <f>IF(E238=1,F238*O238,"")</f>
        <v/>
      </c>
    </row>
    <row r="239">
      <c r="A239">
        <f>PNL!A239</f>
        <v/>
      </c>
      <c r="B239">
        <f>PNL!B239</f>
        <v/>
      </c>
      <c r="C239">
        <f>PNL!C239</f>
        <v/>
      </c>
      <c r="D239">
        <f>PNL!D239</f>
        <v/>
      </c>
      <c r="E239">
        <f>IF(AND(C239="2027",OR(D239="V01",D239="V02",D239="V03")),1,0)</f>
        <v/>
      </c>
      <c r="F239">
        <f>IF(E239=1,SUMIFS(Compta!$F$2:$F$675,Compta!$A$2:$A$675,A239,Compta!$B$2:$B$675,B239,Compta!$C$2:$C$675,"2026"),0)</f>
        <v/>
      </c>
      <c r="G239">
        <f>IF(D239="V01",cad!$I$21,IF(D239="V02",cad!$J$21,cad!$K$21))</f>
        <v/>
      </c>
      <c r="H239">
        <f>IF(D239="V01",cad!$I$22,IF(D239="V02",cad!$J$22,cad!$K$22))</f>
        <v/>
      </c>
      <c r="I239">
        <f>IF(D239="V01",cad!$I$27,IF(D239="V02",cad!$J$27,cad!$K$27))</f>
        <v/>
      </c>
      <c r="J239">
        <f>IF(D239="V01",cad!$I$28,IF(D239="V02",cad!$J$28,cad!$K$28))</f>
        <v/>
      </c>
      <c r="K239">
        <f>IF(D239="V01",cad!$I$29,IF(D239="V02",cad!$J$29,cad!$K$29))</f>
        <v/>
      </c>
      <c r="L239">
        <f>IF(D239="V01",cad!$I$30,IF(D239="V02",cad!$J$30,cad!$K$30))</f>
        <v/>
      </c>
      <c r="M239">
        <f>IF(D239="V01",cad!$I$31,IF(D239="V02",cad!$J$31,cad!$K$31))</f>
        <v/>
      </c>
      <c r="N239">
        <f>IF(D239="V01",$R$2,IF(D239="V02",$R$3,$R$4))</f>
        <v/>
      </c>
      <c r="O239">
        <f>IF(OR(B239="7062",B239="706",B239="708"),N239,IF(B239="6231",1+G239,IF(B239="6236",1+H239,IF(OR(B239="621",B239="604",B239="6063"),N239*(1-L239),IF(OR(B239="6411",B239="6413",B239="6414",B239="645"),(1+J239)*(1+K239),IF(OR(B239="613",B239="615",B239="616",B239="6226",B239="625",B239="626",B239="6281"),(1+I239)*(1-L239)*(1+M239),IF(OR(B239="6331",B239="63511",B239="6333"),(1+I239)*(1-L239),IF(B239="6811",1+I239,1))))))))</f>
        <v/>
      </c>
      <c r="P239">
        <f>IF(E239=1,F239*O239,"")</f>
        <v/>
      </c>
    </row>
    <row r="240">
      <c r="A240">
        <f>PNL!A240</f>
        <v/>
      </c>
      <c r="B240">
        <f>PNL!B240</f>
        <v/>
      </c>
      <c r="C240">
        <f>PNL!C240</f>
        <v/>
      </c>
      <c r="D240">
        <f>PNL!D240</f>
        <v/>
      </c>
      <c r="E240">
        <f>IF(AND(C240="2027",OR(D240="V01",D240="V02",D240="V03")),1,0)</f>
        <v/>
      </c>
      <c r="F240">
        <f>IF(E240=1,SUMIFS(Compta!$F$2:$F$675,Compta!$A$2:$A$675,A240,Compta!$B$2:$B$675,B240,Compta!$C$2:$C$675,"2026"),0)</f>
        <v/>
      </c>
      <c r="G240">
        <f>IF(D240="V01",cad!$I$21,IF(D240="V02",cad!$J$21,cad!$K$21))</f>
        <v/>
      </c>
      <c r="H240">
        <f>IF(D240="V01",cad!$I$22,IF(D240="V02",cad!$J$22,cad!$K$22))</f>
        <v/>
      </c>
      <c r="I240">
        <f>IF(D240="V01",cad!$I$27,IF(D240="V02",cad!$J$27,cad!$K$27))</f>
        <v/>
      </c>
      <c r="J240">
        <f>IF(D240="V01",cad!$I$28,IF(D240="V02",cad!$J$28,cad!$K$28))</f>
        <v/>
      </c>
      <c r="K240">
        <f>IF(D240="V01",cad!$I$29,IF(D240="V02",cad!$J$29,cad!$K$29))</f>
        <v/>
      </c>
      <c r="L240">
        <f>IF(D240="V01",cad!$I$30,IF(D240="V02",cad!$J$30,cad!$K$30))</f>
        <v/>
      </c>
      <c r="M240">
        <f>IF(D240="V01",cad!$I$31,IF(D240="V02",cad!$J$31,cad!$K$31))</f>
        <v/>
      </c>
      <c r="N240">
        <f>IF(D240="V01",$R$2,IF(D240="V02",$R$3,$R$4))</f>
        <v/>
      </c>
      <c r="O240">
        <f>IF(OR(B240="7062",B240="706",B240="708"),N240,IF(B240="6231",1+G240,IF(B240="6236",1+H240,IF(OR(B240="621",B240="604",B240="6063"),N240*(1-L240),IF(OR(B240="6411",B240="6413",B240="6414",B240="645"),(1+J240)*(1+K240),IF(OR(B240="613",B240="615",B240="616",B240="6226",B240="625",B240="626",B240="6281"),(1+I240)*(1-L240)*(1+M240),IF(OR(B240="6331",B240="63511",B240="6333"),(1+I240)*(1-L240),IF(B240="6811",1+I240,1))))))))</f>
        <v/>
      </c>
      <c r="P240">
        <f>IF(E240=1,F240*O240,"")</f>
        <v/>
      </c>
    </row>
    <row r="241">
      <c r="A241">
        <f>PNL!A241</f>
        <v/>
      </c>
      <c r="B241">
        <f>PNL!B241</f>
        <v/>
      </c>
      <c r="C241">
        <f>PNL!C241</f>
        <v/>
      </c>
      <c r="D241">
        <f>PNL!D241</f>
        <v/>
      </c>
      <c r="E241">
        <f>IF(AND(C241="2027",OR(D241="V01",D241="V02",D241="V03")),1,0)</f>
        <v/>
      </c>
      <c r="F241">
        <f>IF(E241=1,SUMIFS(Compta!$F$2:$F$675,Compta!$A$2:$A$675,A241,Compta!$B$2:$B$675,B241,Compta!$C$2:$C$675,"2026"),0)</f>
        <v/>
      </c>
      <c r="G241">
        <f>IF(D241="V01",cad!$I$21,IF(D241="V02",cad!$J$21,cad!$K$21))</f>
        <v/>
      </c>
      <c r="H241">
        <f>IF(D241="V01",cad!$I$22,IF(D241="V02",cad!$J$22,cad!$K$22))</f>
        <v/>
      </c>
      <c r="I241">
        <f>IF(D241="V01",cad!$I$27,IF(D241="V02",cad!$J$27,cad!$K$27))</f>
        <v/>
      </c>
      <c r="J241">
        <f>IF(D241="V01",cad!$I$28,IF(D241="V02",cad!$J$28,cad!$K$28))</f>
        <v/>
      </c>
      <c r="K241">
        <f>IF(D241="V01",cad!$I$29,IF(D241="V02",cad!$J$29,cad!$K$29))</f>
        <v/>
      </c>
      <c r="L241">
        <f>IF(D241="V01",cad!$I$30,IF(D241="V02",cad!$J$30,cad!$K$30))</f>
        <v/>
      </c>
      <c r="M241">
        <f>IF(D241="V01",cad!$I$31,IF(D241="V02",cad!$J$31,cad!$K$31))</f>
        <v/>
      </c>
      <c r="N241">
        <f>IF(D241="V01",$R$2,IF(D241="V02",$R$3,$R$4))</f>
        <v/>
      </c>
      <c r="O241">
        <f>IF(OR(B241="7062",B241="706",B241="708"),N241,IF(B241="6231",1+G241,IF(B241="6236",1+H241,IF(OR(B241="621",B241="604",B241="6063"),N241*(1-L241),IF(OR(B241="6411",B241="6413",B241="6414",B241="645"),(1+J241)*(1+K241),IF(OR(B241="613",B241="615",B241="616",B241="6226",B241="625",B241="626",B241="6281"),(1+I241)*(1-L241)*(1+M241),IF(OR(B241="6331",B241="63511",B241="6333"),(1+I241)*(1-L241),IF(B241="6811",1+I241,1))))))))</f>
        <v/>
      </c>
      <c r="P241">
        <f>IF(E241=1,F241*O241,"")</f>
        <v/>
      </c>
    </row>
    <row r="242">
      <c r="A242">
        <f>PNL!A242</f>
        <v/>
      </c>
      <c r="B242">
        <f>PNL!B242</f>
        <v/>
      </c>
      <c r="C242">
        <f>PNL!C242</f>
        <v/>
      </c>
      <c r="D242">
        <f>PNL!D242</f>
        <v/>
      </c>
      <c r="E242">
        <f>IF(AND(C242="2027",OR(D242="V01",D242="V02",D242="V03")),1,0)</f>
        <v/>
      </c>
      <c r="F242">
        <f>IF(E242=1,SUMIFS(Compta!$F$2:$F$675,Compta!$A$2:$A$675,A242,Compta!$B$2:$B$675,B242,Compta!$C$2:$C$675,"2026"),0)</f>
        <v/>
      </c>
      <c r="G242">
        <f>IF(D242="V01",cad!$I$21,IF(D242="V02",cad!$J$21,cad!$K$21))</f>
        <v/>
      </c>
      <c r="H242">
        <f>IF(D242="V01",cad!$I$22,IF(D242="V02",cad!$J$22,cad!$K$22))</f>
        <v/>
      </c>
      <c r="I242">
        <f>IF(D242="V01",cad!$I$27,IF(D242="V02",cad!$J$27,cad!$K$27))</f>
        <v/>
      </c>
      <c r="J242">
        <f>IF(D242="V01",cad!$I$28,IF(D242="V02",cad!$J$28,cad!$K$28))</f>
        <v/>
      </c>
      <c r="K242">
        <f>IF(D242="V01",cad!$I$29,IF(D242="V02",cad!$J$29,cad!$K$29))</f>
        <v/>
      </c>
      <c r="L242">
        <f>IF(D242="V01",cad!$I$30,IF(D242="V02",cad!$J$30,cad!$K$30))</f>
        <v/>
      </c>
      <c r="M242">
        <f>IF(D242="V01",cad!$I$31,IF(D242="V02",cad!$J$31,cad!$K$31))</f>
        <v/>
      </c>
      <c r="N242">
        <f>IF(D242="V01",$R$2,IF(D242="V02",$R$3,$R$4))</f>
        <v/>
      </c>
      <c r="O242">
        <f>IF(OR(B242="7062",B242="706",B242="708"),N242,IF(B242="6231",1+G242,IF(B242="6236",1+H242,IF(OR(B242="621",B242="604",B242="6063"),N242*(1-L242),IF(OR(B242="6411",B242="6413",B242="6414",B242="645"),(1+J242)*(1+K242),IF(OR(B242="613",B242="615",B242="616",B242="6226",B242="625",B242="626",B242="6281"),(1+I242)*(1-L242)*(1+M242),IF(OR(B242="6331",B242="63511",B242="6333"),(1+I242)*(1-L242),IF(B242="6811",1+I242,1))))))))</f>
        <v/>
      </c>
      <c r="P242">
        <f>IF(E242=1,F242*O242,"")</f>
        <v/>
      </c>
    </row>
    <row r="243">
      <c r="A243">
        <f>PNL!A243</f>
        <v/>
      </c>
      <c r="B243">
        <f>PNL!B243</f>
        <v/>
      </c>
      <c r="C243">
        <f>PNL!C243</f>
        <v/>
      </c>
      <c r="D243">
        <f>PNL!D243</f>
        <v/>
      </c>
      <c r="E243">
        <f>IF(AND(C243="2027",OR(D243="V01",D243="V02",D243="V03")),1,0)</f>
        <v/>
      </c>
      <c r="F243">
        <f>IF(E243=1,SUMIFS(Compta!$F$2:$F$675,Compta!$A$2:$A$675,A243,Compta!$B$2:$B$675,B243,Compta!$C$2:$C$675,"2026"),0)</f>
        <v/>
      </c>
      <c r="G243">
        <f>IF(D243="V01",cad!$I$21,IF(D243="V02",cad!$J$21,cad!$K$21))</f>
        <v/>
      </c>
      <c r="H243">
        <f>IF(D243="V01",cad!$I$22,IF(D243="V02",cad!$J$22,cad!$K$22))</f>
        <v/>
      </c>
      <c r="I243">
        <f>IF(D243="V01",cad!$I$27,IF(D243="V02",cad!$J$27,cad!$K$27))</f>
        <v/>
      </c>
      <c r="J243">
        <f>IF(D243="V01",cad!$I$28,IF(D243="V02",cad!$J$28,cad!$K$28))</f>
        <v/>
      </c>
      <c r="K243">
        <f>IF(D243="V01",cad!$I$29,IF(D243="V02",cad!$J$29,cad!$K$29))</f>
        <v/>
      </c>
      <c r="L243">
        <f>IF(D243="V01",cad!$I$30,IF(D243="V02",cad!$J$30,cad!$K$30))</f>
        <v/>
      </c>
      <c r="M243">
        <f>IF(D243="V01",cad!$I$31,IF(D243="V02",cad!$J$31,cad!$K$31))</f>
        <v/>
      </c>
      <c r="N243">
        <f>IF(D243="V01",$R$2,IF(D243="V02",$R$3,$R$4))</f>
        <v/>
      </c>
      <c r="O243">
        <f>IF(OR(B243="7062",B243="706",B243="708"),N243,IF(B243="6231",1+G243,IF(B243="6236",1+H243,IF(OR(B243="621",B243="604",B243="6063"),N243*(1-L243),IF(OR(B243="6411",B243="6413",B243="6414",B243="645"),(1+J243)*(1+K243),IF(OR(B243="613",B243="615",B243="616",B243="6226",B243="625",B243="626",B243="6281"),(1+I243)*(1-L243)*(1+M243),IF(OR(B243="6331",B243="63511",B243="6333"),(1+I243)*(1-L243),IF(B243="6811",1+I243,1))))))))</f>
        <v/>
      </c>
      <c r="P243">
        <f>IF(E243=1,F243*O243,"")</f>
        <v/>
      </c>
    </row>
    <row r="244">
      <c r="A244">
        <f>PNL!A244</f>
        <v/>
      </c>
      <c r="B244">
        <f>PNL!B244</f>
        <v/>
      </c>
      <c r="C244">
        <f>PNL!C244</f>
        <v/>
      </c>
      <c r="D244">
        <f>PNL!D244</f>
        <v/>
      </c>
      <c r="E244">
        <f>IF(AND(C244="2027",OR(D244="V01",D244="V02",D244="V03")),1,0)</f>
        <v/>
      </c>
      <c r="F244">
        <f>IF(E244=1,SUMIFS(Compta!$F$2:$F$675,Compta!$A$2:$A$675,A244,Compta!$B$2:$B$675,B244,Compta!$C$2:$C$675,"2026"),0)</f>
        <v/>
      </c>
      <c r="G244">
        <f>IF(D244="V01",cad!$I$21,IF(D244="V02",cad!$J$21,cad!$K$21))</f>
        <v/>
      </c>
      <c r="H244">
        <f>IF(D244="V01",cad!$I$22,IF(D244="V02",cad!$J$22,cad!$K$22))</f>
        <v/>
      </c>
      <c r="I244">
        <f>IF(D244="V01",cad!$I$27,IF(D244="V02",cad!$J$27,cad!$K$27))</f>
        <v/>
      </c>
      <c r="J244">
        <f>IF(D244="V01",cad!$I$28,IF(D244="V02",cad!$J$28,cad!$K$28))</f>
        <v/>
      </c>
      <c r="K244">
        <f>IF(D244="V01",cad!$I$29,IF(D244="V02",cad!$J$29,cad!$K$29))</f>
        <v/>
      </c>
      <c r="L244">
        <f>IF(D244="V01",cad!$I$30,IF(D244="V02",cad!$J$30,cad!$K$30))</f>
        <v/>
      </c>
      <c r="M244">
        <f>IF(D244="V01",cad!$I$31,IF(D244="V02",cad!$J$31,cad!$K$31))</f>
        <v/>
      </c>
      <c r="N244">
        <f>IF(D244="V01",$R$2,IF(D244="V02",$R$3,$R$4))</f>
        <v/>
      </c>
      <c r="O244">
        <f>IF(OR(B244="7062",B244="706",B244="708"),N244,IF(B244="6231",1+G244,IF(B244="6236",1+H244,IF(OR(B244="621",B244="604",B244="6063"),N244*(1-L244),IF(OR(B244="6411",B244="6413",B244="6414",B244="645"),(1+J244)*(1+K244),IF(OR(B244="613",B244="615",B244="616",B244="6226",B244="625",B244="626",B244="6281"),(1+I244)*(1-L244)*(1+M244),IF(OR(B244="6331",B244="63511",B244="6333"),(1+I244)*(1-L244),IF(B244="6811",1+I244,1))))))))</f>
        <v/>
      </c>
      <c r="P244">
        <f>IF(E244=1,F244*O244,"")</f>
        <v/>
      </c>
    </row>
    <row r="245">
      <c r="A245">
        <f>PNL!A245</f>
        <v/>
      </c>
      <c r="B245">
        <f>PNL!B245</f>
        <v/>
      </c>
      <c r="C245">
        <f>PNL!C245</f>
        <v/>
      </c>
      <c r="D245">
        <f>PNL!D245</f>
        <v/>
      </c>
      <c r="E245">
        <f>IF(AND(C245="2027",OR(D245="V01",D245="V02",D245="V03")),1,0)</f>
        <v/>
      </c>
      <c r="F245">
        <f>IF(E245=1,SUMIFS(Compta!$F$2:$F$675,Compta!$A$2:$A$675,A245,Compta!$B$2:$B$675,B245,Compta!$C$2:$C$675,"2026"),0)</f>
        <v/>
      </c>
      <c r="G245">
        <f>IF(D245="V01",cad!$I$21,IF(D245="V02",cad!$J$21,cad!$K$21))</f>
        <v/>
      </c>
      <c r="H245">
        <f>IF(D245="V01",cad!$I$22,IF(D245="V02",cad!$J$22,cad!$K$22))</f>
        <v/>
      </c>
      <c r="I245">
        <f>IF(D245="V01",cad!$I$27,IF(D245="V02",cad!$J$27,cad!$K$27))</f>
        <v/>
      </c>
      <c r="J245">
        <f>IF(D245="V01",cad!$I$28,IF(D245="V02",cad!$J$28,cad!$K$28))</f>
        <v/>
      </c>
      <c r="K245">
        <f>IF(D245="V01",cad!$I$29,IF(D245="V02",cad!$J$29,cad!$K$29))</f>
        <v/>
      </c>
      <c r="L245">
        <f>IF(D245="V01",cad!$I$30,IF(D245="V02",cad!$J$30,cad!$K$30))</f>
        <v/>
      </c>
      <c r="M245">
        <f>IF(D245="V01",cad!$I$31,IF(D245="V02",cad!$J$31,cad!$K$31))</f>
        <v/>
      </c>
      <c r="N245">
        <f>IF(D245="V01",$R$2,IF(D245="V02",$R$3,$R$4))</f>
        <v/>
      </c>
      <c r="O245">
        <f>IF(OR(B245="7062",B245="706",B245="708"),N245,IF(B245="6231",1+G245,IF(B245="6236",1+H245,IF(OR(B245="621",B245="604",B245="6063"),N245*(1-L245),IF(OR(B245="6411",B245="6413",B245="6414",B245="645"),(1+J245)*(1+K245),IF(OR(B245="613",B245="615",B245="616",B245="6226",B245="625",B245="626",B245="6281"),(1+I245)*(1-L245)*(1+M245),IF(OR(B245="6331",B245="63511",B245="6333"),(1+I245)*(1-L245),IF(B245="6811",1+I245,1))))))))</f>
        <v/>
      </c>
      <c r="P245">
        <f>IF(E245=1,F245*O245,"")</f>
        <v/>
      </c>
    </row>
    <row r="246">
      <c r="A246">
        <f>PNL!A246</f>
        <v/>
      </c>
      <c r="B246">
        <f>PNL!B246</f>
        <v/>
      </c>
      <c r="C246">
        <f>PNL!C246</f>
        <v/>
      </c>
      <c r="D246">
        <f>PNL!D246</f>
        <v/>
      </c>
      <c r="E246">
        <f>IF(AND(C246="2027",OR(D246="V01",D246="V02",D246="V03")),1,0)</f>
        <v/>
      </c>
      <c r="F246">
        <f>IF(E246=1,SUMIFS(Compta!$F$2:$F$675,Compta!$A$2:$A$675,A246,Compta!$B$2:$B$675,B246,Compta!$C$2:$C$675,"2026"),0)</f>
        <v/>
      </c>
      <c r="G246">
        <f>IF(D246="V01",cad!$I$21,IF(D246="V02",cad!$J$21,cad!$K$21))</f>
        <v/>
      </c>
      <c r="H246">
        <f>IF(D246="V01",cad!$I$22,IF(D246="V02",cad!$J$22,cad!$K$22))</f>
        <v/>
      </c>
      <c r="I246">
        <f>IF(D246="V01",cad!$I$27,IF(D246="V02",cad!$J$27,cad!$K$27))</f>
        <v/>
      </c>
      <c r="J246">
        <f>IF(D246="V01",cad!$I$28,IF(D246="V02",cad!$J$28,cad!$K$28))</f>
        <v/>
      </c>
      <c r="K246">
        <f>IF(D246="V01",cad!$I$29,IF(D246="V02",cad!$J$29,cad!$K$29))</f>
        <v/>
      </c>
      <c r="L246">
        <f>IF(D246="V01",cad!$I$30,IF(D246="V02",cad!$J$30,cad!$K$30))</f>
        <v/>
      </c>
      <c r="M246">
        <f>IF(D246="V01",cad!$I$31,IF(D246="V02",cad!$J$31,cad!$K$31))</f>
        <v/>
      </c>
      <c r="N246">
        <f>IF(D246="V01",$R$2,IF(D246="V02",$R$3,$R$4))</f>
        <v/>
      </c>
      <c r="O246">
        <f>IF(OR(B246="7062",B246="706",B246="708"),N246,IF(B246="6231",1+G246,IF(B246="6236",1+H246,IF(OR(B246="621",B246="604",B246="6063"),N246*(1-L246),IF(OR(B246="6411",B246="6413",B246="6414",B246="645"),(1+J246)*(1+K246),IF(OR(B246="613",B246="615",B246="616",B246="6226",B246="625",B246="626",B246="6281"),(1+I246)*(1-L246)*(1+M246),IF(OR(B246="6331",B246="63511",B246="6333"),(1+I246)*(1-L246),IF(B246="6811",1+I246,1))))))))</f>
        <v/>
      </c>
      <c r="P246">
        <f>IF(E246=1,F246*O246,"")</f>
        <v/>
      </c>
    </row>
    <row r="247">
      <c r="A247">
        <f>PNL!A247</f>
        <v/>
      </c>
      <c r="B247">
        <f>PNL!B247</f>
        <v/>
      </c>
      <c r="C247">
        <f>PNL!C247</f>
        <v/>
      </c>
      <c r="D247">
        <f>PNL!D247</f>
        <v/>
      </c>
      <c r="E247">
        <f>IF(AND(C247="2027",OR(D247="V01",D247="V02",D247="V03")),1,0)</f>
        <v/>
      </c>
      <c r="F247">
        <f>IF(E247=1,SUMIFS(Compta!$F$2:$F$675,Compta!$A$2:$A$675,A247,Compta!$B$2:$B$675,B247,Compta!$C$2:$C$675,"2026"),0)</f>
        <v/>
      </c>
      <c r="G247">
        <f>IF(D247="V01",cad!$I$21,IF(D247="V02",cad!$J$21,cad!$K$21))</f>
        <v/>
      </c>
      <c r="H247">
        <f>IF(D247="V01",cad!$I$22,IF(D247="V02",cad!$J$22,cad!$K$22))</f>
        <v/>
      </c>
      <c r="I247">
        <f>IF(D247="V01",cad!$I$27,IF(D247="V02",cad!$J$27,cad!$K$27))</f>
        <v/>
      </c>
      <c r="J247">
        <f>IF(D247="V01",cad!$I$28,IF(D247="V02",cad!$J$28,cad!$K$28))</f>
        <v/>
      </c>
      <c r="K247">
        <f>IF(D247="V01",cad!$I$29,IF(D247="V02",cad!$J$29,cad!$K$29))</f>
        <v/>
      </c>
      <c r="L247">
        <f>IF(D247="V01",cad!$I$30,IF(D247="V02",cad!$J$30,cad!$K$30))</f>
        <v/>
      </c>
      <c r="M247">
        <f>IF(D247="V01",cad!$I$31,IF(D247="V02",cad!$J$31,cad!$K$31))</f>
        <v/>
      </c>
      <c r="N247">
        <f>IF(D247="V01",$R$2,IF(D247="V02",$R$3,$R$4))</f>
        <v/>
      </c>
      <c r="O247">
        <f>IF(OR(B247="7062",B247="706",B247="708"),N247,IF(B247="6231",1+G247,IF(B247="6236",1+H247,IF(OR(B247="621",B247="604",B247="6063"),N247*(1-L247),IF(OR(B247="6411",B247="6413",B247="6414",B247="645"),(1+J247)*(1+K247),IF(OR(B247="613",B247="615",B247="616",B247="6226",B247="625",B247="626",B247="6281"),(1+I247)*(1-L247)*(1+M247),IF(OR(B247="6331",B247="63511",B247="6333"),(1+I247)*(1-L247),IF(B247="6811",1+I247,1))))))))</f>
        <v/>
      </c>
      <c r="P247">
        <f>IF(E247=1,F247*O247,"")</f>
        <v/>
      </c>
    </row>
    <row r="248">
      <c r="A248">
        <f>PNL!A248</f>
        <v/>
      </c>
      <c r="B248">
        <f>PNL!B248</f>
        <v/>
      </c>
      <c r="C248">
        <f>PNL!C248</f>
        <v/>
      </c>
      <c r="D248">
        <f>PNL!D248</f>
        <v/>
      </c>
      <c r="E248">
        <f>IF(AND(C248="2027",OR(D248="V01",D248="V02",D248="V03")),1,0)</f>
        <v/>
      </c>
      <c r="F248">
        <f>IF(E248=1,SUMIFS(Compta!$F$2:$F$675,Compta!$A$2:$A$675,A248,Compta!$B$2:$B$675,B248,Compta!$C$2:$C$675,"2026"),0)</f>
        <v/>
      </c>
      <c r="G248">
        <f>IF(D248="V01",cad!$I$21,IF(D248="V02",cad!$J$21,cad!$K$21))</f>
        <v/>
      </c>
      <c r="H248">
        <f>IF(D248="V01",cad!$I$22,IF(D248="V02",cad!$J$22,cad!$K$22))</f>
        <v/>
      </c>
      <c r="I248">
        <f>IF(D248="V01",cad!$I$27,IF(D248="V02",cad!$J$27,cad!$K$27))</f>
        <v/>
      </c>
      <c r="J248">
        <f>IF(D248="V01",cad!$I$28,IF(D248="V02",cad!$J$28,cad!$K$28))</f>
        <v/>
      </c>
      <c r="K248">
        <f>IF(D248="V01",cad!$I$29,IF(D248="V02",cad!$J$29,cad!$K$29))</f>
        <v/>
      </c>
      <c r="L248">
        <f>IF(D248="V01",cad!$I$30,IF(D248="V02",cad!$J$30,cad!$K$30))</f>
        <v/>
      </c>
      <c r="M248">
        <f>IF(D248="V01",cad!$I$31,IF(D248="V02",cad!$J$31,cad!$K$31))</f>
        <v/>
      </c>
      <c r="N248">
        <f>IF(D248="V01",$R$2,IF(D248="V02",$R$3,$R$4))</f>
        <v/>
      </c>
      <c r="O248">
        <f>IF(OR(B248="7062",B248="706",B248="708"),N248,IF(B248="6231",1+G248,IF(B248="6236",1+H248,IF(OR(B248="621",B248="604",B248="6063"),N248*(1-L248),IF(OR(B248="6411",B248="6413",B248="6414",B248="645"),(1+J248)*(1+K248),IF(OR(B248="613",B248="615",B248="616",B248="6226",B248="625",B248="626",B248="6281"),(1+I248)*(1-L248)*(1+M248),IF(OR(B248="6331",B248="63511",B248="6333"),(1+I248)*(1-L248),IF(B248="6811",1+I248,1))))))))</f>
        <v/>
      </c>
      <c r="P248">
        <f>IF(E248=1,F248*O248,"")</f>
        <v/>
      </c>
    </row>
    <row r="249">
      <c r="A249">
        <f>PNL!A249</f>
        <v/>
      </c>
      <c r="B249">
        <f>PNL!B249</f>
        <v/>
      </c>
      <c r="C249">
        <f>PNL!C249</f>
        <v/>
      </c>
      <c r="D249">
        <f>PNL!D249</f>
        <v/>
      </c>
      <c r="E249">
        <f>IF(AND(C249="2027",OR(D249="V01",D249="V02",D249="V03")),1,0)</f>
        <v/>
      </c>
      <c r="F249">
        <f>IF(E249=1,SUMIFS(Compta!$F$2:$F$675,Compta!$A$2:$A$675,A249,Compta!$B$2:$B$675,B249,Compta!$C$2:$C$675,"2026"),0)</f>
        <v/>
      </c>
      <c r="G249">
        <f>IF(D249="V01",cad!$I$21,IF(D249="V02",cad!$J$21,cad!$K$21))</f>
        <v/>
      </c>
      <c r="H249">
        <f>IF(D249="V01",cad!$I$22,IF(D249="V02",cad!$J$22,cad!$K$22))</f>
        <v/>
      </c>
      <c r="I249">
        <f>IF(D249="V01",cad!$I$27,IF(D249="V02",cad!$J$27,cad!$K$27))</f>
        <v/>
      </c>
      <c r="J249">
        <f>IF(D249="V01",cad!$I$28,IF(D249="V02",cad!$J$28,cad!$K$28))</f>
        <v/>
      </c>
      <c r="K249">
        <f>IF(D249="V01",cad!$I$29,IF(D249="V02",cad!$J$29,cad!$K$29))</f>
        <v/>
      </c>
      <c r="L249">
        <f>IF(D249="V01",cad!$I$30,IF(D249="V02",cad!$J$30,cad!$K$30))</f>
        <v/>
      </c>
      <c r="M249">
        <f>IF(D249="V01",cad!$I$31,IF(D249="V02",cad!$J$31,cad!$K$31))</f>
        <v/>
      </c>
      <c r="N249">
        <f>IF(D249="V01",$R$2,IF(D249="V02",$R$3,$R$4))</f>
        <v/>
      </c>
      <c r="O249">
        <f>IF(OR(B249="7062",B249="706",B249="708"),N249,IF(B249="6231",1+G249,IF(B249="6236",1+H249,IF(OR(B249="621",B249="604",B249="6063"),N249*(1-L249),IF(OR(B249="6411",B249="6413",B249="6414",B249="645"),(1+J249)*(1+K249),IF(OR(B249="613",B249="615",B249="616",B249="6226",B249="625",B249="626",B249="6281"),(1+I249)*(1-L249)*(1+M249),IF(OR(B249="6331",B249="63511",B249="6333"),(1+I249)*(1-L249),IF(B249="6811",1+I249,1))))))))</f>
        <v/>
      </c>
      <c r="P249">
        <f>IF(E249=1,F249*O249,"")</f>
        <v/>
      </c>
    </row>
    <row r="250">
      <c r="A250">
        <f>PNL!A250</f>
        <v/>
      </c>
      <c r="B250">
        <f>PNL!B250</f>
        <v/>
      </c>
      <c r="C250">
        <f>PNL!C250</f>
        <v/>
      </c>
      <c r="D250">
        <f>PNL!D250</f>
        <v/>
      </c>
      <c r="E250">
        <f>IF(AND(C250="2027",OR(D250="V01",D250="V02",D250="V03")),1,0)</f>
        <v/>
      </c>
      <c r="F250">
        <f>IF(E250=1,SUMIFS(Compta!$F$2:$F$675,Compta!$A$2:$A$675,A250,Compta!$B$2:$B$675,B250,Compta!$C$2:$C$675,"2026"),0)</f>
        <v/>
      </c>
      <c r="G250">
        <f>IF(D250="V01",cad!$I$21,IF(D250="V02",cad!$J$21,cad!$K$21))</f>
        <v/>
      </c>
      <c r="H250">
        <f>IF(D250="V01",cad!$I$22,IF(D250="V02",cad!$J$22,cad!$K$22))</f>
        <v/>
      </c>
      <c r="I250">
        <f>IF(D250="V01",cad!$I$27,IF(D250="V02",cad!$J$27,cad!$K$27))</f>
        <v/>
      </c>
      <c r="J250">
        <f>IF(D250="V01",cad!$I$28,IF(D250="V02",cad!$J$28,cad!$K$28))</f>
        <v/>
      </c>
      <c r="K250">
        <f>IF(D250="V01",cad!$I$29,IF(D250="V02",cad!$J$29,cad!$K$29))</f>
        <v/>
      </c>
      <c r="L250">
        <f>IF(D250="V01",cad!$I$30,IF(D250="V02",cad!$J$30,cad!$K$30))</f>
        <v/>
      </c>
      <c r="M250">
        <f>IF(D250="V01",cad!$I$31,IF(D250="V02",cad!$J$31,cad!$K$31))</f>
        <v/>
      </c>
      <c r="N250">
        <f>IF(D250="V01",$R$2,IF(D250="V02",$R$3,$R$4))</f>
        <v/>
      </c>
      <c r="O250">
        <f>IF(OR(B250="7062",B250="706",B250="708"),N250,IF(B250="6231",1+G250,IF(B250="6236",1+H250,IF(OR(B250="621",B250="604",B250="6063"),N250*(1-L250),IF(OR(B250="6411",B250="6413",B250="6414",B250="645"),(1+J250)*(1+K250),IF(OR(B250="613",B250="615",B250="616",B250="6226",B250="625",B250="626",B250="6281"),(1+I250)*(1-L250)*(1+M250),IF(OR(B250="6331",B250="63511",B250="6333"),(1+I250)*(1-L250),IF(B250="6811",1+I250,1))))))))</f>
        <v/>
      </c>
      <c r="P250">
        <f>IF(E250=1,F250*O250,"")</f>
        <v/>
      </c>
    </row>
    <row r="251">
      <c r="A251">
        <f>PNL!A251</f>
        <v/>
      </c>
      <c r="B251">
        <f>PNL!B251</f>
        <v/>
      </c>
      <c r="C251">
        <f>PNL!C251</f>
        <v/>
      </c>
      <c r="D251">
        <f>PNL!D251</f>
        <v/>
      </c>
      <c r="E251">
        <f>IF(AND(C251="2027",OR(D251="V01",D251="V02",D251="V03")),1,0)</f>
        <v/>
      </c>
      <c r="F251">
        <f>IF(E251=1,SUMIFS(Compta!$F$2:$F$675,Compta!$A$2:$A$675,A251,Compta!$B$2:$B$675,B251,Compta!$C$2:$C$675,"2026"),0)</f>
        <v/>
      </c>
      <c r="G251">
        <f>IF(D251="V01",cad!$I$21,IF(D251="V02",cad!$J$21,cad!$K$21))</f>
        <v/>
      </c>
      <c r="H251">
        <f>IF(D251="V01",cad!$I$22,IF(D251="V02",cad!$J$22,cad!$K$22))</f>
        <v/>
      </c>
      <c r="I251">
        <f>IF(D251="V01",cad!$I$27,IF(D251="V02",cad!$J$27,cad!$K$27))</f>
        <v/>
      </c>
      <c r="J251">
        <f>IF(D251="V01",cad!$I$28,IF(D251="V02",cad!$J$28,cad!$K$28))</f>
        <v/>
      </c>
      <c r="K251">
        <f>IF(D251="V01",cad!$I$29,IF(D251="V02",cad!$J$29,cad!$K$29))</f>
        <v/>
      </c>
      <c r="L251">
        <f>IF(D251="V01",cad!$I$30,IF(D251="V02",cad!$J$30,cad!$K$30))</f>
        <v/>
      </c>
      <c r="M251">
        <f>IF(D251="V01",cad!$I$31,IF(D251="V02",cad!$J$31,cad!$K$31))</f>
        <v/>
      </c>
      <c r="N251">
        <f>IF(D251="V01",$R$2,IF(D251="V02",$R$3,$R$4))</f>
        <v/>
      </c>
      <c r="O251">
        <f>IF(OR(B251="7062",B251="706",B251="708"),N251,IF(B251="6231",1+G251,IF(B251="6236",1+H251,IF(OR(B251="621",B251="604",B251="6063"),N251*(1-L251),IF(OR(B251="6411",B251="6413",B251="6414",B251="645"),(1+J251)*(1+K251),IF(OR(B251="613",B251="615",B251="616",B251="6226",B251="625",B251="626",B251="6281"),(1+I251)*(1-L251)*(1+M251),IF(OR(B251="6331",B251="63511",B251="6333"),(1+I251)*(1-L251),IF(B251="6811",1+I251,1))))))))</f>
        <v/>
      </c>
      <c r="P251">
        <f>IF(E251=1,F251*O251,"")</f>
        <v/>
      </c>
    </row>
    <row r="252">
      <c r="A252">
        <f>PNL!A252</f>
        <v/>
      </c>
      <c r="B252">
        <f>PNL!B252</f>
        <v/>
      </c>
      <c r="C252">
        <f>PNL!C252</f>
        <v/>
      </c>
      <c r="D252">
        <f>PNL!D252</f>
        <v/>
      </c>
      <c r="E252">
        <f>IF(AND(C252="2027",OR(D252="V01",D252="V02",D252="V03")),1,0)</f>
        <v/>
      </c>
      <c r="F252">
        <f>IF(E252=1,SUMIFS(Compta!$F$2:$F$675,Compta!$A$2:$A$675,A252,Compta!$B$2:$B$675,B252,Compta!$C$2:$C$675,"2026"),0)</f>
        <v/>
      </c>
      <c r="G252">
        <f>IF(D252="V01",cad!$I$21,IF(D252="V02",cad!$J$21,cad!$K$21))</f>
        <v/>
      </c>
      <c r="H252">
        <f>IF(D252="V01",cad!$I$22,IF(D252="V02",cad!$J$22,cad!$K$22))</f>
        <v/>
      </c>
      <c r="I252">
        <f>IF(D252="V01",cad!$I$27,IF(D252="V02",cad!$J$27,cad!$K$27))</f>
        <v/>
      </c>
      <c r="J252">
        <f>IF(D252="V01",cad!$I$28,IF(D252="V02",cad!$J$28,cad!$K$28))</f>
        <v/>
      </c>
      <c r="K252">
        <f>IF(D252="V01",cad!$I$29,IF(D252="V02",cad!$J$29,cad!$K$29))</f>
        <v/>
      </c>
      <c r="L252">
        <f>IF(D252="V01",cad!$I$30,IF(D252="V02",cad!$J$30,cad!$K$30))</f>
        <v/>
      </c>
      <c r="M252">
        <f>IF(D252="V01",cad!$I$31,IF(D252="V02",cad!$J$31,cad!$K$31))</f>
        <v/>
      </c>
      <c r="N252">
        <f>IF(D252="V01",$R$2,IF(D252="V02",$R$3,$R$4))</f>
        <v/>
      </c>
      <c r="O252">
        <f>IF(OR(B252="7062",B252="706",B252="708"),N252,IF(B252="6231",1+G252,IF(B252="6236",1+H252,IF(OR(B252="621",B252="604",B252="6063"),N252*(1-L252),IF(OR(B252="6411",B252="6413",B252="6414",B252="645"),(1+J252)*(1+K252),IF(OR(B252="613",B252="615",B252="616",B252="6226",B252="625",B252="626",B252="6281"),(1+I252)*(1-L252)*(1+M252),IF(OR(B252="6331",B252="63511",B252="6333"),(1+I252)*(1-L252),IF(B252="6811",1+I252,1))))))))</f>
        <v/>
      </c>
      <c r="P252">
        <f>IF(E252=1,F252*O252,"")</f>
        <v/>
      </c>
    </row>
    <row r="253">
      <c r="A253">
        <f>PNL!A253</f>
        <v/>
      </c>
      <c r="B253">
        <f>PNL!B253</f>
        <v/>
      </c>
      <c r="C253">
        <f>PNL!C253</f>
        <v/>
      </c>
      <c r="D253">
        <f>PNL!D253</f>
        <v/>
      </c>
      <c r="E253">
        <f>IF(AND(C253="2027",OR(D253="V01",D253="V02",D253="V03")),1,0)</f>
        <v/>
      </c>
      <c r="F253">
        <f>IF(E253=1,SUMIFS(Compta!$F$2:$F$675,Compta!$A$2:$A$675,A253,Compta!$B$2:$B$675,B253,Compta!$C$2:$C$675,"2026"),0)</f>
        <v/>
      </c>
      <c r="G253">
        <f>IF(D253="V01",cad!$I$21,IF(D253="V02",cad!$J$21,cad!$K$21))</f>
        <v/>
      </c>
      <c r="H253">
        <f>IF(D253="V01",cad!$I$22,IF(D253="V02",cad!$J$22,cad!$K$22))</f>
        <v/>
      </c>
      <c r="I253">
        <f>IF(D253="V01",cad!$I$27,IF(D253="V02",cad!$J$27,cad!$K$27))</f>
        <v/>
      </c>
      <c r="J253">
        <f>IF(D253="V01",cad!$I$28,IF(D253="V02",cad!$J$28,cad!$K$28))</f>
        <v/>
      </c>
      <c r="K253">
        <f>IF(D253="V01",cad!$I$29,IF(D253="V02",cad!$J$29,cad!$K$29))</f>
        <v/>
      </c>
      <c r="L253">
        <f>IF(D253="V01",cad!$I$30,IF(D253="V02",cad!$J$30,cad!$K$30))</f>
        <v/>
      </c>
      <c r="M253">
        <f>IF(D253="V01",cad!$I$31,IF(D253="V02",cad!$J$31,cad!$K$31))</f>
        <v/>
      </c>
      <c r="N253">
        <f>IF(D253="V01",$R$2,IF(D253="V02",$R$3,$R$4))</f>
        <v/>
      </c>
      <c r="O253">
        <f>IF(OR(B253="7062",B253="706",B253="708"),N253,IF(B253="6231",1+G253,IF(B253="6236",1+H253,IF(OR(B253="621",B253="604",B253="6063"),N253*(1-L253),IF(OR(B253="6411",B253="6413",B253="6414",B253="645"),(1+J253)*(1+K253),IF(OR(B253="613",B253="615",B253="616",B253="6226",B253="625",B253="626",B253="6281"),(1+I253)*(1-L253)*(1+M253),IF(OR(B253="6331",B253="63511",B253="6333"),(1+I253)*(1-L253),IF(B253="6811",1+I253,1))))))))</f>
        <v/>
      </c>
      <c r="P253">
        <f>IF(E253=1,F253*O253,"")</f>
        <v/>
      </c>
    </row>
    <row r="254">
      <c r="A254">
        <f>PNL!A254</f>
        <v/>
      </c>
      <c r="B254">
        <f>PNL!B254</f>
        <v/>
      </c>
      <c r="C254">
        <f>PNL!C254</f>
        <v/>
      </c>
      <c r="D254">
        <f>PNL!D254</f>
        <v/>
      </c>
      <c r="E254">
        <f>IF(AND(C254="2027",OR(D254="V01",D254="V02",D254="V03")),1,0)</f>
        <v/>
      </c>
      <c r="F254">
        <f>IF(E254=1,SUMIFS(Compta!$F$2:$F$675,Compta!$A$2:$A$675,A254,Compta!$B$2:$B$675,B254,Compta!$C$2:$C$675,"2026"),0)</f>
        <v/>
      </c>
      <c r="G254">
        <f>IF(D254="V01",cad!$I$21,IF(D254="V02",cad!$J$21,cad!$K$21))</f>
        <v/>
      </c>
      <c r="H254">
        <f>IF(D254="V01",cad!$I$22,IF(D254="V02",cad!$J$22,cad!$K$22))</f>
        <v/>
      </c>
      <c r="I254">
        <f>IF(D254="V01",cad!$I$27,IF(D254="V02",cad!$J$27,cad!$K$27))</f>
        <v/>
      </c>
      <c r="J254">
        <f>IF(D254="V01",cad!$I$28,IF(D254="V02",cad!$J$28,cad!$K$28))</f>
        <v/>
      </c>
      <c r="K254">
        <f>IF(D254="V01",cad!$I$29,IF(D254="V02",cad!$J$29,cad!$K$29))</f>
        <v/>
      </c>
      <c r="L254">
        <f>IF(D254="V01",cad!$I$30,IF(D254="V02",cad!$J$30,cad!$K$30))</f>
        <v/>
      </c>
      <c r="M254">
        <f>IF(D254="V01",cad!$I$31,IF(D254="V02",cad!$J$31,cad!$K$31))</f>
        <v/>
      </c>
      <c r="N254">
        <f>IF(D254="V01",$R$2,IF(D254="V02",$R$3,$R$4))</f>
        <v/>
      </c>
      <c r="O254">
        <f>IF(OR(B254="7062",B254="706",B254="708"),N254,IF(B254="6231",1+G254,IF(B254="6236",1+H254,IF(OR(B254="621",B254="604",B254="6063"),N254*(1-L254),IF(OR(B254="6411",B254="6413",B254="6414",B254="645"),(1+J254)*(1+K254),IF(OR(B254="613",B254="615",B254="616",B254="6226",B254="625",B254="626",B254="6281"),(1+I254)*(1-L254)*(1+M254),IF(OR(B254="6331",B254="63511",B254="6333"),(1+I254)*(1-L254),IF(B254="6811",1+I254,1))))))))</f>
        <v/>
      </c>
      <c r="P254">
        <f>IF(E254=1,F254*O254,"")</f>
        <v/>
      </c>
    </row>
    <row r="255">
      <c r="A255">
        <f>PNL!A255</f>
        <v/>
      </c>
      <c r="B255">
        <f>PNL!B255</f>
        <v/>
      </c>
      <c r="C255">
        <f>PNL!C255</f>
        <v/>
      </c>
      <c r="D255">
        <f>PNL!D255</f>
        <v/>
      </c>
      <c r="E255">
        <f>IF(AND(C255="2027",OR(D255="V01",D255="V02",D255="V03")),1,0)</f>
        <v/>
      </c>
      <c r="F255">
        <f>IF(E255=1,SUMIFS(Compta!$F$2:$F$675,Compta!$A$2:$A$675,A255,Compta!$B$2:$B$675,B255,Compta!$C$2:$C$675,"2026"),0)</f>
        <v/>
      </c>
      <c r="G255">
        <f>IF(D255="V01",cad!$I$21,IF(D255="V02",cad!$J$21,cad!$K$21))</f>
        <v/>
      </c>
      <c r="H255">
        <f>IF(D255="V01",cad!$I$22,IF(D255="V02",cad!$J$22,cad!$K$22))</f>
        <v/>
      </c>
      <c r="I255">
        <f>IF(D255="V01",cad!$I$27,IF(D255="V02",cad!$J$27,cad!$K$27))</f>
        <v/>
      </c>
      <c r="J255">
        <f>IF(D255="V01",cad!$I$28,IF(D255="V02",cad!$J$28,cad!$K$28))</f>
        <v/>
      </c>
      <c r="K255">
        <f>IF(D255="V01",cad!$I$29,IF(D255="V02",cad!$J$29,cad!$K$29))</f>
        <v/>
      </c>
      <c r="L255">
        <f>IF(D255="V01",cad!$I$30,IF(D255="V02",cad!$J$30,cad!$K$30))</f>
        <v/>
      </c>
      <c r="M255">
        <f>IF(D255="V01",cad!$I$31,IF(D255="V02",cad!$J$31,cad!$K$31))</f>
        <v/>
      </c>
      <c r="N255">
        <f>IF(D255="V01",$R$2,IF(D255="V02",$R$3,$R$4))</f>
        <v/>
      </c>
      <c r="O255">
        <f>IF(OR(B255="7062",B255="706",B255="708"),N255,IF(B255="6231",1+G255,IF(B255="6236",1+H255,IF(OR(B255="621",B255="604",B255="6063"),N255*(1-L255),IF(OR(B255="6411",B255="6413",B255="6414",B255="645"),(1+J255)*(1+K255),IF(OR(B255="613",B255="615",B255="616",B255="6226",B255="625",B255="626",B255="6281"),(1+I255)*(1-L255)*(1+M255),IF(OR(B255="6331",B255="63511",B255="6333"),(1+I255)*(1-L255),IF(B255="6811",1+I255,1))))))))</f>
        <v/>
      </c>
      <c r="P255">
        <f>IF(E255=1,F255*O255,"")</f>
        <v/>
      </c>
    </row>
    <row r="256">
      <c r="A256">
        <f>PNL!A256</f>
        <v/>
      </c>
      <c r="B256">
        <f>PNL!B256</f>
        <v/>
      </c>
      <c r="C256">
        <f>PNL!C256</f>
        <v/>
      </c>
      <c r="D256">
        <f>PNL!D256</f>
        <v/>
      </c>
      <c r="E256">
        <f>IF(AND(C256="2027",OR(D256="V01",D256="V02",D256="V03")),1,0)</f>
        <v/>
      </c>
      <c r="F256">
        <f>IF(E256=1,SUMIFS(Compta!$F$2:$F$675,Compta!$A$2:$A$675,A256,Compta!$B$2:$B$675,B256,Compta!$C$2:$C$675,"2026"),0)</f>
        <v/>
      </c>
      <c r="G256">
        <f>IF(D256="V01",cad!$I$21,IF(D256="V02",cad!$J$21,cad!$K$21))</f>
        <v/>
      </c>
      <c r="H256">
        <f>IF(D256="V01",cad!$I$22,IF(D256="V02",cad!$J$22,cad!$K$22))</f>
        <v/>
      </c>
      <c r="I256">
        <f>IF(D256="V01",cad!$I$27,IF(D256="V02",cad!$J$27,cad!$K$27))</f>
        <v/>
      </c>
      <c r="J256">
        <f>IF(D256="V01",cad!$I$28,IF(D256="V02",cad!$J$28,cad!$K$28))</f>
        <v/>
      </c>
      <c r="K256">
        <f>IF(D256="V01",cad!$I$29,IF(D256="V02",cad!$J$29,cad!$K$29))</f>
        <v/>
      </c>
      <c r="L256">
        <f>IF(D256="V01",cad!$I$30,IF(D256="V02",cad!$J$30,cad!$K$30))</f>
        <v/>
      </c>
      <c r="M256">
        <f>IF(D256="V01",cad!$I$31,IF(D256="V02",cad!$J$31,cad!$K$31))</f>
        <v/>
      </c>
      <c r="N256">
        <f>IF(D256="V01",$R$2,IF(D256="V02",$R$3,$R$4))</f>
        <v/>
      </c>
      <c r="O256">
        <f>IF(OR(B256="7062",B256="706",B256="708"),N256,IF(B256="6231",1+G256,IF(B256="6236",1+H256,IF(OR(B256="621",B256="604",B256="6063"),N256*(1-L256),IF(OR(B256="6411",B256="6413",B256="6414",B256="645"),(1+J256)*(1+K256),IF(OR(B256="613",B256="615",B256="616",B256="6226",B256="625",B256="626",B256="6281"),(1+I256)*(1-L256)*(1+M256),IF(OR(B256="6331",B256="63511",B256="6333"),(1+I256)*(1-L256),IF(B256="6811",1+I256,1))))))))</f>
        <v/>
      </c>
      <c r="P256">
        <f>IF(E256=1,F256*O256,"")</f>
        <v/>
      </c>
    </row>
    <row r="257">
      <c r="A257">
        <f>PNL!A257</f>
        <v/>
      </c>
      <c r="B257">
        <f>PNL!B257</f>
        <v/>
      </c>
      <c r="C257">
        <f>PNL!C257</f>
        <v/>
      </c>
      <c r="D257">
        <f>PNL!D257</f>
        <v/>
      </c>
      <c r="E257">
        <f>IF(AND(C257="2027",OR(D257="V01",D257="V02",D257="V03")),1,0)</f>
        <v/>
      </c>
      <c r="F257">
        <f>IF(E257=1,SUMIFS(Compta!$F$2:$F$675,Compta!$A$2:$A$675,A257,Compta!$B$2:$B$675,B257,Compta!$C$2:$C$675,"2026"),0)</f>
        <v/>
      </c>
      <c r="G257">
        <f>IF(D257="V01",cad!$I$21,IF(D257="V02",cad!$J$21,cad!$K$21))</f>
        <v/>
      </c>
      <c r="H257">
        <f>IF(D257="V01",cad!$I$22,IF(D257="V02",cad!$J$22,cad!$K$22))</f>
        <v/>
      </c>
      <c r="I257">
        <f>IF(D257="V01",cad!$I$27,IF(D257="V02",cad!$J$27,cad!$K$27))</f>
        <v/>
      </c>
      <c r="J257">
        <f>IF(D257="V01",cad!$I$28,IF(D257="V02",cad!$J$28,cad!$K$28))</f>
        <v/>
      </c>
      <c r="K257">
        <f>IF(D257="V01",cad!$I$29,IF(D257="V02",cad!$J$29,cad!$K$29))</f>
        <v/>
      </c>
      <c r="L257">
        <f>IF(D257="V01",cad!$I$30,IF(D257="V02",cad!$J$30,cad!$K$30))</f>
        <v/>
      </c>
      <c r="M257">
        <f>IF(D257="V01",cad!$I$31,IF(D257="V02",cad!$J$31,cad!$K$31))</f>
        <v/>
      </c>
      <c r="N257">
        <f>IF(D257="V01",$R$2,IF(D257="V02",$R$3,$R$4))</f>
        <v/>
      </c>
      <c r="O257">
        <f>IF(OR(B257="7062",B257="706",B257="708"),N257,IF(B257="6231",1+G257,IF(B257="6236",1+H257,IF(OR(B257="621",B257="604",B257="6063"),N257*(1-L257),IF(OR(B257="6411",B257="6413",B257="6414",B257="645"),(1+J257)*(1+K257),IF(OR(B257="613",B257="615",B257="616",B257="6226",B257="625",B257="626",B257="6281"),(1+I257)*(1-L257)*(1+M257),IF(OR(B257="6331",B257="63511",B257="6333"),(1+I257)*(1-L257),IF(B257="6811",1+I257,1))))))))</f>
        <v/>
      </c>
      <c r="P257">
        <f>IF(E257=1,F257*O257,"")</f>
        <v/>
      </c>
    </row>
    <row r="258">
      <c r="A258">
        <f>PNL!A258</f>
        <v/>
      </c>
      <c r="B258">
        <f>PNL!B258</f>
        <v/>
      </c>
      <c r="C258">
        <f>PNL!C258</f>
        <v/>
      </c>
      <c r="D258">
        <f>PNL!D258</f>
        <v/>
      </c>
      <c r="E258">
        <f>IF(AND(C258="2027",OR(D258="V01",D258="V02",D258="V03")),1,0)</f>
        <v/>
      </c>
      <c r="F258">
        <f>IF(E258=1,SUMIFS(Compta!$F$2:$F$675,Compta!$A$2:$A$675,A258,Compta!$B$2:$B$675,B258,Compta!$C$2:$C$675,"2026"),0)</f>
        <v/>
      </c>
      <c r="G258">
        <f>IF(D258="V01",cad!$I$21,IF(D258="V02",cad!$J$21,cad!$K$21))</f>
        <v/>
      </c>
      <c r="H258">
        <f>IF(D258="V01",cad!$I$22,IF(D258="V02",cad!$J$22,cad!$K$22))</f>
        <v/>
      </c>
      <c r="I258">
        <f>IF(D258="V01",cad!$I$27,IF(D258="V02",cad!$J$27,cad!$K$27))</f>
        <v/>
      </c>
      <c r="J258">
        <f>IF(D258="V01",cad!$I$28,IF(D258="V02",cad!$J$28,cad!$K$28))</f>
        <v/>
      </c>
      <c r="K258">
        <f>IF(D258="V01",cad!$I$29,IF(D258="V02",cad!$J$29,cad!$K$29))</f>
        <v/>
      </c>
      <c r="L258">
        <f>IF(D258="V01",cad!$I$30,IF(D258="V02",cad!$J$30,cad!$K$30))</f>
        <v/>
      </c>
      <c r="M258">
        <f>IF(D258="V01",cad!$I$31,IF(D258="V02",cad!$J$31,cad!$K$31))</f>
        <v/>
      </c>
      <c r="N258">
        <f>IF(D258="V01",$R$2,IF(D258="V02",$R$3,$R$4))</f>
        <v/>
      </c>
      <c r="O258">
        <f>IF(OR(B258="7062",B258="706",B258="708"),N258,IF(B258="6231",1+G258,IF(B258="6236",1+H258,IF(OR(B258="621",B258="604",B258="6063"),N258*(1-L258),IF(OR(B258="6411",B258="6413",B258="6414",B258="645"),(1+J258)*(1+K258),IF(OR(B258="613",B258="615",B258="616",B258="6226",B258="625",B258="626",B258="6281"),(1+I258)*(1-L258)*(1+M258),IF(OR(B258="6331",B258="63511",B258="6333"),(1+I258)*(1-L258),IF(B258="6811",1+I258,1))))))))</f>
        <v/>
      </c>
      <c r="P258">
        <f>IF(E258=1,F258*O258,"")</f>
        <v/>
      </c>
    </row>
    <row r="259">
      <c r="A259">
        <f>PNL!A259</f>
        <v/>
      </c>
      <c r="B259">
        <f>PNL!B259</f>
        <v/>
      </c>
      <c r="C259">
        <f>PNL!C259</f>
        <v/>
      </c>
      <c r="D259">
        <f>PNL!D259</f>
        <v/>
      </c>
      <c r="E259">
        <f>IF(AND(C259="2027",OR(D259="V01",D259="V02",D259="V03")),1,0)</f>
        <v/>
      </c>
      <c r="F259">
        <f>IF(E259=1,SUMIFS(Compta!$F$2:$F$675,Compta!$A$2:$A$675,A259,Compta!$B$2:$B$675,B259,Compta!$C$2:$C$675,"2026"),0)</f>
        <v/>
      </c>
      <c r="G259">
        <f>IF(D259="V01",cad!$I$21,IF(D259="V02",cad!$J$21,cad!$K$21))</f>
        <v/>
      </c>
      <c r="H259">
        <f>IF(D259="V01",cad!$I$22,IF(D259="V02",cad!$J$22,cad!$K$22))</f>
        <v/>
      </c>
      <c r="I259">
        <f>IF(D259="V01",cad!$I$27,IF(D259="V02",cad!$J$27,cad!$K$27))</f>
        <v/>
      </c>
      <c r="J259">
        <f>IF(D259="V01",cad!$I$28,IF(D259="V02",cad!$J$28,cad!$K$28))</f>
        <v/>
      </c>
      <c r="K259">
        <f>IF(D259="V01",cad!$I$29,IF(D259="V02",cad!$J$29,cad!$K$29))</f>
        <v/>
      </c>
      <c r="L259">
        <f>IF(D259="V01",cad!$I$30,IF(D259="V02",cad!$J$30,cad!$K$30))</f>
        <v/>
      </c>
      <c r="M259">
        <f>IF(D259="V01",cad!$I$31,IF(D259="V02",cad!$J$31,cad!$K$31))</f>
        <v/>
      </c>
      <c r="N259">
        <f>IF(D259="V01",$R$2,IF(D259="V02",$R$3,$R$4))</f>
        <v/>
      </c>
      <c r="O259">
        <f>IF(OR(B259="7062",B259="706",B259="708"),N259,IF(B259="6231",1+G259,IF(B259="6236",1+H259,IF(OR(B259="621",B259="604",B259="6063"),N259*(1-L259),IF(OR(B259="6411",B259="6413",B259="6414",B259="645"),(1+J259)*(1+K259),IF(OR(B259="613",B259="615",B259="616",B259="6226",B259="625",B259="626",B259="6281"),(1+I259)*(1-L259)*(1+M259),IF(OR(B259="6331",B259="63511",B259="6333"),(1+I259)*(1-L259),IF(B259="6811",1+I259,1))))))))</f>
        <v/>
      </c>
      <c r="P259">
        <f>IF(E259=1,F259*O259,"")</f>
        <v/>
      </c>
    </row>
    <row r="260">
      <c r="A260">
        <f>PNL!A260</f>
        <v/>
      </c>
      <c r="B260">
        <f>PNL!B260</f>
        <v/>
      </c>
      <c r="C260">
        <f>PNL!C260</f>
        <v/>
      </c>
      <c r="D260">
        <f>PNL!D260</f>
        <v/>
      </c>
      <c r="E260">
        <f>IF(AND(C260="2027",OR(D260="V01",D260="V02",D260="V03")),1,0)</f>
        <v/>
      </c>
      <c r="F260">
        <f>IF(E260=1,SUMIFS(Compta!$F$2:$F$675,Compta!$A$2:$A$675,A260,Compta!$B$2:$B$675,B260,Compta!$C$2:$C$675,"2026"),0)</f>
        <v/>
      </c>
      <c r="G260">
        <f>IF(D260="V01",cad!$I$21,IF(D260="V02",cad!$J$21,cad!$K$21))</f>
        <v/>
      </c>
      <c r="H260">
        <f>IF(D260="V01",cad!$I$22,IF(D260="V02",cad!$J$22,cad!$K$22))</f>
        <v/>
      </c>
      <c r="I260">
        <f>IF(D260="V01",cad!$I$27,IF(D260="V02",cad!$J$27,cad!$K$27))</f>
        <v/>
      </c>
      <c r="J260">
        <f>IF(D260="V01",cad!$I$28,IF(D260="V02",cad!$J$28,cad!$K$28))</f>
        <v/>
      </c>
      <c r="K260">
        <f>IF(D260="V01",cad!$I$29,IF(D260="V02",cad!$J$29,cad!$K$29))</f>
        <v/>
      </c>
      <c r="L260">
        <f>IF(D260="V01",cad!$I$30,IF(D260="V02",cad!$J$30,cad!$K$30))</f>
        <v/>
      </c>
      <c r="M260">
        <f>IF(D260="V01",cad!$I$31,IF(D260="V02",cad!$J$31,cad!$K$31))</f>
        <v/>
      </c>
      <c r="N260">
        <f>IF(D260="V01",$R$2,IF(D260="V02",$R$3,$R$4))</f>
        <v/>
      </c>
      <c r="O260">
        <f>IF(OR(B260="7062",B260="706",B260="708"),N260,IF(B260="6231",1+G260,IF(B260="6236",1+H260,IF(OR(B260="621",B260="604",B260="6063"),N260*(1-L260),IF(OR(B260="6411",B260="6413",B260="6414",B260="645"),(1+J260)*(1+K260),IF(OR(B260="613",B260="615",B260="616",B260="6226",B260="625",B260="626",B260="6281"),(1+I260)*(1-L260)*(1+M260),IF(OR(B260="6331",B260="63511",B260="6333"),(1+I260)*(1-L260),IF(B260="6811",1+I260,1))))))))</f>
        <v/>
      </c>
      <c r="P260">
        <f>IF(E260=1,F260*O260,"")</f>
        <v/>
      </c>
    </row>
    <row r="261">
      <c r="A261">
        <f>PNL!A261</f>
        <v/>
      </c>
      <c r="B261">
        <f>PNL!B261</f>
        <v/>
      </c>
      <c r="C261">
        <f>PNL!C261</f>
        <v/>
      </c>
      <c r="D261">
        <f>PNL!D261</f>
        <v/>
      </c>
      <c r="E261">
        <f>IF(AND(C261="2027",OR(D261="V01",D261="V02",D261="V03")),1,0)</f>
        <v/>
      </c>
      <c r="F261">
        <f>IF(E261=1,SUMIFS(Compta!$F$2:$F$675,Compta!$A$2:$A$675,A261,Compta!$B$2:$B$675,B261,Compta!$C$2:$C$675,"2026"),0)</f>
        <v/>
      </c>
      <c r="G261">
        <f>IF(D261="V01",cad!$I$21,IF(D261="V02",cad!$J$21,cad!$K$21))</f>
        <v/>
      </c>
      <c r="H261">
        <f>IF(D261="V01",cad!$I$22,IF(D261="V02",cad!$J$22,cad!$K$22))</f>
        <v/>
      </c>
      <c r="I261">
        <f>IF(D261="V01",cad!$I$27,IF(D261="V02",cad!$J$27,cad!$K$27))</f>
        <v/>
      </c>
      <c r="J261">
        <f>IF(D261="V01",cad!$I$28,IF(D261="V02",cad!$J$28,cad!$K$28))</f>
        <v/>
      </c>
      <c r="K261">
        <f>IF(D261="V01",cad!$I$29,IF(D261="V02",cad!$J$29,cad!$K$29))</f>
        <v/>
      </c>
      <c r="L261">
        <f>IF(D261="V01",cad!$I$30,IF(D261="V02",cad!$J$30,cad!$K$30))</f>
        <v/>
      </c>
      <c r="M261">
        <f>IF(D261="V01",cad!$I$31,IF(D261="V02",cad!$J$31,cad!$K$31))</f>
        <v/>
      </c>
      <c r="N261">
        <f>IF(D261="V01",$R$2,IF(D261="V02",$R$3,$R$4))</f>
        <v/>
      </c>
      <c r="O261">
        <f>IF(OR(B261="7062",B261="706",B261="708"),N261,IF(B261="6231",1+G261,IF(B261="6236",1+H261,IF(OR(B261="621",B261="604",B261="6063"),N261*(1-L261),IF(OR(B261="6411",B261="6413",B261="6414",B261="645"),(1+J261)*(1+K261),IF(OR(B261="613",B261="615",B261="616",B261="6226",B261="625",B261="626",B261="6281"),(1+I261)*(1-L261)*(1+M261),IF(OR(B261="6331",B261="63511",B261="6333"),(1+I261)*(1-L261),IF(B261="6811",1+I261,1))))))))</f>
        <v/>
      </c>
      <c r="P261">
        <f>IF(E261=1,F261*O261,"")</f>
        <v/>
      </c>
    </row>
    <row r="262">
      <c r="A262">
        <f>PNL!A262</f>
        <v/>
      </c>
      <c r="B262">
        <f>PNL!B262</f>
        <v/>
      </c>
      <c r="C262">
        <f>PNL!C262</f>
        <v/>
      </c>
      <c r="D262">
        <f>PNL!D262</f>
        <v/>
      </c>
      <c r="E262">
        <f>IF(AND(C262="2027",OR(D262="V01",D262="V02",D262="V03")),1,0)</f>
        <v/>
      </c>
      <c r="F262">
        <f>IF(E262=1,SUMIFS(Compta!$F$2:$F$675,Compta!$A$2:$A$675,A262,Compta!$B$2:$B$675,B262,Compta!$C$2:$C$675,"2026"),0)</f>
        <v/>
      </c>
      <c r="G262">
        <f>IF(D262="V01",cad!$I$21,IF(D262="V02",cad!$J$21,cad!$K$21))</f>
        <v/>
      </c>
      <c r="H262">
        <f>IF(D262="V01",cad!$I$22,IF(D262="V02",cad!$J$22,cad!$K$22))</f>
        <v/>
      </c>
      <c r="I262">
        <f>IF(D262="V01",cad!$I$27,IF(D262="V02",cad!$J$27,cad!$K$27))</f>
        <v/>
      </c>
      <c r="J262">
        <f>IF(D262="V01",cad!$I$28,IF(D262="V02",cad!$J$28,cad!$K$28))</f>
        <v/>
      </c>
      <c r="K262">
        <f>IF(D262="V01",cad!$I$29,IF(D262="V02",cad!$J$29,cad!$K$29))</f>
        <v/>
      </c>
      <c r="L262">
        <f>IF(D262="V01",cad!$I$30,IF(D262="V02",cad!$J$30,cad!$K$30))</f>
        <v/>
      </c>
      <c r="M262">
        <f>IF(D262="V01",cad!$I$31,IF(D262="V02",cad!$J$31,cad!$K$31))</f>
        <v/>
      </c>
      <c r="N262">
        <f>IF(D262="V01",$R$2,IF(D262="V02",$R$3,$R$4))</f>
        <v/>
      </c>
      <c r="O262">
        <f>IF(OR(B262="7062",B262="706",B262="708"),N262,IF(B262="6231",1+G262,IF(B262="6236",1+H262,IF(OR(B262="621",B262="604",B262="6063"),N262*(1-L262),IF(OR(B262="6411",B262="6413",B262="6414",B262="645"),(1+J262)*(1+K262),IF(OR(B262="613",B262="615",B262="616",B262="6226",B262="625",B262="626",B262="6281"),(1+I262)*(1-L262)*(1+M262),IF(OR(B262="6331",B262="63511",B262="6333"),(1+I262)*(1-L262),IF(B262="6811",1+I262,1))))))))</f>
        <v/>
      </c>
      <c r="P262">
        <f>IF(E262=1,F262*O262,"")</f>
        <v/>
      </c>
    </row>
    <row r="263">
      <c r="A263">
        <f>PNL!A263</f>
        <v/>
      </c>
      <c r="B263">
        <f>PNL!B263</f>
        <v/>
      </c>
      <c r="C263">
        <f>PNL!C263</f>
        <v/>
      </c>
      <c r="D263">
        <f>PNL!D263</f>
        <v/>
      </c>
      <c r="E263">
        <f>IF(AND(C263="2027",OR(D263="V01",D263="V02",D263="V03")),1,0)</f>
        <v/>
      </c>
      <c r="F263">
        <f>IF(E263=1,SUMIFS(Compta!$F$2:$F$675,Compta!$A$2:$A$675,A263,Compta!$B$2:$B$675,B263,Compta!$C$2:$C$675,"2026"),0)</f>
        <v/>
      </c>
      <c r="G263">
        <f>IF(D263="V01",cad!$I$21,IF(D263="V02",cad!$J$21,cad!$K$21))</f>
        <v/>
      </c>
      <c r="H263">
        <f>IF(D263="V01",cad!$I$22,IF(D263="V02",cad!$J$22,cad!$K$22))</f>
        <v/>
      </c>
      <c r="I263">
        <f>IF(D263="V01",cad!$I$27,IF(D263="V02",cad!$J$27,cad!$K$27))</f>
        <v/>
      </c>
      <c r="J263">
        <f>IF(D263="V01",cad!$I$28,IF(D263="V02",cad!$J$28,cad!$K$28))</f>
        <v/>
      </c>
      <c r="K263">
        <f>IF(D263="V01",cad!$I$29,IF(D263="V02",cad!$J$29,cad!$K$29))</f>
        <v/>
      </c>
      <c r="L263">
        <f>IF(D263="V01",cad!$I$30,IF(D263="V02",cad!$J$30,cad!$K$30))</f>
        <v/>
      </c>
      <c r="M263">
        <f>IF(D263="V01",cad!$I$31,IF(D263="V02",cad!$J$31,cad!$K$31))</f>
        <v/>
      </c>
      <c r="N263">
        <f>IF(D263="V01",$R$2,IF(D263="V02",$R$3,$R$4))</f>
        <v/>
      </c>
      <c r="O263">
        <f>IF(OR(B263="7062",B263="706",B263="708"),N263,IF(B263="6231",1+G263,IF(B263="6236",1+H263,IF(OR(B263="621",B263="604",B263="6063"),N263*(1-L263),IF(OR(B263="6411",B263="6413",B263="6414",B263="645"),(1+J263)*(1+K263),IF(OR(B263="613",B263="615",B263="616",B263="6226",B263="625",B263="626",B263="6281"),(1+I263)*(1-L263)*(1+M263),IF(OR(B263="6331",B263="63511",B263="6333"),(1+I263)*(1-L263),IF(B263="6811",1+I263,1))))))))</f>
        <v/>
      </c>
      <c r="P263">
        <f>IF(E263=1,F263*O263,"")</f>
        <v/>
      </c>
    </row>
    <row r="264">
      <c r="A264">
        <f>PNL!A264</f>
        <v/>
      </c>
      <c r="B264">
        <f>PNL!B264</f>
        <v/>
      </c>
      <c r="C264">
        <f>PNL!C264</f>
        <v/>
      </c>
      <c r="D264">
        <f>PNL!D264</f>
        <v/>
      </c>
      <c r="E264">
        <f>IF(AND(C264="2027",OR(D264="V01",D264="V02",D264="V03")),1,0)</f>
        <v/>
      </c>
      <c r="F264">
        <f>IF(E264=1,SUMIFS(Compta!$F$2:$F$675,Compta!$A$2:$A$675,A264,Compta!$B$2:$B$675,B264,Compta!$C$2:$C$675,"2026"),0)</f>
        <v/>
      </c>
      <c r="G264">
        <f>IF(D264="V01",cad!$I$21,IF(D264="V02",cad!$J$21,cad!$K$21))</f>
        <v/>
      </c>
      <c r="H264">
        <f>IF(D264="V01",cad!$I$22,IF(D264="V02",cad!$J$22,cad!$K$22))</f>
        <v/>
      </c>
      <c r="I264">
        <f>IF(D264="V01",cad!$I$27,IF(D264="V02",cad!$J$27,cad!$K$27))</f>
        <v/>
      </c>
      <c r="J264">
        <f>IF(D264="V01",cad!$I$28,IF(D264="V02",cad!$J$28,cad!$K$28))</f>
        <v/>
      </c>
      <c r="K264">
        <f>IF(D264="V01",cad!$I$29,IF(D264="V02",cad!$J$29,cad!$K$29))</f>
        <v/>
      </c>
      <c r="L264">
        <f>IF(D264="V01",cad!$I$30,IF(D264="V02",cad!$J$30,cad!$K$30))</f>
        <v/>
      </c>
      <c r="M264">
        <f>IF(D264="V01",cad!$I$31,IF(D264="V02",cad!$J$31,cad!$K$31))</f>
        <v/>
      </c>
      <c r="N264">
        <f>IF(D264="V01",$R$2,IF(D264="V02",$R$3,$R$4))</f>
        <v/>
      </c>
      <c r="O264">
        <f>IF(OR(B264="7062",B264="706",B264="708"),N264,IF(B264="6231",1+G264,IF(B264="6236",1+H264,IF(OR(B264="621",B264="604",B264="6063"),N264*(1-L264),IF(OR(B264="6411",B264="6413",B264="6414",B264="645"),(1+J264)*(1+K264),IF(OR(B264="613",B264="615",B264="616",B264="6226",B264="625",B264="626",B264="6281"),(1+I264)*(1-L264)*(1+M264),IF(OR(B264="6331",B264="63511",B264="6333"),(1+I264)*(1-L264),IF(B264="6811",1+I264,1))))))))</f>
        <v/>
      </c>
      <c r="P264">
        <f>IF(E264=1,F264*O264,"")</f>
        <v/>
      </c>
    </row>
    <row r="265">
      <c r="A265">
        <f>PNL!A265</f>
        <v/>
      </c>
      <c r="B265">
        <f>PNL!B265</f>
        <v/>
      </c>
      <c r="C265">
        <f>PNL!C265</f>
        <v/>
      </c>
      <c r="D265">
        <f>PNL!D265</f>
        <v/>
      </c>
      <c r="E265">
        <f>IF(AND(C265="2027",OR(D265="V01",D265="V02",D265="V03")),1,0)</f>
        <v/>
      </c>
      <c r="F265">
        <f>IF(E265=1,SUMIFS(Compta!$F$2:$F$675,Compta!$A$2:$A$675,A265,Compta!$B$2:$B$675,B265,Compta!$C$2:$C$675,"2026"),0)</f>
        <v/>
      </c>
      <c r="G265">
        <f>IF(D265="V01",cad!$I$21,IF(D265="V02",cad!$J$21,cad!$K$21))</f>
        <v/>
      </c>
      <c r="H265">
        <f>IF(D265="V01",cad!$I$22,IF(D265="V02",cad!$J$22,cad!$K$22))</f>
        <v/>
      </c>
      <c r="I265">
        <f>IF(D265="V01",cad!$I$27,IF(D265="V02",cad!$J$27,cad!$K$27))</f>
        <v/>
      </c>
      <c r="J265">
        <f>IF(D265="V01",cad!$I$28,IF(D265="V02",cad!$J$28,cad!$K$28))</f>
        <v/>
      </c>
      <c r="K265">
        <f>IF(D265="V01",cad!$I$29,IF(D265="V02",cad!$J$29,cad!$K$29))</f>
        <v/>
      </c>
      <c r="L265">
        <f>IF(D265="V01",cad!$I$30,IF(D265="V02",cad!$J$30,cad!$K$30))</f>
        <v/>
      </c>
      <c r="M265">
        <f>IF(D265="V01",cad!$I$31,IF(D265="V02",cad!$J$31,cad!$K$31))</f>
        <v/>
      </c>
      <c r="N265">
        <f>IF(D265="V01",$R$2,IF(D265="V02",$R$3,$R$4))</f>
        <v/>
      </c>
      <c r="O265">
        <f>IF(OR(B265="7062",B265="706",B265="708"),N265,IF(B265="6231",1+G265,IF(B265="6236",1+H265,IF(OR(B265="621",B265="604",B265="6063"),N265*(1-L265),IF(OR(B265="6411",B265="6413",B265="6414",B265="645"),(1+J265)*(1+K265),IF(OR(B265="613",B265="615",B265="616",B265="6226",B265="625",B265="626",B265="6281"),(1+I265)*(1-L265)*(1+M265),IF(OR(B265="6331",B265="63511",B265="6333"),(1+I265)*(1-L265),IF(B265="6811",1+I265,1))))))))</f>
        <v/>
      </c>
      <c r="P265">
        <f>IF(E265=1,F265*O265,"")</f>
        <v/>
      </c>
    </row>
    <row r="266">
      <c r="A266">
        <f>PNL!A266</f>
        <v/>
      </c>
      <c r="B266">
        <f>PNL!B266</f>
        <v/>
      </c>
      <c r="C266">
        <f>PNL!C266</f>
        <v/>
      </c>
      <c r="D266">
        <f>PNL!D266</f>
        <v/>
      </c>
      <c r="E266">
        <f>IF(AND(C266="2027",OR(D266="V01",D266="V02",D266="V03")),1,0)</f>
        <v/>
      </c>
      <c r="F266">
        <f>IF(E266=1,SUMIFS(Compta!$F$2:$F$675,Compta!$A$2:$A$675,A266,Compta!$B$2:$B$675,B266,Compta!$C$2:$C$675,"2026"),0)</f>
        <v/>
      </c>
      <c r="G266">
        <f>IF(D266="V01",cad!$I$21,IF(D266="V02",cad!$J$21,cad!$K$21))</f>
        <v/>
      </c>
      <c r="H266">
        <f>IF(D266="V01",cad!$I$22,IF(D266="V02",cad!$J$22,cad!$K$22))</f>
        <v/>
      </c>
      <c r="I266">
        <f>IF(D266="V01",cad!$I$27,IF(D266="V02",cad!$J$27,cad!$K$27))</f>
        <v/>
      </c>
      <c r="J266">
        <f>IF(D266="V01",cad!$I$28,IF(D266="V02",cad!$J$28,cad!$K$28))</f>
        <v/>
      </c>
      <c r="K266">
        <f>IF(D266="V01",cad!$I$29,IF(D266="V02",cad!$J$29,cad!$K$29))</f>
        <v/>
      </c>
      <c r="L266">
        <f>IF(D266="V01",cad!$I$30,IF(D266="V02",cad!$J$30,cad!$K$30))</f>
        <v/>
      </c>
      <c r="M266">
        <f>IF(D266="V01",cad!$I$31,IF(D266="V02",cad!$J$31,cad!$K$31))</f>
        <v/>
      </c>
      <c r="N266">
        <f>IF(D266="V01",$R$2,IF(D266="V02",$R$3,$R$4))</f>
        <v/>
      </c>
      <c r="O266">
        <f>IF(OR(B266="7062",B266="706",B266="708"),N266,IF(B266="6231",1+G266,IF(B266="6236",1+H266,IF(OR(B266="621",B266="604",B266="6063"),N266*(1-L266),IF(OR(B266="6411",B266="6413",B266="6414",B266="645"),(1+J266)*(1+K266),IF(OR(B266="613",B266="615",B266="616",B266="6226",B266="625",B266="626",B266="6281"),(1+I266)*(1-L266)*(1+M266),IF(OR(B266="6331",B266="63511",B266="6333"),(1+I266)*(1-L266),IF(B266="6811",1+I266,1))))))))</f>
        <v/>
      </c>
      <c r="P266">
        <f>IF(E266=1,F266*O266,"")</f>
        <v/>
      </c>
    </row>
    <row r="267">
      <c r="A267">
        <f>PNL!A267</f>
        <v/>
      </c>
      <c r="B267">
        <f>PNL!B267</f>
        <v/>
      </c>
      <c r="C267">
        <f>PNL!C267</f>
        <v/>
      </c>
      <c r="D267">
        <f>PNL!D267</f>
        <v/>
      </c>
      <c r="E267">
        <f>IF(AND(C267="2027",OR(D267="V01",D267="V02",D267="V03")),1,0)</f>
        <v/>
      </c>
      <c r="F267">
        <f>IF(E267=1,SUMIFS(Compta!$F$2:$F$675,Compta!$A$2:$A$675,A267,Compta!$B$2:$B$675,B267,Compta!$C$2:$C$675,"2026"),0)</f>
        <v/>
      </c>
      <c r="G267">
        <f>IF(D267="V01",cad!$I$21,IF(D267="V02",cad!$J$21,cad!$K$21))</f>
        <v/>
      </c>
      <c r="H267">
        <f>IF(D267="V01",cad!$I$22,IF(D267="V02",cad!$J$22,cad!$K$22))</f>
        <v/>
      </c>
      <c r="I267">
        <f>IF(D267="V01",cad!$I$27,IF(D267="V02",cad!$J$27,cad!$K$27))</f>
        <v/>
      </c>
      <c r="J267">
        <f>IF(D267="V01",cad!$I$28,IF(D267="V02",cad!$J$28,cad!$K$28))</f>
        <v/>
      </c>
      <c r="K267">
        <f>IF(D267="V01",cad!$I$29,IF(D267="V02",cad!$J$29,cad!$K$29))</f>
        <v/>
      </c>
      <c r="L267">
        <f>IF(D267="V01",cad!$I$30,IF(D267="V02",cad!$J$30,cad!$K$30))</f>
        <v/>
      </c>
      <c r="M267">
        <f>IF(D267="V01",cad!$I$31,IF(D267="V02",cad!$J$31,cad!$K$31))</f>
        <v/>
      </c>
      <c r="N267">
        <f>IF(D267="V01",$R$2,IF(D267="V02",$R$3,$R$4))</f>
        <v/>
      </c>
      <c r="O267">
        <f>IF(OR(B267="7062",B267="706",B267="708"),N267,IF(B267="6231",1+G267,IF(B267="6236",1+H267,IF(OR(B267="621",B267="604",B267="6063"),N267*(1-L267),IF(OR(B267="6411",B267="6413",B267="6414",B267="645"),(1+J267)*(1+K267),IF(OR(B267="613",B267="615",B267="616",B267="6226",B267="625",B267="626",B267="6281"),(1+I267)*(1-L267)*(1+M267),IF(OR(B267="6331",B267="63511",B267="6333"),(1+I267)*(1-L267),IF(B267="6811",1+I267,1))))))))</f>
        <v/>
      </c>
      <c r="P267">
        <f>IF(E267=1,F267*O267,"")</f>
        <v/>
      </c>
    </row>
    <row r="268">
      <c r="A268">
        <f>PNL!A268</f>
        <v/>
      </c>
      <c r="B268">
        <f>PNL!B268</f>
        <v/>
      </c>
      <c r="C268">
        <f>PNL!C268</f>
        <v/>
      </c>
      <c r="D268">
        <f>PNL!D268</f>
        <v/>
      </c>
      <c r="E268">
        <f>IF(AND(C268="2027",OR(D268="V01",D268="V02",D268="V03")),1,0)</f>
        <v/>
      </c>
      <c r="F268">
        <f>IF(E268=1,SUMIFS(Compta!$F$2:$F$675,Compta!$A$2:$A$675,A268,Compta!$B$2:$B$675,B268,Compta!$C$2:$C$675,"2026"),0)</f>
        <v/>
      </c>
      <c r="G268">
        <f>IF(D268="V01",cad!$I$21,IF(D268="V02",cad!$J$21,cad!$K$21))</f>
        <v/>
      </c>
      <c r="H268">
        <f>IF(D268="V01",cad!$I$22,IF(D268="V02",cad!$J$22,cad!$K$22))</f>
        <v/>
      </c>
      <c r="I268">
        <f>IF(D268="V01",cad!$I$27,IF(D268="V02",cad!$J$27,cad!$K$27))</f>
        <v/>
      </c>
      <c r="J268">
        <f>IF(D268="V01",cad!$I$28,IF(D268="V02",cad!$J$28,cad!$K$28))</f>
        <v/>
      </c>
      <c r="K268">
        <f>IF(D268="V01",cad!$I$29,IF(D268="V02",cad!$J$29,cad!$K$29))</f>
        <v/>
      </c>
      <c r="L268">
        <f>IF(D268="V01",cad!$I$30,IF(D268="V02",cad!$J$30,cad!$K$30))</f>
        <v/>
      </c>
      <c r="M268">
        <f>IF(D268="V01",cad!$I$31,IF(D268="V02",cad!$J$31,cad!$K$31))</f>
        <v/>
      </c>
      <c r="N268">
        <f>IF(D268="V01",$R$2,IF(D268="V02",$R$3,$R$4))</f>
        <v/>
      </c>
      <c r="O268">
        <f>IF(OR(B268="7062",B268="706",B268="708"),N268,IF(B268="6231",1+G268,IF(B268="6236",1+H268,IF(OR(B268="621",B268="604",B268="6063"),N268*(1-L268),IF(OR(B268="6411",B268="6413",B268="6414",B268="645"),(1+J268)*(1+K268),IF(OR(B268="613",B268="615",B268="616",B268="6226",B268="625",B268="626",B268="6281"),(1+I268)*(1-L268)*(1+M268),IF(OR(B268="6331",B268="63511",B268="6333"),(1+I268)*(1-L268),IF(B268="6811",1+I268,1))))))))</f>
        <v/>
      </c>
      <c r="P268">
        <f>IF(E268=1,F268*O268,"")</f>
        <v/>
      </c>
    </row>
    <row r="269">
      <c r="A269">
        <f>PNL!A269</f>
        <v/>
      </c>
      <c r="B269">
        <f>PNL!B269</f>
        <v/>
      </c>
      <c r="C269">
        <f>PNL!C269</f>
        <v/>
      </c>
      <c r="D269">
        <f>PNL!D269</f>
        <v/>
      </c>
      <c r="E269">
        <f>IF(AND(C269="2027",OR(D269="V01",D269="V02",D269="V03")),1,0)</f>
        <v/>
      </c>
      <c r="F269">
        <f>IF(E269=1,SUMIFS(Compta!$F$2:$F$675,Compta!$A$2:$A$675,A269,Compta!$B$2:$B$675,B269,Compta!$C$2:$C$675,"2026"),0)</f>
        <v/>
      </c>
      <c r="G269">
        <f>IF(D269="V01",cad!$I$21,IF(D269="V02",cad!$J$21,cad!$K$21))</f>
        <v/>
      </c>
      <c r="H269">
        <f>IF(D269="V01",cad!$I$22,IF(D269="V02",cad!$J$22,cad!$K$22))</f>
        <v/>
      </c>
      <c r="I269">
        <f>IF(D269="V01",cad!$I$27,IF(D269="V02",cad!$J$27,cad!$K$27))</f>
        <v/>
      </c>
      <c r="J269">
        <f>IF(D269="V01",cad!$I$28,IF(D269="V02",cad!$J$28,cad!$K$28))</f>
        <v/>
      </c>
      <c r="K269">
        <f>IF(D269="V01",cad!$I$29,IF(D269="V02",cad!$J$29,cad!$K$29))</f>
        <v/>
      </c>
      <c r="L269">
        <f>IF(D269="V01",cad!$I$30,IF(D269="V02",cad!$J$30,cad!$K$30))</f>
        <v/>
      </c>
      <c r="M269">
        <f>IF(D269="V01",cad!$I$31,IF(D269="V02",cad!$J$31,cad!$K$31))</f>
        <v/>
      </c>
      <c r="N269">
        <f>IF(D269="V01",$R$2,IF(D269="V02",$R$3,$R$4))</f>
        <v/>
      </c>
      <c r="O269">
        <f>IF(OR(B269="7062",B269="706",B269="708"),N269,IF(B269="6231",1+G269,IF(B269="6236",1+H269,IF(OR(B269="621",B269="604",B269="6063"),N269*(1-L269),IF(OR(B269="6411",B269="6413",B269="6414",B269="645"),(1+J269)*(1+K269),IF(OR(B269="613",B269="615",B269="616",B269="6226",B269="625",B269="626",B269="6281"),(1+I269)*(1-L269)*(1+M269),IF(OR(B269="6331",B269="63511",B269="6333"),(1+I269)*(1-L269),IF(B269="6811",1+I269,1))))))))</f>
        <v/>
      </c>
      <c r="P269">
        <f>IF(E269=1,F269*O269,"")</f>
        <v/>
      </c>
    </row>
    <row r="270">
      <c r="A270">
        <f>PNL!A270</f>
        <v/>
      </c>
      <c r="B270">
        <f>PNL!B270</f>
        <v/>
      </c>
      <c r="C270">
        <f>PNL!C270</f>
        <v/>
      </c>
      <c r="D270">
        <f>PNL!D270</f>
        <v/>
      </c>
      <c r="E270">
        <f>IF(AND(C270="2027",OR(D270="V01",D270="V02",D270="V03")),1,0)</f>
        <v/>
      </c>
      <c r="F270">
        <f>IF(E270=1,SUMIFS(Compta!$F$2:$F$675,Compta!$A$2:$A$675,A270,Compta!$B$2:$B$675,B270,Compta!$C$2:$C$675,"2026"),0)</f>
        <v/>
      </c>
      <c r="G270">
        <f>IF(D270="V01",cad!$I$21,IF(D270="V02",cad!$J$21,cad!$K$21))</f>
        <v/>
      </c>
      <c r="H270">
        <f>IF(D270="V01",cad!$I$22,IF(D270="V02",cad!$J$22,cad!$K$22))</f>
        <v/>
      </c>
      <c r="I270">
        <f>IF(D270="V01",cad!$I$27,IF(D270="V02",cad!$J$27,cad!$K$27))</f>
        <v/>
      </c>
      <c r="J270">
        <f>IF(D270="V01",cad!$I$28,IF(D270="V02",cad!$J$28,cad!$K$28))</f>
        <v/>
      </c>
      <c r="K270">
        <f>IF(D270="V01",cad!$I$29,IF(D270="V02",cad!$J$29,cad!$K$29))</f>
        <v/>
      </c>
      <c r="L270">
        <f>IF(D270="V01",cad!$I$30,IF(D270="V02",cad!$J$30,cad!$K$30))</f>
        <v/>
      </c>
      <c r="M270">
        <f>IF(D270="V01",cad!$I$31,IF(D270="V02",cad!$J$31,cad!$K$31))</f>
        <v/>
      </c>
      <c r="N270">
        <f>IF(D270="V01",$R$2,IF(D270="V02",$R$3,$R$4))</f>
        <v/>
      </c>
      <c r="O270">
        <f>IF(OR(B270="7062",B270="706",B270="708"),N270,IF(B270="6231",1+G270,IF(B270="6236",1+H270,IF(OR(B270="621",B270="604",B270="6063"),N270*(1-L270),IF(OR(B270="6411",B270="6413",B270="6414",B270="645"),(1+J270)*(1+K270),IF(OR(B270="613",B270="615",B270="616",B270="6226",B270="625",B270="626",B270="6281"),(1+I270)*(1-L270)*(1+M270),IF(OR(B270="6331",B270="63511",B270="6333"),(1+I270)*(1-L270),IF(B270="6811",1+I270,1))))))))</f>
        <v/>
      </c>
      <c r="P270">
        <f>IF(E270=1,F270*O270,"")</f>
        <v/>
      </c>
    </row>
    <row r="271">
      <c r="A271">
        <f>PNL!A271</f>
        <v/>
      </c>
      <c r="B271">
        <f>PNL!B271</f>
        <v/>
      </c>
      <c r="C271">
        <f>PNL!C271</f>
        <v/>
      </c>
      <c r="D271">
        <f>PNL!D271</f>
        <v/>
      </c>
      <c r="E271">
        <f>IF(AND(C271="2027",OR(D271="V01",D271="V02",D271="V03")),1,0)</f>
        <v/>
      </c>
      <c r="F271">
        <f>IF(E271=1,SUMIFS(Compta!$F$2:$F$675,Compta!$A$2:$A$675,A271,Compta!$B$2:$B$675,B271,Compta!$C$2:$C$675,"2026"),0)</f>
        <v/>
      </c>
      <c r="G271">
        <f>IF(D271="V01",cad!$I$21,IF(D271="V02",cad!$J$21,cad!$K$21))</f>
        <v/>
      </c>
      <c r="H271">
        <f>IF(D271="V01",cad!$I$22,IF(D271="V02",cad!$J$22,cad!$K$22))</f>
        <v/>
      </c>
      <c r="I271">
        <f>IF(D271="V01",cad!$I$27,IF(D271="V02",cad!$J$27,cad!$K$27))</f>
        <v/>
      </c>
      <c r="J271">
        <f>IF(D271="V01",cad!$I$28,IF(D271="V02",cad!$J$28,cad!$K$28))</f>
        <v/>
      </c>
      <c r="K271">
        <f>IF(D271="V01",cad!$I$29,IF(D271="V02",cad!$J$29,cad!$K$29))</f>
        <v/>
      </c>
      <c r="L271">
        <f>IF(D271="V01",cad!$I$30,IF(D271="V02",cad!$J$30,cad!$K$30))</f>
        <v/>
      </c>
      <c r="M271">
        <f>IF(D271="V01",cad!$I$31,IF(D271="V02",cad!$J$31,cad!$K$31))</f>
        <v/>
      </c>
      <c r="N271">
        <f>IF(D271="V01",$R$2,IF(D271="V02",$R$3,$R$4))</f>
        <v/>
      </c>
      <c r="O271">
        <f>IF(OR(B271="7062",B271="706",B271="708"),N271,IF(B271="6231",1+G271,IF(B271="6236",1+H271,IF(OR(B271="621",B271="604",B271="6063"),N271*(1-L271),IF(OR(B271="6411",B271="6413",B271="6414",B271="645"),(1+J271)*(1+K271),IF(OR(B271="613",B271="615",B271="616",B271="6226",B271="625",B271="626",B271="6281"),(1+I271)*(1-L271)*(1+M271),IF(OR(B271="6331",B271="63511",B271="6333"),(1+I271)*(1-L271),IF(B271="6811",1+I271,1))))))))</f>
        <v/>
      </c>
      <c r="P271">
        <f>IF(E271=1,F271*O271,"")</f>
        <v/>
      </c>
    </row>
    <row r="272">
      <c r="A272">
        <f>PNL!A272</f>
        <v/>
      </c>
      <c r="B272">
        <f>PNL!B272</f>
        <v/>
      </c>
      <c r="C272">
        <f>PNL!C272</f>
        <v/>
      </c>
      <c r="D272">
        <f>PNL!D272</f>
        <v/>
      </c>
      <c r="E272">
        <f>IF(AND(C272="2027",OR(D272="V01",D272="V02",D272="V03")),1,0)</f>
        <v/>
      </c>
      <c r="F272">
        <f>IF(E272=1,SUMIFS(Compta!$F$2:$F$675,Compta!$A$2:$A$675,A272,Compta!$B$2:$B$675,B272,Compta!$C$2:$C$675,"2026"),0)</f>
        <v/>
      </c>
      <c r="G272">
        <f>IF(D272="V01",cad!$I$21,IF(D272="V02",cad!$J$21,cad!$K$21))</f>
        <v/>
      </c>
      <c r="H272">
        <f>IF(D272="V01",cad!$I$22,IF(D272="V02",cad!$J$22,cad!$K$22))</f>
        <v/>
      </c>
      <c r="I272">
        <f>IF(D272="V01",cad!$I$27,IF(D272="V02",cad!$J$27,cad!$K$27))</f>
        <v/>
      </c>
      <c r="J272">
        <f>IF(D272="V01",cad!$I$28,IF(D272="V02",cad!$J$28,cad!$K$28))</f>
        <v/>
      </c>
      <c r="K272">
        <f>IF(D272="V01",cad!$I$29,IF(D272="V02",cad!$J$29,cad!$K$29))</f>
        <v/>
      </c>
      <c r="L272">
        <f>IF(D272="V01",cad!$I$30,IF(D272="V02",cad!$J$30,cad!$K$30))</f>
        <v/>
      </c>
      <c r="M272">
        <f>IF(D272="V01",cad!$I$31,IF(D272="V02",cad!$J$31,cad!$K$31))</f>
        <v/>
      </c>
      <c r="N272">
        <f>IF(D272="V01",$R$2,IF(D272="V02",$R$3,$R$4))</f>
        <v/>
      </c>
      <c r="O272">
        <f>IF(OR(B272="7062",B272="706",B272="708"),N272,IF(B272="6231",1+G272,IF(B272="6236",1+H272,IF(OR(B272="621",B272="604",B272="6063"),N272*(1-L272),IF(OR(B272="6411",B272="6413",B272="6414",B272="645"),(1+J272)*(1+K272),IF(OR(B272="613",B272="615",B272="616",B272="6226",B272="625",B272="626",B272="6281"),(1+I272)*(1-L272)*(1+M272),IF(OR(B272="6331",B272="63511",B272="6333"),(1+I272)*(1-L272),IF(B272="6811",1+I272,1))))))))</f>
        <v/>
      </c>
      <c r="P272">
        <f>IF(E272=1,F272*O272,"")</f>
        <v/>
      </c>
    </row>
    <row r="273">
      <c r="A273">
        <f>PNL!A273</f>
        <v/>
      </c>
      <c r="B273">
        <f>PNL!B273</f>
        <v/>
      </c>
      <c r="C273">
        <f>PNL!C273</f>
        <v/>
      </c>
      <c r="D273">
        <f>PNL!D273</f>
        <v/>
      </c>
      <c r="E273">
        <f>IF(AND(C273="2027",OR(D273="V01",D273="V02",D273="V03")),1,0)</f>
        <v/>
      </c>
      <c r="F273">
        <f>IF(E273=1,SUMIFS(Compta!$F$2:$F$675,Compta!$A$2:$A$675,A273,Compta!$B$2:$B$675,B273,Compta!$C$2:$C$675,"2026"),0)</f>
        <v/>
      </c>
      <c r="G273">
        <f>IF(D273="V01",cad!$I$21,IF(D273="V02",cad!$J$21,cad!$K$21))</f>
        <v/>
      </c>
      <c r="H273">
        <f>IF(D273="V01",cad!$I$22,IF(D273="V02",cad!$J$22,cad!$K$22))</f>
        <v/>
      </c>
      <c r="I273">
        <f>IF(D273="V01",cad!$I$27,IF(D273="V02",cad!$J$27,cad!$K$27))</f>
        <v/>
      </c>
      <c r="J273">
        <f>IF(D273="V01",cad!$I$28,IF(D273="V02",cad!$J$28,cad!$K$28))</f>
        <v/>
      </c>
      <c r="K273">
        <f>IF(D273="V01",cad!$I$29,IF(D273="V02",cad!$J$29,cad!$K$29))</f>
        <v/>
      </c>
      <c r="L273">
        <f>IF(D273="V01",cad!$I$30,IF(D273="V02",cad!$J$30,cad!$K$30))</f>
        <v/>
      </c>
      <c r="M273">
        <f>IF(D273="V01",cad!$I$31,IF(D273="V02",cad!$J$31,cad!$K$31))</f>
        <v/>
      </c>
      <c r="N273">
        <f>IF(D273="V01",$R$2,IF(D273="V02",$R$3,$R$4))</f>
        <v/>
      </c>
      <c r="O273">
        <f>IF(OR(B273="7062",B273="706",B273="708"),N273,IF(B273="6231",1+G273,IF(B273="6236",1+H273,IF(OR(B273="621",B273="604",B273="6063"),N273*(1-L273),IF(OR(B273="6411",B273="6413",B273="6414",B273="645"),(1+J273)*(1+K273),IF(OR(B273="613",B273="615",B273="616",B273="6226",B273="625",B273="626",B273="6281"),(1+I273)*(1-L273)*(1+M273),IF(OR(B273="6331",B273="63511",B273="6333"),(1+I273)*(1-L273),IF(B273="6811",1+I273,1))))))))</f>
        <v/>
      </c>
      <c r="P273">
        <f>IF(E273=1,F273*O273,"")</f>
        <v/>
      </c>
    </row>
    <row r="274">
      <c r="A274">
        <f>PNL!A274</f>
        <v/>
      </c>
      <c r="B274">
        <f>PNL!B274</f>
        <v/>
      </c>
      <c r="C274">
        <f>PNL!C274</f>
        <v/>
      </c>
      <c r="D274">
        <f>PNL!D274</f>
        <v/>
      </c>
      <c r="E274">
        <f>IF(AND(C274="2027",OR(D274="V01",D274="V02",D274="V03")),1,0)</f>
        <v/>
      </c>
      <c r="F274">
        <f>IF(E274=1,SUMIFS(Compta!$F$2:$F$675,Compta!$A$2:$A$675,A274,Compta!$B$2:$B$675,B274,Compta!$C$2:$C$675,"2026"),0)</f>
        <v/>
      </c>
      <c r="G274">
        <f>IF(D274="V01",cad!$I$21,IF(D274="V02",cad!$J$21,cad!$K$21))</f>
        <v/>
      </c>
      <c r="H274">
        <f>IF(D274="V01",cad!$I$22,IF(D274="V02",cad!$J$22,cad!$K$22))</f>
        <v/>
      </c>
      <c r="I274">
        <f>IF(D274="V01",cad!$I$27,IF(D274="V02",cad!$J$27,cad!$K$27))</f>
        <v/>
      </c>
      <c r="J274">
        <f>IF(D274="V01",cad!$I$28,IF(D274="V02",cad!$J$28,cad!$K$28))</f>
        <v/>
      </c>
      <c r="K274">
        <f>IF(D274="V01",cad!$I$29,IF(D274="V02",cad!$J$29,cad!$K$29))</f>
        <v/>
      </c>
      <c r="L274">
        <f>IF(D274="V01",cad!$I$30,IF(D274="V02",cad!$J$30,cad!$K$30))</f>
        <v/>
      </c>
      <c r="M274">
        <f>IF(D274="V01",cad!$I$31,IF(D274="V02",cad!$J$31,cad!$K$31))</f>
        <v/>
      </c>
      <c r="N274">
        <f>IF(D274="V01",$R$2,IF(D274="V02",$R$3,$R$4))</f>
        <v/>
      </c>
      <c r="O274">
        <f>IF(OR(B274="7062",B274="706",B274="708"),N274,IF(B274="6231",1+G274,IF(B274="6236",1+H274,IF(OR(B274="621",B274="604",B274="6063"),N274*(1-L274),IF(OR(B274="6411",B274="6413",B274="6414",B274="645"),(1+J274)*(1+K274),IF(OR(B274="613",B274="615",B274="616",B274="6226",B274="625",B274="626",B274="6281"),(1+I274)*(1-L274)*(1+M274),IF(OR(B274="6331",B274="63511",B274="6333"),(1+I274)*(1-L274),IF(B274="6811",1+I274,1))))))))</f>
        <v/>
      </c>
      <c r="P274">
        <f>IF(E274=1,F274*O274,"")</f>
        <v/>
      </c>
    </row>
    <row r="275">
      <c r="A275">
        <f>PNL!A275</f>
        <v/>
      </c>
      <c r="B275">
        <f>PNL!B275</f>
        <v/>
      </c>
      <c r="C275">
        <f>PNL!C275</f>
        <v/>
      </c>
      <c r="D275">
        <f>PNL!D275</f>
        <v/>
      </c>
      <c r="E275">
        <f>IF(AND(C275="2027",OR(D275="V01",D275="V02",D275="V03")),1,0)</f>
        <v/>
      </c>
      <c r="F275">
        <f>IF(E275=1,SUMIFS(Compta!$F$2:$F$675,Compta!$A$2:$A$675,A275,Compta!$B$2:$B$675,B275,Compta!$C$2:$C$675,"2026"),0)</f>
        <v/>
      </c>
      <c r="G275">
        <f>IF(D275="V01",cad!$I$21,IF(D275="V02",cad!$J$21,cad!$K$21))</f>
        <v/>
      </c>
      <c r="H275">
        <f>IF(D275="V01",cad!$I$22,IF(D275="V02",cad!$J$22,cad!$K$22))</f>
        <v/>
      </c>
      <c r="I275">
        <f>IF(D275="V01",cad!$I$27,IF(D275="V02",cad!$J$27,cad!$K$27))</f>
        <v/>
      </c>
      <c r="J275">
        <f>IF(D275="V01",cad!$I$28,IF(D275="V02",cad!$J$28,cad!$K$28))</f>
        <v/>
      </c>
      <c r="K275">
        <f>IF(D275="V01",cad!$I$29,IF(D275="V02",cad!$J$29,cad!$K$29))</f>
        <v/>
      </c>
      <c r="L275">
        <f>IF(D275="V01",cad!$I$30,IF(D275="V02",cad!$J$30,cad!$K$30))</f>
        <v/>
      </c>
      <c r="M275">
        <f>IF(D275="V01",cad!$I$31,IF(D275="V02",cad!$J$31,cad!$K$31))</f>
        <v/>
      </c>
      <c r="N275">
        <f>IF(D275="V01",$R$2,IF(D275="V02",$R$3,$R$4))</f>
        <v/>
      </c>
      <c r="O275">
        <f>IF(OR(B275="7062",B275="706",B275="708"),N275,IF(B275="6231",1+G275,IF(B275="6236",1+H275,IF(OR(B275="621",B275="604",B275="6063"),N275*(1-L275),IF(OR(B275="6411",B275="6413",B275="6414",B275="645"),(1+J275)*(1+K275),IF(OR(B275="613",B275="615",B275="616",B275="6226",B275="625",B275="626",B275="6281"),(1+I275)*(1-L275)*(1+M275),IF(OR(B275="6331",B275="63511",B275="6333"),(1+I275)*(1-L275),IF(B275="6811",1+I275,1))))))))</f>
        <v/>
      </c>
      <c r="P275">
        <f>IF(E275=1,F275*O275,"")</f>
        <v/>
      </c>
    </row>
    <row r="276">
      <c r="A276">
        <f>PNL!A276</f>
        <v/>
      </c>
      <c r="B276">
        <f>PNL!B276</f>
        <v/>
      </c>
      <c r="C276">
        <f>PNL!C276</f>
        <v/>
      </c>
      <c r="D276">
        <f>PNL!D276</f>
        <v/>
      </c>
      <c r="E276">
        <f>IF(AND(C276="2027",OR(D276="V01",D276="V02",D276="V03")),1,0)</f>
        <v/>
      </c>
      <c r="F276">
        <f>IF(E276=1,SUMIFS(Compta!$F$2:$F$675,Compta!$A$2:$A$675,A276,Compta!$B$2:$B$675,B276,Compta!$C$2:$C$675,"2026"),0)</f>
        <v/>
      </c>
      <c r="G276">
        <f>IF(D276="V01",cad!$I$21,IF(D276="V02",cad!$J$21,cad!$K$21))</f>
        <v/>
      </c>
      <c r="H276">
        <f>IF(D276="V01",cad!$I$22,IF(D276="V02",cad!$J$22,cad!$K$22))</f>
        <v/>
      </c>
      <c r="I276">
        <f>IF(D276="V01",cad!$I$27,IF(D276="V02",cad!$J$27,cad!$K$27))</f>
        <v/>
      </c>
      <c r="J276">
        <f>IF(D276="V01",cad!$I$28,IF(D276="V02",cad!$J$28,cad!$K$28))</f>
        <v/>
      </c>
      <c r="K276">
        <f>IF(D276="V01",cad!$I$29,IF(D276="V02",cad!$J$29,cad!$K$29))</f>
        <v/>
      </c>
      <c r="L276">
        <f>IF(D276="V01",cad!$I$30,IF(D276="V02",cad!$J$30,cad!$K$30))</f>
        <v/>
      </c>
      <c r="M276">
        <f>IF(D276="V01",cad!$I$31,IF(D276="V02",cad!$J$31,cad!$K$31))</f>
        <v/>
      </c>
      <c r="N276">
        <f>IF(D276="V01",$R$2,IF(D276="V02",$R$3,$R$4))</f>
        <v/>
      </c>
      <c r="O276">
        <f>IF(OR(B276="7062",B276="706",B276="708"),N276,IF(B276="6231",1+G276,IF(B276="6236",1+H276,IF(OR(B276="621",B276="604",B276="6063"),N276*(1-L276),IF(OR(B276="6411",B276="6413",B276="6414",B276="645"),(1+J276)*(1+K276),IF(OR(B276="613",B276="615",B276="616",B276="6226",B276="625",B276="626",B276="6281"),(1+I276)*(1-L276)*(1+M276),IF(OR(B276="6331",B276="63511",B276="6333"),(1+I276)*(1-L276),IF(B276="6811",1+I276,1))))))))</f>
        <v/>
      </c>
      <c r="P276">
        <f>IF(E276=1,F276*O276,"")</f>
        <v/>
      </c>
    </row>
    <row r="277">
      <c r="A277">
        <f>PNL!A277</f>
        <v/>
      </c>
      <c r="B277">
        <f>PNL!B277</f>
        <v/>
      </c>
      <c r="C277">
        <f>PNL!C277</f>
        <v/>
      </c>
      <c r="D277">
        <f>PNL!D277</f>
        <v/>
      </c>
      <c r="E277">
        <f>IF(AND(C277="2027",OR(D277="V01",D277="V02",D277="V03")),1,0)</f>
        <v/>
      </c>
      <c r="F277">
        <f>IF(E277=1,SUMIFS(Compta!$F$2:$F$675,Compta!$A$2:$A$675,A277,Compta!$B$2:$B$675,B277,Compta!$C$2:$C$675,"2026"),0)</f>
        <v/>
      </c>
      <c r="G277">
        <f>IF(D277="V01",cad!$I$21,IF(D277="V02",cad!$J$21,cad!$K$21))</f>
        <v/>
      </c>
      <c r="H277">
        <f>IF(D277="V01",cad!$I$22,IF(D277="V02",cad!$J$22,cad!$K$22))</f>
        <v/>
      </c>
      <c r="I277">
        <f>IF(D277="V01",cad!$I$27,IF(D277="V02",cad!$J$27,cad!$K$27))</f>
        <v/>
      </c>
      <c r="J277">
        <f>IF(D277="V01",cad!$I$28,IF(D277="V02",cad!$J$28,cad!$K$28))</f>
        <v/>
      </c>
      <c r="K277">
        <f>IF(D277="V01",cad!$I$29,IF(D277="V02",cad!$J$29,cad!$K$29))</f>
        <v/>
      </c>
      <c r="L277">
        <f>IF(D277="V01",cad!$I$30,IF(D277="V02",cad!$J$30,cad!$K$30))</f>
        <v/>
      </c>
      <c r="M277">
        <f>IF(D277="V01",cad!$I$31,IF(D277="V02",cad!$J$31,cad!$K$31))</f>
        <v/>
      </c>
      <c r="N277">
        <f>IF(D277="V01",$R$2,IF(D277="V02",$R$3,$R$4))</f>
        <v/>
      </c>
      <c r="O277">
        <f>IF(OR(B277="7062",B277="706",B277="708"),N277,IF(B277="6231",1+G277,IF(B277="6236",1+H277,IF(OR(B277="621",B277="604",B277="6063"),N277*(1-L277),IF(OR(B277="6411",B277="6413",B277="6414",B277="645"),(1+J277)*(1+K277),IF(OR(B277="613",B277="615",B277="616",B277="6226",B277="625",B277="626",B277="6281"),(1+I277)*(1-L277)*(1+M277),IF(OR(B277="6331",B277="63511",B277="6333"),(1+I277)*(1-L277),IF(B277="6811",1+I277,1))))))))</f>
        <v/>
      </c>
      <c r="P277">
        <f>IF(E277=1,F277*O277,"")</f>
        <v/>
      </c>
    </row>
    <row r="278">
      <c r="A278">
        <f>PNL!A278</f>
        <v/>
      </c>
      <c r="B278">
        <f>PNL!B278</f>
        <v/>
      </c>
      <c r="C278">
        <f>PNL!C278</f>
        <v/>
      </c>
      <c r="D278">
        <f>PNL!D278</f>
        <v/>
      </c>
      <c r="E278">
        <f>IF(AND(C278="2027",OR(D278="V01",D278="V02",D278="V03")),1,0)</f>
        <v/>
      </c>
      <c r="F278">
        <f>IF(E278=1,SUMIFS(Compta!$F$2:$F$675,Compta!$A$2:$A$675,A278,Compta!$B$2:$B$675,B278,Compta!$C$2:$C$675,"2026"),0)</f>
        <v/>
      </c>
      <c r="G278">
        <f>IF(D278="V01",cad!$I$21,IF(D278="V02",cad!$J$21,cad!$K$21))</f>
        <v/>
      </c>
      <c r="H278">
        <f>IF(D278="V01",cad!$I$22,IF(D278="V02",cad!$J$22,cad!$K$22))</f>
        <v/>
      </c>
      <c r="I278">
        <f>IF(D278="V01",cad!$I$27,IF(D278="V02",cad!$J$27,cad!$K$27))</f>
        <v/>
      </c>
      <c r="J278">
        <f>IF(D278="V01",cad!$I$28,IF(D278="V02",cad!$J$28,cad!$K$28))</f>
        <v/>
      </c>
      <c r="K278">
        <f>IF(D278="V01",cad!$I$29,IF(D278="V02",cad!$J$29,cad!$K$29))</f>
        <v/>
      </c>
      <c r="L278">
        <f>IF(D278="V01",cad!$I$30,IF(D278="V02",cad!$J$30,cad!$K$30))</f>
        <v/>
      </c>
      <c r="M278">
        <f>IF(D278="V01",cad!$I$31,IF(D278="V02",cad!$J$31,cad!$K$31))</f>
        <v/>
      </c>
      <c r="N278">
        <f>IF(D278="V01",$R$2,IF(D278="V02",$R$3,$R$4))</f>
        <v/>
      </c>
      <c r="O278">
        <f>IF(OR(B278="7062",B278="706",B278="708"),N278,IF(B278="6231",1+G278,IF(B278="6236",1+H278,IF(OR(B278="621",B278="604",B278="6063"),N278*(1-L278),IF(OR(B278="6411",B278="6413",B278="6414",B278="645"),(1+J278)*(1+K278),IF(OR(B278="613",B278="615",B278="616",B278="6226",B278="625",B278="626",B278="6281"),(1+I278)*(1-L278)*(1+M278),IF(OR(B278="6331",B278="63511",B278="6333"),(1+I278)*(1-L278),IF(B278="6811",1+I278,1))))))))</f>
        <v/>
      </c>
      <c r="P278">
        <f>IF(E278=1,F278*O278,"")</f>
        <v/>
      </c>
    </row>
    <row r="279">
      <c r="A279">
        <f>PNL!A279</f>
        <v/>
      </c>
      <c r="B279">
        <f>PNL!B279</f>
        <v/>
      </c>
      <c r="C279">
        <f>PNL!C279</f>
        <v/>
      </c>
      <c r="D279">
        <f>PNL!D279</f>
        <v/>
      </c>
      <c r="E279">
        <f>IF(AND(C279="2027",OR(D279="V01",D279="V02",D279="V03")),1,0)</f>
        <v/>
      </c>
      <c r="F279">
        <f>IF(E279=1,SUMIFS(Compta!$F$2:$F$675,Compta!$A$2:$A$675,A279,Compta!$B$2:$B$675,B279,Compta!$C$2:$C$675,"2026"),0)</f>
        <v/>
      </c>
      <c r="G279">
        <f>IF(D279="V01",cad!$I$21,IF(D279="V02",cad!$J$21,cad!$K$21))</f>
        <v/>
      </c>
      <c r="H279">
        <f>IF(D279="V01",cad!$I$22,IF(D279="V02",cad!$J$22,cad!$K$22))</f>
        <v/>
      </c>
      <c r="I279">
        <f>IF(D279="V01",cad!$I$27,IF(D279="V02",cad!$J$27,cad!$K$27))</f>
        <v/>
      </c>
      <c r="J279">
        <f>IF(D279="V01",cad!$I$28,IF(D279="V02",cad!$J$28,cad!$K$28))</f>
        <v/>
      </c>
      <c r="K279">
        <f>IF(D279="V01",cad!$I$29,IF(D279="V02",cad!$J$29,cad!$K$29))</f>
        <v/>
      </c>
      <c r="L279">
        <f>IF(D279="V01",cad!$I$30,IF(D279="V02",cad!$J$30,cad!$K$30))</f>
        <v/>
      </c>
      <c r="M279">
        <f>IF(D279="V01",cad!$I$31,IF(D279="V02",cad!$J$31,cad!$K$31))</f>
        <v/>
      </c>
      <c r="N279">
        <f>IF(D279="V01",$R$2,IF(D279="V02",$R$3,$R$4))</f>
        <v/>
      </c>
      <c r="O279">
        <f>IF(OR(B279="7062",B279="706",B279="708"),N279,IF(B279="6231",1+G279,IF(B279="6236",1+H279,IF(OR(B279="621",B279="604",B279="6063"),N279*(1-L279),IF(OR(B279="6411",B279="6413",B279="6414",B279="645"),(1+J279)*(1+K279),IF(OR(B279="613",B279="615",B279="616",B279="6226",B279="625",B279="626",B279="6281"),(1+I279)*(1-L279)*(1+M279),IF(OR(B279="6331",B279="63511",B279="6333"),(1+I279)*(1-L279),IF(B279="6811",1+I279,1))))))))</f>
        <v/>
      </c>
      <c r="P279">
        <f>IF(E279=1,F279*O279,"")</f>
        <v/>
      </c>
    </row>
    <row r="280">
      <c r="A280">
        <f>PNL!A280</f>
        <v/>
      </c>
      <c r="B280">
        <f>PNL!B280</f>
        <v/>
      </c>
      <c r="C280">
        <f>PNL!C280</f>
        <v/>
      </c>
      <c r="D280">
        <f>PNL!D280</f>
        <v/>
      </c>
      <c r="E280">
        <f>IF(AND(C280="2027",OR(D280="V01",D280="V02",D280="V03")),1,0)</f>
        <v/>
      </c>
      <c r="F280">
        <f>IF(E280=1,SUMIFS(Compta!$F$2:$F$675,Compta!$A$2:$A$675,A280,Compta!$B$2:$B$675,B280,Compta!$C$2:$C$675,"2026"),0)</f>
        <v/>
      </c>
      <c r="G280">
        <f>IF(D280="V01",cad!$I$21,IF(D280="V02",cad!$J$21,cad!$K$21))</f>
        <v/>
      </c>
      <c r="H280">
        <f>IF(D280="V01",cad!$I$22,IF(D280="V02",cad!$J$22,cad!$K$22))</f>
        <v/>
      </c>
      <c r="I280">
        <f>IF(D280="V01",cad!$I$27,IF(D280="V02",cad!$J$27,cad!$K$27))</f>
        <v/>
      </c>
      <c r="J280">
        <f>IF(D280="V01",cad!$I$28,IF(D280="V02",cad!$J$28,cad!$K$28))</f>
        <v/>
      </c>
      <c r="K280">
        <f>IF(D280="V01",cad!$I$29,IF(D280="V02",cad!$J$29,cad!$K$29))</f>
        <v/>
      </c>
      <c r="L280">
        <f>IF(D280="V01",cad!$I$30,IF(D280="V02",cad!$J$30,cad!$K$30))</f>
        <v/>
      </c>
      <c r="M280">
        <f>IF(D280="V01",cad!$I$31,IF(D280="V02",cad!$J$31,cad!$K$31))</f>
        <v/>
      </c>
      <c r="N280">
        <f>IF(D280="V01",$R$2,IF(D280="V02",$R$3,$R$4))</f>
        <v/>
      </c>
      <c r="O280">
        <f>IF(OR(B280="7062",B280="706",B280="708"),N280,IF(B280="6231",1+G280,IF(B280="6236",1+H280,IF(OR(B280="621",B280="604",B280="6063"),N280*(1-L280),IF(OR(B280="6411",B280="6413",B280="6414",B280="645"),(1+J280)*(1+K280),IF(OR(B280="613",B280="615",B280="616",B280="6226",B280="625",B280="626",B280="6281"),(1+I280)*(1-L280)*(1+M280),IF(OR(B280="6331",B280="63511",B280="6333"),(1+I280)*(1-L280),IF(B280="6811",1+I280,1))))))))</f>
        <v/>
      </c>
      <c r="P280">
        <f>IF(E280=1,F280*O280,"")</f>
        <v/>
      </c>
    </row>
    <row r="281">
      <c r="A281">
        <f>PNL!A281</f>
        <v/>
      </c>
      <c r="B281">
        <f>PNL!B281</f>
        <v/>
      </c>
      <c r="C281">
        <f>PNL!C281</f>
        <v/>
      </c>
      <c r="D281">
        <f>PNL!D281</f>
        <v/>
      </c>
      <c r="E281">
        <f>IF(AND(C281="2027",OR(D281="V01",D281="V02",D281="V03")),1,0)</f>
        <v/>
      </c>
      <c r="F281">
        <f>IF(E281=1,SUMIFS(Compta!$F$2:$F$675,Compta!$A$2:$A$675,A281,Compta!$B$2:$B$675,B281,Compta!$C$2:$C$675,"2026"),0)</f>
        <v/>
      </c>
      <c r="G281">
        <f>IF(D281="V01",cad!$I$21,IF(D281="V02",cad!$J$21,cad!$K$21))</f>
        <v/>
      </c>
      <c r="H281">
        <f>IF(D281="V01",cad!$I$22,IF(D281="V02",cad!$J$22,cad!$K$22))</f>
        <v/>
      </c>
      <c r="I281">
        <f>IF(D281="V01",cad!$I$27,IF(D281="V02",cad!$J$27,cad!$K$27))</f>
        <v/>
      </c>
      <c r="J281">
        <f>IF(D281="V01",cad!$I$28,IF(D281="V02",cad!$J$28,cad!$K$28))</f>
        <v/>
      </c>
      <c r="K281">
        <f>IF(D281="V01",cad!$I$29,IF(D281="V02",cad!$J$29,cad!$K$29))</f>
        <v/>
      </c>
      <c r="L281">
        <f>IF(D281="V01",cad!$I$30,IF(D281="V02",cad!$J$30,cad!$K$30))</f>
        <v/>
      </c>
      <c r="M281">
        <f>IF(D281="V01",cad!$I$31,IF(D281="V02",cad!$J$31,cad!$K$31))</f>
        <v/>
      </c>
      <c r="N281">
        <f>IF(D281="V01",$R$2,IF(D281="V02",$R$3,$R$4))</f>
        <v/>
      </c>
      <c r="O281">
        <f>IF(OR(B281="7062",B281="706",B281="708"),N281,IF(B281="6231",1+G281,IF(B281="6236",1+H281,IF(OR(B281="621",B281="604",B281="6063"),N281*(1-L281),IF(OR(B281="6411",B281="6413",B281="6414",B281="645"),(1+J281)*(1+K281),IF(OR(B281="613",B281="615",B281="616",B281="6226",B281="625",B281="626",B281="6281"),(1+I281)*(1-L281)*(1+M281),IF(OR(B281="6331",B281="63511",B281="6333"),(1+I281)*(1-L281),IF(B281="6811",1+I281,1))))))))</f>
        <v/>
      </c>
      <c r="P281">
        <f>IF(E281=1,F281*O281,"")</f>
        <v/>
      </c>
    </row>
    <row r="282">
      <c r="A282">
        <f>PNL!A282</f>
        <v/>
      </c>
      <c r="B282">
        <f>PNL!B282</f>
        <v/>
      </c>
      <c r="C282">
        <f>PNL!C282</f>
        <v/>
      </c>
      <c r="D282">
        <f>PNL!D282</f>
        <v/>
      </c>
      <c r="E282">
        <f>IF(AND(C282="2027",OR(D282="V01",D282="V02",D282="V03")),1,0)</f>
        <v/>
      </c>
      <c r="F282">
        <f>IF(E282=1,SUMIFS(Compta!$F$2:$F$675,Compta!$A$2:$A$675,A282,Compta!$B$2:$B$675,B282,Compta!$C$2:$C$675,"2026"),0)</f>
        <v/>
      </c>
      <c r="G282">
        <f>IF(D282="V01",cad!$I$21,IF(D282="V02",cad!$J$21,cad!$K$21))</f>
        <v/>
      </c>
      <c r="H282">
        <f>IF(D282="V01",cad!$I$22,IF(D282="V02",cad!$J$22,cad!$K$22))</f>
        <v/>
      </c>
      <c r="I282">
        <f>IF(D282="V01",cad!$I$27,IF(D282="V02",cad!$J$27,cad!$K$27))</f>
        <v/>
      </c>
      <c r="J282">
        <f>IF(D282="V01",cad!$I$28,IF(D282="V02",cad!$J$28,cad!$K$28))</f>
        <v/>
      </c>
      <c r="K282">
        <f>IF(D282="V01",cad!$I$29,IF(D282="V02",cad!$J$29,cad!$K$29))</f>
        <v/>
      </c>
      <c r="L282">
        <f>IF(D282="V01",cad!$I$30,IF(D282="V02",cad!$J$30,cad!$K$30))</f>
        <v/>
      </c>
      <c r="M282">
        <f>IF(D282="V01",cad!$I$31,IF(D282="V02",cad!$J$31,cad!$K$31))</f>
        <v/>
      </c>
      <c r="N282">
        <f>IF(D282="V01",$R$2,IF(D282="V02",$R$3,$R$4))</f>
        <v/>
      </c>
      <c r="O282">
        <f>IF(OR(B282="7062",B282="706",B282="708"),N282,IF(B282="6231",1+G282,IF(B282="6236",1+H282,IF(OR(B282="621",B282="604",B282="6063"),N282*(1-L282),IF(OR(B282="6411",B282="6413",B282="6414",B282="645"),(1+J282)*(1+K282),IF(OR(B282="613",B282="615",B282="616",B282="6226",B282="625",B282="626",B282="6281"),(1+I282)*(1-L282)*(1+M282),IF(OR(B282="6331",B282="63511",B282="6333"),(1+I282)*(1-L282),IF(B282="6811",1+I282,1))))))))</f>
        <v/>
      </c>
      <c r="P282">
        <f>IF(E282=1,F282*O282,"")</f>
        <v/>
      </c>
    </row>
    <row r="283">
      <c r="A283">
        <f>PNL!A283</f>
        <v/>
      </c>
      <c r="B283">
        <f>PNL!B283</f>
        <v/>
      </c>
      <c r="C283">
        <f>PNL!C283</f>
        <v/>
      </c>
      <c r="D283">
        <f>PNL!D283</f>
        <v/>
      </c>
      <c r="E283">
        <f>IF(AND(C283="2027",OR(D283="V01",D283="V02",D283="V03")),1,0)</f>
        <v/>
      </c>
      <c r="F283">
        <f>IF(E283=1,SUMIFS(Compta!$F$2:$F$675,Compta!$A$2:$A$675,A283,Compta!$B$2:$B$675,B283,Compta!$C$2:$C$675,"2026"),0)</f>
        <v/>
      </c>
      <c r="G283">
        <f>IF(D283="V01",cad!$I$21,IF(D283="V02",cad!$J$21,cad!$K$21))</f>
        <v/>
      </c>
      <c r="H283">
        <f>IF(D283="V01",cad!$I$22,IF(D283="V02",cad!$J$22,cad!$K$22))</f>
        <v/>
      </c>
      <c r="I283">
        <f>IF(D283="V01",cad!$I$27,IF(D283="V02",cad!$J$27,cad!$K$27))</f>
        <v/>
      </c>
      <c r="J283">
        <f>IF(D283="V01",cad!$I$28,IF(D283="V02",cad!$J$28,cad!$K$28))</f>
        <v/>
      </c>
      <c r="K283">
        <f>IF(D283="V01",cad!$I$29,IF(D283="V02",cad!$J$29,cad!$K$29))</f>
        <v/>
      </c>
      <c r="L283">
        <f>IF(D283="V01",cad!$I$30,IF(D283="V02",cad!$J$30,cad!$K$30))</f>
        <v/>
      </c>
      <c r="M283">
        <f>IF(D283="V01",cad!$I$31,IF(D283="V02",cad!$J$31,cad!$K$31))</f>
        <v/>
      </c>
      <c r="N283">
        <f>IF(D283="V01",$R$2,IF(D283="V02",$R$3,$R$4))</f>
        <v/>
      </c>
      <c r="O283">
        <f>IF(OR(B283="7062",B283="706",B283="708"),N283,IF(B283="6231",1+G283,IF(B283="6236",1+H283,IF(OR(B283="621",B283="604",B283="6063"),N283*(1-L283),IF(OR(B283="6411",B283="6413",B283="6414",B283="645"),(1+J283)*(1+K283),IF(OR(B283="613",B283="615",B283="616",B283="6226",B283="625",B283="626",B283="6281"),(1+I283)*(1-L283)*(1+M283),IF(OR(B283="6331",B283="63511",B283="6333"),(1+I283)*(1-L283),IF(B283="6811",1+I283,1))))))))</f>
        <v/>
      </c>
      <c r="P283">
        <f>IF(E283=1,F283*O283,"")</f>
        <v/>
      </c>
    </row>
    <row r="284">
      <c r="A284">
        <f>PNL!A284</f>
        <v/>
      </c>
      <c r="B284">
        <f>PNL!B284</f>
        <v/>
      </c>
      <c r="C284">
        <f>PNL!C284</f>
        <v/>
      </c>
      <c r="D284">
        <f>PNL!D284</f>
        <v/>
      </c>
      <c r="E284">
        <f>IF(AND(C284="2027",OR(D284="V01",D284="V02",D284="V03")),1,0)</f>
        <v/>
      </c>
      <c r="F284">
        <f>IF(E284=1,SUMIFS(Compta!$F$2:$F$675,Compta!$A$2:$A$675,A284,Compta!$B$2:$B$675,B284,Compta!$C$2:$C$675,"2026"),0)</f>
        <v/>
      </c>
      <c r="G284">
        <f>IF(D284="V01",cad!$I$21,IF(D284="V02",cad!$J$21,cad!$K$21))</f>
        <v/>
      </c>
      <c r="H284">
        <f>IF(D284="V01",cad!$I$22,IF(D284="V02",cad!$J$22,cad!$K$22))</f>
        <v/>
      </c>
      <c r="I284">
        <f>IF(D284="V01",cad!$I$27,IF(D284="V02",cad!$J$27,cad!$K$27))</f>
        <v/>
      </c>
      <c r="J284">
        <f>IF(D284="V01",cad!$I$28,IF(D284="V02",cad!$J$28,cad!$K$28))</f>
        <v/>
      </c>
      <c r="K284">
        <f>IF(D284="V01",cad!$I$29,IF(D284="V02",cad!$J$29,cad!$K$29))</f>
        <v/>
      </c>
      <c r="L284">
        <f>IF(D284="V01",cad!$I$30,IF(D284="V02",cad!$J$30,cad!$K$30))</f>
        <v/>
      </c>
      <c r="M284">
        <f>IF(D284="V01",cad!$I$31,IF(D284="V02",cad!$J$31,cad!$K$31))</f>
        <v/>
      </c>
      <c r="N284">
        <f>IF(D284="V01",$R$2,IF(D284="V02",$R$3,$R$4))</f>
        <v/>
      </c>
      <c r="O284">
        <f>IF(OR(B284="7062",B284="706",B284="708"),N284,IF(B284="6231",1+G284,IF(B284="6236",1+H284,IF(OR(B284="621",B284="604",B284="6063"),N284*(1-L284),IF(OR(B284="6411",B284="6413",B284="6414",B284="645"),(1+J284)*(1+K284),IF(OR(B284="613",B284="615",B284="616",B284="6226",B284="625",B284="626",B284="6281"),(1+I284)*(1-L284)*(1+M284),IF(OR(B284="6331",B284="63511",B284="6333"),(1+I284)*(1-L284),IF(B284="6811",1+I284,1))))))))</f>
        <v/>
      </c>
      <c r="P284">
        <f>IF(E284=1,F284*O284,"")</f>
        <v/>
      </c>
    </row>
    <row r="285">
      <c r="A285">
        <f>PNL!A285</f>
        <v/>
      </c>
      <c r="B285">
        <f>PNL!B285</f>
        <v/>
      </c>
      <c r="C285">
        <f>PNL!C285</f>
        <v/>
      </c>
      <c r="D285">
        <f>PNL!D285</f>
        <v/>
      </c>
      <c r="E285">
        <f>IF(AND(C285="2027",OR(D285="V01",D285="V02",D285="V03")),1,0)</f>
        <v/>
      </c>
      <c r="F285">
        <f>IF(E285=1,SUMIFS(Compta!$F$2:$F$675,Compta!$A$2:$A$675,A285,Compta!$B$2:$B$675,B285,Compta!$C$2:$C$675,"2026"),0)</f>
        <v/>
      </c>
      <c r="G285">
        <f>IF(D285="V01",cad!$I$21,IF(D285="V02",cad!$J$21,cad!$K$21))</f>
        <v/>
      </c>
      <c r="H285">
        <f>IF(D285="V01",cad!$I$22,IF(D285="V02",cad!$J$22,cad!$K$22))</f>
        <v/>
      </c>
      <c r="I285">
        <f>IF(D285="V01",cad!$I$27,IF(D285="V02",cad!$J$27,cad!$K$27))</f>
        <v/>
      </c>
      <c r="J285">
        <f>IF(D285="V01",cad!$I$28,IF(D285="V02",cad!$J$28,cad!$K$28))</f>
        <v/>
      </c>
      <c r="K285">
        <f>IF(D285="V01",cad!$I$29,IF(D285="V02",cad!$J$29,cad!$K$29))</f>
        <v/>
      </c>
      <c r="L285">
        <f>IF(D285="V01",cad!$I$30,IF(D285="V02",cad!$J$30,cad!$K$30))</f>
        <v/>
      </c>
      <c r="M285">
        <f>IF(D285="V01",cad!$I$31,IF(D285="V02",cad!$J$31,cad!$K$31))</f>
        <v/>
      </c>
      <c r="N285">
        <f>IF(D285="V01",$R$2,IF(D285="V02",$R$3,$R$4))</f>
        <v/>
      </c>
      <c r="O285">
        <f>IF(OR(B285="7062",B285="706",B285="708"),N285,IF(B285="6231",1+G285,IF(B285="6236",1+H285,IF(OR(B285="621",B285="604",B285="6063"),N285*(1-L285),IF(OR(B285="6411",B285="6413",B285="6414",B285="645"),(1+J285)*(1+K285),IF(OR(B285="613",B285="615",B285="616",B285="6226",B285="625",B285="626",B285="6281"),(1+I285)*(1-L285)*(1+M285),IF(OR(B285="6331",B285="63511",B285="6333"),(1+I285)*(1-L285),IF(B285="6811",1+I285,1))))))))</f>
        <v/>
      </c>
      <c r="P285">
        <f>IF(E285=1,F285*O285,"")</f>
        <v/>
      </c>
    </row>
    <row r="286">
      <c r="A286">
        <f>PNL!A286</f>
        <v/>
      </c>
      <c r="B286">
        <f>PNL!B286</f>
        <v/>
      </c>
      <c r="C286">
        <f>PNL!C286</f>
        <v/>
      </c>
      <c r="D286">
        <f>PNL!D286</f>
        <v/>
      </c>
      <c r="E286">
        <f>IF(AND(C286="2027",OR(D286="V01",D286="V02",D286="V03")),1,0)</f>
        <v/>
      </c>
      <c r="F286">
        <f>IF(E286=1,SUMIFS(Compta!$F$2:$F$675,Compta!$A$2:$A$675,A286,Compta!$B$2:$B$675,B286,Compta!$C$2:$C$675,"2026"),0)</f>
        <v/>
      </c>
      <c r="G286">
        <f>IF(D286="V01",cad!$I$21,IF(D286="V02",cad!$J$21,cad!$K$21))</f>
        <v/>
      </c>
      <c r="H286">
        <f>IF(D286="V01",cad!$I$22,IF(D286="V02",cad!$J$22,cad!$K$22))</f>
        <v/>
      </c>
      <c r="I286">
        <f>IF(D286="V01",cad!$I$27,IF(D286="V02",cad!$J$27,cad!$K$27))</f>
        <v/>
      </c>
      <c r="J286">
        <f>IF(D286="V01",cad!$I$28,IF(D286="V02",cad!$J$28,cad!$K$28))</f>
        <v/>
      </c>
      <c r="K286">
        <f>IF(D286="V01",cad!$I$29,IF(D286="V02",cad!$J$29,cad!$K$29))</f>
        <v/>
      </c>
      <c r="L286">
        <f>IF(D286="V01",cad!$I$30,IF(D286="V02",cad!$J$30,cad!$K$30))</f>
        <v/>
      </c>
      <c r="M286">
        <f>IF(D286="V01",cad!$I$31,IF(D286="V02",cad!$J$31,cad!$K$31))</f>
        <v/>
      </c>
      <c r="N286">
        <f>IF(D286="V01",$R$2,IF(D286="V02",$R$3,$R$4))</f>
        <v/>
      </c>
      <c r="O286">
        <f>IF(OR(B286="7062",B286="706",B286="708"),N286,IF(B286="6231",1+G286,IF(B286="6236",1+H286,IF(OR(B286="621",B286="604",B286="6063"),N286*(1-L286),IF(OR(B286="6411",B286="6413",B286="6414",B286="645"),(1+J286)*(1+K286),IF(OR(B286="613",B286="615",B286="616",B286="6226",B286="625",B286="626",B286="6281"),(1+I286)*(1-L286)*(1+M286),IF(OR(B286="6331",B286="63511",B286="6333"),(1+I286)*(1-L286),IF(B286="6811",1+I286,1))))))))</f>
        <v/>
      </c>
      <c r="P286">
        <f>IF(E286=1,F286*O286,"")</f>
        <v/>
      </c>
    </row>
    <row r="287">
      <c r="A287">
        <f>PNL!A287</f>
        <v/>
      </c>
      <c r="B287">
        <f>PNL!B287</f>
        <v/>
      </c>
      <c r="C287">
        <f>PNL!C287</f>
        <v/>
      </c>
      <c r="D287">
        <f>PNL!D287</f>
        <v/>
      </c>
      <c r="E287">
        <f>IF(AND(C287="2027",OR(D287="V01",D287="V02",D287="V03")),1,0)</f>
        <v/>
      </c>
      <c r="F287">
        <f>IF(E287=1,SUMIFS(Compta!$F$2:$F$675,Compta!$A$2:$A$675,A287,Compta!$B$2:$B$675,B287,Compta!$C$2:$C$675,"2026"),0)</f>
        <v/>
      </c>
      <c r="G287">
        <f>IF(D287="V01",cad!$I$21,IF(D287="V02",cad!$J$21,cad!$K$21))</f>
        <v/>
      </c>
      <c r="H287">
        <f>IF(D287="V01",cad!$I$22,IF(D287="V02",cad!$J$22,cad!$K$22))</f>
        <v/>
      </c>
      <c r="I287">
        <f>IF(D287="V01",cad!$I$27,IF(D287="V02",cad!$J$27,cad!$K$27))</f>
        <v/>
      </c>
      <c r="J287">
        <f>IF(D287="V01",cad!$I$28,IF(D287="V02",cad!$J$28,cad!$K$28))</f>
        <v/>
      </c>
      <c r="K287">
        <f>IF(D287="V01",cad!$I$29,IF(D287="V02",cad!$J$29,cad!$K$29))</f>
        <v/>
      </c>
      <c r="L287">
        <f>IF(D287="V01",cad!$I$30,IF(D287="V02",cad!$J$30,cad!$K$30))</f>
        <v/>
      </c>
      <c r="M287">
        <f>IF(D287="V01",cad!$I$31,IF(D287="V02",cad!$J$31,cad!$K$31))</f>
        <v/>
      </c>
      <c r="N287">
        <f>IF(D287="V01",$R$2,IF(D287="V02",$R$3,$R$4))</f>
        <v/>
      </c>
      <c r="O287">
        <f>IF(OR(B287="7062",B287="706",B287="708"),N287,IF(B287="6231",1+G287,IF(B287="6236",1+H287,IF(OR(B287="621",B287="604",B287="6063"),N287*(1-L287),IF(OR(B287="6411",B287="6413",B287="6414",B287="645"),(1+J287)*(1+K287),IF(OR(B287="613",B287="615",B287="616",B287="6226",B287="625",B287="626",B287="6281"),(1+I287)*(1-L287)*(1+M287),IF(OR(B287="6331",B287="63511",B287="6333"),(1+I287)*(1-L287),IF(B287="6811",1+I287,1))))))))</f>
        <v/>
      </c>
      <c r="P287">
        <f>IF(E287=1,F287*O287,"")</f>
        <v/>
      </c>
    </row>
    <row r="288">
      <c r="A288">
        <f>PNL!A288</f>
        <v/>
      </c>
      <c r="B288">
        <f>PNL!B288</f>
        <v/>
      </c>
      <c r="C288">
        <f>PNL!C288</f>
        <v/>
      </c>
      <c r="D288">
        <f>PNL!D288</f>
        <v/>
      </c>
      <c r="E288">
        <f>IF(AND(C288="2027",OR(D288="V01",D288="V02",D288="V03")),1,0)</f>
        <v/>
      </c>
      <c r="F288">
        <f>IF(E288=1,SUMIFS(Compta!$F$2:$F$675,Compta!$A$2:$A$675,A288,Compta!$B$2:$B$675,B288,Compta!$C$2:$C$675,"2026"),0)</f>
        <v/>
      </c>
      <c r="G288">
        <f>IF(D288="V01",cad!$I$21,IF(D288="V02",cad!$J$21,cad!$K$21))</f>
        <v/>
      </c>
      <c r="H288">
        <f>IF(D288="V01",cad!$I$22,IF(D288="V02",cad!$J$22,cad!$K$22))</f>
        <v/>
      </c>
      <c r="I288">
        <f>IF(D288="V01",cad!$I$27,IF(D288="V02",cad!$J$27,cad!$K$27))</f>
        <v/>
      </c>
      <c r="J288">
        <f>IF(D288="V01",cad!$I$28,IF(D288="V02",cad!$J$28,cad!$K$28))</f>
        <v/>
      </c>
      <c r="K288">
        <f>IF(D288="V01",cad!$I$29,IF(D288="V02",cad!$J$29,cad!$K$29))</f>
        <v/>
      </c>
      <c r="L288">
        <f>IF(D288="V01",cad!$I$30,IF(D288="V02",cad!$J$30,cad!$K$30))</f>
        <v/>
      </c>
      <c r="M288">
        <f>IF(D288="V01",cad!$I$31,IF(D288="V02",cad!$J$31,cad!$K$31))</f>
        <v/>
      </c>
      <c r="N288">
        <f>IF(D288="V01",$R$2,IF(D288="V02",$R$3,$R$4))</f>
        <v/>
      </c>
      <c r="O288">
        <f>IF(OR(B288="7062",B288="706",B288="708"),N288,IF(B288="6231",1+G288,IF(B288="6236",1+H288,IF(OR(B288="621",B288="604",B288="6063"),N288*(1-L288),IF(OR(B288="6411",B288="6413",B288="6414",B288="645"),(1+J288)*(1+K288),IF(OR(B288="613",B288="615",B288="616",B288="6226",B288="625",B288="626",B288="6281"),(1+I288)*(1-L288)*(1+M288),IF(OR(B288="6331",B288="63511",B288="6333"),(1+I288)*(1-L288),IF(B288="6811",1+I288,1))))))))</f>
        <v/>
      </c>
      <c r="P288">
        <f>IF(E288=1,F288*O288,"")</f>
        <v/>
      </c>
    </row>
    <row r="289">
      <c r="A289">
        <f>PNL!A289</f>
        <v/>
      </c>
      <c r="B289">
        <f>PNL!B289</f>
        <v/>
      </c>
      <c r="C289">
        <f>PNL!C289</f>
        <v/>
      </c>
      <c r="D289">
        <f>PNL!D289</f>
        <v/>
      </c>
      <c r="E289">
        <f>IF(AND(C289="2027",OR(D289="V01",D289="V02",D289="V03")),1,0)</f>
        <v/>
      </c>
      <c r="F289">
        <f>IF(E289=1,SUMIFS(Compta!$F$2:$F$675,Compta!$A$2:$A$675,A289,Compta!$B$2:$B$675,B289,Compta!$C$2:$C$675,"2026"),0)</f>
        <v/>
      </c>
      <c r="G289">
        <f>IF(D289="V01",cad!$I$21,IF(D289="V02",cad!$J$21,cad!$K$21))</f>
        <v/>
      </c>
      <c r="H289">
        <f>IF(D289="V01",cad!$I$22,IF(D289="V02",cad!$J$22,cad!$K$22))</f>
        <v/>
      </c>
      <c r="I289">
        <f>IF(D289="V01",cad!$I$27,IF(D289="V02",cad!$J$27,cad!$K$27))</f>
        <v/>
      </c>
      <c r="J289">
        <f>IF(D289="V01",cad!$I$28,IF(D289="V02",cad!$J$28,cad!$K$28))</f>
        <v/>
      </c>
      <c r="K289">
        <f>IF(D289="V01",cad!$I$29,IF(D289="V02",cad!$J$29,cad!$K$29))</f>
        <v/>
      </c>
      <c r="L289">
        <f>IF(D289="V01",cad!$I$30,IF(D289="V02",cad!$J$30,cad!$K$30))</f>
        <v/>
      </c>
      <c r="M289">
        <f>IF(D289="V01",cad!$I$31,IF(D289="V02",cad!$J$31,cad!$K$31))</f>
        <v/>
      </c>
      <c r="N289">
        <f>IF(D289="V01",$R$2,IF(D289="V02",$R$3,$R$4))</f>
        <v/>
      </c>
      <c r="O289">
        <f>IF(OR(B289="7062",B289="706",B289="708"),N289,IF(B289="6231",1+G289,IF(B289="6236",1+H289,IF(OR(B289="621",B289="604",B289="6063"),N289*(1-L289),IF(OR(B289="6411",B289="6413",B289="6414",B289="645"),(1+J289)*(1+K289),IF(OR(B289="613",B289="615",B289="616",B289="6226",B289="625",B289="626",B289="6281"),(1+I289)*(1-L289)*(1+M289),IF(OR(B289="6331",B289="63511",B289="6333"),(1+I289)*(1-L289),IF(B289="6811",1+I289,1))))))))</f>
        <v/>
      </c>
      <c r="P289">
        <f>IF(E289=1,F289*O289,"")</f>
        <v/>
      </c>
    </row>
    <row r="290">
      <c r="A290">
        <f>PNL!A290</f>
        <v/>
      </c>
      <c r="B290">
        <f>PNL!B290</f>
        <v/>
      </c>
      <c r="C290">
        <f>PNL!C290</f>
        <v/>
      </c>
      <c r="D290">
        <f>PNL!D290</f>
        <v/>
      </c>
      <c r="E290">
        <f>IF(AND(C290="2027",OR(D290="V01",D290="V02",D290="V03")),1,0)</f>
        <v/>
      </c>
      <c r="F290">
        <f>IF(E290=1,SUMIFS(Compta!$F$2:$F$675,Compta!$A$2:$A$675,A290,Compta!$B$2:$B$675,B290,Compta!$C$2:$C$675,"2026"),0)</f>
        <v/>
      </c>
      <c r="G290">
        <f>IF(D290="V01",cad!$I$21,IF(D290="V02",cad!$J$21,cad!$K$21))</f>
        <v/>
      </c>
      <c r="H290">
        <f>IF(D290="V01",cad!$I$22,IF(D290="V02",cad!$J$22,cad!$K$22))</f>
        <v/>
      </c>
      <c r="I290">
        <f>IF(D290="V01",cad!$I$27,IF(D290="V02",cad!$J$27,cad!$K$27))</f>
        <v/>
      </c>
      <c r="J290">
        <f>IF(D290="V01",cad!$I$28,IF(D290="V02",cad!$J$28,cad!$K$28))</f>
        <v/>
      </c>
      <c r="K290">
        <f>IF(D290="V01",cad!$I$29,IF(D290="V02",cad!$J$29,cad!$K$29))</f>
        <v/>
      </c>
      <c r="L290">
        <f>IF(D290="V01",cad!$I$30,IF(D290="V02",cad!$J$30,cad!$K$30))</f>
        <v/>
      </c>
      <c r="M290">
        <f>IF(D290="V01",cad!$I$31,IF(D290="V02",cad!$J$31,cad!$K$31))</f>
        <v/>
      </c>
      <c r="N290">
        <f>IF(D290="V01",$R$2,IF(D290="V02",$R$3,$R$4))</f>
        <v/>
      </c>
      <c r="O290">
        <f>IF(OR(B290="7062",B290="706",B290="708"),N290,IF(B290="6231",1+G290,IF(B290="6236",1+H290,IF(OR(B290="621",B290="604",B290="6063"),N290*(1-L290),IF(OR(B290="6411",B290="6413",B290="6414",B290="645"),(1+J290)*(1+K290),IF(OR(B290="613",B290="615",B290="616",B290="6226",B290="625",B290="626",B290="6281"),(1+I290)*(1-L290)*(1+M290),IF(OR(B290="6331",B290="63511",B290="6333"),(1+I290)*(1-L290),IF(B290="6811",1+I290,1))))))))</f>
        <v/>
      </c>
      <c r="P290">
        <f>IF(E290=1,F290*O290,"")</f>
        <v/>
      </c>
    </row>
    <row r="291">
      <c r="A291">
        <f>PNL!A291</f>
        <v/>
      </c>
      <c r="B291">
        <f>PNL!B291</f>
        <v/>
      </c>
      <c r="C291">
        <f>PNL!C291</f>
        <v/>
      </c>
      <c r="D291">
        <f>PNL!D291</f>
        <v/>
      </c>
      <c r="E291">
        <f>IF(AND(C291="2027",OR(D291="V01",D291="V02",D291="V03")),1,0)</f>
        <v/>
      </c>
      <c r="F291">
        <f>IF(E291=1,SUMIFS(Compta!$F$2:$F$675,Compta!$A$2:$A$675,A291,Compta!$B$2:$B$675,B291,Compta!$C$2:$C$675,"2026"),0)</f>
        <v/>
      </c>
      <c r="G291">
        <f>IF(D291="V01",cad!$I$21,IF(D291="V02",cad!$J$21,cad!$K$21))</f>
        <v/>
      </c>
      <c r="H291">
        <f>IF(D291="V01",cad!$I$22,IF(D291="V02",cad!$J$22,cad!$K$22))</f>
        <v/>
      </c>
      <c r="I291">
        <f>IF(D291="V01",cad!$I$27,IF(D291="V02",cad!$J$27,cad!$K$27))</f>
        <v/>
      </c>
      <c r="J291">
        <f>IF(D291="V01",cad!$I$28,IF(D291="V02",cad!$J$28,cad!$K$28))</f>
        <v/>
      </c>
      <c r="K291">
        <f>IF(D291="V01",cad!$I$29,IF(D291="V02",cad!$J$29,cad!$K$29))</f>
        <v/>
      </c>
      <c r="L291">
        <f>IF(D291="V01",cad!$I$30,IF(D291="V02",cad!$J$30,cad!$K$30))</f>
        <v/>
      </c>
      <c r="M291">
        <f>IF(D291="V01",cad!$I$31,IF(D291="V02",cad!$J$31,cad!$K$31))</f>
        <v/>
      </c>
      <c r="N291">
        <f>IF(D291="V01",$R$2,IF(D291="V02",$R$3,$R$4))</f>
        <v/>
      </c>
      <c r="O291">
        <f>IF(OR(B291="7062",B291="706",B291="708"),N291,IF(B291="6231",1+G291,IF(B291="6236",1+H291,IF(OR(B291="621",B291="604",B291="6063"),N291*(1-L291),IF(OR(B291="6411",B291="6413",B291="6414",B291="645"),(1+J291)*(1+K291),IF(OR(B291="613",B291="615",B291="616",B291="6226",B291="625",B291="626",B291="6281"),(1+I291)*(1-L291)*(1+M291),IF(OR(B291="6331",B291="63511",B291="6333"),(1+I291)*(1-L291),IF(B291="6811",1+I291,1))))))))</f>
        <v/>
      </c>
      <c r="P291">
        <f>IF(E291=1,F291*O291,"")</f>
        <v/>
      </c>
    </row>
    <row r="292">
      <c r="A292">
        <f>PNL!A292</f>
        <v/>
      </c>
      <c r="B292">
        <f>PNL!B292</f>
        <v/>
      </c>
      <c r="C292">
        <f>PNL!C292</f>
        <v/>
      </c>
      <c r="D292">
        <f>PNL!D292</f>
        <v/>
      </c>
      <c r="E292">
        <f>IF(AND(C292="2027",OR(D292="V01",D292="V02",D292="V03")),1,0)</f>
        <v/>
      </c>
      <c r="F292">
        <f>IF(E292=1,SUMIFS(Compta!$F$2:$F$675,Compta!$A$2:$A$675,A292,Compta!$B$2:$B$675,B292,Compta!$C$2:$C$675,"2026"),0)</f>
        <v/>
      </c>
      <c r="G292">
        <f>IF(D292="V01",cad!$I$21,IF(D292="V02",cad!$J$21,cad!$K$21))</f>
        <v/>
      </c>
      <c r="H292">
        <f>IF(D292="V01",cad!$I$22,IF(D292="V02",cad!$J$22,cad!$K$22))</f>
        <v/>
      </c>
      <c r="I292">
        <f>IF(D292="V01",cad!$I$27,IF(D292="V02",cad!$J$27,cad!$K$27))</f>
        <v/>
      </c>
      <c r="J292">
        <f>IF(D292="V01",cad!$I$28,IF(D292="V02",cad!$J$28,cad!$K$28))</f>
        <v/>
      </c>
      <c r="K292">
        <f>IF(D292="V01",cad!$I$29,IF(D292="V02",cad!$J$29,cad!$K$29))</f>
        <v/>
      </c>
      <c r="L292">
        <f>IF(D292="V01",cad!$I$30,IF(D292="V02",cad!$J$30,cad!$K$30))</f>
        <v/>
      </c>
      <c r="M292">
        <f>IF(D292="V01",cad!$I$31,IF(D292="V02",cad!$J$31,cad!$K$31))</f>
        <v/>
      </c>
      <c r="N292">
        <f>IF(D292="V01",$R$2,IF(D292="V02",$R$3,$R$4))</f>
        <v/>
      </c>
      <c r="O292">
        <f>IF(OR(B292="7062",B292="706",B292="708"),N292,IF(B292="6231",1+G292,IF(B292="6236",1+H292,IF(OR(B292="621",B292="604",B292="6063"),N292*(1-L292),IF(OR(B292="6411",B292="6413",B292="6414",B292="645"),(1+J292)*(1+K292),IF(OR(B292="613",B292="615",B292="616",B292="6226",B292="625",B292="626",B292="6281"),(1+I292)*(1-L292)*(1+M292),IF(OR(B292="6331",B292="63511",B292="6333"),(1+I292)*(1-L292),IF(B292="6811",1+I292,1))))))))</f>
        <v/>
      </c>
      <c r="P292">
        <f>IF(E292=1,F292*O292,"")</f>
        <v/>
      </c>
    </row>
    <row r="293">
      <c r="A293">
        <f>PNL!A293</f>
        <v/>
      </c>
      <c r="B293">
        <f>PNL!B293</f>
        <v/>
      </c>
      <c r="C293">
        <f>PNL!C293</f>
        <v/>
      </c>
      <c r="D293">
        <f>PNL!D293</f>
        <v/>
      </c>
      <c r="E293">
        <f>IF(AND(C293="2027",OR(D293="V01",D293="V02",D293="V03")),1,0)</f>
        <v/>
      </c>
      <c r="F293">
        <f>IF(E293=1,SUMIFS(Compta!$F$2:$F$675,Compta!$A$2:$A$675,A293,Compta!$B$2:$B$675,B293,Compta!$C$2:$C$675,"2026"),0)</f>
        <v/>
      </c>
      <c r="G293">
        <f>IF(D293="V01",cad!$I$21,IF(D293="V02",cad!$J$21,cad!$K$21))</f>
        <v/>
      </c>
      <c r="H293">
        <f>IF(D293="V01",cad!$I$22,IF(D293="V02",cad!$J$22,cad!$K$22))</f>
        <v/>
      </c>
      <c r="I293">
        <f>IF(D293="V01",cad!$I$27,IF(D293="V02",cad!$J$27,cad!$K$27))</f>
        <v/>
      </c>
      <c r="J293">
        <f>IF(D293="V01",cad!$I$28,IF(D293="V02",cad!$J$28,cad!$K$28))</f>
        <v/>
      </c>
      <c r="K293">
        <f>IF(D293="V01",cad!$I$29,IF(D293="V02",cad!$J$29,cad!$K$29))</f>
        <v/>
      </c>
      <c r="L293">
        <f>IF(D293="V01",cad!$I$30,IF(D293="V02",cad!$J$30,cad!$K$30))</f>
        <v/>
      </c>
      <c r="M293">
        <f>IF(D293="V01",cad!$I$31,IF(D293="V02",cad!$J$31,cad!$K$31))</f>
        <v/>
      </c>
      <c r="N293">
        <f>IF(D293="V01",$R$2,IF(D293="V02",$R$3,$R$4))</f>
        <v/>
      </c>
      <c r="O293">
        <f>IF(OR(B293="7062",B293="706",B293="708"),N293,IF(B293="6231",1+G293,IF(B293="6236",1+H293,IF(OR(B293="621",B293="604",B293="6063"),N293*(1-L293),IF(OR(B293="6411",B293="6413",B293="6414",B293="645"),(1+J293)*(1+K293),IF(OR(B293="613",B293="615",B293="616",B293="6226",B293="625",B293="626",B293="6281"),(1+I293)*(1-L293)*(1+M293),IF(OR(B293="6331",B293="63511",B293="6333"),(1+I293)*(1-L293),IF(B293="6811",1+I293,1))))))))</f>
        <v/>
      </c>
      <c r="P293">
        <f>IF(E293=1,F293*O293,"")</f>
        <v/>
      </c>
    </row>
    <row r="294">
      <c r="A294">
        <f>PNL!A294</f>
        <v/>
      </c>
      <c r="B294">
        <f>PNL!B294</f>
        <v/>
      </c>
      <c r="C294">
        <f>PNL!C294</f>
        <v/>
      </c>
      <c r="D294">
        <f>PNL!D294</f>
        <v/>
      </c>
      <c r="E294">
        <f>IF(AND(C294="2027",OR(D294="V01",D294="V02",D294="V03")),1,0)</f>
        <v/>
      </c>
      <c r="F294">
        <f>IF(E294=1,SUMIFS(Compta!$F$2:$F$675,Compta!$A$2:$A$675,A294,Compta!$B$2:$B$675,B294,Compta!$C$2:$C$675,"2026"),0)</f>
        <v/>
      </c>
      <c r="G294">
        <f>IF(D294="V01",cad!$I$21,IF(D294="V02",cad!$J$21,cad!$K$21))</f>
        <v/>
      </c>
      <c r="H294">
        <f>IF(D294="V01",cad!$I$22,IF(D294="V02",cad!$J$22,cad!$K$22))</f>
        <v/>
      </c>
      <c r="I294">
        <f>IF(D294="V01",cad!$I$27,IF(D294="V02",cad!$J$27,cad!$K$27))</f>
        <v/>
      </c>
      <c r="J294">
        <f>IF(D294="V01",cad!$I$28,IF(D294="V02",cad!$J$28,cad!$K$28))</f>
        <v/>
      </c>
      <c r="K294">
        <f>IF(D294="V01",cad!$I$29,IF(D294="V02",cad!$J$29,cad!$K$29))</f>
        <v/>
      </c>
      <c r="L294">
        <f>IF(D294="V01",cad!$I$30,IF(D294="V02",cad!$J$30,cad!$K$30))</f>
        <v/>
      </c>
      <c r="M294">
        <f>IF(D294="V01",cad!$I$31,IF(D294="V02",cad!$J$31,cad!$K$31))</f>
        <v/>
      </c>
      <c r="N294">
        <f>IF(D294="V01",$R$2,IF(D294="V02",$R$3,$R$4))</f>
        <v/>
      </c>
      <c r="O294">
        <f>IF(OR(B294="7062",B294="706",B294="708"),N294,IF(B294="6231",1+G294,IF(B294="6236",1+H294,IF(OR(B294="621",B294="604",B294="6063"),N294*(1-L294),IF(OR(B294="6411",B294="6413",B294="6414",B294="645"),(1+J294)*(1+K294),IF(OR(B294="613",B294="615",B294="616",B294="6226",B294="625",B294="626",B294="6281"),(1+I294)*(1-L294)*(1+M294),IF(OR(B294="6331",B294="63511",B294="6333"),(1+I294)*(1-L294),IF(B294="6811",1+I294,1))))))))</f>
        <v/>
      </c>
      <c r="P294">
        <f>IF(E294=1,F294*O294,"")</f>
        <v/>
      </c>
    </row>
    <row r="295">
      <c r="A295">
        <f>PNL!A295</f>
        <v/>
      </c>
      <c r="B295">
        <f>PNL!B295</f>
        <v/>
      </c>
      <c r="C295">
        <f>PNL!C295</f>
        <v/>
      </c>
      <c r="D295">
        <f>PNL!D295</f>
        <v/>
      </c>
      <c r="E295">
        <f>IF(AND(C295="2027",OR(D295="V01",D295="V02",D295="V03")),1,0)</f>
        <v/>
      </c>
      <c r="F295">
        <f>IF(E295=1,SUMIFS(Compta!$F$2:$F$675,Compta!$A$2:$A$675,A295,Compta!$B$2:$B$675,B295,Compta!$C$2:$C$675,"2026"),0)</f>
        <v/>
      </c>
      <c r="G295">
        <f>IF(D295="V01",cad!$I$21,IF(D295="V02",cad!$J$21,cad!$K$21))</f>
        <v/>
      </c>
      <c r="H295">
        <f>IF(D295="V01",cad!$I$22,IF(D295="V02",cad!$J$22,cad!$K$22))</f>
        <v/>
      </c>
      <c r="I295">
        <f>IF(D295="V01",cad!$I$27,IF(D295="V02",cad!$J$27,cad!$K$27))</f>
        <v/>
      </c>
      <c r="J295">
        <f>IF(D295="V01",cad!$I$28,IF(D295="V02",cad!$J$28,cad!$K$28))</f>
        <v/>
      </c>
      <c r="K295">
        <f>IF(D295="V01",cad!$I$29,IF(D295="V02",cad!$J$29,cad!$K$29))</f>
        <v/>
      </c>
      <c r="L295">
        <f>IF(D295="V01",cad!$I$30,IF(D295="V02",cad!$J$30,cad!$K$30))</f>
        <v/>
      </c>
      <c r="M295">
        <f>IF(D295="V01",cad!$I$31,IF(D295="V02",cad!$J$31,cad!$K$31))</f>
        <v/>
      </c>
      <c r="N295">
        <f>IF(D295="V01",$R$2,IF(D295="V02",$R$3,$R$4))</f>
        <v/>
      </c>
      <c r="O295">
        <f>IF(OR(B295="7062",B295="706",B295="708"),N295,IF(B295="6231",1+G295,IF(B295="6236",1+H295,IF(OR(B295="621",B295="604",B295="6063"),N295*(1-L295),IF(OR(B295="6411",B295="6413",B295="6414",B295="645"),(1+J295)*(1+K295),IF(OR(B295="613",B295="615",B295="616",B295="6226",B295="625",B295="626",B295="6281"),(1+I295)*(1-L295)*(1+M295),IF(OR(B295="6331",B295="63511",B295="6333"),(1+I295)*(1-L295),IF(B295="6811",1+I295,1))))))))</f>
        <v/>
      </c>
      <c r="P295">
        <f>IF(E295=1,F295*O295,"")</f>
        <v/>
      </c>
    </row>
    <row r="296">
      <c r="A296">
        <f>PNL!A296</f>
        <v/>
      </c>
      <c r="B296">
        <f>PNL!B296</f>
        <v/>
      </c>
      <c r="C296">
        <f>PNL!C296</f>
        <v/>
      </c>
      <c r="D296">
        <f>PNL!D296</f>
        <v/>
      </c>
      <c r="E296">
        <f>IF(AND(C296="2027",OR(D296="V01",D296="V02",D296="V03")),1,0)</f>
        <v/>
      </c>
      <c r="F296">
        <f>IF(E296=1,SUMIFS(Compta!$F$2:$F$675,Compta!$A$2:$A$675,A296,Compta!$B$2:$B$675,B296,Compta!$C$2:$C$675,"2026"),0)</f>
        <v/>
      </c>
      <c r="G296">
        <f>IF(D296="V01",cad!$I$21,IF(D296="V02",cad!$J$21,cad!$K$21))</f>
        <v/>
      </c>
      <c r="H296">
        <f>IF(D296="V01",cad!$I$22,IF(D296="V02",cad!$J$22,cad!$K$22))</f>
        <v/>
      </c>
      <c r="I296">
        <f>IF(D296="V01",cad!$I$27,IF(D296="V02",cad!$J$27,cad!$K$27))</f>
        <v/>
      </c>
      <c r="J296">
        <f>IF(D296="V01",cad!$I$28,IF(D296="V02",cad!$J$28,cad!$K$28))</f>
        <v/>
      </c>
      <c r="K296">
        <f>IF(D296="V01",cad!$I$29,IF(D296="V02",cad!$J$29,cad!$K$29))</f>
        <v/>
      </c>
      <c r="L296">
        <f>IF(D296="V01",cad!$I$30,IF(D296="V02",cad!$J$30,cad!$K$30))</f>
        <v/>
      </c>
      <c r="M296">
        <f>IF(D296="V01",cad!$I$31,IF(D296="V02",cad!$J$31,cad!$K$31))</f>
        <v/>
      </c>
      <c r="N296">
        <f>IF(D296="V01",$R$2,IF(D296="V02",$R$3,$R$4))</f>
        <v/>
      </c>
      <c r="O296">
        <f>IF(OR(B296="7062",B296="706",B296="708"),N296,IF(B296="6231",1+G296,IF(B296="6236",1+H296,IF(OR(B296="621",B296="604",B296="6063"),N296*(1-L296),IF(OR(B296="6411",B296="6413",B296="6414",B296="645"),(1+J296)*(1+K296),IF(OR(B296="613",B296="615",B296="616",B296="6226",B296="625",B296="626",B296="6281"),(1+I296)*(1-L296)*(1+M296),IF(OR(B296="6331",B296="63511",B296="6333"),(1+I296)*(1-L296),IF(B296="6811",1+I296,1))))))))</f>
        <v/>
      </c>
      <c r="P296">
        <f>IF(E296=1,F296*O296,"")</f>
        <v/>
      </c>
    </row>
    <row r="297">
      <c r="A297">
        <f>PNL!A297</f>
        <v/>
      </c>
      <c r="B297">
        <f>PNL!B297</f>
        <v/>
      </c>
      <c r="C297">
        <f>PNL!C297</f>
        <v/>
      </c>
      <c r="D297">
        <f>PNL!D297</f>
        <v/>
      </c>
      <c r="E297">
        <f>IF(AND(C297="2027",OR(D297="V01",D297="V02",D297="V03")),1,0)</f>
        <v/>
      </c>
      <c r="F297">
        <f>IF(E297=1,SUMIFS(Compta!$F$2:$F$675,Compta!$A$2:$A$675,A297,Compta!$B$2:$B$675,B297,Compta!$C$2:$C$675,"2026"),0)</f>
        <v/>
      </c>
      <c r="G297">
        <f>IF(D297="V01",cad!$I$21,IF(D297="V02",cad!$J$21,cad!$K$21))</f>
        <v/>
      </c>
      <c r="H297">
        <f>IF(D297="V01",cad!$I$22,IF(D297="V02",cad!$J$22,cad!$K$22))</f>
        <v/>
      </c>
      <c r="I297">
        <f>IF(D297="V01",cad!$I$27,IF(D297="V02",cad!$J$27,cad!$K$27))</f>
        <v/>
      </c>
      <c r="J297">
        <f>IF(D297="V01",cad!$I$28,IF(D297="V02",cad!$J$28,cad!$K$28))</f>
        <v/>
      </c>
      <c r="K297">
        <f>IF(D297="V01",cad!$I$29,IF(D297="V02",cad!$J$29,cad!$K$29))</f>
        <v/>
      </c>
      <c r="L297">
        <f>IF(D297="V01",cad!$I$30,IF(D297="V02",cad!$J$30,cad!$K$30))</f>
        <v/>
      </c>
      <c r="M297">
        <f>IF(D297="V01",cad!$I$31,IF(D297="V02",cad!$J$31,cad!$K$31))</f>
        <v/>
      </c>
      <c r="N297">
        <f>IF(D297="V01",$R$2,IF(D297="V02",$R$3,$R$4))</f>
        <v/>
      </c>
      <c r="O297">
        <f>IF(OR(B297="7062",B297="706",B297="708"),N297,IF(B297="6231",1+G297,IF(B297="6236",1+H297,IF(OR(B297="621",B297="604",B297="6063"),N297*(1-L297),IF(OR(B297="6411",B297="6413",B297="6414",B297="645"),(1+J297)*(1+K297),IF(OR(B297="613",B297="615",B297="616",B297="6226",B297="625",B297="626",B297="6281"),(1+I297)*(1-L297)*(1+M297),IF(OR(B297="6331",B297="63511",B297="6333"),(1+I297)*(1-L297),IF(B297="6811",1+I297,1))))))))</f>
        <v/>
      </c>
      <c r="P297">
        <f>IF(E297=1,F297*O297,"")</f>
        <v/>
      </c>
    </row>
    <row r="298">
      <c r="A298">
        <f>PNL!A298</f>
        <v/>
      </c>
      <c r="B298">
        <f>PNL!B298</f>
        <v/>
      </c>
      <c r="C298">
        <f>PNL!C298</f>
        <v/>
      </c>
      <c r="D298">
        <f>PNL!D298</f>
        <v/>
      </c>
      <c r="E298">
        <f>IF(AND(C298="2027",OR(D298="V01",D298="V02",D298="V03")),1,0)</f>
        <v/>
      </c>
      <c r="F298">
        <f>IF(E298=1,SUMIFS(Compta!$F$2:$F$675,Compta!$A$2:$A$675,A298,Compta!$B$2:$B$675,B298,Compta!$C$2:$C$675,"2026"),0)</f>
        <v/>
      </c>
      <c r="G298">
        <f>IF(D298="V01",cad!$I$21,IF(D298="V02",cad!$J$21,cad!$K$21))</f>
        <v/>
      </c>
      <c r="H298">
        <f>IF(D298="V01",cad!$I$22,IF(D298="V02",cad!$J$22,cad!$K$22))</f>
        <v/>
      </c>
      <c r="I298">
        <f>IF(D298="V01",cad!$I$27,IF(D298="V02",cad!$J$27,cad!$K$27))</f>
        <v/>
      </c>
      <c r="J298">
        <f>IF(D298="V01",cad!$I$28,IF(D298="V02",cad!$J$28,cad!$K$28))</f>
        <v/>
      </c>
      <c r="K298">
        <f>IF(D298="V01",cad!$I$29,IF(D298="V02",cad!$J$29,cad!$K$29))</f>
        <v/>
      </c>
      <c r="L298">
        <f>IF(D298="V01",cad!$I$30,IF(D298="V02",cad!$J$30,cad!$K$30))</f>
        <v/>
      </c>
      <c r="M298">
        <f>IF(D298="V01",cad!$I$31,IF(D298="V02",cad!$J$31,cad!$K$31))</f>
        <v/>
      </c>
      <c r="N298">
        <f>IF(D298="V01",$R$2,IF(D298="V02",$R$3,$R$4))</f>
        <v/>
      </c>
      <c r="O298">
        <f>IF(OR(B298="7062",B298="706",B298="708"),N298,IF(B298="6231",1+G298,IF(B298="6236",1+H298,IF(OR(B298="621",B298="604",B298="6063"),N298*(1-L298),IF(OR(B298="6411",B298="6413",B298="6414",B298="645"),(1+J298)*(1+K298),IF(OR(B298="613",B298="615",B298="616",B298="6226",B298="625",B298="626",B298="6281"),(1+I298)*(1-L298)*(1+M298),IF(OR(B298="6331",B298="63511",B298="6333"),(1+I298)*(1-L298),IF(B298="6811",1+I298,1))))))))</f>
        <v/>
      </c>
      <c r="P298">
        <f>IF(E298=1,F298*O298,"")</f>
        <v/>
      </c>
    </row>
    <row r="299">
      <c r="A299">
        <f>PNL!A299</f>
        <v/>
      </c>
      <c r="B299">
        <f>PNL!B299</f>
        <v/>
      </c>
      <c r="C299">
        <f>PNL!C299</f>
        <v/>
      </c>
      <c r="D299">
        <f>PNL!D299</f>
        <v/>
      </c>
      <c r="E299">
        <f>IF(AND(C299="2027",OR(D299="V01",D299="V02",D299="V03")),1,0)</f>
        <v/>
      </c>
      <c r="F299">
        <f>IF(E299=1,SUMIFS(Compta!$F$2:$F$675,Compta!$A$2:$A$675,A299,Compta!$B$2:$B$675,B299,Compta!$C$2:$C$675,"2026"),0)</f>
        <v/>
      </c>
      <c r="G299">
        <f>IF(D299="V01",cad!$I$21,IF(D299="V02",cad!$J$21,cad!$K$21))</f>
        <v/>
      </c>
      <c r="H299">
        <f>IF(D299="V01",cad!$I$22,IF(D299="V02",cad!$J$22,cad!$K$22))</f>
        <v/>
      </c>
      <c r="I299">
        <f>IF(D299="V01",cad!$I$27,IF(D299="V02",cad!$J$27,cad!$K$27))</f>
        <v/>
      </c>
      <c r="J299">
        <f>IF(D299="V01",cad!$I$28,IF(D299="V02",cad!$J$28,cad!$K$28))</f>
        <v/>
      </c>
      <c r="K299">
        <f>IF(D299="V01",cad!$I$29,IF(D299="V02",cad!$J$29,cad!$K$29))</f>
        <v/>
      </c>
      <c r="L299">
        <f>IF(D299="V01",cad!$I$30,IF(D299="V02",cad!$J$30,cad!$K$30))</f>
        <v/>
      </c>
      <c r="M299">
        <f>IF(D299="V01",cad!$I$31,IF(D299="V02",cad!$J$31,cad!$K$31))</f>
        <v/>
      </c>
      <c r="N299">
        <f>IF(D299="V01",$R$2,IF(D299="V02",$R$3,$R$4))</f>
        <v/>
      </c>
      <c r="O299">
        <f>IF(OR(B299="7062",B299="706",B299="708"),N299,IF(B299="6231",1+G299,IF(B299="6236",1+H299,IF(OR(B299="621",B299="604",B299="6063"),N299*(1-L299),IF(OR(B299="6411",B299="6413",B299="6414",B299="645"),(1+J299)*(1+K299),IF(OR(B299="613",B299="615",B299="616",B299="6226",B299="625",B299="626",B299="6281"),(1+I299)*(1-L299)*(1+M299),IF(OR(B299="6331",B299="63511",B299="6333"),(1+I299)*(1-L299),IF(B299="6811",1+I299,1))))))))</f>
        <v/>
      </c>
      <c r="P299">
        <f>IF(E299=1,F299*O299,"")</f>
        <v/>
      </c>
    </row>
    <row r="300">
      <c r="A300">
        <f>PNL!A300</f>
        <v/>
      </c>
      <c r="B300">
        <f>PNL!B300</f>
        <v/>
      </c>
      <c r="C300">
        <f>PNL!C300</f>
        <v/>
      </c>
      <c r="D300">
        <f>PNL!D300</f>
        <v/>
      </c>
      <c r="E300">
        <f>IF(AND(C300="2027",OR(D300="V01",D300="V02",D300="V03")),1,0)</f>
        <v/>
      </c>
      <c r="F300">
        <f>IF(E300=1,SUMIFS(Compta!$F$2:$F$675,Compta!$A$2:$A$675,A300,Compta!$B$2:$B$675,B300,Compta!$C$2:$C$675,"2026"),0)</f>
        <v/>
      </c>
      <c r="G300">
        <f>IF(D300="V01",cad!$I$21,IF(D300="V02",cad!$J$21,cad!$K$21))</f>
        <v/>
      </c>
      <c r="H300">
        <f>IF(D300="V01",cad!$I$22,IF(D300="V02",cad!$J$22,cad!$K$22))</f>
        <v/>
      </c>
      <c r="I300">
        <f>IF(D300="V01",cad!$I$27,IF(D300="V02",cad!$J$27,cad!$K$27))</f>
        <v/>
      </c>
      <c r="J300">
        <f>IF(D300="V01",cad!$I$28,IF(D300="V02",cad!$J$28,cad!$K$28))</f>
        <v/>
      </c>
      <c r="K300">
        <f>IF(D300="V01",cad!$I$29,IF(D300="V02",cad!$J$29,cad!$K$29))</f>
        <v/>
      </c>
      <c r="L300">
        <f>IF(D300="V01",cad!$I$30,IF(D300="V02",cad!$J$30,cad!$K$30))</f>
        <v/>
      </c>
      <c r="M300">
        <f>IF(D300="V01",cad!$I$31,IF(D300="V02",cad!$J$31,cad!$K$31))</f>
        <v/>
      </c>
      <c r="N300">
        <f>IF(D300="V01",$R$2,IF(D300="V02",$R$3,$R$4))</f>
        <v/>
      </c>
      <c r="O300">
        <f>IF(OR(B300="7062",B300="706",B300="708"),N300,IF(B300="6231",1+G300,IF(B300="6236",1+H300,IF(OR(B300="621",B300="604",B300="6063"),N300*(1-L300),IF(OR(B300="6411",B300="6413",B300="6414",B300="645"),(1+J300)*(1+K300),IF(OR(B300="613",B300="615",B300="616",B300="6226",B300="625",B300="626",B300="6281"),(1+I300)*(1-L300)*(1+M300),IF(OR(B300="6331",B300="63511",B300="6333"),(1+I300)*(1-L300),IF(B300="6811",1+I300,1))))))))</f>
        <v/>
      </c>
      <c r="P300">
        <f>IF(E300=1,F300*O300,"")</f>
        <v/>
      </c>
    </row>
    <row r="301">
      <c r="A301">
        <f>PNL!A301</f>
        <v/>
      </c>
      <c r="B301">
        <f>PNL!B301</f>
        <v/>
      </c>
      <c r="C301">
        <f>PNL!C301</f>
        <v/>
      </c>
      <c r="D301">
        <f>PNL!D301</f>
        <v/>
      </c>
      <c r="E301">
        <f>IF(AND(C301="2027",OR(D301="V01",D301="V02",D301="V03")),1,0)</f>
        <v/>
      </c>
      <c r="F301">
        <f>IF(E301=1,SUMIFS(Compta!$F$2:$F$675,Compta!$A$2:$A$675,A301,Compta!$B$2:$B$675,B301,Compta!$C$2:$C$675,"2026"),0)</f>
        <v/>
      </c>
      <c r="G301">
        <f>IF(D301="V01",cad!$I$21,IF(D301="V02",cad!$J$21,cad!$K$21))</f>
        <v/>
      </c>
      <c r="H301">
        <f>IF(D301="V01",cad!$I$22,IF(D301="V02",cad!$J$22,cad!$K$22))</f>
        <v/>
      </c>
      <c r="I301">
        <f>IF(D301="V01",cad!$I$27,IF(D301="V02",cad!$J$27,cad!$K$27))</f>
        <v/>
      </c>
      <c r="J301">
        <f>IF(D301="V01",cad!$I$28,IF(D301="V02",cad!$J$28,cad!$K$28))</f>
        <v/>
      </c>
      <c r="K301">
        <f>IF(D301="V01",cad!$I$29,IF(D301="V02",cad!$J$29,cad!$K$29))</f>
        <v/>
      </c>
      <c r="L301">
        <f>IF(D301="V01",cad!$I$30,IF(D301="V02",cad!$J$30,cad!$K$30))</f>
        <v/>
      </c>
      <c r="M301">
        <f>IF(D301="V01",cad!$I$31,IF(D301="V02",cad!$J$31,cad!$K$31))</f>
        <v/>
      </c>
      <c r="N301">
        <f>IF(D301="V01",$R$2,IF(D301="V02",$R$3,$R$4))</f>
        <v/>
      </c>
      <c r="O301">
        <f>IF(OR(B301="7062",B301="706",B301="708"),N301,IF(B301="6231",1+G301,IF(B301="6236",1+H301,IF(OR(B301="621",B301="604",B301="6063"),N301*(1-L301),IF(OR(B301="6411",B301="6413",B301="6414",B301="645"),(1+J301)*(1+K301),IF(OR(B301="613",B301="615",B301="616",B301="6226",B301="625",B301="626",B301="6281"),(1+I301)*(1-L301)*(1+M301),IF(OR(B301="6331",B301="63511",B301="6333"),(1+I301)*(1-L301),IF(B301="6811",1+I301,1))))))))</f>
        <v/>
      </c>
      <c r="P301">
        <f>IF(E301=1,F301*O301,"")</f>
        <v/>
      </c>
    </row>
    <row r="302">
      <c r="A302">
        <f>PNL!A302</f>
        <v/>
      </c>
      <c r="B302">
        <f>PNL!B302</f>
        <v/>
      </c>
      <c r="C302">
        <f>PNL!C302</f>
        <v/>
      </c>
      <c r="D302">
        <f>PNL!D302</f>
        <v/>
      </c>
      <c r="E302">
        <f>IF(AND(C302="2027",OR(D302="V01",D302="V02",D302="V03")),1,0)</f>
        <v/>
      </c>
      <c r="F302">
        <f>IF(E302=1,SUMIFS(Compta!$F$2:$F$675,Compta!$A$2:$A$675,A302,Compta!$B$2:$B$675,B302,Compta!$C$2:$C$675,"2026"),0)</f>
        <v/>
      </c>
      <c r="G302">
        <f>IF(D302="V01",cad!$I$21,IF(D302="V02",cad!$J$21,cad!$K$21))</f>
        <v/>
      </c>
      <c r="H302">
        <f>IF(D302="V01",cad!$I$22,IF(D302="V02",cad!$J$22,cad!$K$22))</f>
        <v/>
      </c>
      <c r="I302">
        <f>IF(D302="V01",cad!$I$27,IF(D302="V02",cad!$J$27,cad!$K$27))</f>
        <v/>
      </c>
      <c r="J302">
        <f>IF(D302="V01",cad!$I$28,IF(D302="V02",cad!$J$28,cad!$K$28))</f>
        <v/>
      </c>
      <c r="K302">
        <f>IF(D302="V01",cad!$I$29,IF(D302="V02",cad!$J$29,cad!$K$29))</f>
        <v/>
      </c>
      <c r="L302">
        <f>IF(D302="V01",cad!$I$30,IF(D302="V02",cad!$J$30,cad!$K$30))</f>
        <v/>
      </c>
      <c r="M302">
        <f>IF(D302="V01",cad!$I$31,IF(D302="V02",cad!$J$31,cad!$K$31))</f>
        <v/>
      </c>
      <c r="N302">
        <f>IF(D302="V01",$R$2,IF(D302="V02",$R$3,$R$4))</f>
        <v/>
      </c>
      <c r="O302">
        <f>IF(OR(B302="7062",B302="706",B302="708"),N302,IF(B302="6231",1+G302,IF(B302="6236",1+H302,IF(OR(B302="621",B302="604",B302="6063"),N302*(1-L302),IF(OR(B302="6411",B302="6413",B302="6414",B302="645"),(1+J302)*(1+K302),IF(OR(B302="613",B302="615",B302="616",B302="6226",B302="625",B302="626",B302="6281"),(1+I302)*(1-L302)*(1+M302),IF(OR(B302="6331",B302="63511",B302="6333"),(1+I302)*(1-L302),IF(B302="6811",1+I302,1))))))))</f>
        <v/>
      </c>
      <c r="P302">
        <f>IF(E302=1,F302*O302,"")</f>
        <v/>
      </c>
    </row>
    <row r="303">
      <c r="A303">
        <f>PNL!A303</f>
        <v/>
      </c>
      <c r="B303">
        <f>PNL!B303</f>
        <v/>
      </c>
      <c r="C303">
        <f>PNL!C303</f>
        <v/>
      </c>
      <c r="D303">
        <f>PNL!D303</f>
        <v/>
      </c>
      <c r="E303">
        <f>IF(AND(C303="2027",OR(D303="V01",D303="V02",D303="V03")),1,0)</f>
        <v/>
      </c>
      <c r="F303">
        <f>IF(E303=1,SUMIFS(Compta!$F$2:$F$675,Compta!$A$2:$A$675,A303,Compta!$B$2:$B$675,B303,Compta!$C$2:$C$675,"2026"),0)</f>
        <v/>
      </c>
      <c r="G303">
        <f>IF(D303="V01",cad!$I$21,IF(D303="V02",cad!$J$21,cad!$K$21))</f>
        <v/>
      </c>
      <c r="H303">
        <f>IF(D303="V01",cad!$I$22,IF(D303="V02",cad!$J$22,cad!$K$22))</f>
        <v/>
      </c>
      <c r="I303">
        <f>IF(D303="V01",cad!$I$27,IF(D303="V02",cad!$J$27,cad!$K$27))</f>
        <v/>
      </c>
      <c r="J303">
        <f>IF(D303="V01",cad!$I$28,IF(D303="V02",cad!$J$28,cad!$K$28))</f>
        <v/>
      </c>
      <c r="K303">
        <f>IF(D303="V01",cad!$I$29,IF(D303="V02",cad!$J$29,cad!$K$29))</f>
        <v/>
      </c>
      <c r="L303">
        <f>IF(D303="V01",cad!$I$30,IF(D303="V02",cad!$J$30,cad!$K$30))</f>
        <v/>
      </c>
      <c r="M303">
        <f>IF(D303="V01",cad!$I$31,IF(D303="V02",cad!$J$31,cad!$K$31))</f>
        <v/>
      </c>
      <c r="N303">
        <f>IF(D303="V01",$R$2,IF(D303="V02",$R$3,$R$4))</f>
        <v/>
      </c>
      <c r="O303">
        <f>IF(OR(B303="7062",B303="706",B303="708"),N303,IF(B303="6231",1+G303,IF(B303="6236",1+H303,IF(OR(B303="621",B303="604",B303="6063"),N303*(1-L303),IF(OR(B303="6411",B303="6413",B303="6414",B303="645"),(1+J303)*(1+K303),IF(OR(B303="613",B303="615",B303="616",B303="6226",B303="625",B303="626",B303="6281"),(1+I303)*(1-L303)*(1+M303),IF(OR(B303="6331",B303="63511",B303="6333"),(1+I303)*(1-L303),IF(B303="6811",1+I303,1))))))))</f>
        <v/>
      </c>
      <c r="P303">
        <f>IF(E303=1,F303*O303,"")</f>
        <v/>
      </c>
    </row>
    <row r="304">
      <c r="A304">
        <f>PNL!A304</f>
        <v/>
      </c>
      <c r="B304">
        <f>PNL!B304</f>
        <v/>
      </c>
      <c r="C304">
        <f>PNL!C304</f>
        <v/>
      </c>
      <c r="D304">
        <f>PNL!D304</f>
        <v/>
      </c>
      <c r="E304">
        <f>IF(AND(C304="2027",OR(D304="V01",D304="V02",D304="V03")),1,0)</f>
        <v/>
      </c>
      <c r="F304">
        <f>IF(E304=1,SUMIFS(Compta!$F$2:$F$675,Compta!$A$2:$A$675,A304,Compta!$B$2:$B$675,B304,Compta!$C$2:$C$675,"2026"),0)</f>
        <v/>
      </c>
      <c r="G304">
        <f>IF(D304="V01",cad!$I$21,IF(D304="V02",cad!$J$21,cad!$K$21))</f>
        <v/>
      </c>
      <c r="H304">
        <f>IF(D304="V01",cad!$I$22,IF(D304="V02",cad!$J$22,cad!$K$22))</f>
        <v/>
      </c>
      <c r="I304">
        <f>IF(D304="V01",cad!$I$27,IF(D304="V02",cad!$J$27,cad!$K$27))</f>
        <v/>
      </c>
      <c r="J304">
        <f>IF(D304="V01",cad!$I$28,IF(D304="V02",cad!$J$28,cad!$K$28))</f>
        <v/>
      </c>
      <c r="K304">
        <f>IF(D304="V01",cad!$I$29,IF(D304="V02",cad!$J$29,cad!$K$29))</f>
        <v/>
      </c>
      <c r="L304">
        <f>IF(D304="V01",cad!$I$30,IF(D304="V02",cad!$J$30,cad!$K$30))</f>
        <v/>
      </c>
      <c r="M304">
        <f>IF(D304="V01",cad!$I$31,IF(D304="V02",cad!$J$31,cad!$K$31))</f>
        <v/>
      </c>
      <c r="N304">
        <f>IF(D304="V01",$R$2,IF(D304="V02",$R$3,$R$4))</f>
        <v/>
      </c>
      <c r="O304">
        <f>IF(OR(B304="7062",B304="706",B304="708"),N304,IF(B304="6231",1+G304,IF(B304="6236",1+H304,IF(OR(B304="621",B304="604",B304="6063"),N304*(1-L304),IF(OR(B304="6411",B304="6413",B304="6414",B304="645"),(1+J304)*(1+K304),IF(OR(B304="613",B304="615",B304="616",B304="6226",B304="625",B304="626",B304="6281"),(1+I304)*(1-L304)*(1+M304),IF(OR(B304="6331",B304="63511",B304="6333"),(1+I304)*(1-L304),IF(B304="6811",1+I304,1))))))))</f>
        <v/>
      </c>
      <c r="P304">
        <f>IF(E304=1,F304*O304,"")</f>
        <v/>
      </c>
    </row>
    <row r="305">
      <c r="A305">
        <f>PNL!A305</f>
        <v/>
      </c>
      <c r="B305">
        <f>PNL!B305</f>
        <v/>
      </c>
      <c r="C305">
        <f>PNL!C305</f>
        <v/>
      </c>
      <c r="D305">
        <f>PNL!D305</f>
        <v/>
      </c>
      <c r="E305">
        <f>IF(AND(C305="2027",OR(D305="V01",D305="V02",D305="V03")),1,0)</f>
        <v/>
      </c>
      <c r="F305">
        <f>IF(E305=1,SUMIFS(Compta!$F$2:$F$675,Compta!$A$2:$A$675,A305,Compta!$B$2:$B$675,B305,Compta!$C$2:$C$675,"2026"),0)</f>
        <v/>
      </c>
      <c r="G305">
        <f>IF(D305="V01",cad!$I$21,IF(D305="V02",cad!$J$21,cad!$K$21))</f>
        <v/>
      </c>
      <c r="H305">
        <f>IF(D305="V01",cad!$I$22,IF(D305="V02",cad!$J$22,cad!$K$22))</f>
        <v/>
      </c>
      <c r="I305">
        <f>IF(D305="V01",cad!$I$27,IF(D305="V02",cad!$J$27,cad!$K$27))</f>
        <v/>
      </c>
      <c r="J305">
        <f>IF(D305="V01",cad!$I$28,IF(D305="V02",cad!$J$28,cad!$K$28))</f>
        <v/>
      </c>
      <c r="K305">
        <f>IF(D305="V01",cad!$I$29,IF(D305="V02",cad!$J$29,cad!$K$29))</f>
        <v/>
      </c>
      <c r="L305">
        <f>IF(D305="V01",cad!$I$30,IF(D305="V02",cad!$J$30,cad!$K$30))</f>
        <v/>
      </c>
      <c r="M305">
        <f>IF(D305="V01",cad!$I$31,IF(D305="V02",cad!$J$31,cad!$K$31))</f>
        <v/>
      </c>
      <c r="N305">
        <f>IF(D305="V01",$R$2,IF(D305="V02",$R$3,$R$4))</f>
        <v/>
      </c>
      <c r="O305">
        <f>IF(OR(B305="7062",B305="706",B305="708"),N305,IF(B305="6231",1+G305,IF(B305="6236",1+H305,IF(OR(B305="621",B305="604",B305="6063"),N305*(1-L305),IF(OR(B305="6411",B305="6413",B305="6414",B305="645"),(1+J305)*(1+K305),IF(OR(B305="613",B305="615",B305="616",B305="6226",B305="625",B305="626",B305="6281"),(1+I305)*(1-L305)*(1+M305),IF(OR(B305="6331",B305="63511",B305="6333"),(1+I305)*(1-L305),IF(B305="6811",1+I305,1))))))))</f>
        <v/>
      </c>
      <c r="P305">
        <f>IF(E305=1,F305*O305,"")</f>
        <v/>
      </c>
    </row>
    <row r="306">
      <c r="A306">
        <f>PNL!A306</f>
        <v/>
      </c>
      <c r="B306">
        <f>PNL!B306</f>
        <v/>
      </c>
      <c r="C306">
        <f>PNL!C306</f>
        <v/>
      </c>
      <c r="D306">
        <f>PNL!D306</f>
        <v/>
      </c>
      <c r="E306">
        <f>IF(AND(C306="2027",OR(D306="V01",D306="V02",D306="V03")),1,0)</f>
        <v/>
      </c>
      <c r="F306">
        <f>IF(E306=1,SUMIFS(Compta!$F$2:$F$675,Compta!$A$2:$A$675,A306,Compta!$B$2:$B$675,B306,Compta!$C$2:$C$675,"2026"),0)</f>
        <v/>
      </c>
      <c r="G306">
        <f>IF(D306="V01",cad!$I$21,IF(D306="V02",cad!$J$21,cad!$K$21))</f>
        <v/>
      </c>
      <c r="H306">
        <f>IF(D306="V01",cad!$I$22,IF(D306="V02",cad!$J$22,cad!$K$22))</f>
        <v/>
      </c>
      <c r="I306">
        <f>IF(D306="V01",cad!$I$27,IF(D306="V02",cad!$J$27,cad!$K$27))</f>
        <v/>
      </c>
      <c r="J306">
        <f>IF(D306="V01",cad!$I$28,IF(D306="V02",cad!$J$28,cad!$K$28))</f>
        <v/>
      </c>
      <c r="K306">
        <f>IF(D306="V01",cad!$I$29,IF(D306="V02",cad!$J$29,cad!$K$29))</f>
        <v/>
      </c>
      <c r="L306">
        <f>IF(D306="V01",cad!$I$30,IF(D306="V02",cad!$J$30,cad!$K$30))</f>
        <v/>
      </c>
      <c r="M306">
        <f>IF(D306="V01",cad!$I$31,IF(D306="V02",cad!$J$31,cad!$K$31))</f>
        <v/>
      </c>
      <c r="N306">
        <f>IF(D306="V01",$R$2,IF(D306="V02",$R$3,$R$4))</f>
        <v/>
      </c>
      <c r="O306">
        <f>IF(OR(B306="7062",B306="706",B306="708"),N306,IF(B306="6231",1+G306,IF(B306="6236",1+H306,IF(OR(B306="621",B306="604",B306="6063"),N306*(1-L306),IF(OR(B306="6411",B306="6413",B306="6414",B306="645"),(1+J306)*(1+K306),IF(OR(B306="613",B306="615",B306="616",B306="6226",B306="625",B306="626",B306="6281"),(1+I306)*(1-L306)*(1+M306),IF(OR(B306="6331",B306="63511",B306="6333"),(1+I306)*(1-L306),IF(B306="6811",1+I306,1))))))))</f>
        <v/>
      </c>
      <c r="P306">
        <f>IF(E306=1,F306*O306,"")</f>
        <v/>
      </c>
    </row>
    <row r="307">
      <c r="A307">
        <f>PNL!A307</f>
        <v/>
      </c>
      <c r="B307">
        <f>PNL!B307</f>
        <v/>
      </c>
      <c r="C307">
        <f>PNL!C307</f>
        <v/>
      </c>
      <c r="D307">
        <f>PNL!D307</f>
        <v/>
      </c>
      <c r="E307">
        <f>IF(AND(C307="2027",OR(D307="V01",D307="V02",D307="V03")),1,0)</f>
        <v/>
      </c>
      <c r="F307">
        <f>IF(E307=1,SUMIFS(Compta!$F$2:$F$675,Compta!$A$2:$A$675,A307,Compta!$B$2:$B$675,B307,Compta!$C$2:$C$675,"2026"),0)</f>
        <v/>
      </c>
      <c r="G307">
        <f>IF(D307="V01",cad!$I$21,IF(D307="V02",cad!$J$21,cad!$K$21))</f>
        <v/>
      </c>
      <c r="H307">
        <f>IF(D307="V01",cad!$I$22,IF(D307="V02",cad!$J$22,cad!$K$22))</f>
        <v/>
      </c>
      <c r="I307">
        <f>IF(D307="V01",cad!$I$27,IF(D307="V02",cad!$J$27,cad!$K$27))</f>
        <v/>
      </c>
      <c r="J307">
        <f>IF(D307="V01",cad!$I$28,IF(D307="V02",cad!$J$28,cad!$K$28))</f>
        <v/>
      </c>
      <c r="K307">
        <f>IF(D307="V01",cad!$I$29,IF(D307="V02",cad!$J$29,cad!$K$29))</f>
        <v/>
      </c>
      <c r="L307">
        <f>IF(D307="V01",cad!$I$30,IF(D307="V02",cad!$J$30,cad!$K$30))</f>
        <v/>
      </c>
      <c r="M307">
        <f>IF(D307="V01",cad!$I$31,IF(D307="V02",cad!$J$31,cad!$K$31))</f>
        <v/>
      </c>
      <c r="N307">
        <f>IF(D307="V01",$R$2,IF(D307="V02",$R$3,$R$4))</f>
        <v/>
      </c>
      <c r="O307">
        <f>IF(OR(B307="7062",B307="706",B307="708"),N307,IF(B307="6231",1+G307,IF(B307="6236",1+H307,IF(OR(B307="621",B307="604",B307="6063"),N307*(1-L307),IF(OR(B307="6411",B307="6413",B307="6414",B307="645"),(1+J307)*(1+K307),IF(OR(B307="613",B307="615",B307="616",B307="6226",B307="625",B307="626",B307="6281"),(1+I307)*(1-L307)*(1+M307),IF(OR(B307="6331",B307="63511",B307="6333"),(1+I307)*(1-L307),IF(B307="6811",1+I307,1))))))))</f>
        <v/>
      </c>
      <c r="P307">
        <f>IF(E307=1,F307*O307,"")</f>
        <v/>
      </c>
    </row>
    <row r="308">
      <c r="A308">
        <f>PNL!A308</f>
        <v/>
      </c>
      <c r="B308">
        <f>PNL!B308</f>
        <v/>
      </c>
      <c r="C308">
        <f>PNL!C308</f>
        <v/>
      </c>
      <c r="D308">
        <f>PNL!D308</f>
        <v/>
      </c>
      <c r="E308">
        <f>IF(AND(C308="2027",OR(D308="V01",D308="V02",D308="V03")),1,0)</f>
        <v/>
      </c>
      <c r="F308">
        <f>IF(E308=1,SUMIFS(Compta!$F$2:$F$675,Compta!$A$2:$A$675,A308,Compta!$B$2:$B$675,B308,Compta!$C$2:$C$675,"2026"),0)</f>
        <v/>
      </c>
      <c r="G308">
        <f>IF(D308="V01",cad!$I$21,IF(D308="V02",cad!$J$21,cad!$K$21))</f>
        <v/>
      </c>
      <c r="H308">
        <f>IF(D308="V01",cad!$I$22,IF(D308="V02",cad!$J$22,cad!$K$22))</f>
        <v/>
      </c>
      <c r="I308">
        <f>IF(D308="V01",cad!$I$27,IF(D308="V02",cad!$J$27,cad!$K$27))</f>
        <v/>
      </c>
      <c r="J308">
        <f>IF(D308="V01",cad!$I$28,IF(D308="V02",cad!$J$28,cad!$K$28))</f>
        <v/>
      </c>
      <c r="K308">
        <f>IF(D308="V01",cad!$I$29,IF(D308="V02",cad!$J$29,cad!$K$29))</f>
        <v/>
      </c>
      <c r="L308">
        <f>IF(D308="V01",cad!$I$30,IF(D308="V02",cad!$J$30,cad!$K$30))</f>
        <v/>
      </c>
      <c r="M308">
        <f>IF(D308="V01",cad!$I$31,IF(D308="V02",cad!$J$31,cad!$K$31))</f>
        <v/>
      </c>
      <c r="N308">
        <f>IF(D308="V01",$R$2,IF(D308="V02",$R$3,$R$4))</f>
        <v/>
      </c>
      <c r="O308">
        <f>IF(OR(B308="7062",B308="706",B308="708"),N308,IF(B308="6231",1+G308,IF(B308="6236",1+H308,IF(OR(B308="621",B308="604",B308="6063"),N308*(1-L308),IF(OR(B308="6411",B308="6413",B308="6414",B308="645"),(1+J308)*(1+K308),IF(OR(B308="613",B308="615",B308="616",B308="6226",B308="625",B308="626",B308="6281"),(1+I308)*(1-L308)*(1+M308),IF(OR(B308="6331",B308="63511",B308="6333"),(1+I308)*(1-L308),IF(B308="6811",1+I308,1))))))))</f>
        <v/>
      </c>
      <c r="P308">
        <f>IF(E308=1,F308*O308,"")</f>
        <v/>
      </c>
    </row>
    <row r="309">
      <c r="A309">
        <f>PNL!A309</f>
        <v/>
      </c>
      <c r="B309">
        <f>PNL!B309</f>
        <v/>
      </c>
      <c r="C309">
        <f>PNL!C309</f>
        <v/>
      </c>
      <c r="D309">
        <f>PNL!D309</f>
        <v/>
      </c>
      <c r="E309">
        <f>IF(AND(C309="2027",OR(D309="V01",D309="V02",D309="V03")),1,0)</f>
        <v/>
      </c>
      <c r="F309">
        <f>IF(E309=1,SUMIFS(Compta!$F$2:$F$675,Compta!$A$2:$A$675,A309,Compta!$B$2:$B$675,B309,Compta!$C$2:$C$675,"2026"),0)</f>
        <v/>
      </c>
      <c r="G309">
        <f>IF(D309="V01",cad!$I$21,IF(D309="V02",cad!$J$21,cad!$K$21))</f>
        <v/>
      </c>
      <c r="H309">
        <f>IF(D309="V01",cad!$I$22,IF(D309="V02",cad!$J$22,cad!$K$22))</f>
        <v/>
      </c>
      <c r="I309">
        <f>IF(D309="V01",cad!$I$27,IF(D309="V02",cad!$J$27,cad!$K$27))</f>
        <v/>
      </c>
      <c r="J309">
        <f>IF(D309="V01",cad!$I$28,IF(D309="V02",cad!$J$28,cad!$K$28))</f>
        <v/>
      </c>
      <c r="K309">
        <f>IF(D309="V01",cad!$I$29,IF(D309="V02",cad!$J$29,cad!$K$29))</f>
        <v/>
      </c>
      <c r="L309">
        <f>IF(D309="V01",cad!$I$30,IF(D309="V02",cad!$J$30,cad!$K$30))</f>
        <v/>
      </c>
      <c r="M309">
        <f>IF(D309="V01",cad!$I$31,IF(D309="V02",cad!$J$31,cad!$K$31))</f>
        <v/>
      </c>
      <c r="N309">
        <f>IF(D309="V01",$R$2,IF(D309="V02",$R$3,$R$4))</f>
        <v/>
      </c>
      <c r="O309">
        <f>IF(OR(B309="7062",B309="706",B309="708"),N309,IF(B309="6231",1+G309,IF(B309="6236",1+H309,IF(OR(B309="621",B309="604",B309="6063"),N309*(1-L309),IF(OR(B309="6411",B309="6413",B309="6414",B309="645"),(1+J309)*(1+K309),IF(OR(B309="613",B309="615",B309="616",B309="6226",B309="625",B309="626",B309="6281"),(1+I309)*(1-L309)*(1+M309),IF(OR(B309="6331",B309="63511",B309="6333"),(1+I309)*(1-L309),IF(B309="6811",1+I309,1))))))))</f>
        <v/>
      </c>
      <c r="P309">
        <f>IF(E309=1,F309*O309,"")</f>
        <v/>
      </c>
    </row>
    <row r="310">
      <c r="A310">
        <f>PNL!A310</f>
        <v/>
      </c>
      <c r="B310">
        <f>PNL!B310</f>
        <v/>
      </c>
      <c r="C310">
        <f>PNL!C310</f>
        <v/>
      </c>
      <c r="D310">
        <f>PNL!D310</f>
        <v/>
      </c>
      <c r="E310">
        <f>IF(AND(C310="2027",OR(D310="V01",D310="V02",D310="V03")),1,0)</f>
        <v/>
      </c>
      <c r="F310">
        <f>IF(E310=1,SUMIFS(Compta!$F$2:$F$675,Compta!$A$2:$A$675,A310,Compta!$B$2:$B$675,B310,Compta!$C$2:$C$675,"2026"),0)</f>
        <v/>
      </c>
      <c r="G310">
        <f>IF(D310="V01",cad!$I$21,IF(D310="V02",cad!$J$21,cad!$K$21))</f>
        <v/>
      </c>
      <c r="H310">
        <f>IF(D310="V01",cad!$I$22,IF(D310="V02",cad!$J$22,cad!$K$22))</f>
        <v/>
      </c>
      <c r="I310">
        <f>IF(D310="V01",cad!$I$27,IF(D310="V02",cad!$J$27,cad!$K$27))</f>
        <v/>
      </c>
      <c r="J310">
        <f>IF(D310="V01",cad!$I$28,IF(D310="V02",cad!$J$28,cad!$K$28))</f>
        <v/>
      </c>
      <c r="K310">
        <f>IF(D310="V01",cad!$I$29,IF(D310="V02",cad!$J$29,cad!$K$29))</f>
        <v/>
      </c>
      <c r="L310">
        <f>IF(D310="V01",cad!$I$30,IF(D310="V02",cad!$J$30,cad!$K$30))</f>
        <v/>
      </c>
      <c r="M310">
        <f>IF(D310="V01",cad!$I$31,IF(D310="V02",cad!$J$31,cad!$K$31))</f>
        <v/>
      </c>
      <c r="N310">
        <f>IF(D310="V01",$R$2,IF(D310="V02",$R$3,$R$4))</f>
        <v/>
      </c>
      <c r="O310">
        <f>IF(OR(B310="7062",B310="706",B310="708"),N310,IF(B310="6231",1+G310,IF(B310="6236",1+H310,IF(OR(B310="621",B310="604",B310="6063"),N310*(1-L310),IF(OR(B310="6411",B310="6413",B310="6414",B310="645"),(1+J310)*(1+K310),IF(OR(B310="613",B310="615",B310="616",B310="6226",B310="625",B310="626",B310="6281"),(1+I310)*(1-L310)*(1+M310),IF(OR(B310="6331",B310="63511",B310="6333"),(1+I310)*(1-L310),IF(B310="6811",1+I310,1))))))))</f>
        <v/>
      </c>
      <c r="P310">
        <f>IF(E310=1,F310*O310,"")</f>
        <v/>
      </c>
    </row>
    <row r="311">
      <c r="A311">
        <f>PNL!A311</f>
        <v/>
      </c>
      <c r="B311">
        <f>PNL!B311</f>
        <v/>
      </c>
      <c r="C311">
        <f>PNL!C311</f>
        <v/>
      </c>
      <c r="D311">
        <f>PNL!D311</f>
        <v/>
      </c>
      <c r="E311">
        <f>IF(AND(C311="2027",OR(D311="V01",D311="V02",D311="V03")),1,0)</f>
        <v/>
      </c>
      <c r="F311">
        <f>IF(E311=1,SUMIFS(Compta!$F$2:$F$675,Compta!$A$2:$A$675,A311,Compta!$B$2:$B$675,B311,Compta!$C$2:$C$675,"2026"),0)</f>
        <v/>
      </c>
      <c r="G311">
        <f>IF(D311="V01",cad!$I$21,IF(D311="V02",cad!$J$21,cad!$K$21))</f>
        <v/>
      </c>
      <c r="H311">
        <f>IF(D311="V01",cad!$I$22,IF(D311="V02",cad!$J$22,cad!$K$22))</f>
        <v/>
      </c>
      <c r="I311">
        <f>IF(D311="V01",cad!$I$27,IF(D311="V02",cad!$J$27,cad!$K$27))</f>
        <v/>
      </c>
      <c r="J311">
        <f>IF(D311="V01",cad!$I$28,IF(D311="V02",cad!$J$28,cad!$K$28))</f>
        <v/>
      </c>
      <c r="K311">
        <f>IF(D311="V01",cad!$I$29,IF(D311="V02",cad!$J$29,cad!$K$29))</f>
        <v/>
      </c>
      <c r="L311">
        <f>IF(D311="V01",cad!$I$30,IF(D311="V02",cad!$J$30,cad!$K$30))</f>
        <v/>
      </c>
      <c r="M311">
        <f>IF(D311="V01",cad!$I$31,IF(D311="V02",cad!$J$31,cad!$K$31))</f>
        <v/>
      </c>
      <c r="N311">
        <f>IF(D311="V01",$R$2,IF(D311="V02",$R$3,$R$4))</f>
        <v/>
      </c>
      <c r="O311">
        <f>IF(OR(B311="7062",B311="706",B311="708"),N311,IF(B311="6231",1+G311,IF(B311="6236",1+H311,IF(OR(B311="621",B311="604",B311="6063"),N311*(1-L311),IF(OR(B311="6411",B311="6413",B311="6414",B311="645"),(1+J311)*(1+K311),IF(OR(B311="613",B311="615",B311="616",B311="6226",B311="625",B311="626",B311="6281"),(1+I311)*(1-L311)*(1+M311),IF(OR(B311="6331",B311="63511",B311="6333"),(1+I311)*(1-L311),IF(B311="6811",1+I311,1))))))))</f>
        <v/>
      </c>
      <c r="P311">
        <f>IF(E311=1,F311*O311,"")</f>
        <v/>
      </c>
    </row>
    <row r="312">
      <c r="A312">
        <f>PNL!A312</f>
        <v/>
      </c>
      <c r="B312">
        <f>PNL!B312</f>
        <v/>
      </c>
      <c r="C312">
        <f>PNL!C312</f>
        <v/>
      </c>
      <c r="D312">
        <f>PNL!D312</f>
        <v/>
      </c>
      <c r="E312">
        <f>IF(AND(C312="2027",OR(D312="V01",D312="V02",D312="V03")),1,0)</f>
        <v/>
      </c>
      <c r="F312">
        <f>IF(E312=1,SUMIFS(Compta!$F$2:$F$675,Compta!$A$2:$A$675,A312,Compta!$B$2:$B$675,B312,Compta!$C$2:$C$675,"2026"),0)</f>
        <v/>
      </c>
      <c r="G312">
        <f>IF(D312="V01",cad!$I$21,IF(D312="V02",cad!$J$21,cad!$K$21))</f>
        <v/>
      </c>
      <c r="H312">
        <f>IF(D312="V01",cad!$I$22,IF(D312="V02",cad!$J$22,cad!$K$22))</f>
        <v/>
      </c>
      <c r="I312">
        <f>IF(D312="V01",cad!$I$27,IF(D312="V02",cad!$J$27,cad!$K$27))</f>
        <v/>
      </c>
      <c r="J312">
        <f>IF(D312="V01",cad!$I$28,IF(D312="V02",cad!$J$28,cad!$K$28))</f>
        <v/>
      </c>
      <c r="K312">
        <f>IF(D312="V01",cad!$I$29,IF(D312="V02",cad!$J$29,cad!$K$29))</f>
        <v/>
      </c>
      <c r="L312">
        <f>IF(D312="V01",cad!$I$30,IF(D312="V02",cad!$J$30,cad!$K$30))</f>
        <v/>
      </c>
      <c r="M312">
        <f>IF(D312="V01",cad!$I$31,IF(D312="V02",cad!$J$31,cad!$K$31))</f>
        <v/>
      </c>
      <c r="N312">
        <f>IF(D312="V01",$R$2,IF(D312="V02",$R$3,$R$4))</f>
        <v/>
      </c>
      <c r="O312">
        <f>IF(OR(B312="7062",B312="706",B312="708"),N312,IF(B312="6231",1+G312,IF(B312="6236",1+H312,IF(OR(B312="621",B312="604",B312="6063"),N312*(1-L312),IF(OR(B312="6411",B312="6413",B312="6414",B312="645"),(1+J312)*(1+K312),IF(OR(B312="613",B312="615",B312="616",B312="6226",B312="625",B312="626",B312="6281"),(1+I312)*(1-L312)*(1+M312),IF(OR(B312="6331",B312="63511",B312="6333"),(1+I312)*(1-L312),IF(B312="6811",1+I312,1))))))))</f>
        <v/>
      </c>
      <c r="P312">
        <f>IF(E312=1,F312*O312,"")</f>
        <v/>
      </c>
    </row>
    <row r="313">
      <c r="A313">
        <f>PNL!A313</f>
        <v/>
      </c>
      <c r="B313">
        <f>PNL!B313</f>
        <v/>
      </c>
      <c r="C313">
        <f>PNL!C313</f>
        <v/>
      </c>
      <c r="D313">
        <f>PNL!D313</f>
        <v/>
      </c>
      <c r="E313">
        <f>IF(AND(C313="2027",OR(D313="V01",D313="V02",D313="V03")),1,0)</f>
        <v/>
      </c>
      <c r="F313">
        <f>IF(E313=1,SUMIFS(Compta!$F$2:$F$675,Compta!$A$2:$A$675,A313,Compta!$B$2:$B$675,B313,Compta!$C$2:$C$675,"2026"),0)</f>
        <v/>
      </c>
      <c r="G313">
        <f>IF(D313="V01",cad!$I$21,IF(D313="V02",cad!$J$21,cad!$K$21))</f>
        <v/>
      </c>
      <c r="H313">
        <f>IF(D313="V01",cad!$I$22,IF(D313="V02",cad!$J$22,cad!$K$22))</f>
        <v/>
      </c>
      <c r="I313">
        <f>IF(D313="V01",cad!$I$27,IF(D313="V02",cad!$J$27,cad!$K$27))</f>
        <v/>
      </c>
      <c r="J313">
        <f>IF(D313="V01",cad!$I$28,IF(D313="V02",cad!$J$28,cad!$K$28))</f>
        <v/>
      </c>
      <c r="K313">
        <f>IF(D313="V01",cad!$I$29,IF(D313="V02",cad!$J$29,cad!$K$29))</f>
        <v/>
      </c>
      <c r="L313">
        <f>IF(D313="V01",cad!$I$30,IF(D313="V02",cad!$J$30,cad!$K$30))</f>
        <v/>
      </c>
      <c r="M313">
        <f>IF(D313="V01",cad!$I$31,IF(D313="V02",cad!$J$31,cad!$K$31))</f>
        <v/>
      </c>
      <c r="N313">
        <f>IF(D313="V01",$R$2,IF(D313="V02",$R$3,$R$4))</f>
        <v/>
      </c>
      <c r="O313">
        <f>IF(OR(B313="7062",B313="706",B313="708"),N313,IF(B313="6231",1+G313,IF(B313="6236",1+H313,IF(OR(B313="621",B313="604",B313="6063"),N313*(1-L313),IF(OR(B313="6411",B313="6413",B313="6414",B313="645"),(1+J313)*(1+K313),IF(OR(B313="613",B313="615",B313="616",B313="6226",B313="625",B313="626",B313="6281"),(1+I313)*(1-L313)*(1+M313),IF(OR(B313="6331",B313="63511",B313="6333"),(1+I313)*(1-L313),IF(B313="6811",1+I313,1))))))))</f>
        <v/>
      </c>
      <c r="P313">
        <f>IF(E313=1,F313*O313,"")</f>
        <v/>
      </c>
    </row>
    <row r="314">
      <c r="A314">
        <f>PNL!A314</f>
        <v/>
      </c>
      <c r="B314">
        <f>PNL!B314</f>
        <v/>
      </c>
      <c r="C314">
        <f>PNL!C314</f>
        <v/>
      </c>
      <c r="D314">
        <f>PNL!D314</f>
        <v/>
      </c>
      <c r="E314">
        <f>IF(AND(C314="2027",OR(D314="V01",D314="V02",D314="V03")),1,0)</f>
        <v/>
      </c>
      <c r="F314">
        <f>IF(E314=1,SUMIFS(Compta!$F$2:$F$675,Compta!$A$2:$A$675,A314,Compta!$B$2:$B$675,B314,Compta!$C$2:$C$675,"2026"),0)</f>
        <v/>
      </c>
      <c r="G314">
        <f>IF(D314="V01",cad!$I$21,IF(D314="V02",cad!$J$21,cad!$K$21))</f>
        <v/>
      </c>
      <c r="H314">
        <f>IF(D314="V01",cad!$I$22,IF(D314="V02",cad!$J$22,cad!$K$22))</f>
        <v/>
      </c>
      <c r="I314">
        <f>IF(D314="V01",cad!$I$27,IF(D314="V02",cad!$J$27,cad!$K$27))</f>
        <v/>
      </c>
      <c r="J314">
        <f>IF(D314="V01",cad!$I$28,IF(D314="V02",cad!$J$28,cad!$K$28))</f>
        <v/>
      </c>
      <c r="K314">
        <f>IF(D314="V01",cad!$I$29,IF(D314="V02",cad!$J$29,cad!$K$29))</f>
        <v/>
      </c>
      <c r="L314">
        <f>IF(D314="V01",cad!$I$30,IF(D314="V02",cad!$J$30,cad!$K$30))</f>
        <v/>
      </c>
      <c r="M314">
        <f>IF(D314="V01",cad!$I$31,IF(D314="V02",cad!$J$31,cad!$K$31))</f>
        <v/>
      </c>
      <c r="N314">
        <f>IF(D314="V01",$R$2,IF(D314="V02",$R$3,$R$4))</f>
        <v/>
      </c>
      <c r="O314">
        <f>IF(OR(B314="7062",B314="706",B314="708"),N314,IF(B314="6231",1+G314,IF(B314="6236",1+H314,IF(OR(B314="621",B314="604",B314="6063"),N314*(1-L314),IF(OR(B314="6411",B314="6413",B314="6414",B314="645"),(1+J314)*(1+K314),IF(OR(B314="613",B314="615",B314="616",B314="6226",B314="625",B314="626",B314="6281"),(1+I314)*(1-L314)*(1+M314),IF(OR(B314="6331",B314="63511",B314="6333"),(1+I314)*(1-L314),IF(B314="6811",1+I314,1))))))))</f>
        <v/>
      </c>
      <c r="P314">
        <f>IF(E314=1,F314*O314,"")</f>
        <v/>
      </c>
    </row>
    <row r="315">
      <c r="A315">
        <f>PNL!A315</f>
        <v/>
      </c>
      <c r="B315">
        <f>PNL!B315</f>
        <v/>
      </c>
      <c r="C315">
        <f>PNL!C315</f>
        <v/>
      </c>
      <c r="D315">
        <f>PNL!D315</f>
        <v/>
      </c>
      <c r="E315">
        <f>IF(AND(C315="2027",OR(D315="V01",D315="V02",D315="V03")),1,0)</f>
        <v/>
      </c>
      <c r="F315">
        <f>IF(E315=1,SUMIFS(Compta!$F$2:$F$675,Compta!$A$2:$A$675,A315,Compta!$B$2:$B$675,B315,Compta!$C$2:$C$675,"2026"),0)</f>
        <v/>
      </c>
      <c r="G315">
        <f>IF(D315="V01",cad!$I$21,IF(D315="V02",cad!$J$21,cad!$K$21))</f>
        <v/>
      </c>
      <c r="H315">
        <f>IF(D315="V01",cad!$I$22,IF(D315="V02",cad!$J$22,cad!$K$22))</f>
        <v/>
      </c>
      <c r="I315">
        <f>IF(D315="V01",cad!$I$27,IF(D315="V02",cad!$J$27,cad!$K$27))</f>
        <v/>
      </c>
      <c r="J315">
        <f>IF(D315="V01",cad!$I$28,IF(D315="V02",cad!$J$28,cad!$K$28))</f>
        <v/>
      </c>
      <c r="K315">
        <f>IF(D315="V01",cad!$I$29,IF(D315="V02",cad!$J$29,cad!$K$29))</f>
        <v/>
      </c>
      <c r="L315">
        <f>IF(D315="V01",cad!$I$30,IF(D315="V02",cad!$J$30,cad!$K$30))</f>
        <v/>
      </c>
      <c r="M315">
        <f>IF(D315="V01",cad!$I$31,IF(D315="V02",cad!$J$31,cad!$K$31))</f>
        <v/>
      </c>
      <c r="N315">
        <f>IF(D315="V01",$R$2,IF(D315="V02",$R$3,$R$4))</f>
        <v/>
      </c>
      <c r="O315">
        <f>IF(OR(B315="7062",B315="706",B315="708"),N315,IF(B315="6231",1+G315,IF(B315="6236",1+H315,IF(OR(B315="621",B315="604",B315="6063"),N315*(1-L315),IF(OR(B315="6411",B315="6413",B315="6414",B315="645"),(1+J315)*(1+K315),IF(OR(B315="613",B315="615",B315="616",B315="6226",B315="625",B315="626",B315="6281"),(1+I315)*(1-L315)*(1+M315),IF(OR(B315="6331",B315="63511",B315="6333"),(1+I315)*(1-L315),IF(B315="6811",1+I315,1))))))))</f>
        <v/>
      </c>
      <c r="P315">
        <f>IF(E315=1,F315*O315,"")</f>
        <v/>
      </c>
    </row>
    <row r="316">
      <c r="A316">
        <f>PNL!A316</f>
        <v/>
      </c>
      <c r="B316">
        <f>PNL!B316</f>
        <v/>
      </c>
      <c r="C316">
        <f>PNL!C316</f>
        <v/>
      </c>
      <c r="D316">
        <f>PNL!D316</f>
        <v/>
      </c>
      <c r="E316">
        <f>IF(AND(C316="2027",OR(D316="V01",D316="V02",D316="V03")),1,0)</f>
        <v/>
      </c>
      <c r="F316">
        <f>IF(E316=1,SUMIFS(Compta!$F$2:$F$675,Compta!$A$2:$A$675,A316,Compta!$B$2:$B$675,B316,Compta!$C$2:$C$675,"2026"),0)</f>
        <v/>
      </c>
      <c r="G316">
        <f>IF(D316="V01",cad!$I$21,IF(D316="V02",cad!$J$21,cad!$K$21))</f>
        <v/>
      </c>
      <c r="H316">
        <f>IF(D316="V01",cad!$I$22,IF(D316="V02",cad!$J$22,cad!$K$22))</f>
        <v/>
      </c>
      <c r="I316">
        <f>IF(D316="V01",cad!$I$27,IF(D316="V02",cad!$J$27,cad!$K$27))</f>
        <v/>
      </c>
      <c r="J316">
        <f>IF(D316="V01",cad!$I$28,IF(D316="V02",cad!$J$28,cad!$K$28))</f>
        <v/>
      </c>
      <c r="K316">
        <f>IF(D316="V01",cad!$I$29,IF(D316="V02",cad!$J$29,cad!$K$29))</f>
        <v/>
      </c>
      <c r="L316">
        <f>IF(D316="V01",cad!$I$30,IF(D316="V02",cad!$J$30,cad!$K$30))</f>
        <v/>
      </c>
      <c r="M316">
        <f>IF(D316="V01",cad!$I$31,IF(D316="V02",cad!$J$31,cad!$K$31))</f>
        <v/>
      </c>
      <c r="N316">
        <f>IF(D316="V01",$R$2,IF(D316="V02",$R$3,$R$4))</f>
        <v/>
      </c>
      <c r="O316">
        <f>IF(OR(B316="7062",B316="706",B316="708"),N316,IF(B316="6231",1+G316,IF(B316="6236",1+H316,IF(OR(B316="621",B316="604",B316="6063"),N316*(1-L316),IF(OR(B316="6411",B316="6413",B316="6414",B316="645"),(1+J316)*(1+K316),IF(OR(B316="613",B316="615",B316="616",B316="6226",B316="625",B316="626",B316="6281"),(1+I316)*(1-L316)*(1+M316),IF(OR(B316="6331",B316="63511",B316="6333"),(1+I316)*(1-L316),IF(B316="6811",1+I316,1))))))))</f>
        <v/>
      </c>
      <c r="P316">
        <f>IF(E316=1,F316*O316,"")</f>
        <v/>
      </c>
    </row>
    <row r="317">
      <c r="A317">
        <f>PNL!A317</f>
        <v/>
      </c>
      <c r="B317">
        <f>PNL!B317</f>
        <v/>
      </c>
      <c r="C317">
        <f>PNL!C317</f>
        <v/>
      </c>
      <c r="D317">
        <f>PNL!D317</f>
        <v/>
      </c>
      <c r="E317">
        <f>IF(AND(C317="2027",OR(D317="V01",D317="V02",D317="V03")),1,0)</f>
        <v/>
      </c>
      <c r="F317">
        <f>IF(E317=1,SUMIFS(Compta!$F$2:$F$675,Compta!$A$2:$A$675,A317,Compta!$B$2:$B$675,B317,Compta!$C$2:$C$675,"2026"),0)</f>
        <v/>
      </c>
      <c r="G317">
        <f>IF(D317="V01",cad!$I$21,IF(D317="V02",cad!$J$21,cad!$K$21))</f>
        <v/>
      </c>
      <c r="H317">
        <f>IF(D317="V01",cad!$I$22,IF(D317="V02",cad!$J$22,cad!$K$22))</f>
        <v/>
      </c>
      <c r="I317">
        <f>IF(D317="V01",cad!$I$27,IF(D317="V02",cad!$J$27,cad!$K$27))</f>
        <v/>
      </c>
      <c r="J317">
        <f>IF(D317="V01",cad!$I$28,IF(D317="V02",cad!$J$28,cad!$K$28))</f>
        <v/>
      </c>
      <c r="K317">
        <f>IF(D317="V01",cad!$I$29,IF(D317="V02",cad!$J$29,cad!$K$29))</f>
        <v/>
      </c>
      <c r="L317">
        <f>IF(D317="V01",cad!$I$30,IF(D317="V02",cad!$J$30,cad!$K$30))</f>
        <v/>
      </c>
      <c r="M317">
        <f>IF(D317="V01",cad!$I$31,IF(D317="V02",cad!$J$31,cad!$K$31))</f>
        <v/>
      </c>
      <c r="N317">
        <f>IF(D317="V01",$R$2,IF(D317="V02",$R$3,$R$4))</f>
        <v/>
      </c>
      <c r="O317">
        <f>IF(OR(B317="7062",B317="706",B317="708"),N317,IF(B317="6231",1+G317,IF(B317="6236",1+H317,IF(OR(B317="621",B317="604",B317="6063"),N317*(1-L317),IF(OR(B317="6411",B317="6413",B317="6414",B317="645"),(1+J317)*(1+K317),IF(OR(B317="613",B317="615",B317="616",B317="6226",B317="625",B317="626",B317="6281"),(1+I317)*(1-L317)*(1+M317),IF(OR(B317="6331",B317="63511",B317="6333"),(1+I317)*(1-L317),IF(B317="6811",1+I317,1))))))))</f>
        <v/>
      </c>
      <c r="P317">
        <f>IF(E317=1,F317*O317,"")</f>
        <v/>
      </c>
    </row>
    <row r="318">
      <c r="A318">
        <f>PNL!A318</f>
        <v/>
      </c>
      <c r="B318">
        <f>PNL!B318</f>
        <v/>
      </c>
      <c r="C318">
        <f>PNL!C318</f>
        <v/>
      </c>
      <c r="D318">
        <f>PNL!D318</f>
        <v/>
      </c>
      <c r="E318">
        <f>IF(AND(C318="2027",OR(D318="V01",D318="V02",D318="V03")),1,0)</f>
        <v/>
      </c>
      <c r="F318">
        <f>IF(E318=1,SUMIFS(Compta!$F$2:$F$675,Compta!$A$2:$A$675,A318,Compta!$B$2:$B$675,B318,Compta!$C$2:$C$675,"2026"),0)</f>
        <v/>
      </c>
      <c r="G318">
        <f>IF(D318="V01",cad!$I$21,IF(D318="V02",cad!$J$21,cad!$K$21))</f>
        <v/>
      </c>
      <c r="H318">
        <f>IF(D318="V01",cad!$I$22,IF(D318="V02",cad!$J$22,cad!$K$22))</f>
        <v/>
      </c>
      <c r="I318">
        <f>IF(D318="V01",cad!$I$27,IF(D318="V02",cad!$J$27,cad!$K$27))</f>
        <v/>
      </c>
      <c r="J318">
        <f>IF(D318="V01",cad!$I$28,IF(D318="V02",cad!$J$28,cad!$K$28))</f>
        <v/>
      </c>
      <c r="K318">
        <f>IF(D318="V01",cad!$I$29,IF(D318="V02",cad!$J$29,cad!$K$29))</f>
        <v/>
      </c>
      <c r="L318">
        <f>IF(D318="V01",cad!$I$30,IF(D318="V02",cad!$J$30,cad!$K$30))</f>
        <v/>
      </c>
      <c r="M318">
        <f>IF(D318="V01",cad!$I$31,IF(D318="V02",cad!$J$31,cad!$K$31))</f>
        <v/>
      </c>
      <c r="N318">
        <f>IF(D318="V01",$R$2,IF(D318="V02",$R$3,$R$4))</f>
        <v/>
      </c>
      <c r="O318">
        <f>IF(OR(B318="7062",B318="706",B318="708"),N318,IF(B318="6231",1+G318,IF(B318="6236",1+H318,IF(OR(B318="621",B318="604",B318="6063"),N318*(1-L318),IF(OR(B318="6411",B318="6413",B318="6414",B318="645"),(1+J318)*(1+K318),IF(OR(B318="613",B318="615",B318="616",B318="6226",B318="625",B318="626",B318="6281"),(1+I318)*(1-L318)*(1+M318),IF(OR(B318="6331",B318="63511",B318="6333"),(1+I318)*(1-L318),IF(B318="6811",1+I318,1))))))))</f>
        <v/>
      </c>
      <c r="P318">
        <f>IF(E318=1,F318*O318,"")</f>
        <v/>
      </c>
    </row>
    <row r="319">
      <c r="A319">
        <f>PNL!A319</f>
        <v/>
      </c>
      <c r="B319">
        <f>PNL!B319</f>
        <v/>
      </c>
      <c r="C319">
        <f>PNL!C319</f>
        <v/>
      </c>
      <c r="D319">
        <f>PNL!D319</f>
        <v/>
      </c>
      <c r="E319">
        <f>IF(AND(C319="2027",OR(D319="V01",D319="V02",D319="V03")),1,0)</f>
        <v/>
      </c>
      <c r="F319">
        <f>IF(E319=1,SUMIFS(Compta!$F$2:$F$675,Compta!$A$2:$A$675,A319,Compta!$B$2:$B$675,B319,Compta!$C$2:$C$675,"2026"),0)</f>
        <v/>
      </c>
      <c r="G319">
        <f>IF(D319="V01",cad!$I$21,IF(D319="V02",cad!$J$21,cad!$K$21))</f>
        <v/>
      </c>
      <c r="H319">
        <f>IF(D319="V01",cad!$I$22,IF(D319="V02",cad!$J$22,cad!$K$22))</f>
        <v/>
      </c>
      <c r="I319">
        <f>IF(D319="V01",cad!$I$27,IF(D319="V02",cad!$J$27,cad!$K$27))</f>
        <v/>
      </c>
      <c r="J319">
        <f>IF(D319="V01",cad!$I$28,IF(D319="V02",cad!$J$28,cad!$K$28))</f>
        <v/>
      </c>
      <c r="K319">
        <f>IF(D319="V01",cad!$I$29,IF(D319="V02",cad!$J$29,cad!$K$29))</f>
        <v/>
      </c>
      <c r="L319">
        <f>IF(D319="V01",cad!$I$30,IF(D319="V02",cad!$J$30,cad!$K$30))</f>
        <v/>
      </c>
      <c r="M319">
        <f>IF(D319="V01",cad!$I$31,IF(D319="V02",cad!$J$31,cad!$K$31))</f>
        <v/>
      </c>
      <c r="N319">
        <f>IF(D319="V01",$R$2,IF(D319="V02",$R$3,$R$4))</f>
        <v/>
      </c>
      <c r="O319">
        <f>IF(OR(B319="7062",B319="706",B319="708"),N319,IF(B319="6231",1+G319,IF(B319="6236",1+H319,IF(OR(B319="621",B319="604",B319="6063"),N319*(1-L319),IF(OR(B319="6411",B319="6413",B319="6414",B319="645"),(1+J319)*(1+K319),IF(OR(B319="613",B319="615",B319="616",B319="6226",B319="625",B319="626",B319="6281"),(1+I319)*(1-L319)*(1+M319),IF(OR(B319="6331",B319="63511",B319="6333"),(1+I319)*(1-L319),IF(B319="6811",1+I319,1))))))))</f>
        <v/>
      </c>
      <c r="P319">
        <f>IF(E319=1,F319*O319,"")</f>
        <v/>
      </c>
    </row>
    <row r="320">
      <c r="A320">
        <f>PNL!A320</f>
        <v/>
      </c>
      <c r="B320">
        <f>PNL!B320</f>
        <v/>
      </c>
      <c r="C320">
        <f>PNL!C320</f>
        <v/>
      </c>
      <c r="D320">
        <f>PNL!D320</f>
        <v/>
      </c>
      <c r="E320">
        <f>IF(AND(C320="2027",OR(D320="V01",D320="V02",D320="V03")),1,0)</f>
        <v/>
      </c>
      <c r="F320">
        <f>IF(E320=1,SUMIFS(Compta!$F$2:$F$675,Compta!$A$2:$A$675,A320,Compta!$B$2:$B$675,B320,Compta!$C$2:$C$675,"2026"),0)</f>
        <v/>
      </c>
      <c r="G320">
        <f>IF(D320="V01",cad!$I$21,IF(D320="V02",cad!$J$21,cad!$K$21))</f>
        <v/>
      </c>
      <c r="H320">
        <f>IF(D320="V01",cad!$I$22,IF(D320="V02",cad!$J$22,cad!$K$22))</f>
        <v/>
      </c>
      <c r="I320">
        <f>IF(D320="V01",cad!$I$27,IF(D320="V02",cad!$J$27,cad!$K$27))</f>
        <v/>
      </c>
      <c r="J320">
        <f>IF(D320="V01",cad!$I$28,IF(D320="V02",cad!$J$28,cad!$K$28))</f>
        <v/>
      </c>
      <c r="K320">
        <f>IF(D320="V01",cad!$I$29,IF(D320="V02",cad!$J$29,cad!$K$29))</f>
        <v/>
      </c>
      <c r="L320">
        <f>IF(D320="V01",cad!$I$30,IF(D320="V02",cad!$J$30,cad!$K$30))</f>
        <v/>
      </c>
      <c r="M320">
        <f>IF(D320="V01",cad!$I$31,IF(D320="V02",cad!$J$31,cad!$K$31))</f>
        <v/>
      </c>
      <c r="N320">
        <f>IF(D320="V01",$R$2,IF(D320="V02",$R$3,$R$4))</f>
        <v/>
      </c>
      <c r="O320">
        <f>IF(OR(B320="7062",B320="706",B320="708"),N320,IF(B320="6231",1+G320,IF(B320="6236",1+H320,IF(OR(B320="621",B320="604",B320="6063"),N320*(1-L320),IF(OR(B320="6411",B320="6413",B320="6414",B320="645"),(1+J320)*(1+K320),IF(OR(B320="613",B320="615",B320="616",B320="6226",B320="625",B320="626",B320="6281"),(1+I320)*(1-L320)*(1+M320),IF(OR(B320="6331",B320="63511",B320="6333"),(1+I320)*(1-L320),IF(B320="6811",1+I320,1))))))))</f>
        <v/>
      </c>
      <c r="P320">
        <f>IF(E320=1,F320*O320,"")</f>
        <v/>
      </c>
    </row>
    <row r="321">
      <c r="A321">
        <f>PNL!A321</f>
        <v/>
      </c>
      <c r="B321">
        <f>PNL!B321</f>
        <v/>
      </c>
      <c r="C321">
        <f>PNL!C321</f>
        <v/>
      </c>
      <c r="D321">
        <f>PNL!D321</f>
        <v/>
      </c>
      <c r="E321">
        <f>IF(AND(C321="2027",OR(D321="V01",D321="V02",D321="V03")),1,0)</f>
        <v/>
      </c>
      <c r="F321">
        <f>IF(E321=1,SUMIFS(Compta!$F$2:$F$675,Compta!$A$2:$A$675,A321,Compta!$B$2:$B$675,B321,Compta!$C$2:$C$675,"2026"),0)</f>
        <v/>
      </c>
      <c r="G321">
        <f>IF(D321="V01",cad!$I$21,IF(D321="V02",cad!$J$21,cad!$K$21))</f>
        <v/>
      </c>
      <c r="H321">
        <f>IF(D321="V01",cad!$I$22,IF(D321="V02",cad!$J$22,cad!$K$22))</f>
        <v/>
      </c>
      <c r="I321">
        <f>IF(D321="V01",cad!$I$27,IF(D321="V02",cad!$J$27,cad!$K$27))</f>
        <v/>
      </c>
      <c r="J321">
        <f>IF(D321="V01",cad!$I$28,IF(D321="V02",cad!$J$28,cad!$K$28))</f>
        <v/>
      </c>
      <c r="K321">
        <f>IF(D321="V01",cad!$I$29,IF(D321="V02",cad!$J$29,cad!$K$29))</f>
        <v/>
      </c>
      <c r="L321">
        <f>IF(D321="V01",cad!$I$30,IF(D321="V02",cad!$J$30,cad!$K$30))</f>
        <v/>
      </c>
      <c r="M321">
        <f>IF(D321="V01",cad!$I$31,IF(D321="V02",cad!$J$31,cad!$K$31))</f>
        <v/>
      </c>
      <c r="N321">
        <f>IF(D321="V01",$R$2,IF(D321="V02",$R$3,$R$4))</f>
        <v/>
      </c>
      <c r="O321">
        <f>IF(OR(B321="7062",B321="706",B321="708"),N321,IF(B321="6231",1+G321,IF(B321="6236",1+H321,IF(OR(B321="621",B321="604",B321="6063"),N321*(1-L321),IF(OR(B321="6411",B321="6413",B321="6414",B321="645"),(1+J321)*(1+K321),IF(OR(B321="613",B321="615",B321="616",B321="6226",B321="625",B321="626",B321="6281"),(1+I321)*(1-L321)*(1+M321),IF(OR(B321="6331",B321="63511",B321="6333"),(1+I321)*(1-L321),IF(B321="6811",1+I321,1))))))))</f>
        <v/>
      </c>
      <c r="P321">
        <f>IF(E321=1,F321*O321,"")</f>
        <v/>
      </c>
    </row>
    <row r="322">
      <c r="A322">
        <f>PNL!A322</f>
        <v/>
      </c>
      <c r="B322">
        <f>PNL!B322</f>
        <v/>
      </c>
      <c r="C322">
        <f>PNL!C322</f>
        <v/>
      </c>
      <c r="D322">
        <f>PNL!D322</f>
        <v/>
      </c>
      <c r="E322">
        <f>IF(AND(C322="2027",OR(D322="V01",D322="V02",D322="V03")),1,0)</f>
        <v/>
      </c>
      <c r="F322">
        <f>IF(E322=1,SUMIFS(Compta!$F$2:$F$675,Compta!$A$2:$A$675,A322,Compta!$B$2:$B$675,B322,Compta!$C$2:$C$675,"2026"),0)</f>
        <v/>
      </c>
      <c r="G322">
        <f>IF(D322="V01",cad!$I$21,IF(D322="V02",cad!$J$21,cad!$K$21))</f>
        <v/>
      </c>
      <c r="H322">
        <f>IF(D322="V01",cad!$I$22,IF(D322="V02",cad!$J$22,cad!$K$22))</f>
        <v/>
      </c>
      <c r="I322">
        <f>IF(D322="V01",cad!$I$27,IF(D322="V02",cad!$J$27,cad!$K$27))</f>
        <v/>
      </c>
      <c r="J322">
        <f>IF(D322="V01",cad!$I$28,IF(D322="V02",cad!$J$28,cad!$K$28))</f>
        <v/>
      </c>
      <c r="K322">
        <f>IF(D322="V01",cad!$I$29,IF(D322="V02",cad!$J$29,cad!$K$29))</f>
        <v/>
      </c>
      <c r="L322">
        <f>IF(D322="V01",cad!$I$30,IF(D322="V02",cad!$J$30,cad!$K$30))</f>
        <v/>
      </c>
      <c r="M322">
        <f>IF(D322="V01",cad!$I$31,IF(D322="V02",cad!$J$31,cad!$K$31))</f>
        <v/>
      </c>
      <c r="N322">
        <f>IF(D322="V01",$R$2,IF(D322="V02",$R$3,$R$4))</f>
        <v/>
      </c>
      <c r="O322">
        <f>IF(OR(B322="7062",B322="706",B322="708"),N322,IF(B322="6231",1+G322,IF(B322="6236",1+H322,IF(OR(B322="621",B322="604",B322="6063"),N322*(1-L322),IF(OR(B322="6411",B322="6413",B322="6414",B322="645"),(1+J322)*(1+K322),IF(OR(B322="613",B322="615",B322="616",B322="6226",B322="625",B322="626",B322="6281"),(1+I322)*(1-L322)*(1+M322),IF(OR(B322="6331",B322="63511",B322="6333"),(1+I322)*(1-L322),IF(B322="6811",1+I322,1))))))))</f>
        <v/>
      </c>
      <c r="P322">
        <f>IF(E322=1,F322*O322,"")</f>
        <v/>
      </c>
    </row>
    <row r="323">
      <c r="A323">
        <f>PNL!A323</f>
        <v/>
      </c>
      <c r="B323">
        <f>PNL!B323</f>
        <v/>
      </c>
      <c r="C323">
        <f>PNL!C323</f>
        <v/>
      </c>
      <c r="D323">
        <f>PNL!D323</f>
        <v/>
      </c>
      <c r="E323">
        <f>IF(AND(C323="2027",OR(D323="V01",D323="V02",D323="V03")),1,0)</f>
        <v/>
      </c>
      <c r="F323">
        <f>IF(E323=1,SUMIFS(Compta!$F$2:$F$675,Compta!$A$2:$A$675,A323,Compta!$B$2:$B$675,B323,Compta!$C$2:$C$675,"2026"),0)</f>
        <v/>
      </c>
      <c r="G323">
        <f>IF(D323="V01",cad!$I$21,IF(D323="V02",cad!$J$21,cad!$K$21))</f>
        <v/>
      </c>
      <c r="H323">
        <f>IF(D323="V01",cad!$I$22,IF(D323="V02",cad!$J$22,cad!$K$22))</f>
        <v/>
      </c>
      <c r="I323">
        <f>IF(D323="V01",cad!$I$27,IF(D323="V02",cad!$J$27,cad!$K$27))</f>
        <v/>
      </c>
      <c r="J323">
        <f>IF(D323="V01",cad!$I$28,IF(D323="V02",cad!$J$28,cad!$K$28))</f>
        <v/>
      </c>
      <c r="K323">
        <f>IF(D323="V01",cad!$I$29,IF(D323="V02",cad!$J$29,cad!$K$29))</f>
        <v/>
      </c>
      <c r="L323">
        <f>IF(D323="V01",cad!$I$30,IF(D323="V02",cad!$J$30,cad!$K$30))</f>
        <v/>
      </c>
      <c r="M323">
        <f>IF(D323="V01",cad!$I$31,IF(D323="V02",cad!$J$31,cad!$K$31))</f>
        <v/>
      </c>
      <c r="N323">
        <f>IF(D323="V01",$R$2,IF(D323="V02",$R$3,$R$4))</f>
        <v/>
      </c>
      <c r="O323">
        <f>IF(OR(B323="7062",B323="706",B323="708"),N323,IF(B323="6231",1+G323,IF(B323="6236",1+H323,IF(OR(B323="621",B323="604",B323="6063"),N323*(1-L323),IF(OR(B323="6411",B323="6413",B323="6414",B323="645"),(1+J323)*(1+K323),IF(OR(B323="613",B323="615",B323="616",B323="6226",B323="625",B323="626",B323="6281"),(1+I323)*(1-L323)*(1+M323),IF(OR(B323="6331",B323="63511",B323="6333"),(1+I323)*(1-L323),IF(B323="6811",1+I323,1))))))))</f>
        <v/>
      </c>
      <c r="P323">
        <f>IF(E323=1,F323*O323,"")</f>
        <v/>
      </c>
    </row>
    <row r="324">
      <c r="A324">
        <f>PNL!A324</f>
        <v/>
      </c>
      <c r="B324">
        <f>PNL!B324</f>
        <v/>
      </c>
      <c r="C324">
        <f>PNL!C324</f>
        <v/>
      </c>
      <c r="D324">
        <f>PNL!D324</f>
        <v/>
      </c>
      <c r="E324">
        <f>IF(AND(C324="2027",OR(D324="V01",D324="V02",D324="V03")),1,0)</f>
        <v/>
      </c>
      <c r="F324">
        <f>IF(E324=1,SUMIFS(Compta!$F$2:$F$675,Compta!$A$2:$A$675,A324,Compta!$B$2:$B$675,B324,Compta!$C$2:$C$675,"2026"),0)</f>
        <v/>
      </c>
      <c r="G324">
        <f>IF(D324="V01",cad!$I$21,IF(D324="V02",cad!$J$21,cad!$K$21))</f>
        <v/>
      </c>
      <c r="H324">
        <f>IF(D324="V01",cad!$I$22,IF(D324="V02",cad!$J$22,cad!$K$22))</f>
        <v/>
      </c>
      <c r="I324">
        <f>IF(D324="V01",cad!$I$27,IF(D324="V02",cad!$J$27,cad!$K$27))</f>
        <v/>
      </c>
      <c r="J324">
        <f>IF(D324="V01",cad!$I$28,IF(D324="V02",cad!$J$28,cad!$K$28))</f>
        <v/>
      </c>
      <c r="K324">
        <f>IF(D324="V01",cad!$I$29,IF(D324="V02",cad!$J$29,cad!$K$29))</f>
        <v/>
      </c>
      <c r="L324">
        <f>IF(D324="V01",cad!$I$30,IF(D324="V02",cad!$J$30,cad!$K$30))</f>
        <v/>
      </c>
      <c r="M324">
        <f>IF(D324="V01",cad!$I$31,IF(D324="V02",cad!$J$31,cad!$K$31))</f>
        <v/>
      </c>
      <c r="N324">
        <f>IF(D324="V01",$R$2,IF(D324="V02",$R$3,$R$4))</f>
        <v/>
      </c>
      <c r="O324">
        <f>IF(OR(B324="7062",B324="706",B324="708"),N324,IF(B324="6231",1+G324,IF(B324="6236",1+H324,IF(OR(B324="621",B324="604",B324="6063"),N324*(1-L324),IF(OR(B324="6411",B324="6413",B324="6414",B324="645"),(1+J324)*(1+K324),IF(OR(B324="613",B324="615",B324="616",B324="6226",B324="625",B324="626",B324="6281"),(1+I324)*(1-L324)*(1+M324),IF(OR(B324="6331",B324="63511",B324="6333"),(1+I324)*(1-L324),IF(B324="6811",1+I324,1))))))))</f>
        <v/>
      </c>
      <c r="P324">
        <f>IF(E324=1,F324*O324,"")</f>
        <v/>
      </c>
    </row>
    <row r="325">
      <c r="A325">
        <f>PNL!A325</f>
        <v/>
      </c>
      <c r="B325">
        <f>PNL!B325</f>
        <v/>
      </c>
      <c r="C325">
        <f>PNL!C325</f>
        <v/>
      </c>
      <c r="D325">
        <f>PNL!D325</f>
        <v/>
      </c>
      <c r="E325">
        <f>IF(AND(C325="2027",OR(D325="V01",D325="V02",D325="V03")),1,0)</f>
        <v/>
      </c>
      <c r="F325">
        <f>IF(E325=1,SUMIFS(Compta!$F$2:$F$675,Compta!$A$2:$A$675,A325,Compta!$B$2:$B$675,B325,Compta!$C$2:$C$675,"2026"),0)</f>
        <v/>
      </c>
      <c r="G325">
        <f>IF(D325="V01",cad!$I$21,IF(D325="V02",cad!$J$21,cad!$K$21))</f>
        <v/>
      </c>
      <c r="H325">
        <f>IF(D325="V01",cad!$I$22,IF(D325="V02",cad!$J$22,cad!$K$22))</f>
        <v/>
      </c>
      <c r="I325">
        <f>IF(D325="V01",cad!$I$27,IF(D325="V02",cad!$J$27,cad!$K$27))</f>
        <v/>
      </c>
      <c r="J325">
        <f>IF(D325="V01",cad!$I$28,IF(D325="V02",cad!$J$28,cad!$K$28))</f>
        <v/>
      </c>
      <c r="K325">
        <f>IF(D325="V01",cad!$I$29,IF(D325="V02",cad!$J$29,cad!$K$29))</f>
        <v/>
      </c>
      <c r="L325">
        <f>IF(D325="V01",cad!$I$30,IF(D325="V02",cad!$J$30,cad!$K$30))</f>
        <v/>
      </c>
      <c r="M325">
        <f>IF(D325="V01",cad!$I$31,IF(D325="V02",cad!$J$31,cad!$K$31))</f>
        <v/>
      </c>
      <c r="N325">
        <f>IF(D325="V01",$R$2,IF(D325="V02",$R$3,$R$4))</f>
        <v/>
      </c>
      <c r="O325">
        <f>IF(OR(B325="7062",B325="706",B325="708"),N325,IF(B325="6231",1+G325,IF(B325="6236",1+H325,IF(OR(B325="621",B325="604",B325="6063"),N325*(1-L325),IF(OR(B325="6411",B325="6413",B325="6414",B325="645"),(1+J325)*(1+K325),IF(OR(B325="613",B325="615",B325="616",B325="6226",B325="625",B325="626",B325="6281"),(1+I325)*(1-L325)*(1+M325),IF(OR(B325="6331",B325="63511",B325="6333"),(1+I325)*(1-L325),IF(B325="6811",1+I325,1))))))))</f>
        <v/>
      </c>
      <c r="P325">
        <f>IF(E325=1,F325*O325,"")</f>
        <v/>
      </c>
    </row>
    <row r="326">
      <c r="A326">
        <f>PNL!A326</f>
        <v/>
      </c>
      <c r="B326">
        <f>PNL!B326</f>
        <v/>
      </c>
      <c r="C326">
        <f>PNL!C326</f>
        <v/>
      </c>
      <c r="D326">
        <f>PNL!D326</f>
        <v/>
      </c>
      <c r="E326">
        <f>IF(AND(C326="2027",OR(D326="V01",D326="V02",D326="V03")),1,0)</f>
        <v/>
      </c>
      <c r="F326">
        <f>IF(E326=1,SUMIFS(Compta!$F$2:$F$675,Compta!$A$2:$A$675,A326,Compta!$B$2:$B$675,B326,Compta!$C$2:$C$675,"2026"),0)</f>
        <v/>
      </c>
      <c r="G326">
        <f>IF(D326="V01",cad!$I$21,IF(D326="V02",cad!$J$21,cad!$K$21))</f>
        <v/>
      </c>
      <c r="H326">
        <f>IF(D326="V01",cad!$I$22,IF(D326="V02",cad!$J$22,cad!$K$22))</f>
        <v/>
      </c>
      <c r="I326">
        <f>IF(D326="V01",cad!$I$27,IF(D326="V02",cad!$J$27,cad!$K$27))</f>
        <v/>
      </c>
      <c r="J326">
        <f>IF(D326="V01",cad!$I$28,IF(D326="V02",cad!$J$28,cad!$K$28))</f>
        <v/>
      </c>
      <c r="K326">
        <f>IF(D326="V01",cad!$I$29,IF(D326="V02",cad!$J$29,cad!$K$29))</f>
        <v/>
      </c>
      <c r="L326">
        <f>IF(D326="V01",cad!$I$30,IF(D326="V02",cad!$J$30,cad!$K$30))</f>
        <v/>
      </c>
      <c r="M326">
        <f>IF(D326="V01",cad!$I$31,IF(D326="V02",cad!$J$31,cad!$K$31))</f>
        <v/>
      </c>
      <c r="N326">
        <f>IF(D326="V01",$R$2,IF(D326="V02",$R$3,$R$4))</f>
        <v/>
      </c>
      <c r="O326">
        <f>IF(OR(B326="7062",B326="706",B326="708"),N326,IF(B326="6231",1+G326,IF(B326="6236",1+H326,IF(OR(B326="621",B326="604",B326="6063"),N326*(1-L326),IF(OR(B326="6411",B326="6413",B326="6414",B326="645"),(1+J326)*(1+K326),IF(OR(B326="613",B326="615",B326="616",B326="6226",B326="625",B326="626",B326="6281"),(1+I326)*(1-L326)*(1+M326),IF(OR(B326="6331",B326="63511",B326="6333"),(1+I326)*(1-L326),IF(B326="6811",1+I326,1))))))))</f>
        <v/>
      </c>
      <c r="P326">
        <f>IF(E326=1,F326*O326,"")</f>
        <v/>
      </c>
    </row>
    <row r="327">
      <c r="A327">
        <f>PNL!A327</f>
        <v/>
      </c>
      <c r="B327">
        <f>PNL!B327</f>
        <v/>
      </c>
      <c r="C327">
        <f>PNL!C327</f>
        <v/>
      </c>
      <c r="D327">
        <f>PNL!D327</f>
        <v/>
      </c>
      <c r="E327">
        <f>IF(AND(C327="2027",OR(D327="V01",D327="V02",D327="V03")),1,0)</f>
        <v/>
      </c>
      <c r="F327">
        <f>IF(E327=1,SUMIFS(Compta!$F$2:$F$675,Compta!$A$2:$A$675,A327,Compta!$B$2:$B$675,B327,Compta!$C$2:$C$675,"2026"),0)</f>
        <v/>
      </c>
      <c r="G327">
        <f>IF(D327="V01",cad!$I$21,IF(D327="V02",cad!$J$21,cad!$K$21))</f>
        <v/>
      </c>
      <c r="H327">
        <f>IF(D327="V01",cad!$I$22,IF(D327="V02",cad!$J$22,cad!$K$22))</f>
        <v/>
      </c>
      <c r="I327">
        <f>IF(D327="V01",cad!$I$27,IF(D327="V02",cad!$J$27,cad!$K$27))</f>
        <v/>
      </c>
      <c r="J327">
        <f>IF(D327="V01",cad!$I$28,IF(D327="V02",cad!$J$28,cad!$K$28))</f>
        <v/>
      </c>
      <c r="K327">
        <f>IF(D327="V01",cad!$I$29,IF(D327="V02",cad!$J$29,cad!$K$29))</f>
        <v/>
      </c>
      <c r="L327">
        <f>IF(D327="V01",cad!$I$30,IF(D327="V02",cad!$J$30,cad!$K$30))</f>
        <v/>
      </c>
      <c r="M327">
        <f>IF(D327="V01",cad!$I$31,IF(D327="V02",cad!$J$31,cad!$K$31))</f>
        <v/>
      </c>
      <c r="N327">
        <f>IF(D327="V01",$R$2,IF(D327="V02",$R$3,$R$4))</f>
        <v/>
      </c>
      <c r="O327">
        <f>IF(OR(B327="7062",B327="706",B327="708"),N327,IF(B327="6231",1+G327,IF(B327="6236",1+H327,IF(OR(B327="621",B327="604",B327="6063"),N327*(1-L327),IF(OR(B327="6411",B327="6413",B327="6414",B327="645"),(1+J327)*(1+K327),IF(OR(B327="613",B327="615",B327="616",B327="6226",B327="625",B327="626",B327="6281"),(1+I327)*(1-L327)*(1+M327),IF(OR(B327="6331",B327="63511",B327="6333"),(1+I327)*(1-L327),IF(B327="6811",1+I327,1))))))))</f>
        <v/>
      </c>
      <c r="P327">
        <f>IF(E327=1,F327*O327,"")</f>
        <v/>
      </c>
    </row>
    <row r="328">
      <c r="A328">
        <f>PNL!A328</f>
        <v/>
      </c>
      <c r="B328">
        <f>PNL!B328</f>
        <v/>
      </c>
      <c r="C328">
        <f>PNL!C328</f>
        <v/>
      </c>
      <c r="D328">
        <f>PNL!D328</f>
        <v/>
      </c>
      <c r="E328">
        <f>IF(AND(C328="2027",OR(D328="V01",D328="V02",D328="V03")),1,0)</f>
        <v/>
      </c>
      <c r="F328">
        <f>IF(E328=1,SUMIFS(Compta!$F$2:$F$675,Compta!$A$2:$A$675,A328,Compta!$B$2:$B$675,B328,Compta!$C$2:$C$675,"2026"),0)</f>
        <v/>
      </c>
      <c r="G328">
        <f>IF(D328="V01",cad!$I$21,IF(D328="V02",cad!$J$21,cad!$K$21))</f>
        <v/>
      </c>
      <c r="H328">
        <f>IF(D328="V01",cad!$I$22,IF(D328="V02",cad!$J$22,cad!$K$22))</f>
        <v/>
      </c>
      <c r="I328">
        <f>IF(D328="V01",cad!$I$27,IF(D328="V02",cad!$J$27,cad!$K$27))</f>
        <v/>
      </c>
      <c r="J328">
        <f>IF(D328="V01",cad!$I$28,IF(D328="V02",cad!$J$28,cad!$K$28))</f>
        <v/>
      </c>
      <c r="K328">
        <f>IF(D328="V01",cad!$I$29,IF(D328="V02",cad!$J$29,cad!$K$29))</f>
        <v/>
      </c>
      <c r="L328">
        <f>IF(D328="V01",cad!$I$30,IF(D328="V02",cad!$J$30,cad!$K$30))</f>
        <v/>
      </c>
      <c r="M328">
        <f>IF(D328="V01",cad!$I$31,IF(D328="V02",cad!$J$31,cad!$K$31))</f>
        <v/>
      </c>
      <c r="N328">
        <f>IF(D328="V01",$R$2,IF(D328="V02",$R$3,$R$4))</f>
        <v/>
      </c>
      <c r="O328">
        <f>IF(OR(B328="7062",B328="706",B328="708"),N328,IF(B328="6231",1+G328,IF(B328="6236",1+H328,IF(OR(B328="621",B328="604",B328="6063"),N328*(1-L328),IF(OR(B328="6411",B328="6413",B328="6414",B328="645"),(1+J328)*(1+K328),IF(OR(B328="613",B328="615",B328="616",B328="6226",B328="625",B328="626",B328="6281"),(1+I328)*(1-L328)*(1+M328),IF(OR(B328="6331",B328="63511",B328="6333"),(1+I328)*(1-L328),IF(B328="6811",1+I328,1))))))))</f>
        <v/>
      </c>
      <c r="P328">
        <f>IF(E328=1,F328*O328,"")</f>
        <v/>
      </c>
    </row>
    <row r="329">
      <c r="A329">
        <f>PNL!A329</f>
        <v/>
      </c>
      <c r="B329">
        <f>PNL!B329</f>
        <v/>
      </c>
      <c r="C329">
        <f>PNL!C329</f>
        <v/>
      </c>
      <c r="D329">
        <f>PNL!D329</f>
        <v/>
      </c>
      <c r="E329">
        <f>IF(AND(C329="2027",OR(D329="V01",D329="V02",D329="V03")),1,0)</f>
        <v/>
      </c>
      <c r="F329">
        <f>IF(E329=1,SUMIFS(Compta!$F$2:$F$675,Compta!$A$2:$A$675,A329,Compta!$B$2:$B$675,B329,Compta!$C$2:$C$675,"2026"),0)</f>
        <v/>
      </c>
      <c r="G329">
        <f>IF(D329="V01",cad!$I$21,IF(D329="V02",cad!$J$21,cad!$K$21))</f>
        <v/>
      </c>
      <c r="H329">
        <f>IF(D329="V01",cad!$I$22,IF(D329="V02",cad!$J$22,cad!$K$22))</f>
        <v/>
      </c>
      <c r="I329">
        <f>IF(D329="V01",cad!$I$27,IF(D329="V02",cad!$J$27,cad!$K$27))</f>
        <v/>
      </c>
      <c r="J329">
        <f>IF(D329="V01",cad!$I$28,IF(D329="V02",cad!$J$28,cad!$K$28))</f>
        <v/>
      </c>
      <c r="K329">
        <f>IF(D329="V01",cad!$I$29,IF(D329="V02",cad!$J$29,cad!$K$29))</f>
        <v/>
      </c>
      <c r="L329">
        <f>IF(D329="V01",cad!$I$30,IF(D329="V02",cad!$J$30,cad!$K$30))</f>
        <v/>
      </c>
      <c r="M329">
        <f>IF(D329="V01",cad!$I$31,IF(D329="V02",cad!$J$31,cad!$K$31))</f>
        <v/>
      </c>
      <c r="N329">
        <f>IF(D329="V01",$R$2,IF(D329="V02",$R$3,$R$4))</f>
        <v/>
      </c>
      <c r="O329">
        <f>IF(OR(B329="7062",B329="706",B329="708"),N329,IF(B329="6231",1+G329,IF(B329="6236",1+H329,IF(OR(B329="621",B329="604",B329="6063"),N329*(1-L329),IF(OR(B329="6411",B329="6413",B329="6414",B329="645"),(1+J329)*(1+K329),IF(OR(B329="613",B329="615",B329="616",B329="6226",B329="625",B329="626",B329="6281"),(1+I329)*(1-L329)*(1+M329),IF(OR(B329="6331",B329="63511",B329="6333"),(1+I329)*(1-L329),IF(B329="6811",1+I329,1))))))))</f>
        <v/>
      </c>
      <c r="P329">
        <f>IF(E329=1,F329*O329,"")</f>
        <v/>
      </c>
    </row>
    <row r="330">
      <c r="A330">
        <f>PNL!A330</f>
        <v/>
      </c>
      <c r="B330">
        <f>PNL!B330</f>
        <v/>
      </c>
      <c r="C330">
        <f>PNL!C330</f>
        <v/>
      </c>
      <c r="D330">
        <f>PNL!D330</f>
        <v/>
      </c>
      <c r="E330">
        <f>IF(AND(C330="2027",OR(D330="V01",D330="V02",D330="V03")),1,0)</f>
        <v/>
      </c>
      <c r="F330">
        <f>IF(E330=1,SUMIFS(Compta!$F$2:$F$675,Compta!$A$2:$A$675,A330,Compta!$B$2:$B$675,B330,Compta!$C$2:$C$675,"2026"),0)</f>
        <v/>
      </c>
      <c r="G330">
        <f>IF(D330="V01",cad!$I$21,IF(D330="V02",cad!$J$21,cad!$K$21))</f>
        <v/>
      </c>
      <c r="H330">
        <f>IF(D330="V01",cad!$I$22,IF(D330="V02",cad!$J$22,cad!$K$22))</f>
        <v/>
      </c>
      <c r="I330">
        <f>IF(D330="V01",cad!$I$27,IF(D330="V02",cad!$J$27,cad!$K$27))</f>
        <v/>
      </c>
      <c r="J330">
        <f>IF(D330="V01",cad!$I$28,IF(D330="V02",cad!$J$28,cad!$K$28))</f>
        <v/>
      </c>
      <c r="K330">
        <f>IF(D330="V01",cad!$I$29,IF(D330="V02",cad!$J$29,cad!$K$29))</f>
        <v/>
      </c>
      <c r="L330">
        <f>IF(D330="V01",cad!$I$30,IF(D330="V02",cad!$J$30,cad!$K$30))</f>
        <v/>
      </c>
      <c r="M330">
        <f>IF(D330="V01",cad!$I$31,IF(D330="V02",cad!$J$31,cad!$K$31))</f>
        <v/>
      </c>
      <c r="N330">
        <f>IF(D330="V01",$R$2,IF(D330="V02",$R$3,$R$4))</f>
        <v/>
      </c>
      <c r="O330">
        <f>IF(OR(B330="7062",B330="706",B330="708"),N330,IF(B330="6231",1+G330,IF(B330="6236",1+H330,IF(OR(B330="621",B330="604",B330="6063"),N330*(1-L330),IF(OR(B330="6411",B330="6413",B330="6414",B330="645"),(1+J330)*(1+K330),IF(OR(B330="613",B330="615",B330="616",B330="6226",B330="625",B330="626",B330="6281"),(1+I330)*(1-L330)*(1+M330),IF(OR(B330="6331",B330="63511",B330="6333"),(1+I330)*(1-L330),IF(B330="6811",1+I330,1))))))))</f>
        <v/>
      </c>
      <c r="P330">
        <f>IF(E330=1,F330*O330,"")</f>
        <v/>
      </c>
    </row>
    <row r="331">
      <c r="A331">
        <f>PNL!A331</f>
        <v/>
      </c>
      <c r="B331">
        <f>PNL!B331</f>
        <v/>
      </c>
      <c r="C331">
        <f>PNL!C331</f>
        <v/>
      </c>
      <c r="D331">
        <f>PNL!D331</f>
        <v/>
      </c>
      <c r="E331">
        <f>IF(AND(C331="2027",OR(D331="V01",D331="V02",D331="V03")),1,0)</f>
        <v/>
      </c>
      <c r="F331">
        <f>IF(E331=1,SUMIFS(Compta!$F$2:$F$675,Compta!$A$2:$A$675,A331,Compta!$B$2:$B$675,B331,Compta!$C$2:$C$675,"2026"),0)</f>
        <v/>
      </c>
      <c r="G331">
        <f>IF(D331="V01",cad!$I$21,IF(D331="V02",cad!$J$21,cad!$K$21))</f>
        <v/>
      </c>
      <c r="H331">
        <f>IF(D331="V01",cad!$I$22,IF(D331="V02",cad!$J$22,cad!$K$22))</f>
        <v/>
      </c>
      <c r="I331">
        <f>IF(D331="V01",cad!$I$27,IF(D331="V02",cad!$J$27,cad!$K$27))</f>
        <v/>
      </c>
      <c r="J331">
        <f>IF(D331="V01",cad!$I$28,IF(D331="V02",cad!$J$28,cad!$K$28))</f>
        <v/>
      </c>
      <c r="K331">
        <f>IF(D331="V01",cad!$I$29,IF(D331="V02",cad!$J$29,cad!$K$29))</f>
        <v/>
      </c>
      <c r="L331">
        <f>IF(D331="V01",cad!$I$30,IF(D331="V02",cad!$J$30,cad!$K$30))</f>
        <v/>
      </c>
      <c r="M331">
        <f>IF(D331="V01",cad!$I$31,IF(D331="V02",cad!$J$31,cad!$K$31))</f>
        <v/>
      </c>
      <c r="N331">
        <f>IF(D331="V01",$R$2,IF(D331="V02",$R$3,$R$4))</f>
        <v/>
      </c>
      <c r="O331">
        <f>IF(OR(B331="7062",B331="706",B331="708"),N331,IF(B331="6231",1+G331,IF(B331="6236",1+H331,IF(OR(B331="621",B331="604",B331="6063"),N331*(1-L331),IF(OR(B331="6411",B331="6413",B331="6414",B331="645"),(1+J331)*(1+K331),IF(OR(B331="613",B331="615",B331="616",B331="6226",B331="625",B331="626",B331="6281"),(1+I331)*(1-L331)*(1+M331),IF(OR(B331="6331",B331="63511",B331="6333"),(1+I331)*(1-L331),IF(B331="6811",1+I331,1))))))))</f>
        <v/>
      </c>
      <c r="P331">
        <f>IF(E331=1,F331*O331,"")</f>
        <v/>
      </c>
    </row>
    <row r="332">
      <c r="A332">
        <f>PNL!A332</f>
        <v/>
      </c>
      <c r="B332">
        <f>PNL!B332</f>
        <v/>
      </c>
      <c r="C332">
        <f>PNL!C332</f>
        <v/>
      </c>
      <c r="D332">
        <f>PNL!D332</f>
        <v/>
      </c>
      <c r="E332">
        <f>IF(AND(C332="2027",OR(D332="V01",D332="V02",D332="V03")),1,0)</f>
        <v/>
      </c>
      <c r="F332">
        <f>IF(E332=1,SUMIFS(Compta!$F$2:$F$675,Compta!$A$2:$A$675,A332,Compta!$B$2:$B$675,B332,Compta!$C$2:$C$675,"2026"),0)</f>
        <v/>
      </c>
      <c r="G332">
        <f>IF(D332="V01",cad!$I$21,IF(D332="V02",cad!$J$21,cad!$K$21))</f>
        <v/>
      </c>
      <c r="H332">
        <f>IF(D332="V01",cad!$I$22,IF(D332="V02",cad!$J$22,cad!$K$22))</f>
        <v/>
      </c>
      <c r="I332">
        <f>IF(D332="V01",cad!$I$27,IF(D332="V02",cad!$J$27,cad!$K$27))</f>
        <v/>
      </c>
      <c r="J332">
        <f>IF(D332="V01",cad!$I$28,IF(D332="V02",cad!$J$28,cad!$K$28))</f>
        <v/>
      </c>
      <c r="K332">
        <f>IF(D332="V01",cad!$I$29,IF(D332="V02",cad!$J$29,cad!$K$29))</f>
        <v/>
      </c>
      <c r="L332">
        <f>IF(D332="V01",cad!$I$30,IF(D332="V02",cad!$J$30,cad!$K$30))</f>
        <v/>
      </c>
      <c r="M332">
        <f>IF(D332="V01",cad!$I$31,IF(D332="V02",cad!$J$31,cad!$K$31))</f>
        <v/>
      </c>
      <c r="N332">
        <f>IF(D332="V01",$R$2,IF(D332="V02",$R$3,$R$4))</f>
        <v/>
      </c>
      <c r="O332">
        <f>IF(OR(B332="7062",B332="706",B332="708"),N332,IF(B332="6231",1+G332,IF(B332="6236",1+H332,IF(OR(B332="621",B332="604",B332="6063"),N332*(1-L332),IF(OR(B332="6411",B332="6413",B332="6414",B332="645"),(1+J332)*(1+K332),IF(OR(B332="613",B332="615",B332="616",B332="6226",B332="625",B332="626",B332="6281"),(1+I332)*(1-L332)*(1+M332),IF(OR(B332="6331",B332="63511",B332="6333"),(1+I332)*(1-L332),IF(B332="6811",1+I332,1))))))))</f>
        <v/>
      </c>
      <c r="P332">
        <f>IF(E332=1,F332*O332,"")</f>
        <v/>
      </c>
    </row>
    <row r="333">
      <c r="A333">
        <f>PNL!A333</f>
        <v/>
      </c>
      <c r="B333">
        <f>PNL!B333</f>
        <v/>
      </c>
      <c r="C333">
        <f>PNL!C333</f>
        <v/>
      </c>
      <c r="D333">
        <f>PNL!D333</f>
        <v/>
      </c>
      <c r="E333">
        <f>IF(AND(C333="2027",OR(D333="V01",D333="V02",D333="V03")),1,0)</f>
        <v/>
      </c>
      <c r="F333">
        <f>IF(E333=1,SUMIFS(Compta!$F$2:$F$675,Compta!$A$2:$A$675,A333,Compta!$B$2:$B$675,B333,Compta!$C$2:$C$675,"2026"),0)</f>
        <v/>
      </c>
      <c r="G333">
        <f>IF(D333="V01",cad!$I$21,IF(D333="V02",cad!$J$21,cad!$K$21))</f>
        <v/>
      </c>
      <c r="H333">
        <f>IF(D333="V01",cad!$I$22,IF(D333="V02",cad!$J$22,cad!$K$22))</f>
        <v/>
      </c>
      <c r="I333">
        <f>IF(D333="V01",cad!$I$27,IF(D333="V02",cad!$J$27,cad!$K$27))</f>
        <v/>
      </c>
      <c r="J333">
        <f>IF(D333="V01",cad!$I$28,IF(D333="V02",cad!$J$28,cad!$K$28))</f>
        <v/>
      </c>
      <c r="K333">
        <f>IF(D333="V01",cad!$I$29,IF(D333="V02",cad!$J$29,cad!$K$29))</f>
        <v/>
      </c>
      <c r="L333">
        <f>IF(D333="V01",cad!$I$30,IF(D333="V02",cad!$J$30,cad!$K$30))</f>
        <v/>
      </c>
      <c r="M333">
        <f>IF(D333="V01",cad!$I$31,IF(D333="V02",cad!$J$31,cad!$K$31))</f>
        <v/>
      </c>
      <c r="N333">
        <f>IF(D333="V01",$R$2,IF(D333="V02",$R$3,$R$4))</f>
        <v/>
      </c>
      <c r="O333">
        <f>IF(OR(B333="7062",B333="706",B333="708"),N333,IF(B333="6231",1+G333,IF(B333="6236",1+H333,IF(OR(B333="621",B333="604",B333="6063"),N333*(1-L333),IF(OR(B333="6411",B333="6413",B333="6414",B333="645"),(1+J333)*(1+K333),IF(OR(B333="613",B333="615",B333="616",B333="6226",B333="625",B333="626",B333="6281"),(1+I333)*(1-L333)*(1+M333),IF(OR(B333="6331",B333="63511",B333="6333"),(1+I333)*(1-L333),IF(B333="6811",1+I333,1))))))))</f>
        <v/>
      </c>
      <c r="P333">
        <f>IF(E333=1,F333*O333,"")</f>
        <v/>
      </c>
    </row>
    <row r="334">
      <c r="A334">
        <f>PNL!A334</f>
        <v/>
      </c>
      <c r="B334">
        <f>PNL!B334</f>
        <v/>
      </c>
      <c r="C334">
        <f>PNL!C334</f>
        <v/>
      </c>
      <c r="D334">
        <f>PNL!D334</f>
        <v/>
      </c>
      <c r="E334">
        <f>IF(AND(C334="2027",OR(D334="V01",D334="V02",D334="V03")),1,0)</f>
        <v/>
      </c>
      <c r="F334">
        <f>IF(E334=1,SUMIFS(Compta!$F$2:$F$675,Compta!$A$2:$A$675,A334,Compta!$B$2:$B$675,B334,Compta!$C$2:$C$675,"2026"),0)</f>
        <v/>
      </c>
      <c r="G334">
        <f>IF(D334="V01",cad!$I$21,IF(D334="V02",cad!$J$21,cad!$K$21))</f>
        <v/>
      </c>
      <c r="H334">
        <f>IF(D334="V01",cad!$I$22,IF(D334="V02",cad!$J$22,cad!$K$22))</f>
        <v/>
      </c>
      <c r="I334">
        <f>IF(D334="V01",cad!$I$27,IF(D334="V02",cad!$J$27,cad!$K$27))</f>
        <v/>
      </c>
      <c r="J334">
        <f>IF(D334="V01",cad!$I$28,IF(D334="V02",cad!$J$28,cad!$K$28))</f>
        <v/>
      </c>
      <c r="K334">
        <f>IF(D334="V01",cad!$I$29,IF(D334="V02",cad!$J$29,cad!$K$29))</f>
        <v/>
      </c>
      <c r="L334">
        <f>IF(D334="V01",cad!$I$30,IF(D334="V02",cad!$J$30,cad!$K$30))</f>
        <v/>
      </c>
      <c r="M334">
        <f>IF(D334="V01",cad!$I$31,IF(D334="V02",cad!$J$31,cad!$K$31))</f>
        <v/>
      </c>
      <c r="N334">
        <f>IF(D334="V01",$R$2,IF(D334="V02",$R$3,$R$4))</f>
        <v/>
      </c>
      <c r="O334">
        <f>IF(OR(B334="7062",B334="706",B334="708"),N334,IF(B334="6231",1+G334,IF(B334="6236",1+H334,IF(OR(B334="621",B334="604",B334="6063"),N334*(1-L334),IF(OR(B334="6411",B334="6413",B334="6414",B334="645"),(1+J334)*(1+K334),IF(OR(B334="613",B334="615",B334="616",B334="6226",B334="625",B334="626",B334="6281"),(1+I334)*(1-L334)*(1+M334),IF(OR(B334="6331",B334="63511",B334="6333"),(1+I334)*(1-L334),IF(B334="6811",1+I334,1))))))))</f>
        <v/>
      </c>
      <c r="P334">
        <f>IF(E334=1,F334*O334,"")</f>
        <v/>
      </c>
    </row>
    <row r="335">
      <c r="A335">
        <f>PNL!A335</f>
        <v/>
      </c>
      <c r="B335">
        <f>PNL!B335</f>
        <v/>
      </c>
      <c r="C335">
        <f>PNL!C335</f>
        <v/>
      </c>
      <c r="D335">
        <f>PNL!D335</f>
        <v/>
      </c>
      <c r="E335">
        <f>IF(AND(C335="2027",OR(D335="V01",D335="V02",D335="V03")),1,0)</f>
        <v/>
      </c>
      <c r="F335">
        <f>IF(E335=1,SUMIFS(Compta!$F$2:$F$675,Compta!$A$2:$A$675,A335,Compta!$B$2:$B$675,B335,Compta!$C$2:$C$675,"2026"),0)</f>
        <v/>
      </c>
      <c r="G335">
        <f>IF(D335="V01",cad!$I$21,IF(D335="V02",cad!$J$21,cad!$K$21))</f>
        <v/>
      </c>
      <c r="H335">
        <f>IF(D335="V01",cad!$I$22,IF(D335="V02",cad!$J$22,cad!$K$22))</f>
        <v/>
      </c>
      <c r="I335">
        <f>IF(D335="V01",cad!$I$27,IF(D335="V02",cad!$J$27,cad!$K$27))</f>
        <v/>
      </c>
      <c r="J335">
        <f>IF(D335="V01",cad!$I$28,IF(D335="V02",cad!$J$28,cad!$K$28))</f>
        <v/>
      </c>
      <c r="K335">
        <f>IF(D335="V01",cad!$I$29,IF(D335="V02",cad!$J$29,cad!$K$29))</f>
        <v/>
      </c>
      <c r="L335">
        <f>IF(D335="V01",cad!$I$30,IF(D335="V02",cad!$J$30,cad!$K$30))</f>
        <v/>
      </c>
      <c r="M335">
        <f>IF(D335="V01",cad!$I$31,IF(D335="V02",cad!$J$31,cad!$K$31))</f>
        <v/>
      </c>
      <c r="N335">
        <f>IF(D335="V01",$R$2,IF(D335="V02",$R$3,$R$4))</f>
        <v/>
      </c>
      <c r="O335">
        <f>IF(OR(B335="7062",B335="706",B335="708"),N335,IF(B335="6231",1+G335,IF(B335="6236",1+H335,IF(OR(B335="621",B335="604",B335="6063"),N335*(1-L335),IF(OR(B335="6411",B335="6413",B335="6414",B335="645"),(1+J335)*(1+K335),IF(OR(B335="613",B335="615",B335="616",B335="6226",B335="625",B335="626",B335="6281"),(1+I335)*(1-L335)*(1+M335),IF(OR(B335="6331",B335="63511",B335="6333"),(1+I335)*(1-L335),IF(B335="6811",1+I335,1))))))))</f>
        <v/>
      </c>
      <c r="P335">
        <f>IF(E335=1,F335*O335,"")</f>
        <v/>
      </c>
    </row>
    <row r="336">
      <c r="A336">
        <f>PNL!A336</f>
        <v/>
      </c>
      <c r="B336">
        <f>PNL!B336</f>
        <v/>
      </c>
      <c r="C336">
        <f>PNL!C336</f>
        <v/>
      </c>
      <c r="D336">
        <f>PNL!D336</f>
        <v/>
      </c>
      <c r="E336">
        <f>IF(AND(C336="2027",OR(D336="V01",D336="V02",D336="V03")),1,0)</f>
        <v/>
      </c>
      <c r="F336">
        <f>IF(E336=1,SUMIFS(Compta!$F$2:$F$675,Compta!$A$2:$A$675,A336,Compta!$B$2:$B$675,B336,Compta!$C$2:$C$675,"2026"),0)</f>
        <v/>
      </c>
      <c r="G336">
        <f>IF(D336="V01",cad!$I$21,IF(D336="V02",cad!$J$21,cad!$K$21))</f>
        <v/>
      </c>
      <c r="H336">
        <f>IF(D336="V01",cad!$I$22,IF(D336="V02",cad!$J$22,cad!$K$22))</f>
        <v/>
      </c>
      <c r="I336">
        <f>IF(D336="V01",cad!$I$27,IF(D336="V02",cad!$J$27,cad!$K$27))</f>
        <v/>
      </c>
      <c r="J336">
        <f>IF(D336="V01",cad!$I$28,IF(D336="V02",cad!$J$28,cad!$K$28))</f>
        <v/>
      </c>
      <c r="K336">
        <f>IF(D336="V01",cad!$I$29,IF(D336="V02",cad!$J$29,cad!$K$29))</f>
        <v/>
      </c>
      <c r="L336">
        <f>IF(D336="V01",cad!$I$30,IF(D336="V02",cad!$J$30,cad!$K$30))</f>
        <v/>
      </c>
      <c r="M336">
        <f>IF(D336="V01",cad!$I$31,IF(D336="V02",cad!$J$31,cad!$K$31))</f>
        <v/>
      </c>
      <c r="N336">
        <f>IF(D336="V01",$R$2,IF(D336="V02",$R$3,$R$4))</f>
        <v/>
      </c>
      <c r="O336">
        <f>IF(OR(B336="7062",B336="706",B336="708"),N336,IF(B336="6231",1+G336,IF(B336="6236",1+H336,IF(OR(B336="621",B336="604",B336="6063"),N336*(1-L336),IF(OR(B336="6411",B336="6413",B336="6414",B336="645"),(1+J336)*(1+K336),IF(OR(B336="613",B336="615",B336="616",B336="6226",B336="625",B336="626",B336="6281"),(1+I336)*(1-L336)*(1+M336),IF(OR(B336="6331",B336="63511",B336="6333"),(1+I336)*(1-L336),IF(B336="6811",1+I336,1))))))))</f>
        <v/>
      </c>
      <c r="P336">
        <f>IF(E336=1,F336*O336,"")</f>
        <v/>
      </c>
    </row>
    <row r="337">
      <c r="A337">
        <f>PNL!A337</f>
        <v/>
      </c>
      <c r="B337">
        <f>PNL!B337</f>
        <v/>
      </c>
      <c r="C337">
        <f>PNL!C337</f>
        <v/>
      </c>
      <c r="D337">
        <f>PNL!D337</f>
        <v/>
      </c>
      <c r="E337">
        <f>IF(AND(C337="2027",OR(D337="V01",D337="V02",D337="V03")),1,0)</f>
        <v/>
      </c>
      <c r="F337">
        <f>IF(E337=1,SUMIFS(Compta!$F$2:$F$675,Compta!$A$2:$A$675,A337,Compta!$B$2:$B$675,B337,Compta!$C$2:$C$675,"2026"),0)</f>
        <v/>
      </c>
      <c r="G337">
        <f>IF(D337="V01",cad!$I$21,IF(D337="V02",cad!$J$21,cad!$K$21))</f>
        <v/>
      </c>
      <c r="H337">
        <f>IF(D337="V01",cad!$I$22,IF(D337="V02",cad!$J$22,cad!$K$22))</f>
        <v/>
      </c>
      <c r="I337">
        <f>IF(D337="V01",cad!$I$27,IF(D337="V02",cad!$J$27,cad!$K$27))</f>
        <v/>
      </c>
      <c r="J337">
        <f>IF(D337="V01",cad!$I$28,IF(D337="V02",cad!$J$28,cad!$K$28))</f>
        <v/>
      </c>
      <c r="K337">
        <f>IF(D337="V01",cad!$I$29,IF(D337="V02",cad!$J$29,cad!$K$29))</f>
        <v/>
      </c>
      <c r="L337">
        <f>IF(D337="V01",cad!$I$30,IF(D337="V02",cad!$J$30,cad!$K$30))</f>
        <v/>
      </c>
      <c r="M337">
        <f>IF(D337="V01",cad!$I$31,IF(D337="V02",cad!$J$31,cad!$K$31))</f>
        <v/>
      </c>
      <c r="N337">
        <f>IF(D337="V01",$R$2,IF(D337="V02",$R$3,$R$4))</f>
        <v/>
      </c>
      <c r="O337">
        <f>IF(OR(B337="7062",B337="706",B337="708"),N337,IF(B337="6231",1+G337,IF(B337="6236",1+H337,IF(OR(B337="621",B337="604",B337="6063"),N337*(1-L337),IF(OR(B337="6411",B337="6413",B337="6414",B337="645"),(1+J337)*(1+K337),IF(OR(B337="613",B337="615",B337="616",B337="6226",B337="625",B337="626",B337="6281"),(1+I337)*(1-L337)*(1+M337),IF(OR(B337="6331",B337="63511",B337="6333"),(1+I337)*(1-L337),IF(B337="6811",1+I337,1))))))))</f>
        <v/>
      </c>
      <c r="P337">
        <f>IF(E337=1,F337*O337,"")</f>
        <v/>
      </c>
    </row>
    <row r="338">
      <c r="A338">
        <f>PNL!A338</f>
        <v/>
      </c>
      <c r="B338">
        <f>PNL!B338</f>
        <v/>
      </c>
      <c r="C338">
        <f>PNL!C338</f>
        <v/>
      </c>
      <c r="D338">
        <f>PNL!D338</f>
        <v/>
      </c>
      <c r="E338">
        <f>IF(AND(C338="2027",OR(D338="V01",D338="V02",D338="V03")),1,0)</f>
        <v/>
      </c>
      <c r="F338">
        <f>IF(E338=1,SUMIFS(Compta!$F$2:$F$675,Compta!$A$2:$A$675,A338,Compta!$B$2:$B$675,B338,Compta!$C$2:$C$675,"2026"),0)</f>
        <v/>
      </c>
      <c r="G338">
        <f>IF(D338="V01",cad!$I$21,IF(D338="V02",cad!$J$21,cad!$K$21))</f>
        <v/>
      </c>
      <c r="H338">
        <f>IF(D338="V01",cad!$I$22,IF(D338="V02",cad!$J$22,cad!$K$22))</f>
        <v/>
      </c>
      <c r="I338">
        <f>IF(D338="V01",cad!$I$27,IF(D338="V02",cad!$J$27,cad!$K$27))</f>
        <v/>
      </c>
      <c r="J338">
        <f>IF(D338="V01",cad!$I$28,IF(D338="V02",cad!$J$28,cad!$K$28))</f>
        <v/>
      </c>
      <c r="K338">
        <f>IF(D338="V01",cad!$I$29,IF(D338="V02",cad!$J$29,cad!$K$29))</f>
        <v/>
      </c>
      <c r="L338">
        <f>IF(D338="V01",cad!$I$30,IF(D338="V02",cad!$J$30,cad!$K$30))</f>
        <v/>
      </c>
      <c r="M338">
        <f>IF(D338="V01",cad!$I$31,IF(D338="V02",cad!$J$31,cad!$K$31))</f>
        <v/>
      </c>
      <c r="N338">
        <f>IF(D338="V01",$R$2,IF(D338="V02",$R$3,$R$4))</f>
        <v/>
      </c>
      <c r="O338">
        <f>IF(OR(B338="7062",B338="706",B338="708"),N338,IF(B338="6231",1+G338,IF(B338="6236",1+H338,IF(OR(B338="621",B338="604",B338="6063"),N338*(1-L338),IF(OR(B338="6411",B338="6413",B338="6414",B338="645"),(1+J338)*(1+K338),IF(OR(B338="613",B338="615",B338="616",B338="6226",B338="625",B338="626",B338="6281"),(1+I338)*(1-L338)*(1+M338),IF(OR(B338="6331",B338="63511",B338="6333"),(1+I338)*(1-L338),IF(B338="6811",1+I338,1))))))))</f>
        <v/>
      </c>
      <c r="P338">
        <f>IF(E338=1,F338*O338,"")</f>
        <v/>
      </c>
    </row>
    <row r="339">
      <c r="A339">
        <f>PNL!A339</f>
        <v/>
      </c>
      <c r="B339">
        <f>PNL!B339</f>
        <v/>
      </c>
      <c r="C339">
        <f>PNL!C339</f>
        <v/>
      </c>
      <c r="D339">
        <f>PNL!D339</f>
        <v/>
      </c>
      <c r="E339">
        <f>IF(AND(C339="2027",OR(D339="V01",D339="V02",D339="V03")),1,0)</f>
        <v/>
      </c>
      <c r="F339">
        <f>IF(E339=1,SUMIFS(Compta!$F$2:$F$675,Compta!$A$2:$A$675,A339,Compta!$B$2:$B$675,B339,Compta!$C$2:$C$675,"2026"),0)</f>
        <v/>
      </c>
      <c r="G339">
        <f>IF(D339="V01",cad!$I$21,IF(D339="V02",cad!$J$21,cad!$K$21))</f>
        <v/>
      </c>
      <c r="H339">
        <f>IF(D339="V01",cad!$I$22,IF(D339="V02",cad!$J$22,cad!$K$22))</f>
        <v/>
      </c>
      <c r="I339">
        <f>IF(D339="V01",cad!$I$27,IF(D339="V02",cad!$J$27,cad!$K$27))</f>
        <v/>
      </c>
      <c r="J339">
        <f>IF(D339="V01",cad!$I$28,IF(D339="V02",cad!$J$28,cad!$K$28))</f>
        <v/>
      </c>
      <c r="K339">
        <f>IF(D339="V01",cad!$I$29,IF(D339="V02",cad!$J$29,cad!$K$29))</f>
        <v/>
      </c>
      <c r="L339">
        <f>IF(D339="V01",cad!$I$30,IF(D339="V02",cad!$J$30,cad!$K$30))</f>
        <v/>
      </c>
      <c r="M339">
        <f>IF(D339="V01",cad!$I$31,IF(D339="V02",cad!$J$31,cad!$K$31))</f>
        <v/>
      </c>
      <c r="N339">
        <f>IF(D339="V01",$R$2,IF(D339="V02",$R$3,$R$4))</f>
        <v/>
      </c>
      <c r="O339">
        <f>IF(OR(B339="7062",B339="706",B339="708"),N339,IF(B339="6231",1+G339,IF(B339="6236",1+H339,IF(OR(B339="621",B339="604",B339="6063"),N339*(1-L339),IF(OR(B339="6411",B339="6413",B339="6414",B339="645"),(1+J339)*(1+K339),IF(OR(B339="613",B339="615",B339="616",B339="6226",B339="625",B339="626",B339="6281"),(1+I339)*(1-L339)*(1+M339),IF(OR(B339="6331",B339="63511",B339="6333"),(1+I339)*(1-L339),IF(B339="6811",1+I339,1))))))))</f>
        <v/>
      </c>
      <c r="P339">
        <f>IF(E339=1,F339*O339,"")</f>
        <v/>
      </c>
    </row>
    <row r="340">
      <c r="A340">
        <f>PNL!A340</f>
        <v/>
      </c>
      <c r="B340">
        <f>PNL!B340</f>
        <v/>
      </c>
      <c r="C340">
        <f>PNL!C340</f>
        <v/>
      </c>
      <c r="D340">
        <f>PNL!D340</f>
        <v/>
      </c>
      <c r="E340">
        <f>IF(AND(C340="2027",OR(D340="V01",D340="V02",D340="V03")),1,0)</f>
        <v/>
      </c>
      <c r="F340">
        <f>IF(E340=1,SUMIFS(Compta!$F$2:$F$675,Compta!$A$2:$A$675,A340,Compta!$B$2:$B$675,B340,Compta!$C$2:$C$675,"2026"),0)</f>
        <v/>
      </c>
      <c r="G340">
        <f>IF(D340="V01",cad!$I$21,IF(D340="V02",cad!$J$21,cad!$K$21))</f>
        <v/>
      </c>
      <c r="H340">
        <f>IF(D340="V01",cad!$I$22,IF(D340="V02",cad!$J$22,cad!$K$22))</f>
        <v/>
      </c>
      <c r="I340">
        <f>IF(D340="V01",cad!$I$27,IF(D340="V02",cad!$J$27,cad!$K$27))</f>
        <v/>
      </c>
      <c r="J340">
        <f>IF(D340="V01",cad!$I$28,IF(D340="V02",cad!$J$28,cad!$K$28))</f>
        <v/>
      </c>
      <c r="K340">
        <f>IF(D340="V01",cad!$I$29,IF(D340="V02",cad!$J$29,cad!$K$29))</f>
        <v/>
      </c>
      <c r="L340">
        <f>IF(D340="V01",cad!$I$30,IF(D340="V02",cad!$J$30,cad!$K$30))</f>
        <v/>
      </c>
      <c r="M340">
        <f>IF(D340="V01",cad!$I$31,IF(D340="V02",cad!$J$31,cad!$K$31))</f>
        <v/>
      </c>
      <c r="N340">
        <f>IF(D340="V01",$R$2,IF(D340="V02",$R$3,$R$4))</f>
        <v/>
      </c>
      <c r="O340">
        <f>IF(OR(B340="7062",B340="706",B340="708"),N340,IF(B340="6231",1+G340,IF(B340="6236",1+H340,IF(OR(B340="621",B340="604",B340="6063"),N340*(1-L340),IF(OR(B340="6411",B340="6413",B340="6414",B340="645"),(1+J340)*(1+K340),IF(OR(B340="613",B340="615",B340="616",B340="6226",B340="625",B340="626",B340="6281"),(1+I340)*(1-L340)*(1+M340),IF(OR(B340="6331",B340="63511",B340="6333"),(1+I340)*(1-L340),IF(B340="6811",1+I340,1))))))))</f>
        <v/>
      </c>
      <c r="P340">
        <f>IF(E340=1,F340*O340,"")</f>
        <v/>
      </c>
    </row>
    <row r="341">
      <c r="A341">
        <f>PNL!A341</f>
        <v/>
      </c>
      <c r="B341">
        <f>PNL!B341</f>
        <v/>
      </c>
      <c r="C341">
        <f>PNL!C341</f>
        <v/>
      </c>
      <c r="D341">
        <f>PNL!D341</f>
        <v/>
      </c>
      <c r="E341">
        <f>IF(AND(C341="2027",OR(D341="V01",D341="V02",D341="V03")),1,0)</f>
        <v/>
      </c>
      <c r="F341">
        <f>IF(E341=1,SUMIFS(Compta!$F$2:$F$675,Compta!$A$2:$A$675,A341,Compta!$B$2:$B$675,B341,Compta!$C$2:$C$675,"2026"),0)</f>
        <v/>
      </c>
      <c r="G341">
        <f>IF(D341="V01",cad!$I$21,IF(D341="V02",cad!$J$21,cad!$K$21))</f>
        <v/>
      </c>
      <c r="H341">
        <f>IF(D341="V01",cad!$I$22,IF(D341="V02",cad!$J$22,cad!$K$22))</f>
        <v/>
      </c>
      <c r="I341">
        <f>IF(D341="V01",cad!$I$27,IF(D341="V02",cad!$J$27,cad!$K$27))</f>
        <v/>
      </c>
      <c r="J341">
        <f>IF(D341="V01",cad!$I$28,IF(D341="V02",cad!$J$28,cad!$K$28))</f>
        <v/>
      </c>
      <c r="K341">
        <f>IF(D341="V01",cad!$I$29,IF(D341="V02",cad!$J$29,cad!$K$29))</f>
        <v/>
      </c>
      <c r="L341">
        <f>IF(D341="V01",cad!$I$30,IF(D341="V02",cad!$J$30,cad!$K$30))</f>
        <v/>
      </c>
      <c r="M341">
        <f>IF(D341="V01",cad!$I$31,IF(D341="V02",cad!$J$31,cad!$K$31))</f>
        <v/>
      </c>
      <c r="N341">
        <f>IF(D341="V01",$R$2,IF(D341="V02",$R$3,$R$4))</f>
        <v/>
      </c>
      <c r="O341">
        <f>IF(OR(B341="7062",B341="706",B341="708"),N341,IF(B341="6231",1+G341,IF(B341="6236",1+H341,IF(OR(B341="621",B341="604",B341="6063"),N341*(1-L341),IF(OR(B341="6411",B341="6413",B341="6414",B341="645"),(1+J341)*(1+K341),IF(OR(B341="613",B341="615",B341="616",B341="6226",B341="625",B341="626",B341="6281"),(1+I341)*(1-L341)*(1+M341),IF(OR(B341="6331",B341="63511",B341="6333"),(1+I341)*(1-L341),IF(B341="6811",1+I341,1))))))))</f>
        <v/>
      </c>
      <c r="P341">
        <f>IF(E341=1,F341*O341,"")</f>
        <v/>
      </c>
    </row>
    <row r="342">
      <c r="A342">
        <f>PNL!A342</f>
        <v/>
      </c>
      <c r="B342">
        <f>PNL!B342</f>
        <v/>
      </c>
      <c r="C342">
        <f>PNL!C342</f>
        <v/>
      </c>
      <c r="D342">
        <f>PNL!D342</f>
        <v/>
      </c>
      <c r="E342">
        <f>IF(AND(C342="2027",OR(D342="V01",D342="V02",D342="V03")),1,0)</f>
        <v/>
      </c>
      <c r="F342">
        <f>IF(E342=1,SUMIFS(Compta!$F$2:$F$675,Compta!$A$2:$A$675,A342,Compta!$B$2:$B$675,B342,Compta!$C$2:$C$675,"2026"),0)</f>
        <v/>
      </c>
      <c r="G342">
        <f>IF(D342="V01",cad!$I$21,IF(D342="V02",cad!$J$21,cad!$K$21))</f>
        <v/>
      </c>
      <c r="H342">
        <f>IF(D342="V01",cad!$I$22,IF(D342="V02",cad!$J$22,cad!$K$22))</f>
        <v/>
      </c>
      <c r="I342">
        <f>IF(D342="V01",cad!$I$27,IF(D342="V02",cad!$J$27,cad!$K$27))</f>
        <v/>
      </c>
      <c r="J342">
        <f>IF(D342="V01",cad!$I$28,IF(D342="V02",cad!$J$28,cad!$K$28))</f>
        <v/>
      </c>
      <c r="K342">
        <f>IF(D342="V01",cad!$I$29,IF(D342="V02",cad!$J$29,cad!$K$29))</f>
        <v/>
      </c>
      <c r="L342">
        <f>IF(D342="V01",cad!$I$30,IF(D342="V02",cad!$J$30,cad!$K$30))</f>
        <v/>
      </c>
      <c r="M342">
        <f>IF(D342="V01",cad!$I$31,IF(D342="V02",cad!$J$31,cad!$K$31))</f>
        <v/>
      </c>
      <c r="N342">
        <f>IF(D342="V01",$R$2,IF(D342="V02",$R$3,$R$4))</f>
        <v/>
      </c>
      <c r="O342">
        <f>IF(OR(B342="7062",B342="706",B342="708"),N342,IF(B342="6231",1+G342,IF(B342="6236",1+H342,IF(OR(B342="621",B342="604",B342="6063"),N342*(1-L342),IF(OR(B342="6411",B342="6413",B342="6414",B342="645"),(1+J342)*(1+K342),IF(OR(B342="613",B342="615",B342="616",B342="6226",B342="625",B342="626",B342="6281"),(1+I342)*(1-L342)*(1+M342),IF(OR(B342="6331",B342="63511",B342="6333"),(1+I342)*(1-L342),IF(B342="6811",1+I342,1))))))))</f>
        <v/>
      </c>
      <c r="P342">
        <f>IF(E342=1,F342*O342,"")</f>
        <v/>
      </c>
    </row>
    <row r="343">
      <c r="A343">
        <f>PNL!A343</f>
        <v/>
      </c>
      <c r="B343">
        <f>PNL!B343</f>
        <v/>
      </c>
      <c r="C343">
        <f>PNL!C343</f>
        <v/>
      </c>
      <c r="D343">
        <f>PNL!D343</f>
        <v/>
      </c>
      <c r="E343">
        <f>IF(AND(C343="2027",OR(D343="V01",D343="V02",D343="V03")),1,0)</f>
        <v/>
      </c>
      <c r="F343">
        <f>IF(E343=1,SUMIFS(Compta!$F$2:$F$675,Compta!$A$2:$A$675,A343,Compta!$B$2:$B$675,B343,Compta!$C$2:$C$675,"2026"),0)</f>
        <v/>
      </c>
      <c r="G343">
        <f>IF(D343="V01",cad!$I$21,IF(D343="V02",cad!$J$21,cad!$K$21))</f>
        <v/>
      </c>
      <c r="H343">
        <f>IF(D343="V01",cad!$I$22,IF(D343="V02",cad!$J$22,cad!$K$22))</f>
        <v/>
      </c>
      <c r="I343">
        <f>IF(D343="V01",cad!$I$27,IF(D343="V02",cad!$J$27,cad!$K$27))</f>
        <v/>
      </c>
      <c r="J343">
        <f>IF(D343="V01",cad!$I$28,IF(D343="V02",cad!$J$28,cad!$K$28))</f>
        <v/>
      </c>
      <c r="K343">
        <f>IF(D343="V01",cad!$I$29,IF(D343="V02",cad!$J$29,cad!$K$29))</f>
        <v/>
      </c>
      <c r="L343">
        <f>IF(D343="V01",cad!$I$30,IF(D343="V02",cad!$J$30,cad!$K$30))</f>
        <v/>
      </c>
      <c r="M343">
        <f>IF(D343="V01",cad!$I$31,IF(D343="V02",cad!$J$31,cad!$K$31))</f>
        <v/>
      </c>
      <c r="N343">
        <f>IF(D343="V01",$R$2,IF(D343="V02",$R$3,$R$4))</f>
        <v/>
      </c>
      <c r="O343">
        <f>IF(OR(B343="7062",B343="706",B343="708"),N343,IF(B343="6231",1+G343,IF(B343="6236",1+H343,IF(OR(B343="621",B343="604",B343="6063"),N343*(1-L343),IF(OR(B343="6411",B343="6413",B343="6414",B343="645"),(1+J343)*(1+K343),IF(OR(B343="613",B343="615",B343="616",B343="6226",B343="625",B343="626",B343="6281"),(1+I343)*(1-L343)*(1+M343),IF(OR(B343="6331",B343="63511",B343="6333"),(1+I343)*(1-L343),IF(B343="6811",1+I343,1))))))))</f>
        <v/>
      </c>
      <c r="P343">
        <f>IF(E343=1,F343*O343,"")</f>
        <v/>
      </c>
    </row>
    <row r="344">
      <c r="A344">
        <f>PNL!A344</f>
        <v/>
      </c>
      <c r="B344">
        <f>PNL!B344</f>
        <v/>
      </c>
      <c r="C344">
        <f>PNL!C344</f>
        <v/>
      </c>
      <c r="D344">
        <f>PNL!D344</f>
        <v/>
      </c>
      <c r="E344">
        <f>IF(AND(C344="2027",OR(D344="V01",D344="V02",D344="V03")),1,0)</f>
        <v/>
      </c>
      <c r="F344">
        <f>IF(E344=1,SUMIFS(Compta!$F$2:$F$675,Compta!$A$2:$A$675,A344,Compta!$B$2:$B$675,B344,Compta!$C$2:$C$675,"2026"),0)</f>
        <v/>
      </c>
      <c r="G344">
        <f>IF(D344="V01",cad!$I$21,IF(D344="V02",cad!$J$21,cad!$K$21))</f>
        <v/>
      </c>
      <c r="H344">
        <f>IF(D344="V01",cad!$I$22,IF(D344="V02",cad!$J$22,cad!$K$22))</f>
        <v/>
      </c>
      <c r="I344">
        <f>IF(D344="V01",cad!$I$27,IF(D344="V02",cad!$J$27,cad!$K$27))</f>
        <v/>
      </c>
      <c r="J344">
        <f>IF(D344="V01",cad!$I$28,IF(D344="V02",cad!$J$28,cad!$K$28))</f>
        <v/>
      </c>
      <c r="K344">
        <f>IF(D344="V01",cad!$I$29,IF(D344="V02",cad!$J$29,cad!$K$29))</f>
        <v/>
      </c>
      <c r="L344">
        <f>IF(D344="V01",cad!$I$30,IF(D344="V02",cad!$J$30,cad!$K$30))</f>
        <v/>
      </c>
      <c r="M344">
        <f>IF(D344="V01",cad!$I$31,IF(D344="V02",cad!$J$31,cad!$K$31))</f>
        <v/>
      </c>
      <c r="N344">
        <f>IF(D344="V01",$R$2,IF(D344="V02",$R$3,$R$4))</f>
        <v/>
      </c>
      <c r="O344">
        <f>IF(OR(B344="7062",B344="706",B344="708"),N344,IF(B344="6231",1+G344,IF(B344="6236",1+H344,IF(OR(B344="621",B344="604",B344="6063"),N344*(1-L344),IF(OR(B344="6411",B344="6413",B344="6414",B344="645"),(1+J344)*(1+K344),IF(OR(B344="613",B344="615",B344="616",B344="6226",B344="625",B344="626",B344="6281"),(1+I344)*(1-L344)*(1+M344),IF(OR(B344="6331",B344="63511",B344="6333"),(1+I344)*(1-L344),IF(B344="6811",1+I344,1))))))))</f>
        <v/>
      </c>
      <c r="P344">
        <f>IF(E344=1,F344*O344,"")</f>
        <v/>
      </c>
    </row>
    <row r="345">
      <c r="A345">
        <f>PNL!A345</f>
        <v/>
      </c>
      <c r="B345">
        <f>PNL!B345</f>
        <v/>
      </c>
      <c r="C345">
        <f>PNL!C345</f>
        <v/>
      </c>
      <c r="D345">
        <f>PNL!D345</f>
        <v/>
      </c>
      <c r="E345">
        <f>IF(AND(C345="2027",OR(D345="V01",D345="V02",D345="V03")),1,0)</f>
        <v/>
      </c>
      <c r="F345">
        <f>IF(E345=1,SUMIFS(Compta!$F$2:$F$675,Compta!$A$2:$A$675,A345,Compta!$B$2:$B$675,B345,Compta!$C$2:$C$675,"2026"),0)</f>
        <v/>
      </c>
      <c r="G345">
        <f>IF(D345="V01",cad!$I$21,IF(D345="V02",cad!$J$21,cad!$K$21))</f>
        <v/>
      </c>
      <c r="H345">
        <f>IF(D345="V01",cad!$I$22,IF(D345="V02",cad!$J$22,cad!$K$22))</f>
        <v/>
      </c>
      <c r="I345">
        <f>IF(D345="V01",cad!$I$27,IF(D345="V02",cad!$J$27,cad!$K$27))</f>
        <v/>
      </c>
      <c r="J345">
        <f>IF(D345="V01",cad!$I$28,IF(D345="V02",cad!$J$28,cad!$K$28))</f>
        <v/>
      </c>
      <c r="K345">
        <f>IF(D345="V01",cad!$I$29,IF(D345="V02",cad!$J$29,cad!$K$29))</f>
        <v/>
      </c>
      <c r="L345">
        <f>IF(D345="V01",cad!$I$30,IF(D345="V02",cad!$J$30,cad!$K$30))</f>
        <v/>
      </c>
      <c r="M345">
        <f>IF(D345="V01",cad!$I$31,IF(D345="V02",cad!$J$31,cad!$K$31))</f>
        <v/>
      </c>
      <c r="N345">
        <f>IF(D345="V01",$R$2,IF(D345="V02",$R$3,$R$4))</f>
        <v/>
      </c>
      <c r="O345">
        <f>IF(OR(B345="7062",B345="706",B345="708"),N345,IF(B345="6231",1+G345,IF(B345="6236",1+H345,IF(OR(B345="621",B345="604",B345="6063"),N345*(1-L345),IF(OR(B345="6411",B345="6413",B345="6414",B345="645"),(1+J345)*(1+K345),IF(OR(B345="613",B345="615",B345="616",B345="6226",B345="625",B345="626",B345="6281"),(1+I345)*(1-L345)*(1+M345),IF(OR(B345="6331",B345="63511",B345="6333"),(1+I345)*(1-L345),IF(B345="6811",1+I345,1))))))))</f>
        <v/>
      </c>
      <c r="P345">
        <f>IF(E345=1,F345*O345,"")</f>
        <v/>
      </c>
    </row>
    <row r="346">
      <c r="A346">
        <f>PNL!A346</f>
        <v/>
      </c>
      <c r="B346">
        <f>PNL!B346</f>
        <v/>
      </c>
      <c r="C346">
        <f>PNL!C346</f>
        <v/>
      </c>
      <c r="D346">
        <f>PNL!D346</f>
        <v/>
      </c>
      <c r="E346">
        <f>IF(AND(C346="2027",OR(D346="V01",D346="V02",D346="V03")),1,0)</f>
        <v/>
      </c>
      <c r="F346">
        <f>IF(E346=1,SUMIFS(Compta!$F$2:$F$675,Compta!$A$2:$A$675,A346,Compta!$B$2:$B$675,B346,Compta!$C$2:$C$675,"2026"),0)</f>
        <v/>
      </c>
      <c r="G346">
        <f>IF(D346="V01",cad!$I$21,IF(D346="V02",cad!$J$21,cad!$K$21))</f>
        <v/>
      </c>
      <c r="H346">
        <f>IF(D346="V01",cad!$I$22,IF(D346="V02",cad!$J$22,cad!$K$22))</f>
        <v/>
      </c>
      <c r="I346">
        <f>IF(D346="V01",cad!$I$27,IF(D346="V02",cad!$J$27,cad!$K$27))</f>
        <v/>
      </c>
      <c r="J346">
        <f>IF(D346="V01",cad!$I$28,IF(D346="V02",cad!$J$28,cad!$K$28))</f>
        <v/>
      </c>
      <c r="K346">
        <f>IF(D346="V01",cad!$I$29,IF(D346="V02",cad!$J$29,cad!$K$29))</f>
        <v/>
      </c>
      <c r="L346">
        <f>IF(D346="V01",cad!$I$30,IF(D346="V02",cad!$J$30,cad!$K$30))</f>
        <v/>
      </c>
      <c r="M346">
        <f>IF(D346="V01",cad!$I$31,IF(D346="V02",cad!$J$31,cad!$K$31))</f>
        <v/>
      </c>
      <c r="N346">
        <f>IF(D346="V01",$R$2,IF(D346="V02",$R$3,$R$4))</f>
        <v/>
      </c>
      <c r="O346">
        <f>IF(OR(B346="7062",B346="706",B346="708"),N346,IF(B346="6231",1+G346,IF(B346="6236",1+H346,IF(OR(B346="621",B346="604",B346="6063"),N346*(1-L346),IF(OR(B346="6411",B346="6413",B346="6414",B346="645"),(1+J346)*(1+K346),IF(OR(B346="613",B346="615",B346="616",B346="6226",B346="625",B346="626",B346="6281"),(1+I346)*(1-L346)*(1+M346),IF(OR(B346="6331",B346="63511",B346="6333"),(1+I346)*(1-L346),IF(B346="6811",1+I346,1))))))))</f>
        <v/>
      </c>
      <c r="P346">
        <f>IF(E346=1,F346*O346,"")</f>
        <v/>
      </c>
    </row>
    <row r="347">
      <c r="A347">
        <f>PNL!A347</f>
        <v/>
      </c>
      <c r="B347">
        <f>PNL!B347</f>
        <v/>
      </c>
      <c r="C347">
        <f>PNL!C347</f>
        <v/>
      </c>
      <c r="D347">
        <f>PNL!D347</f>
        <v/>
      </c>
      <c r="E347">
        <f>IF(AND(C347="2027",OR(D347="V01",D347="V02",D347="V03")),1,0)</f>
        <v/>
      </c>
      <c r="F347">
        <f>IF(E347=1,SUMIFS(Compta!$F$2:$F$675,Compta!$A$2:$A$675,A347,Compta!$B$2:$B$675,B347,Compta!$C$2:$C$675,"2026"),0)</f>
        <v/>
      </c>
      <c r="G347">
        <f>IF(D347="V01",cad!$I$21,IF(D347="V02",cad!$J$21,cad!$K$21))</f>
        <v/>
      </c>
      <c r="H347">
        <f>IF(D347="V01",cad!$I$22,IF(D347="V02",cad!$J$22,cad!$K$22))</f>
        <v/>
      </c>
      <c r="I347">
        <f>IF(D347="V01",cad!$I$27,IF(D347="V02",cad!$J$27,cad!$K$27))</f>
        <v/>
      </c>
      <c r="J347">
        <f>IF(D347="V01",cad!$I$28,IF(D347="V02",cad!$J$28,cad!$K$28))</f>
        <v/>
      </c>
      <c r="K347">
        <f>IF(D347="V01",cad!$I$29,IF(D347="V02",cad!$J$29,cad!$K$29))</f>
        <v/>
      </c>
      <c r="L347">
        <f>IF(D347="V01",cad!$I$30,IF(D347="V02",cad!$J$30,cad!$K$30))</f>
        <v/>
      </c>
      <c r="M347">
        <f>IF(D347="V01",cad!$I$31,IF(D347="V02",cad!$J$31,cad!$K$31))</f>
        <v/>
      </c>
      <c r="N347">
        <f>IF(D347="V01",$R$2,IF(D347="V02",$R$3,$R$4))</f>
        <v/>
      </c>
      <c r="O347">
        <f>IF(OR(B347="7062",B347="706",B347="708"),N347,IF(B347="6231",1+G347,IF(B347="6236",1+H347,IF(OR(B347="621",B347="604",B347="6063"),N347*(1-L347),IF(OR(B347="6411",B347="6413",B347="6414",B347="645"),(1+J347)*(1+K347),IF(OR(B347="613",B347="615",B347="616",B347="6226",B347="625",B347="626",B347="6281"),(1+I347)*(1-L347)*(1+M347),IF(OR(B347="6331",B347="63511",B347="6333"),(1+I347)*(1-L347),IF(B347="6811",1+I347,1))))))))</f>
        <v/>
      </c>
      <c r="P347">
        <f>IF(E347=1,F347*O347,"")</f>
        <v/>
      </c>
    </row>
    <row r="348">
      <c r="A348">
        <f>PNL!A348</f>
        <v/>
      </c>
      <c r="B348">
        <f>PNL!B348</f>
        <v/>
      </c>
      <c r="C348">
        <f>PNL!C348</f>
        <v/>
      </c>
      <c r="D348">
        <f>PNL!D348</f>
        <v/>
      </c>
      <c r="E348">
        <f>IF(AND(C348="2027",OR(D348="V01",D348="V02",D348="V03")),1,0)</f>
        <v/>
      </c>
      <c r="F348">
        <f>IF(E348=1,SUMIFS(Compta!$F$2:$F$675,Compta!$A$2:$A$675,A348,Compta!$B$2:$B$675,B348,Compta!$C$2:$C$675,"2026"),0)</f>
        <v/>
      </c>
      <c r="G348">
        <f>IF(D348="V01",cad!$I$21,IF(D348="V02",cad!$J$21,cad!$K$21))</f>
        <v/>
      </c>
      <c r="H348">
        <f>IF(D348="V01",cad!$I$22,IF(D348="V02",cad!$J$22,cad!$K$22))</f>
        <v/>
      </c>
      <c r="I348">
        <f>IF(D348="V01",cad!$I$27,IF(D348="V02",cad!$J$27,cad!$K$27))</f>
        <v/>
      </c>
      <c r="J348">
        <f>IF(D348="V01",cad!$I$28,IF(D348="V02",cad!$J$28,cad!$K$28))</f>
        <v/>
      </c>
      <c r="K348">
        <f>IF(D348="V01",cad!$I$29,IF(D348="V02",cad!$J$29,cad!$K$29))</f>
        <v/>
      </c>
      <c r="L348">
        <f>IF(D348="V01",cad!$I$30,IF(D348="V02",cad!$J$30,cad!$K$30))</f>
        <v/>
      </c>
      <c r="M348">
        <f>IF(D348="V01",cad!$I$31,IF(D348="V02",cad!$J$31,cad!$K$31))</f>
        <v/>
      </c>
      <c r="N348">
        <f>IF(D348="V01",$R$2,IF(D348="V02",$R$3,$R$4))</f>
        <v/>
      </c>
      <c r="O348">
        <f>IF(OR(B348="7062",B348="706",B348="708"),N348,IF(B348="6231",1+G348,IF(B348="6236",1+H348,IF(OR(B348="621",B348="604",B348="6063"),N348*(1-L348),IF(OR(B348="6411",B348="6413",B348="6414",B348="645"),(1+J348)*(1+K348),IF(OR(B348="613",B348="615",B348="616",B348="6226",B348="625",B348="626",B348="6281"),(1+I348)*(1-L348)*(1+M348),IF(OR(B348="6331",B348="63511",B348="6333"),(1+I348)*(1-L348),IF(B348="6811",1+I348,1))))))))</f>
        <v/>
      </c>
      <c r="P348">
        <f>IF(E348=1,F348*O348,"")</f>
        <v/>
      </c>
    </row>
    <row r="349">
      <c r="A349">
        <f>PNL!A349</f>
        <v/>
      </c>
      <c r="B349">
        <f>PNL!B349</f>
        <v/>
      </c>
      <c r="C349">
        <f>PNL!C349</f>
        <v/>
      </c>
      <c r="D349">
        <f>PNL!D349</f>
        <v/>
      </c>
      <c r="E349">
        <f>IF(AND(C349="2027",OR(D349="V01",D349="V02",D349="V03")),1,0)</f>
        <v/>
      </c>
      <c r="F349">
        <f>IF(E349=1,SUMIFS(Compta!$F$2:$F$675,Compta!$A$2:$A$675,A349,Compta!$B$2:$B$675,B349,Compta!$C$2:$C$675,"2026"),0)</f>
        <v/>
      </c>
      <c r="G349">
        <f>IF(D349="V01",cad!$I$21,IF(D349="V02",cad!$J$21,cad!$K$21))</f>
        <v/>
      </c>
      <c r="H349">
        <f>IF(D349="V01",cad!$I$22,IF(D349="V02",cad!$J$22,cad!$K$22))</f>
        <v/>
      </c>
      <c r="I349">
        <f>IF(D349="V01",cad!$I$27,IF(D349="V02",cad!$J$27,cad!$K$27))</f>
        <v/>
      </c>
      <c r="J349">
        <f>IF(D349="V01",cad!$I$28,IF(D349="V02",cad!$J$28,cad!$K$28))</f>
        <v/>
      </c>
      <c r="K349">
        <f>IF(D349="V01",cad!$I$29,IF(D349="V02",cad!$J$29,cad!$K$29))</f>
        <v/>
      </c>
      <c r="L349">
        <f>IF(D349="V01",cad!$I$30,IF(D349="V02",cad!$J$30,cad!$K$30))</f>
        <v/>
      </c>
      <c r="M349">
        <f>IF(D349="V01",cad!$I$31,IF(D349="V02",cad!$J$31,cad!$K$31))</f>
        <v/>
      </c>
      <c r="N349">
        <f>IF(D349="V01",$R$2,IF(D349="V02",$R$3,$R$4))</f>
        <v/>
      </c>
      <c r="O349">
        <f>IF(OR(B349="7062",B349="706",B349="708"),N349,IF(B349="6231",1+G349,IF(B349="6236",1+H349,IF(OR(B349="621",B349="604",B349="6063"),N349*(1-L349),IF(OR(B349="6411",B349="6413",B349="6414",B349="645"),(1+J349)*(1+K349),IF(OR(B349="613",B349="615",B349="616",B349="6226",B349="625",B349="626",B349="6281"),(1+I349)*(1-L349)*(1+M349),IF(OR(B349="6331",B349="63511",B349="6333"),(1+I349)*(1-L349),IF(B349="6811",1+I349,1))))))))</f>
        <v/>
      </c>
      <c r="P349">
        <f>IF(E349=1,F349*O349,"")</f>
        <v/>
      </c>
    </row>
    <row r="350">
      <c r="A350">
        <f>PNL!A350</f>
        <v/>
      </c>
      <c r="B350">
        <f>PNL!B350</f>
        <v/>
      </c>
      <c r="C350">
        <f>PNL!C350</f>
        <v/>
      </c>
      <c r="D350">
        <f>PNL!D350</f>
        <v/>
      </c>
      <c r="E350">
        <f>IF(AND(C350="2027",OR(D350="V01",D350="V02",D350="V03")),1,0)</f>
        <v/>
      </c>
      <c r="F350">
        <f>IF(E350=1,SUMIFS(Compta!$F$2:$F$675,Compta!$A$2:$A$675,A350,Compta!$B$2:$B$675,B350,Compta!$C$2:$C$675,"2026"),0)</f>
        <v/>
      </c>
      <c r="G350">
        <f>IF(D350="V01",cad!$I$21,IF(D350="V02",cad!$J$21,cad!$K$21))</f>
        <v/>
      </c>
      <c r="H350">
        <f>IF(D350="V01",cad!$I$22,IF(D350="V02",cad!$J$22,cad!$K$22))</f>
        <v/>
      </c>
      <c r="I350">
        <f>IF(D350="V01",cad!$I$27,IF(D350="V02",cad!$J$27,cad!$K$27))</f>
        <v/>
      </c>
      <c r="J350">
        <f>IF(D350="V01",cad!$I$28,IF(D350="V02",cad!$J$28,cad!$K$28))</f>
        <v/>
      </c>
      <c r="K350">
        <f>IF(D350="V01",cad!$I$29,IF(D350="V02",cad!$J$29,cad!$K$29))</f>
        <v/>
      </c>
      <c r="L350">
        <f>IF(D350="V01",cad!$I$30,IF(D350="V02",cad!$J$30,cad!$K$30))</f>
        <v/>
      </c>
      <c r="M350">
        <f>IF(D350="V01",cad!$I$31,IF(D350="V02",cad!$J$31,cad!$K$31))</f>
        <v/>
      </c>
      <c r="N350">
        <f>IF(D350="V01",$R$2,IF(D350="V02",$R$3,$R$4))</f>
        <v/>
      </c>
      <c r="O350">
        <f>IF(OR(B350="7062",B350="706",B350="708"),N350,IF(B350="6231",1+G350,IF(B350="6236",1+H350,IF(OR(B350="621",B350="604",B350="6063"),N350*(1-L350),IF(OR(B350="6411",B350="6413",B350="6414",B350="645"),(1+J350)*(1+K350),IF(OR(B350="613",B350="615",B350="616",B350="6226",B350="625",B350="626",B350="6281"),(1+I350)*(1-L350)*(1+M350),IF(OR(B350="6331",B350="63511",B350="6333"),(1+I350)*(1-L350),IF(B350="6811",1+I350,1))))))))</f>
        <v/>
      </c>
      <c r="P350">
        <f>IF(E350=1,F350*O350,"")</f>
        <v/>
      </c>
    </row>
    <row r="351">
      <c r="A351">
        <f>PNL!A351</f>
        <v/>
      </c>
      <c r="B351">
        <f>PNL!B351</f>
        <v/>
      </c>
      <c r="C351">
        <f>PNL!C351</f>
        <v/>
      </c>
      <c r="D351">
        <f>PNL!D351</f>
        <v/>
      </c>
      <c r="E351">
        <f>IF(AND(C351="2027",OR(D351="V01",D351="V02",D351="V03")),1,0)</f>
        <v/>
      </c>
      <c r="F351">
        <f>IF(E351=1,SUMIFS(Compta!$F$2:$F$675,Compta!$A$2:$A$675,A351,Compta!$B$2:$B$675,B351,Compta!$C$2:$C$675,"2026"),0)</f>
        <v/>
      </c>
      <c r="G351">
        <f>IF(D351="V01",cad!$I$21,IF(D351="V02",cad!$J$21,cad!$K$21))</f>
        <v/>
      </c>
      <c r="H351">
        <f>IF(D351="V01",cad!$I$22,IF(D351="V02",cad!$J$22,cad!$K$22))</f>
        <v/>
      </c>
      <c r="I351">
        <f>IF(D351="V01",cad!$I$27,IF(D351="V02",cad!$J$27,cad!$K$27))</f>
        <v/>
      </c>
      <c r="J351">
        <f>IF(D351="V01",cad!$I$28,IF(D351="V02",cad!$J$28,cad!$K$28))</f>
        <v/>
      </c>
      <c r="K351">
        <f>IF(D351="V01",cad!$I$29,IF(D351="V02",cad!$J$29,cad!$K$29))</f>
        <v/>
      </c>
      <c r="L351">
        <f>IF(D351="V01",cad!$I$30,IF(D351="V02",cad!$J$30,cad!$K$30))</f>
        <v/>
      </c>
      <c r="M351">
        <f>IF(D351="V01",cad!$I$31,IF(D351="V02",cad!$J$31,cad!$K$31))</f>
        <v/>
      </c>
      <c r="N351">
        <f>IF(D351="V01",$R$2,IF(D351="V02",$R$3,$R$4))</f>
        <v/>
      </c>
      <c r="O351">
        <f>IF(OR(B351="7062",B351="706",B351="708"),N351,IF(B351="6231",1+G351,IF(B351="6236",1+H351,IF(OR(B351="621",B351="604",B351="6063"),N351*(1-L351),IF(OR(B351="6411",B351="6413",B351="6414",B351="645"),(1+J351)*(1+K351),IF(OR(B351="613",B351="615",B351="616",B351="6226",B351="625",B351="626",B351="6281"),(1+I351)*(1-L351)*(1+M351),IF(OR(B351="6331",B351="63511",B351="6333"),(1+I351)*(1-L351),IF(B351="6811",1+I351,1))))))))</f>
        <v/>
      </c>
      <c r="P351">
        <f>IF(E351=1,F351*O351,"")</f>
        <v/>
      </c>
    </row>
    <row r="352">
      <c r="A352">
        <f>PNL!A352</f>
        <v/>
      </c>
      <c r="B352">
        <f>PNL!B352</f>
        <v/>
      </c>
      <c r="C352">
        <f>PNL!C352</f>
        <v/>
      </c>
      <c r="D352">
        <f>PNL!D352</f>
        <v/>
      </c>
      <c r="E352">
        <f>IF(AND(C352="2027",OR(D352="V01",D352="V02",D352="V03")),1,0)</f>
        <v/>
      </c>
      <c r="F352">
        <f>IF(E352=1,SUMIFS(Compta!$F$2:$F$675,Compta!$A$2:$A$675,A352,Compta!$B$2:$B$675,B352,Compta!$C$2:$C$675,"2026"),0)</f>
        <v/>
      </c>
      <c r="G352">
        <f>IF(D352="V01",cad!$I$21,IF(D352="V02",cad!$J$21,cad!$K$21))</f>
        <v/>
      </c>
      <c r="H352">
        <f>IF(D352="V01",cad!$I$22,IF(D352="V02",cad!$J$22,cad!$K$22))</f>
        <v/>
      </c>
      <c r="I352">
        <f>IF(D352="V01",cad!$I$27,IF(D352="V02",cad!$J$27,cad!$K$27))</f>
        <v/>
      </c>
      <c r="J352">
        <f>IF(D352="V01",cad!$I$28,IF(D352="V02",cad!$J$28,cad!$K$28))</f>
        <v/>
      </c>
      <c r="K352">
        <f>IF(D352="V01",cad!$I$29,IF(D352="V02",cad!$J$29,cad!$K$29))</f>
        <v/>
      </c>
      <c r="L352">
        <f>IF(D352="V01",cad!$I$30,IF(D352="V02",cad!$J$30,cad!$K$30))</f>
        <v/>
      </c>
      <c r="M352">
        <f>IF(D352="V01",cad!$I$31,IF(D352="V02",cad!$J$31,cad!$K$31))</f>
        <v/>
      </c>
      <c r="N352">
        <f>IF(D352="V01",$R$2,IF(D352="V02",$R$3,$R$4))</f>
        <v/>
      </c>
      <c r="O352">
        <f>IF(OR(B352="7062",B352="706",B352="708"),N352,IF(B352="6231",1+G352,IF(B352="6236",1+H352,IF(OR(B352="621",B352="604",B352="6063"),N352*(1-L352),IF(OR(B352="6411",B352="6413",B352="6414",B352="645"),(1+J352)*(1+K352),IF(OR(B352="613",B352="615",B352="616",B352="6226",B352="625",B352="626",B352="6281"),(1+I352)*(1-L352)*(1+M352),IF(OR(B352="6331",B352="63511",B352="6333"),(1+I352)*(1-L352),IF(B352="6811",1+I352,1))))))))</f>
        <v/>
      </c>
      <c r="P352">
        <f>IF(E352=1,F352*O352,"")</f>
        <v/>
      </c>
    </row>
    <row r="353">
      <c r="A353">
        <f>PNL!A353</f>
        <v/>
      </c>
      <c r="B353">
        <f>PNL!B353</f>
        <v/>
      </c>
      <c r="C353">
        <f>PNL!C353</f>
        <v/>
      </c>
      <c r="D353">
        <f>PNL!D353</f>
        <v/>
      </c>
      <c r="E353">
        <f>IF(AND(C353="2027",OR(D353="V01",D353="V02",D353="V03")),1,0)</f>
        <v/>
      </c>
      <c r="F353">
        <f>IF(E353=1,SUMIFS(Compta!$F$2:$F$675,Compta!$A$2:$A$675,A353,Compta!$B$2:$B$675,B353,Compta!$C$2:$C$675,"2026"),0)</f>
        <v/>
      </c>
      <c r="G353">
        <f>IF(D353="V01",cad!$I$21,IF(D353="V02",cad!$J$21,cad!$K$21))</f>
        <v/>
      </c>
      <c r="H353">
        <f>IF(D353="V01",cad!$I$22,IF(D353="V02",cad!$J$22,cad!$K$22))</f>
        <v/>
      </c>
      <c r="I353">
        <f>IF(D353="V01",cad!$I$27,IF(D353="V02",cad!$J$27,cad!$K$27))</f>
        <v/>
      </c>
      <c r="J353">
        <f>IF(D353="V01",cad!$I$28,IF(D353="V02",cad!$J$28,cad!$K$28))</f>
        <v/>
      </c>
      <c r="K353">
        <f>IF(D353="V01",cad!$I$29,IF(D353="V02",cad!$J$29,cad!$K$29))</f>
        <v/>
      </c>
      <c r="L353">
        <f>IF(D353="V01",cad!$I$30,IF(D353="V02",cad!$J$30,cad!$K$30))</f>
        <v/>
      </c>
      <c r="M353">
        <f>IF(D353="V01",cad!$I$31,IF(D353="V02",cad!$J$31,cad!$K$31))</f>
        <v/>
      </c>
      <c r="N353">
        <f>IF(D353="V01",$R$2,IF(D353="V02",$R$3,$R$4))</f>
        <v/>
      </c>
      <c r="O353">
        <f>IF(OR(B353="7062",B353="706",B353="708"),N353,IF(B353="6231",1+G353,IF(B353="6236",1+H353,IF(OR(B353="621",B353="604",B353="6063"),N353*(1-L353),IF(OR(B353="6411",B353="6413",B353="6414",B353="645"),(1+J353)*(1+K353),IF(OR(B353="613",B353="615",B353="616",B353="6226",B353="625",B353="626",B353="6281"),(1+I353)*(1-L353)*(1+M353),IF(OR(B353="6331",B353="63511",B353="6333"),(1+I353)*(1-L353),IF(B353="6811",1+I353,1))))))))</f>
        <v/>
      </c>
      <c r="P353">
        <f>IF(E353=1,F353*O353,"")</f>
        <v/>
      </c>
    </row>
    <row r="354">
      <c r="A354">
        <f>PNL!A354</f>
        <v/>
      </c>
      <c r="B354">
        <f>PNL!B354</f>
        <v/>
      </c>
      <c r="C354">
        <f>PNL!C354</f>
        <v/>
      </c>
      <c r="D354">
        <f>PNL!D354</f>
        <v/>
      </c>
      <c r="E354">
        <f>IF(AND(C354="2027",OR(D354="V01",D354="V02",D354="V03")),1,0)</f>
        <v/>
      </c>
      <c r="F354">
        <f>IF(E354=1,SUMIFS(Compta!$F$2:$F$675,Compta!$A$2:$A$675,A354,Compta!$B$2:$B$675,B354,Compta!$C$2:$C$675,"2026"),0)</f>
        <v/>
      </c>
      <c r="G354">
        <f>IF(D354="V01",cad!$I$21,IF(D354="V02",cad!$J$21,cad!$K$21))</f>
        <v/>
      </c>
      <c r="H354">
        <f>IF(D354="V01",cad!$I$22,IF(D354="V02",cad!$J$22,cad!$K$22))</f>
        <v/>
      </c>
      <c r="I354">
        <f>IF(D354="V01",cad!$I$27,IF(D354="V02",cad!$J$27,cad!$K$27))</f>
        <v/>
      </c>
      <c r="J354">
        <f>IF(D354="V01",cad!$I$28,IF(D354="V02",cad!$J$28,cad!$K$28))</f>
        <v/>
      </c>
      <c r="K354">
        <f>IF(D354="V01",cad!$I$29,IF(D354="V02",cad!$J$29,cad!$K$29))</f>
        <v/>
      </c>
      <c r="L354">
        <f>IF(D354="V01",cad!$I$30,IF(D354="V02",cad!$J$30,cad!$K$30))</f>
        <v/>
      </c>
      <c r="M354">
        <f>IF(D354="V01",cad!$I$31,IF(D354="V02",cad!$J$31,cad!$K$31))</f>
        <v/>
      </c>
      <c r="N354">
        <f>IF(D354="V01",$R$2,IF(D354="V02",$R$3,$R$4))</f>
        <v/>
      </c>
      <c r="O354">
        <f>IF(OR(B354="7062",B354="706",B354="708"),N354,IF(B354="6231",1+G354,IF(B354="6236",1+H354,IF(OR(B354="621",B354="604",B354="6063"),N354*(1-L354),IF(OR(B354="6411",B354="6413",B354="6414",B354="645"),(1+J354)*(1+K354),IF(OR(B354="613",B354="615",B354="616",B354="6226",B354="625",B354="626",B354="6281"),(1+I354)*(1-L354)*(1+M354),IF(OR(B354="6331",B354="63511",B354="6333"),(1+I354)*(1-L354),IF(B354="6811",1+I354,1))))))))</f>
        <v/>
      </c>
      <c r="P354">
        <f>IF(E354=1,F354*O354,"")</f>
        <v/>
      </c>
    </row>
    <row r="355">
      <c r="A355">
        <f>PNL!A355</f>
        <v/>
      </c>
      <c r="B355">
        <f>PNL!B355</f>
        <v/>
      </c>
      <c r="C355">
        <f>PNL!C355</f>
        <v/>
      </c>
      <c r="D355">
        <f>PNL!D355</f>
        <v/>
      </c>
      <c r="E355">
        <f>IF(AND(C355="2027",OR(D355="V01",D355="V02",D355="V03")),1,0)</f>
        <v/>
      </c>
      <c r="F355">
        <f>IF(E355=1,SUMIFS(Compta!$F$2:$F$675,Compta!$A$2:$A$675,A355,Compta!$B$2:$B$675,B355,Compta!$C$2:$C$675,"2026"),0)</f>
        <v/>
      </c>
      <c r="G355">
        <f>IF(D355="V01",cad!$I$21,IF(D355="V02",cad!$J$21,cad!$K$21))</f>
        <v/>
      </c>
      <c r="H355">
        <f>IF(D355="V01",cad!$I$22,IF(D355="V02",cad!$J$22,cad!$K$22))</f>
        <v/>
      </c>
      <c r="I355">
        <f>IF(D355="V01",cad!$I$27,IF(D355="V02",cad!$J$27,cad!$K$27))</f>
        <v/>
      </c>
      <c r="J355">
        <f>IF(D355="V01",cad!$I$28,IF(D355="V02",cad!$J$28,cad!$K$28))</f>
        <v/>
      </c>
      <c r="K355">
        <f>IF(D355="V01",cad!$I$29,IF(D355="V02",cad!$J$29,cad!$K$29))</f>
        <v/>
      </c>
      <c r="L355">
        <f>IF(D355="V01",cad!$I$30,IF(D355="V02",cad!$J$30,cad!$K$30))</f>
        <v/>
      </c>
      <c r="M355">
        <f>IF(D355="V01",cad!$I$31,IF(D355="V02",cad!$J$31,cad!$K$31))</f>
        <v/>
      </c>
      <c r="N355">
        <f>IF(D355="V01",$R$2,IF(D355="V02",$R$3,$R$4))</f>
        <v/>
      </c>
      <c r="O355">
        <f>IF(OR(B355="7062",B355="706",B355="708"),N355,IF(B355="6231",1+G355,IF(B355="6236",1+H355,IF(OR(B355="621",B355="604",B355="6063"),N355*(1-L355),IF(OR(B355="6411",B355="6413",B355="6414",B355="645"),(1+J355)*(1+K355),IF(OR(B355="613",B355="615",B355="616",B355="6226",B355="625",B355="626",B355="6281"),(1+I355)*(1-L355)*(1+M355),IF(OR(B355="6331",B355="63511",B355="6333"),(1+I355)*(1-L355),IF(B355="6811",1+I355,1))))))))</f>
        <v/>
      </c>
      <c r="P355">
        <f>IF(E355=1,F355*O355,"")</f>
        <v/>
      </c>
    </row>
    <row r="356">
      <c r="A356">
        <f>PNL!A356</f>
        <v/>
      </c>
      <c r="B356">
        <f>PNL!B356</f>
        <v/>
      </c>
      <c r="C356">
        <f>PNL!C356</f>
        <v/>
      </c>
      <c r="D356">
        <f>PNL!D356</f>
        <v/>
      </c>
      <c r="E356">
        <f>IF(AND(C356="2027",OR(D356="V01",D356="V02",D356="V03")),1,0)</f>
        <v/>
      </c>
      <c r="F356">
        <f>IF(E356=1,SUMIFS(Compta!$F$2:$F$675,Compta!$A$2:$A$675,A356,Compta!$B$2:$B$675,B356,Compta!$C$2:$C$675,"2026"),0)</f>
        <v/>
      </c>
      <c r="G356">
        <f>IF(D356="V01",cad!$I$21,IF(D356="V02",cad!$J$21,cad!$K$21))</f>
        <v/>
      </c>
      <c r="H356">
        <f>IF(D356="V01",cad!$I$22,IF(D356="V02",cad!$J$22,cad!$K$22))</f>
        <v/>
      </c>
      <c r="I356">
        <f>IF(D356="V01",cad!$I$27,IF(D356="V02",cad!$J$27,cad!$K$27))</f>
        <v/>
      </c>
      <c r="J356">
        <f>IF(D356="V01",cad!$I$28,IF(D356="V02",cad!$J$28,cad!$K$28))</f>
        <v/>
      </c>
      <c r="K356">
        <f>IF(D356="V01",cad!$I$29,IF(D356="V02",cad!$J$29,cad!$K$29))</f>
        <v/>
      </c>
      <c r="L356">
        <f>IF(D356="V01",cad!$I$30,IF(D356="V02",cad!$J$30,cad!$K$30))</f>
        <v/>
      </c>
      <c r="M356">
        <f>IF(D356="V01",cad!$I$31,IF(D356="V02",cad!$J$31,cad!$K$31))</f>
        <v/>
      </c>
      <c r="N356">
        <f>IF(D356="V01",$R$2,IF(D356="V02",$R$3,$R$4))</f>
        <v/>
      </c>
      <c r="O356">
        <f>IF(OR(B356="7062",B356="706",B356="708"),N356,IF(B356="6231",1+G356,IF(B356="6236",1+H356,IF(OR(B356="621",B356="604",B356="6063"),N356*(1-L356),IF(OR(B356="6411",B356="6413",B356="6414",B356="645"),(1+J356)*(1+K356),IF(OR(B356="613",B356="615",B356="616",B356="6226",B356="625",B356="626",B356="6281"),(1+I356)*(1-L356)*(1+M356),IF(OR(B356="6331",B356="63511",B356="6333"),(1+I356)*(1-L356),IF(B356="6811",1+I356,1))))))))</f>
        <v/>
      </c>
      <c r="P356">
        <f>IF(E356=1,F356*O356,"")</f>
        <v/>
      </c>
    </row>
    <row r="357">
      <c r="A357">
        <f>PNL!A357</f>
        <v/>
      </c>
      <c r="B357">
        <f>PNL!B357</f>
        <v/>
      </c>
      <c r="C357">
        <f>PNL!C357</f>
        <v/>
      </c>
      <c r="D357">
        <f>PNL!D357</f>
        <v/>
      </c>
      <c r="E357">
        <f>IF(AND(C357="2027",OR(D357="V01",D357="V02",D357="V03")),1,0)</f>
        <v/>
      </c>
      <c r="F357">
        <f>IF(E357=1,SUMIFS(Compta!$F$2:$F$675,Compta!$A$2:$A$675,A357,Compta!$B$2:$B$675,B357,Compta!$C$2:$C$675,"2026"),0)</f>
        <v/>
      </c>
      <c r="G357">
        <f>IF(D357="V01",cad!$I$21,IF(D357="V02",cad!$J$21,cad!$K$21))</f>
        <v/>
      </c>
      <c r="H357">
        <f>IF(D357="V01",cad!$I$22,IF(D357="V02",cad!$J$22,cad!$K$22))</f>
        <v/>
      </c>
      <c r="I357">
        <f>IF(D357="V01",cad!$I$27,IF(D357="V02",cad!$J$27,cad!$K$27))</f>
        <v/>
      </c>
      <c r="J357">
        <f>IF(D357="V01",cad!$I$28,IF(D357="V02",cad!$J$28,cad!$K$28))</f>
        <v/>
      </c>
      <c r="K357">
        <f>IF(D357="V01",cad!$I$29,IF(D357="V02",cad!$J$29,cad!$K$29))</f>
        <v/>
      </c>
      <c r="L357">
        <f>IF(D357="V01",cad!$I$30,IF(D357="V02",cad!$J$30,cad!$K$30))</f>
        <v/>
      </c>
      <c r="M357">
        <f>IF(D357="V01",cad!$I$31,IF(D357="V02",cad!$J$31,cad!$K$31))</f>
        <v/>
      </c>
      <c r="N357">
        <f>IF(D357="V01",$R$2,IF(D357="V02",$R$3,$R$4))</f>
        <v/>
      </c>
      <c r="O357">
        <f>IF(OR(B357="7062",B357="706",B357="708"),N357,IF(B357="6231",1+G357,IF(B357="6236",1+H357,IF(OR(B357="621",B357="604",B357="6063"),N357*(1-L357),IF(OR(B357="6411",B357="6413",B357="6414",B357="645"),(1+J357)*(1+K357),IF(OR(B357="613",B357="615",B357="616",B357="6226",B357="625",B357="626",B357="6281"),(1+I357)*(1-L357)*(1+M357),IF(OR(B357="6331",B357="63511",B357="6333"),(1+I357)*(1-L357),IF(B357="6811",1+I357,1))))))))</f>
        <v/>
      </c>
      <c r="P357">
        <f>IF(E357=1,F357*O357,"")</f>
        <v/>
      </c>
    </row>
    <row r="358">
      <c r="A358">
        <f>PNL!A358</f>
        <v/>
      </c>
      <c r="B358">
        <f>PNL!B358</f>
        <v/>
      </c>
      <c r="C358">
        <f>PNL!C358</f>
        <v/>
      </c>
      <c r="D358">
        <f>PNL!D358</f>
        <v/>
      </c>
      <c r="E358">
        <f>IF(AND(C358="2027",OR(D358="V01",D358="V02",D358="V03")),1,0)</f>
        <v/>
      </c>
      <c r="F358">
        <f>IF(E358=1,SUMIFS(Compta!$F$2:$F$675,Compta!$A$2:$A$675,A358,Compta!$B$2:$B$675,B358,Compta!$C$2:$C$675,"2026"),0)</f>
        <v/>
      </c>
      <c r="G358">
        <f>IF(D358="V01",cad!$I$21,IF(D358="V02",cad!$J$21,cad!$K$21))</f>
        <v/>
      </c>
      <c r="H358">
        <f>IF(D358="V01",cad!$I$22,IF(D358="V02",cad!$J$22,cad!$K$22))</f>
        <v/>
      </c>
      <c r="I358">
        <f>IF(D358="V01",cad!$I$27,IF(D358="V02",cad!$J$27,cad!$K$27))</f>
        <v/>
      </c>
      <c r="J358">
        <f>IF(D358="V01",cad!$I$28,IF(D358="V02",cad!$J$28,cad!$K$28))</f>
        <v/>
      </c>
      <c r="K358">
        <f>IF(D358="V01",cad!$I$29,IF(D358="V02",cad!$J$29,cad!$K$29))</f>
        <v/>
      </c>
      <c r="L358">
        <f>IF(D358="V01",cad!$I$30,IF(D358="V02",cad!$J$30,cad!$K$30))</f>
        <v/>
      </c>
      <c r="M358">
        <f>IF(D358="V01",cad!$I$31,IF(D358="V02",cad!$J$31,cad!$K$31))</f>
        <v/>
      </c>
      <c r="N358">
        <f>IF(D358="V01",$R$2,IF(D358="V02",$R$3,$R$4))</f>
        <v/>
      </c>
      <c r="O358">
        <f>IF(OR(B358="7062",B358="706",B358="708"),N358,IF(B358="6231",1+G358,IF(B358="6236",1+H358,IF(OR(B358="621",B358="604",B358="6063"),N358*(1-L358),IF(OR(B358="6411",B358="6413",B358="6414",B358="645"),(1+J358)*(1+K358),IF(OR(B358="613",B358="615",B358="616",B358="6226",B358="625",B358="626",B358="6281"),(1+I358)*(1-L358)*(1+M358),IF(OR(B358="6331",B358="63511",B358="6333"),(1+I358)*(1-L358),IF(B358="6811",1+I358,1))))))))</f>
        <v/>
      </c>
      <c r="P358">
        <f>IF(E358=1,F358*O358,"")</f>
        <v/>
      </c>
    </row>
    <row r="359">
      <c r="A359">
        <f>PNL!A359</f>
        <v/>
      </c>
      <c r="B359">
        <f>PNL!B359</f>
        <v/>
      </c>
      <c r="C359">
        <f>PNL!C359</f>
        <v/>
      </c>
      <c r="D359">
        <f>PNL!D359</f>
        <v/>
      </c>
      <c r="E359">
        <f>IF(AND(C359="2027",OR(D359="V01",D359="V02",D359="V03")),1,0)</f>
        <v/>
      </c>
      <c r="F359">
        <f>IF(E359=1,SUMIFS(Compta!$F$2:$F$675,Compta!$A$2:$A$675,A359,Compta!$B$2:$B$675,B359,Compta!$C$2:$C$675,"2026"),0)</f>
        <v/>
      </c>
      <c r="G359">
        <f>IF(D359="V01",cad!$I$21,IF(D359="V02",cad!$J$21,cad!$K$21))</f>
        <v/>
      </c>
      <c r="H359">
        <f>IF(D359="V01",cad!$I$22,IF(D359="V02",cad!$J$22,cad!$K$22))</f>
        <v/>
      </c>
      <c r="I359">
        <f>IF(D359="V01",cad!$I$27,IF(D359="V02",cad!$J$27,cad!$K$27))</f>
        <v/>
      </c>
      <c r="J359">
        <f>IF(D359="V01",cad!$I$28,IF(D359="V02",cad!$J$28,cad!$K$28))</f>
        <v/>
      </c>
      <c r="K359">
        <f>IF(D359="V01",cad!$I$29,IF(D359="V02",cad!$J$29,cad!$K$29))</f>
        <v/>
      </c>
      <c r="L359">
        <f>IF(D359="V01",cad!$I$30,IF(D359="V02",cad!$J$30,cad!$K$30))</f>
        <v/>
      </c>
      <c r="M359">
        <f>IF(D359="V01",cad!$I$31,IF(D359="V02",cad!$J$31,cad!$K$31))</f>
        <v/>
      </c>
      <c r="N359">
        <f>IF(D359="V01",$R$2,IF(D359="V02",$R$3,$R$4))</f>
        <v/>
      </c>
      <c r="O359">
        <f>IF(OR(B359="7062",B359="706",B359="708"),N359,IF(B359="6231",1+G359,IF(B359="6236",1+H359,IF(OR(B359="621",B359="604",B359="6063"),N359*(1-L359),IF(OR(B359="6411",B359="6413",B359="6414",B359="645"),(1+J359)*(1+K359),IF(OR(B359="613",B359="615",B359="616",B359="6226",B359="625",B359="626",B359="6281"),(1+I359)*(1-L359)*(1+M359),IF(OR(B359="6331",B359="63511",B359="6333"),(1+I359)*(1-L359),IF(B359="6811",1+I359,1))))))))</f>
        <v/>
      </c>
      <c r="P359">
        <f>IF(E359=1,F359*O359,"")</f>
        <v/>
      </c>
    </row>
    <row r="360">
      <c r="A360">
        <f>PNL!A360</f>
        <v/>
      </c>
      <c r="B360">
        <f>PNL!B360</f>
        <v/>
      </c>
      <c r="C360">
        <f>PNL!C360</f>
        <v/>
      </c>
      <c r="D360">
        <f>PNL!D360</f>
        <v/>
      </c>
      <c r="E360">
        <f>IF(AND(C360="2027",OR(D360="V01",D360="V02",D360="V03")),1,0)</f>
        <v/>
      </c>
      <c r="F360">
        <f>IF(E360=1,SUMIFS(Compta!$F$2:$F$675,Compta!$A$2:$A$675,A360,Compta!$B$2:$B$675,B360,Compta!$C$2:$C$675,"2026"),0)</f>
        <v/>
      </c>
      <c r="G360">
        <f>IF(D360="V01",cad!$I$21,IF(D360="V02",cad!$J$21,cad!$K$21))</f>
        <v/>
      </c>
      <c r="H360">
        <f>IF(D360="V01",cad!$I$22,IF(D360="V02",cad!$J$22,cad!$K$22))</f>
        <v/>
      </c>
      <c r="I360">
        <f>IF(D360="V01",cad!$I$27,IF(D360="V02",cad!$J$27,cad!$K$27))</f>
        <v/>
      </c>
      <c r="J360">
        <f>IF(D360="V01",cad!$I$28,IF(D360="V02",cad!$J$28,cad!$K$28))</f>
        <v/>
      </c>
      <c r="K360">
        <f>IF(D360="V01",cad!$I$29,IF(D360="V02",cad!$J$29,cad!$K$29))</f>
        <v/>
      </c>
      <c r="L360">
        <f>IF(D360="V01",cad!$I$30,IF(D360="V02",cad!$J$30,cad!$K$30))</f>
        <v/>
      </c>
      <c r="M360">
        <f>IF(D360="V01",cad!$I$31,IF(D360="V02",cad!$J$31,cad!$K$31))</f>
        <v/>
      </c>
      <c r="N360">
        <f>IF(D360="V01",$R$2,IF(D360="V02",$R$3,$R$4))</f>
        <v/>
      </c>
      <c r="O360">
        <f>IF(OR(B360="7062",B360="706",B360="708"),N360,IF(B360="6231",1+G360,IF(B360="6236",1+H360,IF(OR(B360="621",B360="604",B360="6063"),N360*(1-L360),IF(OR(B360="6411",B360="6413",B360="6414",B360="645"),(1+J360)*(1+K360),IF(OR(B360="613",B360="615",B360="616",B360="6226",B360="625",B360="626",B360="6281"),(1+I360)*(1-L360)*(1+M360),IF(OR(B360="6331",B360="63511",B360="6333"),(1+I360)*(1-L360),IF(B360="6811",1+I360,1))))))))</f>
        <v/>
      </c>
      <c r="P360">
        <f>IF(E360=1,F360*O360,"")</f>
        <v/>
      </c>
    </row>
    <row r="361">
      <c r="A361">
        <f>PNL!A361</f>
        <v/>
      </c>
      <c r="B361">
        <f>PNL!B361</f>
        <v/>
      </c>
      <c r="C361">
        <f>PNL!C361</f>
        <v/>
      </c>
      <c r="D361">
        <f>PNL!D361</f>
        <v/>
      </c>
      <c r="E361">
        <f>IF(AND(C361="2027",OR(D361="V01",D361="V02",D361="V03")),1,0)</f>
        <v/>
      </c>
      <c r="F361">
        <f>IF(E361=1,SUMIFS(Compta!$F$2:$F$675,Compta!$A$2:$A$675,A361,Compta!$B$2:$B$675,B361,Compta!$C$2:$C$675,"2026"),0)</f>
        <v/>
      </c>
      <c r="G361">
        <f>IF(D361="V01",cad!$I$21,IF(D361="V02",cad!$J$21,cad!$K$21))</f>
        <v/>
      </c>
      <c r="H361">
        <f>IF(D361="V01",cad!$I$22,IF(D361="V02",cad!$J$22,cad!$K$22))</f>
        <v/>
      </c>
      <c r="I361">
        <f>IF(D361="V01",cad!$I$27,IF(D361="V02",cad!$J$27,cad!$K$27))</f>
        <v/>
      </c>
      <c r="J361">
        <f>IF(D361="V01",cad!$I$28,IF(D361="V02",cad!$J$28,cad!$K$28))</f>
        <v/>
      </c>
      <c r="K361">
        <f>IF(D361="V01",cad!$I$29,IF(D361="V02",cad!$J$29,cad!$K$29))</f>
        <v/>
      </c>
      <c r="L361">
        <f>IF(D361="V01",cad!$I$30,IF(D361="V02",cad!$J$30,cad!$K$30))</f>
        <v/>
      </c>
      <c r="M361">
        <f>IF(D361="V01",cad!$I$31,IF(D361="V02",cad!$J$31,cad!$K$31))</f>
        <v/>
      </c>
      <c r="N361">
        <f>IF(D361="V01",$R$2,IF(D361="V02",$R$3,$R$4))</f>
        <v/>
      </c>
      <c r="O361">
        <f>IF(OR(B361="7062",B361="706",B361="708"),N361,IF(B361="6231",1+G361,IF(B361="6236",1+H361,IF(OR(B361="621",B361="604",B361="6063"),N361*(1-L361),IF(OR(B361="6411",B361="6413",B361="6414",B361="645"),(1+J361)*(1+K361),IF(OR(B361="613",B361="615",B361="616",B361="6226",B361="625",B361="626",B361="6281"),(1+I361)*(1-L361)*(1+M361),IF(OR(B361="6331",B361="63511",B361="6333"),(1+I361)*(1-L361),IF(B361="6811",1+I361,1))))))))</f>
        <v/>
      </c>
      <c r="P361">
        <f>IF(E361=1,F361*O361,"")</f>
        <v/>
      </c>
    </row>
    <row r="362">
      <c r="A362">
        <f>PNL!A362</f>
        <v/>
      </c>
      <c r="B362">
        <f>PNL!B362</f>
        <v/>
      </c>
      <c r="C362">
        <f>PNL!C362</f>
        <v/>
      </c>
      <c r="D362">
        <f>PNL!D362</f>
        <v/>
      </c>
      <c r="E362">
        <f>IF(AND(C362="2027",OR(D362="V01",D362="V02",D362="V03")),1,0)</f>
        <v/>
      </c>
      <c r="F362">
        <f>IF(E362=1,SUMIFS(Compta!$F$2:$F$675,Compta!$A$2:$A$675,A362,Compta!$B$2:$B$675,B362,Compta!$C$2:$C$675,"2026"),0)</f>
        <v/>
      </c>
      <c r="G362">
        <f>IF(D362="V01",cad!$I$21,IF(D362="V02",cad!$J$21,cad!$K$21))</f>
        <v/>
      </c>
      <c r="H362">
        <f>IF(D362="V01",cad!$I$22,IF(D362="V02",cad!$J$22,cad!$K$22))</f>
        <v/>
      </c>
      <c r="I362">
        <f>IF(D362="V01",cad!$I$27,IF(D362="V02",cad!$J$27,cad!$K$27))</f>
        <v/>
      </c>
      <c r="J362">
        <f>IF(D362="V01",cad!$I$28,IF(D362="V02",cad!$J$28,cad!$K$28))</f>
        <v/>
      </c>
      <c r="K362">
        <f>IF(D362="V01",cad!$I$29,IF(D362="V02",cad!$J$29,cad!$K$29))</f>
        <v/>
      </c>
      <c r="L362">
        <f>IF(D362="V01",cad!$I$30,IF(D362="V02",cad!$J$30,cad!$K$30))</f>
        <v/>
      </c>
      <c r="M362">
        <f>IF(D362="V01",cad!$I$31,IF(D362="V02",cad!$J$31,cad!$K$31))</f>
        <v/>
      </c>
      <c r="N362">
        <f>IF(D362="V01",$R$2,IF(D362="V02",$R$3,$R$4))</f>
        <v/>
      </c>
      <c r="O362">
        <f>IF(OR(B362="7062",B362="706",B362="708"),N362,IF(B362="6231",1+G362,IF(B362="6236",1+H362,IF(OR(B362="621",B362="604",B362="6063"),N362*(1-L362),IF(OR(B362="6411",B362="6413",B362="6414",B362="645"),(1+J362)*(1+K362),IF(OR(B362="613",B362="615",B362="616",B362="6226",B362="625",B362="626",B362="6281"),(1+I362)*(1-L362)*(1+M362),IF(OR(B362="6331",B362="63511",B362="6333"),(1+I362)*(1-L362),IF(B362="6811",1+I362,1))))))))</f>
        <v/>
      </c>
      <c r="P362">
        <f>IF(E362=1,F362*O362,"")</f>
        <v/>
      </c>
    </row>
    <row r="363">
      <c r="A363">
        <f>PNL!A363</f>
        <v/>
      </c>
      <c r="B363">
        <f>PNL!B363</f>
        <v/>
      </c>
      <c r="C363">
        <f>PNL!C363</f>
        <v/>
      </c>
      <c r="D363">
        <f>PNL!D363</f>
        <v/>
      </c>
      <c r="E363">
        <f>IF(AND(C363="2027",OR(D363="V01",D363="V02",D363="V03")),1,0)</f>
        <v/>
      </c>
      <c r="F363">
        <f>IF(E363=1,SUMIFS(Compta!$F$2:$F$675,Compta!$A$2:$A$675,A363,Compta!$B$2:$B$675,B363,Compta!$C$2:$C$675,"2026"),0)</f>
        <v/>
      </c>
      <c r="G363">
        <f>IF(D363="V01",cad!$I$21,IF(D363="V02",cad!$J$21,cad!$K$21))</f>
        <v/>
      </c>
      <c r="H363">
        <f>IF(D363="V01",cad!$I$22,IF(D363="V02",cad!$J$22,cad!$K$22))</f>
        <v/>
      </c>
      <c r="I363">
        <f>IF(D363="V01",cad!$I$27,IF(D363="V02",cad!$J$27,cad!$K$27))</f>
        <v/>
      </c>
      <c r="J363">
        <f>IF(D363="V01",cad!$I$28,IF(D363="V02",cad!$J$28,cad!$K$28))</f>
        <v/>
      </c>
      <c r="K363">
        <f>IF(D363="V01",cad!$I$29,IF(D363="V02",cad!$J$29,cad!$K$29))</f>
        <v/>
      </c>
      <c r="L363">
        <f>IF(D363="V01",cad!$I$30,IF(D363="V02",cad!$J$30,cad!$K$30))</f>
        <v/>
      </c>
      <c r="M363">
        <f>IF(D363="V01",cad!$I$31,IF(D363="V02",cad!$J$31,cad!$K$31))</f>
        <v/>
      </c>
      <c r="N363">
        <f>IF(D363="V01",$R$2,IF(D363="V02",$R$3,$R$4))</f>
        <v/>
      </c>
      <c r="O363">
        <f>IF(OR(B363="7062",B363="706",B363="708"),N363,IF(B363="6231",1+G363,IF(B363="6236",1+H363,IF(OR(B363="621",B363="604",B363="6063"),N363*(1-L363),IF(OR(B363="6411",B363="6413",B363="6414",B363="645"),(1+J363)*(1+K363),IF(OR(B363="613",B363="615",B363="616",B363="6226",B363="625",B363="626",B363="6281"),(1+I363)*(1-L363)*(1+M363),IF(OR(B363="6331",B363="63511",B363="6333"),(1+I363)*(1-L363),IF(B363="6811",1+I363,1))))))))</f>
        <v/>
      </c>
      <c r="P363">
        <f>IF(E363=1,F363*O363,"")</f>
        <v/>
      </c>
    </row>
    <row r="364">
      <c r="A364">
        <f>PNL!A364</f>
        <v/>
      </c>
      <c r="B364">
        <f>PNL!B364</f>
        <v/>
      </c>
      <c r="C364">
        <f>PNL!C364</f>
        <v/>
      </c>
      <c r="D364">
        <f>PNL!D364</f>
        <v/>
      </c>
      <c r="E364">
        <f>IF(AND(C364="2027",OR(D364="V01",D364="V02",D364="V03")),1,0)</f>
        <v/>
      </c>
      <c r="F364">
        <f>IF(E364=1,SUMIFS(Compta!$F$2:$F$675,Compta!$A$2:$A$675,A364,Compta!$B$2:$B$675,B364,Compta!$C$2:$C$675,"2026"),0)</f>
        <v/>
      </c>
      <c r="G364">
        <f>IF(D364="V01",cad!$I$21,IF(D364="V02",cad!$J$21,cad!$K$21))</f>
        <v/>
      </c>
      <c r="H364">
        <f>IF(D364="V01",cad!$I$22,IF(D364="V02",cad!$J$22,cad!$K$22))</f>
        <v/>
      </c>
      <c r="I364">
        <f>IF(D364="V01",cad!$I$27,IF(D364="V02",cad!$J$27,cad!$K$27))</f>
        <v/>
      </c>
      <c r="J364">
        <f>IF(D364="V01",cad!$I$28,IF(D364="V02",cad!$J$28,cad!$K$28))</f>
        <v/>
      </c>
      <c r="K364">
        <f>IF(D364="V01",cad!$I$29,IF(D364="V02",cad!$J$29,cad!$K$29))</f>
        <v/>
      </c>
      <c r="L364">
        <f>IF(D364="V01",cad!$I$30,IF(D364="V02",cad!$J$30,cad!$K$30))</f>
        <v/>
      </c>
      <c r="M364">
        <f>IF(D364="V01",cad!$I$31,IF(D364="V02",cad!$J$31,cad!$K$31))</f>
        <v/>
      </c>
      <c r="N364">
        <f>IF(D364="V01",$R$2,IF(D364="V02",$R$3,$R$4))</f>
        <v/>
      </c>
      <c r="O364">
        <f>IF(OR(B364="7062",B364="706",B364="708"),N364,IF(B364="6231",1+G364,IF(B364="6236",1+H364,IF(OR(B364="621",B364="604",B364="6063"),N364*(1-L364),IF(OR(B364="6411",B364="6413",B364="6414",B364="645"),(1+J364)*(1+K364),IF(OR(B364="613",B364="615",B364="616",B364="6226",B364="625",B364="626",B364="6281"),(1+I364)*(1-L364)*(1+M364),IF(OR(B364="6331",B364="63511",B364="6333"),(1+I364)*(1-L364),IF(B364="6811",1+I364,1))))))))</f>
        <v/>
      </c>
      <c r="P364">
        <f>IF(E364=1,F364*O364,"")</f>
        <v/>
      </c>
    </row>
    <row r="365">
      <c r="A365">
        <f>PNL!A365</f>
        <v/>
      </c>
      <c r="B365">
        <f>PNL!B365</f>
        <v/>
      </c>
      <c r="C365">
        <f>PNL!C365</f>
        <v/>
      </c>
      <c r="D365">
        <f>PNL!D365</f>
        <v/>
      </c>
      <c r="E365">
        <f>IF(AND(C365="2027",OR(D365="V01",D365="V02",D365="V03")),1,0)</f>
        <v/>
      </c>
      <c r="F365">
        <f>IF(E365=1,SUMIFS(Compta!$F$2:$F$675,Compta!$A$2:$A$675,A365,Compta!$B$2:$B$675,B365,Compta!$C$2:$C$675,"2026"),0)</f>
        <v/>
      </c>
      <c r="G365">
        <f>IF(D365="V01",cad!$I$21,IF(D365="V02",cad!$J$21,cad!$K$21))</f>
        <v/>
      </c>
      <c r="H365">
        <f>IF(D365="V01",cad!$I$22,IF(D365="V02",cad!$J$22,cad!$K$22))</f>
        <v/>
      </c>
      <c r="I365">
        <f>IF(D365="V01",cad!$I$27,IF(D365="V02",cad!$J$27,cad!$K$27))</f>
        <v/>
      </c>
      <c r="J365">
        <f>IF(D365="V01",cad!$I$28,IF(D365="V02",cad!$J$28,cad!$K$28))</f>
        <v/>
      </c>
      <c r="K365">
        <f>IF(D365="V01",cad!$I$29,IF(D365="V02",cad!$J$29,cad!$K$29))</f>
        <v/>
      </c>
      <c r="L365">
        <f>IF(D365="V01",cad!$I$30,IF(D365="V02",cad!$J$30,cad!$K$30))</f>
        <v/>
      </c>
      <c r="M365">
        <f>IF(D365="V01",cad!$I$31,IF(D365="V02",cad!$J$31,cad!$K$31))</f>
        <v/>
      </c>
      <c r="N365">
        <f>IF(D365="V01",$R$2,IF(D365="V02",$R$3,$R$4))</f>
        <v/>
      </c>
      <c r="O365">
        <f>IF(OR(B365="7062",B365="706",B365="708"),N365,IF(B365="6231",1+G365,IF(B365="6236",1+H365,IF(OR(B365="621",B365="604",B365="6063"),N365*(1-L365),IF(OR(B365="6411",B365="6413",B365="6414",B365="645"),(1+J365)*(1+K365),IF(OR(B365="613",B365="615",B365="616",B365="6226",B365="625",B365="626",B365="6281"),(1+I365)*(1-L365)*(1+M365),IF(OR(B365="6331",B365="63511",B365="6333"),(1+I365)*(1-L365),IF(B365="6811",1+I365,1))))))))</f>
        <v/>
      </c>
      <c r="P365">
        <f>IF(E365=1,F365*O365,"")</f>
        <v/>
      </c>
    </row>
    <row r="366">
      <c r="A366">
        <f>PNL!A366</f>
        <v/>
      </c>
      <c r="B366">
        <f>PNL!B366</f>
        <v/>
      </c>
      <c r="C366">
        <f>PNL!C366</f>
        <v/>
      </c>
      <c r="D366">
        <f>PNL!D366</f>
        <v/>
      </c>
      <c r="E366">
        <f>IF(AND(C366="2027",OR(D366="V01",D366="V02",D366="V03")),1,0)</f>
        <v/>
      </c>
      <c r="F366">
        <f>IF(E366=1,SUMIFS(Compta!$F$2:$F$675,Compta!$A$2:$A$675,A366,Compta!$B$2:$B$675,B366,Compta!$C$2:$C$675,"2026"),0)</f>
        <v/>
      </c>
      <c r="G366">
        <f>IF(D366="V01",cad!$I$21,IF(D366="V02",cad!$J$21,cad!$K$21))</f>
        <v/>
      </c>
      <c r="H366">
        <f>IF(D366="V01",cad!$I$22,IF(D366="V02",cad!$J$22,cad!$K$22))</f>
        <v/>
      </c>
      <c r="I366">
        <f>IF(D366="V01",cad!$I$27,IF(D366="V02",cad!$J$27,cad!$K$27))</f>
        <v/>
      </c>
      <c r="J366">
        <f>IF(D366="V01",cad!$I$28,IF(D366="V02",cad!$J$28,cad!$K$28))</f>
        <v/>
      </c>
      <c r="K366">
        <f>IF(D366="V01",cad!$I$29,IF(D366="V02",cad!$J$29,cad!$K$29))</f>
        <v/>
      </c>
      <c r="L366">
        <f>IF(D366="V01",cad!$I$30,IF(D366="V02",cad!$J$30,cad!$K$30))</f>
        <v/>
      </c>
      <c r="M366">
        <f>IF(D366="V01",cad!$I$31,IF(D366="V02",cad!$J$31,cad!$K$31))</f>
        <v/>
      </c>
      <c r="N366">
        <f>IF(D366="V01",$R$2,IF(D366="V02",$R$3,$R$4))</f>
        <v/>
      </c>
      <c r="O366">
        <f>IF(OR(B366="7062",B366="706",B366="708"),N366,IF(B366="6231",1+G366,IF(B366="6236",1+H366,IF(OR(B366="621",B366="604",B366="6063"),N366*(1-L366),IF(OR(B366="6411",B366="6413",B366="6414",B366="645"),(1+J366)*(1+K366),IF(OR(B366="613",B366="615",B366="616",B366="6226",B366="625",B366="626",B366="6281"),(1+I366)*(1-L366)*(1+M366),IF(OR(B366="6331",B366="63511",B366="6333"),(1+I366)*(1-L366),IF(B366="6811",1+I366,1))))))))</f>
        <v/>
      </c>
      <c r="P366">
        <f>IF(E366=1,F366*O366,"")</f>
        <v/>
      </c>
    </row>
    <row r="367">
      <c r="A367">
        <f>PNL!A367</f>
        <v/>
      </c>
      <c r="B367">
        <f>PNL!B367</f>
        <v/>
      </c>
      <c r="C367">
        <f>PNL!C367</f>
        <v/>
      </c>
      <c r="D367">
        <f>PNL!D367</f>
        <v/>
      </c>
      <c r="E367">
        <f>IF(AND(C367="2027",OR(D367="V01",D367="V02",D367="V03")),1,0)</f>
        <v/>
      </c>
      <c r="F367">
        <f>IF(E367=1,SUMIFS(Compta!$F$2:$F$675,Compta!$A$2:$A$675,A367,Compta!$B$2:$B$675,B367,Compta!$C$2:$C$675,"2026"),0)</f>
        <v/>
      </c>
      <c r="G367">
        <f>IF(D367="V01",cad!$I$21,IF(D367="V02",cad!$J$21,cad!$K$21))</f>
        <v/>
      </c>
      <c r="H367">
        <f>IF(D367="V01",cad!$I$22,IF(D367="V02",cad!$J$22,cad!$K$22))</f>
        <v/>
      </c>
      <c r="I367">
        <f>IF(D367="V01",cad!$I$27,IF(D367="V02",cad!$J$27,cad!$K$27))</f>
        <v/>
      </c>
      <c r="J367">
        <f>IF(D367="V01",cad!$I$28,IF(D367="V02",cad!$J$28,cad!$K$28))</f>
        <v/>
      </c>
      <c r="K367">
        <f>IF(D367="V01",cad!$I$29,IF(D367="V02",cad!$J$29,cad!$K$29))</f>
        <v/>
      </c>
      <c r="L367">
        <f>IF(D367="V01",cad!$I$30,IF(D367="V02",cad!$J$30,cad!$K$30))</f>
        <v/>
      </c>
      <c r="M367">
        <f>IF(D367="V01",cad!$I$31,IF(D367="V02",cad!$J$31,cad!$K$31))</f>
        <v/>
      </c>
      <c r="N367">
        <f>IF(D367="V01",$R$2,IF(D367="V02",$R$3,$R$4))</f>
        <v/>
      </c>
      <c r="O367">
        <f>IF(OR(B367="7062",B367="706",B367="708"),N367,IF(B367="6231",1+G367,IF(B367="6236",1+H367,IF(OR(B367="621",B367="604",B367="6063"),N367*(1-L367),IF(OR(B367="6411",B367="6413",B367="6414",B367="645"),(1+J367)*(1+K367),IF(OR(B367="613",B367="615",B367="616",B367="6226",B367="625",B367="626",B367="6281"),(1+I367)*(1-L367)*(1+M367),IF(OR(B367="6331",B367="63511",B367="6333"),(1+I367)*(1-L367),IF(B367="6811",1+I367,1))))))))</f>
        <v/>
      </c>
      <c r="P367">
        <f>IF(E367=1,F367*O367,"")</f>
        <v/>
      </c>
    </row>
    <row r="368">
      <c r="A368">
        <f>PNL!A368</f>
        <v/>
      </c>
      <c r="B368">
        <f>PNL!B368</f>
        <v/>
      </c>
      <c r="C368">
        <f>PNL!C368</f>
        <v/>
      </c>
      <c r="D368">
        <f>PNL!D368</f>
        <v/>
      </c>
      <c r="E368">
        <f>IF(AND(C368="2027",OR(D368="V01",D368="V02",D368="V03")),1,0)</f>
        <v/>
      </c>
      <c r="F368">
        <f>IF(E368=1,SUMIFS(Compta!$F$2:$F$675,Compta!$A$2:$A$675,A368,Compta!$B$2:$B$675,B368,Compta!$C$2:$C$675,"2026"),0)</f>
        <v/>
      </c>
      <c r="G368">
        <f>IF(D368="V01",cad!$I$21,IF(D368="V02",cad!$J$21,cad!$K$21))</f>
        <v/>
      </c>
      <c r="H368">
        <f>IF(D368="V01",cad!$I$22,IF(D368="V02",cad!$J$22,cad!$K$22))</f>
        <v/>
      </c>
      <c r="I368">
        <f>IF(D368="V01",cad!$I$27,IF(D368="V02",cad!$J$27,cad!$K$27))</f>
        <v/>
      </c>
      <c r="J368">
        <f>IF(D368="V01",cad!$I$28,IF(D368="V02",cad!$J$28,cad!$K$28))</f>
        <v/>
      </c>
      <c r="K368">
        <f>IF(D368="V01",cad!$I$29,IF(D368="V02",cad!$J$29,cad!$K$29))</f>
        <v/>
      </c>
      <c r="L368">
        <f>IF(D368="V01",cad!$I$30,IF(D368="V02",cad!$J$30,cad!$K$30))</f>
        <v/>
      </c>
      <c r="M368">
        <f>IF(D368="V01",cad!$I$31,IF(D368="V02",cad!$J$31,cad!$K$31))</f>
        <v/>
      </c>
      <c r="N368">
        <f>IF(D368="V01",$R$2,IF(D368="V02",$R$3,$R$4))</f>
        <v/>
      </c>
      <c r="O368">
        <f>IF(OR(B368="7062",B368="706",B368="708"),N368,IF(B368="6231",1+G368,IF(B368="6236",1+H368,IF(OR(B368="621",B368="604",B368="6063"),N368*(1-L368),IF(OR(B368="6411",B368="6413",B368="6414",B368="645"),(1+J368)*(1+K368),IF(OR(B368="613",B368="615",B368="616",B368="6226",B368="625",B368="626",B368="6281"),(1+I368)*(1-L368)*(1+M368),IF(OR(B368="6331",B368="63511",B368="6333"),(1+I368)*(1-L368),IF(B368="6811",1+I368,1))))))))</f>
        <v/>
      </c>
      <c r="P368">
        <f>IF(E368=1,F368*O368,"")</f>
        <v/>
      </c>
    </row>
    <row r="369">
      <c r="A369">
        <f>PNL!A369</f>
        <v/>
      </c>
      <c r="B369">
        <f>PNL!B369</f>
        <v/>
      </c>
      <c r="C369">
        <f>PNL!C369</f>
        <v/>
      </c>
      <c r="D369">
        <f>PNL!D369</f>
        <v/>
      </c>
      <c r="E369">
        <f>IF(AND(C369="2027",OR(D369="V01",D369="V02",D369="V03")),1,0)</f>
        <v/>
      </c>
      <c r="F369">
        <f>IF(E369=1,SUMIFS(Compta!$F$2:$F$675,Compta!$A$2:$A$675,A369,Compta!$B$2:$B$675,B369,Compta!$C$2:$C$675,"2026"),0)</f>
        <v/>
      </c>
      <c r="G369">
        <f>IF(D369="V01",cad!$I$21,IF(D369="V02",cad!$J$21,cad!$K$21))</f>
        <v/>
      </c>
      <c r="H369">
        <f>IF(D369="V01",cad!$I$22,IF(D369="V02",cad!$J$22,cad!$K$22))</f>
        <v/>
      </c>
      <c r="I369">
        <f>IF(D369="V01",cad!$I$27,IF(D369="V02",cad!$J$27,cad!$K$27))</f>
        <v/>
      </c>
      <c r="J369">
        <f>IF(D369="V01",cad!$I$28,IF(D369="V02",cad!$J$28,cad!$K$28))</f>
        <v/>
      </c>
      <c r="K369">
        <f>IF(D369="V01",cad!$I$29,IF(D369="V02",cad!$J$29,cad!$K$29))</f>
        <v/>
      </c>
      <c r="L369">
        <f>IF(D369="V01",cad!$I$30,IF(D369="V02",cad!$J$30,cad!$K$30))</f>
        <v/>
      </c>
      <c r="M369">
        <f>IF(D369="V01",cad!$I$31,IF(D369="V02",cad!$J$31,cad!$K$31))</f>
        <v/>
      </c>
      <c r="N369">
        <f>IF(D369="V01",$R$2,IF(D369="V02",$R$3,$R$4))</f>
        <v/>
      </c>
      <c r="O369">
        <f>IF(OR(B369="7062",B369="706",B369="708"),N369,IF(B369="6231",1+G369,IF(B369="6236",1+H369,IF(OR(B369="621",B369="604",B369="6063"),N369*(1-L369),IF(OR(B369="6411",B369="6413",B369="6414",B369="645"),(1+J369)*(1+K369),IF(OR(B369="613",B369="615",B369="616",B369="6226",B369="625",B369="626",B369="6281"),(1+I369)*(1-L369)*(1+M369),IF(OR(B369="6331",B369="63511",B369="6333"),(1+I369)*(1-L369),IF(B369="6811",1+I369,1))))))))</f>
        <v/>
      </c>
      <c r="P369">
        <f>IF(E369=1,F369*O369,"")</f>
        <v/>
      </c>
    </row>
    <row r="370">
      <c r="A370">
        <f>PNL!A370</f>
        <v/>
      </c>
      <c r="B370">
        <f>PNL!B370</f>
        <v/>
      </c>
      <c r="C370">
        <f>PNL!C370</f>
        <v/>
      </c>
      <c r="D370">
        <f>PNL!D370</f>
        <v/>
      </c>
      <c r="E370">
        <f>IF(AND(C370="2027",OR(D370="V01",D370="V02",D370="V03")),1,0)</f>
        <v/>
      </c>
      <c r="F370">
        <f>IF(E370=1,SUMIFS(Compta!$F$2:$F$675,Compta!$A$2:$A$675,A370,Compta!$B$2:$B$675,B370,Compta!$C$2:$C$675,"2026"),0)</f>
        <v/>
      </c>
      <c r="G370">
        <f>IF(D370="V01",cad!$I$21,IF(D370="V02",cad!$J$21,cad!$K$21))</f>
        <v/>
      </c>
      <c r="H370">
        <f>IF(D370="V01",cad!$I$22,IF(D370="V02",cad!$J$22,cad!$K$22))</f>
        <v/>
      </c>
      <c r="I370">
        <f>IF(D370="V01",cad!$I$27,IF(D370="V02",cad!$J$27,cad!$K$27))</f>
        <v/>
      </c>
      <c r="J370">
        <f>IF(D370="V01",cad!$I$28,IF(D370="V02",cad!$J$28,cad!$K$28))</f>
        <v/>
      </c>
      <c r="K370">
        <f>IF(D370="V01",cad!$I$29,IF(D370="V02",cad!$J$29,cad!$K$29))</f>
        <v/>
      </c>
      <c r="L370">
        <f>IF(D370="V01",cad!$I$30,IF(D370="V02",cad!$J$30,cad!$K$30))</f>
        <v/>
      </c>
      <c r="M370">
        <f>IF(D370="V01",cad!$I$31,IF(D370="V02",cad!$J$31,cad!$K$31))</f>
        <v/>
      </c>
      <c r="N370">
        <f>IF(D370="V01",$R$2,IF(D370="V02",$R$3,$R$4))</f>
        <v/>
      </c>
      <c r="O370">
        <f>IF(OR(B370="7062",B370="706",B370="708"),N370,IF(B370="6231",1+G370,IF(B370="6236",1+H370,IF(OR(B370="621",B370="604",B370="6063"),N370*(1-L370),IF(OR(B370="6411",B370="6413",B370="6414",B370="645"),(1+J370)*(1+K370),IF(OR(B370="613",B370="615",B370="616",B370="6226",B370="625",B370="626",B370="6281"),(1+I370)*(1-L370)*(1+M370),IF(OR(B370="6331",B370="63511",B370="6333"),(1+I370)*(1-L370),IF(B370="6811",1+I370,1))))))))</f>
        <v/>
      </c>
      <c r="P370">
        <f>IF(E370=1,F370*O370,"")</f>
        <v/>
      </c>
    </row>
    <row r="371">
      <c r="A371">
        <f>PNL!A371</f>
        <v/>
      </c>
      <c r="B371">
        <f>PNL!B371</f>
        <v/>
      </c>
      <c r="C371">
        <f>PNL!C371</f>
        <v/>
      </c>
      <c r="D371">
        <f>PNL!D371</f>
        <v/>
      </c>
      <c r="E371">
        <f>IF(AND(C371="2027",OR(D371="V01",D371="V02",D371="V03")),1,0)</f>
        <v/>
      </c>
      <c r="F371">
        <f>IF(E371=1,SUMIFS(Compta!$F$2:$F$675,Compta!$A$2:$A$675,A371,Compta!$B$2:$B$675,B371,Compta!$C$2:$C$675,"2026"),0)</f>
        <v/>
      </c>
      <c r="G371">
        <f>IF(D371="V01",cad!$I$21,IF(D371="V02",cad!$J$21,cad!$K$21))</f>
        <v/>
      </c>
      <c r="H371">
        <f>IF(D371="V01",cad!$I$22,IF(D371="V02",cad!$J$22,cad!$K$22))</f>
        <v/>
      </c>
      <c r="I371">
        <f>IF(D371="V01",cad!$I$27,IF(D371="V02",cad!$J$27,cad!$K$27))</f>
        <v/>
      </c>
      <c r="J371">
        <f>IF(D371="V01",cad!$I$28,IF(D371="V02",cad!$J$28,cad!$K$28))</f>
        <v/>
      </c>
      <c r="K371">
        <f>IF(D371="V01",cad!$I$29,IF(D371="V02",cad!$J$29,cad!$K$29))</f>
        <v/>
      </c>
      <c r="L371">
        <f>IF(D371="V01",cad!$I$30,IF(D371="V02",cad!$J$30,cad!$K$30))</f>
        <v/>
      </c>
      <c r="M371">
        <f>IF(D371="V01",cad!$I$31,IF(D371="V02",cad!$J$31,cad!$K$31))</f>
        <v/>
      </c>
      <c r="N371">
        <f>IF(D371="V01",$R$2,IF(D371="V02",$R$3,$R$4))</f>
        <v/>
      </c>
      <c r="O371">
        <f>IF(OR(B371="7062",B371="706",B371="708"),N371,IF(B371="6231",1+G371,IF(B371="6236",1+H371,IF(OR(B371="621",B371="604",B371="6063"),N371*(1-L371),IF(OR(B371="6411",B371="6413",B371="6414",B371="645"),(1+J371)*(1+K371),IF(OR(B371="613",B371="615",B371="616",B371="6226",B371="625",B371="626",B371="6281"),(1+I371)*(1-L371)*(1+M371),IF(OR(B371="6331",B371="63511",B371="6333"),(1+I371)*(1-L371),IF(B371="6811",1+I371,1))))))))</f>
        <v/>
      </c>
      <c r="P371">
        <f>IF(E371=1,F371*O371,"")</f>
        <v/>
      </c>
    </row>
    <row r="372">
      <c r="A372">
        <f>PNL!A372</f>
        <v/>
      </c>
      <c r="B372">
        <f>PNL!B372</f>
        <v/>
      </c>
      <c r="C372">
        <f>PNL!C372</f>
        <v/>
      </c>
      <c r="D372">
        <f>PNL!D372</f>
        <v/>
      </c>
      <c r="E372">
        <f>IF(AND(C372="2027",OR(D372="V01",D372="V02",D372="V03")),1,0)</f>
        <v/>
      </c>
      <c r="F372">
        <f>IF(E372=1,SUMIFS(Compta!$F$2:$F$675,Compta!$A$2:$A$675,A372,Compta!$B$2:$B$675,B372,Compta!$C$2:$C$675,"2026"),0)</f>
        <v/>
      </c>
      <c r="G372">
        <f>IF(D372="V01",cad!$I$21,IF(D372="V02",cad!$J$21,cad!$K$21))</f>
        <v/>
      </c>
      <c r="H372">
        <f>IF(D372="V01",cad!$I$22,IF(D372="V02",cad!$J$22,cad!$K$22))</f>
        <v/>
      </c>
      <c r="I372">
        <f>IF(D372="V01",cad!$I$27,IF(D372="V02",cad!$J$27,cad!$K$27))</f>
        <v/>
      </c>
      <c r="J372">
        <f>IF(D372="V01",cad!$I$28,IF(D372="V02",cad!$J$28,cad!$K$28))</f>
        <v/>
      </c>
      <c r="K372">
        <f>IF(D372="V01",cad!$I$29,IF(D372="V02",cad!$J$29,cad!$K$29))</f>
        <v/>
      </c>
      <c r="L372">
        <f>IF(D372="V01",cad!$I$30,IF(D372="V02",cad!$J$30,cad!$K$30))</f>
        <v/>
      </c>
      <c r="M372">
        <f>IF(D372="V01",cad!$I$31,IF(D372="V02",cad!$J$31,cad!$K$31))</f>
        <v/>
      </c>
      <c r="N372">
        <f>IF(D372="V01",$R$2,IF(D372="V02",$R$3,$R$4))</f>
        <v/>
      </c>
      <c r="O372">
        <f>IF(OR(B372="7062",B372="706",B372="708"),N372,IF(B372="6231",1+G372,IF(B372="6236",1+H372,IF(OR(B372="621",B372="604",B372="6063"),N372*(1-L372),IF(OR(B372="6411",B372="6413",B372="6414",B372="645"),(1+J372)*(1+K372),IF(OR(B372="613",B372="615",B372="616",B372="6226",B372="625",B372="626",B372="6281"),(1+I372)*(1-L372)*(1+M372),IF(OR(B372="6331",B372="63511",B372="6333"),(1+I372)*(1-L372),IF(B372="6811",1+I372,1))))))))</f>
        <v/>
      </c>
      <c r="P372">
        <f>IF(E372=1,F372*O372,"")</f>
        <v/>
      </c>
    </row>
    <row r="373">
      <c r="A373">
        <f>PNL!A373</f>
        <v/>
      </c>
      <c r="B373">
        <f>PNL!B373</f>
        <v/>
      </c>
      <c r="C373">
        <f>PNL!C373</f>
        <v/>
      </c>
      <c r="D373">
        <f>PNL!D373</f>
        <v/>
      </c>
      <c r="E373">
        <f>IF(AND(C373="2027",OR(D373="V01",D373="V02",D373="V03")),1,0)</f>
        <v/>
      </c>
      <c r="F373">
        <f>IF(E373=1,SUMIFS(Compta!$F$2:$F$675,Compta!$A$2:$A$675,A373,Compta!$B$2:$B$675,B373,Compta!$C$2:$C$675,"2026"),0)</f>
        <v/>
      </c>
      <c r="G373">
        <f>IF(D373="V01",cad!$I$21,IF(D373="V02",cad!$J$21,cad!$K$21))</f>
        <v/>
      </c>
      <c r="H373">
        <f>IF(D373="V01",cad!$I$22,IF(D373="V02",cad!$J$22,cad!$K$22))</f>
        <v/>
      </c>
      <c r="I373">
        <f>IF(D373="V01",cad!$I$27,IF(D373="V02",cad!$J$27,cad!$K$27))</f>
        <v/>
      </c>
      <c r="J373">
        <f>IF(D373="V01",cad!$I$28,IF(D373="V02",cad!$J$28,cad!$K$28))</f>
        <v/>
      </c>
      <c r="K373">
        <f>IF(D373="V01",cad!$I$29,IF(D373="V02",cad!$J$29,cad!$K$29))</f>
        <v/>
      </c>
      <c r="L373">
        <f>IF(D373="V01",cad!$I$30,IF(D373="V02",cad!$J$30,cad!$K$30))</f>
        <v/>
      </c>
      <c r="M373">
        <f>IF(D373="V01",cad!$I$31,IF(D373="V02",cad!$J$31,cad!$K$31))</f>
        <v/>
      </c>
      <c r="N373">
        <f>IF(D373="V01",$R$2,IF(D373="V02",$R$3,$R$4))</f>
        <v/>
      </c>
      <c r="O373">
        <f>IF(OR(B373="7062",B373="706",B373="708"),N373,IF(B373="6231",1+G373,IF(B373="6236",1+H373,IF(OR(B373="621",B373="604",B373="6063"),N373*(1-L373),IF(OR(B373="6411",B373="6413",B373="6414",B373="645"),(1+J373)*(1+K373),IF(OR(B373="613",B373="615",B373="616",B373="6226",B373="625",B373="626",B373="6281"),(1+I373)*(1-L373)*(1+M373),IF(OR(B373="6331",B373="63511",B373="6333"),(1+I373)*(1-L373),IF(B373="6811",1+I373,1))))))))</f>
        <v/>
      </c>
      <c r="P373">
        <f>IF(E373=1,F373*O373,"")</f>
        <v/>
      </c>
    </row>
    <row r="374">
      <c r="A374">
        <f>PNL!A374</f>
        <v/>
      </c>
      <c r="B374">
        <f>PNL!B374</f>
        <v/>
      </c>
      <c r="C374">
        <f>PNL!C374</f>
        <v/>
      </c>
      <c r="D374">
        <f>PNL!D374</f>
        <v/>
      </c>
      <c r="E374">
        <f>IF(AND(C374="2027",OR(D374="V01",D374="V02",D374="V03")),1,0)</f>
        <v/>
      </c>
      <c r="F374">
        <f>IF(E374=1,SUMIFS(Compta!$F$2:$F$675,Compta!$A$2:$A$675,A374,Compta!$B$2:$B$675,B374,Compta!$C$2:$C$675,"2026"),0)</f>
        <v/>
      </c>
      <c r="G374">
        <f>IF(D374="V01",cad!$I$21,IF(D374="V02",cad!$J$21,cad!$K$21))</f>
        <v/>
      </c>
      <c r="H374">
        <f>IF(D374="V01",cad!$I$22,IF(D374="V02",cad!$J$22,cad!$K$22))</f>
        <v/>
      </c>
      <c r="I374">
        <f>IF(D374="V01",cad!$I$27,IF(D374="V02",cad!$J$27,cad!$K$27))</f>
        <v/>
      </c>
      <c r="J374">
        <f>IF(D374="V01",cad!$I$28,IF(D374="V02",cad!$J$28,cad!$K$28))</f>
        <v/>
      </c>
      <c r="K374">
        <f>IF(D374="V01",cad!$I$29,IF(D374="V02",cad!$J$29,cad!$K$29))</f>
        <v/>
      </c>
      <c r="L374">
        <f>IF(D374="V01",cad!$I$30,IF(D374="V02",cad!$J$30,cad!$K$30))</f>
        <v/>
      </c>
      <c r="M374">
        <f>IF(D374="V01",cad!$I$31,IF(D374="V02",cad!$J$31,cad!$K$31))</f>
        <v/>
      </c>
      <c r="N374">
        <f>IF(D374="V01",$R$2,IF(D374="V02",$R$3,$R$4))</f>
        <v/>
      </c>
      <c r="O374">
        <f>IF(OR(B374="7062",B374="706",B374="708"),N374,IF(B374="6231",1+G374,IF(B374="6236",1+H374,IF(OR(B374="621",B374="604",B374="6063"),N374*(1-L374),IF(OR(B374="6411",B374="6413",B374="6414",B374="645"),(1+J374)*(1+K374),IF(OR(B374="613",B374="615",B374="616",B374="6226",B374="625",B374="626",B374="6281"),(1+I374)*(1-L374)*(1+M374),IF(OR(B374="6331",B374="63511",B374="6333"),(1+I374)*(1-L374),IF(B374="6811",1+I374,1))))))))</f>
        <v/>
      </c>
      <c r="P374">
        <f>IF(E374=1,F374*O374,"")</f>
        <v/>
      </c>
    </row>
    <row r="375">
      <c r="A375">
        <f>PNL!A375</f>
        <v/>
      </c>
      <c r="B375">
        <f>PNL!B375</f>
        <v/>
      </c>
      <c r="C375">
        <f>PNL!C375</f>
        <v/>
      </c>
      <c r="D375">
        <f>PNL!D375</f>
        <v/>
      </c>
      <c r="E375">
        <f>IF(AND(C375="2027",OR(D375="V01",D375="V02",D375="V03")),1,0)</f>
        <v/>
      </c>
      <c r="F375">
        <f>IF(E375=1,SUMIFS(Compta!$F$2:$F$675,Compta!$A$2:$A$675,A375,Compta!$B$2:$B$675,B375,Compta!$C$2:$C$675,"2026"),0)</f>
        <v/>
      </c>
      <c r="G375">
        <f>IF(D375="V01",cad!$I$21,IF(D375="V02",cad!$J$21,cad!$K$21))</f>
        <v/>
      </c>
      <c r="H375">
        <f>IF(D375="V01",cad!$I$22,IF(D375="V02",cad!$J$22,cad!$K$22))</f>
        <v/>
      </c>
      <c r="I375">
        <f>IF(D375="V01",cad!$I$27,IF(D375="V02",cad!$J$27,cad!$K$27))</f>
        <v/>
      </c>
      <c r="J375">
        <f>IF(D375="V01",cad!$I$28,IF(D375="V02",cad!$J$28,cad!$K$28))</f>
        <v/>
      </c>
      <c r="K375">
        <f>IF(D375="V01",cad!$I$29,IF(D375="V02",cad!$J$29,cad!$K$29))</f>
        <v/>
      </c>
      <c r="L375">
        <f>IF(D375="V01",cad!$I$30,IF(D375="V02",cad!$J$30,cad!$K$30))</f>
        <v/>
      </c>
      <c r="M375">
        <f>IF(D375="V01",cad!$I$31,IF(D375="V02",cad!$J$31,cad!$K$31))</f>
        <v/>
      </c>
      <c r="N375">
        <f>IF(D375="V01",$R$2,IF(D375="V02",$R$3,$R$4))</f>
        <v/>
      </c>
      <c r="O375">
        <f>IF(OR(B375="7062",B375="706",B375="708"),N375,IF(B375="6231",1+G375,IF(B375="6236",1+H375,IF(OR(B375="621",B375="604",B375="6063"),N375*(1-L375),IF(OR(B375="6411",B375="6413",B375="6414",B375="645"),(1+J375)*(1+K375),IF(OR(B375="613",B375="615",B375="616",B375="6226",B375="625",B375="626",B375="6281"),(1+I375)*(1-L375)*(1+M375),IF(OR(B375="6331",B375="63511",B375="6333"),(1+I375)*(1-L375),IF(B375="6811",1+I375,1))))))))</f>
        <v/>
      </c>
      <c r="P375">
        <f>IF(E375=1,F375*O375,"")</f>
        <v/>
      </c>
    </row>
    <row r="376">
      <c r="A376">
        <f>PNL!A376</f>
        <v/>
      </c>
      <c r="B376">
        <f>PNL!B376</f>
        <v/>
      </c>
      <c r="C376">
        <f>PNL!C376</f>
        <v/>
      </c>
      <c r="D376">
        <f>PNL!D376</f>
        <v/>
      </c>
      <c r="E376">
        <f>IF(AND(C376="2027",OR(D376="V01",D376="V02",D376="V03")),1,0)</f>
        <v/>
      </c>
      <c r="F376">
        <f>IF(E376=1,SUMIFS(Compta!$F$2:$F$675,Compta!$A$2:$A$675,A376,Compta!$B$2:$B$675,B376,Compta!$C$2:$C$675,"2026"),0)</f>
        <v/>
      </c>
      <c r="G376">
        <f>IF(D376="V01",cad!$I$21,IF(D376="V02",cad!$J$21,cad!$K$21))</f>
        <v/>
      </c>
      <c r="H376">
        <f>IF(D376="V01",cad!$I$22,IF(D376="V02",cad!$J$22,cad!$K$22))</f>
        <v/>
      </c>
      <c r="I376">
        <f>IF(D376="V01",cad!$I$27,IF(D376="V02",cad!$J$27,cad!$K$27))</f>
        <v/>
      </c>
      <c r="J376">
        <f>IF(D376="V01",cad!$I$28,IF(D376="V02",cad!$J$28,cad!$K$28))</f>
        <v/>
      </c>
      <c r="K376">
        <f>IF(D376="V01",cad!$I$29,IF(D376="V02",cad!$J$29,cad!$K$29))</f>
        <v/>
      </c>
      <c r="L376">
        <f>IF(D376="V01",cad!$I$30,IF(D376="V02",cad!$J$30,cad!$K$30))</f>
        <v/>
      </c>
      <c r="M376">
        <f>IF(D376="V01",cad!$I$31,IF(D376="V02",cad!$J$31,cad!$K$31))</f>
        <v/>
      </c>
      <c r="N376">
        <f>IF(D376="V01",$R$2,IF(D376="V02",$R$3,$R$4))</f>
        <v/>
      </c>
      <c r="O376">
        <f>IF(OR(B376="7062",B376="706",B376="708"),N376,IF(B376="6231",1+G376,IF(B376="6236",1+H376,IF(OR(B376="621",B376="604",B376="6063"),N376*(1-L376),IF(OR(B376="6411",B376="6413",B376="6414",B376="645"),(1+J376)*(1+K376),IF(OR(B376="613",B376="615",B376="616",B376="6226",B376="625",B376="626",B376="6281"),(1+I376)*(1-L376)*(1+M376),IF(OR(B376="6331",B376="63511",B376="6333"),(1+I376)*(1-L376),IF(B376="6811",1+I376,1))))))))</f>
        <v/>
      </c>
      <c r="P376">
        <f>IF(E376=1,F376*O376,"")</f>
        <v/>
      </c>
    </row>
    <row r="377">
      <c r="A377">
        <f>PNL!A377</f>
        <v/>
      </c>
      <c r="B377">
        <f>PNL!B377</f>
        <v/>
      </c>
      <c r="C377">
        <f>PNL!C377</f>
        <v/>
      </c>
      <c r="D377">
        <f>PNL!D377</f>
        <v/>
      </c>
      <c r="E377">
        <f>IF(AND(C377="2027",OR(D377="V01",D377="V02",D377="V03")),1,0)</f>
        <v/>
      </c>
      <c r="F377">
        <f>IF(E377=1,SUMIFS(Compta!$F$2:$F$675,Compta!$A$2:$A$675,A377,Compta!$B$2:$B$675,B377,Compta!$C$2:$C$675,"2026"),0)</f>
        <v/>
      </c>
      <c r="G377">
        <f>IF(D377="V01",cad!$I$21,IF(D377="V02",cad!$J$21,cad!$K$21))</f>
        <v/>
      </c>
      <c r="H377">
        <f>IF(D377="V01",cad!$I$22,IF(D377="V02",cad!$J$22,cad!$K$22))</f>
        <v/>
      </c>
      <c r="I377">
        <f>IF(D377="V01",cad!$I$27,IF(D377="V02",cad!$J$27,cad!$K$27))</f>
        <v/>
      </c>
      <c r="J377">
        <f>IF(D377="V01",cad!$I$28,IF(D377="V02",cad!$J$28,cad!$K$28))</f>
        <v/>
      </c>
      <c r="K377">
        <f>IF(D377="V01",cad!$I$29,IF(D377="V02",cad!$J$29,cad!$K$29))</f>
        <v/>
      </c>
      <c r="L377">
        <f>IF(D377="V01",cad!$I$30,IF(D377="V02",cad!$J$30,cad!$K$30))</f>
        <v/>
      </c>
      <c r="M377">
        <f>IF(D377="V01",cad!$I$31,IF(D377="V02",cad!$J$31,cad!$K$31))</f>
        <v/>
      </c>
      <c r="N377">
        <f>IF(D377="V01",$R$2,IF(D377="V02",$R$3,$R$4))</f>
        <v/>
      </c>
      <c r="O377">
        <f>IF(OR(B377="7062",B377="706",B377="708"),N377,IF(B377="6231",1+G377,IF(B377="6236",1+H377,IF(OR(B377="621",B377="604",B377="6063"),N377*(1-L377),IF(OR(B377="6411",B377="6413",B377="6414",B377="645"),(1+J377)*(1+K377),IF(OR(B377="613",B377="615",B377="616",B377="6226",B377="625",B377="626",B377="6281"),(1+I377)*(1-L377)*(1+M377),IF(OR(B377="6331",B377="63511",B377="6333"),(1+I377)*(1-L377),IF(B377="6811",1+I377,1))))))))</f>
        <v/>
      </c>
      <c r="P377">
        <f>IF(E377=1,F377*O377,"")</f>
        <v/>
      </c>
    </row>
    <row r="378">
      <c r="A378">
        <f>PNL!A378</f>
        <v/>
      </c>
      <c r="B378">
        <f>PNL!B378</f>
        <v/>
      </c>
      <c r="C378">
        <f>PNL!C378</f>
        <v/>
      </c>
      <c r="D378">
        <f>PNL!D378</f>
        <v/>
      </c>
      <c r="E378">
        <f>IF(AND(C378="2027",OR(D378="V01",D378="V02",D378="V03")),1,0)</f>
        <v/>
      </c>
      <c r="F378">
        <f>IF(E378=1,SUMIFS(Compta!$F$2:$F$675,Compta!$A$2:$A$675,A378,Compta!$B$2:$B$675,B378,Compta!$C$2:$C$675,"2026"),0)</f>
        <v/>
      </c>
      <c r="G378">
        <f>IF(D378="V01",cad!$I$21,IF(D378="V02",cad!$J$21,cad!$K$21))</f>
        <v/>
      </c>
      <c r="H378">
        <f>IF(D378="V01",cad!$I$22,IF(D378="V02",cad!$J$22,cad!$K$22))</f>
        <v/>
      </c>
      <c r="I378">
        <f>IF(D378="V01",cad!$I$27,IF(D378="V02",cad!$J$27,cad!$K$27))</f>
        <v/>
      </c>
      <c r="J378">
        <f>IF(D378="V01",cad!$I$28,IF(D378="V02",cad!$J$28,cad!$K$28))</f>
        <v/>
      </c>
      <c r="K378">
        <f>IF(D378="V01",cad!$I$29,IF(D378="V02",cad!$J$29,cad!$K$29))</f>
        <v/>
      </c>
      <c r="L378">
        <f>IF(D378="V01",cad!$I$30,IF(D378="V02",cad!$J$30,cad!$K$30))</f>
        <v/>
      </c>
      <c r="M378">
        <f>IF(D378="V01",cad!$I$31,IF(D378="V02",cad!$J$31,cad!$K$31))</f>
        <v/>
      </c>
      <c r="N378">
        <f>IF(D378="V01",$R$2,IF(D378="V02",$R$3,$R$4))</f>
        <v/>
      </c>
      <c r="O378">
        <f>IF(OR(B378="7062",B378="706",B378="708"),N378,IF(B378="6231",1+G378,IF(B378="6236",1+H378,IF(OR(B378="621",B378="604",B378="6063"),N378*(1-L378),IF(OR(B378="6411",B378="6413",B378="6414",B378="645"),(1+J378)*(1+K378),IF(OR(B378="613",B378="615",B378="616",B378="6226",B378="625",B378="626",B378="6281"),(1+I378)*(1-L378)*(1+M378),IF(OR(B378="6331",B378="63511",B378="6333"),(1+I378)*(1-L378),IF(B378="6811",1+I378,1))))))))</f>
        <v/>
      </c>
      <c r="P378">
        <f>IF(E378=1,F378*O378,"")</f>
        <v/>
      </c>
    </row>
    <row r="379">
      <c r="A379">
        <f>PNL!A379</f>
        <v/>
      </c>
      <c r="B379">
        <f>PNL!B379</f>
        <v/>
      </c>
      <c r="C379">
        <f>PNL!C379</f>
        <v/>
      </c>
      <c r="D379">
        <f>PNL!D379</f>
        <v/>
      </c>
      <c r="E379">
        <f>IF(AND(C379="2027",OR(D379="V01",D379="V02",D379="V03")),1,0)</f>
        <v/>
      </c>
      <c r="F379">
        <f>IF(E379=1,SUMIFS(Compta!$F$2:$F$675,Compta!$A$2:$A$675,A379,Compta!$B$2:$B$675,B379,Compta!$C$2:$C$675,"2026"),0)</f>
        <v/>
      </c>
      <c r="G379">
        <f>IF(D379="V01",cad!$I$21,IF(D379="V02",cad!$J$21,cad!$K$21))</f>
        <v/>
      </c>
      <c r="H379">
        <f>IF(D379="V01",cad!$I$22,IF(D379="V02",cad!$J$22,cad!$K$22))</f>
        <v/>
      </c>
      <c r="I379">
        <f>IF(D379="V01",cad!$I$27,IF(D379="V02",cad!$J$27,cad!$K$27))</f>
        <v/>
      </c>
      <c r="J379">
        <f>IF(D379="V01",cad!$I$28,IF(D379="V02",cad!$J$28,cad!$K$28))</f>
        <v/>
      </c>
      <c r="K379">
        <f>IF(D379="V01",cad!$I$29,IF(D379="V02",cad!$J$29,cad!$K$29))</f>
        <v/>
      </c>
      <c r="L379">
        <f>IF(D379="V01",cad!$I$30,IF(D379="V02",cad!$J$30,cad!$K$30))</f>
        <v/>
      </c>
      <c r="M379">
        <f>IF(D379="V01",cad!$I$31,IF(D379="V02",cad!$J$31,cad!$K$31))</f>
        <v/>
      </c>
      <c r="N379">
        <f>IF(D379="V01",$R$2,IF(D379="V02",$R$3,$R$4))</f>
        <v/>
      </c>
      <c r="O379">
        <f>IF(OR(B379="7062",B379="706",B379="708"),N379,IF(B379="6231",1+G379,IF(B379="6236",1+H379,IF(OR(B379="621",B379="604",B379="6063"),N379*(1-L379),IF(OR(B379="6411",B379="6413",B379="6414",B379="645"),(1+J379)*(1+K379),IF(OR(B379="613",B379="615",B379="616",B379="6226",B379="625",B379="626",B379="6281"),(1+I379)*(1-L379)*(1+M379),IF(OR(B379="6331",B379="63511",B379="6333"),(1+I379)*(1-L379),IF(B379="6811",1+I379,1))))))))</f>
        <v/>
      </c>
      <c r="P379">
        <f>IF(E379=1,F379*O379,"")</f>
        <v/>
      </c>
    </row>
    <row r="380">
      <c r="A380">
        <f>PNL!A380</f>
        <v/>
      </c>
      <c r="B380">
        <f>PNL!B380</f>
        <v/>
      </c>
      <c r="C380">
        <f>PNL!C380</f>
        <v/>
      </c>
      <c r="D380">
        <f>PNL!D380</f>
        <v/>
      </c>
      <c r="E380">
        <f>IF(AND(C380="2027",OR(D380="V01",D380="V02",D380="V03")),1,0)</f>
        <v/>
      </c>
      <c r="F380">
        <f>IF(E380=1,SUMIFS(Compta!$F$2:$F$675,Compta!$A$2:$A$675,A380,Compta!$B$2:$B$675,B380,Compta!$C$2:$C$675,"2026"),0)</f>
        <v/>
      </c>
      <c r="G380">
        <f>IF(D380="V01",cad!$I$21,IF(D380="V02",cad!$J$21,cad!$K$21))</f>
        <v/>
      </c>
      <c r="H380">
        <f>IF(D380="V01",cad!$I$22,IF(D380="V02",cad!$J$22,cad!$K$22))</f>
        <v/>
      </c>
      <c r="I380">
        <f>IF(D380="V01",cad!$I$27,IF(D380="V02",cad!$J$27,cad!$K$27))</f>
        <v/>
      </c>
      <c r="J380">
        <f>IF(D380="V01",cad!$I$28,IF(D380="V02",cad!$J$28,cad!$K$28))</f>
        <v/>
      </c>
      <c r="K380">
        <f>IF(D380="V01",cad!$I$29,IF(D380="V02",cad!$J$29,cad!$K$29))</f>
        <v/>
      </c>
      <c r="L380">
        <f>IF(D380="V01",cad!$I$30,IF(D380="V02",cad!$J$30,cad!$K$30))</f>
        <v/>
      </c>
      <c r="M380">
        <f>IF(D380="V01",cad!$I$31,IF(D380="V02",cad!$J$31,cad!$K$31))</f>
        <v/>
      </c>
      <c r="N380">
        <f>IF(D380="V01",$R$2,IF(D380="V02",$R$3,$R$4))</f>
        <v/>
      </c>
      <c r="O380">
        <f>IF(OR(B380="7062",B380="706",B380="708"),N380,IF(B380="6231",1+G380,IF(B380="6236",1+H380,IF(OR(B380="621",B380="604",B380="6063"),N380*(1-L380),IF(OR(B380="6411",B380="6413",B380="6414",B380="645"),(1+J380)*(1+K380),IF(OR(B380="613",B380="615",B380="616",B380="6226",B380="625",B380="626",B380="6281"),(1+I380)*(1-L380)*(1+M380),IF(OR(B380="6331",B380="63511",B380="6333"),(1+I380)*(1-L380),IF(B380="6811",1+I380,1))))))))</f>
        <v/>
      </c>
      <c r="P380">
        <f>IF(E380=1,F380*O380,"")</f>
        <v/>
      </c>
    </row>
    <row r="381">
      <c r="A381">
        <f>PNL!A381</f>
        <v/>
      </c>
      <c r="B381">
        <f>PNL!B381</f>
        <v/>
      </c>
      <c r="C381">
        <f>PNL!C381</f>
        <v/>
      </c>
      <c r="D381">
        <f>PNL!D381</f>
        <v/>
      </c>
      <c r="E381">
        <f>IF(AND(C381="2027",OR(D381="V01",D381="V02",D381="V03")),1,0)</f>
        <v/>
      </c>
      <c r="F381">
        <f>IF(E381=1,SUMIFS(Compta!$F$2:$F$675,Compta!$A$2:$A$675,A381,Compta!$B$2:$B$675,B381,Compta!$C$2:$C$675,"2026"),0)</f>
        <v/>
      </c>
      <c r="G381">
        <f>IF(D381="V01",cad!$I$21,IF(D381="V02",cad!$J$21,cad!$K$21))</f>
        <v/>
      </c>
      <c r="H381">
        <f>IF(D381="V01",cad!$I$22,IF(D381="V02",cad!$J$22,cad!$K$22))</f>
        <v/>
      </c>
      <c r="I381">
        <f>IF(D381="V01",cad!$I$27,IF(D381="V02",cad!$J$27,cad!$K$27))</f>
        <v/>
      </c>
      <c r="J381">
        <f>IF(D381="V01",cad!$I$28,IF(D381="V02",cad!$J$28,cad!$K$28))</f>
        <v/>
      </c>
      <c r="K381">
        <f>IF(D381="V01",cad!$I$29,IF(D381="V02",cad!$J$29,cad!$K$29))</f>
        <v/>
      </c>
      <c r="L381">
        <f>IF(D381="V01",cad!$I$30,IF(D381="V02",cad!$J$30,cad!$K$30))</f>
        <v/>
      </c>
      <c r="M381">
        <f>IF(D381="V01",cad!$I$31,IF(D381="V02",cad!$J$31,cad!$K$31))</f>
        <v/>
      </c>
      <c r="N381">
        <f>IF(D381="V01",$R$2,IF(D381="V02",$R$3,$R$4))</f>
        <v/>
      </c>
      <c r="O381">
        <f>IF(OR(B381="7062",B381="706",B381="708"),N381,IF(B381="6231",1+G381,IF(B381="6236",1+H381,IF(OR(B381="621",B381="604",B381="6063"),N381*(1-L381),IF(OR(B381="6411",B381="6413",B381="6414",B381="645"),(1+J381)*(1+K381),IF(OR(B381="613",B381="615",B381="616",B381="6226",B381="625",B381="626",B381="6281"),(1+I381)*(1-L381)*(1+M381),IF(OR(B381="6331",B381="63511",B381="6333"),(1+I381)*(1-L381),IF(B381="6811",1+I381,1))))))))</f>
        <v/>
      </c>
      <c r="P381">
        <f>IF(E381=1,F381*O381,"")</f>
        <v/>
      </c>
    </row>
    <row r="382">
      <c r="A382">
        <f>PNL!A382</f>
        <v/>
      </c>
      <c r="B382">
        <f>PNL!B382</f>
        <v/>
      </c>
      <c r="C382">
        <f>PNL!C382</f>
        <v/>
      </c>
      <c r="D382">
        <f>PNL!D382</f>
        <v/>
      </c>
      <c r="E382">
        <f>IF(AND(C382="2027",OR(D382="V01",D382="V02",D382="V03")),1,0)</f>
        <v/>
      </c>
      <c r="F382">
        <f>IF(E382=1,SUMIFS(Compta!$F$2:$F$675,Compta!$A$2:$A$675,A382,Compta!$B$2:$B$675,B382,Compta!$C$2:$C$675,"2026"),0)</f>
        <v/>
      </c>
      <c r="G382">
        <f>IF(D382="V01",cad!$I$21,IF(D382="V02",cad!$J$21,cad!$K$21))</f>
        <v/>
      </c>
      <c r="H382">
        <f>IF(D382="V01",cad!$I$22,IF(D382="V02",cad!$J$22,cad!$K$22))</f>
        <v/>
      </c>
      <c r="I382">
        <f>IF(D382="V01",cad!$I$27,IF(D382="V02",cad!$J$27,cad!$K$27))</f>
        <v/>
      </c>
      <c r="J382">
        <f>IF(D382="V01",cad!$I$28,IF(D382="V02",cad!$J$28,cad!$K$28))</f>
        <v/>
      </c>
      <c r="K382">
        <f>IF(D382="V01",cad!$I$29,IF(D382="V02",cad!$J$29,cad!$K$29))</f>
        <v/>
      </c>
      <c r="L382">
        <f>IF(D382="V01",cad!$I$30,IF(D382="V02",cad!$J$30,cad!$K$30))</f>
        <v/>
      </c>
      <c r="M382">
        <f>IF(D382="V01",cad!$I$31,IF(D382="V02",cad!$J$31,cad!$K$31))</f>
        <v/>
      </c>
      <c r="N382">
        <f>IF(D382="V01",$R$2,IF(D382="V02",$R$3,$R$4))</f>
        <v/>
      </c>
      <c r="O382">
        <f>IF(OR(B382="7062",B382="706",B382="708"),N382,IF(B382="6231",1+G382,IF(B382="6236",1+H382,IF(OR(B382="621",B382="604",B382="6063"),N382*(1-L382),IF(OR(B382="6411",B382="6413",B382="6414",B382="645"),(1+J382)*(1+K382),IF(OR(B382="613",B382="615",B382="616",B382="6226",B382="625",B382="626",B382="6281"),(1+I382)*(1-L382)*(1+M382),IF(OR(B382="6331",B382="63511",B382="6333"),(1+I382)*(1-L382),IF(B382="6811",1+I382,1))))))))</f>
        <v/>
      </c>
      <c r="P382">
        <f>IF(E382=1,F382*O382,"")</f>
        <v/>
      </c>
    </row>
    <row r="383">
      <c r="A383">
        <f>PNL!A383</f>
        <v/>
      </c>
      <c r="B383">
        <f>PNL!B383</f>
        <v/>
      </c>
      <c r="C383">
        <f>PNL!C383</f>
        <v/>
      </c>
      <c r="D383">
        <f>PNL!D383</f>
        <v/>
      </c>
      <c r="E383">
        <f>IF(AND(C383="2027",OR(D383="V01",D383="V02",D383="V03")),1,0)</f>
        <v/>
      </c>
      <c r="F383">
        <f>IF(E383=1,SUMIFS(Compta!$F$2:$F$675,Compta!$A$2:$A$675,A383,Compta!$B$2:$B$675,B383,Compta!$C$2:$C$675,"2026"),0)</f>
        <v/>
      </c>
      <c r="G383">
        <f>IF(D383="V01",cad!$I$21,IF(D383="V02",cad!$J$21,cad!$K$21))</f>
        <v/>
      </c>
      <c r="H383">
        <f>IF(D383="V01",cad!$I$22,IF(D383="V02",cad!$J$22,cad!$K$22))</f>
        <v/>
      </c>
      <c r="I383">
        <f>IF(D383="V01",cad!$I$27,IF(D383="V02",cad!$J$27,cad!$K$27))</f>
        <v/>
      </c>
      <c r="J383">
        <f>IF(D383="V01",cad!$I$28,IF(D383="V02",cad!$J$28,cad!$K$28))</f>
        <v/>
      </c>
      <c r="K383">
        <f>IF(D383="V01",cad!$I$29,IF(D383="V02",cad!$J$29,cad!$K$29))</f>
        <v/>
      </c>
      <c r="L383">
        <f>IF(D383="V01",cad!$I$30,IF(D383="V02",cad!$J$30,cad!$K$30))</f>
        <v/>
      </c>
      <c r="M383">
        <f>IF(D383="V01",cad!$I$31,IF(D383="V02",cad!$J$31,cad!$K$31))</f>
        <v/>
      </c>
      <c r="N383">
        <f>IF(D383="V01",$R$2,IF(D383="V02",$R$3,$R$4))</f>
        <v/>
      </c>
      <c r="O383">
        <f>IF(OR(B383="7062",B383="706",B383="708"),N383,IF(B383="6231",1+G383,IF(B383="6236",1+H383,IF(OR(B383="621",B383="604",B383="6063"),N383*(1-L383),IF(OR(B383="6411",B383="6413",B383="6414",B383="645"),(1+J383)*(1+K383),IF(OR(B383="613",B383="615",B383="616",B383="6226",B383="625",B383="626",B383="6281"),(1+I383)*(1-L383)*(1+M383),IF(OR(B383="6331",B383="63511",B383="6333"),(1+I383)*(1-L383),IF(B383="6811",1+I383,1))))))))</f>
        <v/>
      </c>
      <c r="P383">
        <f>IF(E383=1,F383*O383,"")</f>
        <v/>
      </c>
    </row>
    <row r="384">
      <c r="A384">
        <f>PNL!A384</f>
        <v/>
      </c>
      <c r="B384">
        <f>PNL!B384</f>
        <v/>
      </c>
      <c r="C384">
        <f>PNL!C384</f>
        <v/>
      </c>
      <c r="D384">
        <f>PNL!D384</f>
        <v/>
      </c>
      <c r="E384">
        <f>IF(AND(C384="2027",OR(D384="V01",D384="V02",D384="V03")),1,0)</f>
        <v/>
      </c>
      <c r="F384">
        <f>IF(E384=1,SUMIFS(Compta!$F$2:$F$675,Compta!$A$2:$A$675,A384,Compta!$B$2:$B$675,B384,Compta!$C$2:$C$675,"2026"),0)</f>
        <v/>
      </c>
      <c r="G384">
        <f>IF(D384="V01",cad!$I$21,IF(D384="V02",cad!$J$21,cad!$K$21))</f>
        <v/>
      </c>
      <c r="H384">
        <f>IF(D384="V01",cad!$I$22,IF(D384="V02",cad!$J$22,cad!$K$22))</f>
        <v/>
      </c>
      <c r="I384">
        <f>IF(D384="V01",cad!$I$27,IF(D384="V02",cad!$J$27,cad!$K$27))</f>
        <v/>
      </c>
      <c r="J384">
        <f>IF(D384="V01",cad!$I$28,IF(D384="V02",cad!$J$28,cad!$K$28))</f>
        <v/>
      </c>
      <c r="K384">
        <f>IF(D384="V01",cad!$I$29,IF(D384="V02",cad!$J$29,cad!$K$29))</f>
        <v/>
      </c>
      <c r="L384">
        <f>IF(D384="V01",cad!$I$30,IF(D384="V02",cad!$J$30,cad!$K$30))</f>
        <v/>
      </c>
      <c r="M384">
        <f>IF(D384="V01",cad!$I$31,IF(D384="V02",cad!$J$31,cad!$K$31))</f>
        <v/>
      </c>
      <c r="N384">
        <f>IF(D384="V01",$R$2,IF(D384="V02",$R$3,$R$4))</f>
        <v/>
      </c>
      <c r="O384">
        <f>IF(OR(B384="7062",B384="706",B384="708"),N384,IF(B384="6231",1+G384,IF(B384="6236",1+H384,IF(OR(B384="621",B384="604",B384="6063"),N384*(1-L384),IF(OR(B384="6411",B384="6413",B384="6414",B384="645"),(1+J384)*(1+K384),IF(OR(B384="613",B384="615",B384="616",B384="6226",B384="625",B384="626",B384="6281"),(1+I384)*(1-L384)*(1+M384),IF(OR(B384="6331",B384="63511",B384="6333"),(1+I384)*(1-L384),IF(B384="6811",1+I384,1))))))))</f>
        <v/>
      </c>
      <c r="P384">
        <f>IF(E384=1,F384*O384,"")</f>
        <v/>
      </c>
    </row>
    <row r="385">
      <c r="A385">
        <f>PNL!A385</f>
        <v/>
      </c>
      <c r="B385">
        <f>PNL!B385</f>
        <v/>
      </c>
      <c r="C385">
        <f>PNL!C385</f>
        <v/>
      </c>
      <c r="D385">
        <f>PNL!D385</f>
        <v/>
      </c>
      <c r="E385">
        <f>IF(AND(C385="2027",OR(D385="V01",D385="V02",D385="V03")),1,0)</f>
        <v/>
      </c>
      <c r="F385">
        <f>IF(E385=1,SUMIFS(Compta!$F$2:$F$675,Compta!$A$2:$A$675,A385,Compta!$B$2:$B$675,B385,Compta!$C$2:$C$675,"2026"),0)</f>
        <v/>
      </c>
      <c r="G385">
        <f>IF(D385="V01",cad!$I$21,IF(D385="V02",cad!$J$21,cad!$K$21))</f>
        <v/>
      </c>
      <c r="H385">
        <f>IF(D385="V01",cad!$I$22,IF(D385="V02",cad!$J$22,cad!$K$22))</f>
        <v/>
      </c>
      <c r="I385">
        <f>IF(D385="V01",cad!$I$27,IF(D385="V02",cad!$J$27,cad!$K$27))</f>
        <v/>
      </c>
      <c r="J385">
        <f>IF(D385="V01",cad!$I$28,IF(D385="V02",cad!$J$28,cad!$K$28))</f>
        <v/>
      </c>
      <c r="K385">
        <f>IF(D385="V01",cad!$I$29,IF(D385="V02",cad!$J$29,cad!$K$29))</f>
        <v/>
      </c>
      <c r="L385">
        <f>IF(D385="V01",cad!$I$30,IF(D385="V02",cad!$J$30,cad!$K$30))</f>
        <v/>
      </c>
      <c r="M385">
        <f>IF(D385="V01",cad!$I$31,IF(D385="V02",cad!$J$31,cad!$K$31))</f>
        <v/>
      </c>
      <c r="N385">
        <f>IF(D385="V01",$R$2,IF(D385="V02",$R$3,$R$4))</f>
        <v/>
      </c>
      <c r="O385">
        <f>IF(OR(B385="7062",B385="706",B385="708"),N385,IF(B385="6231",1+G385,IF(B385="6236",1+H385,IF(OR(B385="621",B385="604",B385="6063"),N385*(1-L385),IF(OR(B385="6411",B385="6413",B385="6414",B385="645"),(1+J385)*(1+K385),IF(OR(B385="613",B385="615",B385="616",B385="6226",B385="625",B385="626",B385="6281"),(1+I385)*(1-L385)*(1+M385),IF(OR(B385="6331",B385="63511",B385="6333"),(1+I385)*(1-L385),IF(B385="6811",1+I385,1))))))))</f>
        <v/>
      </c>
      <c r="P385">
        <f>IF(E385=1,F385*O385,"")</f>
        <v/>
      </c>
    </row>
    <row r="386">
      <c r="A386">
        <f>PNL!A386</f>
        <v/>
      </c>
      <c r="B386">
        <f>PNL!B386</f>
        <v/>
      </c>
      <c r="C386">
        <f>PNL!C386</f>
        <v/>
      </c>
      <c r="D386">
        <f>PNL!D386</f>
        <v/>
      </c>
      <c r="E386">
        <f>IF(AND(C386="2027",OR(D386="V01",D386="V02",D386="V03")),1,0)</f>
        <v/>
      </c>
      <c r="F386">
        <f>IF(E386=1,SUMIFS(Compta!$F$2:$F$675,Compta!$A$2:$A$675,A386,Compta!$B$2:$B$675,B386,Compta!$C$2:$C$675,"2026"),0)</f>
        <v/>
      </c>
      <c r="G386">
        <f>IF(D386="V01",cad!$I$21,IF(D386="V02",cad!$J$21,cad!$K$21))</f>
        <v/>
      </c>
      <c r="H386">
        <f>IF(D386="V01",cad!$I$22,IF(D386="V02",cad!$J$22,cad!$K$22))</f>
        <v/>
      </c>
      <c r="I386">
        <f>IF(D386="V01",cad!$I$27,IF(D386="V02",cad!$J$27,cad!$K$27))</f>
        <v/>
      </c>
      <c r="J386">
        <f>IF(D386="V01",cad!$I$28,IF(D386="V02",cad!$J$28,cad!$K$28))</f>
        <v/>
      </c>
      <c r="K386">
        <f>IF(D386="V01",cad!$I$29,IF(D386="V02",cad!$J$29,cad!$K$29))</f>
        <v/>
      </c>
      <c r="L386">
        <f>IF(D386="V01",cad!$I$30,IF(D386="V02",cad!$J$30,cad!$K$30))</f>
        <v/>
      </c>
      <c r="M386">
        <f>IF(D386="V01",cad!$I$31,IF(D386="V02",cad!$J$31,cad!$K$31))</f>
        <v/>
      </c>
      <c r="N386">
        <f>IF(D386="V01",$R$2,IF(D386="V02",$R$3,$R$4))</f>
        <v/>
      </c>
      <c r="O386">
        <f>IF(OR(B386="7062",B386="706",B386="708"),N386,IF(B386="6231",1+G386,IF(B386="6236",1+H386,IF(OR(B386="621",B386="604",B386="6063"),N386*(1-L386),IF(OR(B386="6411",B386="6413",B386="6414",B386="645"),(1+J386)*(1+K386),IF(OR(B386="613",B386="615",B386="616",B386="6226",B386="625",B386="626",B386="6281"),(1+I386)*(1-L386)*(1+M386),IF(OR(B386="6331",B386="63511",B386="6333"),(1+I386)*(1-L386),IF(B386="6811",1+I386,1))))))))</f>
        <v/>
      </c>
      <c r="P386">
        <f>IF(E386=1,F386*O386,"")</f>
        <v/>
      </c>
    </row>
    <row r="387">
      <c r="A387">
        <f>PNL!A387</f>
        <v/>
      </c>
      <c r="B387">
        <f>PNL!B387</f>
        <v/>
      </c>
      <c r="C387">
        <f>PNL!C387</f>
        <v/>
      </c>
      <c r="D387">
        <f>PNL!D387</f>
        <v/>
      </c>
      <c r="E387">
        <f>IF(AND(C387="2027",OR(D387="V01",D387="V02",D387="V03")),1,0)</f>
        <v/>
      </c>
      <c r="F387">
        <f>IF(E387=1,SUMIFS(Compta!$F$2:$F$675,Compta!$A$2:$A$675,A387,Compta!$B$2:$B$675,B387,Compta!$C$2:$C$675,"2026"),0)</f>
        <v/>
      </c>
      <c r="G387">
        <f>IF(D387="V01",cad!$I$21,IF(D387="V02",cad!$J$21,cad!$K$21))</f>
        <v/>
      </c>
      <c r="H387">
        <f>IF(D387="V01",cad!$I$22,IF(D387="V02",cad!$J$22,cad!$K$22))</f>
        <v/>
      </c>
      <c r="I387">
        <f>IF(D387="V01",cad!$I$27,IF(D387="V02",cad!$J$27,cad!$K$27))</f>
        <v/>
      </c>
      <c r="J387">
        <f>IF(D387="V01",cad!$I$28,IF(D387="V02",cad!$J$28,cad!$K$28))</f>
        <v/>
      </c>
      <c r="K387">
        <f>IF(D387="V01",cad!$I$29,IF(D387="V02",cad!$J$29,cad!$K$29))</f>
        <v/>
      </c>
      <c r="L387">
        <f>IF(D387="V01",cad!$I$30,IF(D387="V02",cad!$J$30,cad!$K$30))</f>
        <v/>
      </c>
      <c r="M387">
        <f>IF(D387="V01",cad!$I$31,IF(D387="V02",cad!$J$31,cad!$K$31))</f>
        <v/>
      </c>
      <c r="N387">
        <f>IF(D387="V01",$R$2,IF(D387="V02",$R$3,$R$4))</f>
        <v/>
      </c>
      <c r="O387">
        <f>IF(OR(B387="7062",B387="706",B387="708"),N387,IF(B387="6231",1+G387,IF(B387="6236",1+H387,IF(OR(B387="621",B387="604",B387="6063"),N387*(1-L387),IF(OR(B387="6411",B387="6413",B387="6414",B387="645"),(1+J387)*(1+K387),IF(OR(B387="613",B387="615",B387="616",B387="6226",B387="625",B387="626",B387="6281"),(1+I387)*(1-L387)*(1+M387),IF(OR(B387="6331",B387="63511",B387="6333"),(1+I387)*(1-L387),IF(B387="6811",1+I387,1))))))))</f>
        <v/>
      </c>
      <c r="P387">
        <f>IF(E387=1,F387*O387,"")</f>
        <v/>
      </c>
    </row>
    <row r="388">
      <c r="A388">
        <f>PNL!A388</f>
        <v/>
      </c>
      <c r="B388">
        <f>PNL!B388</f>
        <v/>
      </c>
      <c r="C388">
        <f>PNL!C388</f>
        <v/>
      </c>
      <c r="D388">
        <f>PNL!D388</f>
        <v/>
      </c>
      <c r="E388">
        <f>IF(AND(C388="2027",OR(D388="V01",D388="V02",D388="V03")),1,0)</f>
        <v/>
      </c>
      <c r="F388">
        <f>IF(E388=1,SUMIFS(Compta!$F$2:$F$675,Compta!$A$2:$A$675,A388,Compta!$B$2:$B$675,B388,Compta!$C$2:$C$675,"2026"),0)</f>
        <v/>
      </c>
      <c r="G388">
        <f>IF(D388="V01",cad!$I$21,IF(D388="V02",cad!$J$21,cad!$K$21))</f>
        <v/>
      </c>
      <c r="H388">
        <f>IF(D388="V01",cad!$I$22,IF(D388="V02",cad!$J$22,cad!$K$22))</f>
        <v/>
      </c>
      <c r="I388">
        <f>IF(D388="V01",cad!$I$27,IF(D388="V02",cad!$J$27,cad!$K$27))</f>
        <v/>
      </c>
      <c r="J388">
        <f>IF(D388="V01",cad!$I$28,IF(D388="V02",cad!$J$28,cad!$K$28))</f>
        <v/>
      </c>
      <c r="K388">
        <f>IF(D388="V01",cad!$I$29,IF(D388="V02",cad!$J$29,cad!$K$29))</f>
        <v/>
      </c>
      <c r="L388">
        <f>IF(D388="V01",cad!$I$30,IF(D388="V02",cad!$J$30,cad!$K$30))</f>
        <v/>
      </c>
      <c r="M388">
        <f>IF(D388="V01",cad!$I$31,IF(D388="V02",cad!$J$31,cad!$K$31))</f>
        <v/>
      </c>
      <c r="N388">
        <f>IF(D388="V01",$R$2,IF(D388="V02",$R$3,$R$4))</f>
        <v/>
      </c>
      <c r="O388">
        <f>IF(OR(B388="7062",B388="706",B388="708"),N388,IF(B388="6231",1+G388,IF(B388="6236",1+H388,IF(OR(B388="621",B388="604",B388="6063"),N388*(1-L388),IF(OR(B388="6411",B388="6413",B388="6414",B388="645"),(1+J388)*(1+K388),IF(OR(B388="613",B388="615",B388="616",B388="6226",B388="625",B388="626",B388="6281"),(1+I388)*(1-L388)*(1+M388),IF(OR(B388="6331",B388="63511",B388="6333"),(1+I388)*(1-L388),IF(B388="6811",1+I388,1))))))))</f>
        <v/>
      </c>
      <c r="P388">
        <f>IF(E388=1,F388*O388,"")</f>
        <v/>
      </c>
    </row>
    <row r="389">
      <c r="A389">
        <f>PNL!A389</f>
        <v/>
      </c>
      <c r="B389">
        <f>PNL!B389</f>
        <v/>
      </c>
      <c r="C389">
        <f>PNL!C389</f>
        <v/>
      </c>
      <c r="D389">
        <f>PNL!D389</f>
        <v/>
      </c>
      <c r="E389">
        <f>IF(AND(C389="2027",OR(D389="V01",D389="V02",D389="V03")),1,0)</f>
        <v/>
      </c>
      <c r="F389">
        <f>IF(E389=1,SUMIFS(Compta!$F$2:$F$675,Compta!$A$2:$A$675,A389,Compta!$B$2:$B$675,B389,Compta!$C$2:$C$675,"2026"),0)</f>
        <v/>
      </c>
      <c r="G389">
        <f>IF(D389="V01",cad!$I$21,IF(D389="V02",cad!$J$21,cad!$K$21))</f>
        <v/>
      </c>
      <c r="H389">
        <f>IF(D389="V01",cad!$I$22,IF(D389="V02",cad!$J$22,cad!$K$22))</f>
        <v/>
      </c>
      <c r="I389">
        <f>IF(D389="V01",cad!$I$27,IF(D389="V02",cad!$J$27,cad!$K$27))</f>
        <v/>
      </c>
      <c r="J389">
        <f>IF(D389="V01",cad!$I$28,IF(D389="V02",cad!$J$28,cad!$K$28))</f>
        <v/>
      </c>
      <c r="K389">
        <f>IF(D389="V01",cad!$I$29,IF(D389="V02",cad!$J$29,cad!$K$29))</f>
        <v/>
      </c>
      <c r="L389">
        <f>IF(D389="V01",cad!$I$30,IF(D389="V02",cad!$J$30,cad!$K$30))</f>
        <v/>
      </c>
      <c r="M389">
        <f>IF(D389="V01",cad!$I$31,IF(D389="V02",cad!$J$31,cad!$K$31))</f>
        <v/>
      </c>
      <c r="N389">
        <f>IF(D389="V01",$R$2,IF(D389="V02",$R$3,$R$4))</f>
        <v/>
      </c>
      <c r="O389">
        <f>IF(OR(B389="7062",B389="706",B389="708"),N389,IF(B389="6231",1+G389,IF(B389="6236",1+H389,IF(OR(B389="621",B389="604",B389="6063"),N389*(1-L389),IF(OR(B389="6411",B389="6413",B389="6414",B389="645"),(1+J389)*(1+K389),IF(OR(B389="613",B389="615",B389="616",B389="6226",B389="625",B389="626",B389="6281"),(1+I389)*(1-L389)*(1+M389),IF(OR(B389="6331",B389="63511",B389="6333"),(1+I389)*(1-L389),IF(B389="6811",1+I389,1))))))))</f>
        <v/>
      </c>
      <c r="P389">
        <f>IF(E389=1,F389*O389,"")</f>
        <v/>
      </c>
    </row>
    <row r="390">
      <c r="A390">
        <f>PNL!A390</f>
        <v/>
      </c>
      <c r="B390">
        <f>PNL!B390</f>
        <v/>
      </c>
      <c r="C390">
        <f>PNL!C390</f>
        <v/>
      </c>
      <c r="D390">
        <f>PNL!D390</f>
        <v/>
      </c>
      <c r="E390">
        <f>IF(AND(C390="2027",OR(D390="V01",D390="V02",D390="V03")),1,0)</f>
        <v/>
      </c>
      <c r="F390">
        <f>IF(E390=1,SUMIFS(Compta!$F$2:$F$675,Compta!$A$2:$A$675,A390,Compta!$B$2:$B$675,B390,Compta!$C$2:$C$675,"2026"),0)</f>
        <v/>
      </c>
      <c r="G390">
        <f>IF(D390="V01",cad!$I$21,IF(D390="V02",cad!$J$21,cad!$K$21))</f>
        <v/>
      </c>
      <c r="H390">
        <f>IF(D390="V01",cad!$I$22,IF(D390="V02",cad!$J$22,cad!$K$22))</f>
        <v/>
      </c>
      <c r="I390">
        <f>IF(D390="V01",cad!$I$27,IF(D390="V02",cad!$J$27,cad!$K$27))</f>
        <v/>
      </c>
      <c r="J390">
        <f>IF(D390="V01",cad!$I$28,IF(D390="V02",cad!$J$28,cad!$K$28))</f>
        <v/>
      </c>
      <c r="K390">
        <f>IF(D390="V01",cad!$I$29,IF(D390="V02",cad!$J$29,cad!$K$29))</f>
        <v/>
      </c>
      <c r="L390">
        <f>IF(D390="V01",cad!$I$30,IF(D390="V02",cad!$J$30,cad!$K$30))</f>
        <v/>
      </c>
      <c r="M390">
        <f>IF(D390="V01",cad!$I$31,IF(D390="V02",cad!$J$31,cad!$K$31))</f>
        <v/>
      </c>
      <c r="N390">
        <f>IF(D390="V01",$R$2,IF(D390="V02",$R$3,$R$4))</f>
        <v/>
      </c>
      <c r="O390">
        <f>IF(OR(B390="7062",B390="706",B390="708"),N390,IF(B390="6231",1+G390,IF(B390="6236",1+H390,IF(OR(B390="621",B390="604",B390="6063"),N390*(1-L390),IF(OR(B390="6411",B390="6413",B390="6414",B390="645"),(1+J390)*(1+K390),IF(OR(B390="613",B390="615",B390="616",B390="6226",B390="625",B390="626",B390="6281"),(1+I390)*(1-L390)*(1+M390),IF(OR(B390="6331",B390="63511",B390="6333"),(1+I390)*(1-L390),IF(B390="6811",1+I390,1))))))))</f>
        <v/>
      </c>
      <c r="P390">
        <f>IF(E390=1,F390*O390,"")</f>
        <v/>
      </c>
    </row>
    <row r="391">
      <c r="A391">
        <f>PNL!A391</f>
        <v/>
      </c>
      <c r="B391">
        <f>PNL!B391</f>
        <v/>
      </c>
      <c r="C391">
        <f>PNL!C391</f>
        <v/>
      </c>
      <c r="D391">
        <f>PNL!D391</f>
        <v/>
      </c>
      <c r="E391">
        <f>IF(AND(C391="2027",OR(D391="V01",D391="V02",D391="V03")),1,0)</f>
        <v/>
      </c>
      <c r="F391">
        <f>IF(E391=1,SUMIFS(Compta!$F$2:$F$675,Compta!$A$2:$A$675,A391,Compta!$B$2:$B$675,B391,Compta!$C$2:$C$675,"2026"),0)</f>
        <v/>
      </c>
      <c r="G391">
        <f>IF(D391="V01",cad!$I$21,IF(D391="V02",cad!$J$21,cad!$K$21))</f>
        <v/>
      </c>
      <c r="H391">
        <f>IF(D391="V01",cad!$I$22,IF(D391="V02",cad!$J$22,cad!$K$22))</f>
        <v/>
      </c>
      <c r="I391">
        <f>IF(D391="V01",cad!$I$27,IF(D391="V02",cad!$J$27,cad!$K$27))</f>
        <v/>
      </c>
      <c r="J391">
        <f>IF(D391="V01",cad!$I$28,IF(D391="V02",cad!$J$28,cad!$K$28))</f>
        <v/>
      </c>
      <c r="K391">
        <f>IF(D391="V01",cad!$I$29,IF(D391="V02",cad!$J$29,cad!$K$29))</f>
        <v/>
      </c>
      <c r="L391">
        <f>IF(D391="V01",cad!$I$30,IF(D391="V02",cad!$J$30,cad!$K$30))</f>
        <v/>
      </c>
      <c r="M391">
        <f>IF(D391="V01",cad!$I$31,IF(D391="V02",cad!$J$31,cad!$K$31))</f>
        <v/>
      </c>
      <c r="N391">
        <f>IF(D391="V01",$R$2,IF(D391="V02",$R$3,$R$4))</f>
        <v/>
      </c>
      <c r="O391">
        <f>IF(OR(B391="7062",B391="706",B391="708"),N391,IF(B391="6231",1+G391,IF(B391="6236",1+H391,IF(OR(B391="621",B391="604",B391="6063"),N391*(1-L391),IF(OR(B391="6411",B391="6413",B391="6414",B391="645"),(1+J391)*(1+K391),IF(OR(B391="613",B391="615",B391="616",B391="6226",B391="625",B391="626",B391="6281"),(1+I391)*(1-L391)*(1+M391),IF(OR(B391="6331",B391="63511",B391="6333"),(1+I391)*(1-L391),IF(B391="6811",1+I391,1))))))))</f>
        <v/>
      </c>
      <c r="P391">
        <f>IF(E391=1,F391*O391,"")</f>
        <v/>
      </c>
    </row>
    <row r="392">
      <c r="A392">
        <f>PNL!A392</f>
        <v/>
      </c>
      <c r="B392">
        <f>PNL!B392</f>
        <v/>
      </c>
      <c r="C392">
        <f>PNL!C392</f>
        <v/>
      </c>
      <c r="D392">
        <f>PNL!D392</f>
        <v/>
      </c>
      <c r="E392">
        <f>IF(AND(C392="2027",OR(D392="V01",D392="V02",D392="V03")),1,0)</f>
        <v/>
      </c>
      <c r="F392">
        <f>IF(E392=1,SUMIFS(Compta!$F$2:$F$675,Compta!$A$2:$A$675,A392,Compta!$B$2:$B$675,B392,Compta!$C$2:$C$675,"2026"),0)</f>
        <v/>
      </c>
      <c r="G392">
        <f>IF(D392="V01",cad!$I$21,IF(D392="V02",cad!$J$21,cad!$K$21))</f>
        <v/>
      </c>
      <c r="H392">
        <f>IF(D392="V01",cad!$I$22,IF(D392="V02",cad!$J$22,cad!$K$22))</f>
        <v/>
      </c>
      <c r="I392">
        <f>IF(D392="V01",cad!$I$27,IF(D392="V02",cad!$J$27,cad!$K$27))</f>
        <v/>
      </c>
      <c r="J392">
        <f>IF(D392="V01",cad!$I$28,IF(D392="V02",cad!$J$28,cad!$K$28))</f>
        <v/>
      </c>
      <c r="K392">
        <f>IF(D392="V01",cad!$I$29,IF(D392="V02",cad!$J$29,cad!$K$29))</f>
        <v/>
      </c>
      <c r="L392">
        <f>IF(D392="V01",cad!$I$30,IF(D392="V02",cad!$J$30,cad!$K$30))</f>
        <v/>
      </c>
      <c r="M392">
        <f>IF(D392="V01",cad!$I$31,IF(D392="V02",cad!$J$31,cad!$K$31))</f>
        <v/>
      </c>
      <c r="N392">
        <f>IF(D392="V01",$R$2,IF(D392="V02",$R$3,$R$4))</f>
        <v/>
      </c>
      <c r="O392">
        <f>IF(OR(B392="7062",B392="706",B392="708"),N392,IF(B392="6231",1+G392,IF(B392="6236",1+H392,IF(OR(B392="621",B392="604",B392="6063"),N392*(1-L392),IF(OR(B392="6411",B392="6413",B392="6414",B392="645"),(1+J392)*(1+K392),IF(OR(B392="613",B392="615",B392="616",B392="6226",B392="625",B392="626",B392="6281"),(1+I392)*(1-L392)*(1+M392),IF(OR(B392="6331",B392="63511",B392="6333"),(1+I392)*(1-L392),IF(B392="6811",1+I392,1))))))))</f>
        <v/>
      </c>
      <c r="P392">
        <f>IF(E392=1,F392*O392,"")</f>
        <v/>
      </c>
    </row>
    <row r="393">
      <c r="A393">
        <f>PNL!A393</f>
        <v/>
      </c>
      <c r="B393">
        <f>PNL!B393</f>
        <v/>
      </c>
      <c r="C393">
        <f>PNL!C393</f>
        <v/>
      </c>
      <c r="D393">
        <f>PNL!D393</f>
        <v/>
      </c>
      <c r="E393">
        <f>IF(AND(C393="2027",OR(D393="V01",D393="V02",D393="V03")),1,0)</f>
        <v/>
      </c>
      <c r="F393">
        <f>IF(E393=1,SUMIFS(Compta!$F$2:$F$675,Compta!$A$2:$A$675,A393,Compta!$B$2:$B$675,B393,Compta!$C$2:$C$675,"2026"),0)</f>
        <v/>
      </c>
      <c r="G393">
        <f>IF(D393="V01",cad!$I$21,IF(D393="V02",cad!$J$21,cad!$K$21))</f>
        <v/>
      </c>
      <c r="H393">
        <f>IF(D393="V01",cad!$I$22,IF(D393="V02",cad!$J$22,cad!$K$22))</f>
        <v/>
      </c>
      <c r="I393">
        <f>IF(D393="V01",cad!$I$27,IF(D393="V02",cad!$J$27,cad!$K$27))</f>
        <v/>
      </c>
      <c r="J393">
        <f>IF(D393="V01",cad!$I$28,IF(D393="V02",cad!$J$28,cad!$K$28))</f>
        <v/>
      </c>
      <c r="K393">
        <f>IF(D393="V01",cad!$I$29,IF(D393="V02",cad!$J$29,cad!$K$29))</f>
        <v/>
      </c>
      <c r="L393">
        <f>IF(D393="V01",cad!$I$30,IF(D393="V02",cad!$J$30,cad!$K$30))</f>
        <v/>
      </c>
      <c r="M393">
        <f>IF(D393="V01",cad!$I$31,IF(D393="V02",cad!$J$31,cad!$K$31))</f>
        <v/>
      </c>
      <c r="N393">
        <f>IF(D393="V01",$R$2,IF(D393="V02",$R$3,$R$4))</f>
        <v/>
      </c>
      <c r="O393">
        <f>IF(OR(B393="7062",B393="706",B393="708"),N393,IF(B393="6231",1+G393,IF(B393="6236",1+H393,IF(OR(B393="621",B393="604",B393="6063"),N393*(1-L393),IF(OR(B393="6411",B393="6413",B393="6414",B393="645"),(1+J393)*(1+K393),IF(OR(B393="613",B393="615",B393="616",B393="6226",B393="625",B393="626",B393="6281"),(1+I393)*(1-L393)*(1+M393),IF(OR(B393="6331",B393="63511",B393="6333"),(1+I393)*(1-L393),IF(B393="6811",1+I393,1))))))))</f>
        <v/>
      </c>
      <c r="P393">
        <f>IF(E393=1,F393*O393,"")</f>
        <v/>
      </c>
    </row>
    <row r="394">
      <c r="A394">
        <f>PNL!A394</f>
        <v/>
      </c>
      <c r="B394">
        <f>PNL!B394</f>
        <v/>
      </c>
      <c r="C394">
        <f>PNL!C394</f>
        <v/>
      </c>
      <c r="D394">
        <f>PNL!D394</f>
        <v/>
      </c>
      <c r="E394">
        <f>IF(AND(C394="2027",OR(D394="V01",D394="V02",D394="V03")),1,0)</f>
        <v/>
      </c>
      <c r="F394">
        <f>IF(E394=1,SUMIFS(Compta!$F$2:$F$675,Compta!$A$2:$A$675,A394,Compta!$B$2:$B$675,B394,Compta!$C$2:$C$675,"2026"),0)</f>
        <v/>
      </c>
      <c r="G394">
        <f>IF(D394="V01",cad!$I$21,IF(D394="V02",cad!$J$21,cad!$K$21))</f>
        <v/>
      </c>
      <c r="H394">
        <f>IF(D394="V01",cad!$I$22,IF(D394="V02",cad!$J$22,cad!$K$22))</f>
        <v/>
      </c>
      <c r="I394">
        <f>IF(D394="V01",cad!$I$27,IF(D394="V02",cad!$J$27,cad!$K$27))</f>
        <v/>
      </c>
      <c r="J394">
        <f>IF(D394="V01",cad!$I$28,IF(D394="V02",cad!$J$28,cad!$K$28))</f>
        <v/>
      </c>
      <c r="K394">
        <f>IF(D394="V01",cad!$I$29,IF(D394="V02",cad!$J$29,cad!$K$29))</f>
        <v/>
      </c>
      <c r="L394">
        <f>IF(D394="V01",cad!$I$30,IF(D394="V02",cad!$J$30,cad!$K$30))</f>
        <v/>
      </c>
      <c r="M394">
        <f>IF(D394="V01",cad!$I$31,IF(D394="V02",cad!$J$31,cad!$K$31))</f>
        <v/>
      </c>
      <c r="N394">
        <f>IF(D394="V01",$R$2,IF(D394="V02",$R$3,$R$4))</f>
        <v/>
      </c>
      <c r="O394">
        <f>IF(OR(B394="7062",B394="706",B394="708"),N394,IF(B394="6231",1+G394,IF(B394="6236",1+H394,IF(OR(B394="621",B394="604",B394="6063"),N394*(1-L394),IF(OR(B394="6411",B394="6413",B394="6414",B394="645"),(1+J394)*(1+K394),IF(OR(B394="613",B394="615",B394="616",B394="6226",B394="625",B394="626",B394="6281"),(1+I394)*(1-L394)*(1+M394),IF(OR(B394="6331",B394="63511",B394="6333"),(1+I394)*(1-L394),IF(B394="6811",1+I394,1))))))))</f>
        <v/>
      </c>
      <c r="P394">
        <f>IF(E394=1,F394*O394,"")</f>
        <v/>
      </c>
    </row>
    <row r="395">
      <c r="A395">
        <f>PNL!A395</f>
        <v/>
      </c>
      <c r="B395">
        <f>PNL!B395</f>
        <v/>
      </c>
      <c r="C395">
        <f>PNL!C395</f>
        <v/>
      </c>
      <c r="D395">
        <f>PNL!D395</f>
        <v/>
      </c>
      <c r="E395">
        <f>IF(AND(C395="2027",OR(D395="V01",D395="V02",D395="V03")),1,0)</f>
        <v/>
      </c>
      <c r="F395">
        <f>IF(E395=1,SUMIFS(Compta!$F$2:$F$675,Compta!$A$2:$A$675,A395,Compta!$B$2:$B$675,B395,Compta!$C$2:$C$675,"2026"),0)</f>
        <v/>
      </c>
      <c r="G395">
        <f>IF(D395="V01",cad!$I$21,IF(D395="V02",cad!$J$21,cad!$K$21))</f>
        <v/>
      </c>
      <c r="H395">
        <f>IF(D395="V01",cad!$I$22,IF(D395="V02",cad!$J$22,cad!$K$22))</f>
        <v/>
      </c>
      <c r="I395">
        <f>IF(D395="V01",cad!$I$27,IF(D395="V02",cad!$J$27,cad!$K$27))</f>
        <v/>
      </c>
      <c r="J395">
        <f>IF(D395="V01",cad!$I$28,IF(D395="V02",cad!$J$28,cad!$K$28))</f>
        <v/>
      </c>
      <c r="K395">
        <f>IF(D395="V01",cad!$I$29,IF(D395="V02",cad!$J$29,cad!$K$29))</f>
        <v/>
      </c>
      <c r="L395">
        <f>IF(D395="V01",cad!$I$30,IF(D395="V02",cad!$J$30,cad!$K$30))</f>
        <v/>
      </c>
      <c r="M395">
        <f>IF(D395="V01",cad!$I$31,IF(D395="V02",cad!$J$31,cad!$K$31))</f>
        <v/>
      </c>
      <c r="N395">
        <f>IF(D395="V01",$R$2,IF(D395="V02",$R$3,$R$4))</f>
        <v/>
      </c>
      <c r="O395">
        <f>IF(OR(B395="7062",B395="706",B395="708"),N395,IF(B395="6231",1+G395,IF(B395="6236",1+H395,IF(OR(B395="621",B395="604",B395="6063"),N395*(1-L395),IF(OR(B395="6411",B395="6413",B395="6414",B395="645"),(1+J395)*(1+K395),IF(OR(B395="613",B395="615",B395="616",B395="6226",B395="625",B395="626",B395="6281"),(1+I395)*(1-L395)*(1+M395),IF(OR(B395="6331",B395="63511",B395="6333"),(1+I395)*(1-L395),IF(B395="6811",1+I395,1))))))))</f>
        <v/>
      </c>
      <c r="P395">
        <f>IF(E395=1,F395*O395,"")</f>
        <v/>
      </c>
    </row>
    <row r="396">
      <c r="A396">
        <f>PNL!A396</f>
        <v/>
      </c>
      <c r="B396">
        <f>PNL!B396</f>
        <v/>
      </c>
      <c r="C396">
        <f>PNL!C396</f>
        <v/>
      </c>
      <c r="D396">
        <f>PNL!D396</f>
        <v/>
      </c>
      <c r="E396">
        <f>IF(AND(C396="2027",OR(D396="V01",D396="V02",D396="V03")),1,0)</f>
        <v/>
      </c>
      <c r="F396">
        <f>IF(E396=1,SUMIFS(Compta!$F$2:$F$675,Compta!$A$2:$A$675,A396,Compta!$B$2:$B$675,B396,Compta!$C$2:$C$675,"2026"),0)</f>
        <v/>
      </c>
      <c r="G396">
        <f>IF(D396="V01",cad!$I$21,IF(D396="V02",cad!$J$21,cad!$K$21))</f>
        <v/>
      </c>
      <c r="H396">
        <f>IF(D396="V01",cad!$I$22,IF(D396="V02",cad!$J$22,cad!$K$22))</f>
        <v/>
      </c>
      <c r="I396">
        <f>IF(D396="V01",cad!$I$27,IF(D396="V02",cad!$J$27,cad!$K$27))</f>
        <v/>
      </c>
      <c r="J396">
        <f>IF(D396="V01",cad!$I$28,IF(D396="V02",cad!$J$28,cad!$K$28))</f>
        <v/>
      </c>
      <c r="K396">
        <f>IF(D396="V01",cad!$I$29,IF(D396="V02",cad!$J$29,cad!$K$29))</f>
        <v/>
      </c>
      <c r="L396">
        <f>IF(D396="V01",cad!$I$30,IF(D396="V02",cad!$J$30,cad!$K$30))</f>
        <v/>
      </c>
      <c r="M396">
        <f>IF(D396="V01",cad!$I$31,IF(D396="V02",cad!$J$31,cad!$K$31))</f>
        <v/>
      </c>
      <c r="N396">
        <f>IF(D396="V01",$R$2,IF(D396="V02",$R$3,$R$4))</f>
        <v/>
      </c>
      <c r="O396">
        <f>IF(OR(B396="7062",B396="706",B396="708"),N396,IF(B396="6231",1+G396,IF(B396="6236",1+H396,IF(OR(B396="621",B396="604",B396="6063"),N396*(1-L396),IF(OR(B396="6411",B396="6413",B396="6414",B396="645"),(1+J396)*(1+K396),IF(OR(B396="613",B396="615",B396="616",B396="6226",B396="625",B396="626",B396="6281"),(1+I396)*(1-L396)*(1+M396),IF(OR(B396="6331",B396="63511",B396="6333"),(1+I396)*(1-L396),IF(B396="6811",1+I396,1))))))))</f>
        <v/>
      </c>
      <c r="P396">
        <f>IF(E396=1,F396*O396,"")</f>
        <v/>
      </c>
    </row>
    <row r="397">
      <c r="A397">
        <f>PNL!A397</f>
        <v/>
      </c>
      <c r="B397">
        <f>PNL!B397</f>
        <v/>
      </c>
      <c r="C397">
        <f>PNL!C397</f>
        <v/>
      </c>
      <c r="D397">
        <f>PNL!D397</f>
        <v/>
      </c>
      <c r="E397">
        <f>IF(AND(C397="2027",OR(D397="V01",D397="V02",D397="V03")),1,0)</f>
        <v/>
      </c>
      <c r="F397">
        <f>IF(E397=1,SUMIFS(Compta!$F$2:$F$675,Compta!$A$2:$A$675,A397,Compta!$B$2:$B$675,B397,Compta!$C$2:$C$675,"2026"),0)</f>
        <v/>
      </c>
      <c r="G397">
        <f>IF(D397="V01",cad!$I$21,IF(D397="V02",cad!$J$21,cad!$K$21))</f>
        <v/>
      </c>
      <c r="H397">
        <f>IF(D397="V01",cad!$I$22,IF(D397="V02",cad!$J$22,cad!$K$22))</f>
        <v/>
      </c>
      <c r="I397">
        <f>IF(D397="V01",cad!$I$27,IF(D397="V02",cad!$J$27,cad!$K$27))</f>
        <v/>
      </c>
      <c r="J397">
        <f>IF(D397="V01",cad!$I$28,IF(D397="V02",cad!$J$28,cad!$K$28))</f>
        <v/>
      </c>
      <c r="K397">
        <f>IF(D397="V01",cad!$I$29,IF(D397="V02",cad!$J$29,cad!$K$29))</f>
        <v/>
      </c>
      <c r="L397">
        <f>IF(D397="V01",cad!$I$30,IF(D397="V02",cad!$J$30,cad!$K$30))</f>
        <v/>
      </c>
      <c r="M397">
        <f>IF(D397="V01",cad!$I$31,IF(D397="V02",cad!$J$31,cad!$K$31))</f>
        <v/>
      </c>
      <c r="N397">
        <f>IF(D397="V01",$R$2,IF(D397="V02",$R$3,$R$4))</f>
        <v/>
      </c>
      <c r="O397">
        <f>IF(OR(B397="7062",B397="706",B397="708"),N397,IF(B397="6231",1+G397,IF(B397="6236",1+H397,IF(OR(B397="621",B397="604",B397="6063"),N397*(1-L397),IF(OR(B397="6411",B397="6413",B397="6414",B397="645"),(1+J397)*(1+K397),IF(OR(B397="613",B397="615",B397="616",B397="6226",B397="625",B397="626",B397="6281"),(1+I397)*(1-L397)*(1+M397),IF(OR(B397="6331",B397="63511",B397="6333"),(1+I397)*(1-L397),IF(B397="6811",1+I397,1))))))))</f>
        <v/>
      </c>
      <c r="P397">
        <f>IF(E397=1,F397*O397,"")</f>
        <v/>
      </c>
    </row>
    <row r="398">
      <c r="A398">
        <f>PNL!A398</f>
        <v/>
      </c>
      <c r="B398">
        <f>PNL!B398</f>
        <v/>
      </c>
      <c r="C398">
        <f>PNL!C398</f>
        <v/>
      </c>
      <c r="D398">
        <f>PNL!D398</f>
        <v/>
      </c>
      <c r="E398">
        <f>IF(AND(C398="2027",OR(D398="V01",D398="V02",D398="V03")),1,0)</f>
        <v/>
      </c>
      <c r="F398">
        <f>IF(E398=1,SUMIFS(Compta!$F$2:$F$675,Compta!$A$2:$A$675,A398,Compta!$B$2:$B$675,B398,Compta!$C$2:$C$675,"2026"),0)</f>
        <v/>
      </c>
      <c r="G398">
        <f>IF(D398="V01",cad!$I$21,IF(D398="V02",cad!$J$21,cad!$K$21))</f>
        <v/>
      </c>
      <c r="H398">
        <f>IF(D398="V01",cad!$I$22,IF(D398="V02",cad!$J$22,cad!$K$22))</f>
        <v/>
      </c>
      <c r="I398">
        <f>IF(D398="V01",cad!$I$27,IF(D398="V02",cad!$J$27,cad!$K$27))</f>
        <v/>
      </c>
      <c r="J398">
        <f>IF(D398="V01",cad!$I$28,IF(D398="V02",cad!$J$28,cad!$K$28))</f>
        <v/>
      </c>
      <c r="K398">
        <f>IF(D398="V01",cad!$I$29,IF(D398="V02",cad!$J$29,cad!$K$29))</f>
        <v/>
      </c>
      <c r="L398">
        <f>IF(D398="V01",cad!$I$30,IF(D398="V02",cad!$J$30,cad!$K$30))</f>
        <v/>
      </c>
      <c r="M398">
        <f>IF(D398="V01",cad!$I$31,IF(D398="V02",cad!$J$31,cad!$K$31))</f>
        <v/>
      </c>
      <c r="N398">
        <f>IF(D398="V01",$R$2,IF(D398="V02",$R$3,$R$4))</f>
        <v/>
      </c>
      <c r="O398">
        <f>IF(OR(B398="7062",B398="706",B398="708"),N398,IF(B398="6231",1+G398,IF(B398="6236",1+H398,IF(OR(B398="621",B398="604",B398="6063"),N398*(1-L398),IF(OR(B398="6411",B398="6413",B398="6414",B398="645"),(1+J398)*(1+K398),IF(OR(B398="613",B398="615",B398="616",B398="6226",B398="625",B398="626",B398="6281"),(1+I398)*(1-L398)*(1+M398),IF(OR(B398="6331",B398="63511",B398="6333"),(1+I398)*(1-L398),IF(B398="6811",1+I398,1))))))))</f>
        <v/>
      </c>
      <c r="P398">
        <f>IF(E398=1,F398*O398,"")</f>
        <v/>
      </c>
    </row>
    <row r="399">
      <c r="A399">
        <f>PNL!A399</f>
        <v/>
      </c>
      <c r="B399">
        <f>PNL!B399</f>
        <v/>
      </c>
      <c r="C399">
        <f>PNL!C399</f>
        <v/>
      </c>
      <c r="D399">
        <f>PNL!D399</f>
        <v/>
      </c>
      <c r="E399">
        <f>IF(AND(C399="2027",OR(D399="V01",D399="V02",D399="V03")),1,0)</f>
        <v/>
      </c>
      <c r="F399">
        <f>IF(E399=1,SUMIFS(Compta!$F$2:$F$675,Compta!$A$2:$A$675,A399,Compta!$B$2:$B$675,B399,Compta!$C$2:$C$675,"2026"),0)</f>
        <v/>
      </c>
      <c r="G399">
        <f>IF(D399="V01",cad!$I$21,IF(D399="V02",cad!$J$21,cad!$K$21))</f>
        <v/>
      </c>
      <c r="H399">
        <f>IF(D399="V01",cad!$I$22,IF(D399="V02",cad!$J$22,cad!$K$22))</f>
        <v/>
      </c>
      <c r="I399">
        <f>IF(D399="V01",cad!$I$27,IF(D399="V02",cad!$J$27,cad!$K$27))</f>
        <v/>
      </c>
      <c r="J399">
        <f>IF(D399="V01",cad!$I$28,IF(D399="V02",cad!$J$28,cad!$K$28))</f>
        <v/>
      </c>
      <c r="K399">
        <f>IF(D399="V01",cad!$I$29,IF(D399="V02",cad!$J$29,cad!$K$29))</f>
        <v/>
      </c>
      <c r="L399">
        <f>IF(D399="V01",cad!$I$30,IF(D399="V02",cad!$J$30,cad!$K$30))</f>
        <v/>
      </c>
      <c r="M399">
        <f>IF(D399="V01",cad!$I$31,IF(D399="V02",cad!$J$31,cad!$K$31))</f>
        <v/>
      </c>
      <c r="N399">
        <f>IF(D399="V01",$R$2,IF(D399="V02",$R$3,$R$4))</f>
        <v/>
      </c>
      <c r="O399">
        <f>IF(OR(B399="7062",B399="706",B399="708"),N399,IF(B399="6231",1+G399,IF(B399="6236",1+H399,IF(OR(B399="621",B399="604",B399="6063"),N399*(1-L399),IF(OR(B399="6411",B399="6413",B399="6414",B399="645"),(1+J399)*(1+K399),IF(OR(B399="613",B399="615",B399="616",B399="6226",B399="625",B399="626",B399="6281"),(1+I399)*(1-L399)*(1+M399),IF(OR(B399="6331",B399="63511",B399="6333"),(1+I399)*(1-L399),IF(B399="6811",1+I399,1))))))))</f>
        <v/>
      </c>
      <c r="P399">
        <f>IF(E399=1,F399*O399,"")</f>
        <v/>
      </c>
    </row>
    <row r="400">
      <c r="A400">
        <f>PNL!A400</f>
        <v/>
      </c>
      <c r="B400">
        <f>PNL!B400</f>
        <v/>
      </c>
      <c r="C400">
        <f>PNL!C400</f>
        <v/>
      </c>
      <c r="D400">
        <f>PNL!D400</f>
        <v/>
      </c>
      <c r="E400">
        <f>IF(AND(C400="2027",OR(D400="V01",D400="V02",D400="V03")),1,0)</f>
        <v/>
      </c>
      <c r="F400">
        <f>IF(E400=1,SUMIFS(Compta!$F$2:$F$675,Compta!$A$2:$A$675,A400,Compta!$B$2:$B$675,B400,Compta!$C$2:$C$675,"2026"),0)</f>
        <v/>
      </c>
      <c r="G400">
        <f>IF(D400="V01",cad!$I$21,IF(D400="V02",cad!$J$21,cad!$K$21))</f>
        <v/>
      </c>
      <c r="H400">
        <f>IF(D400="V01",cad!$I$22,IF(D400="V02",cad!$J$22,cad!$K$22))</f>
        <v/>
      </c>
      <c r="I400">
        <f>IF(D400="V01",cad!$I$27,IF(D400="V02",cad!$J$27,cad!$K$27))</f>
        <v/>
      </c>
      <c r="J400">
        <f>IF(D400="V01",cad!$I$28,IF(D400="V02",cad!$J$28,cad!$K$28))</f>
        <v/>
      </c>
      <c r="K400">
        <f>IF(D400="V01",cad!$I$29,IF(D400="V02",cad!$J$29,cad!$K$29))</f>
        <v/>
      </c>
      <c r="L400">
        <f>IF(D400="V01",cad!$I$30,IF(D400="V02",cad!$J$30,cad!$K$30))</f>
        <v/>
      </c>
      <c r="M400">
        <f>IF(D400="V01",cad!$I$31,IF(D400="V02",cad!$J$31,cad!$K$31))</f>
        <v/>
      </c>
      <c r="N400">
        <f>IF(D400="V01",$R$2,IF(D400="V02",$R$3,$R$4))</f>
        <v/>
      </c>
      <c r="O400">
        <f>IF(OR(B400="7062",B400="706",B400="708"),N400,IF(B400="6231",1+G400,IF(B400="6236",1+H400,IF(OR(B400="621",B400="604",B400="6063"),N400*(1-L400),IF(OR(B400="6411",B400="6413",B400="6414",B400="645"),(1+J400)*(1+K400),IF(OR(B400="613",B400="615",B400="616",B400="6226",B400="625",B400="626",B400="6281"),(1+I400)*(1-L400)*(1+M400),IF(OR(B400="6331",B400="63511",B400="6333"),(1+I400)*(1-L400),IF(B400="6811",1+I400,1))))))))</f>
        <v/>
      </c>
      <c r="P400">
        <f>IF(E400=1,F400*O400,"")</f>
        <v/>
      </c>
    </row>
    <row r="401">
      <c r="A401">
        <f>PNL!A401</f>
        <v/>
      </c>
      <c r="B401">
        <f>PNL!B401</f>
        <v/>
      </c>
      <c r="C401">
        <f>PNL!C401</f>
        <v/>
      </c>
      <c r="D401">
        <f>PNL!D401</f>
        <v/>
      </c>
      <c r="E401">
        <f>IF(AND(C401="2027",OR(D401="V01",D401="V02",D401="V03")),1,0)</f>
        <v/>
      </c>
      <c r="F401">
        <f>IF(E401=1,SUMIFS(Compta!$F$2:$F$675,Compta!$A$2:$A$675,A401,Compta!$B$2:$B$675,B401,Compta!$C$2:$C$675,"2026"),0)</f>
        <v/>
      </c>
      <c r="G401">
        <f>IF(D401="V01",cad!$I$21,IF(D401="V02",cad!$J$21,cad!$K$21))</f>
        <v/>
      </c>
      <c r="H401">
        <f>IF(D401="V01",cad!$I$22,IF(D401="V02",cad!$J$22,cad!$K$22))</f>
        <v/>
      </c>
      <c r="I401">
        <f>IF(D401="V01",cad!$I$27,IF(D401="V02",cad!$J$27,cad!$K$27))</f>
        <v/>
      </c>
      <c r="J401">
        <f>IF(D401="V01",cad!$I$28,IF(D401="V02",cad!$J$28,cad!$K$28))</f>
        <v/>
      </c>
      <c r="K401">
        <f>IF(D401="V01",cad!$I$29,IF(D401="V02",cad!$J$29,cad!$K$29))</f>
        <v/>
      </c>
      <c r="L401">
        <f>IF(D401="V01",cad!$I$30,IF(D401="V02",cad!$J$30,cad!$K$30))</f>
        <v/>
      </c>
      <c r="M401">
        <f>IF(D401="V01",cad!$I$31,IF(D401="V02",cad!$J$31,cad!$K$31))</f>
        <v/>
      </c>
      <c r="N401">
        <f>IF(D401="V01",$R$2,IF(D401="V02",$R$3,$R$4))</f>
        <v/>
      </c>
      <c r="O401">
        <f>IF(OR(B401="7062",B401="706",B401="708"),N401,IF(B401="6231",1+G401,IF(B401="6236",1+H401,IF(OR(B401="621",B401="604",B401="6063"),N401*(1-L401),IF(OR(B401="6411",B401="6413",B401="6414",B401="645"),(1+J401)*(1+K401),IF(OR(B401="613",B401="615",B401="616",B401="6226",B401="625",B401="626",B401="6281"),(1+I401)*(1-L401)*(1+M401),IF(OR(B401="6331",B401="63511",B401="6333"),(1+I401)*(1-L401),IF(B401="6811",1+I401,1))))))))</f>
        <v/>
      </c>
      <c r="P401">
        <f>IF(E401=1,F401*O401,"")</f>
        <v/>
      </c>
    </row>
    <row r="402">
      <c r="A402">
        <f>PNL!A402</f>
        <v/>
      </c>
      <c r="B402">
        <f>PNL!B402</f>
        <v/>
      </c>
      <c r="C402">
        <f>PNL!C402</f>
        <v/>
      </c>
      <c r="D402">
        <f>PNL!D402</f>
        <v/>
      </c>
      <c r="E402">
        <f>IF(AND(C402="2027",OR(D402="V01",D402="V02",D402="V03")),1,0)</f>
        <v/>
      </c>
      <c r="F402">
        <f>IF(E402=1,SUMIFS(Compta!$F$2:$F$675,Compta!$A$2:$A$675,A402,Compta!$B$2:$B$675,B402,Compta!$C$2:$C$675,"2026"),0)</f>
        <v/>
      </c>
      <c r="G402">
        <f>IF(D402="V01",cad!$I$21,IF(D402="V02",cad!$J$21,cad!$K$21))</f>
        <v/>
      </c>
      <c r="H402">
        <f>IF(D402="V01",cad!$I$22,IF(D402="V02",cad!$J$22,cad!$K$22))</f>
        <v/>
      </c>
      <c r="I402">
        <f>IF(D402="V01",cad!$I$27,IF(D402="V02",cad!$J$27,cad!$K$27))</f>
        <v/>
      </c>
      <c r="J402">
        <f>IF(D402="V01",cad!$I$28,IF(D402="V02",cad!$J$28,cad!$K$28))</f>
        <v/>
      </c>
      <c r="K402">
        <f>IF(D402="V01",cad!$I$29,IF(D402="V02",cad!$J$29,cad!$K$29))</f>
        <v/>
      </c>
      <c r="L402">
        <f>IF(D402="V01",cad!$I$30,IF(D402="V02",cad!$J$30,cad!$K$30))</f>
        <v/>
      </c>
      <c r="M402">
        <f>IF(D402="V01",cad!$I$31,IF(D402="V02",cad!$J$31,cad!$K$31))</f>
        <v/>
      </c>
      <c r="N402">
        <f>IF(D402="V01",$R$2,IF(D402="V02",$R$3,$R$4))</f>
        <v/>
      </c>
      <c r="O402">
        <f>IF(OR(B402="7062",B402="706",B402="708"),N402,IF(B402="6231",1+G402,IF(B402="6236",1+H402,IF(OR(B402="621",B402="604",B402="6063"),N402*(1-L402),IF(OR(B402="6411",B402="6413",B402="6414",B402="645"),(1+J402)*(1+K402),IF(OR(B402="613",B402="615",B402="616",B402="6226",B402="625",B402="626",B402="6281"),(1+I402)*(1-L402)*(1+M402),IF(OR(B402="6331",B402="63511",B402="6333"),(1+I402)*(1-L402),IF(B402="6811",1+I402,1))))))))</f>
        <v/>
      </c>
      <c r="P402">
        <f>IF(E402=1,F402*O402,"")</f>
        <v/>
      </c>
    </row>
    <row r="403">
      <c r="A403">
        <f>PNL!A403</f>
        <v/>
      </c>
      <c r="B403">
        <f>PNL!B403</f>
        <v/>
      </c>
      <c r="C403">
        <f>PNL!C403</f>
        <v/>
      </c>
      <c r="D403">
        <f>PNL!D403</f>
        <v/>
      </c>
      <c r="E403">
        <f>IF(AND(C403="2027",OR(D403="V01",D403="V02",D403="V03")),1,0)</f>
        <v/>
      </c>
      <c r="F403">
        <f>IF(E403=1,SUMIFS(Compta!$F$2:$F$675,Compta!$A$2:$A$675,A403,Compta!$B$2:$B$675,B403,Compta!$C$2:$C$675,"2026"),0)</f>
        <v/>
      </c>
      <c r="G403">
        <f>IF(D403="V01",cad!$I$21,IF(D403="V02",cad!$J$21,cad!$K$21))</f>
        <v/>
      </c>
      <c r="H403">
        <f>IF(D403="V01",cad!$I$22,IF(D403="V02",cad!$J$22,cad!$K$22))</f>
        <v/>
      </c>
      <c r="I403">
        <f>IF(D403="V01",cad!$I$27,IF(D403="V02",cad!$J$27,cad!$K$27))</f>
        <v/>
      </c>
      <c r="J403">
        <f>IF(D403="V01",cad!$I$28,IF(D403="V02",cad!$J$28,cad!$K$28))</f>
        <v/>
      </c>
      <c r="K403">
        <f>IF(D403="V01",cad!$I$29,IF(D403="V02",cad!$J$29,cad!$K$29))</f>
        <v/>
      </c>
      <c r="L403">
        <f>IF(D403="V01",cad!$I$30,IF(D403="V02",cad!$J$30,cad!$K$30))</f>
        <v/>
      </c>
      <c r="M403">
        <f>IF(D403="V01",cad!$I$31,IF(D403="V02",cad!$J$31,cad!$K$31))</f>
        <v/>
      </c>
      <c r="N403">
        <f>IF(D403="V01",$R$2,IF(D403="V02",$R$3,$R$4))</f>
        <v/>
      </c>
      <c r="O403">
        <f>IF(OR(B403="7062",B403="706",B403="708"),N403,IF(B403="6231",1+G403,IF(B403="6236",1+H403,IF(OR(B403="621",B403="604",B403="6063"),N403*(1-L403),IF(OR(B403="6411",B403="6413",B403="6414",B403="645"),(1+J403)*(1+K403),IF(OR(B403="613",B403="615",B403="616",B403="6226",B403="625",B403="626",B403="6281"),(1+I403)*(1-L403)*(1+M403),IF(OR(B403="6331",B403="63511",B403="6333"),(1+I403)*(1-L403),IF(B403="6811",1+I403,1))))))))</f>
        <v/>
      </c>
      <c r="P403">
        <f>IF(E403=1,F403*O403,"")</f>
        <v/>
      </c>
    </row>
    <row r="404">
      <c r="A404">
        <f>PNL!A404</f>
        <v/>
      </c>
      <c r="B404">
        <f>PNL!B404</f>
        <v/>
      </c>
      <c r="C404">
        <f>PNL!C404</f>
        <v/>
      </c>
      <c r="D404">
        <f>PNL!D404</f>
        <v/>
      </c>
      <c r="E404">
        <f>IF(AND(C404="2027",OR(D404="V01",D404="V02",D404="V03")),1,0)</f>
        <v/>
      </c>
      <c r="F404">
        <f>IF(E404=1,SUMIFS(Compta!$F$2:$F$675,Compta!$A$2:$A$675,A404,Compta!$B$2:$B$675,B404,Compta!$C$2:$C$675,"2026"),0)</f>
        <v/>
      </c>
      <c r="G404">
        <f>IF(D404="V01",cad!$I$21,IF(D404="V02",cad!$J$21,cad!$K$21))</f>
        <v/>
      </c>
      <c r="H404">
        <f>IF(D404="V01",cad!$I$22,IF(D404="V02",cad!$J$22,cad!$K$22))</f>
        <v/>
      </c>
      <c r="I404">
        <f>IF(D404="V01",cad!$I$27,IF(D404="V02",cad!$J$27,cad!$K$27))</f>
        <v/>
      </c>
      <c r="J404">
        <f>IF(D404="V01",cad!$I$28,IF(D404="V02",cad!$J$28,cad!$K$28))</f>
        <v/>
      </c>
      <c r="K404">
        <f>IF(D404="V01",cad!$I$29,IF(D404="V02",cad!$J$29,cad!$K$29))</f>
        <v/>
      </c>
      <c r="L404">
        <f>IF(D404="V01",cad!$I$30,IF(D404="V02",cad!$J$30,cad!$K$30))</f>
        <v/>
      </c>
      <c r="M404">
        <f>IF(D404="V01",cad!$I$31,IF(D404="V02",cad!$J$31,cad!$K$31))</f>
        <v/>
      </c>
      <c r="N404">
        <f>IF(D404="V01",$R$2,IF(D404="V02",$R$3,$R$4))</f>
        <v/>
      </c>
      <c r="O404">
        <f>IF(OR(B404="7062",B404="706",B404="708"),N404,IF(B404="6231",1+G404,IF(B404="6236",1+H404,IF(OR(B404="621",B404="604",B404="6063"),N404*(1-L404),IF(OR(B404="6411",B404="6413",B404="6414",B404="645"),(1+J404)*(1+K404),IF(OR(B404="613",B404="615",B404="616",B404="6226",B404="625",B404="626",B404="6281"),(1+I404)*(1-L404)*(1+M404),IF(OR(B404="6331",B404="63511",B404="6333"),(1+I404)*(1-L404),IF(B404="6811",1+I404,1))))))))</f>
        <v/>
      </c>
      <c r="P404">
        <f>IF(E404=1,F404*O404,"")</f>
        <v/>
      </c>
    </row>
    <row r="405">
      <c r="A405">
        <f>PNL!A405</f>
        <v/>
      </c>
      <c r="B405">
        <f>PNL!B405</f>
        <v/>
      </c>
      <c r="C405">
        <f>PNL!C405</f>
        <v/>
      </c>
      <c r="D405">
        <f>PNL!D405</f>
        <v/>
      </c>
      <c r="E405">
        <f>IF(AND(C405="2027",OR(D405="V01",D405="V02",D405="V03")),1,0)</f>
        <v/>
      </c>
      <c r="F405">
        <f>IF(E405=1,SUMIFS(Compta!$F$2:$F$675,Compta!$A$2:$A$675,A405,Compta!$B$2:$B$675,B405,Compta!$C$2:$C$675,"2026"),0)</f>
        <v/>
      </c>
      <c r="G405">
        <f>IF(D405="V01",cad!$I$21,IF(D405="V02",cad!$J$21,cad!$K$21))</f>
        <v/>
      </c>
      <c r="H405">
        <f>IF(D405="V01",cad!$I$22,IF(D405="V02",cad!$J$22,cad!$K$22))</f>
        <v/>
      </c>
      <c r="I405">
        <f>IF(D405="V01",cad!$I$27,IF(D405="V02",cad!$J$27,cad!$K$27))</f>
        <v/>
      </c>
      <c r="J405">
        <f>IF(D405="V01",cad!$I$28,IF(D405="V02",cad!$J$28,cad!$K$28))</f>
        <v/>
      </c>
      <c r="K405">
        <f>IF(D405="V01",cad!$I$29,IF(D405="V02",cad!$J$29,cad!$K$29))</f>
        <v/>
      </c>
      <c r="L405">
        <f>IF(D405="V01",cad!$I$30,IF(D405="V02",cad!$J$30,cad!$K$30))</f>
        <v/>
      </c>
      <c r="M405">
        <f>IF(D405="V01",cad!$I$31,IF(D405="V02",cad!$J$31,cad!$K$31))</f>
        <v/>
      </c>
      <c r="N405">
        <f>IF(D405="V01",$R$2,IF(D405="V02",$R$3,$R$4))</f>
        <v/>
      </c>
      <c r="O405">
        <f>IF(OR(B405="7062",B405="706",B405="708"),N405,IF(B405="6231",1+G405,IF(B405="6236",1+H405,IF(OR(B405="621",B405="604",B405="6063"),N405*(1-L405),IF(OR(B405="6411",B405="6413",B405="6414",B405="645"),(1+J405)*(1+K405),IF(OR(B405="613",B405="615",B405="616",B405="6226",B405="625",B405="626",B405="6281"),(1+I405)*(1-L405)*(1+M405),IF(OR(B405="6331",B405="63511",B405="6333"),(1+I405)*(1-L405),IF(B405="6811",1+I405,1))))))))</f>
        <v/>
      </c>
      <c r="P405">
        <f>IF(E405=1,F405*O405,"")</f>
        <v/>
      </c>
    </row>
    <row r="406">
      <c r="A406">
        <f>PNL!A406</f>
        <v/>
      </c>
      <c r="B406">
        <f>PNL!B406</f>
        <v/>
      </c>
      <c r="C406">
        <f>PNL!C406</f>
        <v/>
      </c>
      <c r="D406">
        <f>PNL!D406</f>
        <v/>
      </c>
      <c r="E406">
        <f>IF(AND(C406="2027",OR(D406="V01",D406="V02",D406="V03")),1,0)</f>
        <v/>
      </c>
      <c r="F406">
        <f>IF(E406=1,SUMIFS(Compta!$F$2:$F$675,Compta!$A$2:$A$675,A406,Compta!$B$2:$B$675,B406,Compta!$C$2:$C$675,"2026"),0)</f>
        <v/>
      </c>
      <c r="G406">
        <f>IF(D406="V01",cad!$I$21,IF(D406="V02",cad!$J$21,cad!$K$21))</f>
        <v/>
      </c>
      <c r="H406">
        <f>IF(D406="V01",cad!$I$22,IF(D406="V02",cad!$J$22,cad!$K$22))</f>
        <v/>
      </c>
      <c r="I406">
        <f>IF(D406="V01",cad!$I$27,IF(D406="V02",cad!$J$27,cad!$K$27))</f>
        <v/>
      </c>
      <c r="J406">
        <f>IF(D406="V01",cad!$I$28,IF(D406="V02",cad!$J$28,cad!$K$28))</f>
        <v/>
      </c>
      <c r="K406">
        <f>IF(D406="V01",cad!$I$29,IF(D406="V02",cad!$J$29,cad!$K$29))</f>
        <v/>
      </c>
      <c r="L406">
        <f>IF(D406="V01",cad!$I$30,IF(D406="V02",cad!$J$30,cad!$K$30))</f>
        <v/>
      </c>
      <c r="M406">
        <f>IF(D406="V01",cad!$I$31,IF(D406="V02",cad!$J$31,cad!$K$31))</f>
        <v/>
      </c>
      <c r="N406">
        <f>IF(D406="V01",$R$2,IF(D406="V02",$R$3,$R$4))</f>
        <v/>
      </c>
      <c r="O406">
        <f>IF(OR(B406="7062",B406="706",B406="708"),N406,IF(B406="6231",1+G406,IF(B406="6236",1+H406,IF(OR(B406="621",B406="604",B406="6063"),N406*(1-L406),IF(OR(B406="6411",B406="6413",B406="6414",B406="645"),(1+J406)*(1+K406),IF(OR(B406="613",B406="615",B406="616",B406="6226",B406="625",B406="626",B406="6281"),(1+I406)*(1-L406)*(1+M406),IF(OR(B406="6331",B406="63511",B406="6333"),(1+I406)*(1-L406),IF(B406="6811",1+I406,1))))))))</f>
        <v/>
      </c>
      <c r="P406">
        <f>IF(E406=1,F406*O406,"")</f>
        <v/>
      </c>
    </row>
    <row r="407">
      <c r="A407">
        <f>PNL!A407</f>
        <v/>
      </c>
      <c r="B407">
        <f>PNL!B407</f>
        <v/>
      </c>
      <c r="C407">
        <f>PNL!C407</f>
        <v/>
      </c>
      <c r="D407">
        <f>PNL!D407</f>
        <v/>
      </c>
      <c r="E407">
        <f>IF(AND(C407="2027",OR(D407="V01",D407="V02",D407="V03")),1,0)</f>
        <v/>
      </c>
      <c r="F407">
        <f>IF(E407=1,SUMIFS(Compta!$F$2:$F$675,Compta!$A$2:$A$675,A407,Compta!$B$2:$B$675,B407,Compta!$C$2:$C$675,"2026"),0)</f>
        <v/>
      </c>
      <c r="G407">
        <f>IF(D407="V01",cad!$I$21,IF(D407="V02",cad!$J$21,cad!$K$21))</f>
        <v/>
      </c>
      <c r="H407">
        <f>IF(D407="V01",cad!$I$22,IF(D407="V02",cad!$J$22,cad!$K$22))</f>
        <v/>
      </c>
      <c r="I407">
        <f>IF(D407="V01",cad!$I$27,IF(D407="V02",cad!$J$27,cad!$K$27))</f>
        <v/>
      </c>
      <c r="J407">
        <f>IF(D407="V01",cad!$I$28,IF(D407="V02",cad!$J$28,cad!$K$28))</f>
        <v/>
      </c>
      <c r="K407">
        <f>IF(D407="V01",cad!$I$29,IF(D407="V02",cad!$J$29,cad!$K$29))</f>
        <v/>
      </c>
      <c r="L407">
        <f>IF(D407="V01",cad!$I$30,IF(D407="V02",cad!$J$30,cad!$K$30))</f>
        <v/>
      </c>
      <c r="M407">
        <f>IF(D407="V01",cad!$I$31,IF(D407="V02",cad!$J$31,cad!$K$31))</f>
        <v/>
      </c>
      <c r="N407">
        <f>IF(D407="V01",$R$2,IF(D407="V02",$R$3,$R$4))</f>
        <v/>
      </c>
      <c r="O407">
        <f>IF(OR(B407="7062",B407="706",B407="708"),N407,IF(B407="6231",1+G407,IF(B407="6236",1+H407,IF(OR(B407="621",B407="604",B407="6063"),N407*(1-L407),IF(OR(B407="6411",B407="6413",B407="6414",B407="645"),(1+J407)*(1+K407),IF(OR(B407="613",B407="615",B407="616",B407="6226",B407="625",B407="626",B407="6281"),(1+I407)*(1-L407)*(1+M407),IF(OR(B407="6331",B407="63511",B407="6333"),(1+I407)*(1-L407),IF(B407="6811",1+I407,1))))))))</f>
        <v/>
      </c>
      <c r="P407">
        <f>IF(E407=1,F407*O407,"")</f>
        <v/>
      </c>
    </row>
    <row r="408">
      <c r="A408">
        <f>PNL!A408</f>
        <v/>
      </c>
      <c r="B408">
        <f>PNL!B408</f>
        <v/>
      </c>
      <c r="C408">
        <f>PNL!C408</f>
        <v/>
      </c>
      <c r="D408">
        <f>PNL!D408</f>
        <v/>
      </c>
      <c r="E408">
        <f>IF(AND(C408="2027",OR(D408="V01",D408="V02",D408="V03")),1,0)</f>
        <v/>
      </c>
      <c r="F408">
        <f>IF(E408=1,SUMIFS(Compta!$F$2:$F$675,Compta!$A$2:$A$675,A408,Compta!$B$2:$B$675,B408,Compta!$C$2:$C$675,"2026"),0)</f>
        <v/>
      </c>
      <c r="G408">
        <f>IF(D408="V01",cad!$I$21,IF(D408="V02",cad!$J$21,cad!$K$21))</f>
        <v/>
      </c>
      <c r="H408">
        <f>IF(D408="V01",cad!$I$22,IF(D408="V02",cad!$J$22,cad!$K$22))</f>
        <v/>
      </c>
      <c r="I408">
        <f>IF(D408="V01",cad!$I$27,IF(D408="V02",cad!$J$27,cad!$K$27))</f>
        <v/>
      </c>
      <c r="J408">
        <f>IF(D408="V01",cad!$I$28,IF(D408="V02",cad!$J$28,cad!$K$28))</f>
        <v/>
      </c>
      <c r="K408">
        <f>IF(D408="V01",cad!$I$29,IF(D408="V02",cad!$J$29,cad!$K$29))</f>
        <v/>
      </c>
      <c r="L408">
        <f>IF(D408="V01",cad!$I$30,IF(D408="V02",cad!$J$30,cad!$K$30))</f>
        <v/>
      </c>
      <c r="M408">
        <f>IF(D408="V01",cad!$I$31,IF(D408="V02",cad!$J$31,cad!$K$31))</f>
        <v/>
      </c>
      <c r="N408">
        <f>IF(D408="V01",$R$2,IF(D408="V02",$R$3,$R$4))</f>
        <v/>
      </c>
      <c r="O408">
        <f>IF(OR(B408="7062",B408="706",B408="708"),N408,IF(B408="6231",1+G408,IF(B408="6236",1+H408,IF(OR(B408="621",B408="604",B408="6063"),N408*(1-L408),IF(OR(B408="6411",B408="6413",B408="6414",B408="645"),(1+J408)*(1+K408),IF(OR(B408="613",B408="615",B408="616",B408="6226",B408="625",B408="626",B408="6281"),(1+I408)*(1-L408)*(1+M408),IF(OR(B408="6331",B408="63511",B408="6333"),(1+I408)*(1-L408),IF(B408="6811",1+I408,1))))))))</f>
        <v/>
      </c>
      <c r="P408">
        <f>IF(E408=1,F408*O408,"")</f>
        <v/>
      </c>
    </row>
    <row r="409">
      <c r="A409">
        <f>PNL!A409</f>
        <v/>
      </c>
      <c r="B409">
        <f>PNL!B409</f>
        <v/>
      </c>
      <c r="C409">
        <f>PNL!C409</f>
        <v/>
      </c>
      <c r="D409">
        <f>PNL!D409</f>
        <v/>
      </c>
      <c r="E409">
        <f>IF(AND(C409="2027",OR(D409="V01",D409="V02",D409="V03")),1,0)</f>
        <v/>
      </c>
      <c r="F409">
        <f>IF(E409=1,SUMIFS(Compta!$F$2:$F$675,Compta!$A$2:$A$675,A409,Compta!$B$2:$B$675,B409,Compta!$C$2:$C$675,"2026"),0)</f>
        <v/>
      </c>
      <c r="G409">
        <f>IF(D409="V01",cad!$I$21,IF(D409="V02",cad!$J$21,cad!$K$21))</f>
        <v/>
      </c>
      <c r="H409">
        <f>IF(D409="V01",cad!$I$22,IF(D409="V02",cad!$J$22,cad!$K$22))</f>
        <v/>
      </c>
      <c r="I409">
        <f>IF(D409="V01",cad!$I$27,IF(D409="V02",cad!$J$27,cad!$K$27))</f>
        <v/>
      </c>
      <c r="J409">
        <f>IF(D409="V01",cad!$I$28,IF(D409="V02",cad!$J$28,cad!$K$28))</f>
        <v/>
      </c>
      <c r="K409">
        <f>IF(D409="V01",cad!$I$29,IF(D409="V02",cad!$J$29,cad!$K$29))</f>
        <v/>
      </c>
      <c r="L409">
        <f>IF(D409="V01",cad!$I$30,IF(D409="V02",cad!$J$30,cad!$K$30))</f>
        <v/>
      </c>
      <c r="M409">
        <f>IF(D409="V01",cad!$I$31,IF(D409="V02",cad!$J$31,cad!$K$31))</f>
        <v/>
      </c>
      <c r="N409">
        <f>IF(D409="V01",$R$2,IF(D409="V02",$R$3,$R$4))</f>
        <v/>
      </c>
      <c r="O409">
        <f>IF(OR(B409="7062",B409="706",B409="708"),N409,IF(B409="6231",1+G409,IF(B409="6236",1+H409,IF(OR(B409="621",B409="604",B409="6063"),N409*(1-L409),IF(OR(B409="6411",B409="6413",B409="6414",B409="645"),(1+J409)*(1+K409),IF(OR(B409="613",B409="615",B409="616",B409="6226",B409="625",B409="626",B409="6281"),(1+I409)*(1-L409)*(1+M409),IF(OR(B409="6331",B409="63511",B409="6333"),(1+I409)*(1-L409),IF(B409="6811",1+I409,1))))))))</f>
        <v/>
      </c>
      <c r="P409">
        <f>IF(E409=1,F409*O409,"")</f>
        <v/>
      </c>
    </row>
    <row r="410">
      <c r="A410">
        <f>PNL!A410</f>
        <v/>
      </c>
      <c r="B410">
        <f>PNL!B410</f>
        <v/>
      </c>
      <c r="C410">
        <f>PNL!C410</f>
        <v/>
      </c>
      <c r="D410">
        <f>PNL!D410</f>
        <v/>
      </c>
      <c r="E410">
        <f>IF(AND(C410="2027",OR(D410="V01",D410="V02",D410="V03")),1,0)</f>
        <v/>
      </c>
      <c r="F410">
        <f>IF(E410=1,SUMIFS(Compta!$F$2:$F$675,Compta!$A$2:$A$675,A410,Compta!$B$2:$B$675,B410,Compta!$C$2:$C$675,"2026"),0)</f>
        <v/>
      </c>
      <c r="G410">
        <f>IF(D410="V01",cad!$I$21,IF(D410="V02",cad!$J$21,cad!$K$21))</f>
        <v/>
      </c>
      <c r="H410">
        <f>IF(D410="V01",cad!$I$22,IF(D410="V02",cad!$J$22,cad!$K$22))</f>
        <v/>
      </c>
      <c r="I410">
        <f>IF(D410="V01",cad!$I$27,IF(D410="V02",cad!$J$27,cad!$K$27))</f>
        <v/>
      </c>
      <c r="J410">
        <f>IF(D410="V01",cad!$I$28,IF(D410="V02",cad!$J$28,cad!$K$28))</f>
        <v/>
      </c>
      <c r="K410">
        <f>IF(D410="V01",cad!$I$29,IF(D410="V02",cad!$J$29,cad!$K$29))</f>
        <v/>
      </c>
      <c r="L410">
        <f>IF(D410="V01",cad!$I$30,IF(D410="V02",cad!$J$30,cad!$K$30))</f>
        <v/>
      </c>
      <c r="M410">
        <f>IF(D410="V01",cad!$I$31,IF(D410="V02",cad!$J$31,cad!$K$31))</f>
        <v/>
      </c>
      <c r="N410">
        <f>IF(D410="V01",$R$2,IF(D410="V02",$R$3,$R$4))</f>
        <v/>
      </c>
      <c r="O410">
        <f>IF(OR(B410="7062",B410="706",B410="708"),N410,IF(B410="6231",1+G410,IF(B410="6236",1+H410,IF(OR(B410="621",B410="604",B410="6063"),N410*(1-L410),IF(OR(B410="6411",B410="6413",B410="6414",B410="645"),(1+J410)*(1+K410),IF(OR(B410="613",B410="615",B410="616",B410="6226",B410="625",B410="626",B410="6281"),(1+I410)*(1-L410)*(1+M410),IF(OR(B410="6331",B410="63511",B410="6333"),(1+I410)*(1-L410),IF(B410="6811",1+I410,1))))))))</f>
        <v/>
      </c>
      <c r="P410">
        <f>IF(E410=1,F410*O410,"")</f>
        <v/>
      </c>
    </row>
    <row r="411">
      <c r="A411">
        <f>PNL!A411</f>
        <v/>
      </c>
      <c r="B411">
        <f>PNL!B411</f>
        <v/>
      </c>
      <c r="C411">
        <f>PNL!C411</f>
        <v/>
      </c>
      <c r="D411">
        <f>PNL!D411</f>
        <v/>
      </c>
      <c r="E411">
        <f>IF(AND(C411="2027",OR(D411="V01",D411="V02",D411="V03")),1,0)</f>
        <v/>
      </c>
      <c r="F411">
        <f>IF(E411=1,SUMIFS(Compta!$F$2:$F$675,Compta!$A$2:$A$675,A411,Compta!$B$2:$B$675,B411,Compta!$C$2:$C$675,"2026"),0)</f>
        <v/>
      </c>
      <c r="G411">
        <f>IF(D411="V01",cad!$I$21,IF(D411="V02",cad!$J$21,cad!$K$21))</f>
        <v/>
      </c>
      <c r="H411">
        <f>IF(D411="V01",cad!$I$22,IF(D411="V02",cad!$J$22,cad!$K$22))</f>
        <v/>
      </c>
      <c r="I411">
        <f>IF(D411="V01",cad!$I$27,IF(D411="V02",cad!$J$27,cad!$K$27))</f>
        <v/>
      </c>
      <c r="J411">
        <f>IF(D411="V01",cad!$I$28,IF(D411="V02",cad!$J$28,cad!$K$28))</f>
        <v/>
      </c>
      <c r="K411">
        <f>IF(D411="V01",cad!$I$29,IF(D411="V02",cad!$J$29,cad!$K$29))</f>
        <v/>
      </c>
      <c r="L411">
        <f>IF(D411="V01",cad!$I$30,IF(D411="V02",cad!$J$30,cad!$K$30))</f>
        <v/>
      </c>
      <c r="M411">
        <f>IF(D411="V01",cad!$I$31,IF(D411="V02",cad!$J$31,cad!$K$31))</f>
        <v/>
      </c>
      <c r="N411">
        <f>IF(D411="V01",$R$2,IF(D411="V02",$R$3,$R$4))</f>
        <v/>
      </c>
      <c r="O411">
        <f>IF(OR(B411="7062",B411="706",B411="708"),N411,IF(B411="6231",1+G411,IF(B411="6236",1+H411,IF(OR(B411="621",B411="604",B411="6063"),N411*(1-L411),IF(OR(B411="6411",B411="6413",B411="6414",B411="645"),(1+J411)*(1+K411),IF(OR(B411="613",B411="615",B411="616",B411="6226",B411="625",B411="626",B411="6281"),(1+I411)*(1-L411)*(1+M411),IF(OR(B411="6331",B411="63511",B411="6333"),(1+I411)*(1-L411),IF(B411="6811",1+I411,1))))))))</f>
        <v/>
      </c>
      <c r="P411">
        <f>IF(E411=1,F411*O411,"")</f>
        <v/>
      </c>
    </row>
    <row r="412">
      <c r="A412">
        <f>PNL!A412</f>
        <v/>
      </c>
      <c r="B412">
        <f>PNL!B412</f>
        <v/>
      </c>
      <c r="C412">
        <f>PNL!C412</f>
        <v/>
      </c>
      <c r="D412">
        <f>PNL!D412</f>
        <v/>
      </c>
      <c r="E412">
        <f>IF(AND(C412="2027",OR(D412="V01",D412="V02",D412="V03")),1,0)</f>
        <v/>
      </c>
      <c r="F412">
        <f>IF(E412=1,SUMIFS(Compta!$F$2:$F$675,Compta!$A$2:$A$675,A412,Compta!$B$2:$B$675,B412,Compta!$C$2:$C$675,"2026"),0)</f>
        <v/>
      </c>
      <c r="G412">
        <f>IF(D412="V01",cad!$I$21,IF(D412="V02",cad!$J$21,cad!$K$21))</f>
        <v/>
      </c>
      <c r="H412">
        <f>IF(D412="V01",cad!$I$22,IF(D412="V02",cad!$J$22,cad!$K$22))</f>
        <v/>
      </c>
      <c r="I412">
        <f>IF(D412="V01",cad!$I$27,IF(D412="V02",cad!$J$27,cad!$K$27))</f>
        <v/>
      </c>
      <c r="J412">
        <f>IF(D412="V01",cad!$I$28,IF(D412="V02",cad!$J$28,cad!$K$28))</f>
        <v/>
      </c>
      <c r="K412">
        <f>IF(D412="V01",cad!$I$29,IF(D412="V02",cad!$J$29,cad!$K$29))</f>
        <v/>
      </c>
      <c r="L412">
        <f>IF(D412="V01",cad!$I$30,IF(D412="V02",cad!$J$30,cad!$K$30))</f>
        <v/>
      </c>
      <c r="M412">
        <f>IF(D412="V01",cad!$I$31,IF(D412="V02",cad!$J$31,cad!$K$31))</f>
        <v/>
      </c>
      <c r="N412">
        <f>IF(D412="V01",$R$2,IF(D412="V02",$R$3,$R$4))</f>
        <v/>
      </c>
      <c r="O412">
        <f>IF(OR(B412="7062",B412="706",B412="708"),N412,IF(B412="6231",1+G412,IF(B412="6236",1+H412,IF(OR(B412="621",B412="604",B412="6063"),N412*(1-L412),IF(OR(B412="6411",B412="6413",B412="6414",B412="645"),(1+J412)*(1+K412),IF(OR(B412="613",B412="615",B412="616",B412="6226",B412="625",B412="626",B412="6281"),(1+I412)*(1-L412)*(1+M412),IF(OR(B412="6331",B412="63511",B412="6333"),(1+I412)*(1-L412),IF(B412="6811",1+I412,1))))))))</f>
        <v/>
      </c>
      <c r="P412">
        <f>IF(E412=1,F412*O412,"")</f>
        <v/>
      </c>
    </row>
    <row r="413">
      <c r="A413">
        <f>PNL!A413</f>
        <v/>
      </c>
      <c r="B413">
        <f>PNL!B413</f>
        <v/>
      </c>
      <c r="C413">
        <f>PNL!C413</f>
        <v/>
      </c>
      <c r="D413">
        <f>PNL!D413</f>
        <v/>
      </c>
      <c r="E413">
        <f>IF(AND(C413="2027",OR(D413="V01",D413="V02",D413="V03")),1,0)</f>
        <v/>
      </c>
      <c r="F413">
        <f>IF(E413=1,SUMIFS(Compta!$F$2:$F$675,Compta!$A$2:$A$675,A413,Compta!$B$2:$B$675,B413,Compta!$C$2:$C$675,"2026"),0)</f>
        <v/>
      </c>
      <c r="G413">
        <f>IF(D413="V01",cad!$I$21,IF(D413="V02",cad!$J$21,cad!$K$21))</f>
        <v/>
      </c>
      <c r="H413">
        <f>IF(D413="V01",cad!$I$22,IF(D413="V02",cad!$J$22,cad!$K$22))</f>
        <v/>
      </c>
      <c r="I413">
        <f>IF(D413="V01",cad!$I$27,IF(D413="V02",cad!$J$27,cad!$K$27))</f>
        <v/>
      </c>
      <c r="J413">
        <f>IF(D413="V01",cad!$I$28,IF(D413="V02",cad!$J$28,cad!$K$28))</f>
        <v/>
      </c>
      <c r="K413">
        <f>IF(D413="V01",cad!$I$29,IF(D413="V02",cad!$J$29,cad!$K$29))</f>
        <v/>
      </c>
      <c r="L413">
        <f>IF(D413="V01",cad!$I$30,IF(D413="V02",cad!$J$30,cad!$K$30))</f>
        <v/>
      </c>
      <c r="M413">
        <f>IF(D413="V01",cad!$I$31,IF(D413="V02",cad!$J$31,cad!$K$31))</f>
        <v/>
      </c>
      <c r="N413">
        <f>IF(D413="V01",$R$2,IF(D413="V02",$R$3,$R$4))</f>
        <v/>
      </c>
      <c r="O413">
        <f>IF(OR(B413="7062",B413="706",B413="708"),N413,IF(B413="6231",1+G413,IF(B413="6236",1+H413,IF(OR(B413="621",B413="604",B413="6063"),N413*(1-L413),IF(OR(B413="6411",B413="6413",B413="6414",B413="645"),(1+J413)*(1+K413),IF(OR(B413="613",B413="615",B413="616",B413="6226",B413="625",B413="626",B413="6281"),(1+I413)*(1-L413)*(1+M413),IF(OR(B413="6331",B413="63511",B413="6333"),(1+I413)*(1-L413),IF(B413="6811",1+I413,1))))))))</f>
        <v/>
      </c>
      <c r="P413">
        <f>IF(E413=1,F413*O413,"")</f>
        <v/>
      </c>
    </row>
    <row r="414">
      <c r="A414">
        <f>PNL!A414</f>
        <v/>
      </c>
      <c r="B414">
        <f>PNL!B414</f>
        <v/>
      </c>
      <c r="C414">
        <f>PNL!C414</f>
        <v/>
      </c>
      <c r="D414">
        <f>PNL!D414</f>
        <v/>
      </c>
      <c r="E414">
        <f>IF(AND(C414="2027",OR(D414="V01",D414="V02",D414="V03")),1,0)</f>
        <v/>
      </c>
      <c r="F414">
        <f>IF(E414=1,SUMIFS(Compta!$F$2:$F$675,Compta!$A$2:$A$675,A414,Compta!$B$2:$B$675,B414,Compta!$C$2:$C$675,"2026"),0)</f>
        <v/>
      </c>
      <c r="G414">
        <f>IF(D414="V01",cad!$I$21,IF(D414="V02",cad!$J$21,cad!$K$21))</f>
        <v/>
      </c>
      <c r="H414">
        <f>IF(D414="V01",cad!$I$22,IF(D414="V02",cad!$J$22,cad!$K$22))</f>
        <v/>
      </c>
      <c r="I414">
        <f>IF(D414="V01",cad!$I$27,IF(D414="V02",cad!$J$27,cad!$K$27))</f>
        <v/>
      </c>
      <c r="J414">
        <f>IF(D414="V01",cad!$I$28,IF(D414="V02",cad!$J$28,cad!$K$28))</f>
        <v/>
      </c>
      <c r="K414">
        <f>IF(D414="V01",cad!$I$29,IF(D414="V02",cad!$J$29,cad!$K$29))</f>
        <v/>
      </c>
      <c r="L414">
        <f>IF(D414="V01",cad!$I$30,IF(D414="V02",cad!$J$30,cad!$K$30))</f>
        <v/>
      </c>
      <c r="M414">
        <f>IF(D414="V01",cad!$I$31,IF(D414="V02",cad!$J$31,cad!$K$31))</f>
        <v/>
      </c>
      <c r="N414">
        <f>IF(D414="V01",$R$2,IF(D414="V02",$R$3,$R$4))</f>
        <v/>
      </c>
      <c r="O414">
        <f>IF(OR(B414="7062",B414="706",B414="708"),N414,IF(B414="6231",1+G414,IF(B414="6236",1+H414,IF(OR(B414="621",B414="604",B414="6063"),N414*(1-L414),IF(OR(B414="6411",B414="6413",B414="6414",B414="645"),(1+J414)*(1+K414),IF(OR(B414="613",B414="615",B414="616",B414="6226",B414="625",B414="626",B414="6281"),(1+I414)*(1-L414)*(1+M414),IF(OR(B414="6331",B414="63511",B414="6333"),(1+I414)*(1-L414),IF(B414="6811",1+I414,1))))))))</f>
        <v/>
      </c>
      <c r="P414">
        <f>IF(E414=1,F414*O414,"")</f>
        <v/>
      </c>
    </row>
    <row r="415">
      <c r="A415">
        <f>PNL!A415</f>
        <v/>
      </c>
      <c r="B415">
        <f>PNL!B415</f>
        <v/>
      </c>
      <c r="C415">
        <f>PNL!C415</f>
        <v/>
      </c>
      <c r="D415">
        <f>PNL!D415</f>
        <v/>
      </c>
      <c r="E415">
        <f>IF(AND(C415="2027",OR(D415="V01",D415="V02",D415="V03")),1,0)</f>
        <v/>
      </c>
      <c r="F415">
        <f>IF(E415=1,SUMIFS(Compta!$F$2:$F$675,Compta!$A$2:$A$675,A415,Compta!$B$2:$B$675,B415,Compta!$C$2:$C$675,"2026"),0)</f>
        <v/>
      </c>
      <c r="G415">
        <f>IF(D415="V01",cad!$I$21,IF(D415="V02",cad!$J$21,cad!$K$21))</f>
        <v/>
      </c>
      <c r="H415">
        <f>IF(D415="V01",cad!$I$22,IF(D415="V02",cad!$J$22,cad!$K$22))</f>
        <v/>
      </c>
      <c r="I415">
        <f>IF(D415="V01",cad!$I$27,IF(D415="V02",cad!$J$27,cad!$K$27))</f>
        <v/>
      </c>
      <c r="J415">
        <f>IF(D415="V01",cad!$I$28,IF(D415="V02",cad!$J$28,cad!$K$28))</f>
        <v/>
      </c>
      <c r="K415">
        <f>IF(D415="V01",cad!$I$29,IF(D415="V02",cad!$J$29,cad!$K$29))</f>
        <v/>
      </c>
      <c r="L415">
        <f>IF(D415="V01",cad!$I$30,IF(D415="V02",cad!$J$30,cad!$K$30))</f>
        <v/>
      </c>
      <c r="M415">
        <f>IF(D415="V01",cad!$I$31,IF(D415="V02",cad!$J$31,cad!$K$31))</f>
        <v/>
      </c>
      <c r="N415">
        <f>IF(D415="V01",$R$2,IF(D415="V02",$R$3,$R$4))</f>
        <v/>
      </c>
      <c r="O415">
        <f>IF(OR(B415="7062",B415="706",B415="708"),N415,IF(B415="6231",1+G415,IF(B415="6236",1+H415,IF(OR(B415="621",B415="604",B415="6063"),N415*(1-L415),IF(OR(B415="6411",B415="6413",B415="6414",B415="645"),(1+J415)*(1+K415),IF(OR(B415="613",B415="615",B415="616",B415="6226",B415="625",B415="626",B415="6281"),(1+I415)*(1-L415)*(1+M415),IF(OR(B415="6331",B415="63511",B415="6333"),(1+I415)*(1-L415),IF(B415="6811",1+I415,1))))))))</f>
        <v/>
      </c>
      <c r="P415">
        <f>IF(E415=1,F415*O415,"")</f>
        <v/>
      </c>
    </row>
    <row r="416">
      <c r="A416">
        <f>PNL!A416</f>
        <v/>
      </c>
      <c r="B416">
        <f>PNL!B416</f>
        <v/>
      </c>
      <c r="C416">
        <f>PNL!C416</f>
        <v/>
      </c>
      <c r="D416">
        <f>PNL!D416</f>
        <v/>
      </c>
      <c r="E416">
        <f>IF(AND(C416="2027",OR(D416="V01",D416="V02",D416="V03")),1,0)</f>
        <v/>
      </c>
      <c r="F416">
        <f>IF(E416=1,SUMIFS(Compta!$F$2:$F$675,Compta!$A$2:$A$675,A416,Compta!$B$2:$B$675,B416,Compta!$C$2:$C$675,"2026"),0)</f>
        <v/>
      </c>
      <c r="G416">
        <f>IF(D416="V01",cad!$I$21,IF(D416="V02",cad!$J$21,cad!$K$21))</f>
        <v/>
      </c>
      <c r="H416">
        <f>IF(D416="V01",cad!$I$22,IF(D416="V02",cad!$J$22,cad!$K$22))</f>
        <v/>
      </c>
      <c r="I416">
        <f>IF(D416="V01",cad!$I$27,IF(D416="V02",cad!$J$27,cad!$K$27))</f>
        <v/>
      </c>
      <c r="J416">
        <f>IF(D416="V01",cad!$I$28,IF(D416="V02",cad!$J$28,cad!$K$28))</f>
        <v/>
      </c>
      <c r="K416">
        <f>IF(D416="V01",cad!$I$29,IF(D416="V02",cad!$J$29,cad!$K$29))</f>
        <v/>
      </c>
      <c r="L416">
        <f>IF(D416="V01",cad!$I$30,IF(D416="V02",cad!$J$30,cad!$K$30))</f>
        <v/>
      </c>
      <c r="M416">
        <f>IF(D416="V01",cad!$I$31,IF(D416="V02",cad!$J$31,cad!$K$31))</f>
        <v/>
      </c>
      <c r="N416">
        <f>IF(D416="V01",$R$2,IF(D416="V02",$R$3,$R$4))</f>
        <v/>
      </c>
      <c r="O416">
        <f>IF(OR(B416="7062",B416="706",B416="708"),N416,IF(B416="6231",1+G416,IF(B416="6236",1+H416,IF(OR(B416="621",B416="604",B416="6063"),N416*(1-L416),IF(OR(B416="6411",B416="6413",B416="6414",B416="645"),(1+J416)*(1+K416),IF(OR(B416="613",B416="615",B416="616",B416="6226",B416="625",B416="626",B416="6281"),(1+I416)*(1-L416)*(1+M416),IF(OR(B416="6331",B416="63511",B416="6333"),(1+I416)*(1-L416),IF(B416="6811",1+I416,1))))))))</f>
        <v/>
      </c>
      <c r="P416">
        <f>IF(E416=1,F416*O416,"")</f>
        <v/>
      </c>
    </row>
    <row r="417">
      <c r="A417">
        <f>PNL!A417</f>
        <v/>
      </c>
      <c r="B417">
        <f>PNL!B417</f>
        <v/>
      </c>
      <c r="C417">
        <f>PNL!C417</f>
        <v/>
      </c>
      <c r="D417">
        <f>PNL!D417</f>
        <v/>
      </c>
      <c r="E417">
        <f>IF(AND(C417="2027",OR(D417="V01",D417="V02",D417="V03")),1,0)</f>
        <v/>
      </c>
      <c r="F417">
        <f>IF(E417=1,SUMIFS(Compta!$F$2:$F$675,Compta!$A$2:$A$675,A417,Compta!$B$2:$B$675,B417,Compta!$C$2:$C$675,"2026"),0)</f>
        <v/>
      </c>
      <c r="G417">
        <f>IF(D417="V01",cad!$I$21,IF(D417="V02",cad!$J$21,cad!$K$21))</f>
        <v/>
      </c>
      <c r="H417">
        <f>IF(D417="V01",cad!$I$22,IF(D417="V02",cad!$J$22,cad!$K$22))</f>
        <v/>
      </c>
      <c r="I417">
        <f>IF(D417="V01",cad!$I$27,IF(D417="V02",cad!$J$27,cad!$K$27))</f>
        <v/>
      </c>
      <c r="J417">
        <f>IF(D417="V01",cad!$I$28,IF(D417="V02",cad!$J$28,cad!$K$28))</f>
        <v/>
      </c>
      <c r="K417">
        <f>IF(D417="V01",cad!$I$29,IF(D417="V02",cad!$J$29,cad!$K$29))</f>
        <v/>
      </c>
      <c r="L417">
        <f>IF(D417="V01",cad!$I$30,IF(D417="V02",cad!$J$30,cad!$K$30))</f>
        <v/>
      </c>
      <c r="M417">
        <f>IF(D417="V01",cad!$I$31,IF(D417="V02",cad!$J$31,cad!$K$31))</f>
        <v/>
      </c>
      <c r="N417">
        <f>IF(D417="V01",$R$2,IF(D417="V02",$R$3,$R$4))</f>
        <v/>
      </c>
      <c r="O417">
        <f>IF(OR(B417="7062",B417="706",B417="708"),N417,IF(B417="6231",1+G417,IF(B417="6236",1+H417,IF(OR(B417="621",B417="604",B417="6063"),N417*(1-L417),IF(OR(B417="6411",B417="6413",B417="6414",B417="645"),(1+J417)*(1+K417),IF(OR(B417="613",B417="615",B417="616",B417="6226",B417="625",B417="626",B417="6281"),(1+I417)*(1-L417)*(1+M417),IF(OR(B417="6331",B417="63511",B417="6333"),(1+I417)*(1-L417),IF(B417="6811",1+I417,1))))))))</f>
        <v/>
      </c>
      <c r="P417">
        <f>IF(E417=1,F417*O417,"")</f>
        <v/>
      </c>
    </row>
    <row r="418">
      <c r="A418">
        <f>PNL!A418</f>
        <v/>
      </c>
      <c r="B418">
        <f>PNL!B418</f>
        <v/>
      </c>
      <c r="C418">
        <f>PNL!C418</f>
        <v/>
      </c>
      <c r="D418">
        <f>PNL!D418</f>
        <v/>
      </c>
      <c r="E418">
        <f>IF(AND(C418="2027",OR(D418="V01",D418="V02",D418="V03")),1,0)</f>
        <v/>
      </c>
      <c r="F418">
        <f>IF(E418=1,SUMIFS(Compta!$F$2:$F$675,Compta!$A$2:$A$675,A418,Compta!$B$2:$B$675,B418,Compta!$C$2:$C$675,"2026"),0)</f>
        <v/>
      </c>
      <c r="G418">
        <f>IF(D418="V01",cad!$I$21,IF(D418="V02",cad!$J$21,cad!$K$21))</f>
        <v/>
      </c>
      <c r="H418">
        <f>IF(D418="V01",cad!$I$22,IF(D418="V02",cad!$J$22,cad!$K$22))</f>
        <v/>
      </c>
      <c r="I418">
        <f>IF(D418="V01",cad!$I$27,IF(D418="V02",cad!$J$27,cad!$K$27))</f>
        <v/>
      </c>
      <c r="J418">
        <f>IF(D418="V01",cad!$I$28,IF(D418="V02",cad!$J$28,cad!$K$28))</f>
        <v/>
      </c>
      <c r="K418">
        <f>IF(D418="V01",cad!$I$29,IF(D418="V02",cad!$J$29,cad!$K$29))</f>
        <v/>
      </c>
      <c r="L418">
        <f>IF(D418="V01",cad!$I$30,IF(D418="V02",cad!$J$30,cad!$K$30))</f>
        <v/>
      </c>
      <c r="M418">
        <f>IF(D418="V01",cad!$I$31,IF(D418="V02",cad!$J$31,cad!$K$31))</f>
        <v/>
      </c>
      <c r="N418">
        <f>IF(D418="V01",$R$2,IF(D418="V02",$R$3,$R$4))</f>
        <v/>
      </c>
      <c r="O418">
        <f>IF(OR(B418="7062",B418="706",B418="708"),N418,IF(B418="6231",1+G418,IF(B418="6236",1+H418,IF(OR(B418="621",B418="604",B418="6063"),N418*(1-L418),IF(OR(B418="6411",B418="6413",B418="6414",B418="645"),(1+J418)*(1+K418),IF(OR(B418="613",B418="615",B418="616",B418="6226",B418="625",B418="626",B418="6281"),(1+I418)*(1-L418)*(1+M418),IF(OR(B418="6331",B418="63511",B418="6333"),(1+I418)*(1-L418),IF(B418="6811",1+I418,1))))))))</f>
        <v/>
      </c>
      <c r="P418">
        <f>IF(E418=1,F418*O418,"")</f>
        <v/>
      </c>
    </row>
    <row r="419">
      <c r="A419">
        <f>PNL!A419</f>
        <v/>
      </c>
      <c r="B419">
        <f>PNL!B419</f>
        <v/>
      </c>
      <c r="C419">
        <f>PNL!C419</f>
        <v/>
      </c>
      <c r="D419">
        <f>PNL!D419</f>
        <v/>
      </c>
      <c r="E419">
        <f>IF(AND(C419="2027",OR(D419="V01",D419="V02",D419="V03")),1,0)</f>
        <v/>
      </c>
      <c r="F419">
        <f>IF(E419=1,SUMIFS(Compta!$F$2:$F$675,Compta!$A$2:$A$675,A419,Compta!$B$2:$B$675,B419,Compta!$C$2:$C$675,"2026"),0)</f>
        <v/>
      </c>
      <c r="G419">
        <f>IF(D419="V01",cad!$I$21,IF(D419="V02",cad!$J$21,cad!$K$21))</f>
        <v/>
      </c>
      <c r="H419">
        <f>IF(D419="V01",cad!$I$22,IF(D419="V02",cad!$J$22,cad!$K$22))</f>
        <v/>
      </c>
      <c r="I419">
        <f>IF(D419="V01",cad!$I$27,IF(D419="V02",cad!$J$27,cad!$K$27))</f>
        <v/>
      </c>
      <c r="J419">
        <f>IF(D419="V01",cad!$I$28,IF(D419="V02",cad!$J$28,cad!$K$28))</f>
        <v/>
      </c>
      <c r="K419">
        <f>IF(D419="V01",cad!$I$29,IF(D419="V02",cad!$J$29,cad!$K$29))</f>
        <v/>
      </c>
      <c r="L419">
        <f>IF(D419="V01",cad!$I$30,IF(D419="V02",cad!$J$30,cad!$K$30))</f>
        <v/>
      </c>
      <c r="M419">
        <f>IF(D419="V01",cad!$I$31,IF(D419="V02",cad!$J$31,cad!$K$31))</f>
        <v/>
      </c>
      <c r="N419">
        <f>IF(D419="V01",$R$2,IF(D419="V02",$R$3,$R$4))</f>
        <v/>
      </c>
      <c r="O419">
        <f>IF(OR(B419="7062",B419="706",B419="708"),N419,IF(B419="6231",1+G419,IF(B419="6236",1+H419,IF(OR(B419="621",B419="604",B419="6063"),N419*(1-L419),IF(OR(B419="6411",B419="6413",B419="6414",B419="645"),(1+J419)*(1+K419),IF(OR(B419="613",B419="615",B419="616",B419="6226",B419="625",B419="626",B419="6281"),(1+I419)*(1-L419)*(1+M419),IF(OR(B419="6331",B419="63511",B419="6333"),(1+I419)*(1-L419),IF(B419="6811",1+I419,1))))))))</f>
        <v/>
      </c>
      <c r="P419">
        <f>IF(E419=1,F419*O419,"")</f>
        <v/>
      </c>
    </row>
    <row r="420">
      <c r="A420">
        <f>PNL!A420</f>
        <v/>
      </c>
      <c r="B420">
        <f>PNL!B420</f>
        <v/>
      </c>
      <c r="C420">
        <f>PNL!C420</f>
        <v/>
      </c>
      <c r="D420">
        <f>PNL!D420</f>
        <v/>
      </c>
      <c r="E420">
        <f>IF(AND(C420="2027",OR(D420="V01",D420="V02",D420="V03")),1,0)</f>
        <v/>
      </c>
      <c r="F420">
        <f>IF(E420=1,SUMIFS(Compta!$F$2:$F$675,Compta!$A$2:$A$675,A420,Compta!$B$2:$B$675,B420,Compta!$C$2:$C$675,"2026"),0)</f>
        <v/>
      </c>
      <c r="G420">
        <f>IF(D420="V01",cad!$I$21,IF(D420="V02",cad!$J$21,cad!$K$21))</f>
        <v/>
      </c>
      <c r="H420">
        <f>IF(D420="V01",cad!$I$22,IF(D420="V02",cad!$J$22,cad!$K$22))</f>
        <v/>
      </c>
      <c r="I420">
        <f>IF(D420="V01",cad!$I$27,IF(D420="V02",cad!$J$27,cad!$K$27))</f>
        <v/>
      </c>
      <c r="J420">
        <f>IF(D420="V01",cad!$I$28,IF(D420="V02",cad!$J$28,cad!$K$28))</f>
        <v/>
      </c>
      <c r="K420">
        <f>IF(D420="V01",cad!$I$29,IF(D420="V02",cad!$J$29,cad!$K$29))</f>
        <v/>
      </c>
      <c r="L420">
        <f>IF(D420="V01",cad!$I$30,IF(D420="V02",cad!$J$30,cad!$K$30))</f>
        <v/>
      </c>
      <c r="M420">
        <f>IF(D420="V01",cad!$I$31,IF(D420="V02",cad!$J$31,cad!$K$31))</f>
        <v/>
      </c>
      <c r="N420">
        <f>IF(D420="V01",$R$2,IF(D420="V02",$R$3,$R$4))</f>
        <v/>
      </c>
      <c r="O420">
        <f>IF(OR(B420="7062",B420="706",B420="708"),N420,IF(B420="6231",1+G420,IF(B420="6236",1+H420,IF(OR(B420="621",B420="604",B420="6063"),N420*(1-L420),IF(OR(B420="6411",B420="6413",B420="6414",B420="645"),(1+J420)*(1+K420),IF(OR(B420="613",B420="615",B420="616",B420="6226",B420="625",B420="626",B420="6281"),(1+I420)*(1-L420)*(1+M420),IF(OR(B420="6331",B420="63511",B420="6333"),(1+I420)*(1-L420),IF(B420="6811",1+I420,1))))))))</f>
        <v/>
      </c>
      <c r="P420">
        <f>IF(E420=1,F420*O420,"")</f>
        <v/>
      </c>
    </row>
    <row r="421">
      <c r="A421">
        <f>PNL!A421</f>
        <v/>
      </c>
      <c r="B421">
        <f>PNL!B421</f>
        <v/>
      </c>
      <c r="C421">
        <f>PNL!C421</f>
        <v/>
      </c>
      <c r="D421">
        <f>PNL!D421</f>
        <v/>
      </c>
      <c r="E421">
        <f>IF(AND(C421="2027",OR(D421="V01",D421="V02",D421="V03")),1,0)</f>
        <v/>
      </c>
      <c r="F421">
        <f>IF(E421=1,SUMIFS(Compta!$F$2:$F$675,Compta!$A$2:$A$675,A421,Compta!$B$2:$B$675,B421,Compta!$C$2:$C$675,"2026"),0)</f>
        <v/>
      </c>
      <c r="G421">
        <f>IF(D421="V01",cad!$I$21,IF(D421="V02",cad!$J$21,cad!$K$21))</f>
        <v/>
      </c>
      <c r="H421">
        <f>IF(D421="V01",cad!$I$22,IF(D421="V02",cad!$J$22,cad!$K$22))</f>
        <v/>
      </c>
      <c r="I421">
        <f>IF(D421="V01",cad!$I$27,IF(D421="V02",cad!$J$27,cad!$K$27))</f>
        <v/>
      </c>
      <c r="J421">
        <f>IF(D421="V01",cad!$I$28,IF(D421="V02",cad!$J$28,cad!$K$28))</f>
        <v/>
      </c>
      <c r="K421">
        <f>IF(D421="V01",cad!$I$29,IF(D421="V02",cad!$J$29,cad!$K$29))</f>
        <v/>
      </c>
      <c r="L421">
        <f>IF(D421="V01",cad!$I$30,IF(D421="V02",cad!$J$30,cad!$K$30))</f>
        <v/>
      </c>
      <c r="M421">
        <f>IF(D421="V01",cad!$I$31,IF(D421="V02",cad!$J$31,cad!$K$31))</f>
        <v/>
      </c>
      <c r="N421">
        <f>IF(D421="V01",$R$2,IF(D421="V02",$R$3,$R$4))</f>
        <v/>
      </c>
      <c r="O421">
        <f>IF(OR(B421="7062",B421="706",B421="708"),N421,IF(B421="6231",1+G421,IF(B421="6236",1+H421,IF(OR(B421="621",B421="604",B421="6063"),N421*(1-L421),IF(OR(B421="6411",B421="6413",B421="6414",B421="645"),(1+J421)*(1+K421),IF(OR(B421="613",B421="615",B421="616",B421="6226",B421="625",B421="626",B421="6281"),(1+I421)*(1-L421)*(1+M421),IF(OR(B421="6331",B421="63511",B421="6333"),(1+I421)*(1-L421),IF(B421="6811",1+I421,1))))))))</f>
        <v/>
      </c>
      <c r="P421">
        <f>IF(E421=1,F421*O421,"")</f>
        <v/>
      </c>
    </row>
    <row r="422">
      <c r="A422">
        <f>PNL!A422</f>
        <v/>
      </c>
      <c r="B422">
        <f>PNL!B422</f>
        <v/>
      </c>
      <c r="C422">
        <f>PNL!C422</f>
        <v/>
      </c>
      <c r="D422">
        <f>PNL!D422</f>
        <v/>
      </c>
      <c r="E422">
        <f>IF(AND(C422="2027",OR(D422="V01",D422="V02",D422="V03")),1,0)</f>
        <v/>
      </c>
      <c r="F422">
        <f>IF(E422=1,SUMIFS(Compta!$F$2:$F$675,Compta!$A$2:$A$675,A422,Compta!$B$2:$B$675,B422,Compta!$C$2:$C$675,"2026"),0)</f>
        <v/>
      </c>
      <c r="G422">
        <f>IF(D422="V01",cad!$I$21,IF(D422="V02",cad!$J$21,cad!$K$21))</f>
        <v/>
      </c>
      <c r="H422">
        <f>IF(D422="V01",cad!$I$22,IF(D422="V02",cad!$J$22,cad!$K$22))</f>
        <v/>
      </c>
      <c r="I422">
        <f>IF(D422="V01",cad!$I$27,IF(D422="V02",cad!$J$27,cad!$K$27))</f>
        <v/>
      </c>
      <c r="J422">
        <f>IF(D422="V01",cad!$I$28,IF(D422="V02",cad!$J$28,cad!$K$28))</f>
        <v/>
      </c>
      <c r="K422">
        <f>IF(D422="V01",cad!$I$29,IF(D422="V02",cad!$J$29,cad!$K$29))</f>
        <v/>
      </c>
      <c r="L422">
        <f>IF(D422="V01",cad!$I$30,IF(D422="V02",cad!$J$30,cad!$K$30))</f>
        <v/>
      </c>
      <c r="M422">
        <f>IF(D422="V01",cad!$I$31,IF(D422="V02",cad!$J$31,cad!$K$31))</f>
        <v/>
      </c>
      <c r="N422">
        <f>IF(D422="V01",$R$2,IF(D422="V02",$R$3,$R$4))</f>
        <v/>
      </c>
      <c r="O422">
        <f>IF(OR(B422="7062",B422="706",B422="708"),N422,IF(B422="6231",1+G422,IF(B422="6236",1+H422,IF(OR(B422="621",B422="604",B422="6063"),N422*(1-L422),IF(OR(B422="6411",B422="6413",B422="6414",B422="645"),(1+J422)*(1+K422),IF(OR(B422="613",B422="615",B422="616",B422="6226",B422="625",B422="626",B422="6281"),(1+I422)*(1-L422)*(1+M422),IF(OR(B422="6331",B422="63511",B422="6333"),(1+I422)*(1-L422),IF(B422="6811",1+I422,1))))))))</f>
        <v/>
      </c>
      <c r="P422">
        <f>IF(E422=1,F422*O422,"")</f>
        <v/>
      </c>
    </row>
    <row r="423">
      <c r="A423">
        <f>PNL!A423</f>
        <v/>
      </c>
      <c r="B423">
        <f>PNL!B423</f>
        <v/>
      </c>
      <c r="C423">
        <f>PNL!C423</f>
        <v/>
      </c>
      <c r="D423">
        <f>PNL!D423</f>
        <v/>
      </c>
      <c r="E423">
        <f>IF(AND(C423="2027",OR(D423="V01",D423="V02",D423="V03")),1,0)</f>
        <v/>
      </c>
      <c r="F423">
        <f>IF(E423=1,SUMIFS(Compta!$F$2:$F$675,Compta!$A$2:$A$675,A423,Compta!$B$2:$B$675,B423,Compta!$C$2:$C$675,"2026"),0)</f>
        <v/>
      </c>
      <c r="G423">
        <f>IF(D423="V01",cad!$I$21,IF(D423="V02",cad!$J$21,cad!$K$21))</f>
        <v/>
      </c>
      <c r="H423">
        <f>IF(D423="V01",cad!$I$22,IF(D423="V02",cad!$J$22,cad!$K$22))</f>
        <v/>
      </c>
      <c r="I423">
        <f>IF(D423="V01",cad!$I$27,IF(D423="V02",cad!$J$27,cad!$K$27))</f>
        <v/>
      </c>
      <c r="J423">
        <f>IF(D423="V01",cad!$I$28,IF(D423="V02",cad!$J$28,cad!$K$28))</f>
        <v/>
      </c>
      <c r="K423">
        <f>IF(D423="V01",cad!$I$29,IF(D423="V02",cad!$J$29,cad!$K$29))</f>
        <v/>
      </c>
      <c r="L423">
        <f>IF(D423="V01",cad!$I$30,IF(D423="V02",cad!$J$30,cad!$K$30))</f>
        <v/>
      </c>
      <c r="M423">
        <f>IF(D423="V01",cad!$I$31,IF(D423="V02",cad!$J$31,cad!$K$31))</f>
        <v/>
      </c>
      <c r="N423">
        <f>IF(D423="V01",$R$2,IF(D423="V02",$R$3,$R$4))</f>
        <v/>
      </c>
      <c r="O423">
        <f>IF(OR(B423="7062",B423="706",B423="708"),N423,IF(B423="6231",1+G423,IF(B423="6236",1+H423,IF(OR(B423="621",B423="604",B423="6063"),N423*(1-L423),IF(OR(B423="6411",B423="6413",B423="6414",B423="645"),(1+J423)*(1+K423),IF(OR(B423="613",B423="615",B423="616",B423="6226",B423="625",B423="626",B423="6281"),(1+I423)*(1-L423)*(1+M423),IF(OR(B423="6331",B423="63511",B423="6333"),(1+I423)*(1-L423),IF(B423="6811",1+I423,1))))))))</f>
        <v/>
      </c>
      <c r="P423">
        <f>IF(E423=1,F423*O423,"")</f>
        <v/>
      </c>
    </row>
    <row r="424">
      <c r="A424">
        <f>PNL!A424</f>
        <v/>
      </c>
      <c r="B424">
        <f>PNL!B424</f>
        <v/>
      </c>
      <c r="C424">
        <f>PNL!C424</f>
        <v/>
      </c>
      <c r="D424">
        <f>PNL!D424</f>
        <v/>
      </c>
      <c r="E424">
        <f>IF(AND(C424="2027",OR(D424="V01",D424="V02",D424="V03")),1,0)</f>
        <v/>
      </c>
      <c r="F424">
        <f>IF(E424=1,SUMIFS(Compta!$F$2:$F$675,Compta!$A$2:$A$675,A424,Compta!$B$2:$B$675,B424,Compta!$C$2:$C$675,"2026"),0)</f>
        <v/>
      </c>
      <c r="G424">
        <f>IF(D424="V01",cad!$I$21,IF(D424="V02",cad!$J$21,cad!$K$21))</f>
        <v/>
      </c>
      <c r="H424">
        <f>IF(D424="V01",cad!$I$22,IF(D424="V02",cad!$J$22,cad!$K$22))</f>
        <v/>
      </c>
      <c r="I424">
        <f>IF(D424="V01",cad!$I$27,IF(D424="V02",cad!$J$27,cad!$K$27))</f>
        <v/>
      </c>
      <c r="J424">
        <f>IF(D424="V01",cad!$I$28,IF(D424="V02",cad!$J$28,cad!$K$28))</f>
        <v/>
      </c>
      <c r="K424">
        <f>IF(D424="V01",cad!$I$29,IF(D424="V02",cad!$J$29,cad!$K$29))</f>
        <v/>
      </c>
      <c r="L424">
        <f>IF(D424="V01",cad!$I$30,IF(D424="V02",cad!$J$30,cad!$K$30))</f>
        <v/>
      </c>
      <c r="M424">
        <f>IF(D424="V01",cad!$I$31,IF(D424="V02",cad!$J$31,cad!$K$31))</f>
        <v/>
      </c>
      <c r="N424">
        <f>IF(D424="V01",$R$2,IF(D424="V02",$R$3,$R$4))</f>
        <v/>
      </c>
      <c r="O424">
        <f>IF(OR(B424="7062",B424="706",B424="708"),N424,IF(B424="6231",1+G424,IF(B424="6236",1+H424,IF(OR(B424="621",B424="604",B424="6063"),N424*(1-L424),IF(OR(B424="6411",B424="6413",B424="6414",B424="645"),(1+J424)*(1+K424),IF(OR(B424="613",B424="615",B424="616",B424="6226",B424="625",B424="626",B424="6281"),(1+I424)*(1-L424)*(1+M424),IF(OR(B424="6331",B424="63511",B424="6333"),(1+I424)*(1-L424),IF(B424="6811",1+I424,1))))))))</f>
        <v/>
      </c>
      <c r="P424">
        <f>IF(E424=1,F424*O424,"")</f>
        <v/>
      </c>
    </row>
    <row r="425">
      <c r="A425">
        <f>PNL!A425</f>
        <v/>
      </c>
      <c r="B425">
        <f>PNL!B425</f>
        <v/>
      </c>
      <c r="C425">
        <f>PNL!C425</f>
        <v/>
      </c>
      <c r="D425">
        <f>PNL!D425</f>
        <v/>
      </c>
      <c r="E425">
        <f>IF(AND(C425="2027",OR(D425="V01",D425="V02",D425="V03")),1,0)</f>
        <v/>
      </c>
      <c r="F425">
        <f>IF(E425=1,SUMIFS(Compta!$F$2:$F$675,Compta!$A$2:$A$675,A425,Compta!$B$2:$B$675,B425,Compta!$C$2:$C$675,"2026"),0)</f>
        <v/>
      </c>
      <c r="G425">
        <f>IF(D425="V01",cad!$I$21,IF(D425="V02",cad!$J$21,cad!$K$21))</f>
        <v/>
      </c>
      <c r="H425">
        <f>IF(D425="V01",cad!$I$22,IF(D425="V02",cad!$J$22,cad!$K$22))</f>
        <v/>
      </c>
      <c r="I425">
        <f>IF(D425="V01",cad!$I$27,IF(D425="V02",cad!$J$27,cad!$K$27))</f>
        <v/>
      </c>
      <c r="J425">
        <f>IF(D425="V01",cad!$I$28,IF(D425="V02",cad!$J$28,cad!$K$28))</f>
        <v/>
      </c>
      <c r="K425">
        <f>IF(D425="V01",cad!$I$29,IF(D425="V02",cad!$J$29,cad!$K$29))</f>
        <v/>
      </c>
      <c r="L425">
        <f>IF(D425="V01",cad!$I$30,IF(D425="V02",cad!$J$30,cad!$K$30))</f>
        <v/>
      </c>
      <c r="M425">
        <f>IF(D425="V01",cad!$I$31,IF(D425="V02",cad!$J$31,cad!$K$31))</f>
        <v/>
      </c>
      <c r="N425">
        <f>IF(D425="V01",$R$2,IF(D425="V02",$R$3,$R$4))</f>
        <v/>
      </c>
      <c r="O425">
        <f>IF(OR(B425="7062",B425="706",B425="708"),N425,IF(B425="6231",1+G425,IF(B425="6236",1+H425,IF(OR(B425="621",B425="604",B425="6063"),N425*(1-L425),IF(OR(B425="6411",B425="6413",B425="6414",B425="645"),(1+J425)*(1+K425),IF(OR(B425="613",B425="615",B425="616",B425="6226",B425="625",B425="626",B425="6281"),(1+I425)*(1-L425)*(1+M425),IF(OR(B425="6331",B425="63511",B425="6333"),(1+I425)*(1-L425),IF(B425="6811",1+I425,1))))))))</f>
        <v/>
      </c>
      <c r="P425">
        <f>IF(E425=1,F425*O425,"")</f>
        <v/>
      </c>
    </row>
    <row r="426">
      <c r="A426">
        <f>PNL!A426</f>
        <v/>
      </c>
      <c r="B426">
        <f>PNL!B426</f>
        <v/>
      </c>
      <c r="C426">
        <f>PNL!C426</f>
        <v/>
      </c>
      <c r="D426">
        <f>PNL!D426</f>
        <v/>
      </c>
      <c r="E426">
        <f>IF(AND(C426="2027",OR(D426="V01",D426="V02",D426="V03")),1,0)</f>
        <v/>
      </c>
      <c r="F426">
        <f>IF(E426=1,SUMIFS(Compta!$F$2:$F$675,Compta!$A$2:$A$675,A426,Compta!$B$2:$B$675,B426,Compta!$C$2:$C$675,"2026"),0)</f>
        <v/>
      </c>
      <c r="G426">
        <f>IF(D426="V01",cad!$I$21,IF(D426="V02",cad!$J$21,cad!$K$21))</f>
        <v/>
      </c>
      <c r="H426">
        <f>IF(D426="V01",cad!$I$22,IF(D426="V02",cad!$J$22,cad!$K$22))</f>
        <v/>
      </c>
      <c r="I426">
        <f>IF(D426="V01",cad!$I$27,IF(D426="V02",cad!$J$27,cad!$K$27))</f>
        <v/>
      </c>
      <c r="J426">
        <f>IF(D426="V01",cad!$I$28,IF(D426="V02",cad!$J$28,cad!$K$28))</f>
        <v/>
      </c>
      <c r="K426">
        <f>IF(D426="V01",cad!$I$29,IF(D426="V02",cad!$J$29,cad!$K$29))</f>
        <v/>
      </c>
      <c r="L426">
        <f>IF(D426="V01",cad!$I$30,IF(D426="V02",cad!$J$30,cad!$K$30))</f>
        <v/>
      </c>
      <c r="M426">
        <f>IF(D426="V01",cad!$I$31,IF(D426="V02",cad!$J$31,cad!$K$31))</f>
        <v/>
      </c>
      <c r="N426">
        <f>IF(D426="V01",$R$2,IF(D426="V02",$R$3,$R$4))</f>
        <v/>
      </c>
      <c r="O426">
        <f>IF(OR(B426="7062",B426="706",B426="708"),N426,IF(B426="6231",1+G426,IF(B426="6236",1+H426,IF(OR(B426="621",B426="604",B426="6063"),N426*(1-L426),IF(OR(B426="6411",B426="6413",B426="6414",B426="645"),(1+J426)*(1+K426),IF(OR(B426="613",B426="615",B426="616",B426="6226",B426="625",B426="626",B426="6281"),(1+I426)*(1-L426)*(1+M426),IF(OR(B426="6331",B426="63511",B426="6333"),(1+I426)*(1-L426),IF(B426="6811",1+I426,1))))))))</f>
        <v/>
      </c>
      <c r="P426">
        <f>IF(E426=1,F426*O426,"")</f>
        <v/>
      </c>
    </row>
    <row r="427">
      <c r="A427">
        <f>PNL!A427</f>
        <v/>
      </c>
      <c r="B427">
        <f>PNL!B427</f>
        <v/>
      </c>
      <c r="C427">
        <f>PNL!C427</f>
        <v/>
      </c>
      <c r="D427">
        <f>PNL!D427</f>
        <v/>
      </c>
      <c r="E427">
        <f>IF(AND(C427="2027",OR(D427="V01",D427="V02",D427="V03")),1,0)</f>
        <v/>
      </c>
      <c r="F427">
        <f>IF(E427=1,SUMIFS(Compta!$F$2:$F$675,Compta!$A$2:$A$675,A427,Compta!$B$2:$B$675,B427,Compta!$C$2:$C$675,"2026"),0)</f>
        <v/>
      </c>
      <c r="G427">
        <f>IF(D427="V01",cad!$I$21,IF(D427="V02",cad!$J$21,cad!$K$21))</f>
        <v/>
      </c>
      <c r="H427">
        <f>IF(D427="V01",cad!$I$22,IF(D427="V02",cad!$J$22,cad!$K$22))</f>
        <v/>
      </c>
      <c r="I427">
        <f>IF(D427="V01",cad!$I$27,IF(D427="V02",cad!$J$27,cad!$K$27))</f>
        <v/>
      </c>
      <c r="J427">
        <f>IF(D427="V01",cad!$I$28,IF(D427="V02",cad!$J$28,cad!$K$28))</f>
        <v/>
      </c>
      <c r="K427">
        <f>IF(D427="V01",cad!$I$29,IF(D427="V02",cad!$J$29,cad!$K$29))</f>
        <v/>
      </c>
      <c r="L427">
        <f>IF(D427="V01",cad!$I$30,IF(D427="V02",cad!$J$30,cad!$K$30))</f>
        <v/>
      </c>
      <c r="M427">
        <f>IF(D427="V01",cad!$I$31,IF(D427="V02",cad!$J$31,cad!$K$31))</f>
        <v/>
      </c>
      <c r="N427">
        <f>IF(D427="V01",$R$2,IF(D427="V02",$R$3,$R$4))</f>
        <v/>
      </c>
      <c r="O427">
        <f>IF(OR(B427="7062",B427="706",B427="708"),N427,IF(B427="6231",1+G427,IF(B427="6236",1+H427,IF(OR(B427="621",B427="604",B427="6063"),N427*(1-L427),IF(OR(B427="6411",B427="6413",B427="6414",B427="645"),(1+J427)*(1+K427),IF(OR(B427="613",B427="615",B427="616",B427="6226",B427="625",B427="626",B427="6281"),(1+I427)*(1-L427)*(1+M427),IF(OR(B427="6331",B427="63511",B427="6333"),(1+I427)*(1-L427),IF(B427="6811",1+I427,1))))))))</f>
        <v/>
      </c>
      <c r="P427">
        <f>IF(E427=1,F427*O427,"")</f>
        <v/>
      </c>
    </row>
    <row r="428">
      <c r="A428">
        <f>PNL!A428</f>
        <v/>
      </c>
      <c r="B428">
        <f>PNL!B428</f>
        <v/>
      </c>
      <c r="C428">
        <f>PNL!C428</f>
        <v/>
      </c>
      <c r="D428">
        <f>PNL!D428</f>
        <v/>
      </c>
      <c r="E428">
        <f>IF(AND(C428="2027",OR(D428="V01",D428="V02",D428="V03")),1,0)</f>
        <v/>
      </c>
      <c r="F428">
        <f>IF(E428=1,SUMIFS(Compta!$F$2:$F$675,Compta!$A$2:$A$675,A428,Compta!$B$2:$B$675,B428,Compta!$C$2:$C$675,"2026"),0)</f>
        <v/>
      </c>
      <c r="G428">
        <f>IF(D428="V01",cad!$I$21,IF(D428="V02",cad!$J$21,cad!$K$21))</f>
        <v/>
      </c>
      <c r="H428">
        <f>IF(D428="V01",cad!$I$22,IF(D428="V02",cad!$J$22,cad!$K$22))</f>
        <v/>
      </c>
      <c r="I428">
        <f>IF(D428="V01",cad!$I$27,IF(D428="V02",cad!$J$27,cad!$K$27))</f>
        <v/>
      </c>
      <c r="J428">
        <f>IF(D428="V01",cad!$I$28,IF(D428="V02",cad!$J$28,cad!$K$28))</f>
        <v/>
      </c>
      <c r="K428">
        <f>IF(D428="V01",cad!$I$29,IF(D428="V02",cad!$J$29,cad!$K$29))</f>
        <v/>
      </c>
      <c r="L428">
        <f>IF(D428="V01",cad!$I$30,IF(D428="V02",cad!$J$30,cad!$K$30))</f>
        <v/>
      </c>
      <c r="M428">
        <f>IF(D428="V01",cad!$I$31,IF(D428="V02",cad!$J$31,cad!$K$31))</f>
        <v/>
      </c>
      <c r="N428">
        <f>IF(D428="V01",$R$2,IF(D428="V02",$R$3,$R$4))</f>
        <v/>
      </c>
      <c r="O428">
        <f>IF(OR(B428="7062",B428="706",B428="708"),N428,IF(B428="6231",1+G428,IF(B428="6236",1+H428,IF(OR(B428="621",B428="604",B428="6063"),N428*(1-L428),IF(OR(B428="6411",B428="6413",B428="6414",B428="645"),(1+J428)*(1+K428),IF(OR(B428="613",B428="615",B428="616",B428="6226",B428="625",B428="626",B428="6281"),(1+I428)*(1-L428)*(1+M428),IF(OR(B428="6331",B428="63511",B428="6333"),(1+I428)*(1-L428),IF(B428="6811",1+I428,1))))))))</f>
        <v/>
      </c>
      <c r="P428">
        <f>IF(E428=1,F428*O428,"")</f>
        <v/>
      </c>
    </row>
    <row r="429">
      <c r="A429">
        <f>PNL!A429</f>
        <v/>
      </c>
      <c r="B429">
        <f>PNL!B429</f>
        <v/>
      </c>
      <c r="C429">
        <f>PNL!C429</f>
        <v/>
      </c>
      <c r="D429">
        <f>PNL!D429</f>
        <v/>
      </c>
      <c r="E429">
        <f>IF(AND(C429="2027",OR(D429="V01",D429="V02",D429="V03")),1,0)</f>
        <v/>
      </c>
      <c r="F429">
        <f>IF(E429=1,SUMIFS(Compta!$F$2:$F$675,Compta!$A$2:$A$675,A429,Compta!$B$2:$B$675,B429,Compta!$C$2:$C$675,"2026"),0)</f>
        <v/>
      </c>
      <c r="G429">
        <f>IF(D429="V01",cad!$I$21,IF(D429="V02",cad!$J$21,cad!$K$21))</f>
        <v/>
      </c>
      <c r="H429">
        <f>IF(D429="V01",cad!$I$22,IF(D429="V02",cad!$J$22,cad!$K$22))</f>
        <v/>
      </c>
      <c r="I429">
        <f>IF(D429="V01",cad!$I$27,IF(D429="V02",cad!$J$27,cad!$K$27))</f>
        <v/>
      </c>
      <c r="J429">
        <f>IF(D429="V01",cad!$I$28,IF(D429="V02",cad!$J$28,cad!$K$28))</f>
        <v/>
      </c>
      <c r="K429">
        <f>IF(D429="V01",cad!$I$29,IF(D429="V02",cad!$J$29,cad!$K$29))</f>
        <v/>
      </c>
      <c r="L429">
        <f>IF(D429="V01",cad!$I$30,IF(D429="V02",cad!$J$30,cad!$K$30))</f>
        <v/>
      </c>
      <c r="M429">
        <f>IF(D429="V01",cad!$I$31,IF(D429="V02",cad!$J$31,cad!$K$31))</f>
        <v/>
      </c>
      <c r="N429">
        <f>IF(D429="V01",$R$2,IF(D429="V02",$R$3,$R$4))</f>
        <v/>
      </c>
      <c r="O429">
        <f>IF(OR(B429="7062",B429="706",B429="708"),N429,IF(B429="6231",1+G429,IF(B429="6236",1+H429,IF(OR(B429="621",B429="604",B429="6063"),N429*(1-L429),IF(OR(B429="6411",B429="6413",B429="6414",B429="645"),(1+J429)*(1+K429),IF(OR(B429="613",B429="615",B429="616",B429="6226",B429="625",B429="626",B429="6281"),(1+I429)*(1-L429)*(1+M429),IF(OR(B429="6331",B429="63511",B429="6333"),(1+I429)*(1-L429),IF(B429="6811",1+I429,1))))))))</f>
        <v/>
      </c>
      <c r="P429">
        <f>IF(E429=1,F429*O429,"")</f>
        <v/>
      </c>
    </row>
    <row r="430">
      <c r="A430">
        <f>PNL!A430</f>
        <v/>
      </c>
      <c r="B430">
        <f>PNL!B430</f>
        <v/>
      </c>
      <c r="C430">
        <f>PNL!C430</f>
        <v/>
      </c>
      <c r="D430">
        <f>PNL!D430</f>
        <v/>
      </c>
      <c r="E430">
        <f>IF(AND(C430="2027",OR(D430="V01",D430="V02",D430="V03")),1,0)</f>
        <v/>
      </c>
      <c r="F430">
        <f>IF(E430=1,SUMIFS(Compta!$F$2:$F$675,Compta!$A$2:$A$675,A430,Compta!$B$2:$B$675,B430,Compta!$C$2:$C$675,"2026"),0)</f>
        <v/>
      </c>
      <c r="G430">
        <f>IF(D430="V01",cad!$I$21,IF(D430="V02",cad!$J$21,cad!$K$21))</f>
        <v/>
      </c>
      <c r="H430">
        <f>IF(D430="V01",cad!$I$22,IF(D430="V02",cad!$J$22,cad!$K$22))</f>
        <v/>
      </c>
      <c r="I430">
        <f>IF(D430="V01",cad!$I$27,IF(D430="V02",cad!$J$27,cad!$K$27))</f>
        <v/>
      </c>
      <c r="J430">
        <f>IF(D430="V01",cad!$I$28,IF(D430="V02",cad!$J$28,cad!$K$28))</f>
        <v/>
      </c>
      <c r="K430">
        <f>IF(D430="V01",cad!$I$29,IF(D430="V02",cad!$J$29,cad!$K$29))</f>
        <v/>
      </c>
      <c r="L430">
        <f>IF(D430="V01",cad!$I$30,IF(D430="V02",cad!$J$30,cad!$K$30))</f>
        <v/>
      </c>
      <c r="M430">
        <f>IF(D430="V01",cad!$I$31,IF(D430="V02",cad!$J$31,cad!$K$31))</f>
        <v/>
      </c>
      <c r="N430">
        <f>IF(D430="V01",$R$2,IF(D430="V02",$R$3,$R$4))</f>
        <v/>
      </c>
      <c r="O430">
        <f>IF(OR(B430="7062",B430="706",B430="708"),N430,IF(B430="6231",1+G430,IF(B430="6236",1+H430,IF(OR(B430="621",B430="604",B430="6063"),N430*(1-L430),IF(OR(B430="6411",B430="6413",B430="6414",B430="645"),(1+J430)*(1+K430),IF(OR(B430="613",B430="615",B430="616",B430="6226",B430="625",B430="626",B430="6281"),(1+I430)*(1-L430)*(1+M430),IF(OR(B430="6331",B430="63511",B430="6333"),(1+I430)*(1-L430),IF(B430="6811",1+I430,1))))))))</f>
        <v/>
      </c>
      <c r="P430">
        <f>IF(E430=1,F430*O430,"")</f>
        <v/>
      </c>
    </row>
    <row r="431">
      <c r="A431">
        <f>PNL!A431</f>
        <v/>
      </c>
      <c r="B431">
        <f>PNL!B431</f>
        <v/>
      </c>
      <c r="C431">
        <f>PNL!C431</f>
        <v/>
      </c>
      <c r="D431">
        <f>PNL!D431</f>
        <v/>
      </c>
      <c r="E431">
        <f>IF(AND(C431="2027",OR(D431="V01",D431="V02",D431="V03")),1,0)</f>
        <v/>
      </c>
      <c r="F431">
        <f>IF(E431=1,SUMIFS(Compta!$F$2:$F$675,Compta!$A$2:$A$675,A431,Compta!$B$2:$B$675,B431,Compta!$C$2:$C$675,"2026"),0)</f>
        <v/>
      </c>
      <c r="G431">
        <f>IF(D431="V01",cad!$I$21,IF(D431="V02",cad!$J$21,cad!$K$21))</f>
        <v/>
      </c>
      <c r="H431">
        <f>IF(D431="V01",cad!$I$22,IF(D431="V02",cad!$J$22,cad!$K$22))</f>
        <v/>
      </c>
      <c r="I431">
        <f>IF(D431="V01",cad!$I$27,IF(D431="V02",cad!$J$27,cad!$K$27))</f>
        <v/>
      </c>
      <c r="J431">
        <f>IF(D431="V01",cad!$I$28,IF(D431="V02",cad!$J$28,cad!$K$28))</f>
        <v/>
      </c>
      <c r="K431">
        <f>IF(D431="V01",cad!$I$29,IF(D431="V02",cad!$J$29,cad!$K$29))</f>
        <v/>
      </c>
      <c r="L431">
        <f>IF(D431="V01",cad!$I$30,IF(D431="V02",cad!$J$30,cad!$K$30))</f>
        <v/>
      </c>
      <c r="M431">
        <f>IF(D431="V01",cad!$I$31,IF(D431="V02",cad!$J$31,cad!$K$31))</f>
        <v/>
      </c>
      <c r="N431">
        <f>IF(D431="V01",$R$2,IF(D431="V02",$R$3,$R$4))</f>
        <v/>
      </c>
      <c r="O431">
        <f>IF(OR(B431="7062",B431="706",B431="708"),N431,IF(B431="6231",1+G431,IF(B431="6236",1+H431,IF(OR(B431="621",B431="604",B431="6063"),N431*(1-L431),IF(OR(B431="6411",B431="6413",B431="6414",B431="645"),(1+J431)*(1+K431),IF(OR(B431="613",B431="615",B431="616",B431="6226",B431="625",B431="626",B431="6281"),(1+I431)*(1-L431)*(1+M431),IF(OR(B431="6331",B431="63511",B431="6333"),(1+I431)*(1-L431),IF(B431="6811",1+I431,1))))))))</f>
        <v/>
      </c>
      <c r="P431">
        <f>IF(E431=1,F431*O431,"")</f>
        <v/>
      </c>
    </row>
    <row r="432">
      <c r="A432">
        <f>PNL!A432</f>
        <v/>
      </c>
      <c r="B432">
        <f>PNL!B432</f>
        <v/>
      </c>
      <c r="C432">
        <f>PNL!C432</f>
        <v/>
      </c>
      <c r="D432">
        <f>PNL!D432</f>
        <v/>
      </c>
      <c r="E432">
        <f>IF(AND(C432="2027",OR(D432="V01",D432="V02",D432="V03")),1,0)</f>
        <v/>
      </c>
      <c r="F432">
        <f>IF(E432=1,SUMIFS(Compta!$F$2:$F$675,Compta!$A$2:$A$675,A432,Compta!$B$2:$B$675,B432,Compta!$C$2:$C$675,"2026"),0)</f>
        <v/>
      </c>
      <c r="G432">
        <f>IF(D432="V01",cad!$I$21,IF(D432="V02",cad!$J$21,cad!$K$21))</f>
        <v/>
      </c>
      <c r="H432">
        <f>IF(D432="V01",cad!$I$22,IF(D432="V02",cad!$J$22,cad!$K$22))</f>
        <v/>
      </c>
      <c r="I432">
        <f>IF(D432="V01",cad!$I$27,IF(D432="V02",cad!$J$27,cad!$K$27))</f>
        <v/>
      </c>
      <c r="J432">
        <f>IF(D432="V01",cad!$I$28,IF(D432="V02",cad!$J$28,cad!$K$28))</f>
        <v/>
      </c>
      <c r="K432">
        <f>IF(D432="V01",cad!$I$29,IF(D432="V02",cad!$J$29,cad!$K$29))</f>
        <v/>
      </c>
      <c r="L432">
        <f>IF(D432="V01",cad!$I$30,IF(D432="V02",cad!$J$30,cad!$K$30))</f>
        <v/>
      </c>
      <c r="M432">
        <f>IF(D432="V01",cad!$I$31,IF(D432="V02",cad!$J$31,cad!$K$31))</f>
        <v/>
      </c>
      <c r="N432">
        <f>IF(D432="V01",$R$2,IF(D432="V02",$R$3,$R$4))</f>
        <v/>
      </c>
      <c r="O432">
        <f>IF(OR(B432="7062",B432="706",B432="708"),N432,IF(B432="6231",1+G432,IF(B432="6236",1+H432,IF(OR(B432="621",B432="604",B432="6063"),N432*(1-L432),IF(OR(B432="6411",B432="6413",B432="6414",B432="645"),(1+J432)*(1+K432),IF(OR(B432="613",B432="615",B432="616",B432="6226",B432="625",B432="626",B432="6281"),(1+I432)*(1-L432)*(1+M432),IF(OR(B432="6331",B432="63511",B432="6333"),(1+I432)*(1-L432),IF(B432="6811",1+I432,1))))))))</f>
        <v/>
      </c>
      <c r="P432">
        <f>IF(E432=1,F432*O432,"")</f>
        <v/>
      </c>
    </row>
    <row r="433">
      <c r="A433">
        <f>PNL!A433</f>
        <v/>
      </c>
      <c r="B433">
        <f>PNL!B433</f>
        <v/>
      </c>
      <c r="C433">
        <f>PNL!C433</f>
        <v/>
      </c>
      <c r="D433">
        <f>PNL!D433</f>
        <v/>
      </c>
      <c r="E433">
        <f>IF(AND(C433="2027",OR(D433="V01",D433="V02",D433="V03")),1,0)</f>
        <v/>
      </c>
      <c r="F433">
        <f>IF(E433=1,SUMIFS(Compta!$F$2:$F$675,Compta!$A$2:$A$675,A433,Compta!$B$2:$B$675,B433,Compta!$C$2:$C$675,"2026"),0)</f>
        <v/>
      </c>
      <c r="G433">
        <f>IF(D433="V01",cad!$I$21,IF(D433="V02",cad!$J$21,cad!$K$21))</f>
        <v/>
      </c>
      <c r="H433">
        <f>IF(D433="V01",cad!$I$22,IF(D433="V02",cad!$J$22,cad!$K$22))</f>
        <v/>
      </c>
      <c r="I433">
        <f>IF(D433="V01",cad!$I$27,IF(D433="V02",cad!$J$27,cad!$K$27))</f>
        <v/>
      </c>
      <c r="J433">
        <f>IF(D433="V01",cad!$I$28,IF(D433="V02",cad!$J$28,cad!$K$28))</f>
        <v/>
      </c>
      <c r="K433">
        <f>IF(D433="V01",cad!$I$29,IF(D433="V02",cad!$J$29,cad!$K$29))</f>
        <v/>
      </c>
      <c r="L433">
        <f>IF(D433="V01",cad!$I$30,IF(D433="V02",cad!$J$30,cad!$K$30))</f>
        <v/>
      </c>
      <c r="M433">
        <f>IF(D433="V01",cad!$I$31,IF(D433="V02",cad!$J$31,cad!$K$31))</f>
        <v/>
      </c>
      <c r="N433">
        <f>IF(D433="V01",$R$2,IF(D433="V02",$R$3,$R$4))</f>
        <v/>
      </c>
      <c r="O433">
        <f>IF(OR(B433="7062",B433="706",B433="708"),N433,IF(B433="6231",1+G433,IF(B433="6236",1+H433,IF(OR(B433="621",B433="604",B433="6063"),N433*(1-L433),IF(OR(B433="6411",B433="6413",B433="6414",B433="645"),(1+J433)*(1+K433),IF(OR(B433="613",B433="615",B433="616",B433="6226",B433="625",B433="626",B433="6281"),(1+I433)*(1-L433)*(1+M433),IF(OR(B433="6331",B433="63511",B433="6333"),(1+I433)*(1-L433),IF(B433="6811",1+I433,1))))))))</f>
        <v/>
      </c>
      <c r="P433">
        <f>IF(E433=1,F433*O433,"")</f>
        <v/>
      </c>
    </row>
    <row r="434">
      <c r="A434">
        <f>PNL!A434</f>
        <v/>
      </c>
      <c r="B434">
        <f>PNL!B434</f>
        <v/>
      </c>
      <c r="C434">
        <f>PNL!C434</f>
        <v/>
      </c>
      <c r="D434">
        <f>PNL!D434</f>
        <v/>
      </c>
      <c r="E434">
        <f>IF(AND(C434="2027",OR(D434="V01",D434="V02",D434="V03")),1,0)</f>
        <v/>
      </c>
      <c r="F434">
        <f>IF(E434=1,SUMIFS(Compta!$F$2:$F$675,Compta!$A$2:$A$675,A434,Compta!$B$2:$B$675,B434,Compta!$C$2:$C$675,"2026"),0)</f>
        <v/>
      </c>
      <c r="G434">
        <f>IF(D434="V01",cad!$I$21,IF(D434="V02",cad!$J$21,cad!$K$21))</f>
        <v/>
      </c>
      <c r="H434">
        <f>IF(D434="V01",cad!$I$22,IF(D434="V02",cad!$J$22,cad!$K$22))</f>
        <v/>
      </c>
      <c r="I434">
        <f>IF(D434="V01",cad!$I$27,IF(D434="V02",cad!$J$27,cad!$K$27))</f>
        <v/>
      </c>
      <c r="J434">
        <f>IF(D434="V01",cad!$I$28,IF(D434="V02",cad!$J$28,cad!$K$28))</f>
        <v/>
      </c>
      <c r="K434">
        <f>IF(D434="V01",cad!$I$29,IF(D434="V02",cad!$J$29,cad!$K$29))</f>
        <v/>
      </c>
      <c r="L434">
        <f>IF(D434="V01",cad!$I$30,IF(D434="V02",cad!$J$30,cad!$K$30))</f>
        <v/>
      </c>
      <c r="M434">
        <f>IF(D434="V01",cad!$I$31,IF(D434="V02",cad!$J$31,cad!$K$31))</f>
        <v/>
      </c>
      <c r="N434">
        <f>IF(D434="V01",$R$2,IF(D434="V02",$R$3,$R$4))</f>
        <v/>
      </c>
      <c r="O434">
        <f>IF(OR(B434="7062",B434="706",B434="708"),N434,IF(B434="6231",1+G434,IF(B434="6236",1+H434,IF(OR(B434="621",B434="604",B434="6063"),N434*(1-L434),IF(OR(B434="6411",B434="6413",B434="6414",B434="645"),(1+J434)*(1+K434),IF(OR(B434="613",B434="615",B434="616",B434="6226",B434="625",B434="626",B434="6281"),(1+I434)*(1-L434)*(1+M434),IF(OR(B434="6331",B434="63511",B434="6333"),(1+I434)*(1-L434),IF(B434="6811",1+I434,1))))))))</f>
        <v/>
      </c>
      <c r="P434">
        <f>IF(E434=1,F434*O434,"")</f>
        <v/>
      </c>
    </row>
    <row r="435">
      <c r="A435">
        <f>PNL!A435</f>
        <v/>
      </c>
      <c r="B435">
        <f>PNL!B435</f>
        <v/>
      </c>
      <c r="C435">
        <f>PNL!C435</f>
        <v/>
      </c>
      <c r="D435">
        <f>PNL!D435</f>
        <v/>
      </c>
      <c r="E435">
        <f>IF(AND(C435="2027",OR(D435="V01",D435="V02",D435="V03")),1,0)</f>
        <v/>
      </c>
      <c r="F435">
        <f>IF(E435=1,SUMIFS(Compta!$F$2:$F$675,Compta!$A$2:$A$675,A435,Compta!$B$2:$B$675,B435,Compta!$C$2:$C$675,"2026"),0)</f>
        <v/>
      </c>
      <c r="G435">
        <f>IF(D435="V01",cad!$I$21,IF(D435="V02",cad!$J$21,cad!$K$21))</f>
        <v/>
      </c>
      <c r="H435">
        <f>IF(D435="V01",cad!$I$22,IF(D435="V02",cad!$J$22,cad!$K$22))</f>
        <v/>
      </c>
      <c r="I435">
        <f>IF(D435="V01",cad!$I$27,IF(D435="V02",cad!$J$27,cad!$K$27))</f>
        <v/>
      </c>
      <c r="J435">
        <f>IF(D435="V01",cad!$I$28,IF(D435="V02",cad!$J$28,cad!$K$28))</f>
        <v/>
      </c>
      <c r="K435">
        <f>IF(D435="V01",cad!$I$29,IF(D435="V02",cad!$J$29,cad!$K$29))</f>
        <v/>
      </c>
      <c r="L435">
        <f>IF(D435="V01",cad!$I$30,IF(D435="V02",cad!$J$30,cad!$K$30))</f>
        <v/>
      </c>
      <c r="M435">
        <f>IF(D435="V01",cad!$I$31,IF(D435="V02",cad!$J$31,cad!$K$31))</f>
        <v/>
      </c>
      <c r="N435">
        <f>IF(D435="V01",$R$2,IF(D435="V02",$R$3,$R$4))</f>
        <v/>
      </c>
      <c r="O435">
        <f>IF(OR(B435="7062",B435="706",B435="708"),N435,IF(B435="6231",1+G435,IF(B435="6236",1+H435,IF(OR(B435="621",B435="604",B435="6063"),N435*(1-L435),IF(OR(B435="6411",B435="6413",B435="6414",B435="645"),(1+J435)*(1+K435),IF(OR(B435="613",B435="615",B435="616",B435="6226",B435="625",B435="626",B435="6281"),(1+I435)*(1-L435)*(1+M435),IF(OR(B435="6331",B435="63511",B435="6333"),(1+I435)*(1-L435),IF(B435="6811",1+I435,1))))))))</f>
        <v/>
      </c>
      <c r="P435">
        <f>IF(E435=1,F435*O435,"")</f>
        <v/>
      </c>
    </row>
    <row r="436">
      <c r="A436">
        <f>PNL!A436</f>
        <v/>
      </c>
      <c r="B436">
        <f>PNL!B436</f>
        <v/>
      </c>
      <c r="C436">
        <f>PNL!C436</f>
        <v/>
      </c>
      <c r="D436">
        <f>PNL!D436</f>
        <v/>
      </c>
      <c r="E436">
        <f>IF(AND(C436="2027",OR(D436="V01",D436="V02",D436="V03")),1,0)</f>
        <v/>
      </c>
      <c r="F436">
        <f>IF(E436=1,SUMIFS(Compta!$F$2:$F$675,Compta!$A$2:$A$675,A436,Compta!$B$2:$B$675,B436,Compta!$C$2:$C$675,"2026"),0)</f>
        <v/>
      </c>
      <c r="G436">
        <f>IF(D436="V01",cad!$I$21,IF(D436="V02",cad!$J$21,cad!$K$21))</f>
        <v/>
      </c>
      <c r="H436">
        <f>IF(D436="V01",cad!$I$22,IF(D436="V02",cad!$J$22,cad!$K$22))</f>
        <v/>
      </c>
      <c r="I436">
        <f>IF(D436="V01",cad!$I$27,IF(D436="V02",cad!$J$27,cad!$K$27))</f>
        <v/>
      </c>
      <c r="J436">
        <f>IF(D436="V01",cad!$I$28,IF(D436="V02",cad!$J$28,cad!$K$28))</f>
        <v/>
      </c>
      <c r="K436">
        <f>IF(D436="V01",cad!$I$29,IF(D436="V02",cad!$J$29,cad!$K$29))</f>
        <v/>
      </c>
      <c r="L436">
        <f>IF(D436="V01",cad!$I$30,IF(D436="V02",cad!$J$30,cad!$K$30))</f>
        <v/>
      </c>
      <c r="M436">
        <f>IF(D436="V01",cad!$I$31,IF(D436="V02",cad!$J$31,cad!$K$31))</f>
        <v/>
      </c>
      <c r="N436">
        <f>IF(D436="V01",$R$2,IF(D436="V02",$R$3,$R$4))</f>
        <v/>
      </c>
      <c r="O436">
        <f>IF(OR(B436="7062",B436="706",B436="708"),N436,IF(B436="6231",1+G436,IF(B436="6236",1+H436,IF(OR(B436="621",B436="604",B436="6063"),N436*(1-L436),IF(OR(B436="6411",B436="6413",B436="6414",B436="645"),(1+J436)*(1+K436),IF(OR(B436="613",B436="615",B436="616",B436="6226",B436="625",B436="626",B436="6281"),(1+I436)*(1-L436)*(1+M436),IF(OR(B436="6331",B436="63511",B436="6333"),(1+I436)*(1-L436),IF(B436="6811",1+I436,1))))))))</f>
        <v/>
      </c>
      <c r="P436">
        <f>IF(E436=1,F436*O436,"")</f>
        <v/>
      </c>
    </row>
    <row r="437">
      <c r="A437">
        <f>PNL!A437</f>
        <v/>
      </c>
      <c r="B437">
        <f>PNL!B437</f>
        <v/>
      </c>
      <c r="C437">
        <f>PNL!C437</f>
        <v/>
      </c>
      <c r="D437">
        <f>PNL!D437</f>
        <v/>
      </c>
      <c r="E437">
        <f>IF(AND(C437="2027",OR(D437="V01",D437="V02",D437="V03")),1,0)</f>
        <v/>
      </c>
      <c r="F437">
        <f>IF(E437=1,SUMIFS(Compta!$F$2:$F$675,Compta!$A$2:$A$675,A437,Compta!$B$2:$B$675,B437,Compta!$C$2:$C$675,"2026"),0)</f>
        <v/>
      </c>
      <c r="G437">
        <f>IF(D437="V01",cad!$I$21,IF(D437="V02",cad!$J$21,cad!$K$21))</f>
        <v/>
      </c>
      <c r="H437">
        <f>IF(D437="V01",cad!$I$22,IF(D437="V02",cad!$J$22,cad!$K$22))</f>
        <v/>
      </c>
      <c r="I437">
        <f>IF(D437="V01",cad!$I$27,IF(D437="V02",cad!$J$27,cad!$K$27))</f>
        <v/>
      </c>
      <c r="J437">
        <f>IF(D437="V01",cad!$I$28,IF(D437="V02",cad!$J$28,cad!$K$28))</f>
        <v/>
      </c>
      <c r="K437">
        <f>IF(D437="V01",cad!$I$29,IF(D437="V02",cad!$J$29,cad!$K$29))</f>
        <v/>
      </c>
      <c r="L437">
        <f>IF(D437="V01",cad!$I$30,IF(D437="V02",cad!$J$30,cad!$K$30))</f>
        <v/>
      </c>
      <c r="M437">
        <f>IF(D437="V01",cad!$I$31,IF(D437="V02",cad!$J$31,cad!$K$31))</f>
        <v/>
      </c>
      <c r="N437">
        <f>IF(D437="V01",$R$2,IF(D437="V02",$R$3,$R$4))</f>
        <v/>
      </c>
      <c r="O437">
        <f>IF(OR(B437="7062",B437="706",B437="708"),N437,IF(B437="6231",1+G437,IF(B437="6236",1+H437,IF(OR(B437="621",B437="604",B437="6063"),N437*(1-L437),IF(OR(B437="6411",B437="6413",B437="6414",B437="645"),(1+J437)*(1+K437),IF(OR(B437="613",B437="615",B437="616",B437="6226",B437="625",B437="626",B437="6281"),(1+I437)*(1-L437)*(1+M437),IF(OR(B437="6331",B437="63511",B437="6333"),(1+I437)*(1-L437),IF(B437="6811",1+I437,1))))))))</f>
        <v/>
      </c>
      <c r="P437">
        <f>IF(E437=1,F437*O437,"")</f>
        <v/>
      </c>
    </row>
    <row r="438">
      <c r="A438">
        <f>PNL!A438</f>
        <v/>
      </c>
      <c r="B438">
        <f>PNL!B438</f>
        <v/>
      </c>
      <c r="C438">
        <f>PNL!C438</f>
        <v/>
      </c>
      <c r="D438">
        <f>PNL!D438</f>
        <v/>
      </c>
      <c r="E438">
        <f>IF(AND(C438="2027",OR(D438="V01",D438="V02",D438="V03")),1,0)</f>
        <v/>
      </c>
      <c r="F438">
        <f>IF(E438=1,SUMIFS(Compta!$F$2:$F$675,Compta!$A$2:$A$675,A438,Compta!$B$2:$B$675,B438,Compta!$C$2:$C$675,"2026"),0)</f>
        <v/>
      </c>
      <c r="G438">
        <f>IF(D438="V01",cad!$I$21,IF(D438="V02",cad!$J$21,cad!$K$21))</f>
        <v/>
      </c>
      <c r="H438">
        <f>IF(D438="V01",cad!$I$22,IF(D438="V02",cad!$J$22,cad!$K$22))</f>
        <v/>
      </c>
      <c r="I438">
        <f>IF(D438="V01",cad!$I$27,IF(D438="V02",cad!$J$27,cad!$K$27))</f>
        <v/>
      </c>
      <c r="J438">
        <f>IF(D438="V01",cad!$I$28,IF(D438="V02",cad!$J$28,cad!$K$28))</f>
        <v/>
      </c>
      <c r="K438">
        <f>IF(D438="V01",cad!$I$29,IF(D438="V02",cad!$J$29,cad!$K$29))</f>
        <v/>
      </c>
      <c r="L438">
        <f>IF(D438="V01",cad!$I$30,IF(D438="V02",cad!$J$30,cad!$K$30))</f>
        <v/>
      </c>
      <c r="M438">
        <f>IF(D438="V01",cad!$I$31,IF(D438="V02",cad!$J$31,cad!$K$31))</f>
        <v/>
      </c>
      <c r="N438">
        <f>IF(D438="V01",$R$2,IF(D438="V02",$R$3,$R$4))</f>
        <v/>
      </c>
      <c r="O438">
        <f>IF(OR(B438="7062",B438="706",B438="708"),N438,IF(B438="6231",1+G438,IF(B438="6236",1+H438,IF(OR(B438="621",B438="604",B438="6063"),N438*(1-L438),IF(OR(B438="6411",B438="6413",B438="6414",B438="645"),(1+J438)*(1+K438),IF(OR(B438="613",B438="615",B438="616",B438="6226",B438="625",B438="626",B438="6281"),(1+I438)*(1-L438)*(1+M438),IF(OR(B438="6331",B438="63511",B438="6333"),(1+I438)*(1-L438),IF(B438="6811",1+I438,1))))))))</f>
        <v/>
      </c>
      <c r="P438">
        <f>IF(E438=1,F438*O438,"")</f>
        <v/>
      </c>
    </row>
    <row r="439">
      <c r="A439">
        <f>PNL!A439</f>
        <v/>
      </c>
      <c r="B439">
        <f>PNL!B439</f>
        <v/>
      </c>
      <c r="C439">
        <f>PNL!C439</f>
        <v/>
      </c>
      <c r="D439">
        <f>PNL!D439</f>
        <v/>
      </c>
      <c r="E439">
        <f>IF(AND(C439="2027",OR(D439="V01",D439="V02",D439="V03")),1,0)</f>
        <v/>
      </c>
      <c r="F439">
        <f>IF(E439=1,SUMIFS(Compta!$F$2:$F$675,Compta!$A$2:$A$675,A439,Compta!$B$2:$B$675,B439,Compta!$C$2:$C$675,"2026"),0)</f>
        <v/>
      </c>
      <c r="G439">
        <f>IF(D439="V01",cad!$I$21,IF(D439="V02",cad!$J$21,cad!$K$21))</f>
        <v/>
      </c>
      <c r="H439">
        <f>IF(D439="V01",cad!$I$22,IF(D439="V02",cad!$J$22,cad!$K$22))</f>
        <v/>
      </c>
      <c r="I439">
        <f>IF(D439="V01",cad!$I$27,IF(D439="V02",cad!$J$27,cad!$K$27))</f>
        <v/>
      </c>
      <c r="J439">
        <f>IF(D439="V01",cad!$I$28,IF(D439="V02",cad!$J$28,cad!$K$28))</f>
        <v/>
      </c>
      <c r="K439">
        <f>IF(D439="V01",cad!$I$29,IF(D439="V02",cad!$J$29,cad!$K$29))</f>
        <v/>
      </c>
      <c r="L439">
        <f>IF(D439="V01",cad!$I$30,IF(D439="V02",cad!$J$30,cad!$K$30))</f>
        <v/>
      </c>
      <c r="M439">
        <f>IF(D439="V01",cad!$I$31,IF(D439="V02",cad!$J$31,cad!$K$31))</f>
        <v/>
      </c>
      <c r="N439">
        <f>IF(D439="V01",$R$2,IF(D439="V02",$R$3,$R$4))</f>
        <v/>
      </c>
      <c r="O439">
        <f>IF(OR(B439="7062",B439="706",B439="708"),N439,IF(B439="6231",1+G439,IF(B439="6236",1+H439,IF(OR(B439="621",B439="604",B439="6063"),N439*(1-L439),IF(OR(B439="6411",B439="6413",B439="6414",B439="645"),(1+J439)*(1+K439),IF(OR(B439="613",B439="615",B439="616",B439="6226",B439="625",B439="626",B439="6281"),(1+I439)*(1-L439)*(1+M439),IF(OR(B439="6331",B439="63511",B439="6333"),(1+I439)*(1-L439),IF(B439="6811",1+I439,1))))))))</f>
        <v/>
      </c>
      <c r="P439">
        <f>IF(E439=1,F439*O439,"")</f>
        <v/>
      </c>
    </row>
    <row r="440">
      <c r="A440">
        <f>PNL!A440</f>
        <v/>
      </c>
      <c r="B440">
        <f>PNL!B440</f>
        <v/>
      </c>
      <c r="C440">
        <f>PNL!C440</f>
        <v/>
      </c>
      <c r="D440">
        <f>PNL!D440</f>
        <v/>
      </c>
      <c r="E440">
        <f>IF(AND(C440="2027",OR(D440="V01",D440="V02",D440="V03")),1,0)</f>
        <v/>
      </c>
      <c r="F440">
        <f>IF(E440=1,SUMIFS(Compta!$F$2:$F$675,Compta!$A$2:$A$675,A440,Compta!$B$2:$B$675,B440,Compta!$C$2:$C$675,"2026"),0)</f>
        <v/>
      </c>
      <c r="G440">
        <f>IF(D440="V01",cad!$I$21,IF(D440="V02",cad!$J$21,cad!$K$21))</f>
        <v/>
      </c>
      <c r="H440">
        <f>IF(D440="V01",cad!$I$22,IF(D440="V02",cad!$J$22,cad!$K$22))</f>
        <v/>
      </c>
      <c r="I440">
        <f>IF(D440="V01",cad!$I$27,IF(D440="V02",cad!$J$27,cad!$K$27))</f>
        <v/>
      </c>
      <c r="J440">
        <f>IF(D440="V01",cad!$I$28,IF(D440="V02",cad!$J$28,cad!$K$28))</f>
        <v/>
      </c>
      <c r="K440">
        <f>IF(D440="V01",cad!$I$29,IF(D440="V02",cad!$J$29,cad!$K$29))</f>
        <v/>
      </c>
      <c r="L440">
        <f>IF(D440="V01",cad!$I$30,IF(D440="V02",cad!$J$30,cad!$K$30))</f>
        <v/>
      </c>
      <c r="M440">
        <f>IF(D440="V01",cad!$I$31,IF(D440="V02",cad!$J$31,cad!$K$31))</f>
        <v/>
      </c>
      <c r="N440">
        <f>IF(D440="V01",$R$2,IF(D440="V02",$R$3,$R$4))</f>
        <v/>
      </c>
      <c r="O440">
        <f>IF(OR(B440="7062",B440="706",B440="708"),N440,IF(B440="6231",1+G440,IF(B440="6236",1+H440,IF(OR(B440="621",B440="604",B440="6063"),N440*(1-L440),IF(OR(B440="6411",B440="6413",B440="6414",B440="645"),(1+J440)*(1+K440),IF(OR(B440="613",B440="615",B440="616",B440="6226",B440="625",B440="626",B440="6281"),(1+I440)*(1-L440)*(1+M440),IF(OR(B440="6331",B440="63511",B440="6333"),(1+I440)*(1-L440),IF(B440="6811",1+I440,1))))))))</f>
        <v/>
      </c>
      <c r="P440">
        <f>IF(E440=1,F440*O440,"")</f>
        <v/>
      </c>
    </row>
    <row r="441">
      <c r="A441">
        <f>PNL!A441</f>
        <v/>
      </c>
      <c r="B441">
        <f>PNL!B441</f>
        <v/>
      </c>
      <c r="C441">
        <f>PNL!C441</f>
        <v/>
      </c>
      <c r="D441">
        <f>PNL!D441</f>
        <v/>
      </c>
      <c r="E441">
        <f>IF(AND(C441="2027",OR(D441="V01",D441="V02",D441="V03")),1,0)</f>
        <v/>
      </c>
      <c r="F441">
        <f>IF(E441=1,SUMIFS(Compta!$F$2:$F$675,Compta!$A$2:$A$675,A441,Compta!$B$2:$B$675,B441,Compta!$C$2:$C$675,"2026"),0)</f>
        <v/>
      </c>
      <c r="G441">
        <f>IF(D441="V01",cad!$I$21,IF(D441="V02",cad!$J$21,cad!$K$21))</f>
        <v/>
      </c>
      <c r="H441">
        <f>IF(D441="V01",cad!$I$22,IF(D441="V02",cad!$J$22,cad!$K$22))</f>
        <v/>
      </c>
      <c r="I441">
        <f>IF(D441="V01",cad!$I$27,IF(D441="V02",cad!$J$27,cad!$K$27))</f>
        <v/>
      </c>
      <c r="J441">
        <f>IF(D441="V01",cad!$I$28,IF(D441="V02",cad!$J$28,cad!$K$28))</f>
        <v/>
      </c>
      <c r="K441">
        <f>IF(D441="V01",cad!$I$29,IF(D441="V02",cad!$J$29,cad!$K$29))</f>
        <v/>
      </c>
      <c r="L441">
        <f>IF(D441="V01",cad!$I$30,IF(D441="V02",cad!$J$30,cad!$K$30))</f>
        <v/>
      </c>
      <c r="M441">
        <f>IF(D441="V01",cad!$I$31,IF(D441="V02",cad!$J$31,cad!$K$31))</f>
        <v/>
      </c>
      <c r="N441">
        <f>IF(D441="V01",$R$2,IF(D441="V02",$R$3,$R$4))</f>
        <v/>
      </c>
      <c r="O441">
        <f>IF(OR(B441="7062",B441="706",B441="708"),N441,IF(B441="6231",1+G441,IF(B441="6236",1+H441,IF(OR(B441="621",B441="604",B441="6063"),N441*(1-L441),IF(OR(B441="6411",B441="6413",B441="6414",B441="645"),(1+J441)*(1+K441),IF(OR(B441="613",B441="615",B441="616",B441="6226",B441="625",B441="626",B441="6281"),(1+I441)*(1-L441)*(1+M441),IF(OR(B441="6331",B441="63511",B441="6333"),(1+I441)*(1-L441),IF(B441="6811",1+I441,1))))))))</f>
        <v/>
      </c>
      <c r="P441">
        <f>IF(E441=1,F441*O441,"")</f>
        <v/>
      </c>
    </row>
    <row r="442">
      <c r="A442">
        <f>PNL!A442</f>
        <v/>
      </c>
      <c r="B442">
        <f>PNL!B442</f>
        <v/>
      </c>
      <c r="C442">
        <f>PNL!C442</f>
        <v/>
      </c>
      <c r="D442">
        <f>PNL!D442</f>
        <v/>
      </c>
      <c r="E442">
        <f>IF(AND(C442="2027",OR(D442="V01",D442="V02",D442="V03")),1,0)</f>
        <v/>
      </c>
      <c r="F442">
        <f>IF(E442=1,SUMIFS(Compta!$F$2:$F$675,Compta!$A$2:$A$675,A442,Compta!$B$2:$B$675,B442,Compta!$C$2:$C$675,"2026"),0)</f>
        <v/>
      </c>
      <c r="G442">
        <f>IF(D442="V01",cad!$I$21,IF(D442="V02",cad!$J$21,cad!$K$21))</f>
        <v/>
      </c>
      <c r="H442">
        <f>IF(D442="V01",cad!$I$22,IF(D442="V02",cad!$J$22,cad!$K$22))</f>
        <v/>
      </c>
      <c r="I442">
        <f>IF(D442="V01",cad!$I$27,IF(D442="V02",cad!$J$27,cad!$K$27))</f>
        <v/>
      </c>
      <c r="J442">
        <f>IF(D442="V01",cad!$I$28,IF(D442="V02",cad!$J$28,cad!$K$28))</f>
        <v/>
      </c>
      <c r="K442">
        <f>IF(D442="V01",cad!$I$29,IF(D442="V02",cad!$J$29,cad!$K$29))</f>
        <v/>
      </c>
      <c r="L442">
        <f>IF(D442="V01",cad!$I$30,IF(D442="V02",cad!$J$30,cad!$K$30))</f>
        <v/>
      </c>
      <c r="M442">
        <f>IF(D442="V01",cad!$I$31,IF(D442="V02",cad!$J$31,cad!$K$31))</f>
        <v/>
      </c>
      <c r="N442">
        <f>IF(D442="V01",$R$2,IF(D442="V02",$R$3,$R$4))</f>
        <v/>
      </c>
      <c r="O442">
        <f>IF(OR(B442="7062",B442="706",B442="708"),N442,IF(B442="6231",1+G442,IF(B442="6236",1+H442,IF(OR(B442="621",B442="604",B442="6063"),N442*(1-L442),IF(OR(B442="6411",B442="6413",B442="6414",B442="645"),(1+J442)*(1+K442),IF(OR(B442="613",B442="615",B442="616",B442="6226",B442="625",B442="626",B442="6281"),(1+I442)*(1-L442)*(1+M442),IF(OR(B442="6331",B442="63511",B442="6333"),(1+I442)*(1-L442),IF(B442="6811",1+I442,1))))))))</f>
        <v/>
      </c>
      <c r="P442">
        <f>IF(E442=1,F442*O442,"")</f>
        <v/>
      </c>
    </row>
    <row r="443">
      <c r="A443">
        <f>PNL!A443</f>
        <v/>
      </c>
      <c r="B443">
        <f>PNL!B443</f>
        <v/>
      </c>
      <c r="C443">
        <f>PNL!C443</f>
        <v/>
      </c>
      <c r="D443">
        <f>PNL!D443</f>
        <v/>
      </c>
      <c r="E443">
        <f>IF(AND(C443="2027",OR(D443="V01",D443="V02",D443="V03")),1,0)</f>
        <v/>
      </c>
      <c r="F443">
        <f>IF(E443=1,SUMIFS(Compta!$F$2:$F$675,Compta!$A$2:$A$675,A443,Compta!$B$2:$B$675,B443,Compta!$C$2:$C$675,"2026"),0)</f>
        <v/>
      </c>
      <c r="G443">
        <f>IF(D443="V01",cad!$I$21,IF(D443="V02",cad!$J$21,cad!$K$21))</f>
        <v/>
      </c>
      <c r="H443">
        <f>IF(D443="V01",cad!$I$22,IF(D443="V02",cad!$J$22,cad!$K$22))</f>
        <v/>
      </c>
      <c r="I443">
        <f>IF(D443="V01",cad!$I$27,IF(D443="V02",cad!$J$27,cad!$K$27))</f>
        <v/>
      </c>
      <c r="J443">
        <f>IF(D443="V01",cad!$I$28,IF(D443="V02",cad!$J$28,cad!$K$28))</f>
        <v/>
      </c>
      <c r="K443">
        <f>IF(D443="V01",cad!$I$29,IF(D443="V02",cad!$J$29,cad!$K$29))</f>
        <v/>
      </c>
      <c r="L443">
        <f>IF(D443="V01",cad!$I$30,IF(D443="V02",cad!$J$30,cad!$K$30))</f>
        <v/>
      </c>
      <c r="M443">
        <f>IF(D443="V01",cad!$I$31,IF(D443="V02",cad!$J$31,cad!$K$31))</f>
        <v/>
      </c>
      <c r="N443">
        <f>IF(D443="V01",$R$2,IF(D443="V02",$R$3,$R$4))</f>
        <v/>
      </c>
      <c r="O443">
        <f>IF(OR(B443="7062",B443="706",B443="708"),N443,IF(B443="6231",1+G443,IF(B443="6236",1+H443,IF(OR(B443="621",B443="604",B443="6063"),N443*(1-L443),IF(OR(B443="6411",B443="6413",B443="6414",B443="645"),(1+J443)*(1+K443),IF(OR(B443="613",B443="615",B443="616",B443="6226",B443="625",B443="626",B443="6281"),(1+I443)*(1-L443)*(1+M443),IF(OR(B443="6331",B443="63511",B443="6333"),(1+I443)*(1-L443),IF(B443="6811",1+I443,1))))))))</f>
        <v/>
      </c>
      <c r="P443">
        <f>IF(E443=1,F443*O443,"")</f>
        <v/>
      </c>
    </row>
    <row r="444">
      <c r="A444">
        <f>PNL!A444</f>
        <v/>
      </c>
      <c r="B444">
        <f>PNL!B444</f>
        <v/>
      </c>
      <c r="C444">
        <f>PNL!C444</f>
        <v/>
      </c>
      <c r="D444">
        <f>PNL!D444</f>
        <v/>
      </c>
      <c r="E444">
        <f>IF(AND(C444="2027",OR(D444="V01",D444="V02",D444="V03")),1,0)</f>
        <v/>
      </c>
      <c r="F444">
        <f>IF(E444=1,SUMIFS(Compta!$F$2:$F$675,Compta!$A$2:$A$675,A444,Compta!$B$2:$B$675,B444,Compta!$C$2:$C$675,"2026"),0)</f>
        <v/>
      </c>
      <c r="G444">
        <f>IF(D444="V01",cad!$I$21,IF(D444="V02",cad!$J$21,cad!$K$21))</f>
        <v/>
      </c>
      <c r="H444">
        <f>IF(D444="V01",cad!$I$22,IF(D444="V02",cad!$J$22,cad!$K$22))</f>
        <v/>
      </c>
      <c r="I444">
        <f>IF(D444="V01",cad!$I$27,IF(D444="V02",cad!$J$27,cad!$K$27))</f>
        <v/>
      </c>
      <c r="J444">
        <f>IF(D444="V01",cad!$I$28,IF(D444="V02",cad!$J$28,cad!$K$28))</f>
        <v/>
      </c>
      <c r="K444">
        <f>IF(D444="V01",cad!$I$29,IF(D444="V02",cad!$J$29,cad!$K$29))</f>
        <v/>
      </c>
      <c r="L444">
        <f>IF(D444="V01",cad!$I$30,IF(D444="V02",cad!$J$30,cad!$K$30))</f>
        <v/>
      </c>
      <c r="M444">
        <f>IF(D444="V01",cad!$I$31,IF(D444="V02",cad!$J$31,cad!$K$31))</f>
        <v/>
      </c>
      <c r="N444">
        <f>IF(D444="V01",$R$2,IF(D444="V02",$R$3,$R$4))</f>
        <v/>
      </c>
      <c r="O444">
        <f>IF(OR(B444="7062",B444="706",B444="708"),N444,IF(B444="6231",1+G444,IF(B444="6236",1+H444,IF(OR(B444="621",B444="604",B444="6063"),N444*(1-L444),IF(OR(B444="6411",B444="6413",B444="6414",B444="645"),(1+J444)*(1+K444),IF(OR(B444="613",B444="615",B444="616",B444="6226",B444="625",B444="626",B444="6281"),(1+I444)*(1-L444)*(1+M444),IF(OR(B444="6331",B444="63511",B444="6333"),(1+I444)*(1-L444),IF(B444="6811",1+I444,1))))))))</f>
        <v/>
      </c>
      <c r="P444">
        <f>IF(E444=1,F444*O444,"")</f>
        <v/>
      </c>
    </row>
    <row r="445">
      <c r="A445">
        <f>PNL!A445</f>
        <v/>
      </c>
      <c r="B445">
        <f>PNL!B445</f>
        <v/>
      </c>
      <c r="C445">
        <f>PNL!C445</f>
        <v/>
      </c>
      <c r="D445">
        <f>PNL!D445</f>
        <v/>
      </c>
      <c r="E445">
        <f>IF(AND(C445="2027",OR(D445="V01",D445="V02",D445="V03")),1,0)</f>
        <v/>
      </c>
      <c r="F445">
        <f>IF(E445=1,SUMIFS(Compta!$F$2:$F$675,Compta!$A$2:$A$675,A445,Compta!$B$2:$B$675,B445,Compta!$C$2:$C$675,"2026"),0)</f>
        <v/>
      </c>
      <c r="G445">
        <f>IF(D445="V01",cad!$I$21,IF(D445="V02",cad!$J$21,cad!$K$21))</f>
        <v/>
      </c>
      <c r="H445">
        <f>IF(D445="V01",cad!$I$22,IF(D445="V02",cad!$J$22,cad!$K$22))</f>
        <v/>
      </c>
      <c r="I445">
        <f>IF(D445="V01",cad!$I$27,IF(D445="V02",cad!$J$27,cad!$K$27))</f>
        <v/>
      </c>
      <c r="J445">
        <f>IF(D445="V01",cad!$I$28,IF(D445="V02",cad!$J$28,cad!$K$28))</f>
        <v/>
      </c>
      <c r="K445">
        <f>IF(D445="V01",cad!$I$29,IF(D445="V02",cad!$J$29,cad!$K$29))</f>
        <v/>
      </c>
      <c r="L445">
        <f>IF(D445="V01",cad!$I$30,IF(D445="V02",cad!$J$30,cad!$K$30))</f>
        <v/>
      </c>
      <c r="M445">
        <f>IF(D445="V01",cad!$I$31,IF(D445="V02",cad!$J$31,cad!$K$31))</f>
        <v/>
      </c>
      <c r="N445">
        <f>IF(D445="V01",$R$2,IF(D445="V02",$R$3,$R$4))</f>
        <v/>
      </c>
      <c r="O445">
        <f>IF(OR(B445="7062",B445="706",B445="708"),N445,IF(B445="6231",1+G445,IF(B445="6236",1+H445,IF(OR(B445="621",B445="604",B445="6063"),N445*(1-L445),IF(OR(B445="6411",B445="6413",B445="6414",B445="645"),(1+J445)*(1+K445),IF(OR(B445="613",B445="615",B445="616",B445="6226",B445="625",B445="626",B445="6281"),(1+I445)*(1-L445)*(1+M445),IF(OR(B445="6331",B445="63511",B445="6333"),(1+I445)*(1-L445),IF(B445="6811",1+I445,1))))))))</f>
        <v/>
      </c>
      <c r="P445">
        <f>IF(E445=1,F445*O445,"")</f>
        <v/>
      </c>
    </row>
    <row r="446">
      <c r="A446">
        <f>PNL!A446</f>
        <v/>
      </c>
      <c r="B446">
        <f>PNL!B446</f>
        <v/>
      </c>
      <c r="C446">
        <f>PNL!C446</f>
        <v/>
      </c>
      <c r="D446">
        <f>PNL!D446</f>
        <v/>
      </c>
      <c r="E446">
        <f>IF(AND(C446="2027",OR(D446="V01",D446="V02",D446="V03")),1,0)</f>
        <v/>
      </c>
      <c r="F446">
        <f>IF(E446=1,SUMIFS(Compta!$F$2:$F$675,Compta!$A$2:$A$675,A446,Compta!$B$2:$B$675,B446,Compta!$C$2:$C$675,"2026"),0)</f>
        <v/>
      </c>
      <c r="G446">
        <f>IF(D446="V01",cad!$I$21,IF(D446="V02",cad!$J$21,cad!$K$21))</f>
        <v/>
      </c>
      <c r="H446">
        <f>IF(D446="V01",cad!$I$22,IF(D446="V02",cad!$J$22,cad!$K$22))</f>
        <v/>
      </c>
      <c r="I446">
        <f>IF(D446="V01",cad!$I$27,IF(D446="V02",cad!$J$27,cad!$K$27))</f>
        <v/>
      </c>
      <c r="J446">
        <f>IF(D446="V01",cad!$I$28,IF(D446="V02",cad!$J$28,cad!$K$28))</f>
        <v/>
      </c>
      <c r="K446">
        <f>IF(D446="V01",cad!$I$29,IF(D446="V02",cad!$J$29,cad!$K$29))</f>
        <v/>
      </c>
      <c r="L446">
        <f>IF(D446="V01",cad!$I$30,IF(D446="V02",cad!$J$30,cad!$K$30))</f>
        <v/>
      </c>
      <c r="M446">
        <f>IF(D446="V01",cad!$I$31,IF(D446="V02",cad!$J$31,cad!$K$31))</f>
        <v/>
      </c>
      <c r="N446">
        <f>IF(D446="V01",$R$2,IF(D446="V02",$R$3,$R$4))</f>
        <v/>
      </c>
      <c r="O446">
        <f>IF(OR(B446="7062",B446="706",B446="708"),N446,IF(B446="6231",1+G446,IF(B446="6236",1+H446,IF(OR(B446="621",B446="604",B446="6063"),N446*(1-L446),IF(OR(B446="6411",B446="6413",B446="6414",B446="645"),(1+J446)*(1+K446),IF(OR(B446="613",B446="615",B446="616",B446="6226",B446="625",B446="626",B446="6281"),(1+I446)*(1-L446)*(1+M446),IF(OR(B446="6331",B446="63511",B446="6333"),(1+I446)*(1-L446),IF(B446="6811",1+I446,1))))))))</f>
        <v/>
      </c>
      <c r="P446">
        <f>IF(E446=1,F446*O446,"")</f>
        <v/>
      </c>
    </row>
    <row r="447">
      <c r="A447">
        <f>PNL!A447</f>
        <v/>
      </c>
      <c r="B447">
        <f>PNL!B447</f>
        <v/>
      </c>
      <c r="C447">
        <f>PNL!C447</f>
        <v/>
      </c>
      <c r="D447">
        <f>PNL!D447</f>
        <v/>
      </c>
      <c r="E447">
        <f>IF(AND(C447="2027",OR(D447="V01",D447="V02",D447="V03")),1,0)</f>
        <v/>
      </c>
      <c r="F447">
        <f>IF(E447=1,SUMIFS(Compta!$F$2:$F$675,Compta!$A$2:$A$675,A447,Compta!$B$2:$B$675,B447,Compta!$C$2:$C$675,"2026"),0)</f>
        <v/>
      </c>
      <c r="G447">
        <f>IF(D447="V01",cad!$I$21,IF(D447="V02",cad!$J$21,cad!$K$21))</f>
        <v/>
      </c>
      <c r="H447">
        <f>IF(D447="V01",cad!$I$22,IF(D447="V02",cad!$J$22,cad!$K$22))</f>
        <v/>
      </c>
      <c r="I447">
        <f>IF(D447="V01",cad!$I$27,IF(D447="V02",cad!$J$27,cad!$K$27))</f>
        <v/>
      </c>
      <c r="J447">
        <f>IF(D447="V01",cad!$I$28,IF(D447="V02",cad!$J$28,cad!$K$28))</f>
        <v/>
      </c>
      <c r="K447">
        <f>IF(D447="V01",cad!$I$29,IF(D447="V02",cad!$J$29,cad!$K$29))</f>
        <v/>
      </c>
      <c r="L447">
        <f>IF(D447="V01",cad!$I$30,IF(D447="V02",cad!$J$30,cad!$K$30))</f>
        <v/>
      </c>
      <c r="M447">
        <f>IF(D447="V01",cad!$I$31,IF(D447="V02",cad!$J$31,cad!$K$31))</f>
        <v/>
      </c>
      <c r="N447">
        <f>IF(D447="V01",$R$2,IF(D447="V02",$R$3,$R$4))</f>
        <v/>
      </c>
      <c r="O447">
        <f>IF(OR(B447="7062",B447="706",B447="708"),N447,IF(B447="6231",1+G447,IF(B447="6236",1+H447,IF(OR(B447="621",B447="604",B447="6063"),N447*(1-L447),IF(OR(B447="6411",B447="6413",B447="6414",B447="645"),(1+J447)*(1+K447),IF(OR(B447="613",B447="615",B447="616",B447="6226",B447="625",B447="626",B447="6281"),(1+I447)*(1-L447)*(1+M447),IF(OR(B447="6331",B447="63511",B447="6333"),(1+I447)*(1-L447),IF(B447="6811",1+I447,1))))))))</f>
        <v/>
      </c>
      <c r="P447">
        <f>IF(E447=1,F447*O447,"")</f>
        <v/>
      </c>
    </row>
    <row r="448">
      <c r="A448">
        <f>PNL!A448</f>
        <v/>
      </c>
      <c r="B448">
        <f>PNL!B448</f>
        <v/>
      </c>
      <c r="C448">
        <f>PNL!C448</f>
        <v/>
      </c>
      <c r="D448">
        <f>PNL!D448</f>
        <v/>
      </c>
      <c r="E448">
        <f>IF(AND(C448="2027",OR(D448="V01",D448="V02",D448="V03")),1,0)</f>
        <v/>
      </c>
      <c r="F448">
        <f>IF(E448=1,SUMIFS(Compta!$F$2:$F$675,Compta!$A$2:$A$675,A448,Compta!$B$2:$B$675,B448,Compta!$C$2:$C$675,"2026"),0)</f>
        <v/>
      </c>
      <c r="G448">
        <f>IF(D448="V01",cad!$I$21,IF(D448="V02",cad!$J$21,cad!$K$21))</f>
        <v/>
      </c>
      <c r="H448">
        <f>IF(D448="V01",cad!$I$22,IF(D448="V02",cad!$J$22,cad!$K$22))</f>
        <v/>
      </c>
      <c r="I448">
        <f>IF(D448="V01",cad!$I$27,IF(D448="V02",cad!$J$27,cad!$K$27))</f>
        <v/>
      </c>
      <c r="J448">
        <f>IF(D448="V01",cad!$I$28,IF(D448="V02",cad!$J$28,cad!$K$28))</f>
        <v/>
      </c>
      <c r="K448">
        <f>IF(D448="V01",cad!$I$29,IF(D448="V02",cad!$J$29,cad!$K$29))</f>
        <v/>
      </c>
      <c r="L448">
        <f>IF(D448="V01",cad!$I$30,IF(D448="V02",cad!$J$30,cad!$K$30))</f>
        <v/>
      </c>
      <c r="M448">
        <f>IF(D448="V01",cad!$I$31,IF(D448="V02",cad!$J$31,cad!$K$31))</f>
        <v/>
      </c>
      <c r="N448">
        <f>IF(D448="V01",$R$2,IF(D448="V02",$R$3,$R$4))</f>
        <v/>
      </c>
      <c r="O448">
        <f>IF(OR(B448="7062",B448="706",B448="708"),N448,IF(B448="6231",1+G448,IF(B448="6236",1+H448,IF(OR(B448="621",B448="604",B448="6063"),N448*(1-L448),IF(OR(B448="6411",B448="6413",B448="6414",B448="645"),(1+J448)*(1+K448),IF(OR(B448="613",B448="615",B448="616",B448="6226",B448="625",B448="626",B448="6281"),(1+I448)*(1-L448)*(1+M448),IF(OR(B448="6331",B448="63511",B448="6333"),(1+I448)*(1-L448),IF(B448="6811",1+I448,1))))))))</f>
        <v/>
      </c>
      <c r="P448">
        <f>IF(E448=1,F448*O448,"")</f>
        <v/>
      </c>
    </row>
    <row r="449">
      <c r="A449">
        <f>PNL!A449</f>
        <v/>
      </c>
      <c r="B449">
        <f>PNL!B449</f>
        <v/>
      </c>
      <c r="C449">
        <f>PNL!C449</f>
        <v/>
      </c>
      <c r="D449">
        <f>PNL!D449</f>
        <v/>
      </c>
      <c r="E449">
        <f>IF(AND(C449="2027",OR(D449="V01",D449="V02",D449="V03")),1,0)</f>
        <v/>
      </c>
      <c r="F449">
        <f>IF(E449=1,SUMIFS(Compta!$F$2:$F$675,Compta!$A$2:$A$675,A449,Compta!$B$2:$B$675,B449,Compta!$C$2:$C$675,"2026"),0)</f>
        <v/>
      </c>
      <c r="G449">
        <f>IF(D449="V01",cad!$I$21,IF(D449="V02",cad!$J$21,cad!$K$21))</f>
        <v/>
      </c>
      <c r="H449">
        <f>IF(D449="V01",cad!$I$22,IF(D449="V02",cad!$J$22,cad!$K$22))</f>
        <v/>
      </c>
      <c r="I449">
        <f>IF(D449="V01",cad!$I$27,IF(D449="V02",cad!$J$27,cad!$K$27))</f>
        <v/>
      </c>
      <c r="J449">
        <f>IF(D449="V01",cad!$I$28,IF(D449="V02",cad!$J$28,cad!$K$28))</f>
        <v/>
      </c>
      <c r="K449">
        <f>IF(D449="V01",cad!$I$29,IF(D449="V02",cad!$J$29,cad!$K$29))</f>
        <v/>
      </c>
      <c r="L449">
        <f>IF(D449="V01",cad!$I$30,IF(D449="V02",cad!$J$30,cad!$K$30))</f>
        <v/>
      </c>
      <c r="M449">
        <f>IF(D449="V01",cad!$I$31,IF(D449="V02",cad!$J$31,cad!$K$31))</f>
        <v/>
      </c>
      <c r="N449">
        <f>IF(D449="V01",$R$2,IF(D449="V02",$R$3,$R$4))</f>
        <v/>
      </c>
      <c r="O449">
        <f>IF(OR(B449="7062",B449="706",B449="708"),N449,IF(B449="6231",1+G449,IF(B449="6236",1+H449,IF(OR(B449="621",B449="604",B449="6063"),N449*(1-L449),IF(OR(B449="6411",B449="6413",B449="6414",B449="645"),(1+J449)*(1+K449),IF(OR(B449="613",B449="615",B449="616",B449="6226",B449="625",B449="626",B449="6281"),(1+I449)*(1-L449)*(1+M449),IF(OR(B449="6331",B449="63511",B449="6333"),(1+I449)*(1-L449),IF(B449="6811",1+I449,1))))))))</f>
        <v/>
      </c>
      <c r="P449">
        <f>IF(E449=1,F449*O449,"")</f>
        <v/>
      </c>
    </row>
    <row r="450">
      <c r="A450">
        <f>PNL!A450</f>
        <v/>
      </c>
      <c r="B450">
        <f>PNL!B450</f>
        <v/>
      </c>
      <c r="C450">
        <f>PNL!C450</f>
        <v/>
      </c>
      <c r="D450">
        <f>PNL!D450</f>
        <v/>
      </c>
      <c r="E450">
        <f>IF(AND(C450="2027",OR(D450="V01",D450="V02",D450="V03")),1,0)</f>
        <v/>
      </c>
      <c r="F450">
        <f>IF(E450=1,SUMIFS(Compta!$F$2:$F$675,Compta!$A$2:$A$675,A450,Compta!$B$2:$B$675,B450,Compta!$C$2:$C$675,"2026"),0)</f>
        <v/>
      </c>
      <c r="G450">
        <f>IF(D450="V01",cad!$I$21,IF(D450="V02",cad!$J$21,cad!$K$21))</f>
        <v/>
      </c>
      <c r="H450">
        <f>IF(D450="V01",cad!$I$22,IF(D450="V02",cad!$J$22,cad!$K$22))</f>
        <v/>
      </c>
      <c r="I450">
        <f>IF(D450="V01",cad!$I$27,IF(D450="V02",cad!$J$27,cad!$K$27))</f>
        <v/>
      </c>
      <c r="J450">
        <f>IF(D450="V01",cad!$I$28,IF(D450="V02",cad!$J$28,cad!$K$28))</f>
        <v/>
      </c>
      <c r="K450">
        <f>IF(D450="V01",cad!$I$29,IF(D450="V02",cad!$J$29,cad!$K$29))</f>
        <v/>
      </c>
      <c r="L450">
        <f>IF(D450="V01",cad!$I$30,IF(D450="V02",cad!$J$30,cad!$K$30))</f>
        <v/>
      </c>
      <c r="M450">
        <f>IF(D450="V01",cad!$I$31,IF(D450="V02",cad!$J$31,cad!$K$31))</f>
        <v/>
      </c>
      <c r="N450">
        <f>IF(D450="V01",$R$2,IF(D450="V02",$R$3,$R$4))</f>
        <v/>
      </c>
      <c r="O450">
        <f>IF(OR(B450="7062",B450="706",B450="708"),N450,IF(B450="6231",1+G450,IF(B450="6236",1+H450,IF(OR(B450="621",B450="604",B450="6063"),N450*(1-L450),IF(OR(B450="6411",B450="6413",B450="6414",B450="645"),(1+J450)*(1+K450),IF(OR(B450="613",B450="615",B450="616",B450="6226",B450="625",B450="626",B450="6281"),(1+I450)*(1-L450)*(1+M450),IF(OR(B450="6331",B450="63511",B450="6333"),(1+I450)*(1-L450),IF(B450="6811",1+I450,1))))))))</f>
        <v/>
      </c>
      <c r="P450">
        <f>IF(E450=1,F450*O450,"")</f>
        <v/>
      </c>
    </row>
    <row r="451">
      <c r="A451">
        <f>PNL!A451</f>
        <v/>
      </c>
      <c r="B451">
        <f>PNL!B451</f>
        <v/>
      </c>
      <c r="C451">
        <f>PNL!C451</f>
        <v/>
      </c>
      <c r="D451">
        <f>PNL!D451</f>
        <v/>
      </c>
      <c r="E451">
        <f>IF(AND(C451="2027",OR(D451="V01",D451="V02",D451="V03")),1,0)</f>
        <v/>
      </c>
      <c r="F451">
        <f>IF(E451=1,SUMIFS(Compta!$F$2:$F$675,Compta!$A$2:$A$675,A451,Compta!$B$2:$B$675,B451,Compta!$C$2:$C$675,"2026"),0)</f>
        <v/>
      </c>
      <c r="G451">
        <f>IF(D451="V01",cad!$I$21,IF(D451="V02",cad!$J$21,cad!$K$21))</f>
        <v/>
      </c>
      <c r="H451">
        <f>IF(D451="V01",cad!$I$22,IF(D451="V02",cad!$J$22,cad!$K$22))</f>
        <v/>
      </c>
      <c r="I451">
        <f>IF(D451="V01",cad!$I$27,IF(D451="V02",cad!$J$27,cad!$K$27))</f>
        <v/>
      </c>
      <c r="J451">
        <f>IF(D451="V01",cad!$I$28,IF(D451="V02",cad!$J$28,cad!$K$28))</f>
        <v/>
      </c>
      <c r="K451">
        <f>IF(D451="V01",cad!$I$29,IF(D451="V02",cad!$J$29,cad!$K$29))</f>
        <v/>
      </c>
      <c r="L451">
        <f>IF(D451="V01",cad!$I$30,IF(D451="V02",cad!$J$30,cad!$K$30))</f>
        <v/>
      </c>
      <c r="M451">
        <f>IF(D451="V01",cad!$I$31,IF(D451="V02",cad!$J$31,cad!$K$31))</f>
        <v/>
      </c>
      <c r="N451">
        <f>IF(D451="V01",$R$2,IF(D451="V02",$R$3,$R$4))</f>
        <v/>
      </c>
      <c r="O451">
        <f>IF(OR(B451="7062",B451="706",B451="708"),N451,IF(B451="6231",1+G451,IF(B451="6236",1+H451,IF(OR(B451="621",B451="604",B451="6063"),N451*(1-L451),IF(OR(B451="6411",B451="6413",B451="6414",B451="645"),(1+J451)*(1+K451),IF(OR(B451="613",B451="615",B451="616",B451="6226",B451="625",B451="626",B451="6281"),(1+I451)*(1-L451)*(1+M451),IF(OR(B451="6331",B451="63511",B451="6333"),(1+I451)*(1-L451),IF(B451="6811",1+I451,1))))))))</f>
        <v/>
      </c>
      <c r="P451">
        <f>IF(E451=1,F451*O451,"")</f>
        <v/>
      </c>
    </row>
    <row r="452">
      <c r="A452">
        <f>PNL!A452</f>
        <v/>
      </c>
      <c r="B452">
        <f>PNL!B452</f>
        <v/>
      </c>
      <c r="C452">
        <f>PNL!C452</f>
        <v/>
      </c>
      <c r="D452">
        <f>PNL!D452</f>
        <v/>
      </c>
      <c r="E452">
        <f>IF(AND(C452="2027",OR(D452="V01",D452="V02",D452="V03")),1,0)</f>
        <v/>
      </c>
      <c r="F452">
        <f>IF(E452=1,SUMIFS(Compta!$F$2:$F$675,Compta!$A$2:$A$675,A452,Compta!$B$2:$B$675,B452,Compta!$C$2:$C$675,"2026"),0)</f>
        <v/>
      </c>
      <c r="G452">
        <f>IF(D452="V01",cad!$I$21,IF(D452="V02",cad!$J$21,cad!$K$21))</f>
        <v/>
      </c>
      <c r="H452">
        <f>IF(D452="V01",cad!$I$22,IF(D452="V02",cad!$J$22,cad!$K$22))</f>
        <v/>
      </c>
      <c r="I452">
        <f>IF(D452="V01",cad!$I$27,IF(D452="V02",cad!$J$27,cad!$K$27))</f>
        <v/>
      </c>
      <c r="J452">
        <f>IF(D452="V01",cad!$I$28,IF(D452="V02",cad!$J$28,cad!$K$28))</f>
        <v/>
      </c>
      <c r="K452">
        <f>IF(D452="V01",cad!$I$29,IF(D452="V02",cad!$J$29,cad!$K$29))</f>
        <v/>
      </c>
      <c r="L452">
        <f>IF(D452="V01",cad!$I$30,IF(D452="V02",cad!$J$30,cad!$K$30))</f>
        <v/>
      </c>
      <c r="M452">
        <f>IF(D452="V01",cad!$I$31,IF(D452="V02",cad!$J$31,cad!$K$31))</f>
        <v/>
      </c>
      <c r="N452">
        <f>IF(D452="V01",$R$2,IF(D452="V02",$R$3,$R$4))</f>
        <v/>
      </c>
      <c r="O452">
        <f>IF(OR(B452="7062",B452="706",B452="708"),N452,IF(B452="6231",1+G452,IF(B452="6236",1+H452,IF(OR(B452="621",B452="604",B452="6063"),N452*(1-L452),IF(OR(B452="6411",B452="6413",B452="6414",B452="645"),(1+J452)*(1+K452),IF(OR(B452="613",B452="615",B452="616",B452="6226",B452="625",B452="626",B452="6281"),(1+I452)*(1-L452)*(1+M452),IF(OR(B452="6331",B452="63511",B452="6333"),(1+I452)*(1-L452),IF(B452="6811",1+I452,1))))))))</f>
        <v/>
      </c>
      <c r="P452">
        <f>IF(E452=1,F452*O452,"")</f>
        <v/>
      </c>
    </row>
    <row r="453">
      <c r="A453">
        <f>PNL!A453</f>
        <v/>
      </c>
      <c r="B453">
        <f>PNL!B453</f>
        <v/>
      </c>
      <c r="C453">
        <f>PNL!C453</f>
        <v/>
      </c>
      <c r="D453">
        <f>PNL!D453</f>
        <v/>
      </c>
      <c r="E453">
        <f>IF(AND(C453="2027",OR(D453="V01",D453="V02",D453="V03")),1,0)</f>
        <v/>
      </c>
      <c r="F453">
        <f>IF(E453=1,SUMIFS(Compta!$F$2:$F$675,Compta!$A$2:$A$675,A453,Compta!$B$2:$B$675,B453,Compta!$C$2:$C$675,"2026"),0)</f>
        <v/>
      </c>
      <c r="G453">
        <f>IF(D453="V01",cad!$I$21,IF(D453="V02",cad!$J$21,cad!$K$21))</f>
        <v/>
      </c>
      <c r="H453">
        <f>IF(D453="V01",cad!$I$22,IF(D453="V02",cad!$J$22,cad!$K$22))</f>
        <v/>
      </c>
      <c r="I453">
        <f>IF(D453="V01",cad!$I$27,IF(D453="V02",cad!$J$27,cad!$K$27))</f>
        <v/>
      </c>
      <c r="J453">
        <f>IF(D453="V01",cad!$I$28,IF(D453="V02",cad!$J$28,cad!$K$28))</f>
        <v/>
      </c>
      <c r="K453">
        <f>IF(D453="V01",cad!$I$29,IF(D453="V02",cad!$J$29,cad!$K$29))</f>
        <v/>
      </c>
      <c r="L453">
        <f>IF(D453="V01",cad!$I$30,IF(D453="V02",cad!$J$30,cad!$K$30))</f>
        <v/>
      </c>
      <c r="M453">
        <f>IF(D453="V01",cad!$I$31,IF(D453="V02",cad!$J$31,cad!$K$31))</f>
        <v/>
      </c>
      <c r="N453">
        <f>IF(D453="V01",$R$2,IF(D453="V02",$R$3,$R$4))</f>
        <v/>
      </c>
      <c r="O453">
        <f>IF(OR(B453="7062",B453="706",B453="708"),N453,IF(B453="6231",1+G453,IF(B453="6236",1+H453,IF(OR(B453="621",B453="604",B453="6063"),N453*(1-L453),IF(OR(B453="6411",B453="6413",B453="6414",B453="645"),(1+J453)*(1+K453),IF(OR(B453="613",B453="615",B453="616",B453="6226",B453="625",B453="626",B453="6281"),(1+I453)*(1-L453)*(1+M453),IF(OR(B453="6331",B453="63511",B453="6333"),(1+I453)*(1-L453),IF(B453="6811",1+I453,1))))))))</f>
        <v/>
      </c>
      <c r="P453">
        <f>IF(E453=1,F453*O453,"")</f>
        <v/>
      </c>
    </row>
    <row r="454">
      <c r="A454">
        <f>PNL!A454</f>
        <v/>
      </c>
      <c r="B454">
        <f>PNL!B454</f>
        <v/>
      </c>
      <c r="C454">
        <f>PNL!C454</f>
        <v/>
      </c>
      <c r="D454">
        <f>PNL!D454</f>
        <v/>
      </c>
      <c r="E454">
        <f>IF(AND(C454="2027",OR(D454="V01",D454="V02",D454="V03")),1,0)</f>
        <v/>
      </c>
      <c r="F454">
        <f>IF(E454=1,SUMIFS(Compta!$F$2:$F$675,Compta!$A$2:$A$675,A454,Compta!$B$2:$B$675,B454,Compta!$C$2:$C$675,"2026"),0)</f>
        <v/>
      </c>
      <c r="G454">
        <f>IF(D454="V01",cad!$I$21,IF(D454="V02",cad!$J$21,cad!$K$21))</f>
        <v/>
      </c>
      <c r="H454">
        <f>IF(D454="V01",cad!$I$22,IF(D454="V02",cad!$J$22,cad!$K$22))</f>
        <v/>
      </c>
      <c r="I454">
        <f>IF(D454="V01",cad!$I$27,IF(D454="V02",cad!$J$27,cad!$K$27))</f>
        <v/>
      </c>
      <c r="J454">
        <f>IF(D454="V01",cad!$I$28,IF(D454="V02",cad!$J$28,cad!$K$28))</f>
        <v/>
      </c>
      <c r="K454">
        <f>IF(D454="V01",cad!$I$29,IF(D454="V02",cad!$J$29,cad!$K$29))</f>
        <v/>
      </c>
      <c r="L454">
        <f>IF(D454="V01",cad!$I$30,IF(D454="V02",cad!$J$30,cad!$K$30))</f>
        <v/>
      </c>
      <c r="M454">
        <f>IF(D454="V01",cad!$I$31,IF(D454="V02",cad!$J$31,cad!$K$31))</f>
        <v/>
      </c>
      <c r="N454">
        <f>IF(D454="V01",$R$2,IF(D454="V02",$R$3,$R$4))</f>
        <v/>
      </c>
      <c r="O454">
        <f>IF(OR(B454="7062",B454="706",B454="708"),N454,IF(B454="6231",1+G454,IF(B454="6236",1+H454,IF(OR(B454="621",B454="604",B454="6063"),N454*(1-L454),IF(OR(B454="6411",B454="6413",B454="6414",B454="645"),(1+J454)*(1+K454),IF(OR(B454="613",B454="615",B454="616",B454="6226",B454="625",B454="626",B454="6281"),(1+I454)*(1-L454)*(1+M454),IF(OR(B454="6331",B454="63511",B454="6333"),(1+I454)*(1-L454),IF(B454="6811",1+I454,1))))))))</f>
        <v/>
      </c>
      <c r="P454">
        <f>IF(E454=1,F454*O454,"")</f>
        <v/>
      </c>
    </row>
    <row r="455">
      <c r="A455">
        <f>PNL!A455</f>
        <v/>
      </c>
      <c r="B455">
        <f>PNL!B455</f>
        <v/>
      </c>
      <c r="C455">
        <f>PNL!C455</f>
        <v/>
      </c>
      <c r="D455">
        <f>PNL!D455</f>
        <v/>
      </c>
      <c r="E455">
        <f>IF(AND(C455="2027",OR(D455="V01",D455="V02",D455="V03")),1,0)</f>
        <v/>
      </c>
      <c r="F455">
        <f>IF(E455=1,SUMIFS(Compta!$F$2:$F$675,Compta!$A$2:$A$675,A455,Compta!$B$2:$B$675,B455,Compta!$C$2:$C$675,"2026"),0)</f>
        <v/>
      </c>
      <c r="G455">
        <f>IF(D455="V01",cad!$I$21,IF(D455="V02",cad!$J$21,cad!$K$21))</f>
        <v/>
      </c>
      <c r="H455">
        <f>IF(D455="V01",cad!$I$22,IF(D455="V02",cad!$J$22,cad!$K$22))</f>
        <v/>
      </c>
      <c r="I455">
        <f>IF(D455="V01",cad!$I$27,IF(D455="V02",cad!$J$27,cad!$K$27))</f>
        <v/>
      </c>
      <c r="J455">
        <f>IF(D455="V01",cad!$I$28,IF(D455="V02",cad!$J$28,cad!$K$28))</f>
        <v/>
      </c>
      <c r="K455">
        <f>IF(D455="V01",cad!$I$29,IF(D455="V02",cad!$J$29,cad!$K$29))</f>
        <v/>
      </c>
      <c r="L455">
        <f>IF(D455="V01",cad!$I$30,IF(D455="V02",cad!$J$30,cad!$K$30))</f>
        <v/>
      </c>
      <c r="M455">
        <f>IF(D455="V01",cad!$I$31,IF(D455="V02",cad!$J$31,cad!$K$31))</f>
        <v/>
      </c>
      <c r="N455">
        <f>IF(D455="V01",$R$2,IF(D455="V02",$R$3,$R$4))</f>
        <v/>
      </c>
      <c r="O455">
        <f>IF(OR(B455="7062",B455="706",B455="708"),N455,IF(B455="6231",1+G455,IF(B455="6236",1+H455,IF(OR(B455="621",B455="604",B455="6063"),N455*(1-L455),IF(OR(B455="6411",B455="6413",B455="6414",B455="645"),(1+J455)*(1+K455),IF(OR(B455="613",B455="615",B455="616",B455="6226",B455="625",B455="626",B455="6281"),(1+I455)*(1-L455)*(1+M455),IF(OR(B455="6331",B455="63511",B455="6333"),(1+I455)*(1-L455),IF(B455="6811",1+I455,1))))))))</f>
        <v/>
      </c>
      <c r="P455">
        <f>IF(E455=1,F455*O455,"")</f>
        <v/>
      </c>
    </row>
    <row r="456">
      <c r="A456">
        <f>PNL!A456</f>
        <v/>
      </c>
      <c r="B456">
        <f>PNL!B456</f>
        <v/>
      </c>
      <c r="C456">
        <f>PNL!C456</f>
        <v/>
      </c>
      <c r="D456">
        <f>PNL!D456</f>
        <v/>
      </c>
      <c r="E456">
        <f>IF(AND(C456="2027",OR(D456="V01",D456="V02",D456="V03")),1,0)</f>
        <v/>
      </c>
      <c r="F456">
        <f>IF(E456=1,SUMIFS(Compta!$F$2:$F$675,Compta!$A$2:$A$675,A456,Compta!$B$2:$B$675,B456,Compta!$C$2:$C$675,"2026"),0)</f>
        <v/>
      </c>
      <c r="G456">
        <f>IF(D456="V01",cad!$I$21,IF(D456="V02",cad!$J$21,cad!$K$21))</f>
        <v/>
      </c>
      <c r="H456">
        <f>IF(D456="V01",cad!$I$22,IF(D456="V02",cad!$J$22,cad!$K$22))</f>
        <v/>
      </c>
      <c r="I456">
        <f>IF(D456="V01",cad!$I$27,IF(D456="V02",cad!$J$27,cad!$K$27))</f>
        <v/>
      </c>
      <c r="J456">
        <f>IF(D456="V01",cad!$I$28,IF(D456="V02",cad!$J$28,cad!$K$28))</f>
        <v/>
      </c>
      <c r="K456">
        <f>IF(D456="V01",cad!$I$29,IF(D456="V02",cad!$J$29,cad!$K$29))</f>
        <v/>
      </c>
      <c r="L456">
        <f>IF(D456="V01",cad!$I$30,IF(D456="V02",cad!$J$30,cad!$K$30))</f>
        <v/>
      </c>
      <c r="M456">
        <f>IF(D456="V01",cad!$I$31,IF(D456="V02",cad!$J$31,cad!$K$31))</f>
        <v/>
      </c>
      <c r="N456">
        <f>IF(D456="V01",$R$2,IF(D456="V02",$R$3,$R$4))</f>
        <v/>
      </c>
      <c r="O456">
        <f>IF(OR(B456="7062",B456="706",B456="708"),N456,IF(B456="6231",1+G456,IF(B456="6236",1+H456,IF(OR(B456="621",B456="604",B456="6063"),N456*(1-L456),IF(OR(B456="6411",B456="6413",B456="6414",B456="645"),(1+J456)*(1+K456),IF(OR(B456="613",B456="615",B456="616",B456="6226",B456="625",B456="626",B456="6281"),(1+I456)*(1-L456)*(1+M456),IF(OR(B456="6331",B456="63511",B456="6333"),(1+I456)*(1-L456),IF(B456="6811",1+I456,1))))))))</f>
        <v/>
      </c>
      <c r="P456">
        <f>IF(E456=1,F456*O456,"")</f>
        <v/>
      </c>
    </row>
    <row r="457">
      <c r="A457">
        <f>PNL!A457</f>
        <v/>
      </c>
      <c r="B457">
        <f>PNL!B457</f>
        <v/>
      </c>
      <c r="C457">
        <f>PNL!C457</f>
        <v/>
      </c>
      <c r="D457">
        <f>PNL!D457</f>
        <v/>
      </c>
      <c r="E457">
        <f>IF(AND(C457="2027",OR(D457="V01",D457="V02",D457="V03")),1,0)</f>
        <v/>
      </c>
      <c r="F457">
        <f>IF(E457=1,SUMIFS(Compta!$F$2:$F$675,Compta!$A$2:$A$675,A457,Compta!$B$2:$B$675,B457,Compta!$C$2:$C$675,"2026"),0)</f>
        <v/>
      </c>
      <c r="G457">
        <f>IF(D457="V01",cad!$I$21,IF(D457="V02",cad!$J$21,cad!$K$21))</f>
        <v/>
      </c>
      <c r="H457">
        <f>IF(D457="V01",cad!$I$22,IF(D457="V02",cad!$J$22,cad!$K$22))</f>
        <v/>
      </c>
      <c r="I457">
        <f>IF(D457="V01",cad!$I$27,IF(D457="V02",cad!$J$27,cad!$K$27))</f>
        <v/>
      </c>
      <c r="J457">
        <f>IF(D457="V01",cad!$I$28,IF(D457="V02",cad!$J$28,cad!$K$28))</f>
        <v/>
      </c>
      <c r="K457">
        <f>IF(D457="V01",cad!$I$29,IF(D457="V02",cad!$J$29,cad!$K$29))</f>
        <v/>
      </c>
      <c r="L457">
        <f>IF(D457="V01",cad!$I$30,IF(D457="V02",cad!$J$30,cad!$K$30))</f>
        <v/>
      </c>
      <c r="M457">
        <f>IF(D457="V01",cad!$I$31,IF(D457="V02",cad!$J$31,cad!$K$31))</f>
        <v/>
      </c>
      <c r="N457">
        <f>IF(D457="V01",$R$2,IF(D457="V02",$R$3,$R$4))</f>
        <v/>
      </c>
      <c r="O457">
        <f>IF(OR(B457="7062",B457="706",B457="708"),N457,IF(B457="6231",1+G457,IF(B457="6236",1+H457,IF(OR(B457="621",B457="604",B457="6063"),N457*(1-L457),IF(OR(B457="6411",B457="6413",B457="6414",B457="645"),(1+J457)*(1+K457),IF(OR(B457="613",B457="615",B457="616",B457="6226",B457="625",B457="626",B457="6281"),(1+I457)*(1-L457)*(1+M457),IF(OR(B457="6331",B457="63511",B457="6333"),(1+I457)*(1-L457),IF(B457="6811",1+I457,1))))))))</f>
        <v/>
      </c>
      <c r="P457">
        <f>IF(E457=1,F457*O457,"")</f>
        <v/>
      </c>
    </row>
    <row r="458">
      <c r="A458">
        <f>PNL!A458</f>
        <v/>
      </c>
      <c r="B458">
        <f>PNL!B458</f>
        <v/>
      </c>
      <c r="C458">
        <f>PNL!C458</f>
        <v/>
      </c>
      <c r="D458">
        <f>PNL!D458</f>
        <v/>
      </c>
      <c r="E458">
        <f>IF(AND(C458="2027",OR(D458="V01",D458="V02",D458="V03")),1,0)</f>
        <v/>
      </c>
      <c r="F458">
        <f>IF(E458=1,SUMIFS(Compta!$F$2:$F$675,Compta!$A$2:$A$675,A458,Compta!$B$2:$B$675,B458,Compta!$C$2:$C$675,"2026"),0)</f>
        <v/>
      </c>
      <c r="G458">
        <f>IF(D458="V01",cad!$I$21,IF(D458="V02",cad!$J$21,cad!$K$21))</f>
        <v/>
      </c>
      <c r="H458">
        <f>IF(D458="V01",cad!$I$22,IF(D458="V02",cad!$J$22,cad!$K$22))</f>
        <v/>
      </c>
      <c r="I458">
        <f>IF(D458="V01",cad!$I$27,IF(D458="V02",cad!$J$27,cad!$K$27))</f>
        <v/>
      </c>
      <c r="J458">
        <f>IF(D458="V01",cad!$I$28,IF(D458="V02",cad!$J$28,cad!$K$28))</f>
        <v/>
      </c>
      <c r="K458">
        <f>IF(D458="V01",cad!$I$29,IF(D458="V02",cad!$J$29,cad!$K$29))</f>
        <v/>
      </c>
      <c r="L458">
        <f>IF(D458="V01",cad!$I$30,IF(D458="V02",cad!$J$30,cad!$K$30))</f>
        <v/>
      </c>
      <c r="M458">
        <f>IF(D458="V01",cad!$I$31,IF(D458="V02",cad!$J$31,cad!$K$31))</f>
        <v/>
      </c>
      <c r="N458">
        <f>IF(D458="V01",$R$2,IF(D458="V02",$R$3,$R$4))</f>
        <v/>
      </c>
      <c r="O458">
        <f>IF(OR(B458="7062",B458="706",B458="708"),N458,IF(B458="6231",1+G458,IF(B458="6236",1+H458,IF(OR(B458="621",B458="604",B458="6063"),N458*(1-L458),IF(OR(B458="6411",B458="6413",B458="6414",B458="645"),(1+J458)*(1+K458),IF(OR(B458="613",B458="615",B458="616",B458="6226",B458="625",B458="626",B458="6281"),(1+I458)*(1-L458)*(1+M458),IF(OR(B458="6331",B458="63511",B458="6333"),(1+I458)*(1-L458),IF(B458="6811",1+I458,1))))))))</f>
        <v/>
      </c>
      <c r="P458">
        <f>IF(E458=1,F458*O458,"")</f>
        <v/>
      </c>
    </row>
    <row r="459">
      <c r="A459">
        <f>PNL!A459</f>
        <v/>
      </c>
      <c r="B459">
        <f>PNL!B459</f>
        <v/>
      </c>
      <c r="C459">
        <f>PNL!C459</f>
        <v/>
      </c>
      <c r="D459">
        <f>PNL!D459</f>
        <v/>
      </c>
      <c r="E459">
        <f>IF(AND(C459="2027",OR(D459="V01",D459="V02",D459="V03")),1,0)</f>
        <v/>
      </c>
      <c r="F459">
        <f>IF(E459=1,SUMIFS(Compta!$F$2:$F$675,Compta!$A$2:$A$675,A459,Compta!$B$2:$B$675,B459,Compta!$C$2:$C$675,"2026"),0)</f>
        <v/>
      </c>
      <c r="G459">
        <f>IF(D459="V01",cad!$I$21,IF(D459="V02",cad!$J$21,cad!$K$21))</f>
        <v/>
      </c>
      <c r="H459">
        <f>IF(D459="V01",cad!$I$22,IF(D459="V02",cad!$J$22,cad!$K$22))</f>
        <v/>
      </c>
      <c r="I459">
        <f>IF(D459="V01",cad!$I$27,IF(D459="V02",cad!$J$27,cad!$K$27))</f>
        <v/>
      </c>
      <c r="J459">
        <f>IF(D459="V01",cad!$I$28,IF(D459="V02",cad!$J$28,cad!$K$28))</f>
        <v/>
      </c>
      <c r="K459">
        <f>IF(D459="V01",cad!$I$29,IF(D459="V02",cad!$J$29,cad!$K$29))</f>
        <v/>
      </c>
      <c r="L459">
        <f>IF(D459="V01",cad!$I$30,IF(D459="V02",cad!$J$30,cad!$K$30))</f>
        <v/>
      </c>
      <c r="M459">
        <f>IF(D459="V01",cad!$I$31,IF(D459="V02",cad!$J$31,cad!$K$31))</f>
        <v/>
      </c>
      <c r="N459">
        <f>IF(D459="V01",$R$2,IF(D459="V02",$R$3,$R$4))</f>
        <v/>
      </c>
      <c r="O459">
        <f>IF(OR(B459="7062",B459="706",B459="708"),N459,IF(B459="6231",1+G459,IF(B459="6236",1+H459,IF(OR(B459="621",B459="604",B459="6063"),N459*(1-L459),IF(OR(B459="6411",B459="6413",B459="6414",B459="645"),(1+J459)*(1+K459),IF(OR(B459="613",B459="615",B459="616",B459="6226",B459="625",B459="626",B459="6281"),(1+I459)*(1-L459)*(1+M459),IF(OR(B459="6331",B459="63511",B459="6333"),(1+I459)*(1-L459),IF(B459="6811",1+I459,1))))))))</f>
        <v/>
      </c>
      <c r="P459">
        <f>IF(E459=1,F459*O459,"")</f>
        <v/>
      </c>
    </row>
    <row r="460">
      <c r="A460">
        <f>PNL!A460</f>
        <v/>
      </c>
      <c r="B460">
        <f>PNL!B460</f>
        <v/>
      </c>
      <c r="C460">
        <f>PNL!C460</f>
        <v/>
      </c>
      <c r="D460">
        <f>PNL!D460</f>
        <v/>
      </c>
      <c r="E460">
        <f>IF(AND(C460="2027",OR(D460="V01",D460="V02",D460="V03")),1,0)</f>
        <v/>
      </c>
      <c r="F460">
        <f>IF(E460=1,SUMIFS(Compta!$F$2:$F$675,Compta!$A$2:$A$675,A460,Compta!$B$2:$B$675,B460,Compta!$C$2:$C$675,"2026"),0)</f>
        <v/>
      </c>
      <c r="G460">
        <f>IF(D460="V01",cad!$I$21,IF(D460="V02",cad!$J$21,cad!$K$21))</f>
        <v/>
      </c>
      <c r="H460">
        <f>IF(D460="V01",cad!$I$22,IF(D460="V02",cad!$J$22,cad!$K$22))</f>
        <v/>
      </c>
      <c r="I460">
        <f>IF(D460="V01",cad!$I$27,IF(D460="V02",cad!$J$27,cad!$K$27))</f>
        <v/>
      </c>
      <c r="J460">
        <f>IF(D460="V01",cad!$I$28,IF(D460="V02",cad!$J$28,cad!$K$28))</f>
        <v/>
      </c>
      <c r="K460">
        <f>IF(D460="V01",cad!$I$29,IF(D460="V02",cad!$J$29,cad!$K$29))</f>
        <v/>
      </c>
      <c r="L460">
        <f>IF(D460="V01",cad!$I$30,IF(D460="V02",cad!$J$30,cad!$K$30))</f>
        <v/>
      </c>
      <c r="M460">
        <f>IF(D460="V01",cad!$I$31,IF(D460="V02",cad!$J$31,cad!$K$31))</f>
        <v/>
      </c>
      <c r="N460">
        <f>IF(D460="V01",$R$2,IF(D460="V02",$R$3,$R$4))</f>
        <v/>
      </c>
      <c r="O460">
        <f>IF(OR(B460="7062",B460="706",B460="708"),N460,IF(B460="6231",1+G460,IF(B460="6236",1+H460,IF(OR(B460="621",B460="604",B460="6063"),N460*(1-L460),IF(OR(B460="6411",B460="6413",B460="6414",B460="645"),(1+J460)*(1+K460),IF(OR(B460="613",B460="615",B460="616",B460="6226",B460="625",B460="626",B460="6281"),(1+I460)*(1-L460)*(1+M460),IF(OR(B460="6331",B460="63511",B460="6333"),(1+I460)*(1-L460),IF(B460="6811",1+I460,1))))))))</f>
        <v/>
      </c>
      <c r="P460">
        <f>IF(E460=1,F460*O460,"")</f>
        <v/>
      </c>
    </row>
    <row r="461">
      <c r="A461">
        <f>PNL!A461</f>
        <v/>
      </c>
      <c r="B461">
        <f>PNL!B461</f>
        <v/>
      </c>
      <c r="C461">
        <f>PNL!C461</f>
        <v/>
      </c>
      <c r="D461">
        <f>PNL!D461</f>
        <v/>
      </c>
      <c r="E461">
        <f>IF(AND(C461="2027",OR(D461="V01",D461="V02",D461="V03")),1,0)</f>
        <v/>
      </c>
      <c r="F461">
        <f>IF(E461=1,SUMIFS(Compta!$F$2:$F$675,Compta!$A$2:$A$675,A461,Compta!$B$2:$B$675,B461,Compta!$C$2:$C$675,"2026"),0)</f>
        <v/>
      </c>
      <c r="G461">
        <f>IF(D461="V01",cad!$I$21,IF(D461="V02",cad!$J$21,cad!$K$21))</f>
        <v/>
      </c>
      <c r="H461">
        <f>IF(D461="V01",cad!$I$22,IF(D461="V02",cad!$J$22,cad!$K$22))</f>
        <v/>
      </c>
      <c r="I461">
        <f>IF(D461="V01",cad!$I$27,IF(D461="V02",cad!$J$27,cad!$K$27))</f>
        <v/>
      </c>
      <c r="J461">
        <f>IF(D461="V01",cad!$I$28,IF(D461="V02",cad!$J$28,cad!$K$28))</f>
        <v/>
      </c>
      <c r="K461">
        <f>IF(D461="V01",cad!$I$29,IF(D461="V02",cad!$J$29,cad!$K$29))</f>
        <v/>
      </c>
      <c r="L461">
        <f>IF(D461="V01",cad!$I$30,IF(D461="V02",cad!$J$30,cad!$K$30))</f>
        <v/>
      </c>
      <c r="M461">
        <f>IF(D461="V01",cad!$I$31,IF(D461="V02",cad!$J$31,cad!$K$31))</f>
        <v/>
      </c>
      <c r="N461">
        <f>IF(D461="V01",$R$2,IF(D461="V02",$R$3,$R$4))</f>
        <v/>
      </c>
      <c r="O461">
        <f>IF(OR(B461="7062",B461="706",B461="708"),N461,IF(B461="6231",1+G461,IF(B461="6236",1+H461,IF(OR(B461="621",B461="604",B461="6063"),N461*(1-L461),IF(OR(B461="6411",B461="6413",B461="6414",B461="645"),(1+J461)*(1+K461),IF(OR(B461="613",B461="615",B461="616",B461="6226",B461="625",B461="626",B461="6281"),(1+I461)*(1-L461)*(1+M461),IF(OR(B461="6331",B461="63511",B461="6333"),(1+I461)*(1-L461),IF(B461="6811",1+I461,1))))))))</f>
        <v/>
      </c>
      <c r="P461">
        <f>IF(E461=1,F461*O461,"")</f>
        <v/>
      </c>
    </row>
    <row r="462">
      <c r="A462">
        <f>PNL!A462</f>
        <v/>
      </c>
      <c r="B462">
        <f>PNL!B462</f>
        <v/>
      </c>
      <c r="C462">
        <f>PNL!C462</f>
        <v/>
      </c>
      <c r="D462">
        <f>PNL!D462</f>
        <v/>
      </c>
      <c r="E462">
        <f>IF(AND(C462="2027",OR(D462="V01",D462="V02",D462="V03")),1,0)</f>
        <v/>
      </c>
      <c r="F462">
        <f>IF(E462=1,SUMIFS(Compta!$F$2:$F$675,Compta!$A$2:$A$675,A462,Compta!$B$2:$B$675,B462,Compta!$C$2:$C$675,"2026"),0)</f>
        <v/>
      </c>
      <c r="G462">
        <f>IF(D462="V01",cad!$I$21,IF(D462="V02",cad!$J$21,cad!$K$21))</f>
        <v/>
      </c>
      <c r="H462">
        <f>IF(D462="V01",cad!$I$22,IF(D462="V02",cad!$J$22,cad!$K$22))</f>
        <v/>
      </c>
      <c r="I462">
        <f>IF(D462="V01",cad!$I$27,IF(D462="V02",cad!$J$27,cad!$K$27))</f>
        <v/>
      </c>
      <c r="J462">
        <f>IF(D462="V01",cad!$I$28,IF(D462="V02",cad!$J$28,cad!$K$28))</f>
        <v/>
      </c>
      <c r="K462">
        <f>IF(D462="V01",cad!$I$29,IF(D462="V02",cad!$J$29,cad!$K$29))</f>
        <v/>
      </c>
      <c r="L462">
        <f>IF(D462="V01",cad!$I$30,IF(D462="V02",cad!$J$30,cad!$K$30))</f>
        <v/>
      </c>
      <c r="M462">
        <f>IF(D462="V01",cad!$I$31,IF(D462="V02",cad!$J$31,cad!$K$31))</f>
        <v/>
      </c>
      <c r="N462">
        <f>IF(D462="V01",$R$2,IF(D462="V02",$R$3,$R$4))</f>
        <v/>
      </c>
      <c r="O462">
        <f>IF(OR(B462="7062",B462="706",B462="708"),N462,IF(B462="6231",1+G462,IF(B462="6236",1+H462,IF(OR(B462="621",B462="604",B462="6063"),N462*(1-L462),IF(OR(B462="6411",B462="6413",B462="6414",B462="645"),(1+J462)*(1+K462),IF(OR(B462="613",B462="615",B462="616",B462="6226",B462="625",B462="626",B462="6281"),(1+I462)*(1-L462)*(1+M462),IF(OR(B462="6331",B462="63511",B462="6333"),(1+I462)*(1-L462),IF(B462="6811",1+I462,1))))))))</f>
        <v/>
      </c>
      <c r="P462">
        <f>IF(E462=1,F462*O462,"")</f>
        <v/>
      </c>
    </row>
    <row r="463">
      <c r="A463">
        <f>PNL!A463</f>
        <v/>
      </c>
      <c r="B463">
        <f>PNL!B463</f>
        <v/>
      </c>
      <c r="C463">
        <f>PNL!C463</f>
        <v/>
      </c>
      <c r="D463">
        <f>PNL!D463</f>
        <v/>
      </c>
      <c r="E463">
        <f>IF(AND(C463="2027",OR(D463="V01",D463="V02",D463="V03")),1,0)</f>
        <v/>
      </c>
      <c r="F463">
        <f>IF(E463=1,SUMIFS(Compta!$F$2:$F$675,Compta!$A$2:$A$675,A463,Compta!$B$2:$B$675,B463,Compta!$C$2:$C$675,"2026"),0)</f>
        <v/>
      </c>
      <c r="G463">
        <f>IF(D463="V01",cad!$I$21,IF(D463="V02",cad!$J$21,cad!$K$21))</f>
        <v/>
      </c>
      <c r="H463">
        <f>IF(D463="V01",cad!$I$22,IF(D463="V02",cad!$J$22,cad!$K$22))</f>
        <v/>
      </c>
      <c r="I463">
        <f>IF(D463="V01",cad!$I$27,IF(D463="V02",cad!$J$27,cad!$K$27))</f>
        <v/>
      </c>
      <c r="J463">
        <f>IF(D463="V01",cad!$I$28,IF(D463="V02",cad!$J$28,cad!$K$28))</f>
        <v/>
      </c>
      <c r="K463">
        <f>IF(D463="V01",cad!$I$29,IF(D463="V02",cad!$J$29,cad!$K$29))</f>
        <v/>
      </c>
      <c r="L463">
        <f>IF(D463="V01",cad!$I$30,IF(D463="V02",cad!$J$30,cad!$K$30))</f>
        <v/>
      </c>
      <c r="M463">
        <f>IF(D463="V01",cad!$I$31,IF(D463="V02",cad!$J$31,cad!$K$31))</f>
        <v/>
      </c>
      <c r="N463">
        <f>IF(D463="V01",$R$2,IF(D463="V02",$R$3,$R$4))</f>
        <v/>
      </c>
      <c r="O463">
        <f>IF(OR(B463="7062",B463="706",B463="708"),N463,IF(B463="6231",1+G463,IF(B463="6236",1+H463,IF(OR(B463="621",B463="604",B463="6063"),N463*(1-L463),IF(OR(B463="6411",B463="6413",B463="6414",B463="645"),(1+J463)*(1+K463),IF(OR(B463="613",B463="615",B463="616",B463="6226",B463="625",B463="626",B463="6281"),(1+I463)*(1-L463)*(1+M463),IF(OR(B463="6331",B463="63511",B463="6333"),(1+I463)*(1-L463),IF(B463="6811",1+I463,1))))))))</f>
        <v/>
      </c>
      <c r="P463">
        <f>IF(E463=1,F463*O463,"")</f>
        <v/>
      </c>
    </row>
    <row r="464">
      <c r="A464">
        <f>PNL!A464</f>
        <v/>
      </c>
      <c r="B464">
        <f>PNL!B464</f>
        <v/>
      </c>
      <c r="C464">
        <f>PNL!C464</f>
        <v/>
      </c>
      <c r="D464">
        <f>PNL!D464</f>
        <v/>
      </c>
      <c r="E464">
        <f>IF(AND(C464="2027",OR(D464="V01",D464="V02",D464="V03")),1,0)</f>
        <v/>
      </c>
      <c r="F464">
        <f>IF(E464=1,SUMIFS(Compta!$F$2:$F$675,Compta!$A$2:$A$675,A464,Compta!$B$2:$B$675,B464,Compta!$C$2:$C$675,"2026"),0)</f>
        <v/>
      </c>
      <c r="G464">
        <f>IF(D464="V01",cad!$I$21,IF(D464="V02",cad!$J$21,cad!$K$21))</f>
        <v/>
      </c>
      <c r="H464">
        <f>IF(D464="V01",cad!$I$22,IF(D464="V02",cad!$J$22,cad!$K$22))</f>
        <v/>
      </c>
      <c r="I464">
        <f>IF(D464="V01",cad!$I$27,IF(D464="V02",cad!$J$27,cad!$K$27))</f>
        <v/>
      </c>
      <c r="J464">
        <f>IF(D464="V01",cad!$I$28,IF(D464="V02",cad!$J$28,cad!$K$28))</f>
        <v/>
      </c>
      <c r="K464">
        <f>IF(D464="V01",cad!$I$29,IF(D464="V02",cad!$J$29,cad!$K$29))</f>
        <v/>
      </c>
      <c r="L464">
        <f>IF(D464="V01",cad!$I$30,IF(D464="V02",cad!$J$30,cad!$K$30))</f>
        <v/>
      </c>
      <c r="M464">
        <f>IF(D464="V01",cad!$I$31,IF(D464="V02",cad!$J$31,cad!$K$31))</f>
        <v/>
      </c>
      <c r="N464">
        <f>IF(D464="V01",$R$2,IF(D464="V02",$R$3,$R$4))</f>
        <v/>
      </c>
      <c r="O464">
        <f>IF(OR(B464="7062",B464="706",B464="708"),N464,IF(B464="6231",1+G464,IF(B464="6236",1+H464,IF(OR(B464="621",B464="604",B464="6063"),N464*(1-L464),IF(OR(B464="6411",B464="6413",B464="6414",B464="645"),(1+J464)*(1+K464),IF(OR(B464="613",B464="615",B464="616",B464="6226",B464="625",B464="626",B464="6281"),(1+I464)*(1-L464)*(1+M464),IF(OR(B464="6331",B464="63511",B464="6333"),(1+I464)*(1-L464),IF(B464="6811",1+I464,1))))))))</f>
        <v/>
      </c>
      <c r="P464">
        <f>IF(E464=1,F464*O464,"")</f>
        <v/>
      </c>
    </row>
    <row r="465">
      <c r="A465">
        <f>PNL!A465</f>
        <v/>
      </c>
      <c r="B465">
        <f>PNL!B465</f>
        <v/>
      </c>
      <c r="C465">
        <f>PNL!C465</f>
        <v/>
      </c>
      <c r="D465">
        <f>PNL!D465</f>
        <v/>
      </c>
      <c r="E465">
        <f>IF(AND(C465="2027",OR(D465="V01",D465="V02",D465="V03")),1,0)</f>
        <v/>
      </c>
      <c r="F465">
        <f>IF(E465=1,SUMIFS(Compta!$F$2:$F$675,Compta!$A$2:$A$675,A465,Compta!$B$2:$B$675,B465,Compta!$C$2:$C$675,"2026"),0)</f>
        <v/>
      </c>
      <c r="G465">
        <f>IF(D465="V01",cad!$I$21,IF(D465="V02",cad!$J$21,cad!$K$21))</f>
        <v/>
      </c>
      <c r="H465">
        <f>IF(D465="V01",cad!$I$22,IF(D465="V02",cad!$J$22,cad!$K$22))</f>
        <v/>
      </c>
      <c r="I465">
        <f>IF(D465="V01",cad!$I$27,IF(D465="V02",cad!$J$27,cad!$K$27))</f>
        <v/>
      </c>
      <c r="J465">
        <f>IF(D465="V01",cad!$I$28,IF(D465="V02",cad!$J$28,cad!$K$28))</f>
        <v/>
      </c>
      <c r="K465">
        <f>IF(D465="V01",cad!$I$29,IF(D465="V02",cad!$J$29,cad!$K$29))</f>
        <v/>
      </c>
      <c r="L465">
        <f>IF(D465="V01",cad!$I$30,IF(D465="V02",cad!$J$30,cad!$K$30))</f>
        <v/>
      </c>
      <c r="M465">
        <f>IF(D465="V01",cad!$I$31,IF(D465="V02",cad!$J$31,cad!$K$31))</f>
        <v/>
      </c>
      <c r="N465">
        <f>IF(D465="V01",$R$2,IF(D465="V02",$R$3,$R$4))</f>
        <v/>
      </c>
      <c r="O465">
        <f>IF(OR(B465="7062",B465="706",B465="708"),N465,IF(B465="6231",1+G465,IF(B465="6236",1+H465,IF(OR(B465="621",B465="604",B465="6063"),N465*(1-L465),IF(OR(B465="6411",B465="6413",B465="6414",B465="645"),(1+J465)*(1+K465),IF(OR(B465="613",B465="615",B465="616",B465="6226",B465="625",B465="626",B465="6281"),(1+I465)*(1-L465)*(1+M465),IF(OR(B465="6331",B465="63511",B465="6333"),(1+I465)*(1-L465),IF(B465="6811",1+I465,1))))))))</f>
        <v/>
      </c>
      <c r="P465">
        <f>IF(E465=1,F465*O465,"")</f>
        <v/>
      </c>
    </row>
    <row r="466">
      <c r="A466">
        <f>PNL!A466</f>
        <v/>
      </c>
      <c r="B466">
        <f>PNL!B466</f>
        <v/>
      </c>
      <c r="C466">
        <f>PNL!C466</f>
        <v/>
      </c>
      <c r="D466">
        <f>PNL!D466</f>
        <v/>
      </c>
      <c r="E466">
        <f>IF(AND(C466="2027",OR(D466="V01",D466="V02",D466="V03")),1,0)</f>
        <v/>
      </c>
      <c r="F466">
        <f>IF(E466=1,SUMIFS(Compta!$F$2:$F$675,Compta!$A$2:$A$675,A466,Compta!$B$2:$B$675,B466,Compta!$C$2:$C$675,"2026"),0)</f>
        <v/>
      </c>
      <c r="G466">
        <f>IF(D466="V01",cad!$I$21,IF(D466="V02",cad!$J$21,cad!$K$21))</f>
        <v/>
      </c>
      <c r="H466">
        <f>IF(D466="V01",cad!$I$22,IF(D466="V02",cad!$J$22,cad!$K$22))</f>
        <v/>
      </c>
      <c r="I466">
        <f>IF(D466="V01",cad!$I$27,IF(D466="V02",cad!$J$27,cad!$K$27))</f>
        <v/>
      </c>
      <c r="J466">
        <f>IF(D466="V01",cad!$I$28,IF(D466="V02",cad!$J$28,cad!$K$28))</f>
        <v/>
      </c>
      <c r="K466">
        <f>IF(D466="V01",cad!$I$29,IF(D466="V02",cad!$J$29,cad!$K$29))</f>
        <v/>
      </c>
      <c r="L466">
        <f>IF(D466="V01",cad!$I$30,IF(D466="V02",cad!$J$30,cad!$K$30))</f>
        <v/>
      </c>
      <c r="M466">
        <f>IF(D466="V01",cad!$I$31,IF(D466="V02",cad!$J$31,cad!$K$31))</f>
        <v/>
      </c>
      <c r="N466">
        <f>IF(D466="V01",$R$2,IF(D466="V02",$R$3,$R$4))</f>
        <v/>
      </c>
      <c r="O466">
        <f>IF(OR(B466="7062",B466="706",B466="708"),N466,IF(B466="6231",1+G466,IF(B466="6236",1+H466,IF(OR(B466="621",B466="604",B466="6063"),N466*(1-L466),IF(OR(B466="6411",B466="6413",B466="6414",B466="645"),(1+J466)*(1+K466),IF(OR(B466="613",B466="615",B466="616",B466="6226",B466="625",B466="626",B466="6281"),(1+I466)*(1-L466)*(1+M466),IF(OR(B466="6331",B466="63511",B466="6333"),(1+I466)*(1-L466),IF(B466="6811",1+I466,1))))))))</f>
        <v/>
      </c>
      <c r="P466">
        <f>IF(E466=1,F466*O466,"")</f>
        <v/>
      </c>
    </row>
    <row r="467">
      <c r="A467">
        <f>PNL!A467</f>
        <v/>
      </c>
      <c r="B467">
        <f>PNL!B467</f>
        <v/>
      </c>
      <c r="C467">
        <f>PNL!C467</f>
        <v/>
      </c>
      <c r="D467">
        <f>PNL!D467</f>
        <v/>
      </c>
      <c r="E467">
        <f>IF(AND(C467="2027",OR(D467="V01",D467="V02",D467="V03")),1,0)</f>
        <v/>
      </c>
      <c r="F467">
        <f>IF(E467=1,SUMIFS(Compta!$F$2:$F$675,Compta!$A$2:$A$675,A467,Compta!$B$2:$B$675,B467,Compta!$C$2:$C$675,"2026"),0)</f>
        <v/>
      </c>
      <c r="G467">
        <f>IF(D467="V01",cad!$I$21,IF(D467="V02",cad!$J$21,cad!$K$21))</f>
        <v/>
      </c>
      <c r="H467">
        <f>IF(D467="V01",cad!$I$22,IF(D467="V02",cad!$J$22,cad!$K$22))</f>
        <v/>
      </c>
      <c r="I467">
        <f>IF(D467="V01",cad!$I$27,IF(D467="V02",cad!$J$27,cad!$K$27))</f>
        <v/>
      </c>
      <c r="J467">
        <f>IF(D467="V01",cad!$I$28,IF(D467="V02",cad!$J$28,cad!$K$28))</f>
        <v/>
      </c>
      <c r="K467">
        <f>IF(D467="V01",cad!$I$29,IF(D467="V02",cad!$J$29,cad!$K$29))</f>
        <v/>
      </c>
      <c r="L467">
        <f>IF(D467="V01",cad!$I$30,IF(D467="V02",cad!$J$30,cad!$K$30))</f>
        <v/>
      </c>
      <c r="M467">
        <f>IF(D467="V01",cad!$I$31,IF(D467="V02",cad!$J$31,cad!$K$31))</f>
        <v/>
      </c>
      <c r="N467">
        <f>IF(D467="V01",$R$2,IF(D467="V02",$R$3,$R$4))</f>
        <v/>
      </c>
      <c r="O467">
        <f>IF(OR(B467="7062",B467="706",B467="708"),N467,IF(B467="6231",1+G467,IF(B467="6236",1+H467,IF(OR(B467="621",B467="604",B467="6063"),N467*(1-L467),IF(OR(B467="6411",B467="6413",B467="6414",B467="645"),(1+J467)*(1+K467),IF(OR(B467="613",B467="615",B467="616",B467="6226",B467="625",B467="626",B467="6281"),(1+I467)*(1-L467)*(1+M467),IF(OR(B467="6331",B467="63511",B467="6333"),(1+I467)*(1-L467),IF(B467="6811",1+I467,1))))))))</f>
        <v/>
      </c>
      <c r="P467">
        <f>IF(E467=1,F467*O467,"")</f>
        <v/>
      </c>
    </row>
    <row r="468">
      <c r="A468">
        <f>PNL!A468</f>
        <v/>
      </c>
      <c r="B468">
        <f>PNL!B468</f>
        <v/>
      </c>
      <c r="C468">
        <f>PNL!C468</f>
        <v/>
      </c>
      <c r="D468">
        <f>PNL!D468</f>
        <v/>
      </c>
      <c r="E468">
        <f>IF(AND(C468="2027",OR(D468="V01",D468="V02",D468="V03")),1,0)</f>
        <v/>
      </c>
      <c r="F468">
        <f>IF(E468=1,SUMIFS(Compta!$F$2:$F$675,Compta!$A$2:$A$675,A468,Compta!$B$2:$B$675,B468,Compta!$C$2:$C$675,"2026"),0)</f>
        <v/>
      </c>
      <c r="G468">
        <f>IF(D468="V01",cad!$I$21,IF(D468="V02",cad!$J$21,cad!$K$21))</f>
        <v/>
      </c>
      <c r="H468">
        <f>IF(D468="V01",cad!$I$22,IF(D468="V02",cad!$J$22,cad!$K$22))</f>
        <v/>
      </c>
      <c r="I468">
        <f>IF(D468="V01",cad!$I$27,IF(D468="V02",cad!$J$27,cad!$K$27))</f>
        <v/>
      </c>
      <c r="J468">
        <f>IF(D468="V01",cad!$I$28,IF(D468="V02",cad!$J$28,cad!$K$28))</f>
        <v/>
      </c>
      <c r="K468">
        <f>IF(D468="V01",cad!$I$29,IF(D468="V02",cad!$J$29,cad!$K$29))</f>
        <v/>
      </c>
      <c r="L468">
        <f>IF(D468="V01",cad!$I$30,IF(D468="V02",cad!$J$30,cad!$K$30))</f>
        <v/>
      </c>
      <c r="M468">
        <f>IF(D468="V01",cad!$I$31,IF(D468="V02",cad!$J$31,cad!$K$31))</f>
        <v/>
      </c>
      <c r="N468">
        <f>IF(D468="V01",$R$2,IF(D468="V02",$R$3,$R$4))</f>
        <v/>
      </c>
      <c r="O468">
        <f>IF(OR(B468="7062",B468="706",B468="708"),N468,IF(B468="6231",1+G468,IF(B468="6236",1+H468,IF(OR(B468="621",B468="604",B468="6063"),N468*(1-L468),IF(OR(B468="6411",B468="6413",B468="6414",B468="645"),(1+J468)*(1+K468),IF(OR(B468="613",B468="615",B468="616",B468="6226",B468="625",B468="626",B468="6281"),(1+I468)*(1-L468)*(1+M468),IF(OR(B468="6331",B468="63511",B468="6333"),(1+I468)*(1-L468),IF(B468="6811",1+I468,1))))))))</f>
        <v/>
      </c>
      <c r="P468">
        <f>IF(E468=1,F468*O468,"")</f>
        <v/>
      </c>
    </row>
    <row r="469">
      <c r="A469">
        <f>PNL!A469</f>
        <v/>
      </c>
      <c r="B469">
        <f>PNL!B469</f>
        <v/>
      </c>
      <c r="C469">
        <f>PNL!C469</f>
        <v/>
      </c>
      <c r="D469">
        <f>PNL!D469</f>
        <v/>
      </c>
      <c r="E469">
        <f>IF(AND(C469="2027",OR(D469="V01",D469="V02",D469="V03")),1,0)</f>
        <v/>
      </c>
      <c r="F469">
        <f>IF(E469=1,SUMIFS(Compta!$F$2:$F$675,Compta!$A$2:$A$675,A469,Compta!$B$2:$B$675,B469,Compta!$C$2:$C$675,"2026"),0)</f>
        <v/>
      </c>
      <c r="G469">
        <f>IF(D469="V01",cad!$I$21,IF(D469="V02",cad!$J$21,cad!$K$21))</f>
        <v/>
      </c>
      <c r="H469">
        <f>IF(D469="V01",cad!$I$22,IF(D469="V02",cad!$J$22,cad!$K$22))</f>
        <v/>
      </c>
      <c r="I469">
        <f>IF(D469="V01",cad!$I$27,IF(D469="V02",cad!$J$27,cad!$K$27))</f>
        <v/>
      </c>
      <c r="J469">
        <f>IF(D469="V01",cad!$I$28,IF(D469="V02",cad!$J$28,cad!$K$28))</f>
        <v/>
      </c>
      <c r="K469">
        <f>IF(D469="V01",cad!$I$29,IF(D469="V02",cad!$J$29,cad!$K$29))</f>
        <v/>
      </c>
      <c r="L469">
        <f>IF(D469="V01",cad!$I$30,IF(D469="V02",cad!$J$30,cad!$K$30))</f>
        <v/>
      </c>
      <c r="M469">
        <f>IF(D469="V01",cad!$I$31,IF(D469="V02",cad!$J$31,cad!$K$31))</f>
        <v/>
      </c>
      <c r="N469">
        <f>IF(D469="V01",$R$2,IF(D469="V02",$R$3,$R$4))</f>
        <v/>
      </c>
      <c r="O469">
        <f>IF(OR(B469="7062",B469="706",B469="708"),N469,IF(B469="6231",1+G469,IF(B469="6236",1+H469,IF(OR(B469="621",B469="604",B469="6063"),N469*(1-L469),IF(OR(B469="6411",B469="6413",B469="6414",B469="645"),(1+J469)*(1+K469),IF(OR(B469="613",B469="615",B469="616",B469="6226",B469="625",B469="626",B469="6281"),(1+I469)*(1-L469)*(1+M469),IF(OR(B469="6331",B469="63511",B469="6333"),(1+I469)*(1-L469),IF(B469="6811",1+I469,1))))))))</f>
        <v/>
      </c>
      <c r="P469">
        <f>IF(E469=1,F469*O469,"")</f>
        <v/>
      </c>
    </row>
    <row r="470">
      <c r="A470">
        <f>PNL!A470</f>
        <v/>
      </c>
      <c r="B470">
        <f>PNL!B470</f>
        <v/>
      </c>
      <c r="C470">
        <f>PNL!C470</f>
        <v/>
      </c>
      <c r="D470">
        <f>PNL!D470</f>
        <v/>
      </c>
      <c r="E470">
        <f>IF(AND(C470="2027",OR(D470="V01",D470="V02",D470="V03")),1,0)</f>
        <v/>
      </c>
      <c r="F470">
        <f>IF(E470=1,SUMIFS(Compta!$F$2:$F$675,Compta!$A$2:$A$675,A470,Compta!$B$2:$B$675,B470,Compta!$C$2:$C$675,"2026"),0)</f>
        <v/>
      </c>
      <c r="G470">
        <f>IF(D470="V01",cad!$I$21,IF(D470="V02",cad!$J$21,cad!$K$21))</f>
        <v/>
      </c>
      <c r="H470">
        <f>IF(D470="V01",cad!$I$22,IF(D470="V02",cad!$J$22,cad!$K$22))</f>
        <v/>
      </c>
      <c r="I470">
        <f>IF(D470="V01",cad!$I$27,IF(D470="V02",cad!$J$27,cad!$K$27))</f>
        <v/>
      </c>
      <c r="J470">
        <f>IF(D470="V01",cad!$I$28,IF(D470="V02",cad!$J$28,cad!$K$28))</f>
        <v/>
      </c>
      <c r="K470">
        <f>IF(D470="V01",cad!$I$29,IF(D470="V02",cad!$J$29,cad!$K$29))</f>
        <v/>
      </c>
      <c r="L470">
        <f>IF(D470="V01",cad!$I$30,IF(D470="V02",cad!$J$30,cad!$K$30))</f>
        <v/>
      </c>
      <c r="M470">
        <f>IF(D470="V01",cad!$I$31,IF(D470="V02",cad!$J$31,cad!$K$31))</f>
        <v/>
      </c>
      <c r="N470">
        <f>IF(D470="V01",$R$2,IF(D470="V02",$R$3,$R$4))</f>
        <v/>
      </c>
      <c r="O470">
        <f>IF(OR(B470="7062",B470="706",B470="708"),N470,IF(B470="6231",1+G470,IF(B470="6236",1+H470,IF(OR(B470="621",B470="604",B470="6063"),N470*(1-L470),IF(OR(B470="6411",B470="6413",B470="6414",B470="645"),(1+J470)*(1+K470),IF(OR(B470="613",B470="615",B470="616",B470="6226",B470="625",B470="626",B470="6281"),(1+I470)*(1-L470)*(1+M470),IF(OR(B470="6331",B470="63511",B470="6333"),(1+I470)*(1-L470),IF(B470="6811",1+I470,1))))))))</f>
        <v/>
      </c>
      <c r="P470">
        <f>IF(E470=1,F470*O470,"")</f>
        <v/>
      </c>
    </row>
    <row r="471">
      <c r="A471">
        <f>PNL!A471</f>
        <v/>
      </c>
      <c r="B471">
        <f>PNL!B471</f>
        <v/>
      </c>
      <c r="C471">
        <f>PNL!C471</f>
        <v/>
      </c>
      <c r="D471">
        <f>PNL!D471</f>
        <v/>
      </c>
      <c r="E471">
        <f>IF(AND(C471="2027",OR(D471="V01",D471="V02",D471="V03")),1,0)</f>
        <v/>
      </c>
      <c r="F471">
        <f>IF(E471=1,SUMIFS(Compta!$F$2:$F$675,Compta!$A$2:$A$675,A471,Compta!$B$2:$B$675,B471,Compta!$C$2:$C$675,"2026"),0)</f>
        <v/>
      </c>
      <c r="G471">
        <f>IF(D471="V01",cad!$I$21,IF(D471="V02",cad!$J$21,cad!$K$21))</f>
        <v/>
      </c>
      <c r="H471">
        <f>IF(D471="V01",cad!$I$22,IF(D471="V02",cad!$J$22,cad!$K$22))</f>
        <v/>
      </c>
      <c r="I471">
        <f>IF(D471="V01",cad!$I$27,IF(D471="V02",cad!$J$27,cad!$K$27))</f>
        <v/>
      </c>
      <c r="J471">
        <f>IF(D471="V01",cad!$I$28,IF(D471="V02",cad!$J$28,cad!$K$28))</f>
        <v/>
      </c>
      <c r="K471">
        <f>IF(D471="V01",cad!$I$29,IF(D471="V02",cad!$J$29,cad!$K$29))</f>
        <v/>
      </c>
      <c r="L471">
        <f>IF(D471="V01",cad!$I$30,IF(D471="V02",cad!$J$30,cad!$K$30))</f>
        <v/>
      </c>
      <c r="M471">
        <f>IF(D471="V01",cad!$I$31,IF(D471="V02",cad!$J$31,cad!$K$31))</f>
        <v/>
      </c>
      <c r="N471">
        <f>IF(D471="V01",$R$2,IF(D471="V02",$R$3,$R$4))</f>
        <v/>
      </c>
      <c r="O471">
        <f>IF(OR(B471="7062",B471="706",B471="708"),N471,IF(B471="6231",1+G471,IF(B471="6236",1+H471,IF(OR(B471="621",B471="604",B471="6063"),N471*(1-L471),IF(OR(B471="6411",B471="6413",B471="6414",B471="645"),(1+J471)*(1+K471),IF(OR(B471="613",B471="615",B471="616",B471="6226",B471="625",B471="626",B471="6281"),(1+I471)*(1-L471)*(1+M471),IF(OR(B471="6331",B471="63511",B471="6333"),(1+I471)*(1-L471),IF(B471="6811",1+I471,1))))))))</f>
        <v/>
      </c>
      <c r="P471">
        <f>IF(E471=1,F471*O471,"")</f>
        <v/>
      </c>
    </row>
    <row r="472">
      <c r="A472">
        <f>PNL!A472</f>
        <v/>
      </c>
      <c r="B472">
        <f>PNL!B472</f>
        <v/>
      </c>
      <c r="C472">
        <f>PNL!C472</f>
        <v/>
      </c>
      <c r="D472">
        <f>PNL!D472</f>
        <v/>
      </c>
      <c r="E472">
        <f>IF(AND(C472="2027",OR(D472="V01",D472="V02",D472="V03")),1,0)</f>
        <v/>
      </c>
      <c r="F472">
        <f>IF(E472=1,SUMIFS(Compta!$F$2:$F$675,Compta!$A$2:$A$675,A472,Compta!$B$2:$B$675,B472,Compta!$C$2:$C$675,"2026"),0)</f>
        <v/>
      </c>
      <c r="G472">
        <f>IF(D472="V01",cad!$I$21,IF(D472="V02",cad!$J$21,cad!$K$21))</f>
        <v/>
      </c>
      <c r="H472">
        <f>IF(D472="V01",cad!$I$22,IF(D472="V02",cad!$J$22,cad!$K$22))</f>
        <v/>
      </c>
      <c r="I472">
        <f>IF(D472="V01",cad!$I$27,IF(D472="V02",cad!$J$27,cad!$K$27))</f>
        <v/>
      </c>
      <c r="J472">
        <f>IF(D472="V01",cad!$I$28,IF(D472="V02",cad!$J$28,cad!$K$28))</f>
        <v/>
      </c>
      <c r="K472">
        <f>IF(D472="V01",cad!$I$29,IF(D472="V02",cad!$J$29,cad!$K$29))</f>
        <v/>
      </c>
      <c r="L472">
        <f>IF(D472="V01",cad!$I$30,IF(D472="V02",cad!$J$30,cad!$K$30))</f>
        <v/>
      </c>
      <c r="M472">
        <f>IF(D472="V01",cad!$I$31,IF(D472="V02",cad!$J$31,cad!$K$31))</f>
        <v/>
      </c>
      <c r="N472">
        <f>IF(D472="V01",$R$2,IF(D472="V02",$R$3,$R$4))</f>
        <v/>
      </c>
      <c r="O472">
        <f>IF(OR(B472="7062",B472="706",B472="708"),N472,IF(B472="6231",1+G472,IF(B472="6236",1+H472,IF(OR(B472="621",B472="604",B472="6063"),N472*(1-L472),IF(OR(B472="6411",B472="6413",B472="6414",B472="645"),(1+J472)*(1+K472),IF(OR(B472="613",B472="615",B472="616",B472="6226",B472="625",B472="626",B472="6281"),(1+I472)*(1-L472)*(1+M472),IF(OR(B472="6331",B472="63511",B472="6333"),(1+I472)*(1-L472),IF(B472="6811",1+I472,1))))))))</f>
        <v/>
      </c>
      <c r="P472">
        <f>IF(E472=1,F472*O472,"")</f>
        <v/>
      </c>
    </row>
    <row r="473">
      <c r="A473">
        <f>PNL!A473</f>
        <v/>
      </c>
      <c r="B473">
        <f>PNL!B473</f>
        <v/>
      </c>
      <c r="C473">
        <f>PNL!C473</f>
        <v/>
      </c>
      <c r="D473">
        <f>PNL!D473</f>
        <v/>
      </c>
      <c r="E473">
        <f>IF(AND(C473="2027",OR(D473="V01",D473="V02",D473="V03")),1,0)</f>
        <v/>
      </c>
      <c r="F473">
        <f>IF(E473=1,SUMIFS(Compta!$F$2:$F$675,Compta!$A$2:$A$675,A473,Compta!$B$2:$B$675,B473,Compta!$C$2:$C$675,"2026"),0)</f>
        <v/>
      </c>
      <c r="G473">
        <f>IF(D473="V01",cad!$I$21,IF(D473="V02",cad!$J$21,cad!$K$21))</f>
        <v/>
      </c>
      <c r="H473">
        <f>IF(D473="V01",cad!$I$22,IF(D473="V02",cad!$J$22,cad!$K$22))</f>
        <v/>
      </c>
      <c r="I473">
        <f>IF(D473="V01",cad!$I$27,IF(D473="V02",cad!$J$27,cad!$K$27))</f>
        <v/>
      </c>
      <c r="J473">
        <f>IF(D473="V01",cad!$I$28,IF(D473="V02",cad!$J$28,cad!$K$28))</f>
        <v/>
      </c>
      <c r="K473">
        <f>IF(D473="V01",cad!$I$29,IF(D473="V02",cad!$J$29,cad!$K$29))</f>
        <v/>
      </c>
      <c r="L473">
        <f>IF(D473="V01",cad!$I$30,IF(D473="V02",cad!$J$30,cad!$K$30))</f>
        <v/>
      </c>
      <c r="M473">
        <f>IF(D473="V01",cad!$I$31,IF(D473="V02",cad!$J$31,cad!$K$31))</f>
        <v/>
      </c>
      <c r="N473">
        <f>IF(D473="V01",$R$2,IF(D473="V02",$R$3,$R$4))</f>
        <v/>
      </c>
      <c r="O473">
        <f>IF(OR(B473="7062",B473="706",B473="708"),N473,IF(B473="6231",1+G473,IF(B473="6236",1+H473,IF(OR(B473="621",B473="604",B473="6063"),N473*(1-L473),IF(OR(B473="6411",B473="6413",B473="6414",B473="645"),(1+J473)*(1+K473),IF(OR(B473="613",B473="615",B473="616",B473="6226",B473="625",B473="626",B473="6281"),(1+I473)*(1-L473)*(1+M473),IF(OR(B473="6331",B473="63511",B473="6333"),(1+I473)*(1-L473),IF(B473="6811",1+I473,1))))))))</f>
        <v/>
      </c>
      <c r="P473">
        <f>IF(E473=1,F473*O473,"")</f>
        <v/>
      </c>
    </row>
    <row r="474">
      <c r="A474">
        <f>PNL!A474</f>
        <v/>
      </c>
      <c r="B474">
        <f>PNL!B474</f>
        <v/>
      </c>
      <c r="C474">
        <f>PNL!C474</f>
        <v/>
      </c>
      <c r="D474">
        <f>PNL!D474</f>
        <v/>
      </c>
      <c r="E474">
        <f>IF(AND(C474="2027",OR(D474="V01",D474="V02",D474="V03")),1,0)</f>
        <v/>
      </c>
      <c r="F474">
        <f>IF(E474=1,SUMIFS(Compta!$F$2:$F$675,Compta!$A$2:$A$675,A474,Compta!$B$2:$B$675,B474,Compta!$C$2:$C$675,"2026"),0)</f>
        <v/>
      </c>
      <c r="G474">
        <f>IF(D474="V01",cad!$I$21,IF(D474="V02",cad!$J$21,cad!$K$21))</f>
        <v/>
      </c>
      <c r="H474">
        <f>IF(D474="V01",cad!$I$22,IF(D474="V02",cad!$J$22,cad!$K$22))</f>
        <v/>
      </c>
      <c r="I474">
        <f>IF(D474="V01",cad!$I$27,IF(D474="V02",cad!$J$27,cad!$K$27))</f>
        <v/>
      </c>
      <c r="J474">
        <f>IF(D474="V01",cad!$I$28,IF(D474="V02",cad!$J$28,cad!$K$28))</f>
        <v/>
      </c>
      <c r="K474">
        <f>IF(D474="V01",cad!$I$29,IF(D474="V02",cad!$J$29,cad!$K$29))</f>
        <v/>
      </c>
      <c r="L474">
        <f>IF(D474="V01",cad!$I$30,IF(D474="V02",cad!$J$30,cad!$K$30))</f>
        <v/>
      </c>
      <c r="M474">
        <f>IF(D474="V01",cad!$I$31,IF(D474="V02",cad!$J$31,cad!$K$31))</f>
        <v/>
      </c>
      <c r="N474">
        <f>IF(D474="V01",$R$2,IF(D474="V02",$R$3,$R$4))</f>
        <v/>
      </c>
      <c r="O474">
        <f>IF(OR(B474="7062",B474="706",B474="708"),N474,IF(B474="6231",1+G474,IF(B474="6236",1+H474,IF(OR(B474="621",B474="604",B474="6063"),N474*(1-L474),IF(OR(B474="6411",B474="6413",B474="6414",B474="645"),(1+J474)*(1+K474),IF(OR(B474="613",B474="615",B474="616",B474="6226",B474="625",B474="626",B474="6281"),(1+I474)*(1-L474)*(1+M474),IF(OR(B474="6331",B474="63511",B474="6333"),(1+I474)*(1-L474),IF(B474="6811",1+I474,1))))))))</f>
        <v/>
      </c>
      <c r="P474">
        <f>IF(E474=1,F474*O474,"")</f>
        <v/>
      </c>
    </row>
    <row r="475">
      <c r="A475">
        <f>PNL!A475</f>
        <v/>
      </c>
      <c r="B475">
        <f>PNL!B475</f>
        <v/>
      </c>
      <c r="C475">
        <f>PNL!C475</f>
        <v/>
      </c>
      <c r="D475">
        <f>PNL!D475</f>
        <v/>
      </c>
      <c r="E475">
        <f>IF(AND(C475="2027",OR(D475="V01",D475="V02",D475="V03")),1,0)</f>
        <v/>
      </c>
      <c r="F475">
        <f>IF(E475=1,SUMIFS(Compta!$F$2:$F$675,Compta!$A$2:$A$675,A475,Compta!$B$2:$B$675,B475,Compta!$C$2:$C$675,"2026"),0)</f>
        <v/>
      </c>
      <c r="G475">
        <f>IF(D475="V01",cad!$I$21,IF(D475="V02",cad!$J$21,cad!$K$21))</f>
        <v/>
      </c>
      <c r="H475">
        <f>IF(D475="V01",cad!$I$22,IF(D475="V02",cad!$J$22,cad!$K$22))</f>
        <v/>
      </c>
      <c r="I475">
        <f>IF(D475="V01",cad!$I$27,IF(D475="V02",cad!$J$27,cad!$K$27))</f>
        <v/>
      </c>
      <c r="J475">
        <f>IF(D475="V01",cad!$I$28,IF(D475="V02",cad!$J$28,cad!$K$28))</f>
        <v/>
      </c>
      <c r="K475">
        <f>IF(D475="V01",cad!$I$29,IF(D475="V02",cad!$J$29,cad!$K$29))</f>
        <v/>
      </c>
      <c r="L475">
        <f>IF(D475="V01",cad!$I$30,IF(D475="V02",cad!$J$30,cad!$K$30))</f>
        <v/>
      </c>
      <c r="M475">
        <f>IF(D475="V01",cad!$I$31,IF(D475="V02",cad!$J$31,cad!$K$31))</f>
        <v/>
      </c>
      <c r="N475">
        <f>IF(D475="V01",$R$2,IF(D475="V02",$R$3,$R$4))</f>
        <v/>
      </c>
      <c r="O475">
        <f>IF(OR(B475="7062",B475="706",B475="708"),N475,IF(B475="6231",1+G475,IF(B475="6236",1+H475,IF(OR(B475="621",B475="604",B475="6063"),N475*(1-L475),IF(OR(B475="6411",B475="6413",B475="6414",B475="645"),(1+J475)*(1+K475),IF(OR(B475="613",B475="615",B475="616",B475="6226",B475="625",B475="626",B475="6281"),(1+I475)*(1-L475)*(1+M475),IF(OR(B475="6331",B475="63511",B475="6333"),(1+I475)*(1-L475),IF(B475="6811",1+I475,1))))))))</f>
        <v/>
      </c>
      <c r="P475">
        <f>IF(E475=1,F475*O475,"")</f>
        <v/>
      </c>
    </row>
    <row r="476">
      <c r="A476">
        <f>PNL!A476</f>
        <v/>
      </c>
      <c r="B476">
        <f>PNL!B476</f>
        <v/>
      </c>
      <c r="C476">
        <f>PNL!C476</f>
        <v/>
      </c>
      <c r="D476">
        <f>PNL!D476</f>
        <v/>
      </c>
      <c r="E476">
        <f>IF(AND(C476="2027",OR(D476="V01",D476="V02",D476="V03")),1,0)</f>
        <v/>
      </c>
      <c r="F476">
        <f>IF(E476=1,SUMIFS(Compta!$F$2:$F$675,Compta!$A$2:$A$675,A476,Compta!$B$2:$B$675,B476,Compta!$C$2:$C$675,"2026"),0)</f>
        <v/>
      </c>
      <c r="G476">
        <f>IF(D476="V01",cad!$I$21,IF(D476="V02",cad!$J$21,cad!$K$21))</f>
        <v/>
      </c>
      <c r="H476">
        <f>IF(D476="V01",cad!$I$22,IF(D476="V02",cad!$J$22,cad!$K$22))</f>
        <v/>
      </c>
      <c r="I476">
        <f>IF(D476="V01",cad!$I$27,IF(D476="V02",cad!$J$27,cad!$K$27))</f>
        <v/>
      </c>
      <c r="J476">
        <f>IF(D476="V01",cad!$I$28,IF(D476="V02",cad!$J$28,cad!$K$28))</f>
        <v/>
      </c>
      <c r="K476">
        <f>IF(D476="V01",cad!$I$29,IF(D476="V02",cad!$J$29,cad!$K$29))</f>
        <v/>
      </c>
      <c r="L476">
        <f>IF(D476="V01",cad!$I$30,IF(D476="V02",cad!$J$30,cad!$K$30))</f>
        <v/>
      </c>
      <c r="M476">
        <f>IF(D476="V01",cad!$I$31,IF(D476="V02",cad!$J$31,cad!$K$31))</f>
        <v/>
      </c>
      <c r="N476">
        <f>IF(D476="V01",$R$2,IF(D476="V02",$R$3,$R$4))</f>
        <v/>
      </c>
      <c r="O476">
        <f>IF(OR(B476="7062",B476="706",B476="708"),N476,IF(B476="6231",1+G476,IF(B476="6236",1+H476,IF(OR(B476="621",B476="604",B476="6063"),N476*(1-L476),IF(OR(B476="6411",B476="6413",B476="6414",B476="645"),(1+J476)*(1+K476),IF(OR(B476="613",B476="615",B476="616",B476="6226",B476="625",B476="626",B476="6281"),(1+I476)*(1-L476)*(1+M476),IF(OR(B476="6331",B476="63511",B476="6333"),(1+I476)*(1-L476),IF(B476="6811",1+I476,1))))))))</f>
        <v/>
      </c>
      <c r="P476">
        <f>IF(E476=1,F476*O476,"")</f>
        <v/>
      </c>
    </row>
    <row r="477">
      <c r="A477">
        <f>PNL!A477</f>
        <v/>
      </c>
      <c r="B477">
        <f>PNL!B477</f>
        <v/>
      </c>
      <c r="C477">
        <f>PNL!C477</f>
        <v/>
      </c>
      <c r="D477">
        <f>PNL!D477</f>
        <v/>
      </c>
      <c r="E477">
        <f>IF(AND(C477="2027",OR(D477="V01",D477="V02",D477="V03")),1,0)</f>
        <v/>
      </c>
      <c r="F477">
        <f>IF(E477=1,SUMIFS(Compta!$F$2:$F$675,Compta!$A$2:$A$675,A477,Compta!$B$2:$B$675,B477,Compta!$C$2:$C$675,"2026"),0)</f>
        <v/>
      </c>
      <c r="G477">
        <f>IF(D477="V01",cad!$I$21,IF(D477="V02",cad!$J$21,cad!$K$21))</f>
        <v/>
      </c>
      <c r="H477">
        <f>IF(D477="V01",cad!$I$22,IF(D477="V02",cad!$J$22,cad!$K$22))</f>
        <v/>
      </c>
      <c r="I477">
        <f>IF(D477="V01",cad!$I$27,IF(D477="V02",cad!$J$27,cad!$K$27))</f>
        <v/>
      </c>
      <c r="J477">
        <f>IF(D477="V01",cad!$I$28,IF(D477="V02",cad!$J$28,cad!$K$28))</f>
        <v/>
      </c>
      <c r="K477">
        <f>IF(D477="V01",cad!$I$29,IF(D477="V02",cad!$J$29,cad!$K$29))</f>
        <v/>
      </c>
      <c r="L477">
        <f>IF(D477="V01",cad!$I$30,IF(D477="V02",cad!$J$30,cad!$K$30))</f>
        <v/>
      </c>
      <c r="M477">
        <f>IF(D477="V01",cad!$I$31,IF(D477="V02",cad!$J$31,cad!$K$31))</f>
        <v/>
      </c>
      <c r="N477">
        <f>IF(D477="V01",$R$2,IF(D477="V02",$R$3,$R$4))</f>
        <v/>
      </c>
      <c r="O477">
        <f>IF(OR(B477="7062",B477="706",B477="708"),N477,IF(B477="6231",1+G477,IF(B477="6236",1+H477,IF(OR(B477="621",B477="604",B477="6063"),N477*(1-L477),IF(OR(B477="6411",B477="6413",B477="6414",B477="645"),(1+J477)*(1+K477),IF(OR(B477="613",B477="615",B477="616",B477="6226",B477="625",B477="626",B477="6281"),(1+I477)*(1-L477)*(1+M477),IF(OR(B477="6331",B477="63511",B477="6333"),(1+I477)*(1-L477),IF(B477="6811",1+I477,1))))))))</f>
        <v/>
      </c>
      <c r="P477">
        <f>IF(E477=1,F477*O477,"")</f>
        <v/>
      </c>
    </row>
    <row r="478">
      <c r="A478">
        <f>PNL!A478</f>
        <v/>
      </c>
      <c r="B478">
        <f>PNL!B478</f>
        <v/>
      </c>
      <c r="C478">
        <f>PNL!C478</f>
        <v/>
      </c>
      <c r="D478">
        <f>PNL!D478</f>
        <v/>
      </c>
      <c r="E478">
        <f>IF(AND(C478="2027",OR(D478="V01",D478="V02",D478="V03")),1,0)</f>
        <v/>
      </c>
      <c r="F478">
        <f>IF(E478=1,SUMIFS(Compta!$F$2:$F$675,Compta!$A$2:$A$675,A478,Compta!$B$2:$B$675,B478,Compta!$C$2:$C$675,"2026"),0)</f>
        <v/>
      </c>
      <c r="G478">
        <f>IF(D478="V01",cad!$I$21,IF(D478="V02",cad!$J$21,cad!$K$21))</f>
        <v/>
      </c>
      <c r="H478">
        <f>IF(D478="V01",cad!$I$22,IF(D478="V02",cad!$J$22,cad!$K$22))</f>
        <v/>
      </c>
      <c r="I478">
        <f>IF(D478="V01",cad!$I$27,IF(D478="V02",cad!$J$27,cad!$K$27))</f>
        <v/>
      </c>
      <c r="J478">
        <f>IF(D478="V01",cad!$I$28,IF(D478="V02",cad!$J$28,cad!$K$28))</f>
        <v/>
      </c>
      <c r="K478">
        <f>IF(D478="V01",cad!$I$29,IF(D478="V02",cad!$J$29,cad!$K$29))</f>
        <v/>
      </c>
      <c r="L478">
        <f>IF(D478="V01",cad!$I$30,IF(D478="V02",cad!$J$30,cad!$K$30))</f>
        <v/>
      </c>
      <c r="M478">
        <f>IF(D478="V01",cad!$I$31,IF(D478="V02",cad!$J$31,cad!$K$31))</f>
        <v/>
      </c>
      <c r="N478">
        <f>IF(D478="V01",$R$2,IF(D478="V02",$R$3,$R$4))</f>
        <v/>
      </c>
      <c r="O478">
        <f>IF(OR(B478="7062",B478="706",B478="708"),N478,IF(B478="6231",1+G478,IF(B478="6236",1+H478,IF(OR(B478="621",B478="604",B478="6063"),N478*(1-L478),IF(OR(B478="6411",B478="6413",B478="6414",B478="645"),(1+J478)*(1+K478),IF(OR(B478="613",B478="615",B478="616",B478="6226",B478="625",B478="626",B478="6281"),(1+I478)*(1-L478)*(1+M478),IF(OR(B478="6331",B478="63511",B478="6333"),(1+I478)*(1-L478),IF(B478="6811",1+I478,1))))))))</f>
        <v/>
      </c>
      <c r="P478">
        <f>IF(E478=1,F478*O478,"")</f>
        <v/>
      </c>
    </row>
    <row r="479">
      <c r="A479">
        <f>PNL!A479</f>
        <v/>
      </c>
      <c r="B479">
        <f>PNL!B479</f>
        <v/>
      </c>
      <c r="C479">
        <f>PNL!C479</f>
        <v/>
      </c>
      <c r="D479">
        <f>PNL!D479</f>
        <v/>
      </c>
      <c r="E479">
        <f>IF(AND(C479="2027",OR(D479="V01",D479="V02",D479="V03")),1,0)</f>
        <v/>
      </c>
      <c r="F479">
        <f>IF(E479=1,SUMIFS(Compta!$F$2:$F$675,Compta!$A$2:$A$675,A479,Compta!$B$2:$B$675,B479,Compta!$C$2:$C$675,"2026"),0)</f>
        <v/>
      </c>
      <c r="G479">
        <f>IF(D479="V01",cad!$I$21,IF(D479="V02",cad!$J$21,cad!$K$21))</f>
        <v/>
      </c>
      <c r="H479">
        <f>IF(D479="V01",cad!$I$22,IF(D479="V02",cad!$J$22,cad!$K$22))</f>
        <v/>
      </c>
      <c r="I479">
        <f>IF(D479="V01",cad!$I$27,IF(D479="V02",cad!$J$27,cad!$K$27))</f>
        <v/>
      </c>
      <c r="J479">
        <f>IF(D479="V01",cad!$I$28,IF(D479="V02",cad!$J$28,cad!$K$28))</f>
        <v/>
      </c>
      <c r="K479">
        <f>IF(D479="V01",cad!$I$29,IF(D479="V02",cad!$J$29,cad!$K$29))</f>
        <v/>
      </c>
      <c r="L479">
        <f>IF(D479="V01",cad!$I$30,IF(D479="V02",cad!$J$30,cad!$K$30))</f>
        <v/>
      </c>
      <c r="M479">
        <f>IF(D479="V01",cad!$I$31,IF(D479="V02",cad!$J$31,cad!$K$31))</f>
        <v/>
      </c>
      <c r="N479">
        <f>IF(D479="V01",$R$2,IF(D479="V02",$R$3,$R$4))</f>
        <v/>
      </c>
      <c r="O479">
        <f>IF(OR(B479="7062",B479="706",B479="708"),N479,IF(B479="6231",1+G479,IF(B479="6236",1+H479,IF(OR(B479="621",B479="604",B479="6063"),N479*(1-L479),IF(OR(B479="6411",B479="6413",B479="6414",B479="645"),(1+J479)*(1+K479),IF(OR(B479="613",B479="615",B479="616",B479="6226",B479="625",B479="626",B479="6281"),(1+I479)*(1-L479)*(1+M479),IF(OR(B479="6331",B479="63511",B479="6333"),(1+I479)*(1-L479),IF(B479="6811",1+I479,1))))))))</f>
        <v/>
      </c>
      <c r="P479">
        <f>IF(E479=1,F479*O479,"")</f>
        <v/>
      </c>
    </row>
    <row r="480">
      <c r="A480">
        <f>PNL!A480</f>
        <v/>
      </c>
      <c r="B480">
        <f>PNL!B480</f>
        <v/>
      </c>
      <c r="C480">
        <f>PNL!C480</f>
        <v/>
      </c>
      <c r="D480">
        <f>PNL!D480</f>
        <v/>
      </c>
      <c r="E480">
        <f>IF(AND(C480="2027",OR(D480="V01",D480="V02",D480="V03")),1,0)</f>
        <v/>
      </c>
      <c r="F480">
        <f>IF(E480=1,SUMIFS(Compta!$F$2:$F$675,Compta!$A$2:$A$675,A480,Compta!$B$2:$B$675,B480,Compta!$C$2:$C$675,"2026"),0)</f>
        <v/>
      </c>
      <c r="G480">
        <f>IF(D480="V01",cad!$I$21,IF(D480="V02",cad!$J$21,cad!$K$21))</f>
        <v/>
      </c>
      <c r="H480">
        <f>IF(D480="V01",cad!$I$22,IF(D480="V02",cad!$J$22,cad!$K$22))</f>
        <v/>
      </c>
      <c r="I480">
        <f>IF(D480="V01",cad!$I$27,IF(D480="V02",cad!$J$27,cad!$K$27))</f>
        <v/>
      </c>
      <c r="J480">
        <f>IF(D480="V01",cad!$I$28,IF(D480="V02",cad!$J$28,cad!$K$28))</f>
        <v/>
      </c>
      <c r="K480">
        <f>IF(D480="V01",cad!$I$29,IF(D480="V02",cad!$J$29,cad!$K$29))</f>
        <v/>
      </c>
      <c r="L480">
        <f>IF(D480="V01",cad!$I$30,IF(D480="V02",cad!$J$30,cad!$K$30))</f>
        <v/>
      </c>
      <c r="M480">
        <f>IF(D480="V01",cad!$I$31,IF(D480="V02",cad!$J$31,cad!$K$31))</f>
        <v/>
      </c>
      <c r="N480">
        <f>IF(D480="V01",$R$2,IF(D480="V02",$R$3,$R$4))</f>
        <v/>
      </c>
      <c r="O480">
        <f>IF(OR(B480="7062",B480="706",B480="708"),N480,IF(B480="6231",1+G480,IF(B480="6236",1+H480,IF(OR(B480="621",B480="604",B480="6063"),N480*(1-L480),IF(OR(B480="6411",B480="6413",B480="6414",B480="645"),(1+J480)*(1+K480),IF(OR(B480="613",B480="615",B480="616",B480="6226",B480="625",B480="626",B480="6281"),(1+I480)*(1-L480)*(1+M480),IF(OR(B480="6331",B480="63511",B480="6333"),(1+I480)*(1-L480),IF(B480="6811",1+I480,1))))))))</f>
        <v/>
      </c>
      <c r="P480">
        <f>IF(E480=1,F480*O480,"")</f>
        <v/>
      </c>
    </row>
    <row r="481">
      <c r="A481">
        <f>PNL!A481</f>
        <v/>
      </c>
      <c r="B481">
        <f>PNL!B481</f>
        <v/>
      </c>
      <c r="C481">
        <f>PNL!C481</f>
        <v/>
      </c>
      <c r="D481">
        <f>PNL!D481</f>
        <v/>
      </c>
      <c r="E481">
        <f>IF(AND(C481="2027",OR(D481="V01",D481="V02",D481="V03")),1,0)</f>
        <v/>
      </c>
      <c r="F481">
        <f>IF(E481=1,SUMIFS(Compta!$F$2:$F$675,Compta!$A$2:$A$675,A481,Compta!$B$2:$B$675,B481,Compta!$C$2:$C$675,"2026"),0)</f>
        <v/>
      </c>
      <c r="G481">
        <f>IF(D481="V01",cad!$I$21,IF(D481="V02",cad!$J$21,cad!$K$21))</f>
        <v/>
      </c>
      <c r="H481">
        <f>IF(D481="V01",cad!$I$22,IF(D481="V02",cad!$J$22,cad!$K$22))</f>
        <v/>
      </c>
      <c r="I481">
        <f>IF(D481="V01",cad!$I$27,IF(D481="V02",cad!$J$27,cad!$K$27))</f>
        <v/>
      </c>
      <c r="J481">
        <f>IF(D481="V01",cad!$I$28,IF(D481="V02",cad!$J$28,cad!$K$28))</f>
        <v/>
      </c>
      <c r="K481">
        <f>IF(D481="V01",cad!$I$29,IF(D481="V02",cad!$J$29,cad!$K$29))</f>
        <v/>
      </c>
      <c r="L481">
        <f>IF(D481="V01",cad!$I$30,IF(D481="V02",cad!$J$30,cad!$K$30))</f>
        <v/>
      </c>
      <c r="M481">
        <f>IF(D481="V01",cad!$I$31,IF(D481="V02",cad!$J$31,cad!$K$31))</f>
        <v/>
      </c>
      <c r="N481">
        <f>IF(D481="V01",$R$2,IF(D481="V02",$R$3,$R$4))</f>
        <v/>
      </c>
      <c r="O481">
        <f>IF(OR(B481="7062",B481="706",B481="708"),N481,IF(B481="6231",1+G481,IF(B481="6236",1+H481,IF(OR(B481="621",B481="604",B481="6063"),N481*(1-L481),IF(OR(B481="6411",B481="6413",B481="6414",B481="645"),(1+J481)*(1+K481),IF(OR(B481="613",B481="615",B481="616",B481="6226",B481="625",B481="626",B481="6281"),(1+I481)*(1-L481)*(1+M481),IF(OR(B481="6331",B481="63511",B481="6333"),(1+I481)*(1-L481),IF(B481="6811",1+I481,1))))))))</f>
        <v/>
      </c>
      <c r="P481">
        <f>IF(E481=1,F481*O481,"")</f>
        <v/>
      </c>
    </row>
    <row r="482">
      <c r="A482">
        <f>PNL!A482</f>
        <v/>
      </c>
      <c r="B482">
        <f>PNL!B482</f>
        <v/>
      </c>
      <c r="C482">
        <f>PNL!C482</f>
        <v/>
      </c>
      <c r="D482">
        <f>PNL!D482</f>
        <v/>
      </c>
      <c r="E482">
        <f>IF(AND(C482="2027",OR(D482="V01",D482="V02",D482="V03")),1,0)</f>
        <v/>
      </c>
      <c r="F482">
        <f>IF(E482=1,SUMIFS(Compta!$F$2:$F$675,Compta!$A$2:$A$675,A482,Compta!$B$2:$B$675,B482,Compta!$C$2:$C$675,"2026"),0)</f>
        <v/>
      </c>
      <c r="G482">
        <f>IF(D482="V01",cad!$I$21,IF(D482="V02",cad!$J$21,cad!$K$21))</f>
        <v/>
      </c>
      <c r="H482">
        <f>IF(D482="V01",cad!$I$22,IF(D482="V02",cad!$J$22,cad!$K$22))</f>
        <v/>
      </c>
      <c r="I482">
        <f>IF(D482="V01",cad!$I$27,IF(D482="V02",cad!$J$27,cad!$K$27))</f>
        <v/>
      </c>
      <c r="J482">
        <f>IF(D482="V01",cad!$I$28,IF(D482="V02",cad!$J$28,cad!$K$28))</f>
        <v/>
      </c>
      <c r="K482">
        <f>IF(D482="V01",cad!$I$29,IF(D482="V02",cad!$J$29,cad!$K$29))</f>
        <v/>
      </c>
      <c r="L482">
        <f>IF(D482="V01",cad!$I$30,IF(D482="V02",cad!$J$30,cad!$K$30))</f>
        <v/>
      </c>
      <c r="M482">
        <f>IF(D482="V01",cad!$I$31,IF(D482="V02",cad!$J$31,cad!$K$31))</f>
        <v/>
      </c>
      <c r="N482">
        <f>IF(D482="V01",$R$2,IF(D482="V02",$R$3,$R$4))</f>
        <v/>
      </c>
      <c r="O482">
        <f>IF(OR(B482="7062",B482="706",B482="708"),N482,IF(B482="6231",1+G482,IF(B482="6236",1+H482,IF(OR(B482="621",B482="604",B482="6063"),N482*(1-L482),IF(OR(B482="6411",B482="6413",B482="6414",B482="645"),(1+J482)*(1+K482),IF(OR(B482="613",B482="615",B482="616",B482="6226",B482="625",B482="626",B482="6281"),(1+I482)*(1-L482)*(1+M482),IF(OR(B482="6331",B482="63511",B482="6333"),(1+I482)*(1-L482),IF(B482="6811",1+I482,1))))))))</f>
        <v/>
      </c>
      <c r="P482">
        <f>IF(E482=1,F482*O482,"")</f>
        <v/>
      </c>
    </row>
    <row r="483">
      <c r="A483">
        <f>PNL!A483</f>
        <v/>
      </c>
      <c r="B483">
        <f>PNL!B483</f>
        <v/>
      </c>
      <c r="C483">
        <f>PNL!C483</f>
        <v/>
      </c>
      <c r="D483">
        <f>PNL!D483</f>
        <v/>
      </c>
      <c r="E483">
        <f>IF(AND(C483="2027",OR(D483="V01",D483="V02",D483="V03")),1,0)</f>
        <v/>
      </c>
      <c r="F483">
        <f>IF(E483=1,SUMIFS(Compta!$F$2:$F$675,Compta!$A$2:$A$675,A483,Compta!$B$2:$B$675,B483,Compta!$C$2:$C$675,"2026"),0)</f>
        <v/>
      </c>
      <c r="G483">
        <f>IF(D483="V01",cad!$I$21,IF(D483="V02",cad!$J$21,cad!$K$21))</f>
        <v/>
      </c>
      <c r="H483">
        <f>IF(D483="V01",cad!$I$22,IF(D483="V02",cad!$J$22,cad!$K$22))</f>
        <v/>
      </c>
      <c r="I483">
        <f>IF(D483="V01",cad!$I$27,IF(D483="V02",cad!$J$27,cad!$K$27))</f>
        <v/>
      </c>
      <c r="J483">
        <f>IF(D483="V01",cad!$I$28,IF(D483="V02",cad!$J$28,cad!$K$28))</f>
        <v/>
      </c>
      <c r="K483">
        <f>IF(D483="V01",cad!$I$29,IF(D483="V02",cad!$J$29,cad!$K$29))</f>
        <v/>
      </c>
      <c r="L483">
        <f>IF(D483="V01",cad!$I$30,IF(D483="V02",cad!$J$30,cad!$K$30))</f>
        <v/>
      </c>
      <c r="M483">
        <f>IF(D483="V01",cad!$I$31,IF(D483="V02",cad!$J$31,cad!$K$31))</f>
        <v/>
      </c>
      <c r="N483">
        <f>IF(D483="V01",$R$2,IF(D483="V02",$R$3,$R$4))</f>
        <v/>
      </c>
      <c r="O483">
        <f>IF(OR(B483="7062",B483="706",B483="708"),N483,IF(B483="6231",1+G483,IF(B483="6236",1+H483,IF(OR(B483="621",B483="604",B483="6063"),N483*(1-L483),IF(OR(B483="6411",B483="6413",B483="6414",B483="645"),(1+J483)*(1+K483),IF(OR(B483="613",B483="615",B483="616",B483="6226",B483="625",B483="626",B483="6281"),(1+I483)*(1-L483)*(1+M483),IF(OR(B483="6331",B483="63511",B483="6333"),(1+I483)*(1-L483),IF(B483="6811",1+I483,1))))))))</f>
        <v/>
      </c>
      <c r="P483">
        <f>IF(E483=1,F483*O483,"")</f>
        <v/>
      </c>
    </row>
    <row r="484">
      <c r="A484">
        <f>PNL!A484</f>
        <v/>
      </c>
      <c r="B484">
        <f>PNL!B484</f>
        <v/>
      </c>
      <c r="C484">
        <f>PNL!C484</f>
        <v/>
      </c>
      <c r="D484">
        <f>PNL!D484</f>
        <v/>
      </c>
      <c r="E484">
        <f>IF(AND(C484="2027",OR(D484="V01",D484="V02",D484="V03")),1,0)</f>
        <v/>
      </c>
      <c r="F484">
        <f>IF(E484=1,SUMIFS(Compta!$F$2:$F$675,Compta!$A$2:$A$675,A484,Compta!$B$2:$B$675,B484,Compta!$C$2:$C$675,"2026"),0)</f>
        <v/>
      </c>
      <c r="G484">
        <f>IF(D484="V01",cad!$I$21,IF(D484="V02",cad!$J$21,cad!$K$21))</f>
        <v/>
      </c>
      <c r="H484">
        <f>IF(D484="V01",cad!$I$22,IF(D484="V02",cad!$J$22,cad!$K$22))</f>
        <v/>
      </c>
      <c r="I484">
        <f>IF(D484="V01",cad!$I$27,IF(D484="V02",cad!$J$27,cad!$K$27))</f>
        <v/>
      </c>
      <c r="J484">
        <f>IF(D484="V01",cad!$I$28,IF(D484="V02",cad!$J$28,cad!$K$28))</f>
        <v/>
      </c>
      <c r="K484">
        <f>IF(D484="V01",cad!$I$29,IF(D484="V02",cad!$J$29,cad!$K$29))</f>
        <v/>
      </c>
      <c r="L484">
        <f>IF(D484="V01",cad!$I$30,IF(D484="V02",cad!$J$30,cad!$K$30))</f>
        <v/>
      </c>
      <c r="M484">
        <f>IF(D484="V01",cad!$I$31,IF(D484="V02",cad!$J$31,cad!$K$31))</f>
        <v/>
      </c>
      <c r="N484">
        <f>IF(D484="V01",$R$2,IF(D484="V02",$R$3,$R$4))</f>
        <v/>
      </c>
      <c r="O484">
        <f>IF(OR(B484="7062",B484="706",B484="708"),N484,IF(B484="6231",1+G484,IF(B484="6236",1+H484,IF(OR(B484="621",B484="604",B484="6063"),N484*(1-L484),IF(OR(B484="6411",B484="6413",B484="6414",B484="645"),(1+J484)*(1+K484),IF(OR(B484="613",B484="615",B484="616",B484="6226",B484="625",B484="626",B484="6281"),(1+I484)*(1-L484)*(1+M484),IF(OR(B484="6331",B484="63511",B484="6333"),(1+I484)*(1-L484),IF(B484="6811",1+I484,1))))))))</f>
        <v/>
      </c>
      <c r="P484">
        <f>IF(E484=1,F484*O484,"")</f>
        <v/>
      </c>
    </row>
    <row r="485">
      <c r="A485">
        <f>PNL!A485</f>
        <v/>
      </c>
      <c r="B485">
        <f>PNL!B485</f>
        <v/>
      </c>
      <c r="C485">
        <f>PNL!C485</f>
        <v/>
      </c>
      <c r="D485">
        <f>PNL!D485</f>
        <v/>
      </c>
      <c r="E485">
        <f>IF(AND(C485="2027",OR(D485="V01",D485="V02",D485="V03")),1,0)</f>
        <v/>
      </c>
      <c r="F485">
        <f>IF(E485=1,SUMIFS(Compta!$F$2:$F$675,Compta!$A$2:$A$675,A485,Compta!$B$2:$B$675,B485,Compta!$C$2:$C$675,"2026"),0)</f>
        <v/>
      </c>
      <c r="G485">
        <f>IF(D485="V01",cad!$I$21,IF(D485="V02",cad!$J$21,cad!$K$21))</f>
        <v/>
      </c>
      <c r="H485">
        <f>IF(D485="V01",cad!$I$22,IF(D485="V02",cad!$J$22,cad!$K$22))</f>
        <v/>
      </c>
      <c r="I485">
        <f>IF(D485="V01",cad!$I$27,IF(D485="V02",cad!$J$27,cad!$K$27))</f>
        <v/>
      </c>
      <c r="J485">
        <f>IF(D485="V01",cad!$I$28,IF(D485="V02",cad!$J$28,cad!$K$28))</f>
        <v/>
      </c>
      <c r="K485">
        <f>IF(D485="V01",cad!$I$29,IF(D485="V02",cad!$J$29,cad!$K$29))</f>
        <v/>
      </c>
      <c r="L485">
        <f>IF(D485="V01",cad!$I$30,IF(D485="V02",cad!$J$30,cad!$K$30))</f>
        <v/>
      </c>
      <c r="M485">
        <f>IF(D485="V01",cad!$I$31,IF(D485="V02",cad!$J$31,cad!$K$31))</f>
        <v/>
      </c>
      <c r="N485">
        <f>IF(D485="V01",$R$2,IF(D485="V02",$R$3,$R$4))</f>
        <v/>
      </c>
      <c r="O485">
        <f>IF(OR(B485="7062",B485="706",B485="708"),N485,IF(B485="6231",1+G485,IF(B485="6236",1+H485,IF(OR(B485="621",B485="604",B485="6063"),N485*(1-L485),IF(OR(B485="6411",B485="6413",B485="6414",B485="645"),(1+J485)*(1+K485),IF(OR(B485="613",B485="615",B485="616",B485="6226",B485="625",B485="626",B485="6281"),(1+I485)*(1-L485)*(1+M485),IF(OR(B485="6331",B485="63511",B485="6333"),(1+I485)*(1-L485),IF(B485="6811",1+I485,1))))))))</f>
        <v/>
      </c>
      <c r="P485">
        <f>IF(E485=1,F485*O485,"")</f>
        <v/>
      </c>
    </row>
    <row r="486">
      <c r="A486">
        <f>PNL!A486</f>
        <v/>
      </c>
      <c r="B486">
        <f>PNL!B486</f>
        <v/>
      </c>
      <c r="C486">
        <f>PNL!C486</f>
        <v/>
      </c>
      <c r="D486">
        <f>PNL!D486</f>
        <v/>
      </c>
      <c r="E486">
        <f>IF(AND(C486="2027",OR(D486="V01",D486="V02",D486="V03")),1,0)</f>
        <v/>
      </c>
      <c r="F486">
        <f>IF(E486=1,SUMIFS(Compta!$F$2:$F$675,Compta!$A$2:$A$675,A486,Compta!$B$2:$B$675,B486,Compta!$C$2:$C$675,"2026"),0)</f>
        <v/>
      </c>
      <c r="G486">
        <f>IF(D486="V01",cad!$I$21,IF(D486="V02",cad!$J$21,cad!$K$21))</f>
        <v/>
      </c>
      <c r="H486">
        <f>IF(D486="V01",cad!$I$22,IF(D486="V02",cad!$J$22,cad!$K$22))</f>
        <v/>
      </c>
      <c r="I486">
        <f>IF(D486="V01",cad!$I$27,IF(D486="V02",cad!$J$27,cad!$K$27))</f>
        <v/>
      </c>
      <c r="J486">
        <f>IF(D486="V01",cad!$I$28,IF(D486="V02",cad!$J$28,cad!$K$28))</f>
        <v/>
      </c>
      <c r="K486">
        <f>IF(D486="V01",cad!$I$29,IF(D486="V02",cad!$J$29,cad!$K$29))</f>
        <v/>
      </c>
      <c r="L486">
        <f>IF(D486="V01",cad!$I$30,IF(D486="V02",cad!$J$30,cad!$K$30))</f>
        <v/>
      </c>
      <c r="M486">
        <f>IF(D486="V01",cad!$I$31,IF(D486="V02",cad!$J$31,cad!$K$31))</f>
        <v/>
      </c>
      <c r="N486">
        <f>IF(D486="V01",$R$2,IF(D486="V02",$R$3,$R$4))</f>
        <v/>
      </c>
      <c r="O486">
        <f>IF(OR(B486="7062",B486="706",B486="708"),N486,IF(B486="6231",1+G486,IF(B486="6236",1+H486,IF(OR(B486="621",B486="604",B486="6063"),N486*(1-L486),IF(OR(B486="6411",B486="6413",B486="6414",B486="645"),(1+J486)*(1+K486),IF(OR(B486="613",B486="615",B486="616",B486="6226",B486="625",B486="626",B486="6281"),(1+I486)*(1-L486)*(1+M486),IF(OR(B486="6331",B486="63511",B486="6333"),(1+I486)*(1-L486),IF(B486="6811",1+I486,1))))))))</f>
        <v/>
      </c>
      <c r="P486">
        <f>IF(E486=1,F486*O486,"")</f>
        <v/>
      </c>
    </row>
    <row r="487">
      <c r="A487">
        <f>PNL!A487</f>
        <v/>
      </c>
      <c r="B487">
        <f>PNL!B487</f>
        <v/>
      </c>
      <c r="C487">
        <f>PNL!C487</f>
        <v/>
      </c>
      <c r="D487">
        <f>PNL!D487</f>
        <v/>
      </c>
      <c r="E487">
        <f>IF(AND(C487="2027",OR(D487="V01",D487="V02",D487="V03")),1,0)</f>
        <v/>
      </c>
      <c r="F487">
        <f>IF(E487=1,SUMIFS(Compta!$F$2:$F$675,Compta!$A$2:$A$675,A487,Compta!$B$2:$B$675,B487,Compta!$C$2:$C$675,"2026"),0)</f>
        <v/>
      </c>
      <c r="G487">
        <f>IF(D487="V01",cad!$I$21,IF(D487="V02",cad!$J$21,cad!$K$21))</f>
        <v/>
      </c>
      <c r="H487">
        <f>IF(D487="V01",cad!$I$22,IF(D487="V02",cad!$J$22,cad!$K$22))</f>
        <v/>
      </c>
      <c r="I487">
        <f>IF(D487="V01",cad!$I$27,IF(D487="V02",cad!$J$27,cad!$K$27))</f>
        <v/>
      </c>
      <c r="J487">
        <f>IF(D487="V01",cad!$I$28,IF(D487="V02",cad!$J$28,cad!$K$28))</f>
        <v/>
      </c>
      <c r="K487">
        <f>IF(D487="V01",cad!$I$29,IF(D487="V02",cad!$J$29,cad!$K$29))</f>
        <v/>
      </c>
      <c r="L487">
        <f>IF(D487="V01",cad!$I$30,IF(D487="V02",cad!$J$30,cad!$K$30))</f>
        <v/>
      </c>
      <c r="M487">
        <f>IF(D487="V01",cad!$I$31,IF(D487="V02",cad!$J$31,cad!$K$31))</f>
        <v/>
      </c>
      <c r="N487">
        <f>IF(D487="V01",$R$2,IF(D487="V02",$R$3,$R$4))</f>
        <v/>
      </c>
      <c r="O487">
        <f>IF(OR(B487="7062",B487="706",B487="708"),N487,IF(B487="6231",1+G487,IF(B487="6236",1+H487,IF(OR(B487="621",B487="604",B487="6063"),N487*(1-L487),IF(OR(B487="6411",B487="6413",B487="6414",B487="645"),(1+J487)*(1+K487),IF(OR(B487="613",B487="615",B487="616",B487="6226",B487="625",B487="626",B487="6281"),(1+I487)*(1-L487)*(1+M487),IF(OR(B487="6331",B487="63511",B487="6333"),(1+I487)*(1-L487),IF(B487="6811",1+I487,1))))))))</f>
        <v/>
      </c>
      <c r="P487">
        <f>IF(E487=1,F487*O487,"")</f>
        <v/>
      </c>
    </row>
    <row r="488">
      <c r="A488">
        <f>PNL!A488</f>
        <v/>
      </c>
      <c r="B488">
        <f>PNL!B488</f>
        <v/>
      </c>
      <c r="C488">
        <f>PNL!C488</f>
        <v/>
      </c>
      <c r="D488">
        <f>PNL!D488</f>
        <v/>
      </c>
      <c r="E488">
        <f>IF(AND(C488="2027",OR(D488="V01",D488="V02",D488="V03")),1,0)</f>
        <v/>
      </c>
      <c r="F488">
        <f>IF(E488=1,SUMIFS(Compta!$F$2:$F$675,Compta!$A$2:$A$675,A488,Compta!$B$2:$B$675,B488,Compta!$C$2:$C$675,"2026"),0)</f>
        <v/>
      </c>
      <c r="G488">
        <f>IF(D488="V01",cad!$I$21,IF(D488="V02",cad!$J$21,cad!$K$21))</f>
        <v/>
      </c>
      <c r="H488">
        <f>IF(D488="V01",cad!$I$22,IF(D488="V02",cad!$J$22,cad!$K$22))</f>
        <v/>
      </c>
      <c r="I488">
        <f>IF(D488="V01",cad!$I$27,IF(D488="V02",cad!$J$27,cad!$K$27))</f>
        <v/>
      </c>
      <c r="J488">
        <f>IF(D488="V01",cad!$I$28,IF(D488="V02",cad!$J$28,cad!$K$28))</f>
        <v/>
      </c>
      <c r="K488">
        <f>IF(D488="V01",cad!$I$29,IF(D488="V02",cad!$J$29,cad!$K$29))</f>
        <v/>
      </c>
      <c r="L488">
        <f>IF(D488="V01",cad!$I$30,IF(D488="V02",cad!$J$30,cad!$K$30))</f>
        <v/>
      </c>
      <c r="M488">
        <f>IF(D488="V01",cad!$I$31,IF(D488="V02",cad!$J$31,cad!$K$31))</f>
        <v/>
      </c>
      <c r="N488">
        <f>IF(D488="V01",$R$2,IF(D488="V02",$R$3,$R$4))</f>
        <v/>
      </c>
      <c r="O488">
        <f>IF(OR(B488="7062",B488="706",B488="708"),N488,IF(B488="6231",1+G488,IF(B488="6236",1+H488,IF(OR(B488="621",B488="604",B488="6063"),N488*(1-L488),IF(OR(B488="6411",B488="6413",B488="6414",B488="645"),(1+J488)*(1+K488),IF(OR(B488="613",B488="615",B488="616",B488="6226",B488="625",B488="626",B488="6281"),(1+I488)*(1-L488)*(1+M488),IF(OR(B488="6331",B488="63511",B488="6333"),(1+I488)*(1-L488),IF(B488="6811",1+I488,1))))))))</f>
        <v/>
      </c>
      <c r="P488">
        <f>IF(E488=1,F488*O488,"")</f>
        <v/>
      </c>
    </row>
    <row r="489">
      <c r="A489">
        <f>PNL!A489</f>
        <v/>
      </c>
      <c r="B489">
        <f>PNL!B489</f>
        <v/>
      </c>
      <c r="C489">
        <f>PNL!C489</f>
        <v/>
      </c>
      <c r="D489">
        <f>PNL!D489</f>
        <v/>
      </c>
      <c r="E489">
        <f>IF(AND(C489="2027",OR(D489="V01",D489="V02",D489="V03")),1,0)</f>
        <v/>
      </c>
      <c r="F489">
        <f>IF(E489=1,SUMIFS(Compta!$F$2:$F$675,Compta!$A$2:$A$675,A489,Compta!$B$2:$B$675,B489,Compta!$C$2:$C$675,"2026"),0)</f>
        <v/>
      </c>
      <c r="G489">
        <f>IF(D489="V01",cad!$I$21,IF(D489="V02",cad!$J$21,cad!$K$21))</f>
        <v/>
      </c>
      <c r="H489">
        <f>IF(D489="V01",cad!$I$22,IF(D489="V02",cad!$J$22,cad!$K$22))</f>
        <v/>
      </c>
      <c r="I489">
        <f>IF(D489="V01",cad!$I$27,IF(D489="V02",cad!$J$27,cad!$K$27))</f>
        <v/>
      </c>
      <c r="J489">
        <f>IF(D489="V01",cad!$I$28,IF(D489="V02",cad!$J$28,cad!$K$28))</f>
        <v/>
      </c>
      <c r="K489">
        <f>IF(D489="V01",cad!$I$29,IF(D489="V02",cad!$J$29,cad!$K$29))</f>
        <v/>
      </c>
      <c r="L489">
        <f>IF(D489="V01",cad!$I$30,IF(D489="V02",cad!$J$30,cad!$K$30))</f>
        <v/>
      </c>
      <c r="M489">
        <f>IF(D489="V01",cad!$I$31,IF(D489="V02",cad!$J$31,cad!$K$31))</f>
        <v/>
      </c>
      <c r="N489">
        <f>IF(D489="V01",$R$2,IF(D489="V02",$R$3,$R$4))</f>
        <v/>
      </c>
      <c r="O489">
        <f>IF(OR(B489="7062",B489="706",B489="708"),N489,IF(B489="6231",1+G489,IF(B489="6236",1+H489,IF(OR(B489="621",B489="604",B489="6063"),N489*(1-L489),IF(OR(B489="6411",B489="6413",B489="6414",B489="645"),(1+J489)*(1+K489),IF(OR(B489="613",B489="615",B489="616",B489="6226",B489="625",B489="626",B489="6281"),(1+I489)*(1-L489)*(1+M489),IF(OR(B489="6331",B489="63511",B489="6333"),(1+I489)*(1-L489),IF(B489="6811",1+I489,1))))))))</f>
        <v/>
      </c>
      <c r="P489">
        <f>IF(E489=1,F489*O489,"")</f>
        <v/>
      </c>
    </row>
    <row r="490">
      <c r="A490">
        <f>PNL!A490</f>
        <v/>
      </c>
      <c r="B490">
        <f>PNL!B490</f>
        <v/>
      </c>
      <c r="C490">
        <f>PNL!C490</f>
        <v/>
      </c>
      <c r="D490">
        <f>PNL!D490</f>
        <v/>
      </c>
      <c r="E490">
        <f>IF(AND(C490="2027",OR(D490="V01",D490="V02",D490="V03")),1,0)</f>
        <v/>
      </c>
      <c r="F490">
        <f>IF(E490=1,SUMIFS(Compta!$F$2:$F$675,Compta!$A$2:$A$675,A490,Compta!$B$2:$B$675,B490,Compta!$C$2:$C$675,"2026"),0)</f>
        <v/>
      </c>
      <c r="G490">
        <f>IF(D490="V01",cad!$I$21,IF(D490="V02",cad!$J$21,cad!$K$21))</f>
        <v/>
      </c>
      <c r="H490">
        <f>IF(D490="V01",cad!$I$22,IF(D490="V02",cad!$J$22,cad!$K$22))</f>
        <v/>
      </c>
      <c r="I490">
        <f>IF(D490="V01",cad!$I$27,IF(D490="V02",cad!$J$27,cad!$K$27))</f>
        <v/>
      </c>
      <c r="J490">
        <f>IF(D490="V01",cad!$I$28,IF(D490="V02",cad!$J$28,cad!$K$28))</f>
        <v/>
      </c>
      <c r="K490">
        <f>IF(D490="V01",cad!$I$29,IF(D490="V02",cad!$J$29,cad!$K$29))</f>
        <v/>
      </c>
      <c r="L490">
        <f>IF(D490="V01",cad!$I$30,IF(D490="V02",cad!$J$30,cad!$K$30))</f>
        <v/>
      </c>
      <c r="M490">
        <f>IF(D490="V01",cad!$I$31,IF(D490="V02",cad!$J$31,cad!$K$31))</f>
        <v/>
      </c>
      <c r="N490">
        <f>IF(D490="V01",$R$2,IF(D490="V02",$R$3,$R$4))</f>
        <v/>
      </c>
      <c r="O490">
        <f>IF(OR(B490="7062",B490="706",B490="708"),N490,IF(B490="6231",1+G490,IF(B490="6236",1+H490,IF(OR(B490="621",B490="604",B490="6063"),N490*(1-L490),IF(OR(B490="6411",B490="6413",B490="6414",B490="645"),(1+J490)*(1+K490),IF(OR(B490="613",B490="615",B490="616",B490="6226",B490="625",B490="626",B490="6281"),(1+I490)*(1-L490)*(1+M490),IF(OR(B490="6331",B490="63511",B490="6333"),(1+I490)*(1-L490),IF(B490="6811",1+I490,1))))))))</f>
        <v/>
      </c>
      <c r="P490">
        <f>IF(E490=1,F490*O490,"")</f>
        <v/>
      </c>
    </row>
    <row r="491">
      <c r="A491">
        <f>PNL!A491</f>
        <v/>
      </c>
      <c r="B491">
        <f>PNL!B491</f>
        <v/>
      </c>
      <c r="C491">
        <f>PNL!C491</f>
        <v/>
      </c>
      <c r="D491">
        <f>PNL!D491</f>
        <v/>
      </c>
      <c r="E491">
        <f>IF(AND(C491="2027",OR(D491="V01",D491="V02",D491="V03")),1,0)</f>
        <v/>
      </c>
      <c r="F491">
        <f>IF(E491=1,SUMIFS(Compta!$F$2:$F$675,Compta!$A$2:$A$675,A491,Compta!$B$2:$B$675,B491,Compta!$C$2:$C$675,"2026"),0)</f>
        <v/>
      </c>
      <c r="G491">
        <f>IF(D491="V01",cad!$I$21,IF(D491="V02",cad!$J$21,cad!$K$21))</f>
        <v/>
      </c>
      <c r="H491">
        <f>IF(D491="V01",cad!$I$22,IF(D491="V02",cad!$J$22,cad!$K$22))</f>
        <v/>
      </c>
      <c r="I491">
        <f>IF(D491="V01",cad!$I$27,IF(D491="V02",cad!$J$27,cad!$K$27))</f>
        <v/>
      </c>
      <c r="J491">
        <f>IF(D491="V01",cad!$I$28,IF(D491="V02",cad!$J$28,cad!$K$28))</f>
        <v/>
      </c>
      <c r="K491">
        <f>IF(D491="V01",cad!$I$29,IF(D491="V02",cad!$J$29,cad!$K$29))</f>
        <v/>
      </c>
      <c r="L491">
        <f>IF(D491="V01",cad!$I$30,IF(D491="V02",cad!$J$30,cad!$K$30))</f>
        <v/>
      </c>
      <c r="M491">
        <f>IF(D491="V01",cad!$I$31,IF(D491="V02",cad!$J$31,cad!$K$31))</f>
        <v/>
      </c>
      <c r="N491">
        <f>IF(D491="V01",$R$2,IF(D491="V02",$R$3,$R$4))</f>
        <v/>
      </c>
      <c r="O491">
        <f>IF(OR(B491="7062",B491="706",B491="708"),N491,IF(B491="6231",1+G491,IF(B491="6236",1+H491,IF(OR(B491="621",B491="604",B491="6063"),N491*(1-L491),IF(OR(B491="6411",B491="6413",B491="6414",B491="645"),(1+J491)*(1+K491),IF(OR(B491="613",B491="615",B491="616",B491="6226",B491="625",B491="626",B491="6281"),(1+I491)*(1-L491)*(1+M491),IF(OR(B491="6331",B491="63511",B491="6333"),(1+I491)*(1-L491),IF(B491="6811",1+I491,1))))))))</f>
        <v/>
      </c>
      <c r="P491">
        <f>IF(E491=1,F491*O491,"")</f>
        <v/>
      </c>
    </row>
    <row r="492">
      <c r="A492">
        <f>PNL!A492</f>
        <v/>
      </c>
      <c r="B492">
        <f>PNL!B492</f>
        <v/>
      </c>
      <c r="C492">
        <f>PNL!C492</f>
        <v/>
      </c>
      <c r="D492">
        <f>PNL!D492</f>
        <v/>
      </c>
      <c r="E492">
        <f>IF(AND(C492="2027",OR(D492="V01",D492="V02",D492="V03")),1,0)</f>
        <v/>
      </c>
      <c r="F492">
        <f>IF(E492=1,SUMIFS(Compta!$F$2:$F$675,Compta!$A$2:$A$675,A492,Compta!$B$2:$B$675,B492,Compta!$C$2:$C$675,"2026"),0)</f>
        <v/>
      </c>
      <c r="G492">
        <f>IF(D492="V01",cad!$I$21,IF(D492="V02",cad!$J$21,cad!$K$21))</f>
        <v/>
      </c>
      <c r="H492">
        <f>IF(D492="V01",cad!$I$22,IF(D492="V02",cad!$J$22,cad!$K$22))</f>
        <v/>
      </c>
      <c r="I492">
        <f>IF(D492="V01",cad!$I$27,IF(D492="V02",cad!$J$27,cad!$K$27))</f>
        <v/>
      </c>
      <c r="J492">
        <f>IF(D492="V01",cad!$I$28,IF(D492="V02",cad!$J$28,cad!$K$28))</f>
        <v/>
      </c>
      <c r="K492">
        <f>IF(D492="V01",cad!$I$29,IF(D492="V02",cad!$J$29,cad!$K$29))</f>
        <v/>
      </c>
      <c r="L492">
        <f>IF(D492="V01",cad!$I$30,IF(D492="V02",cad!$J$30,cad!$K$30))</f>
        <v/>
      </c>
      <c r="M492">
        <f>IF(D492="V01",cad!$I$31,IF(D492="V02",cad!$J$31,cad!$K$31))</f>
        <v/>
      </c>
      <c r="N492">
        <f>IF(D492="V01",$R$2,IF(D492="V02",$R$3,$R$4))</f>
        <v/>
      </c>
      <c r="O492">
        <f>IF(OR(B492="7062",B492="706",B492="708"),N492,IF(B492="6231",1+G492,IF(B492="6236",1+H492,IF(OR(B492="621",B492="604",B492="6063"),N492*(1-L492),IF(OR(B492="6411",B492="6413",B492="6414",B492="645"),(1+J492)*(1+K492),IF(OR(B492="613",B492="615",B492="616",B492="6226",B492="625",B492="626",B492="6281"),(1+I492)*(1-L492)*(1+M492),IF(OR(B492="6331",B492="63511",B492="6333"),(1+I492)*(1-L492),IF(B492="6811",1+I492,1))))))))</f>
        <v/>
      </c>
      <c r="P492">
        <f>IF(E492=1,F492*O492,"")</f>
        <v/>
      </c>
    </row>
    <row r="493">
      <c r="A493">
        <f>PNL!A493</f>
        <v/>
      </c>
      <c r="B493">
        <f>PNL!B493</f>
        <v/>
      </c>
      <c r="C493">
        <f>PNL!C493</f>
        <v/>
      </c>
      <c r="D493">
        <f>PNL!D493</f>
        <v/>
      </c>
      <c r="E493">
        <f>IF(AND(C493="2027",OR(D493="V01",D493="V02",D493="V03")),1,0)</f>
        <v/>
      </c>
      <c r="F493">
        <f>IF(E493=1,SUMIFS(Compta!$F$2:$F$675,Compta!$A$2:$A$675,A493,Compta!$B$2:$B$675,B493,Compta!$C$2:$C$675,"2026"),0)</f>
        <v/>
      </c>
      <c r="G493">
        <f>IF(D493="V01",cad!$I$21,IF(D493="V02",cad!$J$21,cad!$K$21))</f>
        <v/>
      </c>
      <c r="H493">
        <f>IF(D493="V01",cad!$I$22,IF(D493="V02",cad!$J$22,cad!$K$22))</f>
        <v/>
      </c>
      <c r="I493">
        <f>IF(D493="V01",cad!$I$27,IF(D493="V02",cad!$J$27,cad!$K$27))</f>
        <v/>
      </c>
      <c r="J493">
        <f>IF(D493="V01",cad!$I$28,IF(D493="V02",cad!$J$28,cad!$K$28))</f>
        <v/>
      </c>
      <c r="K493">
        <f>IF(D493="V01",cad!$I$29,IF(D493="V02",cad!$J$29,cad!$K$29))</f>
        <v/>
      </c>
      <c r="L493">
        <f>IF(D493="V01",cad!$I$30,IF(D493="V02",cad!$J$30,cad!$K$30))</f>
        <v/>
      </c>
      <c r="M493">
        <f>IF(D493="V01",cad!$I$31,IF(D493="V02",cad!$J$31,cad!$K$31))</f>
        <v/>
      </c>
      <c r="N493">
        <f>IF(D493="V01",$R$2,IF(D493="V02",$R$3,$R$4))</f>
        <v/>
      </c>
      <c r="O493">
        <f>IF(OR(B493="7062",B493="706",B493="708"),N493,IF(B493="6231",1+G493,IF(B493="6236",1+H493,IF(OR(B493="621",B493="604",B493="6063"),N493*(1-L493),IF(OR(B493="6411",B493="6413",B493="6414",B493="645"),(1+J493)*(1+K493),IF(OR(B493="613",B493="615",B493="616",B493="6226",B493="625",B493="626",B493="6281"),(1+I493)*(1-L493)*(1+M493),IF(OR(B493="6331",B493="63511",B493="6333"),(1+I493)*(1-L493),IF(B493="6811",1+I493,1))))))))</f>
        <v/>
      </c>
      <c r="P493">
        <f>IF(E493=1,F493*O493,"")</f>
        <v/>
      </c>
    </row>
    <row r="494">
      <c r="A494">
        <f>PNL!A494</f>
        <v/>
      </c>
      <c r="B494">
        <f>PNL!B494</f>
        <v/>
      </c>
      <c r="C494">
        <f>PNL!C494</f>
        <v/>
      </c>
      <c r="D494">
        <f>PNL!D494</f>
        <v/>
      </c>
      <c r="E494">
        <f>IF(AND(C494="2027",OR(D494="V01",D494="V02",D494="V03")),1,0)</f>
        <v/>
      </c>
      <c r="F494">
        <f>IF(E494=1,SUMIFS(Compta!$F$2:$F$675,Compta!$A$2:$A$675,A494,Compta!$B$2:$B$675,B494,Compta!$C$2:$C$675,"2026"),0)</f>
        <v/>
      </c>
      <c r="G494">
        <f>IF(D494="V01",cad!$I$21,IF(D494="V02",cad!$J$21,cad!$K$21))</f>
        <v/>
      </c>
      <c r="H494">
        <f>IF(D494="V01",cad!$I$22,IF(D494="V02",cad!$J$22,cad!$K$22))</f>
        <v/>
      </c>
      <c r="I494">
        <f>IF(D494="V01",cad!$I$27,IF(D494="V02",cad!$J$27,cad!$K$27))</f>
        <v/>
      </c>
      <c r="J494">
        <f>IF(D494="V01",cad!$I$28,IF(D494="V02",cad!$J$28,cad!$K$28))</f>
        <v/>
      </c>
      <c r="K494">
        <f>IF(D494="V01",cad!$I$29,IF(D494="V02",cad!$J$29,cad!$K$29))</f>
        <v/>
      </c>
      <c r="L494">
        <f>IF(D494="V01",cad!$I$30,IF(D494="V02",cad!$J$30,cad!$K$30))</f>
        <v/>
      </c>
      <c r="M494">
        <f>IF(D494="V01",cad!$I$31,IF(D494="V02",cad!$J$31,cad!$K$31))</f>
        <v/>
      </c>
      <c r="N494">
        <f>IF(D494="V01",$R$2,IF(D494="V02",$R$3,$R$4))</f>
        <v/>
      </c>
      <c r="O494">
        <f>IF(OR(B494="7062",B494="706",B494="708"),N494,IF(B494="6231",1+G494,IF(B494="6236",1+H494,IF(OR(B494="621",B494="604",B494="6063"),N494*(1-L494),IF(OR(B494="6411",B494="6413",B494="6414",B494="645"),(1+J494)*(1+K494),IF(OR(B494="613",B494="615",B494="616",B494="6226",B494="625",B494="626",B494="6281"),(1+I494)*(1-L494)*(1+M494),IF(OR(B494="6331",B494="63511",B494="6333"),(1+I494)*(1-L494),IF(B494="6811",1+I494,1))))))))</f>
        <v/>
      </c>
      <c r="P494">
        <f>IF(E494=1,F494*O494,"")</f>
        <v/>
      </c>
    </row>
    <row r="495">
      <c r="A495">
        <f>PNL!A495</f>
        <v/>
      </c>
      <c r="B495">
        <f>PNL!B495</f>
        <v/>
      </c>
      <c r="C495">
        <f>PNL!C495</f>
        <v/>
      </c>
      <c r="D495">
        <f>PNL!D495</f>
        <v/>
      </c>
      <c r="E495">
        <f>IF(AND(C495="2027",OR(D495="V01",D495="V02",D495="V03")),1,0)</f>
        <v/>
      </c>
      <c r="F495">
        <f>IF(E495=1,SUMIFS(Compta!$F$2:$F$675,Compta!$A$2:$A$675,A495,Compta!$B$2:$B$675,B495,Compta!$C$2:$C$675,"2026"),0)</f>
        <v/>
      </c>
      <c r="G495">
        <f>IF(D495="V01",cad!$I$21,IF(D495="V02",cad!$J$21,cad!$K$21))</f>
        <v/>
      </c>
      <c r="H495">
        <f>IF(D495="V01",cad!$I$22,IF(D495="V02",cad!$J$22,cad!$K$22))</f>
        <v/>
      </c>
      <c r="I495">
        <f>IF(D495="V01",cad!$I$27,IF(D495="V02",cad!$J$27,cad!$K$27))</f>
        <v/>
      </c>
      <c r="J495">
        <f>IF(D495="V01",cad!$I$28,IF(D495="V02",cad!$J$28,cad!$K$28))</f>
        <v/>
      </c>
      <c r="K495">
        <f>IF(D495="V01",cad!$I$29,IF(D495="V02",cad!$J$29,cad!$K$29))</f>
        <v/>
      </c>
      <c r="L495">
        <f>IF(D495="V01",cad!$I$30,IF(D495="V02",cad!$J$30,cad!$K$30))</f>
        <v/>
      </c>
      <c r="M495">
        <f>IF(D495="V01",cad!$I$31,IF(D495="V02",cad!$J$31,cad!$K$31))</f>
        <v/>
      </c>
      <c r="N495">
        <f>IF(D495="V01",$R$2,IF(D495="V02",$R$3,$R$4))</f>
        <v/>
      </c>
      <c r="O495">
        <f>IF(OR(B495="7062",B495="706",B495="708"),N495,IF(B495="6231",1+G495,IF(B495="6236",1+H495,IF(OR(B495="621",B495="604",B495="6063"),N495*(1-L495),IF(OR(B495="6411",B495="6413",B495="6414",B495="645"),(1+J495)*(1+K495),IF(OR(B495="613",B495="615",B495="616",B495="6226",B495="625",B495="626",B495="6281"),(1+I495)*(1-L495)*(1+M495),IF(OR(B495="6331",B495="63511",B495="6333"),(1+I495)*(1-L495),IF(B495="6811",1+I495,1))))))))</f>
        <v/>
      </c>
      <c r="P495">
        <f>IF(E495=1,F495*O495,"")</f>
        <v/>
      </c>
    </row>
    <row r="496">
      <c r="A496">
        <f>PNL!A496</f>
        <v/>
      </c>
      <c r="B496">
        <f>PNL!B496</f>
        <v/>
      </c>
      <c r="C496">
        <f>PNL!C496</f>
        <v/>
      </c>
      <c r="D496">
        <f>PNL!D496</f>
        <v/>
      </c>
      <c r="E496">
        <f>IF(AND(C496="2027",OR(D496="V01",D496="V02",D496="V03")),1,0)</f>
        <v/>
      </c>
      <c r="F496">
        <f>IF(E496=1,SUMIFS(Compta!$F$2:$F$675,Compta!$A$2:$A$675,A496,Compta!$B$2:$B$675,B496,Compta!$C$2:$C$675,"2026"),0)</f>
        <v/>
      </c>
      <c r="G496">
        <f>IF(D496="V01",cad!$I$21,IF(D496="V02",cad!$J$21,cad!$K$21))</f>
        <v/>
      </c>
      <c r="H496">
        <f>IF(D496="V01",cad!$I$22,IF(D496="V02",cad!$J$22,cad!$K$22))</f>
        <v/>
      </c>
      <c r="I496">
        <f>IF(D496="V01",cad!$I$27,IF(D496="V02",cad!$J$27,cad!$K$27))</f>
        <v/>
      </c>
      <c r="J496">
        <f>IF(D496="V01",cad!$I$28,IF(D496="V02",cad!$J$28,cad!$K$28))</f>
        <v/>
      </c>
      <c r="K496">
        <f>IF(D496="V01",cad!$I$29,IF(D496="V02",cad!$J$29,cad!$K$29))</f>
        <v/>
      </c>
      <c r="L496">
        <f>IF(D496="V01",cad!$I$30,IF(D496="V02",cad!$J$30,cad!$K$30))</f>
        <v/>
      </c>
      <c r="M496">
        <f>IF(D496="V01",cad!$I$31,IF(D496="V02",cad!$J$31,cad!$K$31))</f>
        <v/>
      </c>
      <c r="N496">
        <f>IF(D496="V01",$R$2,IF(D496="V02",$R$3,$R$4))</f>
        <v/>
      </c>
      <c r="O496">
        <f>IF(OR(B496="7062",B496="706",B496="708"),N496,IF(B496="6231",1+G496,IF(B496="6236",1+H496,IF(OR(B496="621",B496="604",B496="6063"),N496*(1-L496),IF(OR(B496="6411",B496="6413",B496="6414",B496="645"),(1+J496)*(1+K496),IF(OR(B496="613",B496="615",B496="616",B496="6226",B496="625",B496="626",B496="6281"),(1+I496)*(1-L496)*(1+M496),IF(OR(B496="6331",B496="63511",B496="6333"),(1+I496)*(1-L496),IF(B496="6811",1+I496,1))))))))</f>
        <v/>
      </c>
      <c r="P496">
        <f>IF(E496=1,F496*O496,"")</f>
        <v/>
      </c>
    </row>
    <row r="497">
      <c r="A497">
        <f>PNL!A497</f>
        <v/>
      </c>
      <c r="B497">
        <f>PNL!B497</f>
        <v/>
      </c>
      <c r="C497">
        <f>PNL!C497</f>
        <v/>
      </c>
      <c r="D497">
        <f>PNL!D497</f>
        <v/>
      </c>
      <c r="E497">
        <f>IF(AND(C497="2027",OR(D497="V01",D497="V02",D497="V03")),1,0)</f>
        <v/>
      </c>
      <c r="F497">
        <f>IF(E497=1,SUMIFS(Compta!$F$2:$F$675,Compta!$A$2:$A$675,A497,Compta!$B$2:$B$675,B497,Compta!$C$2:$C$675,"2026"),0)</f>
        <v/>
      </c>
      <c r="G497">
        <f>IF(D497="V01",cad!$I$21,IF(D497="V02",cad!$J$21,cad!$K$21))</f>
        <v/>
      </c>
      <c r="H497">
        <f>IF(D497="V01",cad!$I$22,IF(D497="V02",cad!$J$22,cad!$K$22))</f>
        <v/>
      </c>
      <c r="I497">
        <f>IF(D497="V01",cad!$I$27,IF(D497="V02",cad!$J$27,cad!$K$27))</f>
        <v/>
      </c>
      <c r="J497">
        <f>IF(D497="V01",cad!$I$28,IF(D497="V02",cad!$J$28,cad!$K$28))</f>
        <v/>
      </c>
      <c r="K497">
        <f>IF(D497="V01",cad!$I$29,IF(D497="V02",cad!$J$29,cad!$K$29))</f>
        <v/>
      </c>
      <c r="L497">
        <f>IF(D497="V01",cad!$I$30,IF(D497="V02",cad!$J$30,cad!$K$30))</f>
        <v/>
      </c>
      <c r="M497">
        <f>IF(D497="V01",cad!$I$31,IF(D497="V02",cad!$J$31,cad!$K$31))</f>
        <v/>
      </c>
      <c r="N497">
        <f>IF(D497="V01",$R$2,IF(D497="V02",$R$3,$R$4))</f>
        <v/>
      </c>
      <c r="O497">
        <f>IF(OR(B497="7062",B497="706",B497="708"),N497,IF(B497="6231",1+G497,IF(B497="6236",1+H497,IF(OR(B497="621",B497="604",B497="6063"),N497*(1-L497),IF(OR(B497="6411",B497="6413",B497="6414",B497="645"),(1+J497)*(1+K497),IF(OR(B497="613",B497="615",B497="616",B497="6226",B497="625",B497="626",B497="6281"),(1+I497)*(1-L497)*(1+M497),IF(OR(B497="6331",B497="63511",B497="6333"),(1+I497)*(1-L497),IF(B497="6811",1+I497,1))))))))</f>
        <v/>
      </c>
      <c r="P497">
        <f>IF(E497=1,F497*O497,"")</f>
        <v/>
      </c>
    </row>
    <row r="498">
      <c r="A498">
        <f>PNL!A498</f>
        <v/>
      </c>
      <c r="B498">
        <f>PNL!B498</f>
        <v/>
      </c>
      <c r="C498">
        <f>PNL!C498</f>
        <v/>
      </c>
      <c r="D498">
        <f>PNL!D498</f>
        <v/>
      </c>
      <c r="E498">
        <f>IF(AND(C498="2027",OR(D498="V01",D498="V02",D498="V03")),1,0)</f>
        <v/>
      </c>
      <c r="F498">
        <f>IF(E498=1,SUMIFS(Compta!$F$2:$F$675,Compta!$A$2:$A$675,A498,Compta!$B$2:$B$675,B498,Compta!$C$2:$C$675,"2026"),0)</f>
        <v/>
      </c>
      <c r="G498">
        <f>IF(D498="V01",cad!$I$21,IF(D498="V02",cad!$J$21,cad!$K$21))</f>
        <v/>
      </c>
      <c r="H498">
        <f>IF(D498="V01",cad!$I$22,IF(D498="V02",cad!$J$22,cad!$K$22))</f>
        <v/>
      </c>
      <c r="I498">
        <f>IF(D498="V01",cad!$I$27,IF(D498="V02",cad!$J$27,cad!$K$27))</f>
        <v/>
      </c>
      <c r="J498">
        <f>IF(D498="V01",cad!$I$28,IF(D498="V02",cad!$J$28,cad!$K$28))</f>
        <v/>
      </c>
      <c r="K498">
        <f>IF(D498="V01",cad!$I$29,IF(D498="V02",cad!$J$29,cad!$K$29))</f>
        <v/>
      </c>
      <c r="L498">
        <f>IF(D498="V01",cad!$I$30,IF(D498="V02",cad!$J$30,cad!$K$30))</f>
        <v/>
      </c>
      <c r="M498">
        <f>IF(D498="V01",cad!$I$31,IF(D498="V02",cad!$J$31,cad!$K$31))</f>
        <v/>
      </c>
      <c r="N498">
        <f>IF(D498="V01",$R$2,IF(D498="V02",$R$3,$R$4))</f>
        <v/>
      </c>
      <c r="O498">
        <f>IF(OR(B498="7062",B498="706",B498="708"),N498,IF(B498="6231",1+G498,IF(B498="6236",1+H498,IF(OR(B498="621",B498="604",B498="6063"),N498*(1-L498),IF(OR(B498="6411",B498="6413",B498="6414",B498="645"),(1+J498)*(1+K498),IF(OR(B498="613",B498="615",B498="616",B498="6226",B498="625",B498="626",B498="6281"),(1+I498)*(1-L498)*(1+M498),IF(OR(B498="6331",B498="63511",B498="6333"),(1+I498)*(1-L498),IF(B498="6811",1+I498,1))))))))</f>
        <v/>
      </c>
      <c r="P498">
        <f>IF(E498=1,F498*O498,"")</f>
        <v/>
      </c>
    </row>
    <row r="499">
      <c r="A499">
        <f>PNL!A499</f>
        <v/>
      </c>
      <c r="B499">
        <f>PNL!B499</f>
        <v/>
      </c>
      <c r="C499">
        <f>PNL!C499</f>
        <v/>
      </c>
      <c r="D499">
        <f>PNL!D499</f>
        <v/>
      </c>
      <c r="E499">
        <f>IF(AND(C499="2027",OR(D499="V01",D499="V02",D499="V03")),1,0)</f>
        <v/>
      </c>
      <c r="F499">
        <f>IF(E499=1,SUMIFS(Compta!$F$2:$F$675,Compta!$A$2:$A$675,A499,Compta!$B$2:$B$675,B499,Compta!$C$2:$C$675,"2026"),0)</f>
        <v/>
      </c>
      <c r="G499">
        <f>IF(D499="V01",cad!$I$21,IF(D499="V02",cad!$J$21,cad!$K$21))</f>
        <v/>
      </c>
      <c r="H499">
        <f>IF(D499="V01",cad!$I$22,IF(D499="V02",cad!$J$22,cad!$K$22))</f>
        <v/>
      </c>
      <c r="I499">
        <f>IF(D499="V01",cad!$I$27,IF(D499="V02",cad!$J$27,cad!$K$27))</f>
        <v/>
      </c>
      <c r="J499">
        <f>IF(D499="V01",cad!$I$28,IF(D499="V02",cad!$J$28,cad!$K$28))</f>
        <v/>
      </c>
      <c r="K499">
        <f>IF(D499="V01",cad!$I$29,IF(D499="V02",cad!$J$29,cad!$K$29))</f>
        <v/>
      </c>
      <c r="L499">
        <f>IF(D499="V01",cad!$I$30,IF(D499="V02",cad!$J$30,cad!$K$30))</f>
        <v/>
      </c>
      <c r="M499">
        <f>IF(D499="V01",cad!$I$31,IF(D499="V02",cad!$J$31,cad!$K$31))</f>
        <v/>
      </c>
      <c r="N499">
        <f>IF(D499="V01",$R$2,IF(D499="V02",$R$3,$R$4))</f>
        <v/>
      </c>
      <c r="O499">
        <f>IF(OR(B499="7062",B499="706",B499="708"),N499,IF(B499="6231",1+G499,IF(B499="6236",1+H499,IF(OR(B499="621",B499="604",B499="6063"),N499*(1-L499),IF(OR(B499="6411",B499="6413",B499="6414",B499="645"),(1+J499)*(1+K499),IF(OR(B499="613",B499="615",B499="616",B499="6226",B499="625",B499="626",B499="6281"),(1+I499)*(1-L499)*(1+M499),IF(OR(B499="6331",B499="63511",B499="6333"),(1+I499)*(1-L499),IF(B499="6811",1+I499,1))))))))</f>
        <v/>
      </c>
      <c r="P499">
        <f>IF(E499=1,F499*O499,"")</f>
        <v/>
      </c>
    </row>
    <row r="500">
      <c r="A500">
        <f>PNL!A500</f>
        <v/>
      </c>
      <c r="B500">
        <f>PNL!B500</f>
        <v/>
      </c>
      <c r="C500">
        <f>PNL!C500</f>
        <v/>
      </c>
      <c r="D500">
        <f>PNL!D500</f>
        <v/>
      </c>
      <c r="E500">
        <f>IF(AND(C500="2027",OR(D500="V01",D500="V02",D500="V03")),1,0)</f>
        <v/>
      </c>
      <c r="F500">
        <f>IF(E500=1,SUMIFS(Compta!$F$2:$F$675,Compta!$A$2:$A$675,A500,Compta!$B$2:$B$675,B500,Compta!$C$2:$C$675,"2026"),0)</f>
        <v/>
      </c>
      <c r="G500">
        <f>IF(D500="V01",cad!$I$21,IF(D500="V02",cad!$J$21,cad!$K$21))</f>
        <v/>
      </c>
      <c r="H500">
        <f>IF(D500="V01",cad!$I$22,IF(D500="V02",cad!$J$22,cad!$K$22))</f>
        <v/>
      </c>
      <c r="I500">
        <f>IF(D500="V01",cad!$I$27,IF(D500="V02",cad!$J$27,cad!$K$27))</f>
        <v/>
      </c>
      <c r="J500">
        <f>IF(D500="V01",cad!$I$28,IF(D500="V02",cad!$J$28,cad!$K$28))</f>
        <v/>
      </c>
      <c r="K500">
        <f>IF(D500="V01",cad!$I$29,IF(D500="V02",cad!$J$29,cad!$K$29))</f>
        <v/>
      </c>
      <c r="L500">
        <f>IF(D500="V01",cad!$I$30,IF(D500="V02",cad!$J$30,cad!$K$30))</f>
        <v/>
      </c>
      <c r="M500">
        <f>IF(D500="V01",cad!$I$31,IF(D500="V02",cad!$J$31,cad!$K$31))</f>
        <v/>
      </c>
      <c r="N500">
        <f>IF(D500="V01",$R$2,IF(D500="V02",$R$3,$R$4))</f>
        <v/>
      </c>
      <c r="O500">
        <f>IF(OR(B500="7062",B500="706",B500="708"),N500,IF(B500="6231",1+G500,IF(B500="6236",1+H500,IF(OR(B500="621",B500="604",B500="6063"),N500*(1-L500),IF(OR(B500="6411",B500="6413",B500="6414",B500="645"),(1+J500)*(1+K500),IF(OR(B500="613",B500="615",B500="616",B500="6226",B500="625",B500="626",B500="6281"),(1+I500)*(1-L500)*(1+M500),IF(OR(B500="6331",B500="63511",B500="6333"),(1+I500)*(1-L500),IF(B500="6811",1+I500,1))))))))</f>
        <v/>
      </c>
      <c r="P500">
        <f>IF(E500=1,F500*O500,"")</f>
        <v/>
      </c>
    </row>
    <row r="501">
      <c r="A501">
        <f>PNL!A501</f>
        <v/>
      </c>
      <c r="B501">
        <f>PNL!B501</f>
        <v/>
      </c>
      <c r="C501">
        <f>PNL!C501</f>
        <v/>
      </c>
      <c r="D501">
        <f>PNL!D501</f>
        <v/>
      </c>
      <c r="E501">
        <f>IF(AND(C501="2027",OR(D501="V01",D501="V02",D501="V03")),1,0)</f>
        <v/>
      </c>
      <c r="F501">
        <f>IF(E501=1,SUMIFS(Compta!$F$2:$F$675,Compta!$A$2:$A$675,A501,Compta!$B$2:$B$675,B501,Compta!$C$2:$C$675,"2026"),0)</f>
        <v/>
      </c>
      <c r="G501">
        <f>IF(D501="V01",cad!$I$21,IF(D501="V02",cad!$J$21,cad!$K$21))</f>
        <v/>
      </c>
      <c r="H501">
        <f>IF(D501="V01",cad!$I$22,IF(D501="V02",cad!$J$22,cad!$K$22))</f>
        <v/>
      </c>
      <c r="I501">
        <f>IF(D501="V01",cad!$I$27,IF(D501="V02",cad!$J$27,cad!$K$27))</f>
        <v/>
      </c>
      <c r="J501">
        <f>IF(D501="V01",cad!$I$28,IF(D501="V02",cad!$J$28,cad!$K$28))</f>
        <v/>
      </c>
      <c r="K501">
        <f>IF(D501="V01",cad!$I$29,IF(D501="V02",cad!$J$29,cad!$K$29))</f>
        <v/>
      </c>
      <c r="L501">
        <f>IF(D501="V01",cad!$I$30,IF(D501="V02",cad!$J$30,cad!$K$30))</f>
        <v/>
      </c>
      <c r="M501">
        <f>IF(D501="V01",cad!$I$31,IF(D501="V02",cad!$J$31,cad!$K$31))</f>
        <v/>
      </c>
      <c r="N501">
        <f>IF(D501="V01",$R$2,IF(D501="V02",$R$3,$R$4))</f>
        <v/>
      </c>
      <c r="O501">
        <f>IF(OR(B501="7062",B501="706",B501="708"),N501,IF(B501="6231",1+G501,IF(B501="6236",1+H501,IF(OR(B501="621",B501="604",B501="6063"),N501*(1-L501),IF(OR(B501="6411",B501="6413",B501="6414",B501="645"),(1+J501)*(1+K501),IF(OR(B501="613",B501="615",B501="616",B501="6226",B501="625",B501="626",B501="6281"),(1+I501)*(1-L501)*(1+M501),IF(OR(B501="6331",B501="63511",B501="6333"),(1+I501)*(1-L501),IF(B501="6811",1+I501,1))))))))</f>
        <v/>
      </c>
      <c r="P501">
        <f>IF(E501=1,F501*O501,"")</f>
        <v/>
      </c>
    </row>
    <row r="502">
      <c r="A502">
        <f>PNL!A502</f>
        <v/>
      </c>
      <c r="B502">
        <f>PNL!B502</f>
        <v/>
      </c>
      <c r="C502">
        <f>PNL!C502</f>
        <v/>
      </c>
      <c r="D502">
        <f>PNL!D502</f>
        <v/>
      </c>
      <c r="E502">
        <f>IF(AND(C502="2027",OR(D502="V01",D502="V02",D502="V03")),1,0)</f>
        <v/>
      </c>
      <c r="F502">
        <f>IF(E502=1,SUMIFS(Compta!$F$2:$F$675,Compta!$A$2:$A$675,A502,Compta!$B$2:$B$675,B502,Compta!$C$2:$C$675,"2026"),0)</f>
        <v/>
      </c>
      <c r="G502">
        <f>IF(D502="V01",cad!$I$21,IF(D502="V02",cad!$J$21,cad!$K$21))</f>
        <v/>
      </c>
      <c r="H502">
        <f>IF(D502="V01",cad!$I$22,IF(D502="V02",cad!$J$22,cad!$K$22))</f>
        <v/>
      </c>
      <c r="I502">
        <f>IF(D502="V01",cad!$I$27,IF(D502="V02",cad!$J$27,cad!$K$27))</f>
        <v/>
      </c>
      <c r="J502">
        <f>IF(D502="V01",cad!$I$28,IF(D502="V02",cad!$J$28,cad!$K$28))</f>
        <v/>
      </c>
      <c r="K502">
        <f>IF(D502="V01",cad!$I$29,IF(D502="V02",cad!$J$29,cad!$K$29))</f>
        <v/>
      </c>
      <c r="L502">
        <f>IF(D502="V01",cad!$I$30,IF(D502="V02",cad!$J$30,cad!$K$30))</f>
        <v/>
      </c>
      <c r="M502">
        <f>IF(D502="V01",cad!$I$31,IF(D502="V02",cad!$J$31,cad!$K$31))</f>
        <v/>
      </c>
      <c r="N502">
        <f>IF(D502="V01",$R$2,IF(D502="V02",$R$3,$R$4))</f>
        <v/>
      </c>
      <c r="O502">
        <f>IF(OR(B502="7062",B502="706",B502="708"),N502,IF(B502="6231",1+G502,IF(B502="6236",1+H502,IF(OR(B502="621",B502="604",B502="6063"),N502*(1-L502),IF(OR(B502="6411",B502="6413",B502="6414",B502="645"),(1+J502)*(1+K502),IF(OR(B502="613",B502="615",B502="616",B502="6226",B502="625",B502="626",B502="6281"),(1+I502)*(1-L502)*(1+M502),IF(OR(B502="6331",B502="63511",B502="6333"),(1+I502)*(1-L502),IF(B502="6811",1+I502,1))))))))</f>
        <v/>
      </c>
      <c r="P502">
        <f>IF(E502=1,F502*O502,"")</f>
        <v/>
      </c>
    </row>
    <row r="503">
      <c r="A503">
        <f>PNL!A503</f>
        <v/>
      </c>
      <c r="B503">
        <f>PNL!B503</f>
        <v/>
      </c>
      <c r="C503">
        <f>PNL!C503</f>
        <v/>
      </c>
      <c r="D503">
        <f>PNL!D503</f>
        <v/>
      </c>
      <c r="E503">
        <f>IF(AND(C503="2027",OR(D503="V01",D503="V02",D503="V03")),1,0)</f>
        <v/>
      </c>
      <c r="F503">
        <f>IF(E503=1,SUMIFS(Compta!$F$2:$F$675,Compta!$A$2:$A$675,A503,Compta!$B$2:$B$675,B503,Compta!$C$2:$C$675,"2026"),0)</f>
        <v/>
      </c>
      <c r="G503">
        <f>IF(D503="V01",cad!$I$21,IF(D503="V02",cad!$J$21,cad!$K$21))</f>
        <v/>
      </c>
      <c r="H503">
        <f>IF(D503="V01",cad!$I$22,IF(D503="V02",cad!$J$22,cad!$K$22))</f>
        <v/>
      </c>
      <c r="I503">
        <f>IF(D503="V01",cad!$I$27,IF(D503="V02",cad!$J$27,cad!$K$27))</f>
        <v/>
      </c>
      <c r="J503">
        <f>IF(D503="V01",cad!$I$28,IF(D503="V02",cad!$J$28,cad!$K$28))</f>
        <v/>
      </c>
      <c r="K503">
        <f>IF(D503="V01",cad!$I$29,IF(D503="V02",cad!$J$29,cad!$K$29))</f>
        <v/>
      </c>
      <c r="L503">
        <f>IF(D503="V01",cad!$I$30,IF(D503="V02",cad!$J$30,cad!$K$30))</f>
        <v/>
      </c>
      <c r="M503">
        <f>IF(D503="V01",cad!$I$31,IF(D503="V02",cad!$J$31,cad!$K$31))</f>
        <v/>
      </c>
      <c r="N503">
        <f>IF(D503="V01",$R$2,IF(D503="V02",$R$3,$R$4))</f>
        <v/>
      </c>
      <c r="O503">
        <f>IF(OR(B503="7062",B503="706",B503="708"),N503,IF(B503="6231",1+G503,IF(B503="6236",1+H503,IF(OR(B503="621",B503="604",B503="6063"),N503*(1-L503),IF(OR(B503="6411",B503="6413",B503="6414",B503="645"),(1+J503)*(1+K503),IF(OR(B503="613",B503="615",B503="616",B503="6226",B503="625",B503="626",B503="6281"),(1+I503)*(1-L503)*(1+M503),IF(OR(B503="6331",B503="63511",B503="6333"),(1+I503)*(1-L503),IF(B503="6811",1+I503,1))))))))</f>
        <v/>
      </c>
      <c r="P503">
        <f>IF(E503=1,F503*O503,"")</f>
        <v/>
      </c>
    </row>
    <row r="504">
      <c r="A504">
        <f>PNL!A504</f>
        <v/>
      </c>
      <c r="B504">
        <f>PNL!B504</f>
        <v/>
      </c>
      <c r="C504">
        <f>PNL!C504</f>
        <v/>
      </c>
      <c r="D504">
        <f>PNL!D504</f>
        <v/>
      </c>
      <c r="E504">
        <f>IF(AND(C504="2027",OR(D504="V01",D504="V02",D504="V03")),1,0)</f>
        <v/>
      </c>
      <c r="F504">
        <f>IF(E504=1,SUMIFS(Compta!$F$2:$F$675,Compta!$A$2:$A$675,A504,Compta!$B$2:$B$675,B504,Compta!$C$2:$C$675,"2026"),0)</f>
        <v/>
      </c>
      <c r="G504">
        <f>IF(D504="V01",cad!$I$21,IF(D504="V02",cad!$J$21,cad!$K$21))</f>
        <v/>
      </c>
      <c r="H504">
        <f>IF(D504="V01",cad!$I$22,IF(D504="V02",cad!$J$22,cad!$K$22))</f>
        <v/>
      </c>
      <c r="I504">
        <f>IF(D504="V01",cad!$I$27,IF(D504="V02",cad!$J$27,cad!$K$27))</f>
        <v/>
      </c>
      <c r="J504">
        <f>IF(D504="V01",cad!$I$28,IF(D504="V02",cad!$J$28,cad!$K$28))</f>
        <v/>
      </c>
      <c r="K504">
        <f>IF(D504="V01",cad!$I$29,IF(D504="V02",cad!$J$29,cad!$K$29))</f>
        <v/>
      </c>
      <c r="L504">
        <f>IF(D504="V01",cad!$I$30,IF(D504="V02",cad!$J$30,cad!$K$30))</f>
        <v/>
      </c>
      <c r="M504">
        <f>IF(D504="V01",cad!$I$31,IF(D504="V02",cad!$J$31,cad!$K$31))</f>
        <v/>
      </c>
      <c r="N504">
        <f>IF(D504="V01",$R$2,IF(D504="V02",$R$3,$R$4))</f>
        <v/>
      </c>
      <c r="O504">
        <f>IF(OR(B504="7062",B504="706",B504="708"),N504,IF(B504="6231",1+G504,IF(B504="6236",1+H504,IF(OR(B504="621",B504="604",B504="6063"),N504*(1-L504),IF(OR(B504="6411",B504="6413",B504="6414",B504="645"),(1+J504)*(1+K504),IF(OR(B504="613",B504="615",B504="616",B504="6226",B504="625",B504="626",B504="6281"),(1+I504)*(1-L504)*(1+M504),IF(OR(B504="6331",B504="63511",B504="6333"),(1+I504)*(1-L504),IF(B504="6811",1+I504,1))))))))</f>
        <v/>
      </c>
      <c r="P504">
        <f>IF(E504=1,F504*O504,"")</f>
        <v/>
      </c>
    </row>
    <row r="505">
      <c r="A505">
        <f>PNL!A505</f>
        <v/>
      </c>
      <c r="B505">
        <f>PNL!B505</f>
        <v/>
      </c>
      <c r="C505">
        <f>PNL!C505</f>
        <v/>
      </c>
      <c r="D505">
        <f>PNL!D505</f>
        <v/>
      </c>
      <c r="E505">
        <f>IF(AND(C505="2027",OR(D505="V01",D505="V02",D505="V03")),1,0)</f>
        <v/>
      </c>
      <c r="F505">
        <f>IF(E505=1,SUMIFS(Compta!$F$2:$F$675,Compta!$A$2:$A$675,A505,Compta!$B$2:$B$675,B505,Compta!$C$2:$C$675,"2026"),0)</f>
        <v/>
      </c>
      <c r="G505">
        <f>IF(D505="V01",cad!$I$21,IF(D505="V02",cad!$J$21,cad!$K$21))</f>
        <v/>
      </c>
      <c r="H505">
        <f>IF(D505="V01",cad!$I$22,IF(D505="V02",cad!$J$22,cad!$K$22))</f>
        <v/>
      </c>
      <c r="I505">
        <f>IF(D505="V01",cad!$I$27,IF(D505="V02",cad!$J$27,cad!$K$27))</f>
        <v/>
      </c>
      <c r="J505">
        <f>IF(D505="V01",cad!$I$28,IF(D505="V02",cad!$J$28,cad!$K$28))</f>
        <v/>
      </c>
      <c r="K505">
        <f>IF(D505="V01",cad!$I$29,IF(D505="V02",cad!$J$29,cad!$K$29))</f>
        <v/>
      </c>
      <c r="L505">
        <f>IF(D505="V01",cad!$I$30,IF(D505="V02",cad!$J$30,cad!$K$30))</f>
        <v/>
      </c>
      <c r="M505">
        <f>IF(D505="V01",cad!$I$31,IF(D505="V02",cad!$J$31,cad!$K$31))</f>
        <v/>
      </c>
      <c r="N505">
        <f>IF(D505="V01",$R$2,IF(D505="V02",$R$3,$R$4))</f>
        <v/>
      </c>
      <c r="O505">
        <f>IF(OR(B505="7062",B505="706",B505="708"),N505,IF(B505="6231",1+G505,IF(B505="6236",1+H505,IF(OR(B505="621",B505="604",B505="6063"),N505*(1-L505),IF(OR(B505="6411",B505="6413",B505="6414",B505="645"),(1+J505)*(1+K505),IF(OR(B505="613",B505="615",B505="616",B505="6226",B505="625",B505="626",B505="6281"),(1+I505)*(1-L505)*(1+M505),IF(OR(B505="6331",B505="63511",B505="6333"),(1+I505)*(1-L505),IF(B505="6811",1+I505,1))))))))</f>
        <v/>
      </c>
      <c r="P505">
        <f>IF(E505=1,F505*O505,"")</f>
        <v/>
      </c>
    </row>
    <row r="506">
      <c r="A506">
        <f>PNL!A506</f>
        <v/>
      </c>
      <c r="B506">
        <f>PNL!B506</f>
        <v/>
      </c>
      <c r="C506">
        <f>PNL!C506</f>
        <v/>
      </c>
      <c r="D506">
        <f>PNL!D506</f>
        <v/>
      </c>
      <c r="E506">
        <f>IF(AND(C506="2027",OR(D506="V01",D506="V02",D506="V03")),1,0)</f>
        <v/>
      </c>
      <c r="F506">
        <f>IF(E506=1,SUMIFS(Compta!$F$2:$F$675,Compta!$A$2:$A$675,A506,Compta!$B$2:$B$675,B506,Compta!$C$2:$C$675,"2026"),0)</f>
        <v/>
      </c>
      <c r="G506">
        <f>IF(D506="V01",cad!$I$21,IF(D506="V02",cad!$J$21,cad!$K$21))</f>
        <v/>
      </c>
      <c r="H506">
        <f>IF(D506="V01",cad!$I$22,IF(D506="V02",cad!$J$22,cad!$K$22))</f>
        <v/>
      </c>
      <c r="I506">
        <f>IF(D506="V01",cad!$I$27,IF(D506="V02",cad!$J$27,cad!$K$27))</f>
        <v/>
      </c>
      <c r="J506">
        <f>IF(D506="V01",cad!$I$28,IF(D506="V02",cad!$J$28,cad!$K$28))</f>
        <v/>
      </c>
      <c r="K506">
        <f>IF(D506="V01",cad!$I$29,IF(D506="V02",cad!$J$29,cad!$K$29))</f>
        <v/>
      </c>
      <c r="L506">
        <f>IF(D506="V01",cad!$I$30,IF(D506="V02",cad!$J$30,cad!$K$30))</f>
        <v/>
      </c>
      <c r="M506">
        <f>IF(D506="V01",cad!$I$31,IF(D506="V02",cad!$J$31,cad!$K$31))</f>
        <v/>
      </c>
      <c r="N506">
        <f>IF(D506="V01",$R$2,IF(D506="V02",$R$3,$R$4))</f>
        <v/>
      </c>
      <c r="O506">
        <f>IF(OR(B506="7062",B506="706",B506="708"),N506,IF(B506="6231",1+G506,IF(B506="6236",1+H506,IF(OR(B506="621",B506="604",B506="6063"),N506*(1-L506),IF(OR(B506="6411",B506="6413",B506="6414",B506="645"),(1+J506)*(1+K506),IF(OR(B506="613",B506="615",B506="616",B506="6226",B506="625",B506="626",B506="6281"),(1+I506)*(1-L506)*(1+M506),IF(OR(B506="6331",B506="63511",B506="6333"),(1+I506)*(1-L506),IF(B506="6811",1+I506,1))))))))</f>
        <v/>
      </c>
      <c r="P506">
        <f>IF(E506=1,F506*O506,"")</f>
        <v/>
      </c>
    </row>
    <row r="507">
      <c r="A507">
        <f>PNL!A507</f>
        <v/>
      </c>
      <c r="B507">
        <f>PNL!B507</f>
        <v/>
      </c>
      <c r="C507">
        <f>PNL!C507</f>
        <v/>
      </c>
      <c r="D507">
        <f>PNL!D507</f>
        <v/>
      </c>
      <c r="E507">
        <f>IF(AND(C507="2027",OR(D507="V01",D507="V02",D507="V03")),1,0)</f>
        <v/>
      </c>
      <c r="F507">
        <f>IF(E507=1,SUMIFS(Compta!$F$2:$F$675,Compta!$A$2:$A$675,A507,Compta!$B$2:$B$675,B507,Compta!$C$2:$C$675,"2026"),0)</f>
        <v/>
      </c>
      <c r="G507">
        <f>IF(D507="V01",cad!$I$21,IF(D507="V02",cad!$J$21,cad!$K$21))</f>
        <v/>
      </c>
      <c r="H507">
        <f>IF(D507="V01",cad!$I$22,IF(D507="V02",cad!$J$22,cad!$K$22))</f>
        <v/>
      </c>
      <c r="I507">
        <f>IF(D507="V01",cad!$I$27,IF(D507="V02",cad!$J$27,cad!$K$27))</f>
        <v/>
      </c>
      <c r="J507">
        <f>IF(D507="V01",cad!$I$28,IF(D507="V02",cad!$J$28,cad!$K$28))</f>
        <v/>
      </c>
      <c r="K507">
        <f>IF(D507="V01",cad!$I$29,IF(D507="V02",cad!$J$29,cad!$K$29))</f>
        <v/>
      </c>
      <c r="L507">
        <f>IF(D507="V01",cad!$I$30,IF(D507="V02",cad!$J$30,cad!$K$30))</f>
        <v/>
      </c>
      <c r="M507">
        <f>IF(D507="V01",cad!$I$31,IF(D507="V02",cad!$J$31,cad!$K$31))</f>
        <v/>
      </c>
      <c r="N507">
        <f>IF(D507="V01",$R$2,IF(D507="V02",$R$3,$R$4))</f>
        <v/>
      </c>
      <c r="O507">
        <f>IF(OR(B507="7062",B507="706",B507="708"),N507,IF(B507="6231",1+G507,IF(B507="6236",1+H507,IF(OR(B507="621",B507="604",B507="6063"),N507*(1-L507),IF(OR(B507="6411",B507="6413",B507="6414",B507="645"),(1+J507)*(1+K507),IF(OR(B507="613",B507="615",B507="616",B507="6226",B507="625",B507="626",B507="6281"),(1+I507)*(1-L507)*(1+M507),IF(OR(B507="6331",B507="63511",B507="6333"),(1+I507)*(1-L507),IF(B507="6811",1+I507,1))))))))</f>
        <v/>
      </c>
      <c r="P507">
        <f>IF(E507=1,F507*O507,"")</f>
        <v/>
      </c>
    </row>
    <row r="508">
      <c r="A508">
        <f>PNL!A508</f>
        <v/>
      </c>
      <c r="B508">
        <f>PNL!B508</f>
        <v/>
      </c>
      <c r="C508">
        <f>PNL!C508</f>
        <v/>
      </c>
      <c r="D508">
        <f>PNL!D508</f>
        <v/>
      </c>
      <c r="E508">
        <f>IF(AND(C508="2027",OR(D508="V01",D508="V02",D508="V03")),1,0)</f>
        <v/>
      </c>
      <c r="F508">
        <f>IF(E508=1,SUMIFS(Compta!$F$2:$F$675,Compta!$A$2:$A$675,A508,Compta!$B$2:$B$675,B508,Compta!$C$2:$C$675,"2026"),0)</f>
        <v/>
      </c>
      <c r="G508">
        <f>IF(D508="V01",cad!$I$21,IF(D508="V02",cad!$J$21,cad!$K$21))</f>
        <v/>
      </c>
      <c r="H508">
        <f>IF(D508="V01",cad!$I$22,IF(D508="V02",cad!$J$22,cad!$K$22))</f>
        <v/>
      </c>
      <c r="I508">
        <f>IF(D508="V01",cad!$I$27,IF(D508="V02",cad!$J$27,cad!$K$27))</f>
        <v/>
      </c>
      <c r="J508">
        <f>IF(D508="V01",cad!$I$28,IF(D508="V02",cad!$J$28,cad!$K$28))</f>
        <v/>
      </c>
      <c r="K508">
        <f>IF(D508="V01",cad!$I$29,IF(D508="V02",cad!$J$29,cad!$K$29))</f>
        <v/>
      </c>
      <c r="L508">
        <f>IF(D508="V01",cad!$I$30,IF(D508="V02",cad!$J$30,cad!$K$30))</f>
        <v/>
      </c>
      <c r="M508">
        <f>IF(D508="V01",cad!$I$31,IF(D508="V02",cad!$J$31,cad!$K$31))</f>
        <v/>
      </c>
      <c r="N508">
        <f>IF(D508="V01",$R$2,IF(D508="V02",$R$3,$R$4))</f>
        <v/>
      </c>
      <c r="O508">
        <f>IF(OR(B508="7062",B508="706",B508="708"),N508,IF(B508="6231",1+G508,IF(B508="6236",1+H508,IF(OR(B508="621",B508="604",B508="6063"),N508*(1-L508),IF(OR(B508="6411",B508="6413",B508="6414",B508="645"),(1+J508)*(1+K508),IF(OR(B508="613",B508="615",B508="616",B508="6226",B508="625",B508="626",B508="6281"),(1+I508)*(1-L508)*(1+M508),IF(OR(B508="6331",B508="63511",B508="6333"),(1+I508)*(1-L508),IF(B508="6811",1+I508,1))))))))</f>
        <v/>
      </c>
      <c r="P508">
        <f>IF(E508=1,F508*O508,"")</f>
        <v/>
      </c>
    </row>
    <row r="509">
      <c r="A509">
        <f>PNL!A509</f>
        <v/>
      </c>
      <c r="B509">
        <f>PNL!B509</f>
        <v/>
      </c>
      <c r="C509">
        <f>PNL!C509</f>
        <v/>
      </c>
      <c r="D509">
        <f>PNL!D509</f>
        <v/>
      </c>
      <c r="E509">
        <f>IF(AND(C509="2027",OR(D509="V01",D509="V02",D509="V03")),1,0)</f>
        <v/>
      </c>
      <c r="F509">
        <f>IF(E509=1,SUMIFS(Compta!$F$2:$F$675,Compta!$A$2:$A$675,A509,Compta!$B$2:$B$675,B509,Compta!$C$2:$C$675,"2026"),0)</f>
        <v/>
      </c>
      <c r="G509">
        <f>IF(D509="V01",cad!$I$21,IF(D509="V02",cad!$J$21,cad!$K$21))</f>
        <v/>
      </c>
      <c r="H509">
        <f>IF(D509="V01",cad!$I$22,IF(D509="V02",cad!$J$22,cad!$K$22))</f>
        <v/>
      </c>
      <c r="I509">
        <f>IF(D509="V01",cad!$I$27,IF(D509="V02",cad!$J$27,cad!$K$27))</f>
        <v/>
      </c>
      <c r="J509">
        <f>IF(D509="V01",cad!$I$28,IF(D509="V02",cad!$J$28,cad!$K$28))</f>
        <v/>
      </c>
      <c r="K509">
        <f>IF(D509="V01",cad!$I$29,IF(D509="V02",cad!$J$29,cad!$K$29))</f>
        <v/>
      </c>
      <c r="L509">
        <f>IF(D509="V01",cad!$I$30,IF(D509="V02",cad!$J$30,cad!$K$30))</f>
        <v/>
      </c>
      <c r="M509">
        <f>IF(D509="V01",cad!$I$31,IF(D509="V02",cad!$J$31,cad!$K$31))</f>
        <v/>
      </c>
      <c r="N509">
        <f>IF(D509="V01",$R$2,IF(D509="V02",$R$3,$R$4))</f>
        <v/>
      </c>
      <c r="O509">
        <f>IF(OR(B509="7062",B509="706",B509="708"),N509,IF(B509="6231",1+G509,IF(B509="6236",1+H509,IF(OR(B509="621",B509="604",B509="6063"),N509*(1-L509),IF(OR(B509="6411",B509="6413",B509="6414",B509="645"),(1+J509)*(1+K509),IF(OR(B509="613",B509="615",B509="616",B509="6226",B509="625",B509="626",B509="6281"),(1+I509)*(1-L509)*(1+M509),IF(OR(B509="6331",B509="63511",B509="6333"),(1+I509)*(1-L509),IF(B509="6811",1+I509,1))))))))</f>
        <v/>
      </c>
      <c r="P509">
        <f>IF(E509=1,F509*O509,"")</f>
        <v/>
      </c>
    </row>
    <row r="510">
      <c r="A510">
        <f>PNL!A510</f>
        <v/>
      </c>
      <c r="B510">
        <f>PNL!B510</f>
        <v/>
      </c>
      <c r="C510">
        <f>PNL!C510</f>
        <v/>
      </c>
      <c r="D510">
        <f>PNL!D510</f>
        <v/>
      </c>
      <c r="E510">
        <f>IF(AND(C510="2027",OR(D510="V01",D510="V02",D510="V03")),1,0)</f>
        <v/>
      </c>
      <c r="F510">
        <f>IF(E510=1,SUMIFS(Compta!$F$2:$F$675,Compta!$A$2:$A$675,A510,Compta!$B$2:$B$675,B510,Compta!$C$2:$C$675,"2026"),0)</f>
        <v/>
      </c>
      <c r="G510">
        <f>IF(D510="V01",cad!$I$21,IF(D510="V02",cad!$J$21,cad!$K$21))</f>
        <v/>
      </c>
      <c r="H510">
        <f>IF(D510="V01",cad!$I$22,IF(D510="V02",cad!$J$22,cad!$K$22))</f>
        <v/>
      </c>
      <c r="I510">
        <f>IF(D510="V01",cad!$I$27,IF(D510="V02",cad!$J$27,cad!$K$27))</f>
        <v/>
      </c>
      <c r="J510">
        <f>IF(D510="V01",cad!$I$28,IF(D510="V02",cad!$J$28,cad!$K$28))</f>
        <v/>
      </c>
      <c r="K510">
        <f>IF(D510="V01",cad!$I$29,IF(D510="V02",cad!$J$29,cad!$K$29))</f>
        <v/>
      </c>
      <c r="L510">
        <f>IF(D510="V01",cad!$I$30,IF(D510="V02",cad!$J$30,cad!$K$30))</f>
        <v/>
      </c>
      <c r="M510">
        <f>IF(D510="V01",cad!$I$31,IF(D510="V02",cad!$J$31,cad!$K$31))</f>
        <v/>
      </c>
      <c r="N510">
        <f>IF(D510="V01",$R$2,IF(D510="V02",$R$3,$R$4))</f>
        <v/>
      </c>
      <c r="O510">
        <f>IF(OR(B510="7062",B510="706",B510="708"),N510,IF(B510="6231",1+G510,IF(B510="6236",1+H510,IF(OR(B510="621",B510="604",B510="6063"),N510*(1-L510),IF(OR(B510="6411",B510="6413",B510="6414",B510="645"),(1+J510)*(1+K510),IF(OR(B510="613",B510="615",B510="616",B510="6226",B510="625",B510="626",B510="6281"),(1+I510)*(1-L510)*(1+M510),IF(OR(B510="6331",B510="63511",B510="6333"),(1+I510)*(1-L510),IF(B510="6811",1+I510,1))))))))</f>
        <v/>
      </c>
      <c r="P510">
        <f>IF(E510=1,F510*O510,"")</f>
        <v/>
      </c>
    </row>
    <row r="511">
      <c r="A511">
        <f>PNL!A511</f>
        <v/>
      </c>
      <c r="B511">
        <f>PNL!B511</f>
        <v/>
      </c>
      <c r="C511">
        <f>PNL!C511</f>
        <v/>
      </c>
      <c r="D511">
        <f>PNL!D511</f>
        <v/>
      </c>
      <c r="E511">
        <f>IF(AND(C511="2027",OR(D511="V01",D511="V02",D511="V03")),1,0)</f>
        <v/>
      </c>
      <c r="F511">
        <f>IF(E511=1,SUMIFS(Compta!$F$2:$F$675,Compta!$A$2:$A$675,A511,Compta!$B$2:$B$675,B511,Compta!$C$2:$C$675,"2026"),0)</f>
        <v/>
      </c>
      <c r="G511">
        <f>IF(D511="V01",cad!$I$21,IF(D511="V02",cad!$J$21,cad!$K$21))</f>
        <v/>
      </c>
      <c r="H511">
        <f>IF(D511="V01",cad!$I$22,IF(D511="V02",cad!$J$22,cad!$K$22))</f>
        <v/>
      </c>
      <c r="I511">
        <f>IF(D511="V01",cad!$I$27,IF(D511="V02",cad!$J$27,cad!$K$27))</f>
        <v/>
      </c>
      <c r="J511">
        <f>IF(D511="V01",cad!$I$28,IF(D511="V02",cad!$J$28,cad!$K$28))</f>
        <v/>
      </c>
      <c r="K511">
        <f>IF(D511="V01",cad!$I$29,IF(D511="V02",cad!$J$29,cad!$K$29))</f>
        <v/>
      </c>
      <c r="L511">
        <f>IF(D511="V01",cad!$I$30,IF(D511="V02",cad!$J$30,cad!$K$30))</f>
        <v/>
      </c>
      <c r="M511">
        <f>IF(D511="V01",cad!$I$31,IF(D511="V02",cad!$J$31,cad!$K$31))</f>
        <v/>
      </c>
      <c r="N511">
        <f>IF(D511="V01",$R$2,IF(D511="V02",$R$3,$R$4))</f>
        <v/>
      </c>
      <c r="O511">
        <f>IF(OR(B511="7062",B511="706",B511="708"),N511,IF(B511="6231",1+G511,IF(B511="6236",1+H511,IF(OR(B511="621",B511="604",B511="6063"),N511*(1-L511),IF(OR(B511="6411",B511="6413",B511="6414",B511="645"),(1+J511)*(1+K511),IF(OR(B511="613",B511="615",B511="616",B511="6226",B511="625",B511="626",B511="6281"),(1+I511)*(1-L511)*(1+M511),IF(OR(B511="6331",B511="63511",B511="6333"),(1+I511)*(1-L511),IF(B511="6811",1+I511,1))))))))</f>
        <v/>
      </c>
      <c r="P511">
        <f>IF(E511=1,F511*O511,"")</f>
        <v/>
      </c>
    </row>
    <row r="512">
      <c r="A512">
        <f>PNL!A512</f>
        <v/>
      </c>
      <c r="B512">
        <f>PNL!B512</f>
        <v/>
      </c>
      <c r="C512">
        <f>PNL!C512</f>
        <v/>
      </c>
      <c r="D512">
        <f>PNL!D512</f>
        <v/>
      </c>
      <c r="E512">
        <f>IF(AND(C512="2027",OR(D512="V01",D512="V02",D512="V03")),1,0)</f>
        <v/>
      </c>
      <c r="F512">
        <f>IF(E512=1,SUMIFS(Compta!$F$2:$F$675,Compta!$A$2:$A$675,A512,Compta!$B$2:$B$675,B512,Compta!$C$2:$C$675,"2026"),0)</f>
        <v/>
      </c>
      <c r="G512">
        <f>IF(D512="V01",cad!$I$21,IF(D512="V02",cad!$J$21,cad!$K$21))</f>
        <v/>
      </c>
      <c r="H512">
        <f>IF(D512="V01",cad!$I$22,IF(D512="V02",cad!$J$22,cad!$K$22))</f>
        <v/>
      </c>
      <c r="I512">
        <f>IF(D512="V01",cad!$I$27,IF(D512="V02",cad!$J$27,cad!$K$27))</f>
        <v/>
      </c>
      <c r="J512">
        <f>IF(D512="V01",cad!$I$28,IF(D512="V02",cad!$J$28,cad!$K$28))</f>
        <v/>
      </c>
      <c r="K512">
        <f>IF(D512="V01",cad!$I$29,IF(D512="V02",cad!$J$29,cad!$K$29))</f>
        <v/>
      </c>
      <c r="L512">
        <f>IF(D512="V01",cad!$I$30,IF(D512="V02",cad!$J$30,cad!$K$30))</f>
        <v/>
      </c>
      <c r="M512">
        <f>IF(D512="V01",cad!$I$31,IF(D512="V02",cad!$J$31,cad!$K$31))</f>
        <v/>
      </c>
      <c r="N512">
        <f>IF(D512="V01",$R$2,IF(D512="V02",$R$3,$R$4))</f>
        <v/>
      </c>
      <c r="O512">
        <f>IF(OR(B512="7062",B512="706",B512="708"),N512,IF(B512="6231",1+G512,IF(B512="6236",1+H512,IF(OR(B512="621",B512="604",B512="6063"),N512*(1-L512),IF(OR(B512="6411",B512="6413",B512="6414",B512="645"),(1+J512)*(1+K512),IF(OR(B512="613",B512="615",B512="616",B512="6226",B512="625",B512="626",B512="6281"),(1+I512)*(1-L512)*(1+M512),IF(OR(B512="6331",B512="63511",B512="6333"),(1+I512)*(1-L512),IF(B512="6811",1+I512,1))))))))</f>
        <v/>
      </c>
      <c r="P512">
        <f>IF(E512=1,F512*O512,"")</f>
        <v/>
      </c>
    </row>
    <row r="513">
      <c r="A513">
        <f>PNL!A513</f>
        <v/>
      </c>
      <c r="B513">
        <f>PNL!B513</f>
        <v/>
      </c>
      <c r="C513">
        <f>PNL!C513</f>
        <v/>
      </c>
      <c r="D513">
        <f>PNL!D513</f>
        <v/>
      </c>
      <c r="E513">
        <f>IF(AND(C513="2027",OR(D513="V01",D513="V02",D513="V03")),1,0)</f>
        <v/>
      </c>
      <c r="F513">
        <f>IF(E513=1,SUMIFS(Compta!$F$2:$F$675,Compta!$A$2:$A$675,A513,Compta!$B$2:$B$675,B513,Compta!$C$2:$C$675,"2026"),0)</f>
        <v/>
      </c>
      <c r="G513">
        <f>IF(D513="V01",cad!$I$21,IF(D513="V02",cad!$J$21,cad!$K$21))</f>
        <v/>
      </c>
      <c r="H513">
        <f>IF(D513="V01",cad!$I$22,IF(D513="V02",cad!$J$22,cad!$K$22))</f>
        <v/>
      </c>
      <c r="I513">
        <f>IF(D513="V01",cad!$I$27,IF(D513="V02",cad!$J$27,cad!$K$27))</f>
        <v/>
      </c>
      <c r="J513">
        <f>IF(D513="V01",cad!$I$28,IF(D513="V02",cad!$J$28,cad!$K$28))</f>
        <v/>
      </c>
      <c r="K513">
        <f>IF(D513="V01",cad!$I$29,IF(D513="V02",cad!$J$29,cad!$K$29))</f>
        <v/>
      </c>
      <c r="L513">
        <f>IF(D513="V01",cad!$I$30,IF(D513="V02",cad!$J$30,cad!$K$30))</f>
        <v/>
      </c>
      <c r="M513">
        <f>IF(D513="V01",cad!$I$31,IF(D513="V02",cad!$J$31,cad!$K$31))</f>
        <v/>
      </c>
      <c r="N513">
        <f>IF(D513="V01",$R$2,IF(D513="V02",$R$3,$R$4))</f>
        <v/>
      </c>
      <c r="O513">
        <f>IF(OR(B513="7062",B513="706",B513="708"),N513,IF(B513="6231",1+G513,IF(B513="6236",1+H513,IF(OR(B513="621",B513="604",B513="6063"),N513*(1-L513),IF(OR(B513="6411",B513="6413",B513="6414",B513="645"),(1+J513)*(1+K513),IF(OR(B513="613",B513="615",B513="616",B513="6226",B513="625",B513="626",B513="6281"),(1+I513)*(1-L513)*(1+M513),IF(OR(B513="6331",B513="63511",B513="6333"),(1+I513)*(1-L513),IF(B513="6811",1+I513,1))))))))</f>
        <v/>
      </c>
      <c r="P513">
        <f>IF(E513=1,F513*O513,"")</f>
        <v/>
      </c>
    </row>
    <row r="514">
      <c r="A514">
        <f>PNL!A514</f>
        <v/>
      </c>
      <c r="B514">
        <f>PNL!B514</f>
        <v/>
      </c>
      <c r="C514">
        <f>PNL!C514</f>
        <v/>
      </c>
      <c r="D514">
        <f>PNL!D514</f>
        <v/>
      </c>
      <c r="E514">
        <f>IF(AND(C514="2027",OR(D514="V01",D514="V02",D514="V03")),1,0)</f>
        <v/>
      </c>
      <c r="F514">
        <f>IF(E514=1,SUMIFS(Compta!$F$2:$F$675,Compta!$A$2:$A$675,A514,Compta!$B$2:$B$675,B514,Compta!$C$2:$C$675,"2026"),0)</f>
        <v/>
      </c>
      <c r="G514">
        <f>IF(D514="V01",cad!$I$21,IF(D514="V02",cad!$J$21,cad!$K$21))</f>
        <v/>
      </c>
      <c r="H514">
        <f>IF(D514="V01",cad!$I$22,IF(D514="V02",cad!$J$22,cad!$K$22))</f>
        <v/>
      </c>
      <c r="I514">
        <f>IF(D514="V01",cad!$I$27,IF(D514="V02",cad!$J$27,cad!$K$27))</f>
        <v/>
      </c>
      <c r="J514">
        <f>IF(D514="V01",cad!$I$28,IF(D514="V02",cad!$J$28,cad!$K$28))</f>
        <v/>
      </c>
      <c r="K514">
        <f>IF(D514="V01",cad!$I$29,IF(D514="V02",cad!$J$29,cad!$K$29))</f>
        <v/>
      </c>
      <c r="L514">
        <f>IF(D514="V01",cad!$I$30,IF(D514="V02",cad!$J$30,cad!$K$30))</f>
        <v/>
      </c>
      <c r="M514">
        <f>IF(D514="V01",cad!$I$31,IF(D514="V02",cad!$J$31,cad!$K$31))</f>
        <v/>
      </c>
      <c r="N514">
        <f>IF(D514="V01",$R$2,IF(D514="V02",$R$3,$R$4))</f>
        <v/>
      </c>
      <c r="O514">
        <f>IF(OR(B514="7062",B514="706",B514="708"),N514,IF(B514="6231",1+G514,IF(B514="6236",1+H514,IF(OR(B514="621",B514="604",B514="6063"),N514*(1-L514),IF(OR(B514="6411",B514="6413",B514="6414",B514="645"),(1+J514)*(1+K514),IF(OR(B514="613",B514="615",B514="616",B514="6226",B514="625",B514="626",B514="6281"),(1+I514)*(1-L514)*(1+M514),IF(OR(B514="6331",B514="63511",B514="6333"),(1+I514)*(1-L514),IF(B514="6811",1+I514,1))))))))</f>
        <v/>
      </c>
      <c r="P514">
        <f>IF(E514=1,F514*O514,"")</f>
        <v/>
      </c>
    </row>
    <row r="515">
      <c r="A515">
        <f>PNL!A515</f>
        <v/>
      </c>
      <c r="B515">
        <f>PNL!B515</f>
        <v/>
      </c>
      <c r="C515">
        <f>PNL!C515</f>
        <v/>
      </c>
      <c r="D515">
        <f>PNL!D515</f>
        <v/>
      </c>
      <c r="E515">
        <f>IF(AND(C515="2027",OR(D515="V01",D515="V02",D515="V03")),1,0)</f>
        <v/>
      </c>
      <c r="F515">
        <f>IF(E515=1,SUMIFS(Compta!$F$2:$F$675,Compta!$A$2:$A$675,A515,Compta!$B$2:$B$675,B515,Compta!$C$2:$C$675,"2026"),0)</f>
        <v/>
      </c>
      <c r="G515">
        <f>IF(D515="V01",cad!$I$21,IF(D515="V02",cad!$J$21,cad!$K$21))</f>
        <v/>
      </c>
      <c r="H515">
        <f>IF(D515="V01",cad!$I$22,IF(D515="V02",cad!$J$22,cad!$K$22))</f>
        <v/>
      </c>
      <c r="I515">
        <f>IF(D515="V01",cad!$I$27,IF(D515="V02",cad!$J$27,cad!$K$27))</f>
        <v/>
      </c>
      <c r="J515">
        <f>IF(D515="V01",cad!$I$28,IF(D515="V02",cad!$J$28,cad!$K$28))</f>
        <v/>
      </c>
      <c r="K515">
        <f>IF(D515="V01",cad!$I$29,IF(D515="V02",cad!$J$29,cad!$K$29))</f>
        <v/>
      </c>
      <c r="L515">
        <f>IF(D515="V01",cad!$I$30,IF(D515="V02",cad!$J$30,cad!$K$30))</f>
        <v/>
      </c>
      <c r="M515">
        <f>IF(D515="V01",cad!$I$31,IF(D515="V02",cad!$J$31,cad!$K$31))</f>
        <v/>
      </c>
      <c r="N515">
        <f>IF(D515="V01",$R$2,IF(D515="V02",$R$3,$R$4))</f>
        <v/>
      </c>
      <c r="O515">
        <f>IF(OR(B515="7062",B515="706",B515="708"),N515,IF(B515="6231",1+G515,IF(B515="6236",1+H515,IF(OR(B515="621",B515="604",B515="6063"),N515*(1-L515),IF(OR(B515="6411",B515="6413",B515="6414",B515="645"),(1+J515)*(1+K515),IF(OR(B515="613",B515="615",B515="616",B515="6226",B515="625",B515="626",B515="6281"),(1+I515)*(1-L515)*(1+M515),IF(OR(B515="6331",B515="63511",B515="6333"),(1+I515)*(1-L515),IF(B515="6811",1+I515,1))))))))</f>
        <v/>
      </c>
      <c r="P515">
        <f>IF(E515=1,F515*O515,"")</f>
        <v/>
      </c>
    </row>
    <row r="516">
      <c r="A516">
        <f>PNL!A516</f>
        <v/>
      </c>
      <c r="B516">
        <f>PNL!B516</f>
        <v/>
      </c>
      <c r="C516">
        <f>PNL!C516</f>
        <v/>
      </c>
      <c r="D516">
        <f>PNL!D516</f>
        <v/>
      </c>
      <c r="E516">
        <f>IF(AND(C516="2027",OR(D516="V01",D516="V02",D516="V03")),1,0)</f>
        <v/>
      </c>
      <c r="F516">
        <f>IF(E516=1,SUMIFS(Compta!$F$2:$F$675,Compta!$A$2:$A$675,A516,Compta!$B$2:$B$675,B516,Compta!$C$2:$C$675,"2026"),0)</f>
        <v/>
      </c>
      <c r="G516">
        <f>IF(D516="V01",cad!$I$21,IF(D516="V02",cad!$J$21,cad!$K$21))</f>
        <v/>
      </c>
      <c r="H516">
        <f>IF(D516="V01",cad!$I$22,IF(D516="V02",cad!$J$22,cad!$K$22))</f>
        <v/>
      </c>
      <c r="I516">
        <f>IF(D516="V01",cad!$I$27,IF(D516="V02",cad!$J$27,cad!$K$27))</f>
        <v/>
      </c>
      <c r="J516">
        <f>IF(D516="V01",cad!$I$28,IF(D516="V02",cad!$J$28,cad!$K$28))</f>
        <v/>
      </c>
      <c r="K516">
        <f>IF(D516="V01",cad!$I$29,IF(D516="V02",cad!$J$29,cad!$K$29))</f>
        <v/>
      </c>
      <c r="L516">
        <f>IF(D516="V01",cad!$I$30,IF(D516="V02",cad!$J$30,cad!$K$30))</f>
        <v/>
      </c>
      <c r="M516">
        <f>IF(D516="V01",cad!$I$31,IF(D516="V02",cad!$J$31,cad!$K$31))</f>
        <v/>
      </c>
      <c r="N516">
        <f>IF(D516="V01",$R$2,IF(D516="V02",$R$3,$R$4))</f>
        <v/>
      </c>
      <c r="O516">
        <f>IF(OR(B516="7062",B516="706",B516="708"),N516,IF(B516="6231",1+G516,IF(B516="6236",1+H516,IF(OR(B516="621",B516="604",B516="6063"),N516*(1-L516),IF(OR(B516="6411",B516="6413",B516="6414",B516="645"),(1+J516)*(1+K516),IF(OR(B516="613",B516="615",B516="616",B516="6226",B516="625",B516="626",B516="6281"),(1+I516)*(1-L516)*(1+M516),IF(OR(B516="6331",B516="63511",B516="6333"),(1+I516)*(1-L516),IF(B516="6811",1+I516,1))))))))</f>
        <v/>
      </c>
      <c r="P516">
        <f>IF(E516=1,F516*O516,"")</f>
        <v/>
      </c>
    </row>
    <row r="517">
      <c r="A517">
        <f>PNL!A517</f>
        <v/>
      </c>
      <c r="B517">
        <f>PNL!B517</f>
        <v/>
      </c>
      <c r="C517">
        <f>PNL!C517</f>
        <v/>
      </c>
      <c r="D517">
        <f>PNL!D517</f>
        <v/>
      </c>
      <c r="E517">
        <f>IF(AND(C517="2027",OR(D517="V01",D517="V02",D517="V03")),1,0)</f>
        <v/>
      </c>
      <c r="F517">
        <f>IF(E517=1,SUMIFS(Compta!$F$2:$F$675,Compta!$A$2:$A$675,A517,Compta!$B$2:$B$675,B517,Compta!$C$2:$C$675,"2026"),0)</f>
        <v/>
      </c>
      <c r="G517">
        <f>IF(D517="V01",cad!$I$21,IF(D517="V02",cad!$J$21,cad!$K$21))</f>
        <v/>
      </c>
      <c r="H517">
        <f>IF(D517="V01",cad!$I$22,IF(D517="V02",cad!$J$22,cad!$K$22))</f>
        <v/>
      </c>
      <c r="I517">
        <f>IF(D517="V01",cad!$I$27,IF(D517="V02",cad!$J$27,cad!$K$27))</f>
        <v/>
      </c>
      <c r="J517">
        <f>IF(D517="V01",cad!$I$28,IF(D517="V02",cad!$J$28,cad!$K$28))</f>
        <v/>
      </c>
      <c r="K517">
        <f>IF(D517="V01",cad!$I$29,IF(D517="V02",cad!$J$29,cad!$K$29))</f>
        <v/>
      </c>
      <c r="L517">
        <f>IF(D517="V01",cad!$I$30,IF(D517="V02",cad!$J$30,cad!$K$30))</f>
        <v/>
      </c>
      <c r="M517">
        <f>IF(D517="V01",cad!$I$31,IF(D517="V02",cad!$J$31,cad!$K$31))</f>
        <v/>
      </c>
      <c r="N517">
        <f>IF(D517="V01",$R$2,IF(D517="V02",$R$3,$R$4))</f>
        <v/>
      </c>
      <c r="O517">
        <f>IF(OR(B517="7062",B517="706",B517="708"),N517,IF(B517="6231",1+G517,IF(B517="6236",1+H517,IF(OR(B517="621",B517="604",B517="6063"),N517*(1-L517),IF(OR(B517="6411",B517="6413",B517="6414",B517="645"),(1+J517)*(1+K517),IF(OR(B517="613",B517="615",B517="616",B517="6226",B517="625",B517="626",B517="6281"),(1+I517)*(1-L517)*(1+M517),IF(OR(B517="6331",B517="63511",B517="6333"),(1+I517)*(1-L517),IF(B517="6811",1+I517,1))))))))</f>
        <v/>
      </c>
      <c r="P517">
        <f>IF(E517=1,F517*O517,"")</f>
        <v/>
      </c>
    </row>
    <row r="518">
      <c r="A518">
        <f>PNL!A518</f>
        <v/>
      </c>
      <c r="B518">
        <f>PNL!B518</f>
        <v/>
      </c>
      <c r="C518">
        <f>PNL!C518</f>
        <v/>
      </c>
      <c r="D518">
        <f>PNL!D518</f>
        <v/>
      </c>
      <c r="E518">
        <f>IF(AND(C518="2027",OR(D518="V01",D518="V02",D518="V03")),1,0)</f>
        <v/>
      </c>
      <c r="F518">
        <f>IF(E518=1,SUMIFS(Compta!$F$2:$F$675,Compta!$A$2:$A$675,A518,Compta!$B$2:$B$675,B518,Compta!$C$2:$C$675,"2026"),0)</f>
        <v/>
      </c>
      <c r="G518">
        <f>IF(D518="V01",cad!$I$21,IF(D518="V02",cad!$J$21,cad!$K$21))</f>
        <v/>
      </c>
      <c r="H518">
        <f>IF(D518="V01",cad!$I$22,IF(D518="V02",cad!$J$22,cad!$K$22))</f>
        <v/>
      </c>
      <c r="I518">
        <f>IF(D518="V01",cad!$I$27,IF(D518="V02",cad!$J$27,cad!$K$27))</f>
        <v/>
      </c>
      <c r="J518">
        <f>IF(D518="V01",cad!$I$28,IF(D518="V02",cad!$J$28,cad!$K$28))</f>
        <v/>
      </c>
      <c r="K518">
        <f>IF(D518="V01",cad!$I$29,IF(D518="V02",cad!$J$29,cad!$K$29))</f>
        <v/>
      </c>
      <c r="L518">
        <f>IF(D518="V01",cad!$I$30,IF(D518="V02",cad!$J$30,cad!$K$30))</f>
        <v/>
      </c>
      <c r="M518">
        <f>IF(D518="V01",cad!$I$31,IF(D518="V02",cad!$J$31,cad!$K$31))</f>
        <v/>
      </c>
      <c r="N518">
        <f>IF(D518="V01",$R$2,IF(D518="V02",$R$3,$R$4))</f>
        <v/>
      </c>
      <c r="O518">
        <f>IF(OR(B518="7062",B518="706",B518="708"),N518,IF(B518="6231",1+G518,IF(B518="6236",1+H518,IF(OR(B518="621",B518="604",B518="6063"),N518*(1-L518),IF(OR(B518="6411",B518="6413",B518="6414",B518="645"),(1+J518)*(1+K518),IF(OR(B518="613",B518="615",B518="616",B518="6226",B518="625",B518="626",B518="6281"),(1+I518)*(1-L518)*(1+M518),IF(OR(B518="6331",B518="63511",B518="6333"),(1+I518)*(1-L518),IF(B518="6811",1+I518,1))))))))</f>
        <v/>
      </c>
      <c r="P518">
        <f>IF(E518=1,F518*O518,"")</f>
        <v/>
      </c>
    </row>
    <row r="519">
      <c r="A519">
        <f>PNL!A519</f>
        <v/>
      </c>
      <c r="B519">
        <f>PNL!B519</f>
        <v/>
      </c>
      <c r="C519">
        <f>PNL!C519</f>
        <v/>
      </c>
      <c r="D519">
        <f>PNL!D519</f>
        <v/>
      </c>
      <c r="E519">
        <f>IF(AND(C519="2027",OR(D519="V01",D519="V02",D519="V03")),1,0)</f>
        <v/>
      </c>
      <c r="F519">
        <f>IF(E519=1,SUMIFS(Compta!$F$2:$F$675,Compta!$A$2:$A$675,A519,Compta!$B$2:$B$675,B519,Compta!$C$2:$C$675,"2026"),0)</f>
        <v/>
      </c>
      <c r="G519">
        <f>IF(D519="V01",cad!$I$21,IF(D519="V02",cad!$J$21,cad!$K$21))</f>
        <v/>
      </c>
      <c r="H519">
        <f>IF(D519="V01",cad!$I$22,IF(D519="V02",cad!$J$22,cad!$K$22))</f>
        <v/>
      </c>
      <c r="I519">
        <f>IF(D519="V01",cad!$I$27,IF(D519="V02",cad!$J$27,cad!$K$27))</f>
        <v/>
      </c>
      <c r="J519">
        <f>IF(D519="V01",cad!$I$28,IF(D519="V02",cad!$J$28,cad!$K$28))</f>
        <v/>
      </c>
      <c r="K519">
        <f>IF(D519="V01",cad!$I$29,IF(D519="V02",cad!$J$29,cad!$K$29))</f>
        <v/>
      </c>
      <c r="L519">
        <f>IF(D519="V01",cad!$I$30,IF(D519="V02",cad!$J$30,cad!$K$30))</f>
        <v/>
      </c>
      <c r="M519">
        <f>IF(D519="V01",cad!$I$31,IF(D519="V02",cad!$J$31,cad!$K$31))</f>
        <v/>
      </c>
      <c r="N519">
        <f>IF(D519="V01",$R$2,IF(D519="V02",$R$3,$R$4))</f>
        <v/>
      </c>
      <c r="O519">
        <f>IF(OR(B519="7062",B519="706",B519="708"),N519,IF(B519="6231",1+G519,IF(B519="6236",1+H519,IF(OR(B519="621",B519="604",B519="6063"),N519*(1-L519),IF(OR(B519="6411",B519="6413",B519="6414",B519="645"),(1+J519)*(1+K519),IF(OR(B519="613",B519="615",B519="616",B519="6226",B519="625",B519="626",B519="6281"),(1+I519)*(1-L519)*(1+M519),IF(OR(B519="6331",B519="63511",B519="6333"),(1+I519)*(1-L519),IF(B519="6811",1+I519,1))))))))</f>
        <v/>
      </c>
      <c r="P519">
        <f>IF(E519=1,F519*O519,"")</f>
        <v/>
      </c>
    </row>
    <row r="520">
      <c r="A520">
        <f>PNL!A520</f>
        <v/>
      </c>
      <c r="B520">
        <f>PNL!B520</f>
        <v/>
      </c>
      <c r="C520">
        <f>PNL!C520</f>
        <v/>
      </c>
      <c r="D520">
        <f>PNL!D520</f>
        <v/>
      </c>
      <c r="E520">
        <f>IF(AND(C520="2027",OR(D520="V01",D520="V02",D520="V03")),1,0)</f>
        <v/>
      </c>
      <c r="F520">
        <f>IF(E520=1,SUMIFS(Compta!$F$2:$F$675,Compta!$A$2:$A$675,A520,Compta!$B$2:$B$675,B520,Compta!$C$2:$C$675,"2026"),0)</f>
        <v/>
      </c>
      <c r="G520">
        <f>IF(D520="V01",cad!$I$21,IF(D520="V02",cad!$J$21,cad!$K$21))</f>
        <v/>
      </c>
      <c r="H520">
        <f>IF(D520="V01",cad!$I$22,IF(D520="V02",cad!$J$22,cad!$K$22))</f>
        <v/>
      </c>
      <c r="I520">
        <f>IF(D520="V01",cad!$I$27,IF(D520="V02",cad!$J$27,cad!$K$27))</f>
        <v/>
      </c>
      <c r="J520">
        <f>IF(D520="V01",cad!$I$28,IF(D520="V02",cad!$J$28,cad!$K$28))</f>
        <v/>
      </c>
      <c r="K520">
        <f>IF(D520="V01",cad!$I$29,IF(D520="V02",cad!$J$29,cad!$K$29))</f>
        <v/>
      </c>
      <c r="L520">
        <f>IF(D520="V01",cad!$I$30,IF(D520="V02",cad!$J$30,cad!$K$30))</f>
        <v/>
      </c>
      <c r="M520">
        <f>IF(D520="V01",cad!$I$31,IF(D520="V02",cad!$J$31,cad!$K$31))</f>
        <v/>
      </c>
      <c r="N520">
        <f>IF(D520="V01",$R$2,IF(D520="V02",$R$3,$R$4))</f>
        <v/>
      </c>
      <c r="O520">
        <f>IF(OR(B520="7062",B520="706",B520="708"),N520,IF(B520="6231",1+G520,IF(B520="6236",1+H520,IF(OR(B520="621",B520="604",B520="6063"),N520*(1-L520),IF(OR(B520="6411",B520="6413",B520="6414",B520="645"),(1+J520)*(1+K520),IF(OR(B520="613",B520="615",B520="616",B520="6226",B520="625",B520="626",B520="6281"),(1+I520)*(1-L520)*(1+M520),IF(OR(B520="6331",B520="63511",B520="6333"),(1+I520)*(1-L520),IF(B520="6811",1+I520,1))))))))</f>
        <v/>
      </c>
      <c r="P520">
        <f>IF(E520=1,F520*O520,"")</f>
        <v/>
      </c>
    </row>
    <row r="521">
      <c r="A521">
        <f>PNL!A521</f>
        <v/>
      </c>
      <c r="B521">
        <f>PNL!B521</f>
        <v/>
      </c>
      <c r="C521">
        <f>PNL!C521</f>
        <v/>
      </c>
      <c r="D521">
        <f>PNL!D521</f>
        <v/>
      </c>
      <c r="E521">
        <f>IF(AND(C521="2027",OR(D521="V01",D521="V02",D521="V03")),1,0)</f>
        <v/>
      </c>
      <c r="F521">
        <f>IF(E521=1,SUMIFS(Compta!$F$2:$F$675,Compta!$A$2:$A$675,A521,Compta!$B$2:$B$675,B521,Compta!$C$2:$C$675,"2026"),0)</f>
        <v/>
      </c>
      <c r="G521">
        <f>IF(D521="V01",cad!$I$21,IF(D521="V02",cad!$J$21,cad!$K$21))</f>
        <v/>
      </c>
      <c r="H521">
        <f>IF(D521="V01",cad!$I$22,IF(D521="V02",cad!$J$22,cad!$K$22))</f>
        <v/>
      </c>
      <c r="I521">
        <f>IF(D521="V01",cad!$I$27,IF(D521="V02",cad!$J$27,cad!$K$27))</f>
        <v/>
      </c>
      <c r="J521">
        <f>IF(D521="V01",cad!$I$28,IF(D521="V02",cad!$J$28,cad!$K$28))</f>
        <v/>
      </c>
      <c r="K521">
        <f>IF(D521="V01",cad!$I$29,IF(D521="V02",cad!$J$29,cad!$K$29))</f>
        <v/>
      </c>
      <c r="L521">
        <f>IF(D521="V01",cad!$I$30,IF(D521="V02",cad!$J$30,cad!$K$30))</f>
        <v/>
      </c>
      <c r="M521">
        <f>IF(D521="V01",cad!$I$31,IF(D521="V02",cad!$J$31,cad!$K$31))</f>
        <v/>
      </c>
      <c r="N521">
        <f>IF(D521="V01",$R$2,IF(D521="V02",$R$3,$R$4))</f>
        <v/>
      </c>
      <c r="O521">
        <f>IF(OR(B521="7062",B521="706",B521="708"),N521,IF(B521="6231",1+G521,IF(B521="6236",1+H521,IF(OR(B521="621",B521="604",B521="6063"),N521*(1-L521),IF(OR(B521="6411",B521="6413",B521="6414",B521="645"),(1+J521)*(1+K521),IF(OR(B521="613",B521="615",B521="616",B521="6226",B521="625",B521="626",B521="6281"),(1+I521)*(1-L521)*(1+M521),IF(OR(B521="6331",B521="63511",B521="6333"),(1+I521)*(1-L521),IF(B521="6811",1+I521,1))))))))</f>
        <v/>
      </c>
      <c r="P521">
        <f>IF(E521=1,F521*O521,"")</f>
        <v/>
      </c>
    </row>
    <row r="522">
      <c r="A522">
        <f>PNL!A522</f>
        <v/>
      </c>
      <c r="B522">
        <f>PNL!B522</f>
        <v/>
      </c>
      <c r="C522">
        <f>PNL!C522</f>
        <v/>
      </c>
      <c r="D522">
        <f>PNL!D522</f>
        <v/>
      </c>
      <c r="E522">
        <f>IF(AND(C522="2027",OR(D522="V01",D522="V02",D522="V03")),1,0)</f>
        <v/>
      </c>
      <c r="F522">
        <f>IF(E522=1,SUMIFS(Compta!$F$2:$F$675,Compta!$A$2:$A$675,A522,Compta!$B$2:$B$675,B522,Compta!$C$2:$C$675,"2026"),0)</f>
        <v/>
      </c>
      <c r="G522">
        <f>IF(D522="V01",cad!$I$21,IF(D522="V02",cad!$J$21,cad!$K$21))</f>
        <v/>
      </c>
      <c r="H522">
        <f>IF(D522="V01",cad!$I$22,IF(D522="V02",cad!$J$22,cad!$K$22))</f>
        <v/>
      </c>
      <c r="I522">
        <f>IF(D522="V01",cad!$I$27,IF(D522="V02",cad!$J$27,cad!$K$27))</f>
        <v/>
      </c>
      <c r="J522">
        <f>IF(D522="V01",cad!$I$28,IF(D522="V02",cad!$J$28,cad!$K$28))</f>
        <v/>
      </c>
      <c r="K522">
        <f>IF(D522="V01",cad!$I$29,IF(D522="V02",cad!$J$29,cad!$K$29))</f>
        <v/>
      </c>
      <c r="L522">
        <f>IF(D522="V01",cad!$I$30,IF(D522="V02",cad!$J$30,cad!$K$30))</f>
        <v/>
      </c>
      <c r="M522">
        <f>IF(D522="V01",cad!$I$31,IF(D522="V02",cad!$J$31,cad!$K$31))</f>
        <v/>
      </c>
      <c r="N522">
        <f>IF(D522="V01",$R$2,IF(D522="V02",$R$3,$R$4))</f>
        <v/>
      </c>
      <c r="O522">
        <f>IF(OR(B522="7062",B522="706",B522="708"),N522,IF(B522="6231",1+G522,IF(B522="6236",1+H522,IF(OR(B522="621",B522="604",B522="6063"),N522*(1-L522),IF(OR(B522="6411",B522="6413",B522="6414",B522="645"),(1+J522)*(1+K522),IF(OR(B522="613",B522="615",B522="616",B522="6226",B522="625",B522="626",B522="6281"),(1+I522)*(1-L522)*(1+M522),IF(OR(B522="6331",B522="63511",B522="6333"),(1+I522)*(1-L522),IF(B522="6811",1+I522,1))))))))</f>
        <v/>
      </c>
      <c r="P522">
        <f>IF(E522=1,F522*O522,"")</f>
        <v/>
      </c>
    </row>
    <row r="523">
      <c r="A523">
        <f>PNL!A523</f>
        <v/>
      </c>
      <c r="B523">
        <f>PNL!B523</f>
        <v/>
      </c>
      <c r="C523">
        <f>PNL!C523</f>
        <v/>
      </c>
      <c r="D523">
        <f>PNL!D523</f>
        <v/>
      </c>
      <c r="E523">
        <f>IF(AND(C523="2027",OR(D523="V01",D523="V02",D523="V03")),1,0)</f>
        <v/>
      </c>
      <c r="F523">
        <f>IF(E523=1,SUMIFS(Compta!$F$2:$F$675,Compta!$A$2:$A$675,A523,Compta!$B$2:$B$675,B523,Compta!$C$2:$C$675,"2026"),0)</f>
        <v/>
      </c>
      <c r="G523">
        <f>IF(D523="V01",cad!$I$21,IF(D523="V02",cad!$J$21,cad!$K$21))</f>
        <v/>
      </c>
      <c r="H523">
        <f>IF(D523="V01",cad!$I$22,IF(D523="V02",cad!$J$22,cad!$K$22))</f>
        <v/>
      </c>
      <c r="I523">
        <f>IF(D523="V01",cad!$I$27,IF(D523="V02",cad!$J$27,cad!$K$27))</f>
        <v/>
      </c>
      <c r="J523">
        <f>IF(D523="V01",cad!$I$28,IF(D523="V02",cad!$J$28,cad!$K$28))</f>
        <v/>
      </c>
      <c r="K523">
        <f>IF(D523="V01",cad!$I$29,IF(D523="V02",cad!$J$29,cad!$K$29))</f>
        <v/>
      </c>
      <c r="L523">
        <f>IF(D523="V01",cad!$I$30,IF(D523="V02",cad!$J$30,cad!$K$30))</f>
        <v/>
      </c>
      <c r="M523">
        <f>IF(D523="V01",cad!$I$31,IF(D523="V02",cad!$J$31,cad!$K$31))</f>
        <v/>
      </c>
      <c r="N523">
        <f>IF(D523="V01",$R$2,IF(D523="V02",$R$3,$R$4))</f>
        <v/>
      </c>
      <c r="O523">
        <f>IF(OR(B523="7062",B523="706",B523="708"),N523,IF(B523="6231",1+G523,IF(B523="6236",1+H523,IF(OR(B523="621",B523="604",B523="6063"),N523*(1-L523),IF(OR(B523="6411",B523="6413",B523="6414",B523="645"),(1+J523)*(1+K523),IF(OR(B523="613",B523="615",B523="616",B523="6226",B523="625",B523="626",B523="6281"),(1+I523)*(1-L523)*(1+M523),IF(OR(B523="6331",B523="63511",B523="6333"),(1+I523)*(1-L523),IF(B523="6811",1+I523,1))))))))</f>
        <v/>
      </c>
      <c r="P523">
        <f>IF(E523=1,F523*O523,"")</f>
        <v/>
      </c>
    </row>
    <row r="524">
      <c r="A524">
        <f>PNL!A524</f>
        <v/>
      </c>
      <c r="B524">
        <f>PNL!B524</f>
        <v/>
      </c>
      <c r="C524">
        <f>PNL!C524</f>
        <v/>
      </c>
      <c r="D524">
        <f>PNL!D524</f>
        <v/>
      </c>
      <c r="E524">
        <f>IF(AND(C524="2027",OR(D524="V01",D524="V02",D524="V03")),1,0)</f>
        <v/>
      </c>
      <c r="F524">
        <f>IF(E524=1,SUMIFS(Compta!$F$2:$F$675,Compta!$A$2:$A$675,A524,Compta!$B$2:$B$675,B524,Compta!$C$2:$C$675,"2026"),0)</f>
        <v/>
      </c>
      <c r="G524">
        <f>IF(D524="V01",cad!$I$21,IF(D524="V02",cad!$J$21,cad!$K$21))</f>
        <v/>
      </c>
      <c r="H524">
        <f>IF(D524="V01",cad!$I$22,IF(D524="V02",cad!$J$22,cad!$K$22))</f>
        <v/>
      </c>
      <c r="I524">
        <f>IF(D524="V01",cad!$I$27,IF(D524="V02",cad!$J$27,cad!$K$27))</f>
        <v/>
      </c>
      <c r="J524">
        <f>IF(D524="V01",cad!$I$28,IF(D524="V02",cad!$J$28,cad!$K$28))</f>
        <v/>
      </c>
      <c r="K524">
        <f>IF(D524="V01",cad!$I$29,IF(D524="V02",cad!$J$29,cad!$K$29))</f>
        <v/>
      </c>
      <c r="L524">
        <f>IF(D524="V01",cad!$I$30,IF(D524="V02",cad!$J$30,cad!$K$30))</f>
        <v/>
      </c>
      <c r="M524">
        <f>IF(D524="V01",cad!$I$31,IF(D524="V02",cad!$J$31,cad!$K$31))</f>
        <v/>
      </c>
      <c r="N524">
        <f>IF(D524="V01",$R$2,IF(D524="V02",$R$3,$R$4))</f>
        <v/>
      </c>
      <c r="O524">
        <f>IF(OR(B524="7062",B524="706",B524="708"),N524,IF(B524="6231",1+G524,IF(B524="6236",1+H524,IF(OR(B524="621",B524="604",B524="6063"),N524*(1-L524),IF(OR(B524="6411",B524="6413",B524="6414",B524="645"),(1+J524)*(1+K524),IF(OR(B524="613",B524="615",B524="616",B524="6226",B524="625",B524="626",B524="6281"),(1+I524)*(1-L524)*(1+M524),IF(OR(B524="6331",B524="63511",B524="6333"),(1+I524)*(1-L524),IF(B524="6811",1+I524,1))))))))</f>
        <v/>
      </c>
      <c r="P524">
        <f>IF(E524=1,F524*O524,"")</f>
        <v/>
      </c>
    </row>
    <row r="525">
      <c r="A525">
        <f>PNL!A525</f>
        <v/>
      </c>
      <c r="B525">
        <f>PNL!B525</f>
        <v/>
      </c>
      <c r="C525">
        <f>PNL!C525</f>
        <v/>
      </c>
      <c r="D525">
        <f>PNL!D525</f>
        <v/>
      </c>
      <c r="E525">
        <f>IF(AND(C525="2027",OR(D525="V01",D525="V02",D525="V03")),1,0)</f>
        <v/>
      </c>
      <c r="F525">
        <f>IF(E525=1,SUMIFS(Compta!$F$2:$F$675,Compta!$A$2:$A$675,A525,Compta!$B$2:$B$675,B525,Compta!$C$2:$C$675,"2026"),0)</f>
        <v/>
      </c>
      <c r="G525">
        <f>IF(D525="V01",cad!$I$21,IF(D525="V02",cad!$J$21,cad!$K$21))</f>
        <v/>
      </c>
      <c r="H525">
        <f>IF(D525="V01",cad!$I$22,IF(D525="V02",cad!$J$22,cad!$K$22))</f>
        <v/>
      </c>
      <c r="I525">
        <f>IF(D525="V01",cad!$I$27,IF(D525="V02",cad!$J$27,cad!$K$27))</f>
        <v/>
      </c>
      <c r="J525">
        <f>IF(D525="V01",cad!$I$28,IF(D525="V02",cad!$J$28,cad!$K$28))</f>
        <v/>
      </c>
      <c r="K525">
        <f>IF(D525="V01",cad!$I$29,IF(D525="V02",cad!$J$29,cad!$K$29))</f>
        <v/>
      </c>
      <c r="L525">
        <f>IF(D525="V01",cad!$I$30,IF(D525="V02",cad!$J$30,cad!$K$30))</f>
        <v/>
      </c>
      <c r="M525">
        <f>IF(D525="V01",cad!$I$31,IF(D525="V02",cad!$J$31,cad!$K$31))</f>
        <v/>
      </c>
      <c r="N525">
        <f>IF(D525="V01",$R$2,IF(D525="V02",$R$3,$R$4))</f>
        <v/>
      </c>
      <c r="O525">
        <f>IF(OR(B525="7062",B525="706",B525="708"),N525,IF(B525="6231",1+G525,IF(B525="6236",1+H525,IF(OR(B525="621",B525="604",B525="6063"),N525*(1-L525),IF(OR(B525="6411",B525="6413",B525="6414",B525="645"),(1+J525)*(1+K525),IF(OR(B525="613",B525="615",B525="616",B525="6226",B525="625",B525="626",B525="6281"),(1+I525)*(1-L525)*(1+M525),IF(OR(B525="6331",B525="63511",B525="6333"),(1+I525)*(1-L525),IF(B525="6811",1+I525,1))))))))</f>
        <v/>
      </c>
      <c r="P525">
        <f>IF(E525=1,F525*O525,"")</f>
        <v/>
      </c>
    </row>
    <row r="526">
      <c r="A526">
        <f>PNL!A526</f>
        <v/>
      </c>
      <c r="B526">
        <f>PNL!B526</f>
        <v/>
      </c>
      <c r="C526">
        <f>PNL!C526</f>
        <v/>
      </c>
      <c r="D526">
        <f>PNL!D526</f>
        <v/>
      </c>
      <c r="E526">
        <f>IF(AND(C526="2027",OR(D526="V01",D526="V02",D526="V03")),1,0)</f>
        <v/>
      </c>
      <c r="F526">
        <f>IF(E526=1,SUMIFS(Compta!$F$2:$F$675,Compta!$A$2:$A$675,A526,Compta!$B$2:$B$675,B526,Compta!$C$2:$C$675,"2026"),0)</f>
        <v/>
      </c>
      <c r="G526">
        <f>IF(D526="V01",cad!$I$21,IF(D526="V02",cad!$J$21,cad!$K$21))</f>
        <v/>
      </c>
      <c r="H526">
        <f>IF(D526="V01",cad!$I$22,IF(D526="V02",cad!$J$22,cad!$K$22))</f>
        <v/>
      </c>
      <c r="I526">
        <f>IF(D526="V01",cad!$I$27,IF(D526="V02",cad!$J$27,cad!$K$27))</f>
        <v/>
      </c>
      <c r="J526">
        <f>IF(D526="V01",cad!$I$28,IF(D526="V02",cad!$J$28,cad!$K$28))</f>
        <v/>
      </c>
      <c r="K526">
        <f>IF(D526="V01",cad!$I$29,IF(D526="V02",cad!$J$29,cad!$K$29))</f>
        <v/>
      </c>
      <c r="L526">
        <f>IF(D526="V01",cad!$I$30,IF(D526="V02",cad!$J$30,cad!$K$30))</f>
        <v/>
      </c>
      <c r="M526">
        <f>IF(D526="V01",cad!$I$31,IF(D526="V02",cad!$J$31,cad!$K$31))</f>
        <v/>
      </c>
      <c r="N526">
        <f>IF(D526="V01",$R$2,IF(D526="V02",$R$3,$R$4))</f>
        <v/>
      </c>
      <c r="O526">
        <f>IF(OR(B526="7062",B526="706",B526="708"),N526,IF(B526="6231",1+G526,IF(B526="6236",1+H526,IF(OR(B526="621",B526="604",B526="6063"),N526*(1-L526),IF(OR(B526="6411",B526="6413",B526="6414",B526="645"),(1+J526)*(1+K526),IF(OR(B526="613",B526="615",B526="616",B526="6226",B526="625",B526="626",B526="6281"),(1+I526)*(1-L526)*(1+M526),IF(OR(B526="6331",B526="63511",B526="6333"),(1+I526)*(1-L526),IF(B526="6811",1+I526,1))))))))</f>
        <v/>
      </c>
      <c r="P526">
        <f>IF(E526=1,F526*O526,"")</f>
        <v/>
      </c>
    </row>
    <row r="527">
      <c r="A527">
        <f>PNL!A527</f>
        <v/>
      </c>
      <c r="B527">
        <f>PNL!B527</f>
        <v/>
      </c>
      <c r="C527">
        <f>PNL!C527</f>
        <v/>
      </c>
      <c r="D527">
        <f>PNL!D527</f>
        <v/>
      </c>
      <c r="E527">
        <f>IF(AND(C527="2027",OR(D527="V01",D527="V02",D527="V03")),1,0)</f>
        <v/>
      </c>
      <c r="F527">
        <f>IF(E527=1,SUMIFS(Compta!$F$2:$F$675,Compta!$A$2:$A$675,A527,Compta!$B$2:$B$675,B527,Compta!$C$2:$C$675,"2026"),0)</f>
        <v/>
      </c>
      <c r="G527">
        <f>IF(D527="V01",cad!$I$21,IF(D527="V02",cad!$J$21,cad!$K$21))</f>
        <v/>
      </c>
      <c r="H527">
        <f>IF(D527="V01",cad!$I$22,IF(D527="V02",cad!$J$22,cad!$K$22))</f>
        <v/>
      </c>
      <c r="I527">
        <f>IF(D527="V01",cad!$I$27,IF(D527="V02",cad!$J$27,cad!$K$27))</f>
        <v/>
      </c>
      <c r="J527">
        <f>IF(D527="V01",cad!$I$28,IF(D527="V02",cad!$J$28,cad!$K$28))</f>
        <v/>
      </c>
      <c r="K527">
        <f>IF(D527="V01",cad!$I$29,IF(D527="V02",cad!$J$29,cad!$K$29))</f>
        <v/>
      </c>
      <c r="L527">
        <f>IF(D527="V01",cad!$I$30,IF(D527="V02",cad!$J$30,cad!$K$30))</f>
        <v/>
      </c>
      <c r="M527">
        <f>IF(D527="V01",cad!$I$31,IF(D527="V02",cad!$J$31,cad!$K$31))</f>
        <v/>
      </c>
      <c r="N527">
        <f>IF(D527="V01",$R$2,IF(D527="V02",$R$3,$R$4))</f>
        <v/>
      </c>
      <c r="O527">
        <f>IF(OR(B527="7062",B527="706",B527="708"),N527,IF(B527="6231",1+G527,IF(B527="6236",1+H527,IF(OR(B527="621",B527="604",B527="6063"),N527*(1-L527),IF(OR(B527="6411",B527="6413",B527="6414",B527="645"),(1+J527)*(1+K527),IF(OR(B527="613",B527="615",B527="616",B527="6226",B527="625",B527="626",B527="6281"),(1+I527)*(1-L527)*(1+M527),IF(OR(B527="6331",B527="63511",B527="6333"),(1+I527)*(1-L527),IF(B527="6811",1+I527,1))))))))</f>
        <v/>
      </c>
      <c r="P527">
        <f>IF(E527=1,F527*O527,"")</f>
        <v/>
      </c>
    </row>
    <row r="528">
      <c r="A528">
        <f>PNL!A528</f>
        <v/>
      </c>
      <c r="B528">
        <f>PNL!B528</f>
        <v/>
      </c>
      <c r="C528">
        <f>PNL!C528</f>
        <v/>
      </c>
      <c r="D528">
        <f>PNL!D528</f>
        <v/>
      </c>
      <c r="E528">
        <f>IF(AND(C528="2027",OR(D528="V01",D528="V02",D528="V03")),1,0)</f>
        <v/>
      </c>
      <c r="F528">
        <f>IF(E528=1,SUMIFS(Compta!$F$2:$F$675,Compta!$A$2:$A$675,A528,Compta!$B$2:$B$675,B528,Compta!$C$2:$C$675,"2026"),0)</f>
        <v/>
      </c>
      <c r="G528">
        <f>IF(D528="V01",cad!$I$21,IF(D528="V02",cad!$J$21,cad!$K$21))</f>
        <v/>
      </c>
      <c r="H528">
        <f>IF(D528="V01",cad!$I$22,IF(D528="V02",cad!$J$22,cad!$K$22))</f>
        <v/>
      </c>
      <c r="I528">
        <f>IF(D528="V01",cad!$I$27,IF(D528="V02",cad!$J$27,cad!$K$27))</f>
        <v/>
      </c>
      <c r="J528">
        <f>IF(D528="V01",cad!$I$28,IF(D528="V02",cad!$J$28,cad!$K$28))</f>
        <v/>
      </c>
      <c r="K528">
        <f>IF(D528="V01",cad!$I$29,IF(D528="V02",cad!$J$29,cad!$K$29))</f>
        <v/>
      </c>
      <c r="L528">
        <f>IF(D528="V01",cad!$I$30,IF(D528="V02",cad!$J$30,cad!$K$30))</f>
        <v/>
      </c>
      <c r="M528">
        <f>IF(D528="V01",cad!$I$31,IF(D528="V02",cad!$J$31,cad!$K$31))</f>
        <v/>
      </c>
      <c r="N528">
        <f>IF(D528="V01",$R$2,IF(D528="V02",$R$3,$R$4))</f>
        <v/>
      </c>
      <c r="O528">
        <f>IF(OR(B528="7062",B528="706",B528="708"),N528,IF(B528="6231",1+G528,IF(B528="6236",1+H528,IF(OR(B528="621",B528="604",B528="6063"),N528*(1-L528),IF(OR(B528="6411",B528="6413",B528="6414",B528="645"),(1+J528)*(1+K528),IF(OR(B528="613",B528="615",B528="616",B528="6226",B528="625",B528="626",B528="6281"),(1+I528)*(1-L528)*(1+M528),IF(OR(B528="6331",B528="63511",B528="6333"),(1+I528)*(1-L528),IF(B528="6811",1+I528,1))))))))</f>
        <v/>
      </c>
      <c r="P528">
        <f>IF(E528=1,F528*O528,"")</f>
        <v/>
      </c>
    </row>
    <row r="529">
      <c r="A529">
        <f>PNL!A529</f>
        <v/>
      </c>
      <c r="B529">
        <f>PNL!B529</f>
        <v/>
      </c>
      <c r="C529">
        <f>PNL!C529</f>
        <v/>
      </c>
      <c r="D529">
        <f>PNL!D529</f>
        <v/>
      </c>
      <c r="E529">
        <f>IF(AND(C529="2027",OR(D529="V01",D529="V02",D529="V03")),1,0)</f>
        <v/>
      </c>
      <c r="F529">
        <f>IF(E529=1,SUMIFS(Compta!$F$2:$F$675,Compta!$A$2:$A$675,A529,Compta!$B$2:$B$675,B529,Compta!$C$2:$C$675,"2026"),0)</f>
        <v/>
      </c>
      <c r="G529">
        <f>IF(D529="V01",cad!$I$21,IF(D529="V02",cad!$J$21,cad!$K$21))</f>
        <v/>
      </c>
      <c r="H529">
        <f>IF(D529="V01",cad!$I$22,IF(D529="V02",cad!$J$22,cad!$K$22))</f>
        <v/>
      </c>
      <c r="I529">
        <f>IF(D529="V01",cad!$I$27,IF(D529="V02",cad!$J$27,cad!$K$27))</f>
        <v/>
      </c>
      <c r="J529">
        <f>IF(D529="V01",cad!$I$28,IF(D529="V02",cad!$J$28,cad!$K$28))</f>
        <v/>
      </c>
      <c r="K529">
        <f>IF(D529="V01",cad!$I$29,IF(D529="V02",cad!$J$29,cad!$K$29))</f>
        <v/>
      </c>
      <c r="L529">
        <f>IF(D529="V01",cad!$I$30,IF(D529="V02",cad!$J$30,cad!$K$30))</f>
        <v/>
      </c>
      <c r="M529">
        <f>IF(D529="V01",cad!$I$31,IF(D529="V02",cad!$J$31,cad!$K$31))</f>
        <v/>
      </c>
      <c r="N529">
        <f>IF(D529="V01",$R$2,IF(D529="V02",$R$3,$R$4))</f>
        <v/>
      </c>
      <c r="O529">
        <f>IF(OR(B529="7062",B529="706",B529="708"),N529,IF(B529="6231",1+G529,IF(B529="6236",1+H529,IF(OR(B529="621",B529="604",B529="6063"),N529*(1-L529),IF(OR(B529="6411",B529="6413",B529="6414",B529="645"),(1+J529)*(1+K529),IF(OR(B529="613",B529="615",B529="616",B529="6226",B529="625",B529="626",B529="6281"),(1+I529)*(1-L529)*(1+M529),IF(OR(B529="6331",B529="63511",B529="6333"),(1+I529)*(1-L529),IF(B529="6811",1+I529,1))))))))</f>
        <v/>
      </c>
      <c r="P529">
        <f>IF(E529=1,F529*O529,"")</f>
        <v/>
      </c>
    </row>
    <row r="530">
      <c r="A530">
        <f>PNL!A530</f>
        <v/>
      </c>
      <c r="B530">
        <f>PNL!B530</f>
        <v/>
      </c>
      <c r="C530">
        <f>PNL!C530</f>
        <v/>
      </c>
      <c r="D530">
        <f>PNL!D530</f>
        <v/>
      </c>
      <c r="E530">
        <f>IF(AND(C530="2027",OR(D530="V01",D530="V02",D530="V03")),1,0)</f>
        <v/>
      </c>
      <c r="F530">
        <f>IF(E530=1,SUMIFS(Compta!$F$2:$F$675,Compta!$A$2:$A$675,A530,Compta!$B$2:$B$675,B530,Compta!$C$2:$C$675,"2026"),0)</f>
        <v/>
      </c>
      <c r="G530">
        <f>IF(D530="V01",cad!$I$21,IF(D530="V02",cad!$J$21,cad!$K$21))</f>
        <v/>
      </c>
      <c r="H530">
        <f>IF(D530="V01",cad!$I$22,IF(D530="V02",cad!$J$22,cad!$K$22))</f>
        <v/>
      </c>
      <c r="I530">
        <f>IF(D530="V01",cad!$I$27,IF(D530="V02",cad!$J$27,cad!$K$27))</f>
        <v/>
      </c>
      <c r="J530">
        <f>IF(D530="V01",cad!$I$28,IF(D530="V02",cad!$J$28,cad!$K$28))</f>
        <v/>
      </c>
      <c r="K530">
        <f>IF(D530="V01",cad!$I$29,IF(D530="V02",cad!$J$29,cad!$K$29))</f>
        <v/>
      </c>
      <c r="L530">
        <f>IF(D530="V01",cad!$I$30,IF(D530="V02",cad!$J$30,cad!$K$30))</f>
        <v/>
      </c>
      <c r="M530">
        <f>IF(D530="V01",cad!$I$31,IF(D530="V02",cad!$J$31,cad!$K$31))</f>
        <v/>
      </c>
      <c r="N530">
        <f>IF(D530="V01",$R$2,IF(D530="V02",$R$3,$R$4))</f>
        <v/>
      </c>
      <c r="O530">
        <f>IF(OR(B530="7062",B530="706",B530="708"),N530,IF(B530="6231",1+G530,IF(B530="6236",1+H530,IF(OR(B530="621",B530="604",B530="6063"),N530*(1-L530),IF(OR(B530="6411",B530="6413",B530="6414",B530="645"),(1+J530)*(1+K530),IF(OR(B530="613",B530="615",B530="616",B530="6226",B530="625",B530="626",B530="6281"),(1+I530)*(1-L530)*(1+M530),IF(OR(B530="6331",B530="63511",B530="6333"),(1+I530)*(1-L530),IF(B530="6811",1+I530,1))))))))</f>
        <v/>
      </c>
      <c r="P530">
        <f>IF(E530=1,F530*O530,"")</f>
        <v/>
      </c>
    </row>
    <row r="531">
      <c r="A531">
        <f>PNL!A531</f>
        <v/>
      </c>
      <c r="B531">
        <f>PNL!B531</f>
        <v/>
      </c>
      <c r="C531">
        <f>PNL!C531</f>
        <v/>
      </c>
      <c r="D531">
        <f>PNL!D531</f>
        <v/>
      </c>
      <c r="E531">
        <f>IF(AND(C531="2027",OR(D531="V01",D531="V02",D531="V03")),1,0)</f>
        <v/>
      </c>
      <c r="F531">
        <f>IF(E531=1,SUMIFS(Compta!$F$2:$F$675,Compta!$A$2:$A$675,A531,Compta!$B$2:$B$675,B531,Compta!$C$2:$C$675,"2026"),0)</f>
        <v/>
      </c>
      <c r="G531">
        <f>IF(D531="V01",cad!$I$21,IF(D531="V02",cad!$J$21,cad!$K$21))</f>
        <v/>
      </c>
      <c r="H531">
        <f>IF(D531="V01",cad!$I$22,IF(D531="V02",cad!$J$22,cad!$K$22))</f>
        <v/>
      </c>
      <c r="I531">
        <f>IF(D531="V01",cad!$I$27,IF(D531="V02",cad!$J$27,cad!$K$27))</f>
        <v/>
      </c>
      <c r="J531">
        <f>IF(D531="V01",cad!$I$28,IF(D531="V02",cad!$J$28,cad!$K$28))</f>
        <v/>
      </c>
      <c r="K531">
        <f>IF(D531="V01",cad!$I$29,IF(D531="V02",cad!$J$29,cad!$K$29))</f>
        <v/>
      </c>
      <c r="L531">
        <f>IF(D531="V01",cad!$I$30,IF(D531="V02",cad!$J$30,cad!$K$30))</f>
        <v/>
      </c>
      <c r="M531">
        <f>IF(D531="V01",cad!$I$31,IF(D531="V02",cad!$J$31,cad!$K$31))</f>
        <v/>
      </c>
      <c r="N531">
        <f>IF(D531="V01",$R$2,IF(D531="V02",$R$3,$R$4))</f>
        <v/>
      </c>
      <c r="O531">
        <f>IF(OR(B531="7062",B531="706",B531="708"),N531,IF(B531="6231",1+G531,IF(B531="6236",1+H531,IF(OR(B531="621",B531="604",B531="6063"),N531*(1-L531),IF(OR(B531="6411",B531="6413",B531="6414",B531="645"),(1+J531)*(1+K531),IF(OR(B531="613",B531="615",B531="616",B531="6226",B531="625",B531="626",B531="6281"),(1+I531)*(1-L531)*(1+M531),IF(OR(B531="6331",B531="63511",B531="6333"),(1+I531)*(1-L531),IF(B531="6811",1+I531,1))))))))</f>
        <v/>
      </c>
      <c r="P531">
        <f>IF(E531=1,F531*O531,"")</f>
        <v/>
      </c>
    </row>
    <row r="532">
      <c r="A532">
        <f>PNL!A532</f>
        <v/>
      </c>
      <c r="B532">
        <f>PNL!B532</f>
        <v/>
      </c>
      <c r="C532">
        <f>PNL!C532</f>
        <v/>
      </c>
      <c r="D532">
        <f>PNL!D532</f>
        <v/>
      </c>
      <c r="E532">
        <f>IF(AND(C532="2027",OR(D532="V01",D532="V02",D532="V03")),1,0)</f>
        <v/>
      </c>
      <c r="F532">
        <f>IF(E532=1,SUMIFS(Compta!$F$2:$F$675,Compta!$A$2:$A$675,A532,Compta!$B$2:$B$675,B532,Compta!$C$2:$C$675,"2026"),0)</f>
        <v/>
      </c>
      <c r="G532">
        <f>IF(D532="V01",cad!$I$21,IF(D532="V02",cad!$J$21,cad!$K$21))</f>
        <v/>
      </c>
      <c r="H532">
        <f>IF(D532="V01",cad!$I$22,IF(D532="V02",cad!$J$22,cad!$K$22))</f>
        <v/>
      </c>
      <c r="I532">
        <f>IF(D532="V01",cad!$I$27,IF(D532="V02",cad!$J$27,cad!$K$27))</f>
        <v/>
      </c>
      <c r="J532">
        <f>IF(D532="V01",cad!$I$28,IF(D532="V02",cad!$J$28,cad!$K$28))</f>
        <v/>
      </c>
      <c r="K532">
        <f>IF(D532="V01",cad!$I$29,IF(D532="V02",cad!$J$29,cad!$K$29))</f>
        <v/>
      </c>
      <c r="L532">
        <f>IF(D532="V01",cad!$I$30,IF(D532="V02",cad!$J$30,cad!$K$30))</f>
        <v/>
      </c>
      <c r="M532">
        <f>IF(D532="V01",cad!$I$31,IF(D532="V02",cad!$J$31,cad!$K$31))</f>
        <v/>
      </c>
      <c r="N532">
        <f>IF(D532="V01",$R$2,IF(D532="V02",$R$3,$R$4))</f>
        <v/>
      </c>
      <c r="O532">
        <f>IF(OR(B532="7062",B532="706",B532="708"),N532,IF(B532="6231",1+G532,IF(B532="6236",1+H532,IF(OR(B532="621",B532="604",B532="6063"),N532*(1-L532),IF(OR(B532="6411",B532="6413",B532="6414",B532="645"),(1+J532)*(1+K532),IF(OR(B532="613",B532="615",B532="616",B532="6226",B532="625",B532="626",B532="6281"),(1+I532)*(1-L532)*(1+M532),IF(OR(B532="6331",B532="63511",B532="6333"),(1+I532)*(1-L532),IF(B532="6811",1+I532,1))))))))</f>
        <v/>
      </c>
      <c r="P532">
        <f>IF(E532=1,F532*O532,"")</f>
        <v/>
      </c>
    </row>
    <row r="533">
      <c r="A533">
        <f>PNL!A533</f>
        <v/>
      </c>
      <c r="B533">
        <f>PNL!B533</f>
        <v/>
      </c>
      <c r="C533">
        <f>PNL!C533</f>
        <v/>
      </c>
      <c r="D533">
        <f>PNL!D533</f>
        <v/>
      </c>
      <c r="E533">
        <f>IF(AND(C533="2027",OR(D533="V01",D533="V02",D533="V03")),1,0)</f>
        <v/>
      </c>
      <c r="F533">
        <f>IF(E533=1,SUMIFS(Compta!$F$2:$F$675,Compta!$A$2:$A$675,A533,Compta!$B$2:$B$675,B533,Compta!$C$2:$C$675,"2026"),0)</f>
        <v/>
      </c>
      <c r="G533">
        <f>IF(D533="V01",cad!$I$21,IF(D533="V02",cad!$J$21,cad!$K$21))</f>
        <v/>
      </c>
      <c r="H533">
        <f>IF(D533="V01",cad!$I$22,IF(D533="V02",cad!$J$22,cad!$K$22))</f>
        <v/>
      </c>
      <c r="I533">
        <f>IF(D533="V01",cad!$I$27,IF(D533="V02",cad!$J$27,cad!$K$27))</f>
        <v/>
      </c>
      <c r="J533">
        <f>IF(D533="V01",cad!$I$28,IF(D533="V02",cad!$J$28,cad!$K$28))</f>
        <v/>
      </c>
      <c r="K533">
        <f>IF(D533="V01",cad!$I$29,IF(D533="V02",cad!$J$29,cad!$K$29))</f>
        <v/>
      </c>
      <c r="L533">
        <f>IF(D533="V01",cad!$I$30,IF(D533="V02",cad!$J$30,cad!$K$30))</f>
        <v/>
      </c>
      <c r="M533">
        <f>IF(D533="V01",cad!$I$31,IF(D533="V02",cad!$J$31,cad!$K$31))</f>
        <v/>
      </c>
      <c r="N533">
        <f>IF(D533="V01",$R$2,IF(D533="V02",$R$3,$R$4))</f>
        <v/>
      </c>
      <c r="O533">
        <f>IF(OR(B533="7062",B533="706",B533="708"),N533,IF(B533="6231",1+G533,IF(B533="6236",1+H533,IF(OR(B533="621",B533="604",B533="6063"),N533*(1-L533),IF(OR(B533="6411",B533="6413",B533="6414",B533="645"),(1+J533)*(1+K533),IF(OR(B533="613",B533="615",B533="616",B533="6226",B533="625",B533="626",B533="6281"),(1+I533)*(1-L533)*(1+M533),IF(OR(B533="6331",B533="63511",B533="6333"),(1+I533)*(1-L533),IF(B533="6811",1+I533,1))))))))</f>
        <v/>
      </c>
      <c r="P533">
        <f>IF(E533=1,F533*O533,"")</f>
        <v/>
      </c>
    </row>
    <row r="534">
      <c r="A534">
        <f>PNL!A534</f>
        <v/>
      </c>
      <c r="B534">
        <f>PNL!B534</f>
        <v/>
      </c>
      <c r="C534">
        <f>PNL!C534</f>
        <v/>
      </c>
      <c r="D534">
        <f>PNL!D534</f>
        <v/>
      </c>
      <c r="E534">
        <f>IF(AND(C534="2027",OR(D534="V01",D534="V02",D534="V03")),1,0)</f>
        <v/>
      </c>
      <c r="F534">
        <f>IF(E534=1,SUMIFS(Compta!$F$2:$F$675,Compta!$A$2:$A$675,A534,Compta!$B$2:$B$675,B534,Compta!$C$2:$C$675,"2026"),0)</f>
        <v/>
      </c>
      <c r="G534">
        <f>IF(D534="V01",cad!$I$21,IF(D534="V02",cad!$J$21,cad!$K$21))</f>
        <v/>
      </c>
      <c r="H534">
        <f>IF(D534="V01",cad!$I$22,IF(D534="V02",cad!$J$22,cad!$K$22))</f>
        <v/>
      </c>
      <c r="I534">
        <f>IF(D534="V01",cad!$I$27,IF(D534="V02",cad!$J$27,cad!$K$27))</f>
        <v/>
      </c>
      <c r="J534">
        <f>IF(D534="V01",cad!$I$28,IF(D534="V02",cad!$J$28,cad!$K$28))</f>
        <v/>
      </c>
      <c r="K534">
        <f>IF(D534="V01",cad!$I$29,IF(D534="V02",cad!$J$29,cad!$K$29))</f>
        <v/>
      </c>
      <c r="L534">
        <f>IF(D534="V01",cad!$I$30,IF(D534="V02",cad!$J$30,cad!$K$30))</f>
        <v/>
      </c>
      <c r="M534">
        <f>IF(D534="V01",cad!$I$31,IF(D534="V02",cad!$J$31,cad!$K$31))</f>
        <v/>
      </c>
      <c r="N534">
        <f>IF(D534="V01",$R$2,IF(D534="V02",$R$3,$R$4))</f>
        <v/>
      </c>
      <c r="O534">
        <f>IF(OR(B534="7062",B534="706",B534="708"),N534,IF(B534="6231",1+G534,IF(B534="6236",1+H534,IF(OR(B534="621",B534="604",B534="6063"),N534*(1-L534),IF(OR(B534="6411",B534="6413",B534="6414",B534="645"),(1+J534)*(1+K534),IF(OR(B534="613",B534="615",B534="616",B534="6226",B534="625",B534="626",B534="6281"),(1+I534)*(1-L534)*(1+M534),IF(OR(B534="6331",B534="63511",B534="6333"),(1+I534)*(1-L534),IF(B534="6811",1+I534,1))))))))</f>
        <v/>
      </c>
      <c r="P534">
        <f>IF(E534=1,F534*O534,"")</f>
        <v/>
      </c>
    </row>
    <row r="535">
      <c r="A535">
        <f>PNL!A535</f>
        <v/>
      </c>
      <c r="B535">
        <f>PNL!B535</f>
        <v/>
      </c>
      <c r="C535">
        <f>PNL!C535</f>
        <v/>
      </c>
      <c r="D535">
        <f>PNL!D535</f>
        <v/>
      </c>
      <c r="E535">
        <f>IF(AND(C535="2027",OR(D535="V01",D535="V02",D535="V03")),1,0)</f>
        <v/>
      </c>
      <c r="F535">
        <f>IF(E535=1,SUMIFS(Compta!$F$2:$F$675,Compta!$A$2:$A$675,A535,Compta!$B$2:$B$675,B535,Compta!$C$2:$C$675,"2026"),0)</f>
        <v/>
      </c>
      <c r="G535">
        <f>IF(D535="V01",cad!$I$21,IF(D535="V02",cad!$J$21,cad!$K$21))</f>
        <v/>
      </c>
      <c r="H535">
        <f>IF(D535="V01",cad!$I$22,IF(D535="V02",cad!$J$22,cad!$K$22))</f>
        <v/>
      </c>
      <c r="I535">
        <f>IF(D535="V01",cad!$I$27,IF(D535="V02",cad!$J$27,cad!$K$27))</f>
        <v/>
      </c>
      <c r="J535">
        <f>IF(D535="V01",cad!$I$28,IF(D535="V02",cad!$J$28,cad!$K$28))</f>
        <v/>
      </c>
      <c r="K535">
        <f>IF(D535="V01",cad!$I$29,IF(D535="V02",cad!$J$29,cad!$K$29))</f>
        <v/>
      </c>
      <c r="L535">
        <f>IF(D535="V01",cad!$I$30,IF(D535="V02",cad!$J$30,cad!$K$30))</f>
        <v/>
      </c>
      <c r="M535">
        <f>IF(D535="V01",cad!$I$31,IF(D535="V02",cad!$J$31,cad!$K$31))</f>
        <v/>
      </c>
      <c r="N535">
        <f>IF(D535="V01",$R$2,IF(D535="V02",$R$3,$R$4))</f>
        <v/>
      </c>
      <c r="O535">
        <f>IF(OR(B535="7062",B535="706",B535="708"),N535,IF(B535="6231",1+G535,IF(B535="6236",1+H535,IF(OR(B535="621",B535="604",B535="6063"),N535*(1-L535),IF(OR(B535="6411",B535="6413",B535="6414",B535="645"),(1+J535)*(1+K535),IF(OR(B535="613",B535="615",B535="616",B535="6226",B535="625",B535="626",B535="6281"),(1+I535)*(1-L535)*(1+M535),IF(OR(B535="6331",B535="63511",B535="6333"),(1+I535)*(1-L535),IF(B535="6811",1+I535,1))))))))</f>
        <v/>
      </c>
      <c r="P535">
        <f>IF(E535=1,F535*O535,"")</f>
        <v/>
      </c>
    </row>
    <row r="536">
      <c r="A536">
        <f>PNL!A536</f>
        <v/>
      </c>
      <c r="B536">
        <f>PNL!B536</f>
        <v/>
      </c>
      <c r="C536">
        <f>PNL!C536</f>
        <v/>
      </c>
      <c r="D536">
        <f>PNL!D536</f>
        <v/>
      </c>
      <c r="E536">
        <f>IF(AND(C536="2027",OR(D536="V01",D536="V02",D536="V03")),1,0)</f>
        <v/>
      </c>
      <c r="F536">
        <f>IF(E536=1,SUMIFS(Compta!$F$2:$F$675,Compta!$A$2:$A$675,A536,Compta!$B$2:$B$675,B536,Compta!$C$2:$C$675,"2026"),0)</f>
        <v/>
      </c>
      <c r="G536">
        <f>IF(D536="V01",cad!$I$21,IF(D536="V02",cad!$J$21,cad!$K$21))</f>
        <v/>
      </c>
      <c r="H536">
        <f>IF(D536="V01",cad!$I$22,IF(D536="V02",cad!$J$22,cad!$K$22))</f>
        <v/>
      </c>
      <c r="I536">
        <f>IF(D536="V01",cad!$I$27,IF(D536="V02",cad!$J$27,cad!$K$27))</f>
        <v/>
      </c>
      <c r="J536">
        <f>IF(D536="V01",cad!$I$28,IF(D536="V02",cad!$J$28,cad!$K$28))</f>
        <v/>
      </c>
      <c r="K536">
        <f>IF(D536="V01",cad!$I$29,IF(D536="V02",cad!$J$29,cad!$K$29))</f>
        <v/>
      </c>
      <c r="L536">
        <f>IF(D536="V01",cad!$I$30,IF(D536="V02",cad!$J$30,cad!$K$30))</f>
        <v/>
      </c>
      <c r="M536">
        <f>IF(D536="V01",cad!$I$31,IF(D536="V02",cad!$J$31,cad!$K$31))</f>
        <v/>
      </c>
      <c r="N536">
        <f>IF(D536="V01",$R$2,IF(D536="V02",$R$3,$R$4))</f>
        <v/>
      </c>
      <c r="O536">
        <f>IF(OR(B536="7062",B536="706",B536="708"),N536,IF(B536="6231",1+G536,IF(B536="6236",1+H536,IF(OR(B536="621",B536="604",B536="6063"),N536*(1-L536),IF(OR(B536="6411",B536="6413",B536="6414",B536="645"),(1+J536)*(1+K536),IF(OR(B536="613",B536="615",B536="616",B536="6226",B536="625",B536="626",B536="6281"),(1+I536)*(1-L536)*(1+M536),IF(OR(B536="6331",B536="63511",B536="6333"),(1+I536)*(1-L536),IF(B536="6811",1+I536,1))))))))</f>
        <v/>
      </c>
      <c r="P536">
        <f>IF(E536=1,F536*O536,"")</f>
        <v/>
      </c>
    </row>
    <row r="537">
      <c r="A537">
        <f>PNL!A537</f>
        <v/>
      </c>
      <c r="B537">
        <f>PNL!B537</f>
        <v/>
      </c>
      <c r="C537">
        <f>PNL!C537</f>
        <v/>
      </c>
      <c r="D537">
        <f>PNL!D537</f>
        <v/>
      </c>
      <c r="E537">
        <f>IF(AND(C537="2027",OR(D537="V01",D537="V02",D537="V03")),1,0)</f>
        <v/>
      </c>
      <c r="F537">
        <f>IF(E537=1,SUMIFS(Compta!$F$2:$F$675,Compta!$A$2:$A$675,A537,Compta!$B$2:$B$675,B537,Compta!$C$2:$C$675,"2026"),0)</f>
        <v/>
      </c>
      <c r="G537">
        <f>IF(D537="V01",cad!$I$21,IF(D537="V02",cad!$J$21,cad!$K$21))</f>
        <v/>
      </c>
      <c r="H537">
        <f>IF(D537="V01",cad!$I$22,IF(D537="V02",cad!$J$22,cad!$K$22))</f>
        <v/>
      </c>
      <c r="I537">
        <f>IF(D537="V01",cad!$I$27,IF(D537="V02",cad!$J$27,cad!$K$27))</f>
        <v/>
      </c>
      <c r="J537">
        <f>IF(D537="V01",cad!$I$28,IF(D537="V02",cad!$J$28,cad!$K$28))</f>
        <v/>
      </c>
      <c r="K537">
        <f>IF(D537="V01",cad!$I$29,IF(D537="V02",cad!$J$29,cad!$K$29))</f>
        <v/>
      </c>
      <c r="L537">
        <f>IF(D537="V01",cad!$I$30,IF(D537="V02",cad!$J$30,cad!$K$30))</f>
        <v/>
      </c>
      <c r="M537">
        <f>IF(D537="V01",cad!$I$31,IF(D537="V02",cad!$J$31,cad!$K$31))</f>
        <v/>
      </c>
      <c r="N537">
        <f>IF(D537="V01",$R$2,IF(D537="V02",$R$3,$R$4))</f>
        <v/>
      </c>
      <c r="O537">
        <f>IF(OR(B537="7062",B537="706",B537="708"),N537,IF(B537="6231",1+G537,IF(B537="6236",1+H537,IF(OR(B537="621",B537="604",B537="6063"),N537*(1-L537),IF(OR(B537="6411",B537="6413",B537="6414",B537="645"),(1+J537)*(1+K537),IF(OR(B537="613",B537="615",B537="616",B537="6226",B537="625",B537="626",B537="6281"),(1+I537)*(1-L537)*(1+M537),IF(OR(B537="6331",B537="63511",B537="6333"),(1+I537)*(1-L537),IF(B537="6811",1+I537,1))))))))</f>
        <v/>
      </c>
      <c r="P537">
        <f>IF(E537=1,F537*O537,"")</f>
        <v/>
      </c>
    </row>
    <row r="538">
      <c r="A538">
        <f>PNL!A538</f>
        <v/>
      </c>
      <c r="B538">
        <f>PNL!B538</f>
        <v/>
      </c>
      <c r="C538">
        <f>PNL!C538</f>
        <v/>
      </c>
      <c r="D538">
        <f>PNL!D538</f>
        <v/>
      </c>
      <c r="E538">
        <f>IF(AND(C538="2027",OR(D538="V01",D538="V02",D538="V03")),1,0)</f>
        <v/>
      </c>
      <c r="F538">
        <f>IF(E538=1,SUMIFS(Compta!$F$2:$F$675,Compta!$A$2:$A$675,A538,Compta!$B$2:$B$675,B538,Compta!$C$2:$C$675,"2026"),0)</f>
        <v/>
      </c>
      <c r="G538">
        <f>IF(D538="V01",cad!$I$21,IF(D538="V02",cad!$J$21,cad!$K$21))</f>
        <v/>
      </c>
      <c r="H538">
        <f>IF(D538="V01",cad!$I$22,IF(D538="V02",cad!$J$22,cad!$K$22))</f>
        <v/>
      </c>
      <c r="I538">
        <f>IF(D538="V01",cad!$I$27,IF(D538="V02",cad!$J$27,cad!$K$27))</f>
        <v/>
      </c>
      <c r="J538">
        <f>IF(D538="V01",cad!$I$28,IF(D538="V02",cad!$J$28,cad!$K$28))</f>
        <v/>
      </c>
      <c r="K538">
        <f>IF(D538="V01",cad!$I$29,IF(D538="V02",cad!$J$29,cad!$K$29))</f>
        <v/>
      </c>
      <c r="L538">
        <f>IF(D538="V01",cad!$I$30,IF(D538="V02",cad!$J$30,cad!$K$30))</f>
        <v/>
      </c>
      <c r="M538">
        <f>IF(D538="V01",cad!$I$31,IF(D538="V02",cad!$J$31,cad!$K$31))</f>
        <v/>
      </c>
      <c r="N538">
        <f>IF(D538="V01",$R$2,IF(D538="V02",$R$3,$R$4))</f>
        <v/>
      </c>
      <c r="O538">
        <f>IF(OR(B538="7062",B538="706",B538="708"),N538,IF(B538="6231",1+G538,IF(B538="6236",1+H538,IF(OR(B538="621",B538="604",B538="6063"),N538*(1-L538),IF(OR(B538="6411",B538="6413",B538="6414",B538="645"),(1+J538)*(1+K538),IF(OR(B538="613",B538="615",B538="616",B538="6226",B538="625",B538="626",B538="6281"),(1+I538)*(1-L538)*(1+M538),IF(OR(B538="6331",B538="63511",B538="6333"),(1+I538)*(1-L538),IF(B538="6811",1+I538,1))))))))</f>
        <v/>
      </c>
      <c r="P538">
        <f>IF(E538=1,F538*O538,"")</f>
        <v/>
      </c>
    </row>
    <row r="539">
      <c r="A539">
        <f>PNL!A539</f>
        <v/>
      </c>
      <c r="B539">
        <f>PNL!B539</f>
        <v/>
      </c>
      <c r="C539">
        <f>PNL!C539</f>
        <v/>
      </c>
      <c r="D539">
        <f>PNL!D539</f>
        <v/>
      </c>
      <c r="E539">
        <f>IF(AND(C539="2027",OR(D539="V01",D539="V02",D539="V03")),1,0)</f>
        <v/>
      </c>
      <c r="F539">
        <f>IF(E539=1,SUMIFS(Compta!$F$2:$F$675,Compta!$A$2:$A$675,A539,Compta!$B$2:$B$675,B539,Compta!$C$2:$C$675,"2026"),0)</f>
        <v/>
      </c>
      <c r="G539">
        <f>IF(D539="V01",cad!$I$21,IF(D539="V02",cad!$J$21,cad!$K$21))</f>
        <v/>
      </c>
      <c r="H539">
        <f>IF(D539="V01",cad!$I$22,IF(D539="V02",cad!$J$22,cad!$K$22))</f>
        <v/>
      </c>
      <c r="I539">
        <f>IF(D539="V01",cad!$I$27,IF(D539="V02",cad!$J$27,cad!$K$27))</f>
        <v/>
      </c>
      <c r="J539">
        <f>IF(D539="V01",cad!$I$28,IF(D539="V02",cad!$J$28,cad!$K$28))</f>
        <v/>
      </c>
      <c r="K539">
        <f>IF(D539="V01",cad!$I$29,IF(D539="V02",cad!$J$29,cad!$K$29))</f>
        <v/>
      </c>
      <c r="L539">
        <f>IF(D539="V01",cad!$I$30,IF(D539="V02",cad!$J$30,cad!$K$30))</f>
        <v/>
      </c>
      <c r="M539">
        <f>IF(D539="V01",cad!$I$31,IF(D539="V02",cad!$J$31,cad!$K$31))</f>
        <v/>
      </c>
      <c r="N539">
        <f>IF(D539="V01",$R$2,IF(D539="V02",$R$3,$R$4))</f>
        <v/>
      </c>
      <c r="O539">
        <f>IF(OR(B539="7062",B539="706",B539="708"),N539,IF(B539="6231",1+G539,IF(B539="6236",1+H539,IF(OR(B539="621",B539="604",B539="6063"),N539*(1-L539),IF(OR(B539="6411",B539="6413",B539="6414",B539="645"),(1+J539)*(1+K539),IF(OR(B539="613",B539="615",B539="616",B539="6226",B539="625",B539="626",B539="6281"),(1+I539)*(1-L539)*(1+M539),IF(OR(B539="6331",B539="63511",B539="6333"),(1+I539)*(1-L539),IF(B539="6811",1+I539,1))))))))</f>
        <v/>
      </c>
      <c r="P539">
        <f>IF(E539=1,F539*O539,"")</f>
        <v/>
      </c>
    </row>
    <row r="540">
      <c r="A540">
        <f>PNL!A540</f>
        <v/>
      </c>
      <c r="B540">
        <f>PNL!B540</f>
        <v/>
      </c>
      <c r="C540">
        <f>PNL!C540</f>
        <v/>
      </c>
      <c r="D540">
        <f>PNL!D540</f>
        <v/>
      </c>
      <c r="E540">
        <f>IF(AND(C540="2027",OR(D540="V01",D540="V02",D540="V03")),1,0)</f>
        <v/>
      </c>
      <c r="F540">
        <f>IF(E540=1,SUMIFS(Compta!$F$2:$F$675,Compta!$A$2:$A$675,A540,Compta!$B$2:$B$675,B540,Compta!$C$2:$C$675,"2026"),0)</f>
        <v/>
      </c>
      <c r="G540">
        <f>IF(D540="V01",cad!$I$21,IF(D540="V02",cad!$J$21,cad!$K$21))</f>
        <v/>
      </c>
      <c r="H540">
        <f>IF(D540="V01",cad!$I$22,IF(D540="V02",cad!$J$22,cad!$K$22))</f>
        <v/>
      </c>
      <c r="I540">
        <f>IF(D540="V01",cad!$I$27,IF(D540="V02",cad!$J$27,cad!$K$27))</f>
        <v/>
      </c>
      <c r="J540">
        <f>IF(D540="V01",cad!$I$28,IF(D540="V02",cad!$J$28,cad!$K$28))</f>
        <v/>
      </c>
      <c r="K540">
        <f>IF(D540="V01",cad!$I$29,IF(D540="V02",cad!$J$29,cad!$K$29))</f>
        <v/>
      </c>
      <c r="L540">
        <f>IF(D540="V01",cad!$I$30,IF(D540="V02",cad!$J$30,cad!$K$30))</f>
        <v/>
      </c>
      <c r="M540">
        <f>IF(D540="V01",cad!$I$31,IF(D540="V02",cad!$J$31,cad!$K$31))</f>
        <v/>
      </c>
      <c r="N540">
        <f>IF(D540="V01",$R$2,IF(D540="V02",$R$3,$R$4))</f>
        <v/>
      </c>
      <c r="O540">
        <f>IF(OR(B540="7062",B540="706",B540="708"),N540,IF(B540="6231",1+G540,IF(B540="6236",1+H540,IF(OR(B540="621",B540="604",B540="6063"),N540*(1-L540),IF(OR(B540="6411",B540="6413",B540="6414",B540="645"),(1+J540)*(1+K540),IF(OR(B540="613",B540="615",B540="616",B540="6226",B540="625",B540="626",B540="6281"),(1+I540)*(1-L540)*(1+M540),IF(OR(B540="6331",B540="63511",B540="6333"),(1+I540)*(1-L540),IF(B540="6811",1+I540,1))))))))</f>
        <v/>
      </c>
      <c r="P540">
        <f>IF(E540=1,F540*O540,"")</f>
        <v/>
      </c>
    </row>
    <row r="541">
      <c r="A541">
        <f>PNL!A541</f>
        <v/>
      </c>
      <c r="B541">
        <f>PNL!B541</f>
        <v/>
      </c>
      <c r="C541">
        <f>PNL!C541</f>
        <v/>
      </c>
      <c r="D541">
        <f>PNL!D541</f>
        <v/>
      </c>
      <c r="E541">
        <f>IF(AND(C541="2027",OR(D541="V01",D541="V02",D541="V03")),1,0)</f>
        <v/>
      </c>
      <c r="F541">
        <f>IF(E541=1,SUMIFS(Compta!$F$2:$F$675,Compta!$A$2:$A$675,A541,Compta!$B$2:$B$675,B541,Compta!$C$2:$C$675,"2026"),0)</f>
        <v/>
      </c>
      <c r="G541">
        <f>IF(D541="V01",cad!$I$21,IF(D541="V02",cad!$J$21,cad!$K$21))</f>
        <v/>
      </c>
      <c r="H541">
        <f>IF(D541="V01",cad!$I$22,IF(D541="V02",cad!$J$22,cad!$K$22))</f>
        <v/>
      </c>
      <c r="I541">
        <f>IF(D541="V01",cad!$I$27,IF(D541="V02",cad!$J$27,cad!$K$27))</f>
        <v/>
      </c>
      <c r="J541">
        <f>IF(D541="V01",cad!$I$28,IF(D541="V02",cad!$J$28,cad!$K$28))</f>
        <v/>
      </c>
      <c r="K541">
        <f>IF(D541="V01",cad!$I$29,IF(D541="V02",cad!$J$29,cad!$K$29))</f>
        <v/>
      </c>
      <c r="L541">
        <f>IF(D541="V01",cad!$I$30,IF(D541="V02",cad!$J$30,cad!$K$30))</f>
        <v/>
      </c>
      <c r="M541">
        <f>IF(D541="V01",cad!$I$31,IF(D541="V02",cad!$J$31,cad!$K$31))</f>
        <v/>
      </c>
      <c r="N541">
        <f>IF(D541="V01",$R$2,IF(D541="V02",$R$3,$R$4))</f>
        <v/>
      </c>
      <c r="O541">
        <f>IF(OR(B541="7062",B541="706",B541="708"),N541,IF(B541="6231",1+G541,IF(B541="6236",1+H541,IF(OR(B541="621",B541="604",B541="6063"),N541*(1-L541),IF(OR(B541="6411",B541="6413",B541="6414",B541="645"),(1+J541)*(1+K541),IF(OR(B541="613",B541="615",B541="616",B541="6226",B541="625",B541="626",B541="6281"),(1+I541)*(1-L541)*(1+M541),IF(OR(B541="6331",B541="63511",B541="6333"),(1+I541)*(1-L541),IF(B541="6811",1+I541,1))))))))</f>
        <v/>
      </c>
      <c r="P541">
        <f>IF(E541=1,F541*O541,"")</f>
        <v/>
      </c>
    </row>
    <row r="542">
      <c r="A542">
        <f>PNL!A542</f>
        <v/>
      </c>
      <c r="B542">
        <f>PNL!B542</f>
        <v/>
      </c>
      <c r="C542">
        <f>PNL!C542</f>
        <v/>
      </c>
      <c r="D542">
        <f>PNL!D542</f>
        <v/>
      </c>
      <c r="E542">
        <f>IF(AND(C542="2027",OR(D542="V01",D542="V02",D542="V03")),1,0)</f>
        <v/>
      </c>
      <c r="F542">
        <f>IF(E542=1,SUMIFS(Compta!$F$2:$F$675,Compta!$A$2:$A$675,A542,Compta!$B$2:$B$675,B542,Compta!$C$2:$C$675,"2026"),0)</f>
        <v/>
      </c>
      <c r="G542">
        <f>IF(D542="V01",cad!$I$21,IF(D542="V02",cad!$J$21,cad!$K$21))</f>
        <v/>
      </c>
      <c r="H542">
        <f>IF(D542="V01",cad!$I$22,IF(D542="V02",cad!$J$22,cad!$K$22))</f>
        <v/>
      </c>
      <c r="I542">
        <f>IF(D542="V01",cad!$I$27,IF(D542="V02",cad!$J$27,cad!$K$27))</f>
        <v/>
      </c>
      <c r="J542">
        <f>IF(D542="V01",cad!$I$28,IF(D542="V02",cad!$J$28,cad!$K$28))</f>
        <v/>
      </c>
      <c r="K542">
        <f>IF(D542="V01",cad!$I$29,IF(D542="V02",cad!$J$29,cad!$K$29))</f>
        <v/>
      </c>
      <c r="L542">
        <f>IF(D542="V01",cad!$I$30,IF(D542="V02",cad!$J$30,cad!$K$30))</f>
        <v/>
      </c>
      <c r="M542">
        <f>IF(D542="V01",cad!$I$31,IF(D542="V02",cad!$J$31,cad!$K$31))</f>
        <v/>
      </c>
      <c r="N542">
        <f>IF(D542="V01",$R$2,IF(D542="V02",$R$3,$R$4))</f>
        <v/>
      </c>
      <c r="O542">
        <f>IF(OR(B542="7062",B542="706",B542="708"),N542,IF(B542="6231",1+G542,IF(B542="6236",1+H542,IF(OR(B542="621",B542="604",B542="6063"),N542*(1-L542),IF(OR(B542="6411",B542="6413",B542="6414",B542="645"),(1+J542)*(1+K542),IF(OR(B542="613",B542="615",B542="616",B542="6226",B542="625",B542="626",B542="6281"),(1+I542)*(1-L542)*(1+M542),IF(OR(B542="6331",B542="63511",B542="6333"),(1+I542)*(1-L542),IF(B542="6811",1+I542,1))))))))</f>
        <v/>
      </c>
      <c r="P542">
        <f>IF(E542=1,F542*O542,"")</f>
        <v/>
      </c>
    </row>
    <row r="543">
      <c r="A543">
        <f>PNL!A543</f>
        <v/>
      </c>
      <c r="B543">
        <f>PNL!B543</f>
        <v/>
      </c>
      <c r="C543">
        <f>PNL!C543</f>
        <v/>
      </c>
      <c r="D543">
        <f>PNL!D543</f>
        <v/>
      </c>
      <c r="E543">
        <f>IF(AND(C543="2027",OR(D543="V01",D543="V02",D543="V03")),1,0)</f>
        <v/>
      </c>
      <c r="F543">
        <f>IF(E543=1,SUMIFS(Compta!$F$2:$F$675,Compta!$A$2:$A$675,A543,Compta!$B$2:$B$675,B543,Compta!$C$2:$C$675,"2026"),0)</f>
        <v/>
      </c>
      <c r="G543">
        <f>IF(D543="V01",cad!$I$21,IF(D543="V02",cad!$J$21,cad!$K$21))</f>
        <v/>
      </c>
      <c r="H543">
        <f>IF(D543="V01",cad!$I$22,IF(D543="V02",cad!$J$22,cad!$K$22))</f>
        <v/>
      </c>
      <c r="I543">
        <f>IF(D543="V01",cad!$I$27,IF(D543="V02",cad!$J$27,cad!$K$27))</f>
        <v/>
      </c>
      <c r="J543">
        <f>IF(D543="V01",cad!$I$28,IF(D543="V02",cad!$J$28,cad!$K$28))</f>
        <v/>
      </c>
      <c r="K543">
        <f>IF(D543="V01",cad!$I$29,IF(D543="V02",cad!$J$29,cad!$K$29))</f>
        <v/>
      </c>
      <c r="L543">
        <f>IF(D543="V01",cad!$I$30,IF(D543="V02",cad!$J$30,cad!$K$30))</f>
        <v/>
      </c>
      <c r="M543">
        <f>IF(D543="V01",cad!$I$31,IF(D543="V02",cad!$J$31,cad!$K$31))</f>
        <v/>
      </c>
      <c r="N543">
        <f>IF(D543="V01",$R$2,IF(D543="V02",$R$3,$R$4))</f>
        <v/>
      </c>
      <c r="O543">
        <f>IF(OR(B543="7062",B543="706",B543="708"),N543,IF(B543="6231",1+G543,IF(B543="6236",1+H543,IF(OR(B543="621",B543="604",B543="6063"),N543*(1-L543),IF(OR(B543="6411",B543="6413",B543="6414",B543="645"),(1+J543)*(1+K543),IF(OR(B543="613",B543="615",B543="616",B543="6226",B543="625",B543="626",B543="6281"),(1+I543)*(1-L543)*(1+M543),IF(OR(B543="6331",B543="63511",B543="6333"),(1+I543)*(1-L543),IF(B543="6811",1+I543,1))))))))</f>
        <v/>
      </c>
      <c r="P543">
        <f>IF(E543=1,F543*O543,"")</f>
        <v/>
      </c>
    </row>
    <row r="544">
      <c r="A544">
        <f>PNL!A544</f>
        <v/>
      </c>
      <c r="B544">
        <f>PNL!B544</f>
        <v/>
      </c>
      <c r="C544">
        <f>PNL!C544</f>
        <v/>
      </c>
      <c r="D544">
        <f>PNL!D544</f>
        <v/>
      </c>
      <c r="E544">
        <f>IF(AND(C544="2027",OR(D544="V01",D544="V02",D544="V03")),1,0)</f>
        <v/>
      </c>
      <c r="F544">
        <f>IF(E544=1,SUMIFS(Compta!$F$2:$F$675,Compta!$A$2:$A$675,A544,Compta!$B$2:$B$675,B544,Compta!$C$2:$C$675,"2026"),0)</f>
        <v/>
      </c>
      <c r="G544">
        <f>IF(D544="V01",cad!$I$21,IF(D544="V02",cad!$J$21,cad!$K$21))</f>
        <v/>
      </c>
      <c r="H544">
        <f>IF(D544="V01",cad!$I$22,IF(D544="V02",cad!$J$22,cad!$K$22))</f>
        <v/>
      </c>
      <c r="I544">
        <f>IF(D544="V01",cad!$I$27,IF(D544="V02",cad!$J$27,cad!$K$27))</f>
        <v/>
      </c>
      <c r="J544">
        <f>IF(D544="V01",cad!$I$28,IF(D544="V02",cad!$J$28,cad!$K$28))</f>
        <v/>
      </c>
      <c r="K544">
        <f>IF(D544="V01",cad!$I$29,IF(D544="V02",cad!$J$29,cad!$K$29))</f>
        <v/>
      </c>
      <c r="L544">
        <f>IF(D544="V01",cad!$I$30,IF(D544="V02",cad!$J$30,cad!$K$30))</f>
        <v/>
      </c>
      <c r="M544">
        <f>IF(D544="V01",cad!$I$31,IF(D544="V02",cad!$J$31,cad!$K$31))</f>
        <v/>
      </c>
      <c r="N544">
        <f>IF(D544="V01",$R$2,IF(D544="V02",$R$3,$R$4))</f>
        <v/>
      </c>
      <c r="O544">
        <f>IF(OR(B544="7062",B544="706",B544="708"),N544,IF(B544="6231",1+G544,IF(B544="6236",1+H544,IF(OR(B544="621",B544="604",B544="6063"),N544*(1-L544),IF(OR(B544="6411",B544="6413",B544="6414",B544="645"),(1+J544)*(1+K544),IF(OR(B544="613",B544="615",B544="616",B544="6226",B544="625",B544="626",B544="6281"),(1+I544)*(1-L544)*(1+M544),IF(OR(B544="6331",B544="63511",B544="6333"),(1+I544)*(1-L544),IF(B544="6811",1+I544,1))))))))</f>
        <v/>
      </c>
      <c r="P544">
        <f>IF(E544=1,F544*O544,"")</f>
        <v/>
      </c>
    </row>
    <row r="545">
      <c r="A545">
        <f>PNL!A545</f>
        <v/>
      </c>
      <c r="B545">
        <f>PNL!B545</f>
        <v/>
      </c>
      <c r="C545">
        <f>PNL!C545</f>
        <v/>
      </c>
      <c r="D545">
        <f>PNL!D545</f>
        <v/>
      </c>
      <c r="E545">
        <f>IF(AND(C545="2027",OR(D545="V01",D545="V02",D545="V03")),1,0)</f>
        <v/>
      </c>
      <c r="F545">
        <f>IF(E545=1,SUMIFS(Compta!$F$2:$F$675,Compta!$A$2:$A$675,A545,Compta!$B$2:$B$675,B545,Compta!$C$2:$C$675,"2026"),0)</f>
        <v/>
      </c>
      <c r="G545">
        <f>IF(D545="V01",cad!$I$21,IF(D545="V02",cad!$J$21,cad!$K$21))</f>
        <v/>
      </c>
      <c r="H545">
        <f>IF(D545="V01",cad!$I$22,IF(D545="V02",cad!$J$22,cad!$K$22))</f>
        <v/>
      </c>
      <c r="I545">
        <f>IF(D545="V01",cad!$I$27,IF(D545="V02",cad!$J$27,cad!$K$27))</f>
        <v/>
      </c>
      <c r="J545">
        <f>IF(D545="V01",cad!$I$28,IF(D545="V02",cad!$J$28,cad!$K$28))</f>
        <v/>
      </c>
      <c r="K545">
        <f>IF(D545="V01",cad!$I$29,IF(D545="V02",cad!$J$29,cad!$K$29))</f>
        <v/>
      </c>
      <c r="L545">
        <f>IF(D545="V01",cad!$I$30,IF(D545="V02",cad!$J$30,cad!$K$30))</f>
        <v/>
      </c>
      <c r="M545">
        <f>IF(D545="V01",cad!$I$31,IF(D545="V02",cad!$J$31,cad!$K$31))</f>
        <v/>
      </c>
      <c r="N545">
        <f>IF(D545="V01",$R$2,IF(D545="V02",$R$3,$R$4))</f>
        <v/>
      </c>
      <c r="O545">
        <f>IF(OR(B545="7062",B545="706",B545="708"),N545,IF(B545="6231",1+G545,IF(B545="6236",1+H545,IF(OR(B545="621",B545="604",B545="6063"),N545*(1-L545),IF(OR(B545="6411",B545="6413",B545="6414",B545="645"),(1+J545)*(1+K545),IF(OR(B545="613",B545="615",B545="616",B545="6226",B545="625",B545="626",B545="6281"),(1+I545)*(1-L545)*(1+M545),IF(OR(B545="6331",B545="63511",B545="6333"),(1+I545)*(1-L545),IF(B545="6811",1+I545,1))))))))</f>
        <v/>
      </c>
      <c r="P545">
        <f>IF(E545=1,F545*O545,"")</f>
        <v/>
      </c>
    </row>
    <row r="546">
      <c r="A546">
        <f>PNL!A546</f>
        <v/>
      </c>
      <c r="B546">
        <f>PNL!B546</f>
        <v/>
      </c>
      <c r="C546">
        <f>PNL!C546</f>
        <v/>
      </c>
      <c r="D546">
        <f>PNL!D546</f>
        <v/>
      </c>
      <c r="E546">
        <f>IF(AND(C546="2027",OR(D546="V01",D546="V02",D546="V03")),1,0)</f>
        <v/>
      </c>
      <c r="F546">
        <f>IF(E546=1,SUMIFS(Compta!$F$2:$F$675,Compta!$A$2:$A$675,A546,Compta!$B$2:$B$675,B546,Compta!$C$2:$C$675,"2026"),0)</f>
        <v/>
      </c>
      <c r="G546">
        <f>IF(D546="V01",cad!$I$21,IF(D546="V02",cad!$J$21,cad!$K$21))</f>
        <v/>
      </c>
      <c r="H546">
        <f>IF(D546="V01",cad!$I$22,IF(D546="V02",cad!$J$22,cad!$K$22))</f>
        <v/>
      </c>
      <c r="I546">
        <f>IF(D546="V01",cad!$I$27,IF(D546="V02",cad!$J$27,cad!$K$27))</f>
        <v/>
      </c>
      <c r="J546">
        <f>IF(D546="V01",cad!$I$28,IF(D546="V02",cad!$J$28,cad!$K$28))</f>
        <v/>
      </c>
      <c r="K546">
        <f>IF(D546="V01",cad!$I$29,IF(D546="V02",cad!$J$29,cad!$K$29))</f>
        <v/>
      </c>
      <c r="L546">
        <f>IF(D546="V01",cad!$I$30,IF(D546="V02",cad!$J$30,cad!$K$30))</f>
        <v/>
      </c>
      <c r="M546">
        <f>IF(D546="V01",cad!$I$31,IF(D546="V02",cad!$J$31,cad!$K$31))</f>
        <v/>
      </c>
      <c r="N546">
        <f>IF(D546="V01",$R$2,IF(D546="V02",$R$3,$R$4))</f>
        <v/>
      </c>
      <c r="O546">
        <f>IF(OR(B546="7062",B546="706",B546="708"),N546,IF(B546="6231",1+G546,IF(B546="6236",1+H546,IF(OR(B546="621",B546="604",B546="6063"),N546*(1-L546),IF(OR(B546="6411",B546="6413",B546="6414",B546="645"),(1+J546)*(1+K546),IF(OR(B546="613",B546="615",B546="616",B546="6226",B546="625",B546="626",B546="6281"),(1+I546)*(1-L546)*(1+M546),IF(OR(B546="6331",B546="63511",B546="6333"),(1+I546)*(1-L546),IF(B546="6811",1+I546,1))))))))</f>
        <v/>
      </c>
      <c r="P546">
        <f>IF(E546=1,F546*O546,"")</f>
        <v/>
      </c>
    </row>
    <row r="547">
      <c r="A547">
        <f>PNL!A547</f>
        <v/>
      </c>
      <c r="B547">
        <f>PNL!B547</f>
        <v/>
      </c>
      <c r="C547">
        <f>PNL!C547</f>
        <v/>
      </c>
      <c r="D547">
        <f>PNL!D547</f>
        <v/>
      </c>
      <c r="E547">
        <f>IF(AND(C547="2027",OR(D547="V01",D547="V02",D547="V03")),1,0)</f>
        <v/>
      </c>
      <c r="F547">
        <f>IF(E547=1,SUMIFS(Compta!$F$2:$F$675,Compta!$A$2:$A$675,A547,Compta!$B$2:$B$675,B547,Compta!$C$2:$C$675,"2026"),0)</f>
        <v/>
      </c>
      <c r="G547">
        <f>IF(D547="V01",cad!$I$21,IF(D547="V02",cad!$J$21,cad!$K$21))</f>
        <v/>
      </c>
      <c r="H547">
        <f>IF(D547="V01",cad!$I$22,IF(D547="V02",cad!$J$22,cad!$K$22))</f>
        <v/>
      </c>
      <c r="I547">
        <f>IF(D547="V01",cad!$I$27,IF(D547="V02",cad!$J$27,cad!$K$27))</f>
        <v/>
      </c>
      <c r="J547">
        <f>IF(D547="V01",cad!$I$28,IF(D547="V02",cad!$J$28,cad!$K$28))</f>
        <v/>
      </c>
      <c r="K547">
        <f>IF(D547="V01",cad!$I$29,IF(D547="V02",cad!$J$29,cad!$K$29))</f>
        <v/>
      </c>
      <c r="L547">
        <f>IF(D547="V01",cad!$I$30,IF(D547="V02",cad!$J$30,cad!$K$30))</f>
        <v/>
      </c>
      <c r="M547">
        <f>IF(D547="V01",cad!$I$31,IF(D547="V02",cad!$J$31,cad!$K$31))</f>
        <v/>
      </c>
      <c r="N547">
        <f>IF(D547="V01",$R$2,IF(D547="V02",$R$3,$R$4))</f>
        <v/>
      </c>
      <c r="O547">
        <f>IF(OR(B547="7062",B547="706",B547="708"),N547,IF(B547="6231",1+G547,IF(B547="6236",1+H547,IF(OR(B547="621",B547="604",B547="6063"),N547*(1-L547),IF(OR(B547="6411",B547="6413",B547="6414",B547="645"),(1+J547)*(1+K547),IF(OR(B547="613",B547="615",B547="616",B547="6226",B547="625",B547="626",B547="6281"),(1+I547)*(1-L547)*(1+M547),IF(OR(B547="6331",B547="63511",B547="6333"),(1+I547)*(1-L547),IF(B547="6811",1+I547,1))))))))</f>
        <v/>
      </c>
      <c r="P547">
        <f>IF(E547=1,F547*O547,"")</f>
        <v/>
      </c>
    </row>
    <row r="548">
      <c r="A548">
        <f>PNL!A548</f>
        <v/>
      </c>
      <c r="B548">
        <f>PNL!B548</f>
        <v/>
      </c>
      <c r="C548">
        <f>PNL!C548</f>
        <v/>
      </c>
      <c r="D548">
        <f>PNL!D548</f>
        <v/>
      </c>
      <c r="E548">
        <f>IF(AND(C548="2027",OR(D548="V01",D548="V02",D548="V03")),1,0)</f>
        <v/>
      </c>
      <c r="F548">
        <f>IF(E548=1,SUMIFS(Compta!$F$2:$F$675,Compta!$A$2:$A$675,A548,Compta!$B$2:$B$675,B548,Compta!$C$2:$C$675,"2026"),0)</f>
        <v/>
      </c>
      <c r="G548">
        <f>IF(D548="V01",cad!$I$21,IF(D548="V02",cad!$J$21,cad!$K$21))</f>
        <v/>
      </c>
      <c r="H548">
        <f>IF(D548="V01",cad!$I$22,IF(D548="V02",cad!$J$22,cad!$K$22))</f>
        <v/>
      </c>
      <c r="I548">
        <f>IF(D548="V01",cad!$I$27,IF(D548="V02",cad!$J$27,cad!$K$27))</f>
        <v/>
      </c>
      <c r="J548">
        <f>IF(D548="V01",cad!$I$28,IF(D548="V02",cad!$J$28,cad!$K$28))</f>
        <v/>
      </c>
      <c r="K548">
        <f>IF(D548="V01",cad!$I$29,IF(D548="V02",cad!$J$29,cad!$K$29))</f>
        <v/>
      </c>
      <c r="L548">
        <f>IF(D548="V01",cad!$I$30,IF(D548="V02",cad!$J$30,cad!$K$30))</f>
        <v/>
      </c>
      <c r="M548">
        <f>IF(D548="V01",cad!$I$31,IF(D548="V02",cad!$J$31,cad!$K$31))</f>
        <v/>
      </c>
      <c r="N548">
        <f>IF(D548="V01",$R$2,IF(D548="V02",$R$3,$R$4))</f>
        <v/>
      </c>
      <c r="O548">
        <f>IF(OR(B548="7062",B548="706",B548="708"),N548,IF(B548="6231",1+G548,IF(B548="6236",1+H548,IF(OR(B548="621",B548="604",B548="6063"),N548*(1-L548),IF(OR(B548="6411",B548="6413",B548="6414",B548="645"),(1+J548)*(1+K548),IF(OR(B548="613",B548="615",B548="616",B548="6226",B548="625",B548="626",B548="6281"),(1+I548)*(1-L548)*(1+M548),IF(OR(B548="6331",B548="63511",B548="6333"),(1+I548)*(1-L548),IF(B548="6811",1+I548,1))))))))</f>
        <v/>
      </c>
      <c r="P548">
        <f>IF(E548=1,F548*O548,"")</f>
        <v/>
      </c>
    </row>
    <row r="549">
      <c r="A549">
        <f>PNL!A549</f>
        <v/>
      </c>
      <c r="B549">
        <f>PNL!B549</f>
        <v/>
      </c>
      <c r="C549">
        <f>PNL!C549</f>
        <v/>
      </c>
      <c r="D549">
        <f>PNL!D549</f>
        <v/>
      </c>
      <c r="E549">
        <f>IF(AND(C549="2027",OR(D549="V01",D549="V02",D549="V03")),1,0)</f>
        <v/>
      </c>
      <c r="F549">
        <f>IF(E549=1,SUMIFS(Compta!$F$2:$F$675,Compta!$A$2:$A$675,A549,Compta!$B$2:$B$675,B549,Compta!$C$2:$C$675,"2026"),0)</f>
        <v/>
      </c>
      <c r="G549">
        <f>IF(D549="V01",cad!$I$21,IF(D549="V02",cad!$J$21,cad!$K$21))</f>
        <v/>
      </c>
      <c r="H549">
        <f>IF(D549="V01",cad!$I$22,IF(D549="V02",cad!$J$22,cad!$K$22))</f>
        <v/>
      </c>
      <c r="I549">
        <f>IF(D549="V01",cad!$I$27,IF(D549="V02",cad!$J$27,cad!$K$27))</f>
        <v/>
      </c>
      <c r="J549">
        <f>IF(D549="V01",cad!$I$28,IF(D549="V02",cad!$J$28,cad!$K$28))</f>
        <v/>
      </c>
      <c r="K549">
        <f>IF(D549="V01",cad!$I$29,IF(D549="V02",cad!$J$29,cad!$K$29))</f>
        <v/>
      </c>
      <c r="L549">
        <f>IF(D549="V01",cad!$I$30,IF(D549="V02",cad!$J$30,cad!$K$30))</f>
        <v/>
      </c>
      <c r="M549">
        <f>IF(D549="V01",cad!$I$31,IF(D549="V02",cad!$J$31,cad!$K$31))</f>
        <v/>
      </c>
      <c r="N549">
        <f>IF(D549="V01",$R$2,IF(D549="V02",$R$3,$R$4))</f>
        <v/>
      </c>
      <c r="O549">
        <f>IF(OR(B549="7062",B549="706",B549="708"),N549,IF(B549="6231",1+G549,IF(B549="6236",1+H549,IF(OR(B549="621",B549="604",B549="6063"),N549*(1-L549),IF(OR(B549="6411",B549="6413",B549="6414",B549="645"),(1+J549)*(1+K549),IF(OR(B549="613",B549="615",B549="616",B549="6226",B549="625",B549="626",B549="6281"),(1+I549)*(1-L549)*(1+M549),IF(OR(B549="6331",B549="63511",B549="6333"),(1+I549)*(1-L549),IF(B549="6811",1+I549,1))))))))</f>
        <v/>
      </c>
      <c r="P549">
        <f>IF(E549=1,F549*O549,"")</f>
        <v/>
      </c>
    </row>
    <row r="550">
      <c r="A550">
        <f>PNL!A550</f>
        <v/>
      </c>
      <c r="B550">
        <f>PNL!B550</f>
        <v/>
      </c>
      <c r="C550">
        <f>PNL!C550</f>
        <v/>
      </c>
      <c r="D550">
        <f>PNL!D550</f>
        <v/>
      </c>
      <c r="E550">
        <f>IF(AND(C550="2027",OR(D550="V01",D550="V02",D550="V03")),1,0)</f>
        <v/>
      </c>
      <c r="F550">
        <f>IF(E550=1,SUMIFS(Compta!$F$2:$F$675,Compta!$A$2:$A$675,A550,Compta!$B$2:$B$675,B550,Compta!$C$2:$C$675,"2026"),0)</f>
        <v/>
      </c>
      <c r="G550">
        <f>IF(D550="V01",cad!$I$21,IF(D550="V02",cad!$J$21,cad!$K$21))</f>
        <v/>
      </c>
      <c r="H550">
        <f>IF(D550="V01",cad!$I$22,IF(D550="V02",cad!$J$22,cad!$K$22))</f>
        <v/>
      </c>
      <c r="I550">
        <f>IF(D550="V01",cad!$I$27,IF(D550="V02",cad!$J$27,cad!$K$27))</f>
        <v/>
      </c>
      <c r="J550">
        <f>IF(D550="V01",cad!$I$28,IF(D550="V02",cad!$J$28,cad!$K$28))</f>
        <v/>
      </c>
      <c r="K550">
        <f>IF(D550="V01",cad!$I$29,IF(D550="V02",cad!$J$29,cad!$K$29))</f>
        <v/>
      </c>
      <c r="L550">
        <f>IF(D550="V01",cad!$I$30,IF(D550="V02",cad!$J$30,cad!$K$30))</f>
        <v/>
      </c>
      <c r="M550">
        <f>IF(D550="V01",cad!$I$31,IF(D550="V02",cad!$J$31,cad!$K$31))</f>
        <v/>
      </c>
      <c r="N550">
        <f>IF(D550="V01",$R$2,IF(D550="V02",$R$3,$R$4))</f>
        <v/>
      </c>
      <c r="O550">
        <f>IF(OR(B550="7062",B550="706",B550="708"),N550,IF(B550="6231",1+G550,IF(B550="6236",1+H550,IF(OR(B550="621",B550="604",B550="6063"),N550*(1-L550),IF(OR(B550="6411",B550="6413",B550="6414",B550="645"),(1+J550)*(1+K550),IF(OR(B550="613",B550="615",B550="616",B550="6226",B550="625",B550="626",B550="6281"),(1+I550)*(1-L550)*(1+M550),IF(OR(B550="6331",B550="63511",B550="6333"),(1+I550)*(1-L550),IF(B550="6811",1+I550,1))))))))</f>
        <v/>
      </c>
      <c r="P550">
        <f>IF(E550=1,F550*O550,"")</f>
        <v/>
      </c>
    </row>
    <row r="551">
      <c r="A551">
        <f>PNL!A551</f>
        <v/>
      </c>
      <c r="B551">
        <f>PNL!B551</f>
        <v/>
      </c>
      <c r="C551">
        <f>PNL!C551</f>
        <v/>
      </c>
      <c r="D551">
        <f>PNL!D551</f>
        <v/>
      </c>
      <c r="E551">
        <f>IF(AND(C551="2027",OR(D551="V01",D551="V02",D551="V03")),1,0)</f>
        <v/>
      </c>
      <c r="F551">
        <f>IF(E551=1,SUMIFS(Compta!$F$2:$F$675,Compta!$A$2:$A$675,A551,Compta!$B$2:$B$675,B551,Compta!$C$2:$C$675,"2026"),0)</f>
        <v/>
      </c>
      <c r="G551">
        <f>IF(D551="V01",cad!$I$21,IF(D551="V02",cad!$J$21,cad!$K$21))</f>
        <v/>
      </c>
      <c r="H551">
        <f>IF(D551="V01",cad!$I$22,IF(D551="V02",cad!$J$22,cad!$K$22))</f>
        <v/>
      </c>
      <c r="I551">
        <f>IF(D551="V01",cad!$I$27,IF(D551="V02",cad!$J$27,cad!$K$27))</f>
        <v/>
      </c>
      <c r="J551">
        <f>IF(D551="V01",cad!$I$28,IF(D551="V02",cad!$J$28,cad!$K$28))</f>
        <v/>
      </c>
      <c r="K551">
        <f>IF(D551="V01",cad!$I$29,IF(D551="V02",cad!$J$29,cad!$K$29))</f>
        <v/>
      </c>
      <c r="L551">
        <f>IF(D551="V01",cad!$I$30,IF(D551="V02",cad!$J$30,cad!$K$30))</f>
        <v/>
      </c>
      <c r="M551">
        <f>IF(D551="V01",cad!$I$31,IF(D551="V02",cad!$J$31,cad!$K$31))</f>
        <v/>
      </c>
      <c r="N551">
        <f>IF(D551="V01",$R$2,IF(D551="V02",$R$3,$R$4))</f>
        <v/>
      </c>
      <c r="O551">
        <f>IF(OR(B551="7062",B551="706",B551="708"),N551,IF(B551="6231",1+G551,IF(B551="6236",1+H551,IF(OR(B551="621",B551="604",B551="6063"),N551*(1-L551),IF(OR(B551="6411",B551="6413",B551="6414",B551="645"),(1+J551)*(1+K551),IF(OR(B551="613",B551="615",B551="616",B551="6226",B551="625",B551="626",B551="6281"),(1+I551)*(1-L551)*(1+M551),IF(OR(B551="6331",B551="63511",B551="6333"),(1+I551)*(1-L551),IF(B551="6811",1+I551,1))))))))</f>
        <v/>
      </c>
      <c r="P551">
        <f>IF(E551=1,F551*O551,"")</f>
        <v/>
      </c>
    </row>
    <row r="552">
      <c r="A552">
        <f>PNL!A552</f>
        <v/>
      </c>
      <c r="B552">
        <f>PNL!B552</f>
        <v/>
      </c>
      <c r="C552">
        <f>PNL!C552</f>
        <v/>
      </c>
      <c r="D552">
        <f>PNL!D552</f>
        <v/>
      </c>
      <c r="E552">
        <f>IF(AND(C552="2027",OR(D552="V01",D552="V02",D552="V03")),1,0)</f>
        <v/>
      </c>
      <c r="F552">
        <f>IF(E552=1,SUMIFS(Compta!$F$2:$F$675,Compta!$A$2:$A$675,A552,Compta!$B$2:$B$675,B552,Compta!$C$2:$C$675,"2026"),0)</f>
        <v/>
      </c>
      <c r="G552">
        <f>IF(D552="V01",cad!$I$21,IF(D552="V02",cad!$J$21,cad!$K$21))</f>
        <v/>
      </c>
      <c r="H552">
        <f>IF(D552="V01",cad!$I$22,IF(D552="V02",cad!$J$22,cad!$K$22))</f>
        <v/>
      </c>
      <c r="I552">
        <f>IF(D552="V01",cad!$I$27,IF(D552="V02",cad!$J$27,cad!$K$27))</f>
        <v/>
      </c>
      <c r="J552">
        <f>IF(D552="V01",cad!$I$28,IF(D552="V02",cad!$J$28,cad!$K$28))</f>
        <v/>
      </c>
      <c r="K552">
        <f>IF(D552="V01",cad!$I$29,IF(D552="V02",cad!$J$29,cad!$K$29))</f>
        <v/>
      </c>
      <c r="L552">
        <f>IF(D552="V01",cad!$I$30,IF(D552="V02",cad!$J$30,cad!$K$30))</f>
        <v/>
      </c>
      <c r="M552">
        <f>IF(D552="V01",cad!$I$31,IF(D552="V02",cad!$J$31,cad!$K$31))</f>
        <v/>
      </c>
      <c r="N552">
        <f>IF(D552="V01",$R$2,IF(D552="V02",$R$3,$R$4))</f>
        <v/>
      </c>
      <c r="O552">
        <f>IF(OR(B552="7062",B552="706",B552="708"),N552,IF(B552="6231",1+G552,IF(B552="6236",1+H552,IF(OR(B552="621",B552="604",B552="6063"),N552*(1-L552),IF(OR(B552="6411",B552="6413",B552="6414",B552="645"),(1+J552)*(1+K552),IF(OR(B552="613",B552="615",B552="616",B552="6226",B552="625",B552="626",B552="6281"),(1+I552)*(1-L552)*(1+M552),IF(OR(B552="6331",B552="63511",B552="6333"),(1+I552)*(1-L552),IF(B552="6811",1+I552,1))))))))</f>
        <v/>
      </c>
      <c r="P552">
        <f>IF(E552=1,F552*O552,"")</f>
        <v/>
      </c>
    </row>
    <row r="553">
      <c r="A553">
        <f>PNL!A553</f>
        <v/>
      </c>
      <c r="B553">
        <f>PNL!B553</f>
        <v/>
      </c>
      <c r="C553">
        <f>PNL!C553</f>
        <v/>
      </c>
      <c r="D553">
        <f>PNL!D553</f>
        <v/>
      </c>
      <c r="E553">
        <f>IF(AND(C553="2027",OR(D553="V01",D553="V02",D553="V03")),1,0)</f>
        <v/>
      </c>
      <c r="F553">
        <f>IF(E553=1,SUMIFS(Compta!$F$2:$F$675,Compta!$A$2:$A$675,A553,Compta!$B$2:$B$675,B553,Compta!$C$2:$C$675,"2026"),0)</f>
        <v/>
      </c>
      <c r="G553">
        <f>IF(D553="V01",cad!$I$21,IF(D553="V02",cad!$J$21,cad!$K$21))</f>
        <v/>
      </c>
      <c r="H553">
        <f>IF(D553="V01",cad!$I$22,IF(D553="V02",cad!$J$22,cad!$K$22))</f>
        <v/>
      </c>
      <c r="I553">
        <f>IF(D553="V01",cad!$I$27,IF(D553="V02",cad!$J$27,cad!$K$27))</f>
        <v/>
      </c>
      <c r="J553">
        <f>IF(D553="V01",cad!$I$28,IF(D553="V02",cad!$J$28,cad!$K$28))</f>
        <v/>
      </c>
      <c r="K553">
        <f>IF(D553="V01",cad!$I$29,IF(D553="V02",cad!$J$29,cad!$K$29))</f>
        <v/>
      </c>
      <c r="L553">
        <f>IF(D553="V01",cad!$I$30,IF(D553="V02",cad!$J$30,cad!$K$30))</f>
        <v/>
      </c>
      <c r="M553">
        <f>IF(D553="V01",cad!$I$31,IF(D553="V02",cad!$J$31,cad!$K$31))</f>
        <v/>
      </c>
      <c r="N553">
        <f>IF(D553="V01",$R$2,IF(D553="V02",$R$3,$R$4))</f>
        <v/>
      </c>
      <c r="O553">
        <f>IF(OR(B553="7062",B553="706",B553="708"),N553,IF(B553="6231",1+G553,IF(B553="6236",1+H553,IF(OR(B553="621",B553="604",B553="6063"),N553*(1-L553),IF(OR(B553="6411",B553="6413",B553="6414",B553="645"),(1+J553)*(1+K553),IF(OR(B553="613",B553="615",B553="616",B553="6226",B553="625",B553="626",B553="6281"),(1+I553)*(1-L553)*(1+M553),IF(OR(B553="6331",B553="63511",B553="6333"),(1+I553)*(1-L553),IF(B553="6811",1+I553,1))))))))</f>
        <v/>
      </c>
      <c r="P553">
        <f>IF(E553=1,F553*O553,"")</f>
        <v/>
      </c>
    </row>
    <row r="554">
      <c r="A554">
        <f>PNL!A554</f>
        <v/>
      </c>
      <c r="B554">
        <f>PNL!B554</f>
        <v/>
      </c>
      <c r="C554">
        <f>PNL!C554</f>
        <v/>
      </c>
      <c r="D554">
        <f>PNL!D554</f>
        <v/>
      </c>
      <c r="E554">
        <f>IF(AND(C554="2027",OR(D554="V01",D554="V02",D554="V03")),1,0)</f>
        <v/>
      </c>
      <c r="F554">
        <f>IF(E554=1,SUMIFS(Compta!$F$2:$F$675,Compta!$A$2:$A$675,A554,Compta!$B$2:$B$675,B554,Compta!$C$2:$C$675,"2026"),0)</f>
        <v/>
      </c>
      <c r="G554">
        <f>IF(D554="V01",cad!$I$21,IF(D554="V02",cad!$J$21,cad!$K$21))</f>
        <v/>
      </c>
      <c r="H554">
        <f>IF(D554="V01",cad!$I$22,IF(D554="V02",cad!$J$22,cad!$K$22))</f>
        <v/>
      </c>
      <c r="I554">
        <f>IF(D554="V01",cad!$I$27,IF(D554="V02",cad!$J$27,cad!$K$27))</f>
        <v/>
      </c>
      <c r="J554">
        <f>IF(D554="V01",cad!$I$28,IF(D554="V02",cad!$J$28,cad!$K$28))</f>
        <v/>
      </c>
      <c r="K554">
        <f>IF(D554="V01",cad!$I$29,IF(D554="V02",cad!$J$29,cad!$K$29))</f>
        <v/>
      </c>
      <c r="L554">
        <f>IF(D554="V01",cad!$I$30,IF(D554="V02",cad!$J$30,cad!$K$30))</f>
        <v/>
      </c>
      <c r="M554">
        <f>IF(D554="V01",cad!$I$31,IF(D554="V02",cad!$J$31,cad!$K$31))</f>
        <v/>
      </c>
      <c r="N554">
        <f>IF(D554="V01",$R$2,IF(D554="V02",$R$3,$R$4))</f>
        <v/>
      </c>
      <c r="O554">
        <f>IF(OR(B554="7062",B554="706",B554="708"),N554,IF(B554="6231",1+G554,IF(B554="6236",1+H554,IF(OR(B554="621",B554="604",B554="6063"),N554*(1-L554),IF(OR(B554="6411",B554="6413",B554="6414",B554="645"),(1+J554)*(1+K554),IF(OR(B554="613",B554="615",B554="616",B554="6226",B554="625",B554="626",B554="6281"),(1+I554)*(1-L554)*(1+M554),IF(OR(B554="6331",B554="63511",B554="6333"),(1+I554)*(1-L554),IF(B554="6811",1+I554,1))))))))</f>
        <v/>
      </c>
      <c r="P554">
        <f>IF(E554=1,F554*O554,"")</f>
        <v/>
      </c>
    </row>
    <row r="555">
      <c r="A555">
        <f>PNL!A555</f>
        <v/>
      </c>
      <c r="B555">
        <f>PNL!B555</f>
        <v/>
      </c>
      <c r="C555">
        <f>PNL!C555</f>
        <v/>
      </c>
      <c r="D555">
        <f>PNL!D555</f>
        <v/>
      </c>
      <c r="E555">
        <f>IF(AND(C555="2027",OR(D555="V01",D555="V02",D555="V03")),1,0)</f>
        <v/>
      </c>
      <c r="F555">
        <f>IF(E555=1,SUMIFS(Compta!$F$2:$F$675,Compta!$A$2:$A$675,A555,Compta!$B$2:$B$675,B555,Compta!$C$2:$C$675,"2026"),0)</f>
        <v/>
      </c>
      <c r="G555">
        <f>IF(D555="V01",cad!$I$21,IF(D555="V02",cad!$J$21,cad!$K$21))</f>
        <v/>
      </c>
      <c r="H555">
        <f>IF(D555="V01",cad!$I$22,IF(D555="V02",cad!$J$22,cad!$K$22))</f>
        <v/>
      </c>
      <c r="I555">
        <f>IF(D555="V01",cad!$I$27,IF(D555="V02",cad!$J$27,cad!$K$27))</f>
        <v/>
      </c>
      <c r="J555">
        <f>IF(D555="V01",cad!$I$28,IF(D555="V02",cad!$J$28,cad!$K$28))</f>
        <v/>
      </c>
      <c r="K555">
        <f>IF(D555="V01",cad!$I$29,IF(D555="V02",cad!$J$29,cad!$K$29))</f>
        <v/>
      </c>
      <c r="L555">
        <f>IF(D555="V01",cad!$I$30,IF(D555="V02",cad!$J$30,cad!$K$30))</f>
        <v/>
      </c>
      <c r="M555">
        <f>IF(D555="V01",cad!$I$31,IF(D555="V02",cad!$J$31,cad!$K$31))</f>
        <v/>
      </c>
      <c r="N555">
        <f>IF(D555="V01",$R$2,IF(D555="V02",$R$3,$R$4))</f>
        <v/>
      </c>
      <c r="O555">
        <f>IF(OR(B555="7062",B555="706",B555="708"),N555,IF(B555="6231",1+G555,IF(B555="6236",1+H555,IF(OR(B555="621",B555="604",B555="6063"),N555*(1-L555),IF(OR(B555="6411",B555="6413",B555="6414",B555="645"),(1+J555)*(1+K555),IF(OR(B555="613",B555="615",B555="616",B555="6226",B555="625",B555="626",B555="6281"),(1+I555)*(1-L555)*(1+M555),IF(OR(B555="6331",B555="63511",B555="6333"),(1+I555)*(1-L555),IF(B555="6811",1+I555,1))))))))</f>
        <v/>
      </c>
      <c r="P555">
        <f>IF(E555=1,F555*O555,"")</f>
        <v/>
      </c>
    </row>
    <row r="556">
      <c r="A556">
        <f>PNL!A556</f>
        <v/>
      </c>
      <c r="B556">
        <f>PNL!B556</f>
        <v/>
      </c>
      <c r="C556">
        <f>PNL!C556</f>
        <v/>
      </c>
      <c r="D556">
        <f>PNL!D556</f>
        <v/>
      </c>
      <c r="E556">
        <f>IF(AND(C556="2027",OR(D556="V01",D556="V02",D556="V03")),1,0)</f>
        <v/>
      </c>
      <c r="F556">
        <f>IF(E556=1,SUMIFS(Compta!$F$2:$F$675,Compta!$A$2:$A$675,A556,Compta!$B$2:$B$675,B556,Compta!$C$2:$C$675,"2026"),0)</f>
        <v/>
      </c>
      <c r="G556">
        <f>IF(D556="V01",cad!$I$21,IF(D556="V02",cad!$J$21,cad!$K$21))</f>
        <v/>
      </c>
      <c r="H556">
        <f>IF(D556="V01",cad!$I$22,IF(D556="V02",cad!$J$22,cad!$K$22))</f>
        <v/>
      </c>
      <c r="I556">
        <f>IF(D556="V01",cad!$I$27,IF(D556="V02",cad!$J$27,cad!$K$27))</f>
        <v/>
      </c>
      <c r="J556">
        <f>IF(D556="V01",cad!$I$28,IF(D556="V02",cad!$J$28,cad!$K$28))</f>
        <v/>
      </c>
      <c r="K556">
        <f>IF(D556="V01",cad!$I$29,IF(D556="V02",cad!$J$29,cad!$K$29))</f>
        <v/>
      </c>
      <c r="L556">
        <f>IF(D556="V01",cad!$I$30,IF(D556="V02",cad!$J$30,cad!$K$30))</f>
        <v/>
      </c>
      <c r="M556">
        <f>IF(D556="V01",cad!$I$31,IF(D556="V02",cad!$J$31,cad!$K$31))</f>
        <v/>
      </c>
      <c r="N556">
        <f>IF(D556="V01",$R$2,IF(D556="V02",$R$3,$R$4))</f>
        <v/>
      </c>
      <c r="O556">
        <f>IF(OR(B556="7062",B556="706",B556="708"),N556,IF(B556="6231",1+G556,IF(B556="6236",1+H556,IF(OR(B556="621",B556="604",B556="6063"),N556*(1-L556),IF(OR(B556="6411",B556="6413",B556="6414",B556="645"),(1+J556)*(1+K556),IF(OR(B556="613",B556="615",B556="616",B556="6226",B556="625",B556="626",B556="6281"),(1+I556)*(1-L556)*(1+M556),IF(OR(B556="6331",B556="63511",B556="6333"),(1+I556)*(1-L556),IF(B556="6811",1+I556,1))))))))</f>
        <v/>
      </c>
      <c r="P556">
        <f>IF(E556=1,F556*O556,"")</f>
        <v/>
      </c>
    </row>
    <row r="557">
      <c r="A557">
        <f>PNL!A557</f>
        <v/>
      </c>
      <c r="B557">
        <f>PNL!B557</f>
        <v/>
      </c>
      <c r="C557">
        <f>PNL!C557</f>
        <v/>
      </c>
      <c r="D557">
        <f>PNL!D557</f>
        <v/>
      </c>
      <c r="E557">
        <f>IF(AND(C557="2027",OR(D557="V01",D557="V02",D557="V03")),1,0)</f>
        <v/>
      </c>
      <c r="F557">
        <f>IF(E557=1,SUMIFS(Compta!$F$2:$F$675,Compta!$A$2:$A$675,A557,Compta!$B$2:$B$675,B557,Compta!$C$2:$C$675,"2026"),0)</f>
        <v/>
      </c>
      <c r="G557">
        <f>IF(D557="V01",cad!$I$21,IF(D557="V02",cad!$J$21,cad!$K$21))</f>
        <v/>
      </c>
      <c r="H557">
        <f>IF(D557="V01",cad!$I$22,IF(D557="V02",cad!$J$22,cad!$K$22))</f>
        <v/>
      </c>
      <c r="I557">
        <f>IF(D557="V01",cad!$I$27,IF(D557="V02",cad!$J$27,cad!$K$27))</f>
        <v/>
      </c>
      <c r="J557">
        <f>IF(D557="V01",cad!$I$28,IF(D557="V02",cad!$J$28,cad!$K$28))</f>
        <v/>
      </c>
      <c r="K557">
        <f>IF(D557="V01",cad!$I$29,IF(D557="V02",cad!$J$29,cad!$K$29))</f>
        <v/>
      </c>
      <c r="L557">
        <f>IF(D557="V01",cad!$I$30,IF(D557="V02",cad!$J$30,cad!$K$30))</f>
        <v/>
      </c>
      <c r="M557">
        <f>IF(D557="V01",cad!$I$31,IF(D557="V02",cad!$J$31,cad!$K$31))</f>
        <v/>
      </c>
      <c r="N557">
        <f>IF(D557="V01",$R$2,IF(D557="V02",$R$3,$R$4))</f>
        <v/>
      </c>
      <c r="O557">
        <f>IF(OR(B557="7062",B557="706",B557="708"),N557,IF(B557="6231",1+G557,IF(B557="6236",1+H557,IF(OR(B557="621",B557="604",B557="6063"),N557*(1-L557),IF(OR(B557="6411",B557="6413",B557="6414",B557="645"),(1+J557)*(1+K557),IF(OR(B557="613",B557="615",B557="616",B557="6226",B557="625",B557="626",B557="6281"),(1+I557)*(1-L557)*(1+M557),IF(OR(B557="6331",B557="63511",B557="6333"),(1+I557)*(1-L557),IF(B557="6811",1+I557,1))))))))</f>
        <v/>
      </c>
      <c r="P557">
        <f>IF(E557=1,F557*O557,"")</f>
        <v/>
      </c>
    </row>
    <row r="558">
      <c r="A558">
        <f>PNL!A558</f>
        <v/>
      </c>
      <c r="B558">
        <f>PNL!B558</f>
        <v/>
      </c>
      <c r="C558">
        <f>PNL!C558</f>
        <v/>
      </c>
      <c r="D558">
        <f>PNL!D558</f>
        <v/>
      </c>
      <c r="E558">
        <f>IF(AND(C558="2027",OR(D558="V01",D558="V02",D558="V03")),1,0)</f>
        <v/>
      </c>
      <c r="F558">
        <f>IF(E558=1,SUMIFS(Compta!$F$2:$F$675,Compta!$A$2:$A$675,A558,Compta!$B$2:$B$675,B558,Compta!$C$2:$C$675,"2026"),0)</f>
        <v/>
      </c>
      <c r="G558">
        <f>IF(D558="V01",cad!$I$21,IF(D558="V02",cad!$J$21,cad!$K$21))</f>
        <v/>
      </c>
      <c r="H558">
        <f>IF(D558="V01",cad!$I$22,IF(D558="V02",cad!$J$22,cad!$K$22))</f>
        <v/>
      </c>
      <c r="I558">
        <f>IF(D558="V01",cad!$I$27,IF(D558="V02",cad!$J$27,cad!$K$27))</f>
        <v/>
      </c>
      <c r="J558">
        <f>IF(D558="V01",cad!$I$28,IF(D558="V02",cad!$J$28,cad!$K$28))</f>
        <v/>
      </c>
      <c r="K558">
        <f>IF(D558="V01",cad!$I$29,IF(D558="V02",cad!$J$29,cad!$K$29))</f>
        <v/>
      </c>
      <c r="L558">
        <f>IF(D558="V01",cad!$I$30,IF(D558="V02",cad!$J$30,cad!$K$30))</f>
        <v/>
      </c>
      <c r="M558">
        <f>IF(D558="V01",cad!$I$31,IF(D558="V02",cad!$J$31,cad!$K$31))</f>
        <v/>
      </c>
      <c r="N558">
        <f>IF(D558="V01",$R$2,IF(D558="V02",$R$3,$R$4))</f>
        <v/>
      </c>
      <c r="O558">
        <f>IF(OR(B558="7062",B558="706",B558="708"),N558,IF(B558="6231",1+G558,IF(B558="6236",1+H558,IF(OR(B558="621",B558="604",B558="6063"),N558*(1-L558),IF(OR(B558="6411",B558="6413",B558="6414",B558="645"),(1+J558)*(1+K558),IF(OR(B558="613",B558="615",B558="616",B558="6226",B558="625",B558="626",B558="6281"),(1+I558)*(1-L558)*(1+M558),IF(OR(B558="6331",B558="63511",B558="6333"),(1+I558)*(1-L558),IF(B558="6811",1+I558,1))))))))</f>
        <v/>
      </c>
      <c r="P558">
        <f>IF(E558=1,F558*O558,"")</f>
        <v/>
      </c>
    </row>
    <row r="559">
      <c r="A559">
        <f>PNL!A559</f>
        <v/>
      </c>
      <c r="B559">
        <f>PNL!B559</f>
        <v/>
      </c>
      <c r="C559">
        <f>PNL!C559</f>
        <v/>
      </c>
      <c r="D559">
        <f>PNL!D559</f>
        <v/>
      </c>
      <c r="E559">
        <f>IF(AND(C559="2027",OR(D559="V01",D559="V02",D559="V03")),1,0)</f>
        <v/>
      </c>
      <c r="F559">
        <f>IF(E559=1,SUMIFS(Compta!$F$2:$F$675,Compta!$A$2:$A$675,A559,Compta!$B$2:$B$675,B559,Compta!$C$2:$C$675,"2026"),0)</f>
        <v/>
      </c>
      <c r="G559">
        <f>IF(D559="V01",cad!$I$21,IF(D559="V02",cad!$J$21,cad!$K$21))</f>
        <v/>
      </c>
      <c r="H559">
        <f>IF(D559="V01",cad!$I$22,IF(D559="V02",cad!$J$22,cad!$K$22))</f>
        <v/>
      </c>
      <c r="I559">
        <f>IF(D559="V01",cad!$I$27,IF(D559="V02",cad!$J$27,cad!$K$27))</f>
        <v/>
      </c>
      <c r="J559">
        <f>IF(D559="V01",cad!$I$28,IF(D559="V02",cad!$J$28,cad!$K$28))</f>
        <v/>
      </c>
      <c r="K559">
        <f>IF(D559="V01",cad!$I$29,IF(D559="V02",cad!$J$29,cad!$K$29))</f>
        <v/>
      </c>
      <c r="L559">
        <f>IF(D559="V01",cad!$I$30,IF(D559="V02",cad!$J$30,cad!$K$30))</f>
        <v/>
      </c>
      <c r="M559">
        <f>IF(D559="V01",cad!$I$31,IF(D559="V02",cad!$J$31,cad!$K$31))</f>
        <v/>
      </c>
      <c r="N559">
        <f>IF(D559="V01",$R$2,IF(D559="V02",$R$3,$R$4))</f>
        <v/>
      </c>
      <c r="O559">
        <f>IF(OR(B559="7062",B559="706",B559="708"),N559,IF(B559="6231",1+G559,IF(B559="6236",1+H559,IF(OR(B559="621",B559="604",B559="6063"),N559*(1-L559),IF(OR(B559="6411",B559="6413",B559="6414",B559="645"),(1+J559)*(1+K559),IF(OR(B559="613",B559="615",B559="616",B559="6226",B559="625",B559="626",B559="6281"),(1+I559)*(1-L559)*(1+M559),IF(OR(B559="6331",B559="63511",B559="6333"),(1+I559)*(1-L559),IF(B559="6811",1+I559,1))))))))</f>
        <v/>
      </c>
      <c r="P559">
        <f>IF(E559=1,F559*O559,"")</f>
        <v/>
      </c>
    </row>
    <row r="560">
      <c r="A560">
        <f>PNL!A560</f>
        <v/>
      </c>
      <c r="B560">
        <f>PNL!B560</f>
        <v/>
      </c>
      <c r="C560">
        <f>PNL!C560</f>
        <v/>
      </c>
      <c r="D560">
        <f>PNL!D560</f>
        <v/>
      </c>
      <c r="E560">
        <f>IF(AND(C560="2027",OR(D560="V01",D560="V02",D560="V03")),1,0)</f>
        <v/>
      </c>
      <c r="F560">
        <f>IF(E560=1,SUMIFS(Compta!$F$2:$F$675,Compta!$A$2:$A$675,A560,Compta!$B$2:$B$675,B560,Compta!$C$2:$C$675,"2026"),0)</f>
        <v/>
      </c>
      <c r="G560">
        <f>IF(D560="V01",cad!$I$21,IF(D560="V02",cad!$J$21,cad!$K$21))</f>
        <v/>
      </c>
      <c r="H560">
        <f>IF(D560="V01",cad!$I$22,IF(D560="V02",cad!$J$22,cad!$K$22))</f>
        <v/>
      </c>
      <c r="I560">
        <f>IF(D560="V01",cad!$I$27,IF(D560="V02",cad!$J$27,cad!$K$27))</f>
        <v/>
      </c>
      <c r="J560">
        <f>IF(D560="V01",cad!$I$28,IF(D560="V02",cad!$J$28,cad!$K$28))</f>
        <v/>
      </c>
      <c r="K560">
        <f>IF(D560="V01",cad!$I$29,IF(D560="V02",cad!$J$29,cad!$K$29))</f>
        <v/>
      </c>
      <c r="L560">
        <f>IF(D560="V01",cad!$I$30,IF(D560="V02",cad!$J$30,cad!$K$30))</f>
        <v/>
      </c>
      <c r="M560">
        <f>IF(D560="V01",cad!$I$31,IF(D560="V02",cad!$J$31,cad!$K$31))</f>
        <v/>
      </c>
      <c r="N560">
        <f>IF(D560="V01",$R$2,IF(D560="V02",$R$3,$R$4))</f>
        <v/>
      </c>
      <c r="O560">
        <f>IF(OR(B560="7062",B560="706",B560="708"),N560,IF(B560="6231",1+G560,IF(B560="6236",1+H560,IF(OR(B560="621",B560="604",B560="6063"),N560*(1-L560),IF(OR(B560="6411",B560="6413",B560="6414",B560="645"),(1+J560)*(1+K560),IF(OR(B560="613",B560="615",B560="616",B560="6226",B560="625",B560="626",B560="6281"),(1+I560)*(1-L560)*(1+M560),IF(OR(B560="6331",B560="63511",B560="6333"),(1+I560)*(1-L560),IF(B560="6811",1+I560,1))))))))</f>
        <v/>
      </c>
      <c r="P560">
        <f>IF(E560=1,F560*O560,"")</f>
        <v/>
      </c>
    </row>
    <row r="561">
      <c r="A561">
        <f>PNL!A561</f>
        <v/>
      </c>
      <c r="B561">
        <f>PNL!B561</f>
        <v/>
      </c>
      <c r="C561">
        <f>PNL!C561</f>
        <v/>
      </c>
      <c r="D561">
        <f>PNL!D561</f>
        <v/>
      </c>
      <c r="E561">
        <f>IF(AND(C561="2027",OR(D561="V01",D561="V02",D561="V03")),1,0)</f>
        <v/>
      </c>
      <c r="F561">
        <f>IF(E561=1,SUMIFS(Compta!$F$2:$F$675,Compta!$A$2:$A$675,A561,Compta!$B$2:$B$675,B561,Compta!$C$2:$C$675,"2026"),0)</f>
        <v/>
      </c>
      <c r="G561">
        <f>IF(D561="V01",cad!$I$21,IF(D561="V02",cad!$J$21,cad!$K$21))</f>
        <v/>
      </c>
      <c r="H561">
        <f>IF(D561="V01",cad!$I$22,IF(D561="V02",cad!$J$22,cad!$K$22))</f>
        <v/>
      </c>
      <c r="I561">
        <f>IF(D561="V01",cad!$I$27,IF(D561="V02",cad!$J$27,cad!$K$27))</f>
        <v/>
      </c>
      <c r="J561">
        <f>IF(D561="V01",cad!$I$28,IF(D561="V02",cad!$J$28,cad!$K$28))</f>
        <v/>
      </c>
      <c r="K561">
        <f>IF(D561="V01",cad!$I$29,IF(D561="V02",cad!$J$29,cad!$K$29))</f>
        <v/>
      </c>
      <c r="L561">
        <f>IF(D561="V01",cad!$I$30,IF(D561="V02",cad!$J$30,cad!$K$30))</f>
        <v/>
      </c>
      <c r="M561">
        <f>IF(D561="V01",cad!$I$31,IF(D561="V02",cad!$J$31,cad!$K$31))</f>
        <v/>
      </c>
      <c r="N561">
        <f>IF(D561="V01",$R$2,IF(D561="V02",$R$3,$R$4))</f>
        <v/>
      </c>
      <c r="O561">
        <f>IF(OR(B561="7062",B561="706",B561="708"),N561,IF(B561="6231",1+G561,IF(B561="6236",1+H561,IF(OR(B561="621",B561="604",B561="6063"),N561*(1-L561),IF(OR(B561="6411",B561="6413",B561="6414",B561="645"),(1+J561)*(1+K561),IF(OR(B561="613",B561="615",B561="616",B561="6226",B561="625",B561="626",B561="6281"),(1+I561)*(1-L561)*(1+M561),IF(OR(B561="6331",B561="63511",B561="6333"),(1+I561)*(1-L561),IF(B561="6811",1+I561,1))))))))</f>
        <v/>
      </c>
      <c r="P561">
        <f>IF(E561=1,F561*O561,"")</f>
        <v/>
      </c>
    </row>
    <row r="562">
      <c r="A562">
        <f>PNL!A562</f>
        <v/>
      </c>
      <c r="B562">
        <f>PNL!B562</f>
        <v/>
      </c>
      <c r="C562">
        <f>PNL!C562</f>
        <v/>
      </c>
      <c r="D562">
        <f>PNL!D562</f>
        <v/>
      </c>
      <c r="E562">
        <f>IF(AND(C562="2027",OR(D562="V01",D562="V02",D562="V03")),1,0)</f>
        <v/>
      </c>
      <c r="F562">
        <f>IF(E562=1,SUMIFS(Compta!$F$2:$F$675,Compta!$A$2:$A$675,A562,Compta!$B$2:$B$675,B562,Compta!$C$2:$C$675,"2026"),0)</f>
        <v/>
      </c>
      <c r="G562">
        <f>IF(D562="V01",cad!$I$21,IF(D562="V02",cad!$J$21,cad!$K$21))</f>
        <v/>
      </c>
      <c r="H562">
        <f>IF(D562="V01",cad!$I$22,IF(D562="V02",cad!$J$22,cad!$K$22))</f>
        <v/>
      </c>
      <c r="I562">
        <f>IF(D562="V01",cad!$I$27,IF(D562="V02",cad!$J$27,cad!$K$27))</f>
        <v/>
      </c>
      <c r="J562">
        <f>IF(D562="V01",cad!$I$28,IF(D562="V02",cad!$J$28,cad!$K$28))</f>
        <v/>
      </c>
      <c r="K562">
        <f>IF(D562="V01",cad!$I$29,IF(D562="V02",cad!$J$29,cad!$K$29))</f>
        <v/>
      </c>
      <c r="L562">
        <f>IF(D562="V01",cad!$I$30,IF(D562="V02",cad!$J$30,cad!$K$30))</f>
        <v/>
      </c>
      <c r="M562">
        <f>IF(D562="V01",cad!$I$31,IF(D562="V02",cad!$J$31,cad!$K$31))</f>
        <v/>
      </c>
      <c r="N562">
        <f>IF(D562="V01",$R$2,IF(D562="V02",$R$3,$R$4))</f>
        <v/>
      </c>
      <c r="O562">
        <f>IF(OR(B562="7062",B562="706",B562="708"),N562,IF(B562="6231",1+G562,IF(B562="6236",1+H562,IF(OR(B562="621",B562="604",B562="6063"),N562*(1-L562),IF(OR(B562="6411",B562="6413",B562="6414",B562="645"),(1+J562)*(1+K562),IF(OR(B562="613",B562="615",B562="616",B562="6226",B562="625",B562="626",B562="6281"),(1+I562)*(1-L562)*(1+M562),IF(OR(B562="6331",B562="63511",B562="6333"),(1+I562)*(1-L562),IF(B562="6811",1+I562,1))))))))</f>
        <v/>
      </c>
      <c r="P562">
        <f>IF(E562=1,F562*O562,"")</f>
        <v/>
      </c>
    </row>
    <row r="563">
      <c r="A563">
        <f>PNL!A563</f>
        <v/>
      </c>
      <c r="B563">
        <f>PNL!B563</f>
        <v/>
      </c>
      <c r="C563">
        <f>PNL!C563</f>
        <v/>
      </c>
      <c r="D563">
        <f>PNL!D563</f>
        <v/>
      </c>
      <c r="E563">
        <f>IF(AND(C563="2027",OR(D563="V01",D563="V02",D563="V03")),1,0)</f>
        <v/>
      </c>
      <c r="F563">
        <f>IF(E563=1,SUMIFS(Compta!$F$2:$F$675,Compta!$A$2:$A$675,A563,Compta!$B$2:$B$675,B563,Compta!$C$2:$C$675,"2026"),0)</f>
        <v/>
      </c>
      <c r="G563">
        <f>IF(D563="V01",cad!$I$21,IF(D563="V02",cad!$J$21,cad!$K$21))</f>
        <v/>
      </c>
      <c r="H563">
        <f>IF(D563="V01",cad!$I$22,IF(D563="V02",cad!$J$22,cad!$K$22))</f>
        <v/>
      </c>
      <c r="I563">
        <f>IF(D563="V01",cad!$I$27,IF(D563="V02",cad!$J$27,cad!$K$27))</f>
        <v/>
      </c>
      <c r="J563">
        <f>IF(D563="V01",cad!$I$28,IF(D563="V02",cad!$J$28,cad!$K$28))</f>
        <v/>
      </c>
      <c r="K563">
        <f>IF(D563="V01",cad!$I$29,IF(D563="V02",cad!$J$29,cad!$K$29))</f>
        <v/>
      </c>
      <c r="L563">
        <f>IF(D563="V01",cad!$I$30,IF(D563="V02",cad!$J$30,cad!$K$30))</f>
        <v/>
      </c>
      <c r="M563">
        <f>IF(D563="V01",cad!$I$31,IF(D563="V02",cad!$J$31,cad!$K$31))</f>
        <v/>
      </c>
      <c r="N563">
        <f>IF(D563="V01",$R$2,IF(D563="V02",$R$3,$R$4))</f>
        <v/>
      </c>
      <c r="O563">
        <f>IF(OR(B563="7062",B563="706",B563="708"),N563,IF(B563="6231",1+G563,IF(B563="6236",1+H563,IF(OR(B563="621",B563="604",B563="6063"),N563*(1-L563),IF(OR(B563="6411",B563="6413",B563="6414",B563="645"),(1+J563)*(1+K563),IF(OR(B563="613",B563="615",B563="616",B563="6226",B563="625",B563="626",B563="6281"),(1+I563)*(1-L563)*(1+M563),IF(OR(B563="6331",B563="63511",B563="6333"),(1+I563)*(1-L563),IF(B563="6811",1+I563,1))))))))</f>
        <v/>
      </c>
      <c r="P563">
        <f>IF(E563=1,F563*O563,"")</f>
        <v/>
      </c>
    </row>
    <row r="564">
      <c r="A564">
        <f>PNL!A564</f>
        <v/>
      </c>
      <c r="B564">
        <f>PNL!B564</f>
        <v/>
      </c>
      <c r="C564">
        <f>PNL!C564</f>
        <v/>
      </c>
      <c r="D564">
        <f>PNL!D564</f>
        <v/>
      </c>
      <c r="E564">
        <f>IF(AND(C564="2027",OR(D564="V01",D564="V02",D564="V03")),1,0)</f>
        <v/>
      </c>
      <c r="F564">
        <f>IF(E564=1,SUMIFS(Compta!$F$2:$F$675,Compta!$A$2:$A$675,A564,Compta!$B$2:$B$675,B564,Compta!$C$2:$C$675,"2026"),0)</f>
        <v/>
      </c>
      <c r="G564">
        <f>IF(D564="V01",cad!$I$21,IF(D564="V02",cad!$J$21,cad!$K$21))</f>
        <v/>
      </c>
      <c r="H564">
        <f>IF(D564="V01",cad!$I$22,IF(D564="V02",cad!$J$22,cad!$K$22))</f>
        <v/>
      </c>
      <c r="I564">
        <f>IF(D564="V01",cad!$I$27,IF(D564="V02",cad!$J$27,cad!$K$27))</f>
        <v/>
      </c>
      <c r="J564">
        <f>IF(D564="V01",cad!$I$28,IF(D564="V02",cad!$J$28,cad!$K$28))</f>
        <v/>
      </c>
      <c r="K564">
        <f>IF(D564="V01",cad!$I$29,IF(D564="V02",cad!$J$29,cad!$K$29))</f>
        <v/>
      </c>
      <c r="L564">
        <f>IF(D564="V01",cad!$I$30,IF(D564="V02",cad!$J$30,cad!$K$30))</f>
        <v/>
      </c>
      <c r="M564">
        <f>IF(D564="V01",cad!$I$31,IF(D564="V02",cad!$J$31,cad!$K$31))</f>
        <v/>
      </c>
      <c r="N564">
        <f>IF(D564="V01",$R$2,IF(D564="V02",$R$3,$R$4))</f>
        <v/>
      </c>
      <c r="O564">
        <f>IF(OR(B564="7062",B564="706",B564="708"),N564,IF(B564="6231",1+G564,IF(B564="6236",1+H564,IF(OR(B564="621",B564="604",B564="6063"),N564*(1-L564),IF(OR(B564="6411",B564="6413",B564="6414",B564="645"),(1+J564)*(1+K564),IF(OR(B564="613",B564="615",B564="616",B564="6226",B564="625",B564="626",B564="6281"),(1+I564)*(1-L564)*(1+M564),IF(OR(B564="6331",B564="63511",B564="6333"),(1+I564)*(1-L564),IF(B564="6811",1+I564,1))))))))</f>
        <v/>
      </c>
      <c r="P564">
        <f>IF(E564=1,F564*O564,"")</f>
        <v/>
      </c>
    </row>
    <row r="565">
      <c r="A565">
        <f>PNL!A565</f>
        <v/>
      </c>
      <c r="B565">
        <f>PNL!B565</f>
        <v/>
      </c>
      <c r="C565">
        <f>PNL!C565</f>
        <v/>
      </c>
      <c r="D565">
        <f>PNL!D565</f>
        <v/>
      </c>
      <c r="E565">
        <f>IF(AND(C565="2027",OR(D565="V01",D565="V02",D565="V03")),1,0)</f>
        <v/>
      </c>
      <c r="F565">
        <f>IF(E565=1,SUMIFS(Compta!$F$2:$F$675,Compta!$A$2:$A$675,A565,Compta!$B$2:$B$675,B565,Compta!$C$2:$C$675,"2026"),0)</f>
        <v/>
      </c>
      <c r="G565">
        <f>IF(D565="V01",cad!$I$21,IF(D565="V02",cad!$J$21,cad!$K$21))</f>
        <v/>
      </c>
      <c r="H565">
        <f>IF(D565="V01",cad!$I$22,IF(D565="V02",cad!$J$22,cad!$K$22))</f>
        <v/>
      </c>
      <c r="I565">
        <f>IF(D565="V01",cad!$I$27,IF(D565="V02",cad!$J$27,cad!$K$27))</f>
        <v/>
      </c>
      <c r="J565">
        <f>IF(D565="V01",cad!$I$28,IF(D565="V02",cad!$J$28,cad!$K$28))</f>
        <v/>
      </c>
      <c r="K565">
        <f>IF(D565="V01",cad!$I$29,IF(D565="V02",cad!$J$29,cad!$K$29))</f>
        <v/>
      </c>
      <c r="L565">
        <f>IF(D565="V01",cad!$I$30,IF(D565="V02",cad!$J$30,cad!$K$30))</f>
        <v/>
      </c>
      <c r="M565">
        <f>IF(D565="V01",cad!$I$31,IF(D565="V02",cad!$J$31,cad!$K$31))</f>
        <v/>
      </c>
      <c r="N565">
        <f>IF(D565="V01",$R$2,IF(D565="V02",$R$3,$R$4))</f>
        <v/>
      </c>
      <c r="O565">
        <f>IF(OR(B565="7062",B565="706",B565="708"),N565,IF(B565="6231",1+G565,IF(B565="6236",1+H565,IF(OR(B565="621",B565="604",B565="6063"),N565*(1-L565),IF(OR(B565="6411",B565="6413",B565="6414",B565="645"),(1+J565)*(1+K565),IF(OR(B565="613",B565="615",B565="616",B565="6226",B565="625",B565="626",B565="6281"),(1+I565)*(1-L565)*(1+M565),IF(OR(B565="6331",B565="63511",B565="6333"),(1+I565)*(1-L565),IF(B565="6811",1+I565,1))))))))</f>
        <v/>
      </c>
      <c r="P565">
        <f>IF(E565=1,F565*O565,"")</f>
        <v/>
      </c>
    </row>
    <row r="566">
      <c r="A566">
        <f>PNL!A566</f>
        <v/>
      </c>
      <c r="B566">
        <f>PNL!B566</f>
        <v/>
      </c>
      <c r="C566">
        <f>PNL!C566</f>
        <v/>
      </c>
      <c r="D566">
        <f>PNL!D566</f>
        <v/>
      </c>
      <c r="E566">
        <f>IF(AND(C566="2027",OR(D566="V01",D566="V02",D566="V03")),1,0)</f>
        <v/>
      </c>
      <c r="F566">
        <f>IF(E566=1,SUMIFS(Compta!$F$2:$F$675,Compta!$A$2:$A$675,A566,Compta!$B$2:$B$675,B566,Compta!$C$2:$C$675,"2026"),0)</f>
        <v/>
      </c>
      <c r="G566">
        <f>IF(D566="V01",cad!$I$21,IF(D566="V02",cad!$J$21,cad!$K$21))</f>
        <v/>
      </c>
      <c r="H566">
        <f>IF(D566="V01",cad!$I$22,IF(D566="V02",cad!$J$22,cad!$K$22))</f>
        <v/>
      </c>
      <c r="I566">
        <f>IF(D566="V01",cad!$I$27,IF(D566="V02",cad!$J$27,cad!$K$27))</f>
        <v/>
      </c>
      <c r="J566">
        <f>IF(D566="V01",cad!$I$28,IF(D566="V02",cad!$J$28,cad!$K$28))</f>
        <v/>
      </c>
      <c r="K566">
        <f>IF(D566="V01",cad!$I$29,IF(D566="V02",cad!$J$29,cad!$K$29))</f>
        <v/>
      </c>
      <c r="L566">
        <f>IF(D566="V01",cad!$I$30,IF(D566="V02",cad!$J$30,cad!$K$30))</f>
        <v/>
      </c>
      <c r="M566">
        <f>IF(D566="V01",cad!$I$31,IF(D566="V02",cad!$J$31,cad!$K$31))</f>
        <v/>
      </c>
      <c r="N566">
        <f>IF(D566="V01",$R$2,IF(D566="V02",$R$3,$R$4))</f>
        <v/>
      </c>
      <c r="O566">
        <f>IF(OR(B566="7062",B566="706",B566="708"),N566,IF(B566="6231",1+G566,IF(B566="6236",1+H566,IF(OR(B566="621",B566="604",B566="6063"),N566*(1-L566),IF(OR(B566="6411",B566="6413",B566="6414",B566="645"),(1+J566)*(1+K566),IF(OR(B566="613",B566="615",B566="616",B566="6226",B566="625",B566="626",B566="6281"),(1+I566)*(1-L566)*(1+M566),IF(OR(B566="6331",B566="63511",B566="6333"),(1+I566)*(1-L566),IF(B566="6811",1+I566,1))))))))</f>
        <v/>
      </c>
      <c r="P566">
        <f>IF(E566=1,F566*O566,"")</f>
        <v/>
      </c>
    </row>
    <row r="567">
      <c r="A567">
        <f>PNL!A567</f>
        <v/>
      </c>
      <c r="B567">
        <f>PNL!B567</f>
        <v/>
      </c>
      <c r="C567">
        <f>PNL!C567</f>
        <v/>
      </c>
      <c r="D567">
        <f>PNL!D567</f>
        <v/>
      </c>
      <c r="E567">
        <f>IF(AND(C567="2027",OR(D567="V01",D567="V02",D567="V03")),1,0)</f>
        <v/>
      </c>
      <c r="F567">
        <f>IF(E567=1,SUMIFS(Compta!$F$2:$F$675,Compta!$A$2:$A$675,A567,Compta!$B$2:$B$675,B567,Compta!$C$2:$C$675,"2026"),0)</f>
        <v/>
      </c>
      <c r="G567">
        <f>IF(D567="V01",cad!$I$21,IF(D567="V02",cad!$J$21,cad!$K$21))</f>
        <v/>
      </c>
      <c r="H567">
        <f>IF(D567="V01",cad!$I$22,IF(D567="V02",cad!$J$22,cad!$K$22))</f>
        <v/>
      </c>
      <c r="I567">
        <f>IF(D567="V01",cad!$I$27,IF(D567="V02",cad!$J$27,cad!$K$27))</f>
        <v/>
      </c>
      <c r="J567">
        <f>IF(D567="V01",cad!$I$28,IF(D567="V02",cad!$J$28,cad!$K$28))</f>
        <v/>
      </c>
      <c r="K567">
        <f>IF(D567="V01",cad!$I$29,IF(D567="V02",cad!$J$29,cad!$K$29))</f>
        <v/>
      </c>
      <c r="L567">
        <f>IF(D567="V01",cad!$I$30,IF(D567="V02",cad!$J$30,cad!$K$30))</f>
        <v/>
      </c>
      <c r="M567">
        <f>IF(D567="V01",cad!$I$31,IF(D567="V02",cad!$J$31,cad!$K$31))</f>
        <v/>
      </c>
      <c r="N567">
        <f>IF(D567="V01",$R$2,IF(D567="V02",$R$3,$R$4))</f>
        <v/>
      </c>
      <c r="O567">
        <f>IF(OR(B567="7062",B567="706",B567="708"),N567,IF(B567="6231",1+G567,IF(B567="6236",1+H567,IF(OR(B567="621",B567="604",B567="6063"),N567*(1-L567),IF(OR(B567="6411",B567="6413",B567="6414",B567="645"),(1+J567)*(1+K567),IF(OR(B567="613",B567="615",B567="616",B567="6226",B567="625",B567="626",B567="6281"),(1+I567)*(1-L567)*(1+M567),IF(OR(B567="6331",B567="63511",B567="6333"),(1+I567)*(1-L567),IF(B567="6811",1+I567,1))))))))</f>
        <v/>
      </c>
      <c r="P567">
        <f>IF(E567=1,F567*O567,"")</f>
        <v/>
      </c>
    </row>
    <row r="568">
      <c r="A568">
        <f>PNL!A568</f>
        <v/>
      </c>
      <c r="B568">
        <f>PNL!B568</f>
        <v/>
      </c>
      <c r="C568">
        <f>PNL!C568</f>
        <v/>
      </c>
      <c r="D568">
        <f>PNL!D568</f>
        <v/>
      </c>
      <c r="E568">
        <f>IF(AND(C568="2027",OR(D568="V01",D568="V02",D568="V03")),1,0)</f>
        <v/>
      </c>
      <c r="F568">
        <f>IF(E568=1,SUMIFS(Compta!$F$2:$F$675,Compta!$A$2:$A$675,A568,Compta!$B$2:$B$675,B568,Compta!$C$2:$C$675,"2026"),0)</f>
        <v/>
      </c>
      <c r="G568">
        <f>IF(D568="V01",cad!$I$21,IF(D568="V02",cad!$J$21,cad!$K$21))</f>
        <v/>
      </c>
      <c r="H568">
        <f>IF(D568="V01",cad!$I$22,IF(D568="V02",cad!$J$22,cad!$K$22))</f>
        <v/>
      </c>
      <c r="I568">
        <f>IF(D568="V01",cad!$I$27,IF(D568="V02",cad!$J$27,cad!$K$27))</f>
        <v/>
      </c>
      <c r="J568">
        <f>IF(D568="V01",cad!$I$28,IF(D568="V02",cad!$J$28,cad!$K$28))</f>
        <v/>
      </c>
      <c r="K568">
        <f>IF(D568="V01",cad!$I$29,IF(D568="V02",cad!$J$29,cad!$K$29))</f>
        <v/>
      </c>
      <c r="L568">
        <f>IF(D568="V01",cad!$I$30,IF(D568="V02",cad!$J$30,cad!$K$30))</f>
        <v/>
      </c>
      <c r="M568">
        <f>IF(D568="V01",cad!$I$31,IF(D568="V02",cad!$J$31,cad!$K$31))</f>
        <v/>
      </c>
      <c r="N568">
        <f>IF(D568="V01",$R$2,IF(D568="V02",$R$3,$R$4))</f>
        <v/>
      </c>
      <c r="O568">
        <f>IF(OR(B568="7062",B568="706",B568="708"),N568,IF(B568="6231",1+G568,IF(B568="6236",1+H568,IF(OR(B568="621",B568="604",B568="6063"),N568*(1-L568),IF(OR(B568="6411",B568="6413",B568="6414",B568="645"),(1+J568)*(1+K568),IF(OR(B568="613",B568="615",B568="616",B568="6226",B568="625",B568="626",B568="6281"),(1+I568)*(1-L568)*(1+M568),IF(OR(B568="6331",B568="63511",B568="6333"),(1+I568)*(1-L568),IF(B568="6811",1+I568,1))))))))</f>
        <v/>
      </c>
      <c r="P568">
        <f>IF(E568=1,F568*O568,"")</f>
        <v/>
      </c>
    </row>
    <row r="569">
      <c r="A569">
        <f>PNL!A569</f>
        <v/>
      </c>
      <c r="B569">
        <f>PNL!B569</f>
        <v/>
      </c>
      <c r="C569">
        <f>PNL!C569</f>
        <v/>
      </c>
      <c r="D569">
        <f>PNL!D569</f>
        <v/>
      </c>
      <c r="E569">
        <f>IF(AND(C569="2027",OR(D569="V01",D569="V02",D569="V03")),1,0)</f>
        <v/>
      </c>
      <c r="F569">
        <f>IF(E569=1,SUMIFS(Compta!$F$2:$F$675,Compta!$A$2:$A$675,A569,Compta!$B$2:$B$675,B569,Compta!$C$2:$C$675,"2026"),0)</f>
        <v/>
      </c>
      <c r="G569">
        <f>IF(D569="V01",cad!$I$21,IF(D569="V02",cad!$J$21,cad!$K$21))</f>
        <v/>
      </c>
      <c r="H569">
        <f>IF(D569="V01",cad!$I$22,IF(D569="V02",cad!$J$22,cad!$K$22))</f>
        <v/>
      </c>
      <c r="I569">
        <f>IF(D569="V01",cad!$I$27,IF(D569="V02",cad!$J$27,cad!$K$27))</f>
        <v/>
      </c>
      <c r="J569">
        <f>IF(D569="V01",cad!$I$28,IF(D569="V02",cad!$J$28,cad!$K$28))</f>
        <v/>
      </c>
      <c r="K569">
        <f>IF(D569="V01",cad!$I$29,IF(D569="V02",cad!$J$29,cad!$K$29))</f>
        <v/>
      </c>
      <c r="L569">
        <f>IF(D569="V01",cad!$I$30,IF(D569="V02",cad!$J$30,cad!$K$30))</f>
        <v/>
      </c>
      <c r="M569">
        <f>IF(D569="V01",cad!$I$31,IF(D569="V02",cad!$J$31,cad!$K$31))</f>
        <v/>
      </c>
      <c r="N569">
        <f>IF(D569="V01",$R$2,IF(D569="V02",$R$3,$R$4))</f>
        <v/>
      </c>
      <c r="O569">
        <f>IF(OR(B569="7062",B569="706",B569="708"),N569,IF(B569="6231",1+G569,IF(B569="6236",1+H569,IF(OR(B569="621",B569="604",B569="6063"),N569*(1-L569),IF(OR(B569="6411",B569="6413",B569="6414",B569="645"),(1+J569)*(1+K569),IF(OR(B569="613",B569="615",B569="616",B569="6226",B569="625",B569="626",B569="6281"),(1+I569)*(1-L569)*(1+M569),IF(OR(B569="6331",B569="63511",B569="6333"),(1+I569)*(1-L569),IF(B569="6811",1+I569,1))))))))</f>
        <v/>
      </c>
      <c r="P569">
        <f>IF(E569=1,F569*O569,"")</f>
        <v/>
      </c>
    </row>
    <row r="570">
      <c r="A570">
        <f>PNL!A570</f>
        <v/>
      </c>
      <c r="B570">
        <f>PNL!B570</f>
        <v/>
      </c>
      <c r="C570">
        <f>PNL!C570</f>
        <v/>
      </c>
      <c r="D570">
        <f>PNL!D570</f>
        <v/>
      </c>
      <c r="E570">
        <f>IF(AND(C570="2027",OR(D570="V01",D570="V02",D570="V03")),1,0)</f>
        <v/>
      </c>
      <c r="F570">
        <f>IF(E570=1,SUMIFS(Compta!$F$2:$F$675,Compta!$A$2:$A$675,A570,Compta!$B$2:$B$675,B570,Compta!$C$2:$C$675,"2026"),0)</f>
        <v/>
      </c>
      <c r="G570">
        <f>IF(D570="V01",cad!$I$21,IF(D570="V02",cad!$J$21,cad!$K$21))</f>
        <v/>
      </c>
      <c r="H570">
        <f>IF(D570="V01",cad!$I$22,IF(D570="V02",cad!$J$22,cad!$K$22))</f>
        <v/>
      </c>
      <c r="I570">
        <f>IF(D570="V01",cad!$I$27,IF(D570="V02",cad!$J$27,cad!$K$27))</f>
        <v/>
      </c>
      <c r="J570">
        <f>IF(D570="V01",cad!$I$28,IF(D570="V02",cad!$J$28,cad!$K$28))</f>
        <v/>
      </c>
      <c r="K570">
        <f>IF(D570="V01",cad!$I$29,IF(D570="V02",cad!$J$29,cad!$K$29))</f>
        <v/>
      </c>
      <c r="L570">
        <f>IF(D570="V01",cad!$I$30,IF(D570="V02",cad!$J$30,cad!$K$30))</f>
        <v/>
      </c>
      <c r="M570">
        <f>IF(D570="V01",cad!$I$31,IF(D570="V02",cad!$J$31,cad!$K$31))</f>
        <v/>
      </c>
      <c r="N570">
        <f>IF(D570="V01",$R$2,IF(D570="V02",$R$3,$R$4))</f>
        <v/>
      </c>
      <c r="O570">
        <f>IF(OR(B570="7062",B570="706",B570="708"),N570,IF(B570="6231",1+G570,IF(B570="6236",1+H570,IF(OR(B570="621",B570="604",B570="6063"),N570*(1-L570),IF(OR(B570="6411",B570="6413",B570="6414",B570="645"),(1+J570)*(1+K570),IF(OR(B570="613",B570="615",B570="616",B570="6226",B570="625",B570="626",B570="6281"),(1+I570)*(1-L570)*(1+M570),IF(OR(B570="6331",B570="63511",B570="6333"),(1+I570)*(1-L570),IF(B570="6811",1+I570,1))))))))</f>
        <v/>
      </c>
      <c r="P570">
        <f>IF(E570=1,F570*O570,"")</f>
        <v/>
      </c>
    </row>
    <row r="571">
      <c r="A571">
        <f>PNL!A571</f>
        <v/>
      </c>
      <c r="B571">
        <f>PNL!B571</f>
        <v/>
      </c>
      <c r="C571">
        <f>PNL!C571</f>
        <v/>
      </c>
      <c r="D571">
        <f>PNL!D571</f>
        <v/>
      </c>
      <c r="E571">
        <f>IF(AND(C571="2027",OR(D571="V01",D571="V02",D571="V03")),1,0)</f>
        <v/>
      </c>
      <c r="F571">
        <f>IF(E571=1,SUMIFS(Compta!$F$2:$F$675,Compta!$A$2:$A$675,A571,Compta!$B$2:$B$675,B571,Compta!$C$2:$C$675,"2026"),0)</f>
        <v/>
      </c>
      <c r="G571">
        <f>IF(D571="V01",cad!$I$21,IF(D571="V02",cad!$J$21,cad!$K$21))</f>
        <v/>
      </c>
      <c r="H571">
        <f>IF(D571="V01",cad!$I$22,IF(D571="V02",cad!$J$22,cad!$K$22))</f>
        <v/>
      </c>
      <c r="I571">
        <f>IF(D571="V01",cad!$I$27,IF(D571="V02",cad!$J$27,cad!$K$27))</f>
        <v/>
      </c>
      <c r="J571">
        <f>IF(D571="V01",cad!$I$28,IF(D571="V02",cad!$J$28,cad!$K$28))</f>
        <v/>
      </c>
      <c r="K571">
        <f>IF(D571="V01",cad!$I$29,IF(D571="V02",cad!$J$29,cad!$K$29))</f>
        <v/>
      </c>
      <c r="L571">
        <f>IF(D571="V01",cad!$I$30,IF(D571="V02",cad!$J$30,cad!$K$30))</f>
        <v/>
      </c>
      <c r="M571">
        <f>IF(D571="V01",cad!$I$31,IF(D571="V02",cad!$J$31,cad!$K$31))</f>
        <v/>
      </c>
      <c r="N571">
        <f>IF(D571="V01",$R$2,IF(D571="V02",$R$3,$R$4))</f>
        <v/>
      </c>
      <c r="O571">
        <f>IF(OR(B571="7062",B571="706",B571="708"),N571,IF(B571="6231",1+G571,IF(B571="6236",1+H571,IF(OR(B571="621",B571="604",B571="6063"),N571*(1-L571),IF(OR(B571="6411",B571="6413",B571="6414",B571="645"),(1+J571)*(1+K571),IF(OR(B571="613",B571="615",B571="616",B571="6226",B571="625",B571="626",B571="6281"),(1+I571)*(1-L571)*(1+M571),IF(OR(B571="6331",B571="63511",B571="6333"),(1+I571)*(1-L571),IF(B571="6811",1+I571,1))))))))</f>
        <v/>
      </c>
      <c r="P571">
        <f>IF(E571=1,F571*O571,"")</f>
        <v/>
      </c>
    </row>
    <row r="572">
      <c r="A572">
        <f>PNL!A572</f>
        <v/>
      </c>
      <c r="B572">
        <f>PNL!B572</f>
        <v/>
      </c>
      <c r="C572">
        <f>PNL!C572</f>
        <v/>
      </c>
      <c r="D572">
        <f>PNL!D572</f>
        <v/>
      </c>
      <c r="E572">
        <f>IF(AND(C572="2027",OR(D572="V01",D572="V02",D572="V03")),1,0)</f>
        <v/>
      </c>
      <c r="F572">
        <f>IF(E572=1,SUMIFS(Compta!$F$2:$F$675,Compta!$A$2:$A$675,A572,Compta!$B$2:$B$675,B572,Compta!$C$2:$C$675,"2026"),0)</f>
        <v/>
      </c>
      <c r="G572">
        <f>IF(D572="V01",cad!$I$21,IF(D572="V02",cad!$J$21,cad!$K$21))</f>
        <v/>
      </c>
      <c r="H572">
        <f>IF(D572="V01",cad!$I$22,IF(D572="V02",cad!$J$22,cad!$K$22))</f>
        <v/>
      </c>
      <c r="I572">
        <f>IF(D572="V01",cad!$I$27,IF(D572="V02",cad!$J$27,cad!$K$27))</f>
        <v/>
      </c>
      <c r="J572">
        <f>IF(D572="V01",cad!$I$28,IF(D572="V02",cad!$J$28,cad!$K$28))</f>
        <v/>
      </c>
      <c r="K572">
        <f>IF(D572="V01",cad!$I$29,IF(D572="V02",cad!$J$29,cad!$K$29))</f>
        <v/>
      </c>
      <c r="L572">
        <f>IF(D572="V01",cad!$I$30,IF(D572="V02",cad!$J$30,cad!$K$30))</f>
        <v/>
      </c>
      <c r="M572">
        <f>IF(D572="V01",cad!$I$31,IF(D572="V02",cad!$J$31,cad!$K$31))</f>
        <v/>
      </c>
      <c r="N572">
        <f>IF(D572="V01",$R$2,IF(D572="V02",$R$3,$R$4))</f>
        <v/>
      </c>
      <c r="O572">
        <f>IF(OR(B572="7062",B572="706",B572="708"),N572,IF(B572="6231",1+G572,IF(B572="6236",1+H572,IF(OR(B572="621",B572="604",B572="6063"),N572*(1-L572),IF(OR(B572="6411",B572="6413",B572="6414",B572="645"),(1+J572)*(1+K572),IF(OR(B572="613",B572="615",B572="616",B572="6226",B572="625",B572="626",B572="6281"),(1+I572)*(1-L572)*(1+M572),IF(OR(B572="6331",B572="63511",B572="6333"),(1+I572)*(1-L572),IF(B572="6811",1+I572,1))))))))</f>
        <v/>
      </c>
      <c r="P572">
        <f>IF(E572=1,F572*O572,"")</f>
        <v/>
      </c>
    </row>
    <row r="573">
      <c r="A573">
        <f>PNL!A573</f>
        <v/>
      </c>
      <c r="B573">
        <f>PNL!B573</f>
        <v/>
      </c>
      <c r="C573">
        <f>PNL!C573</f>
        <v/>
      </c>
      <c r="D573">
        <f>PNL!D573</f>
        <v/>
      </c>
      <c r="E573">
        <f>IF(AND(C573="2027",OR(D573="V01",D573="V02",D573="V03")),1,0)</f>
        <v/>
      </c>
      <c r="F573">
        <f>IF(E573=1,SUMIFS(Compta!$F$2:$F$675,Compta!$A$2:$A$675,A573,Compta!$B$2:$B$675,B573,Compta!$C$2:$C$675,"2026"),0)</f>
        <v/>
      </c>
      <c r="G573">
        <f>IF(D573="V01",cad!$I$21,IF(D573="V02",cad!$J$21,cad!$K$21))</f>
        <v/>
      </c>
      <c r="H573">
        <f>IF(D573="V01",cad!$I$22,IF(D573="V02",cad!$J$22,cad!$K$22))</f>
        <v/>
      </c>
      <c r="I573">
        <f>IF(D573="V01",cad!$I$27,IF(D573="V02",cad!$J$27,cad!$K$27))</f>
        <v/>
      </c>
      <c r="J573">
        <f>IF(D573="V01",cad!$I$28,IF(D573="V02",cad!$J$28,cad!$K$28))</f>
        <v/>
      </c>
      <c r="K573">
        <f>IF(D573="V01",cad!$I$29,IF(D573="V02",cad!$J$29,cad!$K$29))</f>
        <v/>
      </c>
      <c r="L573">
        <f>IF(D573="V01",cad!$I$30,IF(D573="V02",cad!$J$30,cad!$K$30))</f>
        <v/>
      </c>
      <c r="M573">
        <f>IF(D573="V01",cad!$I$31,IF(D573="V02",cad!$J$31,cad!$K$31))</f>
        <v/>
      </c>
      <c r="N573">
        <f>IF(D573="V01",$R$2,IF(D573="V02",$R$3,$R$4))</f>
        <v/>
      </c>
      <c r="O573">
        <f>IF(OR(B573="7062",B573="706",B573="708"),N573,IF(B573="6231",1+G573,IF(B573="6236",1+H573,IF(OR(B573="621",B573="604",B573="6063"),N573*(1-L573),IF(OR(B573="6411",B573="6413",B573="6414",B573="645"),(1+J573)*(1+K573),IF(OR(B573="613",B573="615",B573="616",B573="6226",B573="625",B573="626",B573="6281"),(1+I573)*(1-L573)*(1+M573),IF(OR(B573="6331",B573="63511",B573="6333"),(1+I573)*(1-L573),IF(B573="6811",1+I573,1))))))))</f>
        <v/>
      </c>
      <c r="P573">
        <f>IF(E573=1,F573*O573,"")</f>
        <v/>
      </c>
    </row>
    <row r="574">
      <c r="A574">
        <f>PNL!A574</f>
        <v/>
      </c>
      <c r="B574">
        <f>PNL!B574</f>
        <v/>
      </c>
      <c r="C574">
        <f>PNL!C574</f>
        <v/>
      </c>
      <c r="D574">
        <f>PNL!D574</f>
        <v/>
      </c>
      <c r="E574">
        <f>IF(AND(C574="2027",OR(D574="V01",D574="V02",D574="V03")),1,0)</f>
        <v/>
      </c>
      <c r="F574">
        <f>IF(E574=1,SUMIFS(Compta!$F$2:$F$675,Compta!$A$2:$A$675,A574,Compta!$B$2:$B$675,B574,Compta!$C$2:$C$675,"2026"),0)</f>
        <v/>
      </c>
      <c r="G574">
        <f>IF(D574="V01",cad!$I$21,IF(D574="V02",cad!$J$21,cad!$K$21))</f>
        <v/>
      </c>
      <c r="H574">
        <f>IF(D574="V01",cad!$I$22,IF(D574="V02",cad!$J$22,cad!$K$22))</f>
        <v/>
      </c>
      <c r="I574">
        <f>IF(D574="V01",cad!$I$27,IF(D574="V02",cad!$J$27,cad!$K$27))</f>
        <v/>
      </c>
      <c r="J574">
        <f>IF(D574="V01",cad!$I$28,IF(D574="V02",cad!$J$28,cad!$K$28))</f>
        <v/>
      </c>
      <c r="K574">
        <f>IF(D574="V01",cad!$I$29,IF(D574="V02",cad!$J$29,cad!$K$29))</f>
        <v/>
      </c>
      <c r="L574">
        <f>IF(D574="V01",cad!$I$30,IF(D574="V02",cad!$J$30,cad!$K$30))</f>
        <v/>
      </c>
      <c r="M574">
        <f>IF(D574="V01",cad!$I$31,IF(D574="V02",cad!$J$31,cad!$K$31))</f>
        <v/>
      </c>
      <c r="N574">
        <f>IF(D574="V01",$R$2,IF(D574="V02",$R$3,$R$4))</f>
        <v/>
      </c>
      <c r="O574">
        <f>IF(OR(B574="7062",B574="706",B574="708"),N574,IF(B574="6231",1+G574,IF(B574="6236",1+H574,IF(OR(B574="621",B574="604",B574="6063"),N574*(1-L574),IF(OR(B574="6411",B574="6413",B574="6414",B574="645"),(1+J574)*(1+K574),IF(OR(B574="613",B574="615",B574="616",B574="6226",B574="625",B574="626",B574="6281"),(1+I574)*(1-L574)*(1+M574),IF(OR(B574="6331",B574="63511",B574="6333"),(1+I574)*(1-L574),IF(B574="6811",1+I574,1))))))))</f>
        <v/>
      </c>
      <c r="P574">
        <f>IF(E574=1,F574*O574,"")</f>
        <v/>
      </c>
    </row>
    <row r="575">
      <c r="A575">
        <f>PNL!A575</f>
        <v/>
      </c>
      <c r="B575">
        <f>PNL!B575</f>
        <v/>
      </c>
      <c r="C575">
        <f>PNL!C575</f>
        <v/>
      </c>
      <c r="D575">
        <f>PNL!D575</f>
        <v/>
      </c>
      <c r="E575">
        <f>IF(AND(C575="2027",OR(D575="V01",D575="V02",D575="V03")),1,0)</f>
        <v/>
      </c>
      <c r="F575">
        <f>IF(E575=1,SUMIFS(Compta!$F$2:$F$675,Compta!$A$2:$A$675,A575,Compta!$B$2:$B$675,B575,Compta!$C$2:$C$675,"2026"),0)</f>
        <v/>
      </c>
      <c r="G575">
        <f>IF(D575="V01",cad!$I$21,IF(D575="V02",cad!$J$21,cad!$K$21))</f>
        <v/>
      </c>
      <c r="H575">
        <f>IF(D575="V01",cad!$I$22,IF(D575="V02",cad!$J$22,cad!$K$22))</f>
        <v/>
      </c>
      <c r="I575">
        <f>IF(D575="V01",cad!$I$27,IF(D575="V02",cad!$J$27,cad!$K$27))</f>
        <v/>
      </c>
      <c r="J575">
        <f>IF(D575="V01",cad!$I$28,IF(D575="V02",cad!$J$28,cad!$K$28))</f>
        <v/>
      </c>
      <c r="K575">
        <f>IF(D575="V01",cad!$I$29,IF(D575="V02",cad!$J$29,cad!$K$29))</f>
        <v/>
      </c>
      <c r="L575">
        <f>IF(D575="V01",cad!$I$30,IF(D575="V02",cad!$J$30,cad!$K$30))</f>
        <v/>
      </c>
      <c r="M575">
        <f>IF(D575="V01",cad!$I$31,IF(D575="V02",cad!$J$31,cad!$K$31))</f>
        <v/>
      </c>
      <c r="N575">
        <f>IF(D575="V01",$R$2,IF(D575="V02",$R$3,$R$4))</f>
        <v/>
      </c>
      <c r="O575">
        <f>IF(OR(B575="7062",B575="706",B575="708"),N575,IF(B575="6231",1+G575,IF(B575="6236",1+H575,IF(OR(B575="621",B575="604",B575="6063"),N575*(1-L575),IF(OR(B575="6411",B575="6413",B575="6414",B575="645"),(1+J575)*(1+K575),IF(OR(B575="613",B575="615",B575="616",B575="6226",B575="625",B575="626",B575="6281"),(1+I575)*(1-L575)*(1+M575),IF(OR(B575="6331",B575="63511",B575="6333"),(1+I575)*(1-L575),IF(B575="6811",1+I575,1))))))))</f>
        <v/>
      </c>
      <c r="P575">
        <f>IF(E575=1,F575*O575,"")</f>
        <v/>
      </c>
    </row>
    <row r="576">
      <c r="A576">
        <f>PNL!A576</f>
        <v/>
      </c>
      <c r="B576">
        <f>PNL!B576</f>
        <v/>
      </c>
      <c r="C576">
        <f>PNL!C576</f>
        <v/>
      </c>
      <c r="D576">
        <f>PNL!D576</f>
        <v/>
      </c>
      <c r="E576">
        <f>IF(AND(C576="2027",OR(D576="V01",D576="V02",D576="V03")),1,0)</f>
        <v/>
      </c>
      <c r="F576">
        <f>IF(E576=1,SUMIFS(Compta!$F$2:$F$675,Compta!$A$2:$A$675,A576,Compta!$B$2:$B$675,B576,Compta!$C$2:$C$675,"2026"),0)</f>
        <v/>
      </c>
      <c r="G576">
        <f>IF(D576="V01",cad!$I$21,IF(D576="V02",cad!$J$21,cad!$K$21))</f>
        <v/>
      </c>
      <c r="H576">
        <f>IF(D576="V01",cad!$I$22,IF(D576="V02",cad!$J$22,cad!$K$22))</f>
        <v/>
      </c>
      <c r="I576">
        <f>IF(D576="V01",cad!$I$27,IF(D576="V02",cad!$J$27,cad!$K$27))</f>
        <v/>
      </c>
      <c r="J576">
        <f>IF(D576="V01",cad!$I$28,IF(D576="V02",cad!$J$28,cad!$K$28))</f>
        <v/>
      </c>
      <c r="K576">
        <f>IF(D576="V01",cad!$I$29,IF(D576="V02",cad!$J$29,cad!$K$29))</f>
        <v/>
      </c>
      <c r="L576">
        <f>IF(D576="V01",cad!$I$30,IF(D576="V02",cad!$J$30,cad!$K$30))</f>
        <v/>
      </c>
      <c r="M576">
        <f>IF(D576="V01",cad!$I$31,IF(D576="V02",cad!$J$31,cad!$K$31))</f>
        <v/>
      </c>
      <c r="N576">
        <f>IF(D576="V01",$R$2,IF(D576="V02",$R$3,$R$4))</f>
        <v/>
      </c>
      <c r="O576">
        <f>IF(OR(B576="7062",B576="706",B576="708"),N576,IF(B576="6231",1+G576,IF(B576="6236",1+H576,IF(OR(B576="621",B576="604",B576="6063"),N576*(1-L576),IF(OR(B576="6411",B576="6413",B576="6414",B576="645"),(1+J576)*(1+K576),IF(OR(B576="613",B576="615",B576="616",B576="6226",B576="625",B576="626",B576="6281"),(1+I576)*(1-L576)*(1+M576),IF(OR(B576="6331",B576="63511",B576="6333"),(1+I576)*(1-L576),IF(B576="6811",1+I576,1))))))))</f>
        <v/>
      </c>
      <c r="P576">
        <f>IF(E576=1,F576*O576,"")</f>
        <v/>
      </c>
    </row>
    <row r="577">
      <c r="A577">
        <f>PNL!A577</f>
        <v/>
      </c>
      <c r="B577">
        <f>PNL!B577</f>
        <v/>
      </c>
      <c r="C577">
        <f>PNL!C577</f>
        <v/>
      </c>
      <c r="D577">
        <f>PNL!D577</f>
        <v/>
      </c>
      <c r="E577">
        <f>IF(AND(C577="2027",OR(D577="V01",D577="V02",D577="V03")),1,0)</f>
        <v/>
      </c>
      <c r="F577">
        <f>IF(E577=1,SUMIFS(Compta!$F$2:$F$675,Compta!$A$2:$A$675,A577,Compta!$B$2:$B$675,B577,Compta!$C$2:$C$675,"2026"),0)</f>
        <v/>
      </c>
      <c r="G577">
        <f>IF(D577="V01",cad!$I$21,IF(D577="V02",cad!$J$21,cad!$K$21))</f>
        <v/>
      </c>
      <c r="H577">
        <f>IF(D577="V01",cad!$I$22,IF(D577="V02",cad!$J$22,cad!$K$22))</f>
        <v/>
      </c>
      <c r="I577">
        <f>IF(D577="V01",cad!$I$27,IF(D577="V02",cad!$J$27,cad!$K$27))</f>
        <v/>
      </c>
      <c r="J577">
        <f>IF(D577="V01",cad!$I$28,IF(D577="V02",cad!$J$28,cad!$K$28))</f>
        <v/>
      </c>
      <c r="K577">
        <f>IF(D577="V01",cad!$I$29,IF(D577="V02",cad!$J$29,cad!$K$29))</f>
        <v/>
      </c>
      <c r="L577">
        <f>IF(D577="V01",cad!$I$30,IF(D577="V02",cad!$J$30,cad!$K$30))</f>
        <v/>
      </c>
      <c r="M577">
        <f>IF(D577="V01",cad!$I$31,IF(D577="V02",cad!$J$31,cad!$K$31))</f>
        <v/>
      </c>
      <c r="N577">
        <f>IF(D577="V01",$R$2,IF(D577="V02",$R$3,$R$4))</f>
        <v/>
      </c>
      <c r="O577">
        <f>IF(OR(B577="7062",B577="706",B577="708"),N577,IF(B577="6231",1+G577,IF(B577="6236",1+H577,IF(OR(B577="621",B577="604",B577="6063"),N577*(1-L577),IF(OR(B577="6411",B577="6413",B577="6414",B577="645"),(1+J577)*(1+K577),IF(OR(B577="613",B577="615",B577="616",B577="6226",B577="625",B577="626",B577="6281"),(1+I577)*(1-L577)*(1+M577),IF(OR(B577="6331",B577="63511",B577="6333"),(1+I577)*(1-L577),IF(B577="6811",1+I577,1))))))))</f>
        <v/>
      </c>
      <c r="P577">
        <f>IF(E577=1,F577*O577,"")</f>
        <v/>
      </c>
    </row>
    <row r="578">
      <c r="A578">
        <f>PNL!A578</f>
        <v/>
      </c>
      <c r="B578">
        <f>PNL!B578</f>
        <v/>
      </c>
      <c r="C578">
        <f>PNL!C578</f>
        <v/>
      </c>
      <c r="D578">
        <f>PNL!D578</f>
        <v/>
      </c>
      <c r="E578">
        <f>IF(AND(C578="2027",OR(D578="V01",D578="V02",D578="V03")),1,0)</f>
        <v/>
      </c>
      <c r="F578">
        <f>IF(E578=1,SUMIFS(Compta!$F$2:$F$675,Compta!$A$2:$A$675,A578,Compta!$B$2:$B$675,B578,Compta!$C$2:$C$675,"2026"),0)</f>
        <v/>
      </c>
      <c r="G578">
        <f>IF(D578="V01",cad!$I$21,IF(D578="V02",cad!$J$21,cad!$K$21))</f>
        <v/>
      </c>
      <c r="H578">
        <f>IF(D578="V01",cad!$I$22,IF(D578="V02",cad!$J$22,cad!$K$22))</f>
        <v/>
      </c>
      <c r="I578">
        <f>IF(D578="V01",cad!$I$27,IF(D578="V02",cad!$J$27,cad!$K$27))</f>
        <v/>
      </c>
      <c r="J578">
        <f>IF(D578="V01",cad!$I$28,IF(D578="V02",cad!$J$28,cad!$K$28))</f>
        <v/>
      </c>
      <c r="K578">
        <f>IF(D578="V01",cad!$I$29,IF(D578="V02",cad!$J$29,cad!$K$29))</f>
        <v/>
      </c>
      <c r="L578">
        <f>IF(D578="V01",cad!$I$30,IF(D578="V02",cad!$J$30,cad!$K$30))</f>
        <v/>
      </c>
      <c r="M578">
        <f>IF(D578="V01",cad!$I$31,IF(D578="V02",cad!$J$31,cad!$K$31))</f>
        <v/>
      </c>
      <c r="N578">
        <f>IF(D578="V01",$R$2,IF(D578="V02",$R$3,$R$4))</f>
        <v/>
      </c>
      <c r="O578">
        <f>IF(OR(B578="7062",B578="706",B578="708"),N578,IF(B578="6231",1+G578,IF(B578="6236",1+H578,IF(OR(B578="621",B578="604",B578="6063"),N578*(1-L578),IF(OR(B578="6411",B578="6413",B578="6414",B578="645"),(1+J578)*(1+K578),IF(OR(B578="613",B578="615",B578="616",B578="6226",B578="625",B578="626",B578="6281"),(1+I578)*(1-L578)*(1+M578),IF(OR(B578="6331",B578="63511",B578="6333"),(1+I578)*(1-L578),IF(B578="6811",1+I578,1))))))))</f>
        <v/>
      </c>
      <c r="P578">
        <f>IF(E578=1,F578*O578,"")</f>
        <v/>
      </c>
    </row>
    <row r="579">
      <c r="A579">
        <f>PNL!A579</f>
        <v/>
      </c>
      <c r="B579">
        <f>PNL!B579</f>
        <v/>
      </c>
      <c r="C579">
        <f>PNL!C579</f>
        <v/>
      </c>
      <c r="D579">
        <f>PNL!D579</f>
        <v/>
      </c>
      <c r="E579">
        <f>IF(AND(C579="2027",OR(D579="V01",D579="V02",D579="V03")),1,0)</f>
        <v/>
      </c>
      <c r="F579">
        <f>IF(E579=1,SUMIFS(Compta!$F$2:$F$675,Compta!$A$2:$A$675,A579,Compta!$B$2:$B$675,B579,Compta!$C$2:$C$675,"2026"),0)</f>
        <v/>
      </c>
      <c r="G579">
        <f>IF(D579="V01",cad!$I$21,IF(D579="V02",cad!$J$21,cad!$K$21))</f>
        <v/>
      </c>
      <c r="H579">
        <f>IF(D579="V01",cad!$I$22,IF(D579="V02",cad!$J$22,cad!$K$22))</f>
        <v/>
      </c>
      <c r="I579">
        <f>IF(D579="V01",cad!$I$27,IF(D579="V02",cad!$J$27,cad!$K$27))</f>
        <v/>
      </c>
      <c r="J579">
        <f>IF(D579="V01",cad!$I$28,IF(D579="V02",cad!$J$28,cad!$K$28))</f>
        <v/>
      </c>
      <c r="K579">
        <f>IF(D579="V01",cad!$I$29,IF(D579="V02",cad!$J$29,cad!$K$29))</f>
        <v/>
      </c>
      <c r="L579">
        <f>IF(D579="V01",cad!$I$30,IF(D579="V02",cad!$J$30,cad!$K$30))</f>
        <v/>
      </c>
      <c r="M579">
        <f>IF(D579="V01",cad!$I$31,IF(D579="V02",cad!$J$31,cad!$K$31))</f>
        <v/>
      </c>
      <c r="N579">
        <f>IF(D579="V01",$R$2,IF(D579="V02",$R$3,$R$4))</f>
        <v/>
      </c>
      <c r="O579">
        <f>IF(OR(B579="7062",B579="706",B579="708"),N579,IF(B579="6231",1+G579,IF(B579="6236",1+H579,IF(OR(B579="621",B579="604",B579="6063"),N579*(1-L579),IF(OR(B579="6411",B579="6413",B579="6414",B579="645"),(1+J579)*(1+K579),IF(OR(B579="613",B579="615",B579="616",B579="6226",B579="625",B579="626",B579="6281"),(1+I579)*(1-L579)*(1+M579),IF(OR(B579="6331",B579="63511",B579="6333"),(1+I579)*(1-L579),IF(B579="6811",1+I579,1))))))))</f>
        <v/>
      </c>
      <c r="P579">
        <f>IF(E579=1,F579*O579,"")</f>
        <v/>
      </c>
    </row>
    <row r="580">
      <c r="A580">
        <f>PNL!A580</f>
        <v/>
      </c>
      <c r="B580">
        <f>PNL!B580</f>
        <v/>
      </c>
      <c r="C580">
        <f>PNL!C580</f>
        <v/>
      </c>
      <c r="D580">
        <f>PNL!D580</f>
        <v/>
      </c>
      <c r="E580">
        <f>IF(AND(C580="2027",OR(D580="V01",D580="V02",D580="V03")),1,0)</f>
        <v/>
      </c>
      <c r="F580">
        <f>IF(E580=1,SUMIFS(Compta!$F$2:$F$675,Compta!$A$2:$A$675,A580,Compta!$B$2:$B$675,B580,Compta!$C$2:$C$675,"2026"),0)</f>
        <v/>
      </c>
      <c r="G580">
        <f>IF(D580="V01",cad!$I$21,IF(D580="V02",cad!$J$21,cad!$K$21))</f>
        <v/>
      </c>
      <c r="H580">
        <f>IF(D580="V01",cad!$I$22,IF(D580="V02",cad!$J$22,cad!$K$22))</f>
        <v/>
      </c>
      <c r="I580">
        <f>IF(D580="V01",cad!$I$27,IF(D580="V02",cad!$J$27,cad!$K$27))</f>
        <v/>
      </c>
      <c r="J580">
        <f>IF(D580="V01",cad!$I$28,IF(D580="V02",cad!$J$28,cad!$K$28))</f>
        <v/>
      </c>
      <c r="K580">
        <f>IF(D580="V01",cad!$I$29,IF(D580="V02",cad!$J$29,cad!$K$29))</f>
        <v/>
      </c>
      <c r="L580">
        <f>IF(D580="V01",cad!$I$30,IF(D580="V02",cad!$J$30,cad!$K$30))</f>
        <v/>
      </c>
      <c r="M580">
        <f>IF(D580="V01",cad!$I$31,IF(D580="V02",cad!$J$31,cad!$K$31))</f>
        <v/>
      </c>
      <c r="N580">
        <f>IF(D580="V01",$R$2,IF(D580="V02",$R$3,$R$4))</f>
        <v/>
      </c>
      <c r="O580">
        <f>IF(OR(B580="7062",B580="706",B580="708"),N580,IF(B580="6231",1+G580,IF(B580="6236",1+H580,IF(OR(B580="621",B580="604",B580="6063"),N580*(1-L580),IF(OR(B580="6411",B580="6413",B580="6414",B580="645"),(1+J580)*(1+K580),IF(OR(B580="613",B580="615",B580="616",B580="6226",B580="625",B580="626",B580="6281"),(1+I580)*(1-L580)*(1+M580),IF(OR(B580="6331",B580="63511",B580="6333"),(1+I580)*(1-L580),IF(B580="6811",1+I580,1))))))))</f>
        <v/>
      </c>
      <c r="P580">
        <f>IF(E580=1,F580*O580,"")</f>
        <v/>
      </c>
    </row>
    <row r="581">
      <c r="A581">
        <f>PNL!A581</f>
        <v/>
      </c>
      <c r="B581">
        <f>PNL!B581</f>
        <v/>
      </c>
      <c r="C581">
        <f>PNL!C581</f>
        <v/>
      </c>
      <c r="D581">
        <f>PNL!D581</f>
        <v/>
      </c>
      <c r="E581">
        <f>IF(AND(C581="2027",OR(D581="V01",D581="V02",D581="V03")),1,0)</f>
        <v/>
      </c>
      <c r="F581">
        <f>IF(E581=1,SUMIFS(Compta!$F$2:$F$675,Compta!$A$2:$A$675,A581,Compta!$B$2:$B$675,B581,Compta!$C$2:$C$675,"2026"),0)</f>
        <v/>
      </c>
      <c r="G581">
        <f>IF(D581="V01",cad!$I$21,IF(D581="V02",cad!$J$21,cad!$K$21))</f>
        <v/>
      </c>
      <c r="H581">
        <f>IF(D581="V01",cad!$I$22,IF(D581="V02",cad!$J$22,cad!$K$22))</f>
        <v/>
      </c>
      <c r="I581">
        <f>IF(D581="V01",cad!$I$27,IF(D581="V02",cad!$J$27,cad!$K$27))</f>
        <v/>
      </c>
      <c r="J581">
        <f>IF(D581="V01",cad!$I$28,IF(D581="V02",cad!$J$28,cad!$K$28))</f>
        <v/>
      </c>
      <c r="K581">
        <f>IF(D581="V01",cad!$I$29,IF(D581="V02",cad!$J$29,cad!$K$29))</f>
        <v/>
      </c>
      <c r="L581">
        <f>IF(D581="V01",cad!$I$30,IF(D581="V02",cad!$J$30,cad!$K$30))</f>
        <v/>
      </c>
      <c r="M581">
        <f>IF(D581="V01",cad!$I$31,IF(D581="V02",cad!$J$31,cad!$K$31))</f>
        <v/>
      </c>
      <c r="N581">
        <f>IF(D581="V01",$R$2,IF(D581="V02",$R$3,$R$4))</f>
        <v/>
      </c>
      <c r="O581">
        <f>IF(OR(B581="7062",B581="706",B581="708"),N581,IF(B581="6231",1+G581,IF(B581="6236",1+H581,IF(OR(B581="621",B581="604",B581="6063"),N581*(1-L581),IF(OR(B581="6411",B581="6413",B581="6414",B581="645"),(1+J581)*(1+K581),IF(OR(B581="613",B581="615",B581="616",B581="6226",B581="625",B581="626",B581="6281"),(1+I581)*(1-L581)*(1+M581),IF(OR(B581="6331",B581="63511",B581="6333"),(1+I581)*(1-L581),IF(B581="6811",1+I581,1))))))))</f>
        <v/>
      </c>
      <c r="P581">
        <f>IF(E581=1,F581*O581,"")</f>
        <v/>
      </c>
    </row>
    <row r="582">
      <c r="A582">
        <f>PNL!A582</f>
        <v/>
      </c>
      <c r="B582">
        <f>PNL!B582</f>
        <v/>
      </c>
      <c r="C582">
        <f>PNL!C582</f>
        <v/>
      </c>
      <c r="D582">
        <f>PNL!D582</f>
        <v/>
      </c>
      <c r="E582">
        <f>IF(AND(C582="2027",OR(D582="V01",D582="V02",D582="V03")),1,0)</f>
        <v/>
      </c>
      <c r="F582">
        <f>IF(E582=1,SUMIFS(Compta!$F$2:$F$675,Compta!$A$2:$A$675,A582,Compta!$B$2:$B$675,B582,Compta!$C$2:$C$675,"2026"),0)</f>
        <v/>
      </c>
      <c r="G582">
        <f>IF(D582="V01",cad!$I$21,IF(D582="V02",cad!$J$21,cad!$K$21))</f>
        <v/>
      </c>
      <c r="H582">
        <f>IF(D582="V01",cad!$I$22,IF(D582="V02",cad!$J$22,cad!$K$22))</f>
        <v/>
      </c>
      <c r="I582">
        <f>IF(D582="V01",cad!$I$27,IF(D582="V02",cad!$J$27,cad!$K$27))</f>
        <v/>
      </c>
      <c r="J582">
        <f>IF(D582="V01",cad!$I$28,IF(D582="V02",cad!$J$28,cad!$K$28))</f>
        <v/>
      </c>
      <c r="K582">
        <f>IF(D582="V01",cad!$I$29,IF(D582="V02",cad!$J$29,cad!$K$29))</f>
        <v/>
      </c>
      <c r="L582">
        <f>IF(D582="V01",cad!$I$30,IF(D582="V02",cad!$J$30,cad!$K$30))</f>
        <v/>
      </c>
      <c r="M582">
        <f>IF(D582="V01",cad!$I$31,IF(D582="V02",cad!$J$31,cad!$K$31))</f>
        <v/>
      </c>
      <c r="N582">
        <f>IF(D582="V01",$R$2,IF(D582="V02",$R$3,$R$4))</f>
        <v/>
      </c>
      <c r="O582">
        <f>IF(OR(B582="7062",B582="706",B582="708"),N582,IF(B582="6231",1+G582,IF(B582="6236",1+H582,IF(OR(B582="621",B582="604",B582="6063"),N582*(1-L582),IF(OR(B582="6411",B582="6413",B582="6414",B582="645"),(1+J582)*(1+K582),IF(OR(B582="613",B582="615",B582="616",B582="6226",B582="625",B582="626",B582="6281"),(1+I582)*(1-L582)*(1+M582),IF(OR(B582="6331",B582="63511",B582="6333"),(1+I582)*(1-L582),IF(B582="6811",1+I582,1))))))))</f>
        <v/>
      </c>
      <c r="P582">
        <f>IF(E582=1,F582*O582,"")</f>
        <v/>
      </c>
    </row>
    <row r="583">
      <c r="A583">
        <f>PNL!A583</f>
        <v/>
      </c>
      <c r="B583">
        <f>PNL!B583</f>
        <v/>
      </c>
      <c r="C583">
        <f>PNL!C583</f>
        <v/>
      </c>
      <c r="D583">
        <f>PNL!D583</f>
        <v/>
      </c>
      <c r="E583">
        <f>IF(AND(C583="2027",OR(D583="V01",D583="V02",D583="V03")),1,0)</f>
        <v/>
      </c>
      <c r="F583">
        <f>IF(E583=1,SUMIFS(Compta!$F$2:$F$675,Compta!$A$2:$A$675,A583,Compta!$B$2:$B$675,B583,Compta!$C$2:$C$675,"2026"),0)</f>
        <v/>
      </c>
      <c r="G583">
        <f>IF(D583="V01",cad!$I$21,IF(D583="V02",cad!$J$21,cad!$K$21))</f>
        <v/>
      </c>
      <c r="H583">
        <f>IF(D583="V01",cad!$I$22,IF(D583="V02",cad!$J$22,cad!$K$22))</f>
        <v/>
      </c>
      <c r="I583">
        <f>IF(D583="V01",cad!$I$27,IF(D583="V02",cad!$J$27,cad!$K$27))</f>
        <v/>
      </c>
      <c r="J583">
        <f>IF(D583="V01",cad!$I$28,IF(D583="V02",cad!$J$28,cad!$K$28))</f>
        <v/>
      </c>
      <c r="K583">
        <f>IF(D583="V01",cad!$I$29,IF(D583="V02",cad!$J$29,cad!$K$29))</f>
        <v/>
      </c>
      <c r="L583">
        <f>IF(D583="V01",cad!$I$30,IF(D583="V02",cad!$J$30,cad!$K$30))</f>
        <v/>
      </c>
      <c r="M583">
        <f>IF(D583="V01",cad!$I$31,IF(D583="V02",cad!$J$31,cad!$K$31))</f>
        <v/>
      </c>
      <c r="N583">
        <f>IF(D583="V01",$R$2,IF(D583="V02",$R$3,$R$4))</f>
        <v/>
      </c>
      <c r="O583">
        <f>IF(OR(B583="7062",B583="706",B583="708"),N583,IF(B583="6231",1+G583,IF(B583="6236",1+H583,IF(OR(B583="621",B583="604",B583="6063"),N583*(1-L583),IF(OR(B583="6411",B583="6413",B583="6414",B583="645"),(1+J583)*(1+K583),IF(OR(B583="613",B583="615",B583="616",B583="6226",B583="625",B583="626",B583="6281"),(1+I583)*(1-L583)*(1+M583),IF(OR(B583="6331",B583="63511",B583="6333"),(1+I583)*(1-L583),IF(B583="6811",1+I583,1))))))))</f>
        <v/>
      </c>
      <c r="P583">
        <f>IF(E583=1,F583*O583,"")</f>
        <v/>
      </c>
    </row>
    <row r="584">
      <c r="A584">
        <f>PNL!A584</f>
        <v/>
      </c>
      <c r="B584">
        <f>PNL!B584</f>
        <v/>
      </c>
      <c r="C584">
        <f>PNL!C584</f>
        <v/>
      </c>
      <c r="D584">
        <f>PNL!D584</f>
        <v/>
      </c>
      <c r="E584">
        <f>IF(AND(C584="2027",OR(D584="V01",D584="V02",D584="V03")),1,0)</f>
        <v/>
      </c>
      <c r="F584">
        <f>IF(E584=1,SUMIFS(Compta!$F$2:$F$675,Compta!$A$2:$A$675,A584,Compta!$B$2:$B$675,B584,Compta!$C$2:$C$675,"2026"),0)</f>
        <v/>
      </c>
      <c r="G584">
        <f>IF(D584="V01",cad!$I$21,IF(D584="V02",cad!$J$21,cad!$K$21))</f>
        <v/>
      </c>
      <c r="H584">
        <f>IF(D584="V01",cad!$I$22,IF(D584="V02",cad!$J$22,cad!$K$22))</f>
        <v/>
      </c>
      <c r="I584">
        <f>IF(D584="V01",cad!$I$27,IF(D584="V02",cad!$J$27,cad!$K$27))</f>
        <v/>
      </c>
      <c r="J584">
        <f>IF(D584="V01",cad!$I$28,IF(D584="V02",cad!$J$28,cad!$K$28))</f>
        <v/>
      </c>
      <c r="K584">
        <f>IF(D584="V01",cad!$I$29,IF(D584="V02",cad!$J$29,cad!$K$29))</f>
        <v/>
      </c>
      <c r="L584">
        <f>IF(D584="V01",cad!$I$30,IF(D584="V02",cad!$J$30,cad!$K$30))</f>
        <v/>
      </c>
      <c r="M584">
        <f>IF(D584="V01",cad!$I$31,IF(D584="V02",cad!$J$31,cad!$K$31))</f>
        <v/>
      </c>
      <c r="N584">
        <f>IF(D584="V01",$R$2,IF(D584="V02",$R$3,$R$4))</f>
        <v/>
      </c>
      <c r="O584">
        <f>IF(OR(B584="7062",B584="706",B584="708"),N584,IF(B584="6231",1+G584,IF(B584="6236",1+H584,IF(OR(B584="621",B584="604",B584="6063"),N584*(1-L584),IF(OR(B584="6411",B584="6413",B584="6414",B584="645"),(1+J584)*(1+K584),IF(OR(B584="613",B584="615",B584="616",B584="6226",B584="625",B584="626",B584="6281"),(1+I584)*(1-L584)*(1+M584),IF(OR(B584="6331",B584="63511",B584="6333"),(1+I584)*(1-L584),IF(B584="6811",1+I584,1))))))))</f>
        <v/>
      </c>
      <c r="P584">
        <f>IF(E584=1,F584*O584,"")</f>
        <v/>
      </c>
    </row>
    <row r="585">
      <c r="A585">
        <f>PNL!A585</f>
        <v/>
      </c>
      <c r="B585">
        <f>PNL!B585</f>
        <v/>
      </c>
      <c r="C585">
        <f>PNL!C585</f>
        <v/>
      </c>
      <c r="D585">
        <f>PNL!D585</f>
        <v/>
      </c>
      <c r="E585">
        <f>IF(AND(C585="2027",OR(D585="V01",D585="V02",D585="V03")),1,0)</f>
        <v/>
      </c>
      <c r="F585">
        <f>IF(E585=1,SUMIFS(Compta!$F$2:$F$675,Compta!$A$2:$A$675,A585,Compta!$B$2:$B$675,B585,Compta!$C$2:$C$675,"2026"),0)</f>
        <v/>
      </c>
      <c r="G585">
        <f>IF(D585="V01",cad!$I$21,IF(D585="V02",cad!$J$21,cad!$K$21))</f>
        <v/>
      </c>
      <c r="H585">
        <f>IF(D585="V01",cad!$I$22,IF(D585="V02",cad!$J$22,cad!$K$22))</f>
        <v/>
      </c>
      <c r="I585">
        <f>IF(D585="V01",cad!$I$27,IF(D585="V02",cad!$J$27,cad!$K$27))</f>
        <v/>
      </c>
      <c r="J585">
        <f>IF(D585="V01",cad!$I$28,IF(D585="V02",cad!$J$28,cad!$K$28))</f>
        <v/>
      </c>
      <c r="K585">
        <f>IF(D585="V01",cad!$I$29,IF(D585="V02",cad!$J$29,cad!$K$29))</f>
        <v/>
      </c>
      <c r="L585">
        <f>IF(D585="V01",cad!$I$30,IF(D585="V02",cad!$J$30,cad!$K$30))</f>
        <v/>
      </c>
      <c r="M585">
        <f>IF(D585="V01",cad!$I$31,IF(D585="V02",cad!$J$31,cad!$K$31))</f>
        <v/>
      </c>
      <c r="N585">
        <f>IF(D585="V01",$R$2,IF(D585="V02",$R$3,$R$4))</f>
        <v/>
      </c>
      <c r="O585">
        <f>IF(OR(B585="7062",B585="706",B585="708"),N585,IF(B585="6231",1+G585,IF(B585="6236",1+H585,IF(OR(B585="621",B585="604",B585="6063"),N585*(1-L585),IF(OR(B585="6411",B585="6413",B585="6414",B585="645"),(1+J585)*(1+K585),IF(OR(B585="613",B585="615",B585="616",B585="6226",B585="625",B585="626",B585="6281"),(1+I585)*(1-L585)*(1+M585),IF(OR(B585="6331",B585="63511",B585="6333"),(1+I585)*(1-L585),IF(B585="6811",1+I585,1))))))))</f>
        <v/>
      </c>
      <c r="P585">
        <f>IF(E585=1,F585*O585,"")</f>
        <v/>
      </c>
    </row>
    <row r="586">
      <c r="A586">
        <f>PNL!A586</f>
        <v/>
      </c>
      <c r="B586">
        <f>PNL!B586</f>
        <v/>
      </c>
      <c r="C586">
        <f>PNL!C586</f>
        <v/>
      </c>
      <c r="D586">
        <f>PNL!D586</f>
        <v/>
      </c>
      <c r="E586">
        <f>IF(AND(C586="2027",OR(D586="V01",D586="V02",D586="V03")),1,0)</f>
        <v/>
      </c>
      <c r="F586">
        <f>IF(E586=1,SUMIFS(Compta!$F$2:$F$675,Compta!$A$2:$A$675,A586,Compta!$B$2:$B$675,B586,Compta!$C$2:$C$675,"2026"),0)</f>
        <v/>
      </c>
      <c r="G586">
        <f>IF(D586="V01",cad!$I$21,IF(D586="V02",cad!$J$21,cad!$K$21))</f>
        <v/>
      </c>
      <c r="H586">
        <f>IF(D586="V01",cad!$I$22,IF(D586="V02",cad!$J$22,cad!$K$22))</f>
        <v/>
      </c>
      <c r="I586">
        <f>IF(D586="V01",cad!$I$27,IF(D586="V02",cad!$J$27,cad!$K$27))</f>
        <v/>
      </c>
      <c r="J586">
        <f>IF(D586="V01",cad!$I$28,IF(D586="V02",cad!$J$28,cad!$K$28))</f>
        <v/>
      </c>
      <c r="K586">
        <f>IF(D586="V01",cad!$I$29,IF(D586="V02",cad!$J$29,cad!$K$29))</f>
        <v/>
      </c>
      <c r="L586">
        <f>IF(D586="V01",cad!$I$30,IF(D586="V02",cad!$J$30,cad!$K$30))</f>
        <v/>
      </c>
      <c r="M586">
        <f>IF(D586="V01",cad!$I$31,IF(D586="V02",cad!$J$31,cad!$K$31))</f>
        <v/>
      </c>
      <c r="N586">
        <f>IF(D586="V01",$R$2,IF(D586="V02",$R$3,$R$4))</f>
        <v/>
      </c>
      <c r="O586">
        <f>IF(OR(B586="7062",B586="706",B586="708"),N586,IF(B586="6231",1+G586,IF(B586="6236",1+H586,IF(OR(B586="621",B586="604",B586="6063"),N586*(1-L586),IF(OR(B586="6411",B586="6413",B586="6414",B586="645"),(1+J586)*(1+K586),IF(OR(B586="613",B586="615",B586="616",B586="6226",B586="625",B586="626",B586="6281"),(1+I586)*(1-L586)*(1+M586),IF(OR(B586="6331",B586="63511",B586="6333"),(1+I586)*(1-L586),IF(B586="6811",1+I586,1))))))))</f>
        <v/>
      </c>
      <c r="P586">
        <f>IF(E586=1,F586*O586,"")</f>
        <v/>
      </c>
    </row>
    <row r="587">
      <c r="A587">
        <f>PNL!A587</f>
        <v/>
      </c>
      <c r="B587">
        <f>PNL!B587</f>
        <v/>
      </c>
      <c r="C587">
        <f>PNL!C587</f>
        <v/>
      </c>
      <c r="D587">
        <f>PNL!D587</f>
        <v/>
      </c>
      <c r="E587">
        <f>IF(AND(C587="2027",OR(D587="V01",D587="V02",D587="V03")),1,0)</f>
        <v/>
      </c>
      <c r="F587">
        <f>IF(E587=1,SUMIFS(Compta!$F$2:$F$675,Compta!$A$2:$A$675,A587,Compta!$B$2:$B$675,B587,Compta!$C$2:$C$675,"2026"),0)</f>
        <v/>
      </c>
      <c r="G587">
        <f>IF(D587="V01",cad!$I$21,IF(D587="V02",cad!$J$21,cad!$K$21))</f>
        <v/>
      </c>
      <c r="H587">
        <f>IF(D587="V01",cad!$I$22,IF(D587="V02",cad!$J$22,cad!$K$22))</f>
        <v/>
      </c>
      <c r="I587">
        <f>IF(D587="V01",cad!$I$27,IF(D587="V02",cad!$J$27,cad!$K$27))</f>
        <v/>
      </c>
      <c r="J587">
        <f>IF(D587="V01",cad!$I$28,IF(D587="V02",cad!$J$28,cad!$K$28))</f>
        <v/>
      </c>
      <c r="K587">
        <f>IF(D587="V01",cad!$I$29,IF(D587="V02",cad!$J$29,cad!$K$29))</f>
        <v/>
      </c>
      <c r="L587">
        <f>IF(D587="V01",cad!$I$30,IF(D587="V02",cad!$J$30,cad!$K$30))</f>
        <v/>
      </c>
      <c r="M587">
        <f>IF(D587="V01",cad!$I$31,IF(D587="V02",cad!$J$31,cad!$K$31))</f>
        <v/>
      </c>
      <c r="N587">
        <f>IF(D587="V01",$R$2,IF(D587="V02",$R$3,$R$4))</f>
        <v/>
      </c>
      <c r="O587">
        <f>IF(OR(B587="7062",B587="706",B587="708"),N587,IF(B587="6231",1+G587,IF(B587="6236",1+H587,IF(OR(B587="621",B587="604",B587="6063"),N587*(1-L587),IF(OR(B587="6411",B587="6413",B587="6414",B587="645"),(1+J587)*(1+K587),IF(OR(B587="613",B587="615",B587="616",B587="6226",B587="625",B587="626",B587="6281"),(1+I587)*(1-L587)*(1+M587),IF(OR(B587="6331",B587="63511",B587="6333"),(1+I587)*(1-L587),IF(B587="6811",1+I587,1))))))))</f>
        <v/>
      </c>
      <c r="P587">
        <f>IF(E587=1,F587*O587,"")</f>
        <v/>
      </c>
    </row>
    <row r="588">
      <c r="A588">
        <f>PNL!A588</f>
        <v/>
      </c>
      <c r="B588">
        <f>PNL!B588</f>
        <v/>
      </c>
      <c r="C588">
        <f>PNL!C588</f>
        <v/>
      </c>
      <c r="D588">
        <f>PNL!D588</f>
        <v/>
      </c>
      <c r="E588">
        <f>IF(AND(C588="2027",OR(D588="V01",D588="V02",D588="V03")),1,0)</f>
        <v/>
      </c>
      <c r="F588">
        <f>IF(E588=1,SUMIFS(Compta!$F$2:$F$675,Compta!$A$2:$A$675,A588,Compta!$B$2:$B$675,B588,Compta!$C$2:$C$675,"2026"),0)</f>
        <v/>
      </c>
      <c r="G588">
        <f>IF(D588="V01",cad!$I$21,IF(D588="V02",cad!$J$21,cad!$K$21))</f>
        <v/>
      </c>
      <c r="H588">
        <f>IF(D588="V01",cad!$I$22,IF(D588="V02",cad!$J$22,cad!$K$22))</f>
        <v/>
      </c>
      <c r="I588">
        <f>IF(D588="V01",cad!$I$27,IF(D588="V02",cad!$J$27,cad!$K$27))</f>
        <v/>
      </c>
      <c r="J588">
        <f>IF(D588="V01",cad!$I$28,IF(D588="V02",cad!$J$28,cad!$K$28))</f>
        <v/>
      </c>
      <c r="K588">
        <f>IF(D588="V01",cad!$I$29,IF(D588="V02",cad!$J$29,cad!$K$29))</f>
        <v/>
      </c>
      <c r="L588">
        <f>IF(D588="V01",cad!$I$30,IF(D588="V02",cad!$J$30,cad!$K$30))</f>
        <v/>
      </c>
      <c r="M588">
        <f>IF(D588="V01",cad!$I$31,IF(D588="V02",cad!$J$31,cad!$K$31))</f>
        <v/>
      </c>
      <c r="N588">
        <f>IF(D588="V01",$R$2,IF(D588="V02",$R$3,$R$4))</f>
        <v/>
      </c>
      <c r="O588">
        <f>IF(OR(B588="7062",B588="706",B588="708"),N588,IF(B588="6231",1+G588,IF(B588="6236",1+H588,IF(OR(B588="621",B588="604",B588="6063"),N588*(1-L588),IF(OR(B588="6411",B588="6413",B588="6414",B588="645"),(1+J588)*(1+K588),IF(OR(B588="613",B588="615",B588="616",B588="6226",B588="625",B588="626",B588="6281"),(1+I588)*(1-L588)*(1+M588),IF(OR(B588="6331",B588="63511",B588="6333"),(1+I588)*(1-L588),IF(B588="6811",1+I588,1))))))))</f>
        <v/>
      </c>
      <c r="P588">
        <f>IF(E588=1,F588*O588,"")</f>
        <v/>
      </c>
    </row>
    <row r="589">
      <c r="A589">
        <f>PNL!A589</f>
        <v/>
      </c>
      <c r="B589">
        <f>PNL!B589</f>
        <v/>
      </c>
      <c r="C589">
        <f>PNL!C589</f>
        <v/>
      </c>
      <c r="D589">
        <f>PNL!D589</f>
        <v/>
      </c>
      <c r="E589">
        <f>IF(AND(C589="2027",OR(D589="V01",D589="V02",D589="V03")),1,0)</f>
        <v/>
      </c>
      <c r="F589">
        <f>IF(E589=1,SUMIFS(Compta!$F$2:$F$675,Compta!$A$2:$A$675,A589,Compta!$B$2:$B$675,B589,Compta!$C$2:$C$675,"2026"),0)</f>
        <v/>
      </c>
      <c r="G589">
        <f>IF(D589="V01",cad!$I$21,IF(D589="V02",cad!$J$21,cad!$K$21))</f>
        <v/>
      </c>
      <c r="H589">
        <f>IF(D589="V01",cad!$I$22,IF(D589="V02",cad!$J$22,cad!$K$22))</f>
        <v/>
      </c>
      <c r="I589">
        <f>IF(D589="V01",cad!$I$27,IF(D589="V02",cad!$J$27,cad!$K$27))</f>
        <v/>
      </c>
      <c r="J589">
        <f>IF(D589="V01",cad!$I$28,IF(D589="V02",cad!$J$28,cad!$K$28))</f>
        <v/>
      </c>
      <c r="K589">
        <f>IF(D589="V01",cad!$I$29,IF(D589="V02",cad!$J$29,cad!$K$29))</f>
        <v/>
      </c>
      <c r="L589">
        <f>IF(D589="V01",cad!$I$30,IF(D589="V02",cad!$J$30,cad!$K$30))</f>
        <v/>
      </c>
      <c r="M589">
        <f>IF(D589="V01",cad!$I$31,IF(D589="V02",cad!$J$31,cad!$K$31))</f>
        <v/>
      </c>
      <c r="N589">
        <f>IF(D589="V01",$R$2,IF(D589="V02",$R$3,$R$4))</f>
        <v/>
      </c>
      <c r="O589">
        <f>IF(OR(B589="7062",B589="706",B589="708"),N589,IF(B589="6231",1+G589,IF(B589="6236",1+H589,IF(OR(B589="621",B589="604",B589="6063"),N589*(1-L589),IF(OR(B589="6411",B589="6413",B589="6414",B589="645"),(1+J589)*(1+K589),IF(OR(B589="613",B589="615",B589="616",B589="6226",B589="625",B589="626",B589="6281"),(1+I589)*(1-L589)*(1+M589),IF(OR(B589="6331",B589="63511",B589="6333"),(1+I589)*(1-L589),IF(B589="6811",1+I589,1))))))))</f>
        <v/>
      </c>
      <c r="P589">
        <f>IF(E589=1,F589*O589,"")</f>
        <v/>
      </c>
    </row>
    <row r="590">
      <c r="A590">
        <f>PNL!A590</f>
        <v/>
      </c>
      <c r="B590">
        <f>PNL!B590</f>
        <v/>
      </c>
      <c r="C590">
        <f>PNL!C590</f>
        <v/>
      </c>
      <c r="D590">
        <f>PNL!D590</f>
        <v/>
      </c>
      <c r="E590">
        <f>IF(AND(C590="2027",OR(D590="V01",D590="V02",D590="V03")),1,0)</f>
        <v/>
      </c>
      <c r="F590">
        <f>IF(E590=1,SUMIFS(Compta!$F$2:$F$675,Compta!$A$2:$A$675,A590,Compta!$B$2:$B$675,B590,Compta!$C$2:$C$675,"2026"),0)</f>
        <v/>
      </c>
      <c r="G590">
        <f>IF(D590="V01",cad!$I$21,IF(D590="V02",cad!$J$21,cad!$K$21))</f>
        <v/>
      </c>
      <c r="H590">
        <f>IF(D590="V01",cad!$I$22,IF(D590="V02",cad!$J$22,cad!$K$22))</f>
        <v/>
      </c>
      <c r="I590">
        <f>IF(D590="V01",cad!$I$27,IF(D590="V02",cad!$J$27,cad!$K$27))</f>
        <v/>
      </c>
      <c r="J590">
        <f>IF(D590="V01",cad!$I$28,IF(D590="V02",cad!$J$28,cad!$K$28))</f>
        <v/>
      </c>
      <c r="K590">
        <f>IF(D590="V01",cad!$I$29,IF(D590="V02",cad!$J$29,cad!$K$29))</f>
        <v/>
      </c>
      <c r="L590">
        <f>IF(D590="V01",cad!$I$30,IF(D590="V02",cad!$J$30,cad!$K$30))</f>
        <v/>
      </c>
      <c r="M590">
        <f>IF(D590="V01",cad!$I$31,IF(D590="V02",cad!$J$31,cad!$K$31))</f>
        <v/>
      </c>
      <c r="N590">
        <f>IF(D590="V01",$R$2,IF(D590="V02",$R$3,$R$4))</f>
        <v/>
      </c>
      <c r="O590">
        <f>IF(OR(B590="7062",B590="706",B590="708"),N590,IF(B590="6231",1+G590,IF(B590="6236",1+H590,IF(OR(B590="621",B590="604",B590="6063"),N590*(1-L590),IF(OR(B590="6411",B590="6413",B590="6414",B590="645"),(1+J590)*(1+K590),IF(OR(B590="613",B590="615",B590="616",B590="6226",B590="625",B590="626",B590="6281"),(1+I590)*(1-L590)*(1+M590),IF(OR(B590="6331",B590="63511",B590="6333"),(1+I590)*(1-L590),IF(B590="6811",1+I590,1))))))))</f>
        <v/>
      </c>
      <c r="P590">
        <f>IF(E590=1,F590*O590,"")</f>
        <v/>
      </c>
    </row>
    <row r="591">
      <c r="A591">
        <f>PNL!A591</f>
        <v/>
      </c>
      <c r="B591">
        <f>PNL!B591</f>
        <v/>
      </c>
      <c r="C591">
        <f>PNL!C591</f>
        <v/>
      </c>
      <c r="D591">
        <f>PNL!D591</f>
        <v/>
      </c>
      <c r="E591">
        <f>IF(AND(C591="2027",OR(D591="V01",D591="V02",D591="V03")),1,0)</f>
        <v/>
      </c>
      <c r="F591">
        <f>IF(E591=1,SUMIFS(Compta!$F$2:$F$675,Compta!$A$2:$A$675,A591,Compta!$B$2:$B$675,B591,Compta!$C$2:$C$675,"2026"),0)</f>
        <v/>
      </c>
      <c r="G591">
        <f>IF(D591="V01",cad!$I$21,IF(D591="V02",cad!$J$21,cad!$K$21))</f>
        <v/>
      </c>
      <c r="H591">
        <f>IF(D591="V01",cad!$I$22,IF(D591="V02",cad!$J$22,cad!$K$22))</f>
        <v/>
      </c>
      <c r="I591">
        <f>IF(D591="V01",cad!$I$27,IF(D591="V02",cad!$J$27,cad!$K$27))</f>
        <v/>
      </c>
      <c r="J591">
        <f>IF(D591="V01",cad!$I$28,IF(D591="V02",cad!$J$28,cad!$K$28))</f>
        <v/>
      </c>
      <c r="K591">
        <f>IF(D591="V01",cad!$I$29,IF(D591="V02",cad!$J$29,cad!$K$29))</f>
        <v/>
      </c>
      <c r="L591">
        <f>IF(D591="V01",cad!$I$30,IF(D591="V02",cad!$J$30,cad!$K$30))</f>
        <v/>
      </c>
      <c r="M591">
        <f>IF(D591="V01",cad!$I$31,IF(D591="V02",cad!$J$31,cad!$K$31))</f>
        <v/>
      </c>
      <c r="N591">
        <f>IF(D591="V01",$R$2,IF(D591="V02",$R$3,$R$4))</f>
        <v/>
      </c>
      <c r="O591">
        <f>IF(OR(B591="7062",B591="706",B591="708"),N591,IF(B591="6231",1+G591,IF(B591="6236",1+H591,IF(OR(B591="621",B591="604",B591="6063"),N591*(1-L591),IF(OR(B591="6411",B591="6413",B591="6414",B591="645"),(1+J591)*(1+K591),IF(OR(B591="613",B591="615",B591="616",B591="6226",B591="625",B591="626",B591="6281"),(1+I591)*(1-L591)*(1+M591),IF(OR(B591="6331",B591="63511",B591="6333"),(1+I591)*(1-L591),IF(B591="6811",1+I591,1))))))))</f>
        <v/>
      </c>
      <c r="P591">
        <f>IF(E591=1,F591*O591,"")</f>
        <v/>
      </c>
    </row>
    <row r="592">
      <c r="A592">
        <f>PNL!A592</f>
        <v/>
      </c>
      <c r="B592">
        <f>PNL!B592</f>
        <v/>
      </c>
      <c r="C592">
        <f>PNL!C592</f>
        <v/>
      </c>
      <c r="D592">
        <f>PNL!D592</f>
        <v/>
      </c>
      <c r="E592">
        <f>IF(AND(C592="2027",OR(D592="V01",D592="V02",D592="V03")),1,0)</f>
        <v/>
      </c>
      <c r="F592">
        <f>IF(E592=1,SUMIFS(Compta!$F$2:$F$675,Compta!$A$2:$A$675,A592,Compta!$B$2:$B$675,B592,Compta!$C$2:$C$675,"2026"),0)</f>
        <v/>
      </c>
      <c r="G592">
        <f>IF(D592="V01",cad!$I$21,IF(D592="V02",cad!$J$21,cad!$K$21))</f>
        <v/>
      </c>
      <c r="H592">
        <f>IF(D592="V01",cad!$I$22,IF(D592="V02",cad!$J$22,cad!$K$22))</f>
        <v/>
      </c>
      <c r="I592">
        <f>IF(D592="V01",cad!$I$27,IF(D592="V02",cad!$J$27,cad!$K$27))</f>
        <v/>
      </c>
      <c r="J592">
        <f>IF(D592="V01",cad!$I$28,IF(D592="V02",cad!$J$28,cad!$K$28))</f>
        <v/>
      </c>
      <c r="K592">
        <f>IF(D592="V01",cad!$I$29,IF(D592="V02",cad!$J$29,cad!$K$29))</f>
        <v/>
      </c>
      <c r="L592">
        <f>IF(D592="V01",cad!$I$30,IF(D592="V02",cad!$J$30,cad!$K$30))</f>
        <v/>
      </c>
      <c r="M592">
        <f>IF(D592="V01",cad!$I$31,IF(D592="V02",cad!$J$31,cad!$K$31))</f>
        <v/>
      </c>
      <c r="N592">
        <f>IF(D592="V01",$R$2,IF(D592="V02",$R$3,$R$4))</f>
        <v/>
      </c>
      <c r="O592">
        <f>IF(OR(B592="7062",B592="706",B592="708"),N592,IF(B592="6231",1+G592,IF(B592="6236",1+H592,IF(OR(B592="621",B592="604",B592="6063"),N592*(1-L592),IF(OR(B592="6411",B592="6413",B592="6414",B592="645"),(1+J592)*(1+K592),IF(OR(B592="613",B592="615",B592="616",B592="6226",B592="625",B592="626",B592="6281"),(1+I592)*(1-L592)*(1+M592),IF(OR(B592="6331",B592="63511",B592="6333"),(1+I592)*(1-L592),IF(B592="6811",1+I592,1))))))))</f>
        <v/>
      </c>
      <c r="P592">
        <f>IF(E592=1,F592*O592,"")</f>
        <v/>
      </c>
    </row>
    <row r="593">
      <c r="A593">
        <f>PNL!A593</f>
        <v/>
      </c>
      <c r="B593">
        <f>PNL!B593</f>
        <v/>
      </c>
      <c r="C593">
        <f>PNL!C593</f>
        <v/>
      </c>
      <c r="D593">
        <f>PNL!D593</f>
        <v/>
      </c>
      <c r="E593">
        <f>IF(AND(C593="2027",OR(D593="V01",D593="V02",D593="V03")),1,0)</f>
        <v/>
      </c>
      <c r="F593">
        <f>IF(E593=1,SUMIFS(Compta!$F$2:$F$675,Compta!$A$2:$A$675,A593,Compta!$B$2:$B$675,B593,Compta!$C$2:$C$675,"2026"),0)</f>
        <v/>
      </c>
      <c r="G593">
        <f>IF(D593="V01",cad!$I$21,IF(D593="V02",cad!$J$21,cad!$K$21))</f>
        <v/>
      </c>
      <c r="H593">
        <f>IF(D593="V01",cad!$I$22,IF(D593="V02",cad!$J$22,cad!$K$22))</f>
        <v/>
      </c>
      <c r="I593">
        <f>IF(D593="V01",cad!$I$27,IF(D593="V02",cad!$J$27,cad!$K$27))</f>
        <v/>
      </c>
      <c r="J593">
        <f>IF(D593="V01",cad!$I$28,IF(D593="V02",cad!$J$28,cad!$K$28))</f>
        <v/>
      </c>
      <c r="K593">
        <f>IF(D593="V01",cad!$I$29,IF(D593="V02",cad!$J$29,cad!$K$29))</f>
        <v/>
      </c>
      <c r="L593">
        <f>IF(D593="V01",cad!$I$30,IF(D593="V02",cad!$J$30,cad!$K$30))</f>
        <v/>
      </c>
      <c r="M593">
        <f>IF(D593="V01",cad!$I$31,IF(D593="V02",cad!$J$31,cad!$K$31))</f>
        <v/>
      </c>
      <c r="N593">
        <f>IF(D593="V01",$R$2,IF(D593="V02",$R$3,$R$4))</f>
        <v/>
      </c>
      <c r="O593">
        <f>IF(OR(B593="7062",B593="706",B593="708"),N593,IF(B593="6231",1+G593,IF(B593="6236",1+H593,IF(OR(B593="621",B593="604",B593="6063"),N593*(1-L593),IF(OR(B593="6411",B593="6413",B593="6414",B593="645"),(1+J593)*(1+K593),IF(OR(B593="613",B593="615",B593="616",B593="6226",B593="625",B593="626",B593="6281"),(1+I593)*(1-L593)*(1+M593),IF(OR(B593="6331",B593="63511",B593="6333"),(1+I593)*(1-L593),IF(B593="6811",1+I593,1))))))))</f>
        <v/>
      </c>
      <c r="P593">
        <f>IF(E593=1,F593*O593,"")</f>
        <v/>
      </c>
    </row>
    <row r="594">
      <c r="A594">
        <f>PNL!A594</f>
        <v/>
      </c>
      <c r="B594">
        <f>PNL!B594</f>
        <v/>
      </c>
      <c r="C594">
        <f>PNL!C594</f>
        <v/>
      </c>
      <c r="D594">
        <f>PNL!D594</f>
        <v/>
      </c>
      <c r="E594">
        <f>IF(AND(C594="2027",OR(D594="V01",D594="V02",D594="V03")),1,0)</f>
        <v/>
      </c>
      <c r="F594">
        <f>IF(E594=1,SUMIFS(Compta!$F$2:$F$675,Compta!$A$2:$A$675,A594,Compta!$B$2:$B$675,B594,Compta!$C$2:$C$675,"2026"),0)</f>
        <v/>
      </c>
      <c r="G594">
        <f>IF(D594="V01",cad!$I$21,IF(D594="V02",cad!$J$21,cad!$K$21))</f>
        <v/>
      </c>
      <c r="H594">
        <f>IF(D594="V01",cad!$I$22,IF(D594="V02",cad!$J$22,cad!$K$22))</f>
        <v/>
      </c>
      <c r="I594">
        <f>IF(D594="V01",cad!$I$27,IF(D594="V02",cad!$J$27,cad!$K$27))</f>
        <v/>
      </c>
      <c r="J594">
        <f>IF(D594="V01",cad!$I$28,IF(D594="V02",cad!$J$28,cad!$K$28))</f>
        <v/>
      </c>
      <c r="K594">
        <f>IF(D594="V01",cad!$I$29,IF(D594="V02",cad!$J$29,cad!$K$29))</f>
        <v/>
      </c>
      <c r="L594">
        <f>IF(D594="V01",cad!$I$30,IF(D594="V02",cad!$J$30,cad!$K$30))</f>
        <v/>
      </c>
      <c r="M594">
        <f>IF(D594="V01",cad!$I$31,IF(D594="V02",cad!$J$31,cad!$K$31))</f>
        <v/>
      </c>
      <c r="N594">
        <f>IF(D594="V01",$R$2,IF(D594="V02",$R$3,$R$4))</f>
        <v/>
      </c>
      <c r="O594">
        <f>IF(OR(B594="7062",B594="706",B594="708"),N594,IF(B594="6231",1+G594,IF(B594="6236",1+H594,IF(OR(B594="621",B594="604",B594="6063"),N594*(1-L594),IF(OR(B594="6411",B594="6413",B594="6414",B594="645"),(1+J594)*(1+K594),IF(OR(B594="613",B594="615",B594="616",B594="6226",B594="625",B594="626",B594="6281"),(1+I594)*(1-L594)*(1+M594),IF(OR(B594="6331",B594="63511",B594="6333"),(1+I594)*(1-L594),IF(B594="6811",1+I594,1))))))))</f>
        <v/>
      </c>
      <c r="P594">
        <f>IF(E594=1,F594*O594,"")</f>
        <v/>
      </c>
    </row>
    <row r="595">
      <c r="A595">
        <f>PNL!A595</f>
        <v/>
      </c>
      <c r="B595">
        <f>PNL!B595</f>
        <v/>
      </c>
      <c r="C595">
        <f>PNL!C595</f>
        <v/>
      </c>
      <c r="D595">
        <f>PNL!D595</f>
        <v/>
      </c>
      <c r="E595">
        <f>IF(AND(C595="2027",OR(D595="V01",D595="V02",D595="V03")),1,0)</f>
        <v/>
      </c>
      <c r="F595">
        <f>IF(E595=1,SUMIFS(Compta!$F$2:$F$675,Compta!$A$2:$A$675,A595,Compta!$B$2:$B$675,B595,Compta!$C$2:$C$675,"2026"),0)</f>
        <v/>
      </c>
      <c r="G595">
        <f>IF(D595="V01",cad!$I$21,IF(D595="V02",cad!$J$21,cad!$K$21))</f>
        <v/>
      </c>
      <c r="H595">
        <f>IF(D595="V01",cad!$I$22,IF(D595="V02",cad!$J$22,cad!$K$22))</f>
        <v/>
      </c>
      <c r="I595">
        <f>IF(D595="V01",cad!$I$27,IF(D595="V02",cad!$J$27,cad!$K$27))</f>
        <v/>
      </c>
      <c r="J595">
        <f>IF(D595="V01",cad!$I$28,IF(D595="V02",cad!$J$28,cad!$K$28))</f>
        <v/>
      </c>
      <c r="K595">
        <f>IF(D595="V01",cad!$I$29,IF(D595="V02",cad!$J$29,cad!$K$29))</f>
        <v/>
      </c>
      <c r="L595">
        <f>IF(D595="V01",cad!$I$30,IF(D595="V02",cad!$J$30,cad!$K$30))</f>
        <v/>
      </c>
      <c r="M595">
        <f>IF(D595="V01",cad!$I$31,IF(D595="V02",cad!$J$31,cad!$K$31))</f>
        <v/>
      </c>
      <c r="N595">
        <f>IF(D595="V01",$R$2,IF(D595="V02",$R$3,$R$4))</f>
        <v/>
      </c>
      <c r="O595">
        <f>IF(OR(B595="7062",B595="706",B595="708"),N595,IF(B595="6231",1+G595,IF(B595="6236",1+H595,IF(OR(B595="621",B595="604",B595="6063"),N595*(1-L595),IF(OR(B595="6411",B595="6413",B595="6414",B595="645"),(1+J595)*(1+K595),IF(OR(B595="613",B595="615",B595="616",B595="6226",B595="625",B595="626",B595="6281"),(1+I595)*(1-L595)*(1+M595),IF(OR(B595="6331",B595="63511",B595="6333"),(1+I595)*(1-L595),IF(B595="6811",1+I595,1))))))))</f>
        <v/>
      </c>
      <c r="P595">
        <f>IF(E595=1,F595*O595,"")</f>
        <v/>
      </c>
    </row>
    <row r="596">
      <c r="A596">
        <f>PNL!A596</f>
        <v/>
      </c>
      <c r="B596">
        <f>PNL!B596</f>
        <v/>
      </c>
      <c r="C596">
        <f>PNL!C596</f>
        <v/>
      </c>
      <c r="D596">
        <f>PNL!D596</f>
        <v/>
      </c>
      <c r="E596">
        <f>IF(AND(C596="2027",OR(D596="V01",D596="V02",D596="V03")),1,0)</f>
        <v/>
      </c>
      <c r="F596">
        <f>IF(E596=1,SUMIFS(Compta!$F$2:$F$675,Compta!$A$2:$A$675,A596,Compta!$B$2:$B$675,B596,Compta!$C$2:$C$675,"2026"),0)</f>
        <v/>
      </c>
      <c r="G596">
        <f>IF(D596="V01",cad!$I$21,IF(D596="V02",cad!$J$21,cad!$K$21))</f>
        <v/>
      </c>
      <c r="H596">
        <f>IF(D596="V01",cad!$I$22,IF(D596="V02",cad!$J$22,cad!$K$22))</f>
        <v/>
      </c>
      <c r="I596">
        <f>IF(D596="V01",cad!$I$27,IF(D596="V02",cad!$J$27,cad!$K$27))</f>
        <v/>
      </c>
      <c r="J596">
        <f>IF(D596="V01",cad!$I$28,IF(D596="V02",cad!$J$28,cad!$K$28))</f>
        <v/>
      </c>
      <c r="K596">
        <f>IF(D596="V01",cad!$I$29,IF(D596="V02",cad!$J$29,cad!$K$29))</f>
        <v/>
      </c>
      <c r="L596">
        <f>IF(D596="V01",cad!$I$30,IF(D596="V02",cad!$J$30,cad!$K$30))</f>
        <v/>
      </c>
      <c r="M596">
        <f>IF(D596="V01",cad!$I$31,IF(D596="V02",cad!$J$31,cad!$K$31))</f>
        <v/>
      </c>
      <c r="N596">
        <f>IF(D596="V01",$R$2,IF(D596="V02",$R$3,$R$4))</f>
        <v/>
      </c>
      <c r="O596">
        <f>IF(OR(B596="7062",B596="706",B596="708"),N596,IF(B596="6231",1+G596,IF(B596="6236",1+H596,IF(OR(B596="621",B596="604",B596="6063"),N596*(1-L596),IF(OR(B596="6411",B596="6413",B596="6414",B596="645"),(1+J596)*(1+K596),IF(OR(B596="613",B596="615",B596="616",B596="6226",B596="625",B596="626",B596="6281"),(1+I596)*(1-L596)*(1+M596),IF(OR(B596="6331",B596="63511",B596="6333"),(1+I596)*(1-L596),IF(B596="6811",1+I596,1))))))))</f>
        <v/>
      </c>
      <c r="P596">
        <f>IF(E596=1,F596*O596,"")</f>
        <v/>
      </c>
    </row>
    <row r="597">
      <c r="A597">
        <f>PNL!A597</f>
        <v/>
      </c>
      <c r="B597">
        <f>PNL!B597</f>
        <v/>
      </c>
      <c r="C597">
        <f>PNL!C597</f>
        <v/>
      </c>
      <c r="D597">
        <f>PNL!D597</f>
        <v/>
      </c>
      <c r="E597">
        <f>IF(AND(C597="2027",OR(D597="V01",D597="V02",D597="V03")),1,0)</f>
        <v/>
      </c>
      <c r="F597">
        <f>IF(E597=1,SUMIFS(Compta!$F$2:$F$675,Compta!$A$2:$A$675,A597,Compta!$B$2:$B$675,B597,Compta!$C$2:$C$675,"2026"),0)</f>
        <v/>
      </c>
      <c r="G597">
        <f>IF(D597="V01",cad!$I$21,IF(D597="V02",cad!$J$21,cad!$K$21))</f>
        <v/>
      </c>
      <c r="H597">
        <f>IF(D597="V01",cad!$I$22,IF(D597="V02",cad!$J$22,cad!$K$22))</f>
        <v/>
      </c>
      <c r="I597">
        <f>IF(D597="V01",cad!$I$27,IF(D597="V02",cad!$J$27,cad!$K$27))</f>
        <v/>
      </c>
      <c r="J597">
        <f>IF(D597="V01",cad!$I$28,IF(D597="V02",cad!$J$28,cad!$K$28))</f>
        <v/>
      </c>
      <c r="K597">
        <f>IF(D597="V01",cad!$I$29,IF(D597="V02",cad!$J$29,cad!$K$29))</f>
        <v/>
      </c>
      <c r="L597">
        <f>IF(D597="V01",cad!$I$30,IF(D597="V02",cad!$J$30,cad!$K$30))</f>
        <v/>
      </c>
      <c r="M597">
        <f>IF(D597="V01",cad!$I$31,IF(D597="V02",cad!$J$31,cad!$K$31))</f>
        <v/>
      </c>
      <c r="N597">
        <f>IF(D597="V01",$R$2,IF(D597="V02",$R$3,$R$4))</f>
        <v/>
      </c>
      <c r="O597">
        <f>IF(OR(B597="7062",B597="706",B597="708"),N597,IF(B597="6231",1+G597,IF(B597="6236",1+H597,IF(OR(B597="621",B597="604",B597="6063"),N597*(1-L597),IF(OR(B597="6411",B597="6413",B597="6414",B597="645"),(1+J597)*(1+K597),IF(OR(B597="613",B597="615",B597="616",B597="6226",B597="625",B597="626",B597="6281"),(1+I597)*(1-L597)*(1+M597),IF(OR(B597="6331",B597="63511",B597="6333"),(1+I597)*(1-L597),IF(B597="6811",1+I597,1))))))))</f>
        <v/>
      </c>
      <c r="P597">
        <f>IF(E597=1,F597*O597,"")</f>
        <v/>
      </c>
    </row>
    <row r="598">
      <c r="A598">
        <f>PNL!A598</f>
        <v/>
      </c>
      <c r="B598">
        <f>PNL!B598</f>
        <v/>
      </c>
      <c r="C598">
        <f>PNL!C598</f>
        <v/>
      </c>
      <c r="D598">
        <f>PNL!D598</f>
        <v/>
      </c>
      <c r="E598">
        <f>IF(AND(C598="2027",OR(D598="V01",D598="V02",D598="V03")),1,0)</f>
        <v/>
      </c>
      <c r="F598">
        <f>IF(E598=1,SUMIFS(Compta!$F$2:$F$675,Compta!$A$2:$A$675,A598,Compta!$B$2:$B$675,B598,Compta!$C$2:$C$675,"2026"),0)</f>
        <v/>
      </c>
      <c r="G598">
        <f>IF(D598="V01",cad!$I$21,IF(D598="V02",cad!$J$21,cad!$K$21))</f>
        <v/>
      </c>
      <c r="H598">
        <f>IF(D598="V01",cad!$I$22,IF(D598="V02",cad!$J$22,cad!$K$22))</f>
        <v/>
      </c>
      <c r="I598">
        <f>IF(D598="V01",cad!$I$27,IF(D598="V02",cad!$J$27,cad!$K$27))</f>
        <v/>
      </c>
      <c r="J598">
        <f>IF(D598="V01",cad!$I$28,IF(D598="V02",cad!$J$28,cad!$K$28))</f>
        <v/>
      </c>
      <c r="K598">
        <f>IF(D598="V01",cad!$I$29,IF(D598="V02",cad!$J$29,cad!$K$29))</f>
        <v/>
      </c>
      <c r="L598">
        <f>IF(D598="V01",cad!$I$30,IF(D598="V02",cad!$J$30,cad!$K$30))</f>
        <v/>
      </c>
      <c r="M598">
        <f>IF(D598="V01",cad!$I$31,IF(D598="V02",cad!$J$31,cad!$K$31))</f>
        <v/>
      </c>
      <c r="N598">
        <f>IF(D598="V01",$R$2,IF(D598="V02",$R$3,$R$4))</f>
        <v/>
      </c>
      <c r="O598">
        <f>IF(OR(B598="7062",B598="706",B598="708"),N598,IF(B598="6231",1+G598,IF(B598="6236",1+H598,IF(OR(B598="621",B598="604",B598="6063"),N598*(1-L598),IF(OR(B598="6411",B598="6413",B598="6414",B598="645"),(1+J598)*(1+K598),IF(OR(B598="613",B598="615",B598="616",B598="6226",B598="625",B598="626",B598="6281"),(1+I598)*(1-L598)*(1+M598),IF(OR(B598="6331",B598="63511",B598="6333"),(1+I598)*(1-L598),IF(B598="6811",1+I598,1))))))))</f>
        <v/>
      </c>
      <c r="P598">
        <f>IF(E598=1,F598*O598,"")</f>
        <v/>
      </c>
    </row>
    <row r="599">
      <c r="A599">
        <f>PNL!A599</f>
        <v/>
      </c>
      <c r="B599">
        <f>PNL!B599</f>
        <v/>
      </c>
      <c r="C599">
        <f>PNL!C599</f>
        <v/>
      </c>
      <c r="D599">
        <f>PNL!D599</f>
        <v/>
      </c>
      <c r="E599">
        <f>IF(AND(C599="2027",OR(D599="V01",D599="V02",D599="V03")),1,0)</f>
        <v/>
      </c>
      <c r="F599">
        <f>IF(E599=1,SUMIFS(Compta!$F$2:$F$675,Compta!$A$2:$A$675,A599,Compta!$B$2:$B$675,B599,Compta!$C$2:$C$675,"2026"),0)</f>
        <v/>
      </c>
      <c r="G599">
        <f>IF(D599="V01",cad!$I$21,IF(D599="V02",cad!$J$21,cad!$K$21))</f>
        <v/>
      </c>
      <c r="H599">
        <f>IF(D599="V01",cad!$I$22,IF(D599="V02",cad!$J$22,cad!$K$22))</f>
        <v/>
      </c>
      <c r="I599">
        <f>IF(D599="V01",cad!$I$27,IF(D599="V02",cad!$J$27,cad!$K$27))</f>
        <v/>
      </c>
      <c r="J599">
        <f>IF(D599="V01",cad!$I$28,IF(D599="V02",cad!$J$28,cad!$K$28))</f>
        <v/>
      </c>
      <c r="K599">
        <f>IF(D599="V01",cad!$I$29,IF(D599="V02",cad!$J$29,cad!$K$29))</f>
        <v/>
      </c>
      <c r="L599">
        <f>IF(D599="V01",cad!$I$30,IF(D599="V02",cad!$J$30,cad!$K$30))</f>
        <v/>
      </c>
      <c r="M599">
        <f>IF(D599="V01",cad!$I$31,IF(D599="V02",cad!$J$31,cad!$K$31))</f>
        <v/>
      </c>
      <c r="N599">
        <f>IF(D599="V01",$R$2,IF(D599="V02",$R$3,$R$4))</f>
        <v/>
      </c>
      <c r="O599">
        <f>IF(OR(B599="7062",B599="706",B599="708"),N599,IF(B599="6231",1+G599,IF(B599="6236",1+H599,IF(OR(B599="621",B599="604",B599="6063"),N599*(1-L599),IF(OR(B599="6411",B599="6413",B599="6414",B599="645"),(1+J599)*(1+K599),IF(OR(B599="613",B599="615",B599="616",B599="6226",B599="625",B599="626",B599="6281"),(1+I599)*(1-L599)*(1+M599),IF(OR(B599="6331",B599="63511",B599="6333"),(1+I599)*(1-L599),IF(B599="6811",1+I599,1))))))))</f>
        <v/>
      </c>
      <c r="P599">
        <f>IF(E599=1,F599*O599,"")</f>
        <v/>
      </c>
    </row>
    <row r="600">
      <c r="A600">
        <f>PNL!A600</f>
        <v/>
      </c>
      <c r="B600">
        <f>PNL!B600</f>
        <v/>
      </c>
      <c r="C600">
        <f>PNL!C600</f>
        <v/>
      </c>
      <c r="D600">
        <f>PNL!D600</f>
        <v/>
      </c>
      <c r="E600">
        <f>IF(AND(C600="2027",OR(D600="V01",D600="V02",D600="V03")),1,0)</f>
        <v/>
      </c>
      <c r="F600">
        <f>IF(E600=1,SUMIFS(Compta!$F$2:$F$675,Compta!$A$2:$A$675,A600,Compta!$B$2:$B$675,B600,Compta!$C$2:$C$675,"2026"),0)</f>
        <v/>
      </c>
      <c r="G600">
        <f>IF(D600="V01",cad!$I$21,IF(D600="V02",cad!$J$21,cad!$K$21))</f>
        <v/>
      </c>
      <c r="H600">
        <f>IF(D600="V01",cad!$I$22,IF(D600="V02",cad!$J$22,cad!$K$22))</f>
        <v/>
      </c>
      <c r="I600">
        <f>IF(D600="V01",cad!$I$27,IF(D600="V02",cad!$J$27,cad!$K$27))</f>
        <v/>
      </c>
      <c r="J600">
        <f>IF(D600="V01",cad!$I$28,IF(D600="V02",cad!$J$28,cad!$K$28))</f>
        <v/>
      </c>
      <c r="K600">
        <f>IF(D600="V01",cad!$I$29,IF(D600="V02",cad!$J$29,cad!$K$29))</f>
        <v/>
      </c>
      <c r="L600">
        <f>IF(D600="V01",cad!$I$30,IF(D600="V02",cad!$J$30,cad!$K$30))</f>
        <v/>
      </c>
      <c r="M600">
        <f>IF(D600="V01",cad!$I$31,IF(D600="V02",cad!$J$31,cad!$K$31))</f>
        <v/>
      </c>
      <c r="N600">
        <f>IF(D600="V01",$R$2,IF(D600="V02",$R$3,$R$4))</f>
        <v/>
      </c>
      <c r="O600">
        <f>IF(OR(B600="7062",B600="706",B600="708"),N600,IF(B600="6231",1+G600,IF(B600="6236",1+H600,IF(OR(B600="621",B600="604",B600="6063"),N600*(1-L600),IF(OR(B600="6411",B600="6413",B600="6414",B600="645"),(1+J600)*(1+K600),IF(OR(B600="613",B600="615",B600="616",B600="6226",B600="625",B600="626",B600="6281"),(1+I600)*(1-L600)*(1+M600),IF(OR(B600="6331",B600="63511",B600="6333"),(1+I600)*(1-L600),IF(B600="6811",1+I600,1))))))))</f>
        <v/>
      </c>
      <c r="P600">
        <f>IF(E600=1,F600*O600,"")</f>
        <v/>
      </c>
    </row>
    <row r="601">
      <c r="A601">
        <f>PNL!A601</f>
        <v/>
      </c>
      <c r="B601">
        <f>PNL!B601</f>
        <v/>
      </c>
      <c r="C601">
        <f>PNL!C601</f>
        <v/>
      </c>
      <c r="D601">
        <f>PNL!D601</f>
        <v/>
      </c>
      <c r="E601">
        <f>IF(AND(C601="2027",OR(D601="V01",D601="V02",D601="V03")),1,0)</f>
        <v/>
      </c>
      <c r="F601">
        <f>IF(E601=1,SUMIFS(Compta!$F$2:$F$675,Compta!$A$2:$A$675,A601,Compta!$B$2:$B$675,B601,Compta!$C$2:$C$675,"2026"),0)</f>
        <v/>
      </c>
      <c r="G601">
        <f>IF(D601="V01",cad!$I$21,IF(D601="V02",cad!$J$21,cad!$K$21))</f>
        <v/>
      </c>
      <c r="H601">
        <f>IF(D601="V01",cad!$I$22,IF(D601="V02",cad!$J$22,cad!$K$22))</f>
        <v/>
      </c>
      <c r="I601">
        <f>IF(D601="V01",cad!$I$27,IF(D601="V02",cad!$J$27,cad!$K$27))</f>
        <v/>
      </c>
      <c r="J601">
        <f>IF(D601="V01",cad!$I$28,IF(D601="V02",cad!$J$28,cad!$K$28))</f>
        <v/>
      </c>
      <c r="K601">
        <f>IF(D601="V01",cad!$I$29,IF(D601="V02",cad!$J$29,cad!$K$29))</f>
        <v/>
      </c>
      <c r="L601">
        <f>IF(D601="V01",cad!$I$30,IF(D601="V02",cad!$J$30,cad!$K$30))</f>
        <v/>
      </c>
      <c r="M601">
        <f>IF(D601="V01",cad!$I$31,IF(D601="V02",cad!$J$31,cad!$K$31))</f>
        <v/>
      </c>
      <c r="N601">
        <f>IF(D601="V01",$R$2,IF(D601="V02",$R$3,$R$4))</f>
        <v/>
      </c>
      <c r="O601">
        <f>IF(OR(B601="7062",B601="706",B601="708"),N601,IF(B601="6231",1+G601,IF(B601="6236",1+H601,IF(OR(B601="621",B601="604",B601="6063"),N601*(1-L601),IF(OR(B601="6411",B601="6413",B601="6414",B601="645"),(1+J601)*(1+K601),IF(OR(B601="613",B601="615",B601="616",B601="6226",B601="625",B601="626",B601="6281"),(1+I601)*(1-L601)*(1+M601),IF(OR(B601="6331",B601="63511",B601="6333"),(1+I601)*(1-L601),IF(B601="6811",1+I601,1))))))))</f>
        <v/>
      </c>
      <c r="P601">
        <f>IF(E601=1,F601*O601,"")</f>
        <v/>
      </c>
    </row>
    <row r="602">
      <c r="A602">
        <f>PNL!A602</f>
        <v/>
      </c>
      <c r="B602">
        <f>PNL!B602</f>
        <v/>
      </c>
      <c r="C602">
        <f>PNL!C602</f>
        <v/>
      </c>
      <c r="D602">
        <f>PNL!D602</f>
        <v/>
      </c>
      <c r="E602">
        <f>IF(AND(C602="2027",OR(D602="V01",D602="V02",D602="V03")),1,0)</f>
        <v/>
      </c>
      <c r="F602">
        <f>IF(E602=1,SUMIFS(Compta!$F$2:$F$675,Compta!$A$2:$A$675,A602,Compta!$B$2:$B$675,B602,Compta!$C$2:$C$675,"2026"),0)</f>
        <v/>
      </c>
      <c r="G602">
        <f>IF(D602="V01",cad!$I$21,IF(D602="V02",cad!$J$21,cad!$K$21))</f>
        <v/>
      </c>
      <c r="H602">
        <f>IF(D602="V01",cad!$I$22,IF(D602="V02",cad!$J$22,cad!$K$22))</f>
        <v/>
      </c>
      <c r="I602">
        <f>IF(D602="V01",cad!$I$27,IF(D602="V02",cad!$J$27,cad!$K$27))</f>
        <v/>
      </c>
      <c r="J602">
        <f>IF(D602="V01",cad!$I$28,IF(D602="V02",cad!$J$28,cad!$K$28))</f>
        <v/>
      </c>
      <c r="K602">
        <f>IF(D602="V01",cad!$I$29,IF(D602="V02",cad!$J$29,cad!$K$29))</f>
        <v/>
      </c>
      <c r="L602">
        <f>IF(D602="V01",cad!$I$30,IF(D602="V02",cad!$J$30,cad!$K$30))</f>
        <v/>
      </c>
      <c r="M602">
        <f>IF(D602="V01",cad!$I$31,IF(D602="V02",cad!$J$31,cad!$K$31))</f>
        <v/>
      </c>
      <c r="N602">
        <f>IF(D602="V01",$R$2,IF(D602="V02",$R$3,$R$4))</f>
        <v/>
      </c>
      <c r="O602">
        <f>IF(OR(B602="7062",B602="706",B602="708"),N602,IF(B602="6231",1+G602,IF(B602="6236",1+H602,IF(OR(B602="621",B602="604",B602="6063"),N602*(1-L602),IF(OR(B602="6411",B602="6413",B602="6414",B602="645"),(1+J602)*(1+K602),IF(OR(B602="613",B602="615",B602="616",B602="6226",B602="625",B602="626",B602="6281"),(1+I602)*(1-L602)*(1+M602),IF(OR(B602="6331",B602="63511",B602="6333"),(1+I602)*(1-L602),IF(B602="6811",1+I602,1))))))))</f>
        <v/>
      </c>
      <c r="P602">
        <f>IF(E602=1,F602*O602,"")</f>
        <v/>
      </c>
    </row>
    <row r="603">
      <c r="A603">
        <f>PNL!A603</f>
        <v/>
      </c>
      <c r="B603">
        <f>PNL!B603</f>
        <v/>
      </c>
      <c r="C603">
        <f>PNL!C603</f>
        <v/>
      </c>
      <c r="D603">
        <f>PNL!D603</f>
        <v/>
      </c>
      <c r="E603">
        <f>IF(AND(C603="2027",OR(D603="V01",D603="V02",D603="V03")),1,0)</f>
        <v/>
      </c>
      <c r="F603">
        <f>IF(E603=1,SUMIFS(Compta!$F$2:$F$675,Compta!$A$2:$A$675,A603,Compta!$B$2:$B$675,B603,Compta!$C$2:$C$675,"2026"),0)</f>
        <v/>
      </c>
      <c r="G603">
        <f>IF(D603="V01",cad!$I$21,IF(D603="V02",cad!$J$21,cad!$K$21))</f>
        <v/>
      </c>
      <c r="H603">
        <f>IF(D603="V01",cad!$I$22,IF(D603="V02",cad!$J$22,cad!$K$22))</f>
        <v/>
      </c>
      <c r="I603">
        <f>IF(D603="V01",cad!$I$27,IF(D603="V02",cad!$J$27,cad!$K$27))</f>
        <v/>
      </c>
      <c r="J603">
        <f>IF(D603="V01",cad!$I$28,IF(D603="V02",cad!$J$28,cad!$K$28))</f>
        <v/>
      </c>
      <c r="K603">
        <f>IF(D603="V01",cad!$I$29,IF(D603="V02",cad!$J$29,cad!$K$29))</f>
        <v/>
      </c>
      <c r="L603">
        <f>IF(D603="V01",cad!$I$30,IF(D603="V02",cad!$J$30,cad!$K$30))</f>
        <v/>
      </c>
      <c r="M603">
        <f>IF(D603="V01",cad!$I$31,IF(D603="V02",cad!$J$31,cad!$K$31))</f>
        <v/>
      </c>
      <c r="N603">
        <f>IF(D603="V01",$R$2,IF(D603="V02",$R$3,$R$4))</f>
        <v/>
      </c>
      <c r="O603">
        <f>IF(OR(B603="7062",B603="706",B603="708"),N603,IF(B603="6231",1+G603,IF(B603="6236",1+H603,IF(OR(B603="621",B603="604",B603="6063"),N603*(1-L603),IF(OR(B603="6411",B603="6413",B603="6414",B603="645"),(1+J603)*(1+K603),IF(OR(B603="613",B603="615",B603="616",B603="6226",B603="625",B603="626",B603="6281"),(1+I603)*(1-L603)*(1+M603),IF(OR(B603="6331",B603="63511",B603="6333"),(1+I603)*(1-L603),IF(B603="6811",1+I603,1))))))))</f>
        <v/>
      </c>
      <c r="P603">
        <f>IF(E603=1,F603*O603,"")</f>
        <v/>
      </c>
    </row>
    <row r="604">
      <c r="A604">
        <f>PNL!A604</f>
        <v/>
      </c>
      <c r="B604">
        <f>PNL!B604</f>
        <v/>
      </c>
      <c r="C604">
        <f>PNL!C604</f>
        <v/>
      </c>
      <c r="D604">
        <f>PNL!D604</f>
        <v/>
      </c>
      <c r="E604">
        <f>IF(AND(C604="2027",OR(D604="V01",D604="V02",D604="V03")),1,0)</f>
        <v/>
      </c>
      <c r="F604">
        <f>IF(E604=1,SUMIFS(Compta!$F$2:$F$675,Compta!$A$2:$A$675,A604,Compta!$B$2:$B$675,B604,Compta!$C$2:$C$675,"2026"),0)</f>
        <v/>
      </c>
      <c r="G604">
        <f>IF(D604="V01",cad!$I$21,IF(D604="V02",cad!$J$21,cad!$K$21))</f>
        <v/>
      </c>
      <c r="H604">
        <f>IF(D604="V01",cad!$I$22,IF(D604="V02",cad!$J$22,cad!$K$22))</f>
        <v/>
      </c>
      <c r="I604">
        <f>IF(D604="V01",cad!$I$27,IF(D604="V02",cad!$J$27,cad!$K$27))</f>
        <v/>
      </c>
      <c r="J604">
        <f>IF(D604="V01",cad!$I$28,IF(D604="V02",cad!$J$28,cad!$K$28))</f>
        <v/>
      </c>
      <c r="K604">
        <f>IF(D604="V01",cad!$I$29,IF(D604="V02",cad!$J$29,cad!$K$29))</f>
        <v/>
      </c>
      <c r="L604">
        <f>IF(D604="V01",cad!$I$30,IF(D604="V02",cad!$J$30,cad!$K$30))</f>
        <v/>
      </c>
      <c r="M604">
        <f>IF(D604="V01",cad!$I$31,IF(D604="V02",cad!$J$31,cad!$K$31))</f>
        <v/>
      </c>
      <c r="N604">
        <f>IF(D604="V01",$R$2,IF(D604="V02",$R$3,$R$4))</f>
        <v/>
      </c>
      <c r="O604">
        <f>IF(OR(B604="7062",B604="706",B604="708"),N604,IF(B604="6231",1+G604,IF(B604="6236",1+H604,IF(OR(B604="621",B604="604",B604="6063"),N604*(1-L604),IF(OR(B604="6411",B604="6413",B604="6414",B604="645"),(1+J604)*(1+K604),IF(OR(B604="613",B604="615",B604="616",B604="6226",B604="625",B604="626",B604="6281"),(1+I604)*(1-L604)*(1+M604),IF(OR(B604="6331",B604="63511",B604="6333"),(1+I604)*(1-L604),IF(B604="6811",1+I604,1))))))))</f>
        <v/>
      </c>
      <c r="P604">
        <f>IF(E604=1,F604*O604,"")</f>
        <v/>
      </c>
    </row>
    <row r="605">
      <c r="A605">
        <f>PNL!A605</f>
        <v/>
      </c>
      <c r="B605">
        <f>PNL!B605</f>
        <v/>
      </c>
      <c r="C605">
        <f>PNL!C605</f>
        <v/>
      </c>
      <c r="D605">
        <f>PNL!D605</f>
        <v/>
      </c>
      <c r="E605">
        <f>IF(AND(C605="2027",OR(D605="V01",D605="V02",D605="V03")),1,0)</f>
        <v/>
      </c>
      <c r="F605">
        <f>IF(E605=1,SUMIFS(Compta!$F$2:$F$675,Compta!$A$2:$A$675,A605,Compta!$B$2:$B$675,B605,Compta!$C$2:$C$675,"2026"),0)</f>
        <v/>
      </c>
      <c r="G605">
        <f>IF(D605="V01",cad!$I$21,IF(D605="V02",cad!$J$21,cad!$K$21))</f>
        <v/>
      </c>
      <c r="H605">
        <f>IF(D605="V01",cad!$I$22,IF(D605="V02",cad!$J$22,cad!$K$22))</f>
        <v/>
      </c>
      <c r="I605">
        <f>IF(D605="V01",cad!$I$27,IF(D605="V02",cad!$J$27,cad!$K$27))</f>
        <v/>
      </c>
      <c r="J605">
        <f>IF(D605="V01",cad!$I$28,IF(D605="V02",cad!$J$28,cad!$K$28))</f>
        <v/>
      </c>
      <c r="K605">
        <f>IF(D605="V01",cad!$I$29,IF(D605="V02",cad!$J$29,cad!$K$29))</f>
        <v/>
      </c>
      <c r="L605">
        <f>IF(D605="V01",cad!$I$30,IF(D605="V02",cad!$J$30,cad!$K$30))</f>
        <v/>
      </c>
      <c r="M605">
        <f>IF(D605="V01",cad!$I$31,IF(D605="V02",cad!$J$31,cad!$K$31))</f>
        <v/>
      </c>
      <c r="N605">
        <f>IF(D605="V01",$R$2,IF(D605="V02",$R$3,$R$4))</f>
        <v/>
      </c>
      <c r="O605">
        <f>IF(OR(B605="7062",B605="706",B605="708"),N605,IF(B605="6231",1+G605,IF(B605="6236",1+H605,IF(OR(B605="621",B605="604",B605="6063"),N605*(1-L605),IF(OR(B605="6411",B605="6413",B605="6414",B605="645"),(1+J605)*(1+K605),IF(OR(B605="613",B605="615",B605="616",B605="6226",B605="625",B605="626",B605="6281"),(1+I605)*(1-L605)*(1+M605),IF(OR(B605="6331",B605="63511",B605="6333"),(1+I605)*(1-L605),IF(B605="6811",1+I605,1))))))))</f>
        <v/>
      </c>
      <c r="P605">
        <f>IF(E605=1,F605*O605,"")</f>
        <v/>
      </c>
    </row>
    <row r="606">
      <c r="A606">
        <f>PNL!A606</f>
        <v/>
      </c>
      <c r="B606">
        <f>PNL!B606</f>
        <v/>
      </c>
      <c r="C606">
        <f>PNL!C606</f>
        <v/>
      </c>
      <c r="D606">
        <f>PNL!D606</f>
        <v/>
      </c>
      <c r="E606">
        <f>IF(AND(C606="2027",OR(D606="V01",D606="V02",D606="V03")),1,0)</f>
        <v/>
      </c>
      <c r="F606">
        <f>IF(E606=1,SUMIFS(Compta!$F$2:$F$675,Compta!$A$2:$A$675,A606,Compta!$B$2:$B$675,B606,Compta!$C$2:$C$675,"2026"),0)</f>
        <v/>
      </c>
      <c r="G606">
        <f>IF(D606="V01",cad!$I$21,IF(D606="V02",cad!$J$21,cad!$K$21))</f>
        <v/>
      </c>
      <c r="H606">
        <f>IF(D606="V01",cad!$I$22,IF(D606="V02",cad!$J$22,cad!$K$22))</f>
        <v/>
      </c>
      <c r="I606">
        <f>IF(D606="V01",cad!$I$27,IF(D606="V02",cad!$J$27,cad!$K$27))</f>
        <v/>
      </c>
      <c r="J606">
        <f>IF(D606="V01",cad!$I$28,IF(D606="V02",cad!$J$28,cad!$K$28))</f>
        <v/>
      </c>
      <c r="K606">
        <f>IF(D606="V01",cad!$I$29,IF(D606="V02",cad!$J$29,cad!$K$29))</f>
        <v/>
      </c>
      <c r="L606">
        <f>IF(D606="V01",cad!$I$30,IF(D606="V02",cad!$J$30,cad!$K$30))</f>
        <v/>
      </c>
      <c r="M606">
        <f>IF(D606="V01",cad!$I$31,IF(D606="V02",cad!$J$31,cad!$K$31))</f>
        <v/>
      </c>
      <c r="N606">
        <f>IF(D606="V01",$R$2,IF(D606="V02",$R$3,$R$4))</f>
        <v/>
      </c>
      <c r="O606">
        <f>IF(OR(B606="7062",B606="706",B606="708"),N606,IF(B606="6231",1+G606,IF(B606="6236",1+H606,IF(OR(B606="621",B606="604",B606="6063"),N606*(1-L606),IF(OR(B606="6411",B606="6413",B606="6414",B606="645"),(1+J606)*(1+K606),IF(OR(B606="613",B606="615",B606="616",B606="6226",B606="625",B606="626",B606="6281"),(1+I606)*(1-L606)*(1+M606),IF(OR(B606="6331",B606="63511",B606="6333"),(1+I606)*(1-L606),IF(B606="6811",1+I606,1))))))))</f>
        <v/>
      </c>
      <c r="P606">
        <f>IF(E606=1,F606*O606,"")</f>
        <v/>
      </c>
    </row>
    <row r="607">
      <c r="A607">
        <f>PNL!A607</f>
        <v/>
      </c>
      <c r="B607">
        <f>PNL!B607</f>
        <v/>
      </c>
      <c r="C607">
        <f>PNL!C607</f>
        <v/>
      </c>
      <c r="D607">
        <f>PNL!D607</f>
        <v/>
      </c>
      <c r="E607">
        <f>IF(AND(C607="2027",OR(D607="V01",D607="V02",D607="V03")),1,0)</f>
        <v/>
      </c>
      <c r="F607">
        <f>IF(E607=1,SUMIFS(Compta!$F$2:$F$675,Compta!$A$2:$A$675,A607,Compta!$B$2:$B$675,B607,Compta!$C$2:$C$675,"2026"),0)</f>
        <v/>
      </c>
      <c r="G607">
        <f>IF(D607="V01",cad!$I$21,IF(D607="V02",cad!$J$21,cad!$K$21))</f>
        <v/>
      </c>
      <c r="H607">
        <f>IF(D607="V01",cad!$I$22,IF(D607="V02",cad!$J$22,cad!$K$22))</f>
        <v/>
      </c>
      <c r="I607">
        <f>IF(D607="V01",cad!$I$27,IF(D607="V02",cad!$J$27,cad!$K$27))</f>
        <v/>
      </c>
      <c r="J607">
        <f>IF(D607="V01",cad!$I$28,IF(D607="V02",cad!$J$28,cad!$K$28))</f>
        <v/>
      </c>
      <c r="K607">
        <f>IF(D607="V01",cad!$I$29,IF(D607="V02",cad!$J$29,cad!$K$29))</f>
        <v/>
      </c>
      <c r="L607">
        <f>IF(D607="V01",cad!$I$30,IF(D607="V02",cad!$J$30,cad!$K$30))</f>
        <v/>
      </c>
      <c r="M607">
        <f>IF(D607="V01",cad!$I$31,IF(D607="V02",cad!$J$31,cad!$K$31))</f>
        <v/>
      </c>
      <c r="N607">
        <f>IF(D607="V01",$R$2,IF(D607="V02",$R$3,$R$4))</f>
        <v/>
      </c>
      <c r="O607">
        <f>IF(OR(B607="7062",B607="706",B607="708"),N607,IF(B607="6231",1+G607,IF(B607="6236",1+H607,IF(OR(B607="621",B607="604",B607="6063"),N607*(1-L607),IF(OR(B607="6411",B607="6413",B607="6414",B607="645"),(1+J607)*(1+K607),IF(OR(B607="613",B607="615",B607="616",B607="6226",B607="625",B607="626",B607="6281"),(1+I607)*(1-L607)*(1+M607),IF(OR(B607="6331",B607="63511",B607="6333"),(1+I607)*(1-L607),IF(B607="6811",1+I607,1))))))))</f>
        <v/>
      </c>
      <c r="P607">
        <f>IF(E607=1,F607*O607,"")</f>
        <v/>
      </c>
    </row>
    <row r="608">
      <c r="A608">
        <f>PNL!A608</f>
        <v/>
      </c>
      <c r="B608">
        <f>PNL!B608</f>
        <v/>
      </c>
      <c r="C608">
        <f>PNL!C608</f>
        <v/>
      </c>
      <c r="D608">
        <f>PNL!D608</f>
        <v/>
      </c>
      <c r="E608">
        <f>IF(AND(C608="2027",OR(D608="V01",D608="V02",D608="V03")),1,0)</f>
        <v/>
      </c>
      <c r="F608">
        <f>IF(E608=1,SUMIFS(Compta!$F$2:$F$675,Compta!$A$2:$A$675,A608,Compta!$B$2:$B$675,B608,Compta!$C$2:$C$675,"2026"),0)</f>
        <v/>
      </c>
      <c r="G608">
        <f>IF(D608="V01",cad!$I$21,IF(D608="V02",cad!$J$21,cad!$K$21))</f>
        <v/>
      </c>
      <c r="H608">
        <f>IF(D608="V01",cad!$I$22,IF(D608="V02",cad!$J$22,cad!$K$22))</f>
        <v/>
      </c>
      <c r="I608">
        <f>IF(D608="V01",cad!$I$27,IF(D608="V02",cad!$J$27,cad!$K$27))</f>
        <v/>
      </c>
      <c r="J608">
        <f>IF(D608="V01",cad!$I$28,IF(D608="V02",cad!$J$28,cad!$K$28))</f>
        <v/>
      </c>
      <c r="K608">
        <f>IF(D608="V01",cad!$I$29,IF(D608="V02",cad!$J$29,cad!$K$29))</f>
        <v/>
      </c>
      <c r="L608">
        <f>IF(D608="V01",cad!$I$30,IF(D608="V02",cad!$J$30,cad!$K$30))</f>
        <v/>
      </c>
      <c r="M608">
        <f>IF(D608="V01",cad!$I$31,IF(D608="V02",cad!$J$31,cad!$K$31))</f>
        <v/>
      </c>
      <c r="N608">
        <f>IF(D608="V01",$R$2,IF(D608="V02",$R$3,$R$4))</f>
        <v/>
      </c>
      <c r="O608">
        <f>IF(OR(B608="7062",B608="706",B608="708"),N608,IF(B608="6231",1+G608,IF(B608="6236",1+H608,IF(OR(B608="621",B608="604",B608="6063"),N608*(1-L608),IF(OR(B608="6411",B608="6413",B608="6414",B608="645"),(1+J608)*(1+K608),IF(OR(B608="613",B608="615",B608="616",B608="6226",B608="625",B608="626",B608="6281"),(1+I608)*(1-L608)*(1+M608),IF(OR(B608="6331",B608="63511",B608="6333"),(1+I608)*(1-L608),IF(B608="6811",1+I608,1))))))))</f>
        <v/>
      </c>
      <c r="P608">
        <f>IF(E608=1,F608*O608,"")</f>
        <v/>
      </c>
    </row>
    <row r="609">
      <c r="A609">
        <f>PNL!A609</f>
        <v/>
      </c>
      <c r="B609">
        <f>PNL!B609</f>
        <v/>
      </c>
      <c r="C609">
        <f>PNL!C609</f>
        <v/>
      </c>
      <c r="D609">
        <f>PNL!D609</f>
        <v/>
      </c>
      <c r="E609">
        <f>IF(AND(C609="2027",OR(D609="V01",D609="V02",D609="V03")),1,0)</f>
        <v/>
      </c>
      <c r="F609">
        <f>IF(E609=1,SUMIFS(Compta!$F$2:$F$675,Compta!$A$2:$A$675,A609,Compta!$B$2:$B$675,B609,Compta!$C$2:$C$675,"2026"),0)</f>
        <v/>
      </c>
      <c r="G609">
        <f>IF(D609="V01",cad!$I$21,IF(D609="V02",cad!$J$21,cad!$K$21))</f>
        <v/>
      </c>
      <c r="H609">
        <f>IF(D609="V01",cad!$I$22,IF(D609="V02",cad!$J$22,cad!$K$22))</f>
        <v/>
      </c>
      <c r="I609">
        <f>IF(D609="V01",cad!$I$27,IF(D609="V02",cad!$J$27,cad!$K$27))</f>
        <v/>
      </c>
      <c r="J609">
        <f>IF(D609="V01",cad!$I$28,IF(D609="V02",cad!$J$28,cad!$K$28))</f>
        <v/>
      </c>
      <c r="K609">
        <f>IF(D609="V01",cad!$I$29,IF(D609="V02",cad!$J$29,cad!$K$29))</f>
        <v/>
      </c>
      <c r="L609">
        <f>IF(D609="V01",cad!$I$30,IF(D609="V02",cad!$J$30,cad!$K$30))</f>
        <v/>
      </c>
      <c r="M609">
        <f>IF(D609="V01",cad!$I$31,IF(D609="V02",cad!$J$31,cad!$K$31))</f>
        <v/>
      </c>
      <c r="N609">
        <f>IF(D609="V01",$R$2,IF(D609="V02",$R$3,$R$4))</f>
        <v/>
      </c>
      <c r="O609">
        <f>IF(OR(B609="7062",B609="706",B609="708"),N609,IF(B609="6231",1+G609,IF(B609="6236",1+H609,IF(OR(B609="621",B609="604",B609="6063"),N609*(1-L609),IF(OR(B609="6411",B609="6413",B609="6414",B609="645"),(1+J609)*(1+K609),IF(OR(B609="613",B609="615",B609="616",B609="6226",B609="625",B609="626",B609="6281"),(1+I609)*(1-L609)*(1+M609),IF(OR(B609="6331",B609="63511",B609="6333"),(1+I609)*(1-L609),IF(B609="6811",1+I609,1))))))))</f>
        <v/>
      </c>
      <c r="P609">
        <f>IF(E609=1,F609*O609,"")</f>
        <v/>
      </c>
    </row>
    <row r="610">
      <c r="A610">
        <f>PNL!A610</f>
        <v/>
      </c>
      <c r="B610">
        <f>PNL!B610</f>
        <v/>
      </c>
      <c r="C610">
        <f>PNL!C610</f>
        <v/>
      </c>
      <c r="D610">
        <f>PNL!D610</f>
        <v/>
      </c>
      <c r="E610">
        <f>IF(AND(C610="2027",OR(D610="V01",D610="V02",D610="V03")),1,0)</f>
        <v/>
      </c>
      <c r="F610">
        <f>IF(E610=1,SUMIFS(Compta!$F$2:$F$675,Compta!$A$2:$A$675,A610,Compta!$B$2:$B$675,B610,Compta!$C$2:$C$675,"2026"),0)</f>
        <v/>
      </c>
      <c r="G610">
        <f>IF(D610="V01",cad!$I$21,IF(D610="V02",cad!$J$21,cad!$K$21))</f>
        <v/>
      </c>
      <c r="H610">
        <f>IF(D610="V01",cad!$I$22,IF(D610="V02",cad!$J$22,cad!$K$22))</f>
        <v/>
      </c>
      <c r="I610">
        <f>IF(D610="V01",cad!$I$27,IF(D610="V02",cad!$J$27,cad!$K$27))</f>
        <v/>
      </c>
      <c r="J610">
        <f>IF(D610="V01",cad!$I$28,IF(D610="V02",cad!$J$28,cad!$K$28))</f>
        <v/>
      </c>
      <c r="K610">
        <f>IF(D610="V01",cad!$I$29,IF(D610="V02",cad!$J$29,cad!$K$29))</f>
        <v/>
      </c>
      <c r="L610">
        <f>IF(D610="V01",cad!$I$30,IF(D610="V02",cad!$J$30,cad!$K$30))</f>
        <v/>
      </c>
      <c r="M610">
        <f>IF(D610="V01",cad!$I$31,IF(D610="V02",cad!$J$31,cad!$K$31))</f>
        <v/>
      </c>
      <c r="N610">
        <f>IF(D610="V01",$R$2,IF(D610="V02",$R$3,$R$4))</f>
        <v/>
      </c>
      <c r="O610">
        <f>IF(OR(B610="7062",B610="706",B610="708"),N610,IF(B610="6231",1+G610,IF(B610="6236",1+H610,IF(OR(B610="621",B610="604",B610="6063"),N610*(1-L610),IF(OR(B610="6411",B610="6413",B610="6414",B610="645"),(1+J610)*(1+K610),IF(OR(B610="613",B610="615",B610="616",B610="6226",B610="625",B610="626",B610="6281"),(1+I610)*(1-L610)*(1+M610),IF(OR(B610="6331",B610="63511",B610="6333"),(1+I610)*(1-L610),IF(B610="6811",1+I610,1))))))))</f>
        <v/>
      </c>
      <c r="P610">
        <f>IF(E610=1,F610*O610,"")</f>
        <v/>
      </c>
    </row>
    <row r="611">
      <c r="A611">
        <f>PNL!A611</f>
        <v/>
      </c>
      <c r="B611">
        <f>PNL!B611</f>
        <v/>
      </c>
      <c r="C611">
        <f>PNL!C611</f>
        <v/>
      </c>
      <c r="D611">
        <f>PNL!D611</f>
        <v/>
      </c>
      <c r="E611">
        <f>IF(AND(C611="2027",OR(D611="V01",D611="V02",D611="V03")),1,0)</f>
        <v/>
      </c>
      <c r="F611">
        <f>IF(E611=1,SUMIFS(Compta!$F$2:$F$675,Compta!$A$2:$A$675,A611,Compta!$B$2:$B$675,B611,Compta!$C$2:$C$675,"2026"),0)</f>
        <v/>
      </c>
      <c r="G611">
        <f>IF(D611="V01",cad!$I$21,IF(D611="V02",cad!$J$21,cad!$K$21))</f>
        <v/>
      </c>
      <c r="H611">
        <f>IF(D611="V01",cad!$I$22,IF(D611="V02",cad!$J$22,cad!$K$22))</f>
        <v/>
      </c>
      <c r="I611">
        <f>IF(D611="V01",cad!$I$27,IF(D611="V02",cad!$J$27,cad!$K$27))</f>
        <v/>
      </c>
      <c r="J611">
        <f>IF(D611="V01",cad!$I$28,IF(D611="V02",cad!$J$28,cad!$K$28))</f>
        <v/>
      </c>
      <c r="K611">
        <f>IF(D611="V01",cad!$I$29,IF(D611="V02",cad!$J$29,cad!$K$29))</f>
        <v/>
      </c>
      <c r="L611">
        <f>IF(D611="V01",cad!$I$30,IF(D611="V02",cad!$J$30,cad!$K$30))</f>
        <v/>
      </c>
      <c r="M611">
        <f>IF(D611="V01",cad!$I$31,IF(D611="V02",cad!$J$31,cad!$K$31))</f>
        <v/>
      </c>
      <c r="N611">
        <f>IF(D611="V01",$R$2,IF(D611="V02",$R$3,$R$4))</f>
        <v/>
      </c>
      <c r="O611">
        <f>IF(OR(B611="7062",B611="706",B611="708"),N611,IF(B611="6231",1+G611,IF(B611="6236",1+H611,IF(OR(B611="621",B611="604",B611="6063"),N611*(1-L611),IF(OR(B611="6411",B611="6413",B611="6414",B611="645"),(1+J611)*(1+K611),IF(OR(B611="613",B611="615",B611="616",B611="6226",B611="625",B611="626",B611="6281"),(1+I611)*(1-L611)*(1+M611),IF(OR(B611="6331",B611="63511",B611="6333"),(1+I611)*(1-L611),IF(B611="6811",1+I611,1))))))))</f>
        <v/>
      </c>
      <c r="P611">
        <f>IF(E611=1,F611*O611,"")</f>
        <v/>
      </c>
    </row>
    <row r="612">
      <c r="A612">
        <f>PNL!A612</f>
        <v/>
      </c>
      <c r="B612">
        <f>PNL!B612</f>
        <v/>
      </c>
      <c r="C612">
        <f>PNL!C612</f>
        <v/>
      </c>
      <c r="D612">
        <f>PNL!D612</f>
        <v/>
      </c>
      <c r="E612">
        <f>IF(AND(C612="2027",OR(D612="V01",D612="V02",D612="V03")),1,0)</f>
        <v/>
      </c>
      <c r="F612">
        <f>IF(E612=1,SUMIFS(Compta!$F$2:$F$675,Compta!$A$2:$A$675,A612,Compta!$B$2:$B$675,B612,Compta!$C$2:$C$675,"2026"),0)</f>
        <v/>
      </c>
      <c r="G612">
        <f>IF(D612="V01",cad!$I$21,IF(D612="V02",cad!$J$21,cad!$K$21))</f>
        <v/>
      </c>
      <c r="H612">
        <f>IF(D612="V01",cad!$I$22,IF(D612="V02",cad!$J$22,cad!$K$22))</f>
        <v/>
      </c>
      <c r="I612">
        <f>IF(D612="V01",cad!$I$27,IF(D612="V02",cad!$J$27,cad!$K$27))</f>
        <v/>
      </c>
      <c r="J612">
        <f>IF(D612="V01",cad!$I$28,IF(D612="V02",cad!$J$28,cad!$K$28))</f>
        <v/>
      </c>
      <c r="K612">
        <f>IF(D612="V01",cad!$I$29,IF(D612="V02",cad!$J$29,cad!$K$29))</f>
        <v/>
      </c>
      <c r="L612">
        <f>IF(D612="V01",cad!$I$30,IF(D612="V02",cad!$J$30,cad!$K$30))</f>
        <v/>
      </c>
      <c r="M612">
        <f>IF(D612="V01",cad!$I$31,IF(D612="V02",cad!$J$31,cad!$K$31))</f>
        <v/>
      </c>
      <c r="N612">
        <f>IF(D612="V01",$R$2,IF(D612="V02",$R$3,$R$4))</f>
        <v/>
      </c>
      <c r="O612">
        <f>IF(OR(B612="7062",B612="706",B612="708"),N612,IF(B612="6231",1+G612,IF(B612="6236",1+H612,IF(OR(B612="621",B612="604",B612="6063"),N612*(1-L612),IF(OR(B612="6411",B612="6413",B612="6414",B612="645"),(1+J612)*(1+K612),IF(OR(B612="613",B612="615",B612="616",B612="6226",B612="625",B612="626",B612="6281"),(1+I612)*(1-L612)*(1+M612),IF(OR(B612="6331",B612="63511",B612="6333"),(1+I612)*(1-L612),IF(B612="6811",1+I612,1))))))))</f>
        <v/>
      </c>
      <c r="P612">
        <f>IF(E612=1,F612*O612,"")</f>
        <v/>
      </c>
    </row>
    <row r="613">
      <c r="A613">
        <f>PNL!A613</f>
        <v/>
      </c>
      <c r="B613">
        <f>PNL!B613</f>
        <v/>
      </c>
      <c r="C613">
        <f>PNL!C613</f>
        <v/>
      </c>
      <c r="D613">
        <f>PNL!D613</f>
        <v/>
      </c>
      <c r="E613">
        <f>IF(AND(C613="2027",OR(D613="V01",D613="V02",D613="V03")),1,0)</f>
        <v/>
      </c>
      <c r="F613">
        <f>IF(E613=1,SUMIFS(Compta!$F$2:$F$675,Compta!$A$2:$A$675,A613,Compta!$B$2:$B$675,B613,Compta!$C$2:$C$675,"2026"),0)</f>
        <v/>
      </c>
      <c r="G613">
        <f>IF(D613="V01",cad!$I$21,IF(D613="V02",cad!$J$21,cad!$K$21))</f>
        <v/>
      </c>
      <c r="H613">
        <f>IF(D613="V01",cad!$I$22,IF(D613="V02",cad!$J$22,cad!$K$22))</f>
        <v/>
      </c>
      <c r="I613">
        <f>IF(D613="V01",cad!$I$27,IF(D613="V02",cad!$J$27,cad!$K$27))</f>
        <v/>
      </c>
      <c r="J613">
        <f>IF(D613="V01",cad!$I$28,IF(D613="V02",cad!$J$28,cad!$K$28))</f>
        <v/>
      </c>
      <c r="K613">
        <f>IF(D613="V01",cad!$I$29,IF(D613="V02",cad!$J$29,cad!$K$29))</f>
        <v/>
      </c>
      <c r="L613">
        <f>IF(D613="V01",cad!$I$30,IF(D613="V02",cad!$J$30,cad!$K$30))</f>
        <v/>
      </c>
      <c r="M613">
        <f>IF(D613="V01",cad!$I$31,IF(D613="V02",cad!$J$31,cad!$K$31))</f>
        <v/>
      </c>
      <c r="N613">
        <f>IF(D613="V01",$R$2,IF(D613="V02",$R$3,$R$4))</f>
        <v/>
      </c>
      <c r="O613">
        <f>IF(OR(B613="7062",B613="706",B613="708"),N613,IF(B613="6231",1+G613,IF(B613="6236",1+H613,IF(OR(B613="621",B613="604",B613="6063"),N613*(1-L613),IF(OR(B613="6411",B613="6413",B613="6414",B613="645"),(1+J613)*(1+K613),IF(OR(B613="613",B613="615",B613="616",B613="6226",B613="625",B613="626",B613="6281"),(1+I613)*(1-L613)*(1+M613),IF(OR(B613="6331",B613="63511",B613="6333"),(1+I613)*(1-L613),IF(B613="6811",1+I613,1))))))))</f>
        <v/>
      </c>
      <c r="P613">
        <f>IF(E613=1,F613*O613,"")</f>
        <v/>
      </c>
    </row>
    <row r="614">
      <c r="A614">
        <f>PNL!A614</f>
        <v/>
      </c>
      <c r="B614">
        <f>PNL!B614</f>
        <v/>
      </c>
      <c r="C614">
        <f>PNL!C614</f>
        <v/>
      </c>
      <c r="D614">
        <f>PNL!D614</f>
        <v/>
      </c>
      <c r="E614">
        <f>IF(AND(C614="2027",OR(D614="V01",D614="V02",D614="V03")),1,0)</f>
        <v/>
      </c>
      <c r="F614">
        <f>IF(E614=1,SUMIFS(Compta!$F$2:$F$675,Compta!$A$2:$A$675,A614,Compta!$B$2:$B$675,B614,Compta!$C$2:$C$675,"2026"),0)</f>
        <v/>
      </c>
      <c r="G614">
        <f>IF(D614="V01",cad!$I$21,IF(D614="V02",cad!$J$21,cad!$K$21))</f>
        <v/>
      </c>
      <c r="H614">
        <f>IF(D614="V01",cad!$I$22,IF(D614="V02",cad!$J$22,cad!$K$22))</f>
        <v/>
      </c>
      <c r="I614">
        <f>IF(D614="V01",cad!$I$27,IF(D614="V02",cad!$J$27,cad!$K$27))</f>
        <v/>
      </c>
      <c r="J614">
        <f>IF(D614="V01",cad!$I$28,IF(D614="V02",cad!$J$28,cad!$K$28))</f>
        <v/>
      </c>
      <c r="K614">
        <f>IF(D614="V01",cad!$I$29,IF(D614="V02",cad!$J$29,cad!$K$29))</f>
        <v/>
      </c>
      <c r="L614">
        <f>IF(D614="V01",cad!$I$30,IF(D614="V02",cad!$J$30,cad!$K$30))</f>
        <v/>
      </c>
      <c r="M614">
        <f>IF(D614="V01",cad!$I$31,IF(D614="V02",cad!$J$31,cad!$K$31))</f>
        <v/>
      </c>
      <c r="N614">
        <f>IF(D614="V01",$R$2,IF(D614="V02",$R$3,$R$4))</f>
        <v/>
      </c>
      <c r="O614">
        <f>IF(OR(B614="7062",B614="706",B614="708"),N614,IF(B614="6231",1+G614,IF(B614="6236",1+H614,IF(OR(B614="621",B614="604",B614="6063"),N614*(1-L614),IF(OR(B614="6411",B614="6413",B614="6414",B614="645"),(1+J614)*(1+K614),IF(OR(B614="613",B614="615",B614="616",B614="6226",B614="625",B614="626",B614="6281"),(1+I614)*(1-L614)*(1+M614),IF(OR(B614="6331",B614="63511",B614="6333"),(1+I614)*(1-L614),IF(B614="6811",1+I614,1))))))))</f>
        <v/>
      </c>
      <c r="P614">
        <f>IF(E614=1,F614*O614,"")</f>
        <v/>
      </c>
    </row>
    <row r="615">
      <c r="A615">
        <f>PNL!A615</f>
        <v/>
      </c>
      <c r="B615">
        <f>PNL!B615</f>
        <v/>
      </c>
      <c r="C615">
        <f>PNL!C615</f>
        <v/>
      </c>
      <c r="D615">
        <f>PNL!D615</f>
        <v/>
      </c>
      <c r="E615">
        <f>IF(AND(C615="2027",OR(D615="V01",D615="V02",D615="V03")),1,0)</f>
        <v/>
      </c>
      <c r="F615">
        <f>IF(E615=1,SUMIFS(Compta!$F$2:$F$675,Compta!$A$2:$A$675,A615,Compta!$B$2:$B$675,B615,Compta!$C$2:$C$675,"2026"),0)</f>
        <v/>
      </c>
      <c r="G615">
        <f>IF(D615="V01",cad!$I$21,IF(D615="V02",cad!$J$21,cad!$K$21))</f>
        <v/>
      </c>
      <c r="H615">
        <f>IF(D615="V01",cad!$I$22,IF(D615="V02",cad!$J$22,cad!$K$22))</f>
        <v/>
      </c>
      <c r="I615">
        <f>IF(D615="V01",cad!$I$27,IF(D615="V02",cad!$J$27,cad!$K$27))</f>
        <v/>
      </c>
      <c r="J615">
        <f>IF(D615="V01",cad!$I$28,IF(D615="V02",cad!$J$28,cad!$K$28))</f>
        <v/>
      </c>
      <c r="K615">
        <f>IF(D615="V01",cad!$I$29,IF(D615="V02",cad!$J$29,cad!$K$29))</f>
        <v/>
      </c>
      <c r="L615">
        <f>IF(D615="V01",cad!$I$30,IF(D615="V02",cad!$J$30,cad!$K$30))</f>
        <v/>
      </c>
      <c r="M615">
        <f>IF(D615="V01",cad!$I$31,IF(D615="V02",cad!$J$31,cad!$K$31))</f>
        <v/>
      </c>
      <c r="N615">
        <f>IF(D615="V01",$R$2,IF(D615="V02",$R$3,$R$4))</f>
        <v/>
      </c>
      <c r="O615">
        <f>IF(OR(B615="7062",B615="706",B615="708"),N615,IF(B615="6231",1+G615,IF(B615="6236",1+H615,IF(OR(B615="621",B615="604",B615="6063"),N615*(1-L615),IF(OR(B615="6411",B615="6413",B615="6414",B615="645"),(1+J615)*(1+K615),IF(OR(B615="613",B615="615",B615="616",B615="6226",B615="625",B615="626",B615="6281"),(1+I615)*(1-L615)*(1+M615),IF(OR(B615="6331",B615="63511",B615="6333"),(1+I615)*(1-L615),IF(B615="6811",1+I615,1))))))))</f>
        <v/>
      </c>
      <c r="P615">
        <f>IF(E615=1,F615*O615,"")</f>
        <v/>
      </c>
    </row>
    <row r="616">
      <c r="A616">
        <f>PNL!A616</f>
        <v/>
      </c>
      <c r="B616">
        <f>PNL!B616</f>
        <v/>
      </c>
      <c r="C616">
        <f>PNL!C616</f>
        <v/>
      </c>
      <c r="D616">
        <f>PNL!D616</f>
        <v/>
      </c>
      <c r="E616">
        <f>IF(AND(C616="2027",OR(D616="V01",D616="V02",D616="V03")),1,0)</f>
        <v/>
      </c>
      <c r="F616">
        <f>IF(E616=1,SUMIFS(Compta!$F$2:$F$675,Compta!$A$2:$A$675,A616,Compta!$B$2:$B$675,B616,Compta!$C$2:$C$675,"2026"),0)</f>
        <v/>
      </c>
      <c r="G616">
        <f>IF(D616="V01",cad!$I$21,IF(D616="V02",cad!$J$21,cad!$K$21))</f>
        <v/>
      </c>
      <c r="H616">
        <f>IF(D616="V01",cad!$I$22,IF(D616="V02",cad!$J$22,cad!$K$22))</f>
        <v/>
      </c>
      <c r="I616">
        <f>IF(D616="V01",cad!$I$27,IF(D616="V02",cad!$J$27,cad!$K$27))</f>
        <v/>
      </c>
      <c r="J616">
        <f>IF(D616="V01",cad!$I$28,IF(D616="V02",cad!$J$28,cad!$K$28))</f>
        <v/>
      </c>
      <c r="K616">
        <f>IF(D616="V01",cad!$I$29,IF(D616="V02",cad!$J$29,cad!$K$29))</f>
        <v/>
      </c>
      <c r="L616">
        <f>IF(D616="V01",cad!$I$30,IF(D616="V02",cad!$J$30,cad!$K$30))</f>
        <v/>
      </c>
      <c r="M616">
        <f>IF(D616="V01",cad!$I$31,IF(D616="V02",cad!$J$31,cad!$K$31))</f>
        <v/>
      </c>
      <c r="N616">
        <f>IF(D616="V01",$R$2,IF(D616="V02",$R$3,$R$4))</f>
        <v/>
      </c>
      <c r="O616">
        <f>IF(OR(B616="7062",B616="706",B616="708"),N616,IF(B616="6231",1+G616,IF(B616="6236",1+H616,IF(OR(B616="621",B616="604",B616="6063"),N616*(1-L616),IF(OR(B616="6411",B616="6413",B616="6414",B616="645"),(1+J616)*(1+K616),IF(OR(B616="613",B616="615",B616="616",B616="6226",B616="625",B616="626",B616="6281"),(1+I616)*(1-L616)*(1+M616),IF(OR(B616="6331",B616="63511",B616="6333"),(1+I616)*(1-L616),IF(B616="6811",1+I616,1))))))))</f>
        <v/>
      </c>
      <c r="P616">
        <f>IF(E616=1,F616*O616,"")</f>
        <v/>
      </c>
    </row>
    <row r="617">
      <c r="A617">
        <f>PNL!A617</f>
        <v/>
      </c>
      <c r="B617">
        <f>PNL!B617</f>
        <v/>
      </c>
      <c r="C617">
        <f>PNL!C617</f>
        <v/>
      </c>
      <c r="D617">
        <f>PNL!D617</f>
        <v/>
      </c>
      <c r="E617">
        <f>IF(AND(C617="2027",OR(D617="V01",D617="V02",D617="V03")),1,0)</f>
        <v/>
      </c>
      <c r="F617">
        <f>IF(E617=1,SUMIFS(Compta!$F$2:$F$675,Compta!$A$2:$A$675,A617,Compta!$B$2:$B$675,B617,Compta!$C$2:$C$675,"2026"),0)</f>
        <v/>
      </c>
      <c r="G617">
        <f>IF(D617="V01",cad!$I$21,IF(D617="V02",cad!$J$21,cad!$K$21))</f>
        <v/>
      </c>
      <c r="H617">
        <f>IF(D617="V01",cad!$I$22,IF(D617="V02",cad!$J$22,cad!$K$22))</f>
        <v/>
      </c>
      <c r="I617">
        <f>IF(D617="V01",cad!$I$27,IF(D617="V02",cad!$J$27,cad!$K$27))</f>
        <v/>
      </c>
      <c r="J617">
        <f>IF(D617="V01",cad!$I$28,IF(D617="V02",cad!$J$28,cad!$K$28))</f>
        <v/>
      </c>
      <c r="K617">
        <f>IF(D617="V01",cad!$I$29,IF(D617="V02",cad!$J$29,cad!$K$29))</f>
        <v/>
      </c>
      <c r="L617">
        <f>IF(D617="V01",cad!$I$30,IF(D617="V02",cad!$J$30,cad!$K$30))</f>
        <v/>
      </c>
      <c r="M617">
        <f>IF(D617="V01",cad!$I$31,IF(D617="V02",cad!$J$31,cad!$K$31))</f>
        <v/>
      </c>
      <c r="N617">
        <f>IF(D617="V01",$R$2,IF(D617="V02",$R$3,$R$4))</f>
        <v/>
      </c>
      <c r="O617">
        <f>IF(OR(B617="7062",B617="706",B617="708"),N617,IF(B617="6231",1+G617,IF(B617="6236",1+H617,IF(OR(B617="621",B617="604",B617="6063"),N617*(1-L617),IF(OR(B617="6411",B617="6413",B617="6414",B617="645"),(1+J617)*(1+K617),IF(OR(B617="613",B617="615",B617="616",B617="6226",B617="625",B617="626",B617="6281"),(1+I617)*(1-L617)*(1+M617),IF(OR(B617="6331",B617="63511",B617="6333"),(1+I617)*(1-L617),IF(B617="6811",1+I617,1))))))))</f>
        <v/>
      </c>
      <c r="P617">
        <f>IF(E617=1,F617*O617,"")</f>
        <v/>
      </c>
    </row>
    <row r="618">
      <c r="A618">
        <f>PNL!A618</f>
        <v/>
      </c>
      <c r="B618">
        <f>PNL!B618</f>
        <v/>
      </c>
      <c r="C618">
        <f>PNL!C618</f>
        <v/>
      </c>
      <c r="D618">
        <f>PNL!D618</f>
        <v/>
      </c>
      <c r="E618">
        <f>IF(AND(C618="2027",OR(D618="V01",D618="V02",D618="V03")),1,0)</f>
        <v/>
      </c>
      <c r="F618">
        <f>IF(E618=1,SUMIFS(Compta!$F$2:$F$675,Compta!$A$2:$A$675,A618,Compta!$B$2:$B$675,B618,Compta!$C$2:$C$675,"2026"),0)</f>
        <v/>
      </c>
      <c r="G618">
        <f>IF(D618="V01",cad!$I$21,IF(D618="V02",cad!$J$21,cad!$K$21))</f>
        <v/>
      </c>
      <c r="H618">
        <f>IF(D618="V01",cad!$I$22,IF(D618="V02",cad!$J$22,cad!$K$22))</f>
        <v/>
      </c>
      <c r="I618">
        <f>IF(D618="V01",cad!$I$27,IF(D618="V02",cad!$J$27,cad!$K$27))</f>
        <v/>
      </c>
      <c r="J618">
        <f>IF(D618="V01",cad!$I$28,IF(D618="V02",cad!$J$28,cad!$K$28))</f>
        <v/>
      </c>
      <c r="K618">
        <f>IF(D618="V01",cad!$I$29,IF(D618="V02",cad!$J$29,cad!$K$29))</f>
        <v/>
      </c>
      <c r="L618">
        <f>IF(D618="V01",cad!$I$30,IF(D618="V02",cad!$J$30,cad!$K$30))</f>
        <v/>
      </c>
      <c r="M618">
        <f>IF(D618="V01",cad!$I$31,IF(D618="V02",cad!$J$31,cad!$K$31))</f>
        <v/>
      </c>
      <c r="N618">
        <f>IF(D618="V01",$R$2,IF(D618="V02",$R$3,$R$4))</f>
        <v/>
      </c>
      <c r="O618">
        <f>IF(OR(B618="7062",B618="706",B618="708"),N618,IF(B618="6231",1+G618,IF(B618="6236",1+H618,IF(OR(B618="621",B618="604",B618="6063"),N618*(1-L618),IF(OR(B618="6411",B618="6413",B618="6414",B618="645"),(1+J618)*(1+K618),IF(OR(B618="613",B618="615",B618="616",B618="6226",B618="625",B618="626",B618="6281"),(1+I618)*(1-L618)*(1+M618),IF(OR(B618="6331",B618="63511",B618="6333"),(1+I618)*(1-L618),IF(B618="6811",1+I618,1))))))))</f>
        <v/>
      </c>
      <c r="P618">
        <f>IF(E618=1,F618*O618,"")</f>
        <v/>
      </c>
    </row>
    <row r="619">
      <c r="A619">
        <f>PNL!A619</f>
        <v/>
      </c>
      <c r="B619">
        <f>PNL!B619</f>
        <v/>
      </c>
      <c r="C619">
        <f>PNL!C619</f>
        <v/>
      </c>
      <c r="D619">
        <f>PNL!D619</f>
        <v/>
      </c>
      <c r="E619">
        <f>IF(AND(C619="2027",OR(D619="V01",D619="V02",D619="V03")),1,0)</f>
        <v/>
      </c>
      <c r="F619">
        <f>IF(E619=1,SUMIFS(Compta!$F$2:$F$675,Compta!$A$2:$A$675,A619,Compta!$B$2:$B$675,B619,Compta!$C$2:$C$675,"2026"),0)</f>
        <v/>
      </c>
      <c r="G619">
        <f>IF(D619="V01",cad!$I$21,IF(D619="V02",cad!$J$21,cad!$K$21))</f>
        <v/>
      </c>
      <c r="H619">
        <f>IF(D619="V01",cad!$I$22,IF(D619="V02",cad!$J$22,cad!$K$22))</f>
        <v/>
      </c>
      <c r="I619">
        <f>IF(D619="V01",cad!$I$27,IF(D619="V02",cad!$J$27,cad!$K$27))</f>
        <v/>
      </c>
      <c r="J619">
        <f>IF(D619="V01",cad!$I$28,IF(D619="V02",cad!$J$28,cad!$K$28))</f>
        <v/>
      </c>
      <c r="K619">
        <f>IF(D619="V01",cad!$I$29,IF(D619="V02",cad!$J$29,cad!$K$29))</f>
        <v/>
      </c>
      <c r="L619">
        <f>IF(D619="V01",cad!$I$30,IF(D619="V02",cad!$J$30,cad!$K$30))</f>
        <v/>
      </c>
      <c r="M619">
        <f>IF(D619="V01",cad!$I$31,IF(D619="V02",cad!$J$31,cad!$K$31))</f>
        <v/>
      </c>
      <c r="N619">
        <f>IF(D619="V01",$R$2,IF(D619="V02",$R$3,$R$4))</f>
        <v/>
      </c>
      <c r="O619">
        <f>IF(OR(B619="7062",B619="706",B619="708"),N619,IF(B619="6231",1+G619,IF(B619="6236",1+H619,IF(OR(B619="621",B619="604",B619="6063"),N619*(1-L619),IF(OR(B619="6411",B619="6413",B619="6414",B619="645"),(1+J619)*(1+K619),IF(OR(B619="613",B619="615",B619="616",B619="6226",B619="625",B619="626",B619="6281"),(1+I619)*(1-L619)*(1+M619),IF(OR(B619="6331",B619="63511",B619="6333"),(1+I619)*(1-L619),IF(B619="6811",1+I619,1))))))))</f>
        <v/>
      </c>
      <c r="P619">
        <f>IF(E619=1,F619*O619,"")</f>
        <v/>
      </c>
    </row>
    <row r="620">
      <c r="A620">
        <f>PNL!A620</f>
        <v/>
      </c>
      <c r="B620">
        <f>PNL!B620</f>
        <v/>
      </c>
      <c r="C620">
        <f>PNL!C620</f>
        <v/>
      </c>
      <c r="D620">
        <f>PNL!D620</f>
        <v/>
      </c>
      <c r="E620">
        <f>IF(AND(C620="2027",OR(D620="V01",D620="V02",D620="V03")),1,0)</f>
        <v/>
      </c>
      <c r="F620">
        <f>IF(E620=1,SUMIFS(Compta!$F$2:$F$675,Compta!$A$2:$A$675,A620,Compta!$B$2:$B$675,B620,Compta!$C$2:$C$675,"2026"),0)</f>
        <v/>
      </c>
      <c r="G620">
        <f>IF(D620="V01",cad!$I$21,IF(D620="V02",cad!$J$21,cad!$K$21))</f>
        <v/>
      </c>
      <c r="H620">
        <f>IF(D620="V01",cad!$I$22,IF(D620="V02",cad!$J$22,cad!$K$22))</f>
        <v/>
      </c>
      <c r="I620">
        <f>IF(D620="V01",cad!$I$27,IF(D620="V02",cad!$J$27,cad!$K$27))</f>
        <v/>
      </c>
      <c r="J620">
        <f>IF(D620="V01",cad!$I$28,IF(D620="V02",cad!$J$28,cad!$K$28))</f>
        <v/>
      </c>
      <c r="K620">
        <f>IF(D620="V01",cad!$I$29,IF(D620="V02",cad!$J$29,cad!$K$29))</f>
        <v/>
      </c>
      <c r="L620">
        <f>IF(D620="V01",cad!$I$30,IF(D620="V02",cad!$J$30,cad!$K$30))</f>
        <v/>
      </c>
      <c r="M620">
        <f>IF(D620="V01",cad!$I$31,IF(D620="V02",cad!$J$31,cad!$K$31))</f>
        <v/>
      </c>
      <c r="N620">
        <f>IF(D620="V01",$R$2,IF(D620="V02",$R$3,$R$4))</f>
        <v/>
      </c>
      <c r="O620">
        <f>IF(OR(B620="7062",B620="706",B620="708"),N620,IF(B620="6231",1+G620,IF(B620="6236",1+H620,IF(OR(B620="621",B620="604",B620="6063"),N620*(1-L620),IF(OR(B620="6411",B620="6413",B620="6414",B620="645"),(1+J620)*(1+K620),IF(OR(B620="613",B620="615",B620="616",B620="6226",B620="625",B620="626",B620="6281"),(1+I620)*(1-L620)*(1+M620),IF(OR(B620="6331",B620="63511",B620="6333"),(1+I620)*(1-L620),IF(B620="6811",1+I620,1))))))))</f>
        <v/>
      </c>
      <c r="P620">
        <f>IF(E620=1,F620*O620,"")</f>
        <v/>
      </c>
    </row>
    <row r="621">
      <c r="A621">
        <f>PNL!A621</f>
        <v/>
      </c>
      <c r="B621">
        <f>PNL!B621</f>
        <v/>
      </c>
      <c r="C621">
        <f>PNL!C621</f>
        <v/>
      </c>
      <c r="D621">
        <f>PNL!D621</f>
        <v/>
      </c>
      <c r="E621">
        <f>IF(AND(C621="2027",OR(D621="V01",D621="V02",D621="V03")),1,0)</f>
        <v/>
      </c>
      <c r="F621">
        <f>IF(E621=1,SUMIFS(Compta!$F$2:$F$675,Compta!$A$2:$A$675,A621,Compta!$B$2:$B$675,B621,Compta!$C$2:$C$675,"2026"),0)</f>
        <v/>
      </c>
      <c r="G621">
        <f>IF(D621="V01",cad!$I$21,IF(D621="V02",cad!$J$21,cad!$K$21))</f>
        <v/>
      </c>
      <c r="H621">
        <f>IF(D621="V01",cad!$I$22,IF(D621="V02",cad!$J$22,cad!$K$22))</f>
        <v/>
      </c>
      <c r="I621">
        <f>IF(D621="V01",cad!$I$27,IF(D621="V02",cad!$J$27,cad!$K$27))</f>
        <v/>
      </c>
      <c r="J621">
        <f>IF(D621="V01",cad!$I$28,IF(D621="V02",cad!$J$28,cad!$K$28))</f>
        <v/>
      </c>
      <c r="K621">
        <f>IF(D621="V01",cad!$I$29,IF(D621="V02",cad!$J$29,cad!$K$29))</f>
        <v/>
      </c>
      <c r="L621">
        <f>IF(D621="V01",cad!$I$30,IF(D621="V02",cad!$J$30,cad!$K$30))</f>
        <v/>
      </c>
      <c r="M621">
        <f>IF(D621="V01",cad!$I$31,IF(D621="V02",cad!$J$31,cad!$K$31))</f>
        <v/>
      </c>
      <c r="N621">
        <f>IF(D621="V01",$R$2,IF(D621="V02",$R$3,$R$4))</f>
        <v/>
      </c>
      <c r="O621">
        <f>IF(OR(B621="7062",B621="706",B621="708"),N621,IF(B621="6231",1+G621,IF(B621="6236",1+H621,IF(OR(B621="621",B621="604",B621="6063"),N621*(1-L621),IF(OR(B621="6411",B621="6413",B621="6414",B621="645"),(1+J621)*(1+K621),IF(OR(B621="613",B621="615",B621="616",B621="6226",B621="625",B621="626",B621="6281"),(1+I621)*(1-L621)*(1+M621),IF(OR(B621="6331",B621="63511",B621="6333"),(1+I621)*(1-L621),IF(B621="6811",1+I621,1))))))))</f>
        <v/>
      </c>
      <c r="P621">
        <f>IF(E621=1,F621*O621,"")</f>
        <v/>
      </c>
    </row>
    <row r="622">
      <c r="A622">
        <f>PNL!A622</f>
        <v/>
      </c>
      <c r="B622">
        <f>PNL!B622</f>
        <v/>
      </c>
      <c r="C622">
        <f>PNL!C622</f>
        <v/>
      </c>
      <c r="D622">
        <f>PNL!D622</f>
        <v/>
      </c>
      <c r="E622">
        <f>IF(AND(C622="2027",OR(D622="V01",D622="V02",D622="V03")),1,0)</f>
        <v/>
      </c>
      <c r="F622">
        <f>IF(E622=1,SUMIFS(Compta!$F$2:$F$675,Compta!$A$2:$A$675,A622,Compta!$B$2:$B$675,B622,Compta!$C$2:$C$675,"2026"),0)</f>
        <v/>
      </c>
      <c r="G622">
        <f>IF(D622="V01",cad!$I$21,IF(D622="V02",cad!$J$21,cad!$K$21))</f>
        <v/>
      </c>
      <c r="H622">
        <f>IF(D622="V01",cad!$I$22,IF(D622="V02",cad!$J$22,cad!$K$22))</f>
        <v/>
      </c>
      <c r="I622">
        <f>IF(D622="V01",cad!$I$27,IF(D622="V02",cad!$J$27,cad!$K$27))</f>
        <v/>
      </c>
      <c r="J622">
        <f>IF(D622="V01",cad!$I$28,IF(D622="V02",cad!$J$28,cad!$K$28))</f>
        <v/>
      </c>
      <c r="K622">
        <f>IF(D622="V01",cad!$I$29,IF(D622="V02",cad!$J$29,cad!$K$29))</f>
        <v/>
      </c>
      <c r="L622">
        <f>IF(D622="V01",cad!$I$30,IF(D622="V02",cad!$J$30,cad!$K$30))</f>
        <v/>
      </c>
      <c r="M622">
        <f>IF(D622="V01",cad!$I$31,IF(D622="V02",cad!$J$31,cad!$K$31))</f>
        <v/>
      </c>
      <c r="N622">
        <f>IF(D622="V01",$R$2,IF(D622="V02",$R$3,$R$4))</f>
        <v/>
      </c>
      <c r="O622">
        <f>IF(OR(B622="7062",B622="706",B622="708"),N622,IF(B622="6231",1+G622,IF(B622="6236",1+H622,IF(OR(B622="621",B622="604",B622="6063"),N622*(1-L622),IF(OR(B622="6411",B622="6413",B622="6414",B622="645"),(1+J622)*(1+K622),IF(OR(B622="613",B622="615",B622="616",B622="6226",B622="625",B622="626",B622="6281"),(1+I622)*(1-L622)*(1+M622),IF(OR(B622="6331",B622="63511",B622="6333"),(1+I622)*(1-L622),IF(B622="6811",1+I622,1))))))))</f>
        <v/>
      </c>
      <c r="P622">
        <f>IF(E622=1,F622*O622,"")</f>
        <v/>
      </c>
    </row>
    <row r="623">
      <c r="A623">
        <f>PNL!A623</f>
        <v/>
      </c>
      <c r="B623">
        <f>PNL!B623</f>
        <v/>
      </c>
      <c r="C623">
        <f>PNL!C623</f>
        <v/>
      </c>
      <c r="D623">
        <f>PNL!D623</f>
        <v/>
      </c>
      <c r="E623">
        <f>IF(AND(C623="2027",OR(D623="V01",D623="V02",D623="V03")),1,0)</f>
        <v/>
      </c>
      <c r="F623">
        <f>IF(E623=1,SUMIFS(Compta!$F$2:$F$675,Compta!$A$2:$A$675,A623,Compta!$B$2:$B$675,B623,Compta!$C$2:$C$675,"2026"),0)</f>
        <v/>
      </c>
      <c r="G623">
        <f>IF(D623="V01",cad!$I$21,IF(D623="V02",cad!$J$21,cad!$K$21))</f>
        <v/>
      </c>
      <c r="H623">
        <f>IF(D623="V01",cad!$I$22,IF(D623="V02",cad!$J$22,cad!$K$22))</f>
        <v/>
      </c>
      <c r="I623">
        <f>IF(D623="V01",cad!$I$27,IF(D623="V02",cad!$J$27,cad!$K$27))</f>
        <v/>
      </c>
      <c r="J623">
        <f>IF(D623="V01",cad!$I$28,IF(D623="V02",cad!$J$28,cad!$K$28))</f>
        <v/>
      </c>
      <c r="K623">
        <f>IF(D623="V01",cad!$I$29,IF(D623="V02",cad!$J$29,cad!$K$29))</f>
        <v/>
      </c>
      <c r="L623">
        <f>IF(D623="V01",cad!$I$30,IF(D623="V02",cad!$J$30,cad!$K$30))</f>
        <v/>
      </c>
      <c r="M623">
        <f>IF(D623="V01",cad!$I$31,IF(D623="V02",cad!$J$31,cad!$K$31))</f>
        <v/>
      </c>
      <c r="N623">
        <f>IF(D623="V01",$R$2,IF(D623="V02",$R$3,$R$4))</f>
        <v/>
      </c>
      <c r="O623">
        <f>IF(OR(B623="7062",B623="706",B623="708"),N623,IF(B623="6231",1+G623,IF(B623="6236",1+H623,IF(OR(B623="621",B623="604",B623="6063"),N623*(1-L623),IF(OR(B623="6411",B623="6413",B623="6414",B623="645"),(1+J623)*(1+K623),IF(OR(B623="613",B623="615",B623="616",B623="6226",B623="625",B623="626",B623="6281"),(1+I623)*(1-L623)*(1+M623),IF(OR(B623="6331",B623="63511",B623="6333"),(1+I623)*(1-L623),IF(B623="6811",1+I623,1))))))))</f>
        <v/>
      </c>
      <c r="P623">
        <f>IF(E623=1,F623*O623,"")</f>
        <v/>
      </c>
    </row>
    <row r="624">
      <c r="A624">
        <f>PNL!A624</f>
        <v/>
      </c>
      <c r="B624">
        <f>PNL!B624</f>
        <v/>
      </c>
      <c r="C624">
        <f>PNL!C624</f>
        <v/>
      </c>
      <c r="D624">
        <f>PNL!D624</f>
        <v/>
      </c>
      <c r="E624">
        <f>IF(AND(C624="2027",OR(D624="V01",D624="V02",D624="V03")),1,0)</f>
        <v/>
      </c>
      <c r="F624">
        <f>IF(E624=1,SUMIFS(Compta!$F$2:$F$675,Compta!$A$2:$A$675,A624,Compta!$B$2:$B$675,B624,Compta!$C$2:$C$675,"2026"),0)</f>
        <v/>
      </c>
      <c r="G624">
        <f>IF(D624="V01",cad!$I$21,IF(D624="V02",cad!$J$21,cad!$K$21))</f>
        <v/>
      </c>
      <c r="H624">
        <f>IF(D624="V01",cad!$I$22,IF(D624="V02",cad!$J$22,cad!$K$22))</f>
        <v/>
      </c>
      <c r="I624">
        <f>IF(D624="V01",cad!$I$27,IF(D624="V02",cad!$J$27,cad!$K$27))</f>
        <v/>
      </c>
      <c r="J624">
        <f>IF(D624="V01",cad!$I$28,IF(D624="V02",cad!$J$28,cad!$K$28))</f>
        <v/>
      </c>
      <c r="K624">
        <f>IF(D624="V01",cad!$I$29,IF(D624="V02",cad!$J$29,cad!$K$29))</f>
        <v/>
      </c>
      <c r="L624">
        <f>IF(D624="V01",cad!$I$30,IF(D624="V02",cad!$J$30,cad!$K$30))</f>
        <v/>
      </c>
      <c r="M624">
        <f>IF(D624="V01",cad!$I$31,IF(D624="V02",cad!$J$31,cad!$K$31))</f>
        <v/>
      </c>
      <c r="N624">
        <f>IF(D624="V01",$R$2,IF(D624="V02",$R$3,$R$4))</f>
        <v/>
      </c>
      <c r="O624">
        <f>IF(OR(B624="7062",B624="706",B624="708"),N624,IF(B624="6231",1+G624,IF(B624="6236",1+H624,IF(OR(B624="621",B624="604",B624="6063"),N624*(1-L624),IF(OR(B624="6411",B624="6413",B624="6414",B624="645"),(1+J624)*(1+K624),IF(OR(B624="613",B624="615",B624="616",B624="6226",B624="625",B624="626",B624="6281"),(1+I624)*(1-L624)*(1+M624),IF(OR(B624="6331",B624="63511",B624="6333"),(1+I624)*(1-L624),IF(B624="6811",1+I624,1))))))))</f>
        <v/>
      </c>
      <c r="P624">
        <f>IF(E624=1,F624*O624,"")</f>
        <v/>
      </c>
    </row>
    <row r="625">
      <c r="A625">
        <f>PNL!A625</f>
        <v/>
      </c>
      <c r="B625">
        <f>PNL!B625</f>
        <v/>
      </c>
      <c r="C625">
        <f>PNL!C625</f>
        <v/>
      </c>
      <c r="D625">
        <f>PNL!D625</f>
        <v/>
      </c>
      <c r="E625">
        <f>IF(AND(C625="2027",OR(D625="V01",D625="V02",D625="V03")),1,0)</f>
        <v/>
      </c>
      <c r="F625">
        <f>IF(E625=1,SUMIFS(Compta!$F$2:$F$675,Compta!$A$2:$A$675,A625,Compta!$B$2:$B$675,B625,Compta!$C$2:$C$675,"2026"),0)</f>
        <v/>
      </c>
      <c r="G625">
        <f>IF(D625="V01",cad!$I$21,IF(D625="V02",cad!$J$21,cad!$K$21))</f>
        <v/>
      </c>
      <c r="H625">
        <f>IF(D625="V01",cad!$I$22,IF(D625="V02",cad!$J$22,cad!$K$22))</f>
        <v/>
      </c>
      <c r="I625">
        <f>IF(D625="V01",cad!$I$27,IF(D625="V02",cad!$J$27,cad!$K$27))</f>
        <v/>
      </c>
      <c r="J625">
        <f>IF(D625="V01",cad!$I$28,IF(D625="V02",cad!$J$28,cad!$K$28))</f>
        <v/>
      </c>
      <c r="K625">
        <f>IF(D625="V01",cad!$I$29,IF(D625="V02",cad!$J$29,cad!$K$29))</f>
        <v/>
      </c>
      <c r="L625">
        <f>IF(D625="V01",cad!$I$30,IF(D625="V02",cad!$J$30,cad!$K$30))</f>
        <v/>
      </c>
      <c r="M625">
        <f>IF(D625="V01",cad!$I$31,IF(D625="V02",cad!$J$31,cad!$K$31))</f>
        <v/>
      </c>
      <c r="N625">
        <f>IF(D625="V01",$R$2,IF(D625="V02",$R$3,$R$4))</f>
        <v/>
      </c>
      <c r="O625">
        <f>IF(OR(B625="7062",B625="706",B625="708"),N625,IF(B625="6231",1+G625,IF(B625="6236",1+H625,IF(OR(B625="621",B625="604",B625="6063"),N625*(1-L625),IF(OR(B625="6411",B625="6413",B625="6414",B625="645"),(1+J625)*(1+K625),IF(OR(B625="613",B625="615",B625="616",B625="6226",B625="625",B625="626",B625="6281"),(1+I625)*(1-L625)*(1+M625),IF(OR(B625="6331",B625="63511",B625="6333"),(1+I625)*(1-L625),IF(B625="6811",1+I625,1))))))))</f>
        <v/>
      </c>
      <c r="P625">
        <f>IF(E625=1,F625*O625,"")</f>
        <v/>
      </c>
    </row>
    <row r="626">
      <c r="A626">
        <f>PNL!A626</f>
        <v/>
      </c>
      <c r="B626">
        <f>PNL!B626</f>
        <v/>
      </c>
      <c r="C626">
        <f>PNL!C626</f>
        <v/>
      </c>
      <c r="D626">
        <f>PNL!D626</f>
        <v/>
      </c>
      <c r="E626">
        <f>IF(AND(C626="2027",OR(D626="V01",D626="V02",D626="V03")),1,0)</f>
        <v/>
      </c>
      <c r="F626">
        <f>IF(E626=1,SUMIFS(Compta!$F$2:$F$675,Compta!$A$2:$A$675,A626,Compta!$B$2:$B$675,B626,Compta!$C$2:$C$675,"2026"),0)</f>
        <v/>
      </c>
      <c r="G626">
        <f>IF(D626="V01",cad!$I$21,IF(D626="V02",cad!$J$21,cad!$K$21))</f>
        <v/>
      </c>
      <c r="H626">
        <f>IF(D626="V01",cad!$I$22,IF(D626="V02",cad!$J$22,cad!$K$22))</f>
        <v/>
      </c>
      <c r="I626">
        <f>IF(D626="V01",cad!$I$27,IF(D626="V02",cad!$J$27,cad!$K$27))</f>
        <v/>
      </c>
      <c r="J626">
        <f>IF(D626="V01",cad!$I$28,IF(D626="V02",cad!$J$28,cad!$K$28))</f>
        <v/>
      </c>
      <c r="K626">
        <f>IF(D626="V01",cad!$I$29,IF(D626="V02",cad!$J$29,cad!$K$29))</f>
        <v/>
      </c>
      <c r="L626">
        <f>IF(D626="V01",cad!$I$30,IF(D626="V02",cad!$J$30,cad!$K$30))</f>
        <v/>
      </c>
      <c r="M626">
        <f>IF(D626="V01",cad!$I$31,IF(D626="V02",cad!$J$31,cad!$K$31))</f>
        <v/>
      </c>
      <c r="N626">
        <f>IF(D626="V01",$R$2,IF(D626="V02",$R$3,$R$4))</f>
        <v/>
      </c>
      <c r="O626">
        <f>IF(OR(B626="7062",B626="706",B626="708"),N626,IF(B626="6231",1+G626,IF(B626="6236",1+H626,IF(OR(B626="621",B626="604",B626="6063"),N626*(1-L626),IF(OR(B626="6411",B626="6413",B626="6414",B626="645"),(1+J626)*(1+K626),IF(OR(B626="613",B626="615",B626="616",B626="6226",B626="625",B626="626",B626="6281"),(1+I626)*(1-L626)*(1+M626),IF(OR(B626="6331",B626="63511",B626="6333"),(1+I626)*(1-L626),IF(B626="6811",1+I626,1))))))))</f>
        <v/>
      </c>
      <c r="P626">
        <f>IF(E626=1,F626*O626,"")</f>
        <v/>
      </c>
    </row>
    <row r="627">
      <c r="A627">
        <f>PNL!A627</f>
        <v/>
      </c>
      <c r="B627">
        <f>PNL!B627</f>
        <v/>
      </c>
      <c r="C627">
        <f>PNL!C627</f>
        <v/>
      </c>
      <c r="D627">
        <f>PNL!D627</f>
        <v/>
      </c>
      <c r="E627">
        <f>IF(AND(C627="2027",OR(D627="V01",D627="V02",D627="V03")),1,0)</f>
        <v/>
      </c>
      <c r="F627">
        <f>IF(E627=1,SUMIFS(Compta!$F$2:$F$675,Compta!$A$2:$A$675,A627,Compta!$B$2:$B$675,B627,Compta!$C$2:$C$675,"2026"),0)</f>
        <v/>
      </c>
      <c r="G627">
        <f>IF(D627="V01",cad!$I$21,IF(D627="V02",cad!$J$21,cad!$K$21))</f>
        <v/>
      </c>
      <c r="H627">
        <f>IF(D627="V01",cad!$I$22,IF(D627="V02",cad!$J$22,cad!$K$22))</f>
        <v/>
      </c>
      <c r="I627">
        <f>IF(D627="V01",cad!$I$27,IF(D627="V02",cad!$J$27,cad!$K$27))</f>
        <v/>
      </c>
      <c r="J627">
        <f>IF(D627="V01",cad!$I$28,IF(D627="V02",cad!$J$28,cad!$K$28))</f>
        <v/>
      </c>
      <c r="K627">
        <f>IF(D627="V01",cad!$I$29,IF(D627="V02",cad!$J$29,cad!$K$29))</f>
        <v/>
      </c>
      <c r="L627">
        <f>IF(D627="V01",cad!$I$30,IF(D627="V02",cad!$J$30,cad!$K$30))</f>
        <v/>
      </c>
      <c r="M627">
        <f>IF(D627="V01",cad!$I$31,IF(D627="V02",cad!$J$31,cad!$K$31))</f>
        <v/>
      </c>
      <c r="N627">
        <f>IF(D627="V01",$R$2,IF(D627="V02",$R$3,$R$4))</f>
        <v/>
      </c>
      <c r="O627">
        <f>IF(OR(B627="7062",B627="706",B627="708"),N627,IF(B627="6231",1+G627,IF(B627="6236",1+H627,IF(OR(B627="621",B627="604",B627="6063"),N627*(1-L627),IF(OR(B627="6411",B627="6413",B627="6414",B627="645"),(1+J627)*(1+K627),IF(OR(B627="613",B627="615",B627="616",B627="6226",B627="625",B627="626",B627="6281"),(1+I627)*(1-L627)*(1+M627),IF(OR(B627="6331",B627="63511",B627="6333"),(1+I627)*(1-L627),IF(B627="6811",1+I627,1))))))))</f>
        <v/>
      </c>
      <c r="P627">
        <f>IF(E627=1,F627*O627,"")</f>
        <v/>
      </c>
    </row>
    <row r="628">
      <c r="A628">
        <f>PNL!A628</f>
        <v/>
      </c>
      <c r="B628">
        <f>PNL!B628</f>
        <v/>
      </c>
      <c r="C628">
        <f>PNL!C628</f>
        <v/>
      </c>
      <c r="D628">
        <f>PNL!D628</f>
        <v/>
      </c>
      <c r="E628">
        <f>IF(AND(C628="2027",OR(D628="V01",D628="V02",D628="V03")),1,0)</f>
        <v/>
      </c>
      <c r="F628">
        <f>IF(E628=1,SUMIFS(Compta!$F$2:$F$675,Compta!$A$2:$A$675,A628,Compta!$B$2:$B$675,B628,Compta!$C$2:$C$675,"2026"),0)</f>
        <v/>
      </c>
      <c r="G628">
        <f>IF(D628="V01",cad!$I$21,IF(D628="V02",cad!$J$21,cad!$K$21))</f>
        <v/>
      </c>
      <c r="H628">
        <f>IF(D628="V01",cad!$I$22,IF(D628="V02",cad!$J$22,cad!$K$22))</f>
        <v/>
      </c>
      <c r="I628">
        <f>IF(D628="V01",cad!$I$27,IF(D628="V02",cad!$J$27,cad!$K$27))</f>
        <v/>
      </c>
      <c r="J628">
        <f>IF(D628="V01",cad!$I$28,IF(D628="V02",cad!$J$28,cad!$K$28))</f>
        <v/>
      </c>
      <c r="K628">
        <f>IF(D628="V01",cad!$I$29,IF(D628="V02",cad!$J$29,cad!$K$29))</f>
        <v/>
      </c>
      <c r="L628">
        <f>IF(D628="V01",cad!$I$30,IF(D628="V02",cad!$J$30,cad!$K$30))</f>
        <v/>
      </c>
      <c r="M628">
        <f>IF(D628="V01",cad!$I$31,IF(D628="V02",cad!$J$31,cad!$K$31))</f>
        <v/>
      </c>
      <c r="N628">
        <f>IF(D628="V01",$R$2,IF(D628="V02",$R$3,$R$4))</f>
        <v/>
      </c>
      <c r="O628">
        <f>IF(OR(B628="7062",B628="706",B628="708"),N628,IF(B628="6231",1+G628,IF(B628="6236",1+H628,IF(OR(B628="621",B628="604",B628="6063"),N628*(1-L628),IF(OR(B628="6411",B628="6413",B628="6414",B628="645"),(1+J628)*(1+K628),IF(OR(B628="613",B628="615",B628="616",B628="6226",B628="625",B628="626",B628="6281"),(1+I628)*(1-L628)*(1+M628),IF(OR(B628="6331",B628="63511",B628="6333"),(1+I628)*(1-L628),IF(B628="6811",1+I628,1))))))))</f>
        <v/>
      </c>
      <c r="P628">
        <f>IF(E628=1,F628*O628,"")</f>
        <v/>
      </c>
    </row>
    <row r="629">
      <c r="A629">
        <f>PNL!A629</f>
        <v/>
      </c>
      <c r="B629">
        <f>PNL!B629</f>
        <v/>
      </c>
      <c r="C629">
        <f>PNL!C629</f>
        <v/>
      </c>
      <c r="D629">
        <f>PNL!D629</f>
        <v/>
      </c>
      <c r="E629">
        <f>IF(AND(C629="2027",OR(D629="V01",D629="V02",D629="V03")),1,0)</f>
        <v/>
      </c>
      <c r="F629">
        <f>IF(E629=1,SUMIFS(Compta!$F$2:$F$675,Compta!$A$2:$A$675,A629,Compta!$B$2:$B$675,B629,Compta!$C$2:$C$675,"2026"),0)</f>
        <v/>
      </c>
      <c r="G629">
        <f>IF(D629="V01",cad!$I$21,IF(D629="V02",cad!$J$21,cad!$K$21))</f>
        <v/>
      </c>
      <c r="H629">
        <f>IF(D629="V01",cad!$I$22,IF(D629="V02",cad!$J$22,cad!$K$22))</f>
        <v/>
      </c>
      <c r="I629">
        <f>IF(D629="V01",cad!$I$27,IF(D629="V02",cad!$J$27,cad!$K$27))</f>
        <v/>
      </c>
      <c r="J629">
        <f>IF(D629="V01",cad!$I$28,IF(D629="V02",cad!$J$28,cad!$K$28))</f>
        <v/>
      </c>
      <c r="K629">
        <f>IF(D629="V01",cad!$I$29,IF(D629="V02",cad!$J$29,cad!$K$29))</f>
        <v/>
      </c>
      <c r="L629">
        <f>IF(D629="V01",cad!$I$30,IF(D629="V02",cad!$J$30,cad!$K$30))</f>
        <v/>
      </c>
      <c r="M629">
        <f>IF(D629="V01",cad!$I$31,IF(D629="V02",cad!$J$31,cad!$K$31))</f>
        <v/>
      </c>
      <c r="N629">
        <f>IF(D629="V01",$R$2,IF(D629="V02",$R$3,$R$4))</f>
        <v/>
      </c>
      <c r="O629">
        <f>IF(OR(B629="7062",B629="706",B629="708"),N629,IF(B629="6231",1+G629,IF(B629="6236",1+H629,IF(OR(B629="621",B629="604",B629="6063"),N629*(1-L629),IF(OR(B629="6411",B629="6413",B629="6414",B629="645"),(1+J629)*(1+K629),IF(OR(B629="613",B629="615",B629="616",B629="6226",B629="625",B629="626",B629="6281"),(1+I629)*(1-L629)*(1+M629),IF(OR(B629="6331",B629="63511",B629="6333"),(1+I629)*(1-L629),IF(B629="6811",1+I629,1))))))))</f>
        <v/>
      </c>
      <c r="P629">
        <f>IF(E629=1,F629*O629,"")</f>
        <v/>
      </c>
    </row>
    <row r="630">
      <c r="A630">
        <f>PNL!A630</f>
        <v/>
      </c>
      <c r="B630">
        <f>PNL!B630</f>
        <v/>
      </c>
      <c r="C630">
        <f>PNL!C630</f>
        <v/>
      </c>
      <c r="D630">
        <f>PNL!D630</f>
        <v/>
      </c>
      <c r="E630">
        <f>IF(AND(C630="2027",OR(D630="V01",D630="V02",D630="V03")),1,0)</f>
        <v/>
      </c>
      <c r="F630">
        <f>IF(E630=1,SUMIFS(Compta!$F$2:$F$675,Compta!$A$2:$A$675,A630,Compta!$B$2:$B$675,B630,Compta!$C$2:$C$675,"2026"),0)</f>
        <v/>
      </c>
      <c r="G630">
        <f>IF(D630="V01",cad!$I$21,IF(D630="V02",cad!$J$21,cad!$K$21))</f>
        <v/>
      </c>
      <c r="H630">
        <f>IF(D630="V01",cad!$I$22,IF(D630="V02",cad!$J$22,cad!$K$22))</f>
        <v/>
      </c>
      <c r="I630">
        <f>IF(D630="V01",cad!$I$27,IF(D630="V02",cad!$J$27,cad!$K$27))</f>
        <v/>
      </c>
      <c r="J630">
        <f>IF(D630="V01",cad!$I$28,IF(D630="V02",cad!$J$28,cad!$K$28))</f>
        <v/>
      </c>
      <c r="K630">
        <f>IF(D630="V01",cad!$I$29,IF(D630="V02",cad!$J$29,cad!$K$29))</f>
        <v/>
      </c>
      <c r="L630">
        <f>IF(D630="V01",cad!$I$30,IF(D630="V02",cad!$J$30,cad!$K$30))</f>
        <v/>
      </c>
      <c r="M630">
        <f>IF(D630="V01",cad!$I$31,IF(D630="V02",cad!$J$31,cad!$K$31))</f>
        <v/>
      </c>
      <c r="N630">
        <f>IF(D630="V01",$R$2,IF(D630="V02",$R$3,$R$4))</f>
        <v/>
      </c>
      <c r="O630">
        <f>IF(OR(B630="7062",B630="706",B630="708"),N630,IF(B630="6231",1+G630,IF(B630="6236",1+H630,IF(OR(B630="621",B630="604",B630="6063"),N630*(1-L630),IF(OR(B630="6411",B630="6413",B630="6414",B630="645"),(1+J630)*(1+K630),IF(OR(B630="613",B630="615",B630="616",B630="6226",B630="625",B630="626",B630="6281"),(1+I630)*(1-L630)*(1+M630),IF(OR(B630="6331",B630="63511",B630="6333"),(1+I630)*(1-L630),IF(B630="6811",1+I630,1))))))))</f>
        <v/>
      </c>
      <c r="P630">
        <f>IF(E630=1,F630*O630,"")</f>
        <v/>
      </c>
    </row>
    <row r="631">
      <c r="A631">
        <f>PNL!A631</f>
        <v/>
      </c>
      <c r="B631">
        <f>PNL!B631</f>
        <v/>
      </c>
      <c r="C631">
        <f>PNL!C631</f>
        <v/>
      </c>
      <c r="D631">
        <f>PNL!D631</f>
        <v/>
      </c>
      <c r="E631">
        <f>IF(AND(C631="2027",OR(D631="V01",D631="V02",D631="V03")),1,0)</f>
        <v/>
      </c>
      <c r="F631">
        <f>IF(E631=1,SUMIFS(Compta!$F$2:$F$675,Compta!$A$2:$A$675,A631,Compta!$B$2:$B$675,B631,Compta!$C$2:$C$675,"2026"),0)</f>
        <v/>
      </c>
      <c r="G631">
        <f>IF(D631="V01",cad!$I$21,IF(D631="V02",cad!$J$21,cad!$K$21))</f>
        <v/>
      </c>
      <c r="H631">
        <f>IF(D631="V01",cad!$I$22,IF(D631="V02",cad!$J$22,cad!$K$22))</f>
        <v/>
      </c>
      <c r="I631">
        <f>IF(D631="V01",cad!$I$27,IF(D631="V02",cad!$J$27,cad!$K$27))</f>
        <v/>
      </c>
      <c r="J631">
        <f>IF(D631="V01",cad!$I$28,IF(D631="V02",cad!$J$28,cad!$K$28))</f>
        <v/>
      </c>
      <c r="K631">
        <f>IF(D631="V01",cad!$I$29,IF(D631="V02",cad!$J$29,cad!$K$29))</f>
        <v/>
      </c>
      <c r="L631">
        <f>IF(D631="V01",cad!$I$30,IF(D631="V02",cad!$J$30,cad!$K$30))</f>
        <v/>
      </c>
      <c r="M631">
        <f>IF(D631="V01",cad!$I$31,IF(D631="V02",cad!$J$31,cad!$K$31))</f>
        <v/>
      </c>
      <c r="N631">
        <f>IF(D631="V01",$R$2,IF(D631="V02",$R$3,$R$4))</f>
        <v/>
      </c>
      <c r="O631">
        <f>IF(OR(B631="7062",B631="706",B631="708"),N631,IF(B631="6231",1+G631,IF(B631="6236",1+H631,IF(OR(B631="621",B631="604",B631="6063"),N631*(1-L631),IF(OR(B631="6411",B631="6413",B631="6414",B631="645"),(1+J631)*(1+K631),IF(OR(B631="613",B631="615",B631="616",B631="6226",B631="625",B631="626",B631="6281"),(1+I631)*(1-L631)*(1+M631),IF(OR(B631="6331",B631="63511",B631="6333"),(1+I631)*(1-L631),IF(B631="6811",1+I631,1))))))))</f>
        <v/>
      </c>
      <c r="P631">
        <f>IF(E631=1,F631*O631,"")</f>
        <v/>
      </c>
    </row>
    <row r="632">
      <c r="A632">
        <f>PNL!A632</f>
        <v/>
      </c>
      <c r="B632">
        <f>PNL!B632</f>
        <v/>
      </c>
      <c r="C632">
        <f>PNL!C632</f>
        <v/>
      </c>
      <c r="D632">
        <f>PNL!D632</f>
        <v/>
      </c>
      <c r="E632">
        <f>IF(AND(C632="2027",OR(D632="V01",D632="V02",D632="V03")),1,0)</f>
        <v/>
      </c>
      <c r="F632">
        <f>IF(E632=1,SUMIFS(Compta!$F$2:$F$675,Compta!$A$2:$A$675,A632,Compta!$B$2:$B$675,B632,Compta!$C$2:$C$675,"2026"),0)</f>
        <v/>
      </c>
      <c r="G632">
        <f>IF(D632="V01",cad!$I$21,IF(D632="V02",cad!$J$21,cad!$K$21))</f>
        <v/>
      </c>
      <c r="H632">
        <f>IF(D632="V01",cad!$I$22,IF(D632="V02",cad!$J$22,cad!$K$22))</f>
        <v/>
      </c>
      <c r="I632">
        <f>IF(D632="V01",cad!$I$27,IF(D632="V02",cad!$J$27,cad!$K$27))</f>
        <v/>
      </c>
      <c r="J632">
        <f>IF(D632="V01",cad!$I$28,IF(D632="V02",cad!$J$28,cad!$K$28))</f>
        <v/>
      </c>
      <c r="K632">
        <f>IF(D632="V01",cad!$I$29,IF(D632="V02",cad!$J$29,cad!$K$29))</f>
        <v/>
      </c>
      <c r="L632">
        <f>IF(D632="V01",cad!$I$30,IF(D632="V02",cad!$J$30,cad!$K$30))</f>
        <v/>
      </c>
      <c r="M632">
        <f>IF(D632="V01",cad!$I$31,IF(D632="V02",cad!$J$31,cad!$K$31))</f>
        <v/>
      </c>
      <c r="N632">
        <f>IF(D632="V01",$R$2,IF(D632="V02",$R$3,$R$4))</f>
        <v/>
      </c>
      <c r="O632">
        <f>IF(OR(B632="7062",B632="706",B632="708"),N632,IF(B632="6231",1+G632,IF(B632="6236",1+H632,IF(OR(B632="621",B632="604",B632="6063"),N632*(1-L632),IF(OR(B632="6411",B632="6413",B632="6414",B632="645"),(1+J632)*(1+K632),IF(OR(B632="613",B632="615",B632="616",B632="6226",B632="625",B632="626",B632="6281"),(1+I632)*(1-L632)*(1+M632),IF(OR(B632="6331",B632="63511",B632="6333"),(1+I632)*(1-L632),IF(B632="6811",1+I632,1))))))))</f>
        <v/>
      </c>
      <c r="P632">
        <f>IF(E632=1,F632*O632,"")</f>
        <v/>
      </c>
    </row>
    <row r="633">
      <c r="A633">
        <f>PNL!A633</f>
        <v/>
      </c>
      <c r="B633">
        <f>PNL!B633</f>
        <v/>
      </c>
      <c r="C633">
        <f>PNL!C633</f>
        <v/>
      </c>
      <c r="D633">
        <f>PNL!D633</f>
        <v/>
      </c>
      <c r="E633">
        <f>IF(AND(C633="2027",OR(D633="V01",D633="V02",D633="V03")),1,0)</f>
        <v/>
      </c>
      <c r="F633">
        <f>IF(E633=1,SUMIFS(Compta!$F$2:$F$675,Compta!$A$2:$A$675,A633,Compta!$B$2:$B$675,B633,Compta!$C$2:$C$675,"2026"),0)</f>
        <v/>
      </c>
      <c r="G633">
        <f>IF(D633="V01",cad!$I$21,IF(D633="V02",cad!$J$21,cad!$K$21))</f>
        <v/>
      </c>
      <c r="H633">
        <f>IF(D633="V01",cad!$I$22,IF(D633="V02",cad!$J$22,cad!$K$22))</f>
        <v/>
      </c>
      <c r="I633">
        <f>IF(D633="V01",cad!$I$27,IF(D633="V02",cad!$J$27,cad!$K$27))</f>
        <v/>
      </c>
      <c r="J633">
        <f>IF(D633="V01",cad!$I$28,IF(D633="V02",cad!$J$28,cad!$K$28))</f>
        <v/>
      </c>
      <c r="K633">
        <f>IF(D633="V01",cad!$I$29,IF(D633="V02",cad!$J$29,cad!$K$29))</f>
        <v/>
      </c>
      <c r="L633">
        <f>IF(D633="V01",cad!$I$30,IF(D633="V02",cad!$J$30,cad!$K$30))</f>
        <v/>
      </c>
      <c r="M633">
        <f>IF(D633="V01",cad!$I$31,IF(D633="V02",cad!$J$31,cad!$K$31))</f>
        <v/>
      </c>
      <c r="N633">
        <f>IF(D633="V01",$R$2,IF(D633="V02",$R$3,$R$4))</f>
        <v/>
      </c>
      <c r="O633">
        <f>IF(OR(B633="7062",B633="706",B633="708"),N633,IF(B633="6231",1+G633,IF(B633="6236",1+H633,IF(OR(B633="621",B633="604",B633="6063"),N633*(1-L633),IF(OR(B633="6411",B633="6413",B633="6414",B633="645"),(1+J633)*(1+K633),IF(OR(B633="613",B633="615",B633="616",B633="6226",B633="625",B633="626",B633="6281"),(1+I633)*(1-L633)*(1+M633),IF(OR(B633="6331",B633="63511",B633="6333"),(1+I633)*(1-L633),IF(B633="6811",1+I633,1))))))))</f>
        <v/>
      </c>
      <c r="P633">
        <f>IF(E633=1,F633*O633,"")</f>
        <v/>
      </c>
    </row>
    <row r="634">
      <c r="A634">
        <f>PNL!A634</f>
        <v/>
      </c>
      <c r="B634">
        <f>PNL!B634</f>
        <v/>
      </c>
      <c r="C634">
        <f>PNL!C634</f>
        <v/>
      </c>
      <c r="D634">
        <f>PNL!D634</f>
        <v/>
      </c>
      <c r="E634">
        <f>IF(AND(C634="2027",OR(D634="V01",D634="V02",D634="V03")),1,0)</f>
        <v/>
      </c>
      <c r="F634">
        <f>IF(E634=1,SUMIFS(Compta!$F$2:$F$675,Compta!$A$2:$A$675,A634,Compta!$B$2:$B$675,B634,Compta!$C$2:$C$675,"2026"),0)</f>
        <v/>
      </c>
      <c r="G634">
        <f>IF(D634="V01",cad!$I$21,IF(D634="V02",cad!$J$21,cad!$K$21))</f>
        <v/>
      </c>
      <c r="H634">
        <f>IF(D634="V01",cad!$I$22,IF(D634="V02",cad!$J$22,cad!$K$22))</f>
        <v/>
      </c>
      <c r="I634">
        <f>IF(D634="V01",cad!$I$27,IF(D634="V02",cad!$J$27,cad!$K$27))</f>
        <v/>
      </c>
      <c r="J634">
        <f>IF(D634="V01",cad!$I$28,IF(D634="V02",cad!$J$28,cad!$K$28))</f>
        <v/>
      </c>
      <c r="K634">
        <f>IF(D634="V01",cad!$I$29,IF(D634="V02",cad!$J$29,cad!$K$29))</f>
        <v/>
      </c>
      <c r="L634">
        <f>IF(D634="V01",cad!$I$30,IF(D634="V02",cad!$J$30,cad!$K$30))</f>
        <v/>
      </c>
      <c r="M634">
        <f>IF(D634="V01",cad!$I$31,IF(D634="V02",cad!$J$31,cad!$K$31))</f>
        <v/>
      </c>
      <c r="N634">
        <f>IF(D634="V01",$R$2,IF(D634="V02",$R$3,$R$4))</f>
        <v/>
      </c>
      <c r="O634">
        <f>IF(OR(B634="7062",B634="706",B634="708"),N634,IF(B634="6231",1+G634,IF(B634="6236",1+H634,IF(OR(B634="621",B634="604",B634="6063"),N634*(1-L634),IF(OR(B634="6411",B634="6413",B634="6414",B634="645"),(1+J634)*(1+K634),IF(OR(B634="613",B634="615",B634="616",B634="6226",B634="625",B634="626",B634="6281"),(1+I634)*(1-L634)*(1+M634),IF(OR(B634="6331",B634="63511",B634="6333"),(1+I634)*(1-L634),IF(B634="6811",1+I634,1))))))))</f>
        <v/>
      </c>
      <c r="P634">
        <f>IF(E634=1,F634*O634,"")</f>
        <v/>
      </c>
    </row>
    <row r="635">
      <c r="A635">
        <f>PNL!A635</f>
        <v/>
      </c>
      <c r="B635">
        <f>PNL!B635</f>
        <v/>
      </c>
      <c r="C635">
        <f>PNL!C635</f>
        <v/>
      </c>
      <c r="D635">
        <f>PNL!D635</f>
        <v/>
      </c>
      <c r="E635">
        <f>IF(AND(C635="2027",OR(D635="V01",D635="V02",D635="V03")),1,0)</f>
        <v/>
      </c>
      <c r="F635">
        <f>IF(E635=1,SUMIFS(Compta!$F$2:$F$675,Compta!$A$2:$A$675,A635,Compta!$B$2:$B$675,B635,Compta!$C$2:$C$675,"2026"),0)</f>
        <v/>
      </c>
      <c r="G635">
        <f>IF(D635="V01",cad!$I$21,IF(D635="V02",cad!$J$21,cad!$K$21))</f>
        <v/>
      </c>
      <c r="H635">
        <f>IF(D635="V01",cad!$I$22,IF(D635="V02",cad!$J$22,cad!$K$22))</f>
        <v/>
      </c>
      <c r="I635">
        <f>IF(D635="V01",cad!$I$27,IF(D635="V02",cad!$J$27,cad!$K$27))</f>
        <v/>
      </c>
      <c r="J635">
        <f>IF(D635="V01",cad!$I$28,IF(D635="V02",cad!$J$28,cad!$K$28))</f>
        <v/>
      </c>
      <c r="K635">
        <f>IF(D635="V01",cad!$I$29,IF(D635="V02",cad!$J$29,cad!$K$29))</f>
        <v/>
      </c>
      <c r="L635">
        <f>IF(D635="V01",cad!$I$30,IF(D635="V02",cad!$J$30,cad!$K$30))</f>
        <v/>
      </c>
      <c r="M635">
        <f>IF(D635="V01",cad!$I$31,IF(D635="V02",cad!$J$31,cad!$K$31))</f>
        <v/>
      </c>
      <c r="N635">
        <f>IF(D635="V01",$R$2,IF(D635="V02",$R$3,$R$4))</f>
        <v/>
      </c>
      <c r="O635">
        <f>IF(OR(B635="7062",B635="706",B635="708"),N635,IF(B635="6231",1+G635,IF(B635="6236",1+H635,IF(OR(B635="621",B635="604",B635="6063"),N635*(1-L635),IF(OR(B635="6411",B635="6413",B635="6414",B635="645"),(1+J635)*(1+K635),IF(OR(B635="613",B635="615",B635="616",B635="6226",B635="625",B635="626",B635="6281"),(1+I635)*(1-L635)*(1+M635),IF(OR(B635="6331",B635="63511",B635="6333"),(1+I635)*(1-L635),IF(B635="6811",1+I635,1))))))))</f>
        <v/>
      </c>
      <c r="P635">
        <f>IF(E635=1,F635*O635,"")</f>
        <v/>
      </c>
    </row>
    <row r="636">
      <c r="A636">
        <f>PNL!A636</f>
        <v/>
      </c>
      <c r="B636">
        <f>PNL!B636</f>
        <v/>
      </c>
      <c r="C636">
        <f>PNL!C636</f>
        <v/>
      </c>
      <c r="D636">
        <f>PNL!D636</f>
        <v/>
      </c>
      <c r="E636">
        <f>IF(AND(C636="2027",OR(D636="V01",D636="V02",D636="V03")),1,0)</f>
        <v/>
      </c>
      <c r="F636">
        <f>IF(E636=1,SUMIFS(Compta!$F$2:$F$675,Compta!$A$2:$A$675,A636,Compta!$B$2:$B$675,B636,Compta!$C$2:$C$675,"2026"),0)</f>
        <v/>
      </c>
      <c r="G636">
        <f>IF(D636="V01",cad!$I$21,IF(D636="V02",cad!$J$21,cad!$K$21))</f>
        <v/>
      </c>
      <c r="H636">
        <f>IF(D636="V01",cad!$I$22,IF(D636="V02",cad!$J$22,cad!$K$22))</f>
        <v/>
      </c>
      <c r="I636">
        <f>IF(D636="V01",cad!$I$27,IF(D636="V02",cad!$J$27,cad!$K$27))</f>
        <v/>
      </c>
      <c r="J636">
        <f>IF(D636="V01",cad!$I$28,IF(D636="V02",cad!$J$28,cad!$K$28))</f>
        <v/>
      </c>
      <c r="K636">
        <f>IF(D636="V01",cad!$I$29,IF(D636="V02",cad!$J$29,cad!$K$29))</f>
        <v/>
      </c>
      <c r="L636">
        <f>IF(D636="V01",cad!$I$30,IF(D636="V02",cad!$J$30,cad!$K$30))</f>
        <v/>
      </c>
      <c r="M636">
        <f>IF(D636="V01",cad!$I$31,IF(D636="V02",cad!$J$31,cad!$K$31))</f>
        <v/>
      </c>
      <c r="N636">
        <f>IF(D636="V01",$R$2,IF(D636="V02",$R$3,$R$4))</f>
        <v/>
      </c>
      <c r="O636">
        <f>IF(OR(B636="7062",B636="706",B636="708"),N636,IF(B636="6231",1+G636,IF(B636="6236",1+H636,IF(OR(B636="621",B636="604",B636="6063"),N636*(1-L636),IF(OR(B636="6411",B636="6413",B636="6414",B636="645"),(1+J636)*(1+K636),IF(OR(B636="613",B636="615",B636="616",B636="6226",B636="625",B636="626",B636="6281"),(1+I636)*(1-L636)*(1+M636),IF(OR(B636="6331",B636="63511",B636="6333"),(1+I636)*(1-L636),IF(B636="6811",1+I636,1))))))))</f>
        <v/>
      </c>
      <c r="P636">
        <f>IF(E636=1,F636*O636,"")</f>
        <v/>
      </c>
    </row>
    <row r="637">
      <c r="A637">
        <f>PNL!A637</f>
        <v/>
      </c>
      <c r="B637">
        <f>PNL!B637</f>
        <v/>
      </c>
      <c r="C637">
        <f>PNL!C637</f>
        <v/>
      </c>
      <c r="D637">
        <f>PNL!D637</f>
        <v/>
      </c>
      <c r="E637">
        <f>IF(AND(C637="2027",OR(D637="V01",D637="V02",D637="V03")),1,0)</f>
        <v/>
      </c>
      <c r="F637">
        <f>IF(E637=1,SUMIFS(Compta!$F$2:$F$675,Compta!$A$2:$A$675,A637,Compta!$B$2:$B$675,B637,Compta!$C$2:$C$675,"2026"),0)</f>
        <v/>
      </c>
      <c r="G637">
        <f>IF(D637="V01",cad!$I$21,IF(D637="V02",cad!$J$21,cad!$K$21))</f>
        <v/>
      </c>
      <c r="H637">
        <f>IF(D637="V01",cad!$I$22,IF(D637="V02",cad!$J$22,cad!$K$22))</f>
        <v/>
      </c>
      <c r="I637">
        <f>IF(D637="V01",cad!$I$27,IF(D637="V02",cad!$J$27,cad!$K$27))</f>
        <v/>
      </c>
      <c r="J637">
        <f>IF(D637="V01",cad!$I$28,IF(D637="V02",cad!$J$28,cad!$K$28))</f>
        <v/>
      </c>
      <c r="K637">
        <f>IF(D637="V01",cad!$I$29,IF(D637="V02",cad!$J$29,cad!$K$29))</f>
        <v/>
      </c>
      <c r="L637">
        <f>IF(D637="V01",cad!$I$30,IF(D637="V02",cad!$J$30,cad!$K$30))</f>
        <v/>
      </c>
      <c r="M637">
        <f>IF(D637="V01",cad!$I$31,IF(D637="V02",cad!$J$31,cad!$K$31))</f>
        <v/>
      </c>
      <c r="N637">
        <f>IF(D637="V01",$R$2,IF(D637="V02",$R$3,$R$4))</f>
        <v/>
      </c>
      <c r="O637">
        <f>IF(OR(B637="7062",B637="706",B637="708"),N637,IF(B637="6231",1+G637,IF(B637="6236",1+H637,IF(OR(B637="621",B637="604",B637="6063"),N637*(1-L637),IF(OR(B637="6411",B637="6413",B637="6414",B637="645"),(1+J637)*(1+K637),IF(OR(B637="613",B637="615",B637="616",B637="6226",B637="625",B637="626",B637="6281"),(1+I637)*(1-L637)*(1+M637),IF(OR(B637="6331",B637="63511",B637="6333"),(1+I637)*(1-L637),IF(B637="6811",1+I637,1))))))))</f>
        <v/>
      </c>
      <c r="P637">
        <f>IF(E637=1,F637*O637,"")</f>
        <v/>
      </c>
    </row>
    <row r="638">
      <c r="A638">
        <f>PNL!A638</f>
        <v/>
      </c>
      <c r="B638">
        <f>PNL!B638</f>
        <v/>
      </c>
      <c r="C638">
        <f>PNL!C638</f>
        <v/>
      </c>
      <c r="D638">
        <f>PNL!D638</f>
        <v/>
      </c>
      <c r="E638">
        <f>IF(AND(C638="2027",OR(D638="V01",D638="V02",D638="V03")),1,0)</f>
        <v/>
      </c>
      <c r="F638">
        <f>IF(E638=1,SUMIFS(Compta!$F$2:$F$675,Compta!$A$2:$A$675,A638,Compta!$B$2:$B$675,B638,Compta!$C$2:$C$675,"2026"),0)</f>
        <v/>
      </c>
      <c r="G638">
        <f>IF(D638="V01",cad!$I$21,IF(D638="V02",cad!$J$21,cad!$K$21))</f>
        <v/>
      </c>
      <c r="H638">
        <f>IF(D638="V01",cad!$I$22,IF(D638="V02",cad!$J$22,cad!$K$22))</f>
        <v/>
      </c>
      <c r="I638">
        <f>IF(D638="V01",cad!$I$27,IF(D638="V02",cad!$J$27,cad!$K$27))</f>
        <v/>
      </c>
      <c r="J638">
        <f>IF(D638="V01",cad!$I$28,IF(D638="V02",cad!$J$28,cad!$K$28))</f>
        <v/>
      </c>
      <c r="K638">
        <f>IF(D638="V01",cad!$I$29,IF(D638="V02",cad!$J$29,cad!$K$29))</f>
        <v/>
      </c>
      <c r="L638">
        <f>IF(D638="V01",cad!$I$30,IF(D638="V02",cad!$J$30,cad!$K$30))</f>
        <v/>
      </c>
      <c r="M638">
        <f>IF(D638="V01",cad!$I$31,IF(D638="V02",cad!$J$31,cad!$K$31))</f>
        <v/>
      </c>
      <c r="N638">
        <f>IF(D638="V01",$R$2,IF(D638="V02",$R$3,$R$4))</f>
        <v/>
      </c>
      <c r="O638">
        <f>IF(OR(B638="7062",B638="706",B638="708"),N638,IF(B638="6231",1+G638,IF(B638="6236",1+H638,IF(OR(B638="621",B638="604",B638="6063"),N638*(1-L638),IF(OR(B638="6411",B638="6413",B638="6414",B638="645"),(1+J638)*(1+K638),IF(OR(B638="613",B638="615",B638="616",B638="6226",B638="625",B638="626",B638="6281"),(1+I638)*(1-L638)*(1+M638),IF(OR(B638="6331",B638="63511",B638="6333"),(1+I638)*(1-L638),IF(B638="6811",1+I638,1))))))))</f>
        <v/>
      </c>
      <c r="P638">
        <f>IF(E638=1,F638*O638,"")</f>
        <v/>
      </c>
    </row>
    <row r="639">
      <c r="A639">
        <f>PNL!A639</f>
        <v/>
      </c>
      <c r="B639">
        <f>PNL!B639</f>
        <v/>
      </c>
      <c r="C639">
        <f>PNL!C639</f>
        <v/>
      </c>
      <c r="D639">
        <f>PNL!D639</f>
        <v/>
      </c>
      <c r="E639">
        <f>IF(AND(C639="2027",OR(D639="V01",D639="V02",D639="V03")),1,0)</f>
        <v/>
      </c>
      <c r="F639">
        <f>IF(E639=1,SUMIFS(Compta!$F$2:$F$675,Compta!$A$2:$A$675,A639,Compta!$B$2:$B$675,B639,Compta!$C$2:$C$675,"2026"),0)</f>
        <v/>
      </c>
      <c r="G639">
        <f>IF(D639="V01",cad!$I$21,IF(D639="V02",cad!$J$21,cad!$K$21))</f>
        <v/>
      </c>
      <c r="H639">
        <f>IF(D639="V01",cad!$I$22,IF(D639="V02",cad!$J$22,cad!$K$22))</f>
        <v/>
      </c>
      <c r="I639">
        <f>IF(D639="V01",cad!$I$27,IF(D639="V02",cad!$J$27,cad!$K$27))</f>
        <v/>
      </c>
      <c r="J639">
        <f>IF(D639="V01",cad!$I$28,IF(D639="V02",cad!$J$28,cad!$K$28))</f>
        <v/>
      </c>
      <c r="K639">
        <f>IF(D639="V01",cad!$I$29,IF(D639="V02",cad!$J$29,cad!$K$29))</f>
        <v/>
      </c>
      <c r="L639">
        <f>IF(D639="V01",cad!$I$30,IF(D639="V02",cad!$J$30,cad!$K$30))</f>
        <v/>
      </c>
      <c r="M639">
        <f>IF(D639="V01",cad!$I$31,IF(D639="V02",cad!$J$31,cad!$K$31))</f>
        <v/>
      </c>
      <c r="N639">
        <f>IF(D639="V01",$R$2,IF(D639="V02",$R$3,$R$4))</f>
        <v/>
      </c>
      <c r="O639">
        <f>IF(OR(B639="7062",B639="706",B639="708"),N639,IF(B639="6231",1+G639,IF(B639="6236",1+H639,IF(OR(B639="621",B639="604",B639="6063"),N639*(1-L639),IF(OR(B639="6411",B639="6413",B639="6414",B639="645"),(1+J639)*(1+K639),IF(OR(B639="613",B639="615",B639="616",B639="6226",B639="625",B639="626",B639="6281"),(1+I639)*(1-L639)*(1+M639),IF(OR(B639="6331",B639="63511",B639="6333"),(1+I639)*(1-L639),IF(B639="6811",1+I639,1))))))))</f>
        <v/>
      </c>
      <c r="P639">
        <f>IF(E639=1,F639*O639,"")</f>
        <v/>
      </c>
    </row>
    <row r="640">
      <c r="A640">
        <f>PNL!A640</f>
        <v/>
      </c>
      <c r="B640">
        <f>PNL!B640</f>
        <v/>
      </c>
      <c r="C640">
        <f>PNL!C640</f>
        <v/>
      </c>
      <c r="D640">
        <f>PNL!D640</f>
        <v/>
      </c>
      <c r="E640">
        <f>IF(AND(C640="2027",OR(D640="V01",D640="V02",D640="V03")),1,0)</f>
        <v/>
      </c>
      <c r="F640">
        <f>IF(E640=1,SUMIFS(Compta!$F$2:$F$675,Compta!$A$2:$A$675,A640,Compta!$B$2:$B$675,B640,Compta!$C$2:$C$675,"2026"),0)</f>
        <v/>
      </c>
      <c r="G640">
        <f>IF(D640="V01",cad!$I$21,IF(D640="V02",cad!$J$21,cad!$K$21))</f>
        <v/>
      </c>
      <c r="H640">
        <f>IF(D640="V01",cad!$I$22,IF(D640="V02",cad!$J$22,cad!$K$22))</f>
        <v/>
      </c>
      <c r="I640">
        <f>IF(D640="V01",cad!$I$27,IF(D640="V02",cad!$J$27,cad!$K$27))</f>
        <v/>
      </c>
      <c r="J640">
        <f>IF(D640="V01",cad!$I$28,IF(D640="V02",cad!$J$28,cad!$K$28))</f>
        <v/>
      </c>
      <c r="K640">
        <f>IF(D640="V01",cad!$I$29,IF(D640="V02",cad!$J$29,cad!$K$29))</f>
        <v/>
      </c>
      <c r="L640">
        <f>IF(D640="V01",cad!$I$30,IF(D640="V02",cad!$J$30,cad!$K$30))</f>
        <v/>
      </c>
      <c r="M640">
        <f>IF(D640="V01",cad!$I$31,IF(D640="V02",cad!$J$31,cad!$K$31))</f>
        <v/>
      </c>
      <c r="N640">
        <f>IF(D640="V01",$R$2,IF(D640="V02",$R$3,$R$4))</f>
        <v/>
      </c>
      <c r="O640">
        <f>IF(OR(B640="7062",B640="706",B640="708"),N640,IF(B640="6231",1+G640,IF(B640="6236",1+H640,IF(OR(B640="621",B640="604",B640="6063"),N640*(1-L640),IF(OR(B640="6411",B640="6413",B640="6414",B640="645"),(1+J640)*(1+K640),IF(OR(B640="613",B640="615",B640="616",B640="6226",B640="625",B640="626",B640="6281"),(1+I640)*(1-L640)*(1+M640),IF(OR(B640="6331",B640="63511",B640="6333"),(1+I640)*(1-L640),IF(B640="6811",1+I640,1))))))))</f>
        <v/>
      </c>
      <c r="P640">
        <f>IF(E640=1,F640*O640,"")</f>
        <v/>
      </c>
    </row>
    <row r="641">
      <c r="A641">
        <f>PNL!A641</f>
        <v/>
      </c>
      <c r="B641">
        <f>PNL!B641</f>
        <v/>
      </c>
      <c r="C641">
        <f>PNL!C641</f>
        <v/>
      </c>
      <c r="D641">
        <f>PNL!D641</f>
        <v/>
      </c>
      <c r="E641">
        <f>IF(AND(C641="2027",OR(D641="V01",D641="V02",D641="V03")),1,0)</f>
        <v/>
      </c>
      <c r="F641">
        <f>IF(E641=1,SUMIFS(Compta!$F$2:$F$675,Compta!$A$2:$A$675,A641,Compta!$B$2:$B$675,B641,Compta!$C$2:$C$675,"2026"),0)</f>
        <v/>
      </c>
      <c r="G641">
        <f>IF(D641="V01",cad!$I$21,IF(D641="V02",cad!$J$21,cad!$K$21))</f>
        <v/>
      </c>
      <c r="H641">
        <f>IF(D641="V01",cad!$I$22,IF(D641="V02",cad!$J$22,cad!$K$22))</f>
        <v/>
      </c>
      <c r="I641">
        <f>IF(D641="V01",cad!$I$27,IF(D641="V02",cad!$J$27,cad!$K$27))</f>
        <v/>
      </c>
      <c r="J641">
        <f>IF(D641="V01",cad!$I$28,IF(D641="V02",cad!$J$28,cad!$K$28))</f>
        <v/>
      </c>
      <c r="K641">
        <f>IF(D641="V01",cad!$I$29,IF(D641="V02",cad!$J$29,cad!$K$29))</f>
        <v/>
      </c>
      <c r="L641">
        <f>IF(D641="V01",cad!$I$30,IF(D641="V02",cad!$J$30,cad!$K$30))</f>
        <v/>
      </c>
      <c r="M641">
        <f>IF(D641="V01",cad!$I$31,IF(D641="V02",cad!$J$31,cad!$K$31))</f>
        <v/>
      </c>
      <c r="N641">
        <f>IF(D641="V01",$R$2,IF(D641="V02",$R$3,$R$4))</f>
        <v/>
      </c>
      <c r="O641">
        <f>IF(OR(B641="7062",B641="706",B641="708"),N641,IF(B641="6231",1+G641,IF(B641="6236",1+H641,IF(OR(B641="621",B641="604",B641="6063"),N641*(1-L641),IF(OR(B641="6411",B641="6413",B641="6414",B641="645"),(1+J641)*(1+K641),IF(OR(B641="613",B641="615",B641="616",B641="6226",B641="625",B641="626",B641="6281"),(1+I641)*(1-L641)*(1+M641),IF(OR(B641="6331",B641="63511",B641="6333"),(1+I641)*(1-L641),IF(B641="6811",1+I641,1))))))))</f>
        <v/>
      </c>
      <c r="P641">
        <f>IF(E641=1,F641*O641,"")</f>
        <v/>
      </c>
    </row>
    <row r="642">
      <c r="A642">
        <f>PNL!A642</f>
        <v/>
      </c>
      <c r="B642">
        <f>PNL!B642</f>
        <v/>
      </c>
      <c r="C642">
        <f>PNL!C642</f>
        <v/>
      </c>
      <c r="D642">
        <f>PNL!D642</f>
        <v/>
      </c>
      <c r="E642">
        <f>IF(AND(C642="2027",OR(D642="V01",D642="V02",D642="V03")),1,0)</f>
        <v/>
      </c>
      <c r="F642">
        <f>IF(E642=1,SUMIFS(Compta!$F$2:$F$675,Compta!$A$2:$A$675,A642,Compta!$B$2:$B$675,B642,Compta!$C$2:$C$675,"2026"),0)</f>
        <v/>
      </c>
      <c r="G642">
        <f>IF(D642="V01",cad!$I$21,IF(D642="V02",cad!$J$21,cad!$K$21))</f>
        <v/>
      </c>
      <c r="H642">
        <f>IF(D642="V01",cad!$I$22,IF(D642="V02",cad!$J$22,cad!$K$22))</f>
        <v/>
      </c>
      <c r="I642">
        <f>IF(D642="V01",cad!$I$27,IF(D642="V02",cad!$J$27,cad!$K$27))</f>
        <v/>
      </c>
      <c r="J642">
        <f>IF(D642="V01",cad!$I$28,IF(D642="V02",cad!$J$28,cad!$K$28))</f>
        <v/>
      </c>
      <c r="K642">
        <f>IF(D642="V01",cad!$I$29,IF(D642="V02",cad!$J$29,cad!$K$29))</f>
        <v/>
      </c>
      <c r="L642">
        <f>IF(D642="V01",cad!$I$30,IF(D642="V02",cad!$J$30,cad!$K$30))</f>
        <v/>
      </c>
      <c r="M642">
        <f>IF(D642="V01",cad!$I$31,IF(D642="V02",cad!$J$31,cad!$K$31))</f>
        <v/>
      </c>
      <c r="N642">
        <f>IF(D642="V01",$R$2,IF(D642="V02",$R$3,$R$4))</f>
        <v/>
      </c>
      <c r="O642">
        <f>IF(OR(B642="7062",B642="706",B642="708"),N642,IF(B642="6231",1+G642,IF(B642="6236",1+H642,IF(OR(B642="621",B642="604",B642="6063"),N642*(1-L642),IF(OR(B642="6411",B642="6413",B642="6414",B642="645"),(1+J642)*(1+K642),IF(OR(B642="613",B642="615",B642="616",B642="6226",B642="625",B642="626",B642="6281"),(1+I642)*(1-L642)*(1+M642),IF(OR(B642="6331",B642="63511",B642="6333"),(1+I642)*(1-L642),IF(B642="6811",1+I642,1))))))))</f>
        <v/>
      </c>
      <c r="P642">
        <f>IF(E642=1,F642*O642,"")</f>
        <v/>
      </c>
    </row>
    <row r="643">
      <c r="A643">
        <f>PNL!A643</f>
        <v/>
      </c>
      <c r="B643">
        <f>PNL!B643</f>
        <v/>
      </c>
      <c r="C643">
        <f>PNL!C643</f>
        <v/>
      </c>
      <c r="D643">
        <f>PNL!D643</f>
        <v/>
      </c>
      <c r="E643">
        <f>IF(AND(C643="2027",OR(D643="V01",D643="V02",D643="V03")),1,0)</f>
        <v/>
      </c>
      <c r="F643">
        <f>IF(E643=1,SUMIFS(Compta!$F$2:$F$675,Compta!$A$2:$A$675,A643,Compta!$B$2:$B$675,B643,Compta!$C$2:$C$675,"2026"),0)</f>
        <v/>
      </c>
      <c r="G643">
        <f>IF(D643="V01",cad!$I$21,IF(D643="V02",cad!$J$21,cad!$K$21))</f>
        <v/>
      </c>
      <c r="H643">
        <f>IF(D643="V01",cad!$I$22,IF(D643="V02",cad!$J$22,cad!$K$22))</f>
        <v/>
      </c>
      <c r="I643">
        <f>IF(D643="V01",cad!$I$27,IF(D643="V02",cad!$J$27,cad!$K$27))</f>
        <v/>
      </c>
      <c r="J643">
        <f>IF(D643="V01",cad!$I$28,IF(D643="V02",cad!$J$28,cad!$K$28))</f>
        <v/>
      </c>
      <c r="K643">
        <f>IF(D643="V01",cad!$I$29,IF(D643="V02",cad!$J$29,cad!$K$29))</f>
        <v/>
      </c>
      <c r="L643">
        <f>IF(D643="V01",cad!$I$30,IF(D643="V02",cad!$J$30,cad!$K$30))</f>
        <v/>
      </c>
      <c r="M643">
        <f>IF(D643="V01",cad!$I$31,IF(D643="V02",cad!$J$31,cad!$K$31))</f>
        <v/>
      </c>
      <c r="N643">
        <f>IF(D643="V01",$R$2,IF(D643="V02",$R$3,$R$4))</f>
        <v/>
      </c>
      <c r="O643">
        <f>IF(OR(B643="7062",B643="706",B643="708"),N643,IF(B643="6231",1+G643,IF(B643="6236",1+H643,IF(OR(B643="621",B643="604",B643="6063"),N643*(1-L643),IF(OR(B643="6411",B643="6413",B643="6414",B643="645"),(1+J643)*(1+K643),IF(OR(B643="613",B643="615",B643="616",B643="6226",B643="625",B643="626",B643="6281"),(1+I643)*(1-L643)*(1+M643),IF(OR(B643="6331",B643="63511",B643="6333"),(1+I643)*(1-L643),IF(B643="6811",1+I643,1))))))))</f>
        <v/>
      </c>
      <c r="P643">
        <f>IF(E643=1,F643*O643,"")</f>
        <v/>
      </c>
    </row>
    <row r="644">
      <c r="A644">
        <f>PNL!A644</f>
        <v/>
      </c>
      <c r="B644">
        <f>PNL!B644</f>
        <v/>
      </c>
      <c r="C644">
        <f>PNL!C644</f>
        <v/>
      </c>
      <c r="D644">
        <f>PNL!D644</f>
        <v/>
      </c>
      <c r="E644">
        <f>IF(AND(C644="2027",OR(D644="V01",D644="V02",D644="V03")),1,0)</f>
        <v/>
      </c>
      <c r="F644">
        <f>IF(E644=1,SUMIFS(Compta!$F$2:$F$675,Compta!$A$2:$A$675,A644,Compta!$B$2:$B$675,B644,Compta!$C$2:$C$675,"2026"),0)</f>
        <v/>
      </c>
      <c r="G644">
        <f>IF(D644="V01",cad!$I$21,IF(D644="V02",cad!$J$21,cad!$K$21))</f>
        <v/>
      </c>
      <c r="H644">
        <f>IF(D644="V01",cad!$I$22,IF(D644="V02",cad!$J$22,cad!$K$22))</f>
        <v/>
      </c>
      <c r="I644">
        <f>IF(D644="V01",cad!$I$27,IF(D644="V02",cad!$J$27,cad!$K$27))</f>
        <v/>
      </c>
      <c r="J644">
        <f>IF(D644="V01",cad!$I$28,IF(D644="V02",cad!$J$28,cad!$K$28))</f>
        <v/>
      </c>
      <c r="K644">
        <f>IF(D644="V01",cad!$I$29,IF(D644="V02",cad!$J$29,cad!$K$29))</f>
        <v/>
      </c>
      <c r="L644">
        <f>IF(D644="V01",cad!$I$30,IF(D644="V02",cad!$J$30,cad!$K$30))</f>
        <v/>
      </c>
      <c r="M644">
        <f>IF(D644="V01",cad!$I$31,IF(D644="V02",cad!$J$31,cad!$K$31))</f>
        <v/>
      </c>
      <c r="N644">
        <f>IF(D644="V01",$R$2,IF(D644="V02",$R$3,$R$4))</f>
        <v/>
      </c>
      <c r="O644">
        <f>IF(OR(B644="7062",B644="706",B644="708"),N644,IF(B644="6231",1+G644,IF(B644="6236",1+H644,IF(OR(B644="621",B644="604",B644="6063"),N644*(1-L644),IF(OR(B644="6411",B644="6413",B644="6414",B644="645"),(1+J644)*(1+K644),IF(OR(B644="613",B644="615",B644="616",B644="6226",B644="625",B644="626",B644="6281"),(1+I644)*(1-L644)*(1+M644),IF(OR(B644="6331",B644="63511",B644="6333"),(1+I644)*(1-L644),IF(B644="6811",1+I644,1))))))))</f>
        <v/>
      </c>
      <c r="P644">
        <f>IF(E644=1,F644*O644,"")</f>
        <v/>
      </c>
    </row>
    <row r="645">
      <c r="A645">
        <f>PNL!A645</f>
        <v/>
      </c>
      <c r="B645">
        <f>PNL!B645</f>
        <v/>
      </c>
      <c r="C645">
        <f>PNL!C645</f>
        <v/>
      </c>
      <c r="D645">
        <f>PNL!D645</f>
        <v/>
      </c>
      <c r="E645">
        <f>IF(AND(C645="2027",OR(D645="V01",D645="V02",D645="V03")),1,0)</f>
        <v/>
      </c>
      <c r="F645">
        <f>IF(E645=1,SUMIFS(Compta!$F$2:$F$675,Compta!$A$2:$A$675,A645,Compta!$B$2:$B$675,B645,Compta!$C$2:$C$675,"2026"),0)</f>
        <v/>
      </c>
      <c r="G645">
        <f>IF(D645="V01",cad!$I$21,IF(D645="V02",cad!$J$21,cad!$K$21))</f>
        <v/>
      </c>
      <c r="H645">
        <f>IF(D645="V01",cad!$I$22,IF(D645="V02",cad!$J$22,cad!$K$22))</f>
        <v/>
      </c>
      <c r="I645">
        <f>IF(D645="V01",cad!$I$27,IF(D645="V02",cad!$J$27,cad!$K$27))</f>
        <v/>
      </c>
      <c r="J645">
        <f>IF(D645="V01",cad!$I$28,IF(D645="V02",cad!$J$28,cad!$K$28))</f>
        <v/>
      </c>
      <c r="K645">
        <f>IF(D645="V01",cad!$I$29,IF(D645="V02",cad!$J$29,cad!$K$29))</f>
        <v/>
      </c>
      <c r="L645">
        <f>IF(D645="V01",cad!$I$30,IF(D645="V02",cad!$J$30,cad!$K$30))</f>
        <v/>
      </c>
      <c r="M645">
        <f>IF(D645="V01",cad!$I$31,IF(D645="V02",cad!$J$31,cad!$K$31))</f>
        <v/>
      </c>
      <c r="N645">
        <f>IF(D645="V01",$R$2,IF(D645="V02",$R$3,$R$4))</f>
        <v/>
      </c>
      <c r="O645">
        <f>IF(OR(B645="7062",B645="706",B645="708"),N645,IF(B645="6231",1+G645,IF(B645="6236",1+H645,IF(OR(B645="621",B645="604",B645="6063"),N645*(1-L645),IF(OR(B645="6411",B645="6413",B645="6414",B645="645"),(1+J645)*(1+K645),IF(OR(B645="613",B645="615",B645="616",B645="6226",B645="625",B645="626",B645="6281"),(1+I645)*(1-L645)*(1+M645),IF(OR(B645="6331",B645="63511",B645="6333"),(1+I645)*(1-L645),IF(B645="6811",1+I645,1))))))))</f>
        <v/>
      </c>
      <c r="P645">
        <f>IF(E645=1,F645*O645,"")</f>
        <v/>
      </c>
    </row>
    <row r="646">
      <c r="A646">
        <f>PNL!A646</f>
        <v/>
      </c>
      <c r="B646">
        <f>PNL!B646</f>
        <v/>
      </c>
      <c r="C646">
        <f>PNL!C646</f>
        <v/>
      </c>
      <c r="D646">
        <f>PNL!D646</f>
        <v/>
      </c>
      <c r="E646">
        <f>IF(AND(C646="2027",OR(D646="V01",D646="V02",D646="V03")),1,0)</f>
        <v/>
      </c>
      <c r="F646">
        <f>IF(E646=1,SUMIFS(Compta!$F$2:$F$675,Compta!$A$2:$A$675,A646,Compta!$B$2:$B$675,B646,Compta!$C$2:$C$675,"2026"),0)</f>
        <v/>
      </c>
      <c r="G646">
        <f>IF(D646="V01",cad!$I$21,IF(D646="V02",cad!$J$21,cad!$K$21))</f>
        <v/>
      </c>
      <c r="H646">
        <f>IF(D646="V01",cad!$I$22,IF(D646="V02",cad!$J$22,cad!$K$22))</f>
        <v/>
      </c>
      <c r="I646">
        <f>IF(D646="V01",cad!$I$27,IF(D646="V02",cad!$J$27,cad!$K$27))</f>
        <v/>
      </c>
      <c r="J646">
        <f>IF(D646="V01",cad!$I$28,IF(D646="V02",cad!$J$28,cad!$K$28))</f>
        <v/>
      </c>
      <c r="K646">
        <f>IF(D646="V01",cad!$I$29,IF(D646="V02",cad!$J$29,cad!$K$29))</f>
        <v/>
      </c>
      <c r="L646">
        <f>IF(D646="V01",cad!$I$30,IF(D646="V02",cad!$J$30,cad!$K$30))</f>
        <v/>
      </c>
      <c r="M646">
        <f>IF(D646="V01",cad!$I$31,IF(D646="V02",cad!$J$31,cad!$K$31))</f>
        <v/>
      </c>
      <c r="N646">
        <f>IF(D646="V01",$R$2,IF(D646="V02",$R$3,$R$4))</f>
        <v/>
      </c>
      <c r="O646">
        <f>IF(OR(B646="7062",B646="706",B646="708"),N646,IF(B646="6231",1+G646,IF(B646="6236",1+H646,IF(OR(B646="621",B646="604",B646="6063"),N646*(1-L646),IF(OR(B646="6411",B646="6413",B646="6414",B646="645"),(1+J646)*(1+K646),IF(OR(B646="613",B646="615",B646="616",B646="6226",B646="625",B646="626",B646="6281"),(1+I646)*(1-L646)*(1+M646),IF(OR(B646="6331",B646="63511",B646="6333"),(1+I646)*(1-L646),IF(B646="6811",1+I646,1))))))))</f>
        <v/>
      </c>
      <c r="P646">
        <f>IF(E646=1,F646*O646,"")</f>
        <v/>
      </c>
    </row>
    <row r="647">
      <c r="A647">
        <f>PNL!A647</f>
        <v/>
      </c>
      <c r="B647">
        <f>PNL!B647</f>
        <v/>
      </c>
      <c r="C647">
        <f>PNL!C647</f>
        <v/>
      </c>
      <c r="D647">
        <f>PNL!D647</f>
        <v/>
      </c>
      <c r="E647">
        <f>IF(AND(C647="2027",OR(D647="V01",D647="V02",D647="V03")),1,0)</f>
        <v/>
      </c>
      <c r="F647">
        <f>IF(E647=1,SUMIFS(Compta!$F$2:$F$675,Compta!$A$2:$A$675,A647,Compta!$B$2:$B$675,B647,Compta!$C$2:$C$675,"2026"),0)</f>
        <v/>
      </c>
      <c r="G647">
        <f>IF(D647="V01",cad!$I$21,IF(D647="V02",cad!$J$21,cad!$K$21))</f>
        <v/>
      </c>
      <c r="H647">
        <f>IF(D647="V01",cad!$I$22,IF(D647="V02",cad!$J$22,cad!$K$22))</f>
        <v/>
      </c>
      <c r="I647">
        <f>IF(D647="V01",cad!$I$27,IF(D647="V02",cad!$J$27,cad!$K$27))</f>
        <v/>
      </c>
      <c r="J647">
        <f>IF(D647="V01",cad!$I$28,IF(D647="V02",cad!$J$28,cad!$K$28))</f>
        <v/>
      </c>
      <c r="K647">
        <f>IF(D647="V01",cad!$I$29,IF(D647="V02",cad!$J$29,cad!$K$29))</f>
        <v/>
      </c>
      <c r="L647">
        <f>IF(D647="V01",cad!$I$30,IF(D647="V02",cad!$J$30,cad!$K$30))</f>
        <v/>
      </c>
      <c r="M647">
        <f>IF(D647="V01",cad!$I$31,IF(D647="V02",cad!$J$31,cad!$K$31))</f>
        <v/>
      </c>
      <c r="N647">
        <f>IF(D647="V01",$R$2,IF(D647="V02",$R$3,$R$4))</f>
        <v/>
      </c>
      <c r="O647">
        <f>IF(OR(B647="7062",B647="706",B647="708"),N647,IF(B647="6231",1+G647,IF(B647="6236",1+H647,IF(OR(B647="621",B647="604",B647="6063"),N647*(1-L647),IF(OR(B647="6411",B647="6413",B647="6414",B647="645"),(1+J647)*(1+K647),IF(OR(B647="613",B647="615",B647="616",B647="6226",B647="625",B647="626",B647="6281"),(1+I647)*(1-L647)*(1+M647),IF(OR(B647="6331",B647="63511",B647="6333"),(1+I647)*(1-L647),IF(B647="6811",1+I647,1))))))))</f>
        <v/>
      </c>
      <c r="P647">
        <f>IF(E647=1,F647*O647,"")</f>
        <v/>
      </c>
    </row>
    <row r="648">
      <c r="A648">
        <f>PNL!A648</f>
        <v/>
      </c>
      <c r="B648">
        <f>PNL!B648</f>
        <v/>
      </c>
      <c r="C648">
        <f>PNL!C648</f>
        <v/>
      </c>
      <c r="D648">
        <f>PNL!D648</f>
        <v/>
      </c>
      <c r="E648">
        <f>IF(AND(C648="2027",OR(D648="V01",D648="V02",D648="V03")),1,0)</f>
        <v/>
      </c>
      <c r="F648">
        <f>IF(E648=1,SUMIFS(Compta!$F$2:$F$675,Compta!$A$2:$A$675,A648,Compta!$B$2:$B$675,B648,Compta!$C$2:$C$675,"2026"),0)</f>
        <v/>
      </c>
      <c r="G648">
        <f>IF(D648="V01",cad!$I$21,IF(D648="V02",cad!$J$21,cad!$K$21))</f>
        <v/>
      </c>
      <c r="H648">
        <f>IF(D648="V01",cad!$I$22,IF(D648="V02",cad!$J$22,cad!$K$22))</f>
        <v/>
      </c>
      <c r="I648">
        <f>IF(D648="V01",cad!$I$27,IF(D648="V02",cad!$J$27,cad!$K$27))</f>
        <v/>
      </c>
      <c r="J648">
        <f>IF(D648="V01",cad!$I$28,IF(D648="V02",cad!$J$28,cad!$K$28))</f>
        <v/>
      </c>
      <c r="K648">
        <f>IF(D648="V01",cad!$I$29,IF(D648="V02",cad!$J$29,cad!$K$29))</f>
        <v/>
      </c>
      <c r="L648">
        <f>IF(D648="V01",cad!$I$30,IF(D648="V02",cad!$J$30,cad!$K$30))</f>
        <v/>
      </c>
      <c r="M648">
        <f>IF(D648="V01",cad!$I$31,IF(D648="V02",cad!$J$31,cad!$K$31))</f>
        <v/>
      </c>
      <c r="N648">
        <f>IF(D648="V01",$R$2,IF(D648="V02",$R$3,$R$4))</f>
        <v/>
      </c>
      <c r="O648">
        <f>IF(OR(B648="7062",B648="706",B648="708"),N648,IF(B648="6231",1+G648,IF(B648="6236",1+H648,IF(OR(B648="621",B648="604",B648="6063"),N648*(1-L648),IF(OR(B648="6411",B648="6413",B648="6414",B648="645"),(1+J648)*(1+K648),IF(OR(B648="613",B648="615",B648="616",B648="6226",B648="625",B648="626",B648="6281"),(1+I648)*(1-L648)*(1+M648),IF(OR(B648="6331",B648="63511",B648="6333"),(1+I648)*(1-L648),IF(B648="6811",1+I648,1))))))))</f>
        <v/>
      </c>
      <c r="P648">
        <f>IF(E648=1,F648*O648,"")</f>
        <v/>
      </c>
    </row>
    <row r="649">
      <c r="A649">
        <f>PNL!A649</f>
        <v/>
      </c>
      <c r="B649">
        <f>PNL!B649</f>
        <v/>
      </c>
      <c r="C649">
        <f>PNL!C649</f>
        <v/>
      </c>
      <c r="D649">
        <f>PNL!D649</f>
        <v/>
      </c>
      <c r="E649">
        <f>IF(AND(C649="2027",OR(D649="V01",D649="V02",D649="V03")),1,0)</f>
        <v/>
      </c>
      <c r="F649">
        <f>IF(E649=1,SUMIFS(Compta!$F$2:$F$675,Compta!$A$2:$A$675,A649,Compta!$B$2:$B$675,B649,Compta!$C$2:$C$675,"2026"),0)</f>
        <v/>
      </c>
      <c r="G649">
        <f>IF(D649="V01",cad!$I$21,IF(D649="V02",cad!$J$21,cad!$K$21))</f>
        <v/>
      </c>
      <c r="H649">
        <f>IF(D649="V01",cad!$I$22,IF(D649="V02",cad!$J$22,cad!$K$22))</f>
        <v/>
      </c>
      <c r="I649">
        <f>IF(D649="V01",cad!$I$27,IF(D649="V02",cad!$J$27,cad!$K$27))</f>
        <v/>
      </c>
      <c r="J649">
        <f>IF(D649="V01",cad!$I$28,IF(D649="V02",cad!$J$28,cad!$K$28))</f>
        <v/>
      </c>
      <c r="K649">
        <f>IF(D649="V01",cad!$I$29,IF(D649="V02",cad!$J$29,cad!$K$29))</f>
        <v/>
      </c>
      <c r="L649">
        <f>IF(D649="V01",cad!$I$30,IF(D649="V02",cad!$J$30,cad!$K$30))</f>
        <v/>
      </c>
      <c r="M649">
        <f>IF(D649="V01",cad!$I$31,IF(D649="V02",cad!$J$31,cad!$K$31))</f>
        <v/>
      </c>
      <c r="N649">
        <f>IF(D649="V01",$R$2,IF(D649="V02",$R$3,$R$4))</f>
        <v/>
      </c>
      <c r="O649">
        <f>IF(OR(B649="7062",B649="706",B649="708"),N649,IF(B649="6231",1+G649,IF(B649="6236",1+H649,IF(OR(B649="621",B649="604",B649="6063"),N649*(1-L649),IF(OR(B649="6411",B649="6413",B649="6414",B649="645"),(1+J649)*(1+K649),IF(OR(B649="613",B649="615",B649="616",B649="6226",B649="625",B649="626",B649="6281"),(1+I649)*(1-L649)*(1+M649),IF(OR(B649="6331",B649="63511",B649="6333"),(1+I649)*(1-L649),IF(B649="6811",1+I649,1))))))))</f>
        <v/>
      </c>
      <c r="P649">
        <f>IF(E649=1,F649*O649,"")</f>
        <v/>
      </c>
    </row>
    <row r="650">
      <c r="A650">
        <f>PNL!A650</f>
        <v/>
      </c>
      <c r="B650">
        <f>PNL!B650</f>
        <v/>
      </c>
      <c r="C650">
        <f>PNL!C650</f>
        <v/>
      </c>
      <c r="D650">
        <f>PNL!D650</f>
        <v/>
      </c>
      <c r="E650">
        <f>IF(AND(C650="2027",OR(D650="V01",D650="V02",D650="V03")),1,0)</f>
        <v/>
      </c>
      <c r="F650">
        <f>IF(E650=1,SUMIFS(Compta!$F$2:$F$675,Compta!$A$2:$A$675,A650,Compta!$B$2:$B$675,B650,Compta!$C$2:$C$675,"2026"),0)</f>
        <v/>
      </c>
      <c r="G650">
        <f>IF(D650="V01",cad!$I$21,IF(D650="V02",cad!$J$21,cad!$K$21))</f>
        <v/>
      </c>
      <c r="H650">
        <f>IF(D650="V01",cad!$I$22,IF(D650="V02",cad!$J$22,cad!$K$22))</f>
        <v/>
      </c>
      <c r="I650">
        <f>IF(D650="V01",cad!$I$27,IF(D650="V02",cad!$J$27,cad!$K$27))</f>
        <v/>
      </c>
      <c r="J650">
        <f>IF(D650="V01",cad!$I$28,IF(D650="V02",cad!$J$28,cad!$K$28))</f>
        <v/>
      </c>
      <c r="K650">
        <f>IF(D650="V01",cad!$I$29,IF(D650="V02",cad!$J$29,cad!$K$29))</f>
        <v/>
      </c>
      <c r="L650">
        <f>IF(D650="V01",cad!$I$30,IF(D650="V02",cad!$J$30,cad!$K$30))</f>
        <v/>
      </c>
      <c r="M650">
        <f>IF(D650="V01",cad!$I$31,IF(D650="V02",cad!$J$31,cad!$K$31))</f>
        <v/>
      </c>
      <c r="N650">
        <f>IF(D650="V01",$R$2,IF(D650="V02",$R$3,$R$4))</f>
        <v/>
      </c>
      <c r="O650">
        <f>IF(OR(B650="7062",B650="706",B650="708"),N650,IF(B650="6231",1+G650,IF(B650="6236",1+H650,IF(OR(B650="621",B650="604",B650="6063"),N650*(1-L650),IF(OR(B650="6411",B650="6413",B650="6414",B650="645"),(1+J650)*(1+K650),IF(OR(B650="613",B650="615",B650="616",B650="6226",B650="625",B650="626",B650="6281"),(1+I650)*(1-L650)*(1+M650),IF(OR(B650="6331",B650="63511",B650="6333"),(1+I650)*(1-L650),IF(B650="6811",1+I650,1))))))))</f>
        <v/>
      </c>
      <c r="P650">
        <f>IF(E650=1,F650*O650,"")</f>
        <v/>
      </c>
    </row>
    <row r="651">
      <c r="A651">
        <f>PNL!A651</f>
        <v/>
      </c>
      <c r="B651">
        <f>PNL!B651</f>
        <v/>
      </c>
      <c r="C651">
        <f>PNL!C651</f>
        <v/>
      </c>
      <c r="D651">
        <f>PNL!D651</f>
        <v/>
      </c>
      <c r="E651">
        <f>IF(AND(C651="2027",OR(D651="V01",D651="V02",D651="V03")),1,0)</f>
        <v/>
      </c>
      <c r="F651">
        <f>IF(E651=1,SUMIFS(Compta!$F$2:$F$675,Compta!$A$2:$A$675,A651,Compta!$B$2:$B$675,B651,Compta!$C$2:$C$675,"2026"),0)</f>
        <v/>
      </c>
      <c r="G651">
        <f>IF(D651="V01",cad!$I$21,IF(D651="V02",cad!$J$21,cad!$K$21))</f>
        <v/>
      </c>
      <c r="H651">
        <f>IF(D651="V01",cad!$I$22,IF(D651="V02",cad!$J$22,cad!$K$22))</f>
        <v/>
      </c>
      <c r="I651">
        <f>IF(D651="V01",cad!$I$27,IF(D651="V02",cad!$J$27,cad!$K$27))</f>
        <v/>
      </c>
      <c r="J651">
        <f>IF(D651="V01",cad!$I$28,IF(D651="V02",cad!$J$28,cad!$K$28))</f>
        <v/>
      </c>
      <c r="K651">
        <f>IF(D651="V01",cad!$I$29,IF(D651="V02",cad!$J$29,cad!$K$29))</f>
        <v/>
      </c>
      <c r="L651">
        <f>IF(D651="V01",cad!$I$30,IF(D651="V02",cad!$J$30,cad!$K$30))</f>
        <v/>
      </c>
      <c r="M651">
        <f>IF(D651="V01",cad!$I$31,IF(D651="V02",cad!$J$31,cad!$K$31))</f>
        <v/>
      </c>
      <c r="N651">
        <f>IF(D651="V01",$R$2,IF(D651="V02",$R$3,$R$4))</f>
        <v/>
      </c>
      <c r="O651">
        <f>IF(OR(B651="7062",B651="706",B651="708"),N651,IF(B651="6231",1+G651,IF(B651="6236",1+H651,IF(OR(B651="621",B651="604",B651="6063"),N651*(1-L651),IF(OR(B651="6411",B651="6413",B651="6414",B651="645"),(1+J651)*(1+K651),IF(OR(B651="613",B651="615",B651="616",B651="6226",B651="625",B651="626",B651="6281"),(1+I651)*(1-L651)*(1+M651),IF(OR(B651="6331",B651="63511",B651="6333"),(1+I651)*(1-L651),IF(B651="6811",1+I651,1))))))))</f>
        <v/>
      </c>
      <c r="P651">
        <f>IF(E651=1,F651*O651,"")</f>
        <v/>
      </c>
    </row>
    <row r="652">
      <c r="A652">
        <f>PNL!A652</f>
        <v/>
      </c>
      <c r="B652">
        <f>PNL!B652</f>
        <v/>
      </c>
      <c r="C652">
        <f>PNL!C652</f>
        <v/>
      </c>
      <c r="D652">
        <f>PNL!D652</f>
        <v/>
      </c>
      <c r="E652">
        <f>IF(AND(C652="2027",OR(D652="V01",D652="V02",D652="V03")),1,0)</f>
        <v/>
      </c>
      <c r="F652">
        <f>IF(E652=1,SUMIFS(Compta!$F$2:$F$675,Compta!$A$2:$A$675,A652,Compta!$B$2:$B$675,B652,Compta!$C$2:$C$675,"2026"),0)</f>
        <v/>
      </c>
      <c r="G652">
        <f>IF(D652="V01",cad!$I$21,IF(D652="V02",cad!$J$21,cad!$K$21))</f>
        <v/>
      </c>
      <c r="H652">
        <f>IF(D652="V01",cad!$I$22,IF(D652="V02",cad!$J$22,cad!$K$22))</f>
        <v/>
      </c>
      <c r="I652">
        <f>IF(D652="V01",cad!$I$27,IF(D652="V02",cad!$J$27,cad!$K$27))</f>
        <v/>
      </c>
      <c r="J652">
        <f>IF(D652="V01",cad!$I$28,IF(D652="V02",cad!$J$28,cad!$K$28))</f>
        <v/>
      </c>
      <c r="K652">
        <f>IF(D652="V01",cad!$I$29,IF(D652="V02",cad!$J$29,cad!$K$29))</f>
        <v/>
      </c>
      <c r="L652">
        <f>IF(D652="V01",cad!$I$30,IF(D652="V02",cad!$J$30,cad!$K$30))</f>
        <v/>
      </c>
      <c r="M652">
        <f>IF(D652="V01",cad!$I$31,IF(D652="V02",cad!$J$31,cad!$K$31))</f>
        <v/>
      </c>
      <c r="N652">
        <f>IF(D652="V01",$R$2,IF(D652="V02",$R$3,$R$4))</f>
        <v/>
      </c>
      <c r="O652">
        <f>IF(OR(B652="7062",B652="706",B652="708"),N652,IF(B652="6231",1+G652,IF(B652="6236",1+H652,IF(OR(B652="621",B652="604",B652="6063"),N652*(1-L652),IF(OR(B652="6411",B652="6413",B652="6414",B652="645"),(1+J652)*(1+K652),IF(OR(B652="613",B652="615",B652="616",B652="6226",B652="625",B652="626",B652="6281"),(1+I652)*(1-L652)*(1+M652),IF(OR(B652="6331",B652="63511",B652="6333"),(1+I652)*(1-L652),IF(B652="6811",1+I652,1))))))))</f>
        <v/>
      </c>
      <c r="P652">
        <f>IF(E652=1,F652*O652,"")</f>
        <v/>
      </c>
    </row>
    <row r="653">
      <c r="A653">
        <f>PNL!A653</f>
        <v/>
      </c>
      <c r="B653">
        <f>PNL!B653</f>
        <v/>
      </c>
      <c r="C653">
        <f>PNL!C653</f>
        <v/>
      </c>
      <c r="D653">
        <f>PNL!D653</f>
        <v/>
      </c>
      <c r="E653">
        <f>IF(AND(C653="2027",OR(D653="V01",D653="V02",D653="V03")),1,0)</f>
        <v/>
      </c>
      <c r="F653">
        <f>IF(E653=1,SUMIFS(Compta!$F$2:$F$675,Compta!$A$2:$A$675,A653,Compta!$B$2:$B$675,B653,Compta!$C$2:$C$675,"2026"),0)</f>
        <v/>
      </c>
      <c r="G653">
        <f>IF(D653="V01",cad!$I$21,IF(D653="V02",cad!$J$21,cad!$K$21))</f>
        <v/>
      </c>
      <c r="H653">
        <f>IF(D653="V01",cad!$I$22,IF(D653="V02",cad!$J$22,cad!$K$22))</f>
        <v/>
      </c>
      <c r="I653">
        <f>IF(D653="V01",cad!$I$27,IF(D653="V02",cad!$J$27,cad!$K$27))</f>
        <v/>
      </c>
      <c r="J653">
        <f>IF(D653="V01",cad!$I$28,IF(D653="V02",cad!$J$28,cad!$K$28))</f>
        <v/>
      </c>
      <c r="K653">
        <f>IF(D653="V01",cad!$I$29,IF(D653="V02",cad!$J$29,cad!$K$29))</f>
        <v/>
      </c>
      <c r="L653">
        <f>IF(D653="V01",cad!$I$30,IF(D653="V02",cad!$J$30,cad!$K$30))</f>
        <v/>
      </c>
      <c r="M653">
        <f>IF(D653="V01",cad!$I$31,IF(D653="V02",cad!$J$31,cad!$K$31))</f>
        <v/>
      </c>
      <c r="N653">
        <f>IF(D653="V01",$R$2,IF(D653="V02",$R$3,$R$4))</f>
        <v/>
      </c>
      <c r="O653">
        <f>IF(OR(B653="7062",B653="706",B653="708"),N653,IF(B653="6231",1+G653,IF(B653="6236",1+H653,IF(OR(B653="621",B653="604",B653="6063"),N653*(1-L653),IF(OR(B653="6411",B653="6413",B653="6414",B653="645"),(1+J653)*(1+K653),IF(OR(B653="613",B653="615",B653="616",B653="6226",B653="625",B653="626",B653="6281"),(1+I653)*(1-L653)*(1+M653),IF(OR(B653="6331",B653="63511",B653="6333"),(1+I653)*(1-L653),IF(B653="6811",1+I653,1))))))))</f>
        <v/>
      </c>
      <c r="P653">
        <f>IF(E653=1,F653*O653,"")</f>
        <v/>
      </c>
    </row>
    <row r="654">
      <c r="A654">
        <f>PNL!A654</f>
        <v/>
      </c>
      <c r="B654">
        <f>PNL!B654</f>
        <v/>
      </c>
      <c r="C654">
        <f>PNL!C654</f>
        <v/>
      </c>
      <c r="D654">
        <f>PNL!D654</f>
        <v/>
      </c>
      <c r="E654">
        <f>IF(AND(C654="2027",OR(D654="V01",D654="V02",D654="V03")),1,0)</f>
        <v/>
      </c>
      <c r="F654">
        <f>IF(E654=1,SUMIFS(Compta!$F$2:$F$675,Compta!$A$2:$A$675,A654,Compta!$B$2:$B$675,B654,Compta!$C$2:$C$675,"2026"),0)</f>
        <v/>
      </c>
      <c r="G654">
        <f>IF(D654="V01",cad!$I$21,IF(D654="V02",cad!$J$21,cad!$K$21))</f>
        <v/>
      </c>
      <c r="H654">
        <f>IF(D654="V01",cad!$I$22,IF(D654="V02",cad!$J$22,cad!$K$22))</f>
        <v/>
      </c>
      <c r="I654">
        <f>IF(D654="V01",cad!$I$27,IF(D654="V02",cad!$J$27,cad!$K$27))</f>
        <v/>
      </c>
      <c r="J654">
        <f>IF(D654="V01",cad!$I$28,IF(D654="V02",cad!$J$28,cad!$K$28))</f>
        <v/>
      </c>
      <c r="K654">
        <f>IF(D654="V01",cad!$I$29,IF(D654="V02",cad!$J$29,cad!$K$29))</f>
        <v/>
      </c>
      <c r="L654">
        <f>IF(D654="V01",cad!$I$30,IF(D654="V02",cad!$J$30,cad!$K$30))</f>
        <v/>
      </c>
      <c r="M654">
        <f>IF(D654="V01",cad!$I$31,IF(D654="V02",cad!$J$31,cad!$K$31))</f>
        <v/>
      </c>
      <c r="N654">
        <f>IF(D654="V01",$R$2,IF(D654="V02",$R$3,$R$4))</f>
        <v/>
      </c>
      <c r="O654">
        <f>IF(OR(B654="7062",B654="706",B654="708"),N654,IF(B654="6231",1+G654,IF(B654="6236",1+H654,IF(OR(B654="621",B654="604",B654="6063"),N654*(1-L654),IF(OR(B654="6411",B654="6413",B654="6414",B654="645"),(1+J654)*(1+K654),IF(OR(B654="613",B654="615",B654="616",B654="6226",B654="625",B654="626",B654="6281"),(1+I654)*(1-L654)*(1+M654),IF(OR(B654="6331",B654="63511",B654="6333"),(1+I654)*(1-L654),IF(B654="6811",1+I654,1))))))))</f>
        <v/>
      </c>
      <c r="P654">
        <f>IF(E654=1,F654*O654,"")</f>
        <v/>
      </c>
    </row>
    <row r="655">
      <c r="A655">
        <f>PNL!A655</f>
        <v/>
      </c>
      <c r="B655">
        <f>PNL!B655</f>
        <v/>
      </c>
      <c r="C655">
        <f>PNL!C655</f>
        <v/>
      </c>
      <c r="D655">
        <f>PNL!D655</f>
        <v/>
      </c>
      <c r="E655">
        <f>IF(AND(C655="2027",OR(D655="V01",D655="V02",D655="V03")),1,0)</f>
        <v/>
      </c>
      <c r="F655">
        <f>IF(E655=1,SUMIFS(Compta!$F$2:$F$675,Compta!$A$2:$A$675,A655,Compta!$B$2:$B$675,B655,Compta!$C$2:$C$675,"2026"),0)</f>
        <v/>
      </c>
      <c r="G655">
        <f>IF(D655="V01",cad!$I$21,IF(D655="V02",cad!$J$21,cad!$K$21))</f>
        <v/>
      </c>
      <c r="H655">
        <f>IF(D655="V01",cad!$I$22,IF(D655="V02",cad!$J$22,cad!$K$22))</f>
        <v/>
      </c>
      <c r="I655">
        <f>IF(D655="V01",cad!$I$27,IF(D655="V02",cad!$J$27,cad!$K$27))</f>
        <v/>
      </c>
      <c r="J655">
        <f>IF(D655="V01",cad!$I$28,IF(D655="V02",cad!$J$28,cad!$K$28))</f>
        <v/>
      </c>
      <c r="K655">
        <f>IF(D655="V01",cad!$I$29,IF(D655="V02",cad!$J$29,cad!$K$29))</f>
        <v/>
      </c>
      <c r="L655">
        <f>IF(D655="V01",cad!$I$30,IF(D655="V02",cad!$J$30,cad!$K$30))</f>
        <v/>
      </c>
      <c r="M655">
        <f>IF(D655="V01",cad!$I$31,IF(D655="V02",cad!$J$31,cad!$K$31))</f>
        <v/>
      </c>
      <c r="N655">
        <f>IF(D655="V01",$R$2,IF(D655="V02",$R$3,$R$4))</f>
        <v/>
      </c>
      <c r="O655">
        <f>IF(OR(B655="7062",B655="706",B655="708"),N655,IF(B655="6231",1+G655,IF(B655="6236",1+H655,IF(OR(B655="621",B655="604",B655="6063"),N655*(1-L655),IF(OR(B655="6411",B655="6413",B655="6414",B655="645"),(1+J655)*(1+K655),IF(OR(B655="613",B655="615",B655="616",B655="6226",B655="625",B655="626",B655="6281"),(1+I655)*(1-L655)*(1+M655),IF(OR(B655="6331",B655="63511",B655="6333"),(1+I655)*(1-L655),IF(B655="6811",1+I655,1))))))))</f>
        <v/>
      </c>
      <c r="P655">
        <f>IF(E655=1,F655*O655,"")</f>
        <v/>
      </c>
    </row>
    <row r="656">
      <c r="A656">
        <f>PNL!A656</f>
        <v/>
      </c>
      <c r="B656">
        <f>PNL!B656</f>
        <v/>
      </c>
      <c r="C656">
        <f>PNL!C656</f>
        <v/>
      </c>
      <c r="D656">
        <f>PNL!D656</f>
        <v/>
      </c>
      <c r="E656">
        <f>IF(AND(C656="2027",OR(D656="V01",D656="V02",D656="V03")),1,0)</f>
        <v/>
      </c>
      <c r="F656">
        <f>IF(E656=1,SUMIFS(Compta!$F$2:$F$675,Compta!$A$2:$A$675,A656,Compta!$B$2:$B$675,B656,Compta!$C$2:$C$675,"2026"),0)</f>
        <v/>
      </c>
      <c r="G656">
        <f>IF(D656="V01",cad!$I$21,IF(D656="V02",cad!$J$21,cad!$K$21))</f>
        <v/>
      </c>
      <c r="H656">
        <f>IF(D656="V01",cad!$I$22,IF(D656="V02",cad!$J$22,cad!$K$22))</f>
        <v/>
      </c>
      <c r="I656">
        <f>IF(D656="V01",cad!$I$27,IF(D656="V02",cad!$J$27,cad!$K$27))</f>
        <v/>
      </c>
      <c r="J656">
        <f>IF(D656="V01",cad!$I$28,IF(D656="V02",cad!$J$28,cad!$K$28))</f>
        <v/>
      </c>
      <c r="K656">
        <f>IF(D656="V01",cad!$I$29,IF(D656="V02",cad!$J$29,cad!$K$29))</f>
        <v/>
      </c>
      <c r="L656">
        <f>IF(D656="V01",cad!$I$30,IF(D656="V02",cad!$J$30,cad!$K$30))</f>
        <v/>
      </c>
      <c r="M656">
        <f>IF(D656="V01",cad!$I$31,IF(D656="V02",cad!$J$31,cad!$K$31))</f>
        <v/>
      </c>
      <c r="N656">
        <f>IF(D656="V01",$R$2,IF(D656="V02",$R$3,$R$4))</f>
        <v/>
      </c>
      <c r="O656">
        <f>IF(OR(B656="7062",B656="706",B656="708"),N656,IF(B656="6231",1+G656,IF(B656="6236",1+H656,IF(OR(B656="621",B656="604",B656="6063"),N656*(1-L656),IF(OR(B656="6411",B656="6413",B656="6414",B656="645"),(1+J656)*(1+K656),IF(OR(B656="613",B656="615",B656="616",B656="6226",B656="625",B656="626",B656="6281"),(1+I656)*(1-L656)*(1+M656),IF(OR(B656="6331",B656="63511",B656="6333"),(1+I656)*(1-L656),IF(B656="6811",1+I656,1))))))))</f>
        <v/>
      </c>
      <c r="P656">
        <f>IF(E656=1,F656*O656,"")</f>
        <v/>
      </c>
    </row>
    <row r="657">
      <c r="A657">
        <f>PNL!A657</f>
        <v/>
      </c>
      <c r="B657">
        <f>PNL!B657</f>
        <v/>
      </c>
      <c r="C657">
        <f>PNL!C657</f>
        <v/>
      </c>
      <c r="D657">
        <f>PNL!D657</f>
        <v/>
      </c>
      <c r="E657">
        <f>IF(AND(C657="2027",OR(D657="V01",D657="V02",D657="V03")),1,0)</f>
        <v/>
      </c>
      <c r="F657">
        <f>IF(E657=1,SUMIFS(Compta!$F$2:$F$675,Compta!$A$2:$A$675,A657,Compta!$B$2:$B$675,B657,Compta!$C$2:$C$675,"2026"),0)</f>
        <v/>
      </c>
      <c r="G657">
        <f>IF(D657="V01",cad!$I$21,IF(D657="V02",cad!$J$21,cad!$K$21))</f>
        <v/>
      </c>
      <c r="H657">
        <f>IF(D657="V01",cad!$I$22,IF(D657="V02",cad!$J$22,cad!$K$22))</f>
        <v/>
      </c>
      <c r="I657">
        <f>IF(D657="V01",cad!$I$27,IF(D657="V02",cad!$J$27,cad!$K$27))</f>
        <v/>
      </c>
      <c r="J657">
        <f>IF(D657="V01",cad!$I$28,IF(D657="V02",cad!$J$28,cad!$K$28))</f>
        <v/>
      </c>
      <c r="K657">
        <f>IF(D657="V01",cad!$I$29,IF(D657="V02",cad!$J$29,cad!$K$29))</f>
        <v/>
      </c>
      <c r="L657">
        <f>IF(D657="V01",cad!$I$30,IF(D657="V02",cad!$J$30,cad!$K$30))</f>
        <v/>
      </c>
      <c r="M657">
        <f>IF(D657="V01",cad!$I$31,IF(D657="V02",cad!$J$31,cad!$K$31))</f>
        <v/>
      </c>
      <c r="N657">
        <f>IF(D657="V01",$R$2,IF(D657="V02",$R$3,$R$4))</f>
        <v/>
      </c>
      <c r="O657">
        <f>IF(OR(B657="7062",B657="706",B657="708"),N657,IF(B657="6231",1+G657,IF(B657="6236",1+H657,IF(OR(B657="621",B657="604",B657="6063"),N657*(1-L657),IF(OR(B657="6411",B657="6413",B657="6414",B657="645"),(1+J657)*(1+K657),IF(OR(B657="613",B657="615",B657="616",B657="6226",B657="625",B657="626",B657="6281"),(1+I657)*(1-L657)*(1+M657),IF(OR(B657="6331",B657="63511",B657="6333"),(1+I657)*(1-L657),IF(B657="6811",1+I657,1))))))))</f>
        <v/>
      </c>
      <c r="P657">
        <f>IF(E657=1,F657*O657,"")</f>
        <v/>
      </c>
    </row>
    <row r="658">
      <c r="A658">
        <f>PNL!A658</f>
        <v/>
      </c>
      <c r="B658">
        <f>PNL!B658</f>
        <v/>
      </c>
      <c r="C658">
        <f>PNL!C658</f>
        <v/>
      </c>
      <c r="D658">
        <f>PNL!D658</f>
        <v/>
      </c>
      <c r="E658">
        <f>IF(AND(C658="2027",OR(D658="V01",D658="V02",D658="V03")),1,0)</f>
        <v/>
      </c>
      <c r="F658">
        <f>IF(E658=1,SUMIFS(Compta!$F$2:$F$675,Compta!$A$2:$A$675,A658,Compta!$B$2:$B$675,B658,Compta!$C$2:$C$675,"2026"),0)</f>
        <v/>
      </c>
      <c r="G658">
        <f>IF(D658="V01",cad!$I$21,IF(D658="V02",cad!$J$21,cad!$K$21))</f>
        <v/>
      </c>
      <c r="H658">
        <f>IF(D658="V01",cad!$I$22,IF(D658="V02",cad!$J$22,cad!$K$22))</f>
        <v/>
      </c>
      <c r="I658">
        <f>IF(D658="V01",cad!$I$27,IF(D658="V02",cad!$J$27,cad!$K$27))</f>
        <v/>
      </c>
      <c r="J658">
        <f>IF(D658="V01",cad!$I$28,IF(D658="V02",cad!$J$28,cad!$K$28))</f>
        <v/>
      </c>
      <c r="K658">
        <f>IF(D658="V01",cad!$I$29,IF(D658="V02",cad!$J$29,cad!$K$29))</f>
        <v/>
      </c>
      <c r="L658">
        <f>IF(D658="V01",cad!$I$30,IF(D658="V02",cad!$J$30,cad!$K$30))</f>
        <v/>
      </c>
      <c r="M658">
        <f>IF(D658="V01",cad!$I$31,IF(D658="V02",cad!$J$31,cad!$K$31))</f>
        <v/>
      </c>
      <c r="N658">
        <f>IF(D658="V01",$R$2,IF(D658="V02",$R$3,$R$4))</f>
        <v/>
      </c>
      <c r="O658">
        <f>IF(OR(B658="7062",B658="706",B658="708"),N658,IF(B658="6231",1+G658,IF(B658="6236",1+H658,IF(OR(B658="621",B658="604",B658="6063"),N658*(1-L658),IF(OR(B658="6411",B658="6413",B658="6414",B658="645"),(1+J658)*(1+K658),IF(OR(B658="613",B658="615",B658="616",B658="6226",B658="625",B658="626",B658="6281"),(1+I658)*(1-L658)*(1+M658),IF(OR(B658="6331",B658="63511",B658="6333"),(1+I658)*(1-L658),IF(B658="6811",1+I658,1))))))))</f>
        <v/>
      </c>
      <c r="P658">
        <f>IF(E658=1,F658*O658,"")</f>
        <v/>
      </c>
    </row>
    <row r="659">
      <c r="A659">
        <f>PNL!A659</f>
        <v/>
      </c>
      <c r="B659">
        <f>PNL!B659</f>
        <v/>
      </c>
      <c r="C659">
        <f>PNL!C659</f>
        <v/>
      </c>
      <c r="D659">
        <f>PNL!D659</f>
        <v/>
      </c>
      <c r="E659">
        <f>IF(AND(C659="2027",OR(D659="V01",D659="V02",D659="V03")),1,0)</f>
        <v/>
      </c>
      <c r="F659">
        <f>IF(E659=1,SUMIFS(Compta!$F$2:$F$675,Compta!$A$2:$A$675,A659,Compta!$B$2:$B$675,B659,Compta!$C$2:$C$675,"2026"),0)</f>
        <v/>
      </c>
      <c r="G659">
        <f>IF(D659="V01",cad!$I$21,IF(D659="V02",cad!$J$21,cad!$K$21))</f>
        <v/>
      </c>
      <c r="H659">
        <f>IF(D659="V01",cad!$I$22,IF(D659="V02",cad!$J$22,cad!$K$22))</f>
        <v/>
      </c>
      <c r="I659">
        <f>IF(D659="V01",cad!$I$27,IF(D659="V02",cad!$J$27,cad!$K$27))</f>
        <v/>
      </c>
      <c r="J659">
        <f>IF(D659="V01",cad!$I$28,IF(D659="V02",cad!$J$28,cad!$K$28))</f>
        <v/>
      </c>
      <c r="K659">
        <f>IF(D659="V01",cad!$I$29,IF(D659="V02",cad!$J$29,cad!$K$29))</f>
        <v/>
      </c>
      <c r="L659">
        <f>IF(D659="V01",cad!$I$30,IF(D659="V02",cad!$J$30,cad!$K$30))</f>
        <v/>
      </c>
      <c r="M659">
        <f>IF(D659="V01",cad!$I$31,IF(D659="V02",cad!$J$31,cad!$K$31))</f>
        <v/>
      </c>
      <c r="N659">
        <f>IF(D659="V01",$R$2,IF(D659="V02",$R$3,$R$4))</f>
        <v/>
      </c>
      <c r="O659">
        <f>IF(OR(B659="7062",B659="706",B659="708"),N659,IF(B659="6231",1+G659,IF(B659="6236",1+H659,IF(OR(B659="621",B659="604",B659="6063"),N659*(1-L659),IF(OR(B659="6411",B659="6413",B659="6414",B659="645"),(1+J659)*(1+K659),IF(OR(B659="613",B659="615",B659="616",B659="6226",B659="625",B659="626",B659="6281"),(1+I659)*(1-L659)*(1+M659),IF(OR(B659="6331",B659="63511",B659="6333"),(1+I659)*(1-L659),IF(B659="6811",1+I659,1))))))))</f>
        <v/>
      </c>
      <c r="P659">
        <f>IF(E659=1,F659*O659,"")</f>
        <v/>
      </c>
    </row>
    <row r="660">
      <c r="A660">
        <f>PNL!A660</f>
        <v/>
      </c>
      <c r="B660">
        <f>PNL!B660</f>
        <v/>
      </c>
      <c r="C660">
        <f>PNL!C660</f>
        <v/>
      </c>
      <c r="D660">
        <f>PNL!D660</f>
        <v/>
      </c>
      <c r="E660">
        <f>IF(AND(C660="2027",OR(D660="V01",D660="V02",D660="V03")),1,0)</f>
        <v/>
      </c>
      <c r="F660">
        <f>IF(E660=1,SUMIFS(Compta!$F$2:$F$675,Compta!$A$2:$A$675,A660,Compta!$B$2:$B$675,B660,Compta!$C$2:$C$675,"2026"),0)</f>
        <v/>
      </c>
      <c r="G660">
        <f>IF(D660="V01",cad!$I$21,IF(D660="V02",cad!$J$21,cad!$K$21))</f>
        <v/>
      </c>
      <c r="H660">
        <f>IF(D660="V01",cad!$I$22,IF(D660="V02",cad!$J$22,cad!$K$22))</f>
        <v/>
      </c>
      <c r="I660">
        <f>IF(D660="V01",cad!$I$27,IF(D660="V02",cad!$J$27,cad!$K$27))</f>
        <v/>
      </c>
      <c r="J660">
        <f>IF(D660="V01",cad!$I$28,IF(D660="V02",cad!$J$28,cad!$K$28))</f>
        <v/>
      </c>
      <c r="K660">
        <f>IF(D660="V01",cad!$I$29,IF(D660="V02",cad!$J$29,cad!$K$29))</f>
        <v/>
      </c>
      <c r="L660">
        <f>IF(D660="V01",cad!$I$30,IF(D660="V02",cad!$J$30,cad!$K$30))</f>
        <v/>
      </c>
      <c r="M660">
        <f>IF(D660="V01",cad!$I$31,IF(D660="V02",cad!$J$31,cad!$K$31))</f>
        <v/>
      </c>
      <c r="N660">
        <f>IF(D660="V01",$R$2,IF(D660="V02",$R$3,$R$4))</f>
        <v/>
      </c>
      <c r="O660">
        <f>IF(OR(B660="7062",B660="706",B660="708"),N660,IF(B660="6231",1+G660,IF(B660="6236",1+H660,IF(OR(B660="621",B660="604",B660="6063"),N660*(1-L660),IF(OR(B660="6411",B660="6413",B660="6414",B660="645"),(1+J660)*(1+K660),IF(OR(B660="613",B660="615",B660="616",B660="6226",B660="625",B660="626",B660="6281"),(1+I660)*(1-L660)*(1+M660),IF(OR(B660="6331",B660="63511",B660="6333"),(1+I660)*(1-L660),IF(B660="6811",1+I660,1))))))))</f>
        <v/>
      </c>
      <c r="P660">
        <f>IF(E660=1,F660*O660,"")</f>
        <v/>
      </c>
    </row>
    <row r="661">
      <c r="A661">
        <f>PNL!A661</f>
        <v/>
      </c>
      <c r="B661">
        <f>PNL!B661</f>
        <v/>
      </c>
      <c r="C661">
        <f>PNL!C661</f>
        <v/>
      </c>
      <c r="D661">
        <f>PNL!D661</f>
        <v/>
      </c>
      <c r="E661">
        <f>IF(AND(C661="2027",OR(D661="V01",D661="V02",D661="V03")),1,0)</f>
        <v/>
      </c>
      <c r="F661">
        <f>IF(E661=1,SUMIFS(Compta!$F$2:$F$675,Compta!$A$2:$A$675,A661,Compta!$B$2:$B$675,B661,Compta!$C$2:$C$675,"2026"),0)</f>
        <v/>
      </c>
      <c r="G661">
        <f>IF(D661="V01",cad!$I$21,IF(D661="V02",cad!$J$21,cad!$K$21))</f>
        <v/>
      </c>
      <c r="H661">
        <f>IF(D661="V01",cad!$I$22,IF(D661="V02",cad!$J$22,cad!$K$22))</f>
        <v/>
      </c>
      <c r="I661">
        <f>IF(D661="V01",cad!$I$27,IF(D661="V02",cad!$J$27,cad!$K$27))</f>
        <v/>
      </c>
      <c r="J661">
        <f>IF(D661="V01",cad!$I$28,IF(D661="V02",cad!$J$28,cad!$K$28))</f>
        <v/>
      </c>
      <c r="K661">
        <f>IF(D661="V01",cad!$I$29,IF(D661="V02",cad!$J$29,cad!$K$29))</f>
        <v/>
      </c>
      <c r="L661">
        <f>IF(D661="V01",cad!$I$30,IF(D661="V02",cad!$J$30,cad!$K$30))</f>
        <v/>
      </c>
      <c r="M661">
        <f>IF(D661="V01",cad!$I$31,IF(D661="V02",cad!$J$31,cad!$K$31))</f>
        <v/>
      </c>
      <c r="N661">
        <f>IF(D661="V01",$R$2,IF(D661="V02",$R$3,$R$4))</f>
        <v/>
      </c>
      <c r="O661">
        <f>IF(OR(B661="7062",B661="706",B661="708"),N661,IF(B661="6231",1+G661,IF(B661="6236",1+H661,IF(OR(B661="621",B661="604",B661="6063"),N661*(1-L661),IF(OR(B661="6411",B661="6413",B661="6414",B661="645"),(1+J661)*(1+K661),IF(OR(B661="613",B661="615",B661="616",B661="6226",B661="625",B661="626",B661="6281"),(1+I661)*(1-L661)*(1+M661),IF(OR(B661="6331",B661="63511",B661="6333"),(1+I661)*(1-L661),IF(B661="6811",1+I661,1))))))))</f>
        <v/>
      </c>
      <c r="P661">
        <f>IF(E661=1,F661*O661,"")</f>
        <v/>
      </c>
    </row>
    <row r="662">
      <c r="A662">
        <f>PNL!A662</f>
        <v/>
      </c>
      <c r="B662">
        <f>PNL!B662</f>
        <v/>
      </c>
      <c r="C662">
        <f>PNL!C662</f>
        <v/>
      </c>
      <c r="D662">
        <f>PNL!D662</f>
        <v/>
      </c>
      <c r="E662">
        <f>IF(AND(C662="2027",OR(D662="V01",D662="V02",D662="V03")),1,0)</f>
        <v/>
      </c>
      <c r="F662">
        <f>IF(E662=1,SUMIFS(Compta!$F$2:$F$675,Compta!$A$2:$A$675,A662,Compta!$B$2:$B$675,B662,Compta!$C$2:$C$675,"2026"),0)</f>
        <v/>
      </c>
      <c r="G662">
        <f>IF(D662="V01",cad!$I$21,IF(D662="V02",cad!$J$21,cad!$K$21))</f>
        <v/>
      </c>
      <c r="H662">
        <f>IF(D662="V01",cad!$I$22,IF(D662="V02",cad!$J$22,cad!$K$22))</f>
        <v/>
      </c>
      <c r="I662">
        <f>IF(D662="V01",cad!$I$27,IF(D662="V02",cad!$J$27,cad!$K$27))</f>
        <v/>
      </c>
      <c r="J662">
        <f>IF(D662="V01",cad!$I$28,IF(D662="V02",cad!$J$28,cad!$K$28))</f>
        <v/>
      </c>
      <c r="K662">
        <f>IF(D662="V01",cad!$I$29,IF(D662="V02",cad!$J$29,cad!$K$29))</f>
        <v/>
      </c>
      <c r="L662">
        <f>IF(D662="V01",cad!$I$30,IF(D662="V02",cad!$J$30,cad!$K$30))</f>
        <v/>
      </c>
      <c r="M662">
        <f>IF(D662="V01",cad!$I$31,IF(D662="V02",cad!$J$31,cad!$K$31))</f>
        <v/>
      </c>
      <c r="N662">
        <f>IF(D662="V01",$R$2,IF(D662="V02",$R$3,$R$4))</f>
        <v/>
      </c>
      <c r="O662">
        <f>IF(OR(B662="7062",B662="706",B662="708"),N662,IF(B662="6231",1+G662,IF(B662="6236",1+H662,IF(OR(B662="621",B662="604",B662="6063"),N662*(1-L662),IF(OR(B662="6411",B662="6413",B662="6414",B662="645"),(1+J662)*(1+K662),IF(OR(B662="613",B662="615",B662="616",B662="6226",B662="625",B662="626",B662="6281"),(1+I662)*(1-L662)*(1+M662),IF(OR(B662="6331",B662="63511",B662="6333"),(1+I662)*(1-L662),IF(B662="6811",1+I662,1))))))))</f>
        <v/>
      </c>
      <c r="P662">
        <f>IF(E662=1,F662*O662,"")</f>
        <v/>
      </c>
    </row>
    <row r="663">
      <c r="A663">
        <f>PNL!A663</f>
        <v/>
      </c>
      <c r="B663">
        <f>PNL!B663</f>
        <v/>
      </c>
      <c r="C663">
        <f>PNL!C663</f>
        <v/>
      </c>
      <c r="D663">
        <f>PNL!D663</f>
        <v/>
      </c>
      <c r="E663">
        <f>IF(AND(C663="2027",OR(D663="V01",D663="V02",D663="V03")),1,0)</f>
        <v/>
      </c>
      <c r="F663">
        <f>IF(E663=1,SUMIFS(Compta!$F$2:$F$675,Compta!$A$2:$A$675,A663,Compta!$B$2:$B$675,B663,Compta!$C$2:$C$675,"2026"),0)</f>
        <v/>
      </c>
      <c r="G663">
        <f>IF(D663="V01",cad!$I$21,IF(D663="V02",cad!$J$21,cad!$K$21))</f>
        <v/>
      </c>
      <c r="H663">
        <f>IF(D663="V01",cad!$I$22,IF(D663="V02",cad!$J$22,cad!$K$22))</f>
        <v/>
      </c>
      <c r="I663">
        <f>IF(D663="V01",cad!$I$27,IF(D663="V02",cad!$J$27,cad!$K$27))</f>
        <v/>
      </c>
      <c r="J663">
        <f>IF(D663="V01",cad!$I$28,IF(D663="V02",cad!$J$28,cad!$K$28))</f>
        <v/>
      </c>
      <c r="K663">
        <f>IF(D663="V01",cad!$I$29,IF(D663="V02",cad!$J$29,cad!$K$29))</f>
        <v/>
      </c>
      <c r="L663">
        <f>IF(D663="V01",cad!$I$30,IF(D663="V02",cad!$J$30,cad!$K$30))</f>
        <v/>
      </c>
      <c r="M663">
        <f>IF(D663="V01",cad!$I$31,IF(D663="V02",cad!$J$31,cad!$K$31))</f>
        <v/>
      </c>
      <c r="N663">
        <f>IF(D663="V01",$R$2,IF(D663="V02",$R$3,$R$4))</f>
        <v/>
      </c>
      <c r="O663">
        <f>IF(OR(B663="7062",B663="706",B663="708"),N663,IF(B663="6231",1+G663,IF(B663="6236",1+H663,IF(OR(B663="621",B663="604",B663="6063"),N663*(1-L663),IF(OR(B663="6411",B663="6413",B663="6414",B663="645"),(1+J663)*(1+K663),IF(OR(B663="613",B663="615",B663="616",B663="6226",B663="625",B663="626",B663="6281"),(1+I663)*(1-L663)*(1+M663),IF(OR(B663="6331",B663="63511",B663="6333"),(1+I663)*(1-L663),IF(B663="6811",1+I663,1))))))))</f>
        <v/>
      </c>
      <c r="P663">
        <f>IF(E663=1,F663*O663,"")</f>
        <v/>
      </c>
    </row>
    <row r="664">
      <c r="A664">
        <f>PNL!A664</f>
        <v/>
      </c>
      <c r="B664">
        <f>PNL!B664</f>
        <v/>
      </c>
      <c r="C664">
        <f>PNL!C664</f>
        <v/>
      </c>
      <c r="D664">
        <f>PNL!D664</f>
        <v/>
      </c>
      <c r="E664">
        <f>IF(AND(C664="2027",OR(D664="V01",D664="V02",D664="V03")),1,0)</f>
        <v/>
      </c>
      <c r="F664">
        <f>IF(E664=1,SUMIFS(Compta!$F$2:$F$675,Compta!$A$2:$A$675,A664,Compta!$B$2:$B$675,B664,Compta!$C$2:$C$675,"2026"),0)</f>
        <v/>
      </c>
      <c r="G664">
        <f>IF(D664="V01",cad!$I$21,IF(D664="V02",cad!$J$21,cad!$K$21))</f>
        <v/>
      </c>
      <c r="H664">
        <f>IF(D664="V01",cad!$I$22,IF(D664="V02",cad!$J$22,cad!$K$22))</f>
        <v/>
      </c>
      <c r="I664">
        <f>IF(D664="V01",cad!$I$27,IF(D664="V02",cad!$J$27,cad!$K$27))</f>
        <v/>
      </c>
      <c r="J664">
        <f>IF(D664="V01",cad!$I$28,IF(D664="V02",cad!$J$28,cad!$K$28))</f>
        <v/>
      </c>
      <c r="K664">
        <f>IF(D664="V01",cad!$I$29,IF(D664="V02",cad!$J$29,cad!$K$29))</f>
        <v/>
      </c>
      <c r="L664">
        <f>IF(D664="V01",cad!$I$30,IF(D664="V02",cad!$J$30,cad!$K$30))</f>
        <v/>
      </c>
      <c r="M664">
        <f>IF(D664="V01",cad!$I$31,IF(D664="V02",cad!$J$31,cad!$K$31))</f>
        <v/>
      </c>
      <c r="N664">
        <f>IF(D664="V01",$R$2,IF(D664="V02",$R$3,$R$4))</f>
        <v/>
      </c>
      <c r="O664">
        <f>IF(OR(B664="7062",B664="706",B664="708"),N664,IF(B664="6231",1+G664,IF(B664="6236",1+H664,IF(OR(B664="621",B664="604",B664="6063"),N664*(1-L664),IF(OR(B664="6411",B664="6413",B664="6414",B664="645"),(1+J664)*(1+K664),IF(OR(B664="613",B664="615",B664="616",B664="6226",B664="625",B664="626",B664="6281"),(1+I664)*(1-L664)*(1+M664),IF(OR(B664="6331",B664="63511",B664="6333"),(1+I664)*(1-L664),IF(B664="6811",1+I664,1))))))))</f>
        <v/>
      </c>
      <c r="P664">
        <f>IF(E664=1,F664*O664,"")</f>
        <v/>
      </c>
    </row>
    <row r="665">
      <c r="A665">
        <f>PNL!A665</f>
        <v/>
      </c>
      <c r="B665">
        <f>PNL!B665</f>
        <v/>
      </c>
      <c r="C665">
        <f>PNL!C665</f>
        <v/>
      </c>
      <c r="D665">
        <f>PNL!D665</f>
        <v/>
      </c>
      <c r="E665">
        <f>IF(AND(C665="2027",OR(D665="V01",D665="V02",D665="V03")),1,0)</f>
        <v/>
      </c>
      <c r="F665">
        <f>IF(E665=1,SUMIFS(Compta!$F$2:$F$675,Compta!$A$2:$A$675,A665,Compta!$B$2:$B$675,B665,Compta!$C$2:$C$675,"2026"),0)</f>
        <v/>
      </c>
      <c r="G665">
        <f>IF(D665="V01",cad!$I$21,IF(D665="V02",cad!$J$21,cad!$K$21))</f>
        <v/>
      </c>
      <c r="H665">
        <f>IF(D665="V01",cad!$I$22,IF(D665="V02",cad!$J$22,cad!$K$22))</f>
        <v/>
      </c>
      <c r="I665">
        <f>IF(D665="V01",cad!$I$27,IF(D665="V02",cad!$J$27,cad!$K$27))</f>
        <v/>
      </c>
      <c r="J665">
        <f>IF(D665="V01",cad!$I$28,IF(D665="V02",cad!$J$28,cad!$K$28))</f>
        <v/>
      </c>
      <c r="K665">
        <f>IF(D665="V01",cad!$I$29,IF(D665="V02",cad!$J$29,cad!$K$29))</f>
        <v/>
      </c>
      <c r="L665">
        <f>IF(D665="V01",cad!$I$30,IF(D665="V02",cad!$J$30,cad!$K$30))</f>
        <v/>
      </c>
      <c r="M665">
        <f>IF(D665="V01",cad!$I$31,IF(D665="V02",cad!$J$31,cad!$K$31))</f>
        <v/>
      </c>
      <c r="N665">
        <f>IF(D665="V01",$R$2,IF(D665="V02",$R$3,$R$4))</f>
        <v/>
      </c>
      <c r="O665">
        <f>IF(OR(B665="7062",B665="706",B665="708"),N665,IF(B665="6231",1+G665,IF(B665="6236",1+H665,IF(OR(B665="621",B665="604",B665="6063"),N665*(1-L665),IF(OR(B665="6411",B665="6413",B665="6414",B665="645"),(1+J665)*(1+K665),IF(OR(B665="613",B665="615",B665="616",B665="6226",B665="625",B665="626",B665="6281"),(1+I665)*(1-L665)*(1+M665),IF(OR(B665="6331",B665="63511",B665="6333"),(1+I665)*(1-L665),IF(B665="6811",1+I665,1))))))))</f>
        <v/>
      </c>
      <c r="P665">
        <f>IF(E665=1,F665*O665,"")</f>
        <v/>
      </c>
    </row>
    <row r="666">
      <c r="A666">
        <f>PNL!A666</f>
        <v/>
      </c>
      <c r="B666">
        <f>PNL!B666</f>
        <v/>
      </c>
      <c r="C666">
        <f>PNL!C666</f>
        <v/>
      </c>
      <c r="D666">
        <f>PNL!D666</f>
        <v/>
      </c>
      <c r="E666">
        <f>IF(AND(C666="2027",OR(D666="V01",D666="V02",D666="V03")),1,0)</f>
        <v/>
      </c>
      <c r="F666">
        <f>IF(E666=1,SUMIFS(Compta!$F$2:$F$675,Compta!$A$2:$A$675,A666,Compta!$B$2:$B$675,B666,Compta!$C$2:$C$675,"2026"),0)</f>
        <v/>
      </c>
      <c r="G666">
        <f>IF(D666="V01",cad!$I$21,IF(D666="V02",cad!$J$21,cad!$K$21))</f>
        <v/>
      </c>
      <c r="H666">
        <f>IF(D666="V01",cad!$I$22,IF(D666="V02",cad!$J$22,cad!$K$22))</f>
        <v/>
      </c>
      <c r="I666">
        <f>IF(D666="V01",cad!$I$27,IF(D666="V02",cad!$J$27,cad!$K$27))</f>
        <v/>
      </c>
      <c r="J666">
        <f>IF(D666="V01",cad!$I$28,IF(D666="V02",cad!$J$28,cad!$K$28))</f>
        <v/>
      </c>
      <c r="K666">
        <f>IF(D666="V01",cad!$I$29,IF(D666="V02",cad!$J$29,cad!$K$29))</f>
        <v/>
      </c>
      <c r="L666">
        <f>IF(D666="V01",cad!$I$30,IF(D666="V02",cad!$J$30,cad!$K$30))</f>
        <v/>
      </c>
      <c r="M666">
        <f>IF(D666="V01",cad!$I$31,IF(D666="V02",cad!$J$31,cad!$K$31))</f>
        <v/>
      </c>
      <c r="N666">
        <f>IF(D666="V01",$R$2,IF(D666="V02",$R$3,$R$4))</f>
        <v/>
      </c>
      <c r="O666">
        <f>IF(OR(B666="7062",B666="706",B666="708"),N666,IF(B666="6231",1+G666,IF(B666="6236",1+H666,IF(OR(B666="621",B666="604",B666="6063"),N666*(1-L666),IF(OR(B666="6411",B666="6413",B666="6414",B666="645"),(1+J666)*(1+K666),IF(OR(B666="613",B666="615",B666="616",B666="6226",B666="625",B666="626",B666="6281"),(1+I666)*(1-L666)*(1+M666),IF(OR(B666="6331",B666="63511",B666="6333"),(1+I666)*(1-L666),IF(B666="6811",1+I666,1))))))))</f>
        <v/>
      </c>
      <c r="P666">
        <f>IF(E666=1,F666*O666,"")</f>
        <v/>
      </c>
    </row>
    <row r="667">
      <c r="A667">
        <f>PNL!A667</f>
        <v/>
      </c>
      <c r="B667">
        <f>PNL!B667</f>
        <v/>
      </c>
      <c r="C667">
        <f>PNL!C667</f>
        <v/>
      </c>
      <c r="D667">
        <f>PNL!D667</f>
        <v/>
      </c>
      <c r="E667">
        <f>IF(AND(C667="2027",OR(D667="V01",D667="V02",D667="V03")),1,0)</f>
        <v/>
      </c>
      <c r="F667">
        <f>IF(E667=1,SUMIFS(Compta!$F$2:$F$675,Compta!$A$2:$A$675,A667,Compta!$B$2:$B$675,B667,Compta!$C$2:$C$675,"2026"),0)</f>
        <v/>
      </c>
      <c r="G667">
        <f>IF(D667="V01",cad!$I$21,IF(D667="V02",cad!$J$21,cad!$K$21))</f>
        <v/>
      </c>
      <c r="H667">
        <f>IF(D667="V01",cad!$I$22,IF(D667="V02",cad!$J$22,cad!$K$22))</f>
        <v/>
      </c>
      <c r="I667">
        <f>IF(D667="V01",cad!$I$27,IF(D667="V02",cad!$J$27,cad!$K$27))</f>
        <v/>
      </c>
      <c r="J667">
        <f>IF(D667="V01",cad!$I$28,IF(D667="V02",cad!$J$28,cad!$K$28))</f>
        <v/>
      </c>
      <c r="K667">
        <f>IF(D667="V01",cad!$I$29,IF(D667="V02",cad!$J$29,cad!$K$29))</f>
        <v/>
      </c>
      <c r="L667">
        <f>IF(D667="V01",cad!$I$30,IF(D667="V02",cad!$J$30,cad!$K$30))</f>
        <v/>
      </c>
      <c r="M667">
        <f>IF(D667="V01",cad!$I$31,IF(D667="V02",cad!$J$31,cad!$K$31))</f>
        <v/>
      </c>
      <c r="N667">
        <f>IF(D667="V01",$R$2,IF(D667="V02",$R$3,$R$4))</f>
        <v/>
      </c>
      <c r="O667">
        <f>IF(OR(B667="7062",B667="706",B667="708"),N667,IF(B667="6231",1+G667,IF(B667="6236",1+H667,IF(OR(B667="621",B667="604",B667="6063"),N667*(1-L667),IF(OR(B667="6411",B667="6413",B667="6414",B667="645"),(1+J667)*(1+K667),IF(OR(B667="613",B667="615",B667="616",B667="6226",B667="625",B667="626",B667="6281"),(1+I667)*(1-L667)*(1+M667),IF(OR(B667="6331",B667="63511",B667="6333"),(1+I667)*(1-L667),IF(B667="6811",1+I667,1))))))))</f>
        <v/>
      </c>
      <c r="P667">
        <f>IF(E667=1,F667*O667,"")</f>
        <v/>
      </c>
    </row>
    <row r="668">
      <c r="A668">
        <f>PNL!A668</f>
        <v/>
      </c>
      <c r="B668">
        <f>PNL!B668</f>
        <v/>
      </c>
      <c r="C668">
        <f>PNL!C668</f>
        <v/>
      </c>
      <c r="D668">
        <f>PNL!D668</f>
        <v/>
      </c>
      <c r="E668">
        <f>IF(AND(C668="2027",OR(D668="V01",D668="V02",D668="V03")),1,0)</f>
        <v/>
      </c>
      <c r="F668">
        <f>IF(E668=1,SUMIFS(Compta!$F$2:$F$675,Compta!$A$2:$A$675,A668,Compta!$B$2:$B$675,B668,Compta!$C$2:$C$675,"2026"),0)</f>
        <v/>
      </c>
      <c r="G668">
        <f>IF(D668="V01",cad!$I$21,IF(D668="V02",cad!$J$21,cad!$K$21))</f>
        <v/>
      </c>
      <c r="H668">
        <f>IF(D668="V01",cad!$I$22,IF(D668="V02",cad!$J$22,cad!$K$22))</f>
        <v/>
      </c>
      <c r="I668">
        <f>IF(D668="V01",cad!$I$27,IF(D668="V02",cad!$J$27,cad!$K$27))</f>
        <v/>
      </c>
      <c r="J668">
        <f>IF(D668="V01",cad!$I$28,IF(D668="V02",cad!$J$28,cad!$K$28))</f>
        <v/>
      </c>
      <c r="K668">
        <f>IF(D668="V01",cad!$I$29,IF(D668="V02",cad!$J$29,cad!$K$29))</f>
        <v/>
      </c>
      <c r="L668">
        <f>IF(D668="V01",cad!$I$30,IF(D668="V02",cad!$J$30,cad!$K$30))</f>
        <v/>
      </c>
      <c r="M668">
        <f>IF(D668="V01",cad!$I$31,IF(D668="V02",cad!$J$31,cad!$K$31))</f>
        <v/>
      </c>
      <c r="N668">
        <f>IF(D668="V01",$R$2,IF(D668="V02",$R$3,$R$4))</f>
        <v/>
      </c>
      <c r="O668">
        <f>IF(OR(B668="7062",B668="706",B668="708"),N668,IF(B668="6231",1+G668,IF(B668="6236",1+H668,IF(OR(B668="621",B668="604",B668="6063"),N668*(1-L668),IF(OR(B668="6411",B668="6413",B668="6414",B668="645"),(1+J668)*(1+K668),IF(OR(B668="613",B668="615",B668="616",B668="6226",B668="625",B668="626",B668="6281"),(1+I668)*(1-L668)*(1+M668),IF(OR(B668="6331",B668="63511",B668="6333"),(1+I668)*(1-L668),IF(B668="6811",1+I668,1))))))))</f>
        <v/>
      </c>
      <c r="P668">
        <f>IF(E668=1,F668*O668,"")</f>
        <v/>
      </c>
    </row>
    <row r="669">
      <c r="A669">
        <f>PNL!A669</f>
        <v/>
      </c>
      <c r="B669">
        <f>PNL!B669</f>
        <v/>
      </c>
      <c r="C669">
        <f>PNL!C669</f>
        <v/>
      </c>
      <c r="D669">
        <f>PNL!D669</f>
        <v/>
      </c>
      <c r="E669">
        <f>IF(AND(C669="2027",OR(D669="V01",D669="V02",D669="V03")),1,0)</f>
        <v/>
      </c>
      <c r="F669">
        <f>IF(E669=1,SUMIFS(Compta!$F$2:$F$675,Compta!$A$2:$A$675,A669,Compta!$B$2:$B$675,B669,Compta!$C$2:$C$675,"2026"),0)</f>
        <v/>
      </c>
      <c r="G669">
        <f>IF(D669="V01",cad!$I$21,IF(D669="V02",cad!$J$21,cad!$K$21))</f>
        <v/>
      </c>
      <c r="H669">
        <f>IF(D669="V01",cad!$I$22,IF(D669="V02",cad!$J$22,cad!$K$22))</f>
        <v/>
      </c>
      <c r="I669">
        <f>IF(D669="V01",cad!$I$27,IF(D669="V02",cad!$J$27,cad!$K$27))</f>
        <v/>
      </c>
      <c r="J669">
        <f>IF(D669="V01",cad!$I$28,IF(D669="V02",cad!$J$28,cad!$K$28))</f>
        <v/>
      </c>
      <c r="K669">
        <f>IF(D669="V01",cad!$I$29,IF(D669="V02",cad!$J$29,cad!$K$29))</f>
        <v/>
      </c>
      <c r="L669">
        <f>IF(D669="V01",cad!$I$30,IF(D669="V02",cad!$J$30,cad!$K$30))</f>
        <v/>
      </c>
      <c r="M669">
        <f>IF(D669="V01",cad!$I$31,IF(D669="V02",cad!$J$31,cad!$K$31))</f>
        <v/>
      </c>
      <c r="N669">
        <f>IF(D669="V01",$R$2,IF(D669="V02",$R$3,$R$4))</f>
        <v/>
      </c>
      <c r="O669">
        <f>IF(OR(B669="7062",B669="706",B669="708"),N669,IF(B669="6231",1+G669,IF(B669="6236",1+H669,IF(OR(B669="621",B669="604",B669="6063"),N669*(1-L669),IF(OR(B669="6411",B669="6413",B669="6414",B669="645"),(1+J669)*(1+K669),IF(OR(B669="613",B669="615",B669="616",B669="6226",B669="625",B669="626",B669="6281"),(1+I669)*(1-L669)*(1+M669),IF(OR(B669="6331",B669="63511",B669="6333"),(1+I669)*(1-L669),IF(B669="6811",1+I669,1))))))))</f>
        <v/>
      </c>
      <c r="P669">
        <f>IF(E669=1,F669*O669,"")</f>
        <v/>
      </c>
    </row>
    <row r="670">
      <c r="A670">
        <f>PNL!A670</f>
        <v/>
      </c>
      <c r="B670">
        <f>PNL!B670</f>
        <v/>
      </c>
      <c r="C670">
        <f>PNL!C670</f>
        <v/>
      </c>
      <c r="D670">
        <f>PNL!D670</f>
        <v/>
      </c>
      <c r="E670">
        <f>IF(AND(C670="2027",OR(D670="V01",D670="V02",D670="V03")),1,0)</f>
        <v/>
      </c>
      <c r="F670">
        <f>IF(E670=1,SUMIFS(Compta!$F$2:$F$675,Compta!$A$2:$A$675,A670,Compta!$B$2:$B$675,B670,Compta!$C$2:$C$675,"2026"),0)</f>
        <v/>
      </c>
      <c r="G670">
        <f>IF(D670="V01",cad!$I$21,IF(D670="V02",cad!$J$21,cad!$K$21))</f>
        <v/>
      </c>
      <c r="H670">
        <f>IF(D670="V01",cad!$I$22,IF(D670="V02",cad!$J$22,cad!$K$22))</f>
        <v/>
      </c>
      <c r="I670">
        <f>IF(D670="V01",cad!$I$27,IF(D670="V02",cad!$J$27,cad!$K$27))</f>
        <v/>
      </c>
      <c r="J670">
        <f>IF(D670="V01",cad!$I$28,IF(D670="V02",cad!$J$28,cad!$K$28))</f>
        <v/>
      </c>
      <c r="K670">
        <f>IF(D670="V01",cad!$I$29,IF(D670="V02",cad!$J$29,cad!$K$29))</f>
        <v/>
      </c>
      <c r="L670">
        <f>IF(D670="V01",cad!$I$30,IF(D670="V02",cad!$J$30,cad!$K$30))</f>
        <v/>
      </c>
      <c r="M670">
        <f>IF(D670="V01",cad!$I$31,IF(D670="V02",cad!$J$31,cad!$K$31))</f>
        <v/>
      </c>
      <c r="N670">
        <f>IF(D670="V01",$R$2,IF(D670="V02",$R$3,$R$4))</f>
        <v/>
      </c>
      <c r="O670">
        <f>IF(OR(B670="7062",B670="706",B670="708"),N670,IF(B670="6231",1+G670,IF(B670="6236",1+H670,IF(OR(B670="621",B670="604",B670="6063"),N670*(1-L670),IF(OR(B670="6411",B670="6413",B670="6414",B670="645"),(1+J670)*(1+K670),IF(OR(B670="613",B670="615",B670="616",B670="6226",B670="625",B670="626",B670="6281"),(1+I670)*(1-L670)*(1+M670),IF(OR(B670="6331",B670="63511",B670="6333"),(1+I670)*(1-L670),IF(B670="6811",1+I670,1))))))))</f>
        <v/>
      </c>
      <c r="P670">
        <f>IF(E670=1,F670*O670,"")</f>
        <v/>
      </c>
    </row>
    <row r="671">
      <c r="A671">
        <f>PNL!A671</f>
        <v/>
      </c>
      <c r="B671">
        <f>PNL!B671</f>
        <v/>
      </c>
      <c r="C671">
        <f>PNL!C671</f>
        <v/>
      </c>
      <c r="D671">
        <f>PNL!D671</f>
        <v/>
      </c>
      <c r="E671">
        <f>IF(AND(C671="2027",OR(D671="V01",D671="V02",D671="V03")),1,0)</f>
        <v/>
      </c>
      <c r="F671">
        <f>IF(E671=1,SUMIFS(Compta!$F$2:$F$675,Compta!$A$2:$A$675,A671,Compta!$B$2:$B$675,B671,Compta!$C$2:$C$675,"2026"),0)</f>
        <v/>
      </c>
      <c r="G671">
        <f>IF(D671="V01",cad!$I$21,IF(D671="V02",cad!$J$21,cad!$K$21))</f>
        <v/>
      </c>
      <c r="H671">
        <f>IF(D671="V01",cad!$I$22,IF(D671="V02",cad!$J$22,cad!$K$22))</f>
        <v/>
      </c>
      <c r="I671">
        <f>IF(D671="V01",cad!$I$27,IF(D671="V02",cad!$J$27,cad!$K$27))</f>
        <v/>
      </c>
      <c r="J671">
        <f>IF(D671="V01",cad!$I$28,IF(D671="V02",cad!$J$28,cad!$K$28))</f>
        <v/>
      </c>
      <c r="K671">
        <f>IF(D671="V01",cad!$I$29,IF(D671="V02",cad!$J$29,cad!$K$29))</f>
        <v/>
      </c>
      <c r="L671">
        <f>IF(D671="V01",cad!$I$30,IF(D671="V02",cad!$J$30,cad!$K$30))</f>
        <v/>
      </c>
      <c r="M671">
        <f>IF(D671="V01",cad!$I$31,IF(D671="V02",cad!$J$31,cad!$K$31))</f>
        <v/>
      </c>
      <c r="N671">
        <f>IF(D671="V01",$R$2,IF(D671="V02",$R$3,$R$4))</f>
        <v/>
      </c>
      <c r="O671">
        <f>IF(OR(B671="7062",B671="706",B671="708"),N671,IF(B671="6231",1+G671,IF(B671="6236",1+H671,IF(OR(B671="621",B671="604",B671="6063"),N671*(1-L671),IF(OR(B671="6411",B671="6413",B671="6414",B671="645"),(1+J671)*(1+K671),IF(OR(B671="613",B671="615",B671="616",B671="6226",B671="625",B671="626",B671="6281"),(1+I671)*(1-L671)*(1+M671),IF(OR(B671="6331",B671="63511",B671="6333"),(1+I671)*(1-L671),IF(B671="6811",1+I671,1))))))))</f>
        <v/>
      </c>
      <c r="P671">
        <f>IF(E671=1,F671*O671,"")</f>
        <v/>
      </c>
    </row>
    <row r="672">
      <c r="A672">
        <f>PNL!A672</f>
        <v/>
      </c>
      <c r="B672">
        <f>PNL!B672</f>
        <v/>
      </c>
      <c r="C672">
        <f>PNL!C672</f>
        <v/>
      </c>
      <c r="D672">
        <f>PNL!D672</f>
        <v/>
      </c>
      <c r="E672">
        <f>IF(AND(C672="2027",OR(D672="V01",D672="V02",D672="V03")),1,0)</f>
        <v/>
      </c>
      <c r="F672">
        <f>IF(E672=1,SUMIFS(Compta!$F$2:$F$675,Compta!$A$2:$A$675,A672,Compta!$B$2:$B$675,B672,Compta!$C$2:$C$675,"2026"),0)</f>
        <v/>
      </c>
      <c r="G672">
        <f>IF(D672="V01",cad!$I$21,IF(D672="V02",cad!$J$21,cad!$K$21))</f>
        <v/>
      </c>
      <c r="H672">
        <f>IF(D672="V01",cad!$I$22,IF(D672="V02",cad!$J$22,cad!$K$22))</f>
        <v/>
      </c>
      <c r="I672">
        <f>IF(D672="V01",cad!$I$27,IF(D672="V02",cad!$J$27,cad!$K$27))</f>
        <v/>
      </c>
      <c r="J672">
        <f>IF(D672="V01",cad!$I$28,IF(D672="V02",cad!$J$28,cad!$K$28))</f>
        <v/>
      </c>
      <c r="K672">
        <f>IF(D672="V01",cad!$I$29,IF(D672="V02",cad!$J$29,cad!$K$29))</f>
        <v/>
      </c>
      <c r="L672">
        <f>IF(D672="V01",cad!$I$30,IF(D672="V02",cad!$J$30,cad!$K$30))</f>
        <v/>
      </c>
      <c r="M672">
        <f>IF(D672="V01",cad!$I$31,IF(D672="V02",cad!$J$31,cad!$K$31))</f>
        <v/>
      </c>
      <c r="N672">
        <f>IF(D672="V01",$R$2,IF(D672="V02",$R$3,$R$4))</f>
        <v/>
      </c>
      <c r="O672">
        <f>IF(OR(B672="7062",B672="706",B672="708"),N672,IF(B672="6231",1+G672,IF(B672="6236",1+H672,IF(OR(B672="621",B672="604",B672="6063"),N672*(1-L672),IF(OR(B672="6411",B672="6413",B672="6414",B672="645"),(1+J672)*(1+K672),IF(OR(B672="613",B672="615",B672="616",B672="6226",B672="625",B672="626",B672="6281"),(1+I672)*(1-L672)*(1+M672),IF(OR(B672="6331",B672="63511",B672="6333"),(1+I672)*(1-L672),IF(B672="6811",1+I672,1))))))))</f>
        <v/>
      </c>
      <c r="P672">
        <f>IF(E672=1,F672*O672,"")</f>
        <v/>
      </c>
    </row>
    <row r="673">
      <c r="A673">
        <f>PNL!A673</f>
        <v/>
      </c>
      <c r="B673">
        <f>PNL!B673</f>
        <v/>
      </c>
      <c r="C673">
        <f>PNL!C673</f>
        <v/>
      </c>
      <c r="D673">
        <f>PNL!D673</f>
        <v/>
      </c>
      <c r="E673">
        <f>IF(AND(C673="2027",OR(D673="V01",D673="V02",D673="V03")),1,0)</f>
        <v/>
      </c>
      <c r="F673">
        <f>IF(E673=1,SUMIFS(Compta!$F$2:$F$675,Compta!$A$2:$A$675,A673,Compta!$B$2:$B$675,B673,Compta!$C$2:$C$675,"2026"),0)</f>
        <v/>
      </c>
      <c r="G673">
        <f>IF(D673="V01",cad!$I$21,IF(D673="V02",cad!$J$21,cad!$K$21))</f>
        <v/>
      </c>
      <c r="H673">
        <f>IF(D673="V01",cad!$I$22,IF(D673="V02",cad!$J$22,cad!$K$22))</f>
        <v/>
      </c>
      <c r="I673">
        <f>IF(D673="V01",cad!$I$27,IF(D673="V02",cad!$J$27,cad!$K$27))</f>
        <v/>
      </c>
      <c r="J673">
        <f>IF(D673="V01",cad!$I$28,IF(D673="V02",cad!$J$28,cad!$K$28))</f>
        <v/>
      </c>
      <c r="K673">
        <f>IF(D673="V01",cad!$I$29,IF(D673="V02",cad!$J$29,cad!$K$29))</f>
        <v/>
      </c>
      <c r="L673">
        <f>IF(D673="V01",cad!$I$30,IF(D673="V02",cad!$J$30,cad!$K$30))</f>
        <v/>
      </c>
      <c r="M673">
        <f>IF(D673="V01",cad!$I$31,IF(D673="V02",cad!$J$31,cad!$K$31))</f>
        <v/>
      </c>
      <c r="N673">
        <f>IF(D673="V01",$R$2,IF(D673="V02",$R$3,$R$4))</f>
        <v/>
      </c>
      <c r="O673">
        <f>IF(OR(B673="7062",B673="706",B673="708"),N673,IF(B673="6231",1+G673,IF(B673="6236",1+H673,IF(OR(B673="621",B673="604",B673="6063"),N673*(1-L673),IF(OR(B673="6411",B673="6413",B673="6414",B673="645"),(1+J673)*(1+K673),IF(OR(B673="613",B673="615",B673="616",B673="6226",B673="625",B673="626",B673="6281"),(1+I673)*(1-L673)*(1+M673),IF(OR(B673="6331",B673="63511",B673="6333"),(1+I673)*(1-L673),IF(B673="6811",1+I673,1))))))))</f>
        <v/>
      </c>
      <c r="P673">
        <f>IF(E673=1,F673*O673,"")</f>
        <v/>
      </c>
    </row>
    <row r="674">
      <c r="A674">
        <f>PNL!A674</f>
        <v/>
      </c>
      <c r="B674">
        <f>PNL!B674</f>
        <v/>
      </c>
      <c r="C674">
        <f>PNL!C674</f>
        <v/>
      </c>
      <c r="D674">
        <f>PNL!D674</f>
        <v/>
      </c>
      <c r="E674">
        <f>IF(AND(C674="2027",OR(D674="V01",D674="V02",D674="V03")),1,0)</f>
        <v/>
      </c>
      <c r="F674">
        <f>IF(E674=1,SUMIFS(Compta!$F$2:$F$675,Compta!$A$2:$A$675,A674,Compta!$B$2:$B$675,B674,Compta!$C$2:$C$675,"2026"),0)</f>
        <v/>
      </c>
      <c r="G674">
        <f>IF(D674="V01",cad!$I$21,IF(D674="V02",cad!$J$21,cad!$K$21))</f>
        <v/>
      </c>
      <c r="H674">
        <f>IF(D674="V01",cad!$I$22,IF(D674="V02",cad!$J$22,cad!$K$22))</f>
        <v/>
      </c>
      <c r="I674">
        <f>IF(D674="V01",cad!$I$27,IF(D674="V02",cad!$J$27,cad!$K$27))</f>
        <v/>
      </c>
      <c r="J674">
        <f>IF(D674="V01",cad!$I$28,IF(D674="V02",cad!$J$28,cad!$K$28))</f>
        <v/>
      </c>
      <c r="K674">
        <f>IF(D674="V01",cad!$I$29,IF(D674="V02",cad!$J$29,cad!$K$29))</f>
        <v/>
      </c>
      <c r="L674">
        <f>IF(D674="V01",cad!$I$30,IF(D674="V02",cad!$J$30,cad!$K$30))</f>
        <v/>
      </c>
      <c r="M674">
        <f>IF(D674="V01",cad!$I$31,IF(D674="V02",cad!$J$31,cad!$K$31))</f>
        <v/>
      </c>
      <c r="N674">
        <f>IF(D674="V01",$R$2,IF(D674="V02",$R$3,$R$4))</f>
        <v/>
      </c>
      <c r="O674">
        <f>IF(OR(B674="7062",B674="706",B674="708"),N674,IF(B674="6231",1+G674,IF(B674="6236",1+H674,IF(OR(B674="621",B674="604",B674="6063"),N674*(1-L674),IF(OR(B674="6411",B674="6413",B674="6414",B674="645"),(1+J674)*(1+K674),IF(OR(B674="613",B674="615",B674="616",B674="6226",B674="625",B674="626",B674="6281"),(1+I674)*(1-L674)*(1+M674),IF(OR(B674="6331",B674="63511",B674="6333"),(1+I674)*(1-L674),IF(B674="6811",1+I674,1))))))))</f>
        <v/>
      </c>
      <c r="P674">
        <f>IF(E674=1,F674*O674,"")</f>
        <v/>
      </c>
    </row>
    <row r="675">
      <c r="A675">
        <f>PNL!A675</f>
        <v/>
      </c>
      <c r="B675">
        <f>PNL!B675</f>
        <v/>
      </c>
      <c r="C675">
        <f>PNL!C675</f>
        <v/>
      </c>
      <c r="D675">
        <f>PNL!D675</f>
        <v/>
      </c>
      <c r="E675">
        <f>IF(AND(C675="2027",OR(D675="V01",D675="V02",D675="V03")),1,0)</f>
        <v/>
      </c>
      <c r="F675">
        <f>IF(E675=1,SUMIFS(Compta!$F$2:$F$675,Compta!$A$2:$A$675,A675,Compta!$B$2:$B$675,B675,Compta!$C$2:$C$675,"2026"),0)</f>
        <v/>
      </c>
      <c r="G675">
        <f>IF(D675="V01",cad!$I$21,IF(D675="V02",cad!$J$21,cad!$K$21))</f>
        <v/>
      </c>
      <c r="H675">
        <f>IF(D675="V01",cad!$I$22,IF(D675="V02",cad!$J$22,cad!$K$22))</f>
        <v/>
      </c>
      <c r="I675">
        <f>IF(D675="V01",cad!$I$27,IF(D675="V02",cad!$J$27,cad!$K$27))</f>
        <v/>
      </c>
      <c r="J675">
        <f>IF(D675="V01",cad!$I$28,IF(D675="V02",cad!$J$28,cad!$K$28))</f>
        <v/>
      </c>
      <c r="K675">
        <f>IF(D675="V01",cad!$I$29,IF(D675="V02",cad!$J$29,cad!$K$29))</f>
        <v/>
      </c>
      <c r="L675">
        <f>IF(D675="V01",cad!$I$30,IF(D675="V02",cad!$J$30,cad!$K$30))</f>
        <v/>
      </c>
      <c r="M675">
        <f>IF(D675="V01",cad!$I$31,IF(D675="V02",cad!$J$31,cad!$K$31))</f>
        <v/>
      </c>
      <c r="N675">
        <f>IF(D675="V01",$R$2,IF(D675="V02",$R$3,$R$4))</f>
        <v/>
      </c>
      <c r="O675">
        <f>IF(OR(B675="7062",B675="706",B675="708"),N675,IF(B675="6231",1+G675,IF(B675="6236",1+H675,IF(OR(B675="621",B675="604",B675="6063"),N675*(1-L675),IF(OR(B675="6411",B675="6413",B675="6414",B675="645"),(1+J675)*(1+K675),IF(OR(B675="613",B675="615",B675="616",B675="6226",B675="625",B675="626",B675="6281"),(1+I675)*(1-L675)*(1+M675),IF(OR(B675="6331",B675="63511",B675="6333"),(1+I675)*(1-L675),IF(B675="6811",1+I675,1))))))))</f>
        <v/>
      </c>
      <c r="P675">
        <f>IF(E675=1,F675*O675,"")</f>
        <v/>
      </c>
    </row>
    <row r="676">
      <c r="A676">
        <f>PNL!A676</f>
        <v/>
      </c>
      <c r="B676">
        <f>PNL!B676</f>
        <v/>
      </c>
      <c r="C676">
        <f>PNL!C676</f>
        <v/>
      </c>
      <c r="D676">
        <f>PNL!D676</f>
        <v/>
      </c>
      <c r="E676">
        <f>IF(AND(C676="2027",OR(D676="V01",D676="V02",D676="V03")),1,0)</f>
        <v/>
      </c>
      <c r="F676">
        <f>IF(E676=1,SUMIFS(Compta!$F$2:$F$675,Compta!$A$2:$A$675,A676,Compta!$B$2:$B$675,B676,Compta!$C$2:$C$675,"2026"),0)</f>
        <v/>
      </c>
      <c r="G676">
        <f>IF(D676="V01",cad!$I$21,IF(D676="V02",cad!$J$21,cad!$K$21))</f>
        <v/>
      </c>
      <c r="H676">
        <f>IF(D676="V01",cad!$I$22,IF(D676="V02",cad!$J$22,cad!$K$22))</f>
        <v/>
      </c>
      <c r="I676">
        <f>IF(D676="V01",cad!$I$27,IF(D676="V02",cad!$J$27,cad!$K$27))</f>
        <v/>
      </c>
      <c r="J676">
        <f>IF(D676="V01",cad!$I$28,IF(D676="V02",cad!$J$28,cad!$K$28))</f>
        <v/>
      </c>
      <c r="K676">
        <f>IF(D676="V01",cad!$I$29,IF(D676="V02",cad!$J$29,cad!$K$29))</f>
        <v/>
      </c>
      <c r="L676">
        <f>IF(D676="V01",cad!$I$30,IF(D676="V02",cad!$J$30,cad!$K$30))</f>
        <v/>
      </c>
      <c r="M676">
        <f>IF(D676="V01",cad!$I$31,IF(D676="V02",cad!$J$31,cad!$K$31))</f>
        <v/>
      </c>
      <c r="N676">
        <f>IF(D676="V01",$R$2,IF(D676="V02",$R$3,$R$4))</f>
        <v/>
      </c>
      <c r="O676">
        <f>IF(OR(B676="7062",B676="706",B676="708"),N676,IF(B676="6231",1+G676,IF(B676="6236",1+H676,IF(OR(B676="621",B676="604",B676="6063"),N676*(1-L676),IF(OR(B676="6411",B676="6413",B676="6414",B676="645"),(1+J676)*(1+K676),IF(OR(B676="613",B676="615",B676="616",B676="6226",B676="625",B676="626",B676="6281"),(1+I676)*(1-L676)*(1+M676),IF(OR(B676="6331",B676="63511",B676="6333"),(1+I676)*(1-L676),IF(B676="6811",1+I676,1))))))))</f>
        <v/>
      </c>
      <c r="P676">
        <f>IF(E676=1,F676*O676,"")</f>
        <v/>
      </c>
    </row>
    <row r="677">
      <c r="A677">
        <f>PNL!A677</f>
        <v/>
      </c>
      <c r="B677">
        <f>PNL!B677</f>
        <v/>
      </c>
      <c r="C677">
        <f>PNL!C677</f>
        <v/>
      </c>
      <c r="D677">
        <f>PNL!D677</f>
        <v/>
      </c>
      <c r="E677">
        <f>IF(AND(C677="2027",OR(D677="V01",D677="V02",D677="V03")),1,0)</f>
        <v/>
      </c>
      <c r="F677">
        <f>IF(E677=1,SUMIFS(Compta!$F$2:$F$675,Compta!$A$2:$A$675,A677,Compta!$B$2:$B$675,B677,Compta!$C$2:$C$675,"2026"),0)</f>
        <v/>
      </c>
      <c r="G677">
        <f>IF(D677="V01",cad!$I$21,IF(D677="V02",cad!$J$21,cad!$K$21))</f>
        <v/>
      </c>
      <c r="H677">
        <f>IF(D677="V01",cad!$I$22,IF(D677="V02",cad!$J$22,cad!$K$22))</f>
        <v/>
      </c>
      <c r="I677">
        <f>IF(D677="V01",cad!$I$27,IF(D677="V02",cad!$J$27,cad!$K$27))</f>
        <v/>
      </c>
      <c r="J677">
        <f>IF(D677="V01",cad!$I$28,IF(D677="V02",cad!$J$28,cad!$K$28))</f>
        <v/>
      </c>
      <c r="K677">
        <f>IF(D677="V01",cad!$I$29,IF(D677="V02",cad!$J$29,cad!$K$29))</f>
        <v/>
      </c>
      <c r="L677">
        <f>IF(D677="V01",cad!$I$30,IF(D677="V02",cad!$J$30,cad!$K$30))</f>
        <v/>
      </c>
      <c r="M677">
        <f>IF(D677="V01",cad!$I$31,IF(D677="V02",cad!$J$31,cad!$K$31))</f>
        <v/>
      </c>
      <c r="N677">
        <f>IF(D677="V01",$R$2,IF(D677="V02",$R$3,$R$4))</f>
        <v/>
      </c>
      <c r="O677">
        <f>IF(OR(B677="7062",B677="706",B677="708"),N677,IF(B677="6231",1+G677,IF(B677="6236",1+H677,IF(OR(B677="621",B677="604",B677="6063"),N677*(1-L677),IF(OR(B677="6411",B677="6413",B677="6414",B677="645"),(1+J677)*(1+K677),IF(OR(B677="613",B677="615",B677="616",B677="6226",B677="625",B677="626",B677="6281"),(1+I677)*(1-L677)*(1+M677),IF(OR(B677="6331",B677="63511",B677="6333"),(1+I677)*(1-L677),IF(B677="6811",1+I677,1))))))))</f>
        <v/>
      </c>
      <c r="P677">
        <f>IF(E677=1,F677*O677,"")</f>
        <v/>
      </c>
    </row>
    <row r="678">
      <c r="A678">
        <f>PNL!A678</f>
        <v/>
      </c>
      <c r="B678">
        <f>PNL!B678</f>
        <v/>
      </c>
      <c r="C678">
        <f>PNL!C678</f>
        <v/>
      </c>
      <c r="D678">
        <f>PNL!D678</f>
        <v/>
      </c>
      <c r="E678">
        <f>IF(AND(C678="2027",OR(D678="V01",D678="V02",D678="V03")),1,0)</f>
        <v/>
      </c>
      <c r="F678">
        <f>IF(E678=1,SUMIFS(Compta!$F$2:$F$675,Compta!$A$2:$A$675,A678,Compta!$B$2:$B$675,B678,Compta!$C$2:$C$675,"2026"),0)</f>
        <v/>
      </c>
      <c r="G678">
        <f>IF(D678="V01",cad!$I$21,IF(D678="V02",cad!$J$21,cad!$K$21))</f>
        <v/>
      </c>
      <c r="H678">
        <f>IF(D678="V01",cad!$I$22,IF(D678="V02",cad!$J$22,cad!$K$22))</f>
        <v/>
      </c>
      <c r="I678">
        <f>IF(D678="V01",cad!$I$27,IF(D678="V02",cad!$J$27,cad!$K$27))</f>
        <v/>
      </c>
      <c r="J678">
        <f>IF(D678="V01",cad!$I$28,IF(D678="V02",cad!$J$28,cad!$K$28))</f>
        <v/>
      </c>
      <c r="K678">
        <f>IF(D678="V01",cad!$I$29,IF(D678="V02",cad!$J$29,cad!$K$29))</f>
        <v/>
      </c>
      <c r="L678">
        <f>IF(D678="V01",cad!$I$30,IF(D678="V02",cad!$J$30,cad!$K$30))</f>
        <v/>
      </c>
      <c r="M678">
        <f>IF(D678="V01",cad!$I$31,IF(D678="V02",cad!$J$31,cad!$K$31))</f>
        <v/>
      </c>
      <c r="N678">
        <f>IF(D678="V01",$R$2,IF(D678="V02",$R$3,$R$4))</f>
        <v/>
      </c>
      <c r="O678">
        <f>IF(OR(B678="7062",B678="706",B678="708"),N678,IF(B678="6231",1+G678,IF(B678="6236",1+H678,IF(OR(B678="621",B678="604",B678="6063"),N678*(1-L678),IF(OR(B678="6411",B678="6413",B678="6414",B678="645"),(1+J678)*(1+K678),IF(OR(B678="613",B678="615",B678="616",B678="6226",B678="625",B678="626",B678="6281"),(1+I678)*(1-L678)*(1+M678),IF(OR(B678="6331",B678="63511",B678="6333"),(1+I678)*(1-L678),IF(B678="6811",1+I678,1))))))))</f>
        <v/>
      </c>
      <c r="P678">
        <f>IF(E678=1,F678*O678,"")</f>
        <v/>
      </c>
    </row>
    <row r="679">
      <c r="A679">
        <f>PNL!A679</f>
        <v/>
      </c>
      <c r="B679">
        <f>PNL!B679</f>
        <v/>
      </c>
      <c r="C679">
        <f>PNL!C679</f>
        <v/>
      </c>
      <c r="D679">
        <f>PNL!D679</f>
        <v/>
      </c>
      <c r="E679">
        <f>IF(AND(C679="2027",OR(D679="V01",D679="V02",D679="V03")),1,0)</f>
        <v/>
      </c>
      <c r="F679">
        <f>IF(E679=1,SUMIFS(Compta!$F$2:$F$675,Compta!$A$2:$A$675,A679,Compta!$B$2:$B$675,B679,Compta!$C$2:$C$675,"2026"),0)</f>
        <v/>
      </c>
      <c r="G679">
        <f>IF(D679="V01",cad!$I$21,IF(D679="V02",cad!$J$21,cad!$K$21))</f>
        <v/>
      </c>
      <c r="H679">
        <f>IF(D679="V01",cad!$I$22,IF(D679="V02",cad!$J$22,cad!$K$22))</f>
        <v/>
      </c>
      <c r="I679">
        <f>IF(D679="V01",cad!$I$27,IF(D679="V02",cad!$J$27,cad!$K$27))</f>
        <v/>
      </c>
      <c r="J679">
        <f>IF(D679="V01",cad!$I$28,IF(D679="V02",cad!$J$28,cad!$K$28))</f>
        <v/>
      </c>
      <c r="K679">
        <f>IF(D679="V01",cad!$I$29,IF(D679="V02",cad!$J$29,cad!$K$29))</f>
        <v/>
      </c>
      <c r="L679">
        <f>IF(D679="V01",cad!$I$30,IF(D679="V02",cad!$J$30,cad!$K$30))</f>
        <v/>
      </c>
      <c r="M679">
        <f>IF(D679="V01",cad!$I$31,IF(D679="V02",cad!$J$31,cad!$K$31))</f>
        <v/>
      </c>
      <c r="N679">
        <f>IF(D679="V01",$R$2,IF(D679="V02",$R$3,$R$4))</f>
        <v/>
      </c>
      <c r="O679">
        <f>IF(OR(B679="7062",B679="706",B679="708"),N679,IF(B679="6231",1+G679,IF(B679="6236",1+H679,IF(OR(B679="621",B679="604",B679="6063"),N679*(1-L679),IF(OR(B679="6411",B679="6413",B679="6414",B679="645"),(1+J679)*(1+K679),IF(OR(B679="613",B679="615",B679="616",B679="6226",B679="625",B679="626",B679="6281"),(1+I679)*(1-L679)*(1+M679),IF(OR(B679="6331",B679="63511",B679="6333"),(1+I679)*(1-L679),IF(B679="6811",1+I679,1))))))))</f>
        <v/>
      </c>
      <c r="P679">
        <f>IF(E679=1,F679*O679,"")</f>
        <v/>
      </c>
    </row>
    <row r="680">
      <c r="A680">
        <f>PNL!A680</f>
        <v/>
      </c>
      <c r="B680">
        <f>PNL!B680</f>
        <v/>
      </c>
      <c r="C680">
        <f>PNL!C680</f>
        <v/>
      </c>
      <c r="D680">
        <f>PNL!D680</f>
        <v/>
      </c>
      <c r="E680">
        <f>IF(AND(C680="2027",OR(D680="V01",D680="V02",D680="V03")),1,0)</f>
        <v/>
      </c>
      <c r="F680">
        <f>IF(E680=1,SUMIFS(Compta!$F$2:$F$675,Compta!$A$2:$A$675,A680,Compta!$B$2:$B$675,B680,Compta!$C$2:$C$675,"2026"),0)</f>
        <v/>
      </c>
      <c r="G680">
        <f>IF(D680="V01",cad!$I$21,IF(D680="V02",cad!$J$21,cad!$K$21))</f>
        <v/>
      </c>
      <c r="H680">
        <f>IF(D680="V01",cad!$I$22,IF(D680="V02",cad!$J$22,cad!$K$22))</f>
        <v/>
      </c>
      <c r="I680">
        <f>IF(D680="V01",cad!$I$27,IF(D680="V02",cad!$J$27,cad!$K$27))</f>
        <v/>
      </c>
      <c r="J680">
        <f>IF(D680="V01",cad!$I$28,IF(D680="V02",cad!$J$28,cad!$K$28))</f>
        <v/>
      </c>
      <c r="K680">
        <f>IF(D680="V01",cad!$I$29,IF(D680="V02",cad!$J$29,cad!$K$29))</f>
        <v/>
      </c>
      <c r="L680">
        <f>IF(D680="V01",cad!$I$30,IF(D680="V02",cad!$J$30,cad!$K$30))</f>
        <v/>
      </c>
      <c r="M680">
        <f>IF(D680="V01",cad!$I$31,IF(D680="V02",cad!$J$31,cad!$K$31))</f>
        <v/>
      </c>
      <c r="N680">
        <f>IF(D680="V01",$R$2,IF(D680="V02",$R$3,$R$4))</f>
        <v/>
      </c>
      <c r="O680">
        <f>IF(OR(B680="7062",B680="706",B680="708"),N680,IF(B680="6231",1+G680,IF(B680="6236",1+H680,IF(OR(B680="621",B680="604",B680="6063"),N680*(1-L680),IF(OR(B680="6411",B680="6413",B680="6414",B680="645"),(1+J680)*(1+K680),IF(OR(B680="613",B680="615",B680="616",B680="6226",B680="625",B680="626",B680="6281"),(1+I680)*(1-L680)*(1+M680),IF(OR(B680="6331",B680="63511",B680="6333"),(1+I680)*(1-L680),IF(B680="6811",1+I680,1))))))))</f>
        <v/>
      </c>
      <c r="P680">
        <f>IF(E680=1,F680*O680,"")</f>
        <v/>
      </c>
    </row>
    <row r="681">
      <c r="A681">
        <f>PNL!A681</f>
        <v/>
      </c>
      <c r="B681">
        <f>PNL!B681</f>
        <v/>
      </c>
      <c r="C681">
        <f>PNL!C681</f>
        <v/>
      </c>
      <c r="D681">
        <f>PNL!D681</f>
        <v/>
      </c>
      <c r="E681">
        <f>IF(AND(C681="2027",OR(D681="V01",D681="V02",D681="V03")),1,0)</f>
        <v/>
      </c>
      <c r="F681">
        <f>IF(E681=1,SUMIFS(Compta!$F$2:$F$675,Compta!$A$2:$A$675,A681,Compta!$B$2:$B$675,B681,Compta!$C$2:$C$675,"2026"),0)</f>
        <v/>
      </c>
      <c r="G681">
        <f>IF(D681="V01",cad!$I$21,IF(D681="V02",cad!$J$21,cad!$K$21))</f>
        <v/>
      </c>
      <c r="H681">
        <f>IF(D681="V01",cad!$I$22,IF(D681="V02",cad!$J$22,cad!$K$22))</f>
        <v/>
      </c>
      <c r="I681">
        <f>IF(D681="V01",cad!$I$27,IF(D681="V02",cad!$J$27,cad!$K$27))</f>
        <v/>
      </c>
      <c r="J681">
        <f>IF(D681="V01",cad!$I$28,IF(D681="V02",cad!$J$28,cad!$K$28))</f>
        <v/>
      </c>
      <c r="K681">
        <f>IF(D681="V01",cad!$I$29,IF(D681="V02",cad!$J$29,cad!$K$29))</f>
        <v/>
      </c>
      <c r="L681">
        <f>IF(D681="V01",cad!$I$30,IF(D681="V02",cad!$J$30,cad!$K$30))</f>
        <v/>
      </c>
      <c r="M681">
        <f>IF(D681="V01",cad!$I$31,IF(D681="V02",cad!$J$31,cad!$K$31))</f>
        <v/>
      </c>
      <c r="N681">
        <f>IF(D681="V01",$R$2,IF(D681="V02",$R$3,$R$4))</f>
        <v/>
      </c>
      <c r="O681">
        <f>IF(OR(B681="7062",B681="706",B681="708"),N681,IF(B681="6231",1+G681,IF(B681="6236",1+H681,IF(OR(B681="621",B681="604",B681="6063"),N681*(1-L681),IF(OR(B681="6411",B681="6413",B681="6414",B681="645"),(1+J681)*(1+K681),IF(OR(B681="613",B681="615",B681="616",B681="6226",B681="625",B681="626",B681="6281"),(1+I681)*(1-L681)*(1+M681),IF(OR(B681="6331",B681="63511",B681="6333"),(1+I681)*(1-L681),IF(B681="6811",1+I681,1))))))))</f>
        <v/>
      </c>
      <c r="P681">
        <f>IF(E681=1,F681*O681,"")</f>
        <v/>
      </c>
    </row>
    <row r="682">
      <c r="A682">
        <f>PNL!A682</f>
        <v/>
      </c>
      <c r="B682">
        <f>PNL!B682</f>
        <v/>
      </c>
      <c r="C682">
        <f>PNL!C682</f>
        <v/>
      </c>
      <c r="D682">
        <f>PNL!D682</f>
        <v/>
      </c>
      <c r="E682">
        <f>IF(AND(C682="2027",OR(D682="V01",D682="V02",D682="V03")),1,0)</f>
        <v/>
      </c>
      <c r="F682">
        <f>IF(E682=1,SUMIFS(Compta!$F$2:$F$675,Compta!$A$2:$A$675,A682,Compta!$B$2:$B$675,B682,Compta!$C$2:$C$675,"2026"),0)</f>
        <v/>
      </c>
      <c r="G682">
        <f>IF(D682="V01",cad!$I$21,IF(D682="V02",cad!$J$21,cad!$K$21))</f>
        <v/>
      </c>
      <c r="H682">
        <f>IF(D682="V01",cad!$I$22,IF(D682="V02",cad!$J$22,cad!$K$22))</f>
        <v/>
      </c>
      <c r="I682">
        <f>IF(D682="V01",cad!$I$27,IF(D682="V02",cad!$J$27,cad!$K$27))</f>
        <v/>
      </c>
      <c r="J682">
        <f>IF(D682="V01",cad!$I$28,IF(D682="V02",cad!$J$28,cad!$K$28))</f>
        <v/>
      </c>
      <c r="K682">
        <f>IF(D682="V01",cad!$I$29,IF(D682="V02",cad!$J$29,cad!$K$29))</f>
        <v/>
      </c>
      <c r="L682">
        <f>IF(D682="V01",cad!$I$30,IF(D682="V02",cad!$J$30,cad!$K$30))</f>
        <v/>
      </c>
      <c r="M682">
        <f>IF(D682="V01",cad!$I$31,IF(D682="V02",cad!$J$31,cad!$K$31))</f>
        <v/>
      </c>
      <c r="N682">
        <f>IF(D682="V01",$R$2,IF(D682="V02",$R$3,$R$4))</f>
        <v/>
      </c>
      <c r="O682">
        <f>IF(OR(B682="7062",B682="706",B682="708"),N682,IF(B682="6231",1+G682,IF(B682="6236",1+H682,IF(OR(B682="621",B682="604",B682="6063"),N682*(1-L682),IF(OR(B682="6411",B682="6413",B682="6414",B682="645"),(1+J682)*(1+K682),IF(OR(B682="613",B682="615",B682="616",B682="6226",B682="625",B682="626",B682="6281"),(1+I682)*(1-L682)*(1+M682),IF(OR(B682="6331",B682="63511",B682="6333"),(1+I682)*(1-L682),IF(B682="6811",1+I682,1))))))))</f>
        <v/>
      </c>
      <c r="P682">
        <f>IF(E682=1,F682*O682,"")</f>
        <v/>
      </c>
    </row>
    <row r="683">
      <c r="A683">
        <f>PNL!A683</f>
        <v/>
      </c>
      <c r="B683">
        <f>PNL!B683</f>
        <v/>
      </c>
      <c r="C683">
        <f>PNL!C683</f>
        <v/>
      </c>
      <c r="D683">
        <f>PNL!D683</f>
        <v/>
      </c>
      <c r="E683">
        <f>IF(AND(C683="2027",OR(D683="V01",D683="V02",D683="V03")),1,0)</f>
        <v/>
      </c>
      <c r="F683">
        <f>IF(E683=1,SUMIFS(Compta!$F$2:$F$675,Compta!$A$2:$A$675,A683,Compta!$B$2:$B$675,B683,Compta!$C$2:$C$675,"2026"),0)</f>
        <v/>
      </c>
      <c r="G683">
        <f>IF(D683="V01",cad!$I$21,IF(D683="V02",cad!$J$21,cad!$K$21))</f>
        <v/>
      </c>
      <c r="H683">
        <f>IF(D683="V01",cad!$I$22,IF(D683="V02",cad!$J$22,cad!$K$22))</f>
        <v/>
      </c>
      <c r="I683">
        <f>IF(D683="V01",cad!$I$27,IF(D683="V02",cad!$J$27,cad!$K$27))</f>
        <v/>
      </c>
      <c r="J683">
        <f>IF(D683="V01",cad!$I$28,IF(D683="V02",cad!$J$28,cad!$K$28))</f>
        <v/>
      </c>
      <c r="K683">
        <f>IF(D683="V01",cad!$I$29,IF(D683="V02",cad!$J$29,cad!$K$29))</f>
        <v/>
      </c>
      <c r="L683">
        <f>IF(D683="V01",cad!$I$30,IF(D683="V02",cad!$J$30,cad!$K$30))</f>
        <v/>
      </c>
      <c r="M683">
        <f>IF(D683="V01",cad!$I$31,IF(D683="V02",cad!$J$31,cad!$K$31))</f>
        <v/>
      </c>
      <c r="N683">
        <f>IF(D683="V01",$R$2,IF(D683="V02",$R$3,$R$4))</f>
        <v/>
      </c>
      <c r="O683">
        <f>IF(OR(B683="7062",B683="706",B683="708"),N683,IF(B683="6231",1+G683,IF(B683="6236",1+H683,IF(OR(B683="621",B683="604",B683="6063"),N683*(1-L683),IF(OR(B683="6411",B683="6413",B683="6414",B683="645"),(1+J683)*(1+K683),IF(OR(B683="613",B683="615",B683="616",B683="6226",B683="625",B683="626",B683="6281"),(1+I683)*(1-L683)*(1+M683),IF(OR(B683="6331",B683="63511",B683="6333"),(1+I683)*(1-L683),IF(B683="6811",1+I683,1))))))))</f>
        <v/>
      </c>
      <c r="P683">
        <f>IF(E683=1,F683*O683,"")</f>
        <v/>
      </c>
    </row>
    <row r="684">
      <c r="A684">
        <f>PNL!A684</f>
        <v/>
      </c>
      <c r="B684">
        <f>PNL!B684</f>
        <v/>
      </c>
      <c r="C684">
        <f>PNL!C684</f>
        <v/>
      </c>
      <c r="D684">
        <f>PNL!D684</f>
        <v/>
      </c>
      <c r="E684">
        <f>IF(AND(C684="2027",OR(D684="V01",D684="V02",D684="V03")),1,0)</f>
        <v/>
      </c>
      <c r="F684">
        <f>IF(E684=1,SUMIFS(Compta!$F$2:$F$675,Compta!$A$2:$A$675,A684,Compta!$B$2:$B$675,B684,Compta!$C$2:$C$675,"2026"),0)</f>
        <v/>
      </c>
      <c r="G684">
        <f>IF(D684="V01",cad!$I$21,IF(D684="V02",cad!$J$21,cad!$K$21))</f>
        <v/>
      </c>
      <c r="H684">
        <f>IF(D684="V01",cad!$I$22,IF(D684="V02",cad!$J$22,cad!$K$22))</f>
        <v/>
      </c>
      <c r="I684">
        <f>IF(D684="V01",cad!$I$27,IF(D684="V02",cad!$J$27,cad!$K$27))</f>
        <v/>
      </c>
      <c r="J684">
        <f>IF(D684="V01",cad!$I$28,IF(D684="V02",cad!$J$28,cad!$K$28))</f>
        <v/>
      </c>
      <c r="K684">
        <f>IF(D684="V01",cad!$I$29,IF(D684="V02",cad!$J$29,cad!$K$29))</f>
        <v/>
      </c>
      <c r="L684">
        <f>IF(D684="V01",cad!$I$30,IF(D684="V02",cad!$J$30,cad!$K$30))</f>
        <v/>
      </c>
      <c r="M684">
        <f>IF(D684="V01",cad!$I$31,IF(D684="V02",cad!$J$31,cad!$K$31))</f>
        <v/>
      </c>
      <c r="N684">
        <f>IF(D684="V01",$R$2,IF(D684="V02",$R$3,$R$4))</f>
        <v/>
      </c>
      <c r="O684">
        <f>IF(OR(B684="7062",B684="706",B684="708"),N684,IF(B684="6231",1+G684,IF(B684="6236",1+H684,IF(OR(B684="621",B684="604",B684="6063"),N684*(1-L684),IF(OR(B684="6411",B684="6413",B684="6414",B684="645"),(1+J684)*(1+K684),IF(OR(B684="613",B684="615",B684="616",B684="6226",B684="625",B684="626",B684="6281"),(1+I684)*(1-L684)*(1+M684),IF(OR(B684="6331",B684="63511",B684="6333"),(1+I684)*(1-L684),IF(B684="6811",1+I684,1))))))))</f>
        <v/>
      </c>
      <c r="P684">
        <f>IF(E684=1,F684*O684,"")</f>
        <v/>
      </c>
    </row>
    <row r="685">
      <c r="A685">
        <f>PNL!A685</f>
        <v/>
      </c>
      <c r="B685">
        <f>PNL!B685</f>
        <v/>
      </c>
      <c r="C685">
        <f>PNL!C685</f>
        <v/>
      </c>
      <c r="D685">
        <f>PNL!D685</f>
        <v/>
      </c>
      <c r="E685">
        <f>IF(AND(C685="2027",OR(D685="V01",D685="V02",D685="V03")),1,0)</f>
        <v/>
      </c>
      <c r="F685">
        <f>IF(E685=1,SUMIFS(Compta!$F$2:$F$675,Compta!$A$2:$A$675,A685,Compta!$B$2:$B$675,B685,Compta!$C$2:$C$675,"2026"),0)</f>
        <v/>
      </c>
      <c r="G685">
        <f>IF(D685="V01",cad!$I$21,IF(D685="V02",cad!$J$21,cad!$K$21))</f>
        <v/>
      </c>
      <c r="H685">
        <f>IF(D685="V01",cad!$I$22,IF(D685="V02",cad!$J$22,cad!$K$22))</f>
        <v/>
      </c>
      <c r="I685">
        <f>IF(D685="V01",cad!$I$27,IF(D685="V02",cad!$J$27,cad!$K$27))</f>
        <v/>
      </c>
      <c r="J685">
        <f>IF(D685="V01",cad!$I$28,IF(D685="V02",cad!$J$28,cad!$K$28))</f>
        <v/>
      </c>
      <c r="K685">
        <f>IF(D685="V01",cad!$I$29,IF(D685="V02",cad!$J$29,cad!$K$29))</f>
        <v/>
      </c>
      <c r="L685">
        <f>IF(D685="V01",cad!$I$30,IF(D685="V02",cad!$J$30,cad!$K$30))</f>
        <v/>
      </c>
      <c r="M685">
        <f>IF(D685="V01",cad!$I$31,IF(D685="V02",cad!$J$31,cad!$K$31))</f>
        <v/>
      </c>
      <c r="N685">
        <f>IF(D685="V01",$R$2,IF(D685="V02",$R$3,$R$4))</f>
        <v/>
      </c>
      <c r="O685">
        <f>IF(OR(B685="7062",B685="706",B685="708"),N685,IF(B685="6231",1+G685,IF(B685="6236",1+H685,IF(OR(B685="621",B685="604",B685="6063"),N685*(1-L685),IF(OR(B685="6411",B685="6413",B685="6414",B685="645"),(1+J685)*(1+K685),IF(OR(B685="613",B685="615",B685="616",B685="6226",B685="625",B685="626",B685="6281"),(1+I685)*(1-L685)*(1+M685),IF(OR(B685="6331",B685="63511",B685="6333"),(1+I685)*(1-L685),IF(B685="6811",1+I685,1))))))))</f>
        <v/>
      </c>
      <c r="P685">
        <f>IF(E685=1,F685*O685,"")</f>
        <v/>
      </c>
    </row>
    <row r="686">
      <c r="A686">
        <f>PNL!A686</f>
        <v/>
      </c>
      <c r="B686">
        <f>PNL!B686</f>
        <v/>
      </c>
      <c r="C686">
        <f>PNL!C686</f>
        <v/>
      </c>
      <c r="D686">
        <f>PNL!D686</f>
        <v/>
      </c>
      <c r="E686">
        <f>IF(AND(C686="2027",OR(D686="V01",D686="V02",D686="V03")),1,0)</f>
        <v/>
      </c>
      <c r="F686">
        <f>IF(E686=1,SUMIFS(Compta!$F$2:$F$675,Compta!$A$2:$A$675,A686,Compta!$B$2:$B$675,B686,Compta!$C$2:$C$675,"2026"),0)</f>
        <v/>
      </c>
      <c r="G686">
        <f>IF(D686="V01",cad!$I$21,IF(D686="V02",cad!$J$21,cad!$K$21))</f>
        <v/>
      </c>
      <c r="H686">
        <f>IF(D686="V01",cad!$I$22,IF(D686="V02",cad!$J$22,cad!$K$22))</f>
        <v/>
      </c>
      <c r="I686">
        <f>IF(D686="V01",cad!$I$27,IF(D686="V02",cad!$J$27,cad!$K$27))</f>
        <v/>
      </c>
      <c r="J686">
        <f>IF(D686="V01",cad!$I$28,IF(D686="V02",cad!$J$28,cad!$K$28))</f>
        <v/>
      </c>
      <c r="K686">
        <f>IF(D686="V01",cad!$I$29,IF(D686="V02",cad!$J$29,cad!$K$29))</f>
        <v/>
      </c>
      <c r="L686">
        <f>IF(D686="V01",cad!$I$30,IF(D686="V02",cad!$J$30,cad!$K$30))</f>
        <v/>
      </c>
      <c r="M686">
        <f>IF(D686="V01",cad!$I$31,IF(D686="V02",cad!$J$31,cad!$K$31))</f>
        <v/>
      </c>
      <c r="N686">
        <f>IF(D686="V01",$R$2,IF(D686="V02",$R$3,$R$4))</f>
        <v/>
      </c>
      <c r="O686">
        <f>IF(OR(B686="7062",B686="706",B686="708"),N686,IF(B686="6231",1+G686,IF(B686="6236",1+H686,IF(OR(B686="621",B686="604",B686="6063"),N686*(1-L686),IF(OR(B686="6411",B686="6413",B686="6414",B686="645"),(1+J686)*(1+K686),IF(OR(B686="613",B686="615",B686="616",B686="6226",B686="625",B686="626",B686="6281"),(1+I686)*(1-L686)*(1+M686),IF(OR(B686="6331",B686="63511",B686="6333"),(1+I686)*(1-L686),IF(B686="6811",1+I686,1))))))))</f>
        <v/>
      </c>
      <c r="P686">
        <f>IF(E686=1,F686*O686,"")</f>
        <v/>
      </c>
    </row>
    <row r="687">
      <c r="A687">
        <f>PNL!A687</f>
        <v/>
      </c>
      <c r="B687">
        <f>PNL!B687</f>
        <v/>
      </c>
      <c r="C687">
        <f>PNL!C687</f>
        <v/>
      </c>
      <c r="D687">
        <f>PNL!D687</f>
        <v/>
      </c>
      <c r="E687">
        <f>IF(AND(C687="2027",OR(D687="V01",D687="V02",D687="V03")),1,0)</f>
        <v/>
      </c>
      <c r="F687">
        <f>IF(E687=1,SUMIFS(Compta!$F$2:$F$675,Compta!$A$2:$A$675,A687,Compta!$B$2:$B$675,B687,Compta!$C$2:$C$675,"2026"),0)</f>
        <v/>
      </c>
      <c r="G687">
        <f>IF(D687="V01",cad!$I$21,IF(D687="V02",cad!$J$21,cad!$K$21))</f>
        <v/>
      </c>
      <c r="H687">
        <f>IF(D687="V01",cad!$I$22,IF(D687="V02",cad!$J$22,cad!$K$22))</f>
        <v/>
      </c>
      <c r="I687">
        <f>IF(D687="V01",cad!$I$27,IF(D687="V02",cad!$J$27,cad!$K$27))</f>
        <v/>
      </c>
      <c r="J687">
        <f>IF(D687="V01",cad!$I$28,IF(D687="V02",cad!$J$28,cad!$K$28))</f>
        <v/>
      </c>
      <c r="K687">
        <f>IF(D687="V01",cad!$I$29,IF(D687="V02",cad!$J$29,cad!$K$29))</f>
        <v/>
      </c>
      <c r="L687">
        <f>IF(D687="V01",cad!$I$30,IF(D687="V02",cad!$J$30,cad!$K$30))</f>
        <v/>
      </c>
      <c r="M687">
        <f>IF(D687="V01",cad!$I$31,IF(D687="V02",cad!$J$31,cad!$K$31))</f>
        <v/>
      </c>
      <c r="N687">
        <f>IF(D687="V01",$R$2,IF(D687="V02",$R$3,$R$4))</f>
        <v/>
      </c>
      <c r="O687">
        <f>IF(OR(B687="7062",B687="706",B687="708"),N687,IF(B687="6231",1+G687,IF(B687="6236",1+H687,IF(OR(B687="621",B687="604",B687="6063"),N687*(1-L687),IF(OR(B687="6411",B687="6413",B687="6414",B687="645"),(1+J687)*(1+K687),IF(OR(B687="613",B687="615",B687="616",B687="6226",B687="625",B687="626",B687="6281"),(1+I687)*(1-L687)*(1+M687),IF(OR(B687="6331",B687="63511",B687="6333"),(1+I687)*(1-L687),IF(B687="6811",1+I687,1))))))))</f>
        <v/>
      </c>
      <c r="P687">
        <f>IF(E687=1,F687*O687,"")</f>
        <v/>
      </c>
    </row>
    <row r="688">
      <c r="A688">
        <f>PNL!A688</f>
        <v/>
      </c>
      <c r="B688">
        <f>PNL!B688</f>
        <v/>
      </c>
      <c r="C688">
        <f>PNL!C688</f>
        <v/>
      </c>
      <c r="D688">
        <f>PNL!D688</f>
        <v/>
      </c>
      <c r="E688">
        <f>IF(AND(C688="2027",OR(D688="V01",D688="V02",D688="V03")),1,0)</f>
        <v/>
      </c>
      <c r="F688">
        <f>IF(E688=1,SUMIFS(Compta!$F$2:$F$675,Compta!$A$2:$A$675,A688,Compta!$B$2:$B$675,B688,Compta!$C$2:$C$675,"2026"),0)</f>
        <v/>
      </c>
      <c r="G688">
        <f>IF(D688="V01",cad!$I$21,IF(D688="V02",cad!$J$21,cad!$K$21))</f>
        <v/>
      </c>
      <c r="H688">
        <f>IF(D688="V01",cad!$I$22,IF(D688="V02",cad!$J$22,cad!$K$22))</f>
        <v/>
      </c>
      <c r="I688">
        <f>IF(D688="V01",cad!$I$27,IF(D688="V02",cad!$J$27,cad!$K$27))</f>
        <v/>
      </c>
      <c r="J688">
        <f>IF(D688="V01",cad!$I$28,IF(D688="V02",cad!$J$28,cad!$K$28))</f>
        <v/>
      </c>
      <c r="K688">
        <f>IF(D688="V01",cad!$I$29,IF(D688="V02",cad!$J$29,cad!$K$29))</f>
        <v/>
      </c>
      <c r="L688">
        <f>IF(D688="V01",cad!$I$30,IF(D688="V02",cad!$J$30,cad!$K$30))</f>
        <v/>
      </c>
      <c r="M688">
        <f>IF(D688="V01",cad!$I$31,IF(D688="V02",cad!$J$31,cad!$K$31))</f>
        <v/>
      </c>
      <c r="N688">
        <f>IF(D688="V01",$R$2,IF(D688="V02",$R$3,$R$4))</f>
        <v/>
      </c>
      <c r="O688">
        <f>IF(OR(B688="7062",B688="706",B688="708"),N688,IF(B688="6231",1+G688,IF(B688="6236",1+H688,IF(OR(B688="621",B688="604",B688="6063"),N688*(1-L688),IF(OR(B688="6411",B688="6413",B688="6414",B688="645"),(1+J688)*(1+K688),IF(OR(B688="613",B688="615",B688="616",B688="6226",B688="625",B688="626",B688="6281"),(1+I688)*(1-L688)*(1+M688),IF(OR(B688="6331",B688="63511",B688="6333"),(1+I688)*(1-L688),IF(B688="6811",1+I688,1))))))))</f>
        <v/>
      </c>
      <c r="P688">
        <f>IF(E688=1,F688*O688,"")</f>
        <v/>
      </c>
    </row>
    <row r="689">
      <c r="A689">
        <f>PNL!A689</f>
        <v/>
      </c>
      <c r="B689">
        <f>PNL!B689</f>
        <v/>
      </c>
      <c r="C689">
        <f>PNL!C689</f>
        <v/>
      </c>
      <c r="D689">
        <f>PNL!D689</f>
        <v/>
      </c>
      <c r="E689">
        <f>IF(AND(C689="2027",OR(D689="V01",D689="V02",D689="V03")),1,0)</f>
        <v/>
      </c>
      <c r="F689">
        <f>IF(E689=1,SUMIFS(Compta!$F$2:$F$675,Compta!$A$2:$A$675,A689,Compta!$B$2:$B$675,B689,Compta!$C$2:$C$675,"2026"),0)</f>
        <v/>
      </c>
      <c r="G689">
        <f>IF(D689="V01",cad!$I$21,IF(D689="V02",cad!$J$21,cad!$K$21))</f>
        <v/>
      </c>
      <c r="H689">
        <f>IF(D689="V01",cad!$I$22,IF(D689="V02",cad!$J$22,cad!$K$22))</f>
        <v/>
      </c>
      <c r="I689">
        <f>IF(D689="V01",cad!$I$27,IF(D689="V02",cad!$J$27,cad!$K$27))</f>
        <v/>
      </c>
      <c r="J689">
        <f>IF(D689="V01",cad!$I$28,IF(D689="V02",cad!$J$28,cad!$K$28))</f>
        <v/>
      </c>
      <c r="K689">
        <f>IF(D689="V01",cad!$I$29,IF(D689="V02",cad!$J$29,cad!$K$29))</f>
        <v/>
      </c>
      <c r="L689">
        <f>IF(D689="V01",cad!$I$30,IF(D689="V02",cad!$J$30,cad!$K$30))</f>
        <v/>
      </c>
      <c r="M689">
        <f>IF(D689="V01",cad!$I$31,IF(D689="V02",cad!$J$31,cad!$K$31))</f>
        <v/>
      </c>
      <c r="N689">
        <f>IF(D689="V01",$R$2,IF(D689="V02",$R$3,$R$4))</f>
        <v/>
      </c>
      <c r="O689">
        <f>IF(OR(B689="7062",B689="706",B689="708"),N689,IF(B689="6231",1+G689,IF(B689="6236",1+H689,IF(OR(B689="621",B689="604",B689="6063"),N689*(1-L689),IF(OR(B689="6411",B689="6413",B689="6414",B689="645"),(1+J689)*(1+K689),IF(OR(B689="613",B689="615",B689="616",B689="6226",B689="625",B689="626",B689="6281"),(1+I689)*(1-L689)*(1+M689),IF(OR(B689="6331",B689="63511",B689="6333"),(1+I689)*(1-L689),IF(B689="6811",1+I689,1))))))))</f>
        <v/>
      </c>
      <c r="P689">
        <f>IF(E689=1,F689*O689,"")</f>
        <v/>
      </c>
    </row>
    <row r="690">
      <c r="A690">
        <f>PNL!A690</f>
        <v/>
      </c>
      <c r="B690">
        <f>PNL!B690</f>
        <v/>
      </c>
      <c r="C690">
        <f>PNL!C690</f>
        <v/>
      </c>
      <c r="D690">
        <f>PNL!D690</f>
        <v/>
      </c>
      <c r="E690">
        <f>IF(AND(C690="2027",OR(D690="V01",D690="V02",D690="V03")),1,0)</f>
        <v/>
      </c>
      <c r="F690">
        <f>IF(E690=1,SUMIFS(Compta!$F$2:$F$675,Compta!$A$2:$A$675,A690,Compta!$B$2:$B$675,B690,Compta!$C$2:$C$675,"2026"),0)</f>
        <v/>
      </c>
      <c r="G690">
        <f>IF(D690="V01",cad!$I$21,IF(D690="V02",cad!$J$21,cad!$K$21))</f>
        <v/>
      </c>
      <c r="H690">
        <f>IF(D690="V01",cad!$I$22,IF(D690="V02",cad!$J$22,cad!$K$22))</f>
        <v/>
      </c>
      <c r="I690">
        <f>IF(D690="V01",cad!$I$27,IF(D690="V02",cad!$J$27,cad!$K$27))</f>
        <v/>
      </c>
      <c r="J690">
        <f>IF(D690="V01",cad!$I$28,IF(D690="V02",cad!$J$28,cad!$K$28))</f>
        <v/>
      </c>
      <c r="K690">
        <f>IF(D690="V01",cad!$I$29,IF(D690="V02",cad!$J$29,cad!$K$29))</f>
        <v/>
      </c>
      <c r="L690">
        <f>IF(D690="V01",cad!$I$30,IF(D690="V02",cad!$J$30,cad!$K$30))</f>
        <v/>
      </c>
      <c r="M690">
        <f>IF(D690="V01",cad!$I$31,IF(D690="V02",cad!$J$31,cad!$K$31))</f>
        <v/>
      </c>
      <c r="N690">
        <f>IF(D690="V01",$R$2,IF(D690="V02",$R$3,$R$4))</f>
        <v/>
      </c>
      <c r="O690">
        <f>IF(OR(B690="7062",B690="706",B690="708"),N690,IF(B690="6231",1+G690,IF(B690="6236",1+H690,IF(OR(B690="621",B690="604",B690="6063"),N690*(1-L690),IF(OR(B690="6411",B690="6413",B690="6414",B690="645"),(1+J690)*(1+K690),IF(OR(B690="613",B690="615",B690="616",B690="6226",B690="625",B690="626",B690="6281"),(1+I690)*(1-L690)*(1+M690),IF(OR(B690="6331",B690="63511",B690="6333"),(1+I690)*(1-L690),IF(B690="6811",1+I690,1))))))))</f>
        <v/>
      </c>
      <c r="P690">
        <f>IF(E690=1,F690*O690,"")</f>
        <v/>
      </c>
    </row>
    <row r="691">
      <c r="A691">
        <f>PNL!A691</f>
        <v/>
      </c>
      <c r="B691">
        <f>PNL!B691</f>
        <v/>
      </c>
      <c r="C691">
        <f>PNL!C691</f>
        <v/>
      </c>
      <c r="D691">
        <f>PNL!D691</f>
        <v/>
      </c>
      <c r="E691">
        <f>IF(AND(C691="2027",OR(D691="V01",D691="V02",D691="V03")),1,0)</f>
        <v/>
      </c>
      <c r="F691">
        <f>IF(E691=1,SUMIFS(Compta!$F$2:$F$675,Compta!$A$2:$A$675,A691,Compta!$B$2:$B$675,B691,Compta!$C$2:$C$675,"2026"),0)</f>
        <v/>
      </c>
      <c r="G691">
        <f>IF(D691="V01",cad!$I$21,IF(D691="V02",cad!$J$21,cad!$K$21))</f>
        <v/>
      </c>
      <c r="H691">
        <f>IF(D691="V01",cad!$I$22,IF(D691="V02",cad!$J$22,cad!$K$22))</f>
        <v/>
      </c>
      <c r="I691">
        <f>IF(D691="V01",cad!$I$27,IF(D691="V02",cad!$J$27,cad!$K$27))</f>
        <v/>
      </c>
      <c r="J691">
        <f>IF(D691="V01",cad!$I$28,IF(D691="V02",cad!$J$28,cad!$K$28))</f>
        <v/>
      </c>
      <c r="K691">
        <f>IF(D691="V01",cad!$I$29,IF(D691="V02",cad!$J$29,cad!$K$29))</f>
        <v/>
      </c>
      <c r="L691">
        <f>IF(D691="V01",cad!$I$30,IF(D691="V02",cad!$J$30,cad!$K$30))</f>
        <v/>
      </c>
      <c r="M691">
        <f>IF(D691="V01",cad!$I$31,IF(D691="V02",cad!$J$31,cad!$K$31))</f>
        <v/>
      </c>
      <c r="N691">
        <f>IF(D691="V01",$R$2,IF(D691="V02",$R$3,$R$4))</f>
        <v/>
      </c>
      <c r="O691">
        <f>IF(OR(B691="7062",B691="706",B691="708"),N691,IF(B691="6231",1+G691,IF(B691="6236",1+H691,IF(OR(B691="621",B691="604",B691="6063"),N691*(1-L691),IF(OR(B691="6411",B691="6413",B691="6414",B691="645"),(1+J691)*(1+K691),IF(OR(B691="613",B691="615",B691="616",B691="6226",B691="625",B691="626",B691="6281"),(1+I691)*(1-L691)*(1+M691),IF(OR(B691="6331",B691="63511",B691="6333"),(1+I691)*(1-L691),IF(B691="6811",1+I691,1))))))))</f>
        <v/>
      </c>
      <c r="P691">
        <f>IF(E691=1,F691*O691,"")</f>
        <v/>
      </c>
    </row>
    <row r="692">
      <c r="A692">
        <f>PNL!A692</f>
        <v/>
      </c>
      <c r="B692">
        <f>PNL!B692</f>
        <v/>
      </c>
      <c r="C692">
        <f>PNL!C692</f>
        <v/>
      </c>
      <c r="D692">
        <f>PNL!D692</f>
        <v/>
      </c>
      <c r="E692">
        <f>IF(AND(C692="2027",OR(D692="V01",D692="V02",D692="V03")),1,0)</f>
        <v/>
      </c>
      <c r="F692">
        <f>IF(E692=1,SUMIFS(Compta!$F$2:$F$675,Compta!$A$2:$A$675,A692,Compta!$B$2:$B$675,B692,Compta!$C$2:$C$675,"2026"),0)</f>
        <v/>
      </c>
      <c r="G692">
        <f>IF(D692="V01",cad!$I$21,IF(D692="V02",cad!$J$21,cad!$K$21))</f>
        <v/>
      </c>
      <c r="H692">
        <f>IF(D692="V01",cad!$I$22,IF(D692="V02",cad!$J$22,cad!$K$22))</f>
        <v/>
      </c>
      <c r="I692">
        <f>IF(D692="V01",cad!$I$27,IF(D692="V02",cad!$J$27,cad!$K$27))</f>
        <v/>
      </c>
      <c r="J692">
        <f>IF(D692="V01",cad!$I$28,IF(D692="V02",cad!$J$28,cad!$K$28))</f>
        <v/>
      </c>
      <c r="K692">
        <f>IF(D692="V01",cad!$I$29,IF(D692="V02",cad!$J$29,cad!$K$29))</f>
        <v/>
      </c>
      <c r="L692">
        <f>IF(D692="V01",cad!$I$30,IF(D692="V02",cad!$J$30,cad!$K$30))</f>
        <v/>
      </c>
      <c r="M692">
        <f>IF(D692="V01",cad!$I$31,IF(D692="V02",cad!$J$31,cad!$K$31))</f>
        <v/>
      </c>
      <c r="N692">
        <f>IF(D692="V01",$R$2,IF(D692="V02",$R$3,$R$4))</f>
        <v/>
      </c>
      <c r="O692">
        <f>IF(OR(B692="7062",B692="706",B692="708"),N692,IF(B692="6231",1+G692,IF(B692="6236",1+H692,IF(OR(B692="621",B692="604",B692="6063"),N692*(1-L692),IF(OR(B692="6411",B692="6413",B692="6414",B692="645"),(1+J692)*(1+K692),IF(OR(B692="613",B692="615",B692="616",B692="6226",B692="625",B692="626",B692="6281"),(1+I692)*(1-L692)*(1+M692),IF(OR(B692="6331",B692="63511",B692="6333"),(1+I692)*(1-L692),IF(B692="6811",1+I692,1))))))))</f>
        <v/>
      </c>
      <c r="P692">
        <f>IF(E692=1,F692*O692,"")</f>
        <v/>
      </c>
    </row>
    <row r="693">
      <c r="A693">
        <f>PNL!A693</f>
        <v/>
      </c>
      <c r="B693">
        <f>PNL!B693</f>
        <v/>
      </c>
      <c r="C693">
        <f>PNL!C693</f>
        <v/>
      </c>
      <c r="D693">
        <f>PNL!D693</f>
        <v/>
      </c>
      <c r="E693">
        <f>IF(AND(C693="2027",OR(D693="V01",D693="V02",D693="V03")),1,0)</f>
        <v/>
      </c>
      <c r="F693">
        <f>IF(E693=1,SUMIFS(Compta!$F$2:$F$675,Compta!$A$2:$A$675,A693,Compta!$B$2:$B$675,B693,Compta!$C$2:$C$675,"2026"),0)</f>
        <v/>
      </c>
      <c r="G693">
        <f>IF(D693="V01",cad!$I$21,IF(D693="V02",cad!$J$21,cad!$K$21))</f>
        <v/>
      </c>
      <c r="H693">
        <f>IF(D693="V01",cad!$I$22,IF(D693="V02",cad!$J$22,cad!$K$22))</f>
        <v/>
      </c>
      <c r="I693">
        <f>IF(D693="V01",cad!$I$27,IF(D693="V02",cad!$J$27,cad!$K$27))</f>
        <v/>
      </c>
      <c r="J693">
        <f>IF(D693="V01",cad!$I$28,IF(D693="V02",cad!$J$28,cad!$K$28))</f>
        <v/>
      </c>
      <c r="K693">
        <f>IF(D693="V01",cad!$I$29,IF(D693="V02",cad!$J$29,cad!$K$29))</f>
        <v/>
      </c>
      <c r="L693">
        <f>IF(D693="V01",cad!$I$30,IF(D693="V02",cad!$J$30,cad!$K$30))</f>
        <v/>
      </c>
      <c r="M693">
        <f>IF(D693="V01",cad!$I$31,IF(D693="V02",cad!$J$31,cad!$K$31))</f>
        <v/>
      </c>
      <c r="N693">
        <f>IF(D693="V01",$R$2,IF(D693="V02",$R$3,$R$4))</f>
        <v/>
      </c>
      <c r="O693">
        <f>IF(OR(B693="7062",B693="706",B693="708"),N693,IF(B693="6231",1+G693,IF(B693="6236",1+H693,IF(OR(B693="621",B693="604",B693="6063"),N693*(1-L693),IF(OR(B693="6411",B693="6413",B693="6414",B693="645"),(1+J693)*(1+K693),IF(OR(B693="613",B693="615",B693="616",B693="6226",B693="625",B693="626",B693="6281"),(1+I693)*(1-L693)*(1+M693),IF(OR(B693="6331",B693="63511",B693="6333"),(1+I693)*(1-L693),IF(B693="6811",1+I693,1))))))))</f>
        <v/>
      </c>
      <c r="P693">
        <f>IF(E693=1,F693*O693,"")</f>
        <v/>
      </c>
    </row>
    <row r="694">
      <c r="A694">
        <f>PNL!A694</f>
        <v/>
      </c>
      <c r="B694">
        <f>PNL!B694</f>
        <v/>
      </c>
      <c r="C694">
        <f>PNL!C694</f>
        <v/>
      </c>
      <c r="D694">
        <f>PNL!D694</f>
        <v/>
      </c>
      <c r="E694">
        <f>IF(AND(C694="2027",OR(D694="V01",D694="V02",D694="V03")),1,0)</f>
        <v/>
      </c>
      <c r="F694">
        <f>IF(E694=1,SUMIFS(Compta!$F$2:$F$675,Compta!$A$2:$A$675,A694,Compta!$B$2:$B$675,B694,Compta!$C$2:$C$675,"2026"),0)</f>
        <v/>
      </c>
      <c r="G694">
        <f>IF(D694="V01",cad!$I$21,IF(D694="V02",cad!$J$21,cad!$K$21))</f>
        <v/>
      </c>
      <c r="H694">
        <f>IF(D694="V01",cad!$I$22,IF(D694="V02",cad!$J$22,cad!$K$22))</f>
        <v/>
      </c>
      <c r="I694">
        <f>IF(D694="V01",cad!$I$27,IF(D694="V02",cad!$J$27,cad!$K$27))</f>
        <v/>
      </c>
      <c r="J694">
        <f>IF(D694="V01",cad!$I$28,IF(D694="V02",cad!$J$28,cad!$K$28))</f>
        <v/>
      </c>
      <c r="K694">
        <f>IF(D694="V01",cad!$I$29,IF(D694="V02",cad!$J$29,cad!$K$29))</f>
        <v/>
      </c>
      <c r="L694">
        <f>IF(D694="V01",cad!$I$30,IF(D694="V02",cad!$J$30,cad!$K$30))</f>
        <v/>
      </c>
      <c r="M694">
        <f>IF(D694="V01",cad!$I$31,IF(D694="V02",cad!$J$31,cad!$K$31))</f>
        <v/>
      </c>
      <c r="N694">
        <f>IF(D694="V01",$R$2,IF(D694="V02",$R$3,$R$4))</f>
        <v/>
      </c>
      <c r="O694">
        <f>IF(OR(B694="7062",B694="706",B694="708"),N694,IF(B694="6231",1+G694,IF(B694="6236",1+H694,IF(OR(B694="621",B694="604",B694="6063"),N694*(1-L694),IF(OR(B694="6411",B694="6413",B694="6414",B694="645"),(1+J694)*(1+K694),IF(OR(B694="613",B694="615",B694="616",B694="6226",B694="625",B694="626",B694="6281"),(1+I694)*(1-L694)*(1+M694),IF(OR(B694="6331",B694="63511",B694="6333"),(1+I694)*(1-L694),IF(B694="6811",1+I694,1))))))))</f>
        <v/>
      </c>
      <c r="P694">
        <f>IF(E694=1,F694*O694,"")</f>
        <v/>
      </c>
    </row>
    <row r="695">
      <c r="A695">
        <f>PNL!A695</f>
        <v/>
      </c>
      <c r="B695">
        <f>PNL!B695</f>
        <v/>
      </c>
      <c r="C695">
        <f>PNL!C695</f>
        <v/>
      </c>
      <c r="D695">
        <f>PNL!D695</f>
        <v/>
      </c>
      <c r="E695">
        <f>IF(AND(C695="2027",OR(D695="V01",D695="V02",D695="V03")),1,0)</f>
        <v/>
      </c>
      <c r="F695">
        <f>IF(E695=1,SUMIFS(Compta!$F$2:$F$675,Compta!$A$2:$A$675,A695,Compta!$B$2:$B$675,B695,Compta!$C$2:$C$675,"2026"),0)</f>
        <v/>
      </c>
      <c r="G695">
        <f>IF(D695="V01",cad!$I$21,IF(D695="V02",cad!$J$21,cad!$K$21))</f>
        <v/>
      </c>
      <c r="H695">
        <f>IF(D695="V01",cad!$I$22,IF(D695="V02",cad!$J$22,cad!$K$22))</f>
        <v/>
      </c>
      <c r="I695">
        <f>IF(D695="V01",cad!$I$27,IF(D695="V02",cad!$J$27,cad!$K$27))</f>
        <v/>
      </c>
      <c r="J695">
        <f>IF(D695="V01",cad!$I$28,IF(D695="V02",cad!$J$28,cad!$K$28))</f>
        <v/>
      </c>
      <c r="K695">
        <f>IF(D695="V01",cad!$I$29,IF(D695="V02",cad!$J$29,cad!$K$29))</f>
        <v/>
      </c>
      <c r="L695">
        <f>IF(D695="V01",cad!$I$30,IF(D695="V02",cad!$J$30,cad!$K$30))</f>
        <v/>
      </c>
      <c r="M695">
        <f>IF(D695="V01",cad!$I$31,IF(D695="V02",cad!$J$31,cad!$K$31))</f>
        <v/>
      </c>
      <c r="N695">
        <f>IF(D695="V01",$R$2,IF(D695="V02",$R$3,$R$4))</f>
        <v/>
      </c>
      <c r="O695">
        <f>IF(OR(B695="7062",B695="706",B695="708"),N695,IF(B695="6231",1+G695,IF(B695="6236",1+H695,IF(OR(B695="621",B695="604",B695="6063"),N695*(1-L695),IF(OR(B695="6411",B695="6413",B695="6414",B695="645"),(1+J695)*(1+K695),IF(OR(B695="613",B695="615",B695="616",B695="6226",B695="625",B695="626",B695="6281"),(1+I695)*(1-L695)*(1+M695),IF(OR(B695="6331",B695="63511",B695="6333"),(1+I695)*(1-L695),IF(B695="6811",1+I695,1))))))))</f>
        <v/>
      </c>
      <c r="P695">
        <f>IF(E695=1,F695*O695,"")</f>
        <v/>
      </c>
    </row>
    <row r="696">
      <c r="A696">
        <f>PNL!A696</f>
        <v/>
      </c>
      <c r="B696">
        <f>PNL!B696</f>
        <v/>
      </c>
      <c r="C696">
        <f>PNL!C696</f>
        <v/>
      </c>
      <c r="D696">
        <f>PNL!D696</f>
        <v/>
      </c>
      <c r="E696">
        <f>IF(AND(C696="2027",OR(D696="V01",D696="V02",D696="V03")),1,0)</f>
        <v/>
      </c>
      <c r="F696">
        <f>IF(E696=1,SUMIFS(Compta!$F$2:$F$675,Compta!$A$2:$A$675,A696,Compta!$B$2:$B$675,B696,Compta!$C$2:$C$675,"2026"),0)</f>
        <v/>
      </c>
      <c r="G696">
        <f>IF(D696="V01",cad!$I$21,IF(D696="V02",cad!$J$21,cad!$K$21))</f>
        <v/>
      </c>
      <c r="H696">
        <f>IF(D696="V01",cad!$I$22,IF(D696="V02",cad!$J$22,cad!$K$22))</f>
        <v/>
      </c>
      <c r="I696">
        <f>IF(D696="V01",cad!$I$27,IF(D696="V02",cad!$J$27,cad!$K$27))</f>
        <v/>
      </c>
      <c r="J696">
        <f>IF(D696="V01",cad!$I$28,IF(D696="V02",cad!$J$28,cad!$K$28))</f>
        <v/>
      </c>
      <c r="K696">
        <f>IF(D696="V01",cad!$I$29,IF(D696="V02",cad!$J$29,cad!$K$29))</f>
        <v/>
      </c>
      <c r="L696">
        <f>IF(D696="V01",cad!$I$30,IF(D696="V02",cad!$J$30,cad!$K$30))</f>
        <v/>
      </c>
      <c r="M696">
        <f>IF(D696="V01",cad!$I$31,IF(D696="V02",cad!$J$31,cad!$K$31))</f>
        <v/>
      </c>
      <c r="N696">
        <f>IF(D696="V01",$R$2,IF(D696="V02",$R$3,$R$4))</f>
        <v/>
      </c>
      <c r="O696">
        <f>IF(OR(B696="7062",B696="706",B696="708"),N696,IF(B696="6231",1+G696,IF(B696="6236",1+H696,IF(OR(B696="621",B696="604",B696="6063"),N696*(1-L696),IF(OR(B696="6411",B696="6413",B696="6414",B696="645"),(1+J696)*(1+K696),IF(OR(B696="613",B696="615",B696="616",B696="6226",B696="625",B696="626",B696="6281"),(1+I696)*(1-L696)*(1+M696),IF(OR(B696="6331",B696="63511",B696="6333"),(1+I696)*(1-L696),IF(B696="6811",1+I696,1))))))))</f>
        <v/>
      </c>
      <c r="P696">
        <f>IF(E696=1,F696*O696,"")</f>
        <v/>
      </c>
    </row>
    <row r="697">
      <c r="A697">
        <f>PNL!A697</f>
        <v/>
      </c>
      <c r="B697">
        <f>PNL!B697</f>
        <v/>
      </c>
      <c r="C697">
        <f>PNL!C697</f>
        <v/>
      </c>
      <c r="D697">
        <f>PNL!D697</f>
        <v/>
      </c>
      <c r="E697">
        <f>IF(AND(C697="2027",OR(D697="V01",D697="V02",D697="V03")),1,0)</f>
        <v/>
      </c>
      <c r="F697">
        <f>IF(E697=1,SUMIFS(Compta!$F$2:$F$675,Compta!$A$2:$A$675,A697,Compta!$B$2:$B$675,B697,Compta!$C$2:$C$675,"2026"),0)</f>
        <v/>
      </c>
      <c r="G697">
        <f>IF(D697="V01",cad!$I$21,IF(D697="V02",cad!$J$21,cad!$K$21))</f>
        <v/>
      </c>
      <c r="H697">
        <f>IF(D697="V01",cad!$I$22,IF(D697="V02",cad!$J$22,cad!$K$22))</f>
        <v/>
      </c>
      <c r="I697">
        <f>IF(D697="V01",cad!$I$27,IF(D697="V02",cad!$J$27,cad!$K$27))</f>
        <v/>
      </c>
      <c r="J697">
        <f>IF(D697="V01",cad!$I$28,IF(D697="V02",cad!$J$28,cad!$K$28))</f>
        <v/>
      </c>
      <c r="K697">
        <f>IF(D697="V01",cad!$I$29,IF(D697="V02",cad!$J$29,cad!$K$29))</f>
        <v/>
      </c>
      <c r="L697">
        <f>IF(D697="V01",cad!$I$30,IF(D697="V02",cad!$J$30,cad!$K$30))</f>
        <v/>
      </c>
      <c r="M697">
        <f>IF(D697="V01",cad!$I$31,IF(D697="V02",cad!$J$31,cad!$K$31))</f>
        <v/>
      </c>
      <c r="N697">
        <f>IF(D697="V01",$R$2,IF(D697="V02",$R$3,$R$4))</f>
        <v/>
      </c>
      <c r="O697">
        <f>IF(OR(B697="7062",B697="706",B697="708"),N697,IF(B697="6231",1+G697,IF(B697="6236",1+H697,IF(OR(B697="621",B697="604",B697="6063"),N697*(1-L697),IF(OR(B697="6411",B697="6413",B697="6414",B697="645"),(1+J697)*(1+K697),IF(OR(B697="613",B697="615",B697="616",B697="6226",B697="625",B697="626",B697="6281"),(1+I697)*(1-L697)*(1+M697),IF(OR(B697="6331",B697="63511",B697="6333"),(1+I697)*(1-L697),IF(B697="6811",1+I697,1))))))))</f>
        <v/>
      </c>
      <c r="P697">
        <f>IF(E697=1,F697*O697,"")</f>
        <v/>
      </c>
    </row>
    <row r="698">
      <c r="A698">
        <f>PNL!A698</f>
        <v/>
      </c>
      <c r="B698">
        <f>PNL!B698</f>
        <v/>
      </c>
      <c r="C698">
        <f>PNL!C698</f>
        <v/>
      </c>
      <c r="D698">
        <f>PNL!D698</f>
        <v/>
      </c>
      <c r="E698">
        <f>IF(AND(C698="2027",OR(D698="V01",D698="V02",D698="V03")),1,0)</f>
        <v/>
      </c>
      <c r="F698">
        <f>IF(E698=1,SUMIFS(Compta!$F$2:$F$675,Compta!$A$2:$A$675,A698,Compta!$B$2:$B$675,B698,Compta!$C$2:$C$675,"2026"),0)</f>
        <v/>
      </c>
      <c r="G698">
        <f>IF(D698="V01",cad!$I$21,IF(D698="V02",cad!$J$21,cad!$K$21))</f>
        <v/>
      </c>
      <c r="H698">
        <f>IF(D698="V01",cad!$I$22,IF(D698="V02",cad!$J$22,cad!$K$22))</f>
        <v/>
      </c>
      <c r="I698">
        <f>IF(D698="V01",cad!$I$27,IF(D698="V02",cad!$J$27,cad!$K$27))</f>
        <v/>
      </c>
      <c r="J698">
        <f>IF(D698="V01",cad!$I$28,IF(D698="V02",cad!$J$28,cad!$K$28))</f>
        <v/>
      </c>
      <c r="K698">
        <f>IF(D698="V01",cad!$I$29,IF(D698="V02",cad!$J$29,cad!$K$29))</f>
        <v/>
      </c>
      <c r="L698">
        <f>IF(D698="V01",cad!$I$30,IF(D698="V02",cad!$J$30,cad!$K$30))</f>
        <v/>
      </c>
      <c r="M698">
        <f>IF(D698="V01",cad!$I$31,IF(D698="V02",cad!$J$31,cad!$K$31))</f>
        <v/>
      </c>
      <c r="N698">
        <f>IF(D698="V01",$R$2,IF(D698="V02",$R$3,$R$4))</f>
        <v/>
      </c>
      <c r="O698">
        <f>IF(OR(B698="7062",B698="706",B698="708"),N698,IF(B698="6231",1+G698,IF(B698="6236",1+H698,IF(OR(B698="621",B698="604",B698="6063"),N698*(1-L698),IF(OR(B698="6411",B698="6413",B698="6414",B698="645"),(1+J698)*(1+K698),IF(OR(B698="613",B698="615",B698="616",B698="6226",B698="625",B698="626",B698="6281"),(1+I698)*(1-L698)*(1+M698),IF(OR(B698="6331",B698="63511",B698="6333"),(1+I698)*(1-L698),IF(B698="6811",1+I698,1))))))))</f>
        <v/>
      </c>
      <c r="P698">
        <f>IF(E698=1,F698*O698,"")</f>
        <v/>
      </c>
    </row>
    <row r="699">
      <c r="A699">
        <f>PNL!A699</f>
        <v/>
      </c>
      <c r="B699">
        <f>PNL!B699</f>
        <v/>
      </c>
      <c r="C699">
        <f>PNL!C699</f>
        <v/>
      </c>
      <c r="D699">
        <f>PNL!D699</f>
        <v/>
      </c>
      <c r="E699">
        <f>IF(AND(C699="2027",OR(D699="V01",D699="V02",D699="V03")),1,0)</f>
        <v/>
      </c>
      <c r="F699">
        <f>IF(E699=1,SUMIFS(Compta!$F$2:$F$675,Compta!$A$2:$A$675,A699,Compta!$B$2:$B$675,B699,Compta!$C$2:$C$675,"2026"),0)</f>
        <v/>
      </c>
      <c r="G699">
        <f>IF(D699="V01",cad!$I$21,IF(D699="V02",cad!$J$21,cad!$K$21))</f>
        <v/>
      </c>
      <c r="H699">
        <f>IF(D699="V01",cad!$I$22,IF(D699="V02",cad!$J$22,cad!$K$22))</f>
        <v/>
      </c>
      <c r="I699">
        <f>IF(D699="V01",cad!$I$27,IF(D699="V02",cad!$J$27,cad!$K$27))</f>
        <v/>
      </c>
      <c r="J699">
        <f>IF(D699="V01",cad!$I$28,IF(D699="V02",cad!$J$28,cad!$K$28))</f>
        <v/>
      </c>
      <c r="K699">
        <f>IF(D699="V01",cad!$I$29,IF(D699="V02",cad!$J$29,cad!$K$29))</f>
        <v/>
      </c>
      <c r="L699">
        <f>IF(D699="V01",cad!$I$30,IF(D699="V02",cad!$J$30,cad!$K$30))</f>
        <v/>
      </c>
      <c r="M699">
        <f>IF(D699="V01",cad!$I$31,IF(D699="V02",cad!$J$31,cad!$K$31))</f>
        <v/>
      </c>
      <c r="N699">
        <f>IF(D699="V01",$R$2,IF(D699="V02",$R$3,$R$4))</f>
        <v/>
      </c>
      <c r="O699">
        <f>IF(OR(B699="7062",B699="706",B699="708"),N699,IF(B699="6231",1+G699,IF(B699="6236",1+H699,IF(OR(B699="621",B699="604",B699="6063"),N699*(1-L699),IF(OR(B699="6411",B699="6413",B699="6414",B699="645"),(1+J699)*(1+K699),IF(OR(B699="613",B699="615",B699="616",B699="6226",B699="625",B699="626",B699="6281"),(1+I699)*(1-L699)*(1+M699),IF(OR(B699="6331",B699="63511",B699="6333"),(1+I699)*(1-L699),IF(B699="6811",1+I699,1))))))))</f>
        <v/>
      </c>
      <c r="P699">
        <f>IF(E699=1,F699*O699,"")</f>
        <v/>
      </c>
    </row>
    <row r="700">
      <c r="A700">
        <f>PNL!A700</f>
        <v/>
      </c>
      <c r="B700">
        <f>PNL!B700</f>
        <v/>
      </c>
      <c r="C700">
        <f>PNL!C700</f>
        <v/>
      </c>
      <c r="D700">
        <f>PNL!D700</f>
        <v/>
      </c>
      <c r="E700">
        <f>IF(AND(C700="2027",OR(D700="V01",D700="V02",D700="V03")),1,0)</f>
        <v/>
      </c>
      <c r="F700">
        <f>IF(E700=1,SUMIFS(Compta!$F$2:$F$675,Compta!$A$2:$A$675,A700,Compta!$B$2:$B$675,B700,Compta!$C$2:$C$675,"2026"),0)</f>
        <v/>
      </c>
      <c r="G700">
        <f>IF(D700="V01",cad!$I$21,IF(D700="V02",cad!$J$21,cad!$K$21))</f>
        <v/>
      </c>
      <c r="H700">
        <f>IF(D700="V01",cad!$I$22,IF(D700="V02",cad!$J$22,cad!$K$22))</f>
        <v/>
      </c>
      <c r="I700">
        <f>IF(D700="V01",cad!$I$27,IF(D700="V02",cad!$J$27,cad!$K$27))</f>
        <v/>
      </c>
      <c r="J700">
        <f>IF(D700="V01",cad!$I$28,IF(D700="V02",cad!$J$28,cad!$K$28))</f>
        <v/>
      </c>
      <c r="K700">
        <f>IF(D700="V01",cad!$I$29,IF(D700="V02",cad!$J$29,cad!$K$29))</f>
        <v/>
      </c>
      <c r="L700">
        <f>IF(D700="V01",cad!$I$30,IF(D700="V02",cad!$J$30,cad!$K$30))</f>
        <v/>
      </c>
      <c r="M700">
        <f>IF(D700="V01",cad!$I$31,IF(D700="V02",cad!$J$31,cad!$K$31))</f>
        <v/>
      </c>
      <c r="N700">
        <f>IF(D700="V01",$R$2,IF(D700="V02",$R$3,$R$4))</f>
        <v/>
      </c>
      <c r="O700">
        <f>IF(OR(B700="7062",B700="706",B700="708"),N700,IF(B700="6231",1+G700,IF(B700="6236",1+H700,IF(OR(B700="621",B700="604",B700="6063"),N700*(1-L700),IF(OR(B700="6411",B700="6413",B700="6414",B700="645"),(1+J700)*(1+K700),IF(OR(B700="613",B700="615",B700="616",B700="6226",B700="625",B700="626",B700="6281"),(1+I700)*(1-L700)*(1+M700),IF(OR(B700="6331",B700="63511",B700="6333"),(1+I700)*(1-L700),IF(B700="6811",1+I700,1))))))))</f>
        <v/>
      </c>
      <c r="P700">
        <f>IF(E700=1,F700*O700,"")</f>
        <v/>
      </c>
    </row>
    <row r="701">
      <c r="A701">
        <f>PNL!A701</f>
        <v/>
      </c>
      <c r="B701">
        <f>PNL!B701</f>
        <v/>
      </c>
      <c r="C701">
        <f>PNL!C701</f>
        <v/>
      </c>
      <c r="D701">
        <f>PNL!D701</f>
        <v/>
      </c>
      <c r="E701">
        <f>IF(AND(C701="2027",OR(D701="V01",D701="V02",D701="V03")),1,0)</f>
        <v/>
      </c>
      <c r="F701">
        <f>IF(E701=1,SUMIFS(Compta!$F$2:$F$675,Compta!$A$2:$A$675,A701,Compta!$B$2:$B$675,B701,Compta!$C$2:$C$675,"2026"),0)</f>
        <v/>
      </c>
      <c r="G701">
        <f>IF(D701="V01",cad!$I$21,IF(D701="V02",cad!$J$21,cad!$K$21))</f>
        <v/>
      </c>
      <c r="H701">
        <f>IF(D701="V01",cad!$I$22,IF(D701="V02",cad!$J$22,cad!$K$22))</f>
        <v/>
      </c>
      <c r="I701">
        <f>IF(D701="V01",cad!$I$27,IF(D701="V02",cad!$J$27,cad!$K$27))</f>
        <v/>
      </c>
      <c r="J701">
        <f>IF(D701="V01",cad!$I$28,IF(D701="V02",cad!$J$28,cad!$K$28))</f>
        <v/>
      </c>
      <c r="K701">
        <f>IF(D701="V01",cad!$I$29,IF(D701="V02",cad!$J$29,cad!$K$29))</f>
        <v/>
      </c>
      <c r="L701">
        <f>IF(D701="V01",cad!$I$30,IF(D701="V02",cad!$J$30,cad!$K$30))</f>
        <v/>
      </c>
      <c r="M701">
        <f>IF(D701="V01",cad!$I$31,IF(D701="V02",cad!$J$31,cad!$K$31))</f>
        <v/>
      </c>
      <c r="N701">
        <f>IF(D701="V01",$R$2,IF(D701="V02",$R$3,$R$4))</f>
        <v/>
      </c>
      <c r="O701">
        <f>IF(OR(B701="7062",B701="706",B701="708"),N701,IF(B701="6231",1+G701,IF(B701="6236",1+H701,IF(OR(B701="621",B701="604",B701="6063"),N701*(1-L701),IF(OR(B701="6411",B701="6413",B701="6414",B701="645"),(1+J701)*(1+K701),IF(OR(B701="613",B701="615",B701="616",B701="6226",B701="625",B701="626",B701="6281"),(1+I701)*(1-L701)*(1+M701),IF(OR(B701="6331",B701="63511",B701="6333"),(1+I701)*(1-L701),IF(B701="6811",1+I701,1))))))))</f>
        <v/>
      </c>
      <c r="P701">
        <f>IF(E701=1,F701*O701,"")</f>
        <v/>
      </c>
    </row>
    <row r="702">
      <c r="A702">
        <f>PNL!A702</f>
        <v/>
      </c>
      <c r="B702">
        <f>PNL!B702</f>
        <v/>
      </c>
      <c r="C702">
        <f>PNL!C702</f>
        <v/>
      </c>
      <c r="D702">
        <f>PNL!D702</f>
        <v/>
      </c>
      <c r="E702">
        <f>IF(AND(C702="2027",OR(D702="V01",D702="V02",D702="V03")),1,0)</f>
        <v/>
      </c>
      <c r="F702">
        <f>IF(E702=1,SUMIFS(Compta!$F$2:$F$675,Compta!$A$2:$A$675,A702,Compta!$B$2:$B$675,B702,Compta!$C$2:$C$675,"2026"),0)</f>
        <v/>
      </c>
      <c r="G702">
        <f>IF(D702="V01",cad!$I$21,IF(D702="V02",cad!$J$21,cad!$K$21))</f>
        <v/>
      </c>
      <c r="H702">
        <f>IF(D702="V01",cad!$I$22,IF(D702="V02",cad!$J$22,cad!$K$22))</f>
        <v/>
      </c>
      <c r="I702">
        <f>IF(D702="V01",cad!$I$27,IF(D702="V02",cad!$J$27,cad!$K$27))</f>
        <v/>
      </c>
      <c r="J702">
        <f>IF(D702="V01",cad!$I$28,IF(D702="V02",cad!$J$28,cad!$K$28))</f>
        <v/>
      </c>
      <c r="K702">
        <f>IF(D702="V01",cad!$I$29,IF(D702="V02",cad!$J$29,cad!$K$29))</f>
        <v/>
      </c>
      <c r="L702">
        <f>IF(D702="V01",cad!$I$30,IF(D702="V02",cad!$J$30,cad!$K$30))</f>
        <v/>
      </c>
      <c r="M702">
        <f>IF(D702="V01",cad!$I$31,IF(D702="V02",cad!$J$31,cad!$K$31))</f>
        <v/>
      </c>
      <c r="N702">
        <f>IF(D702="V01",$R$2,IF(D702="V02",$R$3,$R$4))</f>
        <v/>
      </c>
      <c r="O702">
        <f>IF(OR(B702="7062",B702="706",B702="708"),N702,IF(B702="6231",1+G702,IF(B702="6236",1+H702,IF(OR(B702="621",B702="604",B702="6063"),N702*(1-L702),IF(OR(B702="6411",B702="6413",B702="6414",B702="645"),(1+J702)*(1+K702),IF(OR(B702="613",B702="615",B702="616",B702="6226",B702="625",B702="626",B702="6281"),(1+I702)*(1-L702)*(1+M702),IF(OR(B702="6331",B702="63511",B702="6333"),(1+I702)*(1-L702),IF(B702="6811",1+I702,1))))))))</f>
        <v/>
      </c>
      <c r="P702">
        <f>IF(E702=1,F702*O702,"")</f>
        <v/>
      </c>
    </row>
    <row r="703">
      <c r="A703">
        <f>PNL!A703</f>
        <v/>
      </c>
      <c r="B703">
        <f>PNL!B703</f>
        <v/>
      </c>
      <c r="C703">
        <f>PNL!C703</f>
        <v/>
      </c>
      <c r="D703">
        <f>PNL!D703</f>
        <v/>
      </c>
      <c r="E703">
        <f>IF(AND(C703="2027",OR(D703="V01",D703="V02",D703="V03")),1,0)</f>
        <v/>
      </c>
      <c r="F703">
        <f>IF(E703=1,SUMIFS(Compta!$F$2:$F$675,Compta!$A$2:$A$675,A703,Compta!$B$2:$B$675,B703,Compta!$C$2:$C$675,"2026"),0)</f>
        <v/>
      </c>
      <c r="G703">
        <f>IF(D703="V01",cad!$I$21,IF(D703="V02",cad!$J$21,cad!$K$21))</f>
        <v/>
      </c>
      <c r="H703">
        <f>IF(D703="V01",cad!$I$22,IF(D703="V02",cad!$J$22,cad!$K$22))</f>
        <v/>
      </c>
      <c r="I703">
        <f>IF(D703="V01",cad!$I$27,IF(D703="V02",cad!$J$27,cad!$K$27))</f>
        <v/>
      </c>
      <c r="J703">
        <f>IF(D703="V01",cad!$I$28,IF(D703="V02",cad!$J$28,cad!$K$28))</f>
        <v/>
      </c>
      <c r="K703">
        <f>IF(D703="V01",cad!$I$29,IF(D703="V02",cad!$J$29,cad!$K$29))</f>
        <v/>
      </c>
      <c r="L703">
        <f>IF(D703="V01",cad!$I$30,IF(D703="V02",cad!$J$30,cad!$K$30))</f>
        <v/>
      </c>
      <c r="M703">
        <f>IF(D703="V01",cad!$I$31,IF(D703="V02",cad!$J$31,cad!$K$31))</f>
        <v/>
      </c>
      <c r="N703">
        <f>IF(D703="V01",$R$2,IF(D703="V02",$R$3,$R$4))</f>
        <v/>
      </c>
      <c r="O703">
        <f>IF(OR(B703="7062",B703="706",B703="708"),N703,IF(B703="6231",1+G703,IF(B703="6236",1+H703,IF(OR(B703="621",B703="604",B703="6063"),N703*(1-L703),IF(OR(B703="6411",B703="6413",B703="6414",B703="645"),(1+J703)*(1+K703),IF(OR(B703="613",B703="615",B703="616",B703="6226",B703="625",B703="626",B703="6281"),(1+I703)*(1-L703)*(1+M703),IF(OR(B703="6331",B703="63511",B703="6333"),(1+I703)*(1-L703),IF(B703="6811",1+I703,1))))))))</f>
        <v/>
      </c>
      <c r="P703">
        <f>IF(E703=1,F703*O703,"")</f>
        <v/>
      </c>
    </row>
    <row r="704">
      <c r="A704">
        <f>PNL!A704</f>
        <v/>
      </c>
      <c r="B704">
        <f>PNL!B704</f>
        <v/>
      </c>
      <c r="C704">
        <f>PNL!C704</f>
        <v/>
      </c>
      <c r="D704">
        <f>PNL!D704</f>
        <v/>
      </c>
      <c r="E704">
        <f>IF(AND(C704="2027",OR(D704="V01",D704="V02",D704="V03")),1,0)</f>
        <v/>
      </c>
      <c r="F704">
        <f>IF(E704=1,SUMIFS(Compta!$F$2:$F$675,Compta!$A$2:$A$675,A704,Compta!$B$2:$B$675,B704,Compta!$C$2:$C$675,"2026"),0)</f>
        <v/>
      </c>
      <c r="G704">
        <f>IF(D704="V01",cad!$I$21,IF(D704="V02",cad!$J$21,cad!$K$21))</f>
        <v/>
      </c>
      <c r="H704">
        <f>IF(D704="V01",cad!$I$22,IF(D704="V02",cad!$J$22,cad!$K$22))</f>
        <v/>
      </c>
      <c r="I704">
        <f>IF(D704="V01",cad!$I$27,IF(D704="V02",cad!$J$27,cad!$K$27))</f>
        <v/>
      </c>
      <c r="J704">
        <f>IF(D704="V01",cad!$I$28,IF(D704="V02",cad!$J$28,cad!$K$28))</f>
        <v/>
      </c>
      <c r="K704">
        <f>IF(D704="V01",cad!$I$29,IF(D704="V02",cad!$J$29,cad!$K$29))</f>
        <v/>
      </c>
      <c r="L704">
        <f>IF(D704="V01",cad!$I$30,IF(D704="V02",cad!$J$30,cad!$K$30))</f>
        <v/>
      </c>
      <c r="M704">
        <f>IF(D704="V01",cad!$I$31,IF(D704="V02",cad!$J$31,cad!$K$31))</f>
        <v/>
      </c>
      <c r="N704">
        <f>IF(D704="V01",$R$2,IF(D704="V02",$R$3,$R$4))</f>
        <v/>
      </c>
      <c r="O704">
        <f>IF(OR(B704="7062",B704="706",B704="708"),N704,IF(B704="6231",1+G704,IF(B704="6236",1+H704,IF(OR(B704="621",B704="604",B704="6063"),N704*(1-L704),IF(OR(B704="6411",B704="6413",B704="6414",B704="645"),(1+J704)*(1+K704),IF(OR(B704="613",B704="615",B704="616",B704="6226",B704="625",B704="626",B704="6281"),(1+I704)*(1-L704)*(1+M704),IF(OR(B704="6331",B704="63511",B704="6333"),(1+I704)*(1-L704),IF(B704="6811",1+I704,1))))))))</f>
        <v/>
      </c>
      <c r="P704">
        <f>IF(E704=1,F704*O704,"")</f>
        <v/>
      </c>
    </row>
    <row r="705">
      <c r="A705">
        <f>PNL!A705</f>
        <v/>
      </c>
      <c r="B705">
        <f>PNL!B705</f>
        <v/>
      </c>
      <c r="C705">
        <f>PNL!C705</f>
        <v/>
      </c>
      <c r="D705">
        <f>PNL!D705</f>
        <v/>
      </c>
      <c r="E705">
        <f>IF(AND(C705="2027",OR(D705="V01",D705="V02",D705="V03")),1,0)</f>
        <v/>
      </c>
      <c r="F705">
        <f>IF(E705=1,SUMIFS(Compta!$F$2:$F$675,Compta!$A$2:$A$675,A705,Compta!$B$2:$B$675,B705,Compta!$C$2:$C$675,"2026"),0)</f>
        <v/>
      </c>
      <c r="G705">
        <f>IF(D705="V01",cad!$I$21,IF(D705="V02",cad!$J$21,cad!$K$21))</f>
        <v/>
      </c>
      <c r="H705">
        <f>IF(D705="V01",cad!$I$22,IF(D705="V02",cad!$J$22,cad!$K$22))</f>
        <v/>
      </c>
      <c r="I705">
        <f>IF(D705="V01",cad!$I$27,IF(D705="V02",cad!$J$27,cad!$K$27))</f>
        <v/>
      </c>
      <c r="J705">
        <f>IF(D705="V01",cad!$I$28,IF(D705="V02",cad!$J$28,cad!$K$28))</f>
        <v/>
      </c>
      <c r="K705">
        <f>IF(D705="V01",cad!$I$29,IF(D705="V02",cad!$J$29,cad!$K$29))</f>
        <v/>
      </c>
      <c r="L705">
        <f>IF(D705="V01",cad!$I$30,IF(D705="V02",cad!$J$30,cad!$K$30))</f>
        <v/>
      </c>
      <c r="M705">
        <f>IF(D705="V01",cad!$I$31,IF(D705="V02",cad!$J$31,cad!$K$31))</f>
        <v/>
      </c>
      <c r="N705">
        <f>IF(D705="V01",$R$2,IF(D705="V02",$R$3,$R$4))</f>
        <v/>
      </c>
      <c r="O705">
        <f>IF(OR(B705="7062",B705="706",B705="708"),N705,IF(B705="6231",1+G705,IF(B705="6236",1+H705,IF(OR(B705="621",B705="604",B705="6063"),N705*(1-L705),IF(OR(B705="6411",B705="6413",B705="6414",B705="645"),(1+J705)*(1+K705),IF(OR(B705="613",B705="615",B705="616",B705="6226",B705="625",B705="626",B705="6281"),(1+I705)*(1-L705)*(1+M705),IF(OR(B705="6331",B705="63511",B705="6333"),(1+I705)*(1-L705),IF(B705="6811",1+I705,1))))))))</f>
        <v/>
      </c>
      <c r="P705">
        <f>IF(E705=1,F705*O705,"")</f>
        <v/>
      </c>
    </row>
    <row r="706">
      <c r="A706">
        <f>PNL!A706</f>
        <v/>
      </c>
      <c r="B706">
        <f>PNL!B706</f>
        <v/>
      </c>
      <c r="C706">
        <f>PNL!C706</f>
        <v/>
      </c>
      <c r="D706">
        <f>PNL!D706</f>
        <v/>
      </c>
      <c r="E706">
        <f>IF(AND(C706="2027",OR(D706="V01",D706="V02",D706="V03")),1,0)</f>
        <v/>
      </c>
      <c r="F706">
        <f>IF(E706=1,SUMIFS(Compta!$F$2:$F$675,Compta!$A$2:$A$675,A706,Compta!$B$2:$B$675,B706,Compta!$C$2:$C$675,"2026"),0)</f>
        <v/>
      </c>
      <c r="G706">
        <f>IF(D706="V01",cad!$I$21,IF(D706="V02",cad!$J$21,cad!$K$21))</f>
        <v/>
      </c>
      <c r="H706">
        <f>IF(D706="V01",cad!$I$22,IF(D706="V02",cad!$J$22,cad!$K$22))</f>
        <v/>
      </c>
      <c r="I706">
        <f>IF(D706="V01",cad!$I$27,IF(D706="V02",cad!$J$27,cad!$K$27))</f>
        <v/>
      </c>
      <c r="J706">
        <f>IF(D706="V01",cad!$I$28,IF(D706="V02",cad!$J$28,cad!$K$28))</f>
        <v/>
      </c>
      <c r="K706">
        <f>IF(D706="V01",cad!$I$29,IF(D706="V02",cad!$J$29,cad!$K$29))</f>
        <v/>
      </c>
      <c r="L706">
        <f>IF(D706="V01",cad!$I$30,IF(D706="V02",cad!$J$30,cad!$K$30))</f>
        <v/>
      </c>
      <c r="M706">
        <f>IF(D706="V01",cad!$I$31,IF(D706="V02",cad!$J$31,cad!$K$31))</f>
        <v/>
      </c>
      <c r="N706">
        <f>IF(D706="V01",$R$2,IF(D706="V02",$R$3,$R$4))</f>
        <v/>
      </c>
      <c r="O706">
        <f>IF(OR(B706="7062",B706="706",B706="708"),N706,IF(B706="6231",1+G706,IF(B706="6236",1+H706,IF(OR(B706="621",B706="604",B706="6063"),N706*(1-L706),IF(OR(B706="6411",B706="6413",B706="6414",B706="645"),(1+J706)*(1+K706),IF(OR(B706="613",B706="615",B706="616",B706="6226",B706="625",B706="626",B706="6281"),(1+I706)*(1-L706)*(1+M706),IF(OR(B706="6331",B706="63511",B706="6333"),(1+I706)*(1-L706),IF(B706="6811",1+I706,1))))))))</f>
        <v/>
      </c>
      <c r="P706">
        <f>IF(E706=1,F706*O706,"")</f>
        <v/>
      </c>
    </row>
    <row r="707">
      <c r="A707">
        <f>PNL!A707</f>
        <v/>
      </c>
      <c r="B707">
        <f>PNL!B707</f>
        <v/>
      </c>
      <c r="C707">
        <f>PNL!C707</f>
        <v/>
      </c>
      <c r="D707">
        <f>PNL!D707</f>
        <v/>
      </c>
      <c r="E707">
        <f>IF(AND(C707="2027",OR(D707="V01",D707="V02",D707="V03")),1,0)</f>
        <v/>
      </c>
      <c r="F707">
        <f>IF(E707=1,SUMIFS(Compta!$F$2:$F$675,Compta!$A$2:$A$675,A707,Compta!$B$2:$B$675,B707,Compta!$C$2:$C$675,"2026"),0)</f>
        <v/>
      </c>
      <c r="G707">
        <f>IF(D707="V01",cad!$I$21,IF(D707="V02",cad!$J$21,cad!$K$21))</f>
        <v/>
      </c>
      <c r="H707">
        <f>IF(D707="V01",cad!$I$22,IF(D707="V02",cad!$J$22,cad!$K$22))</f>
        <v/>
      </c>
      <c r="I707">
        <f>IF(D707="V01",cad!$I$27,IF(D707="V02",cad!$J$27,cad!$K$27))</f>
        <v/>
      </c>
      <c r="J707">
        <f>IF(D707="V01",cad!$I$28,IF(D707="V02",cad!$J$28,cad!$K$28))</f>
        <v/>
      </c>
      <c r="K707">
        <f>IF(D707="V01",cad!$I$29,IF(D707="V02",cad!$J$29,cad!$K$29))</f>
        <v/>
      </c>
      <c r="L707">
        <f>IF(D707="V01",cad!$I$30,IF(D707="V02",cad!$J$30,cad!$K$30))</f>
        <v/>
      </c>
      <c r="M707">
        <f>IF(D707="V01",cad!$I$31,IF(D707="V02",cad!$J$31,cad!$K$31))</f>
        <v/>
      </c>
      <c r="N707">
        <f>IF(D707="V01",$R$2,IF(D707="V02",$R$3,$R$4))</f>
        <v/>
      </c>
      <c r="O707">
        <f>IF(OR(B707="7062",B707="706",B707="708"),N707,IF(B707="6231",1+G707,IF(B707="6236",1+H707,IF(OR(B707="621",B707="604",B707="6063"),N707*(1-L707),IF(OR(B707="6411",B707="6413",B707="6414",B707="645"),(1+J707)*(1+K707),IF(OR(B707="613",B707="615",B707="616",B707="6226",B707="625",B707="626",B707="6281"),(1+I707)*(1-L707)*(1+M707),IF(OR(B707="6331",B707="63511",B707="6333"),(1+I707)*(1-L707),IF(B707="6811",1+I707,1))))))))</f>
        <v/>
      </c>
      <c r="P707">
        <f>IF(E707=1,F707*O707,"")</f>
        <v/>
      </c>
    </row>
    <row r="708">
      <c r="A708">
        <f>PNL!A708</f>
        <v/>
      </c>
      <c r="B708">
        <f>PNL!B708</f>
        <v/>
      </c>
      <c r="C708">
        <f>PNL!C708</f>
        <v/>
      </c>
      <c r="D708">
        <f>PNL!D708</f>
        <v/>
      </c>
      <c r="E708">
        <f>IF(AND(C708="2027",OR(D708="V01",D708="V02",D708="V03")),1,0)</f>
        <v/>
      </c>
      <c r="F708">
        <f>IF(E708=1,SUMIFS(Compta!$F$2:$F$675,Compta!$A$2:$A$675,A708,Compta!$B$2:$B$675,B708,Compta!$C$2:$C$675,"2026"),0)</f>
        <v/>
      </c>
      <c r="G708">
        <f>IF(D708="V01",cad!$I$21,IF(D708="V02",cad!$J$21,cad!$K$21))</f>
        <v/>
      </c>
      <c r="H708">
        <f>IF(D708="V01",cad!$I$22,IF(D708="V02",cad!$J$22,cad!$K$22))</f>
        <v/>
      </c>
      <c r="I708">
        <f>IF(D708="V01",cad!$I$27,IF(D708="V02",cad!$J$27,cad!$K$27))</f>
        <v/>
      </c>
      <c r="J708">
        <f>IF(D708="V01",cad!$I$28,IF(D708="V02",cad!$J$28,cad!$K$28))</f>
        <v/>
      </c>
      <c r="K708">
        <f>IF(D708="V01",cad!$I$29,IF(D708="V02",cad!$J$29,cad!$K$29))</f>
        <v/>
      </c>
      <c r="L708">
        <f>IF(D708="V01",cad!$I$30,IF(D708="V02",cad!$J$30,cad!$K$30))</f>
        <v/>
      </c>
      <c r="M708">
        <f>IF(D708="V01",cad!$I$31,IF(D708="V02",cad!$J$31,cad!$K$31))</f>
        <v/>
      </c>
      <c r="N708">
        <f>IF(D708="V01",$R$2,IF(D708="V02",$R$3,$R$4))</f>
        <v/>
      </c>
      <c r="O708">
        <f>IF(OR(B708="7062",B708="706",B708="708"),N708,IF(B708="6231",1+G708,IF(B708="6236",1+H708,IF(OR(B708="621",B708="604",B708="6063"),N708*(1-L708),IF(OR(B708="6411",B708="6413",B708="6414",B708="645"),(1+J708)*(1+K708),IF(OR(B708="613",B708="615",B708="616",B708="6226",B708="625",B708="626",B708="6281"),(1+I708)*(1-L708)*(1+M708),IF(OR(B708="6331",B708="63511",B708="6333"),(1+I708)*(1-L708),IF(B708="6811",1+I708,1))))))))</f>
        <v/>
      </c>
      <c r="P708">
        <f>IF(E708=1,F708*O708,"")</f>
        <v/>
      </c>
    </row>
    <row r="709">
      <c r="A709">
        <f>PNL!A709</f>
        <v/>
      </c>
      <c r="B709">
        <f>PNL!B709</f>
        <v/>
      </c>
      <c r="C709">
        <f>PNL!C709</f>
        <v/>
      </c>
      <c r="D709">
        <f>PNL!D709</f>
        <v/>
      </c>
      <c r="E709">
        <f>IF(AND(C709="2027",OR(D709="V01",D709="V02",D709="V03")),1,0)</f>
        <v/>
      </c>
      <c r="F709">
        <f>IF(E709=1,SUMIFS(Compta!$F$2:$F$675,Compta!$A$2:$A$675,A709,Compta!$B$2:$B$675,B709,Compta!$C$2:$C$675,"2026"),0)</f>
        <v/>
      </c>
      <c r="G709">
        <f>IF(D709="V01",cad!$I$21,IF(D709="V02",cad!$J$21,cad!$K$21))</f>
        <v/>
      </c>
      <c r="H709">
        <f>IF(D709="V01",cad!$I$22,IF(D709="V02",cad!$J$22,cad!$K$22))</f>
        <v/>
      </c>
      <c r="I709">
        <f>IF(D709="V01",cad!$I$27,IF(D709="V02",cad!$J$27,cad!$K$27))</f>
        <v/>
      </c>
      <c r="J709">
        <f>IF(D709="V01",cad!$I$28,IF(D709="V02",cad!$J$28,cad!$K$28))</f>
        <v/>
      </c>
      <c r="K709">
        <f>IF(D709="V01",cad!$I$29,IF(D709="V02",cad!$J$29,cad!$K$29))</f>
        <v/>
      </c>
      <c r="L709">
        <f>IF(D709="V01",cad!$I$30,IF(D709="V02",cad!$J$30,cad!$K$30))</f>
        <v/>
      </c>
      <c r="M709">
        <f>IF(D709="V01",cad!$I$31,IF(D709="V02",cad!$J$31,cad!$K$31))</f>
        <v/>
      </c>
      <c r="N709">
        <f>IF(D709="V01",$R$2,IF(D709="V02",$R$3,$R$4))</f>
        <v/>
      </c>
      <c r="O709">
        <f>IF(OR(B709="7062",B709="706",B709="708"),N709,IF(B709="6231",1+G709,IF(B709="6236",1+H709,IF(OR(B709="621",B709="604",B709="6063"),N709*(1-L709),IF(OR(B709="6411",B709="6413",B709="6414",B709="645"),(1+J709)*(1+K709),IF(OR(B709="613",B709="615",B709="616",B709="6226",B709="625",B709="626",B709="6281"),(1+I709)*(1-L709)*(1+M709),IF(OR(B709="6331",B709="63511",B709="6333"),(1+I709)*(1-L709),IF(B709="6811",1+I709,1))))))))</f>
        <v/>
      </c>
      <c r="P709">
        <f>IF(E709=1,F709*O709,"")</f>
        <v/>
      </c>
    </row>
    <row r="710">
      <c r="A710">
        <f>PNL!A710</f>
        <v/>
      </c>
      <c r="B710">
        <f>PNL!B710</f>
        <v/>
      </c>
      <c r="C710">
        <f>PNL!C710</f>
        <v/>
      </c>
      <c r="D710">
        <f>PNL!D710</f>
        <v/>
      </c>
      <c r="E710">
        <f>IF(AND(C710="2027",OR(D710="V01",D710="V02",D710="V03")),1,0)</f>
        <v/>
      </c>
      <c r="F710">
        <f>IF(E710=1,SUMIFS(Compta!$F$2:$F$675,Compta!$A$2:$A$675,A710,Compta!$B$2:$B$675,B710,Compta!$C$2:$C$675,"2026"),0)</f>
        <v/>
      </c>
      <c r="G710">
        <f>IF(D710="V01",cad!$I$21,IF(D710="V02",cad!$J$21,cad!$K$21))</f>
        <v/>
      </c>
      <c r="H710">
        <f>IF(D710="V01",cad!$I$22,IF(D710="V02",cad!$J$22,cad!$K$22))</f>
        <v/>
      </c>
      <c r="I710">
        <f>IF(D710="V01",cad!$I$27,IF(D710="V02",cad!$J$27,cad!$K$27))</f>
        <v/>
      </c>
      <c r="J710">
        <f>IF(D710="V01",cad!$I$28,IF(D710="V02",cad!$J$28,cad!$K$28))</f>
        <v/>
      </c>
      <c r="K710">
        <f>IF(D710="V01",cad!$I$29,IF(D710="V02",cad!$J$29,cad!$K$29))</f>
        <v/>
      </c>
      <c r="L710">
        <f>IF(D710="V01",cad!$I$30,IF(D710="V02",cad!$J$30,cad!$K$30))</f>
        <v/>
      </c>
      <c r="M710">
        <f>IF(D710="V01",cad!$I$31,IF(D710="V02",cad!$J$31,cad!$K$31))</f>
        <v/>
      </c>
      <c r="N710">
        <f>IF(D710="V01",$R$2,IF(D710="V02",$R$3,$R$4))</f>
        <v/>
      </c>
      <c r="O710">
        <f>IF(OR(B710="7062",B710="706",B710="708"),N710,IF(B710="6231",1+G710,IF(B710="6236",1+H710,IF(OR(B710="621",B710="604",B710="6063"),N710*(1-L710),IF(OR(B710="6411",B710="6413",B710="6414",B710="645"),(1+J710)*(1+K710),IF(OR(B710="613",B710="615",B710="616",B710="6226",B710="625",B710="626",B710="6281"),(1+I710)*(1-L710)*(1+M710),IF(OR(B710="6331",B710="63511",B710="6333"),(1+I710)*(1-L710),IF(B710="6811",1+I710,1))))))))</f>
        <v/>
      </c>
      <c r="P710">
        <f>IF(E710=1,F710*O710,"")</f>
        <v/>
      </c>
    </row>
    <row r="711">
      <c r="A711">
        <f>PNL!A711</f>
        <v/>
      </c>
      <c r="B711">
        <f>PNL!B711</f>
        <v/>
      </c>
      <c r="C711">
        <f>PNL!C711</f>
        <v/>
      </c>
      <c r="D711">
        <f>PNL!D711</f>
        <v/>
      </c>
      <c r="E711">
        <f>IF(AND(C711="2027",OR(D711="V01",D711="V02",D711="V03")),1,0)</f>
        <v/>
      </c>
      <c r="F711">
        <f>IF(E711=1,SUMIFS(Compta!$F$2:$F$675,Compta!$A$2:$A$675,A711,Compta!$B$2:$B$675,B711,Compta!$C$2:$C$675,"2026"),0)</f>
        <v/>
      </c>
      <c r="G711">
        <f>IF(D711="V01",cad!$I$21,IF(D711="V02",cad!$J$21,cad!$K$21))</f>
        <v/>
      </c>
      <c r="H711">
        <f>IF(D711="V01",cad!$I$22,IF(D711="V02",cad!$J$22,cad!$K$22))</f>
        <v/>
      </c>
      <c r="I711">
        <f>IF(D711="V01",cad!$I$27,IF(D711="V02",cad!$J$27,cad!$K$27))</f>
        <v/>
      </c>
      <c r="J711">
        <f>IF(D711="V01",cad!$I$28,IF(D711="V02",cad!$J$28,cad!$K$28))</f>
        <v/>
      </c>
      <c r="K711">
        <f>IF(D711="V01",cad!$I$29,IF(D711="V02",cad!$J$29,cad!$K$29))</f>
        <v/>
      </c>
      <c r="L711">
        <f>IF(D711="V01",cad!$I$30,IF(D711="V02",cad!$J$30,cad!$K$30))</f>
        <v/>
      </c>
      <c r="M711">
        <f>IF(D711="V01",cad!$I$31,IF(D711="V02",cad!$J$31,cad!$K$31))</f>
        <v/>
      </c>
      <c r="N711">
        <f>IF(D711="V01",$R$2,IF(D711="V02",$R$3,$R$4))</f>
        <v/>
      </c>
      <c r="O711">
        <f>IF(OR(B711="7062",B711="706",B711="708"),N711,IF(B711="6231",1+G711,IF(B711="6236",1+H711,IF(OR(B711="621",B711="604",B711="6063"),N711*(1-L711),IF(OR(B711="6411",B711="6413",B711="6414",B711="645"),(1+J711)*(1+K711),IF(OR(B711="613",B711="615",B711="616",B711="6226",B711="625",B711="626",B711="6281"),(1+I711)*(1-L711)*(1+M711),IF(OR(B711="6331",B711="63511",B711="6333"),(1+I711)*(1-L711),IF(B711="6811",1+I711,1))))))))</f>
        <v/>
      </c>
      <c r="P711">
        <f>IF(E711=1,F711*O711,"")</f>
        <v/>
      </c>
    </row>
    <row r="712">
      <c r="A712">
        <f>PNL!A712</f>
        <v/>
      </c>
      <c r="B712">
        <f>PNL!B712</f>
        <v/>
      </c>
      <c r="C712">
        <f>PNL!C712</f>
        <v/>
      </c>
      <c r="D712">
        <f>PNL!D712</f>
        <v/>
      </c>
      <c r="E712">
        <f>IF(AND(C712="2027",OR(D712="V01",D712="V02",D712="V03")),1,0)</f>
        <v/>
      </c>
      <c r="F712">
        <f>IF(E712=1,SUMIFS(Compta!$F$2:$F$675,Compta!$A$2:$A$675,A712,Compta!$B$2:$B$675,B712,Compta!$C$2:$C$675,"2026"),0)</f>
        <v/>
      </c>
      <c r="G712">
        <f>IF(D712="V01",cad!$I$21,IF(D712="V02",cad!$J$21,cad!$K$21))</f>
        <v/>
      </c>
      <c r="H712">
        <f>IF(D712="V01",cad!$I$22,IF(D712="V02",cad!$J$22,cad!$K$22))</f>
        <v/>
      </c>
      <c r="I712">
        <f>IF(D712="V01",cad!$I$27,IF(D712="V02",cad!$J$27,cad!$K$27))</f>
        <v/>
      </c>
      <c r="J712">
        <f>IF(D712="V01",cad!$I$28,IF(D712="V02",cad!$J$28,cad!$K$28))</f>
        <v/>
      </c>
      <c r="K712">
        <f>IF(D712="V01",cad!$I$29,IF(D712="V02",cad!$J$29,cad!$K$29))</f>
        <v/>
      </c>
      <c r="L712">
        <f>IF(D712="V01",cad!$I$30,IF(D712="V02",cad!$J$30,cad!$K$30))</f>
        <v/>
      </c>
      <c r="M712">
        <f>IF(D712="V01",cad!$I$31,IF(D712="V02",cad!$J$31,cad!$K$31))</f>
        <v/>
      </c>
      <c r="N712">
        <f>IF(D712="V01",$R$2,IF(D712="V02",$R$3,$R$4))</f>
        <v/>
      </c>
      <c r="O712">
        <f>IF(OR(B712="7062",B712="706",B712="708"),N712,IF(B712="6231",1+G712,IF(B712="6236",1+H712,IF(OR(B712="621",B712="604",B712="6063"),N712*(1-L712),IF(OR(B712="6411",B712="6413",B712="6414",B712="645"),(1+J712)*(1+K712),IF(OR(B712="613",B712="615",B712="616",B712="6226",B712="625",B712="626",B712="6281"),(1+I712)*(1-L712)*(1+M712),IF(OR(B712="6331",B712="63511",B712="6333"),(1+I712)*(1-L712),IF(B712="6811",1+I712,1))))))))</f>
        <v/>
      </c>
      <c r="P712">
        <f>IF(E712=1,F712*O712,"")</f>
        <v/>
      </c>
    </row>
    <row r="713">
      <c r="A713">
        <f>PNL!A713</f>
        <v/>
      </c>
      <c r="B713">
        <f>PNL!B713</f>
        <v/>
      </c>
      <c r="C713">
        <f>PNL!C713</f>
        <v/>
      </c>
      <c r="D713">
        <f>PNL!D713</f>
        <v/>
      </c>
      <c r="E713">
        <f>IF(AND(C713="2027",OR(D713="V01",D713="V02",D713="V03")),1,0)</f>
        <v/>
      </c>
      <c r="F713">
        <f>IF(E713=1,SUMIFS(Compta!$F$2:$F$675,Compta!$A$2:$A$675,A713,Compta!$B$2:$B$675,B713,Compta!$C$2:$C$675,"2026"),0)</f>
        <v/>
      </c>
      <c r="G713">
        <f>IF(D713="V01",cad!$I$21,IF(D713="V02",cad!$J$21,cad!$K$21))</f>
        <v/>
      </c>
      <c r="H713">
        <f>IF(D713="V01",cad!$I$22,IF(D713="V02",cad!$J$22,cad!$K$22))</f>
        <v/>
      </c>
      <c r="I713">
        <f>IF(D713="V01",cad!$I$27,IF(D713="V02",cad!$J$27,cad!$K$27))</f>
        <v/>
      </c>
      <c r="J713">
        <f>IF(D713="V01",cad!$I$28,IF(D713="V02",cad!$J$28,cad!$K$28))</f>
        <v/>
      </c>
      <c r="K713">
        <f>IF(D713="V01",cad!$I$29,IF(D713="V02",cad!$J$29,cad!$K$29))</f>
        <v/>
      </c>
      <c r="L713">
        <f>IF(D713="V01",cad!$I$30,IF(D713="V02",cad!$J$30,cad!$K$30))</f>
        <v/>
      </c>
      <c r="M713">
        <f>IF(D713="V01",cad!$I$31,IF(D713="V02",cad!$J$31,cad!$K$31))</f>
        <v/>
      </c>
      <c r="N713">
        <f>IF(D713="V01",$R$2,IF(D713="V02",$R$3,$R$4))</f>
        <v/>
      </c>
      <c r="O713">
        <f>IF(OR(B713="7062",B713="706",B713="708"),N713,IF(B713="6231",1+G713,IF(B713="6236",1+H713,IF(OR(B713="621",B713="604",B713="6063"),N713*(1-L713),IF(OR(B713="6411",B713="6413",B713="6414",B713="645"),(1+J713)*(1+K713),IF(OR(B713="613",B713="615",B713="616",B713="6226",B713="625",B713="626",B713="6281"),(1+I713)*(1-L713)*(1+M713),IF(OR(B713="6331",B713="63511",B713="6333"),(1+I713)*(1-L713),IF(B713="6811",1+I713,1))))))))</f>
        <v/>
      </c>
      <c r="P713">
        <f>IF(E713=1,F713*O713,"")</f>
        <v/>
      </c>
    </row>
    <row r="714">
      <c r="A714">
        <f>PNL!A714</f>
        <v/>
      </c>
      <c r="B714">
        <f>PNL!B714</f>
        <v/>
      </c>
      <c r="C714">
        <f>PNL!C714</f>
        <v/>
      </c>
      <c r="D714">
        <f>PNL!D714</f>
        <v/>
      </c>
      <c r="E714">
        <f>IF(AND(C714="2027",OR(D714="V01",D714="V02",D714="V03")),1,0)</f>
        <v/>
      </c>
      <c r="F714">
        <f>IF(E714=1,SUMIFS(Compta!$F$2:$F$675,Compta!$A$2:$A$675,A714,Compta!$B$2:$B$675,B714,Compta!$C$2:$C$675,"2026"),0)</f>
        <v/>
      </c>
      <c r="G714">
        <f>IF(D714="V01",cad!$I$21,IF(D714="V02",cad!$J$21,cad!$K$21))</f>
        <v/>
      </c>
      <c r="H714">
        <f>IF(D714="V01",cad!$I$22,IF(D714="V02",cad!$J$22,cad!$K$22))</f>
        <v/>
      </c>
      <c r="I714">
        <f>IF(D714="V01",cad!$I$27,IF(D714="V02",cad!$J$27,cad!$K$27))</f>
        <v/>
      </c>
      <c r="J714">
        <f>IF(D714="V01",cad!$I$28,IF(D714="V02",cad!$J$28,cad!$K$28))</f>
        <v/>
      </c>
      <c r="K714">
        <f>IF(D714="V01",cad!$I$29,IF(D714="V02",cad!$J$29,cad!$K$29))</f>
        <v/>
      </c>
      <c r="L714">
        <f>IF(D714="V01",cad!$I$30,IF(D714="V02",cad!$J$30,cad!$K$30))</f>
        <v/>
      </c>
      <c r="M714">
        <f>IF(D714="V01",cad!$I$31,IF(D714="V02",cad!$J$31,cad!$K$31))</f>
        <v/>
      </c>
      <c r="N714">
        <f>IF(D714="V01",$R$2,IF(D714="V02",$R$3,$R$4))</f>
        <v/>
      </c>
      <c r="O714">
        <f>IF(OR(B714="7062",B714="706",B714="708"),N714,IF(B714="6231",1+G714,IF(B714="6236",1+H714,IF(OR(B714="621",B714="604",B714="6063"),N714*(1-L714),IF(OR(B714="6411",B714="6413",B714="6414",B714="645"),(1+J714)*(1+K714),IF(OR(B714="613",B714="615",B714="616",B714="6226",B714="625",B714="626",B714="6281"),(1+I714)*(1-L714)*(1+M714),IF(OR(B714="6331",B714="63511",B714="6333"),(1+I714)*(1-L714),IF(B714="6811",1+I714,1))))))))</f>
        <v/>
      </c>
      <c r="P714">
        <f>IF(E714=1,F714*O714,"")</f>
        <v/>
      </c>
    </row>
    <row r="715">
      <c r="A715">
        <f>PNL!A715</f>
        <v/>
      </c>
      <c r="B715">
        <f>PNL!B715</f>
        <v/>
      </c>
      <c r="C715">
        <f>PNL!C715</f>
        <v/>
      </c>
      <c r="D715">
        <f>PNL!D715</f>
        <v/>
      </c>
      <c r="E715">
        <f>IF(AND(C715="2027",OR(D715="V01",D715="V02",D715="V03")),1,0)</f>
        <v/>
      </c>
      <c r="F715">
        <f>IF(E715=1,SUMIFS(Compta!$F$2:$F$675,Compta!$A$2:$A$675,A715,Compta!$B$2:$B$675,B715,Compta!$C$2:$C$675,"2026"),0)</f>
        <v/>
      </c>
      <c r="G715">
        <f>IF(D715="V01",cad!$I$21,IF(D715="V02",cad!$J$21,cad!$K$21))</f>
        <v/>
      </c>
      <c r="H715">
        <f>IF(D715="V01",cad!$I$22,IF(D715="V02",cad!$J$22,cad!$K$22))</f>
        <v/>
      </c>
      <c r="I715">
        <f>IF(D715="V01",cad!$I$27,IF(D715="V02",cad!$J$27,cad!$K$27))</f>
        <v/>
      </c>
      <c r="J715">
        <f>IF(D715="V01",cad!$I$28,IF(D715="V02",cad!$J$28,cad!$K$28))</f>
        <v/>
      </c>
      <c r="K715">
        <f>IF(D715="V01",cad!$I$29,IF(D715="V02",cad!$J$29,cad!$K$29))</f>
        <v/>
      </c>
      <c r="L715">
        <f>IF(D715="V01",cad!$I$30,IF(D715="V02",cad!$J$30,cad!$K$30))</f>
        <v/>
      </c>
      <c r="M715">
        <f>IF(D715="V01",cad!$I$31,IF(D715="V02",cad!$J$31,cad!$K$31))</f>
        <v/>
      </c>
      <c r="N715">
        <f>IF(D715="V01",$R$2,IF(D715="V02",$R$3,$R$4))</f>
        <v/>
      </c>
      <c r="O715">
        <f>IF(OR(B715="7062",B715="706",B715="708"),N715,IF(B715="6231",1+G715,IF(B715="6236",1+H715,IF(OR(B715="621",B715="604",B715="6063"),N715*(1-L715),IF(OR(B715="6411",B715="6413",B715="6414",B715="645"),(1+J715)*(1+K715),IF(OR(B715="613",B715="615",B715="616",B715="6226",B715="625",B715="626",B715="6281"),(1+I715)*(1-L715)*(1+M715),IF(OR(B715="6331",B715="63511",B715="6333"),(1+I715)*(1-L715),IF(B715="6811",1+I715,1))))))))</f>
        <v/>
      </c>
      <c r="P715">
        <f>IF(E715=1,F715*O715,"")</f>
        <v/>
      </c>
    </row>
    <row r="716">
      <c r="A716">
        <f>PNL!A716</f>
        <v/>
      </c>
      <c r="B716">
        <f>PNL!B716</f>
        <v/>
      </c>
      <c r="C716">
        <f>PNL!C716</f>
        <v/>
      </c>
      <c r="D716">
        <f>PNL!D716</f>
        <v/>
      </c>
      <c r="E716">
        <f>IF(AND(C716="2027",OR(D716="V01",D716="V02",D716="V03")),1,0)</f>
        <v/>
      </c>
      <c r="F716">
        <f>IF(E716=1,SUMIFS(Compta!$F$2:$F$675,Compta!$A$2:$A$675,A716,Compta!$B$2:$B$675,B716,Compta!$C$2:$C$675,"2026"),0)</f>
        <v/>
      </c>
      <c r="G716">
        <f>IF(D716="V01",cad!$I$21,IF(D716="V02",cad!$J$21,cad!$K$21))</f>
        <v/>
      </c>
      <c r="H716">
        <f>IF(D716="V01",cad!$I$22,IF(D716="V02",cad!$J$22,cad!$K$22))</f>
        <v/>
      </c>
      <c r="I716">
        <f>IF(D716="V01",cad!$I$27,IF(D716="V02",cad!$J$27,cad!$K$27))</f>
        <v/>
      </c>
      <c r="J716">
        <f>IF(D716="V01",cad!$I$28,IF(D716="V02",cad!$J$28,cad!$K$28))</f>
        <v/>
      </c>
      <c r="K716">
        <f>IF(D716="V01",cad!$I$29,IF(D716="V02",cad!$J$29,cad!$K$29))</f>
        <v/>
      </c>
      <c r="L716">
        <f>IF(D716="V01",cad!$I$30,IF(D716="V02",cad!$J$30,cad!$K$30))</f>
        <v/>
      </c>
      <c r="M716">
        <f>IF(D716="V01",cad!$I$31,IF(D716="V02",cad!$J$31,cad!$K$31))</f>
        <v/>
      </c>
      <c r="N716">
        <f>IF(D716="V01",$R$2,IF(D716="V02",$R$3,$R$4))</f>
        <v/>
      </c>
      <c r="O716">
        <f>IF(OR(B716="7062",B716="706",B716="708"),N716,IF(B716="6231",1+G716,IF(B716="6236",1+H716,IF(OR(B716="621",B716="604",B716="6063"),N716*(1-L716),IF(OR(B716="6411",B716="6413",B716="6414",B716="645"),(1+J716)*(1+K716),IF(OR(B716="613",B716="615",B716="616",B716="6226",B716="625",B716="626",B716="6281"),(1+I716)*(1-L716)*(1+M716),IF(OR(B716="6331",B716="63511",B716="6333"),(1+I716)*(1-L716),IF(B716="6811",1+I716,1))))))))</f>
        <v/>
      </c>
      <c r="P716">
        <f>IF(E716=1,F716*O716,"")</f>
        <v/>
      </c>
    </row>
    <row r="717">
      <c r="A717">
        <f>PNL!A717</f>
        <v/>
      </c>
      <c r="B717">
        <f>PNL!B717</f>
        <v/>
      </c>
      <c r="C717">
        <f>PNL!C717</f>
        <v/>
      </c>
      <c r="D717">
        <f>PNL!D717</f>
        <v/>
      </c>
      <c r="E717">
        <f>IF(AND(C717="2027",OR(D717="V01",D717="V02",D717="V03")),1,0)</f>
        <v/>
      </c>
      <c r="F717">
        <f>IF(E717=1,SUMIFS(Compta!$F$2:$F$675,Compta!$A$2:$A$675,A717,Compta!$B$2:$B$675,B717,Compta!$C$2:$C$675,"2026"),0)</f>
        <v/>
      </c>
      <c r="G717">
        <f>IF(D717="V01",cad!$I$21,IF(D717="V02",cad!$J$21,cad!$K$21))</f>
        <v/>
      </c>
      <c r="H717">
        <f>IF(D717="V01",cad!$I$22,IF(D717="V02",cad!$J$22,cad!$K$22))</f>
        <v/>
      </c>
      <c r="I717">
        <f>IF(D717="V01",cad!$I$27,IF(D717="V02",cad!$J$27,cad!$K$27))</f>
        <v/>
      </c>
      <c r="J717">
        <f>IF(D717="V01",cad!$I$28,IF(D717="V02",cad!$J$28,cad!$K$28))</f>
        <v/>
      </c>
      <c r="K717">
        <f>IF(D717="V01",cad!$I$29,IF(D717="V02",cad!$J$29,cad!$K$29))</f>
        <v/>
      </c>
      <c r="L717">
        <f>IF(D717="V01",cad!$I$30,IF(D717="V02",cad!$J$30,cad!$K$30))</f>
        <v/>
      </c>
      <c r="M717">
        <f>IF(D717="V01",cad!$I$31,IF(D717="V02",cad!$J$31,cad!$K$31))</f>
        <v/>
      </c>
      <c r="N717">
        <f>IF(D717="V01",$R$2,IF(D717="V02",$R$3,$R$4))</f>
        <v/>
      </c>
      <c r="O717">
        <f>IF(OR(B717="7062",B717="706",B717="708"),N717,IF(B717="6231",1+G717,IF(B717="6236",1+H717,IF(OR(B717="621",B717="604",B717="6063"),N717*(1-L717),IF(OR(B717="6411",B717="6413",B717="6414",B717="645"),(1+J717)*(1+K717),IF(OR(B717="613",B717="615",B717="616",B717="6226",B717="625",B717="626",B717="6281"),(1+I717)*(1-L717)*(1+M717),IF(OR(B717="6331",B717="63511",B717="6333"),(1+I717)*(1-L717),IF(B717="6811",1+I717,1))))))))</f>
        <v/>
      </c>
      <c r="P717">
        <f>IF(E717=1,F717*O717,"")</f>
        <v/>
      </c>
    </row>
    <row r="718">
      <c r="A718">
        <f>PNL!A718</f>
        <v/>
      </c>
      <c r="B718">
        <f>PNL!B718</f>
        <v/>
      </c>
      <c r="C718">
        <f>PNL!C718</f>
        <v/>
      </c>
      <c r="D718">
        <f>PNL!D718</f>
        <v/>
      </c>
      <c r="E718">
        <f>IF(AND(C718="2027",OR(D718="V01",D718="V02",D718="V03")),1,0)</f>
        <v/>
      </c>
      <c r="F718">
        <f>IF(E718=1,SUMIFS(Compta!$F$2:$F$675,Compta!$A$2:$A$675,A718,Compta!$B$2:$B$675,B718,Compta!$C$2:$C$675,"2026"),0)</f>
        <v/>
      </c>
      <c r="G718">
        <f>IF(D718="V01",cad!$I$21,IF(D718="V02",cad!$J$21,cad!$K$21))</f>
        <v/>
      </c>
      <c r="H718">
        <f>IF(D718="V01",cad!$I$22,IF(D718="V02",cad!$J$22,cad!$K$22))</f>
        <v/>
      </c>
      <c r="I718">
        <f>IF(D718="V01",cad!$I$27,IF(D718="V02",cad!$J$27,cad!$K$27))</f>
        <v/>
      </c>
      <c r="J718">
        <f>IF(D718="V01",cad!$I$28,IF(D718="V02",cad!$J$28,cad!$K$28))</f>
        <v/>
      </c>
      <c r="K718">
        <f>IF(D718="V01",cad!$I$29,IF(D718="V02",cad!$J$29,cad!$K$29))</f>
        <v/>
      </c>
      <c r="L718">
        <f>IF(D718="V01",cad!$I$30,IF(D718="V02",cad!$J$30,cad!$K$30))</f>
        <v/>
      </c>
      <c r="M718">
        <f>IF(D718="V01",cad!$I$31,IF(D718="V02",cad!$J$31,cad!$K$31))</f>
        <v/>
      </c>
      <c r="N718">
        <f>IF(D718="V01",$R$2,IF(D718="V02",$R$3,$R$4))</f>
        <v/>
      </c>
      <c r="O718">
        <f>IF(OR(B718="7062",B718="706",B718="708"),N718,IF(B718="6231",1+G718,IF(B718="6236",1+H718,IF(OR(B718="621",B718="604",B718="6063"),N718*(1-L718),IF(OR(B718="6411",B718="6413",B718="6414",B718="645"),(1+J718)*(1+K718),IF(OR(B718="613",B718="615",B718="616",B718="6226",B718="625",B718="626",B718="6281"),(1+I718)*(1-L718)*(1+M718),IF(OR(B718="6331",B718="63511",B718="6333"),(1+I718)*(1-L718),IF(B718="6811",1+I718,1))))))))</f>
        <v/>
      </c>
      <c r="P718">
        <f>IF(E718=1,F718*O718,"")</f>
        <v/>
      </c>
    </row>
    <row r="719">
      <c r="A719">
        <f>PNL!A719</f>
        <v/>
      </c>
      <c r="B719">
        <f>PNL!B719</f>
        <v/>
      </c>
      <c r="C719">
        <f>PNL!C719</f>
        <v/>
      </c>
      <c r="D719">
        <f>PNL!D719</f>
        <v/>
      </c>
      <c r="E719">
        <f>IF(AND(C719="2027",OR(D719="V01",D719="V02",D719="V03")),1,0)</f>
        <v/>
      </c>
      <c r="F719">
        <f>IF(E719=1,SUMIFS(Compta!$F$2:$F$675,Compta!$A$2:$A$675,A719,Compta!$B$2:$B$675,B719,Compta!$C$2:$C$675,"2026"),0)</f>
        <v/>
      </c>
      <c r="G719">
        <f>IF(D719="V01",cad!$I$21,IF(D719="V02",cad!$J$21,cad!$K$21))</f>
        <v/>
      </c>
      <c r="H719">
        <f>IF(D719="V01",cad!$I$22,IF(D719="V02",cad!$J$22,cad!$K$22))</f>
        <v/>
      </c>
      <c r="I719">
        <f>IF(D719="V01",cad!$I$27,IF(D719="V02",cad!$J$27,cad!$K$27))</f>
        <v/>
      </c>
      <c r="J719">
        <f>IF(D719="V01",cad!$I$28,IF(D719="V02",cad!$J$28,cad!$K$28))</f>
        <v/>
      </c>
      <c r="K719">
        <f>IF(D719="V01",cad!$I$29,IF(D719="V02",cad!$J$29,cad!$K$29))</f>
        <v/>
      </c>
      <c r="L719">
        <f>IF(D719="V01",cad!$I$30,IF(D719="V02",cad!$J$30,cad!$K$30))</f>
        <v/>
      </c>
      <c r="M719">
        <f>IF(D719="V01",cad!$I$31,IF(D719="V02",cad!$J$31,cad!$K$31))</f>
        <v/>
      </c>
      <c r="N719">
        <f>IF(D719="V01",$R$2,IF(D719="V02",$R$3,$R$4))</f>
        <v/>
      </c>
      <c r="O719">
        <f>IF(OR(B719="7062",B719="706",B719="708"),N719,IF(B719="6231",1+G719,IF(B719="6236",1+H719,IF(OR(B719="621",B719="604",B719="6063"),N719*(1-L719),IF(OR(B719="6411",B719="6413",B719="6414",B719="645"),(1+J719)*(1+K719),IF(OR(B719="613",B719="615",B719="616",B719="6226",B719="625",B719="626",B719="6281"),(1+I719)*(1-L719)*(1+M719),IF(OR(B719="6331",B719="63511",B719="6333"),(1+I719)*(1-L719),IF(B719="6811",1+I719,1))))))))</f>
        <v/>
      </c>
      <c r="P719">
        <f>IF(E719=1,F719*O719,"")</f>
        <v/>
      </c>
    </row>
    <row r="720">
      <c r="A720">
        <f>PNL!A720</f>
        <v/>
      </c>
      <c r="B720">
        <f>PNL!B720</f>
        <v/>
      </c>
      <c r="C720">
        <f>PNL!C720</f>
        <v/>
      </c>
      <c r="D720">
        <f>PNL!D720</f>
        <v/>
      </c>
      <c r="E720">
        <f>IF(AND(C720="2027",OR(D720="V01",D720="V02",D720="V03")),1,0)</f>
        <v/>
      </c>
      <c r="F720">
        <f>IF(E720=1,SUMIFS(Compta!$F$2:$F$675,Compta!$A$2:$A$675,A720,Compta!$B$2:$B$675,B720,Compta!$C$2:$C$675,"2026"),0)</f>
        <v/>
      </c>
      <c r="G720">
        <f>IF(D720="V01",cad!$I$21,IF(D720="V02",cad!$J$21,cad!$K$21))</f>
        <v/>
      </c>
      <c r="H720">
        <f>IF(D720="V01",cad!$I$22,IF(D720="V02",cad!$J$22,cad!$K$22))</f>
        <v/>
      </c>
      <c r="I720">
        <f>IF(D720="V01",cad!$I$27,IF(D720="V02",cad!$J$27,cad!$K$27))</f>
        <v/>
      </c>
      <c r="J720">
        <f>IF(D720="V01",cad!$I$28,IF(D720="V02",cad!$J$28,cad!$K$28))</f>
        <v/>
      </c>
      <c r="K720">
        <f>IF(D720="V01",cad!$I$29,IF(D720="V02",cad!$J$29,cad!$K$29))</f>
        <v/>
      </c>
      <c r="L720">
        <f>IF(D720="V01",cad!$I$30,IF(D720="V02",cad!$J$30,cad!$K$30))</f>
        <v/>
      </c>
      <c r="M720">
        <f>IF(D720="V01",cad!$I$31,IF(D720="V02",cad!$J$31,cad!$K$31))</f>
        <v/>
      </c>
      <c r="N720">
        <f>IF(D720="V01",$R$2,IF(D720="V02",$R$3,$R$4))</f>
        <v/>
      </c>
      <c r="O720">
        <f>IF(OR(B720="7062",B720="706",B720="708"),N720,IF(B720="6231",1+G720,IF(B720="6236",1+H720,IF(OR(B720="621",B720="604",B720="6063"),N720*(1-L720),IF(OR(B720="6411",B720="6413",B720="6414",B720="645"),(1+J720)*(1+K720),IF(OR(B720="613",B720="615",B720="616",B720="6226",B720="625",B720="626",B720="6281"),(1+I720)*(1-L720)*(1+M720),IF(OR(B720="6331",B720="63511",B720="6333"),(1+I720)*(1-L720),IF(B720="6811",1+I720,1))))))))</f>
        <v/>
      </c>
      <c r="P720">
        <f>IF(E720=1,F720*O720,"")</f>
        <v/>
      </c>
    </row>
    <row r="721">
      <c r="A721">
        <f>PNL!A721</f>
        <v/>
      </c>
      <c r="B721">
        <f>PNL!B721</f>
        <v/>
      </c>
      <c r="C721">
        <f>PNL!C721</f>
        <v/>
      </c>
      <c r="D721">
        <f>PNL!D721</f>
        <v/>
      </c>
      <c r="E721">
        <f>IF(AND(C721="2027",OR(D721="V01",D721="V02",D721="V03")),1,0)</f>
        <v/>
      </c>
      <c r="F721">
        <f>IF(E721=1,SUMIFS(Compta!$F$2:$F$675,Compta!$A$2:$A$675,A721,Compta!$B$2:$B$675,B721,Compta!$C$2:$C$675,"2026"),0)</f>
        <v/>
      </c>
      <c r="G721">
        <f>IF(D721="V01",cad!$I$21,IF(D721="V02",cad!$J$21,cad!$K$21))</f>
        <v/>
      </c>
      <c r="H721">
        <f>IF(D721="V01",cad!$I$22,IF(D721="V02",cad!$J$22,cad!$K$22))</f>
        <v/>
      </c>
      <c r="I721">
        <f>IF(D721="V01",cad!$I$27,IF(D721="V02",cad!$J$27,cad!$K$27))</f>
        <v/>
      </c>
      <c r="J721">
        <f>IF(D721="V01",cad!$I$28,IF(D721="V02",cad!$J$28,cad!$K$28))</f>
        <v/>
      </c>
      <c r="K721">
        <f>IF(D721="V01",cad!$I$29,IF(D721="V02",cad!$J$29,cad!$K$29))</f>
        <v/>
      </c>
      <c r="L721">
        <f>IF(D721="V01",cad!$I$30,IF(D721="V02",cad!$J$30,cad!$K$30))</f>
        <v/>
      </c>
      <c r="M721">
        <f>IF(D721="V01",cad!$I$31,IF(D721="V02",cad!$J$31,cad!$K$31))</f>
        <v/>
      </c>
      <c r="N721">
        <f>IF(D721="V01",$R$2,IF(D721="V02",$R$3,$R$4))</f>
        <v/>
      </c>
      <c r="O721">
        <f>IF(OR(B721="7062",B721="706",B721="708"),N721,IF(B721="6231",1+G721,IF(B721="6236",1+H721,IF(OR(B721="621",B721="604",B721="6063"),N721*(1-L721),IF(OR(B721="6411",B721="6413",B721="6414",B721="645"),(1+J721)*(1+K721),IF(OR(B721="613",B721="615",B721="616",B721="6226",B721="625",B721="626",B721="6281"),(1+I721)*(1-L721)*(1+M721),IF(OR(B721="6331",B721="63511",B721="6333"),(1+I721)*(1-L721),IF(B721="6811",1+I721,1))))))))</f>
        <v/>
      </c>
      <c r="P721">
        <f>IF(E721=1,F721*O721,"")</f>
        <v/>
      </c>
    </row>
    <row r="722">
      <c r="A722">
        <f>PNL!A722</f>
        <v/>
      </c>
      <c r="B722">
        <f>PNL!B722</f>
        <v/>
      </c>
      <c r="C722">
        <f>PNL!C722</f>
        <v/>
      </c>
      <c r="D722">
        <f>PNL!D722</f>
        <v/>
      </c>
      <c r="E722">
        <f>IF(AND(C722="2027",OR(D722="V01",D722="V02",D722="V03")),1,0)</f>
        <v/>
      </c>
      <c r="F722">
        <f>IF(E722=1,SUMIFS(Compta!$F$2:$F$675,Compta!$A$2:$A$675,A722,Compta!$B$2:$B$675,B722,Compta!$C$2:$C$675,"2026"),0)</f>
        <v/>
      </c>
      <c r="G722">
        <f>IF(D722="V01",cad!$I$21,IF(D722="V02",cad!$J$21,cad!$K$21))</f>
        <v/>
      </c>
      <c r="H722">
        <f>IF(D722="V01",cad!$I$22,IF(D722="V02",cad!$J$22,cad!$K$22))</f>
        <v/>
      </c>
      <c r="I722">
        <f>IF(D722="V01",cad!$I$27,IF(D722="V02",cad!$J$27,cad!$K$27))</f>
        <v/>
      </c>
      <c r="J722">
        <f>IF(D722="V01",cad!$I$28,IF(D722="V02",cad!$J$28,cad!$K$28))</f>
        <v/>
      </c>
      <c r="K722">
        <f>IF(D722="V01",cad!$I$29,IF(D722="V02",cad!$J$29,cad!$K$29))</f>
        <v/>
      </c>
      <c r="L722">
        <f>IF(D722="V01",cad!$I$30,IF(D722="V02",cad!$J$30,cad!$K$30))</f>
        <v/>
      </c>
      <c r="M722">
        <f>IF(D722="V01",cad!$I$31,IF(D722="V02",cad!$J$31,cad!$K$31))</f>
        <v/>
      </c>
      <c r="N722">
        <f>IF(D722="V01",$R$2,IF(D722="V02",$R$3,$R$4))</f>
        <v/>
      </c>
      <c r="O722">
        <f>IF(OR(B722="7062",B722="706",B722="708"),N722,IF(B722="6231",1+G722,IF(B722="6236",1+H722,IF(OR(B722="621",B722="604",B722="6063"),N722*(1-L722),IF(OR(B722="6411",B722="6413",B722="6414",B722="645"),(1+J722)*(1+K722),IF(OR(B722="613",B722="615",B722="616",B722="6226",B722="625",B722="626",B722="6281"),(1+I722)*(1-L722)*(1+M722),IF(OR(B722="6331",B722="63511",B722="6333"),(1+I722)*(1-L722),IF(B722="6811",1+I722,1))))))))</f>
        <v/>
      </c>
      <c r="P722">
        <f>IF(E722=1,F722*O722,"")</f>
        <v/>
      </c>
    </row>
    <row r="723">
      <c r="A723">
        <f>PNL!A723</f>
        <v/>
      </c>
      <c r="B723">
        <f>PNL!B723</f>
        <v/>
      </c>
      <c r="C723">
        <f>PNL!C723</f>
        <v/>
      </c>
      <c r="D723">
        <f>PNL!D723</f>
        <v/>
      </c>
      <c r="E723">
        <f>IF(AND(C723="2027",OR(D723="V01",D723="V02",D723="V03")),1,0)</f>
        <v/>
      </c>
      <c r="F723">
        <f>IF(E723=1,SUMIFS(Compta!$F$2:$F$675,Compta!$A$2:$A$675,A723,Compta!$B$2:$B$675,B723,Compta!$C$2:$C$675,"2026"),0)</f>
        <v/>
      </c>
      <c r="G723">
        <f>IF(D723="V01",cad!$I$21,IF(D723="V02",cad!$J$21,cad!$K$21))</f>
        <v/>
      </c>
      <c r="H723">
        <f>IF(D723="V01",cad!$I$22,IF(D723="V02",cad!$J$22,cad!$K$22))</f>
        <v/>
      </c>
      <c r="I723">
        <f>IF(D723="V01",cad!$I$27,IF(D723="V02",cad!$J$27,cad!$K$27))</f>
        <v/>
      </c>
      <c r="J723">
        <f>IF(D723="V01",cad!$I$28,IF(D723="V02",cad!$J$28,cad!$K$28))</f>
        <v/>
      </c>
      <c r="K723">
        <f>IF(D723="V01",cad!$I$29,IF(D723="V02",cad!$J$29,cad!$K$29))</f>
        <v/>
      </c>
      <c r="L723">
        <f>IF(D723="V01",cad!$I$30,IF(D723="V02",cad!$J$30,cad!$K$30))</f>
        <v/>
      </c>
      <c r="M723">
        <f>IF(D723="V01",cad!$I$31,IF(D723="V02",cad!$J$31,cad!$K$31))</f>
        <v/>
      </c>
      <c r="N723">
        <f>IF(D723="V01",$R$2,IF(D723="V02",$R$3,$R$4))</f>
        <v/>
      </c>
      <c r="O723">
        <f>IF(OR(B723="7062",B723="706",B723="708"),N723,IF(B723="6231",1+G723,IF(B723="6236",1+H723,IF(OR(B723="621",B723="604",B723="6063"),N723*(1-L723),IF(OR(B723="6411",B723="6413",B723="6414",B723="645"),(1+J723)*(1+K723),IF(OR(B723="613",B723="615",B723="616",B723="6226",B723="625",B723="626",B723="6281"),(1+I723)*(1-L723)*(1+M723),IF(OR(B723="6331",B723="63511",B723="6333"),(1+I723)*(1-L723),IF(B723="6811",1+I723,1))))))))</f>
        <v/>
      </c>
      <c r="P723">
        <f>IF(E723=1,F723*O723,"")</f>
        <v/>
      </c>
    </row>
    <row r="724">
      <c r="A724">
        <f>PNL!A724</f>
        <v/>
      </c>
      <c r="B724">
        <f>PNL!B724</f>
        <v/>
      </c>
      <c r="C724">
        <f>PNL!C724</f>
        <v/>
      </c>
      <c r="D724">
        <f>PNL!D724</f>
        <v/>
      </c>
      <c r="E724">
        <f>IF(AND(C724="2027",OR(D724="V01",D724="V02",D724="V03")),1,0)</f>
        <v/>
      </c>
      <c r="F724">
        <f>IF(E724=1,SUMIFS(Compta!$F$2:$F$675,Compta!$A$2:$A$675,A724,Compta!$B$2:$B$675,B724,Compta!$C$2:$C$675,"2026"),0)</f>
        <v/>
      </c>
      <c r="G724">
        <f>IF(D724="V01",cad!$I$21,IF(D724="V02",cad!$J$21,cad!$K$21))</f>
        <v/>
      </c>
      <c r="H724">
        <f>IF(D724="V01",cad!$I$22,IF(D724="V02",cad!$J$22,cad!$K$22))</f>
        <v/>
      </c>
      <c r="I724">
        <f>IF(D724="V01",cad!$I$27,IF(D724="V02",cad!$J$27,cad!$K$27))</f>
        <v/>
      </c>
      <c r="J724">
        <f>IF(D724="V01",cad!$I$28,IF(D724="V02",cad!$J$28,cad!$K$28))</f>
        <v/>
      </c>
      <c r="K724">
        <f>IF(D724="V01",cad!$I$29,IF(D724="V02",cad!$J$29,cad!$K$29))</f>
        <v/>
      </c>
      <c r="L724">
        <f>IF(D724="V01",cad!$I$30,IF(D724="V02",cad!$J$30,cad!$K$30))</f>
        <v/>
      </c>
      <c r="M724">
        <f>IF(D724="V01",cad!$I$31,IF(D724="V02",cad!$J$31,cad!$K$31))</f>
        <v/>
      </c>
      <c r="N724">
        <f>IF(D724="V01",$R$2,IF(D724="V02",$R$3,$R$4))</f>
        <v/>
      </c>
      <c r="O724">
        <f>IF(OR(B724="7062",B724="706",B724="708"),N724,IF(B724="6231",1+G724,IF(B724="6236",1+H724,IF(OR(B724="621",B724="604",B724="6063"),N724*(1-L724),IF(OR(B724="6411",B724="6413",B724="6414",B724="645"),(1+J724)*(1+K724),IF(OR(B724="613",B724="615",B724="616",B724="6226",B724="625",B724="626",B724="6281"),(1+I724)*(1-L724)*(1+M724),IF(OR(B724="6331",B724="63511",B724="6333"),(1+I724)*(1-L724),IF(B724="6811",1+I724,1))))))))</f>
        <v/>
      </c>
      <c r="P724">
        <f>IF(E724=1,F724*O724,"")</f>
        <v/>
      </c>
    </row>
    <row r="725">
      <c r="A725">
        <f>PNL!A725</f>
        <v/>
      </c>
      <c r="B725">
        <f>PNL!B725</f>
        <v/>
      </c>
      <c r="C725">
        <f>PNL!C725</f>
        <v/>
      </c>
      <c r="D725">
        <f>PNL!D725</f>
        <v/>
      </c>
      <c r="E725">
        <f>IF(AND(C725="2027",OR(D725="V01",D725="V02",D725="V03")),1,0)</f>
        <v/>
      </c>
      <c r="F725">
        <f>IF(E725=1,SUMIFS(Compta!$F$2:$F$675,Compta!$A$2:$A$675,A725,Compta!$B$2:$B$675,B725,Compta!$C$2:$C$675,"2026"),0)</f>
        <v/>
      </c>
      <c r="G725">
        <f>IF(D725="V01",cad!$I$21,IF(D725="V02",cad!$J$21,cad!$K$21))</f>
        <v/>
      </c>
      <c r="H725">
        <f>IF(D725="V01",cad!$I$22,IF(D725="V02",cad!$J$22,cad!$K$22))</f>
        <v/>
      </c>
      <c r="I725">
        <f>IF(D725="V01",cad!$I$27,IF(D725="V02",cad!$J$27,cad!$K$27))</f>
        <v/>
      </c>
      <c r="J725">
        <f>IF(D725="V01",cad!$I$28,IF(D725="V02",cad!$J$28,cad!$K$28))</f>
        <v/>
      </c>
      <c r="K725">
        <f>IF(D725="V01",cad!$I$29,IF(D725="V02",cad!$J$29,cad!$K$29))</f>
        <v/>
      </c>
      <c r="L725">
        <f>IF(D725="V01",cad!$I$30,IF(D725="V02",cad!$J$30,cad!$K$30))</f>
        <v/>
      </c>
      <c r="M725">
        <f>IF(D725="V01",cad!$I$31,IF(D725="V02",cad!$J$31,cad!$K$31))</f>
        <v/>
      </c>
      <c r="N725">
        <f>IF(D725="V01",$R$2,IF(D725="V02",$R$3,$R$4))</f>
        <v/>
      </c>
      <c r="O725">
        <f>IF(OR(B725="7062",B725="706",B725="708"),N725,IF(B725="6231",1+G725,IF(B725="6236",1+H725,IF(OR(B725="621",B725="604",B725="6063"),N725*(1-L725),IF(OR(B725="6411",B725="6413",B725="6414",B725="645"),(1+J725)*(1+K725),IF(OR(B725="613",B725="615",B725="616",B725="6226",B725="625",B725="626",B725="6281"),(1+I725)*(1-L725)*(1+M725),IF(OR(B725="6331",B725="63511",B725="6333"),(1+I725)*(1-L725),IF(B725="6811",1+I725,1))))))))</f>
        <v/>
      </c>
      <c r="P725">
        <f>IF(E725=1,F725*O725,"")</f>
        <v/>
      </c>
    </row>
    <row r="726">
      <c r="A726">
        <f>PNL!A726</f>
        <v/>
      </c>
      <c r="B726">
        <f>PNL!B726</f>
        <v/>
      </c>
      <c r="C726">
        <f>PNL!C726</f>
        <v/>
      </c>
      <c r="D726">
        <f>PNL!D726</f>
        <v/>
      </c>
      <c r="E726">
        <f>IF(AND(C726="2027",OR(D726="V01",D726="V02",D726="V03")),1,0)</f>
        <v/>
      </c>
      <c r="F726">
        <f>IF(E726=1,SUMIFS(Compta!$F$2:$F$675,Compta!$A$2:$A$675,A726,Compta!$B$2:$B$675,B726,Compta!$C$2:$C$675,"2026"),0)</f>
        <v/>
      </c>
      <c r="G726">
        <f>IF(D726="V01",cad!$I$21,IF(D726="V02",cad!$J$21,cad!$K$21))</f>
        <v/>
      </c>
      <c r="H726">
        <f>IF(D726="V01",cad!$I$22,IF(D726="V02",cad!$J$22,cad!$K$22))</f>
        <v/>
      </c>
      <c r="I726">
        <f>IF(D726="V01",cad!$I$27,IF(D726="V02",cad!$J$27,cad!$K$27))</f>
        <v/>
      </c>
      <c r="J726">
        <f>IF(D726="V01",cad!$I$28,IF(D726="V02",cad!$J$28,cad!$K$28))</f>
        <v/>
      </c>
      <c r="K726">
        <f>IF(D726="V01",cad!$I$29,IF(D726="V02",cad!$J$29,cad!$K$29))</f>
        <v/>
      </c>
      <c r="L726">
        <f>IF(D726="V01",cad!$I$30,IF(D726="V02",cad!$J$30,cad!$K$30))</f>
        <v/>
      </c>
      <c r="M726">
        <f>IF(D726="V01",cad!$I$31,IF(D726="V02",cad!$J$31,cad!$K$31))</f>
        <v/>
      </c>
      <c r="N726">
        <f>IF(D726="V01",$R$2,IF(D726="V02",$R$3,$R$4))</f>
        <v/>
      </c>
      <c r="O726">
        <f>IF(OR(B726="7062",B726="706",B726="708"),N726,IF(B726="6231",1+G726,IF(B726="6236",1+H726,IF(OR(B726="621",B726="604",B726="6063"),N726*(1-L726),IF(OR(B726="6411",B726="6413",B726="6414",B726="645"),(1+J726)*(1+K726),IF(OR(B726="613",B726="615",B726="616",B726="6226",B726="625",B726="626",B726="6281"),(1+I726)*(1-L726)*(1+M726),IF(OR(B726="6331",B726="63511",B726="6333"),(1+I726)*(1-L726),IF(B726="6811",1+I726,1))))))))</f>
        <v/>
      </c>
      <c r="P726">
        <f>IF(E726=1,F726*O726,"")</f>
        <v/>
      </c>
    </row>
    <row r="727">
      <c r="A727">
        <f>PNL!A727</f>
        <v/>
      </c>
      <c r="B727">
        <f>PNL!B727</f>
        <v/>
      </c>
      <c r="C727">
        <f>PNL!C727</f>
        <v/>
      </c>
      <c r="D727">
        <f>PNL!D727</f>
        <v/>
      </c>
      <c r="E727">
        <f>IF(AND(C727="2027",OR(D727="V01",D727="V02",D727="V03")),1,0)</f>
        <v/>
      </c>
      <c r="F727">
        <f>IF(E727=1,SUMIFS(Compta!$F$2:$F$675,Compta!$A$2:$A$675,A727,Compta!$B$2:$B$675,B727,Compta!$C$2:$C$675,"2026"),0)</f>
        <v/>
      </c>
      <c r="G727">
        <f>IF(D727="V01",cad!$I$21,IF(D727="V02",cad!$J$21,cad!$K$21))</f>
        <v/>
      </c>
      <c r="H727">
        <f>IF(D727="V01",cad!$I$22,IF(D727="V02",cad!$J$22,cad!$K$22))</f>
        <v/>
      </c>
      <c r="I727">
        <f>IF(D727="V01",cad!$I$27,IF(D727="V02",cad!$J$27,cad!$K$27))</f>
        <v/>
      </c>
      <c r="J727">
        <f>IF(D727="V01",cad!$I$28,IF(D727="V02",cad!$J$28,cad!$K$28))</f>
        <v/>
      </c>
      <c r="K727">
        <f>IF(D727="V01",cad!$I$29,IF(D727="V02",cad!$J$29,cad!$K$29))</f>
        <v/>
      </c>
      <c r="L727">
        <f>IF(D727="V01",cad!$I$30,IF(D727="V02",cad!$J$30,cad!$K$30))</f>
        <v/>
      </c>
      <c r="M727">
        <f>IF(D727="V01",cad!$I$31,IF(D727="V02",cad!$J$31,cad!$K$31))</f>
        <v/>
      </c>
      <c r="N727">
        <f>IF(D727="V01",$R$2,IF(D727="V02",$R$3,$R$4))</f>
        <v/>
      </c>
      <c r="O727">
        <f>IF(OR(B727="7062",B727="706",B727="708"),N727,IF(B727="6231",1+G727,IF(B727="6236",1+H727,IF(OR(B727="621",B727="604",B727="6063"),N727*(1-L727),IF(OR(B727="6411",B727="6413",B727="6414",B727="645"),(1+J727)*(1+K727),IF(OR(B727="613",B727="615",B727="616",B727="6226",B727="625",B727="626",B727="6281"),(1+I727)*(1-L727)*(1+M727),IF(OR(B727="6331",B727="63511",B727="6333"),(1+I727)*(1-L727),IF(B727="6811",1+I727,1))))))))</f>
        <v/>
      </c>
      <c r="P727">
        <f>IF(E727=1,F727*O727,"")</f>
        <v/>
      </c>
    </row>
    <row r="728">
      <c r="A728">
        <f>PNL!A728</f>
        <v/>
      </c>
      <c r="B728">
        <f>PNL!B728</f>
        <v/>
      </c>
      <c r="C728">
        <f>PNL!C728</f>
        <v/>
      </c>
      <c r="D728">
        <f>PNL!D728</f>
        <v/>
      </c>
      <c r="E728">
        <f>IF(AND(C728="2027",OR(D728="V01",D728="V02",D728="V03")),1,0)</f>
        <v/>
      </c>
      <c r="F728">
        <f>IF(E728=1,SUMIFS(Compta!$F$2:$F$675,Compta!$A$2:$A$675,A728,Compta!$B$2:$B$675,B728,Compta!$C$2:$C$675,"2026"),0)</f>
        <v/>
      </c>
      <c r="G728">
        <f>IF(D728="V01",cad!$I$21,IF(D728="V02",cad!$J$21,cad!$K$21))</f>
        <v/>
      </c>
      <c r="H728">
        <f>IF(D728="V01",cad!$I$22,IF(D728="V02",cad!$J$22,cad!$K$22))</f>
        <v/>
      </c>
      <c r="I728">
        <f>IF(D728="V01",cad!$I$27,IF(D728="V02",cad!$J$27,cad!$K$27))</f>
        <v/>
      </c>
      <c r="J728">
        <f>IF(D728="V01",cad!$I$28,IF(D728="V02",cad!$J$28,cad!$K$28))</f>
        <v/>
      </c>
      <c r="K728">
        <f>IF(D728="V01",cad!$I$29,IF(D728="V02",cad!$J$29,cad!$K$29))</f>
        <v/>
      </c>
      <c r="L728">
        <f>IF(D728="V01",cad!$I$30,IF(D728="V02",cad!$J$30,cad!$K$30))</f>
        <v/>
      </c>
      <c r="M728">
        <f>IF(D728="V01",cad!$I$31,IF(D728="V02",cad!$J$31,cad!$K$31))</f>
        <v/>
      </c>
      <c r="N728">
        <f>IF(D728="V01",$R$2,IF(D728="V02",$R$3,$R$4))</f>
        <v/>
      </c>
      <c r="O728">
        <f>IF(OR(B728="7062",B728="706",B728="708"),N728,IF(B728="6231",1+G728,IF(B728="6236",1+H728,IF(OR(B728="621",B728="604",B728="6063"),N728*(1-L728),IF(OR(B728="6411",B728="6413",B728="6414",B728="645"),(1+J728)*(1+K728),IF(OR(B728="613",B728="615",B728="616",B728="6226",B728="625",B728="626",B728="6281"),(1+I728)*(1-L728)*(1+M728),IF(OR(B728="6331",B728="63511",B728="6333"),(1+I728)*(1-L728),IF(B728="6811",1+I728,1))))))))</f>
        <v/>
      </c>
      <c r="P728">
        <f>IF(E728=1,F728*O728,"")</f>
        <v/>
      </c>
    </row>
    <row r="729">
      <c r="A729">
        <f>PNL!A729</f>
        <v/>
      </c>
      <c r="B729">
        <f>PNL!B729</f>
        <v/>
      </c>
      <c r="C729">
        <f>PNL!C729</f>
        <v/>
      </c>
      <c r="D729">
        <f>PNL!D729</f>
        <v/>
      </c>
      <c r="E729">
        <f>IF(AND(C729="2027",OR(D729="V01",D729="V02",D729="V03")),1,0)</f>
        <v/>
      </c>
      <c r="F729">
        <f>IF(E729=1,SUMIFS(Compta!$F$2:$F$675,Compta!$A$2:$A$675,A729,Compta!$B$2:$B$675,B729,Compta!$C$2:$C$675,"2026"),0)</f>
        <v/>
      </c>
      <c r="G729">
        <f>IF(D729="V01",cad!$I$21,IF(D729="V02",cad!$J$21,cad!$K$21))</f>
        <v/>
      </c>
      <c r="H729">
        <f>IF(D729="V01",cad!$I$22,IF(D729="V02",cad!$J$22,cad!$K$22))</f>
        <v/>
      </c>
      <c r="I729">
        <f>IF(D729="V01",cad!$I$27,IF(D729="V02",cad!$J$27,cad!$K$27))</f>
        <v/>
      </c>
      <c r="J729">
        <f>IF(D729="V01",cad!$I$28,IF(D729="V02",cad!$J$28,cad!$K$28))</f>
        <v/>
      </c>
      <c r="K729">
        <f>IF(D729="V01",cad!$I$29,IF(D729="V02",cad!$J$29,cad!$K$29))</f>
        <v/>
      </c>
      <c r="L729">
        <f>IF(D729="V01",cad!$I$30,IF(D729="V02",cad!$J$30,cad!$K$30))</f>
        <v/>
      </c>
      <c r="M729">
        <f>IF(D729="V01",cad!$I$31,IF(D729="V02",cad!$J$31,cad!$K$31))</f>
        <v/>
      </c>
      <c r="N729">
        <f>IF(D729="V01",$R$2,IF(D729="V02",$R$3,$R$4))</f>
        <v/>
      </c>
      <c r="O729">
        <f>IF(OR(B729="7062",B729="706",B729="708"),N729,IF(B729="6231",1+G729,IF(B729="6236",1+H729,IF(OR(B729="621",B729="604",B729="6063"),N729*(1-L729),IF(OR(B729="6411",B729="6413",B729="6414",B729="645"),(1+J729)*(1+K729),IF(OR(B729="613",B729="615",B729="616",B729="6226",B729="625",B729="626",B729="6281"),(1+I729)*(1-L729)*(1+M729),IF(OR(B729="6331",B729="63511",B729="6333"),(1+I729)*(1-L729),IF(B729="6811",1+I729,1))))))))</f>
        <v/>
      </c>
      <c r="P729">
        <f>IF(E729=1,F729*O729,"")</f>
        <v/>
      </c>
    </row>
    <row r="730">
      <c r="A730">
        <f>PNL!A730</f>
        <v/>
      </c>
      <c r="B730">
        <f>PNL!B730</f>
        <v/>
      </c>
      <c r="C730">
        <f>PNL!C730</f>
        <v/>
      </c>
      <c r="D730">
        <f>PNL!D730</f>
        <v/>
      </c>
      <c r="E730">
        <f>IF(AND(C730="2027",OR(D730="V01",D730="V02",D730="V03")),1,0)</f>
        <v/>
      </c>
      <c r="F730">
        <f>IF(E730=1,SUMIFS(Compta!$F$2:$F$675,Compta!$A$2:$A$675,A730,Compta!$B$2:$B$675,B730,Compta!$C$2:$C$675,"2026"),0)</f>
        <v/>
      </c>
      <c r="G730">
        <f>IF(D730="V01",cad!$I$21,IF(D730="V02",cad!$J$21,cad!$K$21))</f>
        <v/>
      </c>
      <c r="H730">
        <f>IF(D730="V01",cad!$I$22,IF(D730="V02",cad!$J$22,cad!$K$22))</f>
        <v/>
      </c>
      <c r="I730">
        <f>IF(D730="V01",cad!$I$27,IF(D730="V02",cad!$J$27,cad!$K$27))</f>
        <v/>
      </c>
      <c r="J730">
        <f>IF(D730="V01",cad!$I$28,IF(D730="V02",cad!$J$28,cad!$K$28))</f>
        <v/>
      </c>
      <c r="K730">
        <f>IF(D730="V01",cad!$I$29,IF(D730="V02",cad!$J$29,cad!$K$29))</f>
        <v/>
      </c>
      <c r="L730">
        <f>IF(D730="V01",cad!$I$30,IF(D730="V02",cad!$J$30,cad!$K$30))</f>
        <v/>
      </c>
      <c r="M730">
        <f>IF(D730="V01",cad!$I$31,IF(D730="V02",cad!$J$31,cad!$K$31))</f>
        <v/>
      </c>
      <c r="N730">
        <f>IF(D730="V01",$R$2,IF(D730="V02",$R$3,$R$4))</f>
        <v/>
      </c>
      <c r="O730">
        <f>IF(OR(B730="7062",B730="706",B730="708"),N730,IF(B730="6231",1+G730,IF(B730="6236",1+H730,IF(OR(B730="621",B730="604",B730="6063"),N730*(1-L730),IF(OR(B730="6411",B730="6413",B730="6414",B730="645"),(1+J730)*(1+K730),IF(OR(B730="613",B730="615",B730="616",B730="6226",B730="625",B730="626",B730="6281"),(1+I730)*(1-L730)*(1+M730),IF(OR(B730="6331",B730="63511",B730="6333"),(1+I730)*(1-L730),IF(B730="6811",1+I730,1))))))))</f>
        <v/>
      </c>
      <c r="P730">
        <f>IF(E730=1,F730*O730,"")</f>
        <v/>
      </c>
    </row>
    <row r="731">
      <c r="A731">
        <f>PNL!A731</f>
        <v/>
      </c>
      <c r="B731">
        <f>PNL!B731</f>
        <v/>
      </c>
      <c r="C731">
        <f>PNL!C731</f>
        <v/>
      </c>
      <c r="D731">
        <f>PNL!D731</f>
        <v/>
      </c>
      <c r="E731">
        <f>IF(AND(C731="2027",OR(D731="V01",D731="V02",D731="V03")),1,0)</f>
        <v/>
      </c>
      <c r="F731">
        <f>IF(E731=1,SUMIFS(Compta!$F$2:$F$675,Compta!$A$2:$A$675,A731,Compta!$B$2:$B$675,B731,Compta!$C$2:$C$675,"2026"),0)</f>
        <v/>
      </c>
      <c r="G731">
        <f>IF(D731="V01",cad!$I$21,IF(D731="V02",cad!$J$21,cad!$K$21))</f>
        <v/>
      </c>
      <c r="H731">
        <f>IF(D731="V01",cad!$I$22,IF(D731="V02",cad!$J$22,cad!$K$22))</f>
        <v/>
      </c>
      <c r="I731">
        <f>IF(D731="V01",cad!$I$27,IF(D731="V02",cad!$J$27,cad!$K$27))</f>
        <v/>
      </c>
      <c r="J731">
        <f>IF(D731="V01",cad!$I$28,IF(D731="V02",cad!$J$28,cad!$K$28))</f>
        <v/>
      </c>
      <c r="K731">
        <f>IF(D731="V01",cad!$I$29,IF(D731="V02",cad!$J$29,cad!$K$29))</f>
        <v/>
      </c>
      <c r="L731">
        <f>IF(D731="V01",cad!$I$30,IF(D731="V02",cad!$J$30,cad!$K$30))</f>
        <v/>
      </c>
      <c r="M731">
        <f>IF(D731="V01",cad!$I$31,IF(D731="V02",cad!$J$31,cad!$K$31))</f>
        <v/>
      </c>
      <c r="N731">
        <f>IF(D731="V01",$R$2,IF(D731="V02",$R$3,$R$4))</f>
        <v/>
      </c>
      <c r="O731">
        <f>IF(OR(B731="7062",B731="706",B731="708"),N731,IF(B731="6231",1+G731,IF(B731="6236",1+H731,IF(OR(B731="621",B731="604",B731="6063"),N731*(1-L731),IF(OR(B731="6411",B731="6413",B731="6414",B731="645"),(1+J731)*(1+K731),IF(OR(B731="613",B731="615",B731="616",B731="6226",B731="625",B731="626",B731="6281"),(1+I731)*(1-L731)*(1+M731),IF(OR(B731="6331",B731="63511",B731="6333"),(1+I731)*(1-L731),IF(B731="6811",1+I731,1))))))))</f>
        <v/>
      </c>
      <c r="P731">
        <f>IF(E731=1,F731*O731,"")</f>
        <v/>
      </c>
    </row>
    <row r="732">
      <c r="A732">
        <f>PNL!A732</f>
        <v/>
      </c>
      <c r="B732">
        <f>PNL!B732</f>
        <v/>
      </c>
      <c r="C732">
        <f>PNL!C732</f>
        <v/>
      </c>
      <c r="D732">
        <f>PNL!D732</f>
        <v/>
      </c>
      <c r="E732">
        <f>IF(AND(C732="2027",OR(D732="V01",D732="V02",D732="V03")),1,0)</f>
        <v/>
      </c>
      <c r="F732">
        <f>IF(E732=1,SUMIFS(Compta!$F$2:$F$675,Compta!$A$2:$A$675,A732,Compta!$B$2:$B$675,B732,Compta!$C$2:$C$675,"2026"),0)</f>
        <v/>
      </c>
      <c r="G732">
        <f>IF(D732="V01",cad!$I$21,IF(D732="V02",cad!$J$21,cad!$K$21))</f>
        <v/>
      </c>
      <c r="H732">
        <f>IF(D732="V01",cad!$I$22,IF(D732="V02",cad!$J$22,cad!$K$22))</f>
        <v/>
      </c>
      <c r="I732">
        <f>IF(D732="V01",cad!$I$27,IF(D732="V02",cad!$J$27,cad!$K$27))</f>
        <v/>
      </c>
      <c r="J732">
        <f>IF(D732="V01",cad!$I$28,IF(D732="V02",cad!$J$28,cad!$K$28))</f>
        <v/>
      </c>
      <c r="K732">
        <f>IF(D732="V01",cad!$I$29,IF(D732="V02",cad!$J$29,cad!$K$29))</f>
        <v/>
      </c>
      <c r="L732">
        <f>IF(D732="V01",cad!$I$30,IF(D732="V02",cad!$J$30,cad!$K$30))</f>
        <v/>
      </c>
      <c r="M732">
        <f>IF(D732="V01",cad!$I$31,IF(D732="V02",cad!$J$31,cad!$K$31))</f>
        <v/>
      </c>
      <c r="N732">
        <f>IF(D732="V01",$R$2,IF(D732="V02",$R$3,$R$4))</f>
        <v/>
      </c>
      <c r="O732">
        <f>IF(OR(B732="7062",B732="706",B732="708"),N732,IF(B732="6231",1+G732,IF(B732="6236",1+H732,IF(OR(B732="621",B732="604",B732="6063"),N732*(1-L732),IF(OR(B732="6411",B732="6413",B732="6414",B732="645"),(1+J732)*(1+K732),IF(OR(B732="613",B732="615",B732="616",B732="6226",B732="625",B732="626",B732="6281"),(1+I732)*(1-L732)*(1+M732),IF(OR(B732="6331",B732="63511",B732="6333"),(1+I732)*(1-L732),IF(B732="6811",1+I732,1))))))))</f>
        <v/>
      </c>
      <c r="P732">
        <f>IF(E732=1,F732*O732,"")</f>
        <v/>
      </c>
    </row>
    <row r="733">
      <c r="A733">
        <f>PNL!A733</f>
        <v/>
      </c>
      <c r="B733">
        <f>PNL!B733</f>
        <v/>
      </c>
      <c r="C733">
        <f>PNL!C733</f>
        <v/>
      </c>
      <c r="D733">
        <f>PNL!D733</f>
        <v/>
      </c>
      <c r="E733">
        <f>IF(AND(C733="2027",OR(D733="V01",D733="V02",D733="V03")),1,0)</f>
        <v/>
      </c>
      <c r="F733">
        <f>IF(E733=1,SUMIFS(Compta!$F$2:$F$675,Compta!$A$2:$A$675,A733,Compta!$B$2:$B$675,B733,Compta!$C$2:$C$675,"2026"),0)</f>
        <v/>
      </c>
      <c r="G733">
        <f>IF(D733="V01",cad!$I$21,IF(D733="V02",cad!$J$21,cad!$K$21))</f>
        <v/>
      </c>
      <c r="H733">
        <f>IF(D733="V01",cad!$I$22,IF(D733="V02",cad!$J$22,cad!$K$22))</f>
        <v/>
      </c>
      <c r="I733">
        <f>IF(D733="V01",cad!$I$27,IF(D733="V02",cad!$J$27,cad!$K$27))</f>
        <v/>
      </c>
      <c r="J733">
        <f>IF(D733="V01",cad!$I$28,IF(D733="V02",cad!$J$28,cad!$K$28))</f>
        <v/>
      </c>
      <c r="K733">
        <f>IF(D733="V01",cad!$I$29,IF(D733="V02",cad!$J$29,cad!$K$29))</f>
        <v/>
      </c>
      <c r="L733">
        <f>IF(D733="V01",cad!$I$30,IF(D733="V02",cad!$J$30,cad!$K$30))</f>
        <v/>
      </c>
      <c r="M733">
        <f>IF(D733="V01",cad!$I$31,IF(D733="V02",cad!$J$31,cad!$K$31))</f>
        <v/>
      </c>
      <c r="N733">
        <f>IF(D733="V01",$R$2,IF(D733="V02",$R$3,$R$4))</f>
        <v/>
      </c>
      <c r="O733">
        <f>IF(OR(B733="7062",B733="706",B733="708"),N733,IF(B733="6231",1+G733,IF(B733="6236",1+H733,IF(OR(B733="621",B733="604",B733="6063"),N733*(1-L733),IF(OR(B733="6411",B733="6413",B733="6414",B733="645"),(1+J733)*(1+K733),IF(OR(B733="613",B733="615",B733="616",B733="6226",B733="625",B733="626",B733="6281"),(1+I733)*(1-L733)*(1+M733),IF(OR(B733="6331",B733="63511",B733="6333"),(1+I733)*(1-L733),IF(B733="6811",1+I733,1))))))))</f>
        <v/>
      </c>
      <c r="P733">
        <f>IF(E733=1,F733*O733,"")</f>
        <v/>
      </c>
    </row>
    <row r="734">
      <c r="A734">
        <f>PNL!A734</f>
        <v/>
      </c>
      <c r="B734">
        <f>PNL!B734</f>
        <v/>
      </c>
      <c r="C734">
        <f>PNL!C734</f>
        <v/>
      </c>
      <c r="D734">
        <f>PNL!D734</f>
        <v/>
      </c>
      <c r="E734">
        <f>IF(AND(C734="2027",OR(D734="V01",D734="V02",D734="V03")),1,0)</f>
        <v/>
      </c>
      <c r="F734">
        <f>IF(E734=1,SUMIFS(Compta!$F$2:$F$675,Compta!$A$2:$A$675,A734,Compta!$B$2:$B$675,B734,Compta!$C$2:$C$675,"2026"),0)</f>
        <v/>
      </c>
      <c r="G734">
        <f>IF(D734="V01",cad!$I$21,IF(D734="V02",cad!$J$21,cad!$K$21))</f>
        <v/>
      </c>
      <c r="H734">
        <f>IF(D734="V01",cad!$I$22,IF(D734="V02",cad!$J$22,cad!$K$22))</f>
        <v/>
      </c>
      <c r="I734">
        <f>IF(D734="V01",cad!$I$27,IF(D734="V02",cad!$J$27,cad!$K$27))</f>
        <v/>
      </c>
      <c r="J734">
        <f>IF(D734="V01",cad!$I$28,IF(D734="V02",cad!$J$28,cad!$K$28))</f>
        <v/>
      </c>
      <c r="K734">
        <f>IF(D734="V01",cad!$I$29,IF(D734="V02",cad!$J$29,cad!$K$29))</f>
        <v/>
      </c>
      <c r="L734">
        <f>IF(D734="V01",cad!$I$30,IF(D734="V02",cad!$J$30,cad!$K$30))</f>
        <v/>
      </c>
      <c r="M734">
        <f>IF(D734="V01",cad!$I$31,IF(D734="V02",cad!$J$31,cad!$K$31))</f>
        <v/>
      </c>
      <c r="N734">
        <f>IF(D734="V01",$R$2,IF(D734="V02",$R$3,$R$4))</f>
        <v/>
      </c>
      <c r="O734">
        <f>IF(OR(B734="7062",B734="706",B734="708"),N734,IF(B734="6231",1+G734,IF(B734="6236",1+H734,IF(OR(B734="621",B734="604",B734="6063"),N734*(1-L734),IF(OR(B734="6411",B734="6413",B734="6414",B734="645"),(1+J734)*(1+K734),IF(OR(B734="613",B734="615",B734="616",B734="6226",B734="625",B734="626",B734="6281"),(1+I734)*(1-L734)*(1+M734),IF(OR(B734="6331",B734="63511",B734="6333"),(1+I734)*(1-L734),IF(B734="6811",1+I734,1))))))))</f>
        <v/>
      </c>
      <c r="P734">
        <f>IF(E734=1,F734*O734,"")</f>
        <v/>
      </c>
    </row>
    <row r="735">
      <c r="A735">
        <f>PNL!A735</f>
        <v/>
      </c>
      <c r="B735">
        <f>PNL!B735</f>
        <v/>
      </c>
      <c r="C735">
        <f>PNL!C735</f>
        <v/>
      </c>
      <c r="D735">
        <f>PNL!D735</f>
        <v/>
      </c>
      <c r="E735">
        <f>IF(AND(C735="2027",OR(D735="V01",D735="V02",D735="V03")),1,0)</f>
        <v/>
      </c>
      <c r="F735">
        <f>IF(E735=1,SUMIFS(Compta!$F$2:$F$675,Compta!$A$2:$A$675,A735,Compta!$B$2:$B$675,B735,Compta!$C$2:$C$675,"2026"),0)</f>
        <v/>
      </c>
      <c r="G735">
        <f>IF(D735="V01",cad!$I$21,IF(D735="V02",cad!$J$21,cad!$K$21))</f>
        <v/>
      </c>
      <c r="H735">
        <f>IF(D735="V01",cad!$I$22,IF(D735="V02",cad!$J$22,cad!$K$22))</f>
        <v/>
      </c>
      <c r="I735">
        <f>IF(D735="V01",cad!$I$27,IF(D735="V02",cad!$J$27,cad!$K$27))</f>
        <v/>
      </c>
      <c r="J735">
        <f>IF(D735="V01",cad!$I$28,IF(D735="V02",cad!$J$28,cad!$K$28))</f>
        <v/>
      </c>
      <c r="K735">
        <f>IF(D735="V01",cad!$I$29,IF(D735="V02",cad!$J$29,cad!$K$29))</f>
        <v/>
      </c>
      <c r="L735">
        <f>IF(D735="V01",cad!$I$30,IF(D735="V02",cad!$J$30,cad!$K$30))</f>
        <v/>
      </c>
      <c r="M735">
        <f>IF(D735="V01",cad!$I$31,IF(D735="V02",cad!$J$31,cad!$K$31))</f>
        <v/>
      </c>
      <c r="N735">
        <f>IF(D735="V01",$R$2,IF(D735="V02",$R$3,$R$4))</f>
        <v/>
      </c>
      <c r="O735">
        <f>IF(OR(B735="7062",B735="706",B735="708"),N735,IF(B735="6231",1+G735,IF(B735="6236",1+H735,IF(OR(B735="621",B735="604",B735="6063"),N735*(1-L735),IF(OR(B735="6411",B735="6413",B735="6414",B735="645"),(1+J735)*(1+K735),IF(OR(B735="613",B735="615",B735="616",B735="6226",B735="625",B735="626",B735="6281"),(1+I735)*(1-L735)*(1+M735),IF(OR(B735="6331",B735="63511",B735="6333"),(1+I735)*(1-L735),IF(B735="6811",1+I735,1))))))))</f>
        <v/>
      </c>
      <c r="P735">
        <f>IF(E735=1,F735*O735,"")</f>
        <v/>
      </c>
    </row>
    <row r="736">
      <c r="A736">
        <f>PNL!A736</f>
        <v/>
      </c>
      <c r="B736">
        <f>PNL!B736</f>
        <v/>
      </c>
      <c r="C736">
        <f>PNL!C736</f>
        <v/>
      </c>
      <c r="D736">
        <f>PNL!D736</f>
        <v/>
      </c>
      <c r="E736">
        <f>IF(AND(C736="2027",OR(D736="V01",D736="V02",D736="V03")),1,0)</f>
        <v/>
      </c>
      <c r="F736">
        <f>IF(E736=1,SUMIFS(Compta!$F$2:$F$675,Compta!$A$2:$A$675,A736,Compta!$B$2:$B$675,B736,Compta!$C$2:$C$675,"2026"),0)</f>
        <v/>
      </c>
      <c r="G736">
        <f>IF(D736="V01",cad!$I$21,IF(D736="V02",cad!$J$21,cad!$K$21))</f>
        <v/>
      </c>
      <c r="H736">
        <f>IF(D736="V01",cad!$I$22,IF(D736="V02",cad!$J$22,cad!$K$22))</f>
        <v/>
      </c>
      <c r="I736">
        <f>IF(D736="V01",cad!$I$27,IF(D736="V02",cad!$J$27,cad!$K$27))</f>
        <v/>
      </c>
      <c r="J736">
        <f>IF(D736="V01",cad!$I$28,IF(D736="V02",cad!$J$28,cad!$K$28))</f>
        <v/>
      </c>
      <c r="K736">
        <f>IF(D736="V01",cad!$I$29,IF(D736="V02",cad!$J$29,cad!$K$29))</f>
        <v/>
      </c>
      <c r="L736">
        <f>IF(D736="V01",cad!$I$30,IF(D736="V02",cad!$J$30,cad!$K$30))</f>
        <v/>
      </c>
      <c r="M736">
        <f>IF(D736="V01",cad!$I$31,IF(D736="V02",cad!$J$31,cad!$K$31))</f>
        <v/>
      </c>
      <c r="N736">
        <f>IF(D736="V01",$R$2,IF(D736="V02",$R$3,$R$4))</f>
        <v/>
      </c>
      <c r="O736">
        <f>IF(OR(B736="7062",B736="706",B736="708"),N736,IF(B736="6231",1+G736,IF(B736="6236",1+H736,IF(OR(B736="621",B736="604",B736="6063"),N736*(1-L736),IF(OR(B736="6411",B736="6413",B736="6414",B736="645"),(1+J736)*(1+K736),IF(OR(B736="613",B736="615",B736="616",B736="6226",B736="625",B736="626",B736="6281"),(1+I736)*(1-L736)*(1+M736),IF(OR(B736="6331",B736="63511",B736="6333"),(1+I736)*(1-L736),IF(B736="6811",1+I736,1))))))))</f>
        <v/>
      </c>
      <c r="P736">
        <f>IF(E736=1,F736*O736,"")</f>
        <v/>
      </c>
    </row>
    <row r="737">
      <c r="A737">
        <f>PNL!A737</f>
        <v/>
      </c>
      <c r="B737">
        <f>PNL!B737</f>
        <v/>
      </c>
      <c r="C737">
        <f>PNL!C737</f>
        <v/>
      </c>
      <c r="D737">
        <f>PNL!D737</f>
        <v/>
      </c>
      <c r="E737">
        <f>IF(AND(C737="2027",OR(D737="V01",D737="V02",D737="V03")),1,0)</f>
        <v/>
      </c>
      <c r="F737">
        <f>IF(E737=1,SUMIFS(Compta!$F$2:$F$675,Compta!$A$2:$A$675,A737,Compta!$B$2:$B$675,B737,Compta!$C$2:$C$675,"2026"),0)</f>
        <v/>
      </c>
      <c r="G737">
        <f>IF(D737="V01",cad!$I$21,IF(D737="V02",cad!$J$21,cad!$K$21))</f>
        <v/>
      </c>
      <c r="H737">
        <f>IF(D737="V01",cad!$I$22,IF(D737="V02",cad!$J$22,cad!$K$22))</f>
        <v/>
      </c>
      <c r="I737">
        <f>IF(D737="V01",cad!$I$27,IF(D737="V02",cad!$J$27,cad!$K$27))</f>
        <v/>
      </c>
      <c r="J737">
        <f>IF(D737="V01",cad!$I$28,IF(D737="V02",cad!$J$28,cad!$K$28))</f>
        <v/>
      </c>
      <c r="K737">
        <f>IF(D737="V01",cad!$I$29,IF(D737="V02",cad!$J$29,cad!$K$29))</f>
        <v/>
      </c>
      <c r="L737">
        <f>IF(D737="V01",cad!$I$30,IF(D737="V02",cad!$J$30,cad!$K$30))</f>
        <v/>
      </c>
      <c r="M737">
        <f>IF(D737="V01",cad!$I$31,IF(D737="V02",cad!$J$31,cad!$K$31))</f>
        <v/>
      </c>
      <c r="N737">
        <f>IF(D737="V01",$R$2,IF(D737="V02",$R$3,$R$4))</f>
        <v/>
      </c>
      <c r="O737">
        <f>IF(OR(B737="7062",B737="706",B737="708"),N737,IF(B737="6231",1+G737,IF(B737="6236",1+H737,IF(OR(B737="621",B737="604",B737="6063"),N737*(1-L737),IF(OR(B737="6411",B737="6413",B737="6414",B737="645"),(1+J737)*(1+K737),IF(OR(B737="613",B737="615",B737="616",B737="6226",B737="625",B737="626",B737="6281"),(1+I737)*(1-L737)*(1+M737),IF(OR(B737="6331",B737="63511",B737="6333"),(1+I737)*(1-L737),IF(B737="6811",1+I737,1))))))))</f>
        <v/>
      </c>
      <c r="P737">
        <f>IF(E737=1,F737*O737,"")</f>
        <v/>
      </c>
    </row>
    <row r="738">
      <c r="A738">
        <f>PNL!A738</f>
        <v/>
      </c>
      <c r="B738">
        <f>PNL!B738</f>
        <v/>
      </c>
      <c r="C738">
        <f>PNL!C738</f>
        <v/>
      </c>
      <c r="D738">
        <f>PNL!D738</f>
        <v/>
      </c>
      <c r="E738">
        <f>IF(AND(C738="2027",OR(D738="V01",D738="V02",D738="V03")),1,0)</f>
        <v/>
      </c>
      <c r="F738">
        <f>IF(E738=1,SUMIFS(Compta!$F$2:$F$675,Compta!$A$2:$A$675,A738,Compta!$B$2:$B$675,B738,Compta!$C$2:$C$675,"2026"),0)</f>
        <v/>
      </c>
      <c r="G738">
        <f>IF(D738="V01",cad!$I$21,IF(D738="V02",cad!$J$21,cad!$K$21))</f>
        <v/>
      </c>
      <c r="H738">
        <f>IF(D738="V01",cad!$I$22,IF(D738="V02",cad!$J$22,cad!$K$22))</f>
        <v/>
      </c>
      <c r="I738">
        <f>IF(D738="V01",cad!$I$27,IF(D738="V02",cad!$J$27,cad!$K$27))</f>
        <v/>
      </c>
      <c r="J738">
        <f>IF(D738="V01",cad!$I$28,IF(D738="V02",cad!$J$28,cad!$K$28))</f>
        <v/>
      </c>
      <c r="K738">
        <f>IF(D738="V01",cad!$I$29,IF(D738="V02",cad!$J$29,cad!$K$29))</f>
        <v/>
      </c>
      <c r="L738">
        <f>IF(D738="V01",cad!$I$30,IF(D738="V02",cad!$J$30,cad!$K$30))</f>
        <v/>
      </c>
      <c r="M738">
        <f>IF(D738="V01",cad!$I$31,IF(D738="V02",cad!$J$31,cad!$K$31))</f>
        <v/>
      </c>
      <c r="N738">
        <f>IF(D738="V01",$R$2,IF(D738="V02",$R$3,$R$4))</f>
        <v/>
      </c>
      <c r="O738">
        <f>IF(OR(B738="7062",B738="706",B738="708"),N738,IF(B738="6231",1+G738,IF(B738="6236",1+H738,IF(OR(B738="621",B738="604",B738="6063"),N738*(1-L738),IF(OR(B738="6411",B738="6413",B738="6414",B738="645"),(1+J738)*(1+K738),IF(OR(B738="613",B738="615",B738="616",B738="6226",B738="625",B738="626",B738="6281"),(1+I738)*(1-L738)*(1+M738),IF(OR(B738="6331",B738="63511",B738="6333"),(1+I738)*(1-L738),IF(B738="6811",1+I738,1))))))))</f>
        <v/>
      </c>
      <c r="P738">
        <f>IF(E738=1,F738*O738,"")</f>
        <v/>
      </c>
    </row>
    <row r="739">
      <c r="A739">
        <f>PNL!A739</f>
        <v/>
      </c>
      <c r="B739">
        <f>PNL!B739</f>
        <v/>
      </c>
      <c r="C739">
        <f>PNL!C739</f>
        <v/>
      </c>
      <c r="D739">
        <f>PNL!D739</f>
        <v/>
      </c>
      <c r="E739">
        <f>IF(AND(C739="2027",OR(D739="V01",D739="V02",D739="V03")),1,0)</f>
        <v/>
      </c>
      <c r="F739">
        <f>IF(E739=1,SUMIFS(Compta!$F$2:$F$675,Compta!$A$2:$A$675,A739,Compta!$B$2:$B$675,B739,Compta!$C$2:$C$675,"2026"),0)</f>
        <v/>
      </c>
      <c r="G739">
        <f>IF(D739="V01",cad!$I$21,IF(D739="V02",cad!$J$21,cad!$K$21))</f>
        <v/>
      </c>
      <c r="H739">
        <f>IF(D739="V01",cad!$I$22,IF(D739="V02",cad!$J$22,cad!$K$22))</f>
        <v/>
      </c>
      <c r="I739">
        <f>IF(D739="V01",cad!$I$27,IF(D739="V02",cad!$J$27,cad!$K$27))</f>
        <v/>
      </c>
      <c r="J739">
        <f>IF(D739="V01",cad!$I$28,IF(D739="V02",cad!$J$28,cad!$K$28))</f>
        <v/>
      </c>
      <c r="K739">
        <f>IF(D739="V01",cad!$I$29,IF(D739="V02",cad!$J$29,cad!$K$29))</f>
        <v/>
      </c>
      <c r="L739">
        <f>IF(D739="V01",cad!$I$30,IF(D739="V02",cad!$J$30,cad!$K$30))</f>
        <v/>
      </c>
      <c r="M739">
        <f>IF(D739="V01",cad!$I$31,IF(D739="V02",cad!$J$31,cad!$K$31))</f>
        <v/>
      </c>
      <c r="N739">
        <f>IF(D739="V01",$R$2,IF(D739="V02",$R$3,$R$4))</f>
        <v/>
      </c>
      <c r="O739">
        <f>IF(OR(B739="7062",B739="706",B739="708"),N739,IF(B739="6231",1+G739,IF(B739="6236",1+H739,IF(OR(B739="621",B739="604",B739="6063"),N739*(1-L739),IF(OR(B739="6411",B739="6413",B739="6414",B739="645"),(1+J739)*(1+K739),IF(OR(B739="613",B739="615",B739="616",B739="6226",B739="625",B739="626",B739="6281"),(1+I739)*(1-L739)*(1+M739),IF(OR(B739="6331",B739="63511",B739="6333"),(1+I739)*(1-L739),IF(B739="6811",1+I739,1))))))))</f>
        <v/>
      </c>
      <c r="P739">
        <f>IF(E739=1,F739*O739,"")</f>
        <v/>
      </c>
    </row>
    <row r="740">
      <c r="A740">
        <f>PNL!A740</f>
        <v/>
      </c>
      <c r="B740">
        <f>PNL!B740</f>
        <v/>
      </c>
      <c r="C740">
        <f>PNL!C740</f>
        <v/>
      </c>
      <c r="D740">
        <f>PNL!D740</f>
        <v/>
      </c>
      <c r="E740">
        <f>IF(AND(C740="2027",OR(D740="V01",D740="V02",D740="V03")),1,0)</f>
        <v/>
      </c>
      <c r="F740">
        <f>IF(E740=1,SUMIFS(Compta!$F$2:$F$675,Compta!$A$2:$A$675,A740,Compta!$B$2:$B$675,B740,Compta!$C$2:$C$675,"2026"),0)</f>
        <v/>
      </c>
      <c r="G740">
        <f>IF(D740="V01",cad!$I$21,IF(D740="V02",cad!$J$21,cad!$K$21))</f>
        <v/>
      </c>
      <c r="H740">
        <f>IF(D740="V01",cad!$I$22,IF(D740="V02",cad!$J$22,cad!$K$22))</f>
        <v/>
      </c>
      <c r="I740">
        <f>IF(D740="V01",cad!$I$27,IF(D740="V02",cad!$J$27,cad!$K$27))</f>
        <v/>
      </c>
      <c r="J740">
        <f>IF(D740="V01",cad!$I$28,IF(D740="V02",cad!$J$28,cad!$K$28))</f>
        <v/>
      </c>
      <c r="K740">
        <f>IF(D740="V01",cad!$I$29,IF(D740="V02",cad!$J$29,cad!$K$29))</f>
        <v/>
      </c>
      <c r="L740">
        <f>IF(D740="V01",cad!$I$30,IF(D740="V02",cad!$J$30,cad!$K$30))</f>
        <v/>
      </c>
      <c r="M740">
        <f>IF(D740="V01",cad!$I$31,IF(D740="V02",cad!$J$31,cad!$K$31))</f>
        <v/>
      </c>
      <c r="N740">
        <f>IF(D740="V01",$R$2,IF(D740="V02",$R$3,$R$4))</f>
        <v/>
      </c>
      <c r="O740">
        <f>IF(OR(B740="7062",B740="706",B740="708"),N740,IF(B740="6231",1+G740,IF(B740="6236",1+H740,IF(OR(B740="621",B740="604",B740="6063"),N740*(1-L740),IF(OR(B740="6411",B740="6413",B740="6414",B740="645"),(1+J740)*(1+K740),IF(OR(B740="613",B740="615",B740="616",B740="6226",B740="625",B740="626",B740="6281"),(1+I740)*(1-L740)*(1+M740),IF(OR(B740="6331",B740="63511",B740="6333"),(1+I740)*(1-L740),IF(B740="6811",1+I740,1))))))))</f>
        <v/>
      </c>
      <c r="P740">
        <f>IF(E740=1,F740*O740,"")</f>
        <v/>
      </c>
    </row>
    <row r="741">
      <c r="A741">
        <f>PNL!A741</f>
        <v/>
      </c>
      <c r="B741">
        <f>PNL!B741</f>
        <v/>
      </c>
      <c r="C741">
        <f>PNL!C741</f>
        <v/>
      </c>
      <c r="D741">
        <f>PNL!D741</f>
        <v/>
      </c>
      <c r="E741">
        <f>IF(AND(C741="2027",OR(D741="V01",D741="V02",D741="V03")),1,0)</f>
        <v/>
      </c>
      <c r="F741">
        <f>IF(E741=1,SUMIFS(Compta!$F$2:$F$675,Compta!$A$2:$A$675,A741,Compta!$B$2:$B$675,B741,Compta!$C$2:$C$675,"2026"),0)</f>
        <v/>
      </c>
      <c r="G741">
        <f>IF(D741="V01",cad!$I$21,IF(D741="V02",cad!$J$21,cad!$K$21))</f>
        <v/>
      </c>
      <c r="H741">
        <f>IF(D741="V01",cad!$I$22,IF(D741="V02",cad!$J$22,cad!$K$22))</f>
        <v/>
      </c>
      <c r="I741">
        <f>IF(D741="V01",cad!$I$27,IF(D741="V02",cad!$J$27,cad!$K$27))</f>
        <v/>
      </c>
      <c r="J741">
        <f>IF(D741="V01",cad!$I$28,IF(D741="V02",cad!$J$28,cad!$K$28))</f>
        <v/>
      </c>
      <c r="K741">
        <f>IF(D741="V01",cad!$I$29,IF(D741="V02",cad!$J$29,cad!$K$29))</f>
        <v/>
      </c>
      <c r="L741">
        <f>IF(D741="V01",cad!$I$30,IF(D741="V02",cad!$J$30,cad!$K$30))</f>
        <v/>
      </c>
      <c r="M741">
        <f>IF(D741="V01",cad!$I$31,IF(D741="V02",cad!$J$31,cad!$K$31))</f>
        <v/>
      </c>
      <c r="N741">
        <f>IF(D741="V01",$R$2,IF(D741="V02",$R$3,$R$4))</f>
        <v/>
      </c>
      <c r="O741">
        <f>IF(OR(B741="7062",B741="706",B741="708"),N741,IF(B741="6231",1+G741,IF(B741="6236",1+H741,IF(OR(B741="621",B741="604",B741="6063"),N741*(1-L741),IF(OR(B741="6411",B741="6413",B741="6414",B741="645"),(1+J741)*(1+K741),IF(OR(B741="613",B741="615",B741="616",B741="6226",B741="625",B741="626",B741="6281"),(1+I741)*(1-L741)*(1+M741),IF(OR(B741="6331",B741="63511",B741="6333"),(1+I741)*(1-L741),IF(B741="6811",1+I741,1))))))))</f>
        <v/>
      </c>
      <c r="P741">
        <f>IF(E741=1,F741*O741,"")</f>
        <v/>
      </c>
    </row>
    <row r="742">
      <c r="A742">
        <f>PNL!A742</f>
        <v/>
      </c>
      <c r="B742">
        <f>PNL!B742</f>
        <v/>
      </c>
      <c r="C742">
        <f>PNL!C742</f>
        <v/>
      </c>
      <c r="D742">
        <f>PNL!D742</f>
        <v/>
      </c>
      <c r="E742">
        <f>IF(AND(C742="2027",OR(D742="V01",D742="V02",D742="V03")),1,0)</f>
        <v/>
      </c>
      <c r="F742">
        <f>IF(E742=1,SUMIFS(Compta!$F$2:$F$675,Compta!$A$2:$A$675,A742,Compta!$B$2:$B$675,B742,Compta!$C$2:$C$675,"2026"),0)</f>
        <v/>
      </c>
      <c r="G742">
        <f>IF(D742="V01",cad!$I$21,IF(D742="V02",cad!$J$21,cad!$K$21))</f>
        <v/>
      </c>
      <c r="H742">
        <f>IF(D742="V01",cad!$I$22,IF(D742="V02",cad!$J$22,cad!$K$22))</f>
        <v/>
      </c>
      <c r="I742">
        <f>IF(D742="V01",cad!$I$27,IF(D742="V02",cad!$J$27,cad!$K$27))</f>
        <v/>
      </c>
      <c r="J742">
        <f>IF(D742="V01",cad!$I$28,IF(D742="V02",cad!$J$28,cad!$K$28))</f>
        <v/>
      </c>
      <c r="K742">
        <f>IF(D742="V01",cad!$I$29,IF(D742="V02",cad!$J$29,cad!$K$29))</f>
        <v/>
      </c>
      <c r="L742">
        <f>IF(D742="V01",cad!$I$30,IF(D742="V02",cad!$J$30,cad!$K$30))</f>
        <v/>
      </c>
      <c r="M742">
        <f>IF(D742="V01",cad!$I$31,IF(D742="V02",cad!$J$31,cad!$K$31))</f>
        <v/>
      </c>
      <c r="N742">
        <f>IF(D742="V01",$R$2,IF(D742="V02",$R$3,$R$4))</f>
        <v/>
      </c>
      <c r="O742">
        <f>IF(OR(B742="7062",B742="706",B742="708"),N742,IF(B742="6231",1+G742,IF(B742="6236",1+H742,IF(OR(B742="621",B742="604",B742="6063"),N742*(1-L742),IF(OR(B742="6411",B742="6413",B742="6414",B742="645"),(1+J742)*(1+K742),IF(OR(B742="613",B742="615",B742="616",B742="6226",B742="625",B742="626",B742="6281"),(1+I742)*(1-L742)*(1+M742),IF(OR(B742="6331",B742="63511",B742="6333"),(1+I742)*(1-L742),IF(B742="6811",1+I742,1))))))))</f>
        <v/>
      </c>
      <c r="P742">
        <f>IF(E742=1,F742*O742,"")</f>
        <v/>
      </c>
    </row>
    <row r="743">
      <c r="A743">
        <f>PNL!A743</f>
        <v/>
      </c>
      <c r="B743">
        <f>PNL!B743</f>
        <v/>
      </c>
      <c r="C743">
        <f>PNL!C743</f>
        <v/>
      </c>
      <c r="D743">
        <f>PNL!D743</f>
        <v/>
      </c>
      <c r="E743">
        <f>IF(AND(C743="2027",OR(D743="V01",D743="V02",D743="V03")),1,0)</f>
        <v/>
      </c>
      <c r="F743">
        <f>IF(E743=1,SUMIFS(Compta!$F$2:$F$675,Compta!$A$2:$A$675,A743,Compta!$B$2:$B$675,B743,Compta!$C$2:$C$675,"2026"),0)</f>
        <v/>
      </c>
      <c r="G743">
        <f>IF(D743="V01",cad!$I$21,IF(D743="V02",cad!$J$21,cad!$K$21))</f>
        <v/>
      </c>
      <c r="H743">
        <f>IF(D743="V01",cad!$I$22,IF(D743="V02",cad!$J$22,cad!$K$22))</f>
        <v/>
      </c>
      <c r="I743">
        <f>IF(D743="V01",cad!$I$27,IF(D743="V02",cad!$J$27,cad!$K$27))</f>
        <v/>
      </c>
      <c r="J743">
        <f>IF(D743="V01",cad!$I$28,IF(D743="V02",cad!$J$28,cad!$K$28))</f>
        <v/>
      </c>
      <c r="K743">
        <f>IF(D743="V01",cad!$I$29,IF(D743="V02",cad!$J$29,cad!$K$29))</f>
        <v/>
      </c>
      <c r="L743">
        <f>IF(D743="V01",cad!$I$30,IF(D743="V02",cad!$J$30,cad!$K$30))</f>
        <v/>
      </c>
      <c r="M743">
        <f>IF(D743="V01",cad!$I$31,IF(D743="V02",cad!$J$31,cad!$K$31))</f>
        <v/>
      </c>
      <c r="N743">
        <f>IF(D743="V01",$R$2,IF(D743="V02",$R$3,$R$4))</f>
        <v/>
      </c>
      <c r="O743">
        <f>IF(OR(B743="7062",B743="706",B743="708"),N743,IF(B743="6231",1+G743,IF(B743="6236",1+H743,IF(OR(B743="621",B743="604",B743="6063"),N743*(1-L743),IF(OR(B743="6411",B743="6413",B743="6414",B743="645"),(1+J743)*(1+K743),IF(OR(B743="613",B743="615",B743="616",B743="6226",B743="625",B743="626",B743="6281"),(1+I743)*(1-L743)*(1+M743),IF(OR(B743="6331",B743="63511",B743="6333"),(1+I743)*(1-L743),IF(B743="6811",1+I743,1))))))))</f>
        <v/>
      </c>
      <c r="P743">
        <f>IF(E743=1,F743*O743,"")</f>
        <v/>
      </c>
    </row>
    <row r="744">
      <c r="A744">
        <f>PNL!A744</f>
        <v/>
      </c>
      <c r="B744">
        <f>PNL!B744</f>
        <v/>
      </c>
      <c r="C744">
        <f>PNL!C744</f>
        <v/>
      </c>
      <c r="D744">
        <f>PNL!D744</f>
        <v/>
      </c>
      <c r="E744">
        <f>IF(AND(C744="2027",OR(D744="V01",D744="V02",D744="V03")),1,0)</f>
        <v/>
      </c>
      <c r="F744">
        <f>IF(E744=1,SUMIFS(Compta!$F$2:$F$675,Compta!$A$2:$A$675,A744,Compta!$B$2:$B$675,B744,Compta!$C$2:$C$675,"2026"),0)</f>
        <v/>
      </c>
      <c r="G744">
        <f>IF(D744="V01",cad!$I$21,IF(D744="V02",cad!$J$21,cad!$K$21))</f>
        <v/>
      </c>
      <c r="H744">
        <f>IF(D744="V01",cad!$I$22,IF(D744="V02",cad!$J$22,cad!$K$22))</f>
        <v/>
      </c>
      <c r="I744">
        <f>IF(D744="V01",cad!$I$27,IF(D744="V02",cad!$J$27,cad!$K$27))</f>
        <v/>
      </c>
      <c r="J744">
        <f>IF(D744="V01",cad!$I$28,IF(D744="V02",cad!$J$28,cad!$K$28))</f>
        <v/>
      </c>
      <c r="K744">
        <f>IF(D744="V01",cad!$I$29,IF(D744="V02",cad!$J$29,cad!$K$29))</f>
        <v/>
      </c>
      <c r="L744">
        <f>IF(D744="V01",cad!$I$30,IF(D744="V02",cad!$J$30,cad!$K$30))</f>
        <v/>
      </c>
      <c r="M744">
        <f>IF(D744="V01",cad!$I$31,IF(D744="V02",cad!$J$31,cad!$K$31))</f>
        <v/>
      </c>
      <c r="N744">
        <f>IF(D744="V01",$R$2,IF(D744="V02",$R$3,$R$4))</f>
        <v/>
      </c>
      <c r="O744">
        <f>IF(OR(B744="7062",B744="706",B744="708"),N744,IF(B744="6231",1+G744,IF(B744="6236",1+H744,IF(OR(B744="621",B744="604",B744="6063"),N744*(1-L744),IF(OR(B744="6411",B744="6413",B744="6414",B744="645"),(1+J744)*(1+K744),IF(OR(B744="613",B744="615",B744="616",B744="6226",B744="625",B744="626",B744="6281"),(1+I744)*(1-L744)*(1+M744),IF(OR(B744="6331",B744="63511",B744="6333"),(1+I744)*(1-L744),IF(B744="6811",1+I744,1))))))))</f>
        <v/>
      </c>
      <c r="P744">
        <f>IF(E744=1,F744*O744,"")</f>
        <v/>
      </c>
    </row>
    <row r="745">
      <c r="A745">
        <f>PNL!A745</f>
        <v/>
      </c>
      <c r="B745">
        <f>PNL!B745</f>
        <v/>
      </c>
      <c r="C745">
        <f>PNL!C745</f>
        <v/>
      </c>
      <c r="D745">
        <f>PNL!D745</f>
        <v/>
      </c>
      <c r="E745">
        <f>IF(AND(C745="2027",OR(D745="V01",D745="V02",D745="V03")),1,0)</f>
        <v/>
      </c>
      <c r="F745">
        <f>IF(E745=1,SUMIFS(Compta!$F$2:$F$675,Compta!$A$2:$A$675,A745,Compta!$B$2:$B$675,B745,Compta!$C$2:$C$675,"2026"),0)</f>
        <v/>
      </c>
      <c r="G745">
        <f>IF(D745="V01",cad!$I$21,IF(D745="V02",cad!$J$21,cad!$K$21))</f>
        <v/>
      </c>
      <c r="H745">
        <f>IF(D745="V01",cad!$I$22,IF(D745="V02",cad!$J$22,cad!$K$22))</f>
        <v/>
      </c>
      <c r="I745">
        <f>IF(D745="V01",cad!$I$27,IF(D745="V02",cad!$J$27,cad!$K$27))</f>
        <v/>
      </c>
      <c r="J745">
        <f>IF(D745="V01",cad!$I$28,IF(D745="V02",cad!$J$28,cad!$K$28))</f>
        <v/>
      </c>
      <c r="K745">
        <f>IF(D745="V01",cad!$I$29,IF(D745="V02",cad!$J$29,cad!$K$29))</f>
        <v/>
      </c>
      <c r="L745">
        <f>IF(D745="V01",cad!$I$30,IF(D745="V02",cad!$J$30,cad!$K$30))</f>
        <v/>
      </c>
      <c r="M745">
        <f>IF(D745="V01",cad!$I$31,IF(D745="V02",cad!$J$31,cad!$K$31))</f>
        <v/>
      </c>
      <c r="N745">
        <f>IF(D745="V01",$R$2,IF(D745="V02",$R$3,$R$4))</f>
        <v/>
      </c>
      <c r="O745">
        <f>IF(OR(B745="7062",B745="706",B745="708"),N745,IF(B745="6231",1+G745,IF(B745="6236",1+H745,IF(OR(B745="621",B745="604",B745="6063"),N745*(1-L745),IF(OR(B745="6411",B745="6413",B745="6414",B745="645"),(1+J745)*(1+K745),IF(OR(B745="613",B745="615",B745="616",B745="6226",B745="625",B745="626",B745="6281"),(1+I745)*(1-L745)*(1+M745),IF(OR(B745="6331",B745="63511",B745="6333"),(1+I745)*(1-L745),IF(B745="6811",1+I745,1))))))))</f>
        <v/>
      </c>
      <c r="P745">
        <f>IF(E745=1,F745*O745,"")</f>
        <v/>
      </c>
    </row>
    <row r="746">
      <c r="A746">
        <f>PNL!A746</f>
        <v/>
      </c>
      <c r="B746">
        <f>PNL!B746</f>
        <v/>
      </c>
      <c r="C746">
        <f>PNL!C746</f>
        <v/>
      </c>
      <c r="D746">
        <f>PNL!D746</f>
        <v/>
      </c>
      <c r="E746">
        <f>IF(AND(C746="2027",OR(D746="V01",D746="V02",D746="V03")),1,0)</f>
        <v/>
      </c>
      <c r="F746">
        <f>IF(E746=1,SUMIFS(Compta!$F$2:$F$675,Compta!$A$2:$A$675,A746,Compta!$B$2:$B$675,B746,Compta!$C$2:$C$675,"2026"),0)</f>
        <v/>
      </c>
      <c r="G746">
        <f>IF(D746="V01",cad!$I$21,IF(D746="V02",cad!$J$21,cad!$K$21))</f>
        <v/>
      </c>
      <c r="H746">
        <f>IF(D746="V01",cad!$I$22,IF(D746="V02",cad!$J$22,cad!$K$22))</f>
        <v/>
      </c>
      <c r="I746">
        <f>IF(D746="V01",cad!$I$27,IF(D746="V02",cad!$J$27,cad!$K$27))</f>
        <v/>
      </c>
      <c r="J746">
        <f>IF(D746="V01",cad!$I$28,IF(D746="V02",cad!$J$28,cad!$K$28))</f>
        <v/>
      </c>
      <c r="K746">
        <f>IF(D746="V01",cad!$I$29,IF(D746="V02",cad!$J$29,cad!$K$29))</f>
        <v/>
      </c>
      <c r="L746">
        <f>IF(D746="V01",cad!$I$30,IF(D746="V02",cad!$J$30,cad!$K$30))</f>
        <v/>
      </c>
      <c r="M746">
        <f>IF(D746="V01",cad!$I$31,IF(D746="V02",cad!$J$31,cad!$K$31))</f>
        <v/>
      </c>
      <c r="N746">
        <f>IF(D746="V01",$R$2,IF(D746="V02",$R$3,$R$4))</f>
        <v/>
      </c>
      <c r="O746">
        <f>IF(OR(B746="7062",B746="706",B746="708"),N746,IF(B746="6231",1+G746,IF(B746="6236",1+H746,IF(OR(B746="621",B746="604",B746="6063"),N746*(1-L746),IF(OR(B746="6411",B746="6413",B746="6414",B746="645"),(1+J746)*(1+K746),IF(OR(B746="613",B746="615",B746="616",B746="6226",B746="625",B746="626",B746="6281"),(1+I746)*(1-L746)*(1+M746),IF(OR(B746="6331",B746="63511",B746="6333"),(1+I746)*(1-L746),IF(B746="6811",1+I746,1))))))))</f>
        <v/>
      </c>
      <c r="P746">
        <f>IF(E746=1,F746*O746,"")</f>
        <v/>
      </c>
    </row>
    <row r="747">
      <c r="A747">
        <f>PNL!A747</f>
        <v/>
      </c>
      <c r="B747">
        <f>PNL!B747</f>
        <v/>
      </c>
      <c r="C747">
        <f>PNL!C747</f>
        <v/>
      </c>
      <c r="D747">
        <f>PNL!D747</f>
        <v/>
      </c>
      <c r="E747">
        <f>IF(AND(C747="2027",OR(D747="V01",D747="V02",D747="V03")),1,0)</f>
        <v/>
      </c>
      <c r="F747">
        <f>IF(E747=1,SUMIFS(Compta!$F$2:$F$675,Compta!$A$2:$A$675,A747,Compta!$B$2:$B$675,B747,Compta!$C$2:$C$675,"2026"),0)</f>
        <v/>
      </c>
      <c r="G747">
        <f>IF(D747="V01",cad!$I$21,IF(D747="V02",cad!$J$21,cad!$K$21))</f>
        <v/>
      </c>
      <c r="H747">
        <f>IF(D747="V01",cad!$I$22,IF(D747="V02",cad!$J$22,cad!$K$22))</f>
        <v/>
      </c>
      <c r="I747">
        <f>IF(D747="V01",cad!$I$27,IF(D747="V02",cad!$J$27,cad!$K$27))</f>
        <v/>
      </c>
      <c r="J747">
        <f>IF(D747="V01",cad!$I$28,IF(D747="V02",cad!$J$28,cad!$K$28))</f>
        <v/>
      </c>
      <c r="K747">
        <f>IF(D747="V01",cad!$I$29,IF(D747="V02",cad!$J$29,cad!$K$29))</f>
        <v/>
      </c>
      <c r="L747">
        <f>IF(D747="V01",cad!$I$30,IF(D747="V02",cad!$J$30,cad!$K$30))</f>
        <v/>
      </c>
      <c r="M747">
        <f>IF(D747="V01",cad!$I$31,IF(D747="V02",cad!$J$31,cad!$K$31))</f>
        <v/>
      </c>
      <c r="N747">
        <f>IF(D747="V01",$R$2,IF(D747="V02",$R$3,$R$4))</f>
        <v/>
      </c>
      <c r="O747">
        <f>IF(OR(B747="7062",B747="706",B747="708"),N747,IF(B747="6231",1+G747,IF(B747="6236",1+H747,IF(OR(B747="621",B747="604",B747="6063"),N747*(1-L747),IF(OR(B747="6411",B747="6413",B747="6414",B747="645"),(1+J747)*(1+K747),IF(OR(B747="613",B747="615",B747="616",B747="6226",B747="625",B747="626",B747="6281"),(1+I747)*(1-L747)*(1+M747),IF(OR(B747="6331",B747="63511",B747="6333"),(1+I747)*(1-L747),IF(B747="6811",1+I747,1))))))))</f>
        <v/>
      </c>
      <c r="P747">
        <f>IF(E747=1,F747*O747,"")</f>
        <v/>
      </c>
    </row>
    <row r="748">
      <c r="A748">
        <f>PNL!A748</f>
        <v/>
      </c>
      <c r="B748">
        <f>PNL!B748</f>
        <v/>
      </c>
      <c r="C748">
        <f>PNL!C748</f>
        <v/>
      </c>
      <c r="D748">
        <f>PNL!D748</f>
        <v/>
      </c>
      <c r="E748">
        <f>IF(AND(C748="2027",OR(D748="V01",D748="V02",D748="V03")),1,0)</f>
        <v/>
      </c>
      <c r="F748">
        <f>IF(E748=1,SUMIFS(Compta!$F$2:$F$675,Compta!$A$2:$A$675,A748,Compta!$B$2:$B$675,B748,Compta!$C$2:$C$675,"2026"),0)</f>
        <v/>
      </c>
      <c r="G748">
        <f>IF(D748="V01",cad!$I$21,IF(D748="V02",cad!$J$21,cad!$K$21))</f>
        <v/>
      </c>
      <c r="H748">
        <f>IF(D748="V01",cad!$I$22,IF(D748="V02",cad!$J$22,cad!$K$22))</f>
        <v/>
      </c>
      <c r="I748">
        <f>IF(D748="V01",cad!$I$27,IF(D748="V02",cad!$J$27,cad!$K$27))</f>
        <v/>
      </c>
      <c r="J748">
        <f>IF(D748="V01",cad!$I$28,IF(D748="V02",cad!$J$28,cad!$K$28))</f>
        <v/>
      </c>
      <c r="K748">
        <f>IF(D748="V01",cad!$I$29,IF(D748="V02",cad!$J$29,cad!$K$29))</f>
        <v/>
      </c>
      <c r="L748">
        <f>IF(D748="V01",cad!$I$30,IF(D748="V02",cad!$J$30,cad!$K$30))</f>
        <v/>
      </c>
      <c r="M748">
        <f>IF(D748="V01",cad!$I$31,IF(D748="V02",cad!$J$31,cad!$K$31))</f>
        <v/>
      </c>
      <c r="N748">
        <f>IF(D748="V01",$R$2,IF(D748="V02",$R$3,$R$4))</f>
        <v/>
      </c>
      <c r="O748">
        <f>IF(OR(B748="7062",B748="706",B748="708"),N748,IF(B748="6231",1+G748,IF(B748="6236",1+H748,IF(OR(B748="621",B748="604",B748="6063"),N748*(1-L748),IF(OR(B748="6411",B748="6413",B748="6414",B748="645"),(1+J748)*(1+K748),IF(OR(B748="613",B748="615",B748="616",B748="6226",B748="625",B748="626",B748="6281"),(1+I748)*(1-L748)*(1+M748),IF(OR(B748="6331",B748="63511",B748="6333"),(1+I748)*(1-L748),IF(B748="6811",1+I748,1))))))))</f>
        <v/>
      </c>
      <c r="P748">
        <f>IF(E748=1,F748*O748,"")</f>
        <v/>
      </c>
    </row>
    <row r="749">
      <c r="A749">
        <f>PNL!A749</f>
        <v/>
      </c>
      <c r="B749">
        <f>PNL!B749</f>
        <v/>
      </c>
      <c r="C749">
        <f>PNL!C749</f>
        <v/>
      </c>
      <c r="D749">
        <f>PNL!D749</f>
        <v/>
      </c>
      <c r="E749">
        <f>IF(AND(C749="2027",OR(D749="V01",D749="V02",D749="V03")),1,0)</f>
        <v/>
      </c>
      <c r="F749">
        <f>IF(E749=1,SUMIFS(Compta!$F$2:$F$675,Compta!$A$2:$A$675,A749,Compta!$B$2:$B$675,B749,Compta!$C$2:$C$675,"2026"),0)</f>
        <v/>
      </c>
      <c r="G749">
        <f>IF(D749="V01",cad!$I$21,IF(D749="V02",cad!$J$21,cad!$K$21))</f>
        <v/>
      </c>
      <c r="H749">
        <f>IF(D749="V01",cad!$I$22,IF(D749="V02",cad!$J$22,cad!$K$22))</f>
        <v/>
      </c>
      <c r="I749">
        <f>IF(D749="V01",cad!$I$27,IF(D749="V02",cad!$J$27,cad!$K$27))</f>
        <v/>
      </c>
      <c r="J749">
        <f>IF(D749="V01",cad!$I$28,IF(D749="V02",cad!$J$28,cad!$K$28))</f>
        <v/>
      </c>
      <c r="K749">
        <f>IF(D749="V01",cad!$I$29,IF(D749="V02",cad!$J$29,cad!$K$29))</f>
        <v/>
      </c>
      <c r="L749">
        <f>IF(D749="V01",cad!$I$30,IF(D749="V02",cad!$J$30,cad!$K$30))</f>
        <v/>
      </c>
      <c r="M749">
        <f>IF(D749="V01",cad!$I$31,IF(D749="V02",cad!$J$31,cad!$K$31))</f>
        <v/>
      </c>
      <c r="N749">
        <f>IF(D749="V01",$R$2,IF(D749="V02",$R$3,$R$4))</f>
        <v/>
      </c>
      <c r="O749">
        <f>IF(OR(B749="7062",B749="706",B749="708"),N749,IF(B749="6231",1+G749,IF(B749="6236",1+H749,IF(OR(B749="621",B749="604",B749="6063"),N749*(1-L749),IF(OR(B749="6411",B749="6413",B749="6414",B749="645"),(1+J749)*(1+K749),IF(OR(B749="613",B749="615",B749="616",B749="6226",B749="625",B749="626",B749="6281"),(1+I749)*(1-L749)*(1+M749),IF(OR(B749="6331",B749="63511",B749="6333"),(1+I749)*(1-L749),IF(B749="6811",1+I749,1))))))))</f>
        <v/>
      </c>
      <c r="P749">
        <f>IF(E749=1,F749*O749,"")</f>
        <v/>
      </c>
    </row>
    <row r="750">
      <c r="A750">
        <f>PNL!A750</f>
        <v/>
      </c>
      <c r="B750">
        <f>PNL!B750</f>
        <v/>
      </c>
      <c r="C750">
        <f>PNL!C750</f>
        <v/>
      </c>
      <c r="D750">
        <f>PNL!D750</f>
        <v/>
      </c>
      <c r="E750">
        <f>IF(AND(C750="2027",OR(D750="V01",D750="V02",D750="V03")),1,0)</f>
        <v/>
      </c>
      <c r="F750">
        <f>IF(E750=1,SUMIFS(Compta!$F$2:$F$675,Compta!$A$2:$A$675,A750,Compta!$B$2:$B$675,B750,Compta!$C$2:$C$675,"2026"),0)</f>
        <v/>
      </c>
      <c r="G750">
        <f>IF(D750="V01",cad!$I$21,IF(D750="V02",cad!$J$21,cad!$K$21))</f>
        <v/>
      </c>
      <c r="H750">
        <f>IF(D750="V01",cad!$I$22,IF(D750="V02",cad!$J$22,cad!$K$22))</f>
        <v/>
      </c>
      <c r="I750">
        <f>IF(D750="V01",cad!$I$27,IF(D750="V02",cad!$J$27,cad!$K$27))</f>
        <v/>
      </c>
      <c r="J750">
        <f>IF(D750="V01",cad!$I$28,IF(D750="V02",cad!$J$28,cad!$K$28))</f>
        <v/>
      </c>
      <c r="K750">
        <f>IF(D750="V01",cad!$I$29,IF(D750="V02",cad!$J$29,cad!$K$29))</f>
        <v/>
      </c>
      <c r="L750">
        <f>IF(D750="V01",cad!$I$30,IF(D750="V02",cad!$J$30,cad!$K$30))</f>
        <v/>
      </c>
      <c r="M750">
        <f>IF(D750="V01",cad!$I$31,IF(D750="V02",cad!$J$31,cad!$K$31))</f>
        <v/>
      </c>
      <c r="N750">
        <f>IF(D750="V01",$R$2,IF(D750="V02",$R$3,$R$4))</f>
        <v/>
      </c>
      <c r="O750">
        <f>IF(OR(B750="7062",B750="706",B750="708"),N750,IF(B750="6231",1+G750,IF(B750="6236",1+H750,IF(OR(B750="621",B750="604",B750="6063"),N750*(1-L750),IF(OR(B750="6411",B750="6413",B750="6414",B750="645"),(1+J750)*(1+K750),IF(OR(B750="613",B750="615",B750="616",B750="6226",B750="625",B750="626",B750="6281"),(1+I750)*(1-L750)*(1+M750),IF(OR(B750="6331",B750="63511",B750="6333"),(1+I750)*(1-L750),IF(B750="6811",1+I750,1))))))))</f>
        <v/>
      </c>
      <c r="P750">
        <f>IF(E750=1,F750*O750,"")</f>
        <v/>
      </c>
    </row>
    <row r="751">
      <c r="A751">
        <f>PNL!A751</f>
        <v/>
      </c>
      <c r="B751">
        <f>PNL!B751</f>
        <v/>
      </c>
      <c r="C751">
        <f>PNL!C751</f>
        <v/>
      </c>
      <c r="D751">
        <f>PNL!D751</f>
        <v/>
      </c>
      <c r="E751">
        <f>IF(AND(C751="2027",OR(D751="V01",D751="V02",D751="V03")),1,0)</f>
        <v/>
      </c>
      <c r="F751">
        <f>IF(E751=1,SUMIFS(Compta!$F$2:$F$675,Compta!$A$2:$A$675,A751,Compta!$B$2:$B$675,B751,Compta!$C$2:$C$675,"2026"),0)</f>
        <v/>
      </c>
      <c r="G751">
        <f>IF(D751="V01",cad!$I$21,IF(D751="V02",cad!$J$21,cad!$K$21))</f>
        <v/>
      </c>
      <c r="H751">
        <f>IF(D751="V01",cad!$I$22,IF(D751="V02",cad!$J$22,cad!$K$22))</f>
        <v/>
      </c>
      <c r="I751">
        <f>IF(D751="V01",cad!$I$27,IF(D751="V02",cad!$J$27,cad!$K$27))</f>
        <v/>
      </c>
      <c r="J751">
        <f>IF(D751="V01",cad!$I$28,IF(D751="V02",cad!$J$28,cad!$K$28))</f>
        <v/>
      </c>
      <c r="K751">
        <f>IF(D751="V01",cad!$I$29,IF(D751="V02",cad!$J$29,cad!$K$29))</f>
        <v/>
      </c>
      <c r="L751">
        <f>IF(D751="V01",cad!$I$30,IF(D751="V02",cad!$J$30,cad!$K$30))</f>
        <v/>
      </c>
      <c r="M751">
        <f>IF(D751="V01",cad!$I$31,IF(D751="V02",cad!$J$31,cad!$K$31))</f>
        <v/>
      </c>
      <c r="N751">
        <f>IF(D751="V01",$R$2,IF(D751="V02",$R$3,$R$4))</f>
        <v/>
      </c>
      <c r="O751">
        <f>IF(OR(B751="7062",B751="706",B751="708"),N751,IF(B751="6231",1+G751,IF(B751="6236",1+H751,IF(OR(B751="621",B751="604",B751="6063"),N751*(1-L751),IF(OR(B751="6411",B751="6413",B751="6414",B751="645"),(1+J751)*(1+K751),IF(OR(B751="613",B751="615",B751="616",B751="6226",B751="625",B751="626",B751="6281"),(1+I751)*(1-L751)*(1+M751),IF(OR(B751="6331",B751="63511",B751="6333"),(1+I751)*(1-L751),IF(B751="6811",1+I751,1))))))))</f>
        <v/>
      </c>
      <c r="P751">
        <f>IF(E751=1,F751*O751,"")</f>
        <v/>
      </c>
    </row>
    <row r="752">
      <c r="A752">
        <f>PNL!A752</f>
        <v/>
      </c>
      <c r="B752">
        <f>PNL!B752</f>
        <v/>
      </c>
      <c r="C752">
        <f>PNL!C752</f>
        <v/>
      </c>
      <c r="D752">
        <f>PNL!D752</f>
        <v/>
      </c>
      <c r="E752">
        <f>IF(AND(C752="2027",OR(D752="V01",D752="V02",D752="V03")),1,0)</f>
        <v/>
      </c>
      <c r="F752">
        <f>IF(E752=1,SUMIFS(Compta!$F$2:$F$675,Compta!$A$2:$A$675,A752,Compta!$B$2:$B$675,B752,Compta!$C$2:$C$675,"2026"),0)</f>
        <v/>
      </c>
      <c r="G752">
        <f>IF(D752="V01",cad!$I$21,IF(D752="V02",cad!$J$21,cad!$K$21))</f>
        <v/>
      </c>
      <c r="H752">
        <f>IF(D752="V01",cad!$I$22,IF(D752="V02",cad!$J$22,cad!$K$22))</f>
        <v/>
      </c>
      <c r="I752">
        <f>IF(D752="V01",cad!$I$27,IF(D752="V02",cad!$J$27,cad!$K$27))</f>
        <v/>
      </c>
      <c r="J752">
        <f>IF(D752="V01",cad!$I$28,IF(D752="V02",cad!$J$28,cad!$K$28))</f>
        <v/>
      </c>
      <c r="K752">
        <f>IF(D752="V01",cad!$I$29,IF(D752="V02",cad!$J$29,cad!$K$29))</f>
        <v/>
      </c>
      <c r="L752">
        <f>IF(D752="V01",cad!$I$30,IF(D752="V02",cad!$J$30,cad!$K$30))</f>
        <v/>
      </c>
      <c r="M752">
        <f>IF(D752="V01",cad!$I$31,IF(D752="V02",cad!$J$31,cad!$K$31))</f>
        <v/>
      </c>
      <c r="N752">
        <f>IF(D752="V01",$R$2,IF(D752="V02",$R$3,$R$4))</f>
        <v/>
      </c>
      <c r="O752">
        <f>IF(OR(B752="7062",B752="706",B752="708"),N752,IF(B752="6231",1+G752,IF(B752="6236",1+H752,IF(OR(B752="621",B752="604",B752="6063"),N752*(1-L752),IF(OR(B752="6411",B752="6413",B752="6414",B752="645"),(1+J752)*(1+K752),IF(OR(B752="613",B752="615",B752="616",B752="6226",B752="625",B752="626",B752="6281"),(1+I752)*(1-L752)*(1+M752),IF(OR(B752="6331",B752="63511",B752="6333"),(1+I752)*(1-L752),IF(B752="6811",1+I752,1))))))))</f>
        <v/>
      </c>
      <c r="P752">
        <f>IF(E752=1,F752*O752,"")</f>
        <v/>
      </c>
    </row>
    <row r="753">
      <c r="A753">
        <f>PNL!A753</f>
        <v/>
      </c>
      <c r="B753">
        <f>PNL!B753</f>
        <v/>
      </c>
      <c r="C753">
        <f>PNL!C753</f>
        <v/>
      </c>
      <c r="D753">
        <f>PNL!D753</f>
        <v/>
      </c>
      <c r="E753">
        <f>IF(AND(C753="2027",OR(D753="V01",D753="V02",D753="V03")),1,0)</f>
        <v/>
      </c>
      <c r="F753">
        <f>IF(E753=1,SUMIFS(Compta!$F$2:$F$675,Compta!$A$2:$A$675,A753,Compta!$B$2:$B$675,B753,Compta!$C$2:$C$675,"2026"),0)</f>
        <v/>
      </c>
      <c r="G753">
        <f>IF(D753="V01",cad!$I$21,IF(D753="V02",cad!$J$21,cad!$K$21))</f>
        <v/>
      </c>
      <c r="H753">
        <f>IF(D753="V01",cad!$I$22,IF(D753="V02",cad!$J$22,cad!$K$22))</f>
        <v/>
      </c>
      <c r="I753">
        <f>IF(D753="V01",cad!$I$27,IF(D753="V02",cad!$J$27,cad!$K$27))</f>
        <v/>
      </c>
      <c r="J753">
        <f>IF(D753="V01",cad!$I$28,IF(D753="V02",cad!$J$28,cad!$K$28))</f>
        <v/>
      </c>
      <c r="K753">
        <f>IF(D753="V01",cad!$I$29,IF(D753="V02",cad!$J$29,cad!$K$29))</f>
        <v/>
      </c>
      <c r="L753">
        <f>IF(D753="V01",cad!$I$30,IF(D753="V02",cad!$J$30,cad!$K$30))</f>
        <v/>
      </c>
      <c r="M753">
        <f>IF(D753="V01",cad!$I$31,IF(D753="V02",cad!$J$31,cad!$K$31))</f>
        <v/>
      </c>
      <c r="N753">
        <f>IF(D753="V01",$R$2,IF(D753="V02",$R$3,$R$4))</f>
        <v/>
      </c>
      <c r="O753">
        <f>IF(OR(B753="7062",B753="706",B753="708"),N753,IF(B753="6231",1+G753,IF(B753="6236",1+H753,IF(OR(B753="621",B753="604",B753="6063"),N753*(1-L753),IF(OR(B753="6411",B753="6413",B753="6414",B753="645"),(1+J753)*(1+K753),IF(OR(B753="613",B753="615",B753="616",B753="6226",B753="625",B753="626",B753="6281"),(1+I753)*(1-L753)*(1+M753),IF(OR(B753="6331",B753="63511",B753="6333"),(1+I753)*(1-L753),IF(B753="6811",1+I753,1))))))))</f>
        <v/>
      </c>
      <c r="P753">
        <f>IF(E753=1,F753*O753,"")</f>
        <v/>
      </c>
    </row>
    <row r="754">
      <c r="A754">
        <f>PNL!A754</f>
        <v/>
      </c>
      <c r="B754">
        <f>PNL!B754</f>
        <v/>
      </c>
      <c r="C754">
        <f>PNL!C754</f>
        <v/>
      </c>
      <c r="D754">
        <f>PNL!D754</f>
        <v/>
      </c>
      <c r="E754">
        <f>IF(AND(C754="2027",OR(D754="V01",D754="V02",D754="V03")),1,0)</f>
        <v/>
      </c>
      <c r="F754">
        <f>IF(E754=1,SUMIFS(Compta!$F$2:$F$675,Compta!$A$2:$A$675,A754,Compta!$B$2:$B$675,B754,Compta!$C$2:$C$675,"2026"),0)</f>
        <v/>
      </c>
      <c r="G754">
        <f>IF(D754="V01",cad!$I$21,IF(D754="V02",cad!$J$21,cad!$K$21))</f>
        <v/>
      </c>
      <c r="H754">
        <f>IF(D754="V01",cad!$I$22,IF(D754="V02",cad!$J$22,cad!$K$22))</f>
        <v/>
      </c>
      <c r="I754">
        <f>IF(D754="V01",cad!$I$27,IF(D754="V02",cad!$J$27,cad!$K$27))</f>
        <v/>
      </c>
      <c r="J754">
        <f>IF(D754="V01",cad!$I$28,IF(D754="V02",cad!$J$28,cad!$K$28))</f>
        <v/>
      </c>
      <c r="K754">
        <f>IF(D754="V01",cad!$I$29,IF(D754="V02",cad!$J$29,cad!$K$29))</f>
        <v/>
      </c>
      <c r="L754">
        <f>IF(D754="V01",cad!$I$30,IF(D754="V02",cad!$J$30,cad!$K$30))</f>
        <v/>
      </c>
      <c r="M754">
        <f>IF(D754="V01",cad!$I$31,IF(D754="V02",cad!$J$31,cad!$K$31))</f>
        <v/>
      </c>
      <c r="N754">
        <f>IF(D754="V01",$R$2,IF(D754="V02",$R$3,$R$4))</f>
        <v/>
      </c>
      <c r="O754">
        <f>IF(OR(B754="7062",B754="706",B754="708"),N754,IF(B754="6231",1+G754,IF(B754="6236",1+H754,IF(OR(B754="621",B754="604",B754="6063"),N754*(1-L754),IF(OR(B754="6411",B754="6413",B754="6414",B754="645"),(1+J754)*(1+K754),IF(OR(B754="613",B754="615",B754="616",B754="6226",B754="625",B754="626",B754="6281"),(1+I754)*(1-L754)*(1+M754),IF(OR(B754="6331",B754="63511",B754="6333"),(1+I754)*(1-L754),IF(B754="6811",1+I754,1))))))))</f>
        <v/>
      </c>
      <c r="P754">
        <f>IF(E754=1,F754*O754,"")</f>
        <v/>
      </c>
    </row>
    <row r="755">
      <c r="A755">
        <f>PNL!A755</f>
        <v/>
      </c>
      <c r="B755">
        <f>PNL!B755</f>
        <v/>
      </c>
      <c r="C755">
        <f>PNL!C755</f>
        <v/>
      </c>
      <c r="D755">
        <f>PNL!D755</f>
        <v/>
      </c>
      <c r="E755">
        <f>IF(AND(C755="2027",OR(D755="V01",D755="V02",D755="V03")),1,0)</f>
        <v/>
      </c>
      <c r="F755">
        <f>IF(E755=1,SUMIFS(Compta!$F$2:$F$675,Compta!$A$2:$A$675,A755,Compta!$B$2:$B$675,B755,Compta!$C$2:$C$675,"2026"),0)</f>
        <v/>
      </c>
      <c r="G755">
        <f>IF(D755="V01",cad!$I$21,IF(D755="V02",cad!$J$21,cad!$K$21))</f>
        <v/>
      </c>
      <c r="H755">
        <f>IF(D755="V01",cad!$I$22,IF(D755="V02",cad!$J$22,cad!$K$22))</f>
        <v/>
      </c>
      <c r="I755">
        <f>IF(D755="V01",cad!$I$27,IF(D755="V02",cad!$J$27,cad!$K$27))</f>
        <v/>
      </c>
      <c r="J755">
        <f>IF(D755="V01",cad!$I$28,IF(D755="V02",cad!$J$28,cad!$K$28))</f>
        <v/>
      </c>
      <c r="K755">
        <f>IF(D755="V01",cad!$I$29,IF(D755="V02",cad!$J$29,cad!$K$29))</f>
        <v/>
      </c>
      <c r="L755">
        <f>IF(D755="V01",cad!$I$30,IF(D755="V02",cad!$J$30,cad!$K$30))</f>
        <v/>
      </c>
      <c r="M755">
        <f>IF(D755="V01",cad!$I$31,IF(D755="V02",cad!$J$31,cad!$K$31))</f>
        <v/>
      </c>
      <c r="N755">
        <f>IF(D755="V01",$R$2,IF(D755="V02",$R$3,$R$4))</f>
        <v/>
      </c>
      <c r="O755">
        <f>IF(OR(B755="7062",B755="706",B755="708"),N755,IF(B755="6231",1+G755,IF(B755="6236",1+H755,IF(OR(B755="621",B755="604",B755="6063"),N755*(1-L755),IF(OR(B755="6411",B755="6413",B755="6414",B755="645"),(1+J755)*(1+K755),IF(OR(B755="613",B755="615",B755="616",B755="6226",B755="625",B755="626",B755="6281"),(1+I755)*(1-L755)*(1+M755),IF(OR(B755="6331",B755="63511",B755="6333"),(1+I755)*(1-L755),IF(B755="6811",1+I755,1))))))))</f>
        <v/>
      </c>
      <c r="P755">
        <f>IF(E755=1,F755*O755,"")</f>
        <v/>
      </c>
    </row>
    <row r="756">
      <c r="A756">
        <f>PNL!A756</f>
        <v/>
      </c>
      <c r="B756">
        <f>PNL!B756</f>
        <v/>
      </c>
      <c r="C756">
        <f>PNL!C756</f>
        <v/>
      </c>
      <c r="D756">
        <f>PNL!D756</f>
        <v/>
      </c>
      <c r="E756">
        <f>IF(AND(C756="2027",OR(D756="V01",D756="V02",D756="V03")),1,0)</f>
        <v/>
      </c>
      <c r="F756">
        <f>IF(E756=1,SUMIFS(Compta!$F$2:$F$675,Compta!$A$2:$A$675,A756,Compta!$B$2:$B$675,B756,Compta!$C$2:$C$675,"2026"),0)</f>
        <v/>
      </c>
      <c r="G756">
        <f>IF(D756="V01",cad!$I$21,IF(D756="V02",cad!$J$21,cad!$K$21))</f>
        <v/>
      </c>
      <c r="H756">
        <f>IF(D756="V01",cad!$I$22,IF(D756="V02",cad!$J$22,cad!$K$22))</f>
        <v/>
      </c>
      <c r="I756">
        <f>IF(D756="V01",cad!$I$27,IF(D756="V02",cad!$J$27,cad!$K$27))</f>
        <v/>
      </c>
      <c r="J756">
        <f>IF(D756="V01",cad!$I$28,IF(D756="V02",cad!$J$28,cad!$K$28))</f>
        <v/>
      </c>
      <c r="K756">
        <f>IF(D756="V01",cad!$I$29,IF(D756="V02",cad!$J$29,cad!$K$29))</f>
        <v/>
      </c>
      <c r="L756">
        <f>IF(D756="V01",cad!$I$30,IF(D756="V02",cad!$J$30,cad!$K$30))</f>
        <v/>
      </c>
      <c r="M756">
        <f>IF(D756="V01",cad!$I$31,IF(D756="V02",cad!$J$31,cad!$K$31))</f>
        <v/>
      </c>
      <c r="N756">
        <f>IF(D756="V01",$R$2,IF(D756="V02",$R$3,$R$4))</f>
        <v/>
      </c>
      <c r="O756">
        <f>IF(OR(B756="7062",B756="706",B756="708"),N756,IF(B756="6231",1+G756,IF(B756="6236",1+H756,IF(OR(B756="621",B756="604",B756="6063"),N756*(1-L756),IF(OR(B756="6411",B756="6413",B756="6414",B756="645"),(1+J756)*(1+K756),IF(OR(B756="613",B756="615",B756="616",B756="6226",B756="625",B756="626",B756="6281"),(1+I756)*(1-L756)*(1+M756),IF(OR(B756="6331",B756="63511",B756="6333"),(1+I756)*(1-L756),IF(B756="6811",1+I756,1))))))))</f>
        <v/>
      </c>
      <c r="P756">
        <f>IF(E756=1,F756*O756,"")</f>
        <v/>
      </c>
    </row>
    <row r="757">
      <c r="A757">
        <f>PNL!A757</f>
        <v/>
      </c>
      <c r="B757">
        <f>PNL!B757</f>
        <v/>
      </c>
      <c r="C757">
        <f>PNL!C757</f>
        <v/>
      </c>
      <c r="D757">
        <f>PNL!D757</f>
        <v/>
      </c>
      <c r="E757">
        <f>IF(AND(C757="2027",OR(D757="V01",D757="V02",D757="V03")),1,0)</f>
        <v/>
      </c>
      <c r="F757">
        <f>IF(E757=1,SUMIFS(Compta!$F$2:$F$675,Compta!$A$2:$A$675,A757,Compta!$B$2:$B$675,B757,Compta!$C$2:$C$675,"2026"),0)</f>
        <v/>
      </c>
      <c r="G757">
        <f>IF(D757="V01",cad!$I$21,IF(D757="V02",cad!$J$21,cad!$K$21))</f>
        <v/>
      </c>
      <c r="H757">
        <f>IF(D757="V01",cad!$I$22,IF(D757="V02",cad!$J$22,cad!$K$22))</f>
        <v/>
      </c>
      <c r="I757">
        <f>IF(D757="V01",cad!$I$27,IF(D757="V02",cad!$J$27,cad!$K$27))</f>
        <v/>
      </c>
      <c r="J757">
        <f>IF(D757="V01",cad!$I$28,IF(D757="V02",cad!$J$28,cad!$K$28))</f>
        <v/>
      </c>
      <c r="K757">
        <f>IF(D757="V01",cad!$I$29,IF(D757="V02",cad!$J$29,cad!$K$29))</f>
        <v/>
      </c>
      <c r="L757">
        <f>IF(D757="V01",cad!$I$30,IF(D757="V02",cad!$J$30,cad!$K$30))</f>
        <v/>
      </c>
      <c r="M757">
        <f>IF(D757="V01",cad!$I$31,IF(D757="V02",cad!$J$31,cad!$K$31))</f>
        <v/>
      </c>
      <c r="N757">
        <f>IF(D757="V01",$R$2,IF(D757="V02",$R$3,$R$4))</f>
        <v/>
      </c>
      <c r="O757">
        <f>IF(OR(B757="7062",B757="706",B757="708"),N757,IF(B757="6231",1+G757,IF(B757="6236",1+H757,IF(OR(B757="621",B757="604",B757="6063"),N757*(1-L757),IF(OR(B757="6411",B757="6413",B757="6414",B757="645"),(1+J757)*(1+K757),IF(OR(B757="613",B757="615",B757="616",B757="6226",B757="625",B757="626",B757="6281"),(1+I757)*(1-L757)*(1+M757),IF(OR(B757="6331",B757="63511",B757="6333"),(1+I757)*(1-L757),IF(B757="6811",1+I757,1))))))))</f>
        <v/>
      </c>
      <c r="P757">
        <f>IF(E757=1,F757*O757,"")</f>
        <v/>
      </c>
    </row>
    <row r="758">
      <c r="A758">
        <f>PNL!A758</f>
        <v/>
      </c>
      <c r="B758">
        <f>PNL!B758</f>
        <v/>
      </c>
      <c r="C758">
        <f>PNL!C758</f>
        <v/>
      </c>
      <c r="D758">
        <f>PNL!D758</f>
        <v/>
      </c>
      <c r="E758">
        <f>IF(AND(C758="2027",OR(D758="V01",D758="V02",D758="V03")),1,0)</f>
        <v/>
      </c>
      <c r="F758">
        <f>IF(E758=1,SUMIFS(Compta!$F$2:$F$675,Compta!$A$2:$A$675,A758,Compta!$B$2:$B$675,B758,Compta!$C$2:$C$675,"2026"),0)</f>
        <v/>
      </c>
      <c r="G758">
        <f>IF(D758="V01",cad!$I$21,IF(D758="V02",cad!$J$21,cad!$K$21))</f>
        <v/>
      </c>
      <c r="H758">
        <f>IF(D758="V01",cad!$I$22,IF(D758="V02",cad!$J$22,cad!$K$22))</f>
        <v/>
      </c>
      <c r="I758">
        <f>IF(D758="V01",cad!$I$27,IF(D758="V02",cad!$J$27,cad!$K$27))</f>
        <v/>
      </c>
      <c r="J758">
        <f>IF(D758="V01",cad!$I$28,IF(D758="V02",cad!$J$28,cad!$K$28))</f>
        <v/>
      </c>
      <c r="K758">
        <f>IF(D758="V01",cad!$I$29,IF(D758="V02",cad!$J$29,cad!$K$29))</f>
        <v/>
      </c>
      <c r="L758">
        <f>IF(D758="V01",cad!$I$30,IF(D758="V02",cad!$J$30,cad!$K$30))</f>
        <v/>
      </c>
      <c r="M758">
        <f>IF(D758="V01",cad!$I$31,IF(D758="V02",cad!$J$31,cad!$K$31))</f>
        <v/>
      </c>
      <c r="N758">
        <f>IF(D758="V01",$R$2,IF(D758="V02",$R$3,$R$4))</f>
        <v/>
      </c>
      <c r="O758">
        <f>IF(OR(B758="7062",B758="706",B758="708"),N758,IF(B758="6231",1+G758,IF(B758="6236",1+H758,IF(OR(B758="621",B758="604",B758="6063"),N758*(1-L758),IF(OR(B758="6411",B758="6413",B758="6414",B758="645"),(1+J758)*(1+K758),IF(OR(B758="613",B758="615",B758="616",B758="6226",B758="625",B758="626",B758="6281"),(1+I758)*(1-L758)*(1+M758),IF(OR(B758="6331",B758="63511",B758="6333"),(1+I758)*(1-L758),IF(B758="6811",1+I758,1))))))))</f>
        <v/>
      </c>
      <c r="P758">
        <f>IF(E758=1,F758*O758,"")</f>
        <v/>
      </c>
    </row>
    <row r="759">
      <c r="A759">
        <f>PNL!A759</f>
        <v/>
      </c>
      <c r="B759">
        <f>PNL!B759</f>
        <v/>
      </c>
      <c r="C759">
        <f>PNL!C759</f>
        <v/>
      </c>
      <c r="D759">
        <f>PNL!D759</f>
        <v/>
      </c>
      <c r="E759">
        <f>IF(AND(C759="2027",OR(D759="V01",D759="V02",D759="V03")),1,0)</f>
        <v/>
      </c>
      <c r="F759">
        <f>IF(E759=1,SUMIFS(Compta!$F$2:$F$675,Compta!$A$2:$A$675,A759,Compta!$B$2:$B$675,B759,Compta!$C$2:$C$675,"2026"),0)</f>
        <v/>
      </c>
      <c r="G759">
        <f>IF(D759="V01",cad!$I$21,IF(D759="V02",cad!$J$21,cad!$K$21))</f>
        <v/>
      </c>
      <c r="H759">
        <f>IF(D759="V01",cad!$I$22,IF(D759="V02",cad!$J$22,cad!$K$22))</f>
        <v/>
      </c>
      <c r="I759">
        <f>IF(D759="V01",cad!$I$27,IF(D759="V02",cad!$J$27,cad!$K$27))</f>
        <v/>
      </c>
      <c r="J759">
        <f>IF(D759="V01",cad!$I$28,IF(D759="V02",cad!$J$28,cad!$K$28))</f>
        <v/>
      </c>
      <c r="K759">
        <f>IF(D759="V01",cad!$I$29,IF(D759="V02",cad!$J$29,cad!$K$29))</f>
        <v/>
      </c>
      <c r="L759">
        <f>IF(D759="V01",cad!$I$30,IF(D759="V02",cad!$J$30,cad!$K$30))</f>
        <v/>
      </c>
      <c r="M759">
        <f>IF(D759="V01",cad!$I$31,IF(D759="V02",cad!$J$31,cad!$K$31))</f>
        <v/>
      </c>
      <c r="N759">
        <f>IF(D759="V01",$R$2,IF(D759="V02",$R$3,$R$4))</f>
        <v/>
      </c>
      <c r="O759">
        <f>IF(OR(B759="7062",B759="706",B759="708"),N759,IF(B759="6231",1+G759,IF(B759="6236",1+H759,IF(OR(B759="621",B759="604",B759="6063"),N759*(1-L759),IF(OR(B759="6411",B759="6413",B759="6414",B759="645"),(1+J759)*(1+K759),IF(OR(B759="613",B759="615",B759="616",B759="6226",B759="625",B759="626",B759="6281"),(1+I759)*(1-L759)*(1+M759),IF(OR(B759="6331",B759="63511",B759="6333"),(1+I759)*(1-L759),IF(B759="6811",1+I759,1))))))))</f>
        <v/>
      </c>
      <c r="P759">
        <f>IF(E759=1,F759*O759,"")</f>
        <v/>
      </c>
    </row>
    <row r="760">
      <c r="A760">
        <f>PNL!A760</f>
        <v/>
      </c>
      <c r="B760">
        <f>PNL!B760</f>
        <v/>
      </c>
      <c r="C760">
        <f>PNL!C760</f>
        <v/>
      </c>
      <c r="D760">
        <f>PNL!D760</f>
        <v/>
      </c>
      <c r="E760">
        <f>IF(AND(C760="2027",OR(D760="V01",D760="V02",D760="V03")),1,0)</f>
        <v/>
      </c>
      <c r="F760">
        <f>IF(E760=1,SUMIFS(Compta!$F$2:$F$675,Compta!$A$2:$A$675,A760,Compta!$B$2:$B$675,B760,Compta!$C$2:$C$675,"2026"),0)</f>
        <v/>
      </c>
      <c r="G760">
        <f>IF(D760="V01",cad!$I$21,IF(D760="V02",cad!$J$21,cad!$K$21))</f>
        <v/>
      </c>
      <c r="H760">
        <f>IF(D760="V01",cad!$I$22,IF(D760="V02",cad!$J$22,cad!$K$22))</f>
        <v/>
      </c>
      <c r="I760">
        <f>IF(D760="V01",cad!$I$27,IF(D760="V02",cad!$J$27,cad!$K$27))</f>
        <v/>
      </c>
      <c r="J760">
        <f>IF(D760="V01",cad!$I$28,IF(D760="V02",cad!$J$28,cad!$K$28))</f>
        <v/>
      </c>
      <c r="K760">
        <f>IF(D760="V01",cad!$I$29,IF(D760="V02",cad!$J$29,cad!$K$29))</f>
        <v/>
      </c>
      <c r="L760">
        <f>IF(D760="V01",cad!$I$30,IF(D760="V02",cad!$J$30,cad!$K$30))</f>
        <v/>
      </c>
      <c r="M760">
        <f>IF(D760="V01",cad!$I$31,IF(D760="V02",cad!$J$31,cad!$K$31))</f>
        <v/>
      </c>
      <c r="N760">
        <f>IF(D760="V01",$R$2,IF(D760="V02",$R$3,$R$4))</f>
        <v/>
      </c>
      <c r="O760">
        <f>IF(OR(B760="7062",B760="706",B760="708"),N760,IF(B760="6231",1+G760,IF(B760="6236",1+H760,IF(OR(B760="621",B760="604",B760="6063"),N760*(1-L760),IF(OR(B760="6411",B760="6413",B760="6414",B760="645"),(1+J760)*(1+K760),IF(OR(B760="613",B760="615",B760="616",B760="6226",B760="625",B760="626",B760="6281"),(1+I760)*(1-L760)*(1+M760),IF(OR(B760="6331",B760="63511",B760="6333"),(1+I760)*(1-L760),IF(B760="6811",1+I760,1))))))))</f>
        <v/>
      </c>
      <c r="P760">
        <f>IF(E760=1,F760*O760,"")</f>
        <v/>
      </c>
    </row>
    <row r="761">
      <c r="A761">
        <f>PNL!A761</f>
        <v/>
      </c>
      <c r="B761">
        <f>PNL!B761</f>
        <v/>
      </c>
      <c r="C761">
        <f>PNL!C761</f>
        <v/>
      </c>
      <c r="D761">
        <f>PNL!D761</f>
        <v/>
      </c>
      <c r="E761">
        <f>IF(AND(C761="2027",OR(D761="V01",D761="V02",D761="V03")),1,0)</f>
        <v/>
      </c>
      <c r="F761">
        <f>IF(E761=1,SUMIFS(Compta!$F$2:$F$675,Compta!$A$2:$A$675,A761,Compta!$B$2:$B$675,B761,Compta!$C$2:$C$675,"2026"),0)</f>
        <v/>
      </c>
      <c r="G761">
        <f>IF(D761="V01",cad!$I$21,IF(D761="V02",cad!$J$21,cad!$K$21))</f>
        <v/>
      </c>
      <c r="H761">
        <f>IF(D761="V01",cad!$I$22,IF(D761="V02",cad!$J$22,cad!$K$22))</f>
        <v/>
      </c>
      <c r="I761">
        <f>IF(D761="V01",cad!$I$27,IF(D761="V02",cad!$J$27,cad!$K$27))</f>
        <v/>
      </c>
      <c r="J761">
        <f>IF(D761="V01",cad!$I$28,IF(D761="V02",cad!$J$28,cad!$K$28))</f>
        <v/>
      </c>
      <c r="K761">
        <f>IF(D761="V01",cad!$I$29,IF(D761="V02",cad!$J$29,cad!$K$29))</f>
        <v/>
      </c>
      <c r="L761">
        <f>IF(D761="V01",cad!$I$30,IF(D761="V02",cad!$J$30,cad!$K$30))</f>
        <v/>
      </c>
      <c r="M761">
        <f>IF(D761="V01",cad!$I$31,IF(D761="V02",cad!$J$31,cad!$K$31))</f>
        <v/>
      </c>
      <c r="N761">
        <f>IF(D761="V01",$R$2,IF(D761="V02",$R$3,$R$4))</f>
        <v/>
      </c>
      <c r="O761">
        <f>IF(OR(B761="7062",B761="706",B761="708"),N761,IF(B761="6231",1+G761,IF(B761="6236",1+H761,IF(OR(B761="621",B761="604",B761="6063"),N761*(1-L761),IF(OR(B761="6411",B761="6413",B761="6414",B761="645"),(1+J761)*(1+K761),IF(OR(B761="613",B761="615",B761="616",B761="6226",B761="625",B761="626",B761="6281"),(1+I761)*(1-L761)*(1+M761),IF(OR(B761="6331",B761="63511",B761="6333"),(1+I761)*(1-L761),IF(B761="6811",1+I761,1))))))))</f>
        <v/>
      </c>
      <c r="P761">
        <f>IF(E761=1,F761*O761,"")</f>
        <v/>
      </c>
    </row>
    <row r="762">
      <c r="A762">
        <f>PNL!A762</f>
        <v/>
      </c>
      <c r="B762">
        <f>PNL!B762</f>
        <v/>
      </c>
      <c r="C762">
        <f>PNL!C762</f>
        <v/>
      </c>
      <c r="D762">
        <f>PNL!D762</f>
        <v/>
      </c>
      <c r="E762">
        <f>IF(AND(C762="2027",OR(D762="V01",D762="V02",D762="V03")),1,0)</f>
        <v/>
      </c>
      <c r="F762">
        <f>IF(E762=1,SUMIFS(Compta!$F$2:$F$675,Compta!$A$2:$A$675,A762,Compta!$B$2:$B$675,B762,Compta!$C$2:$C$675,"2026"),0)</f>
        <v/>
      </c>
      <c r="G762">
        <f>IF(D762="V01",cad!$I$21,IF(D762="V02",cad!$J$21,cad!$K$21))</f>
        <v/>
      </c>
      <c r="H762">
        <f>IF(D762="V01",cad!$I$22,IF(D762="V02",cad!$J$22,cad!$K$22))</f>
        <v/>
      </c>
      <c r="I762">
        <f>IF(D762="V01",cad!$I$27,IF(D762="V02",cad!$J$27,cad!$K$27))</f>
        <v/>
      </c>
      <c r="J762">
        <f>IF(D762="V01",cad!$I$28,IF(D762="V02",cad!$J$28,cad!$K$28))</f>
        <v/>
      </c>
      <c r="K762">
        <f>IF(D762="V01",cad!$I$29,IF(D762="V02",cad!$J$29,cad!$K$29))</f>
        <v/>
      </c>
      <c r="L762">
        <f>IF(D762="V01",cad!$I$30,IF(D762="V02",cad!$J$30,cad!$K$30))</f>
        <v/>
      </c>
      <c r="M762">
        <f>IF(D762="V01",cad!$I$31,IF(D762="V02",cad!$J$31,cad!$K$31))</f>
        <v/>
      </c>
      <c r="N762">
        <f>IF(D762="V01",$R$2,IF(D762="V02",$R$3,$R$4))</f>
        <v/>
      </c>
      <c r="O762">
        <f>IF(OR(B762="7062",B762="706",B762="708"),N762,IF(B762="6231",1+G762,IF(B762="6236",1+H762,IF(OR(B762="621",B762="604",B762="6063"),N762*(1-L762),IF(OR(B762="6411",B762="6413",B762="6414",B762="645"),(1+J762)*(1+K762),IF(OR(B762="613",B762="615",B762="616",B762="6226",B762="625",B762="626",B762="6281"),(1+I762)*(1-L762)*(1+M762),IF(OR(B762="6331",B762="63511",B762="6333"),(1+I762)*(1-L762),IF(B762="6811",1+I762,1))))))))</f>
        <v/>
      </c>
      <c r="P762">
        <f>IF(E762=1,F762*O762,"")</f>
        <v/>
      </c>
    </row>
    <row r="763">
      <c r="A763">
        <f>PNL!A763</f>
        <v/>
      </c>
      <c r="B763">
        <f>PNL!B763</f>
        <v/>
      </c>
      <c r="C763">
        <f>PNL!C763</f>
        <v/>
      </c>
      <c r="D763">
        <f>PNL!D763</f>
        <v/>
      </c>
      <c r="E763">
        <f>IF(AND(C763="2027",OR(D763="V01",D763="V02",D763="V03")),1,0)</f>
        <v/>
      </c>
      <c r="F763">
        <f>IF(E763=1,SUMIFS(Compta!$F$2:$F$675,Compta!$A$2:$A$675,A763,Compta!$B$2:$B$675,B763,Compta!$C$2:$C$675,"2026"),0)</f>
        <v/>
      </c>
      <c r="G763">
        <f>IF(D763="V01",cad!$I$21,IF(D763="V02",cad!$J$21,cad!$K$21))</f>
        <v/>
      </c>
      <c r="H763">
        <f>IF(D763="V01",cad!$I$22,IF(D763="V02",cad!$J$22,cad!$K$22))</f>
        <v/>
      </c>
      <c r="I763">
        <f>IF(D763="V01",cad!$I$27,IF(D763="V02",cad!$J$27,cad!$K$27))</f>
        <v/>
      </c>
      <c r="J763">
        <f>IF(D763="V01",cad!$I$28,IF(D763="V02",cad!$J$28,cad!$K$28))</f>
        <v/>
      </c>
      <c r="K763">
        <f>IF(D763="V01",cad!$I$29,IF(D763="V02",cad!$J$29,cad!$K$29))</f>
        <v/>
      </c>
      <c r="L763">
        <f>IF(D763="V01",cad!$I$30,IF(D763="V02",cad!$J$30,cad!$K$30))</f>
        <v/>
      </c>
      <c r="M763">
        <f>IF(D763="V01",cad!$I$31,IF(D763="V02",cad!$J$31,cad!$K$31))</f>
        <v/>
      </c>
      <c r="N763">
        <f>IF(D763="V01",$R$2,IF(D763="V02",$R$3,$R$4))</f>
        <v/>
      </c>
      <c r="O763">
        <f>IF(OR(B763="7062",B763="706",B763="708"),N763,IF(B763="6231",1+G763,IF(B763="6236",1+H763,IF(OR(B763="621",B763="604",B763="6063"),N763*(1-L763),IF(OR(B763="6411",B763="6413",B763="6414",B763="645"),(1+J763)*(1+K763),IF(OR(B763="613",B763="615",B763="616",B763="6226",B763="625",B763="626",B763="6281"),(1+I763)*(1-L763)*(1+M763),IF(OR(B763="6331",B763="63511",B763="6333"),(1+I763)*(1-L763),IF(B763="6811",1+I763,1))))))))</f>
        <v/>
      </c>
      <c r="P763">
        <f>IF(E763=1,F763*O763,"")</f>
        <v/>
      </c>
    </row>
    <row r="764">
      <c r="A764">
        <f>PNL!A764</f>
        <v/>
      </c>
      <c r="B764">
        <f>PNL!B764</f>
        <v/>
      </c>
      <c r="C764">
        <f>PNL!C764</f>
        <v/>
      </c>
      <c r="D764">
        <f>PNL!D764</f>
        <v/>
      </c>
      <c r="E764">
        <f>IF(AND(C764="2027",OR(D764="V01",D764="V02",D764="V03")),1,0)</f>
        <v/>
      </c>
      <c r="F764">
        <f>IF(E764=1,SUMIFS(Compta!$F$2:$F$675,Compta!$A$2:$A$675,A764,Compta!$B$2:$B$675,B764,Compta!$C$2:$C$675,"2026"),0)</f>
        <v/>
      </c>
      <c r="G764">
        <f>IF(D764="V01",cad!$I$21,IF(D764="V02",cad!$J$21,cad!$K$21))</f>
        <v/>
      </c>
      <c r="H764">
        <f>IF(D764="V01",cad!$I$22,IF(D764="V02",cad!$J$22,cad!$K$22))</f>
        <v/>
      </c>
      <c r="I764">
        <f>IF(D764="V01",cad!$I$27,IF(D764="V02",cad!$J$27,cad!$K$27))</f>
        <v/>
      </c>
      <c r="J764">
        <f>IF(D764="V01",cad!$I$28,IF(D764="V02",cad!$J$28,cad!$K$28))</f>
        <v/>
      </c>
      <c r="K764">
        <f>IF(D764="V01",cad!$I$29,IF(D764="V02",cad!$J$29,cad!$K$29))</f>
        <v/>
      </c>
      <c r="L764">
        <f>IF(D764="V01",cad!$I$30,IF(D764="V02",cad!$J$30,cad!$K$30))</f>
        <v/>
      </c>
      <c r="M764">
        <f>IF(D764="V01",cad!$I$31,IF(D764="V02",cad!$J$31,cad!$K$31))</f>
        <v/>
      </c>
      <c r="N764">
        <f>IF(D764="V01",$R$2,IF(D764="V02",$R$3,$R$4))</f>
        <v/>
      </c>
      <c r="O764">
        <f>IF(OR(B764="7062",B764="706",B764="708"),N764,IF(B764="6231",1+G764,IF(B764="6236",1+H764,IF(OR(B764="621",B764="604",B764="6063"),N764*(1-L764),IF(OR(B764="6411",B764="6413",B764="6414",B764="645"),(1+J764)*(1+K764),IF(OR(B764="613",B764="615",B764="616",B764="6226",B764="625",B764="626",B764="6281"),(1+I764)*(1-L764)*(1+M764),IF(OR(B764="6331",B764="63511",B764="6333"),(1+I764)*(1-L764),IF(B764="6811",1+I764,1))))))))</f>
        <v/>
      </c>
      <c r="P764">
        <f>IF(E764=1,F764*O764,"")</f>
        <v/>
      </c>
    </row>
    <row r="765">
      <c r="A765">
        <f>PNL!A765</f>
        <v/>
      </c>
      <c r="B765">
        <f>PNL!B765</f>
        <v/>
      </c>
      <c r="C765">
        <f>PNL!C765</f>
        <v/>
      </c>
      <c r="D765">
        <f>PNL!D765</f>
        <v/>
      </c>
      <c r="E765">
        <f>IF(AND(C765="2027",OR(D765="V01",D765="V02",D765="V03")),1,0)</f>
        <v/>
      </c>
      <c r="F765">
        <f>IF(E765=1,SUMIFS(Compta!$F$2:$F$675,Compta!$A$2:$A$675,A765,Compta!$B$2:$B$675,B765,Compta!$C$2:$C$675,"2026"),0)</f>
        <v/>
      </c>
      <c r="G765">
        <f>IF(D765="V01",cad!$I$21,IF(D765="V02",cad!$J$21,cad!$K$21))</f>
        <v/>
      </c>
      <c r="H765">
        <f>IF(D765="V01",cad!$I$22,IF(D765="V02",cad!$J$22,cad!$K$22))</f>
        <v/>
      </c>
      <c r="I765">
        <f>IF(D765="V01",cad!$I$27,IF(D765="V02",cad!$J$27,cad!$K$27))</f>
        <v/>
      </c>
      <c r="J765">
        <f>IF(D765="V01",cad!$I$28,IF(D765="V02",cad!$J$28,cad!$K$28))</f>
        <v/>
      </c>
      <c r="K765">
        <f>IF(D765="V01",cad!$I$29,IF(D765="V02",cad!$J$29,cad!$K$29))</f>
        <v/>
      </c>
      <c r="L765">
        <f>IF(D765="V01",cad!$I$30,IF(D765="V02",cad!$J$30,cad!$K$30))</f>
        <v/>
      </c>
      <c r="M765">
        <f>IF(D765="V01",cad!$I$31,IF(D765="V02",cad!$J$31,cad!$K$31))</f>
        <v/>
      </c>
      <c r="N765">
        <f>IF(D765="V01",$R$2,IF(D765="V02",$R$3,$R$4))</f>
        <v/>
      </c>
      <c r="O765">
        <f>IF(OR(B765="7062",B765="706",B765="708"),N765,IF(B765="6231",1+G765,IF(B765="6236",1+H765,IF(OR(B765="621",B765="604",B765="6063"),N765*(1-L765),IF(OR(B765="6411",B765="6413",B765="6414",B765="645"),(1+J765)*(1+K765),IF(OR(B765="613",B765="615",B765="616",B765="6226",B765="625",B765="626",B765="6281"),(1+I765)*(1-L765)*(1+M765),IF(OR(B765="6331",B765="63511",B765="6333"),(1+I765)*(1-L765),IF(B765="6811",1+I765,1))))))))</f>
        <v/>
      </c>
      <c r="P765">
        <f>IF(E765=1,F765*O765,"")</f>
        <v/>
      </c>
    </row>
    <row r="766">
      <c r="A766">
        <f>PNL!A766</f>
        <v/>
      </c>
      <c r="B766">
        <f>PNL!B766</f>
        <v/>
      </c>
      <c r="C766">
        <f>PNL!C766</f>
        <v/>
      </c>
      <c r="D766">
        <f>PNL!D766</f>
        <v/>
      </c>
      <c r="E766">
        <f>IF(AND(C766="2027",OR(D766="V01",D766="V02",D766="V03")),1,0)</f>
        <v/>
      </c>
      <c r="F766">
        <f>IF(E766=1,SUMIFS(Compta!$F$2:$F$675,Compta!$A$2:$A$675,A766,Compta!$B$2:$B$675,B766,Compta!$C$2:$C$675,"2026"),0)</f>
        <v/>
      </c>
      <c r="G766">
        <f>IF(D766="V01",cad!$I$21,IF(D766="V02",cad!$J$21,cad!$K$21))</f>
        <v/>
      </c>
      <c r="H766">
        <f>IF(D766="V01",cad!$I$22,IF(D766="V02",cad!$J$22,cad!$K$22))</f>
        <v/>
      </c>
      <c r="I766">
        <f>IF(D766="V01",cad!$I$27,IF(D766="V02",cad!$J$27,cad!$K$27))</f>
        <v/>
      </c>
      <c r="J766">
        <f>IF(D766="V01",cad!$I$28,IF(D766="V02",cad!$J$28,cad!$K$28))</f>
        <v/>
      </c>
      <c r="K766">
        <f>IF(D766="V01",cad!$I$29,IF(D766="V02",cad!$J$29,cad!$K$29))</f>
        <v/>
      </c>
      <c r="L766">
        <f>IF(D766="V01",cad!$I$30,IF(D766="V02",cad!$J$30,cad!$K$30))</f>
        <v/>
      </c>
      <c r="M766">
        <f>IF(D766="V01",cad!$I$31,IF(D766="V02",cad!$J$31,cad!$K$31))</f>
        <v/>
      </c>
      <c r="N766">
        <f>IF(D766="V01",$R$2,IF(D766="V02",$R$3,$R$4))</f>
        <v/>
      </c>
      <c r="O766">
        <f>IF(OR(B766="7062",B766="706",B766="708"),N766,IF(B766="6231",1+G766,IF(B766="6236",1+H766,IF(OR(B766="621",B766="604",B766="6063"),N766*(1-L766),IF(OR(B766="6411",B766="6413",B766="6414",B766="645"),(1+J766)*(1+K766),IF(OR(B766="613",B766="615",B766="616",B766="6226",B766="625",B766="626",B766="6281"),(1+I766)*(1-L766)*(1+M766),IF(OR(B766="6331",B766="63511",B766="6333"),(1+I766)*(1-L766),IF(B766="6811",1+I766,1))))))))</f>
        <v/>
      </c>
      <c r="P766">
        <f>IF(E766=1,F766*O766,"")</f>
        <v/>
      </c>
    </row>
    <row r="767">
      <c r="A767">
        <f>PNL!A767</f>
        <v/>
      </c>
      <c r="B767">
        <f>PNL!B767</f>
        <v/>
      </c>
      <c r="C767">
        <f>PNL!C767</f>
        <v/>
      </c>
      <c r="D767">
        <f>PNL!D767</f>
        <v/>
      </c>
      <c r="E767">
        <f>IF(AND(C767="2027",OR(D767="V01",D767="V02",D767="V03")),1,0)</f>
        <v/>
      </c>
      <c r="F767">
        <f>IF(E767=1,SUMIFS(Compta!$F$2:$F$675,Compta!$A$2:$A$675,A767,Compta!$B$2:$B$675,B767,Compta!$C$2:$C$675,"2026"),0)</f>
        <v/>
      </c>
      <c r="G767">
        <f>IF(D767="V01",cad!$I$21,IF(D767="V02",cad!$J$21,cad!$K$21))</f>
        <v/>
      </c>
      <c r="H767">
        <f>IF(D767="V01",cad!$I$22,IF(D767="V02",cad!$J$22,cad!$K$22))</f>
        <v/>
      </c>
      <c r="I767">
        <f>IF(D767="V01",cad!$I$27,IF(D767="V02",cad!$J$27,cad!$K$27))</f>
        <v/>
      </c>
      <c r="J767">
        <f>IF(D767="V01",cad!$I$28,IF(D767="V02",cad!$J$28,cad!$K$28))</f>
        <v/>
      </c>
      <c r="K767">
        <f>IF(D767="V01",cad!$I$29,IF(D767="V02",cad!$J$29,cad!$K$29))</f>
        <v/>
      </c>
      <c r="L767">
        <f>IF(D767="V01",cad!$I$30,IF(D767="V02",cad!$J$30,cad!$K$30))</f>
        <v/>
      </c>
      <c r="M767">
        <f>IF(D767="V01",cad!$I$31,IF(D767="V02",cad!$J$31,cad!$K$31))</f>
        <v/>
      </c>
      <c r="N767">
        <f>IF(D767="V01",$R$2,IF(D767="V02",$R$3,$R$4))</f>
        <v/>
      </c>
      <c r="O767">
        <f>IF(OR(B767="7062",B767="706",B767="708"),N767,IF(B767="6231",1+G767,IF(B767="6236",1+H767,IF(OR(B767="621",B767="604",B767="6063"),N767*(1-L767),IF(OR(B767="6411",B767="6413",B767="6414",B767="645"),(1+J767)*(1+K767),IF(OR(B767="613",B767="615",B767="616",B767="6226",B767="625",B767="626",B767="6281"),(1+I767)*(1-L767)*(1+M767),IF(OR(B767="6331",B767="63511",B767="6333"),(1+I767)*(1-L767),IF(B767="6811",1+I767,1))))))))</f>
        <v/>
      </c>
      <c r="P767">
        <f>IF(E767=1,F767*O767,"")</f>
        <v/>
      </c>
    </row>
    <row r="768">
      <c r="A768">
        <f>PNL!A768</f>
        <v/>
      </c>
      <c r="B768">
        <f>PNL!B768</f>
        <v/>
      </c>
      <c r="C768">
        <f>PNL!C768</f>
        <v/>
      </c>
      <c r="D768">
        <f>PNL!D768</f>
        <v/>
      </c>
      <c r="E768">
        <f>IF(AND(C768="2027",OR(D768="V01",D768="V02",D768="V03")),1,0)</f>
        <v/>
      </c>
      <c r="F768">
        <f>IF(E768=1,SUMIFS(Compta!$F$2:$F$675,Compta!$A$2:$A$675,A768,Compta!$B$2:$B$675,B768,Compta!$C$2:$C$675,"2026"),0)</f>
        <v/>
      </c>
      <c r="G768">
        <f>IF(D768="V01",cad!$I$21,IF(D768="V02",cad!$J$21,cad!$K$21))</f>
        <v/>
      </c>
      <c r="H768">
        <f>IF(D768="V01",cad!$I$22,IF(D768="V02",cad!$J$22,cad!$K$22))</f>
        <v/>
      </c>
      <c r="I768">
        <f>IF(D768="V01",cad!$I$27,IF(D768="V02",cad!$J$27,cad!$K$27))</f>
        <v/>
      </c>
      <c r="J768">
        <f>IF(D768="V01",cad!$I$28,IF(D768="V02",cad!$J$28,cad!$K$28))</f>
        <v/>
      </c>
      <c r="K768">
        <f>IF(D768="V01",cad!$I$29,IF(D768="V02",cad!$J$29,cad!$K$29))</f>
        <v/>
      </c>
      <c r="L768">
        <f>IF(D768="V01",cad!$I$30,IF(D768="V02",cad!$J$30,cad!$K$30))</f>
        <v/>
      </c>
      <c r="M768">
        <f>IF(D768="V01",cad!$I$31,IF(D768="V02",cad!$J$31,cad!$K$31))</f>
        <v/>
      </c>
      <c r="N768">
        <f>IF(D768="V01",$R$2,IF(D768="V02",$R$3,$R$4))</f>
        <v/>
      </c>
      <c r="O768">
        <f>IF(OR(B768="7062",B768="706",B768="708"),N768,IF(B768="6231",1+G768,IF(B768="6236",1+H768,IF(OR(B768="621",B768="604",B768="6063"),N768*(1-L768),IF(OR(B768="6411",B768="6413",B768="6414",B768="645"),(1+J768)*(1+K768),IF(OR(B768="613",B768="615",B768="616",B768="6226",B768="625",B768="626",B768="6281"),(1+I768)*(1-L768)*(1+M768),IF(OR(B768="6331",B768="63511",B768="6333"),(1+I768)*(1-L768),IF(B768="6811",1+I768,1))))))))</f>
        <v/>
      </c>
      <c r="P768">
        <f>IF(E768=1,F768*O768,"")</f>
        <v/>
      </c>
    </row>
    <row r="769">
      <c r="A769">
        <f>PNL!A769</f>
        <v/>
      </c>
      <c r="B769">
        <f>PNL!B769</f>
        <v/>
      </c>
      <c r="C769">
        <f>PNL!C769</f>
        <v/>
      </c>
      <c r="D769">
        <f>PNL!D769</f>
        <v/>
      </c>
      <c r="E769">
        <f>IF(AND(C769="2027",OR(D769="V01",D769="V02",D769="V03")),1,0)</f>
        <v/>
      </c>
      <c r="F769">
        <f>IF(E769=1,SUMIFS(Compta!$F$2:$F$675,Compta!$A$2:$A$675,A769,Compta!$B$2:$B$675,B769,Compta!$C$2:$C$675,"2026"),0)</f>
        <v/>
      </c>
      <c r="G769">
        <f>IF(D769="V01",cad!$I$21,IF(D769="V02",cad!$J$21,cad!$K$21))</f>
        <v/>
      </c>
      <c r="H769">
        <f>IF(D769="V01",cad!$I$22,IF(D769="V02",cad!$J$22,cad!$K$22))</f>
        <v/>
      </c>
      <c r="I769">
        <f>IF(D769="V01",cad!$I$27,IF(D769="V02",cad!$J$27,cad!$K$27))</f>
        <v/>
      </c>
      <c r="J769">
        <f>IF(D769="V01",cad!$I$28,IF(D769="V02",cad!$J$28,cad!$K$28))</f>
        <v/>
      </c>
      <c r="K769">
        <f>IF(D769="V01",cad!$I$29,IF(D769="V02",cad!$J$29,cad!$K$29))</f>
        <v/>
      </c>
      <c r="L769">
        <f>IF(D769="V01",cad!$I$30,IF(D769="V02",cad!$J$30,cad!$K$30))</f>
        <v/>
      </c>
      <c r="M769">
        <f>IF(D769="V01",cad!$I$31,IF(D769="V02",cad!$J$31,cad!$K$31))</f>
        <v/>
      </c>
      <c r="N769">
        <f>IF(D769="V01",$R$2,IF(D769="V02",$R$3,$R$4))</f>
        <v/>
      </c>
      <c r="O769">
        <f>IF(OR(B769="7062",B769="706",B769="708"),N769,IF(B769="6231",1+G769,IF(B769="6236",1+H769,IF(OR(B769="621",B769="604",B769="6063"),N769*(1-L769),IF(OR(B769="6411",B769="6413",B769="6414",B769="645"),(1+J769)*(1+K769),IF(OR(B769="613",B769="615",B769="616",B769="6226",B769="625",B769="626",B769="6281"),(1+I769)*(1-L769)*(1+M769),IF(OR(B769="6331",B769="63511",B769="6333"),(1+I769)*(1-L769),IF(B769="6811",1+I769,1))))))))</f>
        <v/>
      </c>
      <c r="P769">
        <f>IF(E769=1,F769*O769,"")</f>
        <v/>
      </c>
    </row>
    <row r="770">
      <c r="A770">
        <f>PNL!A770</f>
        <v/>
      </c>
      <c r="B770">
        <f>PNL!B770</f>
        <v/>
      </c>
      <c r="C770">
        <f>PNL!C770</f>
        <v/>
      </c>
      <c r="D770">
        <f>PNL!D770</f>
        <v/>
      </c>
      <c r="E770">
        <f>IF(AND(C770="2027",OR(D770="V01",D770="V02",D770="V03")),1,0)</f>
        <v/>
      </c>
      <c r="F770">
        <f>IF(E770=1,SUMIFS(Compta!$F$2:$F$675,Compta!$A$2:$A$675,A770,Compta!$B$2:$B$675,B770,Compta!$C$2:$C$675,"2026"),0)</f>
        <v/>
      </c>
      <c r="G770">
        <f>IF(D770="V01",cad!$I$21,IF(D770="V02",cad!$J$21,cad!$K$21))</f>
        <v/>
      </c>
      <c r="H770">
        <f>IF(D770="V01",cad!$I$22,IF(D770="V02",cad!$J$22,cad!$K$22))</f>
        <v/>
      </c>
      <c r="I770">
        <f>IF(D770="V01",cad!$I$27,IF(D770="V02",cad!$J$27,cad!$K$27))</f>
        <v/>
      </c>
      <c r="J770">
        <f>IF(D770="V01",cad!$I$28,IF(D770="V02",cad!$J$28,cad!$K$28))</f>
        <v/>
      </c>
      <c r="K770">
        <f>IF(D770="V01",cad!$I$29,IF(D770="V02",cad!$J$29,cad!$K$29))</f>
        <v/>
      </c>
      <c r="L770">
        <f>IF(D770="V01",cad!$I$30,IF(D770="V02",cad!$J$30,cad!$K$30))</f>
        <v/>
      </c>
      <c r="M770">
        <f>IF(D770="V01",cad!$I$31,IF(D770="V02",cad!$J$31,cad!$K$31))</f>
        <v/>
      </c>
      <c r="N770">
        <f>IF(D770="V01",$R$2,IF(D770="V02",$R$3,$R$4))</f>
        <v/>
      </c>
      <c r="O770">
        <f>IF(OR(B770="7062",B770="706",B770="708"),N770,IF(B770="6231",1+G770,IF(B770="6236",1+H770,IF(OR(B770="621",B770="604",B770="6063"),N770*(1-L770),IF(OR(B770="6411",B770="6413",B770="6414",B770="645"),(1+J770)*(1+K770),IF(OR(B770="613",B770="615",B770="616",B770="6226",B770="625",B770="626",B770="6281"),(1+I770)*(1-L770)*(1+M770),IF(OR(B770="6331",B770="63511",B770="6333"),(1+I770)*(1-L770),IF(B770="6811",1+I770,1))))))))</f>
        <v/>
      </c>
      <c r="P770">
        <f>IF(E770=1,F770*O770,"")</f>
        <v/>
      </c>
    </row>
    <row r="771">
      <c r="A771">
        <f>PNL!A771</f>
        <v/>
      </c>
      <c r="B771">
        <f>PNL!B771</f>
        <v/>
      </c>
      <c r="C771">
        <f>PNL!C771</f>
        <v/>
      </c>
      <c r="D771">
        <f>PNL!D771</f>
        <v/>
      </c>
      <c r="E771">
        <f>IF(AND(C771="2027",OR(D771="V01",D771="V02",D771="V03")),1,0)</f>
        <v/>
      </c>
      <c r="F771">
        <f>IF(E771=1,SUMIFS(Compta!$F$2:$F$675,Compta!$A$2:$A$675,A771,Compta!$B$2:$B$675,B771,Compta!$C$2:$C$675,"2026"),0)</f>
        <v/>
      </c>
      <c r="G771">
        <f>IF(D771="V01",cad!$I$21,IF(D771="V02",cad!$J$21,cad!$K$21))</f>
        <v/>
      </c>
      <c r="H771">
        <f>IF(D771="V01",cad!$I$22,IF(D771="V02",cad!$J$22,cad!$K$22))</f>
        <v/>
      </c>
      <c r="I771">
        <f>IF(D771="V01",cad!$I$27,IF(D771="V02",cad!$J$27,cad!$K$27))</f>
        <v/>
      </c>
      <c r="J771">
        <f>IF(D771="V01",cad!$I$28,IF(D771="V02",cad!$J$28,cad!$K$28))</f>
        <v/>
      </c>
      <c r="K771">
        <f>IF(D771="V01",cad!$I$29,IF(D771="V02",cad!$J$29,cad!$K$29))</f>
        <v/>
      </c>
      <c r="L771">
        <f>IF(D771="V01",cad!$I$30,IF(D771="V02",cad!$J$30,cad!$K$30))</f>
        <v/>
      </c>
      <c r="M771">
        <f>IF(D771="V01",cad!$I$31,IF(D771="V02",cad!$J$31,cad!$K$31))</f>
        <v/>
      </c>
      <c r="N771">
        <f>IF(D771="V01",$R$2,IF(D771="V02",$R$3,$R$4))</f>
        <v/>
      </c>
      <c r="O771">
        <f>IF(OR(B771="7062",B771="706",B771="708"),N771,IF(B771="6231",1+G771,IF(B771="6236",1+H771,IF(OR(B771="621",B771="604",B771="6063"),N771*(1-L771),IF(OR(B771="6411",B771="6413",B771="6414",B771="645"),(1+J771)*(1+K771),IF(OR(B771="613",B771="615",B771="616",B771="6226",B771="625",B771="626",B771="6281"),(1+I771)*(1-L771)*(1+M771),IF(OR(B771="6331",B771="63511",B771="6333"),(1+I771)*(1-L771),IF(B771="6811",1+I771,1))))))))</f>
        <v/>
      </c>
      <c r="P771">
        <f>IF(E771=1,F771*O771,"")</f>
        <v/>
      </c>
    </row>
    <row r="772">
      <c r="A772">
        <f>PNL!A772</f>
        <v/>
      </c>
      <c r="B772">
        <f>PNL!B772</f>
        <v/>
      </c>
      <c r="C772">
        <f>PNL!C772</f>
        <v/>
      </c>
      <c r="D772">
        <f>PNL!D772</f>
        <v/>
      </c>
      <c r="E772">
        <f>IF(AND(C772="2027",OR(D772="V01",D772="V02",D772="V03")),1,0)</f>
        <v/>
      </c>
      <c r="F772">
        <f>IF(E772=1,SUMIFS(Compta!$F$2:$F$675,Compta!$A$2:$A$675,A772,Compta!$B$2:$B$675,B772,Compta!$C$2:$C$675,"2026"),0)</f>
        <v/>
      </c>
      <c r="G772">
        <f>IF(D772="V01",cad!$I$21,IF(D772="V02",cad!$J$21,cad!$K$21))</f>
        <v/>
      </c>
      <c r="H772">
        <f>IF(D772="V01",cad!$I$22,IF(D772="V02",cad!$J$22,cad!$K$22))</f>
        <v/>
      </c>
      <c r="I772">
        <f>IF(D772="V01",cad!$I$27,IF(D772="V02",cad!$J$27,cad!$K$27))</f>
        <v/>
      </c>
      <c r="J772">
        <f>IF(D772="V01",cad!$I$28,IF(D772="V02",cad!$J$28,cad!$K$28))</f>
        <v/>
      </c>
      <c r="K772">
        <f>IF(D772="V01",cad!$I$29,IF(D772="V02",cad!$J$29,cad!$K$29))</f>
        <v/>
      </c>
      <c r="L772">
        <f>IF(D772="V01",cad!$I$30,IF(D772="V02",cad!$J$30,cad!$K$30))</f>
        <v/>
      </c>
      <c r="M772">
        <f>IF(D772="V01",cad!$I$31,IF(D772="V02",cad!$J$31,cad!$K$31))</f>
        <v/>
      </c>
      <c r="N772">
        <f>IF(D772="V01",$R$2,IF(D772="V02",$R$3,$R$4))</f>
        <v/>
      </c>
      <c r="O772">
        <f>IF(OR(B772="7062",B772="706",B772="708"),N772,IF(B772="6231",1+G772,IF(B772="6236",1+H772,IF(OR(B772="621",B772="604",B772="6063"),N772*(1-L772),IF(OR(B772="6411",B772="6413",B772="6414",B772="645"),(1+J772)*(1+K772),IF(OR(B772="613",B772="615",B772="616",B772="6226",B772="625",B772="626",B772="6281"),(1+I772)*(1-L772)*(1+M772),IF(OR(B772="6331",B772="63511",B772="6333"),(1+I772)*(1-L772),IF(B772="6811",1+I772,1))))))))</f>
        <v/>
      </c>
      <c r="P772">
        <f>IF(E772=1,F772*O772,"")</f>
        <v/>
      </c>
    </row>
    <row r="773">
      <c r="A773">
        <f>PNL!A773</f>
        <v/>
      </c>
      <c r="B773">
        <f>PNL!B773</f>
        <v/>
      </c>
      <c r="C773">
        <f>PNL!C773</f>
        <v/>
      </c>
      <c r="D773">
        <f>PNL!D773</f>
        <v/>
      </c>
      <c r="E773">
        <f>IF(AND(C773="2027",OR(D773="V01",D773="V02",D773="V03")),1,0)</f>
        <v/>
      </c>
      <c r="F773">
        <f>IF(E773=1,SUMIFS(Compta!$F$2:$F$675,Compta!$A$2:$A$675,A773,Compta!$B$2:$B$675,B773,Compta!$C$2:$C$675,"2026"),0)</f>
        <v/>
      </c>
      <c r="G773">
        <f>IF(D773="V01",cad!$I$21,IF(D773="V02",cad!$J$21,cad!$K$21))</f>
        <v/>
      </c>
      <c r="H773">
        <f>IF(D773="V01",cad!$I$22,IF(D773="V02",cad!$J$22,cad!$K$22))</f>
        <v/>
      </c>
      <c r="I773">
        <f>IF(D773="V01",cad!$I$27,IF(D773="V02",cad!$J$27,cad!$K$27))</f>
        <v/>
      </c>
      <c r="J773">
        <f>IF(D773="V01",cad!$I$28,IF(D773="V02",cad!$J$28,cad!$K$28))</f>
        <v/>
      </c>
      <c r="K773">
        <f>IF(D773="V01",cad!$I$29,IF(D773="V02",cad!$J$29,cad!$K$29))</f>
        <v/>
      </c>
      <c r="L773">
        <f>IF(D773="V01",cad!$I$30,IF(D773="V02",cad!$J$30,cad!$K$30))</f>
        <v/>
      </c>
      <c r="M773">
        <f>IF(D773="V01",cad!$I$31,IF(D773="V02",cad!$J$31,cad!$K$31))</f>
        <v/>
      </c>
      <c r="N773">
        <f>IF(D773="V01",$R$2,IF(D773="V02",$R$3,$R$4))</f>
        <v/>
      </c>
      <c r="O773">
        <f>IF(OR(B773="7062",B773="706",B773="708"),N773,IF(B773="6231",1+G773,IF(B773="6236",1+H773,IF(OR(B773="621",B773="604",B773="6063"),N773*(1-L773),IF(OR(B773="6411",B773="6413",B773="6414",B773="645"),(1+J773)*(1+K773),IF(OR(B773="613",B773="615",B773="616",B773="6226",B773="625",B773="626",B773="6281"),(1+I773)*(1-L773)*(1+M773),IF(OR(B773="6331",B773="63511",B773="6333"),(1+I773)*(1-L773),IF(B773="6811",1+I773,1))))))))</f>
        <v/>
      </c>
      <c r="P773">
        <f>IF(E773=1,F773*O773,"")</f>
        <v/>
      </c>
    </row>
    <row r="774">
      <c r="A774">
        <f>PNL!A774</f>
        <v/>
      </c>
      <c r="B774">
        <f>PNL!B774</f>
        <v/>
      </c>
      <c r="C774">
        <f>PNL!C774</f>
        <v/>
      </c>
      <c r="D774">
        <f>PNL!D774</f>
        <v/>
      </c>
      <c r="E774">
        <f>IF(AND(C774="2027",OR(D774="V01",D774="V02",D774="V03")),1,0)</f>
        <v/>
      </c>
      <c r="F774">
        <f>IF(E774=1,SUMIFS(Compta!$F$2:$F$675,Compta!$A$2:$A$675,A774,Compta!$B$2:$B$675,B774,Compta!$C$2:$C$675,"2026"),0)</f>
        <v/>
      </c>
      <c r="G774">
        <f>IF(D774="V01",cad!$I$21,IF(D774="V02",cad!$J$21,cad!$K$21))</f>
        <v/>
      </c>
      <c r="H774">
        <f>IF(D774="V01",cad!$I$22,IF(D774="V02",cad!$J$22,cad!$K$22))</f>
        <v/>
      </c>
      <c r="I774">
        <f>IF(D774="V01",cad!$I$27,IF(D774="V02",cad!$J$27,cad!$K$27))</f>
        <v/>
      </c>
      <c r="J774">
        <f>IF(D774="V01",cad!$I$28,IF(D774="V02",cad!$J$28,cad!$K$28))</f>
        <v/>
      </c>
      <c r="K774">
        <f>IF(D774="V01",cad!$I$29,IF(D774="V02",cad!$J$29,cad!$K$29))</f>
        <v/>
      </c>
      <c r="L774">
        <f>IF(D774="V01",cad!$I$30,IF(D774="V02",cad!$J$30,cad!$K$30))</f>
        <v/>
      </c>
      <c r="M774">
        <f>IF(D774="V01",cad!$I$31,IF(D774="V02",cad!$J$31,cad!$K$31))</f>
        <v/>
      </c>
      <c r="N774">
        <f>IF(D774="V01",$R$2,IF(D774="V02",$R$3,$R$4))</f>
        <v/>
      </c>
      <c r="O774">
        <f>IF(OR(B774="7062",B774="706",B774="708"),N774,IF(B774="6231",1+G774,IF(B774="6236",1+H774,IF(OR(B774="621",B774="604",B774="6063"),N774*(1-L774),IF(OR(B774="6411",B774="6413",B774="6414",B774="645"),(1+J774)*(1+K774),IF(OR(B774="613",B774="615",B774="616",B774="6226",B774="625",B774="626",B774="6281"),(1+I774)*(1-L774)*(1+M774),IF(OR(B774="6331",B774="63511",B774="6333"),(1+I774)*(1-L774),IF(B774="6811",1+I774,1))))))))</f>
        <v/>
      </c>
      <c r="P774">
        <f>IF(E774=1,F774*O774,"")</f>
        <v/>
      </c>
    </row>
    <row r="775">
      <c r="A775">
        <f>PNL!A775</f>
        <v/>
      </c>
      <c r="B775">
        <f>PNL!B775</f>
        <v/>
      </c>
      <c r="C775">
        <f>PNL!C775</f>
        <v/>
      </c>
      <c r="D775">
        <f>PNL!D775</f>
        <v/>
      </c>
      <c r="E775">
        <f>IF(AND(C775="2027",OR(D775="V01",D775="V02",D775="V03")),1,0)</f>
        <v/>
      </c>
      <c r="F775">
        <f>IF(E775=1,SUMIFS(Compta!$F$2:$F$675,Compta!$A$2:$A$675,A775,Compta!$B$2:$B$675,B775,Compta!$C$2:$C$675,"2026"),0)</f>
        <v/>
      </c>
      <c r="G775">
        <f>IF(D775="V01",cad!$I$21,IF(D775="V02",cad!$J$21,cad!$K$21))</f>
        <v/>
      </c>
      <c r="H775">
        <f>IF(D775="V01",cad!$I$22,IF(D775="V02",cad!$J$22,cad!$K$22))</f>
        <v/>
      </c>
      <c r="I775">
        <f>IF(D775="V01",cad!$I$27,IF(D775="V02",cad!$J$27,cad!$K$27))</f>
        <v/>
      </c>
      <c r="J775">
        <f>IF(D775="V01",cad!$I$28,IF(D775="V02",cad!$J$28,cad!$K$28))</f>
        <v/>
      </c>
      <c r="K775">
        <f>IF(D775="V01",cad!$I$29,IF(D775="V02",cad!$J$29,cad!$K$29))</f>
        <v/>
      </c>
      <c r="L775">
        <f>IF(D775="V01",cad!$I$30,IF(D775="V02",cad!$J$30,cad!$K$30))</f>
        <v/>
      </c>
      <c r="M775">
        <f>IF(D775="V01",cad!$I$31,IF(D775="V02",cad!$J$31,cad!$K$31))</f>
        <v/>
      </c>
      <c r="N775">
        <f>IF(D775="V01",$R$2,IF(D775="V02",$R$3,$R$4))</f>
        <v/>
      </c>
      <c r="O775">
        <f>IF(OR(B775="7062",B775="706",B775="708"),N775,IF(B775="6231",1+G775,IF(B775="6236",1+H775,IF(OR(B775="621",B775="604",B775="6063"),N775*(1-L775),IF(OR(B775="6411",B775="6413",B775="6414",B775="645"),(1+J775)*(1+K775),IF(OR(B775="613",B775="615",B775="616",B775="6226",B775="625",B775="626",B775="6281"),(1+I775)*(1-L775)*(1+M775),IF(OR(B775="6331",B775="63511",B775="6333"),(1+I775)*(1-L775),IF(B775="6811",1+I775,1))))))))</f>
        <v/>
      </c>
      <c r="P775">
        <f>IF(E775=1,F775*O775,"")</f>
        <v/>
      </c>
    </row>
    <row r="776">
      <c r="A776">
        <f>PNL!A776</f>
        <v/>
      </c>
      <c r="B776">
        <f>PNL!B776</f>
        <v/>
      </c>
      <c r="C776">
        <f>PNL!C776</f>
        <v/>
      </c>
      <c r="D776">
        <f>PNL!D776</f>
        <v/>
      </c>
      <c r="E776">
        <f>IF(AND(C776="2027",OR(D776="V01",D776="V02",D776="V03")),1,0)</f>
        <v/>
      </c>
      <c r="F776">
        <f>IF(E776=1,SUMIFS(Compta!$F$2:$F$675,Compta!$A$2:$A$675,A776,Compta!$B$2:$B$675,B776,Compta!$C$2:$C$675,"2026"),0)</f>
        <v/>
      </c>
      <c r="G776">
        <f>IF(D776="V01",cad!$I$21,IF(D776="V02",cad!$J$21,cad!$K$21))</f>
        <v/>
      </c>
      <c r="H776">
        <f>IF(D776="V01",cad!$I$22,IF(D776="V02",cad!$J$22,cad!$K$22))</f>
        <v/>
      </c>
      <c r="I776">
        <f>IF(D776="V01",cad!$I$27,IF(D776="V02",cad!$J$27,cad!$K$27))</f>
        <v/>
      </c>
      <c r="J776">
        <f>IF(D776="V01",cad!$I$28,IF(D776="V02",cad!$J$28,cad!$K$28))</f>
        <v/>
      </c>
      <c r="K776">
        <f>IF(D776="V01",cad!$I$29,IF(D776="V02",cad!$J$29,cad!$K$29))</f>
        <v/>
      </c>
      <c r="L776">
        <f>IF(D776="V01",cad!$I$30,IF(D776="V02",cad!$J$30,cad!$K$30))</f>
        <v/>
      </c>
      <c r="M776">
        <f>IF(D776="V01",cad!$I$31,IF(D776="V02",cad!$J$31,cad!$K$31))</f>
        <v/>
      </c>
      <c r="N776">
        <f>IF(D776="V01",$R$2,IF(D776="V02",$R$3,$R$4))</f>
        <v/>
      </c>
      <c r="O776">
        <f>IF(OR(B776="7062",B776="706",B776="708"),N776,IF(B776="6231",1+G776,IF(B776="6236",1+H776,IF(OR(B776="621",B776="604",B776="6063"),N776*(1-L776),IF(OR(B776="6411",B776="6413",B776="6414",B776="645"),(1+J776)*(1+K776),IF(OR(B776="613",B776="615",B776="616",B776="6226",B776="625",B776="626",B776="6281"),(1+I776)*(1-L776)*(1+M776),IF(OR(B776="6331",B776="63511",B776="6333"),(1+I776)*(1-L776),IF(B776="6811",1+I776,1))))))))</f>
        <v/>
      </c>
      <c r="P776">
        <f>IF(E776=1,F776*O776,"")</f>
        <v/>
      </c>
    </row>
    <row r="777">
      <c r="A777">
        <f>PNL!A777</f>
        <v/>
      </c>
      <c r="B777">
        <f>PNL!B777</f>
        <v/>
      </c>
      <c r="C777">
        <f>PNL!C777</f>
        <v/>
      </c>
      <c r="D777">
        <f>PNL!D777</f>
        <v/>
      </c>
      <c r="E777">
        <f>IF(AND(C777="2027",OR(D777="V01",D777="V02",D777="V03")),1,0)</f>
        <v/>
      </c>
      <c r="F777">
        <f>IF(E777=1,SUMIFS(Compta!$F$2:$F$675,Compta!$A$2:$A$675,A777,Compta!$B$2:$B$675,B777,Compta!$C$2:$C$675,"2026"),0)</f>
        <v/>
      </c>
      <c r="G777">
        <f>IF(D777="V01",cad!$I$21,IF(D777="V02",cad!$J$21,cad!$K$21))</f>
        <v/>
      </c>
      <c r="H777">
        <f>IF(D777="V01",cad!$I$22,IF(D777="V02",cad!$J$22,cad!$K$22))</f>
        <v/>
      </c>
      <c r="I777">
        <f>IF(D777="V01",cad!$I$27,IF(D777="V02",cad!$J$27,cad!$K$27))</f>
        <v/>
      </c>
      <c r="J777">
        <f>IF(D777="V01",cad!$I$28,IF(D777="V02",cad!$J$28,cad!$K$28))</f>
        <v/>
      </c>
      <c r="K777">
        <f>IF(D777="V01",cad!$I$29,IF(D777="V02",cad!$J$29,cad!$K$29))</f>
        <v/>
      </c>
      <c r="L777">
        <f>IF(D777="V01",cad!$I$30,IF(D777="V02",cad!$J$30,cad!$K$30))</f>
        <v/>
      </c>
      <c r="M777">
        <f>IF(D777="V01",cad!$I$31,IF(D777="V02",cad!$J$31,cad!$K$31))</f>
        <v/>
      </c>
      <c r="N777">
        <f>IF(D777="V01",$R$2,IF(D777="V02",$R$3,$R$4))</f>
        <v/>
      </c>
      <c r="O777">
        <f>IF(OR(B777="7062",B777="706",B777="708"),N777,IF(B777="6231",1+G777,IF(B777="6236",1+H777,IF(OR(B777="621",B777="604",B777="6063"),N777*(1-L777),IF(OR(B777="6411",B777="6413",B777="6414",B777="645"),(1+J777)*(1+K777),IF(OR(B777="613",B777="615",B777="616",B777="6226",B777="625",B777="626",B777="6281"),(1+I777)*(1-L777)*(1+M777),IF(OR(B777="6331",B777="63511",B777="6333"),(1+I777)*(1-L777),IF(B777="6811",1+I777,1))))))))</f>
        <v/>
      </c>
      <c r="P777">
        <f>IF(E777=1,F777*O777,"")</f>
        <v/>
      </c>
    </row>
    <row r="778">
      <c r="A778">
        <f>PNL!A778</f>
        <v/>
      </c>
      <c r="B778">
        <f>PNL!B778</f>
        <v/>
      </c>
      <c r="C778">
        <f>PNL!C778</f>
        <v/>
      </c>
      <c r="D778">
        <f>PNL!D778</f>
        <v/>
      </c>
      <c r="E778">
        <f>IF(AND(C778="2027",OR(D778="V01",D778="V02",D778="V03")),1,0)</f>
        <v/>
      </c>
      <c r="F778">
        <f>IF(E778=1,SUMIFS(Compta!$F$2:$F$675,Compta!$A$2:$A$675,A778,Compta!$B$2:$B$675,B778,Compta!$C$2:$C$675,"2026"),0)</f>
        <v/>
      </c>
      <c r="G778">
        <f>IF(D778="V01",cad!$I$21,IF(D778="V02",cad!$J$21,cad!$K$21))</f>
        <v/>
      </c>
      <c r="H778">
        <f>IF(D778="V01",cad!$I$22,IF(D778="V02",cad!$J$22,cad!$K$22))</f>
        <v/>
      </c>
      <c r="I778">
        <f>IF(D778="V01",cad!$I$27,IF(D778="V02",cad!$J$27,cad!$K$27))</f>
        <v/>
      </c>
      <c r="J778">
        <f>IF(D778="V01",cad!$I$28,IF(D778="V02",cad!$J$28,cad!$K$28))</f>
        <v/>
      </c>
      <c r="K778">
        <f>IF(D778="V01",cad!$I$29,IF(D778="V02",cad!$J$29,cad!$K$29))</f>
        <v/>
      </c>
      <c r="L778">
        <f>IF(D778="V01",cad!$I$30,IF(D778="V02",cad!$J$30,cad!$K$30))</f>
        <v/>
      </c>
      <c r="M778">
        <f>IF(D778="V01",cad!$I$31,IF(D778="V02",cad!$J$31,cad!$K$31))</f>
        <v/>
      </c>
      <c r="N778">
        <f>IF(D778="V01",$R$2,IF(D778="V02",$R$3,$R$4))</f>
        <v/>
      </c>
      <c r="O778">
        <f>IF(OR(B778="7062",B778="706",B778="708"),N778,IF(B778="6231",1+G778,IF(B778="6236",1+H778,IF(OR(B778="621",B778="604",B778="6063"),N778*(1-L778),IF(OR(B778="6411",B778="6413",B778="6414",B778="645"),(1+J778)*(1+K778),IF(OR(B778="613",B778="615",B778="616",B778="6226",B778="625",B778="626",B778="6281"),(1+I778)*(1-L778)*(1+M778),IF(OR(B778="6331",B778="63511",B778="6333"),(1+I778)*(1-L778),IF(B778="6811",1+I778,1))))))))</f>
        <v/>
      </c>
      <c r="P778">
        <f>IF(E778=1,F778*O778,"")</f>
        <v/>
      </c>
    </row>
    <row r="779">
      <c r="A779">
        <f>PNL!A779</f>
        <v/>
      </c>
      <c r="B779">
        <f>PNL!B779</f>
        <v/>
      </c>
      <c r="C779">
        <f>PNL!C779</f>
        <v/>
      </c>
      <c r="D779">
        <f>PNL!D779</f>
        <v/>
      </c>
      <c r="E779">
        <f>IF(AND(C779="2027",OR(D779="V01",D779="V02",D779="V03")),1,0)</f>
        <v/>
      </c>
      <c r="F779">
        <f>IF(E779=1,SUMIFS(Compta!$F$2:$F$675,Compta!$A$2:$A$675,A779,Compta!$B$2:$B$675,B779,Compta!$C$2:$C$675,"2026"),0)</f>
        <v/>
      </c>
      <c r="G779">
        <f>IF(D779="V01",cad!$I$21,IF(D779="V02",cad!$J$21,cad!$K$21))</f>
        <v/>
      </c>
      <c r="H779">
        <f>IF(D779="V01",cad!$I$22,IF(D779="V02",cad!$J$22,cad!$K$22))</f>
        <v/>
      </c>
      <c r="I779">
        <f>IF(D779="V01",cad!$I$27,IF(D779="V02",cad!$J$27,cad!$K$27))</f>
        <v/>
      </c>
      <c r="J779">
        <f>IF(D779="V01",cad!$I$28,IF(D779="V02",cad!$J$28,cad!$K$28))</f>
        <v/>
      </c>
      <c r="K779">
        <f>IF(D779="V01",cad!$I$29,IF(D779="V02",cad!$J$29,cad!$K$29))</f>
        <v/>
      </c>
      <c r="L779">
        <f>IF(D779="V01",cad!$I$30,IF(D779="V02",cad!$J$30,cad!$K$30))</f>
        <v/>
      </c>
      <c r="M779">
        <f>IF(D779="V01",cad!$I$31,IF(D779="V02",cad!$J$31,cad!$K$31))</f>
        <v/>
      </c>
      <c r="N779">
        <f>IF(D779="V01",$R$2,IF(D779="V02",$R$3,$R$4))</f>
        <v/>
      </c>
      <c r="O779">
        <f>IF(OR(B779="7062",B779="706",B779="708"),N779,IF(B779="6231",1+G779,IF(B779="6236",1+H779,IF(OR(B779="621",B779="604",B779="6063"),N779*(1-L779),IF(OR(B779="6411",B779="6413",B779="6414",B779="645"),(1+J779)*(1+K779),IF(OR(B779="613",B779="615",B779="616",B779="6226",B779="625",B779="626",B779="6281"),(1+I779)*(1-L779)*(1+M779),IF(OR(B779="6331",B779="63511",B779="6333"),(1+I779)*(1-L779),IF(B779="6811",1+I779,1))))))))</f>
        <v/>
      </c>
      <c r="P779">
        <f>IF(E779=1,F779*O779,"")</f>
        <v/>
      </c>
    </row>
    <row r="780">
      <c r="A780">
        <f>PNL!A780</f>
        <v/>
      </c>
      <c r="B780">
        <f>PNL!B780</f>
        <v/>
      </c>
      <c r="C780">
        <f>PNL!C780</f>
        <v/>
      </c>
      <c r="D780">
        <f>PNL!D780</f>
        <v/>
      </c>
      <c r="E780">
        <f>IF(AND(C780="2027",OR(D780="V01",D780="V02",D780="V03")),1,0)</f>
        <v/>
      </c>
      <c r="F780">
        <f>IF(E780=1,SUMIFS(Compta!$F$2:$F$675,Compta!$A$2:$A$675,A780,Compta!$B$2:$B$675,B780,Compta!$C$2:$C$675,"2026"),0)</f>
        <v/>
      </c>
      <c r="G780">
        <f>IF(D780="V01",cad!$I$21,IF(D780="V02",cad!$J$21,cad!$K$21))</f>
        <v/>
      </c>
      <c r="H780">
        <f>IF(D780="V01",cad!$I$22,IF(D780="V02",cad!$J$22,cad!$K$22))</f>
        <v/>
      </c>
      <c r="I780">
        <f>IF(D780="V01",cad!$I$27,IF(D780="V02",cad!$J$27,cad!$K$27))</f>
        <v/>
      </c>
      <c r="J780">
        <f>IF(D780="V01",cad!$I$28,IF(D780="V02",cad!$J$28,cad!$K$28))</f>
        <v/>
      </c>
      <c r="K780">
        <f>IF(D780="V01",cad!$I$29,IF(D780="V02",cad!$J$29,cad!$K$29))</f>
        <v/>
      </c>
      <c r="L780">
        <f>IF(D780="V01",cad!$I$30,IF(D780="V02",cad!$J$30,cad!$K$30))</f>
        <v/>
      </c>
      <c r="M780">
        <f>IF(D780="V01",cad!$I$31,IF(D780="V02",cad!$J$31,cad!$K$31))</f>
        <v/>
      </c>
      <c r="N780">
        <f>IF(D780="V01",$R$2,IF(D780="V02",$R$3,$R$4))</f>
        <v/>
      </c>
      <c r="O780">
        <f>IF(OR(B780="7062",B780="706",B780="708"),N780,IF(B780="6231",1+G780,IF(B780="6236",1+H780,IF(OR(B780="621",B780="604",B780="6063"),N780*(1-L780),IF(OR(B780="6411",B780="6413",B780="6414",B780="645"),(1+J780)*(1+K780),IF(OR(B780="613",B780="615",B780="616",B780="6226",B780="625",B780="626",B780="6281"),(1+I780)*(1-L780)*(1+M780),IF(OR(B780="6331",B780="63511",B780="6333"),(1+I780)*(1-L780),IF(B780="6811",1+I780,1))))))))</f>
        <v/>
      </c>
      <c r="P780">
        <f>IF(E780=1,F780*O780,"")</f>
        <v/>
      </c>
    </row>
    <row r="781">
      <c r="A781">
        <f>PNL!A781</f>
        <v/>
      </c>
      <c r="B781">
        <f>PNL!B781</f>
        <v/>
      </c>
      <c r="C781">
        <f>PNL!C781</f>
        <v/>
      </c>
      <c r="D781">
        <f>PNL!D781</f>
        <v/>
      </c>
      <c r="E781">
        <f>IF(AND(C781="2027",OR(D781="V01",D781="V02",D781="V03")),1,0)</f>
        <v/>
      </c>
      <c r="F781">
        <f>IF(E781=1,SUMIFS(Compta!$F$2:$F$675,Compta!$A$2:$A$675,A781,Compta!$B$2:$B$675,B781,Compta!$C$2:$C$675,"2026"),0)</f>
        <v/>
      </c>
      <c r="G781">
        <f>IF(D781="V01",cad!$I$21,IF(D781="V02",cad!$J$21,cad!$K$21))</f>
        <v/>
      </c>
      <c r="H781">
        <f>IF(D781="V01",cad!$I$22,IF(D781="V02",cad!$J$22,cad!$K$22))</f>
        <v/>
      </c>
      <c r="I781">
        <f>IF(D781="V01",cad!$I$27,IF(D781="V02",cad!$J$27,cad!$K$27))</f>
        <v/>
      </c>
      <c r="J781">
        <f>IF(D781="V01",cad!$I$28,IF(D781="V02",cad!$J$28,cad!$K$28))</f>
        <v/>
      </c>
      <c r="K781">
        <f>IF(D781="V01",cad!$I$29,IF(D781="V02",cad!$J$29,cad!$K$29))</f>
        <v/>
      </c>
      <c r="L781">
        <f>IF(D781="V01",cad!$I$30,IF(D781="V02",cad!$J$30,cad!$K$30))</f>
        <v/>
      </c>
      <c r="M781">
        <f>IF(D781="V01",cad!$I$31,IF(D781="V02",cad!$J$31,cad!$K$31))</f>
        <v/>
      </c>
      <c r="N781">
        <f>IF(D781="V01",$R$2,IF(D781="V02",$R$3,$R$4))</f>
        <v/>
      </c>
      <c r="O781">
        <f>IF(OR(B781="7062",B781="706",B781="708"),N781,IF(B781="6231",1+G781,IF(B781="6236",1+H781,IF(OR(B781="621",B781="604",B781="6063"),N781*(1-L781),IF(OR(B781="6411",B781="6413",B781="6414",B781="645"),(1+J781)*(1+K781),IF(OR(B781="613",B781="615",B781="616",B781="6226",B781="625",B781="626",B781="6281"),(1+I781)*(1-L781)*(1+M781),IF(OR(B781="6331",B781="63511",B781="6333"),(1+I781)*(1-L781),IF(B781="6811",1+I781,1))))))))</f>
        <v/>
      </c>
      <c r="P781">
        <f>IF(E781=1,F781*O781,"")</f>
        <v/>
      </c>
    </row>
    <row r="782">
      <c r="A782">
        <f>PNL!A782</f>
        <v/>
      </c>
      <c r="B782">
        <f>PNL!B782</f>
        <v/>
      </c>
      <c r="C782">
        <f>PNL!C782</f>
        <v/>
      </c>
      <c r="D782">
        <f>PNL!D782</f>
        <v/>
      </c>
      <c r="E782">
        <f>IF(AND(C782="2027",OR(D782="V01",D782="V02",D782="V03")),1,0)</f>
        <v/>
      </c>
      <c r="F782">
        <f>IF(E782=1,SUMIFS(Compta!$F$2:$F$675,Compta!$A$2:$A$675,A782,Compta!$B$2:$B$675,B782,Compta!$C$2:$C$675,"2026"),0)</f>
        <v/>
      </c>
      <c r="G782">
        <f>IF(D782="V01",cad!$I$21,IF(D782="V02",cad!$J$21,cad!$K$21))</f>
        <v/>
      </c>
      <c r="H782">
        <f>IF(D782="V01",cad!$I$22,IF(D782="V02",cad!$J$22,cad!$K$22))</f>
        <v/>
      </c>
      <c r="I782">
        <f>IF(D782="V01",cad!$I$27,IF(D782="V02",cad!$J$27,cad!$K$27))</f>
        <v/>
      </c>
      <c r="J782">
        <f>IF(D782="V01",cad!$I$28,IF(D782="V02",cad!$J$28,cad!$K$28))</f>
        <v/>
      </c>
      <c r="K782">
        <f>IF(D782="V01",cad!$I$29,IF(D782="V02",cad!$J$29,cad!$K$29))</f>
        <v/>
      </c>
      <c r="L782">
        <f>IF(D782="V01",cad!$I$30,IF(D782="V02",cad!$J$30,cad!$K$30))</f>
        <v/>
      </c>
      <c r="M782">
        <f>IF(D782="V01",cad!$I$31,IF(D782="V02",cad!$J$31,cad!$K$31))</f>
        <v/>
      </c>
      <c r="N782">
        <f>IF(D782="V01",$R$2,IF(D782="V02",$R$3,$R$4))</f>
        <v/>
      </c>
      <c r="O782">
        <f>IF(OR(B782="7062",B782="706",B782="708"),N782,IF(B782="6231",1+G782,IF(B782="6236",1+H782,IF(OR(B782="621",B782="604",B782="6063"),N782*(1-L782),IF(OR(B782="6411",B782="6413",B782="6414",B782="645"),(1+J782)*(1+K782),IF(OR(B782="613",B782="615",B782="616",B782="6226",B782="625",B782="626",B782="6281"),(1+I782)*(1-L782)*(1+M782),IF(OR(B782="6331",B782="63511",B782="6333"),(1+I782)*(1-L782),IF(B782="6811",1+I782,1))))))))</f>
        <v/>
      </c>
      <c r="P782">
        <f>IF(E782=1,F782*O782,"")</f>
        <v/>
      </c>
    </row>
    <row r="783">
      <c r="A783">
        <f>PNL!A783</f>
        <v/>
      </c>
      <c r="B783">
        <f>PNL!B783</f>
        <v/>
      </c>
      <c r="C783">
        <f>PNL!C783</f>
        <v/>
      </c>
      <c r="D783">
        <f>PNL!D783</f>
        <v/>
      </c>
      <c r="E783">
        <f>IF(AND(C783="2027",OR(D783="V01",D783="V02",D783="V03")),1,0)</f>
        <v/>
      </c>
      <c r="F783">
        <f>IF(E783=1,SUMIFS(Compta!$F$2:$F$675,Compta!$A$2:$A$675,A783,Compta!$B$2:$B$675,B783,Compta!$C$2:$C$675,"2026"),0)</f>
        <v/>
      </c>
      <c r="G783">
        <f>IF(D783="V01",cad!$I$21,IF(D783="V02",cad!$J$21,cad!$K$21))</f>
        <v/>
      </c>
      <c r="H783">
        <f>IF(D783="V01",cad!$I$22,IF(D783="V02",cad!$J$22,cad!$K$22))</f>
        <v/>
      </c>
      <c r="I783">
        <f>IF(D783="V01",cad!$I$27,IF(D783="V02",cad!$J$27,cad!$K$27))</f>
        <v/>
      </c>
      <c r="J783">
        <f>IF(D783="V01",cad!$I$28,IF(D783="V02",cad!$J$28,cad!$K$28))</f>
        <v/>
      </c>
      <c r="K783">
        <f>IF(D783="V01",cad!$I$29,IF(D783="V02",cad!$J$29,cad!$K$29))</f>
        <v/>
      </c>
      <c r="L783">
        <f>IF(D783="V01",cad!$I$30,IF(D783="V02",cad!$J$30,cad!$K$30))</f>
        <v/>
      </c>
      <c r="M783">
        <f>IF(D783="V01",cad!$I$31,IF(D783="V02",cad!$J$31,cad!$K$31))</f>
        <v/>
      </c>
      <c r="N783">
        <f>IF(D783="V01",$R$2,IF(D783="V02",$R$3,$R$4))</f>
        <v/>
      </c>
      <c r="O783">
        <f>IF(OR(B783="7062",B783="706",B783="708"),N783,IF(B783="6231",1+G783,IF(B783="6236",1+H783,IF(OR(B783="621",B783="604",B783="6063"),N783*(1-L783),IF(OR(B783="6411",B783="6413",B783="6414",B783="645"),(1+J783)*(1+K783),IF(OR(B783="613",B783="615",B783="616",B783="6226",B783="625",B783="626",B783="6281"),(1+I783)*(1-L783)*(1+M783),IF(OR(B783="6331",B783="63511",B783="6333"),(1+I783)*(1-L783),IF(B783="6811",1+I783,1))))))))</f>
        <v/>
      </c>
      <c r="P783">
        <f>IF(E783=1,F783*O783,"")</f>
        <v/>
      </c>
    </row>
    <row r="784">
      <c r="A784">
        <f>PNL!A784</f>
        <v/>
      </c>
      <c r="B784">
        <f>PNL!B784</f>
        <v/>
      </c>
      <c r="C784">
        <f>PNL!C784</f>
        <v/>
      </c>
      <c r="D784">
        <f>PNL!D784</f>
        <v/>
      </c>
      <c r="E784">
        <f>IF(AND(C784="2027",OR(D784="V01",D784="V02",D784="V03")),1,0)</f>
        <v/>
      </c>
      <c r="F784">
        <f>IF(E784=1,SUMIFS(Compta!$F$2:$F$675,Compta!$A$2:$A$675,A784,Compta!$B$2:$B$675,B784,Compta!$C$2:$C$675,"2026"),0)</f>
        <v/>
      </c>
      <c r="G784">
        <f>IF(D784="V01",cad!$I$21,IF(D784="V02",cad!$J$21,cad!$K$21))</f>
        <v/>
      </c>
      <c r="H784">
        <f>IF(D784="V01",cad!$I$22,IF(D784="V02",cad!$J$22,cad!$K$22))</f>
        <v/>
      </c>
      <c r="I784">
        <f>IF(D784="V01",cad!$I$27,IF(D784="V02",cad!$J$27,cad!$K$27))</f>
        <v/>
      </c>
      <c r="J784">
        <f>IF(D784="V01",cad!$I$28,IF(D784="V02",cad!$J$28,cad!$K$28))</f>
        <v/>
      </c>
      <c r="K784">
        <f>IF(D784="V01",cad!$I$29,IF(D784="V02",cad!$J$29,cad!$K$29))</f>
        <v/>
      </c>
      <c r="L784">
        <f>IF(D784="V01",cad!$I$30,IF(D784="V02",cad!$J$30,cad!$K$30))</f>
        <v/>
      </c>
      <c r="M784">
        <f>IF(D784="V01",cad!$I$31,IF(D784="V02",cad!$J$31,cad!$K$31))</f>
        <v/>
      </c>
      <c r="N784">
        <f>IF(D784="V01",$R$2,IF(D784="V02",$R$3,$R$4))</f>
        <v/>
      </c>
      <c r="O784">
        <f>IF(OR(B784="7062",B784="706",B784="708"),N784,IF(B784="6231",1+G784,IF(B784="6236",1+H784,IF(OR(B784="621",B784="604",B784="6063"),N784*(1-L784),IF(OR(B784="6411",B784="6413",B784="6414",B784="645"),(1+J784)*(1+K784),IF(OR(B784="613",B784="615",B784="616",B784="6226",B784="625",B784="626",B784="6281"),(1+I784)*(1-L784)*(1+M784),IF(OR(B784="6331",B784="63511",B784="6333"),(1+I784)*(1-L784),IF(B784="6811",1+I784,1))))))))</f>
        <v/>
      </c>
      <c r="P784">
        <f>IF(E784=1,F784*O784,"")</f>
        <v/>
      </c>
    </row>
    <row r="785">
      <c r="A785">
        <f>PNL!A785</f>
        <v/>
      </c>
      <c r="B785">
        <f>PNL!B785</f>
        <v/>
      </c>
      <c r="C785">
        <f>PNL!C785</f>
        <v/>
      </c>
      <c r="D785">
        <f>PNL!D785</f>
        <v/>
      </c>
      <c r="E785">
        <f>IF(AND(C785="2027",OR(D785="V01",D785="V02",D785="V03")),1,0)</f>
        <v/>
      </c>
      <c r="F785">
        <f>IF(E785=1,SUMIFS(Compta!$F$2:$F$675,Compta!$A$2:$A$675,A785,Compta!$B$2:$B$675,B785,Compta!$C$2:$C$675,"2026"),0)</f>
        <v/>
      </c>
      <c r="G785">
        <f>IF(D785="V01",cad!$I$21,IF(D785="V02",cad!$J$21,cad!$K$21))</f>
        <v/>
      </c>
      <c r="H785">
        <f>IF(D785="V01",cad!$I$22,IF(D785="V02",cad!$J$22,cad!$K$22))</f>
        <v/>
      </c>
      <c r="I785">
        <f>IF(D785="V01",cad!$I$27,IF(D785="V02",cad!$J$27,cad!$K$27))</f>
        <v/>
      </c>
      <c r="J785">
        <f>IF(D785="V01",cad!$I$28,IF(D785="V02",cad!$J$28,cad!$K$28))</f>
        <v/>
      </c>
      <c r="K785">
        <f>IF(D785="V01",cad!$I$29,IF(D785="V02",cad!$J$29,cad!$K$29))</f>
        <v/>
      </c>
      <c r="L785">
        <f>IF(D785="V01",cad!$I$30,IF(D785="V02",cad!$J$30,cad!$K$30))</f>
        <v/>
      </c>
      <c r="M785">
        <f>IF(D785="V01",cad!$I$31,IF(D785="V02",cad!$J$31,cad!$K$31))</f>
        <v/>
      </c>
      <c r="N785">
        <f>IF(D785="V01",$R$2,IF(D785="V02",$R$3,$R$4))</f>
        <v/>
      </c>
      <c r="O785">
        <f>IF(OR(B785="7062",B785="706",B785="708"),N785,IF(B785="6231",1+G785,IF(B785="6236",1+H785,IF(OR(B785="621",B785="604",B785="6063"),N785*(1-L785),IF(OR(B785="6411",B785="6413",B785="6414",B785="645"),(1+J785)*(1+K785),IF(OR(B785="613",B785="615",B785="616",B785="6226",B785="625",B785="626",B785="6281"),(1+I785)*(1-L785)*(1+M785),IF(OR(B785="6331",B785="63511",B785="6333"),(1+I785)*(1-L785),IF(B785="6811",1+I785,1))))))))</f>
        <v/>
      </c>
      <c r="P785">
        <f>IF(E785=1,F785*O785,"")</f>
        <v/>
      </c>
    </row>
    <row r="786">
      <c r="A786">
        <f>PNL!A786</f>
        <v/>
      </c>
      <c r="B786">
        <f>PNL!B786</f>
        <v/>
      </c>
      <c r="C786">
        <f>PNL!C786</f>
        <v/>
      </c>
      <c r="D786">
        <f>PNL!D786</f>
        <v/>
      </c>
      <c r="E786">
        <f>IF(AND(C786="2027",OR(D786="V01",D786="V02",D786="V03")),1,0)</f>
        <v/>
      </c>
      <c r="F786">
        <f>IF(E786=1,SUMIFS(Compta!$F$2:$F$675,Compta!$A$2:$A$675,A786,Compta!$B$2:$B$675,B786,Compta!$C$2:$C$675,"2026"),0)</f>
        <v/>
      </c>
      <c r="G786">
        <f>IF(D786="V01",cad!$I$21,IF(D786="V02",cad!$J$21,cad!$K$21))</f>
        <v/>
      </c>
      <c r="H786">
        <f>IF(D786="V01",cad!$I$22,IF(D786="V02",cad!$J$22,cad!$K$22))</f>
        <v/>
      </c>
      <c r="I786">
        <f>IF(D786="V01",cad!$I$27,IF(D786="V02",cad!$J$27,cad!$K$27))</f>
        <v/>
      </c>
      <c r="J786">
        <f>IF(D786="V01",cad!$I$28,IF(D786="V02",cad!$J$28,cad!$K$28))</f>
        <v/>
      </c>
      <c r="K786">
        <f>IF(D786="V01",cad!$I$29,IF(D786="V02",cad!$J$29,cad!$K$29))</f>
        <v/>
      </c>
      <c r="L786">
        <f>IF(D786="V01",cad!$I$30,IF(D786="V02",cad!$J$30,cad!$K$30))</f>
        <v/>
      </c>
      <c r="M786">
        <f>IF(D786="V01",cad!$I$31,IF(D786="V02",cad!$J$31,cad!$K$31))</f>
        <v/>
      </c>
      <c r="N786">
        <f>IF(D786="V01",$R$2,IF(D786="V02",$R$3,$R$4))</f>
        <v/>
      </c>
      <c r="O786">
        <f>IF(OR(B786="7062",B786="706",B786="708"),N786,IF(B786="6231",1+G786,IF(B786="6236",1+H786,IF(OR(B786="621",B786="604",B786="6063"),N786*(1-L786),IF(OR(B786="6411",B786="6413",B786="6414",B786="645"),(1+J786)*(1+K786),IF(OR(B786="613",B786="615",B786="616",B786="6226",B786="625",B786="626",B786="6281"),(1+I786)*(1-L786)*(1+M786),IF(OR(B786="6331",B786="63511",B786="6333"),(1+I786)*(1-L786),IF(B786="6811",1+I786,1))))))))</f>
        <v/>
      </c>
      <c r="P786">
        <f>IF(E786=1,F786*O786,"")</f>
        <v/>
      </c>
    </row>
    <row r="787">
      <c r="A787">
        <f>PNL!A787</f>
        <v/>
      </c>
      <c r="B787">
        <f>PNL!B787</f>
        <v/>
      </c>
      <c r="C787">
        <f>PNL!C787</f>
        <v/>
      </c>
      <c r="D787">
        <f>PNL!D787</f>
        <v/>
      </c>
      <c r="E787">
        <f>IF(AND(C787="2027",OR(D787="V01",D787="V02",D787="V03")),1,0)</f>
        <v/>
      </c>
      <c r="F787">
        <f>IF(E787=1,SUMIFS(Compta!$F$2:$F$675,Compta!$A$2:$A$675,A787,Compta!$B$2:$B$675,B787,Compta!$C$2:$C$675,"2026"),0)</f>
        <v/>
      </c>
      <c r="G787">
        <f>IF(D787="V01",cad!$I$21,IF(D787="V02",cad!$J$21,cad!$K$21))</f>
        <v/>
      </c>
      <c r="H787">
        <f>IF(D787="V01",cad!$I$22,IF(D787="V02",cad!$J$22,cad!$K$22))</f>
        <v/>
      </c>
      <c r="I787">
        <f>IF(D787="V01",cad!$I$27,IF(D787="V02",cad!$J$27,cad!$K$27))</f>
        <v/>
      </c>
      <c r="J787">
        <f>IF(D787="V01",cad!$I$28,IF(D787="V02",cad!$J$28,cad!$K$28))</f>
        <v/>
      </c>
      <c r="K787">
        <f>IF(D787="V01",cad!$I$29,IF(D787="V02",cad!$J$29,cad!$K$29))</f>
        <v/>
      </c>
      <c r="L787">
        <f>IF(D787="V01",cad!$I$30,IF(D787="V02",cad!$J$30,cad!$K$30))</f>
        <v/>
      </c>
      <c r="M787">
        <f>IF(D787="V01",cad!$I$31,IF(D787="V02",cad!$J$31,cad!$K$31))</f>
        <v/>
      </c>
      <c r="N787">
        <f>IF(D787="V01",$R$2,IF(D787="V02",$R$3,$R$4))</f>
        <v/>
      </c>
      <c r="O787">
        <f>IF(OR(B787="7062",B787="706",B787="708"),N787,IF(B787="6231",1+G787,IF(B787="6236",1+H787,IF(OR(B787="621",B787="604",B787="6063"),N787*(1-L787),IF(OR(B787="6411",B787="6413",B787="6414",B787="645"),(1+J787)*(1+K787),IF(OR(B787="613",B787="615",B787="616",B787="6226",B787="625",B787="626",B787="6281"),(1+I787)*(1-L787)*(1+M787),IF(OR(B787="6331",B787="63511",B787="6333"),(1+I787)*(1-L787),IF(B787="6811",1+I787,1))))))))</f>
        <v/>
      </c>
      <c r="P787">
        <f>IF(E787=1,F787*O787,"")</f>
        <v/>
      </c>
    </row>
    <row r="788">
      <c r="A788">
        <f>PNL!A788</f>
        <v/>
      </c>
      <c r="B788">
        <f>PNL!B788</f>
        <v/>
      </c>
      <c r="C788">
        <f>PNL!C788</f>
        <v/>
      </c>
      <c r="D788">
        <f>PNL!D788</f>
        <v/>
      </c>
      <c r="E788">
        <f>IF(AND(C788="2027",OR(D788="V01",D788="V02",D788="V03")),1,0)</f>
        <v/>
      </c>
      <c r="F788">
        <f>IF(E788=1,SUMIFS(Compta!$F$2:$F$675,Compta!$A$2:$A$675,A788,Compta!$B$2:$B$675,B788,Compta!$C$2:$C$675,"2026"),0)</f>
        <v/>
      </c>
      <c r="G788">
        <f>IF(D788="V01",cad!$I$21,IF(D788="V02",cad!$J$21,cad!$K$21))</f>
        <v/>
      </c>
      <c r="H788">
        <f>IF(D788="V01",cad!$I$22,IF(D788="V02",cad!$J$22,cad!$K$22))</f>
        <v/>
      </c>
      <c r="I788">
        <f>IF(D788="V01",cad!$I$27,IF(D788="V02",cad!$J$27,cad!$K$27))</f>
        <v/>
      </c>
      <c r="J788">
        <f>IF(D788="V01",cad!$I$28,IF(D788="V02",cad!$J$28,cad!$K$28))</f>
        <v/>
      </c>
      <c r="K788">
        <f>IF(D788="V01",cad!$I$29,IF(D788="V02",cad!$J$29,cad!$K$29))</f>
        <v/>
      </c>
      <c r="L788">
        <f>IF(D788="V01",cad!$I$30,IF(D788="V02",cad!$J$30,cad!$K$30))</f>
        <v/>
      </c>
      <c r="M788">
        <f>IF(D788="V01",cad!$I$31,IF(D788="V02",cad!$J$31,cad!$K$31))</f>
        <v/>
      </c>
      <c r="N788">
        <f>IF(D788="V01",$R$2,IF(D788="V02",$R$3,$R$4))</f>
        <v/>
      </c>
      <c r="O788">
        <f>IF(OR(B788="7062",B788="706",B788="708"),N788,IF(B788="6231",1+G788,IF(B788="6236",1+H788,IF(OR(B788="621",B788="604",B788="6063"),N788*(1-L788),IF(OR(B788="6411",B788="6413",B788="6414",B788="645"),(1+J788)*(1+K788),IF(OR(B788="613",B788="615",B788="616",B788="6226",B788="625",B788="626",B788="6281"),(1+I788)*(1-L788)*(1+M788),IF(OR(B788="6331",B788="63511",B788="6333"),(1+I788)*(1-L788),IF(B788="6811",1+I788,1))))))))</f>
        <v/>
      </c>
      <c r="P788">
        <f>IF(E788=1,F788*O788,"")</f>
        <v/>
      </c>
    </row>
    <row r="789">
      <c r="A789">
        <f>PNL!A789</f>
        <v/>
      </c>
      <c r="B789">
        <f>PNL!B789</f>
        <v/>
      </c>
      <c r="C789">
        <f>PNL!C789</f>
        <v/>
      </c>
      <c r="D789">
        <f>PNL!D789</f>
        <v/>
      </c>
      <c r="E789">
        <f>IF(AND(C789="2027",OR(D789="V01",D789="V02",D789="V03")),1,0)</f>
        <v/>
      </c>
      <c r="F789">
        <f>IF(E789=1,SUMIFS(Compta!$F$2:$F$675,Compta!$A$2:$A$675,A789,Compta!$B$2:$B$675,B789,Compta!$C$2:$C$675,"2026"),0)</f>
        <v/>
      </c>
      <c r="G789">
        <f>IF(D789="V01",cad!$I$21,IF(D789="V02",cad!$J$21,cad!$K$21))</f>
        <v/>
      </c>
      <c r="H789">
        <f>IF(D789="V01",cad!$I$22,IF(D789="V02",cad!$J$22,cad!$K$22))</f>
        <v/>
      </c>
      <c r="I789">
        <f>IF(D789="V01",cad!$I$27,IF(D789="V02",cad!$J$27,cad!$K$27))</f>
        <v/>
      </c>
      <c r="J789">
        <f>IF(D789="V01",cad!$I$28,IF(D789="V02",cad!$J$28,cad!$K$28))</f>
        <v/>
      </c>
      <c r="K789">
        <f>IF(D789="V01",cad!$I$29,IF(D789="V02",cad!$J$29,cad!$K$29))</f>
        <v/>
      </c>
      <c r="L789">
        <f>IF(D789="V01",cad!$I$30,IF(D789="V02",cad!$J$30,cad!$K$30))</f>
        <v/>
      </c>
      <c r="M789">
        <f>IF(D789="V01",cad!$I$31,IF(D789="V02",cad!$J$31,cad!$K$31))</f>
        <v/>
      </c>
      <c r="N789">
        <f>IF(D789="V01",$R$2,IF(D789="V02",$R$3,$R$4))</f>
        <v/>
      </c>
      <c r="O789">
        <f>IF(OR(B789="7062",B789="706",B789="708"),N789,IF(B789="6231",1+G789,IF(B789="6236",1+H789,IF(OR(B789="621",B789="604",B789="6063"),N789*(1-L789),IF(OR(B789="6411",B789="6413",B789="6414",B789="645"),(1+J789)*(1+K789),IF(OR(B789="613",B789="615",B789="616",B789="6226",B789="625",B789="626",B789="6281"),(1+I789)*(1-L789)*(1+M789),IF(OR(B789="6331",B789="63511",B789="6333"),(1+I789)*(1-L789),IF(B789="6811",1+I789,1))))))))</f>
        <v/>
      </c>
      <c r="P789">
        <f>IF(E789=1,F789*O789,"")</f>
        <v/>
      </c>
    </row>
    <row r="790">
      <c r="A790">
        <f>PNL!A790</f>
        <v/>
      </c>
      <c r="B790">
        <f>PNL!B790</f>
        <v/>
      </c>
      <c r="C790">
        <f>PNL!C790</f>
        <v/>
      </c>
      <c r="D790">
        <f>PNL!D790</f>
        <v/>
      </c>
      <c r="E790">
        <f>IF(AND(C790="2027",OR(D790="V01",D790="V02",D790="V03")),1,0)</f>
        <v/>
      </c>
      <c r="F790">
        <f>IF(E790=1,SUMIFS(Compta!$F$2:$F$675,Compta!$A$2:$A$675,A790,Compta!$B$2:$B$675,B790,Compta!$C$2:$C$675,"2026"),0)</f>
        <v/>
      </c>
      <c r="G790">
        <f>IF(D790="V01",cad!$I$21,IF(D790="V02",cad!$J$21,cad!$K$21))</f>
        <v/>
      </c>
      <c r="H790">
        <f>IF(D790="V01",cad!$I$22,IF(D790="V02",cad!$J$22,cad!$K$22))</f>
        <v/>
      </c>
      <c r="I790">
        <f>IF(D790="V01",cad!$I$27,IF(D790="V02",cad!$J$27,cad!$K$27))</f>
        <v/>
      </c>
      <c r="J790">
        <f>IF(D790="V01",cad!$I$28,IF(D790="V02",cad!$J$28,cad!$K$28))</f>
        <v/>
      </c>
      <c r="K790">
        <f>IF(D790="V01",cad!$I$29,IF(D790="V02",cad!$J$29,cad!$K$29))</f>
        <v/>
      </c>
      <c r="L790">
        <f>IF(D790="V01",cad!$I$30,IF(D790="V02",cad!$J$30,cad!$K$30))</f>
        <v/>
      </c>
      <c r="M790">
        <f>IF(D790="V01",cad!$I$31,IF(D790="V02",cad!$J$31,cad!$K$31))</f>
        <v/>
      </c>
      <c r="N790">
        <f>IF(D790="V01",$R$2,IF(D790="V02",$R$3,$R$4))</f>
        <v/>
      </c>
      <c r="O790">
        <f>IF(OR(B790="7062",B790="706",B790="708"),N790,IF(B790="6231",1+G790,IF(B790="6236",1+H790,IF(OR(B790="621",B790="604",B790="6063"),N790*(1-L790),IF(OR(B790="6411",B790="6413",B790="6414",B790="645"),(1+J790)*(1+K790),IF(OR(B790="613",B790="615",B790="616",B790="6226",B790="625",B790="626",B790="6281"),(1+I790)*(1-L790)*(1+M790),IF(OR(B790="6331",B790="63511",B790="6333"),(1+I790)*(1-L790),IF(B790="6811",1+I790,1))))))))</f>
        <v/>
      </c>
      <c r="P790">
        <f>IF(E790=1,F790*O790,"")</f>
        <v/>
      </c>
    </row>
    <row r="791">
      <c r="A791">
        <f>PNL!A791</f>
        <v/>
      </c>
      <c r="B791">
        <f>PNL!B791</f>
        <v/>
      </c>
      <c r="C791">
        <f>PNL!C791</f>
        <v/>
      </c>
      <c r="D791">
        <f>PNL!D791</f>
        <v/>
      </c>
      <c r="E791">
        <f>IF(AND(C791="2027",OR(D791="V01",D791="V02",D791="V03")),1,0)</f>
        <v/>
      </c>
      <c r="F791">
        <f>IF(E791=1,SUMIFS(Compta!$F$2:$F$675,Compta!$A$2:$A$675,A791,Compta!$B$2:$B$675,B791,Compta!$C$2:$C$675,"2026"),0)</f>
        <v/>
      </c>
      <c r="G791">
        <f>IF(D791="V01",cad!$I$21,IF(D791="V02",cad!$J$21,cad!$K$21))</f>
        <v/>
      </c>
      <c r="H791">
        <f>IF(D791="V01",cad!$I$22,IF(D791="V02",cad!$J$22,cad!$K$22))</f>
        <v/>
      </c>
      <c r="I791">
        <f>IF(D791="V01",cad!$I$27,IF(D791="V02",cad!$J$27,cad!$K$27))</f>
        <v/>
      </c>
      <c r="J791">
        <f>IF(D791="V01",cad!$I$28,IF(D791="V02",cad!$J$28,cad!$K$28))</f>
        <v/>
      </c>
      <c r="K791">
        <f>IF(D791="V01",cad!$I$29,IF(D791="V02",cad!$J$29,cad!$K$29))</f>
        <v/>
      </c>
      <c r="L791">
        <f>IF(D791="V01",cad!$I$30,IF(D791="V02",cad!$J$30,cad!$K$30))</f>
        <v/>
      </c>
      <c r="M791">
        <f>IF(D791="V01",cad!$I$31,IF(D791="V02",cad!$J$31,cad!$K$31))</f>
        <v/>
      </c>
      <c r="N791">
        <f>IF(D791="V01",$R$2,IF(D791="V02",$R$3,$R$4))</f>
        <v/>
      </c>
      <c r="O791">
        <f>IF(OR(B791="7062",B791="706",B791="708"),N791,IF(B791="6231",1+G791,IF(B791="6236",1+H791,IF(OR(B791="621",B791="604",B791="6063"),N791*(1-L791),IF(OR(B791="6411",B791="6413",B791="6414",B791="645"),(1+J791)*(1+K791),IF(OR(B791="613",B791="615",B791="616",B791="6226",B791="625",B791="626",B791="6281"),(1+I791)*(1-L791)*(1+M791),IF(OR(B791="6331",B791="63511",B791="6333"),(1+I791)*(1-L791),IF(B791="6811",1+I791,1))))))))</f>
        <v/>
      </c>
      <c r="P791">
        <f>IF(E791=1,F791*O791,"")</f>
        <v/>
      </c>
    </row>
    <row r="792">
      <c r="A792">
        <f>PNL!A792</f>
        <v/>
      </c>
      <c r="B792">
        <f>PNL!B792</f>
        <v/>
      </c>
      <c r="C792">
        <f>PNL!C792</f>
        <v/>
      </c>
      <c r="D792">
        <f>PNL!D792</f>
        <v/>
      </c>
      <c r="E792">
        <f>IF(AND(C792="2027",OR(D792="V01",D792="V02",D792="V03")),1,0)</f>
        <v/>
      </c>
      <c r="F792">
        <f>IF(E792=1,SUMIFS(Compta!$F$2:$F$675,Compta!$A$2:$A$675,A792,Compta!$B$2:$B$675,B792,Compta!$C$2:$C$675,"2026"),0)</f>
        <v/>
      </c>
      <c r="G792">
        <f>IF(D792="V01",cad!$I$21,IF(D792="V02",cad!$J$21,cad!$K$21))</f>
        <v/>
      </c>
      <c r="H792">
        <f>IF(D792="V01",cad!$I$22,IF(D792="V02",cad!$J$22,cad!$K$22))</f>
        <v/>
      </c>
      <c r="I792">
        <f>IF(D792="V01",cad!$I$27,IF(D792="V02",cad!$J$27,cad!$K$27))</f>
        <v/>
      </c>
      <c r="J792">
        <f>IF(D792="V01",cad!$I$28,IF(D792="V02",cad!$J$28,cad!$K$28))</f>
        <v/>
      </c>
      <c r="K792">
        <f>IF(D792="V01",cad!$I$29,IF(D792="V02",cad!$J$29,cad!$K$29))</f>
        <v/>
      </c>
      <c r="L792">
        <f>IF(D792="V01",cad!$I$30,IF(D792="V02",cad!$J$30,cad!$K$30))</f>
        <v/>
      </c>
      <c r="M792">
        <f>IF(D792="V01",cad!$I$31,IF(D792="V02",cad!$J$31,cad!$K$31))</f>
        <v/>
      </c>
      <c r="N792">
        <f>IF(D792="V01",$R$2,IF(D792="V02",$R$3,$R$4))</f>
        <v/>
      </c>
      <c r="O792">
        <f>IF(OR(B792="7062",B792="706",B792="708"),N792,IF(B792="6231",1+G792,IF(B792="6236",1+H792,IF(OR(B792="621",B792="604",B792="6063"),N792*(1-L792),IF(OR(B792="6411",B792="6413",B792="6414",B792="645"),(1+J792)*(1+K792),IF(OR(B792="613",B792="615",B792="616",B792="6226",B792="625",B792="626",B792="6281"),(1+I792)*(1-L792)*(1+M792),IF(OR(B792="6331",B792="63511",B792="6333"),(1+I792)*(1-L792),IF(B792="6811",1+I792,1))))))))</f>
        <v/>
      </c>
      <c r="P792">
        <f>IF(E792=1,F792*O792,"")</f>
        <v/>
      </c>
    </row>
    <row r="793">
      <c r="A793">
        <f>PNL!A793</f>
        <v/>
      </c>
      <c r="B793">
        <f>PNL!B793</f>
        <v/>
      </c>
      <c r="C793">
        <f>PNL!C793</f>
        <v/>
      </c>
      <c r="D793">
        <f>PNL!D793</f>
        <v/>
      </c>
      <c r="E793">
        <f>IF(AND(C793="2027",OR(D793="V01",D793="V02",D793="V03")),1,0)</f>
        <v/>
      </c>
      <c r="F793">
        <f>IF(E793=1,SUMIFS(Compta!$F$2:$F$675,Compta!$A$2:$A$675,A793,Compta!$B$2:$B$675,B793,Compta!$C$2:$C$675,"2026"),0)</f>
        <v/>
      </c>
      <c r="G793">
        <f>IF(D793="V01",cad!$I$21,IF(D793="V02",cad!$J$21,cad!$K$21))</f>
        <v/>
      </c>
      <c r="H793">
        <f>IF(D793="V01",cad!$I$22,IF(D793="V02",cad!$J$22,cad!$K$22))</f>
        <v/>
      </c>
      <c r="I793">
        <f>IF(D793="V01",cad!$I$27,IF(D793="V02",cad!$J$27,cad!$K$27))</f>
        <v/>
      </c>
      <c r="J793">
        <f>IF(D793="V01",cad!$I$28,IF(D793="V02",cad!$J$28,cad!$K$28))</f>
        <v/>
      </c>
      <c r="K793">
        <f>IF(D793="V01",cad!$I$29,IF(D793="V02",cad!$J$29,cad!$K$29))</f>
        <v/>
      </c>
      <c r="L793">
        <f>IF(D793="V01",cad!$I$30,IF(D793="V02",cad!$J$30,cad!$K$30))</f>
        <v/>
      </c>
      <c r="M793">
        <f>IF(D793="V01",cad!$I$31,IF(D793="V02",cad!$J$31,cad!$K$31))</f>
        <v/>
      </c>
      <c r="N793">
        <f>IF(D793="V01",$R$2,IF(D793="V02",$R$3,$R$4))</f>
        <v/>
      </c>
      <c r="O793">
        <f>IF(OR(B793="7062",B793="706",B793="708"),N793,IF(B793="6231",1+G793,IF(B793="6236",1+H793,IF(OR(B793="621",B793="604",B793="6063"),N793*(1-L793),IF(OR(B793="6411",B793="6413",B793="6414",B793="645"),(1+J793)*(1+K793),IF(OR(B793="613",B793="615",B793="616",B793="6226",B793="625",B793="626",B793="6281"),(1+I793)*(1-L793)*(1+M793),IF(OR(B793="6331",B793="63511",B793="6333"),(1+I793)*(1-L793),IF(B793="6811",1+I793,1))))))))</f>
        <v/>
      </c>
      <c r="P793">
        <f>IF(E793=1,F793*O793,"")</f>
        <v/>
      </c>
    </row>
    <row r="794">
      <c r="A794">
        <f>PNL!A794</f>
        <v/>
      </c>
      <c r="B794">
        <f>PNL!B794</f>
        <v/>
      </c>
      <c r="C794">
        <f>PNL!C794</f>
        <v/>
      </c>
      <c r="D794">
        <f>PNL!D794</f>
        <v/>
      </c>
      <c r="E794">
        <f>IF(AND(C794="2027",OR(D794="V01",D794="V02",D794="V03")),1,0)</f>
        <v/>
      </c>
      <c r="F794">
        <f>IF(E794=1,SUMIFS(Compta!$F$2:$F$675,Compta!$A$2:$A$675,A794,Compta!$B$2:$B$675,B794,Compta!$C$2:$C$675,"2026"),0)</f>
        <v/>
      </c>
      <c r="G794">
        <f>IF(D794="V01",cad!$I$21,IF(D794="V02",cad!$J$21,cad!$K$21))</f>
        <v/>
      </c>
      <c r="H794">
        <f>IF(D794="V01",cad!$I$22,IF(D794="V02",cad!$J$22,cad!$K$22))</f>
        <v/>
      </c>
      <c r="I794">
        <f>IF(D794="V01",cad!$I$27,IF(D794="V02",cad!$J$27,cad!$K$27))</f>
        <v/>
      </c>
      <c r="J794">
        <f>IF(D794="V01",cad!$I$28,IF(D794="V02",cad!$J$28,cad!$K$28))</f>
        <v/>
      </c>
      <c r="K794">
        <f>IF(D794="V01",cad!$I$29,IF(D794="V02",cad!$J$29,cad!$K$29))</f>
        <v/>
      </c>
      <c r="L794">
        <f>IF(D794="V01",cad!$I$30,IF(D794="V02",cad!$J$30,cad!$K$30))</f>
        <v/>
      </c>
      <c r="M794">
        <f>IF(D794="V01",cad!$I$31,IF(D794="V02",cad!$J$31,cad!$K$31))</f>
        <v/>
      </c>
      <c r="N794">
        <f>IF(D794="V01",$R$2,IF(D794="V02",$R$3,$R$4))</f>
        <v/>
      </c>
      <c r="O794">
        <f>IF(OR(B794="7062",B794="706",B794="708"),N794,IF(B794="6231",1+G794,IF(B794="6236",1+H794,IF(OR(B794="621",B794="604",B794="6063"),N794*(1-L794),IF(OR(B794="6411",B794="6413",B794="6414",B794="645"),(1+J794)*(1+K794),IF(OR(B794="613",B794="615",B794="616",B794="6226",B794="625",B794="626",B794="6281"),(1+I794)*(1-L794)*(1+M794),IF(OR(B794="6331",B794="63511",B794="6333"),(1+I794)*(1-L794),IF(B794="6811",1+I794,1))))))))</f>
        <v/>
      </c>
      <c r="P794">
        <f>IF(E794=1,F794*O794,"")</f>
        <v/>
      </c>
    </row>
    <row r="795">
      <c r="A795">
        <f>PNL!A795</f>
        <v/>
      </c>
      <c r="B795">
        <f>PNL!B795</f>
        <v/>
      </c>
      <c r="C795">
        <f>PNL!C795</f>
        <v/>
      </c>
      <c r="D795">
        <f>PNL!D795</f>
        <v/>
      </c>
      <c r="E795">
        <f>IF(AND(C795="2027",OR(D795="V01",D795="V02",D795="V03")),1,0)</f>
        <v/>
      </c>
      <c r="F795">
        <f>IF(E795=1,SUMIFS(Compta!$F$2:$F$675,Compta!$A$2:$A$675,A795,Compta!$B$2:$B$675,B795,Compta!$C$2:$C$675,"2026"),0)</f>
        <v/>
      </c>
      <c r="G795">
        <f>IF(D795="V01",cad!$I$21,IF(D795="V02",cad!$J$21,cad!$K$21))</f>
        <v/>
      </c>
      <c r="H795">
        <f>IF(D795="V01",cad!$I$22,IF(D795="V02",cad!$J$22,cad!$K$22))</f>
        <v/>
      </c>
      <c r="I795">
        <f>IF(D795="V01",cad!$I$27,IF(D795="V02",cad!$J$27,cad!$K$27))</f>
        <v/>
      </c>
      <c r="J795">
        <f>IF(D795="V01",cad!$I$28,IF(D795="V02",cad!$J$28,cad!$K$28))</f>
        <v/>
      </c>
      <c r="K795">
        <f>IF(D795="V01",cad!$I$29,IF(D795="V02",cad!$J$29,cad!$K$29))</f>
        <v/>
      </c>
      <c r="L795">
        <f>IF(D795="V01",cad!$I$30,IF(D795="V02",cad!$J$30,cad!$K$30))</f>
        <v/>
      </c>
      <c r="M795">
        <f>IF(D795="V01",cad!$I$31,IF(D795="V02",cad!$J$31,cad!$K$31))</f>
        <v/>
      </c>
      <c r="N795">
        <f>IF(D795="V01",$R$2,IF(D795="V02",$R$3,$R$4))</f>
        <v/>
      </c>
      <c r="O795">
        <f>IF(OR(B795="7062",B795="706",B795="708"),N795,IF(B795="6231",1+G795,IF(B795="6236",1+H795,IF(OR(B795="621",B795="604",B795="6063"),N795*(1-L795),IF(OR(B795="6411",B795="6413",B795="6414",B795="645"),(1+J795)*(1+K795),IF(OR(B795="613",B795="615",B795="616",B795="6226",B795="625",B795="626",B795="6281"),(1+I795)*(1-L795)*(1+M795),IF(OR(B795="6331",B795="63511",B795="6333"),(1+I795)*(1-L795),IF(B795="6811",1+I795,1))))))))</f>
        <v/>
      </c>
      <c r="P795">
        <f>IF(E795=1,F795*O795,"")</f>
        <v/>
      </c>
    </row>
    <row r="796">
      <c r="A796">
        <f>PNL!A796</f>
        <v/>
      </c>
      <c r="B796">
        <f>PNL!B796</f>
        <v/>
      </c>
      <c r="C796">
        <f>PNL!C796</f>
        <v/>
      </c>
      <c r="D796">
        <f>PNL!D796</f>
        <v/>
      </c>
      <c r="E796">
        <f>IF(AND(C796="2027",OR(D796="V01",D796="V02",D796="V03")),1,0)</f>
        <v/>
      </c>
      <c r="F796">
        <f>IF(E796=1,SUMIFS(Compta!$F$2:$F$675,Compta!$A$2:$A$675,A796,Compta!$B$2:$B$675,B796,Compta!$C$2:$C$675,"2026"),0)</f>
        <v/>
      </c>
      <c r="G796">
        <f>IF(D796="V01",cad!$I$21,IF(D796="V02",cad!$J$21,cad!$K$21))</f>
        <v/>
      </c>
      <c r="H796">
        <f>IF(D796="V01",cad!$I$22,IF(D796="V02",cad!$J$22,cad!$K$22))</f>
        <v/>
      </c>
      <c r="I796">
        <f>IF(D796="V01",cad!$I$27,IF(D796="V02",cad!$J$27,cad!$K$27))</f>
        <v/>
      </c>
      <c r="J796">
        <f>IF(D796="V01",cad!$I$28,IF(D796="V02",cad!$J$28,cad!$K$28))</f>
        <v/>
      </c>
      <c r="K796">
        <f>IF(D796="V01",cad!$I$29,IF(D796="V02",cad!$J$29,cad!$K$29))</f>
        <v/>
      </c>
      <c r="L796">
        <f>IF(D796="V01",cad!$I$30,IF(D796="V02",cad!$J$30,cad!$K$30))</f>
        <v/>
      </c>
      <c r="M796">
        <f>IF(D796="V01",cad!$I$31,IF(D796="V02",cad!$J$31,cad!$K$31))</f>
        <v/>
      </c>
      <c r="N796">
        <f>IF(D796="V01",$R$2,IF(D796="V02",$R$3,$R$4))</f>
        <v/>
      </c>
      <c r="O796">
        <f>IF(OR(B796="7062",B796="706",B796="708"),N796,IF(B796="6231",1+G796,IF(B796="6236",1+H796,IF(OR(B796="621",B796="604",B796="6063"),N796*(1-L796),IF(OR(B796="6411",B796="6413",B796="6414",B796="645"),(1+J796)*(1+K796),IF(OR(B796="613",B796="615",B796="616",B796="6226",B796="625",B796="626",B796="6281"),(1+I796)*(1-L796)*(1+M796),IF(OR(B796="6331",B796="63511",B796="6333"),(1+I796)*(1-L796),IF(B796="6811",1+I796,1))))))))</f>
        <v/>
      </c>
      <c r="P796">
        <f>IF(E796=1,F796*O796,"")</f>
        <v/>
      </c>
    </row>
    <row r="797">
      <c r="A797">
        <f>PNL!A797</f>
        <v/>
      </c>
      <c r="B797">
        <f>PNL!B797</f>
        <v/>
      </c>
      <c r="C797">
        <f>PNL!C797</f>
        <v/>
      </c>
      <c r="D797">
        <f>PNL!D797</f>
        <v/>
      </c>
      <c r="E797">
        <f>IF(AND(C797="2027",OR(D797="V01",D797="V02",D797="V03")),1,0)</f>
        <v/>
      </c>
      <c r="F797">
        <f>IF(E797=1,SUMIFS(Compta!$F$2:$F$675,Compta!$A$2:$A$675,A797,Compta!$B$2:$B$675,B797,Compta!$C$2:$C$675,"2026"),0)</f>
        <v/>
      </c>
      <c r="G797">
        <f>IF(D797="V01",cad!$I$21,IF(D797="V02",cad!$J$21,cad!$K$21))</f>
        <v/>
      </c>
      <c r="H797">
        <f>IF(D797="V01",cad!$I$22,IF(D797="V02",cad!$J$22,cad!$K$22))</f>
        <v/>
      </c>
      <c r="I797">
        <f>IF(D797="V01",cad!$I$27,IF(D797="V02",cad!$J$27,cad!$K$27))</f>
        <v/>
      </c>
      <c r="J797">
        <f>IF(D797="V01",cad!$I$28,IF(D797="V02",cad!$J$28,cad!$K$28))</f>
        <v/>
      </c>
      <c r="K797">
        <f>IF(D797="V01",cad!$I$29,IF(D797="V02",cad!$J$29,cad!$K$29))</f>
        <v/>
      </c>
      <c r="L797">
        <f>IF(D797="V01",cad!$I$30,IF(D797="V02",cad!$J$30,cad!$K$30))</f>
        <v/>
      </c>
      <c r="M797">
        <f>IF(D797="V01",cad!$I$31,IF(D797="V02",cad!$J$31,cad!$K$31))</f>
        <v/>
      </c>
      <c r="N797">
        <f>IF(D797="V01",$R$2,IF(D797="V02",$R$3,$R$4))</f>
        <v/>
      </c>
      <c r="O797">
        <f>IF(OR(B797="7062",B797="706",B797="708"),N797,IF(B797="6231",1+G797,IF(B797="6236",1+H797,IF(OR(B797="621",B797="604",B797="6063"),N797*(1-L797),IF(OR(B797="6411",B797="6413",B797="6414",B797="645"),(1+J797)*(1+K797),IF(OR(B797="613",B797="615",B797="616",B797="6226",B797="625",B797="626",B797="6281"),(1+I797)*(1-L797)*(1+M797),IF(OR(B797="6331",B797="63511",B797="6333"),(1+I797)*(1-L797),IF(B797="6811",1+I797,1))))))))</f>
        <v/>
      </c>
      <c r="P797">
        <f>IF(E797=1,F797*O797,"")</f>
        <v/>
      </c>
    </row>
    <row r="798">
      <c r="A798">
        <f>PNL!A798</f>
        <v/>
      </c>
      <c r="B798">
        <f>PNL!B798</f>
        <v/>
      </c>
      <c r="C798">
        <f>PNL!C798</f>
        <v/>
      </c>
      <c r="D798">
        <f>PNL!D798</f>
        <v/>
      </c>
      <c r="E798">
        <f>IF(AND(C798="2027",OR(D798="V01",D798="V02",D798="V03")),1,0)</f>
        <v/>
      </c>
      <c r="F798">
        <f>IF(E798=1,SUMIFS(Compta!$F$2:$F$675,Compta!$A$2:$A$675,A798,Compta!$B$2:$B$675,B798,Compta!$C$2:$C$675,"2026"),0)</f>
        <v/>
      </c>
      <c r="G798">
        <f>IF(D798="V01",cad!$I$21,IF(D798="V02",cad!$J$21,cad!$K$21))</f>
        <v/>
      </c>
      <c r="H798">
        <f>IF(D798="V01",cad!$I$22,IF(D798="V02",cad!$J$22,cad!$K$22))</f>
        <v/>
      </c>
      <c r="I798">
        <f>IF(D798="V01",cad!$I$27,IF(D798="V02",cad!$J$27,cad!$K$27))</f>
        <v/>
      </c>
      <c r="J798">
        <f>IF(D798="V01",cad!$I$28,IF(D798="V02",cad!$J$28,cad!$K$28))</f>
        <v/>
      </c>
      <c r="K798">
        <f>IF(D798="V01",cad!$I$29,IF(D798="V02",cad!$J$29,cad!$K$29))</f>
        <v/>
      </c>
      <c r="L798">
        <f>IF(D798="V01",cad!$I$30,IF(D798="V02",cad!$J$30,cad!$K$30))</f>
        <v/>
      </c>
      <c r="M798">
        <f>IF(D798="V01",cad!$I$31,IF(D798="V02",cad!$J$31,cad!$K$31))</f>
        <v/>
      </c>
      <c r="N798">
        <f>IF(D798="V01",$R$2,IF(D798="V02",$R$3,$R$4))</f>
        <v/>
      </c>
      <c r="O798">
        <f>IF(OR(B798="7062",B798="706",B798="708"),N798,IF(B798="6231",1+G798,IF(B798="6236",1+H798,IF(OR(B798="621",B798="604",B798="6063"),N798*(1-L798),IF(OR(B798="6411",B798="6413",B798="6414",B798="645"),(1+J798)*(1+K798),IF(OR(B798="613",B798="615",B798="616",B798="6226",B798="625",B798="626",B798="6281"),(1+I798)*(1-L798)*(1+M798),IF(OR(B798="6331",B798="63511",B798="6333"),(1+I798)*(1-L798),IF(B798="6811",1+I798,1))))))))</f>
        <v/>
      </c>
      <c r="P798">
        <f>IF(E798=1,F798*O798,"")</f>
        <v/>
      </c>
    </row>
    <row r="799">
      <c r="A799">
        <f>PNL!A799</f>
        <v/>
      </c>
      <c r="B799">
        <f>PNL!B799</f>
        <v/>
      </c>
      <c r="C799">
        <f>PNL!C799</f>
        <v/>
      </c>
      <c r="D799">
        <f>PNL!D799</f>
        <v/>
      </c>
      <c r="E799">
        <f>IF(AND(C799="2027",OR(D799="V01",D799="V02",D799="V03")),1,0)</f>
        <v/>
      </c>
      <c r="F799">
        <f>IF(E799=1,SUMIFS(Compta!$F$2:$F$675,Compta!$A$2:$A$675,A799,Compta!$B$2:$B$675,B799,Compta!$C$2:$C$675,"2026"),0)</f>
        <v/>
      </c>
      <c r="G799">
        <f>IF(D799="V01",cad!$I$21,IF(D799="V02",cad!$J$21,cad!$K$21))</f>
        <v/>
      </c>
      <c r="H799">
        <f>IF(D799="V01",cad!$I$22,IF(D799="V02",cad!$J$22,cad!$K$22))</f>
        <v/>
      </c>
      <c r="I799">
        <f>IF(D799="V01",cad!$I$27,IF(D799="V02",cad!$J$27,cad!$K$27))</f>
        <v/>
      </c>
      <c r="J799">
        <f>IF(D799="V01",cad!$I$28,IF(D799="V02",cad!$J$28,cad!$K$28))</f>
        <v/>
      </c>
      <c r="K799">
        <f>IF(D799="V01",cad!$I$29,IF(D799="V02",cad!$J$29,cad!$K$29))</f>
        <v/>
      </c>
      <c r="L799">
        <f>IF(D799="V01",cad!$I$30,IF(D799="V02",cad!$J$30,cad!$K$30))</f>
        <v/>
      </c>
      <c r="M799">
        <f>IF(D799="V01",cad!$I$31,IF(D799="V02",cad!$J$31,cad!$K$31))</f>
        <v/>
      </c>
      <c r="N799">
        <f>IF(D799="V01",$R$2,IF(D799="V02",$R$3,$R$4))</f>
        <v/>
      </c>
      <c r="O799">
        <f>IF(OR(B799="7062",B799="706",B799="708"),N799,IF(B799="6231",1+G799,IF(B799="6236",1+H799,IF(OR(B799="621",B799="604",B799="6063"),N799*(1-L799),IF(OR(B799="6411",B799="6413",B799="6414",B799="645"),(1+J799)*(1+K799),IF(OR(B799="613",B799="615",B799="616",B799="6226",B799="625",B799="626",B799="6281"),(1+I799)*(1-L799)*(1+M799),IF(OR(B799="6331",B799="63511",B799="6333"),(1+I799)*(1-L799),IF(B799="6811",1+I799,1))))))))</f>
        <v/>
      </c>
      <c r="P799">
        <f>IF(E799=1,F799*O799,"")</f>
        <v/>
      </c>
    </row>
    <row r="800">
      <c r="A800">
        <f>PNL!A800</f>
        <v/>
      </c>
      <c r="B800">
        <f>PNL!B800</f>
        <v/>
      </c>
      <c r="C800">
        <f>PNL!C800</f>
        <v/>
      </c>
      <c r="D800">
        <f>PNL!D800</f>
        <v/>
      </c>
      <c r="E800">
        <f>IF(AND(C800="2027",OR(D800="V01",D800="V02",D800="V03")),1,0)</f>
        <v/>
      </c>
      <c r="F800">
        <f>IF(E800=1,SUMIFS(Compta!$F$2:$F$675,Compta!$A$2:$A$675,A800,Compta!$B$2:$B$675,B800,Compta!$C$2:$C$675,"2026"),0)</f>
        <v/>
      </c>
      <c r="G800">
        <f>IF(D800="V01",cad!$I$21,IF(D800="V02",cad!$J$21,cad!$K$21))</f>
        <v/>
      </c>
      <c r="H800">
        <f>IF(D800="V01",cad!$I$22,IF(D800="V02",cad!$J$22,cad!$K$22))</f>
        <v/>
      </c>
      <c r="I800">
        <f>IF(D800="V01",cad!$I$27,IF(D800="V02",cad!$J$27,cad!$K$27))</f>
        <v/>
      </c>
      <c r="J800">
        <f>IF(D800="V01",cad!$I$28,IF(D800="V02",cad!$J$28,cad!$K$28))</f>
        <v/>
      </c>
      <c r="K800">
        <f>IF(D800="V01",cad!$I$29,IF(D800="V02",cad!$J$29,cad!$K$29))</f>
        <v/>
      </c>
      <c r="L800">
        <f>IF(D800="V01",cad!$I$30,IF(D800="V02",cad!$J$30,cad!$K$30))</f>
        <v/>
      </c>
      <c r="M800">
        <f>IF(D800="V01",cad!$I$31,IF(D800="V02",cad!$J$31,cad!$K$31))</f>
        <v/>
      </c>
      <c r="N800">
        <f>IF(D800="V01",$R$2,IF(D800="V02",$R$3,$R$4))</f>
        <v/>
      </c>
      <c r="O800">
        <f>IF(OR(B800="7062",B800="706",B800="708"),N800,IF(B800="6231",1+G800,IF(B800="6236",1+H800,IF(OR(B800="621",B800="604",B800="6063"),N800*(1-L800),IF(OR(B800="6411",B800="6413",B800="6414",B800="645"),(1+J800)*(1+K800),IF(OR(B800="613",B800="615",B800="616",B800="6226",B800="625",B800="626",B800="6281"),(1+I800)*(1-L800)*(1+M800),IF(OR(B800="6331",B800="63511",B800="6333"),(1+I800)*(1-L800),IF(B800="6811",1+I800,1))))))))</f>
        <v/>
      </c>
      <c r="P800">
        <f>IF(E800=1,F800*O800,"")</f>
        <v/>
      </c>
    </row>
    <row r="801">
      <c r="A801">
        <f>PNL!A801</f>
        <v/>
      </c>
      <c r="B801">
        <f>PNL!B801</f>
        <v/>
      </c>
      <c r="C801">
        <f>PNL!C801</f>
        <v/>
      </c>
      <c r="D801">
        <f>PNL!D801</f>
        <v/>
      </c>
      <c r="E801">
        <f>IF(AND(C801="2027",OR(D801="V01",D801="V02",D801="V03")),1,0)</f>
        <v/>
      </c>
      <c r="F801">
        <f>IF(E801=1,SUMIFS(Compta!$F$2:$F$675,Compta!$A$2:$A$675,A801,Compta!$B$2:$B$675,B801,Compta!$C$2:$C$675,"2026"),0)</f>
        <v/>
      </c>
      <c r="G801">
        <f>IF(D801="V01",cad!$I$21,IF(D801="V02",cad!$J$21,cad!$K$21))</f>
        <v/>
      </c>
      <c r="H801">
        <f>IF(D801="V01",cad!$I$22,IF(D801="V02",cad!$J$22,cad!$K$22))</f>
        <v/>
      </c>
      <c r="I801">
        <f>IF(D801="V01",cad!$I$27,IF(D801="V02",cad!$J$27,cad!$K$27))</f>
        <v/>
      </c>
      <c r="J801">
        <f>IF(D801="V01",cad!$I$28,IF(D801="V02",cad!$J$28,cad!$K$28))</f>
        <v/>
      </c>
      <c r="K801">
        <f>IF(D801="V01",cad!$I$29,IF(D801="V02",cad!$J$29,cad!$K$29))</f>
        <v/>
      </c>
      <c r="L801">
        <f>IF(D801="V01",cad!$I$30,IF(D801="V02",cad!$J$30,cad!$K$30))</f>
        <v/>
      </c>
      <c r="M801">
        <f>IF(D801="V01",cad!$I$31,IF(D801="V02",cad!$J$31,cad!$K$31))</f>
        <v/>
      </c>
      <c r="N801">
        <f>IF(D801="V01",$R$2,IF(D801="V02",$R$3,$R$4))</f>
        <v/>
      </c>
      <c r="O801">
        <f>IF(OR(B801="7062",B801="706",B801="708"),N801,IF(B801="6231",1+G801,IF(B801="6236",1+H801,IF(OR(B801="621",B801="604",B801="6063"),N801*(1-L801),IF(OR(B801="6411",B801="6413",B801="6414",B801="645"),(1+J801)*(1+K801),IF(OR(B801="613",B801="615",B801="616",B801="6226",B801="625",B801="626",B801="6281"),(1+I801)*(1-L801)*(1+M801),IF(OR(B801="6331",B801="63511",B801="6333"),(1+I801)*(1-L801),IF(B801="6811",1+I801,1))))))))</f>
        <v/>
      </c>
      <c r="P801">
        <f>IF(E801=1,F801*O801,"")</f>
        <v/>
      </c>
    </row>
    <row r="802">
      <c r="A802">
        <f>PNL!A802</f>
        <v/>
      </c>
      <c r="B802">
        <f>PNL!B802</f>
        <v/>
      </c>
      <c r="C802">
        <f>PNL!C802</f>
        <v/>
      </c>
      <c r="D802">
        <f>PNL!D802</f>
        <v/>
      </c>
      <c r="E802">
        <f>IF(AND(C802="2027",OR(D802="V01",D802="V02",D802="V03")),1,0)</f>
        <v/>
      </c>
      <c r="F802">
        <f>IF(E802=1,SUMIFS(Compta!$F$2:$F$675,Compta!$A$2:$A$675,A802,Compta!$B$2:$B$675,B802,Compta!$C$2:$C$675,"2026"),0)</f>
        <v/>
      </c>
      <c r="G802">
        <f>IF(D802="V01",cad!$I$21,IF(D802="V02",cad!$J$21,cad!$K$21))</f>
        <v/>
      </c>
      <c r="H802">
        <f>IF(D802="V01",cad!$I$22,IF(D802="V02",cad!$J$22,cad!$K$22))</f>
        <v/>
      </c>
      <c r="I802">
        <f>IF(D802="V01",cad!$I$27,IF(D802="V02",cad!$J$27,cad!$K$27))</f>
        <v/>
      </c>
      <c r="J802">
        <f>IF(D802="V01",cad!$I$28,IF(D802="V02",cad!$J$28,cad!$K$28))</f>
        <v/>
      </c>
      <c r="K802">
        <f>IF(D802="V01",cad!$I$29,IF(D802="V02",cad!$J$29,cad!$K$29))</f>
        <v/>
      </c>
      <c r="L802">
        <f>IF(D802="V01",cad!$I$30,IF(D802="V02",cad!$J$30,cad!$K$30))</f>
        <v/>
      </c>
      <c r="M802">
        <f>IF(D802="V01",cad!$I$31,IF(D802="V02",cad!$J$31,cad!$K$31))</f>
        <v/>
      </c>
      <c r="N802">
        <f>IF(D802="V01",$R$2,IF(D802="V02",$R$3,$R$4))</f>
        <v/>
      </c>
      <c r="O802">
        <f>IF(OR(B802="7062",B802="706",B802="708"),N802,IF(B802="6231",1+G802,IF(B802="6236",1+H802,IF(OR(B802="621",B802="604",B802="6063"),N802*(1-L802),IF(OR(B802="6411",B802="6413",B802="6414",B802="645"),(1+J802)*(1+K802),IF(OR(B802="613",B802="615",B802="616",B802="6226",B802="625",B802="626",B802="6281"),(1+I802)*(1-L802)*(1+M802),IF(OR(B802="6331",B802="63511",B802="6333"),(1+I802)*(1-L802),IF(B802="6811",1+I802,1))))))))</f>
        <v/>
      </c>
      <c r="P802">
        <f>IF(E802=1,F802*O802,"")</f>
        <v/>
      </c>
    </row>
    <row r="803">
      <c r="A803">
        <f>PNL!A803</f>
        <v/>
      </c>
      <c r="B803">
        <f>PNL!B803</f>
        <v/>
      </c>
      <c r="C803">
        <f>PNL!C803</f>
        <v/>
      </c>
      <c r="D803">
        <f>PNL!D803</f>
        <v/>
      </c>
      <c r="E803">
        <f>IF(AND(C803="2027",OR(D803="V01",D803="V02",D803="V03")),1,0)</f>
        <v/>
      </c>
      <c r="F803">
        <f>IF(E803=1,SUMIFS(Compta!$F$2:$F$675,Compta!$A$2:$A$675,A803,Compta!$B$2:$B$675,B803,Compta!$C$2:$C$675,"2026"),0)</f>
        <v/>
      </c>
      <c r="G803">
        <f>IF(D803="V01",cad!$I$21,IF(D803="V02",cad!$J$21,cad!$K$21))</f>
        <v/>
      </c>
      <c r="H803">
        <f>IF(D803="V01",cad!$I$22,IF(D803="V02",cad!$J$22,cad!$K$22))</f>
        <v/>
      </c>
      <c r="I803">
        <f>IF(D803="V01",cad!$I$27,IF(D803="V02",cad!$J$27,cad!$K$27))</f>
        <v/>
      </c>
      <c r="J803">
        <f>IF(D803="V01",cad!$I$28,IF(D803="V02",cad!$J$28,cad!$K$28))</f>
        <v/>
      </c>
      <c r="K803">
        <f>IF(D803="V01",cad!$I$29,IF(D803="V02",cad!$J$29,cad!$K$29))</f>
        <v/>
      </c>
      <c r="L803">
        <f>IF(D803="V01",cad!$I$30,IF(D803="V02",cad!$J$30,cad!$K$30))</f>
        <v/>
      </c>
      <c r="M803">
        <f>IF(D803="V01",cad!$I$31,IF(D803="V02",cad!$J$31,cad!$K$31))</f>
        <v/>
      </c>
      <c r="N803">
        <f>IF(D803="V01",$R$2,IF(D803="V02",$R$3,$R$4))</f>
        <v/>
      </c>
      <c r="O803">
        <f>IF(OR(B803="7062",B803="706",B803="708"),N803,IF(B803="6231",1+G803,IF(B803="6236",1+H803,IF(OR(B803="621",B803="604",B803="6063"),N803*(1-L803),IF(OR(B803="6411",B803="6413",B803="6414",B803="645"),(1+J803)*(1+K803),IF(OR(B803="613",B803="615",B803="616",B803="6226",B803="625",B803="626",B803="6281"),(1+I803)*(1-L803)*(1+M803),IF(OR(B803="6331",B803="63511",B803="6333"),(1+I803)*(1-L803),IF(B803="6811",1+I803,1))))))))</f>
        <v/>
      </c>
      <c r="P803">
        <f>IF(E803=1,F803*O803,"")</f>
        <v/>
      </c>
    </row>
    <row r="804">
      <c r="A804">
        <f>PNL!A804</f>
        <v/>
      </c>
      <c r="B804">
        <f>PNL!B804</f>
        <v/>
      </c>
      <c r="C804">
        <f>PNL!C804</f>
        <v/>
      </c>
      <c r="D804">
        <f>PNL!D804</f>
        <v/>
      </c>
      <c r="E804">
        <f>IF(AND(C804="2027",OR(D804="V01",D804="V02",D804="V03")),1,0)</f>
        <v/>
      </c>
      <c r="F804">
        <f>IF(E804=1,SUMIFS(Compta!$F$2:$F$675,Compta!$A$2:$A$675,A804,Compta!$B$2:$B$675,B804,Compta!$C$2:$C$675,"2026"),0)</f>
        <v/>
      </c>
      <c r="G804">
        <f>IF(D804="V01",cad!$I$21,IF(D804="V02",cad!$J$21,cad!$K$21))</f>
        <v/>
      </c>
      <c r="H804">
        <f>IF(D804="V01",cad!$I$22,IF(D804="V02",cad!$J$22,cad!$K$22))</f>
        <v/>
      </c>
      <c r="I804">
        <f>IF(D804="V01",cad!$I$27,IF(D804="V02",cad!$J$27,cad!$K$27))</f>
        <v/>
      </c>
      <c r="J804">
        <f>IF(D804="V01",cad!$I$28,IF(D804="V02",cad!$J$28,cad!$K$28))</f>
        <v/>
      </c>
      <c r="K804">
        <f>IF(D804="V01",cad!$I$29,IF(D804="V02",cad!$J$29,cad!$K$29))</f>
        <v/>
      </c>
      <c r="L804">
        <f>IF(D804="V01",cad!$I$30,IF(D804="V02",cad!$J$30,cad!$K$30))</f>
        <v/>
      </c>
      <c r="M804">
        <f>IF(D804="V01",cad!$I$31,IF(D804="V02",cad!$J$31,cad!$K$31))</f>
        <v/>
      </c>
      <c r="N804">
        <f>IF(D804="V01",$R$2,IF(D804="V02",$R$3,$R$4))</f>
        <v/>
      </c>
      <c r="O804">
        <f>IF(OR(B804="7062",B804="706",B804="708"),N804,IF(B804="6231",1+G804,IF(B804="6236",1+H804,IF(OR(B804="621",B804="604",B804="6063"),N804*(1-L804),IF(OR(B804="6411",B804="6413",B804="6414",B804="645"),(1+J804)*(1+K804),IF(OR(B804="613",B804="615",B804="616",B804="6226",B804="625",B804="626",B804="6281"),(1+I804)*(1-L804)*(1+M804),IF(OR(B804="6331",B804="63511",B804="6333"),(1+I804)*(1-L804),IF(B804="6811",1+I804,1))))))))</f>
        <v/>
      </c>
      <c r="P804">
        <f>IF(E804=1,F804*O804,"")</f>
        <v/>
      </c>
    </row>
    <row r="805">
      <c r="A805">
        <f>PNL!A805</f>
        <v/>
      </c>
      <c r="B805">
        <f>PNL!B805</f>
        <v/>
      </c>
      <c r="C805">
        <f>PNL!C805</f>
        <v/>
      </c>
      <c r="D805">
        <f>PNL!D805</f>
        <v/>
      </c>
      <c r="E805">
        <f>IF(AND(C805="2027",OR(D805="V01",D805="V02",D805="V03")),1,0)</f>
        <v/>
      </c>
      <c r="F805">
        <f>IF(E805=1,SUMIFS(Compta!$F$2:$F$675,Compta!$A$2:$A$675,A805,Compta!$B$2:$B$675,B805,Compta!$C$2:$C$675,"2026"),0)</f>
        <v/>
      </c>
      <c r="G805">
        <f>IF(D805="V01",cad!$I$21,IF(D805="V02",cad!$J$21,cad!$K$21))</f>
        <v/>
      </c>
      <c r="H805">
        <f>IF(D805="V01",cad!$I$22,IF(D805="V02",cad!$J$22,cad!$K$22))</f>
        <v/>
      </c>
      <c r="I805">
        <f>IF(D805="V01",cad!$I$27,IF(D805="V02",cad!$J$27,cad!$K$27))</f>
        <v/>
      </c>
      <c r="J805">
        <f>IF(D805="V01",cad!$I$28,IF(D805="V02",cad!$J$28,cad!$K$28))</f>
        <v/>
      </c>
      <c r="K805">
        <f>IF(D805="V01",cad!$I$29,IF(D805="V02",cad!$J$29,cad!$K$29))</f>
        <v/>
      </c>
      <c r="L805">
        <f>IF(D805="V01",cad!$I$30,IF(D805="V02",cad!$J$30,cad!$K$30))</f>
        <v/>
      </c>
      <c r="M805">
        <f>IF(D805="V01",cad!$I$31,IF(D805="V02",cad!$J$31,cad!$K$31))</f>
        <v/>
      </c>
      <c r="N805">
        <f>IF(D805="V01",$R$2,IF(D805="V02",$R$3,$R$4))</f>
        <v/>
      </c>
      <c r="O805">
        <f>IF(OR(B805="7062",B805="706",B805="708"),N805,IF(B805="6231",1+G805,IF(B805="6236",1+H805,IF(OR(B805="621",B805="604",B805="6063"),N805*(1-L805),IF(OR(B805="6411",B805="6413",B805="6414",B805="645"),(1+J805)*(1+K805),IF(OR(B805="613",B805="615",B805="616",B805="6226",B805="625",B805="626",B805="6281"),(1+I805)*(1-L805)*(1+M805),IF(OR(B805="6331",B805="63511",B805="6333"),(1+I805)*(1-L805),IF(B805="6811",1+I805,1))))))))</f>
        <v/>
      </c>
      <c r="P805">
        <f>IF(E805=1,F805*O805,"")</f>
        <v/>
      </c>
    </row>
    <row r="806">
      <c r="A806">
        <f>PNL!A806</f>
        <v/>
      </c>
      <c r="B806">
        <f>PNL!B806</f>
        <v/>
      </c>
      <c r="C806">
        <f>PNL!C806</f>
        <v/>
      </c>
      <c r="D806">
        <f>PNL!D806</f>
        <v/>
      </c>
      <c r="E806">
        <f>IF(AND(C806="2027",OR(D806="V01",D806="V02",D806="V03")),1,0)</f>
        <v/>
      </c>
      <c r="F806">
        <f>IF(E806=1,SUMIFS(Compta!$F$2:$F$675,Compta!$A$2:$A$675,A806,Compta!$B$2:$B$675,B806,Compta!$C$2:$C$675,"2026"),0)</f>
        <v/>
      </c>
      <c r="G806">
        <f>IF(D806="V01",cad!$I$21,IF(D806="V02",cad!$J$21,cad!$K$21))</f>
        <v/>
      </c>
      <c r="H806">
        <f>IF(D806="V01",cad!$I$22,IF(D806="V02",cad!$J$22,cad!$K$22))</f>
        <v/>
      </c>
      <c r="I806">
        <f>IF(D806="V01",cad!$I$27,IF(D806="V02",cad!$J$27,cad!$K$27))</f>
        <v/>
      </c>
      <c r="J806">
        <f>IF(D806="V01",cad!$I$28,IF(D806="V02",cad!$J$28,cad!$K$28))</f>
        <v/>
      </c>
      <c r="K806">
        <f>IF(D806="V01",cad!$I$29,IF(D806="V02",cad!$J$29,cad!$K$29))</f>
        <v/>
      </c>
      <c r="L806">
        <f>IF(D806="V01",cad!$I$30,IF(D806="V02",cad!$J$30,cad!$K$30))</f>
        <v/>
      </c>
      <c r="M806">
        <f>IF(D806="V01",cad!$I$31,IF(D806="V02",cad!$J$31,cad!$K$31))</f>
        <v/>
      </c>
      <c r="N806">
        <f>IF(D806="V01",$R$2,IF(D806="V02",$R$3,$R$4))</f>
        <v/>
      </c>
      <c r="O806">
        <f>IF(OR(B806="7062",B806="706",B806="708"),N806,IF(B806="6231",1+G806,IF(B806="6236",1+H806,IF(OR(B806="621",B806="604",B806="6063"),N806*(1-L806),IF(OR(B806="6411",B806="6413",B806="6414",B806="645"),(1+J806)*(1+K806),IF(OR(B806="613",B806="615",B806="616",B806="6226",B806="625",B806="626",B806="6281"),(1+I806)*(1-L806)*(1+M806),IF(OR(B806="6331",B806="63511",B806="6333"),(1+I806)*(1-L806),IF(B806="6811",1+I806,1))))))))</f>
        <v/>
      </c>
      <c r="P806">
        <f>IF(E806=1,F806*O806,"")</f>
        <v/>
      </c>
    </row>
    <row r="807">
      <c r="A807">
        <f>PNL!A807</f>
        <v/>
      </c>
      <c r="B807">
        <f>PNL!B807</f>
        <v/>
      </c>
      <c r="C807">
        <f>PNL!C807</f>
        <v/>
      </c>
      <c r="D807">
        <f>PNL!D807</f>
        <v/>
      </c>
      <c r="E807">
        <f>IF(AND(C807="2027",OR(D807="V01",D807="V02",D807="V03")),1,0)</f>
        <v/>
      </c>
      <c r="F807">
        <f>IF(E807=1,SUMIFS(Compta!$F$2:$F$675,Compta!$A$2:$A$675,A807,Compta!$B$2:$B$675,B807,Compta!$C$2:$C$675,"2026"),0)</f>
        <v/>
      </c>
      <c r="G807">
        <f>IF(D807="V01",cad!$I$21,IF(D807="V02",cad!$J$21,cad!$K$21))</f>
        <v/>
      </c>
      <c r="H807">
        <f>IF(D807="V01",cad!$I$22,IF(D807="V02",cad!$J$22,cad!$K$22))</f>
        <v/>
      </c>
      <c r="I807">
        <f>IF(D807="V01",cad!$I$27,IF(D807="V02",cad!$J$27,cad!$K$27))</f>
        <v/>
      </c>
      <c r="J807">
        <f>IF(D807="V01",cad!$I$28,IF(D807="V02",cad!$J$28,cad!$K$28))</f>
        <v/>
      </c>
      <c r="K807">
        <f>IF(D807="V01",cad!$I$29,IF(D807="V02",cad!$J$29,cad!$K$29))</f>
        <v/>
      </c>
      <c r="L807">
        <f>IF(D807="V01",cad!$I$30,IF(D807="V02",cad!$J$30,cad!$K$30))</f>
        <v/>
      </c>
      <c r="M807">
        <f>IF(D807="V01",cad!$I$31,IF(D807="V02",cad!$J$31,cad!$K$31))</f>
        <v/>
      </c>
      <c r="N807">
        <f>IF(D807="V01",$R$2,IF(D807="V02",$R$3,$R$4))</f>
        <v/>
      </c>
      <c r="O807">
        <f>IF(OR(B807="7062",B807="706",B807="708"),N807,IF(B807="6231",1+G807,IF(B807="6236",1+H807,IF(OR(B807="621",B807="604",B807="6063"),N807*(1-L807),IF(OR(B807="6411",B807="6413",B807="6414",B807="645"),(1+J807)*(1+K807),IF(OR(B807="613",B807="615",B807="616",B807="6226",B807="625",B807="626",B807="6281"),(1+I807)*(1-L807)*(1+M807),IF(OR(B807="6331",B807="63511",B807="6333"),(1+I807)*(1-L807),IF(B807="6811",1+I807,1))))))))</f>
        <v/>
      </c>
      <c r="P807">
        <f>IF(E807=1,F807*O807,"")</f>
        <v/>
      </c>
    </row>
    <row r="808">
      <c r="A808">
        <f>PNL!A808</f>
        <v/>
      </c>
      <c r="B808">
        <f>PNL!B808</f>
        <v/>
      </c>
      <c r="C808">
        <f>PNL!C808</f>
        <v/>
      </c>
      <c r="D808">
        <f>PNL!D808</f>
        <v/>
      </c>
      <c r="E808">
        <f>IF(AND(C808="2027",OR(D808="V01",D808="V02",D808="V03")),1,0)</f>
        <v/>
      </c>
      <c r="F808">
        <f>IF(E808=1,SUMIFS(Compta!$F$2:$F$675,Compta!$A$2:$A$675,A808,Compta!$B$2:$B$675,B808,Compta!$C$2:$C$675,"2026"),0)</f>
        <v/>
      </c>
      <c r="G808">
        <f>IF(D808="V01",cad!$I$21,IF(D808="V02",cad!$J$21,cad!$K$21))</f>
        <v/>
      </c>
      <c r="H808">
        <f>IF(D808="V01",cad!$I$22,IF(D808="V02",cad!$J$22,cad!$K$22))</f>
        <v/>
      </c>
      <c r="I808">
        <f>IF(D808="V01",cad!$I$27,IF(D808="V02",cad!$J$27,cad!$K$27))</f>
        <v/>
      </c>
      <c r="J808">
        <f>IF(D808="V01",cad!$I$28,IF(D808="V02",cad!$J$28,cad!$K$28))</f>
        <v/>
      </c>
      <c r="K808">
        <f>IF(D808="V01",cad!$I$29,IF(D808="V02",cad!$J$29,cad!$K$29))</f>
        <v/>
      </c>
      <c r="L808">
        <f>IF(D808="V01",cad!$I$30,IF(D808="V02",cad!$J$30,cad!$K$30))</f>
        <v/>
      </c>
      <c r="M808">
        <f>IF(D808="V01",cad!$I$31,IF(D808="V02",cad!$J$31,cad!$K$31))</f>
        <v/>
      </c>
      <c r="N808">
        <f>IF(D808="V01",$R$2,IF(D808="V02",$R$3,$R$4))</f>
        <v/>
      </c>
      <c r="O808">
        <f>IF(OR(B808="7062",B808="706",B808="708"),N808,IF(B808="6231",1+G808,IF(B808="6236",1+H808,IF(OR(B808="621",B808="604",B808="6063"),N808*(1-L808),IF(OR(B808="6411",B808="6413",B808="6414",B808="645"),(1+J808)*(1+K808),IF(OR(B808="613",B808="615",B808="616",B808="6226",B808="625",B808="626",B808="6281"),(1+I808)*(1-L808)*(1+M808),IF(OR(B808="6331",B808="63511",B808="6333"),(1+I808)*(1-L808),IF(B808="6811",1+I808,1))))))))</f>
        <v/>
      </c>
      <c r="P808">
        <f>IF(E808=1,F808*O808,"")</f>
        <v/>
      </c>
    </row>
    <row r="809">
      <c r="A809">
        <f>PNL!A809</f>
        <v/>
      </c>
      <c r="B809">
        <f>PNL!B809</f>
        <v/>
      </c>
      <c r="C809">
        <f>PNL!C809</f>
        <v/>
      </c>
      <c r="D809">
        <f>PNL!D809</f>
        <v/>
      </c>
      <c r="E809">
        <f>IF(AND(C809="2027",OR(D809="V01",D809="V02",D809="V03")),1,0)</f>
        <v/>
      </c>
      <c r="F809">
        <f>IF(E809=1,SUMIFS(Compta!$F$2:$F$675,Compta!$A$2:$A$675,A809,Compta!$B$2:$B$675,B809,Compta!$C$2:$C$675,"2026"),0)</f>
        <v/>
      </c>
      <c r="G809">
        <f>IF(D809="V01",cad!$I$21,IF(D809="V02",cad!$J$21,cad!$K$21))</f>
        <v/>
      </c>
      <c r="H809">
        <f>IF(D809="V01",cad!$I$22,IF(D809="V02",cad!$J$22,cad!$K$22))</f>
        <v/>
      </c>
      <c r="I809">
        <f>IF(D809="V01",cad!$I$27,IF(D809="V02",cad!$J$27,cad!$K$27))</f>
        <v/>
      </c>
      <c r="J809">
        <f>IF(D809="V01",cad!$I$28,IF(D809="V02",cad!$J$28,cad!$K$28))</f>
        <v/>
      </c>
      <c r="K809">
        <f>IF(D809="V01",cad!$I$29,IF(D809="V02",cad!$J$29,cad!$K$29))</f>
        <v/>
      </c>
      <c r="L809">
        <f>IF(D809="V01",cad!$I$30,IF(D809="V02",cad!$J$30,cad!$K$30))</f>
        <v/>
      </c>
      <c r="M809">
        <f>IF(D809="V01",cad!$I$31,IF(D809="V02",cad!$J$31,cad!$K$31))</f>
        <v/>
      </c>
      <c r="N809">
        <f>IF(D809="V01",$R$2,IF(D809="V02",$R$3,$R$4))</f>
        <v/>
      </c>
      <c r="O809">
        <f>IF(OR(B809="7062",B809="706",B809="708"),N809,IF(B809="6231",1+G809,IF(B809="6236",1+H809,IF(OR(B809="621",B809="604",B809="6063"),N809*(1-L809),IF(OR(B809="6411",B809="6413",B809="6414",B809="645"),(1+J809)*(1+K809),IF(OR(B809="613",B809="615",B809="616",B809="6226",B809="625",B809="626",B809="6281"),(1+I809)*(1-L809)*(1+M809),IF(OR(B809="6331",B809="63511",B809="6333"),(1+I809)*(1-L809),IF(B809="6811",1+I809,1))))))))</f>
        <v/>
      </c>
      <c r="P809">
        <f>IF(E809=1,F809*O809,"")</f>
        <v/>
      </c>
    </row>
    <row r="810">
      <c r="A810">
        <f>PNL!A810</f>
        <v/>
      </c>
      <c r="B810">
        <f>PNL!B810</f>
        <v/>
      </c>
      <c r="C810">
        <f>PNL!C810</f>
        <v/>
      </c>
      <c r="D810">
        <f>PNL!D810</f>
        <v/>
      </c>
      <c r="E810">
        <f>IF(AND(C810="2027",OR(D810="V01",D810="V02",D810="V03")),1,0)</f>
        <v/>
      </c>
      <c r="F810">
        <f>IF(E810=1,SUMIFS(Compta!$F$2:$F$675,Compta!$A$2:$A$675,A810,Compta!$B$2:$B$675,B810,Compta!$C$2:$C$675,"2026"),0)</f>
        <v/>
      </c>
      <c r="G810">
        <f>IF(D810="V01",cad!$I$21,IF(D810="V02",cad!$J$21,cad!$K$21))</f>
        <v/>
      </c>
      <c r="H810">
        <f>IF(D810="V01",cad!$I$22,IF(D810="V02",cad!$J$22,cad!$K$22))</f>
        <v/>
      </c>
      <c r="I810">
        <f>IF(D810="V01",cad!$I$27,IF(D810="V02",cad!$J$27,cad!$K$27))</f>
        <v/>
      </c>
      <c r="J810">
        <f>IF(D810="V01",cad!$I$28,IF(D810="V02",cad!$J$28,cad!$K$28))</f>
        <v/>
      </c>
      <c r="K810">
        <f>IF(D810="V01",cad!$I$29,IF(D810="V02",cad!$J$29,cad!$K$29))</f>
        <v/>
      </c>
      <c r="L810">
        <f>IF(D810="V01",cad!$I$30,IF(D810="V02",cad!$J$30,cad!$K$30))</f>
        <v/>
      </c>
      <c r="M810">
        <f>IF(D810="V01",cad!$I$31,IF(D810="V02",cad!$J$31,cad!$K$31))</f>
        <v/>
      </c>
      <c r="N810">
        <f>IF(D810="V01",$R$2,IF(D810="V02",$R$3,$R$4))</f>
        <v/>
      </c>
      <c r="O810">
        <f>IF(OR(B810="7062",B810="706",B810="708"),N810,IF(B810="6231",1+G810,IF(B810="6236",1+H810,IF(OR(B810="621",B810="604",B810="6063"),N810*(1-L810),IF(OR(B810="6411",B810="6413",B810="6414",B810="645"),(1+J810)*(1+K810),IF(OR(B810="613",B810="615",B810="616",B810="6226",B810="625",B810="626",B810="6281"),(1+I810)*(1-L810)*(1+M810),IF(OR(B810="6331",B810="63511",B810="6333"),(1+I810)*(1-L810),IF(B810="6811",1+I810,1))))))))</f>
        <v/>
      </c>
      <c r="P810">
        <f>IF(E810=1,F810*O810,"")</f>
        <v/>
      </c>
    </row>
    <row r="811">
      <c r="A811">
        <f>PNL!A811</f>
        <v/>
      </c>
      <c r="B811">
        <f>PNL!B811</f>
        <v/>
      </c>
      <c r="C811">
        <f>PNL!C811</f>
        <v/>
      </c>
      <c r="D811">
        <f>PNL!D811</f>
        <v/>
      </c>
      <c r="E811">
        <f>IF(AND(C811="2027",OR(D811="V01",D811="V02",D811="V03")),1,0)</f>
        <v/>
      </c>
      <c r="F811">
        <f>IF(E811=1,SUMIFS(Compta!$F$2:$F$675,Compta!$A$2:$A$675,A811,Compta!$B$2:$B$675,B811,Compta!$C$2:$C$675,"2026"),0)</f>
        <v/>
      </c>
      <c r="G811">
        <f>IF(D811="V01",cad!$I$21,IF(D811="V02",cad!$J$21,cad!$K$21))</f>
        <v/>
      </c>
      <c r="H811">
        <f>IF(D811="V01",cad!$I$22,IF(D811="V02",cad!$J$22,cad!$K$22))</f>
        <v/>
      </c>
      <c r="I811">
        <f>IF(D811="V01",cad!$I$27,IF(D811="V02",cad!$J$27,cad!$K$27))</f>
        <v/>
      </c>
      <c r="J811">
        <f>IF(D811="V01",cad!$I$28,IF(D811="V02",cad!$J$28,cad!$K$28))</f>
        <v/>
      </c>
      <c r="K811">
        <f>IF(D811="V01",cad!$I$29,IF(D811="V02",cad!$J$29,cad!$K$29))</f>
        <v/>
      </c>
      <c r="L811">
        <f>IF(D811="V01",cad!$I$30,IF(D811="V02",cad!$J$30,cad!$K$30))</f>
        <v/>
      </c>
      <c r="M811">
        <f>IF(D811="V01",cad!$I$31,IF(D811="V02",cad!$J$31,cad!$K$31))</f>
        <v/>
      </c>
      <c r="N811">
        <f>IF(D811="V01",$R$2,IF(D811="V02",$R$3,$R$4))</f>
        <v/>
      </c>
      <c r="O811">
        <f>IF(OR(B811="7062",B811="706",B811="708"),N811,IF(B811="6231",1+G811,IF(B811="6236",1+H811,IF(OR(B811="621",B811="604",B811="6063"),N811*(1-L811),IF(OR(B811="6411",B811="6413",B811="6414",B811="645"),(1+J811)*(1+K811),IF(OR(B811="613",B811="615",B811="616",B811="6226",B811="625",B811="626",B811="6281"),(1+I811)*(1-L811)*(1+M811),IF(OR(B811="6331",B811="63511",B811="6333"),(1+I811)*(1-L811),IF(B811="6811",1+I811,1))))))))</f>
        <v/>
      </c>
      <c r="P811">
        <f>IF(E811=1,F811*O811,"")</f>
        <v/>
      </c>
    </row>
    <row r="812">
      <c r="A812">
        <f>PNL!A812</f>
        <v/>
      </c>
      <c r="B812">
        <f>PNL!B812</f>
        <v/>
      </c>
      <c r="C812">
        <f>PNL!C812</f>
        <v/>
      </c>
      <c r="D812">
        <f>PNL!D812</f>
        <v/>
      </c>
      <c r="E812">
        <f>IF(AND(C812="2027",OR(D812="V01",D812="V02",D812="V03")),1,0)</f>
        <v/>
      </c>
      <c r="F812">
        <f>IF(E812=1,SUMIFS(Compta!$F$2:$F$675,Compta!$A$2:$A$675,A812,Compta!$B$2:$B$675,B812,Compta!$C$2:$C$675,"2026"),0)</f>
        <v/>
      </c>
      <c r="G812">
        <f>IF(D812="V01",cad!$I$21,IF(D812="V02",cad!$J$21,cad!$K$21))</f>
        <v/>
      </c>
      <c r="H812">
        <f>IF(D812="V01",cad!$I$22,IF(D812="V02",cad!$J$22,cad!$K$22))</f>
        <v/>
      </c>
      <c r="I812">
        <f>IF(D812="V01",cad!$I$27,IF(D812="V02",cad!$J$27,cad!$K$27))</f>
        <v/>
      </c>
      <c r="J812">
        <f>IF(D812="V01",cad!$I$28,IF(D812="V02",cad!$J$28,cad!$K$28))</f>
        <v/>
      </c>
      <c r="K812">
        <f>IF(D812="V01",cad!$I$29,IF(D812="V02",cad!$J$29,cad!$K$29))</f>
        <v/>
      </c>
      <c r="L812">
        <f>IF(D812="V01",cad!$I$30,IF(D812="V02",cad!$J$30,cad!$K$30))</f>
        <v/>
      </c>
      <c r="M812">
        <f>IF(D812="V01",cad!$I$31,IF(D812="V02",cad!$J$31,cad!$K$31))</f>
        <v/>
      </c>
      <c r="N812">
        <f>IF(D812="V01",$R$2,IF(D812="V02",$R$3,$R$4))</f>
        <v/>
      </c>
      <c r="O812">
        <f>IF(OR(B812="7062",B812="706",B812="708"),N812,IF(B812="6231",1+G812,IF(B812="6236",1+H812,IF(OR(B812="621",B812="604",B812="6063"),N812*(1-L812),IF(OR(B812="6411",B812="6413",B812="6414",B812="645"),(1+J812)*(1+K812),IF(OR(B812="613",B812="615",B812="616",B812="6226",B812="625",B812="626",B812="6281"),(1+I812)*(1-L812)*(1+M812),IF(OR(B812="6331",B812="63511",B812="6333"),(1+I812)*(1-L812),IF(B812="6811",1+I812,1))))))))</f>
        <v/>
      </c>
      <c r="P812">
        <f>IF(E812=1,F812*O812,"")</f>
        <v/>
      </c>
    </row>
    <row r="813">
      <c r="A813">
        <f>PNL!A813</f>
        <v/>
      </c>
      <c r="B813">
        <f>PNL!B813</f>
        <v/>
      </c>
      <c r="C813">
        <f>PNL!C813</f>
        <v/>
      </c>
      <c r="D813">
        <f>PNL!D813</f>
        <v/>
      </c>
      <c r="E813">
        <f>IF(AND(C813="2027",OR(D813="V01",D813="V02",D813="V03")),1,0)</f>
        <v/>
      </c>
      <c r="F813">
        <f>IF(E813=1,SUMIFS(Compta!$F$2:$F$675,Compta!$A$2:$A$675,A813,Compta!$B$2:$B$675,B813,Compta!$C$2:$C$675,"2026"),0)</f>
        <v/>
      </c>
      <c r="G813">
        <f>IF(D813="V01",cad!$I$21,IF(D813="V02",cad!$J$21,cad!$K$21))</f>
        <v/>
      </c>
      <c r="H813">
        <f>IF(D813="V01",cad!$I$22,IF(D813="V02",cad!$J$22,cad!$K$22))</f>
        <v/>
      </c>
      <c r="I813">
        <f>IF(D813="V01",cad!$I$27,IF(D813="V02",cad!$J$27,cad!$K$27))</f>
        <v/>
      </c>
      <c r="J813">
        <f>IF(D813="V01",cad!$I$28,IF(D813="V02",cad!$J$28,cad!$K$28))</f>
        <v/>
      </c>
      <c r="K813">
        <f>IF(D813="V01",cad!$I$29,IF(D813="V02",cad!$J$29,cad!$K$29))</f>
        <v/>
      </c>
      <c r="L813">
        <f>IF(D813="V01",cad!$I$30,IF(D813="V02",cad!$J$30,cad!$K$30))</f>
        <v/>
      </c>
      <c r="M813">
        <f>IF(D813="V01",cad!$I$31,IF(D813="V02",cad!$J$31,cad!$K$31))</f>
        <v/>
      </c>
      <c r="N813">
        <f>IF(D813="V01",$R$2,IF(D813="V02",$R$3,$R$4))</f>
        <v/>
      </c>
      <c r="O813">
        <f>IF(OR(B813="7062",B813="706",B813="708"),N813,IF(B813="6231",1+G813,IF(B813="6236",1+H813,IF(OR(B813="621",B813="604",B813="6063"),N813*(1-L813),IF(OR(B813="6411",B813="6413",B813="6414",B813="645"),(1+J813)*(1+K813),IF(OR(B813="613",B813="615",B813="616",B813="6226",B813="625",B813="626",B813="6281"),(1+I813)*(1-L813)*(1+M813),IF(OR(B813="6331",B813="63511",B813="6333"),(1+I813)*(1-L813),IF(B813="6811",1+I813,1))))))))</f>
        <v/>
      </c>
      <c r="P813">
        <f>IF(E813=1,F813*O813,"")</f>
        <v/>
      </c>
    </row>
    <row r="814">
      <c r="A814">
        <f>PNL!A814</f>
        <v/>
      </c>
      <c r="B814">
        <f>PNL!B814</f>
        <v/>
      </c>
      <c r="C814">
        <f>PNL!C814</f>
        <v/>
      </c>
      <c r="D814">
        <f>PNL!D814</f>
        <v/>
      </c>
      <c r="E814">
        <f>IF(AND(C814="2027",OR(D814="V01",D814="V02",D814="V03")),1,0)</f>
        <v/>
      </c>
      <c r="F814">
        <f>IF(E814=1,SUMIFS(Compta!$F$2:$F$675,Compta!$A$2:$A$675,A814,Compta!$B$2:$B$675,B814,Compta!$C$2:$C$675,"2026"),0)</f>
        <v/>
      </c>
      <c r="G814">
        <f>IF(D814="V01",cad!$I$21,IF(D814="V02",cad!$J$21,cad!$K$21))</f>
        <v/>
      </c>
      <c r="H814">
        <f>IF(D814="V01",cad!$I$22,IF(D814="V02",cad!$J$22,cad!$K$22))</f>
        <v/>
      </c>
      <c r="I814">
        <f>IF(D814="V01",cad!$I$27,IF(D814="V02",cad!$J$27,cad!$K$27))</f>
        <v/>
      </c>
      <c r="J814">
        <f>IF(D814="V01",cad!$I$28,IF(D814="V02",cad!$J$28,cad!$K$28))</f>
        <v/>
      </c>
      <c r="K814">
        <f>IF(D814="V01",cad!$I$29,IF(D814="V02",cad!$J$29,cad!$K$29))</f>
        <v/>
      </c>
      <c r="L814">
        <f>IF(D814="V01",cad!$I$30,IF(D814="V02",cad!$J$30,cad!$K$30))</f>
        <v/>
      </c>
      <c r="M814">
        <f>IF(D814="V01",cad!$I$31,IF(D814="V02",cad!$J$31,cad!$K$31))</f>
        <v/>
      </c>
      <c r="N814">
        <f>IF(D814="V01",$R$2,IF(D814="V02",$R$3,$R$4))</f>
        <v/>
      </c>
      <c r="O814">
        <f>IF(OR(B814="7062",B814="706",B814="708"),N814,IF(B814="6231",1+G814,IF(B814="6236",1+H814,IF(OR(B814="621",B814="604",B814="6063"),N814*(1-L814),IF(OR(B814="6411",B814="6413",B814="6414",B814="645"),(1+J814)*(1+K814),IF(OR(B814="613",B814="615",B814="616",B814="6226",B814="625",B814="626",B814="6281"),(1+I814)*(1-L814)*(1+M814),IF(OR(B814="6331",B814="63511",B814="6333"),(1+I814)*(1-L814),IF(B814="6811",1+I814,1))))))))</f>
        <v/>
      </c>
      <c r="P814">
        <f>IF(E814=1,F814*O814,"")</f>
        <v/>
      </c>
    </row>
    <row r="815">
      <c r="A815">
        <f>PNL!A815</f>
        <v/>
      </c>
      <c r="B815">
        <f>PNL!B815</f>
        <v/>
      </c>
      <c r="C815">
        <f>PNL!C815</f>
        <v/>
      </c>
      <c r="D815">
        <f>PNL!D815</f>
        <v/>
      </c>
      <c r="E815">
        <f>IF(AND(C815="2027",OR(D815="V01",D815="V02",D815="V03")),1,0)</f>
        <v/>
      </c>
      <c r="F815">
        <f>IF(E815=1,SUMIFS(Compta!$F$2:$F$675,Compta!$A$2:$A$675,A815,Compta!$B$2:$B$675,B815,Compta!$C$2:$C$675,"2026"),0)</f>
        <v/>
      </c>
      <c r="G815">
        <f>IF(D815="V01",cad!$I$21,IF(D815="V02",cad!$J$21,cad!$K$21))</f>
        <v/>
      </c>
      <c r="H815">
        <f>IF(D815="V01",cad!$I$22,IF(D815="V02",cad!$J$22,cad!$K$22))</f>
        <v/>
      </c>
      <c r="I815">
        <f>IF(D815="V01",cad!$I$27,IF(D815="V02",cad!$J$27,cad!$K$27))</f>
        <v/>
      </c>
      <c r="J815">
        <f>IF(D815="V01",cad!$I$28,IF(D815="V02",cad!$J$28,cad!$K$28))</f>
        <v/>
      </c>
      <c r="K815">
        <f>IF(D815="V01",cad!$I$29,IF(D815="V02",cad!$J$29,cad!$K$29))</f>
        <v/>
      </c>
      <c r="L815">
        <f>IF(D815="V01",cad!$I$30,IF(D815="V02",cad!$J$30,cad!$K$30))</f>
        <v/>
      </c>
      <c r="M815">
        <f>IF(D815="V01",cad!$I$31,IF(D815="V02",cad!$J$31,cad!$K$31))</f>
        <v/>
      </c>
      <c r="N815">
        <f>IF(D815="V01",$R$2,IF(D815="V02",$R$3,$R$4))</f>
        <v/>
      </c>
      <c r="O815">
        <f>IF(OR(B815="7062",B815="706",B815="708"),N815,IF(B815="6231",1+G815,IF(B815="6236",1+H815,IF(OR(B815="621",B815="604",B815="6063"),N815*(1-L815),IF(OR(B815="6411",B815="6413",B815="6414",B815="645"),(1+J815)*(1+K815),IF(OR(B815="613",B815="615",B815="616",B815="6226",B815="625",B815="626",B815="6281"),(1+I815)*(1-L815)*(1+M815),IF(OR(B815="6331",B815="63511",B815="6333"),(1+I815)*(1-L815),IF(B815="6811",1+I815,1))))))))</f>
        <v/>
      </c>
      <c r="P815">
        <f>IF(E815=1,F815*O815,"")</f>
        <v/>
      </c>
    </row>
    <row r="816">
      <c r="A816">
        <f>PNL!A816</f>
        <v/>
      </c>
      <c r="B816">
        <f>PNL!B816</f>
        <v/>
      </c>
      <c r="C816">
        <f>PNL!C816</f>
        <v/>
      </c>
      <c r="D816">
        <f>PNL!D816</f>
        <v/>
      </c>
      <c r="E816">
        <f>IF(AND(C816="2027",OR(D816="V01",D816="V02",D816="V03")),1,0)</f>
        <v/>
      </c>
      <c r="F816">
        <f>IF(E816=1,SUMIFS(Compta!$F$2:$F$675,Compta!$A$2:$A$675,A816,Compta!$B$2:$B$675,B816,Compta!$C$2:$C$675,"2026"),0)</f>
        <v/>
      </c>
      <c r="G816">
        <f>IF(D816="V01",cad!$I$21,IF(D816="V02",cad!$J$21,cad!$K$21))</f>
        <v/>
      </c>
      <c r="H816">
        <f>IF(D816="V01",cad!$I$22,IF(D816="V02",cad!$J$22,cad!$K$22))</f>
        <v/>
      </c>
      <c r="I816">
        <f>IF(D816="V01",cad!$I$27,IF(D816="V02",cad!$J$27,cad!$K$27))</f>
        <v/>
      </c>
      <c r="J816">
        <f>IF(D816="V01",cad!$I$28,IF(D816="V02",cad!$J$28,cad!$K$28))</f>
        <v/>
      </c>
      <c r="K816">
        <f>IF(D816="V01",cad!$I$29,IF(D816="V02",cad!$J$29,cad!$K$29))</f>
        <v/>
      </c>
      <c r="L816">
        <f>IF(D816="V01",cad!$I$30,IF(D816="V02",cad!$J$30,cad!$K$30))</f>
        <v/>
      </c>
      <c r="M816">
        <f>IF(D816="V01",cad!$I$31,IF(D816="V02",cad!$J$31,cad!$K$31))</f>
        <v/>
      </c>
      <c r="N816">
        <f>IF(D816="V01",$R$2,IF(D816="V02",$R$3,$R$4))</f>
        <v/>
      </c>
      <c r="O816">
        <f>IF(OR(B816="7062",B816="706",B816="708"),N816,IF(B816="6231",1+G816,IF(B816="6236",1+H816,IF(OR(B816="621",B816="604",B816="6063"),N816*(1-L816),IF(OR(B816="6411",B816="6413",B816="6414",B816="645"),(1+J816)*(1+K816),IF(OR(B816="613",B816="615",B816="616",B816="6226",B816="625",B816="626",B816="6281"),(1+I816)*(1-L816)*(1+M816),IF(OR(B816="6331",B816="63511",B816="6333"),(1+I816)*(1-L816),IF(B816="6811",1+I816,1))))))))</f>
        <v/>
      </c>
      <c r="P816">
        <f>IF(E816=1,F816*O816,"")</f>
        <v/>
      </c>
    </row>
    <row r="817">
      <c r="A817">
        <f>PNL!A817</f>
        <v/>
      </c>
      <c r="B817">
        <f>PNL!B817</f>
        <v/>
      </c>
      <c r="C817">
        <f>PNL!C817</f>
        <v/>
      </c>
      <c r="D817">
        <f>PNL!D817</f>
        <v/>
      </c>
      <c r="E817">
        <f>IF(AND(C817="2027",OR(D817="V01",D817="V02",D817="V03")),1,0)</f>
        <v/>
      </c>
      <c r="F817">
        <f>IF(E817=1,SUMIFS(Compta!$F$2:$F$675,Compta!$A$2:$A$675,A817,Compta!$B$2:$B$675,B817,Compta!$C$2:$C$675,"2026"),0)</f>
        <v/>
      </c>
      <c r="G817">
        <f>IF(D817="V01",cad!$I$21,IF(D817="V02",cad!$J$21,cad!$K$21))</f>
        <v/>
      </c>
      <c r="H817">
        <f>IF(D817="V01",cad!$I$22,IF(D817="V02",cad!$J$22,cad!$K$22))</f>
        <v/>
      </c>
      <c r="I817">
        <f>IF(D817="V01",cad!$I$27,IF(D817="V02",cad!$J$27,cad!$K$27))</f>
        <v/>
      </c>
      <c r="J817">
        <f>IF(D817="V01",cad!$I$28,IF(D817="V02",cad!$J$28,cad!$K$28))</f>
        <v/>
      </c>
      <c r="K817">
        <f>IF(D817="V01",cad!$I$29,IF(D817="V02",cad!$J$29,cad!$K$29))</f>
        <v/>
      </c>
      <c r="L817">
        <f>IF(D817="V01",cad!$I$30,IF(D817="V02",cad!$J$30,cad!$K$30))</f>
        <v/>
      </c>
      <c r="M817">
        <f>IF(D817="V01",cad!$I$31,IF(D817="V02",cad!$J$31,cad!$K$31))</f>
        <v/>
      </c>
      <c r="N817">
        <f>IF(D817="V01",$R$2,IF(D817="V02",$R$3,$R$4))</f>
        <v/>
      </c>
      <c r="O817">
        <f>IF(OR(B817="7062",B817="706",B817="708"),N817,IF(B817="6231",1+G817,IF(B817="6236",1+H817,IF(OR(B817="621",B817="604",B817="6063"),N817*(1-L817),IF(OR(B817="6411",B817="6413",B817="6414",B817="645"),(1+J817)*(1+K817),IF(OR(B817="613",B817="615",B817="616",B817="6226",B817="625",B817="626",B817="6281"),(1+I817)*(1-L817)*(1+M817),IF(OR(B817="6331",B817="63511",B817="6333"),(1+I817)*(1-L817),IF(B817="6811",1+I817,1))))))))</f>
        <v/>
      </c>
      <c r="P817">
        <f>IF(E817=1,F817*O817,"")</f>
        <v/>
      </c>
    </row>
    <row r="818">
      <c r="A818">
        <f>PNL!A818</f>
        <v/>
      </c>
      <c r="B818">
        <f>PNL!B818</f>
        <v/>
      </c>
      <c r="C818">
        <f>PNL!C818</f>
        <v/>
      </c>
      <c r="D818">
        <f>PNL!D818</f>
        <v/>
      </c>
      <c r="E818">
        <f>IF(AND(C818="2027",OR(D818="V01",D818="V02",D818="V03")),1,0)</f>
        <v/>
      </c>
      <c r="F818">
        <f>IF(E818=1,SUMIFS(Compta!$F$2:$F$675,Compta!$A$2:$A$675,A818,Compta!$B$2:$B$675,B818,Compta!$C$2:$C$675,"2026"),0)</f>
        <v/>
      </c>
      <c r="G818">
        <f>IF(D818="V01",cad!$I$21,IF(D818="V02",cad!$J$21,cad!$K$21))</f>
        <v/>
      </c>
      <c r="H818">
        <f>IF(D818="V01",cad!$I$22,IF(D818="V02",cad!$J$22,cad!$K$22))</f>
        <v/>
      </c>
      <c r="I818">
        <f>IF(D818="V01",cad!$I$27,IF(D818="V02",cad!$J$27,cad!$K$27))</f>
        <v/>
      </c>
      <c r="J818">
        <f>IF(D818="V01",cad!$I$28,IF(D818="V02",cad!$J$28,cad!$K$28))</f>
        <v/>
      </c>
      <c r="K818">
        <f>IF(D818="V01",cad!$I$29,IF(D818="V02",cad!$J$29,cad!$K$29))</f>
        <v/>
      </c>
      <c r="L818">
        <f>IF(D818="V01",cad!$I$30,IF(D818="V02",cad!$J$30,cad!$K$30))</f>
        <v/>
      </c>
      <c r="M818">
        <f>IF(D818="V01",cad!$I$31,IF(D818="V02",cad!$J$31,cad!$K$31))</f>
        <v/>
      </c>
      <c r="N818">
        <f>IF(D818="V01",$R$2,IF(D818="V02",$R$3,$R$4))</f>
        <v/>
      </c>
      <c r="O818">
        <f>IF(OR(B818="7062",B818="706",B818="708"),N818,IF(B818="6231",1+G818,IF(B818="6236",1+H818,IF(OR(B818="621",B818="604",B818="6063"),N818*(1-L818),IF(OR(B818="6411",B818="6413",B818="6414",B818="645"),(1+J818)*(1+K818),IF(OR(B818="613",B818="615",B818="616",B818="6226",B818="625",B818="626",B818="6281"),(1+I818)*(1-L818)*(1+M818),IF(OR(B818="6331",B818="63511",B818="6333"),(1+I818)*(1-L818),IF(B818="6811",1+I818,1))))))))</f>
        <v/>
      </c>
      <c r="P818">
        <f>IF(E818=1,F818*O818,"")</f>
        <v/>
      </c>
    </row>
    <row r="819">
      <c r="A819">
        <f>PNL!A819</f>
        <v/>
      </c>
      <c r="B819">
        <f>PNL!B819</f>
        <v/>
      </c>
      <c r="C819">
        <f>PNL!C819</f>
        <v/>
      </c>
      <c r="D819">
        <f>PNL!D819</f>
        <v/>
      </c>
      <c r="E819">
        <f>IF(AND(C819="2027",OR(D819="V01",D819="V02",D819="V03")),1,0)</f>
        <v/>
      </c>
      <c r="F819">
        <f>IF(E819=1,SUMIFS(Compta!$F$2:$F$675,Compta!$A$2:$A$675,A819,Compta!$B$2:$B$675,B819,Compta!$C$2:$C$675,"2026"),0)</f>
        <v/>
      </c>
      <c r="G819">
        <f>IF(D819="V01",cad!$I$21,IF(D819="V02",cad!$J$21,cad!$K$21))</f>
        <v/>
      </c>
      <c r="H819">
        <f>IF(D819="V01",cad!$I$22,IF(D819="V02",cad!$J$22,cad!$K$22))</f>
        <v/>
      </c>
      <c r="I819">
        <f>IF(D819="V01",cad!$I$27,IF(D819="V02",cad!$J$27,cad!$K$27))</f>
        <v/>
      </c>
      <c r="J819">
        <f>IF(D819="V01",cad!$I$28,IF(D819="V02",cad!$J$28,cad!$K$28))</f>
        <v/>
      </c>
      <c r="K819">
        <f>IF(D819="V01",cad!$I$29,IF(D819="V02",cad!$J$29,cad!$K$29))</f>
        <v/>
      </c>
      <c r="L819">
        <f>IF(D819="V01",cad!$I$30,IF(D819="V02",cad!$J$30,cad!$K$30))</f>
        <v/>
      </c>
      <c r="M819">
        <f>IF(D819="V01",cad!$I$31,IF(D819="V02",cad!$J$31,cad!$K$31))</f>
        <v/>
      </c>
      <c r="N819">
        <f>IF(D819="V01",$R$2,IF(D819="V02",$R$3,$R$4))</f>
        <v/>
      </c>
      <c r="O819">
        <f>IF(OR(B819="7062",B819="706",B819="708"),N819,IF(B819="6231",1+G819,IF(B819="6236",1+H819,IF(OR(B819="621",B819="604",B819="6063"),N819*(1-L819),IF(OR(B819="6411",B819="6413",B819="6414",B819="645"),(1+J819)*(1+K819),IF(OR(B819="613",B819="615",B819="616",B819="6226",B819="625",B819="626",B819="6281"),(1+I819)*(1-L819)*(1+M819),IF(OR(B819="6331",B819="63511",B819="6333"),(1+I819)*(1-L819),IF(B819="6811",1+I819,1))))))))</f>
        <v/>
      </c>
      <c r="P819">
        <f>IF(E819=1,F819*O819,"")</f>
        <v/>
      </c>
    </row>
    <row r="820">
      <c r="A820">
        <f>PNL!A820</f>
        <v/>
      </c>
      <c r="B820">
        <f>PNL!B820</f>
        <v/>
      </c>
      <c r="C820">
        <f>PNL!C820</f>
        <v/>
      </c>
      <c r="D820">
        <f>PNL!D820</f>
        <v/>
      </c>
      <c r="E820">
        <f>IF(AND(C820="2027",OR(D820="V01",D820="V02",D820="V03")),1,0)</f>
        <v/>
      </c>
      <c r="F820">
        <f>IF(E820=1,SUMIFS(Compta!$F$2:$F$675,Compta!$A$2:$A$675,A820,Compta!$B$2:$B$675,B820,Compta!$C$2:$C$675,"2026"),0)</f>
        <v/>
      </c>
      <c r="G820">
        <f>IF(D820="V01",cad!$I$21,IF(D820="V02",cad!$J$21,cad!$K$21))</f>
        <v/>
      </c>
      <c r="H820">
        <f>IF(D820="V01",cad!$I$22,IF(D820="V02",cad!$J$22,cad!$K$22))</f>
        <v/>
      </c>
      <c r="I820">
        <f>IF(D820="V01",cad!$I$27,IF(D820="V02",cad!$J$27,cad!$K$27))</f>
        <v/>
      </c>
      <c r="J820">
        <f>IF(D820="V01",cad!$I$28,IF(D820="V02",cad!$J$28,cad!$K$28))</f>
        <v/>
      </c>
      <c r="K820">
        <f>IF(D820="V01",cad!$I$29,IF(D820="V02",cad!$J$29,cad!$K$29))</f>
        <v/>
      </c>
      <c r="L820">
        <f>IF(D820="V01",cad!$I$30,IF(D820="V02",cad!$J$30,cad!$K$30))</f>
        <v/>
      </c>
      <c r="M820">
        <f>IF(D820="V01",cad!$I$31,IF(D820="V02",cad!$J$31,cad!$K$31))</f>
        <v/>
      </c>
      <c r="N820">
        <f>IF(D820="V01",$R$2,IF(D820="V02",$R$3,$R$4))</f>
        <v/>
      </c>
      <c r="O820">
        <f>IF(OR(B820="7062",B820="706",B820="708"),N820,IF(B820="6231",1+G820,IF(B820="6236",1+H820,IF(OR(B820="621",B820="604",B820="6063"),N820*(1-L820),IF(OR(B820="6411",B820="6413",B820="6414",B820="645"),(1+J820)*(1+K820),IF(OR(B820="613",B820="615",B820="616",B820="6226",B820="625",B820="626",B820="6281"),(1+I820)*(1-L820)*(1+M820),IF(OR(B820="6331",B820="63511",B820="6333"),(1+I820)*(1-L820),IF(B820="6811",1+I820,1))))))))</f>
        <v/>
      </c>
      <c r="P820">
        <f>IF(E820=1,F820*O820,"")</f>
        <v/>
      </c>
    </row>
    <row r="821">
      <c r="A821">
        <f>PNL!A821</f>
        <v/>
      </c>
      <c r="B821">
        <f>PNL!B821</f>
        <v/>
      </c>
      <c r="C821">
        <f>PNL!C821</f>
        <v/>
      </c>
      <c r="D821">
        <f>PNL!D821</f>
        <v/>
      </c>
      <c r="E821">
        <f>IF(AND(C821="2027",OR(D821="V01",D821="V02",D821="V03")),1,0)</f>
        <v/>
      </c>
      <c r="F821">
        <f>IF(E821=1,SUMIFS(Compta!$F$2:$F$675,Compta!$A$2:$A$675,A821,Compta!$B$2:$B$675,B821,Compta!$C$2:$C$675,"2026"),0)</f>
        <v/>
      </c>
      <c r="G821">
        <f>IF(D821="V01",cad!$I$21,IF(D821="V02",cad!$J$21,cad!$K$21))</f>
        <v/>
      </c>
      <c r="H821">
        <f>IF(D821="V01",cad!$I$22,IF(D821="V02",cad!$J$22,cad!$K$22))</f>
        <v/>
      </c>
      <c r="I821">
        <f>IF(D821="V01",cad!$I$27,IF(D821="V02",cad!$J$27,cad!$K$27))</f>
        <v/>
      </c>
      <c r="J821">
        <f>IF(D821="V01",cad!$I$28,IF(D821="V02",cad!$J$28,cad!$K$28))</f>
        <v/>
      </c>
      <c r="K821">
        <f>IF(D821="V01",cad!$I$29,IF(D821="V02",cad!$J$29,cad!$K$29))</f>
        <v/>
      </c>
      <c r="L821">
        <f>IF(D821="V01",cad!$I$30,IF(D821="V02",cad!$J$30,cad!$K$30))</f>
        <v/>
      </c>
      <c r="M821">
        <f>IF(D821="V01",cad!$I$31,IF(D821="V02",cad!$J$31,cad!$K$31))</f>
        <v/>
      </c>
      <c r="N821">
        <f>IF(D821="V01",$R$2,IF(D821="V02",$R$3,$R$4))</f>
        <v/>
      </c>
      <c r="O821">
        <f>IF(OR(B821="7062",B821="706",B821="708"),N821,IF(B821="6231",1+G821,IF(B821="6236",1+H821,IF(OR(B821="621",B821="604",B821="6063"),N821*(1-L821),IF(OR(B821="6411",B821="6413",B821="6414",B821="645"),(1+J821)*(1+K821),IF(OR(B821="613",B821="615",B821="616",B821="6226",B821="625",B821="626",B821="6281"),(1+I821)*(1-L821)*(1+M821),IF(OR(B821="6331",B821="63511",B821="6333"),(1+I821)*(1-L821),IF(B821="6811",1+I821,1))))))))</f>
        <v/>
      </c>
      <c r="P821">
        <f>IF(E821=1,F821*O821,"")</f>
        <v/>
      </c>
    </row>
    <row r="822">
      <c r="A822">
        <f>PNL!A822</f>
        <v/>
      </c>
      <c r="B822">
        <f>PNL!B822</f>
        <v/>
      </c>
      <c r="C822">
        <f>PNL!C822</f>
        <v/>
      </c>
      <c r="D822">
        <f>PNL!D822</f>
        <v/>
      </c>
      <c r="E822">
        <f>IF(AND(C822="2027",OR(D822="V01",D822="V02",D822="V03")),1,0)</f>
        <v/>
      </c>
      <c r="F822">
        <f>IF(E822=1,SUMIFS(Compta!$F$2:$F$675,Compta!$A$2:$A$675,A822,Compta!$B$2:$B$675,B822,Compta!$C$2:$C$675,"2026"),0)</f>
        <v/>
      </c>
      <c r="G822">
        <f>IF(D822="V01",cad!$I$21,IF(D822="V02",cad!$J$21,cad!$K$21))</f>
        <v/>
      </c>
      <c r="H822">
        <f>IF(D822="V01",cad!$I$22,IF(D822="V02",cad!$J$22,cad!$K$22))</f>
        <v/>
      </c>
      <c r="I822">
        <f>IF(D822="V01",cad!$I$27,IF(D822="V02",cad!$J$27,cad!$K$27))</f>
        <v/>
      </c>
      <c r="J822">
        <f>IF(D822="V01",cad!$I$28,IF(D822="V02",cad!$J$28,cad!$K$28))</f>
        <v/>
      </c>
      <c r="K822">
        <f>IF(D822="V01",cad!$I$29,IF(D822="V02",cad!$J$29,cad!$K$29))</f>
        <v/>
      </c>
      <c r="L822">
        <f>IF(D822="V01",cad!$I$30,IF(D822="V02",cad!$J$30,cad!$K$30))</f>
        <v/>
      </c>
      <c r="M822">
        <f>IF(D822="V01",cad!$I$31,IF(D822="V02",cad!$J$31,cad!$K$31))</f>
        <v/>
      </c>
      <c r="N822">
        <f>IF(D822="V01",$R$2,IF(D822="V02",$R$3,$R$4))</f>
        <v/>
      </c>
      <c r="O822">
        <f>IF(OR(B822="7062",B822="706",B822="708"),N822,IF(B822="6231",1+G822,IF(B822="6236",1+H822,IF(OR(B822="621",B822="604",B822="6063"),N822*(1-L822),IF(OR(B822="6411",B822="6413",B822="6414",B822="645"),(1+J822)*(1+K822),IF(OR(B822="613",B822="615",B822="616",B822="6226",B822="625",B822="626",B822="6281"),(1+I822)*(1-L822)*(1+M822),IF(OR(B822="6331",B822="63511",B822="6333"),(1+I822)*(1-L822),IF(B822="6811",1+I822,1))))))))</f>
        <v/>
      </c>
      <c r="P822">
        <f>IF(E822=1,F822*O822,"")</f>
        <v/>
      </c>
    </row>
    <row r="823">
      <c r="A823">
        <f>PNL!A823</f>
        <v/>
      </c>
      <c r="B823">
        <f>PNL!B823</f>
        <v/>
      </c>
      <c r="C823">
        <f>PNL!C823</f>
        <v/>
      </c>
      <c r="D823">
        <f>PNL!D823</f>
        <v/>
      </c>
      <c r="E823">
        <f>IF(AND(C823="2027",OR(D823="V01",D823="V02",D823="V03")),1,0)</f>
        <v/>
      </c>
      <c r="F823">
        <f>IF(E823=1,SUMIFS(Compta!$F$2:$F$675,Compta!$A$2:$A$675,A823,Compta!$B$2:$B$675,B823,Compta!$C$2:$C$675,"2026"),0)</f>
        <v/>
      </c>
      <c r="G823">
        <f>IF(D823="V01",cad!$I$21,IF(D823="V02",cad!$J$21,cad!$K$21))</f>
        <v/>
      </c>
      <c r="H823">
        <f>IF(D823="V01",cad!$I$22,IF(D823="V02",cad!$J$22,cad!$K$22))</f>
        <v/>
      </c>
      <c r="I823">
        <f>IF(D823="V01",cad!$I$27,IF(D823="V02",cad!$J$27,cad!$K$27))</f>
        <v/>
      </c>
      <c r="J823">
        <f>IF(D823="V01",cad!$I$28,IF(D823="V02",cad!$J$28,cad!$K$28))</f>
        <v/>
      </c>
      <c r="K823">
        <f>IF(D823="V01",cad!$I$29,IF(D823="V02",cad!$J$29,cad!$K$29))</f>
        <v/>
      </c>
      <c r="L823">
        <f>IF(D823="V01",cad!$I$30,IF(D823="V02",cad!$J$30,cad!$K$30))</f>
        <v/>
      </c>
      <c r="M823">
        <f>IF(D823="V01",cad!$I$31,IF(D823="V02",cad!$J$31,cad!$K$31))</f>
        <v/>
      </c>
      <c r="N823">
        <f>IF(D823="V01",$R$2,IF(D823="V02",$R$3,$R$4))</f>
        <v/>
      </c>
      <c r="O823">
        <f>IF(OR(B823="7062",B823="706",B823="708"),N823,IF(B823="6231",1+G823,IF(B823="6236",1+H823,IF(OR(B823="621",B823="604",B823="6063"),N823*(1-L823),IF(OR(B823="6411",B823="6413",B823="6414",B823="645"),(1+J823)*(1+K823),IF(OR(B823="613",B823="615",B823="616",B823="6226",B823="625",B823="626",B823="6281"),(1+I823)*(1-L823)*(1+M823),IF(OR(B823="6331",B823="63511",B823="6333"),(1+I823)*(1-L823),IF(B823="6811",1+I823,1))))))))</f>
        <v/>
      </c>
      <c r="P823">
        <f>IF(E823=1,F823*O823,"")</f>
        <v/>
      </c>
    </row>
    <row r="824">
      <c r="A824">
        <f>PNL!A824</f>
        <v/>
      </c>
      <c r="B824">
        <f>PNL!B824</f>
        <v/>
      </c>
      <c r="C824">
        <f>PNL!C824</f>
        <v/>
      </c>
      <c r="D824">
        <f>PNL!D824</f>
        <v/>
      </c>
      <c r="E824">
        <f>IF(AND(C824="2027",OR(D824="V01",D824="V02",D824="V03")),1,0)</f>
        <v/>
      </c>
      <c r="F824">
        <f>IF(E824=1,SUMIFS(Compta!$F$2:$F$675,Compta!$A$2:$A$675,A824,Compta!$B$2:$B$675,B824,Compta!$C$2:$C$675,"2026"),0)</f>
        <v/>
      </c>
      <c r="G824">
        <f>IF(D824="V01",cad!$I$21,IF(D824="V02",cad!$J$21,cad!$K$21))</f>
        <v/>
      </c>
      <c r="H824">
        <f>IF(D824="V01",cad!$I$22,IF(D824="V02",cad!$J$22,cad!$K$22))</f>
        <v/>
      </c>
      <c r="I824">
        <f>IF(D824="V01",cad!$I$27,IF(D824="V02",cad!$J$27,cad!$K$27))</f>
        <v/>
      </c>
      <c r="J824">
        <f>IF(D824="V01",cad!$I$28,IF(D824="V02",cad!$J$28,cad!$K$28))</f>
        <v/>
      </c>
      <c r="K824">
        <f>IF(D824="V01",cad!$I$29,IF(D824="V02",cad!$J$29,cad!$K$29))</f>
        <v/>
      </c>
      <c r="L824">
        <f>IF(D824="V01",cad!$I$30,IF(D824="V02",cad!$J$30,cad!$K$30))</f>
        <v/>
      </c>
      <c r="M824">
        <f>IF(D824="V01",cad!$I$31,IF(D824="V02",cad!$J$31,cad!$K$31))</f>
        <v/>
      </c>
      <c r="N824">
        <f>IF(D824="V01",$R$2,IF(D824="V02",$R$3,$R$4))</f>
        <v/>
      </c>
      <c r="O824">
        <f>IF(OR(B824="7062",B824="706",B824="708"),N824,IF(B824="6231",1+G824,IF(B824="6236",1+H824,IF(OR(B824="621",B824="604",B824="6063"),N824*(1-L824),IF(OR(B824="6411",B824="6413",B824="6414",B824="645"),(1+J824)*(1+K824),IF(OR(B824="613",B824="615",B824="616",B824="6226",B824="625",B824="626",B824="6281"),(1+I824)*(1-L824)*(1+M824),IF(OR(B824="6331",B824="63511",B824="6333"),(1+I824)*(1-L824),IF(B824="6811",1+I824,1))))))))</f>
        <v/>
      </c>
      <c r="P824">
        <f>IF(E824=1,F824*O824,"")</f>
        <v/>
      </c>
    </row>
    <row r="825">
      <c r="A825">
        <f>PNL!A825</f>
        <v/>
      </c>
      <c r="B825">
        <f>PNL!B825</f>
        <v/>
      </c>
      <c r="C825">
        <f>PNL!C825</f>
        <v/>
      </c>
      <c r="D825">
        <f>PNL!D825</f>
        <v/>
      </c>
      <c r="E825">
        <f>IF(AND(C825="2027",OR(D825="V01",D825="V02",D825="V03")),1,0)</f>
        <v/>
      </c>
      <c r="F825">
        <f>IF(E825=1,SUMIFS(Compta!$F$2:$F$675,Compta!$A$2:$A$675,A825,Compta!$B$2:$B$675,B825,Compta!$C$2:$C$675,"2026"),0)</f>
        <v/>
      </c>
      <c r="G825">
        <f>IF(D825="V01",cad!$I$21,IF(D825="V02",cad!$J$21,cad!$K$21))</f>
        <v/>
      </c>
      <c r="H825">
        <f>IF(D825="V01",cad!$I$22,IF(D825="V02",cad!$J$22,cad!$K$22))</f>
        <v/>
      </c>
      <c r="I825">
        <f>IF(D825="V01",cad!$I$27,IF(D825="V02",cad!$J$27,cad!$K$27))</f>
        <v/>
      </c>
      <c r="J825">
        <f>IF(D825="V01",cad!$I$28,IF(D825="V02",cad!$J$28,cad!$K$28))</f>
        <v/>
      </c>
      <c r="K825">
        <f>IF(D825="V01",cad!$I$29,IF(D825="V02",cad!$J$29,cad!$K$29))</f>
        <v/>
      </c>
      <c r="L825">
        <f>IF(D825="V01",cad!$I$30,IF(D825="V02",cad!$J$30,cad!$K$30))</f>
        <v/>
      </c>
      <c r="M825">
        <f>IF(D825="V01",cad!$I$31,IF(D825="V02",cad!$J$31,cad!$K$31))</f>
        <v/>
      </c>
      <c r="N825">
        <f>IF(D825="V01",$R$2,IF(D825="V02",$R$3,$R$4))</f>
        <v/>
      </c>
      <c r="O825">
        <f>IF(OR(B825="7062",B825="706",B825="708"),N825,IF(B825="6231",1+G825,IF(B825="6236",1+H825,IF(OR(B825="621",B825="604",B825="6063"),N825*(1-L825),IF(OR(B825="6411",B825="6413",B825="6414",B825="645"),(1+J825)*(1+K825),IF(OR(B825="613",B825="615",B825="616",B825="6226",B825="625",B825="626",B825="6281"),(1+I825)*(1-L825)*(1+M825),IF(OR(B825="6331",B825="63511",B825="6333"),(1+I825)*(1-L825),IF(B825="6811",1+I825,1))))))))</f>
        <v/>
      </c>
      <c r="P825">
        <f>IF(E825=1,F825*O825,"")</f>
        <v/>
      </c>
    </row>
    <row r="826">
      <c r="A826">
        <f>PNL!A826</f>
        <v/>
      </c>
      <c r="B826">
        <f>PNL!B826</f>
        <v/>
      </c>
      <c r="C826">
        <f>PNL!C826</f>
        <v/>
      </c>
      <c r="D826">
        <f>PNL!D826</f>
        <v/>
      </c>
      <c r="E826">
        <f>IF(AND(C826="2027",OR(D826="V01",D826="V02",D826="V03")),1,0)</f>
        <v/>
      </c>
      <c r="F826">
        <f>IF(E826=1,SUMIFS(Compta!$F$2:$F$675,Compta!$A$2:$A$675,A826,Compta!$B$2:$B$675,B826,Compta!$C$2:$C$675,"2026"),0)</f>
        <v/>
      </c>
      <c r="G826">
        <f>IF(D826="V01",cad!$I$21,IF(D826="V02",cad!$J$21,cad!$K$21))</f>
        <v/>
      </c>
      <c r="H826">
        <f>IF(D826="V01",cad!$I$22,IF(D826="V02",cad!$J$22,cad!$K$22))</f>
        <v/>
      </c>
      <c r="I826">
        <f>IF(D826="V01",cad!$I$27,IF(D826="V02",cad!$J$27,cad!$K$27))</f>
        <v/>
      </c>
      <c r="J826">
        <f>IF(D826="V01",cad!$I$28,IF(D826="V02",cad!$J$28,cad!$K$28))</f>
        <v/>
      </c>
      <c r="K826">
        <f>IF(D826="V01",cad!$I$29,IF(D826="V02",cad!$J$29,cad!$K$29))</f>
        <v/>
      </c>
      <c r="L826">
        <f>IF(D826="V01",cad!$I$30,IF(D826="V02",cad!$J$30,cad!$K$30))</f>
        <v/>
      </c>
      <c r="M826">
        <f>IF(D826="V01",cad!$I$31,IF(D826="V02",cad!$J$31,cad!$K$31))</f>
        <v/>
      </c>
      <c r="N826">
        <f>IF(D826="V01",$R$2,IF(D826="V02",$R$3,$R$4))</f>
        <v/>
      </c>
      <c r="O826">
        <f>IF(OR(B826="7062",B826="706",B826="708"),N826,IF(B826="6231",1+G826,IF(B826="6236",1+H826,IF(OR(B826="621",B826="604",B826="6063"),N826*(1-L826),IF(OR(B826="6411",B826="6413",B826="6414",B826="645"),(1+J826)*(1+K826),IF(OR(B826="613",B826="615",B826="616",B826="6226",B826="625",B826="626",B826="6281"),(1+I826)*(1-L826)*(1+M826),IF(OR(B826="6331",B826="63511",B826="6333"),(1+I826)*(1-L826),IF(B826="6811",1+I826,1))))))))</f>
        <v/>
      </c>
      <c r="P826">
        <f>IF(E826=1,F826*O826,"")</f>
        <v/>
      </c>
    </row>
    <row r="827">
      <c r="A827">
        <f>PNL!A827</f>
        <v/>
      </c>
      <c r="B827">
        <f>PNL!B827</f>
        <v/>
      </c>
      <c r="C827">
        <f>PNL!C827</f>
        <v/>
      </c>
      <c r="D827">
        <f>PNL!D827</f>
        <v/>
      </c>
      <c r="E827">
        <f>IF(AND(C827="2027",OR(D827="V01",D827="V02",D827="V03")),1,0)</f>
        <v/>
      </c>
      <c r="F827">
        <f>IF(E827=1,SUMIFS(Compta!$F$2:$F$675,Compta!$A$2:$A$675,A827,Compta!$B$2:$B$675,B827,Compta!$C$2:$C$675,"2026"),0)</f>
        <v/>
      </c>
      <c r="G827">
        <f>IF(D827="V01",cad!$I$21,IF(D827="V02",cad!$J$21,cad!$K$21))</f>
        <v/>
      </c>
      <c r="H827">
        <f>IF(D827="V01",cad!$I$22,IF(D827="V02",cad!$J$22,cad!$K$22))</f>
        <v/>
      </c>
      <c r="I827">
        <f>IF(D827="V01",cad!$I$27,IF(D827="V02",cad!$J$27,cad!$K$27))</f>
        <v/>
      </c>
      <c r="J827">
        <f>IF(D827="V01",cad!$I$28,IF(D827="V02",cad!$J$28,cad!$K$28))</f>
        <v/>
      </c>
      <c r="K827">
        <f>IF(D827="V01",cad!$I$29,IF(D827="V02",cad!$J$29,cad!$K$29))</f>
        <v/>
      </c>
      <c r="L827">
        <f>IF(D827="V01",cad!$I$30,IF(D827="V02",cad!$J$30,cad!$K$30))</f>
        <v/>
      </c>
      <c r="M827">
        <f>IF(D827="V01",cad!$I$31,IF(D827="V02",cad!$J$31,cad!$K$31))</f>
        <v/>
      </c>
      <c r="N827">
        <f>IF(D827="V01",$R$2,IF(D827="V02",$R$3,$R$4))</f>
        <v/>
      </c>
      <c r="O827">
        <f>IF(OR(B827="7062",B827="706",B827="708"),N827,IF(B827="6231",1+G827,IF(B827="6236",1+H827,IF(OR(B827="621",B827="604",B827="6063"),N827*(1-L827),IF(OR(B827="6411",B827="6413",B827="6414",B827="645"),(1+J827)*(1+K827),IF(OR(B827="613",B827="615",B827="616",B827="6226",B827="625",B827="626",B827="6281"),(1+I827)*(1-L827)*(1+M827),IF(OR(B827="6331",B827="63511",B827="6333"),(1+I827)*(1-L827),IF(B827="6811",1+I827,1))))))))</f>
        <v/>
      </c>
      <c r="P827">
        <f>IF(E827=1,F827*O827,"")</f>
        <v/>
      </c>
    </row>
    <row r="828">
      <c r="A828">
        <f>PNL!A828</f>
        <v/>
      </c>
      <c r="B828">
        <f>PNL!B828</f>
        <v/>
      </c>
      <c r="C828">
        <f>PNL!C828</f>
        <v/>
      </c>
      <c r="D828">
        <f>PNL!D828</f>
        <v/>
      </c>
      <c r="E828">
        <f>IF(AND(C828="2027",OR(D828="V01",D828="V02",D828="V03")),1,0)</f>
        <v/>
      </c>
      <c r="F828">
        <f>IF(E828=1,SUMIFS(Compta!$F$2:$F$675,Compta!$A$2:$A$675,A828,Compta!$B$2:$B$675,B828,Compta!$C$2:$C$675,"2026"),0)</f>
        <v/>
      </c>
      <c r="G828">
        <f>IF(D828="V01",cad!$I$21,IF(D828="V02",cad!$J$21,cad!$K$21))</f>
        <v/>
      </c>
      <c r="H828">
        <f>IF(D828="V01",cad!$I$22,IF(D828="V02",cad!$J$22,cad!$K$22))</f>
        <v/>
      </c>
      <c r="I828">
        <f>IF(D828="V01",cad!$I$27,IF(D828="V02",cad!$J$27,cad!$K$27))</f>
        <v/>
      </c>
      <c r="J828">
        <f>IF(D828="V01",cad!$I$28,IF(D828="V02",cad!$J$28,cad!$K$28))</f>
        <v/>
      </c>
      <c r="K828">
        <f>IF(D828="V01",cad!$I$29,IF(D828="V02",cad!$J$29,cad!$K$29))</f>
        <v/>
      </c>
      <c r="L828">
        <f>IF(D828="V01",cad!$I$30,IF(D828="V02",cad!$J$30,cad!$K$30))</f>
        <v/>
      </c>
      <c r="M828">
        <f>IF(D828="V01",cad!$I$31,IF(D828="V02",cad!$J$31,cad!$K$31))</f>
        <v/>
      </c>
      <c r="N828">
        <f>IF(D828="V01",$R$2,IF(D828="V02",$R$3,$R$4))</f>
        <v/>
      </c>
      <c r="O828">
        <f>IF(OR(B828="7062",B828="706",B828="708"),N828,IF(B828="6231",1+G828,IF(B828="6236",1+H828,IF(OR(B828="621",B828="604",B828="6063"),N828*(1-L828),IF(OR(B828="6411",B828="6413",B828="6414",B828="645"),(1+J828)*(1+K828),IF(OR(B828="613",B828="615",B828="616",B828="6226",B828="625",B828="626",B828="6281"),(1+I828)*(1-L828)*(1+M828),IF(OR(B828="6331",B828="63511",B828="6333"),(1+I828)*(1-L828),IF(B828="6811",1+I828,1))))))))</f>
        <v/>
      </c>
      <c r="P828">
        <f>IF(E828=1,F828*O828,"")</f>
        <v/>
      </c>
    </row>
    <row r="829">
      <c r="A829">
        <f>PNL!A829</f>
        <v/>
      </c>
      <c r="B829">
        <f>PNL!B829</f>
        <v/>
      </c>
      <c r="C829">
        <f>PNL!C829</f>
        <v/>
      </c>
      <c r="D829">
        <f>PNL!D829</f>
        <v/>
      </c>
      <c r="E829">
        <f>IF(AND(C829="2027",OR(D829="V01",D829="V02",D829="V03")),1,0)</f>
        <v/>
      </c>
      <c r="F829">
        <f>IF(E829=1,SUMIFS(Compta!$F$2:$F$675,Compta!$A$2:$A$675,A829,Compta!$B$2:$B$675,B829,Compta!$C$2:$C$675,"2026"),0)</f>
        <v/>
      </c>
      <c r="G829">
        <f>IF(D829="V01",cad!$I$21,IF(D829="V02",cad!$J$21,cad!$K$21))</f>
        <v/>
      </c>
      <c r="H829">
        <f>IF(D829="V01",cad!$I$22,IF(D829="V02",cad!$J$22,cad!$K$22))</f>
        <v/>
      </c>
      <c r="I829">
        <f>IF(D829="V01",cad!$I$27,IF(D829="V02",cad!$J$27,cad!$K$27))</f>
        <v/>
      </c>
      <c r="J829">
        <f>IF(D829="V01",cad!$I$28,IF(D829="V02",cad!$J$28,cad!$K$28))</f>
        <v/>
      </c>
      <c r="K829">
        <f>IF(D829="V01",cad!$I$29,IF(D829="V02",cad!$J$29,cad!$K$29))</f>
        <v/>
      </c>
      <c r="L829">
        <f>IF(D829="V01",cad!$I$30,IF(D829="V02",cad!$J$30,cad!$K$30))</f>
        <v/>
      </c>
      <c r="M829">
        <f>IF(D829="V01",cad!$I$31,IF(D829="V02",cad!$J$31,cad!$K$31))</f>
        <v/>
      </c>
      <c r="N829">
        <f>IF(D829="V01",$R$2,IF(D829="V02",$R$3,$R$4))</f>
        <v/>
      </c>
      <c r="O829">
        <f>IF(OR(B829="7062",B829="706",B829="708"),N829,IF(B829="6231",1+G829,IF(B829="6236",1+H829,IF(OR(B829="621",B829="604",B829="6063"),N829*(1-L829),IF(OR(B829="6411",B829="6413",B829="6414",B829="645"),(1+J829)*(1+K829),IF(OR(B829="613",B829="615",B829="616",B829="6226",B829="625",B829="626",B829="6281"),(1+I829)*(1-L829)*(1+M829),IF(OR(B829="6331",B829="63511",B829="6333"),(1+I829)*(1-L829),IF(B829="6811",1+I829,1))))))))</f>
        <v/>
      </c>
      <c r="P829">
        <f>IF(E829=1,F829*O829,"")</f>
        <v/>
      </c>
    </row>
    <row r="830">
      <c r="A830">
        <f>PNL!A830</f>
        <v/>
      </c>
      <c r="B830">
        <f>PNL!B830</f>
        <v/>
      </c>
      <c r="C830">
        <f>PNL!C830</f>
        <v/>
      </c>
      <c r="D830">
        <f>PNL!D830</f>
        <v/>
      </c>
      <c r="E830">
        <f>IF(AND(C830="2027",OR(D830="V01",D830="V02",D830="V03")),1,0)</f>
        <v/>
      </c>
      <c r="F830">
        <f>IF(E830=1,SUMIFS(Compta!$F$2:$F$675,Compta!$A$2:$A$675,A830,Compta!$B$2:$B$675,B830,Compta!$C$2:$C$675,"2026"),0)</f>
        <v/>
      </c>
      <c r="G830">
        <f>IF(D830="V01",cad!$I$21,IF(D830="V02",cad!$J$21,cad!$K$21))</f>
        <v/>
      </c>
      <c r="H830">
        <f>IF(D830="V01",cad!$I$22,IF(D830="V02",cad!$J$22,cad!$K$22))</f>
        <v/>
      </c>
      <c r="I830">
        <f>IF(D830="V01",cad!$I$27,IF(D830="V02",cad!$J$27,cad!$K$27))</f>
        <v/>
      </c>
      <c r="J830">
        <f>IF(D830="V01",cad!$I$28,IF(D830="V02",cad!$J$28,cad!$K$28))</f>
        <v/>
      </c>
      <c r="K830">
        <f>IF(D830="V01",cad!$I$29,IF(D830="V02",cad!$J$29,cad!$K$29))</f>
        <v/>
      </c>
      <c r="L830">
        <f>IF(D830="V01",cad!$I$30,IF(D830="V02",cad!$J$30,cad!$K$30))</f>
        <v/>
      </c>
      <c r="M830">
        <f>IF(D830="V01",cad!$I$31,IF(D830="V02",cad!$J$31,cad!$K$31))</f>
        <v/>
      </c>
      <c r="N830">
        <f>IF(D830="V01",$R$2,IF(D830="V02",$R$3,$R$4))</f>
        <v/>
      </c>
      <c r="O830">
        <f>IF(OR(B830="7062",B830="706",B830="708"),N830,IF(B830="6231",1+G830,IF(B830="6236",1+H830,IF(OR(B830="621",B830="604",B830="6063"),N830*(1-L830),IF(OR(B830="6411",B830="6413",B830="6414",B830="645"),(1+J830)*(1+K830),IF(OR(B830="613",B830="615",B830="616",B830="6226",B830="625",B830="626",B830="6281"),(1+I830)*(1-L830)*(1+M830),IF(OR(B830="6331",B830="63511",B830="6333"),(1+I830)*(1-L830),IF(B830="6811",1+I830,1))))))))</f>
        <v/>
      </c>
      <c r="P830">
        <f>IF(E830=1,F830*O830,"")</f>
        <v/>
      </c>
    </row>
    <row r="831">
      <c r="A831">
        <f>PNL!A831</f>
        <v/>
      </c>
      <c r="B831">
        <f>PNL!B831</f>
        <v/>
      </c>
      <c r="C831">
        <f>PNL!C831</f>
        <v/>
      </c>
      <c r="D831">
        <f>PNL!D831</f>
        <v/>
      </c>
      <c r="E831">
        <f>IF(AND(C831="2027",OR(D831="V01",D831="V02",D831="V03")),1,0)</f>
        <v/>
      </c>
      <c r="F831">
        <f>IF(E831=1,SUMIFS(Compta!$F$2:$F$675,Compta!$A$2:$A$675,A831,Compta!$B$2:$B$675,B831,Compta!$C$2:$C$675,"2026"),0)</f>
        <v/>
      </c>
      <c r="G831">
        <f>IF(D831="V01",cad!$I$21,IF(D831="V02",cad!$J$21,cad!$K$21))</f>
        <v/>
      </c>
      <c r="H831">
        <f>IF(D831="V01",cad!$I$22,IF(D831="V02",cad!$J$22,cad!$K$22))</f>
        <v/>
      </c>
      <c r="I831">
        <f>IF(D831="V01",cad!$I$27,IF(D831="V02",cad!$J$27,cad!$K$27))</f>
        <v/>
      </c>
      <c r="J831">
        <f>IF(D831="V01",cad!$I$28,IF(D831="V02",cad!$J$28,cad!$K$28))</f>
        <v/>
      </c>
      <c r="K831">
        <f>IF(D831="V01",cad!$I$29,IF(D831="V02",cad!$J$29,cad!$K$29))</f>
        <v/>
      </c>
      <c r="L831">
        <f>IF(D831="V01",cad!$I$30,IF(D831="V02",cad!$J$30,cad!$K$30))</f>
        <v/>
      </c>
      <c r="M831">
        <f>IF(D831="V01",cad!$I$31,IF(D831="V02",cad!$J$31,cad!$K$31))</f>
        <v/>
      </c>
      <c r="N831">
        <f>IF(D831="V01",$R$2,IF(D831="V02",$R$3,$R$4))</f>
        <v/>
      </c>
      <c r="O831">
        <f>IF(OR(B831="7062",B831="706",B831="708"),N831,IF(B831="6231",1+G831,IF(B831="6236",1+H831,IF(OR(B831="621",B831="604",B831="6063"),N831*(1-L831),IF(OR(B831="6411",B831="6413",B831="6414",B831="645"),(1+J831)*(1+K831),IF(OR(B831="613",B831="615",B831="616",B831="6226",B831="625",B831="626",B831="6281"),(1+I831)*(1-L831)*(1+M831),IF(OR(B831="6331",B831="63511",B831="6333"),(1+I831)*(1-L831),IF(B831="6811",1+I831,1))))))))</f>
        <v/>
      </c>
      <c r="P831">
        <f>IF(E831=1,F831*O831,"")</f>
        <v/>
      </c>
    </row>
    <row r="832">
      <c r="A832">
        <f>PNL!A832</f>
        <v/>
      </c>
      <c r="B832">
        <f>PNL!B832</f>
        <v/>
      </c>
      <c r="C832">
        <f>PNL!C832</f>
        <v/>
      </c>
      <c r="D832">
        <f>PNL!D832</f>
        <v/>
      </c>
      <c r="E832">
        <f>IF(AND(C832="2027",OR(D832="V01",D832="V02",D832="V03")),1,0)</f>
        <v/>
      </c>
      <c r="F832">
        <f>IF(E832=1,SUMIFS(Compta!$F$2:$F$675,Compta!$A$2:$A$675,A832,Compta!$B$2:$B$675,B832,Compta!$C$2:$C$675,"2026"),0)</f>
        <v/>
      </c>
      <c r="G832">
        <f>IF(D832="V01",cad!$I$21,IF(D832="V02",cad!$J$21,cad!$K$21))</f>
        <v/>
      </c>
      <c r="H832">
        <f>IF(D832="V01",cad!$I$22,IF(D832="V02",cad!$J$22,cad!$K$22))</f>
        <v/>
      </c>
      <c r="I832">
        <f>IF(D832="V01",cad!$I$27,IF(D832="V02",cad!$J$27,cad!$K$27))</f>
        <v/>
      </c>
      <c r="J832">
        <f>IF(D832="V01",cad!$I$28,IF(D832="V02",cad!$J$28,cad!$K$28))</f>
        <v/>
      </c>
      <c r="K832">
        <f>IF(D832="V01",cad!$I$29,IF(D832="V02",cad!$J$29,cad!$K$29))</f>
        <v/>
      </c>
      <c r="L832">
        <f>IF(D832="V01",cad!$I$30,IF(D832="V02",cad!$J$30,cad!$K$30))</f>
        <v/>
      </c>
      <c r="M832">
        <f>IF(D832="V01",cad!$I$31,IF(D832="V02",cad!$J$31,cad!$K$31))</f>
        <v/>
      </c>
      <c r="N832">
        <f>IF(D832="V01",$R$2,IF(D832="V02",$R$3,$R$4))</f>
        <v/>
      </c>
      <c r="O832">
        <f>IF(OR(B832="7062",B832="706",B832="708"),N832,IF(B832="6231",1+G832,IF(B832="6236",1+H832,IF(OR(B832="621",B832="604",B832="6063"),N832*(1-L832),IF(OR(B832="6411",B832="6413",B832="6414",B832="645"),(1+J832)*(1+K832),IF(OR(B832="613",B832="615",B832="616",B832="6226",B832="625",B832="626",B832="6281"),(1+I832)*(1-L832)*(1+M832),IF(OR(B832="6331",B832="63511",B832="6333"),(1+I832)*(1-L832),IF(B832="6811",1+I832,1))))))))</f>
        <v/>
      </c>
      <c r="P832">
        <f>IF(E832=1,F832*O832,"")</f>
        <v/>
      </c>
    </row>
    <row r="833">
      <c r="A833">
        <f>PNL!A833</f>
        <v/>
      </c>
      <c r="B833">
        <f>PNL!B833</f>
        <v/>
      </c>
      <c r="C833">
        <f>PNL!C833</f>
        <v/>
      </c>
      <c r="D833">
        <f>PNL!D833</f>
        <v/>
      </c>
      <c r="E833">
        <f>IF(AND(C833="2027",OR(D833="V01",D833="V02",D833="V03")),1,0)</f>
        <v/>
      </c>
      <c r="F833">
        <f>IF(E833=1,SUMIFS(Compta!$F$2:$F$675,Compta!$A$2:$A$675,A833,Compta!$B$2:$B$675,B833,Compta!$C$2:$C$675,"2026"),0)</f>
        <v/>
      </c>
      <c r="G833">
        <f>IF(D833="V01",cad!$I$21,IF(D833="V02",cad!$J$21,cad!$K$21))</f>
        <v/>
      </c>
      <c r="H833">
        <f>IF(D833="V01",cad!$I$22,IF(D833="V02",cad!$J$22,cad!$K$22))</f>
        <v/>
      </c>
      <c r="I833">
        <f>IF(D833="V01",cad!$I$27,IF(D833="V02",cad!$J$27,cad!$K$27))</f>
        <v/>
      </c>
      <c r="J833">
        <f>IF(D833="V01",cad!$I$28,IF(D833="V02",cad!$J$28,cad!$K$28))</f>
        <v/>
      </c>
      <c r="K833">
        <f>IF(D833="V01",cad!$I$29,IF(D833="V02",cad!$J$29,cad!$K$29))</f>
        <v/>
      </c>
      <c r="L833">
        <f>IF(D833="V01",cad!$I$30,IF(D833="V02",cad!$J$30,cad!$K$30))</f>
        <v/>
      </c>
      <c r="M833">
        <f>IF(D833="V01",cad!$I$31,IF(D833="V02",cad!$J$31,cad!$K$31))</f>
        <v/>
      </c>
      <c r="N833">
        <f>IF(D833="V01",$R$2,IF(D833="V02",$R$3,$R$4))</f>
        <v/>
      </c>
      <c r="O833">
        <f>IF(OR(B833="7062",B833="706",B833="708"),N833,IF(B833="6231",1+G833,IF(B833="6236",1+H833,IF(OR(B833="621",B833="604",B833="6063"),N833*(1-L833),IF(OR(B833="6411",B833="6413",B833="6414",B833="645"),(1+J833)*(1+K833),IF(OR(B833="613",B833="615",B833="616",B833="6226",B833="625",B833="626",B833="6281"),(1+I833)*(1-L833)*(1+M833),IF(OR(B833="6331",B833="63511",B833="6333"),(1+I833)*(1-L833),IF(B833="6811",1+I833,1))))))))</f>
        <v/>
      </c>
      <c r="P833">
        <f>IF(E833=1,F833*O833,"")</f>
        <v/>
      </c>
    </row>
    <row r="834">
      <c r="A834">
        <f>PNL!A834</f>
        <v/>
      </c>
      <c r="B834">
        <f>PNL!B834</f>
        <v/>
      </c>
      <c r="C834">
        <f>PNL!C834</f>
        <v/>
      </c>
      <c r="D834">
        <f>PNL!D834</f>
        <v/>
      </c>
      <c r="E834">
        <f>IF(AND(C834="2027",OR(D834="V01",D834="V02",D834="V03")),1,0)</f>
        <v/>
      </c>
      <c r="F834">
        <f>IF(E834=1,SUMIFS(Compta!$F$2:$F$675,Compta!$A$2:$A$675,A834,Compta!$B$2:$B$675,B834,Compta!$C$2:$C$675,"2026"),0)</f>
        <v/>
      </c>
      <c r="G834">
        <f>IF(D834="V01",cad!$I$21,IF(D834="V02",cad!$J$21,cad!$K$21))</f>
        <v/>
      </c>
      <c r="H834">
        <f>IF(D834="V01",cad!$I$22,IF(D834="V02",cad!$J$22,cad!$K$22))</f>
        <v/>
      </c>
      <c r="I834">
        <f>IF(D834="V01",cad!$I$27,IF(D834="V02",cad!$J$27,cad!$K$27))</f>
        <v/>
      </c>
      <c r="J834">
        <f>IF(D834="V01",cad!$I$28,IF(D834="V02",cad!$J$28,cad!$K$28))</f>
        <v/>
      </c>
      <c r="K834">
        <f>IF(D834="V01",cad!$I$29,IF(D834="V02",cad!$J$29,cad!$K$29))</f>
        <v/>
      </c>
      <c r="L834">
        <f>IF(D834="V01",cad!$I$30,IF(D834="V02",cad!$J$30,cad!$K$30))</f>
        <v/>
      </c>
      <c r="M834">
        <f>IF(D834="V01",cad!$I$31,IF(D834="V02",cad!$J$31,cad!$K$31))</f>
        <v/>
      </c>
      <c r="N834">
        <f>IF(D834="V01",$R$2,IF(D834="V02",$R$3,$R$4))</f>
        <v/>
      </c>
      <c r="O834">
        <f>IF(OR(B834="7062",B834="706",B834="708"),N834,IF(B834="6231",1+G834,IF(B834="6236",1+H834,IF(OR(B834="621",B834="604",B834="6063"),N834*(1-L834),IF(OR(B834="6411",B834="6413",B834="6414",B834="645"),(1+J834)*(1+K834),IF(OR(B834="613",B834="615",B834="616",B834="6226",B834="625",B834="626",B834="6281"),(1+I834)*(1-L834)*(1+M834),IF(OR(B834="6331",B834="63511",B834="6333"),(1+I834)*(1-L834),IF(B834="6811",1+I834,1))))))))</f>
        <v/>
      </c>
      <c r="P834">
        <f>IF(E834=1,F834*O834,"")</f>
        <v/>
      </c>
    </row>
    <row r="835">
      <c r="A835">
        <f>PNL!A835</f>
        <v/>
      </c>
      <c r="B835">
        <f>PNL!B835</f>
        <v/>
      </c>
      <c r="C835">
        <f>PNL!C835</f>
        <v/>
      </c>
      <c r="D835">
        <f>PNL!D835</f>
        <v/>
      </c>
      <c r="E835">
        <f>IF(AND(C835="2027",OR(D835="V01",D835="V02",D835="V03")),1,0)</f>
        <v/>
      </c>
      <c r="F835">
        <f>IF(E835=1,SUMIFS(Compta!$F$2:$F$675,Compta!$A$2:$A$675,A835,Compta!$B$2:$B$675,B835,Compta!$C$2:$C$675,"2026"),0)</f>
        <v/>
      </c>
      <c r="G835">
        <f>IF(D835="V01",cad!$I$21,IF(D835="V02",cad!$J$21,cad!$K$21))</f>
        <v/>
      </c>
      <c r="H835">
        <f>IF(D835="V01",cad!$I$22,IF(D835="V02",cad!$J$22,cad!$K$22))</f>
        <v/>
      </c>
      <c r="I835">
        <f>IF(D835="V01",cad!$I$27,IF(D835="V02",cad!$J$27,cad!$K$27))</f>
        <v/>
      </c>
      <c r="J835">
        <f>IF(D835="V01",cad!$I$28,IF(D835="V02",cad!$J$28,cad!$K$28))</f>
        <v/>
      </c>
      <c r="K835">
        <f>IF(D835="V01",cad!$I$29,IF(D835="V02",cad!$J$29,cad!$K$29))</f>
        <v/>
      </c>
      <c r="L835">
        <f>IF(D835="V01",cad!$I$30,IF(D835="V02",cad!$J$30,cad!$K$30))</f>
        <v/>
      </c>
      <c r="M835">
        <f>IF(D835="V01",cad!$I$31,IF(D835="V02",cad!$J$31,cad!$K$31))</f>
        <v/>
      </c>
      <c r="N835">
        <f>IF(D835="V01",$R$2,IF(D835="V02",$R$3,$R$4))</f>
        <v/>
      </c>
      <c r="O835">
        <f>IF(OR(B835="7062",B835="706",B835="708"),N835,IF(B835="6231",1+G835,IF(B835="6236",1+H835,IF(OR(B835="621",B835="604",B835="6063"),N835*(1-L835),IF(OR(B835="6411",B835="6413",B835="6414",B835="645"),(1+J835)*(1+K835),IF(OR(B835="613",B835="615",B835="616",B835="6226",B835="625",B835="626",B835="6281"),(1+I835)*(1-L835)*(1+M835),IF(OR(B835="6331",B835="63511",B835="6333"),(1+I835)*(1-L835),IF(B835="6811",1+I835,1))))))))</f>
        <v/>
      </c>
      <c r="P835">
        <f>IF(E835=1,F835*O835,"")</f>
        <v/>
      </c>
    </row>
    <row r="836">
      <c r="A836">
        <f>PNL!A836</f>
        <v/>
      </c>
      <c r="B836">
        <f>PNL!B836</f>
        <v/>
      </c>
      <c r="C836">
        <f>PNL!C836</f>
        <v/>
      </c>
      <c r="D836">
        <f>PNL!D836</f>
        <v/>
      </c>
      <c r="E836">
        <f>IF(AND(C836="2027",OR(D836="V01",D836="V02",D836="V03")),1,0)</f>
        <v/>
      </c>
      <c r="F836">
        <f>IF(E836=1,SUMIFS(Compta!$F$2:$F$675,Compta!$A$2:$A$675,A836,Compta!$B$2:$B$675,B836,Compta!$C$2:$C$675,"2026"),0)</f>
        <v/>
      </c>
      <c r="G836">
        <f>IF(D836="V01",cad!$I$21,IF(D836="V02",cad!$J$21,cad!$K$21))</f>
        <v/>
      </c>
      <c r="H836">
        <f>IF(D836="V01",cad!$I$22,IF(D836="V02",cad!$J$22,cad!$K$22))</f>
        <v/>
      </c>
      <c r="I836">
        <f>IF(D836="V01",cad!$I$27,IF(D836="V02",cad!$J$27,cad!$K$27))</f>
        <v/>
      </c>
      <c r="J836">
        <f>IF(D836="V01",cad!$I$28,IF(D836="V02",cad!$J$28,cad!$K$28))</f>
        <v/>
      </c>
      <c r="K836">
        <f>IF(D836="V01",cad!$I$29,IF(D836="V02",cad!$J$29,cad!$K$29))</f>
        <v/>
      </c>
      <c r="L836">
        <f>IF(D836="V01",cad!$I$30,IF(D836="V02",cad!$J$30,cad!$K$30))</f>
        <v/>
      </c>
      <c r="M836">
        <f>IF(D836="V01",cad!$I$31,IF(D836="V02",cad!$J$31,cad!$K$31))</f>
        <v/>
      </c>
      <c r="N836">
        <f>IF(D836="V01",$R$2,IF(D836="V02",$R$3,$R$4))</f>
        <v/>
      </c>
      <c r="O836">
        <f>IF(OR(B836="7062",B836="706",B836="708"),N836,IF(B836="6231",1+G836,IF(B836="6236",1+H836,IF(OR(B836="621",B836="604",B836="6063"),N836*(1-L836),IF(OR(B836="6411",B836="6413",B836="6414",B836="645"),(1+J836)*(1+K836),IF(OR(B836="613",B836="615",B836="616",B836="6226",B836="625",B836="626",B836="6281"),(1+I836)*(1-L836)*(1+M836),IF(OR(B836="6331",B836="63511",B836="6333"),(1+I836)*(1-L836),IF(B836="6811",1+I836,1))))))))</f>
        <v/>
      </c>
      <c r="P836">
        <f>IF(E836=1,F836*O836,"")</f>
        <v/>
      </c>
    </row>
    <row r="837">
      <c r="A837">
        <f>PNL!A837</f>
        <v/>
      </c>
      <c r="B837">
        <f>PNL!B837</f>
        <v/>
      </c>
      <c r="C837">
        <f>PNL!C837</f>
        <v/>
      </c>
      <c r="D837">
        <f>PNL!D837</f>
        <v/>
      </c>
      <c r="E837">
        <f>IF(AND(C837="2027",OR(D837="V01",D837="V02",D837="V03")),1,0)</f>
        <v/>
      </c>
      <c r="F837">
        <f>IF(E837=1,SUMIFS(Compta!$F$2:$F$675,Compta!$A$2:$A$675,A837,Compta!$B$2:$B$675,B837,Compta!$C$2:$C$675,"2026"),0)</f>
        <v/>
      </c>
      <c r="G837">
        <f>IF(D837="V01",cad!$I$21,IF(D837="V02",cad!$J$21,cad!$K$21))</f>
        <v/>
      </c>
      <c r="H837">
        <f>IF(D837="V01",cad!$I$22,IF(D837="V02",cad!$J$22,cad!$K$22))</f>
        <v/>
      </c>
      <c r="I837">
        <f>IF(D837="V01",cad!$I$27,IF(D837="V02",cad!$J$27,cad!$K$27))</f>
        <v/>
      </c>
      <c r="J837">
        <f>IF(D837="V01",cad!$I$28,IF(D837="V02",cad!$J$28,cad!$K$28))</f>
        <v/>
      </c>
      <c r="K837">
        <f>IF(D837="V01",cad!$I$29,IF(D837="V02",cad!$J$29,cad!$K$29))</f>
        <v/>
      </c>
      <c r="L837">
        <f>IF(D837="V01",cad!$I$30,IF(D837="V02",cad!$J$30,cad!$K$30))</f>
        <v/>
      </c>
      <c r="M837">
        <f>IF(D837="V01",cad!$I$31,IF(D837="V02",cad!$J$31,cad!$K$31))</f>
        <v/>
      </c>
      <c r="N837">
        <f>IF(D837="V01",$R$2,IF(D837="V02",$R$3,$R$4))</f>
        <v/>
      </c>
      <c r="O837">
        <f>IF(OR(B837="7062",B837="706",B837="708"),N837,IF(B837="6231",1+G837,IF(B837="6236",1+H837,IF(OR(B837="621",B837="604",B837="6063"),N837*(1-L837),IF(OR(B837="6411",B837="6413",B837="6414",B837="645"),(1+J837)*(1+K837),IF(OR(B837="613",B837="615",B837="616",B837="6226",B837="625",B837="626",B837="6281"),(1+I837)*(1-L837)*(1+M837),IF(OR(B837="6331",B837="63511",B837="6333"),(1+I837)*(1-L837),IF(B837="6811",1+I837,1))))))))</f>
        <v/>
      </c>
      <c r="P837">
        <f>IF(E837=1,F837*O837,"")</f>
        <v/>
      </c>
    </row>
    <row r="838">
      <c r="A838">
        <f>PNL!A838</f>
        <v/>
      </c>
      <c r="B838">
        <f>PNL!B838</f>
        <v/>
      </c>
      <c r="C838">
        <f>PNL!C838</f>
        <v/>
      </c>
      <c r="D838">
        <f>PNL!D838</f>
        <v/>
      </c>
      <c r="E838">
        <f>IF(AND(C838="2027",OR(D838="V01",D838="V02",D838="V03")),1,0)</f>
        <v/>
      </c>
      <c r="F838">
        <f>IF(E838=1,SUMIFS(Compta!$F$2:$F$675,Compta!$A$2:$A$675,A838,Compta!$B$2:$B$675,B838,Compta!$C$2:$C$675,"2026"),0)</f>
        <v/>
      </c>
      <c r="G838">
        <f>IF(D838="V01",cad!$I$21,IF(D838="V02",cad!$J$21,cad!$K$21))</f>
        <v/>
      </c>
      <c r="H838">
        <f>IF(D838="V01",cad!$I$22,IF(D838="V02",cad!$J$22,cad!$K$22))</f>
        <v/>
      </c>
      <c r="I838">
        <f>IF(D838="V01",cad!$I$27,IF(D838="V02",cad!$J$27,cad!$K$27))</f>
        <v/>
      </c>
      <c r="J838">
        <f>IF(D838="V01",cad!$I$28,IF(D838="V02",cad!$J$28,cad!$K$28))</f>
        <v/>
      </c>
      <c r="K838">
        <f>IF(D838="V01",cad!$I$29,IF(D838="V02",cad!$J$29,cad!$K$29))</f>
        <v/>
      </c>
      <c r="L838">
        <f>IF(D838="V01",cad!$I$30,IF(D838="V02",cad!$J$30,cad!$K$30))</f>
        <v/>
      </c>
      <c r="M838">
        <f>IF(D838="V01",cad!$I$31,IF(D838="V02",cad!$J$31,cad!$K$31))</f>
        <v/>
      </c>
      <c r="N838">
        <f>IF(D838="V01",$R$2,IF(D838="V02",$R$3,$R$4))</f>
        <v/>
      </c>
      <c r="O838">
        <f>IF(OR(B838="7062",B838="706",B838="708"),N838,IF(B838="6231",1+G838,IF(B838="6236",1+H838,IF(OR(B838="621",B838="604",B838="6063"),N838*(1-L838),IF(OR(B838="6411",B838="6413",B838="6414",B838="645"),(1+J838)*(1+K838),IF(OR(B838="613",B838="615",B838="616",B838="6226",B838="625",B838="626",B838="6281"),(1+I838)*(1-L838)*(1+M838),IF(OR(B838="6331",B838="63511",B838="6333"),(1+I838)*(1-L838),IF(B838="6811",1+I838,1))))))))</f>
        <v/>
      </c>
      <c r="P838">
        <f>IF(E838=1,F838*O838,"")</f>
        <v/>
      </c>
    </row>
    <row r="839">
      <c r="A839">
        <f>PNL!A839</f>
        <v/>
      </c>
      <c r="B839">
        <f>PNL!B839</f>
        <v/>
      </c>
      <c r="C839">
        <f>PNL!C839</f>
        <v/>
      </c>
      <c r="D839">
        <f>PNL!D839</f>
        <v/>
      </c>
      <c r="E839">
        <f>IF(AND(C839="2027",OR(D839="V01",D839="V02",D839="V03")),1,0)</f>
        <v/>
      </c>
      <c r="F839">
        <f>IF(E839=1,SUMIFS(Compta!$F$2:$F$675,Compta!$A$2:$A$675,A839,Compta!$B$2:$B$675,B839,Compta!$C$2:$C$675,"2026"),0)</f>
        <v/>
      </c>
      <c r="G839">
        <f>IF(D839="V01",cad!$I$21,IF(D839="V02",cad!$J$21,cad!$K$21))</f>
        <v/>
      </c>
      <c r="H839">
        <f>IF(D839="V01",cad!$I$22,IF(D839="V02",cad!$J$22,cad!$K$22))</f>
        <v/>
      </c>
      <c r="I839">
        <f>IF(D839="V01",cad!$I$27,IF(D839="V02",cad!$J$27,cad!$K$27))</f>
        <v/>
      </c>
      <c r="J839">
        <f>IF(D839="V01",cad!$I$28,IF(D839="V02",cad!$J$28,cad!$K$28))</f>
        <v/>
      </c>
      <c r="K839">
        <f>IF(D839="V01",cad!$I$29,IF(D839="V02",cad!$J$29,cad!$K$29))</f>
        <v/>
      </c>
      <c r="L839">
        <f>IF(D839="V01",cad!$I$30,IF(D839="V02",cad!$J$30,cad!$K$30))</f>
        <v/>
      </c>
      <c r="M839">
        <f>IF(D839="V01",cad!$I$31,IF(D839="V02",cad!$J$31,cad!$K$31))</f>
        <v/>
      </c>
      <c r="N839">
        <f>IF(D839="V01",$R$2,IF(D839="V02",$R$3,$R$4))</f>
        <v/>
      </c>
      <c r="O839">
        <f>IF(OR(B839="7062",B839="706",B839="708"),N839,IF(B839="6231",1+G839,IF(B839="6236",1+H839,IF(OR(B839="621",B839="604",B839="6063"),N839*(1-L839),IF(OR(B839="6411",B839="6413",B839="6414",B839="645"),(1+J839)*(1+K839),IF(OR(B839="613",B839="615",B839="616",B839="6226",B839="625",B839="626",B839="6281"),(1+I839)*(1-L839)*(1+M839),IF(OR(B839="6331",B839="63511",B839="6333"),(1+I839)*(1-L839),IF(B839="6811",1+I839,1))))))))</f>
        <v/>
      </c>
      <c r="P839">
        <f>IF(E839=1,F839*O839,"")</f>
        <v/>
      </c>
    </row>
    <row r="840">
      <c r="A840">
        <f>PNL!A840</f>
        <v/>
      </c>
      <c r="B840">
        <f>PNL!B840</f>
        <v/>
      </c>
      <c r="C840">
        <f>PNL!C840</f>
        <v/>
      </c>
      <c r="D840">
        <f>PNL!D840</f>
        <v/>
      </c>
      <c r="E840">
        <f>IF(AND(C840="2027",OR(D840="V01",D840="V02",D840="V03")),1,0)</f>
        <v/>
      </c>
      <c r="F840">
        <f>IF(E840=1,SUMIFS(Compta!$F$2:$F$675,Compta!$A$2:$A$675,A840,Compta!$B$2:$B$675,B840,Compta!$C$2:$C$675,"2026"),0)</f>
        <v/>
      </c>
      <c r="G840">
        <f>IF(D840="V01",cad!$I$21,IF(D840="V02",cad!$J$21,cad!$K$21))</f>
        <v/>
      </c>
      <c r="H840">
        <f>IF(D840="V01",cad!$I$22,IF(D840="V02",cad!$J$22,cad!$K$22))</f>
        <v/>
      </c>
      <c r="I840">
        <f>IF(D840="V01",cad!$I$27,IF(D840="V02",cad!$J$27,cad!$K$27))</f>
        <v/>
      </c>
      <c r="J840">
        <f>IF(D840="V01",cad!$I$28,IF(D840="V02",cad!$J$28,cad!$K$28))</f>
        <v/>
      </c>
      <c r="K840">
        <f>IF(D840="V01",cad!$I$29,IF(D840="V02",cad!$J$29,cad!$K$29))</f>
        <v/>
      </c>
      <c r="L840">
        <f>IF(D840="V01",cad!$I$30,IF(D840="V02",cad!$J$30,cad!$K$30))</f>
        <v/>
      </c>
      <c r="M840">
        <f>IF(D840="V01",cad!$I$31,IF(D840="V02",cad!$J$31,cad!$K$31))</f>
        <v/>
      </c>
      <c r="N840">
        <f>IF(D840="V01",$R$2,IF(D840="V02",$R$3,$R$4))</f>
        <v/>
      </c>
      <c r="O840">
        <f>IF(OR(B840="7062",B840="706",B840="708"),N840,IF(B840="6231",1+G840,IF(B840="6236",1+H840,IF(OR(B840="621",B840="604",B840="6063"),N840*(1-L840),IF(OR(B840="6411",B840="6413",B840="6414",B840="645"),(1+J840)*(1+K840),IF(OR(B840="613",B840="615",B840="616",B840="6226",B840="625",B840="626",B840="6281"),(1+I840)*(1-L840)*(1+M840),IF(OR(B840="6331",B840="63511",B840="6333"),(1+I840)*(1-L840),IF(B840="6811",1+I840,1))))))))</f>
        <v/>
      </c>
      <c r="P840">
        <f>IF(E840=1,F840*O840,"")</f>
        <v/>
      </c>
    </row>
    <row r="841">
      <c r="A841">
        <f>PNL!A841</f>
        <v/>
      </c>
      <c r="B841">
        <f>PNL!B841</f>
        <v/>
      </c>
      <c r="C841">
        <f>PNL!C841</f>
        <v/>
      </c>
      <c r="D841">
        <f>PNL!D841</f>
        <v/>
      </c>
      <c r="E841">
        <f>IF(AND(C841="2027",OR(D841="V01",D841="V02",D841="V03")),1,0)</f>
        <v/>
      </c>
      <c r="F841">
        <f>IF(E841=1,SUMIFS(Compta!$F$2:$F$675,Compta!$A$2:$A$675,A841,Compta!$B$2:$B$675,B841,Compta!$C$2:$C$675,"2026"),0)</f>
        <v/>
      </c>
      <c r="G841">
        <f>IF(D841="V01",cad!$I$21,IF(D841="V02",cad!$J$21,cad!$K$21))</f>
        <v/>
      </c>
      <c r="H841">
        <f>IF(D841="V01",cad!$I$22,IF(D841="V02",cad!$J$22,cad!$K$22))</f>
        <v/>
      </c>
      <c r="I841">
        <f>IF(D841="V01",cad!$I$27,IF(D841="V02",cad!$J$27,cad!$K$27))</f>
        <v/>
      </c>
      <c r="J841">
        <f>IF(D841="V01",cad!$I$28,IF(D841="V02",cad!$J$28,cad!$K$28))</f>
        <v/>
      </c>
      <c r="K841">
        <f>IF(D841="V01",cad!$I$29,IF(D841="V02",cad!$J$29,cad!$K$29))</f>
        <v/>
      </c>
      <c r="L841">
        <f>IF(D841="V01",cad!$I$30,IF(D841="V02",cad!$J$30,cad!$K$30))</f>
        <v/>
      </c>
      <c r="M841">
        <f>IF(D841="V01",cad!$I$31,IF(D841="V02",cad!$J$31,cad!$K$31))</f>
        <v/>
      </c>
      <c r="N841">
        <f>IF(D841="V01",$R$2,IF(D841="V02",$R$3,$R$4))</f>
        <v/>
      </c>
      <c r="O841">
        <f>IF(OR(B841="7062",B841="706",B841="708"),N841,IF(B841="6231",1+G841,IF(B841="6236",1+H841,IF(OR(B841="621",B841="604",B841="6063"),N841*(1-L841),IF(OR(B841="6411",B841="6413",B841="6414",B841="645"),(1+J841)*(1+K841),IF(OR(B841="613",B841="615",B841="616",B841="6226",B841="625",B841="626",B841="6281"),(1+I841)*(1-L841)*(1+M841),IF(OR(B841="6331",B841="63511",B841="6333"),(1+I841)*(1-L841),IF(B841="6811",1+I841,1))))))))</f>
        <v/>
      </c>
      <c r="P841">
        <f>IF(E841=1,F841*O841,"")</f>
        <v/>
      </c>
    </row>
    <row r="842">
      <c r="A842">
        <f>PNL!A842</f>
        <v/>
      </c>
      <c r="B842">
        <f>PNL!B842</f>
        <v/>
      </c>
      <c r="C842">
        <f>PNL!C842</f>
        <v/>
      </c>
      <c r="D842">
        <f>PNL!D842</f>
        <v/>
      </c>
      <c r="E842">
        <f>IF(AND(C842="2027",OR(D842="V01",D842="V02",D842="V03")),1,0)</f>
        <v/>
      </c>
      <c r="F842">
        <f>IF(E842=1,SUMIFS(Compta!$F$2:$F$675,Compta!$A$2:$A$675,A842,Compta!$B$2:$B$675,B842,Compta!$C$2:$C$675,"2026"),0)</f>
        <v/>
      </c>
      <c r="G842">
        <f>IF(D842="V01",cad!$I$21,IF(D842="V02",cad!$J$21,cad!$K$21))</f>
        <v/>
      </c>
      <c r="H842">
        <f>IF(D842="V01",cad!$I$22,IF(D842="V02",cad!$J$22,cad!$K$22))</f>
        <v/>
      </c>
      <c r="I842">
        <f>IF(D842="V01",cad!$I$27,IF(D842="V02",cad!$J$27,cad!$K$27))</f>
        <v/>
      </c>
      <c r="J842">
        <f>IF(D842="V01",cad!$I$28,IF(D842="V02",cad!$J$28,cad!$K$28))</f>
        <v/>
      </c>
      <c r="K842">
        <f>IF(D842="V01",cad!$I$29,IF(D842="V02",cad!$J$29,cad!$K$29))</f>
        <v/>
      </c>
      <c r="L842">
        <f>IF(D842="V01",cad!$I$30,IF(D842="V02",cad!$J$30,cad!$K$30))</f>
        <v/>
      </c>
      <c r="M842">
        <f>IF(D842="V01",cad!$I$31,IF(D842="V02",cad!$J$31,cad!$K$31))</f>
        <v/>
      </c>
      <c r="N842">
        <f>IF(D842="V01",$R$2,IF(D842="V02",$R$3,$R$4))</f>
        <v/>
      </c>
      <c r="O842">
        <f>IF(OR(B842="7062",B842="706",B842="708"),N842,IF(B842="6231",1+G842,IF(B842="6236",1+H842,IF(OR(B842="621",B842="604",B842="6063"),N842*(1-L842),IF(OR(B842="6411",B842="6413",B842="6414",B842="645"),(1+J842)*(1+K842),IF(OR(B842="613",B842="615",B842="616",B842="6226",B842="625",B842="626",B842="6281"),(1+I842)*(1-L842)*(1+M842),IF(OR(B842="6331",B842="63511",B842="6333"),(1+I842)*(1-L842),IF(B842="6811",1+I842,1))))))))</f>
        <v/>
      </c>
      <c r="P842">
        <f>IF(E842=1,F842*O842,"")</f>
        <v/>
      </c>
    </row>
    <row r="843">
      <c r="A843">
        <f>PNL!A843</f>
        <v/>
      </c>
      <c r="B843">
        <f>PNL!B843</f>
        <v/>
      </c>
      <c r="C843">
        <f>PNL!C843</f>
        <v/>
      </c>
      <c r="D843">
        <f>PNL!D843</f>
        <v/>
      </c>
      <c r="E843">
        <f>IF(AND(C843="2027",OR(D843="V01",D843="V02",D843="V03")),1,0)</f>
        <v/>
      </c>
      <c r="F843">
        <f>IF(E843=1,SUMIFS(Compta!$F$2:$F$675,Compta!$A$2:$A$675,A843,Compta!$B$2:$B$675,B843,Compta!$C$2:$C$675,"2026"),0)</f>
        <v/>
      </c>
      <c r="G843">
        <f>IF(D843="V01",cad!$I$21,IF(D843="V02",cad!$J$21,cad!$K$21))</f>
        <v/>
      </c>
      <c r="H843">
        <f>IF(D843="V01",cad!$I$22,IF(D843="V02",cad!$J$22,cad!$K$22))</f>
        <v/>
      </c>
      <c r="I843">
        <f>IF(D843="V01",cad!$I$27,IF(D843="V02",cad!$J$27,cad!$K$27))</f>
        <v/>
      </c>
      <c r="J843">
        <f>IF(D843="V01",cad!$I$28,IF(D843="V02",cad!$J$28,cad!$K$28))</f>
        <v/>
      </c>
      <c r="K843">
        <f>IF(D843="V01",cad!$I$29,IF(D843="V02",cad!$J$29,cad!$K$29))</f>
        <v/>
      </c>
      <c r="L843">
        <f>IF(D843="V01",cad!$I$30,IF(D843="V02",cad!$J$30,cad!$K$30))</f>
        <v/>
      </c>
      <c r="M843">
        <f>IF(D843="V01",cad!$I$31,IF(D843="V02",cad!$J$31,cad!$K$31))</f>
        <v/>
      </c>
      <c r="N843">
        <f>IF(D843="V01",$R$2,IF(D843="V02",$R$3,$R$4))</f>
        <v/>
      </c>
      <c r="O843">
        <f>IF(OR(B843="7062",B843="706",B843="708"),N843,IF(B843="6231",1+G843,IF(B843="6236",1+H843,IF(OR(B843="621",B843="604",B843="6063"),N843*(1-L843),IF(OR(B843="6411",B843="6413",B843="6414",B843="645"),(1+J843)*(1+K843),IF(OR(B843="613",B843="615",B843="616",B843="6226",B843="625",B843="626",B843="6281"),(1+I843)*(1-L843)*(1+M843),IF(OR(B843="6331",B843="63511",B843="6333"),(1+I843)*(1-L843),IF(B843="6811",1+I843,1))))))))</f>
        <v/>
      </c>
      <c r="P843">
        <f>IF(E843=1,F843*O843,"")</f>
        <v/>
      </c>
    </row>
    <row r="844">
      <c r="A844">
        <f>PNL!A844</f>
        <v/>
      </c>
      <c r="B844">
        <f>PNL!B844</f>
        <v/>
      </c>
      <c r="C844">
        <f>PNL!C844</f>
        <v/>
      </c>
      <c r="D844">
        <f>PNL!D844</f>
        <v/>
      </c>
      <c r="E844">
        <f>IF(AND(C844="2027",OR(D844="V01",D844="V02",D844="V03")),1,0)</f>
        <v/>
      </c>
      <c r="F844">
        <f>IF(E844=1,SUMIFS(Compta!$F$2:$F$675,Compta!$A$2:$A$675,A844,Compta!$B$2:$B$675,B844,Compta!$C$2:$C$675,"2026"),0)</f>
        <v/>
      </c>
      <c r="G844">
        <f>IF(D844="V01",cad!$I$21,IF(D844="V02",cad!$J$21,cad!$K$21))</f>
        <v/>
      </c>
      <c r="H844">
        <f>IF(D844="V01",cad!$I$22,IF(D844="V02",cad!$J$22,cad!$K$22))</f>
        <v/>
      </c>
      <c r="I844">
        <f>IF(D844="V01",cad!$I$27,IF(D844="V02",cad!$J$27,cad!$K$27))</f>
        <v/>
      </c>
      <c r="J844">
        <f>IF(D844="V01",cad!$I$28,IF(D844="V02",cad!$J$28,cad!$K$28))</f>
        <v/>
      </c>
      <c r="K844">
        <f>IF(D844="V01",cad!$I$29,IF(D844="V02",cad!$J$29,cad!$K$29))</f>
        <v/>
      </c>
      <c r="L844">
        <f>IF(D844="V01",cad!$I$30,IF(D844="V02",cad!$J$30,cad!$K$30))</f>
        <v/>
      </c>
      <c r="M844">
        <f>IF(D844="V01",cad!$I$31,IF(D844="V02",cad!$J$31,cad!$K$31))</f>
        <v/>
      </c>
      <c r="N844">
        <f>IF(D844="V01",$R$2,IF(D844="V02",$R$3,$R$4))</f>
        <v/>
      </c>
      <c r="O844">
        <f>IF(OR(B844="7062",B844="706",B844="708"),N844,IF(B844="6231",1+G844,IF(B844="6236",1+H844,IF(OR(B844="621",B844="604",B844="6063"),N844*(1-L844),IF(OR(B844="6411",B844="6413",B844="6414",B844="645"),(1+J844)*(1+K844),IF(OR(B844="613",B844="615",B844="616",B844="6226",B844="625",B844="626",B844="6281"),(1+I844)*(1-L844)*(1+M844),IF(OR(B844="6331",B844="63511",B844="6333"),(1+I844)*(1-L844),IF(B844="6811",1+I844,1))))))))</f>
        <v/>
      </c>
      <c r="P844">
        <f>IF(E844=1,F844*O844,"")</f>
        <v/>
      </c>
    </row>
    <row r="845">
      <c r="A845">
        <f>PNL!A845</f>
        <v/>
      </c>
      <c r="B845">
        <f>PNL!B845</f>
        <v/>
      </c>
      <c r="C845">
        <f>PNL!C845</f>
        <v/>
      </c>
      <c r="D845">
        <f>PNL!D845</f>
        <v/>
      </c>
      <c r="E845">
        <f>IF(AND(C845="2027",OR(D845="V01",D845="V02",D845="V03")),1,0)</f>
        <v/>
      </c>
      <c r="F845">
        <f>IF(E845=1,SUMIFS(Compta!$F$2:$F$675,Compta!$A$2:$A$675,A845,Compta!$B$2:$B$675,B845,Compta!$C$2:$C$675,"2026"),0)</f>
        <v/>
      </c>
      <c r="G845">
        <f>IF(D845="V01",cad!$I$21,IF(D845="V02",cad!$J$21,cad!$K$21))</f>
        <v/>
      </c>
      <c r="H845">
        <f>IF(D845="V01",cad!$I$22,IF(D845="V02",cad!$J$22,cad!$K$22))</f>
        <v/>
      </c>
      <c r="I845">
        <f>IF(D845="V01",cad!$I$27,IF(D845="V02",cad!$J$27,cad!$K$27))</f>
        <v/>
      </c>
      <c r="J845">
        <f>IF(D845="V01",cad!$I$28,IF(D845="V02",cad!$J$28,cad!$K$28))</f>
        <v/>
      </c>
      <c r="K845">
        <f>IF(D845="V01",cad!$I$29,IF(D845="V02",cad!$J$29,cad!$K$29))</f>
        <v/>
      </c>
      <c r="L845">
        <f>IF(D845="V01",cad!$I$30,IF(D845="V02",cad!$J$30,cad!$K$30))</f>
        <v/>
      </c>
      <c r="M845">
        <f>IF(D845="V01",cad!$I$31,IF(D845="V02",cad!$J$31,cad!$K$31))</f>
        <v/>
      </c>
      <c r="N845">
        <f>IF(D845="V01",$R$2,IF(D845="V02",$R$3,$R$4))</f>
        <v/>
      </c>
      <c r="O845">
        <f>IF(OR(B845="7062",B845="706",B845="708"),N845,IF(B845="6231",1+G845,IF(B845="6236",1+H845,IF(OR(B845="621",B845="604",B845="6063"),N845*(1-L845),IF(OR(B845="6411",B845="6413",B845="6414",B845="645"),(1+J845)*(1+K845),IF(OR(B845="613",B845="615",B845="616",B845="6226",B845="625",B845="626",B845="6281"),(1+I845)*(1-L845)*(1+M845),IF(OR(B845="6331",B845="63511",B845="6333"),(1+I845)*(1-L845),IF(B845="6811",1+I845,1))))))))</f>
        <v/>
      </c>
      <c r="P845">
        <f>IF(E845=1,F845*O845,"")</f>
        <v/>
      </c>
    </row>
    <row r="846">
      <c r="A846">
        <f>PNL!A846</f>
        <v/>
      </c>
      <c r="B846">
        <f>PNL!B846</f>
        <v/>
      </c>
      <c r="C846">
        <f>PNL!C846</f>
        <v/>
      </c>
      <c r="D846">
        <f>PNL!D846</f>
        <v/>
      </c>
      <c r="E846">
        <f>IF(AND(C846="2027",OR(D846="V01",D846="V02",D846="V03")),1,0)</f>
        <v/>
      </c>
      <c r="F846">
        <f>IF(E846=1,SUMIFS(Compta!$F$2:$F$675,Compta!$A$2:$A$675,A846,Compta!$B$2:$B$675,B846,Compta!$C$2:$C$675,"2026"),0)</f>
        <v/>
      </c>
      <c r="G846">
        <f>IF(D846="V01",cad!$I$21,IF(D846="V02",cad!$J$21,cad!$K$21))</f>
        <v/>
      </c>
      <c r="H846">
        <f>IF(D846="V01",cad!$I$22,IF(D846="V02",cad!$J$22,cad!$K$22))</f>
        <v/>
      </c>
      <c r="I846">
        <f>IF(D846="V01",cad!$I$27,IF(D846="V02",cad!$J$27,cad!$K$27))</f>
        <v/>
      </c>
      <c r="J846">
        <f>IF(D846="V01",cad!$I$28,IF(D846="V02",cad!$J$28,cad!$K$28))</f>
        <v/>
      </c>
      <c r="K846">
        <f>IF(D846="V01",cad!$I$29,IF(D846="V02",cad!$J$29,cad!$K$29))</f>
        <v/>
      </c>
      <c r="L846">
        <f>IF(D846="V01",cad!$I$30,IF(D846="V02",cad!$J$30,cad!$K$30))</f>
        <v/>
      </c>
      <c r="M846">
        <f>IF(D846="V01",cad!$I$31,IF(D846="V02",cad!$J$31,cad!$K$31))</f>
        <v/>
      </c>
      <c r="N846">
        <f>IF(D846="V01",$R$2,IF(D846="V02",$R$3,$R$4))</f>
        <v/>
      </c>
      <c r="O846">
        <f>IF(OR(B846="7062",B846="706",B846="708"),N846,IF(B846="6231",1+G846,IF(B846="6236",1+H846,IF(OR(B846="621",B846="604",B846="6063"),N846*(1-L846),IF(OR(B846="6411",B846="6413",B846="6414",B846="645"),(1+J846)*(1+K846),IF(OR(B846="613",B846="615",B846="616",B846="6226",B846="625",B846="626",B846="6281"),(1+I846)*(1-L846)*(1+M846),IF(OR(B846="6331",B846="63511",B846="6333"),(1+I846)*(1-L846),IF(B846="6811",1+I846,1))))))))</f>
        <v/>
      </c>
      <c r="P846">
        <f>IF(E846=1,F846*O846,"")</f>
        <v/>
      </c>
    </row>
    <row r="847">
      <c r="A847">
        <f>PNL!A847</f>
        <v/>
      </c>
      <c r="B847">
        <f>PNL!B847</f>
        <v/>
      </c>
      <c r="C847">
        <f>PNL!C847</f>
        <v/>
      </c>
      <c r="D847">
        <f>PNL!D847</f>
        <v/>
      </c>
      <c r="E847">
        <f>IF(AND(C847="2027",OR(D847="V01",D847="V02",D847="V03")),1,0)</f>
        <v/>
      </c>
      <c r="F847">
        <f>IF(E847=1,SUMIFS(Compta!$F$2:$F$675,Compta!$A$2:$A$675,A847,Compta!$B$2:$B$675,B847,Compta!$C$2:$C$675,"2026"),0)</f>
        <v/>
      </c>
      <c r="G847">
        <f>IF(D847="V01",cad!$I$21,IF(D847="V02",cad!$J$21,cad!$K$21))</f>
        <v/>
      </c>
      <c r="H847">
        <f>IF(D847="V01",cad!$I$22,IF(D847="V02",cad!$J$22,cad!$K$22))</f>
        <v/>
      </c>
      <c r="I847">
        <f>IF(D847="V01",cad!$I$27,IF(D847="V02",cad!$J$27,cad!$K$27))</f>
        <v/>
      </c>
      <c r="J847">
        <f>IF(D847="V01",cad!$I$28,IF(D847="V02",cad!$J$28,cad!$K$28))</f>
        <v/>
      </c>
      <c r="K847">
        <f>IF(D847="V01",cad!$I$29,IF(D847="V02",cad!$J$29,cad!$K$29))</f>
        <v/>
      </c>
      <c r="L847">
        <f>IF(D847="V01",cad!$I$30,IF(D847="V02",cad!$J$30,cad!$K$30))</f>
        <v/>
      </c>
      <c r="M847">
        <f>IF(D847="V01",cad!$I$31,IF(D847="V02",cad!$J$31,cad!$K$31))</f>
        <v/>
      </c>
      <c r="N847">
        <f>IF(D847="V01",$R$2,IF(D847="V02",$R$3,$R$4))</f>
        <v/>
      </c>
      <c r="O847">
        <f>IF(OR(B847="7062",B847="706",B847="708"),N847,IF(B847="6231",1+G847,IF(B847="6236",1+H847,IF(OR(B847="621",B847="604",B847="6063"),N847*(1-L847),IF(OR(B847="6411",B847="6413",B847="6414",B847="645"),(1+J847)*(1+K847),IF(OR(B847="613",B847="615",B847="616",B847="6226",B847="625",B847="626",B847="6281"),(1+I847)*(1-L847)*(1+M847),IF(OR(B847="6331",B847="63511",B847="6333"),(1+I847)*(1-L847),IF(B847="6811",1+I847,1))))))))</f>
        <v/>
      </c>
      <c r="P847">
        <f>IF(E847=1,F847*O847,"")</f>
        <v/>
      </c>
    </row>
    <row r="848">
      <c r="A848">
        <f>PNL!A848</f>
        <v/>
      </c>
      <c r="B848">
        <f>PNL!B848</f>
        <v/>
      </c>
      <c r="C848">
        <f>PNL!C848</f>
        <v/>
      </c>
      <c r="D848">
        <f>PNL!D848</f>
        <v/>
      </c>
      <c r="E848">
        <f>IF(AND(C848="2027",OR(D848="V01",D848="V02",D848="V03")),1,0)</f>
        <v/>
      </c>
      <c r="F848">
        <f>IF(E848=1,SUMIFS(Compta!$F$2:$F$675,Compta!$A$2:$A$675,A848,Compta!$B$2:$B$675,B848,Compta!$C$2:$C$675,"2026"),0)</f>
        <v/>
      </c>
      <c r="G848">
        <f>IF(D848="V01",cad!$I$21,IF(D848="V02",cad!$J$21,cad!$K$21))</f>
        <v/>
      </c>
      <c r="H848">
        <f>IF(D848="V01",cad!$I$22,IF(D848="V02",cad!$J$22,cad!$K$22))</f>
        <v/>
      </c>
      <c r="I848">
        <f>IF(D848="V01",cad!$I$27,IF(D848="V02",cad!$J$27,cad!$K$27))</f>
        <v/>
      </c>
      <c r="J848">
        <f>IF(D848="V01",cad!$I$28,IF(D848="V02",cad!$J$28,cad!$K$28))</f>
        <v/>
      </c>
      <c r="K848">
        <f>IF(D848="V01",cad!$I$29,IF(D848="V02",cad!$J$29,cad!$K$29))</f>
        <v/>
      </c>
      <c r="L848">
        <f>IF(D848="V01",cad!$I$30,IF(D848="V02",cad!$J$30,cad!$K$30))</f>
        <v/>
      </c>
      <c r="M848">
        <f>IF(D848="V01",cad!$I$31,IF(D848="V02",cad!$J$31,cad!$K$31))</f>
        <v/>
      </c>
      <c r="N848">
        <f>IF(D848="V01",$R$2,IF(D848="V02",$R$3,$R$4))</f>
        <v/>
      </c>
      <c r="O848">
        <f>IF(OR(B848="7062",B848="706",B848="708"),N848,IF(B848="6231",1+G848,IF(B848="6236",1+H848,IF(OR(B848="621",B848="604",B848="6063"),N848*(1-L848),IF(OR(B848="6411",B848="6413",B848="6414",B848="645"),(1+J848)*(1+K848),IF(OR(B848="613",B848="615",B848="616",B848="6226",B848="625",B848="626",B848="6281"),(1+I848)*(1-L848)*(1+M848),IF(OR(B848="6331",B848="63511",B848="6333"),(1+I848)*(1-L848),IF(B848="6811",1+I848,1))))))))</f>
        <v/>
      </c>
      <c r="P848">
        <f>IF(E848=1,F848*O848,"")</f>
        <v/>
      </c>
    </row>
    <row r="849">
      <c r="A849">
        <f>PNL!A849</f>
        <v/>
      </c>
      <c r="B849">
        <f>PNL!B849</f>
        <v/>
      </c>
      <c r="C849">
        <f>PNL!C849</f>
        <v/>
      </c>
      <c r="D849">
        <f>PNL!D849</f>
        <v/>
      </c>
      <c r="E849">
        <f>IF(AND(C849="2027",OR(D849="V01",D849="V02",D849="V03")),1,0)</f>
        <v/>
      </c>
      <c r="F849">
        <f>IF(E849=1,SUMIFS(Compta!$F$2:$F$675,Compta!$A$2:$A$675,A849,Compta!$B$2:$B$675,B849,Compta!$C$2:$C$675,"2026"),0)</f>
        <v/>
      </c>
      <c r="G849">
        <f>IF(D849="V01",cad!$I$21,IF(D849="V02",cad!$J$21,cad!$K$21))</f>
        <v/>
      </c>
      <c r="H849">
        <f>IF(D849="V01",cad!$I$22,IF(D849="V02",cad!$J$22,cad!$K$22))</f>
        <v/>
      </c>
      <c r="I849">
        <f>IF(D849="V01",cad!$I$27,IF(D849="V02",cad!$J$27,cad!$K$27))</f>
        <v/>
      </c>
      <c r="J849">
        <f>IF(D849="V01",cad!$I$28,IF(D849="V02",cad!$J$28,cad!$K$28))</f>
        <v/>
      </c>
      <c r="K849">
        <f>IF(D849="V01",cad!$I$29,IF(D849="V02",cad!$J$29,cad!$K$29))</f>
        <v/>
      </c>
      <c r="L849">
        <f>IF(D849="V01",cad!$I$30,IF(D849="V02",cad!$J$30,cad!$K$30))</f>
        <v/>
      </c>
      <c r="M849">
        <f>IF(D849="V01",cad!$I$31,IF(D849="V02",cad!$J$31,cad!$K$31))</f>
        <v/>
      </c>
      <c r="N849">
        <f>IF(D849="V01",$R$2,IF(D849="V02",$R$3,$R$4))</f>
        <v/>
      </c>
      <c r="O849">
        <f>IF(OR(B849="7062",B849="706",B849="708"),N849,IF(B849="6231",1+G849,IF(B849="6236",1+H849,IF(OR(B849="621",B849="604",B849="6063"),N849*(1-L849),IF(OR(B849="6411",B849="6413",B849="6414",B849="645"),(1+J849)*(1+K849),IF(OR(B849="613",B849="615",B849="616",B849="6226",B849="625",B849="626",B849="6281"),(1+I849)*(1-L849)*(1+M849),IF(OR(B849="6331",B849="63511",B849="6333"),(1+I849)*(1-L849),IF(B849="6811",1+I849,1))))))))</f>
        <v/>
      </c>
      <c r="P849">
        <f>IF(E849=1,F849*O849,"")</f>
        <v/>
      </c>
    </row>
    <row r="850">
      <c r="A850">
        <f>PNL!A850</f>
        <v/>
      </c>
      <c r="B850">
        <f>PNL!B850</f>
        <v/>
      </c>
      <c r="C850">
        <f>PNL!C850</f>
        <v/>
      </c>
      <c r="D850">
        <f>PNL!D850</f>
        <v/>
      </c>
      <c r="E850">
        <f>IF(AND(C850="2027",OR(D850="V01",D850="V02",D850="V03")),1,0)</f>
        <v/>
      </c>
      <c r="F850">
        <f>IF(E850=1,SUMIFS(Compta!$F$2:$F$675,Compta!$A$2:$A$675,A850,Compta!$B$2:$B$675,B850,Compta!$C$2:$C$675,"2026"),0)</f>
        <v/>
      </c>
      <c r="G850">
        <f>IF(D850="V01",cad!$I$21,IF(D850="V02",cad!$J$21,cad!$K$21))</f>
        <v/>
      </c>
      <c r="H850">
        <f>IF(D850="V01",cad!$I$22,IF(D850="V02",cad!$J$22,cad!$K$22))</f>
        <v/>
      </c>
      <c r="I850">
        <f>IF(D850="V01",cad!$I$27,IF(D850="V02",cad!$J$27,cad!$K$27))</f>
        <v/>
      </c>
      <c r="J850">
        <f>IF(D850="V01",cad!$I$28,IF(D850="V02",cad!$J$28,cad!$K$28))</f>
        <v/>
      </c>
      <c r="K850">
        <f>IF(D850="V01",cad!$I$29,IF(D850="V02",cad!$J$29,cad!$K$29))</f>
        <v/>
      </c>
      <c r="L850">
        <f>IF(D850="V01",cad!$I$30,IF(D850="V02",cad!$J$30,cad!$K$30))</f>
        <v/>
      </c>
      <c r="M850">
        <f>IF(D850="V01",cad!$I$31,IF(D850="V02",cad!$J$31,cad!$K$31))</f>
        <v/>
      </c>
      <c r="N850">
        <f>IF(D850="V01",$R$2,IF(D850="V02",$R$3,$R$4))</f>
        <v/>
      </c>
      <c r="O850">
        <f>IF(OR(B850="7062",B850="706",B850="708"),N850,IF(B850="6231",1+G850,IF(B850="6236",1+H850,IF(OR(B850="621",B850="604",B850="6063"),N850*(1-L850),IF(OR(B850="6411",B850="6413",B850="6414",B850="645"),(1+J850)*(1+K850),IF(OR(B850="613",B850="615",B850="616",B850="6226",B850="625",B850="626",B850="6281"),(1+I850)*(1-L850)*(1+M850),IF(OR(B850="6331",B850="63511",B850="6333"),(1+I850)*(1-L850),IF(B850="6811",1+I850,1))))))))</f>
        <v/>
      </c>
      <c r="P850">
        <f>IF(E850=1,F850*O850,"")</f>
        <v/>
      </c>
    </row>
    <row r="851">
      <c r="A851">
        <f>PNL!A851</f>
        <v/>
      </c>
      <c r="B851">
        <f>PNL!B851</f>
        <v/>
      </c>
      <c r="C851">
        <f>PNL!C851</f>
        <v/>
      </c>
      <c r="D851">
        <f>PNL!D851</f>
        <v/>
      </c>
      <c r="E851">
        <f>IF(AND(C851="2027",OR(D851="V01",D851="V02",D851="V03")),1,0)</f>
        <v/>
      </c>
      <c r="F851">
        <f>IF(E851=1,SUMIFS(Compta!$F$2:$F$675,Compta!$A$2:$A$675,A851,Compta!$B$2:$B$675,B851,Compta!$C$2:$C$675,"2026"),0)</f>
        <v/>
      </c>
      <c r="G851">
        <f>IF(D851="V01",cad!$I$21,IF(D851="V02",cad!$J$21,cad!$K$21))</f>
        <v/>
      </c>
      <c r="H851">
        <f>IF(D851="V01",cad!$I$22,IF(D851="V02",cad!$J$22,cad!$K$22))</f>
        <v/>
      </c>
      <c r="I851">
        <f>IF(D851="V01",cad!$I$27,IF(D851="V02",cad!$J$27,cad!$K$27))</f>
        <v/>
      </c>
      <c r="J851">
        <f>IF(D851="V01",cad!$I$28,IF(D851="V02",cad!$J$28,cad!$K$28))</f>
        <v/>
      </c>
      <c r="K851">
        <f>IF(D851="V01",cad!$I$29,IF(D851="V02",cad!$J$29,cad!$K$29))</f>
        <v/>
      </c>
      <c r="L851">
        <f>IF(D851="V01",cad!$I$30,IF(D851="V02",cad!$J$30,cad!$K$30))</f>
        <v/>
      </c>
      <c r="M851">
        <f>IF(D851="V01",cad!$I$31,IF(D851="V02",cad!$J$31,cad!$K$31))</f>
        <v/>
      </c>
      <c r="N851">
        <f>IF(D851="V01",$R$2,IF(D851="V02",$R$3,$R$4))</f>
        <v/>
      </c>
      <c r="O851">
        <f>IF(OR(B851="7062",B851="706",B851="708"),N851,IF(B851="6231",1+G851,IF(B851="6236",1+H851,IF(OR(B851="621",B851="604",B851="6063"),N851*(1-L851),IF(OR(B851="6411",B851="6413",B851="6414",B851="645"),(1+J851)*(1+K851),IF(OR(B851="613",B851="615",B851="616",B851="6226",B851="625",B851="626",B851="6281"),(1+I851)*(1-L851)*(1+M851),IF(OR(B851="6331",B851="63511",B851="6333"),(1+I851)*(1-L851),IF(B851="6811",1+I851,1))))))))</f>
        <v/>
      </c>
      <c r="P851">
        <f>IF(E851=1,F851*O851,"")</f>
        <v/>
      </c>
    </row>
    <row r="852">
      <c r="A852">
        <f>PNL!A852</f>
        <v/>
      </c>
      <c r="B852">
        <f>PNL!B852</f>
        <v/>
      </c>
      <c r="C852">
        <f>PNL!C852</f>
        <v/>
      </c>
      <c r="D852">
        <f>PNL!D852</f>
        <v/>
      </c>
      <c r="E852">
        <f>IF(AND(C852="2027",OR(D852="V01",D852="V02",D852="V03")),1,0)</f>
        <v/>
      </c>
      <c r="F852">
        <f>IF(E852=1,SUMIFS(Compta!$F$2:$F$675,Compta!$A$2:$A$675,A852,Compta!$B$2:$B$675,B852,Compta!$C$2:$C$675,"2026"),0)</f>
        <v/>
      </c>
      <c r="G852">
        <f>IF(D852="V01",cad!$I$21,IF(D852="V02",cad!$J$21,cad!$K$21))</f>
        <v/>
      </c>
      <c r="H852">
        <f>IF(D852="V01",cad!$I$22,IF(D852="V02",cad!$J$22,cad!$K$22))</f>
        <v/>
      </c>
      <c r="I852">
        <f>IF(D852="V01",cad!$I$27,IF(D852="V02",cad!$J$27,cad!$K$27))</f>
        <v/>
      </c>
      <c r="J852">
        <f>IF(D852="V01",cad!$I$28,IF(D852="V02",cad!$J$28,cad!$K$28))</f>
        <v/>
      </c>
      <c r="K852">
        <f>IF(D852="V01",cad!$I$29,IF(D852="V02",cad!$J$29,cad!$K$29))</f>
        <v/>
      </c>
      <c r="L852">
        <f>IF(D852="V01",cad!$I$30,IF(D852="V02",cad!$J$30,cad!$K$30))</f>
        <v/>
      </c>
      <c r="M852">
        <f>IF(D852="V01",cad!$I$31,IF(D852="V02",cad!$J$31,cad!$K$31))</f>
        <v/>
      </c>
      <c r="N852">
        <f>IF(D852="V01",$R$2,IF(D852="V02",$R$3,$R$4))</f>
        <v/>
      </c>
      <c r="O852">
        <f>IF(OR(B852="7062",B852="706",B852="708"),N852,IF(B852="6231",1+G852,IF(B852="6236",1+H852,IF(OR(B852="621",B852="604",B852="6063"),N852*(1-L852),IF(OR(B852="6411",B852="6413",B852="6414",B852="645"),(1+J852)*(1+K852),IF(OR(B852="613",B852="615",B852="616",B852="6226",B852="625",B852="626",B852="6281"),(1+I852)*(1-L852)*(1+M852),IF(OR(B852="6331",B852="63511",B852="6333"),(1+I852)*(1-L852),IF(B852="6811",1+I852,1))))))))</f>
        <v/>
      </c>
      <c r="P852">
        <f>IF(E852=1,F852*O852,"")</f>
        <v/>
      </c>
    </row>
    <row r="853">
      <c r="A853">
        <f>PNL!A853</f>
        <v/>
      </c>
      <c r="B853">
        <f>PNL!B853</f>
        <v/>
      </c>
      <c r="C853">
        <f>PNL!C853</f>
        <v/>
      </c>
      <c r="D853">
        <f>PNL!D853</f>
        <v/>
      </c>
      <c r="E853">
        <f>IF(AND(C853="2027",OR(D853="V01",D853="V02",D853="V03")),1,0)</f>
        <v/>
      </c>
      <c r="F853">
        <f>IF(E853=1,SUMIFS(Compta!$F$2:$F$675,Compta!$A$2:$A$675,A853,Compta!$B$2:$B$675,B853,Compta!$C$2:$C$675,"2026"),0)</f>
        <v/>
      </c>
      <c r="G853">
        <f>IF(D853="V01",cad!$I$21,IF(D853="V02",cad!$J$21,cad!$K$21))</f>
        <v/>
      </c>
      <c r="H853">
        <f>IF(D853="V01",cad!$I$22,IF(D853="V02",cad!$J$22,cad!$K$22))</f>
        <v/>
      </c>
      <c r="I853">
        <f>IF(D853="V01",cad!$I$27,IF(D853="V02",cad!$J$27,cad!$K$27))</f>
        <v/>
      </c>
      <c r="J853">
        <f>IF(D853="V01",cad!$I$28,IF(D853="V02",cad!$J$28,cad!$K$28))</f>
        <v/>
      </c>
      <c r="K853">
        <f>IF(D853="V01",cad!$I$29,IF(D853="V02",cad!$J$29,cad!$K$29))</f>
        <v/>
      </c>
      <c r="L853">
        <f>IF(D853="V01",cad!$I$30,IF(D853="V02",cad!$J$30,cad!$K$30))</f>
        <v/>
      </c>
      <c r="M853">
        <f>IF(D853="V01",cad!$I$31,IF(D853="V02",cad!$J$31,cad!$K$31))</f>
        <v/>
      </c>
      <c r="N853">
        <f>IF(D853="V01",$R$2,IF(D853="V02",$R$3,$R$4))</f>
        <v/>
      </c>
      <c r="O853">
        <f>IF(OR(B853="7062",B853="706",B853="708"),N853,IF(B853="6231",1+G853,IF(B853="6236",1+H853,IF(OR(B853="621",B853="604",B853="6063"),N853*(1-L853),IF(OR(B853="6411",B853="6413",B853="6414",B853="645"),(1+J853)*(1+K853),IF(OR(B853="613",B853="615",B853="616",B853="6226",B853="625",B853="626",B853="6281"),(1+I853)*(1-L853)*(1+M853),IF(OR(B853="6331",B853="63511",B853="6333"),(1+I853)*(1-L853),IF(B853="6811",1+I853,1))))))))</f>
        <v/>
      </c>
      <c r="P853">
        <f>IF(E853=1,F853*O853,"")</f>
        <v/>
      </c>
    </row>
    <row r="854">
      <c r="A854">
        <f>PNL!A854</f>
        <v/>
      </c>
      <c r="B854">
        <f>PNL!B854</f>
        <v/>
      </c>
      <c r="C854">
        <f>PNL!C854</f>
        <v/>
      </c>
      <c r="D854">
        <f>PNL!D854</f>
        <v/>
      </c>
      <c r="E854">
        <f>IF(AND(C854="2027",OR(D854="V01",D854="V02",D854="V03")),1,0)</f>
        <v/>
      </c>
      <c r="F854">
        <f>IF(E854=1,SUMIFS(Compta!$F$2:$F$675,Compta!$A$2:$A$675,A854,Compta!$B$2:$B$675,B854,Compta!$C$2:$C$675,"2026"),0)</f>
        <v/>
      </c>
      <c r="G854">
        <f>IF(D854="V01",cad!$I$21,IF(D854="V02",cad!$J$21,cad!$K$21))</f>
        <v/>
      </c>
      <c r="H854">
        <f>IF(D854="V01",cad!$I$22,IF(D854="V02",cad!$J$22,cad!$K$22))</f>
        <v/>
      </c>
      <c r="I854">
        <f>IF(D854="V01",cad!$I$27,IF(D854="V02",cad!$J$27,cad!$K$27))</f>
        <v/>
      </c>
      <c r="J854">
        <f>IF(D854="V01",cad!$I$28,IF(D854="V02",cad!$J$28,cad!$K$28))</f>
        <v/>
      </c>
      <c r="K854">
        <f>IF(D854="V01",cad!$I$29,IF(D854="V02",cad!$J$29,cad!$K$29))</f>
        <v/>
      </c>
      <c r="L854">
        <f>IF(D854="V01",cad!$I$30,IF(D854="V02",cad!$J$30,cad!$K$30))</f>
        <v/>
      </c>
      <c r="M854">
        <f>IF(D854="V01",cad!$I$31,IF(D854="V02",cad!$J$31,cad!$K$31))</f>
        <v/>
      </c>
      <c r="N854">
        <f>IF(D854="V01",$R$2,IF(D854="V02",$R$3,$R$4))</f>
        <v/>
      </c>
      <c r="O854">
        <f>IF(OR(B854="7062",B854="706",B854="708"),N854,IF(B854="6231",1+G854,IF(B854="6236",1+H854,IF(OR(B854="621",B854="604",B854="6063"),N854*(1-L854),IF(OR(B854="6411",B854="6413",B854="6414",B854="645"),(1+J854)*(1+K854),IF(OR(B854="613",B854="615",B854="616",B854="6226",B854="625",B854="626",B854="6281"),(1+I854)*(1-L854)*(1+M854),IF(OR(B854="6331",B854="63511",B854="6333"),(1+I854)*(1-L854),IF(B854="6811",1+I854,1))))))))</f>
        <v/>
      </c>
      <c r="P854">
        <f>IF(E854=1,F854*O854,"")</f>
        <v/>
      </c>
    </row>
    <row r="855">
      <c r="A855">
        <f>PNL!A855</f>
        <v/>
      </c>
      <c r="B855">
        <f>PNL!B855</f>
        <v/>
      </c>
      <c r="C855">
        <f>PNL!C855</f>
        <v/>
      </c>
      <c r="D855">
        <f>PNL!D855</f>
        <v/>
      </c>
      <c r="E855">
        <f>IF(AND(C855="2027",OR(D855="V01",D855="V02",D855="V03")),1,0)</f>
        <v/>
      </c>
      <c r="F855">
        <f>IF(E855=1,SUMIFS(Compta!$F$2:$F$675,Compta!$A$2:$A$675,A855,Compta!$B$2:$B$675,B855,Compta!$C$2:$C$675,"2026"),0)</f>
        <v/>
      </c>
      <c r="G855">
        <f>IF(D855="V01",cad!$I$21,IF(D855="V02",cad!$J$21,cad!$K$21))</f>
        <v/>
      </c>
      <c r="H855">
        <f>IF(D855="V01",cad!$I$22,IF(D855="V02",cad!$J$22,cad!$K$22))</f>
        <v/>
      </c>
      <c r="I855">
        <f>IF(D855="V01",cad!$I$27,IF(D855="V02",cad!$J$27,cad!$K$27))</f>
        <v/>
      </c>
      <c r="J855">
        <f>IF(D855="V01",cad!$I$28,IF(D855="V02",cad!$J$28,cad!$K$28))</f>
        <v/>
      </c>
      <c r="K855">
        <f>IF(D855="V01",cad!$I$29,IF(D855="V02",cad!$J$29,cad!$K$29))</f>
        <v/>
      </c>
      <c r="L855">
        <f>IF(D855="V01",cad!$I$30,IF(D855="V02",cad!$J$30,cad!$K$30))</f>
        <v/>
      </c>
      <c r="M855">
        <f>IF(D855="V01",cad!$I$31,IF(D855="V02",cad!$J$31,cad!$K$31))</f>
        <v/>
      </c>
      <c r="N855">
        <f>IF(D855="V01",$R$2,IF(D855="V02",$R$3,$R$4))</f>
        <v/>
      </c>
      <c r="O855">
        <f>IF(OR(B855="7062",B855="706",B855="708"),N855,IF(B855="6231",1+G855,IF(B855="6236",1+H855,IF(OR(B855="621",B855="604",B855="6063"),N855*(1-L855),IF(OR(B855="6411",B855="6413",B855="6414",B855="645"),(1+J855)*(1+K855),IF(OR(B855="613",B855="615",B855="616",B855="6226",B855="625",B855="626",B855="6281"),(1+I855)*(1-L855)*(1+M855),IF(OR(B855="6331",B855="63511",B855="6333"),(1+I855)*(1-L855),IF(B855="6811",1+I855,1))))))))</f>
        <v/>
      </c>
      <c r="P855">
        <f>IF(E855=1,F855*O855,"")</f>
        <v/>
      </c>
    </row>
    <row r="856">
      <c r="A856">
        <f>PNL!A856</f>
        <v/>
      </c>
      <c r="B856">
        <f>PNL!B856</f>
        <v/>
      </c>
      <c r="C856">
        <f>PNL!C856</f>
        <v/>
      </c>
      <c r="D856">
        <f>PNL!D856</f>
        <v/>
      </c>
      <c r="E856">
        <f>IF(AND(C856="2027",OR(D856="V01",D856="V02",D856="V03")),1,0)</f>
        <v/>
      </c>
      <c r="F856">
        <f>IF(E856=1,SUMIFS(Compta!$F$2:$F$675,Compta!$A$2:$A$675,A856,Compta!$B$2:$B$675,B856,Compta!$C$2:$C$675,"2026"),0)</f>
        <v/>
      </c>
      <c r="G856">
        <f>IF(D856="V01",cad!$I$21,IF(D856="V02",cad!$J$21,cad!$K$21))</f>
        <v/>
      </c>
      <c r="H856">
        <f>IF(D856="V01",cad!$I$22,IF(D856="V02",cad!$J$22,cad!$K$22))</f>
        <v/>
      </c>
      <c r="I856">
        <f>IF(D856="V01",cad!$I$27,IF(D856="V02",cad!$J$27,cad!$K$27))</f>
        <v/>
      </c>
      <c r="J856">
        <f>IF(D856="V01",cad!$I$28,IF(D856="V02",cad!$J$28,cad!$K$28))</f>
        <v/>
      </c>
      <c r="K856">
        <f>IF(D856="V01",cad!$I$29,IF(D856="V02",cad!$J$29,cad!$K$29))</f>
        <v/>
      </c>
      <c r="L856">
        <f>IF(D856="V01",cad!$I$30,IF(D856="V02",cad!$J$30,cad!$K$30))</f>
        <v/>
      </c>
      <c r="M856">
        <f>IF(D856="V01",cad!$I$31,IF(D856="V02",cad!$J$31,cad!$K$31))</f>
        <v/>
      </c>
      <c r="N856">
        <f>IF(D856="V01",$R$2,IF(D856="V02",$R$3,$R$4))</f>
        <v/>
      </c>
      <c r="O856">
        <f>IF(OR(B856="7062",B856="706",B856="708"),N856,IF(B856="6231",1+G856,IF(B856="6236",1+H856,IF(OR(B856="621",B856="604",B856="6063"),N856*(1-L856),IF(OR(B856="6411",B856="6413",B856="6414",B856="645"),(1+J856)*(1+K856),IF(OR(B856="613",B856="615",B856="616",B856="6226",B856="625",B856="626",B856="6281"),(1+I856)*(1-L856)*(1+M856),IF(OR(B856="6331",B856="63511",B856="6333"),(1+I856)*(1-L856),IF(B856="6811",1+I856,1))))))))</f>
        <v/>
      </c>
      <c r="P856">
        <f>IF(E856=1,F856*O856,"")</f>
        <v/>
      </c>
    </row>
    <row r="857">
      <c r="A857">
        <f>PNL!A857</f>
        <v/>
      </c>
      <c r="B857">
        <f>PNL!B857</f>
        <v/>
      </c>
      <c r="C857">
        <f>PNL!C857</f>
        <v/>
      </c>
      <c r="D857">
        <f>PNL!D857</f>
        <v/>
      </c>
      <c r="E857">
        <f>IF(AND(C857="2027",OR(D857="V01",D857="V02",D857="V03")),1,0)</f>
        <v/>
      </c>
      <c r="F857">
        <f>IF(E857=1,SUMIFS(Compta!$F$2:$F$675,Compta!$A$2:$A$675,A857,Compta!$B$2:$B$675,B857,Compta!$C$2:$C$675,"2026"),0)</f>
        <v/>
      </c>
      <c r="G857">
        <f>IF(D857="V01",cad!$I$21,IF(D857="V02",cad!$J$21,cad!$K$21))</f>
        <v/>
      </c>
      <c r="H857">
        <f>IF(D857="V01",cad!$I$22,IF(D857="V02",cad!$J$22,cad!$K$22))</f>
        <v/>
      </c>
      <c r="I857">
        <f>IF(D857="V01",cad!$I$27,IF(D857="V02",cad!$J$27,cad!$K$27))</f>
        <v/>
      </c>
      <c r="J857">
        <f>IF(D857="V01",cad!$I$28,IF(D857="V02",cad!$J$28,cad!$K$28))</f>
        <v/>
      </c>
      <c r="K857">
        <f>IF(D857="V01",cad!$I$29,IF(D857="V02",cad!$J$29,cad!$K$29))</f>
        <v/>
      </c>
      <c r="L857">
        <f>IF(D857="V01",cad!$I$30,IF(D857="V02",cad!$J$30,cad!$K$30))</f>
        <v/>
      </c>
      <c r="M857">
        <f>IF(D857="V01",cad!$I$31,IF(D857="V02",cad!$J$31,cad!$K$31))</f>
        <v/>
      </c>
      <c r="N857">
        <f>IF(D857="V01",$R$2,IF(D857="V02",$R$3,$R$4))</f>
        <v/>
      </c>
      <c r="O857">
        <f>IF(OR(B857="7062",B857="706",B857="708"),N857,IF(B857="6231",1+G857,IF(B857="6236",1+H857,IF(OR(B857="621",B857="604",B857="6063"),N857*(1-L857),IF(OR(B857="6411",B857="6413",B857="6414",B857="645"),(1+J857)*(1+K857),IF(OR(B857="613",B857="615",B857="616",B857="6226",B857="625",B857="626",B857="6281"),(1+I857)*(1-L857)*(1+M857),IF(OR(B857="6331",B857="63511",B857="6333"),(1+I857)*(1-L857),IF(B857="6811",1+I857,1))))))))</f>
        <v/>
      </c>
      <c r="P857">
        <f>IF(E857=1,F857*O857,"")</f>
        <v/>
      </c>
    </row>
    <row r="858">
      <c r="A858">
        <f>PNL!A858</f>
        <v/>
      </c>
      <c r="B858">
        <f>PNL!B858</f>
        <v/>
      </c>
      <c r="C858">
        <f>PNL!C858</f>
        <v/>
      </c>
      <c r="D858">
        <f>PNL!D858</f>
        <v/>
      </c>
      <c r="E858">
        <f>IF(AND(C858="2027",OR(D858="V01",D858="V02",D858="V03")),1,0)</f>
        <v/>
      </c>
      <c r="F858">
        <f>IF(E858=1,SUMIFS(Compta!$F$2:$F$675,Compta!$A$2:$A$675,A858,Compta!$B$2:$B$675,B858,Compta!$C$2:$C$675,"2026"),0)</f>
        <v/>
      </c>
      <c r="G858">
        <f>IF(D858="V01",cad!$I$21,IF(D858="V02",cad!$J$21,cad!$K$21))</f>
        <v/>
      </c>
      <c r="H858">
        <f>IF(D858="V01",cad!$I$22,IF(D858="V02",cad!$J$22,cad!$K$22))</f>
        <v/>
      </c>
      <c r="I858">
        <f>IF(D858="V01",cad!$I$27,IF(D858="V02",cad!$J$27,cad!$K$27))</f>
        <v/>
      </c>
      <c r="J858">
        <f>IF(D858="V01",cad!$I$28,IF(D858="V02",cad!$J$28,cad!$K$28))</f>
        <v/>
      </c>
      <c r="K858">
        <f>IF(D858="V01",cad!$I$29,IF(D858="V02",cad!$J$29,cad!$K$29))</f>
        <v/>
      </c>
      <c r="L858">
        <f>IF(D858="V01",cad!$I$30,IF(D858="V02",cad!$J$30,cad!$K$30))</f>
        <v/>
      </c>
      <c r="M858">
        <f>IF(D858="V01",cad!$I$31,IF(D858="V02",cad!$J$31,cad!$K$31))</f>
        <v/>
      </c>
      <c r="N858">
        <f>IF(D858="V01",$R$2,IF(D858="V02",$R$3,$R$4))</f>
        <v/>
      </c>
      <c r="O858">
        <f>IF(OR(B858="7062",B858="706",B858="708"),N858,IF(B858="6231",1+G858,IF(B858="6236",1+H858,IF(OR(B858="621",B858="604",B858="6063"),N858*(1-L858),IF(OR(B858="6411",B858="6413",B858="6414",B858="645"),(1+J858)*(1+K858),IF(OR(B858="613",B858="615",B858="616",B858="6226",B858="625",B858="626",B858="6281"),(1+I858)*(1-L858)*(1+M858),IF(OR(B858="6331",B858="63511",B858="6333"),(1+I858)*(1-L858),IF(B858="6811",1+I858,1))))))))</f>
        <v/>
      </c>
      <c r="P858">
        <f>IF(E858=1,F858*O858,"")</f>
        <v/>
      </c>
    </row>
    <row r="859">
      <c r="A859">
        <f>PNL!A859</f>
        <v/>
      </c>
      <c r="B859">
        <f>PNL!B859</f>
        <v/>
      </c>
      <c r="C859">
        <f>PNL!C859</f>
        <v/>
      </c>
      <c r="D859">
        <f>PNL!D859</f>
        <v/>
      </c>
      <c r="E859">
        <f>IF(AND(C859="2027",OR(D859="V01",D859="V02",D859="V03")),1,0)</f>
        <v/>
      </c>
      <c r="F859">
        <f>IF(E859=1,SUMIFS(Compta!$F$2:$F$675,Compta!$A$2:$A$675,A859,Compta!$B$2:$B$675,B859,Compta!$C$2:$C$675,"2026"),0)</f>
        <v/>
      </c>
      <c r="G859">
        <f>IF(D859="V01",cad!$I$21,IF(D859="V02",cad!$J$21,cad!$K$21))</f>
        <v/>
      </c>
      <c r="H859">
        <f>IF(D859="V01",cad!$I$22,IF(D859="V02",cad!$J$22,cad!$K$22))</f>
        <v/>
      </c>
      <c r="I859">
        <f>IF(D859="V01",cad!$I$27,IF(D859="V02",cad!$J$27,cad!$K$27))</f>
        <v/>
      </c>
      <c r="J859">
        <f>IF(D859="V01",cad!$I$28,IF(D859="V02",cad!$J$28,cad!$K$28))</f>
        <v/>
      </c>
      <c r="K859">
        <f>IF(D859="V01",cad!$I$29,IF(D859="V02",cad!$J$29,cad!$K$29))</f>
        <v/>
      </c>
      <c r="L859">
        <f>IF(D859="V01",cad!$I$30,IF(D859="V02",cad!$J$30,cad!$K$30))</f>
        <v/>
      </c>
      <c r="M859">
        <f>IF(D859="V01",cad!$I$31,IF(D859="V02",cad!$J$31,cad!$K$31))</f>
        <v/>
      </c>
      <c r="N859">
        <f>IF(D859="V01",$R$2,IF(D859="V02",$R$3,$R$4))</f>
        <v/>
      </c>
      <c r="O859">
        <f>IF(OR(B859="7062",B859="706",B859="708"),N859,IF(B859="6231",1+G859,IF(B859="6236",1+H859,IF(OR(B859="621",B859="604",B859="6063"),N859*(1-L859),IF(OR(B859="6411",B859="6413",B859="6414",B859="645"),(1+J859)*(1+K859),IF(OR(B859="613",B859="615",B859="616",B859="6226",B859="625",B859="626",B859="6281"),(1+I859)*(1-L859)*(1+M859),IF(OR(B859="6331",B859="63511",B859="6333"),(1+I859)*(1-L859),IF(B859="6811",1+I859,1))))))))</f>
        <v/>
      </c>
      <c r="P859">
        <f>IF(E859=1,F859*O859,"")</f>
        <v/>
      </c>
    </row>
    <row r="860">
      <c r="A860">
        <f>PNL!A860</f>
        <v/>
      </c>
      <c r="B860">
        <f>PNL!B860</f>
        <v/>
      </c>
      <c r="C860">
        <f>PNL!C860</f>
        <v/>
      </c>
      <c r="D860">
        <f>PNL!D860</f>
        <v/>
      </c>
      <c r="E860">
        <f>IF(AND(C860="2027",OR(D860="V01",D860="V02",D860="V03")),1,0)</f>
        <v/>
      </c>
      <c r="F860">
        <f>IF(E860=1,SUMIFS(Compta!$F$2:$F$675,Compta!$A$2:$A$675,A860,Compta!$B$2:$B$675,B860,Compta!$C$2:$C$675,"2026"),0)</f>
        <v/>
      </c>
      <c r="G860">
        <f>IF(D860="V01",cad!$I$21,IF(D860="V02",cad!$J$21,cad!$K$21))</f>
        <v/>
      </c>
      <c r="H860">
        <f>IF(D860="V01",cad!$I$22,IF(D860="V02",cad!$J$22,cad!$K$22))</f>
        <v/>
      </c>
      <c r="I860">
        <f>IF(D860="V01",cad!$I$27,IF(D860="V02",cad!$J$27,cad!$K$27))</f>
        <v/>
      </c>
      <c r="J860">
        <f>IF(D860="V01",cad!$I$28,IF(D860="V02",cad!$J$28,cad!$K$28))</f>
        <v/>
      </c>
      <c r="K860">
        <f>IF(D860="V01",cad!$I$29,IF(D860="V02",cad!$J$29,cad!$K$29))</f>
        <v/>
      </c>
      <c r="L860">
        <f>IF(D860="V01",cad!$I$30,IF(D860="V02",cad!$J$30,cad!$K$30))</f>
        <v/>
      </c>
      <c r="M860">
        <f>IF(D860="V01",cad!$I$31,IF(D860="V02",cad!$J$31,cad!$K$31))</f>
        <v/>
      </c>
      <c r="N860">
        <f>IF(D860="V01",$R$2,IF(D860="V02",$R$3,$R$4))</f>
        <v/>
      </c>
      <c r="O860">
        <f>IF(OR(B860="7062",B860="706",B860="708"),N860,IF(B860="6231",1+G860,IF(B860="6236",1+H860,IF(OR(B860="621",B860="604",B860="6063"),N860*(1-L860),IF(OR(B860="6411",B860="6413",B860="6414",B860="645"),(1+J860)*(1+K860),IF(OR(B860="613",B860="615",B860="616",B860="6226",B860="625",B860="626",B860="6281"),(1+I860)*(1-L860)*(1+M860),IF(OR(B860="6331",B860="63511",B860="6333"),(1+I860)*(1-L860),IF(B860="6811",1+I860,1))))))))</f>
        <v/>
      </c>
      <c r="P860">
        <f>IF(E860=1,F860*O860,"")</f>
        <v/>
      </c>
    </row>
    <row r="861">
      <c r="A861">
        <f>PNL!A861</f>
        <v/>
      </c>
      <c r="B861">
        <f>PNL!B861</f>
        <v/>
      </c>
      <c r="C861">
        <f>PNL!C861</f>
        <v/>
      </c>
      <c r="D861">
        <f>PNL!D861</f>
        <v/>
      </c>
      <c r="E861">
        <f>IF(AND(C861="2027",OR(D861="V01",D861="V02",D861="V03")),1,0)</f>
        <v/>
      </c>
      <c r="F861">
        <f>IF(E861=1,SUMIFS(Compta!$F$2:$F$675,Compta!$A$2:$A$675,A861,Compta!$B$2:$B$675,B861,Compta!$C$2:$C$675,"2026"),0)</f>
        <v/>
      </c>
      <c r="G861">
        <f>IF(D861="V01",cad!$I$21,IF(D861="V02",cad!$J$21,cad!$K$21))</f>
        <v/>
      </c>
      <c r="H861">
        <f>IF(D861="V01",cad!$I$22,IF(D861="V02",cad!$J$22,cad!$K$22))</f>
        <v/>
      </c>
      <c r="I861">
        <f>IF(D861="V01",cad!$I$27,IF(D861="V02",cad!$J$27,cad!$K$27))</f>
        <v/>
      </c>
      <c r="J861">
        <f>IF(D861="V01",cad!$I$28,IF(D861="V02",cad!$J$28,cad!$K$28))</f>
        <v/>
      </c>
      <c r="K861">
        <f>IF(D861="V01",cad!$I$29,IF(D861="V02",cad!$J$29,cad!$K$29))</f>
        <v/>
      </c>
      <c r="L861">
        <f>IF(D861="V01",cad!$I$30,IF(D861="V02",cad!$J$30,cad!$K$30))</f>
        <v/>
      </c>
      <c r="M861">
        <f>IF(D861="V01",cad!$I$31,IF(D861="V02",cad!$J$31,cad!$K$31))</f>
        <v/>
      </c>
      <c r="N861">
        <f>IF(D861="V01",$R$2,IF(D861="V02",$R$3,$R$4))</f>
        <v/>
      </c>
      <c r="O861">
        <f>IF(OR(B861="7062",B861="706",B861="708"),N861,IF(B861="6231",1+G861,IF(B861="6236",1+H861,IF(OR(B861="621",B861="604",B861="6063"),N861*(1-L861),IF(OR(B861="6411",B861="6413",B861="6414",B861="645"),(1+J861)*(1+K861),IF(OR(B861="613",B861="615",B861="616",B861="6226",B861="625",B861="626",B861="6281"),(1+I861)*(1-L861)*(1+M861),IF(OR(B861="6331",B861="63511",B861="6333"),(1+I861)*(1-L861),IF(B861="6811",1+I861,1))))))))</f>
        <v/>
      </c>
      <c r="P861">
        <f>IF(E861=1,F861*O861,"")</f>
        <v/>
      </c>
    </row>
    <row r="862">
      <c r="A862">
        <f>PNL!A862</f>
        <v/>
      </c>
      <c r="B862">
        <f>PNL!B862</f>
        <v/>
      </c>
      <c r="C862">
        <f>PNL!C862</f>
        <v/>
      </c>
      <c r="D862">
        <f>PNL!D862</f>
        <v/>
      </c>
      <c r="E862">
        <f>IF(AND(C862="2027",OR(D862="V01",D862="V02",D862="V03")),1,0)</f>
        <v/>
      </c>
      <c r="F862">
        <f>IF(E862=1,SUMIFS(Compta!$F$2:$F$675,Compta!$A$2:$A$675,A862,Compta!$B$2:$B$675,B862,Compta!$C$2:$C$675,"2026"),0)</f>
        <v/>
      </c>
      <c r="G862">
        <f>IF(D862="V01",cad!$I$21,IF(D862="V02",cad!$J$21,cad!$K$21))</f>
        <v/>
      </c>
      <c r="H862">
        <f>IF(D862="V01",cad!$I$22,IF(D862="V02",cad!$J$22,cad!$K$22))</f>
        <v/>
      </c>
      <c r="I862">
        <f>IF(D862="V01",cad!$I$27,IF(D862="V02",cad!$J$27,cad!$K$27))</f>
        <v/>
      </c>
      <c r="J862">
        <f>IF(D862="V01",cad!$I$28,IF(D862="V02",cad!$J$28,cad!$K$28))</f>
        <v/>
      </c>
      <c r="K862">
        <f>IF(D862="V01",cad!$I$29,IF(D862="V02",cad!$J$29,cad!$K$29))</f>
        <v/>
      </c>
      <c r="L862">
        <f>IF(D862="V01",cad!$I$30,IF(D862="V02",cad!$J$30,cad!$K$30))</f>
        <v/>
      </c>
      <c r="M862">
        <f>IF(D862="V01",cad!$I$31,IF(D862="V02",cad!$J$31,cad!$K$31))</f>
        <v/>
      </c>
      <c r="N862">
        <f>IF(D862="V01",$R$2,IF(D862="V02",$R$3,$R$4))</f>
        <v/>
      </c>
      <c r="O862">
        <f>IF(OR(B862="7062",B862="706",B862="708"),N862,IF(B862="6231",1+G862,IF(B862="6236",1+H862,IF(OR(B862="621",B862="604",B862="6063"),N862*(1-L862),IF(OR(B862="6411",B862="6413",B862="6414",B862="645"),(1+J862)*(1+K862),IF(OR(B862="613",B862="615",B862="616",B862="6226",B862="625",B862="626",B862="6281"),(1+I862)*(1-L862)*(1+M862),IF(OR(B862="6331",B862="63511",B862="6333"),(1+I862)*(1-L862),IF(B862="6811",1+I862,1))))))))</f>
        <v/>
      </c>
      <c r="P862">
        <f>IF(E862=1,F862*O862,"")</f>
        <v/>
      </c>
    </row>
    <row r="863">
      <c r="A863">
        <f>PNL!A863</f>
        <v/>
      </c>
      <c r="B863">
        <f>PNL!B863</f>
        <v/>
      </c>
      <c r="C863">
        <f>PNL!C863</f>
        <v/>
      </c>
      <c r="D863">
        <f>PNL!D863</f>
        <v/>
      </c>
      <c r="E863">
        <f>IF(AND(C863="2027",OR(D863="V01",D863="V02",D863="V03")),1,0)</f>
        <v/>
      </c>
      <c r="F863">
        <f>IF(E863=1,SUMIFS(Compta!$F$2:$F$675,Compta!$A$2:$A$675,A863,Compta!$B$2:$B$675,B863,Compta!$C$2:$C$675,"2026"),0)</f>
        <v/>
      </c>
      <c r="G863">
        <f>IF(D863="V01",cad!$I$21,IF(D863="V02",cad!$J$21,cad!$K$21))</f>
        <v/>
      </c>
      <c r="H863">
        <f>IF(D863="V01",cad!$I$22,IF(D863="V02",cad!$J$22,cad!$K$22))</f>
        <v/>
      </c>
      <c r="I863">
        <f>IF(D863="V01",cad!$I$27,IF(D863="V02",cad!$J$27,cad!$K$27))</f>
        <v/>
      </c>
      <c r="J863">
        <f>IF(D863="V01",cad!$I$28,IF(D863="V02",cad!$J$28,cad!$K$28))</f>
        <v/>
      </c>
      <c r="K863">
        <f>IF(D863="V01",cad!$I$29,IF(D863="V02",cad!$J$29,cad!$K$29))</f>
        <v/>
      </c>
      <c r="L863">
        <f>IF(D863="V01",cad!$I$30,IF(D863="V02",cad!$J$30,cad!$K$30))</f>
        <v/>
      </c>
      <c r="M863">
        <f>IF(D863="V01",cad!$I$31,IF(D863="V02",cad!$J$31,cad!$K$31))</f>
        <v/>
      </c>
      <c r="N863">
        <f>IF(D863="V01",$R$2,IF(D863="V02",$R$3,$R$4))</f>
        <v/>
      </c>
      <c r="O863">
        <f>IF(OR(B863="7062",B863="706",B863="708"),N863,IF(B863="6231",1+G863,IF(B863="6236",1+H863,IF(OR(B863="621",B863="604",B863="6063"),N863*(1-L863),IF(OR(B863="6411",B863="6413",B863="6414",B863="645"),(1+J863)*(1+K863),IF(OR(B863="613",B863="615",B863="616",B863="6226",B863="625",B863="626",B863="6281"),(1+I863)*(1-L863)*(1+M863),IF(OR(B863="6331",B863="63511",B863="6333"),(1+I863)*(1-L863),IF(B863="6811",1+I863,1))))))))</f>
        <v/>
      </c>
      <c r="P863">
        <f>IF(E863=1,F863*O863,"")</f>
        <v/>
      </c>
    </row>
    <row r="864">
      <c r="A864">
        <f>PNL!A864</f>
        <v/>
      </c>
      <c r="B864">
        <f>PNL!B864</f>
        <v/>
      </c>
      <c r="C864">
        <f>PNL!C864</f>
        <v/>
      </c>
      <c r="D864">
        <f>PNL!D864</f>
        <v/>
      </c>
      <c r="E864">
        <f>IF(AND(C864="2027",OR(D864="V01",D864="V02",D864="V03")),1,0)</f>
        <v/>
      </c>
      <c r="F864">
        <f>IF(E864=1,SUMIFS(Compta!$F$2:$F$675,Compta!$A$2:$A$675,A864,Compta!$B$2:$B$675,B864,Compta!$C$2:$C$675,"2026"),0)</f>
        <v/>
      </c>
      <c r="G864">
        <f>IF(D864="V01",cad!$I$21,IF(D864="V02",cad!$J$21,cad!$K$21))</f>
        <v/>
      </c>
      <c r="H864">
        <f>IF(D864="V01",cad!$I$22,IF(D864="V02",cad!$J$22,cad!$K$22))</f>
        <v/>
      </c>
      <c r="I864">
        <f>IF(D864="V01",cad!$I$27,IF(D864="V02",cad!$J$27,cad!$K$27))</f>
        <v/>
      </c>
      <c r="J864">
        <f>IF(D864="V01",cad!$I$28,IF(D864="V02",cad!$J$28,cad!$K$28))</f>
        <v/>
      </c>
      <c r="K864">
        <f>IF(D864="V01",cad!$I$29,IF(D864="V02",cad!$J$29,cad!$K$29))</f>
        <v/>
      </c>
      <c r="L864">
        <f>IF(D864="V01",cad!$I$30,IF(D864="V02",cad!$J$30,cad!$K$30))</f>
        <v/>
      </c>
      <c r="M864">
        <f>IF(D864="V01",cad!$I$31,IF(D864="V02",cad!$J$31,cad!$K$31))</f>
        <v/>
      </c>
      <c r="N864">
        <f>IF(D864="V01",$R$2,IF(D864="V02",$R$3,$R$4))</f>
        <v/>
      </c>
      <c r="O864">
        <f>IF(OR(B864="7062",B864="706",B864="708"),N864,IF(B864="6231",1+G864,IF(B864="6236",1+H864,IF(OR(B864="621",B864="604",B864="6063"),N864*(1-L864),IF(OR(B864="6411",B864="6413",B864="6414",B864="645"),(1+J864)*(1+K864),IF(OR(B864="613",B864="615",B864="616",B864="6226",B864="625",B864="626",B864="6281"),(1+I864)*(1-L864)*(1+M864),IF(OR(B864="6331",B864="63511",B864="6333"),(1+I864)*(1-L864),IF(B864="6811",1+I864,1))))))))</f>
        <v/>
      </c>
      <c r="P864">
        <f>IF(E864=1,F864*O864,"")</f>
        <v/>
      </c>
    </row>
    <row r="865">
      <c r="A865">
        <f>PNL!A865</f>
        <v/>
      </c>
      <c r="B865">
        <f>PNL!B865</f>
        <v/>
      </c>
      <c r="C865">
        <f>PNL!C865</f>
        <v/>
      </c>
      <c r="D865">
        <f>PNL!D865</f>
        <v/>
      </c>
      <c r="E865">
        <f>IF(AND(C865="2027",OR(D865="V01",D865="V02",D865="V03")),1,0)</f>
        <v/>
      </c>
      <c r="F865">
        <f>IF(E865=1,SUMIFS(Compta!$F$2:$F$675,Compta!$A$2:$A$675,A865,Compta!$B$2:$B$675,B865,Compta!$C$2:$C$675,"2026"),0)</f>
        <v/>
      </c>
      <c r="G865">
        <f>IF(D865="V01",cad!$I$21,IF(D865="V02",cad!$J$21,cad!$K$21))</f>
        <v/>
      </c>
      <c r="H865">
        <f>IF(D865="V01",cad!$I$22,IF(D865="V02",cad!$J$22,cad!$K$22))</f>
        <v/>
      </c>
      <c r="I865">
        <f>IF(D865="V01",cad!$I$27,IF(D865="V02",cad!$J$27,cad!$K$27))</f>
        <v/>
      </c>
      <c r="J865">
        <f>IF(D865="V01",cad!$I$28,IF(D865="V02",cad!$J$28,cad!$K$28))</f>
        <v/>
      </c>
      <c r="K865">
        <f>IF(D865="V01",cad!$I$29,IF(D865="V02",cad!$J$29,cad!$K$29))</f>
        <v/>
      </c>
      <c r="L865">
        <f>IF(D865="V01",cad!$I$30,IF(D865="V02",cad!$J$30,cad!$K$30))</f>
        <v/>
      </c>
      <c r="M865">
        <f>IF(D865="V01",cad!$I$31,IF(D865="V02",cad!$J$31,cad!$K$31))</f>
        <v/>
      </c>
      <c r="N865">
        <f>IF(D865="V01",$R$2,IF(D865="V02",$R$3,$R$4))</f>
        <v/>
      </c>
      <c r="O865">
        <f>IF(OR(B865="7062",B865="706",B865="708"),N865,IF(B865="6231",1+G865,IF(B865="6236",1+H865,IF(OR(B865="621",B865="604",B865="6063"),N865*(1-L865),IF(OR(B865="6411",B865="6413",B865="6414",B865="645"),(1+J865)*(1+K865),IF(OR(B865="613",B865="615",B865="616",B865="6226",B865="625",B865="626",B865="6281"),(1+I865)*(1-L865)*(1+M865),IF(OR(B865="6331",B865="63511",B865="6333"),(1+I865)*(1-L865),IF(B865="6811",1+I865,1))))))))</f>
        <v/>
      </c>
      <c r="P865">
        <f>IF(E865=1,F865*O865,"")</f>
        <v/>
      </c>
    </row>
    <row r="866">
      <c r="A866">
        <f>PNL!A866</f>
        <v/>
      </c>
      <c r="B866">
        <f>PNL!B866</f>
        <v/>
      </c>
      <c r="C866">
        <f>PNL!C866</f>
        <v/>
      </c>
      <c r="D866">
        <f>PNL!D866</f>
        <v/>
      </c>
      <c r="E866">
        <f>IF(AND(C866="2027",OR(D866="V01",D866="V02",D866="V03")),1,0)</f>
        <v/>
      </c>
      <c r="F866">
        <f>IF(E866=1,SUMIFS(Compta!$F$2:$F$675,Compta!$A$2:$A$675,A866,Compta!$B$2:$B$675,B866,Compta!$C$2:$C$675,"2026"),0)</f>
        <v/>
      </c>
      <c r="G866">
        <f>IF(D866="V01",cad!$I$21,IF(D866="V02",cad!$J$21,cad!$K$21))</f>
        <v/>
      </c>
      <c r="H866">
        <f>IF(D866="V01",cad!$I$22,IF(D866="V02",cad!$J$22,cad!$K$22))</f>
        <v/>
      </c>
      <c r="I866">
        <f>IF(D866="V01",cad!$I$27,IF(D866="V02",cad!$J$27,cad!$K$27))</f>
        <v/>
      </c>
      <c r="J866">
        <f>IF(D866="V01",cad!$I$28,IF(D866="V02",cad!$J$28,cad!$K$28))</f>
        <v/>
      </c>
      <c r="K866">
        <f>IF(D866="V01",cad!$I$29,IF(D866="V02",cad!$J$29,cad!$K$29))</f>
        <v/>
      </c>
      <c r="L866">
        <f>IF(D866="V01",cad!$I$30,IF(D866="V02",cad!$J$30,cad!$K$30))</f>
        <v/>
      </c>
      <c r="M866">
        <f>IF(D866="V01",cad!$I$31,IF(D866="V02",cad!$J$31,cad!$K$31))</f>
        <v/>
      </c>
      <c r="N866">
        <f>IF(D866="V01",$R$2,IF(D866="V02",$R$3,$R$4))</f>
        <v/>
      </c>
      <c r="O866">
        <f>IF(OR(B866="7062",B866="706",B866="708"),N866,IF(B866="6231",1+G866,IF(B866="6236",1+H866,IF(OR(B866="621",B866="604",B866="6063"),N866*(1-L866),IF(OR(B866="6411",B866="6413",B866="6414",B866="645"),(1+J866)*(1+K866),IF(OR(B866="613",B866="615",B866="616",B866="6226",B866="625",B866="626",B866="6281"),(1+I866)*(1-L866)*(1+M866),IF(OR(B866="6331",B866="63511",B866="6333"),(1+I866)*(1-L866),IF(B866="6811",1+I866,1))))))))</f>
        <v/>
      </c>
      <c r="P866">
        <f>IF(E866=1,F866*O866,"")</f>
        <v/>
      </c>
    </row>
    <row r="867">
      <c r="A867">
        <f>PNL!A867</f>
        <v/>
      </c>
      <c r="B867">
        <f>PNL!B867</f>
        <v/>
      </c>
      <c r="C867">
        <f>PNL!C867</f>
        <v/>
      </c>
      <c r="D867">
        <f>PNL!D867</f>
        <v/>
      </c>
      <c r="E867">
        <f>IF(AND(C867="2027",OR(D867="V01",D867="V02",D867="V03")),1,0)</f>
        <v/>
      </c>
      <c r="F867">
        <f>IF(E867=1,SUMIFS(Compta!$F$2:$F$675,Compta!$A$2:$A$675,A867,Compta!$B$2:$B$675,B867,Compta!$C$2:$C$675,"2026"),0)</f>
        <v/>
      </c>
      <c r="G867">
        <f>IF(D867="V01",cad!$I$21,IF(D867="V02",cad!$J$21,cad!$K$21))</f>
        <v/>
      </c>
      <c r="H867">
        <f>IF(D867="V01",cad!$I$22,IF(D867="V02",cad!$J$22,cad!$K$22))</f>
        <v/>
      </c>
      <c r="I867">
        <f>IF(D867="V01",cad!$I$27,IF(D867="V02",cad!$J$27,cad!$K$27))</f>
        <v/>
      </c>
      <c r="J867">
        <f>IF(D867="V01",cad!$I$28,IF(D867="V02",cad!$J$28,cad!$K$28))</f>
        <v/>
      </c>
      <c r="K867">
        <f>IF(D867="V01",cad!$I$29,IF(D867="V02",cad!$J$29,cad!$K$29))</f>
        <v/>
      </c>
      <c r="L867">
        <f>IF(D867="V01",cad!$I$30,IF(D867="V02",cad!$J$30,cad!$K$30))</f>
        <v/>
      </c>
      <c r="M867">
        <f>IF(D867="V01",cad!$I$31,IF(D867="V02",cad!$J$31,cad!$K$31))</f>
        <v/>
      </c>
      <c r="N867">
        <f>IF(D867="V01",$R$2,IF(D867="V02",$R$3,$R$4))</f>
        <v/>
      </c>
      <c r="O867">
        <f>IF(OR(B867="7062",B867="706",B867="708"),N867,IF(B867="6231",1+G867,IF(B867="6236",1+H867,IF(OR(B867="621",B867="604",B867="6063"),N867*(1-L867),IF(OR(B867="6411",B867="6413",B867="6414",B867="645"),(1+J867)*(1+K867),IF(OR(B867="613",B867="615",B867="616",B867="6226",B867="625",B867="626",B867="6281"),(1+I867)*(1-L867)*(1+M867),IF(OR(B867="6331",B867="63511",B867="6333"),(1+I867)*(1-L867),IF(B867="6811",1+I867,1))))))))</f>
        <v/>
      </c>
      <c r="P867">
        <f>IF(E867=1,F867*O867,"")</f>
        <v/>
      </c>
    </row>
    <row r="868">
      <c r="A868">
        <f>PNL!A868</f>
        <v/>
      </c>
      <c r="B868">
        <f>PNL!B868</f>
        <v/>
      </c>
      <c r="C868">
        <f>PNL!C868</f>
        <v/>
      </c>
      <c r="D868">
        <f>PNL!D868</f>
        <v/>
      </c>
      <c r="E868">
        <f>IF(AND(C868="2027",OR(D868="V01",D868="V02",D868="V03")),1,0)</f>
        <v/>
      </c>
      <c r="F868">
        <f>IF(E868=1,SUMIFS(Compta!$F$2:$F$675,Compta!$A$2:$A$675,A868,Compta!$B$2:$B$675,B868,Compta!$C$2:$C$675,"2026"),0)</f>
        <v/>
      </c>
      <c r="G868">
        <f>IF(D868="V01",cad!$I$21,IF(D868="V02",cad!$J$21,cad!$K$21))</f>
        <v/>
      </c>
      <c r="H868">
        <f>IF(D868="V01",cad!$I$22,IF(D868="V02",cad!$J$22,cad!$K$22))</f>
        <v/>
      </c>
      <c r="I868">
        <f>IF(D868="V01",cad!$I$27,IF(D868="V02",cad!$J$27,cad!$K$27))</f>
        <v/>
      </c>
      <c r="J868">
        <f>IF(D868="V01",cad!$I$28,IF(D868="V02",cad!$J$28,cad!$K$28))</f>
        <v/>
      </c>
      <c r="K868">
        <f>IF(D868="V01",cad!$I$29,IF(D868="V02",cad!$J$29,cad!$K$29))</f>
        <v/>
      </c>
      <c r="L868">
        <f>IF(D868="V01",cad!$I$30,IF(D868="V02",cad!$J$30,cad!$K$30))</f>
        <v/>
      </c>
      <c r="M868">
        <f>IF(D868="V01",cad!$I$31,IF(D868="V02",cad!$J$31,cad!$K$31))</f>
        <v/>
      </c>
      <c r="N868">
        <f>IF(D868="V01",$R$2,IF(D868="V02",$R$3,$R$4))</f>
        <v/>
      </c>
      <c r="O868">
        <f>IF(OR(B868="7062",B868="706",B868="708"),N868,IF(B868="6231",1+G868,IF(B868="6236",1+H868,IF(OR(B868="621",B868="604",B868="6063"),N868*(1-L868),IF(OR(B868="6411",B868="6413",B868="6414",B868="645"),(1+J868)*(1+K868),IF(OR(B868="613",B868="615",B868="616",B868="6226",B868="625",B868="626",B868="6281"),(1+I868)*(1-L868)*(1+M868),IF(OR(B868="6331",B868="63511",B868="6333"),(1+I868)*(1-L868),IF(B868="6811",1+I868,1))))))))</f>
        <v/>
      </c>
      <c r="P868">
        <f>IF(E868=1,F868*O868,"")</f>
        <v/>
      </c>
    </row>
    <row r="869">
      <c r="A869">
        <f>PNL!A869</f>
        <v/>
      </c>
      <c r="B869">
        <f>PNL!B869</f>
        <v/>
      </c>
      <c r="C869">
        <f>PNL!C869</f>
        <v/>
      </c>
      <c r="D869">
        <f>PNL!D869</f>
        <v/>
      </c>
      <c r="E869">
        <f>IF(AND(C869="2027",OR(D869="V01",D869="V02",D869="V03")),1,0)</f>
        <v/>
      </c>
      <c r="F869">
        <f>IF(E869=1,SUMIFS(Compta!$F$2:$F$675,Compta!$A$2:$A$675,A869,Compta!$B$2:$B$675,B869,Compta!$C$2:$C$675,"2026"),0)</f>
        <v/>
      </c>
      <c r="G869">
        <f>IF(D869="V01",cad!$I$21,IF(D869="V02",cad!$J$21,cad!$K$21))</f>
        <v/>
      </c>
      <c r="H869">
        <f>IF(D869="V01",cad!$I$22,IF(D869="V02",cad!$J$22,cad!$K$22))</f>
        <v/>
      </c>
      <c r="I869">
        <f>IF(D869="V01",cad!$I$27,IF(D869="V02",cad!$J$27,cad!$K$27))</f>
        <v/>
      </c>
      <c r="J869">
        <f>IF(D869="V01",cad!$I$28,IF(D869="V02",cad!$J$28,cad!$K$28))</f>
        <v/>
      </c>
      <c r="K869">
        <f>IF(D869="V01",cad!$I$29,IF(D869="V02",cad!$J$29,cad!$K$29))</f>
        <v/>
      </c>
      <c r="L869">
        <f>IF(D869="V01",cad!$I$30,IF(D869="V02",cad!$J$30,cad!$K$30))</f>
        <v/>
      </c>
      <c r="M869">
        <f>IF(D869="V01",cad!$I$31,IF(D869="V02",cad!$J$31,cad!$K$31))</f>
        <v/>
      </c>
      <c r="N869">
        <f>IF(D869="V01",$R$2,IF(D869="V02",$R$3,$R$4))</f>
        <v/>
      </c>
      <c r="O869">
        <f>IF(OR(B869="7062",B869="706",B869="708"),N869,IF(B869="6231",1+G869,IF(B869="6236",1+H869,IF(OR(B869="621",B869="604",B869="6063"),N869*(1-L869),IF(OR(B869="6411",B869="6413",B869="6414",B869="645"),(1+J869)*(1+K869),IF(OR(B869="613",B869="615",B869="616",B869="6226",B869="625",B869="626",B869="6281"),(1+I869)*(1-L869)*(1+M869),IF(OR(B869="6331",B869="63511",B869="6333"),(1+I869)*(1-L869),IF(B869="6811",1+I869,1))))))))</f>
        <v/>
      </c>
      <c r="P869">
        <f>IF(E869=1,F869*O869,"")</f>
        <v/>
      </c>
    </row>
    <row r="870">
      <c r="A870">
        <f>PNL!A870</f>
        <v/>
      </c>
      <c r="B870">
        <f>PNL!B870</f>
        <v/>
      </c>
      <c r="C870">
        <f>PNL!C870</f>
        <v/>
      </c>
      <c r="D870">
        <f>PNL!D870</f>
        <v/>
      </c>
      <c r="E870">
        <f>IF(AND(C870="2027",OR(D870="V01",D870="V02",D870="V03")),1,0)</f>
        <v/>
      </c>
      <c r="F870">
        <f>IF(E870=1,SUMIFS(Compta!$F$2:$F$675,Compta!$A$2:$A$675,A870,Compta!$B$2:$B$675,B870,Compta!$C$2:$C$675,"2026"),0)</f>
        <v/>
      </c>
      <c r="G870">
        <f>IF(D870="V01",cad!$I$21,IF(D870="V02",cad!$J$21,cad!$K$21))</f>
        <v/>
      </c>
      <c r="H870">
        <f>IF(D870="V01",cad!$I$22,IF(D870="V02",cad!$J$22,cad!$K$22))</f>
        <v/>
      </c>
      <c r="I870">
        <f>IF(D870="V01",cad!$I$27,IF(D870="V02",cad!$J$27,cad!$K$27))</f>
        <v/>
      </c>
      <c r="J870">
        <f>IF(D870="V01",cad!$I$28,IF(D870="V02",cad!$J$28,cad!$K$28))</f>
        <v/>
      </c>
      <c r="K870">
        <f>IF(D870="V01",cad!$I$29,IF(D870="V02",cad!$J$29,cad!$K$29))</f>
        <v/>
      </c>
      <c r="L870">
        <f>IF(D870="V01",cad!$I$30,IF(D870="V02",cad!$J$30,cad!$K$30))</f>
        <v/>
      </c>
      <c r="M870">
        <f>IF(D870="V01",cad!$I$31,IF(D870="V02",cad!$J$31,cad!$K$31))</f>
        <v/>
      </c>
      <c r="N870">
        <f>IF(D870="V01",$R$2,IF(D870="V02",$R$3,$R$4))</f>
        <v/>
      </c>
      <c r="O870">
        <f>IF(OR(B870="7062",B870="706",B870="708"),N870,IF(B870="6231",1+G870,IF(B870="6236",1+H870,IF(OR(B870="621",B870="604",B870="6063"),N870*(1-L870),IF(OR(B870="6411",B870="6413",B870="6414",B870="645"),(1+J870)*(1+K870),IF(OR(B870="613",B870="615",B870="616",B870="6226",B870="625",B870="626",B870="6281"),(1+I870)*(1-L870)*(1+M870),IF(OR(B870="6331",B870="63511",B870="6333"),(1+I870)*(1-L870),IF(B870="6811",1+I870,1))))))))</f>
        <v/>
      </c>
      <c r="P870">
        <f>IF(E870=1,F870*O870,"")</f>
        <v/>
      </c>
    </row>
    <row r="871">
      <c r="A871">
        <f>PNL!A871</f>
        <v/>
      </c>
      <c r="B871">
        <f>PNL!B871</f>
        <v/>
      </c>
      <c r="C871">
        <f>PNL!C871</f>
        <v/>
      </c>
      <c r="D871">
        <f>PNL!D871</f>
        <v/>
      </c>
      <c r="E871">
        <f>IF(AND(C871="2027",OR(D871="V01",D871="V02",D871="V03")),1,0)</f>
        <v/>
      </c>
      <c r="F871">
        <f>IF(E871=1,SUMIFS(Compta!$F$2:$F$675,Compta!$A$2:$A$675,A871,Compta!$B$2:$B$675,B871,Compta!$C$2:$C$675,"2026"),0)</f>
        <v/>
      </c>
      <c r="G871">
        <f>IF(D871="V01",cad!$I$21,IF(D871="V02",cad!$J$21,cad!$K$21))</f>
        <v/>
      </c>
      <c r="H871">
        <f>IF(D871="V01",cad!$I$22,IF(D871="V02",cad!$J$22,cad!$K$22))</f>
        <v/>
      </c>
      <c r="I871">
        <f>IF(D871="V01",cad!$I$27,IF(D871="V02",cad!$J$27,cad!$K$27))</f>
        <v/>
      </c>
      <c r="J871">
        <f>IF(D871="V01",cad!$I$28,IF(D871="V02",cad!$J$28,cad!$K$28))</f>
        <v/>
      </c>
      <c r="K871">
        <f>IF(D871="V01",cad!$I$29,IF(D871="V02",cad!$J$29,cad!$K$29))</f>
        <v/>
      </c>
      <c r="L871">
        <f>IF(D871="V01",cad!$I$30,IF(D871="V02",cad!$J$30,cad!$K$30))</f>
        <v/>
      </c>
      <c r="M871">
        <f>IF(D871="V01",cad!$I$31,IF(D871="V02",cad!$J$31,cad!$K$31))</f>
        <v/>
      </c>
      <c r="N871">
        <f>IF(D871="V01",$R$2,IF(D871="V02",$R$3,$R$4))</f>
        <v/>
      </c>
      <c r="O871">
        <f>IF(OR(B871="7062",B871="706",B871="708"),N871,IF(B871="6231",1+G871,IF(B871="6236",1+H871,IF(OR(B871="621",B871="604",B871="6063"),N871*(1-L871),IF(OR(B871="6411",B871="6413",B871="6414",B871="645"),(1+J871)*(1+K871),IF(OR(B871="613",B871="615",B871="616",B871="6226",B871="625",B871="626",B871="6281"),(1+I871)*(1-L871)*(1+M871),IF(OR(B871="6331",B871="63511",B871="6333"),(1+I871)*(1-L871),IF(B871="6811",1+I871,1))))))))</f>
        <v/>
      </c>
      <c r="P871">
        <f>IF(E871=1,F871*O871,"")</f>
        <v/>
      </c>
    </row>
    <row r="872">
      <c r="A872">
        <f>PNL!A872</f>
        <v/>
      </c>
      <c r="B872">
        <f>PNL!B872</f>
        <v/>
      </c>
      <c r="C872">
        <f>PNL!C872</f>
        <v/>
      </c>
      <c r="D872">
        <f>PNL!D872</f>
        <v/>
      </c>
      <c r="E872">
        <f>IF(AND(C872="2027",OR(D872="V01",D872="V02",D872="V03")),1,0)</f>
        <v/>
      </c>
      <c r="F872">
        <f>IF(E872=1,SUMIFS(Compta!$F$2:$F$675,Compta!$A$2:$A$675,A872,Compta!$B$2:$B$675,B872,Compta!$C$2:$C$675,"2026"),0)</f>
        <v/>
      </c>
      <c r="G872">
        <f>IF(D872="V01",cad!$I$21,IF(D872="V02",cad!$J$21,cad!$K$21))</f>
        <v/>
      </c>
      <c r="H872">
        <f>IF(D872="V01",cad!$I$22,IF(D872="V02",cad!$J$22,cad!$K$22))</f>
        <v/>
      </c>
      <c r="I872">
        <f>IF(D872="V01",cad!$I$27,IF(D872="V02",cad!$J$27,cad!$K$27))</f>
        <v/>
      </c>
      <c r="J872">
        <f>IF(D872="V01",cad!$I$28,IF(D872="V02",cad!$J$28,cad!$K$28))</f>
        <v/>
      </c>
      <c r="K872">
        <f>IF(D872="V01",cad!$I$29,IF(D872="V02",cad!$J$29,cad!$K$29))</f>
        <v/>
      </c>
      <c r="L872">
        <f>IF(D872="V01",cad!$I$30,IF(D872="V02",cad!$J$30,cad!$K$30))</f>
        <v/>
      </c>
      <c r="M872">
        <f>IF(D872="V01",cad!$I$31,IF(D872="V02",cad!$J$31,cad!$K$31))</f>
        <v/>
      </c>
      <c r="N872">
        <f>IF(D872="V01",$R$2,IF(D872="V02",$R$3,$R$4))</f>
        <v/>
      </c>
      <c r="O872">
        <f>IF(OR(B872="7062",B872="706",B872="708"),N872,IF(B872="6231",1+G872,IF(B872="6236",1+H872,IF(OR(B872="621",B872="604",B872="6063"),N872*(1-L872),IF(OR(B872="6411",B872="6413",B872="6414",B872="645"),(1+J872)*(1+K872),IF(OR(B872="613",B872="615",B872="616",B872="6226",B872="625",B872="626",B872="6281"),(1+I872)*(1-L872)*(1+M872),IF(OR(B872="6331",B872="63511",B872="6333"),(1+I872)*(1-L872),IF(B872="6811",1+I872,1))))))))</f>
        <v/>
      </c>
      <c r="P872">
        <f>IF(E872=1,F872*O872,"")</f>
        <v/>
      </c>
    </row>
    <row r="873">
      <c r="A873">
        <f>PNL!A873</f>
        <v/>
      </c>
      <c r="B873">
        <f>PNL!B873</f>
        <v/>
      </c>
      <c r="C873">
        <f>PNL!C873</f>
        <v/>
      </c>
      <c r="D873">
        <f>PNL!D873</f>
        <v/>
      </c>
      <c r="E873">
        <f>IF(AND(C873="2027",OR(D873="V01",D873="V02",D873="V03")),1,0)</f>
        <v/>
      </c>
      <c r="F873">
        <f>IF(E873=1,SUMIFS(Compta!$F$2:$F$675,Compta!$A$2:$A$675,A873,Compta!$B$2:$B$675,B873,Compta!$C$2:$C$675,"2026"),0)</f>
        <v/>
      </c>
      <c r="G873">
        <f>IF(D873="V01",cad!$I$21,IF(D873="V02",cad!$J$21,cad!$K$21))</f>
        <v/>
      </c>
      <c r="H873">
        <f>IF(D873="V01",cad!$I$22,IF(D873="V02",cad!$J$22,cad!$K$22))</f>
        <v/>
      </c>
      <c r="I873">
        <f>IF(D873="V01",cad!$I$27,IF(D873="V02",cad!$J$27,cad!$K$27))</f>
        <v/>
      </c>
      <c r="J873">
        <f>IF(D873="V01",cad!$I$28,IF(D873="V02",cad!$J$28,cad!$K$28))</f>
        <v/>
      </c>
      <c r="K873">
        <f>IF(D873="V01",cad!$I$29,IF(D873="V02",cad!$J$29,cad!$K$29))</f>
        <v/>
      </c>
      <c r="L873">
        <f>IF(D873="V01",cad!$I$30,IF(D873="V02",cad!$J$30,cad!$K$30))</f>
        <v/>
      </c>
      <c r="M873">
        <f>IF(D873="V01",cad!$I$31,IF(D873="V02",cad!$J$31,cad!$K$31))</f>
        <v/>
      </c>
      <c r="N873">
        <f>IF(D873="V01",$R$2,IF(D873="V02",$R$3,$R$4))</f>
        <v/>
      </c>
      <c r="O873">
        <f>IF(OR(B873="7062",B873="706",B873="708"),N873,IF(B873="6231",1+G873,IF(B873="6236",1+H873,IF(OR(B873="621",B873="604",B873="6063"),N873*(1-L873),IF(OR(B873="6411",B873="6413",B873="6414",B873="645"),(1+J873)*(1+K873),IF(OR(B873="613",B873="615",B873="616",B873="6226",B873="625",B873="626",B873="6281"),(1+I873)*(1-L873)*(1+M873),IF(OR(B873="6331",B873="63511",B873="6333"),(1+I873)*(1-L873),IF(B873="6811",1+I873,1))))))))</f>
        <v/>
      </c>
      <c r="P873">
        <f>IF(E873=1,F873*O873,"")</f>
        <v/>
      </c>
    </row>
    <row r="874">
      <c r="A874">
        <f>PNL!A874</f>
        <v/>
      </c>
      <c r="B874">
        <f>PNL!B874</f>
        <v/>
      </c>
      <c r="C874">
        <f>PNL!C874</f>
        <v/>
      </c>
      <c r="D874">
        <f>PNL!D874</f>
        <v/>
      </c>
      <c r="E874">
        <f>IF(AND(C874="2027",OR(D874="V01",D874="V02",D874="V03")),1,0)</f>
        <v/>
      </c>
      <c r="F874">
        <f>IF(E874=1,SUMIFS(Compta!$F$2:$F$675,Compta!$A$2:$A$675,A874,Compta!$B$2:$B$675,B874,Compta!$C$2:$C$675,"2026"),0)</f>
        <v/>
      </c>
      <c r="G874">
        <f>IF(D874="V01",cad!$I$21,IF(D874="V02",cad!$J$21,cad!$K$21))</f>
        <v/>
      </c>
      <c r="H874">
        <f>IF(D874="V01",cad!$I$22,IF(D874="V02",cad!$J$22,cad!$K$22))</f>
        <v/>
      </c>
      <c r="I874">
        <f>IF(D874="V01",cad!$I$27,IF(D874="V02",cad!$J$27,cad!$K$27))</f>
        <v/>
      </c>
      <c r="J874">
        <f>IF(D874="V01",cad!$I$28,IF(D874="V02",cad!$J$28,cad!$K$28))</f>
        <v/>
      </c>
      <c r="K874">
        <f>IF(D874="V01",cad!$I$29,IF(D874="V02",cad!$J$29,cad!$K$29))</f>
        <v/>
      </c>
      <c r="L874">
        <f>IF(D874="V01",cad!$I$30,IF(D874="V02",cad!$J$30,cad!$K$30))</f>
        <v/>
      </c>
      <c r="M874">
        <f>IF(D874="V01",cad!$I$31,IF(D874="V02",cad!$J$31,cad!$K$31))</f>
        <v/>
      </c>
      <c r="N874">
        <f>IF(D874="V01",$R$2,IF(D874="V02",$R$3,$R$4))</f>
        <v/>
      </c>
      <c r="O874">
        <f>IF(OR(B874="7062",B874="706",B874="708"),N874,IF(B874="6231",1+G874,IF(B874="6236",1+H874,IF(OR(B874="621",B874="604",B874="6063"),N874*(1-L874),IF(OR(B874="6411",B874="6413",B874="6414",B874="645"),(1+J874)*(1+K874),IF(OR(B874="613",B874="615",B874="616",B874="6226",B874="625",B874="626",B874="6281"),(1+I874)*(1-L874)*(1+M874),IF(OR(B874="6331",B874="63511",B874="6333"),(1+I874)*(1-L874),IF(B874="6811",1+I874,1))))))))</f>
        <v/>
      </c>
      <c r="P874">
        <f>IF(E874=1,F874*O874,"")</f>
        <v/>
      </c>
    </row>
    <row r="875">
      <c r="A875">
        <f>PNL!A875</f>
        <v/>
      </c>
      <c r="B875">
        <f>PNL!B875</f>
        <v/>
      </c>
      <c r="C875">
        <f>PNL!C875</f>
        <v/>
      </c>
      <c r="D875">
        <f>PNL!D875</f>
        <v/>
      </c>
      <c r="E875">
        <f>IF(AND(C875="2027",OR(D875="V01",D875="V02",D875="V03")),1,0)</f>
        <v/>
      </c>
      <c r="F875">
        <f>IF(E875=1,SUMIFS(Compta!$F$2:$F$675,Compta!$A$2:$A$675,A875,Compta!$B$2:$B$675,B875,Compta!$C$2:$C$675,"2026"),0)</f>
        <v/>
      </c>
      <c r="G875">
        <f>IF(D875="V01",cad!$I$21,IF(D875="V02",cad!$J$21,cad!$K$21))</f>
        <v/>
      </c>
      <c r="H875">
        <f>IF(D875="V01",cad!$I$22,IF(D875="V02",cad!$J$22,cad!$K$22))</f>
        <v/>
      </c>
      <c r="I875">
        <f>IF(D875="V01",cad!$I$27,IF(D875="V02",cad!$J$27,cad!$K$27))</f>
        <v/>
      </c>
      <c r="J875">
        <f>IF(D875="V01",cad!$I$28,IF(D875="V02",cad!$J$28,cad!$K$28))</f>
        <v/>
      </c>
      <c r="K875">
        <f>IF(D875="V01",cad!$I$29,IF(D875="V02",cad!$J$29,cad!$K$29))</f>
        <v/>
      </c>
      <c r="L875">
        <f>IF(D875="V01",cad!$I$30,IF(D875="V02",cad!$J$30,cad!$K$30))</f>
        <v/>
      </c>
      <c r="M875">
        <f>IF(D875="V01",cad!$I$31,IF(D875="V02",cad!$J$31,cad!$K$31))</f>
        <v/>
      </c>
      <c r="N875">
        <f>IF(D875="V01",$R$2,IF(D875="V02",$R$3,$R$4))</f>
        <v/>
      </c>
      <c r="O875">
        <f>IF(OR(B875="7062",B875="706",B875="708"),N875,IF(B875="6231",1+G875,IF(B875="6236",1+H875,IF(OR(B875="621",B875="604",B875="6063"),N875*(1-L875),IF(OR(B875="6411",B875="6413",B875="6414",B875="645"),(1+J875)*(1+K875),IF(OR(B875="613",B875="615",B875="616",B875="6226",B875="625",B875="626",B875="6281"),(1+I875)*(1-L875)*(1+M875),IF(OR(B875="6331",B875="63511",B875="6333"),(1+I875)*(1-L875),IF(B875="6811",1+I875,1))))))))</f>
        <v/>
      </c>
      <c r="P875">
        <f>IF(E875=1,F875*O875,"")</f>
        <v/>
      </c>
    </row>
    <row r="876">
      <c r="A876">
        <f>PNL!A876</f>
        <v/>
      </c>
      <c r="B876">
        <f>PNL!B876</f>
        <v/>
      </c>
      <c r="C876">
        <f>PNL!C876</f>
        <v/>
      </c>
      <c r="D876">
        <f>PNL!D876</f>
        <v/>
      </c>
      <c r="E876">
        <f>IF(AND(C876="2027",OR(D876="V01",D876="V02",D876="V03")),1,0)</f>
        <v/>
      </c>
      <c r="F876">
        <f>IF(E876=1,SUMIFS(Compta!$F$2:$F$675,Compta!$A$2:$A$675,A876,Compta!$B$2:$B$675,B876,Compta!$C$2:$C$675,"2026"),0)</f>
        <v/>
      </c>
      <c r="G876">
        <f>IF(D876="V01",cad!$I$21,IF(D876="V02",cad!$J$21,cad!$K$21))</f>
        <v/>
      </c>
      <c r="H876">
        <f>IF(D876="V01",cad!$I$22,IF(D876="V02",cad!$J$22,cad!$K$22))</f>
        <v/>
      </c>
      <c r="I876">
        <f>IF(D876="V01",cad!$I$27,IF(D876="V02",cad!$J$27,cad!$K$27))</f>
        <v/>
      </c>
      <c r="J876">
        <f>IF(D876="V01",cad!$I$28,IF(D876="V02",cad!$J$28,cad!$K$28))</f>
        <v/>
      </c>
      <c r="K876">
        <f>IF(D876="V01",cad!$I$29,IF(D876="V02",cad!$J$29,cad!$K$29))</f>
        <v/>
      </c>
      <c r="L876">
        <f>IF(D876="V01",cad!$I$30,IF(D876="V02",cad!$J$30,cad!$K$30))</f>
        <v/>
      </c>
      <c r="M876">
        <f>IF(D876="V01",cad!$I$31,IF(D876="V02",cad!$J$31,cad!$K$31))</f>
        <v/>
      </c>
      <c r="N876">
        <f>IF(D876="V01",$R$2,IF(D876="V02",$R$3,$R$4))</f>
        <v/>
      </c>
      <c r="O876">
        <f>IF(OR(B876="7062",B876="706",B876="708"),N876,IF(B876="6231",1+G876,IF(B876="6236",1+H876,IF(OR(B876="621",B876="604",B876="6063"),N876*(1-L876),IF(OR(B876="6411",B876="6413",B876="6414",B876="645"),(1+J876)*(1+K876),IF(OR(B876="613",B876="615",B876="616",B876="6226",B876="625",B876="626",B876="6281"),(1+I876)*(1-L876)*(1+M876),IF(OR(B876="6331",B876="63511",B876="6333"),(1+I876)*(1-L876),IF(B876="6811",1+I876,1))))))))</f>
        <v/>
      </c>
      <c r="P876">
        <f>IF(E876=1,F876*O876,"")</f>
        <v/>
      </c>
    </row>
    <row r="877">
      <c r="A877">
        <f>PNL!A877</f>
        <v/>
      </c>
      <c r="B877">
        <f>PNL!B877</f>
        <v/>
      </c>
      <c r="C877">
        <f>PNL!C877</f>
        <v/>
      </c>
      <c r="D877">
        <f>PNL!D877</f>
        <v/>
      </c>
      <c r="E877">
        <f>IF(AND(C877="2027",OR(D877="V01",D877="V02",D877="V03")),1,0)</f>
        <v/>
      </c>
      <c r="F877">
        <f>IF(E877=1,SUMIFS(Compta!$F$2:$F$675,Compta!$A$2:$A$675,A877,Compta!$B$2:$B$675,B877,Compta!$C$2:$C$675,"2026"),0)</f>
        <v/>
      </c>
      <c r="G877">
        <f>IF(D877="V01",cad!$I$21,IF(D877="V02",cad!$J$21,cad!$K$21))</f>
        <v/>
      </c>
      <c r="H877">
        <f>IF(D877="V01",cad!$I$22,IF(D877="V02",cad!$J$22,cad!$K$22))</f>
        <v/>
      </c>
      <c r="I877">
        <f>IF(D877="V01",cad!$I$27,IF(D877="V02",cad!$J$27,cad!$K$27))</f>
        <v/>
      </c>
      <c r="J877">
        <f>IF(D877="V01",cad!$I$28,IF(D877="V02",cad!$J$28,cad!$K$28))</f>
        <v/>
      </c>
      <c r="K877">
        <f>IF(D877="V01",cad!$I$29,IF(D877="V02",cad!$J$29,cad!$K$29))</f>
        <v/>
      </c>
      <c r="L877">
        <f>IF(D877="V01",cad!$I$30,IF(D877="V02",cad!$J$30,cad!$K$30))</f>
        <v/>
      </c>
      <c r="M877">
        <f>IF(D877="V01",cad!$I$31,IF(D877="V02",cad!$J$31,cad!$K$31))</f>
        <v/>
      </c>
      <c r="N877">
        <f>IF(D877="V01",$R$2,IF(D877="V02",$R$3,$R$4))</f>
        <v/>
      </c>
      <c r="O877">
        <f>IF(OR(B877="7062",B877="706",B877="708"),N877,IF(B877="6231",1+G877,IF(B877="6236",1+H877,IF(OR(B877="621",B877="604",B877="6063"),N877*(1-L877),IF(OR(B877="6411",B877="6413",B877="6414",B877="645"),(1+J877)*(1+K877),IF(OR(B877="613",B877="615",B877="616",B877="6226",B877="625",B877="626",B877="6281"),(1+I877)*(1-L877)*(1+M877),IF(OR(B877="6331",B877="63511",B877="6333"),(1+I877)*(1-L877),IF(B877="6811",1+I877,1))))))))</f>
        <v/>
      </c>
      <c r="P877">
        <f>IF(E877=1,F877*O877,"")</f>
        <v/>
      </c>
    </row>
    <row r="878">
      <c r="A878">
        <f>PNL!A878</f>
        <v/>
      </c>
      <c r="B878">
        <f>PNL!B878</f>
        <v/>
      </c>
      <c r="C878">
        <f>PNL!C878</f>
        <v/>
      </c>
      <c r="D878">
        <f>PNL!D878</f>
        <v/>
      </c>
      <c r="E878">
        <f>IF(AND(C878="2027",OR(D878="V01",D878="V02",D878="V03")),1,0)</f>
        <v/>
      </c>
      <c r="F878">
        <f>IF(E878=1,SUMIFS(Compta!$F$2:$F$675,Compta!$A$2:$A$675,A878,Compta!$B$2:$B$675,B878,Compta!$C$2:$C$675,"2026"),0)</f>
        <v/>
      </c>
      <c r="G878">
        <f>IF(D878="V01",cad!$I$21,IF(D878="V02",cad!$J$21,cad!$K$21))</f>
        <v/>
      </c>
      <c r="H878">
        <f>IF(D878="V01",cad!$I$22,IF(D878="V02",cad!$J$22,cad!$K$22))</f>
        <v/>
      </c>
      <c r="I878">
        <f>IF(D878="V01",cad!$I$27,IF(D878="V02",cad!$J$27,cad!$K$27))</f>
        <v/>
      </c>
      <c r="J878">
        <f>IF(D878="V01",cad!$I$28,IF(D878="V02",cad!$J$28,cad!$K$28))</f>
        <v/>
      </c>
      <c r="K878">
        <f>IF(D878="V01",cad!$I$29,IF(D878="V02",cad!$J$29,cad!$K$29))</f>
        <v/>
      </c>
      <c r="L878">
        <f>IF(D878="V01",cad!$I$30,IF(D878="V02",cad!$J$30,cad!$K$30))</f>
        <v/>
      </c>
      <c r="M878">
        <f>IF(D878="V01",cad!$I$31,IF(D878="V02",cad!$J$31,cad!$K$31))</f>
        <v/>
      </c>
      <c r="N878">
        <f>IF(D878="V01",$R$2,IF(D878="V02",$R$3,$R$4))</f>
        <v/>
      </c>
      <c r="O878">
        <f>IF(OR(B878="7062",B878="706",B878="708"),N878,IF(B878="6231",1+G878,IF(B878="6236",1+H878,IF(OR(B878="621",B878="604",B878="6063"),N878*(1-L878),IF(OR(B878="6411",B878="6413",B878="6414",B878="645"),(1+J878)*(1+K878),IF(OR(B878="613",B878="615",B878="616",B878="6226",B878="625",B878="626",B878="6281"),(1+I878)*(1-L878)*(1+M878),IF(OR(B878="6331",B878="63511",B878="6333"),(1+I878)*(1-L878),IF(B878="6811",1+I878,1))))))))</f>
        <v/>
      </c>
      <c r="P878">
        <f>IF(E878=1,F878*O878,"")</f>
        <v/>
      </c>
    </row>
    <row r="879">
      <c r="A879">
        <f>PNL!A879</f>
        <v/>
      </c>
      <c r="B879">
        <f>PNL!B879</f>
        <v/>
      </c>
      <c r="C879">
        <f>PNL!C879</f>
        <v/>
      </c>
      <c r="D879">
        <f>PNL!D879</f>
        <v/>
      </c>
      <c r="E879">
        <f>IF(AND(C879="2027",OR(D879="V01",D879="V02",D879="V03")),1,0)</f>
        <v/>
      </c>
      <c r="F879">
        <f>IF(E879=1,SUMIFS(Compta!$F$2:$F$675,Compta!$A$2:$A$675,A879,Compta!$B$2:$B$675,B879,Compta!$C$2:$C$675,"2026"),0)</f>
        <v/>
      </c>
      <c r="G879">
        <f>IF(D879="V01",cad!$I$21,IF(D879="V02",cad!$J$21,cad!$K$21))</f>
        <v/>
      </c>
      <c r="H879">
        <f>IF(D879="V01",cad!$I$22,IF(D879="V02",cad!$J$22,cad!$K$22))</f>
        <v/>
      </c>
      <c r="I879">
        <f>IF(D879="V01",cad!$I$27,IF(D879="V02",cad!$J$27,cad!$K$27))</f>
        <v/>
      </c>
      <c r="J879">
        <f>IF(D879="V01",cad!$I$28,IF(D879="V02",cad!$J$28,cad!$K$28))</f>
        <v/>
      </c>
      <c r="K879">
        <f>IF(D879="V01",cad!$I$29,IF(D879="V02",cad!$J$29,cad!$K$29))</f>
        <v/>
      </c>
      <c r="L879">
        <f>IF(D879="V01",cad!$I$30,IF(D879="V02",cad!$J$30,cad!$K$30))</f>
        <v/>
      </c>
      <c r="M879">
        <f>IF(D879="V01",cad!$I$31,IF(D879="V02",cad!$J$31,cad!$K$31))</f>
        <v/>
      </c>
      <c r="N879">
        <f>IF(D879="V01",$R$2,IF(D879="V02",$R$3,$R$4))</f>
        <v/>
      </c>
      <c r="O879">
        <f>IF(OR(B879="7062",B879="706",B879="708"),N879,IF(B879="6231",1+G879,IF(B879="6236",1+H879,IF(OR(B879="621",B879="604",B879="6063"),N879*(1-L879),IF(OR(B879="6411",B879="6413",B879="6414",B879="645"),(1+J879)*(1+K879),IF(OR(B879="613",B879="615",B879="616",B879="6226",B879="625",B879="626",B879="6281"),(1+I879)*(1-L879)*(1+M879),IF(OR(B879="6331",B879="63511",B879="6333"),(1+I879)*(1-L879),IF(B879="6811",1+I879,1))))))))</f>
        <v/>
      </c>
      <c r="P879">
        <f>IF(E879=1,F879*O879,"")</f>
        <v/>
      </c>
    </row>
    <row r="880">
      <c r="A880">
        <f>PNL!A880</f>
        <v/>
      </c>
      <c r="B880">
        <f>PNL!B880</f>
        <v/>
      </c>
      <c r="C880">
        <f>PNL!C880</f>
        <v/>
      </c>
      <c r="D880">
        <f>PNL!D880</f>
        <v/>
      </c>
      <c r="E880">
        <f>IF(AND(C880="2027",OR(D880="V01",D880="V02",D880="V03")),1,0)</f>
        <v/>
      </c>
      <c r="F880">
        <f>IF(E880=1,SUMIFS(Compta!$F$2:$F$675,Compta!$A$2:$A$675,A880,Compta!$B$2:$B$675,B880,Compta!$C$2:$C$675,"2026"),0)</f>
        <v/>
      </c>
      <c r="G880">
        <f>IF(D880="V01",cad!$I$21,IF(D880="V02",cad!$J$21,cad!$K$21))</f>
        <v/>
      </c>
      <c r="H880">
        <f>IF(D880="V01",cad!$I$22,IF(D880="V02",cad!$J$22,cad!$K$22))</f>
        <v/>
      </c>
      <c r="I880">
        <f>IF(D880="V01",cad!$I$27,IF(D880="V02",cad!$J$27,cad!$K$27))</f>
        <v/>
      </c>
      <c r="J880">
        <f>IF(D880="V01",cad!$I$28,IF(D880="V02",cad!$J$28,cad!$K$28))</f>
        <v/>
      </c>
      <c r="K880">
        <f>IF(D880="V01",cad!$I$29,IF(D880="V02",cad!$J$29,cad!$K$29))</f>
        <v/>
      </c>
      <c r="L880">
        <f>IF(D880="V01",cad!$I$30,IF(D880="V02",cad!$J$30,cad!$K$30))</f>
        <v/>
      </c>
      <c r="M880">
        <f>IF(D880="V01",cad!$I$31,IF(D880="V02",cad!$J$31,cad!$K$31))</f>
        <v/>
      </c>
      <c r="N880">
        <f>IF(D880="V01",$R$2,IF(D880="V02",$R$3,$R$4))</f>
        <v/>
      </c>
      <c r="O880">
        <f>IF(OR(B880="7062",B880="706",B880="708"),N880,IF(B880="6231",1+G880,IF(B880="6236",1+H880,IF(OR(B880="621",B880="604",B880="6063"),N880*(1-L880),IF(OR(B880="6411",B880="6413",B880="6414",B880="645"),(1+J880)*(1+K880),IF(OR(B880="613",B880="615",B880="616",B880="6226",B880="625",B880="626",B880="6281"),(1+I880)*(1-L880)*(1+M880),IF(OR(B880="6331",B880="63511",B880="6333"),(1+I880)*(1-L880),IF(B880="6811",1+I880,1))))))))</f>
        <v/>
      </c>
      <c r="P880">
        <f>IF(E880=1,F880*O880,"")</f>
        <v/>
      </c>
    </row>
    <row r="881">
      <c r="A881">
        <f>PNL!A881</f>
        <v/>
      </c>
      <c r="B881">
        <f>PNL!B881</f>
        <v/>
      </c>
      <c r="C881">
        <f>PNL!C881</f>
        <v/>
      </c>
      <c r="D881">
        <f>PNL!D881</f>
        <v/>
      </c>
      <c r="E881">
        <f>IF(AND(C881="2027",OR(D881="V01",D881="V02",D881="V03")),1,0)</f>
        <v/>
      </c>
      <c r="F881">
        <f>IF(E881=1,SUMIFS(Compta!$F$2:$F$675,Compta!$A$2:$A$675,A881,Compta!$B$2:$B$675,B881,Compta!$C$2:$C$675,"2026"),0)</f>
        <v/>
      </c>
      <c r="G881">
        <f>IF(D881="V01",cad!$I$21,IF(D881="V02",cad!$J$21,cad!$K$21))</f>
        <v/>
      </c>
      <c r="H881">
        <f>IF(D881="V01",cad!$I$22,IF(D881="V02",cad!$J$22,cad!$K$22))</f>
        <v/>
      </c>
      <c r="I881">
        <f>IF(D881="V01",cad!$I$27,IF(D881="V02",cad!$J$27,cad!$K$27))</f>
        <v/>
      </c>
      <c r="J881">
        <f>IF(D881="V01",cad!$I$28,IF(D881="V02",cad!$J$28,cad!$K$28))</f>
        <v/>
      </c>
      <c r="K881">
        <f>IF(D881="V01",cad!$I$29,IF(D881="V02",cad!$J$29,cad!$K$29))</f>
        <v/>
      </c>
      <c r="L881">
        <f>IF(D881="V01",cad!$I$30,IF(D881="V02",cad!$J$30,cad!$K$30))</f>
        <v/>
      </c>
      <c r="M881">
        <f>IF(D881="V01",cad!$I$31,IF(D881="V02",cad!$J$31,cad!$K$31))</f>
        <v/>
      </c>
      <c r="N881">
        <f>IF(D881="V01",$R$2,IF(D881="V02",$R$3,$R$4))</f>
        <v/>
      </c>
      <c r="O881">
        <f>IF(OR(B881="7062",B881="706",B881="708"),N881,IF(B881="6231",1+G881,IF(B881="6236",1+H881,IF(OR(B881="621",B881="604",B881="6063"),N881*(1-L881),IF(OR(B881="6411",B881="6413",B881="6414",B881="645"),(1+J881)*(1+K881),IF(OR(B881="613",B881="615",B881="616",B881="6226",B881="625",B881="626",B881="6281"),(1+I881)*(1-L881)*(1+M881),IF(OR(B881="6331",B881="63511",B881="6333"),(1+I881)*(1-L881),IF(B881="6811",1+I881,1))))))))</f>
        <v/>
      </c>
      <c r="P881">
        <f>IF(E881=1,F881*O881,"")</f>
        <v/>
      </c>
    </row>
    <row r="882">
      <c r="A882">
        <f>PNL!A882</f>
        <v/>
      </c>
      <c r="B882">
        <f>PNL!B882</f>
        <v/>
      </c>
      <c r="C882">
        <f>PNL!C882</f>
        <v/>
      </c>
      <c r="D882">
        <f>PNL!D882</f>
        <v/>
      </c>
      <c r="E882">
        <f>IF(AND(C882="2027",OR(D882="V01",D882="V02",D882="V03")),1,0)</f>
        <v/>
      </c>
      <c r="F882">
        <f>IF(E882=1,SUMIFS(Compta!$F$2:$F$675,Compta!$A$2:$A$675,A882,Compta!$B$2:$B$675,B882,Compta!$C$2:$C$675,"2026"),0)</f>
        <v/>
      </c>
      <c r="G882">
        <f>IF(D882="V01",cad!$I$21,IF(D882="V02",cad!$J$21,cad!$K$21))</f>
        <v/>
      </c>
      <c r="H882">
        <f>IF(D882="V01",cad!$I$22,IF(D882="V02",cad!$J$22,cad!$K$22))</f>
        <v/>
      </c>
      <c r="I882">
        <f>IF(D882="V01",cad!$I$27,IF(D882="V02",cad!$J$27,cad!$K$27))</f>
        <v/>
      </c>
      <c r="J882">
        <f>IF(D882="V01",cad!$I$28,IF(D882="V02",cad!$J$28,cad!$K$28))</f>
        <v/>
      </c>
      <c r="K882">
        <f>IF(D882="V01",cad!$I$29,IF(D882="V02",cad!$J$29,cad!$K$29))</f>
        <v/>
      </c>
      <c r="L882">
        <f>IF(D882="V01",cad!$I$30,IF(D882="V02",cad!$J$30,cad!$K$30))</f>
        <v/>
      </c>
      <c r="M882">
        <f>IF(D882="V01",cad!$I$31,IF(D882="V02",cad!$J$31,cad!$K$31))</f>
        <v/>
      </c>
      <c r="N882">
        <f>IF(D882="V01",$R$2,IF(D882="V02",$R$3,$R$4))</f>
        <v/>
      </c>
      <c r="O882">
        <f>IF(OR(B882="7062",B882="706",B882="708"),N882,IF(B882="6231",1+G882,IF(B882="6236",1+H882,IF(OR(B882="621",B882="604",B882="6063"),N882*(1-L882),IF(OR(B882="6411",B882="6413",B882="6414",B882="645"),(1+J882)*(1+K882),IF(OR(B882="613",B882="615",B882="616",B882="6226",B882="625",B882="626",B882="6281"),(1+I882)*(1-L882)*(1+M882),IF(OR(B882="6331",B882="63511",B882="6333"),(1+I882)*(1-L882),IF(B882="6811",1+I882,1))))))))</f>
        <v/>
      </c>
      <c r="P882">
        <f>IF(E882=1,F882*O882,"")</f>
        <v/>
      </c>
    </row>
    <row r="883">
      <c r="A883">
        <f>PNL!A883</f>
        <v/>
      </c>
      <c r="B883">
        <f>PNL!B883</f>
        <v/>
      </c>
      <c r="C883">
        <f>PNL!C883</f>
        <v/>
      </c>
      <c r="D883">
        <f>PNL!D883</f>
        <v/>
      </c>
      <c r="E883">
        <f>IF(AND(C883="2027",OR(D883="V01",D883="V02",D883="V03")),1,0)</f>
        <v/>
      </c>
      <c r="F883">
        <f>IF(E883=1,SUMIFS(Compta!$F$2:$F$675,Compta!$A$2:$A$675,A883,Compta!$B$2:$B$675,B883,Compta!$C$2:$C$675,"2026"),0)</f>
        <v/>
      </c>
      <c r="G883">
        <f>IF(D883="V01",cad!$I$21,IF(D883="V02",cad!$J$21,cad!$K$21))</f>
        <v/>
      </c>
      <c r="H883">
        <f>IF(D883="V01",cad!$I$22,IF(D883="V02",cad!$J$22,cad!$K$22))</f>
        <v/>
      </c>
      <c r="I883">
        <f>IF(D883="V01",cad!$I$27,IF(D883="V02",cad!$J$27,cad!$K$27))</f>
        <v/>
      </c>
      <c r="J883">
        <f>IF(D883="V01",cad!$I$28,IF(D883="V02",cad!$J$28,cad!$K$28))</f>
        <v/>
      </c>
      <c r="K883">
        <f>IF(D883="V01",cad!$I$29,IF(D883="V02",cad!$J$29,cad!$K$29))</f>
        <v/>
      </c>
      <c r="L883">
        <f>IF(D883="V01",cad!$I$30,IF(D883="V02",cad!$J$30,cad!$K$30))</f>
        <v/>
      </c>
      <c r="M883">
        <f>IF(D883="V01",cad!$I$31,IF(D883="V02",cad!$J$31,cad!$K$31))</f>
        <v/>
      </c>
      <c r="N883">
        <f>IF(D883="V01",$R$2,IF(D883="V02",$R$3,$R$4))</f>
        <v/>
      </c>
      <c r="O883">
        <f>IF(OR(B883="7062",B883="706",B883="708"),N883,IF(B883="6231",1+G883,IF(B883="6236",1+H883,IF(OR(B883="621",B883="604",B883="6063"),N883*(1-L883),IF(OR(B883="6411",B883="6413",B883="6414",B883="645"),(1+J883)*(1+K883),IF(OR(B883="613",B883="615",B883="616",B883="6226",B883="625",B883="626",B883="6281"),(1+I883)*(1-L883)*(1+M883),IF(OR(B883="6331",B883="63511",B883="6333"),(1+I883)*(1-L883),IF(B883="6811",1+I883,1))))))))</f>
        <v/>
      </c>
      <c r="P883">
        <f>IF(E883=1,F883*O883,"")</f>
        <v/>
      </c>
    </row>
    <row r="884">
      <c r="A884">
        <f>PNL!A884</f>
        <v/>
      </c>
      <c r="B884">
        <f>PNL!B884</f>
        <v/>
      </c>
      <c r="C884">
        <f>PNL!C884</f>
        <v/>
      </c>
      <c r="D884">
        <f>PNL!D884</f>
        <v/>
      </c>
      <c r="E884">
        <f>IF(AND(C884="2027",OR(D884="V01",D884="V02",D884="V03")),1,0)</f>
        <v/>
      </c>
      <c r="F884">
        <f>IF(E884=1,SUMIFS(Compta!$F$2:$F$675,Compta!$A$2:$A$675,A884,Compta!$B$2:$B$675,B884,Compta!$C$2:$C$675,"2026"),0)</f>
        <v/>
      </c>
      <c r="G884">
        <f>IF(D884="V01",cad!$I$21,IF(D884="V02",cad!$J$21,cad!$K$21))</f>
        <v/>
      </c>
      <c r="H884">
        <f>IF(D884="V01",cad!$I$22,IF(D884="V02",cad!$J$22,cad!$K$22))</f>
        <v/>
      </c>
      <c r="I884">
        <f>IF(D884="V01",cad!$I$27,IF(D884="V02",cad!$J$27,cad!$K$27))</f>
        <v/>
      </c>
      <c r="J884">
        <f>IF(D884="V01",cad!$I$28,IF(D884="V02",cad!$J$28,cad!$K$28))</f>
        <v/>
      </c>
      <c r="K884">
        <f>IF(D884="V01",cad!$I$29,IF(D884="V02",cad!$J$29,cad!$K$29))</f>
        <v/>
      </c>
      <c r="L884">
        <f>IF(D884="V01",cad!$I$30,IF(D884="V02",cad!$J$30,cad!$K$30))</f>
        <v/>
      </c>
      <c r="M884">
        <f>IF(D884="V01",cad!$I$31,IF(D884="V02",cad!$J$31,cad!$K$31))</f>
        <v/>
      </c>
      <c r="N884">
        <f>IF(D884="V01",$R$2,IF(D884="V02",$R$3,$R$4))</f>
        <v/>
      </c>
      <c r="O884">
        <f>IF(OR(B884="7062",B884="706",B884="708"),N884,IF(B884="6231",1+G884,IF(B884="6236",1+H884,IF(OR(B884="621",B884="604",B884="6063"),N884*(1-L884),IF(OR(B884="6411",B884="6413",B884="6414",B884="645"),(1+J884)*(1+K884),IF(OR(B884="613",B884="615",B884="616",B884="6226",B884="625",B884="626",B884="6281"),(1+I884)*(1-L884)*(1+M884),IF(OR(B884="6331",B884="63511",B884="6333"),(1+I884)*(1-L884),IF(B884="6811",1+I884,1))))))))</f>
        <v/>
      </c>
      <c r="P884">
        <f>IF(E884=1,F884*O884,"")</f>
        <v/>
      </c>
    </row>
    <row r="885">
      <c r="A885">
        <f>PNL!A885</f>
        <v/>
      </c>
      <c r="B885">
        <f>PNL!B885</f>
        <v/>
      </c>
      <c r="C885">
        <f>PNL!C885</f>
        <v/>
      </c>
      <c r="D885">
        <f>PNL!D885</f>
        <v/>
      </c>
      <c r="E885">
        <f>IF(AND(C885="2027",OR(D885="V01",D885="V02",D885="V03")),1,0)</f>
        <v/>
      </c>
      <c r="F885">
        <f>IF(E885=1,SUMIFS(Compta!$F$2:$F$675,Compta!$A$2:$A$675,A885,Compta!$B$2:$B$675,B885,Compta!$C$2:$C$675,"2026"),0)</f>
        <v/>
      </c>
      <c r="G885">
        <f>IF(D885="V01",cad!$I$21,IF(D885="V02",cad!$J$21,cad!$K$21))</f>
        <v/>
      </c>
      <c r="H885">
        <f>IF(D885="V01",cad!$I$22,IF(D885="V02",cad!$J$22,cad!$K$22))</f>
        <v/>
      </c>
      <c r="I885">
        <f>IF(D885="V01",cad!$I$27,IF(D885="V02",cad!$J$27,cad!$K$27))</f>
        <v/>
      </c>
      <c r="J885">
        <f>IF(D885="V01",cad!$I$28,IF(D885="V02",cad!$J$28,cad!$K$28))</f>
        <v/>
      </c>
      <c r="K885">
        <f>IF(D885="V01",cad!$I$29,IF(D885="V02",cad!$J$29,cad!$K$29))</f>
        <v/>
      </c>
      <c r="L885">
        <f>IF(D885="V01",cad!$I$30,IF(D885="V02",cad!$J$30,cad!$K$30))</f>
        <v/>
      </c>
      <c r="M885">
        <f>IF(D885="V01",cad!$I$31,IF(D885="V02",cad!$J$31,cad!$K$31))</f>
        <v/>
      </c>
      <c r="N885">
        <f>IF(D885="V01",$R$2,IF(D885="V02",$R$3,$R$4))</f>
        <v/>
      </c>
      <c r="O885">
        <f>IF(OR(B885="7062",B885="706",B885="708"),N885,IF(B885="6231",1+G885,IF(B885="6236",1+H885,IF(OR(B885="621",B885="604",B885="6063"),N885*(1-L885),IF(OR(B885="6411",B885="6413",B885="6414",B885="645"),(1+J885)*(1+K885),IF(OR(B885="613",B885="615",B885="616",B885="6226",B885="625",B885="626",B885="6281"),(1+I885)*(1-L885)*(1+M885),IF(OR(B885="6331",B885="63511",B885="6333"),(1+I885)*(1-L885),IF(B885="6811",1+I885,1))))))))</f>
        <v/>
      </c>
      <c r="P885">
        <f>IF(E885=1,F885*O885,"")</f>
        <v/>
      </c>
    </row>
    <row r="886">
      <c r="A886">
        <f>PNL!A886</f>
        <v/>
      </c>
      <c r="B886">
        <f>PNL!B886</f>
        <v/>
      </c>
      <c r="C886">
        <f>PNL!C886</f>
        <v/>
      </c>
      <c r="D886">
        <f>PNL!D886</f>
        <v/>
      </c>
      <c r="E886">
        <f>IF(AND(C886="2027",OR(D886="V01",D886="V02",D886="V03")),1,0)</f>
        <v/>
      </c>
      <c r="F886">
        <f>IF(E886=1,SUMIFS(Compta!$F$2:$F$675,Compta!$A$2:$A$675,A886,Compta!$B$2:$B$675,B886,Compta!$C$2:$C$675,"2026"),0)</f>
        <v/>
      </c>
      <c r="G886">
        <f>IF(D886="V01",cad!$I$21,IF(D886="V02",cad!$J$21,cad!$K$21))</f>
        <v/>
      </c>
      <c r="H886">
        <f>IF(D886="V01",cad!$I$22,IF(D886="V02",cad!$J$22,cad!$K$22))</f>
        <v/>
      </c>
      <c r="I886">
        <f>IF(D886="V01",cad!$I$27,IF(D886="V02",cad!$J$27,cad!$K$27))</f>
        <v/>
      </c>
      <c r="J886">
        <f>IF(D886="V01",cad!$I$28,IF(D886="V02",cad!$J$28,cad!$K$28))</f>
        <v/>
      </c>
      <c r="K886">
        <f>IF(D886="V01",cad!$I$29,IF(D886="V02",cad!$J$29,cad!$K$29))</f>
        <v/>
      </c>
      <c r="L886">
        <f>IF(D886="V01",cad!$I$30,IF(D886="V02",cad!$J$30,cad!$K$30))</f>
        <v/>
      </c>
      <c r="M886">
        <f>IF(D886="V01",cad!$I$31,IF(D886="V02",cad!$J$31,cad!$K$31))</f>
        <v/>
      </c>
      <c r="N886">
        <f>IF(D886="V01",$R$2,IF(D886="V02",$R$3,$R$4))</f>
        <v/>
      </c>
      <c r="O886">
        <f>IF(OR(B886="7062",B886="706",B886="708"),N886,IF(B886="6231",1+G886,IF(B886="6236",1+H886,IF(OR(B886="621",B886="604",B886="6063"),N886*(1-L886),IF(OR(B886="6411",B886="6413",B886="6414",B886="645"),(1+J886)*(1+K886),IF(OR(B886="613",B886="615",B886="616",B886="6226",B886="625",B886="626",B886="6281"),(1+I886)*(1-L886)*(1+M886),IF(OR(B886="6331",B886="63511",B886="6333"),(1+I886)*(1-L886),IF(B886="6811",1+I886,1))))))))</f>
        <v/>
      </c>
      <c r="P886">
        <f>IF(E886=1,F886*O886,"")</f>
        <v/>
      </c>
    </row>
    <row r="887">
      <c r="A887">
        <f>PNL!A887</f>
        <v/>
      </c>
      <c r="B887">
        <f>PNL!B887</f>
        <v/>
      </c>
      <c r="C887">
        <f>PNL!C887</f>
        <v/>
      </c>
      <c r="D887">
        <f>PNL!D887</f>
        <v/>
      </c>
      <c r="E887">
        <f>IF(AND(C887="2027",OR(D887="V01",D887="V02",D887="V03")),1,0)</f>
        <v/>
      </c>
      <c r="F887">
        <f>IF(E887=1,SUMIFS(Compta!$F$2:$F$675,Compta!$A$2:$A$675,A887,Compta!$B$2:$B$675,B887,Compta!$C$2:$C$675,"2026"),0)</f>
        <v/>
      </c>
      <c r="G887">
        <f>IF(D887="V01",cad!$I$21,IF(D887="V02",cad!$J$21,cad!$K$21))</f>
        <v/>
      </c>
      <c r="H887">
        <f>IF(D887="V01",cad!$I$22,IF(D887="V02",cad!$J$22,cad!$K$22))</f>
        <v/>
      </c>
      <c r="I887">
        <f>IF(D887="V01",cad!$I$27,IF(D887="V02",cad!$J$27,cad!$K$27))</f>
        <v/>
      </c>
      <c r="J887">
        <f>IF(D887="V01",cad!$I$28,IF(D887="V02",cad!$J$28,cad!$K$28))</f>
        <v/>
      </c>
      <c r="K887">
        <f>IF(D887="V01",cad!$I$29,IF(D887="V02",cad!$J$29,cad!$K$29))</f>
        <v/>
      </c>
      <c r="L887">
        <f>IF(D887="V01",cad!$I$30,IF(D887="V02",cad!$J$30,cad!$K$30))</f>
        <v/>
      </c>
      <c r="M887">
        <f>IF(D887="V01",cad!$I$31,IF(D887="V02",cad!$J$31,cad!$K$31))</f>
        <v/>
      </c>
      <c r="N887">
        <f>IF(D887="V01",$R$2,IF(D887="V02",$R$3,$R$4))</f>
        <v/>
      </c>
      <c r="O887">
        <f>IF(OR(B887="7062",B887="706",B887="708"),N887,IF(B887="6231",1+G887,IF(B887="6236",1+H887,IF(OR(B887="621",B887="604",B887="6063"),N887*(1-L887),IF(OR(B887="6411",B887="6413",B887="6414",B887="645"),(1+J887)*(1+K887),IF(OR(B887="613",B887="615",B887="616",B887="6226",B887="625",B887="626",B887="6281"),(1+I887)*(1-L887)*(1+M887),IF(OR(B887="6331",B887="63511",B887="6333"),(1+I887)*(1-L887),IF(B887="6811",1+I887,1))))))))</f>
        <v/>
      </c>
      <c r="P887">
        <f>IF(E887=1,F887*O887,"")</f>
        <v/>
      </c>
    </row>
    <row r="888">
      <c r="A888">
        <f>PNL!A888</f>
        <v/>
      </c>
      <c r="B888">
        <f>PNL!B888</f>
        <v/>
      </c>
      <c r="C888">
        <f>PNL!C888</f>
        <v/>
      </c>
      <c r="D888">
        <f>PNL!D888</f>
        <v/>
      </c>
      <c r="E888">
        <f>IF(AND(C888="2027",OR(D888="V01",D888="V02",D888="V03")),1,0)</f>
        <v/>
      </c>
      <c r="F888">
        <f>IF(E888=1,SUMIFS(Compta!$F$2:$F$675,Compta!$A$2:$A$675,A888,Compta!$B$2:$B$675,B888,Compta!$C$2:$C$675,"2026"),0)</f>
        <v/>
      </c>
      <c r="G888">
        <f>IF(D888="V01",cad!$I$21,IF(D888="V02",cad!$J$21,cad!$K$21))</f>
        <v/>
      </c>
      <c r="H888">
        <f>IF(D888="V01",cad!$I$22,IF(D888="V02",cad!$J$22,cad!$K$22))</f>
        <v/>
      </c>
      <c r="I888">
        <f>IF(D888="V01",cad!$I$27,IF(D888="V02",cad!$J$27,cad!$K$27))</f>
        <v/>
      </c>
      <c r="J888">
        <f>IF(D888="V01",cad!$I$28,IF(D888="V02",cad!$J$28,cad!$K$28))</f>
        <v/>
      </c>
      <c r="K888">
        <f>IF(D888="V01",cad!$I$29,IF(D888="V02",cad!$J$29,cad!$K$29))</f>
        <v/>
      </c>
      <c r="L888">
        <f>IF(D888="V01",cad!$I$30,IF(D888="V02",cad!$J$30,cad!$K$30))</f>
        <v/>
      </c>
      <c r="M888">
        <f>IF(D888="V01",cad!$I$31,IF(D888="V02",cad!$J$31,cad!$K$31))</f>
        <v/>
      </c>
      <c r="N888">
        <f>IF(D888="V01",$R$2,IF(D888="V02",$R$3,$R$4))</f>
        <v/>
      </c>
      <c r="O888">
        <f>IF(OR(B888="7062",B888="706",B888="708"),N888,IF(B888="6231",1+G888,IF(B888="6236",1+H888,IF(OR(B888="621",B888="604",B888="6063"),N888*(1-L888),IF(OR(B888="6411",B888="6413",B888="6414",B888="645"),(1+J888)*(1+K888),IF(OR(B888="613",B888="615",B888="616",B888="6226",B888="625",B888="626",B888="6281"),(1+I888)*(1-L888)*(1+M888),IF(OR(B888="6331",B888="63511",B888="6333"),(1+I888)*(1-L888),IF(B888="6811",1+I888,1))))))))</f>
        <v/>
      </c>
      <c r="P888">
        <f>IF(E888=1,F888*O888,"")</f>
        <v/>
      </c>
    </row>
    <row r="889">
      <c r="A889">
        <f>PNL!A889</f>
        <v/>
      </c>
      <c r="B889">
        <f>PNL!B889</f>
        <v/>
      </c>
      <c r="C889">
        <f>PNL!C889</f>
        <v/>
      </c>
      <c r="D889">
        <f>PNL!D889</f>
        <v/>
      </c>
      <c r="E889">
        <f>IF(AND(C889="2027",OR(D889="V01",D889="V02",D889="V03")),1,0)</f>
        <v/>
      </c>
      <c r="F889">
        <f>IF(E889=1,SUMIFS(Compta!$F$2:$F$675,Compta!$A$2:$A$675,A889,Compta!$B$2:$B$675,B889,Compta!$C$2:$C$675,"2026"),0)</f>
        <v/>
      </c>
      <c r="G889">
        <f>IF(D889="V01",cad!$I$21,IF(D889="V02",cad!$J$21,cad!$K$21))</f>
        <v/>
      </c>
      <c r="H889">
        <f>IF(D889="V01",cad!$I$22,IF(D889="V02",cad!$J$22,cad!$K$22))</f>
        <v/>
      </c>
      <c r="I889">
        <f>IF(D889="V01",cad!$I$27,IF(D889="V02",cad!$J$27,cad!$K$27))</f>
        <v/>
      </c>
      <c r="J889">
        <f>IF(D889="V01",cad!$I$28,IF(D889="V02",cad!$J$28,cad!$K$28))</f>
        <v/>
      </c>
      <c r="K889">
        <f>IF(D889="V01",cad!$I$29,IF(D889="V02",cad!$J$29,cad!$K$29))</f>
        <v/>
      </c>
      <c r="L889">
        <f>IF(D889="V01",cad!$I$30,IF(D889="V02",cad!$J$30,cad!$K$30))</f>
        <v/>
      </c>
      <c r="M889">
        <f>IF(D889="V01",cad!$I$31,IF(D889="V02",cad!$J$31,cad!$K$31))</f>
        <v/>
      </c>
      <c r="N889">
        <f>IF(D889="V01",$R$2,IF(D889="V02",$R$3,$R$4))</f>
        <v/>
      </c>
      <c r="O889">
        <f>IF(OR(B889="7062",B889="706",B889="708"),N889,IF(B889="6231",1+G889,IF(B889="6236",1+H889,IF(OR(B889="621",B889="604",B889="6063"),N889*(1-L889),IF(OR(B889="6411",B889="6413",B889="6414",B889="645"),(1+J889)*(1+K889),IF(OR(B889="613",B889="615",B889="616",B889="6226",B889="625",B889="626",B889="6281"),(1+I889)*(1-L889)*(1+M889),IF(OR(B889="6331",B889="63511",B889="6333"),(1+I889)*(1-L889),IF(B889="6811",1+I889,1))))))))</f>
        <v/>
      </c>
      <c r="P889">
        <f>IF(E889=1,F889*O889,"")</f>
        <v/>
      </c>
    </row>
    <row r="890">
      <c r="A890">
        <f>PNL!A890</f>
        <v/>
      </c>
      <c r="B890">
        <f>PNL!B890</f>
        <v/>
      </c>
      <c r="C890">
        <f>PNL!C890</f>
        <v/>
      </c>
      <c r="D890">
        <f>PNL!D890</f>
        <v/>
      </c>
      <c r="E890">
        <f>IF(AND(C890="2027",OR(D890="V01",D890="V02",D890="V03")),1,0)</f>
        <v/>
      </c>
      <c r="F890">
        <f>IF(E890=1,SUMIFS(Compta!$F$2:$F$675,Compta!$A$2:$A$675,A890,Compta!$B$2:$B$675,B890,Compta!$C$2:$C$675,"2026"),0)</f>
        <v/>
      </c>
      <c r="G890">
        <f>IF(D890="V01",cad!$I$21,IF(D890="V02",cad!$J$21,cad!$K$21))</f>
        <v/>
      </c>
      <c r="H890">
        <f>IF(D890="V01",cad!$I$22,IF(D890="V02",cad!$J$22,cad!$K$22))</f>
        <v/>
      </c>
      <c r="I890">
        <f>IF(D890="V01",cad!$I$27,IF(D890="V02",cad!$J$27,cad!$K$27))</f>
        <v/>
      </c>
      <c r="J890">
        <f>IF(D890="V01",cad!$I$28,IF(D890="V02",cad!$J$28,cad!$K$28))</f>
        <v/>
      </c>
      <c r="K890">
        <f>IF(D890="V01",cad!$I$29,IF(D890="V02",cad!$J$29,cad!$K$29))</f>
        <v/>
      </c>
      <c r="L890">
        <f>IF(D890="V01",cad!$I$30,IF(D890="V02",cad!$J$30,cad!$K$30))</f>
        <v/>
      </c>
      <c r="M890">
        <f>IF(D890="V01",cad!$I$31,IF(D890="V02",cad!$J$31,cad!$K$31))</f>
        <v/>
      </c>
      <c r="N890">
        <f>IF(D890="V01",$R$2,IF(D890="V02",$R$3,$R$4))</f>
        <v/>
      </c>
      <c r="O890">
        <f>IF(OR(B890="7062",B890="706",B890="708"),N890,IF(B890="6231",1+G890,IF(B890="6236",1+H890,IF(OR(B890="621",B890="604",B890="6063"),N890*(1-L890),IF(OR(B890="6411",B890="6413",B890="6414",B890="645"),(1+J890)*(1+K890),IF(OR(B890="613",B890="615",B890="616",B890="6226",B890="625",B890="626",B890="6281"),(1+I890)*(1-L890)*(1+M890),IF(OR(B890="6331",B890="63511",B890="6333"),(1+I890)*(1-L890),IF(B890="6811",1+I890,1))))))))</f>
        <v/>
      </c>
      <c r="P890">
        <f>IF(E890=1,F890*O890,"")</f>
        <v/>
      </c>
    </row>
    <row r="891">
      <c r="A891">
        <f>PNL!A891</f>
        <v/>
      </c>
      <c r="B891">
        <f>PNL!B891</f>
        <v/>
      </c>
      <c r="C891">
        <f>PNL!C891</f>
        <v/>
      </c>
      <c r="D891">
        <f>PNL!D891</f>
        <v/>
      </c>
      <c r="E891">
        <f>IF(AND(C891="2027",OR(D891="V01",D891="V02",D891="V03")),1,0)</f>
        <v/>
      </c>
      <c r="F891">
        <f>IF(E891=1,SUMIFS(Compta!$F$2:$F$675,Compta!$A$2:$A$675,A891,Compta!$B$2:$B$675,B891,Compta!$C$2:$C$675,"2026"),0)</f>
        <v/>
      </c>
      <c r="G891">
        <f>IF(D891="V01",cad!$I$21,IF(D891="V02",cad!$J$21,cad!$K$21))</f>
        <v/>
      </c>
      <c r="H891">
        <f>IF(D891="V01",cad!$I$22,IF(D891="V02",cad!$J$22,cad!$K$22))</f>
        <v/>
      </c>
      <c r="I891">
        <f>IF(D891="V01",cad!$I$27,IF(D891="V02",cad!$J$27,cad!$K$27))</f>
        <v/>
      </c>
      <c r="J891">
        <f>IF(D891="V01",cad!$I$28,IF(D891="V02",cad!$J$28,cad!$K$28))</f>
        <v/>
      </c>
      <c r="K891">
        <f>IF(D891="V01",cad!$I$29,IF(D891="V02",cad!$J$29,cad!$K$29))</f>
        <v/>
      </c>
      <c r="L891">
        <f>IF(D891="V01",cad!$I$30,IF(D891="V02",cad!$J$30,cad!$K$30))</f>
        <v/>
      </c>
      <c r="M891">
        <f>IF(D891="V01",cad!$I$31,IF(D891="V02",cad!$J$31,cad!$K$31))</f>
        <v/>
      </c>
      <c r="N891">
        <f>IF(D891="V01",$R$2,IF(D891="V02",$R$3,$R$4))</f>
        <v/>
      </c>
      <c r="O891">
        <f>IF(OR(B891="7062",B891="706",B891="708"),N891,IF(B891="6231",1+G891,IF(B891="6236",1+H891,IF(OR(B891="621",B891="604",B891="6063"),N891*(1-L891),IF(OR(B891="6411",B891="6413",B891="6414",B891="645"),(1+J891)*(1+K891),IF(OR(B891="613",B891="615",B891="616",B891="6226",B891="625",B891="626",B891="6281"),(1+I891)*(1-L891)*(1+M891),IF(OR(B891="6331",B891="63511",B891="6333"),(1+I891)*(1-L891),IF(B891="6811",1+I891,1))))))))</f>
        <v/>
      </c>
      <c r="P891">
        <f>IF(E891=1,F891*O891,"")</f>
        <v/>
      </c>
    </row>
    <row r="892">
      <c r="A892">
        <f>PNL!A892</f>
        <v/>
      </c>
      <c r="B892">
        <f>PNL!B892</f>
        <v/>
      </c>
      <c r="C892">
        <f>PNL!C892</f>
        <v/>
      </c>
      <c r="D892">
        <f>PNL!D892</f>
        <v/>
      </c>
      <c r="E892">
        <f>IF(AND(C892="2027",OR(D892="V01",D892="V02",D892="V03")),1,0)</f>
        <v/>
      </c>
      <c r="F892">
        <f>IF(E892=1,SUMIFS(Compta!$F$2:$F$675,Compta!$A$2:$A$675,A892,Compta!$B$2:$B$675,B892,Compta!$C$2:$C$675,"2026"),0)</f>
        <v/>
      </c>
      <c r="G892">
        <f>IF(D892="V01",cad!$I$21,IF(D892="V02",cad!$J$21,cad!$K$21))</f>
        <v/>
      </c>
      <c r="H892">
        <f>IF(D892="V01",cad!$I$22,IF(D892="V02",cad!$J$22,cad!$K$22))</f>
        <v/>
      </c>
      <c r="I892">
        <f>IF(D892="V01",cad!$I$27,IF(D892="V02",cad!$J$27,cad!$K$27))</f>
        <v/>
      </c>
      <c r="J892">
        <f>IF(D892="V01",cad!$I$28,IF(D892="V02",cad!$J$28,cad!$K$28))</f>
        <v/>
      </c>
      <c r="K892">
        <f>IF(D892="V01",cad!$I$29,IF(D892="V02",cad!$J$29,cad!$K$29))</f>
        <v/>
      </c>
      <c r="L892">
        <f>IF(D892="V01",cad!$I$30,IF(D892="V02",cad!$J$30,cad!$K$30))</f>
        <v/>
      </c>
      <c r="M892">
        <f>IF(D892="V01",cad!$I$31,IF(D892="V02",cad!$J$31,cad!$K$31))</f>
        <v/>
      </c>
      <c r="N892">
        <f>IF(D892="V01",$R$2,IF(D892="V02",$R$3,$R$4))</f>
        <v/>
      </c>
      <c r="O892">
        <f>IF(OR(B892="7062",B892="706",B892="708"),N892,IF(B892="6231",1+G892,IF(B892="6236",1+H892,IF(OR(B892="621",B892="604",B892="6063"),N892*(1-L892),IF(OR(B892="6411",B892="6413",B892="6414",B892="645"),(1+J892)*(1+K892),IF(OR(B892="613",B892="615",B892="616",B892="6226",B892="625",B892="626",B892="6281"),(1+I892)*(1-L892)*(1+M892),IF(OR(B892="6331",B892="63511",B892="6333"),(1+I892)*(1-L892),IF(B892="6811",1+I892,1))))))))</f>
        <v/>
      </c>
      <c r="P892">
        <f>IF(E892=1,F892*O892,"")</f>
        <v/>
      </c>
    </row>
    <row r="893">
      <c r="A893">
        <f>PNL!A893</f>
        <v/>
      </c>
      <c r="B893">
        <f>PNL!B893</f>
        <v/>
      </c>
      <c r="C893">
        <f>PNL!C893</f>
        <v/>
      </c>
      <c r="D893">
        <f>PNL!D893</f>
        <v/>
      </c>
      <c r="E893">
        <f>IF(AND(C893="2027",OR(D893="V01",D893="V02",D893="V03")),1,0)</f>
        <v/>
      </c>
      <c r="F893">
        <f>IF(E893=1,SUMIFS(Compta!$F$2:$F$675,Compta!$A$2:$A$675,A893,Compta!$B$2:$B$675,B893,Compta!$C$2:$C$675,"2026"),0)</f>
        <v/>
      </c>
      <c r="G893">
        <f>IF(D893="V01",cad!$I$21,IF(D893="V02",cad!$J$21,cad!$K$21))</f>
        <v/>
      </c>
      <c r="H893">
        <f>IF(D893="V01",cad!$I$22,IF(D893="V02",cad!$J$22,cad!$K$22))</f>
        <v/>
      </c>
      <c r="I893">
        <f>IF(D893="V01",cad!$I$27,IF(D893="V02",cad!$J$27,cad!$K$27))</f>
        <v/>
      </c>
      <c r="J893">
        <f>IF(D893="V01",cad!$I$28,IF(D893="V02",cad!$J$28,cad!$K$28))</f>
        <v/>
      </c>
      <c r="K893">
        <f>IF(D893="V01",cad!$I$29,IF(D893="V02",cad!$J$29,cad!$K$29))</f>
        <v/>
      </c>
      <c r="L893">
        <f>IF(D893="V01",cad!$I$30,IF(D893="V02",cad!$J$30,cad!$K$30))</f>
        <v/>
      </c>
      <c r="M893">
        <f>IF(D893="V01",cad!$I$31,IF(D893="V02",cad!$J$31,cad!$K$31))</f>
        <v/>
      </c>
      <c r="N893">
        <f>IF(D893="V01",$R$2,IF(D893="V02",$R$3,$R$4))</f>
        <v/>
      </c>
      <c r="O893">
        <f>IF(OR(B893="7062",B893="706",B893="708"),N893,IF(B893="6231",1+G893,IF(B893="6236",1+H893,IF(OR(B893="621",B893="604",B893="6063"),N893*(1-L893),IF(OR(B893="6411",B893="6413",B893="6414",B893="645"),(1+J893)*(1+K893),IF(OR(B893="613",B893="615",B893="616",B893="6226",B893="625",B893="626",B893="6281"),(1+I893)*(1-L893)*(1+M893),IF(OR(B893="6331",B893="63511",B893="6333"),(1+I893)*(1-L893),IF(B893="6811",1+I893,1))))))))</f>
        <v/>
      </c>
      <c r="P893">
        <f>IF(E893=1,F893*O893,"")</f>
        <v/>
      </c>
    </row>
    <row r="894">
      <c r="A894">
        <f>PNL!A894</f>
        <v/>
      </c>
      <c r="B894">
        <f>PNL!B894</f>
        <v/>
      </c>
      <c r="C894">
        <f>PNL!C894</f>
        <v/>
      </c>
      <c r="D894">
        <f>PNL!D894</f>
        <v/>
      </c>
      <c r="E894">
        <f>IF(AND(C894="2027",OR(D894="V01",D894="V02",D894="V03")),1,0)</f>
        <v/>
      </c>
      <c r="F894">
        <f>IF(E894=1,SUMIFS(Compta!$F$2:$F$675,Compta!$A$2:$A$675,A894,Compta!$B$2:$B$675,B894,Compta!$C$2:$C$675,"2026"),0)</f>
        <v/>
      </c>
      <c r="G894">
        <f>IF(D894="V01",cad!$I$21,IF(D894="V02",cad!$J$21,cad!$K$21))</f>
        <v/>
      </c>
      <c r="H894">
        <f>IF(D894="V01",cad!$I$22,IF(D894="V02",cad!$J$22,cad!$K$22))</f>
        <v/>
      </c>
      <c r="I894">
        <f>IF(D894="V01",cad!$I$27,IF(D894="V02",cad!$J$27,cad!$K$27))</f>
        <v/>
      </c>
      <c r="J894">
        <f>IF(D894="V01",cad!$I$28,IF(D894="V02",cad!$J$28,cad!$K$28))</f>
        <v/>
      </c>
      <c r="K894">
        <f>IF(D894="V01",cad!$I$29,IF(D894="V02",cad!$J$29,cad!$K$29))</f>
        <v/>
      </c>
      <c r="L894">
        <f>IF(D894="V01",cad!$I$30,IF(D894="V02",cad!$J$30,cad!$K$30))</f>
        <v/>
      </c>
      <c r="M894">
        <f>IF(D894="V01",cad!$I$31,IF(D894="V02",cad!$J$31,cad!$K$31))</f>
        <v/>
      </c>
      <c r="N894">
        <f>IF(D894="V01",$R$2,IF(D894="V02",$R$3,$R$4))</f>
        <v/>
      </c>
      <c r="O894">
        <f>IF(OR(B894="7062",B894="706",B894="708"),N894,IF(B894="6231",1+G894,IF(B894="6236",1+H894,IF(OR(B894="621",B894="604",B894="6063"),N894*(1-L894),IF(OR(B894="6411",B894="6413",B894="6414",B894="645"),(1+J894)*(1+K894),IF(OR(B894="613",B894="615",B894="616",B894="6226",B894="625",B894="626",B894="6281"),(1+I894)*(1-L894)*(1+M894),IF(OR(B894="6331",B894="63511",B894="6333"),(1+I894)*(1-L894),IF(B894="6811",1+I894,1))))))))</f>
        <v/>
      </c>
      <c r="P894">
        <f>IF(E894=1,F894*O894,"")</f>
        <v/>
      </c>
    </row>
    <row r="895">
      <c r="A895">
        <f>PNL!A895</f>
        <v/>
      </c>
      <c r="B895">
        <f>PNL!B895</f>
        <v/>
      </c>
      <c r="C895">
        <f>PNL!C895</f>
        <v/>
      </c>
      <c r="D895">
        <f>PNL!D895</f>
        <v/>
      </c>
      <c r="E895">
        <f>IF(AND(C895="2027",OR(D895="V01",D895="V02",D895="V03")),1,0)</f>
        <v/>
      </c>
      <c r="F895">
        <f>IF(E895=1,SUMIFS(Compta!$F$2:$F$675,Compta!$A$2:$A$675,A895,Compta!$B$2:$B$675,B895,Compta!$C$2:$C$675,"2026"),0)</f>
        <v/>
      </c>
      <c r="G895">
        <f>IF(D895="V01",cad!$I$21,IF(D895="V02",cad!$J$21,cad!$K$21))</f>
        <v/>
      </c>
      <c r="H895">
        <f>IF(D895="V01",cad!$I$22,IF(D895="V02",cad!$J$22,cad!$K$22))</f>
        <v/>
      </c>
      <c r="I895">
        <f>IF(D895="V01",cad!$I$27,IF(D895="V02",cad!$J$27,cad!$K$27))</f>
        <v/>
      </c>
      <c r="J895">
        <f>IF(D895="V01",cad!$I$28,IF(D895="V02",cad!$J$28,cad!$K$28))</f>
        <v/>
      </c>
      <c r="K895">
        <f>IF(D895="V01",cad!$I$29,IF(D895="V02",cad!$J$29,cad!$K$29))</f>
        <v/>
      </c>
      <c r="L895">
        <f>IF(D895="V01",cad!$I$30,IF(D895="V02",cad!$J$30,cad!$K$30))</f>
        <v/>
      </c>
      <c r="M895">
        <f>IF(D895="V01",cad!$I$31,IF(D895="V02",cad!$J$31,cad!$K$31))</f>
        <v/>
      </c>
      <c r="N895">
        <f>IF(D895="V01",$R$2,IF(D895="V02",$R$3,$R$4))</f>
        <v/>
      </c>
      <c r="O895">
        <f>IF(OR(B895="7062",B895="706",B895="708"),N895,IF(B895="6231",1+G895,IF(B895="6236",1+H895,IF(OR(B895="621",B895="604",B895="6063"),N895*(1-L895),IF(OR(B895="6411",B895="6413",B895="6414",B895="645"),(1+J895)*(1+K895),IF(OR(B895="613",B895="615",B895="616",B895="6226",B895="625",B895="626",B895="6281"),(1+I895)*(1-L895)*(1+M895),IF(OR(B895="6331",B895="63511",B895="6333"),(1+I895)*(1-L895),IF(B895="6811",1+I895,1))))))))</f>
        <v/>
      </c>
      <c r="P895">
        <f>IF(E895=1,F895*O895,"")</f>
        <v/>
      </c>
    </row>
    <row r="896">
      <c r="A896">
        <f>PNL!A896</f>
        <v/>
      </c>
      <c r="B896">
        <f>PNL!B896</f>
        <v/>
      </c>
      <c r="C896">
        <f>PNL!C896</f>
        <v/>
      </c>
      <c r="D896">
        <f>PNL!D896</f>
        <v/>
      </c>
      <c r="E896">
        <f>IF(AND(C896="2027",OR(D896="V01",D896="V02",D896="V03")),1,0)</f>
        <v/>
      </c>
      <c r="F896">
        <f>IF(E896=1,SUMIFS(Compta!$F$2:$F$675,Compta!$A$2:$A$675,A896,Compta!$B$2:$B$675,B896,Compta!$C$2:$C$675,"2026"),0)</f>
        <v/>
      </c>
      <c r="G896">
        <f>IF(D896="V01",cad!$I$21,IF(D896="V02",cad!$J$21,cad!$K$21))</f>
        <v/>
      </c>
      <c r="H896">
        <f>IF(D896="V01",cad!$I$22,IF(D896="V02",cad!$J$22,cad!$K$22))</f>
        <v/>
      </c>
      <c r="I896">
        <f>IF(D896="V01",cad!$I$27,IF(D896="V02",cad!$J$27,cad!$K$27))</f>
        <v/>
      </c>
      <c r="J896">
        <f>IF(D896="V01",cad!$I$28,IF(D896="V02",cad!$J$28,cad!$K$28))</f>
        <v/>
      </c>
      <c r="K896">
        <f>IF(D896="V01",cad!$I$29,IF(D896="V02",cad!$J$29,cad!$K$29))</f>
        <v/>
      </c>
      <c r="L896">
        <f>IF(D896="V01",cad!$I$30,IF(D896="V02",cad!$J$30,cad!$K$30))</f>
        <v/>
      </c>
      <c r="M896">
        <f>IF(D896="V01",cad!$I$31,IF(D896="V02",cad!$J$31,cad!$K$31))</f>
        <v/>
      </c>
      <c r="N896">
        <f>IF(D896="V01",$R$2,IF(D896="V02",$R$3,$R$4))</f>
        <v/>
      </c>
      <c r="O896">
        <f>IF(OR(B896="7062",B896="706",B896="708"),N896,IF(B896="6231",1+G896,IF(B896="6236",1+H896,IF(OR(B896="621",B896="604",B896="6063"),N896*(1-L896),IF(OR(B896="6411",B896="6413",B896="6414",B896="645"),(1+J896)*(1+K896),IF(OR(B896="613",B896="615",B896="616",B896="6226",B896="625",B896="626",B896="6281"),(1+I896)*(1-L896)*(1+M896),IF(OR(B896="6331",B896="63511",B896="6333"),(1+I896)*(1-L896),IF(B896="6811",1+I896,1))))))))</f>
        <v/>
      </c>
      <c r="P896">
        <f>IF(E896=1,F896*O896,"")</f>
        <v/>
      </c>
    </row>
    <row r="897">
      <c r="A897">
        <f>PNL!A897</f>
        <v/>
      </c>
      <c r="B897">
        <f>PNL!B897</f>
        <v/>
      </c>
      <c r="C897">
        <f>PNL!C897</f>
        <v/>
      </c>
      <c r="D897">
        <f>PNL!D897</f>
        <v/>
      </c>
      <c r="E897">
        <f>IF(AND(C897="2027",OR(D897="V01",D897="V02",D897="V03")),1,0)</f>
        <v/>
      </c>
      <c r="F897">
        <f>IF(E897=1,SUMIFS(Compta!$F$2:$F$675,Compta!$A$2:$A$675,A897,Compta!$B$2:$B$675,B897,Compta!$C$2:$C$675,"2026"),0)</f>
        <v/>
      </c>
      <c r="G897">
        <f>IF(D897="V01",cad!$I$21,IF(D897="V02",cad!$J$21,cad!$K$21))</f>
        <v/>
      </c>
      <c r="H897">
        <f>IF(D897="V01",cad!$I$22,IF(D897="V02",cad!$J$22,cad!$K$22))</f>
        <v/>
      </c>
      <c r="I897">
        <f>IF(D897="V01",cad!$I$27,IF(D897="V02",cad!$J$27,cad!$K$27))</f>
        <v/>
      </c>
      <c r="J897">
        <f>IF(D897="V01",cad!$I$28,IF(D897="V02",cad!$J$28,cad!$K$28))</f>
        <v/>
      </c>
      <c r="K897">
        <f>IF(D897="V01",cad!$I$29,IF(D897="V02",cad!$J$29,cad!$K$29))</f>
        <v/>
      </c>
      <c r="L897">
        <f>IF(D897="V01",cad!$I$30,IF(D897="V02",cad!$J$30,cad!$K$30))</f>
        <v/>
      </c>
      <c r="M897">
        <f>IF(D897="V01",cad!$I$31,IF(D897="V02",cad!$J$31,cad!$K$31))</f>
        <v/>
      </c>
      <c r="N897">
        <f>IF(D897="V01",$R$2,IF(D897="V02",$R$3,$R$4))</f>
        <v/>
      </c>
      <c r="O897">
        <f>IF(OR(B897="7062",B897="706",B897="708"),N897,IF(B897="6231",1+G897,IF(B897="6236",1+H897,IF(OR(B897="621",B897="604",B897="6063"),N897*(1-L897),IF(OR(B897="6411",B897="6413",B897="6414",B897="645"),(1+J897)*(1+K897),IF(OR(B897="613",B897="615",B897="616",B897="6226",B897="625",B897="626",B897="6281"),(1+I897)*(1-L897)*(1+M897),IF(OR(B897="6331",B897="63511",B897="6333"),(1+I897)*(1-L897),IF(B897="6811",1+I897,1))))))))</f>
        <v/>
      </c>
      <c r="P897">
        <f>IF(E897=1,F897*O897,"")</f>
        <v/>
      </c>
    </row>
    <row r="898">
      <c r="A898">
        <f>PNL!A898</f>
        <v/>
      </c>
      <c r="B898">
        <f>PNL!B898</f>
        <v/>
      </c>
      <c r="C898">
        <f>PNL!C898</f>
        <v/>
      </c>
      <c r="D898">
        <f>PNL!D898</f>
        <v/>
      </c>
      <c r="E898">
        <f>IF(AND(C898="2027",OR(D898="V01",D898="V02",D898="V03")),1,0)</f>
        <v/>
      </c>
      <c r="F898">
        <f>IF(E898=1,SUMIFS(Compta!$F$2:$F$675,Compta!$A$2:$A$675,A898,Compta!$B$2:$B$675,B898,Compta!$C$2:$C$675,"2026"),0)</f>
        <v/>
      </c>
      <c r="G898">
        <f>IF(D898="V01",cad!$I$21,IF(D898="V02",cad!$J$21,cad!$K$21))</f>
        <v/>
      </c>
      <c r="H898">
        <f>IF(D898="V01",cad!$I$22,IF(D898="V02",cad!$J$22,cad!$K$22))</f>
        <v/>
      </c>
      <c r="I898">
        <f>IF(D898="V01",cad!$I$27,IF(D898="V02",cad!$J$27,cad!$K$27))</f>
        <v/>
      </c>
      <c r="J898">
        <f>IF(D898="V01",cad!$I$28,IF(D898="V02",cad!$J$28,cad!$K$28))</f>
        <v/>
      </c>
      <c r="K898">
        <f>IF(D898="V01",cad!$I$29,IF(D898="V02",cad!$J$29,cad!$K$29))</f>
        <v/>
      </c>
      <c r="L898">
        <f>IF(D898="V01",cad!$I$30,IF(D898="V02",cad!$J$30,cad!$K$30))</f>
        <v/>
      </c>
      <c r="M898">
        <f>IF(D898="V01",cad!$I$31,IF(D898="V02",cad!$J$31,cad!$K$31))</f>
        <v/>
      </c>
      <c r="N898">
        <f>IF(D898="V01",$R$2,IF(D898="V02",$R$3,$R$4))</f>
        <v/>
      </c>
      <c r="O898">
        <f>IF(OR(B898="7062",B898="706",B898="708"),N898,IF(B898="6231",1+G898,IF(B898="6236",1+H898,IF(OR(B898="621",B898="604",B898="6063"),N898*(1-L898),IF(OR(B898="6411",B898="6413",B898="6414",B898="645"),(1+J898)*(1+K898),IF(OR(B898="613",B898="615",B898="616",B898="6226",B898="625",B898="626",B898="6281"),(1+I898)*(1-L898)*(1+M898),IF(OR(B898="6331",B898="63511",B898="6333"),(1+I898)*(1-L898),IF(B898="6811",1+I898,1))))))))</f>
        <v/>
      </c>
      <c r="P898">
        <f>IF(E898=1,F898*O898,"")</f>
        <v/>
      </c>
    </row>
    <row r="899">
      <c r="A899">
        <f>PNL!A899</f>
        <v/>
      </c>
      <c r="B899">
        <f>PNL!B899</f>
        <v/>
      </c>
      <c r="C899">
        <f>PNL!C899</f>
        <v/>
      </c>
      <c r="D899">
        <f>PNL!D899</f>
        <v/>
      </c>
      <c r="E899">
        <f>IF(AND(C899="2027",OR(D899="V01",D899="V02",D899="V03")),1,0)</f>
        <v/>
      </c>
      <c r="F899">
        <f>IF(E899=1,SUMIFS(Compta!$F$2:$F$675,Compta!$A$2:$A$675,A899,Compta!$B$2:$B$675,B899,Compta!$C$2:$C$675,"2026"),0)</f>
        <v/>
      </c>
      <c r="G899">
        <f>IF(D899="V01",cad!$I$21,IF(D899="V02",cad!$J$21,cad!$K$21))</f>
        <v/>
      </c>
      <c r="H899">
        <f>IF(D899="V01",cad!$I$22,IF(D899="V02",cad!$J$22,cad!$K$22))</f>
        <v/>
      </c>
      <c r="I899">
        <f>IF(D899="V01",cad!$I$27,IF(D899="V02",cad!$J$27,cad!$K$27))</f>
        <v/>
      </c>
      <c r="J899">
        <f>IF(D899="V01",cad!$I$28,IF(D899="V02",cad!$J$28,cad!$K$28))</f>
        <v/>
      </c>
      <c r="K899">
        <f>IF(D899="V01",cad!$I$29,IF(D899="V02",cad!$J$29,cad!$K$29))</f>
        <v/>
      </c>
      <c r="L899">
        <f>IF(D899="V01",cad!$I$30,IF(D899="V02",cad!$J$30,cad!$K$30))</f>
        <v/>
      </c>
      <c r="M899">
        <f>IF(D899="V01",cad!$I$31,IF(D899="V02",cad!$J$31,cad!$K$31))</f>
        <v/>
      </c>
      <c r="N899">
        <f>IF(D899="V01",$R$2,IF(D899="V02",$R$3,$R$4))</f>
        <v/>
      </c>
      <c r="O899">
        <f>IF(OR(B899="7062",B899="706",B899="708"),N899,IF(B899="6231",1+G899,IF(B899="6236",1+H899,IF(OR(B899="621",B899="604",B899="6063"),N899*(1-L899),IF(OR(B899="6411",B899="6413",B899="6414",B899="645"),(1+J899)*(1+K899),IF(OR(B899="613",B899="615",B899="616",B899="6226",B899="625",B899="626",B899="6281"),(1+I899)*(1-L899)*(1+M899),IF(OR(B899="6331",B899="63511",B899="6333"),(1+I899)*(1-L899),IF(B899="6811",1+I899,1))))))))</f>
        <v/>
      </c>
      <c r="P899">
        <f>IF(E899=1,F899*O899,"")</f>
        <v/>
      </c>
    </row>
    <row r="900">
      <c r="A900">
        <f>PNL!A900</f>
        <v/>
      </c>
      <c r="B900">
        <f>PNL!B900</f>
        <v/>
      </c>
      <c r="C900">
        <f>PNL!C900</f>
        <v/>
      </c>
      <c r="D900">
        <f>PNL!D900</f>
        <v/>
      </c>
      <c r="E900">
        <f>IF(AND(C900="2027",OR(D900="V01",D900="V02",D900="V03")),1,0)</f>
        <v/>
      </c>
      <c r="F900">
        <f>IF(E900=1,SUMIFS(Compta!$F$2:$F$675,Compta!$A$2:$A$675,A900,Compta!$B$2:$B$675,B900,Compta!$C$2:$C$675,"2026"),0)</f>
        <v/>
      </c>
      <c r="G900">
        <f>IF(D900="V01",cad!$I$21,IF(D900="V02",cad!$J$21,cad!$K$21))</f>
        <v/>
      </c>
      <c r="H900">
        <f>IF(D900="V01",cad!$I$22,IF(D900="V02",cad!$J$22,cad!$K$22))</f>
        <v/>
      </c>
      <c r="I900">
        <f>IF(D900="V01",cad!$I$27,IF(D900="V02",cad!$J$27,cad!$K$27))</f>
        <v/>
      </c>
      <c r="J900">
        <f>IF(D900="V01",cad!$I$28,IF(D900="V02",cad!$J$28,cad!$K$28))</f>
        <v/>
      </c>
      <c r="K900">
        <f>IF(D900="V01",cad!$I$29,IF(D900="V02",cad!$J$29,cad!$K$29))</f>
        <v/>
      </c>
      <c r="L900">
        <f>IF(D900="V01",cad!$I$30,IF(D900="V02",cad!$J$30,cad!$K$30))</f>
        <v/>
      </c>
      <c r="M900">
        <f>IF(D900="V01",cad!$I$31,IF(D900="V02",cad!$J$31,cad!$K$31))</f>
        <v/>
      </c>
      <c r="N900">
        <f>IF(D900="V01",$R$2,IF(D900="V02",$R$3,$R$4))</f>
        <v/>
      </c>
      <c r="O900">
        <f>IF(OR(B900="7062",B900="706",B900="708"),N900,IF(B900="6231",1+G900,IF(B900="6236",1+H900,IF(OR(B900="621",B900="604",B900="6063"),N900*(1-L900),IF(OR(B900="6411",B900="6413",B900="6414",B900="645"),(1+J900)*(1+K900),IF(OR(B900="613",B900="615",B900="616",B900="6226",B900="625",B900="626",B900="6281"),(1+I900)*(1-L900)*(1+M900),IF(OR(B900="6331",B900="63511",B900="6333"),(1+I900)*(1-L900),IF(B900="6811",1+I900,1))))))))</f>
        <v/>
      </c>
      <c r="P900">
        <f>IF(E900=1,F900*O900,"")</f>
        <v/>
      </c>
    </row>
    <row r="901">
      <c r="A901">
        <f>PNL!A901</f>
        <v/>
      </c>
      <c r="B901">
        <f>PNL!B901</f>
        <v/>
      </c>
      <c r="C901">
        <f>PNL!C901</f>
        <v/>
      </c>
      <c r="D901">
        <f>PNL!D901</f>
        <v/>
      </c>
      <c r="E901">
        <f>IF(AND(C901="2027",OR(D901="V01",D901="V02",D901="V03")),1,0)</f>
        <v/>
      </c>
      <c r="F901">
        <f>IF(E901=1,SUMIFS(Compta!$F$2:$F$675,Compta!$A$2:$A$675,A901,Compta!$B$2:$B$675,B901,Compta!$C$2:$C$675,"2026"),0)</f>
        <v/>
      </c>
      <c r="G901">
        <f>IF(D901="V01",cad!$I$21,IF(D901="V02",cad!$J$21,cad!$K$21))</f>
        <v/>
      </c>
      <c r="H901">
        <f>IF(D901="V01",cad!$I$22,IF(D901="V02",cad!$J$22,cad!$K$22))</f>
        <v/>
      </c>
      <c r="I901">
        <f>IF(D901="V01",cad!$I$27,IF(D901="V02",cad!$J$27,cad!$K$27))</f>
        <v/>
      </c>
      <c r="J901">
        <f>IF(D901="V01",cad!$I$28,IF(D901="V02",cad!$J$28,cad!$K$28))</f>
        <v/>
      </c>
      <c r="K901">
        <f>IF(D901="V01",cad!$I$29,IF(D901="V02",cad!$J$29,cad!$K$29))</f>
        <v/>
      </c>
      <c r="L901">
        <f>IF(D901="V01",cad!$I$30,IF(D901="V02",cad!$J$30,cad!$K$30))</f>
        <v/>
      </c>
      <c r="M901">
        <f>IF(D901="V01",cad!$I$31,IF(D901="V02",cad!$J$31,cad!$K$31))</f>
        <v/>
      </c>
      <c r="N901">
        <f>IF(D901="V01",$R$2,IF(D901="V02",$R$3,$R$4))</f>
        <v/>
      </c>
      <c r="O901">
        <f>IF(OR(B901="7062",B901="706",B901="708"),N901,IF(B901="6231",1+G901,IF(B901="6236",1+H901,IF(OR(B901="621",B901="604",B901="6063"),N901*(1-L901),IF(OR(B901="6411",B901="6413",B901="6414",B901="645"),(1+J901)*(1+K901),IF(OR(B901="613",B901="615",B901="616",B901="6226",B901="625",B901="626",B901="6281"),(1+I901)*(1-L901)*(1+M901),IF(OR(B901="6331",B901="63511",B901="6333"),(1+I901)*(1-L901),IF(B901="6811",1+I901,1))))))))</f>
        <v/>
      </c>
      <c r="P901">
        <f>IF(E901=1,F901*O901,"")</f>
        <v/>
      </c>
    </row>
    <row r="902">
      <c r="A902">
        <f>PNL!A902</f>
        <v/>
      </c>
      <c r="B902">
        <f>PNL!B902</f>
        <v/>
      </c>
      <c r="C902">
        <f>PNL!C902</f>
        <v/>
      </c>
      <c r="D902">
        <f>PNL!D902</f>
        <v/>
      </c>
      <c r="E902">
        <f>IF(AND(C902="2027",OR(D902="V01",D902="V02",D902="V03")),1,0)</f>
        <v/>
      </c>
      <c r="F902">
        <f>IF(E902=1,SUMIFS(Compta!$F$2:$F$675,Compta!$A$2:$A$675,A902,Compta!$B$2:$B$675,B902,Compta!$C$2:$C$675,"2026"),0)</f>
        <v/>
      </c>
      <c r="G902">
        <f>IF(D902="V01",cad!$I$21,IF(D902="V02",cad!$J$21,cad!$K$21))</f>
        <v/>
      </c>
      <c r="H902">
        <f>IF(D902="V01",cad!$I$22,IF(D902="V02",cad!$J$22,cad!$K$22))</f>
        <v/>
      </c>
      <c r="I902">
        <f>IF(D902="V01",cad!$I$27,IF(D902="V02",cad!$J$27,cad!$K$27))</f>
        <v/>
      </c>
      <c r="J902">
        <f>IF(D902="V01",cad!$I$28,IF(D902="V02",cad!$J$28,cad!$K$28))</f>
        <v/>
      </c>
      <c r="K902">
        <f>IF(D902="V01",cad!$I$29,IF(D902="V02",cad!$J$29,cad!$K$29))</f>
        <v/>
      </c>
      <c r="L902">
        <f>IF(D902="V01",cad!$I$30,IF(D902="V02",cad!$J$30,cad!$K$30))</f>
        <v/>
      </c>
      <c r="M902">
        <f>IF(D902="V01",cad!$I$31,IF(D902="V02",cad!$J$31,cad!$K$31))</f>
        <v/>
      </c>
      <c r="N902">
        <f>IF(D902="V01",$R$2,IF(D902="V02",$R$3,$R$4))</f>
        <v/>
      </c>
      <c r="O902">
        <f>IF(OR(B902="7062",B902="706",B902="708"),N902,IF(B902="6231",1+G902,IF(B902="6236",1+H902,IF(OR(B902="621",B902="604",B902="6063"),N902*(1-L902),IF(OR(B902="6411",B902="6413",B902="6414",B902="645"),(1+J902)*(1+K902),IF(OR(B902="613",B902="615",B902="616",B902="6226",B902="625",B902="626",B902="6281"),(1+I902)*(1-L902)*(1+M902),IF(OR(B902="6331",B902="63511",B902="6333"),(1+I902)*(1-L902),IF(B902="6811",1+I902,1))))))))</f>
        <v/>
      </c>
      <c r="P902">
        <f>IF(E902=1,F902*O902,"")</f>
        <v/>
      </c>
    </row>
    <row r="903">
      <c r="A903">
        <f>PNL!A903</f>
        <v/>
      </c>
      <c r="B903">
        <f>PNL!B903</f>
        <v/>
      </c>
      <c r="C903">
        <f>PNL!C903</f>
        <v/>
      </c>
      <c r="D903">
        <f>PNL!D903</f>
        <v/>
      </c>
      <c r="E903">
        <f>IF(AND(C903="2027",OR(D903="V01",D903="V02",D903="V03")),1,0)</f>
        <v/>
      </c>
      <c r="F903">
        <f>IF(E903=1,SUMIFS(Compta!$F$2:$F$675,Compta!$A$2:$A$675,A903,Compta!$B$2:$B$675,B903,Compta!$C$2:$C$675,"2026"),0)</f>
        <v/>
      </c>
      <c r="G903">
        <f>IF(D903="V01",cad!$I$21,IF(D903="V02",cad!$J$21,cad!$K$21))</f>
        <v/>
      </c>
      <c r="H903">
        <f>IF(D903="V01",cad!$I$22,IF(D903="V02",cad!$J$22,cad!$K$22))</f>
        <v/>
      </c>
      <c r="I903">
        <f>IF(D903="V01",cad!$I$27,IF(D903="V02",cad!$J$27,cad!$K$27))</f>
        <v/>
      </c>
      <c r="J903">
        <f>IF(D903="V01",cad!$I$28,IF(D903="V02",cad!$J$28,cad!$K$28))</f>
        <v/>
      </c>
      <c r="K903">
        <f>IF(D903="V01",cad!$I$29,IF(D903="V02",cad!$J$29,cad!$K$29))</f>
        <v/>
      </c>
      <c r="L903">
        <f>IF(D903="V01",cad!$I$30,IF(D903="V02",cad!$J$30,cad!$K$30))</f>
        <v/>
      </c>
      <c r="M903">
        <f>IF(D903="V01",cad!$I$31,IF(D903="V02",cad!$J$31,cad!$K$31))</f>
        <v/>
      </c>
      <c r="N903">
        <f>IF(D903="V01",$R$2,IF(D903="V02",$R$3,$R$4))</f>
        <v/>
      </c>
      <c r="O903">
        <f>IF(OR(B903="7062",B903="706",B903="708"),N903,IF(B903="6231",1+G903,IF(B903="6236",1+H903,IF(OR(B903="621",B903="604",B903="6063"),N903*(1-L903),IF(OR(B903="6411",B903="6413",B903="6414",B903="645"),(1+J903)*(1+K903),IF(OR(B903="613",B903="615",B903="616",B903="6226",B903="625",B903="626",B903="6281"),(1+I903)*(1-L903)*(1+M903),IF(OR(B903="6331",B903="63511",B903="6333"),(1+I903)*(1-L903),IF(B903="6811",1+I903,1))))))))</f>
        <v/>
      </c>
      <c r="P903">
        <f>IF(E903=1,F903*O903,"")</f>
        <v/>
      </c>
    </row>
    <row r="904">
      <c r="A904">
        <f>PNL!A904</f>
        <v/>
      </c>
      <c r="B904">
        <f>PNL!B904</f>
        <v/>
      </c>
      <c r="C904">
        <f>PNL!C904</f>
        <v/>
      </c>
      <c r="D904">
        <f>PNL!D904</f>
        <v/>
      </c>
      <c r="E904">
        <f>IF(AND(C904="2027",OR(D904="V01",D904="V02",D904="V03")),1,0)</f>
        <v/>
      </c>
      <c r="F904">
        <f>IF(E904=1,SUMIFS(Compta!$F$2:$F$675,Compta!$A$2:$A$675,A904,Compta!$B$2:$B$675,B904,Compta!$C$2:$C$675,"2026"),0)</f>
        <v/>
      </c>
      <c r="G904">
        <f>IF(D904="V01",cad!$I$21,IF(D904="V02",cad!$J$21,cad!$K$21))</f>
        <v/>
      </c>
      <c r="H904">
        <f>IF(D904="V01",cad!$I$22,IF(D904="V02",cad!$J$22,cad!$K$22))</f>
        <v/>
      </c>
      <c r="I904">
        <f>IF(D904="V01",cad!$I$27,IF(D904="V02",cad!$J$27,cad!$K$27))</f>
        <v/>
      </c>
      <c r="J904">
        <f>IF(D904="V01",cad!$I$28,IF(D904="V02",cad!$J$28,cad!$K$28))</f>
        <v/>
      </c>
      <c r="K904">
        <f>IF(D904="V01",cad!$I$29,IF(D904="V02",cad!$J$29,cad!$K$29))</f>
        <v/>
      </c>
      <c r="L904">
        <f>IF(D904="V01",cad!$I$30,IF(D904="V02",cad!$J$30,cad!$K$30))</f>
        <v/>
      </c>
      <c r="M904">
        <f>IF(D904="V01",cad!$I$31,IF(D904="V02",cad!$J$31,cad!$K$31))</f>
        <v/>
      </c>
      <c r="N904">
        <f>IF(D904="V01",$R$2,IF(D904="V02",$R$3,$R$4))</f>
        <v/>
      </c>
      <c r="O904">
        <f>IF(OR(B904="7062",B904="706",B904="708"),N904,IF(B904="6231",1+G904,IF(B904="6236",1+H904,IF(OR(B904="621",B904="604",B904="6063"),N904*(1-L904),IF(OR(B904="6411",B904="6413",B904="6414",B904="645"),(1+J904)*(1+K904),IF(OR(B904="613",B904="615",B904="616",B904="6226",B904="625",B904="626",B904="6281"),(1+I904)*(1-L904)*(1+M904),IF(OR(B904="6331",B904="63511",B904="6333"),(1+I904)*(1-L904),IF(B904="6811",1+I904,1))))))))</f>
        <v/>
      </c>
      <c r="P904">
        <f>IF(E904=1,F904*O904,"")</f>
        <v/>
      </c>
    </row>
    <row r="905">
      <c r="A905">
        <f>PNL!A905</f>
        <v/>
      </c>
      <c r="B905">
        <f>PNL!B905</f>
        <v/>
      </c>
      <c r="C905">
        <f>PNL!C905</f>
        <v/>
      </c>
      <c r="D905">
        <f>PNL!D905</f>
        <v/>
      </c>
      <c r="E905">
        <f>IF(AND(C905="2027",OR(D905="V01",D905="V02",D905="V03")),1,0)</f>
        <v/>
      </c>
      <c r="F905">
        <f>IF(E905=1,SUMIFS(Compta!$F$2:$F$675,Compta!$A$2:$A$675,A905,Compta!$B$2:$B$675,B905,Compta!$C$2:$C$675,"2026"),0)</f>
        <v/>
      </c>
      <c r="G905">
        <f>IF(D905="V01",cad!$I$21,IF(D905="V02",cad!$J$21,cad!$K$21))</f>
        <v/>
      </c>
      <c r="H905">
        <f>IF(D905="V01",cad!$I$22,IF(D905="V02",cad!$J$22,cad!$K$22))</f>
        <v/>
      </c>
      <c r="I905">
        <f>IF(D905="V01",cad!$I$27,IF(D905="V02",cad!$J$27,cad!$K$27))</f>
        <v/>
      </c>
      <c r="J905">
        <f>IF(D905="V01",cad!$I$28,IF(D905="V02",cad!$J$28,cad!$K$28))</f>
        <v/>
      </c>
      <c r="K905">
        <f>IF(D905="V01",cad!$I$29,IF(D905="V02",cad!$J$29,cad!$K$29))</f>
        <v/>
      </c>
      <c r="L905">
        <f>IF(D905="V01",cad!$I$30,IF(D905="V02",cad!$J$30,cad!$K$30))</f>
        <v/>
      </c>
      <c r="M905">
        <f>IF(D905="V01",cad!$I$31,IF(D905="V02",cad!$J$31,cad!$K$31))</f>
        <v/>
      </c>
      <c r="N905">
        <f>IF(D905="V01",$R$2,IF(D905="V02",$R$3,$R$4))</f>
        <v/>
      </c>
      <c r="O905">
        <f>IF(OR(B905="7062",B905="706",B905="708"),N905,IF(B905="6231",1+G905,IF(B905="6236",1+H905,IF(OR(B905="621",B905="604",B905="6063"),N905*(1-L905),IF(OR(B905="6411",B905="6413",B905="6414",B905="645"),(1+J905)*(1+K905),IF(OR(B905="613",B905="615",B905="616",B905="6226",B905="625",B905="626",B905="6281"),(1+I905)*(1-L905)*(1+M905),IF(OR(B905="6331",B905="63511",B905="6333"),(1+I905)*(1-L905),IF(B905="6811",1+I905,1))))))))</f>
        <v/>
      </c>
      <c r="P905">
        <f>IF(E905=1,F905*O905,"")</f>
        <v/>
      </c>
    </row>
    <row r="906">
      <c r="A906">
        <f>PNL!A906</f>
        <v/>
      </c>
      <c r="B906">
        <f>PNL!B906</f>
        <v/>
      </c>
      <c r="C906">
        <f>PNL!C906</f>
        <v/>
      </c>
      <c r="D906">
        <f>PNL!D906</f>
        <v/>
      </c>
      <c r="E906">
        <f>IF(AND(C906="2027",OR(D906="V01",D906="V02",D906="V03")),1,0)</f>
        <v/>
      </c>
      <c r="F906">
        <f>IF(E906=1,SUMIFS(Compta!$F$2:$F$675,Compta!$A$2:$A$675,A906,Compta!$B$2:$B$675,B906,Compta!$C$2:$C$675,"2026"),0)</f>
        <v/>
      </c>
      <c r="G906">
        <f>IF(D906="V01",cad!$I$21,IF(D906="V02",cad!$J$21,cad!$K$21))</f>
        <v/>
      </c>
      <c r="H906">
        <f>IF(D906="V01",cad!$I$22,IF(D906="V02",cad!$J$22,cad!$K$22))</f>
        <v/>
      </c>
      <c r="I906">
        <f>IF(D906="V01",cad!$I$27,IF(D906="V02",cad!$J$27,cad!$K$27))</f>
        <v/>
      </c>
      <c r="J906">
        <f>IF(D906="V01",cad!$I$28,IF(D906="V02",cad!$J$28,cad!$K$28))</f>
        <v/>
      </c>
      <c r="K906">
        <f>IF(D906="V01",cad!$I$29,IF(D906="V02",cad!$J$29,cad!$K$29))</f>
        <v/>
      </c>
      <c r="L906">
        <f>IF(D906="V01",cad!$I$30,IF(D906="V02",cad!$J$30,cad!$K$30))</f>
        <v/>
      </c>
      <c r="M906">
        <f>IF(D906="V01",cad!$I$31,IF(D906="V02",cad!$J$31,cad!$K$31))</f>
        <v/>
      </c>
      <c r="N906">
        <f>IF(D906="V01",$R$2,IF(D906="V02",$R$3,$R$4))</f>
        <v/>
      </c>
      <c r="O906">
        <f>IF(OR(B906="7062",B906="706",B906="708"),N906,IF(B906="6231",1+G906,IF(B906="6236",1+H906,IF(OR(B906="621",B906="604",B906="6063"),N906*(1-L906),IF(OR(B906="6411",B906="6413",B906="6414",B906="645"),(1+J906)*(1+K906),IF(OR(B906="613",B906="615",B906="616",B906="6226",B906="625",B906="626",B906="6281"),(1+I906)*(1-L906)*(1+M906),IF(OR(B906="6331",B906="63511",B906="6333"),(1+I906)*(1-L906),IF(B906="6811",1+I906,1))))))))</f>
        <v/>
      </c>
      <c r="P906">
        <f>IF(E906=1,F906*O906,"")</f>
        <v/>
      </c>
    </row>
    <row r="907">
      <c r="A907">
        <f>PNL!A907</f>
        <v/>
      </c>
      <c r="B907">
        <f>PNL!B907</f>
        <v/>
      </c>
      <c r="C907">
        <f>PNL!C907</f>
        <v/>
      </c>
      <c r="D907">
        <f>PNL!D907</f>
        <v/>
      </c>
      <c r="E907">
        <f>IF(AND(C907="2027",OR(D907="V01",D907="V02",D907="V03")),1,0)</f>
        <v/>
      </c>
      <c r="F907">
        <f>IF(E907=1,SUMIFS(Compta!$F$2:$F$675,Compta!$A$2:$A$675,A907,Compta!$B$2:$B$675,B907,Compta!$C$2:$C$675,"2026"),0)</f>
        <v/>
      </c>
      <c r="G907">
        <f>IF(D907="V01",cad!$I$21,IF(D907="V02",cad!$J$21,cad!$K$21))</f>
        <v/>
      </c>
      <c r="H907">
        <f>IF(D907="V01",cad!$I$22,IF(D907="V02",cad!$J$22,cad!$K$22))</f>
        <v/>
      </c>
      <c r="I907">
        <f>IF(D907="V01",cad!$I$27,IF(D907="V02",cad!$J$27,cad!$K$27))</f>
        <v/>
      </c>
      <c r="J907">
        <f>IF(D907="V01",cad!$I$28,IF(D907="V02",cad!$J$28,cad!$K$28))</f>
        <v/>
      </c>
      <c r="K907">
        <f>IF(D907="V01",cad!$I$29,IF(D907="V02",cad!$J$29,cad!$K$29))</f>
        <v/>
      </c>
      <c r="L907">
        <f>IF(D907="V01",cad!$I$30,IF(D907="V02",cad!$J$30,cad!$K$30))</f>
        <v/>
      </c>
      <c r="M907">
        <f>IF(D907="V01",cad!$I$31,IF(D907="V02",cad!$J$31,cad!$K$31))</f>
        <v/>
      </c>
      <c r="N907">
        <f>IF(D907="V01",$R$2,IF(D907="V02",$R$3,$R$4))</f>
        <v/>
      </c>
      <c r="O907">
        <f>IF(OR(B907="7062",B907="706",B907="708"),N907,IF(B907="6231",1+G907,IF(B907="6236",1+H907,IF(OR(B907="621",B907="604",B907="6063"),N907*(1-L907),IF(OR(B907="6411",B907="6413",B907="6414",B907="645"),(1+J907)*(1+K907),IF(OR(B907="613",B907="615",B907="616",B907="6226",B907="625",B907="626",B907="6281"),(1+I907)*(1-L907)*(1+M907),IF(OR(B907="6331",B907="63511",B907="6333"),(1+I907)*(1-L907),IF(B907="6811",1+I907,1))))))))</f>
        <v/>
      </c>
      <c r="P907">
        <f>IF(E907=1,F907*O907,"")</f>
        <v/>
      </c>
    </row>
    <row r="908">
      <c r="A908">
        <f>PNL!A908</f>
        <v/>
      </c>
      <c r="B908">
        <f>PNL!B908</f>
        <v/>
      </c>
      <c r="C908">
        <f>PNL!C908</f>
        <v/>
      </c>
      <c r="D908">
        <f>PNL!D908</f>
        <v/>
      </c>
      <c r="E908">
        <f>IF(AND(C908="2027",OR(D908="V01",D908="V02",D908="V03")),1,0)</f>
        <v/>
      </c>
      <c r="F908">
        <f>IF(E908=1,SUMIFS(Compta!$F$2:$F$675,Compta!$A$2:$A$675,A908,Compta!$B$2:$B$675,B908,Compta!$C$2:$C$675,"2026"),0)</f>
        <v/>
      </c>
      <c r="G908">
        <f>IF(D908="V01",cad!$I$21,IF(D908="V02",cad!$J$21,cad!$K$21))</f>
        <v/>
      </c>
      <c r="H908">
        <f>IF(D908="V01",cad!$I$22,IF(D908="V02",cad!$J$22,cad!$K$22))</f>
        <v/>
      </c>
      <c r="I908">
        <f>IF(D908="V01",cad!$I$27,IF(D908="V02",cad!$J$27,cad!$K$27))</f>
        <v/>
      </c>
      <c r="J908">
        <f>IF(D908="V01",cad!$I$28,IF(D908="V02",cad!$J$28,cad!$K$28))</f>
        <v/>
      </c>
      <c r="K908">
        <f>IF(D908="V01",cad!$I$29,IF(D908="V02",cad!$J$29,cad!$K$29))</f>
        <v/>
      </c>
      <c r="L908">
        <f>IF(D908="V01",cad!$I$30,IF(D908="V02",cad!$J$30,cad!$K$30))</f>
        <v/>
      </c>
      <c r="M908">
        <f>IF(D908="V01",cad!$I$31,IF(D908="V02",cad!$J$31,cad!$K$31))</f>
        <v/>
      </c>
      <c r="N908">
        <f>IF(D908="V01",$R$2,IF(D908="V02",$R$3,$R$4))</f>
        <v/>
      </c>
      <c r="O908">
        <f>IF(OR(B908="7062",B908="706",B908="708"),N908,IF(B908="6231",1+G908,IF(B908="6236",1+H908,IF(OR(B908="621",B908="604",B908="6063"),N908*(1-L908),IF(OR(B908="6411",B908="6413",B908="6414",B908="645"),(1+J908)*(1+K908),IF(OR(B908="613",B908="615",B908="616",B908="6226",B908="625",B908="626",B908="6281"),(1+I908)*(1-L908)*(1+M908),IF(OR(B908="6331",B908="63511",B908="6333"),(1+I908)*(1-L908),IF(B908="6811",1+I908,1))))))))</f>
        <v/>
      </c>
      <c r="P908">
        <f>IF(E908=1,F908*O908,"")</f>
        <v/>
      </c>
    </row>
    <row r="909">
      <c r="A909">
        <f>PNL!A909</f>
        <v/>
      </c>
      <c r="B909">
        <f>PNL!B909</f>
        <v/>
      </c>
      <c r="C909">
        <f>PNL!C909</f>
        <v/>
      </c>
      <c r="D909">
        <f>PNL!D909</f>
        <v/>
      </c>
      <c r="E909">
        <f>IF(AND(C909="2027",OR(D909="V01",D909="V02",D909="V03")),1,0)</f>
        <v/>
      </c>
      <c r="F909">
        <f>IF(E909=1,SUMIFS(Compta!$F$2:$F$675,Compta!$A$2:$A$675,A909,Compta!$B$2:$B$675,B909,Compta!$C$2:$C$675,"2026"),0)</f>
        <v/>
      </c>
      <c r="G909">
        <f>IF(D909="V01",cad!$I$21,IF(D909="V02",cad!$J$21,cad!$K$21))</f>
        <v/>
      </c>
      <c r="H909">
        <f>IF(D909="V01",cad!$I$22,IF(D909="V02",cad!$J$22,cad!$K$22))</f>
        <v/>
      </c>
      <c r="I909">
        <f>IF(D909="V01",cad!$I$27,IF(D909="V02",cad!$J$27,cad!$K$27))</f>
        <v/>
      </c>
      <c r="J909">
        <f>IF(D909="V01",cad!$I$28,IF(D909="V02",cad!$J$28,cad!$K$28))</f>
        <v/>
      </c>
      <c r="K909">
        <f>IF(D909="V01",cad!$I$29,IF(D909="V02",cad!$J$29,cad!$K$29))</f>
        <v/>
      </c>
      <c r="L909">
        <f>IF(D909="V01",cad!$I$30,IF(D909="V02",cad!$J$30,cad!$K$30))</f>
        <v/>
      </c>
      <c r="M909">
        <f>IF(D909="V01",cad!$I$31,IF(D909="V02",cad!$J$31,cad!$K$31))</f>
        <v/>
      </c>
      <c r="N909">
        <f>IF(D909="V01",$R$2,IF(D909="V02",$R$3,$R$4))</f>
        <v/>
      </c>
      <c r="O909">
        <f>IF(OR(B909="7062",B909="706",B909="708"),N909,IF(B909="6231",1+G909,IF(B909="6236",1+H909,IF(OR(B909="621",B909="604",B909="6063"),N909*(1-L909),IF(OR(B909="6411",B909="6413",B909="6414",B909="645"),(1+J909)*(1+K909),IF(OR(B909="613",B909="615",B909="616",B909="6226",B909="625",B909="626",B909="6281"),(1+I909)*(1-L909)*(1+M909),IF(OR(B909="6331",B909="63511",B909="6333"),(1+I909)*(1-L909),IF(B909="6811",1+I909,1))))))))</f>
        <v/>
      </c>
      <c r="P909">
        <f>IF(E909=1,F909*O909,"")</f>
        <v/>
      </c>
    </row>
    <row r="910">
      <c r="A910">
        <f>PNL!A910</f>
        <v/>
      </c>
      <c r="B910">
        <f>PNL!B910</f>
        <v/>
      </c>
      <c r="C910">
        <f>PNL!C910</f>
        <v/>
      </c>
      <c r="D910">
        <f>PNL!D910</f>
        <v/>
      </c>
      <c r="E910">
        <f>IF(AND(C910="2027",OR(D910="V01",D910="V02",D910="V03")),1,0)</f>
        <v/>
      </c>
      <c r="F910">
        <f>IF(E910=1,SUMIFS(Compta!$F$2:$F$675,Compta!$A$2:$A$675,A910,Compta!$B$2:$B$675,B910,Compta!$C$2:$C$675,"2026"),0)</f>
        <v/>
      </c>
      <c r="G910">
        <f>IF(D910="V01",cad!$I$21,IF(D910="V02",cad!$J$21,cad!$K$21))</f>
        <v/>
      </c>
      <c r="H910">
        <f>IF(D910="V01",cad!$I$22,IF(D910="V02",cad!$J$22,cad!$K$22))</f>
        <v/>
      </c>
      <c r="I910">
        <f>IF(D910="V01",cad!$I$27,IF(D910="V02",cad!$J$27,cad!$K$27))</f>
        <v/>
      </c>
      <c r="J910">
        <f>IF(D910="V01",cad!$I$28,IF(D910="V02",cad!$J$28,cad!$K$28))</f>
        <v/>
      </c>
      <c r="K910">
        <f>IF(D910="V01",cad!$I$29,IF(D910="V02",cad!$J$29,cad!$K$29))</f>
        <v/>
      </c>
      <c r="L910">
        <f>IF(D910="V01",cad!$I$30,IF(D910="V02",cad!$J$30,cad!$K$30))</f>
        <v/>
      </c>
      <c r="M910">
        <f>IF(D910="V01",cad!$I$31,IF(D910="V02",cad!$J$31,cad!$K$31))</f>
        <v/>
      </c>
      <c r="N910">
        <f>IF(D910="V01",$R$2,IF(D910="V02",$R$3,$R$4))</f>
        <v/>
      </c>
      <c r="O910">
        <f>IF(OR(B910="7062",B910="706",B910="708"),N910,IF(B910="6231",1+G910,IF(B910="6236",1+H910,IF(OR(B910="621",B910="604",B910="6063"),N910*(1-L910),IF(OR(B910="6411",B910="6413",B910="6414",B910="645"),(1+J910)*(1+K910),IF(OR(B910="613",B910="615",B910="616",B910="6226",B910="625",B910="626",B910="6281"),(1+I910)*(1-L910)*(1+M910),IF(OR(B910="6331",B910="63511",B910="6333"),(1+I910)*(1-L910),IF(B910="6811",1+I910,1))))))))</f>
        <v/>
      </c>
      <c r="P910">
        <f>IF(E910=1,F910*O910,"")</f>
        <v/>
      </c>
    </row>
    <row r="911">
      <c r="A911">
        <f>PNL!A911</f>
        <v/>
      </c>
      <c r="B911">
        <f>PNL!B911</f>
        <v/>
      </c>
      <c r="C911">
        <f>PNL!C911</f>
        <v/>
      </c>
      <c r="D911">
        <f>PNL!D911</f>
        <v/>
      </c>
      <c r="E911">
        <f>IF(AND(C911="2027",OR(D911="V01",D911="V02",D911="V03")),1,0)</f>
        <v/>
      </c>
      <c r="F911">
        <f>IF(E911=1,SUMIFS(Compta!$F$2:$F$675,Compta!$A$2:$A$675,A911,Compta!$B$2:$B$675,B911,Compta!$C$2:$C$675,"2026"),0)</f>
        <v/>
      </c>
      <c r="G911">
        <f>IF(D911="V01",cad!$I$21,IF(D911="V02",cad!$J$21,cad!$K$21))</f>
        <v/>
      </c>
      <c r="H911">
        <f>IF(D911="V01",cad!$I$22,IF(D911="V02",cad!$J$22,cad!$K$22))</f>
        <v/>
      </c>
      <c r="I911">
        <f>IF(D911="V01",cad!$I$27,IF(D911="V02",cad!$J$27,cad!$K$27))</f>
        <v/>
      </c>
      <c r="J911">
        <f>IF(D911="V01",cad!$I$28,IF(D911="V02",cad!$J$28,cad!$K$28))</f>
        <v/>
      </c>
      <c r="K911">
        <f>IF(D911="V01",cad!$I$29,IF(D911="V02",cad!$J$29,cad!$K$29))</f>
        <v/>
      </c>
      <c r="L911">
        <f>IF(D911="V01",cad!$I$30,IF(D911="V02",cad!$J$30,cad!$K$30))</f>
        <v/>
      </c>
      <c r="M911">
        <f>IF(D911="V01",cad!$I$31,IF(D911="V02",cad!$J$31,cad!$K$31))</f>
        <v/>
      </c>
      <c r="N911">
        <f>IF(D911="V01",$R$2,IF(D911="V02",$R$3,$R$4))</f>
        <v/>
      </c>
      <c r="O911">
        <f>IF(OR(B911="7062",B911="706",B911="708"),N911,IF(B911="6231",1+G911,IF(B911="6236",1+H911,IF(OR(B911="621",B911="604",B911="6063"),N911*(1-L911),IF(OR(B911="6411",B911="6413",B911="6414",B911="645"),(1+J911)*(1+K911),IF(OR(B911="613",B911="615",B911="616",B911="6226",B911="625",B911="626",B911="6281"),(1+I911)*(1-L911)*(1+M911),IF(OR(B911="6331",B911="63511",B911="6333"),(1+I911)*(1-L911),IF(B911="6811",1+I911,1))))))))</f>
        <v/>
      </c>
      <c r="P911">
        <f>IF(E911=1,F911*O911,"")</f>
        <v/>
      </c>
    </row>
    <row r="912">
      <c r="A912">
        <f>PNL!A912</f>
        <v/>
      </c>
      <c r="B912">
        <f>PNL!B912</f>
        <v/>
      </c>
      <c r="C912">
        <f>PNL!C912</f>
        <v/>
      </c>
      <c r="D912">
        <f>PNL!D912</f>
        <v/>
      </c>
      <c r="E912">
        <f>IF(AND(C912="2027",OR(D912="V01",D912="V02",D912="V03")),1,0)</f>
        <v/>
      </c>
      <c r="F912">
        <f>IF(E912=1,SUMIFS(Compta!$F$2:$F$675,Compta!$A$2:$A$675,A912,Compta!$B$2:$B$675,B912,Compta!$C$2:$C$675,"2026"),0)</f>
        <v/>
      </c>
      <c r="G912">
        <f>IF(D912="V01",cad!$I$21,IF(D912="V02",cad!$J$21,cad!$K$21))</f>
        <v/>
      </c>
      <c r="H912">
        <f>IF(D912="V01",cad!$I$22,IF(D912="V02",cad!$J$22,cad!$K$22))</f>
        <v/>
      </c>
      <c r="I912">
        <f>IF(D912="V01",cad!$I$27,IF(D912="V02",cad!$J$27,cad!$K$27))</f>
        <v/>
      </c>
      <c r="J912">
        <f>IF(D912="V01",cad!$I$28,IF(D912="V02",cad!$J$28,cad!$K$28))</f>
        <v/>
      </c>
      <c r="K912">
        <f>IF(D912="V01",cad!$I$29,IF(D912="V02",cad!$J$29,cad!$K$29))</f>
        <v/>
      </c>
      <c r="L912">
        <f>IF(D912="V01",cad!$I$30,IF(D912="V02",cad!$J$30,cad!$K$30))</f>
        <v/>
      </c>
      <c r="M912">
        <f>IF(D912="V01",cad!$I$31,IF(D912="V02",cad!$J$31,cad!$K$31))</f>
        <v/>
      </c>
      <c r="N912">
        <f>IF(D912="V01",$R$2,IF(D912="V02",$R$3,$R$4))</f>
        <v/>
      </c>
      <c r="O912">
        <f>IF(OR(B912="7062",B912="706",B912="708"),N912,IF(B912="6231",1+G912,IF(B912="6236",1+H912,IF(OR(B912="621",B912="604",B912="6063"),N912*(1-L912),IF(OR(B912="6411",B912="6413",B912="6414",B912="645"),(1+J912)*(1+K912),IF(OR(B912="613",B912="615",B912="616",B912="6226",B912="625",B912="626",B912="6281"),(1+I912)*(1-L912)*(1+M912),IF(OR(B912="6331",B912="63511",B912="6333"),(1+I912)*(1-L912),IF(B912="6811",1+I912,1))))))))</f>
        <v/>
      </c>
      <c r="P912">
        <f>IF(E912=1,F912*O912,"")</f>
        <v/>
      </c>
    </row>
    <row r="913">
      <c r="A913">
        <f>PNL!A913</f>
        <v/>
      </c>
      <c r="B913">
        <f>PNL!B913</f>
        <v/>
      </c>
      <c r="C913">
        <f>PNL!C913</f>
        <v/>
      </c>
      <c r="D913">
        <f>PNL!D913</f>
        <v/>
      </c>
      <c r="E913">
        <f>IF(AND(C913="2027",OR(D913="V01",D913="V02",D913="V03")),1,0)</f>
        <v/>
      </c>
      <c r="F913">
        <f>IF(E913=1,SUMIFS(Compta!$F$2:$F$675,Compta!$A$2:$A$675,A913,Compta!$B$2:$B$675,B913,Compta!$C$2:$C$675,"2026"),0)</f>
        <v/>
      </c>
      <c r="G913">
        <f>IF(D913="V01",cad!$I$21,IF(D913="V02",cad!$J$21,cad!$K$21))</f>
        <v/>
      </c>
      <c r="H913">
        <f>IF(D913="V01",cad!$I$22,IF(D913="V02",cad!$J$22,cad!$K$22))</f>
        <v/>
      </c>
      <c r="I913">
        <f>IF(D913="V01",cad!$I$27,IF(D913="V02",cad!$J$27,cad!$K$27))</f>
        <v/>
      </c>
      <c r="J913">
        <f>IF(D913="V01",cad!$I$28,IF(D913="V02",cad!$J$28,cad!$K$28))</f>
        <v/>
      </c>
      <c r="K913">
        <f>IF(D913="V01",cad!$I$29,IF(D913="V02",cad!$J$29,cad!$K$29))</f>
        <v/>
      </c>
      <c r="L913">
        <f>IF(D913="V01",cad!$I$30,IF(D913="V02",cad!$J$30,cad!$K$30))</f>
        <v/>
      </c>
      <c r="M913">
        <f>IF(D913="V01",cad!$I$31,IF(D913="V02",cad!$J$31,cad!$K$31))</f>
        <v/>
      </c>
      <c r="N913">
        <f>IF(D913="V01",$R$2,IF(D913="V02",$R$3,$R$4))</f>
        <v/>
      </c>
      <c r="O913">
        <f>IF(OR(B913="7062",B913="706",B913="708"),N913,IF(B913="6231",1+G913,IF(B913="6236",1+H913,IF(OR(B913="621",B913="604",B913="6063"),N913*(1-L913),IF(OR(B913="6411",B913="6413",B913="6414",B913="645"),(1+J913)*(1+K913),IF(OR(B913="613",B913="615",B913="616",B913="6226",B913="625",B913="626",B913="6281"),(1+I913)*(1-L913)*(1+M913),IF(OR(B913="6331",B913="63511",B913="6333"),(1+I913)*(1-L913),IF(B913="6811",1+I913,1))))))))</f>
        <v/>
      </c>
      <c r="P913">
        <f>IF(E913=1,F913*O913,"")</f>
        <v/>
      </c>
    </row>
    <row r="914">
      <c r="A914">
        <f>PNL!A914</f>
        <v/>
      </c>
      <c r="B914">
        <f>PNL!B914</f>
        <v/>
      </c>
      <c r="C914">
        <f>PNL!C914</f>
        <v/>
      </c>
      <c r="D914">
        <f>PNL!D914</f>
        <v/>
      </c>
      <c r="E914">
        <f>IF(AND(C914="2027",OR(D914="V01",D914="V02",D914="V03")),1,0)</f>
        <v/>
      </c>
      <c r="F914">
        <f>IF(E914=1,SUMIFS(Compta!$F$2:$F$675,Compta!$A$2:$A$675,A914,Compta!$B$2:$B$675,B914,Compta!$C$2:$C$675,"2026"),0)</f>
        <v/>
      </c>
      <c r="G914">
        <f>IF(D914="V01",cad!$I$21,IF(D914="V02",cad!$J$21,cad!$K$21))</f>
        <v/>
      </c>
      <c r="H914">
        <f>IF(D914="V01",cad!$I$22,IF(D914="V02",cad!$J$22,cad!$K$22))</f>
        <v/>
      </c>
      <c r="I914">
        <f>IF(D914="V01",cad!$I$27,IF(D914="V02",cad!$J$27,cad!$K$27))</f>
        <v/>
      </c>
      <c r="J914">
        <f>IF(D914="V01",cad!$I$28,IF(D914="V02",cad!$J$28,cad!$K$28))</f>
        <v/>
      </c>
      <c r="K914">
        <f>IF(D914="V01",cad!$I$29,IF(D914="V02",cad!$J$29,cad!$K$29))</f>
        <v/>
      </c>
      <c r="L914">
        <f>IF(D914="V01",cad!$I$30,IF(D914="V02",cad!$J$30,cad!$K$30))</f>
        <v/>
      </c>
      <c r="M914">
        <f>IF(D914="V01",cad!$I$31,IF(D914="V02",cad!$J$31,cad!$K$31))</f>
        <v/>
      </c>
      <c r="N914">
        <f>IF(D914="V01",$R$2,IF(D914="V02",$R$3,$R$4))</f>
        <v/>
      </c>
      <c r="O914">
        <f>IF(OR(B914="7062",B914="706",B914="708"),N914,IF(B914="6231",1+G914,IF(B914="6236",1+H914,IF(OR(B914="621",B914="604",B914="6063"),N914*(1-L914),IF(OR(B914="6411",B914="6413",B914="6414",B914="645"),(1+J914)*(1+K914),IF(OR(B914="613",B914="615",B914="616",B914="6226",B914="625",B914="626",B914="6281"),(1+I914)*(1-L914)*(1+M914),IF(OR(B914="6331",B914="63511",B914="6333"),(1+I914)*(1-L914),IF(B914="6811",1+I914,1))))))))</f>
        <v/>
      </c>
      <c r="P914">
        <f>IF(E914=1,F914*O914,"")</f>
        <v/>
      </c>
    </row>
    <row r="915">
      <c r="A915">
        <f>PNL!A915</f>
        <v/>
      </c>
      <c r="B915">
        <f>PNL!B915</f>
        <v/>
      </c>
      <c r="C915">
        <f>PNL!C915</f>
        <v/>
      </c>
      <c r="D915">
        <f>PNL!D915</f>
        <v/>
      </c>
      <c r="E915">
        <f>IF(AND(C915="2027",OR(D915="V01",D915="V02",D915="V03")),1,0)</f>
        <v/>
      </c>
      <c r="F915">
        <f>IF(E915=1,SUMIFS(Compta!$F$2:$F$675,Compta!$A$2:$A$675,A915,Compta!$B$2:$B$675,B915,Compta!$C$2:$C$675,"2026"),0)</f>
        <v/>
      </c>
      <c r="G915">
        <f>IF(D915="V01",cad!$I$21,IF(D915="V02",cad!$J$21,cad!$K$21))</f>
        <v/>
      </c>
      <c r="H915">
        <f>IF(D915="V01",cad!$I$22,IF(D915="V02",cad!$J$22,cad!$K$22))</f>
        <v/>
      </c>
      <c r="I915">
        <f>IF(D915="V01",cad!$I$27,IF(D915="V02",cad!$J$27,cad!$K$27))</f>
        <v/>
      </c>
      <c r="J915">
        <f>IF(D915="V01",cad!$I$28,IF(D915="V02",cad!$J$28,cad!$K$28))</f>
        <v/>
      </c>
      <c r="K915">
        <f>IF(D915="V01",cad!$I$29,IF(D915="V02",cad!$J$29,cad!$K$29))</f>
        <v/>
      </c>
      <c r="L915">
        <f>IF(D915="V01",cad!$I$30,IF(D915="V02",cad!$J$30,cad!$K$30))</f>
        <v/>
      </c>
      <c r="M915">
        <f>IF(D915="V01",cad!$I$31,IF(D915="V02",cad!$J$31,cad!$K$31))</f>
        <v/>
      </c>
      <c r="N915">
        <f>IF(D915="V01",$R$2,IF(D915="V02",$R$3,$R$4))</f>
        <v/>
      </c>
      <c r="O915">
        <f>IF(OR(B915="7062",B915="706",B915="708"),N915,IF(B915="6231",1+G915,IF(B915="6236",1+H915,IF(OR(B915="621",B915="604",B915="6063"),N915*(1-L915),IF(OR(B915="6411",B915="6413",B915="6414",B915="645"),(1+J915)*(1+K915),IF(OR(B915="613",B915="615",B915="616",B915="6226",B915="625",B915="626",B915="6281"),(1+I915)*(1-L915)*(1+M915),IF(OR(B915="6331",B915="63511",B915="6333"),(1+I915)*(1-L915),IF(B915="6811",1+I915,1))))))))</f>
        <v/>
      </c>
      <c r="P915">
        <f>IF(E915=1,F915*O915,"")</f>
        <v/>
      </c>
    </row>
    <row r="916">
      <c r="A916">
        <f>PNL!A916</f>
        <v/>
      </c>
      <c r="B916">
        <f>PNL!B916</f>
        <v/>
      </c>
      <c r="C916">
        <f>PNL!C916</f>
        <v/>
      </c>
      <c r="D916">
        <f>PNL!D916</f>
        <v/>
      </c>
      <c r="E916">
        <f>IF(AND(C916="2027",OR(D916="V01",D916="V02",D916="V03")),1,0)</f>
        <v/>
      </c>
      <c r="F916">
        <f>IF(E916=1,SUMIFS(Compta!$F$2:$F$675,Compta!$A$2:$A$675,A916,Compta!$B$2:$B$675,B916,Compta!$C$2:$C$675,"2026"),0)</f>
        <v/>
      </c>
      <c r="G916">
        <f>IF(D916="V01",cad!$I$21,IF(D916="V02",cad!$J$21,cad!$K$21))</f>
        <v/>
      </c>
      <c r="H916">
        <f>IF(D916="V01",cad!$I$22,IF(D916="V02",cad!$J$22,cad!$K$22))</f>
        <v/>
      </c>
      <c r="I916">
        <f>IF(D916="V01",cad!$I$27,IF(D916="V02",cad!$J$27,cad!$K$27))</f>
        <v/>
      </c>
      <c r="J916">
        <f>IF(D916="V01",cad!$I$28,IF(D916="V02",cad!$J$28,cad!$K$28))</f>
        <v/>
      </c>
      <c r="K916">
        <f>IF(D916="V01",cad!$I$29,IF(D916="V02",cad!$J$29,cad!$K$29))</f>
        <v/>
      </c>
      <c r="L916">
        <f>IF(D916="V01",cad!$I$30,IF(D916="V02",cad!$J$30,cad!$K$30))</f>
        <v/>
      </c>
      <c r="M916">
        <f>IF(D916="V01",cad!$I$31,IF(D916="V02",cad!$J$31,cad!$K$31))</f>
        <v/>
      </c>
      <c r="N916">
        <f>IF(D916="V01",$R$2,IF(D916="V02",$R$3,$R$4))</f>
        <v/>
      </c>
      <c r="O916">
        <f>IF(OR(B916="7062",B916="706",B916="708"),N916,IF(B916="6231",1+G916,IF(B916="6236",1+H916,IF(OR(B916="621",B916="604",B916="6063"),N916*(1-L916),IF(OR(B916="6411",B916="6413",B916="6414",B916="645"),(1+J916)*(1+K916),IF(OR(B916="613",B916="615",B916="616",B916="6226",B916="625",B916="626",B916="6281"),(1+I916)*(1-L916)*(1+M916),IF(OR(B916="6331",B916="63511",B916="6333"),(1+I916)*(1-L916),IF(B916="6811",1+I916,1))))))))</f>
        <v/>
      </c>
      <c r="P916">
        <f>IF(E916=1,F916*O916,"")</f>
        <v/>
      </c>
    </row>
    <row r="917">
      <c r="A917">
        <f>PNL!A917</f>
        <v/>
      </c>
      <c r="B917">
        <f>PNL!B917</f>
        <v/>
      </c>
      <c r="C917">
        <f>PNL!C917</f>
        <v/>
      </c>
      <c r="D917">
        <f>PNL!D917</f>
        <v/>
      </c>
      <c r="E917">
        <f>IF(AND(C917="2027",OR(D917="V01",D917="V02",D917="V03")),1,0)</f>
        <v/>
      </c>
      <c r="F917">
        <f>IF(E917=1,SUMIFS(Compta!$F$2:$F$675,Compta!$A$2:$A$675,A917,Compta!$B$2:$B$675,B917,Compta!$C$2:$C$675,"2026"),0)</f>
        <v/>
      </c>
      <c r="G917">
        <f>IF(D917="V01",cad!$I$21,IF(D917="V02",cad!$J$21,cad!$K$21))</f>
        <v/>
      </c>
      <c r="H917">
        <f>IF(D917="V01",cad!$I$22,IF(D917="V02",cad!$J$22,cad!$K$22))</f>
        <v/>
      </c>
      <c r="I917">
        <f>IF(D917="V01",cad!$I$27,IF(D917="V02",cad!$J$27,cad!$K$27))</f>
        <v/>
      </c>
      <c r="J917">
        <f>IF(D917="V01",cad!$I$28,IF(D917="V02",cad!$J$28,cad!$K$28))</f>
        <v/>
      </c>
      <c r="K917">
        <f>IF(D917="V01",cad!$I$29,IF(D917="V02",cad!$J$29,cad!$K$29))</f>
        <v/>
      </c>
      <c r="L917">
        <f>IF(D917="V01",cad!$I$30,IF(D917="V02",cad!$J$30,cad!$K$30))</f>
        <v/>
      </c>
      <c r="M917">
        <f>IF(D917="V01",cad!$I$31,IF(D917="V02",cad!$J$31,cad!$K$31))</f>
        <v/>
      </c>
      <c r="N917">
        <f>IF(D917="V01",$R$2,IF(D917="V02",$R$3,$R$4))</f>
        <v/>
      </c>
      <c r="O917">
        <f>IF(OR(B917="7062",B917="706",B917="708"),N917,IF(B917="6231",1+G917,IF(B917="6236",1+H917,IF(OR(B917="621",B917="604",B917="6063"),N917*(1-L917),IF(OR(B917="6411",B917="6413",B917="6414",B917="645"),(1+J917)*(1+K917),IF(OR(B917="613",B917="615",B917="616",B917="6226",B917="625",B917="626",B917="6281"),(1+I917)*(1-L917)*(1+M917),IF(OR(B917="6331",B917="63511",B917="6333"),(1+I917)*(1-L917),IF(B917="6811",1+I917,1))))))))</f>
        <v/>
      </c>
      <c r="P917">
        <f>IF(E917=1,F917*O917,"")</f>
        <v/>
      </c>
    </row>
    <row r="918">
      <c r="A918">
        <f>PNL!A918</f>
        <v/>
      </c>
      <c r="B918">
        <f>PNL!B918</f>
        <v/>
      </c>
      <c r="C918">
        <f>PNL!C918</f>
        <v/>
      </c>
      <c r="D918">
        <f>PNL!D918</f>
        <v/>
      </c>
      <c r="E918">
        <f>IF(AND(C918="2027",OR(D918="V01",D918="V02",D918="V03")),1,0)</f>
        <v/>
      </c>
      <c r="F918">
        <f>IF(E918=1,SUMIFS(Compta!$F$2:$F$675,Compta!$A$2:$A$675,A918,Compta!$B$2:$B$675,B918,Compta!$C$2:$C$675,"2026"),0)</f>
        <v/>
      </c>
      <c r="G918">
        <f>IF(D918="V01",cad!$I$21,IF(D918="V02",cad!$J$21,cad!$K$21))</f>
        <v/>
      </c>
      <c r="H918">
        <f>IF(D918="V01",cad!$I$22,IF(D918="V02",cad!$J$22,cad!$K$22))</f>
        <v/>
      </c>
      <c r="I918">
        <f>IF(D918="V01",cad!$I$27,IF(D918="V02",cad!$J$27,cad!$K$27))</f>
        <v/>
      </c>
      <c r="J918">
        <f>IF(D918="V01",cad!$I$28,IF(D918="V02",cad!$J$28,cad!$K$28))</f>
        <v/>
      </c>
      <c r="K918">
        <f>IF(D918="V01",cad!$I$29,IF(D918="V02",cad!$J$29,cad!$K$29))</f>
        <v/>
      </c>
      <c r="L918">
        <f>IF(D918="V01",cad!$I$30,IF(D918="V02",cad!$J$30,cad!$K$30))</f>
        <v/>
      </c>
      <c r="M918">
        <f>IF(D918="V01",cad!$I$31,IF(D918="V02",cad!$J$31,cad!$K$31))</f>
        <v/>
      </c>
      <c r="N918">
        <f>IF(D918="V01",$R$2,IF(D918="V02",$R$3,$R$4))</f>
        <v/>
      </c>
      <c r="O918">
        <f>IF(OR(B918="7062",B918="706",B918="708"),N918,IF(B918="6231",1+G918,IF(B918="6236",1+H918,IF(OR(B918="621",B918="604",B918="6063"),N918*(1-L918),IF(OR(B918="6411",B918="6413",B918="6414",B918="645"),(1+J918)*(1+K918),IF(OR(B918="613",B918="615",B918="616",B918="6226",B918="625",B918="626",B918="6281"),(1+I918)*(1-L918)*(1+M918),IF(OR(B918="6331",B918="63511",B918="6333"),(1+I918)*(1-L918),IF(B918="6811",1+I918,1))))))))</f>
        <v/>
      </c>
      <c r="P918">
        <f>IF(E918=1,F918*O918,"")</f>
        <v/>
      </c>
    </row>
    <row r="919">
      <c r="A919">
        <f>PNL!A919</f>
        <v/>
      </c>
      <c r="B919">
        <f>PNL!B919</f>
        <v/>
      </c>
      <c r="C919">
        <f>PNL!C919</f>
        <v/>
      </c>
      <c r="D919">
        <f>PNL!D919</f>
        <v/>
      </c>
      <c r="E919">
        <f>IF(AND(C919="2027",OR(D919="V01",D919="V02",D919="V03")),1,0)</f>
        <v/>
      </c>
      <c r="F919">
        <f>IF(E919=1,SUMIFS(Compta!$F$2:$F$675,Compta!$A$2:$A$675,A919,Compta!$B$2:$B$675,B919,Compta!$C$2:$C$675,"2026"),0)</f>
        <v/>
      </c>
      <c r="G919">
        <f>IF(D919="V01",cad!$I$21,IF(D919="V02",cad!$J$21,cad!$K$21))</f>
        <v/>
      </c>
      <c r="H919">
        <f>IF(D919="V01",cad!$I$22,IF(D919="V02",cad!$J$22,cad!$K$22))</f>
        <v/>
      </c>
      <c r="I919">
        <f>IF(D919="V01",cad!$I$27,IF(D919="V02",cad!$J$27,cad!$K$27))</f>
        <v/>
      </c>
      <c r="J919">
        <f>IF(D919="V01",cad!$I$28,IF(D919="V02",cad!$J$28,cad!$K$28))</f>
        <v/>
      </c>
      <c r="K919">
        <f>IF(D919="V01",cad!$I$29,IF(D919="V02",cad!$J$29,cad!$K$29))</f>
        <v/>
      </c>
      <c r="L919">
        <f>IF(D919="V01",cad!$I$30,IF(D919="V02",cad!$J$30,cad!$K$30))</f>
        <v/>
      </c>
      <c r="M919">
        <f>IF(D919="V01",cad!$I$31,IF(D919="V02",cad!$J$31,cad!$K$31))</f>
        <v/>
      </c>
      <c r="N919">
        <f>IF(D919="V01",$R$2,IF(D919="V02",$R$3,$R$4))</f>
        <v/>
      </c>
      <c r="O919">
        <f>IF(OR(B919="7062",B919="706",B919="708"),N919,IF(B919="6231",1+G919,IF(B919="6236",1+H919,IF(OR(B919="621",B919="604",B919="6063"),N919*(1-L919),IF(OR(B919="6411",B919="6413",B919="6414",B919="645"),(1+J919)*(1+K919),IF(OR(B919="613",B919="615",B919="616",B919="6226",B919="625",B919="626",B919="6281"),(1+I919)*(1-L919)*(1+M919),IF(OR(B919="6331",B919="63511",B919="6333"),(1+I919)*(1-L919),IF(B919="6811",1+I919,1))))))))</f>
        <v/>
      </c>
      <c r="P919">
        <f>IF(E919=1,F919*O919,"")</f>
        <v/>
      </c>
    </row>
    <row r="920">
      <c r="A920">
        <f>PNL!A920</f>
        <v/>
      </c>
      <c r="B920">
        <f>PNL!B920</f>
        <v/>
      </c>
      <c r="C920">
        <f>PNL!C920</f>
        <v/>
      </c>
      <c r="D920">
        <f>PNL!D920</f>
        <v/>
      </c>
      <c r="E920">
        <f>IF(AND(C920="2027",OR(D920="V01",D920="V02",D920="V03")),1,0)</f>
        <v/>
      </c>
      <c r="F920">
        <f>IF(E920=1,SUMIFS(Compta!$F$2:$F$675,Compta!$A$2:$A$675,A920,Compta!$B$2:$B$675,B920,Compta!$C$2:$C$675,"2026"),0)</f>
        <v/>
      </c>
      <c r="G920">
        <f>IF(D920="V01",cad!$I$21,IF(D920="V02",cad!$J$21,cad!$K$21))</f>
        <v/>
      </c>
      <c r="H920">
        <f>IF(D920="V01",cad!$I$22,IF(D920="V02",cad!$J$22,cad!$K$22))</f>
        <v/>
      </c>
      <c r="I920">
        <f>IF(D920="V01",cad!$I$27,IF(D920="V02",cad!$J$27,cad!$K$27))</f>
        <v/>
      </c>
      <c r="J920">
        <f>IF(D920="V01",cad!$I$28,IF(D920="V02",cad!$J$28,cad!$K$28))</f>
        <v/>
      </c>
      <c r="K920">
        <f>IF(D920="V01",cad!$I$29,IF(D920="V02",cad!$J$29,cad!$K$29))</f>
        <v/>
      </c>
      <c r="L920">
        <f>IF(D920="V01",cad!$I$30,IF(D920="V02",cad!$J$30,cad!$K$30))</f>
        <v/>
      </c>
      <c r="M920">
        <f>IF(D920="V01",cad!$I$31,IF(D920="V02",cad!$J$31,cad!$K$31))</f>
        <v/>
      </c>
      <c r="N920">
        <f>IF(D920="V01",$R$2,IF(D920="V02",$R$3,$R$4))</f>
        <v/>
      </c>
      <c r="O920">
        <f>IF(OR(B920="7062",B920="706",B920="708"),N920,IF(B920="6231",1+G920,IF(B920="6236",1+H920,IF(OR(B920="621",B920="604",B920="6063"),N920*(1-L920),IF(OR(B920="6411",B920="6413",B920="6414",B920="645"),(1+J920)*(1+K920),IF(OR(B920="613",B920="615",B920="616",B920="6226",B920="625",B920="626",B920="6281"),(1+I920)*(1-L920)*(1+M920),IF(OR(B920="6331",B920="63511",B920="6333"),(1+I920)*(1-L920),IF(B920="6811",1+I920,1))))))))</f>
        <v/>
      </c>
      <c r="P920">
        <f>IF(E920=1,F920*O920,"")</f>
        <v/>
      </c>
    </row>
    <row r="921">
      <c r="A921">
        <f>PNL!A921</f>
        <v/>
      </c>
      <c r="B921">
        <f>PNL!B921</f>
        <v/>
      </c>
      <c r="C921">
        <f>PNL!C921</f>
        <v/>
      </c>
      <c r="D921">
        <f>PNL!D921</f>
        <v/>
      </c>
      <c r="E921">
        <f>IF(AND(C921="2027",OR(D921="V01",D921="V02",D921="V03")),1,0)</f>
        <v/>
      </c>
      <c r="F921">
        <f>IF(E921=1,SUMIFS(Compta!$F$2:$F$675,Compta!$A$2:$A$675,A921,Compta!$B$2:$B$675,B921,Compta!$C$2:$C$675,"2026"),0)</f>
        <v/>
      </c>
      <c r="G921">
        <f>IF(D921="V01",cad!$I$21,IF(D921="V02",cad!$J$21,cad!$K$21))</f>
        <v/>
      </c>
      <c r="H921">
        <f>IF(D921="V01",cad!$I$22,IF(D921="V02",cad!$J$22,cad!$K$22))</f>
        <v/>
      </c>
      <c r="I921">
        <f>IF(D921="V01",cad!$I$27,IF(D921="V02",cad!$J$27,cad!$K$27))</f>
        <v/>
      </c>
      <c r="J921">
        <f>IF(D921="V01",cad!$I$28,IF(D921="V02",cad!$J$28,cad!$K$28))</f>
        <v/>
      </c>
      <c r="K921">
        <f>IF(D921="V01",cad!$I$29,IF(D921="V02",cad!$J$29,cad!$K$29))</f>
        <v/>
      </c>
      <c r="L921">
        <f>IF(D921="V01",cad!$I$30,IF(D921="V02",cad!$J$30,cad!$K$30))</f>
        <v/>
      </c>
      <c r="M921">
        <f>IF(D921="V01",cad!$I$31,IF(D921="V02",cad!$J$31,cad!$K$31))</f>
        <v/>
      </c>
      <c r="N921">
        <f>IF(D921="V01",$R$2,IF(D921="V02",$R$3,$R$4))</f>
        <v/>
      </c>
      <c r="O921">
        <f>IF(OR(B921="7062",B921="706",B921="708"),N921,IF(B921="6231",1+G921,IF(B921="6236",1+H921,IF(OR(B921="621",B921="604",B921="6063"),N921*(1-L921),IF(OR(B921="6411",B921="6413",B921="6414",B921="645"),(1+J921)*(1+K921),IF(OR(B921="613",B921="615",B921="616",B921="6226",B921="625",B921="626",B921="6281"),(1+I921)*(1-L921)*(1+M921),IF(OR(B921="6331",B921="63511",B921="6333"),(1+I921)*(1-L921),IF(B921="6811",1+I921,1))))))))</f>
        <v/>
      </c>
      <c r="P921">
        <f>IF(E921=1,F921*O921,"")</f>
        <v/>
      </c>
    </row>
    <row r="922">
      <c r="A922">
        <f>PNL!A922</f>
        <v/>
      </c>
      <c r="B922">
        <f>PNL!B922</f>
        <v/>
      </c>
      <c r="C922">
        <f>PNL!C922</f>
        <v/>
      </c>
      <c r="D922">
        <f>PNL!D922</f>
        <v/>
      </c>
      <c r="E922">
        <f>IF(AND(C922="2027",OR(D922="V01",D922="V02",D922="V03")),1,0)</f>
        <v/>
      </c>
      <c r="F922">
        <f>IF(E922=1,SUMIFS(Compta!$F$2:$F$675,Compta!$A$2:$A$675,A922,Compta!$B$2:$B$675,B922,Compta!$C$2:$C$675,"2026"),0)</f>
        <v/>
      </c>
      <c r="G922">
        <f>IF(D922="V01",cad!$I$21,IF(D922="V02",cad!$J$21,cad!$K$21))</f>
        <v/>
      </c>
      <c r="H922">
        <f>IF(D922="V01",cad!$I$22,IF(D922="V02",cad!$J$22,cad!$K$22))</f>
        <v/>
      </c>
      <c r="I922">
        <f>IF(D922="V01",cad!$I$27,IF(D922="V02",cad!$J$27,cad!$K$27))</f>
        <v/>
      </c>
      <c r="J922">
        <f>IF(D922="V01",cad!$I$28,IF(D922="V02",cad!$J$28,cad!$K$28))</f>
        <v/>
      </c>
      <c r="K922">
        <f>IF(D922="V01",cad!$I$29,IF(D922="V02",cad!$J$29,cad!$K$29))</f>
        <v/>
      </c>
      <c r="L922">
        <f>IF(D922="V01",cad!$I$30,IF(D922="V02",cad!$J$30,cad!$K$30))</f>
        <v/>
      </c>
      <c r="M922">
        <f>IF(D922="V01",cad!$I$31,IF(D922="V02",cad!$J$31,cad!$K$31))</f>
        <v/>
      </c>
      <c r="N922">
        <f>IF(D922="V01",$R$2,IF(D922="V02",$R$3,$R$4))</f>
        <v/>
      </c>
      <c r="O922">
        <f>IF(OR(B922="7062",B922="706",B922="708"),N922,IF(B922="6231",1+G922,IF(B922="6236",1+H922,IF(OR(B922="621",B922="604",B922="6063"),N922*(1-L922),IF(OR(B922="6411",B922="6413",B922="6414",B922="645"),(1+J922)*(1+K922),IF(OR(B922="613",B922="615",B922="616",B922="6226",B922="625",B922="626",B922="6281"),(1+I922)*(1-L922)*(1+M922),IF(OR(B922="6331",B922="63511",B922="6333"),(1+I922)*(1-L922),IF(B922="6811",1+I922,1))))))))</f>
        <v/>
      </c>
      <c r="P922">
        <f>IF(E922=1,F922*O922,"")</f>
        <v/>
      </c>
    </row>
    <row r="923">
      <c r="A923">
        <f>PNL!A923</f>
        <v/>
      </c>
      <c r="B923">
        <f>PNL!B923</f>
        <v/>
      </c>
      <c r="C923">
        <f>PNL!C923</f>
        <v/>
      </c>
      <c r="D923">
        <f>PNL!D923</f>
        <v/>
      </c>
      <c r="E923">
        <f>IF(AND(C923="2027",OR(D923="V01",D923="V02",D923="V03")),1,0)</f>
        <v/>
      </c>
      <c r="F923">
        <f>IF(E923=1,SUMIFS(Compta!$F$2:$F$675,Compta!$A$2:$A$675,A923,Compta!$B$2:$B$675,B923,Compta!$C$2:$C$675,"2026"),0)</f>
        <v/>
      </c>
      <c r="G923">
        <f>IF(D923="V01",cad!$I$21,IF(D923="V02",cad!$J$21,cad!$K$21))</f>
        <v/>
      </c>
      <c r="H923">
        <f>IF(D923="V01",cad!$I$22,IF(D923="V02",cad!$J$22,cad!$K$22))</f>
        <v/>
      </c>
      <c r="I923">
        <f>IF(D923="V01",cad!$I$27,IF(D923="V02",cad!$J$27,cad!$K$27))</f>
        <v/>
      </c>
      <c r="J923">
        <f>IF(D923="V01",cad!$I$28,IF(D923="V02",cad!$J$28,cad!$K$28))</f>
        <v/>
      </c>
      <c r="K923">
        <f>IF(D923="V01",cad!$I$29,IF(D923="V02",cad!$J$29,cad!$K$29))</f>
        <v/>
      </c>
      <c r="L923">
        <f>IF(D923="V01",cad!$I$30,IF(D923="V02",cad!$J$30,cad!$K$30))</f>
        <v/>
      </c>
      <c r="M923">
        <f>IF(D923="V01",cad!$I$31,IF(D923="V02",cad!$J$31,cad!$K$31))</f>
        <v/>
      </c>
      <c r="N923">
        <f>IF(D923="V01",$R$2,IF(D923="V02",$R$3,$R$4))</f>
        <v/>
      </c>
      <c r="O923">
        <f>IF(OR(B923="7062",B923="706",B923="708"),N923,IF(B923="6231",1+G923,IF(B923="6236",1+H923,IF(OR(B923="621",B923="604",B923="6063"),N923*(1-L923),IF(OR(B923="6411",B923="6413",B923="6414",B923="645"),(1+J923)*(1+K923),IF(OR(B923="613",B923="615",B923="616",B923="6226",B923="625",B923="626",B923="6281"),(1+I923)*(1-L923)*(1+M923),IF(OR(B923="6331",B923="63511",B923="6333"),(1+I923)*(1-L923),IF(B923="6811",1+I923,1))))))))</f>
        <v/>
      </c>
      <c r="P923">
        <f>IF(E923=1,F923*O923,"")</f>
        <v/>
      </c>
    </row>
    <row r="924">
      <c r="A924">
        <f>PNL!A924</f>
        <v/>
      </c>
      <c r="B924">
        <f>PNL!B924</f>
        <v/>
      </c>
      <c r="C924">
        <f>PNL!C924</f>
        <v/>
      </c>
      <c r="D924">
        <f>PNL!D924</f>
        <v/>
      </c>
      <c r="E924">
        <f>IF(AND(C924="2027",OR(D924="V01",D924="V02",D924="V03")),1,0)</f>
        <v/>
      </c>
      <c r="F924">
        <f>IF(E924=1,SUMIFS(Compta!$F$2:$F$675,Compta!$A$2:$A$675,A924,Compta!$B$2:$B$675,B924,Compta!$C$2:$C$675,"2026"),0)</f>
        <v/>
      </c>
      <c r="G924">
        <f>IF(D924="V01",cad!$I$21,IF(D924="V02",cad!$J$21,cad!$K$21))</f>
        <v/>
      </c>
      <c r="H924">
        <f>IF(D924="V01",cad!$I$22,IF(D924="V02",cad!$J$22,cad!$K$22))</f>
        <v/>
      </c>
      <c r="I924">
        <f>IF(D924="V01",cad!$I$27,IF(D924="V02",cad!$J$27,cad!$K$27))</f>
        <v/>
      </c>
      <c r="J924">
        <f>IF(D924="V01",cad!$I$28,IF(D924="V02",cad!$J$28,cad!$K$28))</f>
        <v/>
      </c>
      <c r="K924">
        <f>IF(D924="V01",cad!$I$29,IF(D924="V02",cad!$J$29,cad!$K$29))</f>
        <v/>
      </c>
      <c r="L924">
        <f>IF(D924="V01",cad!$I$30,IF(D924="V02",cad!$J$30,cad!$K$30))</f>
        <v/>
      </c>
      <c r="M924">
        <f>IF(D924="V01",cad!$I$31,IF(D924="V02",cad!$J$31,cad!$K$31))</f>
        <v/>
      </c>
      <c r="N924">
        <f>IF(D924="V01",$R$2,IF(D924="V02",$R$3,$R$4))</f>
        <v/>
      </c>
      <c r="O924">
        <f>IF(OR(B924="7062",B924="706",B924="708"),N924,IF(B924="6231",1+G924,IF(B924="6236",1+H924,IF(OR(B924="621",B924="604",B924="6063"),N924*(1-L924),IF(OR(B924="6411",B924="6413",B924="6414",B924="645"),(1+J924)*(1+K924),IF(OR(B924="613",B924="615",B924="616",B924="6226",B924="625",B924="626",B924="6281"),(1+I924)*(1-L924)*(1+M924),IF(OR(B924="6331",B924="63511",B924="6333"),(1+I924)*(1-L924),IF(B924="6811",1+I924,1))))))))</f>
        <v/>
      </c>
      <c r="P924">
        <f>IF(E924=1,F924*O924,"")</f>
        <v/>
      </c>
    </row>
    <row r="925">
      <c r="A925">
        <f>PNL!A925</f>
        <v/>
      </c>
      <c r="B925">
        <f>PNL!B925</f>
        <v/>
      </c>
      <c r="C925">
        <f>PNL!C925</f>
        <v/>
      </c>
      <c r="D925">
        <f>PNL!D925</f>
        <v/>
      </c>
      <c r="E925">
        <f>IF(AND(C925="2027",OR(D925="V01",D925="V02",D925="V03")),1,0)</f>
        <v/>
      </c>
      <c r="F925">
        <f>IF(E925=1,SUMIFS(Compta!$F$2:$F$675,Compta!$A$2:$A$675,A925,Compta!$B$2:$B$675,B925,Compta!$C$2:$C$675,"2026"),0)</f>
        <v/>
      </c>
      <c r="G925">
        <f>IF(D925="V01",cad!$I$21,IF(D925="V02",cad!$J$21,cad!$K$21))</f>
        <v/>
      </c>
      <c r="H925">
        <f>IF(D925="V01",cad!$I$22,IF(D925="V02",cad!$J$22,cad!$K$22))</f>
        <v/>
      </c>
      <c r="I925">
        <f>IF(D925="V01",cad!$I$27,IF(D925="V02",cad!$J$27,cad!$K$27))</f>
        <v/>
      </c>
      <c r="J925">
        <f>IF(D925="V01",cad!$I$28,IF(D925="V02",cad!$J$28,cad!$K$28))</f>
        <v/>
      </c>
      <c r="K925">
        <f>IF(D925="V01",cad!$I$29,IF(D925="V02",cad!$J$29,cad!$K$29))</f>
        <v/>
      </c>
      <c r="L925">
        <f>IF(D925="V01",cad!$I$30,IF(D925="V02",cad!$J$30,cad!$K$30))</f>
        <v/>
      </c>
      <c r="M925">
        <f>IF(D925="V01",cad!$I$31,IF(D925="V02",cad!$J$31,cad!$K$31))</f>
        <v/>
      </c>
      <c r="N925">
        <f>IF(D925="V01",$R$2,IF(D925="V02",$R$3,$R$4))</f>
        <v/>
      </c>
      <c r="O925">
        <f>IF(OR(B925="7062",B925="706",B925="708"),N925,IF(B925="6231",1+G925,IF(B925="6236",1+H925,IF(OR(B925="621",B925="604",B925="6063"),N925*(1-L925),IF(OR(B925="6411",B925="6413",B925="6414",B925="645"),(1+J925)*(1+K925),IF(OR(B925="613",B925="615",B925="616",B925="6226",B925="625",B925="626",B925="6281"),(1+I925)*(1-L925)*(1+M925),IF(OR(B925="6331",B925="63511",B925="6333"),(1+I925)*(1-L925),IF(B925="6811",1+I925,1))))))))</f>
        <v/>
      </c>
      <c r="P925">
        <f>IF(E925=1,F925*O925,"")</f>
        <v/>
      </c>
    </row>
    <row r="926">
      <c r="A926">
        <f>PNL!A926</f>
        <v/>
      </c>
      <c r="B926">
        <f>PNL!B926</f>
        <v/>
      </c>
      <c r="C926">
        <f>PNL!C926</f>
        <v/>
      </c>
      <c r="D926">
        <f>PNL!D926</f>
        <v/>
      </c>
      <c r="E926">
        <f>IF(AND(C926="2027",OR(D926="V01",D926="V02",D926="V03")),1,0)</f>
        <v/>
      </c>
      <c r="F926">
        <f>IF(E926=1,SUMIFS(Compta!$F$2:$F$675,Compta!$A$2:$A$675,A926,Compta!$B$2:$B$675,B926,Compta!$C$2:$C$675,"2026"),0)</f>
        <v/>
      </c>
      <c r="G926">
        <f>IF(D926="V01",cad!$I$21,IF(D926="V02",cad!$J$21,cad!$K$21))</f>
        <v/>
      </c>
      <c r="H926">
        <f>IF(D926="V01",cad!$I$22,IF(D926="V02",cad!$J$22,cad!$K$22))</f>
        <v/>
      </c>
      <c r="I926">
        <f>IF(D926="V01",cad!$I$27,IF(D926="V02",cad!$J$27,cad!$K$27))</f>
        <v/>
      </c>
      <c r="J926">
        <f>IF(D926="V01",cad!$I$28,IF(D926="V02",cad!$J$28,cad!$K$28))</f>
        <v/>
      </c>
      <c r="K926">
        <f>IF(D926="V01",cad!$I$29,IF(D926="V02",cad!$J$29,cad!$K$29))</f>
        <v/>
      </c>
      <c r="L926">
        <f>IF(D926="V01",cad!$I$30,IF(D926="V02",cad!$J$30,cad!$K$30))</f>
        <v/>
      </c>
      <c r="M926">
        <f>IF(D926="V01",cad!$I$31,IF(D926="V02",cad!$J$31,cad!$K$31))</f>
        <v/>
      </c>
      <c r="N926">
        <f>IF(D926="V01",$R$2,IF(D926="V02",$R$3,$R$4))</f>
        <v/>
      </c>
      <c r="O926">
        <f>IF(OR(B926="7062",B926="706",B926="708"),N926,IF(B926="6231",1+G926,IF(B926="6236",1+H926,IF(OR(B926="621",B926="604",B926="6063"),N926*(1-L926),IF(OR(B926="6411",B926="6413",B926="6414",B926="645"),(1+J926)*(1+K926),IF(OR(B926="613",B926="615",B926="616",B926="6226",B926="625",B926="626",B926="6281"),(1+I926)*(1-L926)*(1+M926),IF(OR(B926="6331",B926="63511",B926="6333"),(1+I926)*(1-L926),IF(B926="6811",1+I926,1))))))))</f>
        <v/>
      </c>
      <c r="P926">
        <f>IF(E926=1,F926*O926,"")</f>
        <v/>
      </c>
    </row>
    <row r="927">
      <c r="A927">
        <f>PNL!A927</f>
        <v/>
      </c>
      <c r="B927">
        <f>PNL!B927</f>
        <v/>
      </c>
      <c r="C927">
        <f>PNL!C927</f>
        <v/>
      </c>
      <c r="D927">
        <f>PNL!D927</f>
        <v/>
      </c>
      <c r="E927">
        <f>IF(AND(C927="2027",OR(D927="V01",D927="V02",D927="V03")),1,0)</f>
        <v/>
      </c>
      <c r="F927">
        <f>IF(E927=1,SUMIFS(Compta!$F$2:$F$675,Compta!$A$2:$A$675,A927,Compta!$B$2:$B$675,B927,Compta!$C$2:$C$675,"2026"),0)</f>
        <v/>
      </c>
      <c r="G927">
        <f>IF(D927="V01",cad!$I$21,IF(D927="V02",cad!$J$21,cad!$K$21))</f>
        <v/>
      </c>
      <c r="H927">
        <f>IF(D927="V01",cad!$I$22,IF(D927="V02",cad!$J$22,cad!$K$22))</f>
        <v/>
      </c>
      <c r="I927">
        <f>IF(D927="V01",cad!$I$27,IF(D927="V02",cad!$J$27,cad!$K$27))</f>
        <v/>
      </c>
      <c r="J927">
        <f>IF(D927="V01",cad!$I$28,IF(D927="V02",cad!$J$28,cad!$K$28))</f>
        <v/>
      </c>
      <c r="K927">
        <f>IF(D927="V01",cad!$I$29,IF(D927="V02",cad!$J$29,cad!$K$29))</f>
        <v/>
      </c>
      <c r="L927">
        <f>IF(D927="V01",cad!$I$30,IF(D927="V02",cad!$J$30,cad!$K$30))</f>
        <v/>
      </c>
      <c r="M927">
        <f>IF(D927="V01",cad!$I$31,IF(D927="V02",cad!$J$31,cad!$K$31))</f>
        <v/>
      </c>
      <c r="N927">
        <f>IF(D927="V01",$R$2,IF(D927="V02",$R$3,$R$4))</f>
        <v/>
      </c>
      <c r="O927">
        <f>IF(OR(B927="7062",B927="706",B927="708"),N927,IF(B927="6231",1+G927,IF(B927="6236",1+H927,IF(OR(B927="621",B927="604",B927="6063"),N927*(1-L927),IF(OR(B927="6411",B927="6413",B927="6414",B927="645"),(1+J927)*(1+K927),IF(OR(B927="613",B927="615",B927="616",B927="6226",B927="625",B927="626",B927="6281"),(1+I927)*(1-L927)*(1+M927),IF(OR(B927="6331",B927="63511",B927="6333"),(1+I927)*(1-L927),IF(B927="6811",1+I927,1))))))))</f>
        <v/>
      </c>
      <c r="P927">
        <f>IF(E927=1,F927*O927,"")</f>
        <v/>
      </c>
    </row>
    <row r="928">
      <c r="A928">
        <f>PNL!A928</f>
        <v/>
      </c>
      <c r="B928">
        <f>PNL!B928</f>
        <v/>
      </c>
      <c r="C928">
        <f>PNL!C928</f>
        <v/>
      </c>
      <c r="D928">
        <f>PNL!D928</f>
        <v/>
      </c>
      <c r="E928">
        <f>IF(AND(C928="2027",OR(D928="V01",D928="V02",D928="V03")),1,0)</f>
        <v/>
      </c>
      <c r="F928">
        <f>IF(E928=1,SUMIFS(Compta!$F$2:$F$675,Compta!$A$2:$A$675,A928,Compta!$B$2:$B$675,B928,Compta!$C$2:$C$675,"2026"),0)</f>
        <v/>
      </c>
      <c r="G928">
        <f>IF(D928="V01",cad!$I$21,IF(D928="V02",cad!$J$21,cad!$K$21))</f>
        <v/>
      </c>
      <c r="H928">
        <f>IF(D928="V01",cad!$I$22,IF(D928="V02",cad!$J$22,cad!$K$22))</f>
        <v/>
      </c>
      <c r="I928">
        <f>IF(D928="V01",cad!$I$27,IF(D928="V02",cad!$J$27,cad!$K$27))</f>
        <v/>
      </c>
      <c r="J928">
        <f>IF(D928="V01",cad!$I$28,IF(D928="V02",cad!$J$28,cad!$K$28))</f>
        <v/>
      </c>
      <c r="K928">
        <f>IF(D928="V01",cad!$I$29,IF(D928="V02",cad!$J$29,cad!$K$29))</f>
        <v/>
      </c>
      <c r="L928">
        <f>IF(D928="V01",cad!$I$30,IF(D928="V02",cad!$J$30,cad!$K$30))</f>
        <v/>
      </c>
      <c r="M928">
        <f>IF(D928="V01",cad!$I$31,IF(D928="V02",cad!$J$31,cad!$K$31))</f>
        <v/>
      </c>
      <c r="N928">
        <f>IF(D928="V01",$R$2,IF(D928="V02",$R$3,$R$4))</f>
        <v/>
      </c>
      <c r="O928">
        <f>IF(OR(B928="7062",B928="706",B928="708"),N928,IF(B928="6231",1+G928,IF(B928="6236",1+H928,IF(OR(B928="621",B928="604",B928="6063"),N928*(1-L928),IF(OR(B928="6411",B928="6413",B928="6414",B928="645"),(1+J928)*(1+K928),IF(OR(B928="613",B928="615",B928="616",B928="6226",B928="625",B928="626",B928="6281"),(1+I928)*(1-L928)*(1+M928),IF(OR(B928="6331",B928="63511",B928="6333"),(1+I928)*(1-L928),IF(B928="6811",1+I928,1))))))))</f>
        <v/>
      </c>
      <c r="P928">
        <f>IF(E928=1,F928*O928,"")</f>
        <v/>
      </c>
    </row>
    <row r="929">
      <c r="A929">
        <f>PNL!A929</f>
        <v/>
      </c>
      <c r="B929">
        <f>PNL!B929</f>
        <v/>
      </c>
      <c r="C929">
        <f>PNL!C929</f>
        <v/>
      </c>
      <c r="D929">
        <f>PNL!D929</f>
        <v/>
      </c>
      <c r="E929">
        <f>IF(AND(C929="2027",OR(D929="V01",D929="V02",D929="V03")),1,0)</f>
        <v/>
      </c>
      <c r="F929">
        <f>IF(E929=1,SUMIFS(Compta!$F$2:$F$675,Compta!$A$2:$A$675,A929,Compta!$B$2:$B$675,B929,Compta!$C$2:$C$675,"2026"),0)</f>
        <v/>
      </c>
      <c r="G929">
        <f>IF(D929="V01",cad!$I$21,IF(D929="V02",cad!$J$21,cad!$K$21))</f>
        <v/>
      </c>
      <c r="H929">
        <f>IF(D929="V01",cad!$I$22,IF(D929="V02",cad!$J$22,cad!$K$22))</f>
        <v/>
      </c>
      <c r="I929">
        <f>IF(D929="V01",cad!$I$27,IF(D929="V02",cad!$J$27,cad!$K$27))</f>
        <v/>
      </c>
      <c r="J929">
        <f>IF(D929="V01",cad!$I$28,IF(D929="V02",cad!$J$28,cad!$K$28))</f>
        <v/>
      </c>
      <c r="K929">
        <f>IF(D929="V01",cad!$I$29,IF(D929="V02",cad!$J$29,cad!$K$29))</f>
        <v/>
      </c>
      <c r="L929">
        <f>IF(D929="V01",cad!$I$30,IF(D929="V02",cad!$J$30,cad!$K$30))</f>
        <v/>
      </c>
      <c r="M929">
        <f>IF(D929="V01",cad!$I$31,IF(D929="V02",cad!$J$31,cad!$K$31))</f>
        <v/>
      </c>
      <c r="N929">
        <f>IF(D929="V01",$R$2,IF(D929="V02",$R$3,$R$4))</f>
        <v/>
      </c>
      <c r="O929">
        <f>IF(OR(B929="7062",B929="706",B929="708"),N929,IF(B929="6231",1+G929,IF(B929="6236",1+H929,IF(OR(B929="621",B929="604",B929="6063"),N929*(1-L929),IF(OR(B929="6411",B929="6413",B929="6414",B929="645"),(1+J929)*(1+K929),IF(OR(B929="613",B929="615",B929="616",B929="6226",B929="625",B929="626",B929="6281"),(1+I929)*(1-L929)*(1+M929),IF(OR(B929="6331",B929="63511",B929="6333"),(1+I929)*(1-L929),IF(B929="6811",1+I929,1))))))))</f>
        <v/>
      </c>
      <c r="P929">
        <f>IF(E929=1,F929*O929,"")</f>
        <v/>
      </c>
    </row>
    <row r="930">
      <c r="A930">
        <f>PNL!A930</f>
        <v/>
      </c>
      <c r="B930">
        <f>PNL!B930</f>
        <v/>
      </c>
      <c r="C930">
        <f>PNL!C930</f>
        <v/>
      </c>
      <c r="D930">
        <f>PNL!D930</f>
        <v/>
      </c>
      <c r="E930">
        <f>IF(AND(C930="2027",OR(D930="V01",D930="V02",D930="V03")),1,0)</f>
        <v/>
      </c>
      <c r="F930">
        <f>IF(E930=1,SUMIFS(Compta!$F$2:$F$675,Compta!$A$2:$A$675,A930,Compta!$B$2:$B$675,B930,Compta!$C$2:$C$675,"2026"),0)</f>
        <v/>
      </c>
      <c r="G930">
        <f>IF(D930="V01",cad!$I$21,IF(D930="V02",cad!$J$21,cad!$K$21))</f>
        <v/>
      </c>
      <c r="H930">
        <f>IF(D930="V01",cad!$I$22,IF(D930="V02",cad!$J$22,cad!$K$22))</f>
        <v/>
      </c>
      <c r="I930">
        <f>IF(D930="V01",cad!$I$27,IF(D930="V02",cad!$J$27,cad!$K$27))</f>
        <v/>
      </c>
      <c r="J930">
        <f>IF(D930="V01",cad!$I$28,IF(D930="V02",cad!$J$28,cad!$K$28))</f>
        <v/>
      </c>
      <c r="K930">
        <f>IF(D930="V01",cad!$I$29,IF(D930="V02",cad!$J$29,cad!$K$29))</f>
        <v/>
      </c>
      <c r="L930">
        <f>IF(D930="V01",cad!$I$30,IF(D930="V02",cad!$J$30,cad!$K$30))</f>
        <v/>
      </c>
      <c r="M930">
        <f>IF(D930="V01",cad!$I$31,IF(D930="V02",cad!$J$31,cad!$K$31))</f>
        <v/>
      </c>
      <c r="N930">
        <f>IF(D930="V01",$R$2,IF(D930="V02",$R$3,$R$4))</f>
        <v/>
      </c>
      <c r="O930">
        <f>IF(OR(B930="7062",B930="706",B930="708"),N930,IF(B930="6231",1+G930,IF(B930="6236",1+H930,IF(OR(B930="621",B930="604",B930="6063"),N930*(1-L930),IF(OR(B930="6411",B930="6413",B930="6414",B930="645"),(1+J930)*(1+K930),IF(OR(B930="613",B930="615",B930="616",B930="6226",B930="625",B930="626",B930="6281"),(1+I930)*(1-L930)*(1+M930),IF(OR(B930="6331",B930="63511",B930="6333"),(1+I930)*(1-L930),IF(B930="6811",1+I930,1))))))))</f>
        <v/>
      </c>
      <c r="P930">
        <f>IF(E930=1,F930*O930,"")</f>
        <v/>
      </c>
    </row>
    <row r="931">
      <c r="A931">
        <f>PNL!A931</f>
        <v/>
      </c>
      <c r="B931">
        <f>PNL!B931</f>
        <v/>
      </c>
      <c r="C931">
        <f>PNL!C931</f>
        <v/>
      </c>
      <c r="D931">
        <f>PNL!D931</f>
        <v/>
      </c>
      <c r="E931">
        <f>IF(AND(C931="2027",OR(D931="V01",D931="V02",D931="V03")),1,0)</f>
        <v/>
      </c>
      <c r="F931">
        <f>IF(E931=1,SUMIFS(Compta!$F$2:$F$675,Compta!$A$2:$A$675,A931,Compta!$B$2:$B$675,B931,Compta!$C$2:$C$675,"2026"),0)</f>
        <v/>
      </c>
      <c r="G931">
        <f>IF(D931="V01",cad!$I$21,IF(D931="V02",cad!$J$21,cad!$K$21))</f>
        <v/>
      </c>
      <c r="H931">
        <f>IF(D931="V01",cad!$I$22,IF(D931="V02",cad!$J$22,cad!$K$22))</f>
        <v/>
      </c>
      <c r="I931">
        <f>IF(D931="V01",cad!$I$27,IF(D931="V02",cad!$J$27,cad!$K$27))</f>
        <v/>
      </c>
      <c r="J931">
        <f>IF(D931="V01",cad!$I$28,IF(D931="V02",cad!$J$28,cad!$K$28))</f>
        <v/>
      </c>
      <c r="K931">
        <f>IF(D931="V01",cad!$I$29,IF(D931="V02",cad!$J$29,cad!$K$29))</f>
        <v/>
      </c>
      <c r="L931">
        <f>IF(D931="V01",cad!$I$30,IF(D931="V02",cad!$J$30,cad!$K$30))</f>
        <v/>
      </c>
      <c r="M931">
        <f>IF(D931="V01",cad!$I$31,IF(D931="V02",cad!$J$31,cad!$K$31))</f>
        <v/>
      </c>
      <c r="N931">
        <f>IF(D931="V01",$R$2,IF(D931="V02",$R$3,$R$4))</f>
        <v/>
      </c>
      <c r="O931">
        <f>IF(OR(B931="7062",B931="706",B931="708"),N931,IF(B931="6231",1+G931,IF(B931="6236",1+H931,IF(OR(B931="621",B931="604",B931="6063"),N931*(1-L931),IF(OR(B931="6411",B931="6413",B931="6414",B931="645"),(1+J931)*(1+K931),IF(OR(B931="613",B931="615",B931="616",B931="6226",B931="625",B931="626",B931="6281"),(1+I931)*(1-L931)*(1+M931),IF(OR(B931="6331",B931="63511",B931="6333"),(1+I931)*(1-L931),IF(B931="6811",1+I931,1))))))))</f>
        <v/>
      </c>
      <c r="P931">
        <f>IF(E931=1,F931*O931,"")</f>
        <v/>
      </c>
    </row>
    <row r="932">
      <c r="A932">
        <f>PNL!A932</f>
        <v/>
      </c>
      <c r="B932">
        <f>PNL!B932</f>
        <v/>
      </c>
      <c r="C932">
        <f>PNL!C932</f>
        <v/>
      </c>
      <c r="D932">
        <f>PNL!D932</f>
        <v/>
      </c>
      <c r="E932">
        <f>IF(AND(C932="2027",OR(D932="V01",D932="V02",D932="V03")),1,0)</f>
        <v/>
      </c>
      <c r="F932">
        <f>IF(E932=1,SUMIFS(Compta!$F$2:$F$675,Compta!$A$2:$A$675,A932,Compta!$B$2:$B$675,B932,Compta!$C$2:$C$675,"2026"),0)</f>
        <v/>
      </c>
      <c r="G932">
        <f>IF(D932="V01",cad!$I$21,IF(D932="V02",cad!$J$21,cad!$K$21))</f>
        <v/>
      </c>
      <c r="H932">
        <f>IF(D932="V01",cad!$I$22,IF(D932="V02",cad!$J$22,cad!$K$22))</f>
        <v/>
      </c>
      <c r="I932">
        <f>IF(D932="V01",cad!$I$27,IF(D932="V02",cad!$J$27,cad!$K$27))</f>
        <v/>
      </c>
      <c r="J932">
        <f>IF(D932="V01",cad!$I$28,IF(D932="V02",cad!$J$28,cad!$K$28))</f>
        <v/>
      </c>
      <c r="K932">
        <f>IF(D932="V01",cad!$I$29,IF(D932="V02",cad!$J$29,cad!$K$29))</f>
        <v/>
      </c>
      <c r="L932">
        <f>IF(D932="V01",cad!$I$30,IF(D932="V02",cad!$J$30,cad!$K$30))</f>
        <v/>
      </c>
      <c r="M932">
        <f>IF(D932="V01",cad!$I$31,IF(D932="V02",cad!$J$31,cad!$K$31))</f>
        <v/>
      </c>
      <c r="N932">
        <f>IF(D932="V01",$R$2,IF(D932="V02",$R$3,$R$4))</f>
        <v/>
      </c>
      <c r="O932">
        <f>IF(OR(B932="7062",B932="706",B932="708"),N932,IF(B932="6231",1+G932,IF(B932="6236",1+H932,IF(OR(B932="621",B932="604",B932="6063"),N932*(1-L932),IF(OR(B932="6411",B932="6413",B932="6414",B932="645"),(1+J932)*(1+K932),IF(OR(B932="613",B932="615",B932="616",B932="6226",B932="625",B932="626",B932="6281"),(1+I932)*(1-L932)*(1+M932),IF(OR(B932="6331",B932="63511",B932="6333"),(1+I932)*(1-L932),IF(B932="6811",1+I932,1))))))))</f>
        <v/>
      </c>
      <c r="P932">
        <f>IF(E932=1,F932*O932,"")</f>
        <v/>
      </c>
    </row>
    <row r="933">
      <c r="A933">
        <f>PNL!A933</f>
        <v/>
      </c>
      <c r="B933">
        <f>PNL!B933</f>
        <v/>
      </c>
      <c r="C933">
        <f>PNL!C933</f>
        <v/>
      </c>
      <c r="D933">
        <f>PNL!D933</f>
        <v/>
      </c>
      <c r="E933">
        <f>IF(AND(C933="2027",OR(D933="V01",D933="V02",D933="V03")),1,0)</f>
        <v/>
      </c>
      <c r="F933">
        <f>IF(E933=1,SUMIFS(Compta!$F$2:$F$675,Compta!$A$2:$A$675,A933,Compta!$B$2:$B$675,B933,Compta!$C$2:$C$675,"2026"),0)</f>
        <v/>
      </c>
      <c r="G933">
        <f>IF(D933="V01",cad!$I$21,IF(D933="V02",cad!$J$21,cad!$K$21))</f>
        <v/>
      </c>
      <c r="H933">
        <f>IF(D933="V01",cad!$I$22,IF(D933="V02",cad!$J$22,cad!$K$22))</f>
        <v/>
      </c>
      <c r="I933">
        <f>IF(D933="V01",cad!$I$27,IF(D933="V02",cad!$J$27,cad!$K$27))</f>
        <v/>
      </c>
      <c r="J933">
        <f>IF(D933="V01",cad!$I$28,IF(D933="V02",cad!$J$28,cad!$K$28))</f>
        <v/>
      </c>
      <c r="K933">
        <f>IF(D933="V01",cad!$I$29,IF(D933="V02",cad!$J$29,cad!$K$29))</f>
        <v/>
      </c>
      <c r="L933">
        <f>IF(D933="V01",cad!$I$30,IF(D933="V02",cad!$J$30,cad!$K$30))</f>
        <v/>
      </c>
      <c r="M933">
        <f>IF(D933="V01",cad!$I$31,IF(D933="V02",cad!$J$31,cad!$K$31))</f>
        <v/>
      </c>
      <c r="N933">
        <f>IF(D933="V01",$R$2,IF(D933="V02",$R$3,$R$4))</f>
        <v/>
      </c>
      <c r="O933">
        <f>IF(OR(B933="7062",B933="706",B933="708"),N933,IF(B933="6231",1+G933,IF(B933="6236",1+H933,IF(OR(B933="621",B933="604",B933="6063"),N933*(1-L933),IF(OR(B933="6411",B933="6413",B933="6414",B933="645"),(1+J933)*(1+K933),IF(OR(B933="613",B933="615",B933="616",B933="6226",B933="625",B933="626",B933="6281"),(1+I933)*(1-L933)*(1+M933),IF(OR(B933="6331",B933="63511",B933="6333"),(1+I933)*(1-L933),IF(B933="6811",1+I933,1))))))))</f>
        <v/>
      </c>
      <c r="P933">
        <f>IF(E933=1,F933*O933,"")</f>
        <v/>
      </c>
    </row>
    <row r="934">
      <c r="A934">
        <f>PNL!A934</f>
        <v/>
      </c>
      <c r="B934">
        <f>PNL!B934</f>
        <v/>
      </c>
      <c r="C934">
        <f>PNL!C934</f>
        <v/>
      </c>
      <c r="D934">
        <f>PNL!D934</f>
        <v/>
      </c>
      <c r="E934">
        <f>IF(AND(C934="2027",OR(D934="V01",D934="V02",D934="V03")),1,0)</f>
        <v/>
      </c>
      <c r="F934">
        <f>IF(E934=1,SUMIFS(Compta!$F$2:$F$675,Compta!$A$2:$A$675,A934,Compta!$B$2:$B$675,B934,Compta!$C$2:$C$675,"2026"),0)</f>
        <v/>
      </c>
      <c r="G934">
        <f>IF(D934="V01",cad!$I$21,IF(D934="V02",cad!$J$21,cad!$K$21))</f>
        <v/>
      </c>
      <c r="H934">
        <f>IF(D934="V01",cad!$I$22,IF(D934="V02",cad!$J$22,cad!$K$22))</f>
        <v/>
      </c>
      <c r="I934">
        <f>IF(D934="V01",cad!$I$27,IF(D934="V02",cad!$J$27,cad!$K$27))</f>
        <v/>
      </c>
      <c r="J934">
        <f>IF(D934="V01",cad!$I$28,IF(D934="V02",cad!$J$28,cad!$K$28))</f>
        <v/>
      </c>
      <c r="K934">
        <f>IF(D934="V01",cad!$I$29,IF(D934="V02",cad!$J$29,cad!$K$29))</f>
        <v/>
      </c>
      <c r="L934">
        <f>IF(D934="V01",cad!$I$30,IF(D934="V02",cad!$J$30,cad!$K$30))</f>
        <v/>
      </c>
      <c r="M934">
        <f>IF(D934="V01",cad!$I$31,IF(D934="V02",cad!$J$31,cad!$K$31))</f>
        <v/>
      </c>
      <c r="N934">
        <f>IF(D934="V01",$R$2,IF(D934="V02",$R$3,$R$4))</f>
        <v/>
      </c>
      <c r="O934">
        <f>IF(OR(B934="7062",B934="706",B934="708"),N934,IF(B934="6231",1+G934,IF(B934="6236",1+H934,IF(OR(B934="621",B934="604",B934="6063"),N934*(1-L934),IF(OR(B934="6411",B934="6413",B934="6414",B934="645"),(1+J934)*(1+K934),IF(OR(B934="613",B934="615",B934="616",B934="6226",B934="625",B934="626",B934="6281"),(1+I934)*(1-L934)*(1+M934),IF(OR(B934="6331",B934="63511",B934="6333"),(1+I934)*(1-L934),IF(B934="6811",1+I934,1))))))))</f>
        <v/>
      </c>
      <c r="P934">
        <f>IF(E934=1,F934*O934,"")</f>
        <v/>
      </c>
    </row>
    <row r="935">
      <c r="A935">
        <f>PNL!A935</f>
        <v/>
      </c>
      <c r="B935">
        <f>PNL!B935</f>
        <v/>
      </c>
      <c r="C935">
        <f>PNL!C935</f>
        <v/>
      </c>
      <c r="D935">
        <f>PNL!D935</f>
        <v/>
      </c>
      <c r="E935">
        <f>IF(AND(C935="2027",OR(D935="V01",D935="V02",D935="V03")),1,0)</f>
        <v/>
      </c>
      <c r="F935">
        <f>IF(E935=1,SUMIFS(Compta!$F$2:$F$675,Compta!$A$2:$A$675,A935,Compta!$B$2:$B$675,B935,Compta!$C$2:$C$675,"2026"),0)</f>
        <v/>
      </c>
      <c r="G935">
        <f>IF(D935="V01",cad!$I$21,IF(D935="V02",cad!$J$21,cad!$K$21))</f>
        <v/>
      </c>
      <c r="H935">
        <f>IF(D935="V01",cad!$I$22,IF(D935="V02",cad!$J$22,cad!$K$22))</f>
        <v/>
      </c>
      <c r="I935">
        <f>IF(D935="V01",cad!$I$27,IF(D935="V02",cad!$J$27,cad!$K$27))</f>
        <v/>
      </c>
      <c r="J935">
        <f>IF(D935="V01",cad!$I$28,IF(D935="V02",cad!$J$28,cad!$K$28))</f>
        <v/>
      </c>
      <c r="K935">
        <f>IF(D935="V01",cad!$I$29,IF(D935="V02",cad!$J$29,cad!$K$29))</f>
        <v/>
      </c>
      <c r="L935">
        <f>IF(D935="V01",cad!$I$30,IF(D935="V02",cad!$J$30,cad!$K$30))</f>
        <v/>
      </c>
      <c r="M935">
        <f>IF(D935="V01",cad!$I$31,IF(D935="V02",cad!$J$31,cad!$K$31))</f>
        <v/>
      </c>
      <c r="N935">
        <f>IF(D935="V01",$R$2,IF(D935="V02",$R$3,$R$4))</f>
        <v/>
      </c>
      <c r="O935">
        <f>IF(OR(B935="7062",B935="706",B935="708"),N935,IF(B935="6231",1+G935,IF(B935="6236",1+H935,IF(OR(B935="621",B935="604",B935="6063"),N935*(1-L935),IF(OR(B935="6411",B935="6413",B935="6414",B935="645"),(1+J935)*(1+K935),IF(OR(B935="613",B935="615",B935="616",B935="6226",B935="625",B935="626",B935="6281"),(1+I935)*(1-L935)*(1+M935),IF(OR(B935="6331",B935="63511",B935="6333"),(1+I935)*(1-L935),IF(B935="6811",1+I935,1))))))))</f>
        <v/>
      </c>
      <c r="P935">
        <f>IF(E935=1,F935*O935,"")</f>
        <v/>
      </c>
    </row>
    <row r="936">
      <c r="A936">
        <f>PNL!A936</f>
        <v/>
      </c>
      <c r="B936">
        <f>PNL!B936</f>
        <v/>
      </c>
      <c r="C936">
        <f>PNL!C936</f>
        <v/>
      </c>
      <c r="D936">
        <f>PNL!D936</f>
        <v/>
      </c>
      <c r="E936">
        <f>IF(AND(C936="2027",OR(D936="V01",D936="V02",D936="V03")),1,0)</f>
        <v/>
      </c>
      <c r="F936">
        <f>IF(E936=1,SUMIFS(Compta!$F$2:$F$675,Compta!$A$2:$A$675,A936,Compta!$B$2:$B$675,B936,Compta!$C$2:$C$675,"2026"),0)</f>
        <v/>
      </c>
      <c r="G936">
        <f>IF(D936="V01",cad!$I$21,IF(D936="V02",cad!$J$21,cad!$K$21))</f>
        <v/>
      </c>
      <c r="H936">
        <f>IF(D936="V01",cad!$I$22,IF(D936="V02",cad!$J$22,cad!$K$22))</f>
        <v/>
      </c>
      <c r="I936">
        <f>IF(D936="V01",cad!$I$27,IF(D936="V02",cad!$J$27,cad!$K$27))</f>
        <v/>
      </c>
      <c r="J936">
        <f>IF(D936="V01",cad!$I$28,IF(D936="V02",cad!$J$28,cad!$K$28))</f>
        <v/>
      </c>
      <c r="K936">
        <f>IF(D936="V01",cad!$I$29,IF(D936="V02",cad!$J$29,cad!$K$29))</f>
        <v/>
      </c>
      <c r="L936">
        <f>IF(D936="V01",cad!$I$30,IF(D936="V02",cad!$J$30,cad!$K$30))</f>
        <v/>
      </c>
      <c r="M936">
        <f>IF(D936="V01",cad!$I$31,IF(D936="V02",cad!$J$31,cad!$K$31))</f>
        <v/>
      </c>
      <c r="N936">
        <f>IF(D936="V01",$R$2,IF(D936="V02",$R$3,$R$4))</f>
        <v/>
      </c>
      <c r="O936">
        <f>IF(OR(B936="7062",B936="706",B936="708"),N936,IF(B936="6231",1+G936,IF(B936="6236",1+H936,IF(OR(B936="621",B936="604",B936="6063"),N936*(1-L936),IF(OR(B936="6411",B936="6413",B936="6414",B936="645"),(1+J936)*(1+K936),IF(OR(B936="613",B936="615",B936="616",B936="6226",B936="625",B936="626",B936="6281"),(1+I936)*(1-L936)*(1+M936),IF(OR(B936="6331",B936="63511",B936="6333"),(1+I936)*(1-L936),IF(B936="6811",1+I936,1))))))))</f>
        <v/>
      </c>
      <c r="P936">
        <f>IF(E936=1,F936*O936,"")</f>
        <v/>
      </c>
    </row>
    <row r="937">
      <c r="A937">
        <f>PNL!A937</f>
        <v/>
      </c>
      <c r="B937">
        <f>PNL!B937</f>
        <v/>
      </c>
      <c r="C937">
        <f>PNL!C937</f>
        <v/>
      </c>
      <c r="D937">
        <f>PNL!D937</f>
        <v/>
      </c>
      <c r="E937">
        <f>IF(AND(C937="2027",OR(D937="V01",D937="V02",D937="V03")),1,0)</f>
        <v/>
      </c>
      <c r="F937">
        <f>IF(E937=1,SUMIFS(Compta!$F$2:$F$675,Compta!$A$2:$A$675,A937,Compta!$B$2:$B$675,B937,Compta!$C$2:$C$675,"2026"),0)</f>
        <v/>
      </c>
      <c r="G937">
        <f>IF(D937="V01",cad!$I$21,IF(D937="V02",cad!$J$21,cad!$K$21))</f>
        <v/>
      </c>
      <c r="H937">
        <f>IF(D937="V01",cad!$I$22,IF(D937="V02",cad!$J$22,cad!$K$22))</f>
        <v/>
      </c>
      <c r="I937">
        <f>IF(D937="V01",cad!$I$27,IF(D937="V02",cad!$J$27,cad!$K$27))</f>
        <v/>
      </c>
      <c r="J937">
        <f>IF(D937="V01",cad!$I$28,IF(D937="V02",cad!$J$28,cad!$K$28))</f>
        <v/>
      </c>
      <c r="K937">
        <f>IF(D937="V01",cad!$I$29,IF(D937="V02",cad!$J$29,cad!$K$29))</f>
        <v/>
      </c>
      <c r="L937">
        <f>IF(D937="V01",cad!$I$30,IF(D937="V02",cad!$J$30,cad!$K$30))</f>
        <v/>
      </c>
      <c r="M937">
        <f>IF(D937="V01",cad!$I$31,IF(D937="V02",cad!$J$31,cad!$K$31))</f>
        <v/>
      </c>
      <c r="N937">
        <f>IF(D937="V01",$R$2,IF(D937="V02",$R$3,$R$4))</f>
        <v/>
      </c>
      <c r="O937">
        <f>IF(OR(B937="7062",B937="706",B937="708"),N937,IF(B937="6231",1+G937,IF(B937="6236",1+H937,IF(OR(B937="621",B937="604",B937="6063"),N937*(1-L937),IF(OR(B937="6411",B937="6413",B937="6414",B937="645"),(1+J937)*(1+K937),IF(OR(B937="613",B937="615",B937="616",B937="6226",B937="625",B937="626",B937="6281"),(1+I937)*(1-L937)*(1+M937),IF(OR(B937="6331",B937="63511",B937="6333"),(1+I937)*(1-L937),IF(B937="6811",1+I937,1))))))))</f>
        <v/>
      </c>
      <c r="P937">
        <f>IF(E937=1,F937*O937,"")</f>
        <v/>
      </c>
    </row>
    <row r="938">
      <c r="A938">
        <f>PNL!A938</f>
        <v/>
      </c>
      <c r="B938">
        <f>PNL!B938</f>
        <v/>
      </c>
      <c r="C938">
        <f>PNL!C938</f>
        <v/>
      </c>
      <c r="D938">
        <f>PNL!D938</f>
        <v/>
      </c>
      <c r="E938">
        <f>IF(AND(C938="2027",OR(D938="V01",D938="V02",D938="V03")),1,0)</f>
        <v/>
      </c>
      <c r="F938">
        <f>IF(E938=1,SUMIFS(Compta!$F$2:$F$675,Compta!$A$2:$A$675,A938,Compta!$B$2:$B$675,B938,Compta!$C$2:$C$675,"2026"),0)</f>
        <v/>
      </c>
      <c r="G938">
        <f>IF(D938="V01",cad!$I$21,IF(D938="V02",cad!$J$21,cad!$K$21))</f>
        <v/>
      </c>
      <c r="H938">
        <f>IF(D938="V01",cad!$I$22,IF(D938="V02",cad!$J$22,cad!$K$22))</f>
        <v/>
      </c>
      <c r="I938">
        <f>IF(D938="V01",cad!$I$27,IF(D938="V02",cad!$J$27,cad!$K$27))</f>
        <v/>
      </c>
      <c r="J938">
        <f>IF(D938="V01",cad!$I$28,IF(D938="V02",cad!$J$28,cad!$K$28))</f>
        <v/>
      </c>
      <c r="K938">
        <f>IF(D938="V01",cad!$I$29,IF(D938="V02",cad!$J$29,cad!$K$29))</f>
        <v/>
      </c>
      <c r="L938">
        <f>IF(D938="V01",cad!$I$30,IF(D938="V02",cad!$J$30,cad!$K$30))</f>
        <v/>
      </c>
      <c r="M938">
        <f>IF(D938="V01",cad!$I$31,IF(D938="V02",cad!$J$31,cad!$K$31))</f>
        <v/>
      </c>
      <c r="N938">
        <f>IF(D938="V01",$R$2,IF(D938="V02",$R$3,$R$4))</f>
        <v/>
      </c>
      <c r="O938">
        <f>IF(OR(B938="7062",B938="706",B938="708"),N938,IF(B938="6231",1+G938,IF(B938="6236",1+H938,IF(OR(B938="621",B938="604",B938="6063"),N938*(1-L938),IF(OR(B938="6411",B938="6413",B938="6414",B938="645"),(1+J938)*(1+K938),IF(OR(B938="613",B938="615",B938="616",B938="6226",B938="625",B938="626",B938="6281"),(1+I938)*(1-L938)*(1+M938),IF(OR(B938="6331",B938="63511",B938="6333"),(1+I938)*(1-L938),IF(B938="6811",1+I938,1))))))))</f>
        <v/>
      </c>
      <c r="P938">
        <f>IF(E938=1,F938*O938,"")</f>
        <v/>
      </c>
    </row>
    <row r="939">
      <c r="A939">
        <f>PNL!A939</f>
        <v/>
      </c>
      <c r="B939">
        <f>PNL!B939</f>
        <v/>
      </c>
      <c r="C939">
        <f>PNL!C939</f>
        <v/>
      </c>
      <c r="D939">
        <f>PNL!D939</f>
        <v/>
      </c>
      <c r="E939">
        <f>IF(AND(C939="2027",OR(D939="V01",D939="V02",D939="V03")),1,0)</f>
        <v/>
      </c>
      <c r="F939">
        <f>IF(E939=1,SUMIFS(Compta!$F$2:$F$675,Compta!$A$2:$A$675,A939,Compta!$B$2:$B$675,B939,Compta!$C$2:$C$675,"2026"),0)</f>
        <v/>
      </c>
      <c r="G939">
        <f>IF(D939="V01",cad!$I$21,IF(D939="V02",cad!$J$21,cad!$K$21))</f>
        <v/>
      </c>
      <c r="H939">
        <f>IF(D939="V01",cad!$I$22,IF(D939="V02",cad!$J$22,cad!$K$22))</f>
        <v/>
      </c>
      <c r="I939">
        <f>IF(D939="V01",cad!$I$27,IF(D939="V02",cad!$J$27,cad!$K$27))</f>
        <v/>
      </c>
      <c r="J939">
        <f>IF(D939="V01",cad!$I$28,IF(D939="V02",cad!$J$28,cad!$K$28))</f>
        <v/>
      </c>
      <c r="K939">
        <f>IF(D939="V01",cad!$I$29,IF(D939="V02",cad!$J$29,cad!$K$29))</f>
        <v/>
      </c>
      <c r="L939">
        <f>IF(D939="V01",cad!$I$30,IF(D939="V02",cad!$J$30,cad!$K$30))</f>
        <v/>
      </c>
      <c r="M939">
        <f>IF(D939="V01",cad!$I$31,IF(D939="V02",cad!$J$31,cad!$K$31))</f>
        <v/>
      </c>
      <c r="N939">
        <f>IF(D939="V01",$R$2,IF(D939="V02",$R$3,$R$4))</f>
        <v/>
      </c>
      <c r="O939">
        <f>IF(OR(B939="7062",B939="706",B939="708"),N939,IF(B939="6231",1+G939,IF(B939="6236",1+H939,IF(OR(B939="621",B939="604",B939="6063"),N939*(1-L939),IF(OR(B939="6411",B939="6413",B939="6414",B939="645"),(1+J939)*(1+K939),IF(OR(B939="613",B939="615",B939="616",B939="6226",B939="625",B939="626",B939="6281"),(1+I939)*(1-L939)*(1+M939),IF(OR(B939="6331",B939="63511",B939="6333"),(1+I939)*(1-L939),IF(B939="6811",1+I939,1))))))))</f>
        <v/>
      </c>
      <c r="P939">
        <f>IF(E939=1,F939*O939,"")</f>
        <v/>
      </c>
    </row>
    <row r="940">
      <c r="A940">
        <f>PNL!A940</f>
        <v/>
      </c>
      <c r="B940">
        <f>PNL!B940</f>
        <v/>
      </c>
      <c r="C940">
        <f>PNL!C940</f>
        <v/>
      </c>
      <c r="D940">
        <f>PNL!D940</f>
        <v/>
      </c>
      <c r="E940">
        <f>IF(AND(C940="2027",OR(D940="V01",D940="V02",D940="V03")),1,0)</f>
        <v/>
      </c>
      <c r="F940">
        <f>IF(E940=1,SUMIFS(Compta!$F$2:$F$675,Compta!$A$2:$A$675,A940,Compta!$B$2:$B$675,B940,Compta!$C$2:$C$675,"2026"),0)</f>
        <v/>
      </c>
      <c r="G940">
        <f>IF(D940="V01",cad!$I$21,IF(D940="V02",cad!$J$21,cad!$K$21))</f>
        <v/>
      </c>
      <c r="H940">
        <f>IF(D940="V01",cad!$I$22,IF(D940="V02",cad!$J$22,cad!$K$22))</f>
        <v/>
      </c>
      <c r="I940">
        <f>IF(D940="V01",cad!$I$27,IF(D940="V02",cad!$J$27,cad!$K$27))</f>
        <v/>
      </c>
      <c r="J940">
        <f>IF(D940="V01",cad!$I$28,IF(D940="V02",cad!$J$28,cad!$K$28))</f>
        <v/>
      </c>
      <c r="K940">
        <f>IF(D940="V01",cad!$I$29,IF(D940="V02",cad!$J$29,cad!$K$29))</f>
        <v/>
      </c>
      <c r="L940">
        <f>IF(D940="V01",cad!$I$30,IF(D940="V02",cad!$J$30,cad!$K$30))</f>
        <v/>
      </c>
      <c r="M940">
        <f>IF(D940="V01",cad!$I$31,IF(D940="V02",cad!$J$31,cad!$K$31))</f>
        <v/>
      </c>
      <c r="N940">
        <f>IF(D940="V01",$R$2,IF(D940="V02",$R$3,$R$4))</f>
        <v/>
      </c>
      <c r="O940">
        <f>IF(OR(B940="7062",B940="706",B940="708"),N940,IF(B940="6231",1+G940,IF(B940="6236",1+H940,IF(OR(B940="621",B940="604",B940="6063"),N940*(1-L940),IF(OR(B940="6411",B940="6413",B940="6414",B940="645"),(1+J940)*(1+K940),IF(OR(B940="613",B940="615",B940="616",B940="6226",B940="625",B940="626",B940="6281"),(1+I940)*(1-L940)*(1+M940),IF(OR(B940="6331",B940="63511",B940="6333"),(1+I940)*(1-L940),IF(B940="6811",1+I940,1))))))))</f>
        <v/>
      </c>
      <c r="P940">
        <f>IF(E940=1,F940*O940,"")</f>
        <v/>
      </c>
    </row>
    <row r="941">
      <c r="A941">
        <f>PNL!A941</f>
        <v/>
      </c>
      <c r="B941">
        <f>PNL!B941</f>
        <v/>
      </c>
      <c r="C941">
        <f>PNL!C941</f>
        <v/>
      </c>
      <c r="D941">
        <f>PNL!D941</f>
        <v/>
      </c>
      <c r="E941">
        <f>IF(AND(C941="2027",OR(D941="V01",D941="V02",D941="V03")),1,0)</f>
        <v/>
      </c>
      <c r="F941">
        <f>IF(E941=1,SUMIFS(Compta!$F$2:$F$675,Compta!$A$2:$A$675,A941,Compta!$B$2:$B$675,B941,Compta!$C$2:$C$675,"2026"),0)</f>
        <v/>
      </c>
      <c r="G941">
        <f>IF(D941="V01",cad!$I$21,IF(D941="V02",cad!$J$21,cad!$K$21))</f>
        <v/>
      </c>
      <c r="H941">
        <f>IF(D941="V01",cad!$I$22,IF(D941="V02",cad!$J$22,cad!$K$22))</f>
        <v/>
      </c>
      <c r="I941">
        <f>IF(D941="V01",cad!$I$27,IF(D941="V02",cad!$J$27,cad!$K$27))</f>
        <v/>
      </c>
      <c r="J941">
        <f>IF(D941="V01",cad!$I$28,IF(D941="V02",cad!$J$28,cad!$K$28))</f>
        <v/>
      </c>
      <c r="K941">
        <f>IF(D941="V01",cad!$I$29,IF(D941="V02",cad!$J$29,cad!$K$29))</f>
        <v/>
      </c>
      <c r="L941">
        <f>IF(D941="V01",cad!$I$30,IF(D941="V02",cad!$J$30,cad!$K$30))</f>
        <v/>
      </c>
      <c r="M941">
        <f>IF(D941="V01",cad!$I$31,IF(D941="V02",cad!$J$31,cad!$K$31))</f>
        <v/>
      </c>
      <c r="N941">
        <f>IF(D941="V01",$R$2,IF(D941="V02",$R$3,$R$4))</f>
        <v/>
      </c>
      <c r="O941">
        <f>IF(OR(B941="7062",B941="706",B941="708"),N941,IF(B941="6231",1+G941,IF(B941="6236",1+H941,IF(OR(B941="621",B941="604",B941="6063"),N941*(1-L941),IF(OR(B941="6411",B941="6413",B941="6414",B941="645"),(1+J941)*(1+K941),IF(OR(B941="613",B941="615",B941="616",B941="6226",B941="625",B941="626",B941="6281"),(1+I941)*(1-L941)*(1+M941),IF(OR(B941="6331",B941="63511",B941="6333"),(1+I941)*(1-L941),IF(B941="6811",1+I941,1))))))))</f>
        <v/>
      </c>
      <c r="P941">
        <f>IF(E941=1,F941*O941,"")</f>
        <v/>
      </c>
    </row>
    <row r="942">
      <c r="A942">
        <f>PNL!A942</f>
        <v/>
      </c>
      <c r="B942">
        <f>PNL!B942</f>
        <v/>
      </c>
      <c r="C942">
        <f>PNL!C942</f>
        <v/>
      </c>
      <c r="D942">
        <f>PNL!D942</f>
        <v/>
      </c>
      <c r="E942">
        <f>IF(AND(C942="2027",OR(D942="V01",D942="V02",D942="V03")),1,0)</f>
        <v/>
      </c>
      <c r="F942">
        <f>IF(E942=1,SUMIFS(Compta!$F$2:$F$675,Compta!$A$2:$A$675,A942,Compta!$B$2:$B$675,B942,Compta!$C$2:$C$675,"2026"),0)</f>
        <v/>
      </c>
      <c r="G942">
        <f>IF(D942="V01",cad!$I$21,IF(D942="V02",cad!$J$21,cad!$K$21))</f>
        <v/>
      </c>
      <c r="H942">
        <f>IF(D942="V01",cad!$I$22,IF(D942="V02",cad!$J$22,cad!$K$22))</f>
        <v/>
      </c>
      <c r="I942">
        <f>IF(D942="V01",cad!$I$27,IF(D942="V02",cad!$J$27,cad!$K$27))</f>
        <v/>
      </c>
      <c r="J942">
        <f>IF(D942="V01",cad!$I$28,IF(D942="V02",cad!$J$28,cad!$K$28))</f>
        <v/>
      </c>
      <c r="K942">
        <f>IF(D942="V01",cad!$I$29,IF(D942="V02",cad!$J$29,cad!$K$29))</f>
        <v/>
      </c>
      <c r="L942">
        <f>IF(D942="V01",cad!$I$30,IF(D942="V02",cad!$J$30,cad!$K$30))</f>
        <v/>
      </c>
      <c r="M942">
        <f>IF(D942="V01",cad!$I$31,IF(D942="V02",cad!$J$31,cad!$K$31))</f>
        <v/>
      </c>
      <c r="N942">
        <f>IF(D942="V01",$R$2,IF(D942="V02",$R$3,$R$4))</f>
        <v/>
      </c>
      <c r="O942">
        <f>IF(OR(B942="7062",B942="706",B942="708"),N942,IF(B942="6231",1+G942,IF(B942="6236",1+H942,IF(OR(B942="621",B942="604",B942="6063"),N942*(1-L942),IF(OR(B942="6411",B942="6413",B942="6414",B942="645"),(1+J942)*(1+K942),IF(OR(B942="613",B942="615",B942="616",B942="6226",B942="625",B942="626",B942="6281"),(1+I942)*(1-L942)*(1+M942),IF(OR(B942="6331",B942="63511",B942="6333"),(1+I942)*(1-L942),IF(B942="6811",1+I942,1))))))))</f>
        <v/>
      </c>
      <c r="P942">
        <f>IF(E942=1,F942*O942,"")</f>
        <v/>
      </c>
    </row>
    <row r="943">
      <c r="A943">
        <f>PNL!A943</f>
        <v/>
      </c>
      <c r="B943">
        <f>PNL!B943</f>
        <v/>
      </c>
      <c r="C943">
        <f>PNL!C943</f>
        <v/>
      </c>
      <c r="D943">
        <f>PNL!D943</f>
        <v/>
      </c>
      <c r="E943">
        <f>IF(AND(C943="2027",OR(D943="V01",D943="V02",D943="V03")),1,0)</f>
        <v/>
      </c>
      <c r="F943">
        <f>IF(E943=1,SUMIFS(Compta!$F$2:$F$675,Compta!$A$2:$A$675,A943,Compta!$B$2:$B$675,B943,Compta!$C$2:$C$675,"2026"),0)</f>
        <v/>
      </c>
      <c r="G943">
        <f>IF(D943="V01",cad!$I$21,IF(D943="V02",cad!$J$21,cad!$K$21))</f>
        <v/>
      </c>
      <c r="H943">
        <f>IF(D943="V01",cad!$I$22,IF(D943="V02",cad!$J$22,cad!$K$22))</f>
        <v/>
      </c>
      <c r="I943">
        <f>IF(D943="V01",cad!$I$27,IF(D943="V02",cad!$J$27,cad!$K$27))</f>
        <v/>
      </c>
      <c r="J943">
        <f>IF(D943="V01",cad!$I$28,IF(D943="V02",cad!$J$28,cad!$K$28))</f>
        <v/>
      </c>
      <c r="K943">
        <f>IF(D943="V01",cad!$I$29,IF(D943="V02",cad!$J$29,cad!$K$29))</f>
        <v/>
      </c>
      <c r="L943">
        <f>IF(D943="V01",cad!$I$30,IF(D943="V02",cad!$J$30,cad!$K$30))</f>
        <v/>
      </c>
      <c r="M943">
        <f>IF(D943="V01",cad!$I$31,IF(D943="V02",cad!$J$31,cad!$K$31))</f>
        <v/>
      </c>
      <c r="N943">
        <f>IF(D943="V01",$R$2,IF(D943="V02",$R$3,$R$4))</f>
        <v/>
      </c>
      <c r="O943">
        <f>IF(OR(B943="7062",B943="706",B943="708"),N943,IF(B943="6231",1+G943,IF(B943="6236",1+H943,IF(OR(B943="621",B943="604",B943="6063"),N943*(1-L943),IF(OR(B943="6411",B943="6413",B943="6414",B943="645"),(1+J943)*(1+K943),IF(OR(B943="613",B943="615",B943="616",B943="6226",B943="625",B943="626",B943="6281"),(1+I943)*(1-L943)*(1+M943),IF(OR(B943="6331",B943="63511",B943="6333"),(1+I943)*(1-L943),IF(B943="6811",1+I943,1))))))))</f>
        <v/>
      </c>
      <c r="P943">
        <f>IF(E943=1,F943*O943,"")</f>
        <v/>
      </c>
    </row>
    <row r="944">
      <c r="A944">
        <f>PNL!A944</f>
        <v/>
      </c>
      <c r="B944">
        <f>PNL!B944</f>
        <v/>
      </c>
      <c r="C944">
        <f>PNL!C944</f>
        <v/>
      </c>
      <c r="D944">
        <f>PNL!D944</f>
        <v/>
      </c>
      <c r="E944">
        <f>IF(AND(C944="2027",OR(D944="V01",D944="V02",D944="V03")),1,0)</f>
        <v/>
      </c>
      <c r="F944">
        <f>IF(E944=1,SUMIFS(Compta!$F$2:$F$675,Compta!$A$2:$A$675,A944,Compta!$B$2:$B$675,B944,Compta!$C$2:$C$675,"2026"),0)</f>
        <v/>
      </c>
      <c r="G944">
        <f>IF(D944="V01",cad!$I$21,IF(D944="V02",cad!$J$21,cad!$K$21))</f>
        <v/>
      </c>
      <c r="H944">
        <f>IF(D944="V01",cad!$I$22,IF(D944="V02",cad!$J$22,cad!$K$22))</f>
        <v/>
      </c>
      <c r="I944">
        <f>IF(D944="V01",cad!$I$27,IF(D944="V02",cad!$J$27,cad!$K$27))</f>
        <v/>
      </c>
      <c r="J944">
        <f>IF(D944="V01",cad!$I$28,IF(D944="V02",cad!$J$28,cad!$K$28))</f>
        <v/>
      </c>
      <c r="K944">
        <f>IF(D944="V01",cad!$I$29,IF(D944="V02",cad!$J$29,cad!$K$29))</f>
        <v/>
      </c>
      <c r="L944">
        <f>IF(D944="V01",cad!$I$30,IF(D944="V02",cad!$J$30,cad!$K$30))</f>
        <v/>
      </c>
      <c r="M944">
        <f>IF(D944="V01",cad!$I$31,IF(D944="V02",cad!$J$31,cad!$K$31))</f>
        <v/>
      </c>
      <c r="N944">
        <f>IF(D944="V01",$R$2,IF(D944="V02",$R$3,$R$4))</f>
        <v/>
      </c>
      <c r="O944">
        <f>IF(OR(B944="7062",B944="706",B944="708"),N944,IF(B944="6231",1+G944,IF(B944="6236",1+H944,IF(OR(B944="621",B944="604",B944="6063"),N944*(1-L944),IF(OR(B944="6411",B944="6413",B944="6414",B944="645"),(1+J944)*(1+K944),IF(OR(B944="613",B944="615",B944="616",B944="6226",B944="625",B944="626",B944="6281"),(1+I944)*(1-L944)*(1+M944),IF(OR(B944="6331",B944="63511",B944="6333"),(1+I944)*(1-L944),IF(B944="6811",1+I944,1))))))))</f>
        <v/>
      </c>
      <c r="P944">
        <f>IF(E944=1,F944*O944,"")</f>
        <v/>
      </c>
    </row>
    <row r="945">
      <c r="A945">
        <f>PNL!A945</f>
        <v/>
      </c>
      <c r="B945">
        <f>PNL!B945</f>
        <v/>
      </c>
      <c r="C945">
        <f>PNL!C945</f>
        <v/>
      </c>
      <c r="D945">
        <f>PNL!D945</f>
        <v/>
      </c>
      <c r="E945">
        <f>IF(AND(C945="2027",OR(D945="V01",D945="V02",D945="V03")),1,0)</f>
        <v/>
      </c>
      <c r="F945">
        <f>IF(E945=1,SUMIFS(Compta!$F$2:$F$675,Compta!$A$2:$A$675,A945,Compta!$B$2:$B$675,B945,Compta!$C$2:$C$675,"2026"),0)</f>
        <v/>
      </c>
      <c r="G945">
        <f>IF(D945="V01",cad!$I$21,IF(D945="V02",cad!$J$21,cad!$K$21))</f>
        <v/>
      </c>
      <c r="H945">
        <f>IF(D945="V01",cad!$I$22,IF(D945="V02",cad!$J$22,cad!$K$22))</f>
        <v/>
      </c>
      <c r="I945">
        <f>IF(D945="V01",cad!$I$27,IF(D945="V02",cad!$J$27,cad!$K$27))</f>
        <v/>
      </c>
      <c r="J945">
        <f>IF(D945="V01",cad!$I$28,IF(D945="V02",cad!$J$28,cad!$K$28))</f>
        <v/>
      </c>
      <c r="K945">
        <f>IF(D945="V01",cad!$I$29,IF(D945="V02",cad!$J$29,cad!$K$29))</f>
        <v/>
      </c>
      <c r="L945">
        <f>IF(D945="V01",cad!$I$30,IF(D945="V02",cad!$J$30,cad!$K$30))</f>
        <v/>
      </c>
      <c r="M945">
        <f>IF(D945="V01",cad!$I$31,IF(D945="V02",cad!$J$31,cad!$K$31))</f>
        <v/>
      </c>
      <c r="N945">
        <f>IF(D945="V01",$R$2,IF(D945="V02",$R$3,$R$4))</f>
        <v/>
      </c>
      <c r="O945">
        <f>IF(OR(B945="7062",B945="706",B945="708"),N945,IF(B945="6231",1+G945,IF(B945="6236",1+H945,IF(OR(B945="621",B945="604",B945="6063"),N945*(1-L945),IF(OR(B945="6411",B945="6413",B945="6414",B945="645"),(1+J945)*(1+K945),IF(OR(B945="613",B945="615",B945="616",B945="6226",B945="625",B945="626",B945="6281"),(1+I945)*(1-L945)*(1+M945),IF(OR(B945="6331",B945="63511",B945="6333"),(1+I945)*(1-L945),IF(B945="6811",1+I945,1))))))))</f>
        <v/>
      </c>
      <c r="P945">
        <f>IF(E945=1,F945*O945,"")</f>
        <v/>
      </c>
    </row>
    <row r="946">
      <c r="A946">
        <f>PNL!A946</f>
        <v/>
      </c>
      <c r="B946">
        <f>PNL!B946</f>
        <v/>
      </c>
      <c r="C946">
        <f>PNL!C946</f>
        <v/>
      </c>
      <c r="D946">
        <f>PNL!D946</f>
        <v/>
      </c>
      <c r="E946">
        <f>IF(AND(C946="2027",OR(D946="V01",D946="V02",D946="V03")),1,0)</f>
        <v/>
      </c>
      <c r="F946">
        <f>IF(E946=1,SUMIFS(Compta!$F$2:$F$675,Compta!$A$2:$A$675,A946,Compta!$B$2:$B$675,B946,Compta!$C$2:$C$675,"2026"),0)</f>
        <v/>
      </c>
      <c r="G946">
        <f>IF(D946="V01",cad!$I$21,IF(D946="V02",cad!$J$21,cad!$K$21))</f>
        <v/>
      </c>
      <c r="H946">
        <f>IF(D946="V01",cad!$I$22,IF(D946="V02",cad!$J$22,cad!$K$22))</f>
        <v/>
      </c>
      <c r="I946">
        <f>IF(D946="V01",cad!$I$27,IF(D946="V02",cad!$J$27,cad!$K$27))</f>
        <v/>
      </c>
      <c r="J946">
        <f>IF(D946="V01",cad!$I$28,IF(D946="V02",cad!$J$28,cad!$K$28))</f>
        <v/>
      </c>
      <c r="K946">
        <f>IF(D946="V01",cad!$I$29,IF(D946="V02",cad!$J$29,cad!$K$29))</f>
        <v/>
      </c>
      <c r="L946">
        <f>IF(D946="V01",cad!$I$30,IF(D946="V02",cad!$J$30,cad!$K$30))</f>
        <v/>
      </c>
      <c r="M946">
        <f>IF(D946="V01",cad!$I$31,IF(D946="V02",cad!$J$31,cad!$K$31))</f>
        <v/>
      </c>
      <c r="N946">
        <f>IF(D946="V01",$R$2,IF(D946="V02",$R$3,$R$4))</f>
        <v/>
      </c>
      <c r="O946">
        <f>IF(OR(B946="7062",B946="706",B946="708"),N946,IF(B946="6231",1+G946,IF(B946="6236",1+H946,IF(OR(B946="621",B946="604",B946="6063"),N946*(1-L946),IF(OR(B946="6411",B946="6413",B946="6414",B946="645"),(1+J946)*(1+K946),IF(OR(B946="613",B946="615",B946="616",B946="6226",B946="625",B946="626",B946="6281"),(1+I946)*(1-L946)*(1+M946),IF(OR(B946="6331",B946="63511",B946="6333"),(1+I946)*(1-L946),IF(B946="6811",1+I946,1))))))))</f>
        <v/>
      </c>
      <c r="P946">
        <f>IF(E946=1,F946*O946,"")</f>
        <v/>
      </c>
    </row>
    <row r="947">
      <c r="A947">
        <f>PNL!A947</f>
        <v/>
      </c>
      <c r="B947">
        <f>PNL!B947</f>
        <v/>
      </c>
      <c r="C947">
        <f>PNL!C947</f>
        <v/>
      </c>
      <c r="D947">
        <f>PNL!D947</f>
        <v/>
      </c>
      <c r="E947">
        <f>IF(AND(C947="2027",OR(D947="V01",D947="V02",D947="V03")),1,0)</f>
        <v/>
      </c>
      <c r="F947">
        <f>IF(E947=1,SUMIFS(Compta!$F$2:$F$675,Compta!$A$2:$A$675,A947,Compta!$B$2:$B$675,B947,Compta!$C$2:$C$675,"2026"),0)</f>
        <v/>
      </c>
      <c r="G947">
        <f>IF(D947="V01",cad!$I$21,IF(D947="V02",cad!$J$21,cad!$K$21))</f>
        <v/>
      </c>
      <c r="H947">
        <f>IF(D947="V01",cad!$I$22,IF(D947="V02",cad!$J$22,cad!$K$22))</f>
        <v/>
      </c>
      <c r="I947">
        <f>IF(D947="V01",cad!$I$27,IF(D947="V02",cad!$J$27,cad!$K$27))</f>
        <v/>
      </c>
      <c r="J947">
        <f>IF(D947="V01",cad!$I$28,IF(D947="V02",cad!$J$28,cad!$K$28))</f>
        <v/>
      </c>
      <c r="K947">
        <f>IF(D947="V01",cad!$I$29,IF(D947="V02",cad!$J$29,cad!$K$29))</f>
        <v/>
      </c>
      <c r="L947">
        <f>IF(D947="V01",cad!$I$30,IF(D947="V02",cad!$J$30,cad!$K$30))</f>
        <v/>
      </c>
      <c r="M947">
        <f>IF(D947="V01",cad!$I$31,IF(D947="V02",cad!$J$31,cad!$K$31))</f>
        <v/>
      </c>
      <c r="N947">
        <f>IF(D947="V01",$R$2,IF(D947="V02",$R$3,$R$4))</f>
        <v/>
      </c>
      <c r="O947">
        <f>IF(OR(B947="7062",B947="706",B947="708"),N947,IF(B947="6231",1+G947,IF(B947="6236",1+H947,IF(OR(B947="621",B947="604",B947="6063"),N947*(1-L947),IF(OR(B947="6411",B947="6413",B947="6414",B947="645"),(1+J947)*(1+K947),IF(OR(B947="613",B947="615",B947="616",B947="6226",B947="625",B947="626",B947="6281"),(1+I947)*(1-L947)*(1+M947),IF(OR(B947="6331",B947="63511",B947="6333"),(1+I947)*(1-L947),IF(B947="6811",1+I947,1))))))))</f>
        <v/>
      </c>
      <c r="P947">
        <f>IF(E947=1,F947*O947,"")</f>
        <v/>
      </c>
    </row>
    <row r="948">
      <c r="A948">
        <f>PNL!A948</f>
        <v/>
      </c>
      <c r="B948">
        <f>PNL!B948</f>
        <v/>
      </c>
      <c r="C948">
        <f>PNL!C948</f>
        <v/>
      </c>
      <c r="D948">
        <f>PNL!D948</f>
        <v/>
      </c>
      <c r="E948">
        <f>IF(AND(C948="2027",OR(D948="V01",D948="V02",D948="V03")),1,0)</f>
        <v/>
      </c>
      <c r="F948">
        <f>IF(E948=1,SUMIFS(Compta!$F$2:$F$675,Compta!$A$2:$A$675,A948,Compta!$B$2:$B$675,B948,Compta!$C$2:$C$675,"2026"),0)</f>
        <v/>
      </c>
      <c r="G948">
        <f>IF(D948="V01",cad!$I$21,IF(D948="V02",cad!$J$21,cad!$K$21))</f>
        <v/>
      </c>
      <c r="H948">
        <f>IF(D948="V01",cad!$I$22,IF(D948="V02",cad!$J$22,cad!$K$22))</f>
        <v/>
      </c>
      <c r="I948">
        <f>IF(D948="V01",cad!$I$27,IF(D948="V02",cad!$J$27,cad!$K$27))</f>
        <v/>
      </c>
      <c r="J948">
        <f>IF(D948="V01",cad!$I$28,IF(D948="V02",cad!$J$28,cad!$K$28))</f>
        <v/>
      </c>
      <c r="K948">
        <f>IF(D948="V01",cad!$I$29,IF(D948="V02",cad!$J$29,cad!$K$29))</f>
        <v/>
      </c>
      <c r="L948">
        <f>IF(D948="V01",cad!$I$30,IF(D948="V02",cad!$J$30,cad!$K$30))</f>
        <v/>
      </c>
      <c r="M948">
        <f>IF(D948="V01",cad!$I$31,IF(D948="V02",cad!$J$31,cad!$K$31))</f>
        <v/>
      </c>
      <c r="N948">
        <f>IF(D948="V01",$R$2,IF(D948="V02",$R$3,$R$4))</f>
        <v/>
      </c>
      <c r="O948">
        <f>IF(OR(B948="7062",B948="706",B948="708"),N948,IF(B948="6231",1+G948,IF(B948="6236",1+H948,IF(OR(B948="621",B948="604",B948="6063"),N948*(1-L948),IF(OR(B948="6411",B948="6413",B948="6414",B948="645"),(1+J948)*(1+K948),IF(OR(B948="613",B948="615",B948="616",B948="6226",B948="625",B948="626",B948="6281"),(1+I948)*(1-L948)*(1+M948),IF(OR(B948="6331",B948="63511",B948="6333"),(1+I948)*(1-L948),IF(B948="6811",1+I948,1))))))))</f>
        <v/>
      </c>
      <c r="P948">
        <f>IF(E948=1,F948*O948,"")</f>
        <v/>
      </c>
    </row>
    <row r="949">
      <c r="A949">
        <f>PNL!A949</f>
        <v/>
      </c>
      <c r="B949">
        <f>PNL!B949</f>
        <v/>
      </c>
      <c r="C949">
        <f>PNL!C949</f>
        <v/>
      </c>
      <c r="D949">
        <f>PNL!D949</f>
        <v/>
      </c>
      <c r="E949">
        <f>IF(AND(C949="2027",OR(D949="V01",D949="V02",D949="V03")),1,0)</f>
        <v/>
      </c>
      <c r="F949">
        <f>IF(E949=1,SUMIFS(Compta!$F$2:$F$675,Compta!$A$2:$A$675,A949,Compta!$B$2:$B$675,B949,Compta!$C$2:$C$675,"2026"),0)</f>
        <v/>
      </c>
      <c r="G949">
        <f>IF(D949="V01",cad!$I$21,IF(D949="V02",cad!$J$21,cad!$K$21))</f>
        <v/>
      </c>
      <c r="H949">
        <f>IF(D949="V01",cad!$I$22,IF(D949="V02",cad!$J$22,cad!$K$22))</f>
        <v/>
      </c>
      <c r="I949">
        <f>IF(D949="V01",cad!$I$27,IF(D949="V02",cad!$J$27,cad!$K$27))</f>
        <v/>
      </c>
      <c r="J949">
        <f>IF(D949="V01",cad!$I$28,IF(D949="V02",cad!$J$28,cad!$K$28))</f>
        <v/>
      </c>
      <c r="K949">
        <f>IF(D949="V01",cad!$I$29,IF(D949="V02",cad!$J$29,cad!$K$29))</f>
        <v/>
      </c>
      <c r="L949">
        <f>IF(D949="V01",cad!$I$30,IF(D949="V02",cad!$J$30,cad!$K$30))</f>
        <v/>
      </c>
      <c r="M949">
        <f>IF(D949="V01",cad!$I$31,IF(D949="V02",cad!$J$31,cad!$K$31))</f>
        <v/>
      </c>
      <c r="N949">
        <f>IF(D949="V01",$R$2,IF(D949="V02",$R$3,$R$4))</f>
        <v/>
      </c>
      <c r="O949">
        <f>IF(OR(B949="7062",B949="706",B949="708"),N949,IF(B949="6231",1+G949,IF(B949="6236",1+H949,IF(OR(B949="621",B949="604",B949="6063"),N949*(1-L949),IF(OR(B949="6411",B949="6413",B949="6414",B949="645"),(1+J949)*(1+K949),IF(OR(B949="613",B949="615",B949="616",B949="6226",B949="625",B949="626",B949="6281"),(1+I949)*(1-L949)*(1+M949),IF(OR(B949="6331",B949="63511",B949="6333"),(1+I949)*(1-L949),IF(B949="6811",1+I949,1))))))))</f>
        <v/>
      </c>
      <c r="P949">
        <f>IF(E949=1,F949*O949,"")</f>
        <v/>
      </c>
    </row>
    <row r="950">
      <c r="A950">
        <f>PNL!A950</f>
        <v/>
      </c>
      <c r="B950">
        <f>PNL!B950</f>
        <v/>
      </c>
      <c r="C950">
        <f>PNL!C950</f>
        <v/>
      </c>
      <c r="D950">
        <f>PNL!D950</f>
        <v/>
      </c>
      <c r="E950">
        <f>IF(AND(C950="2027",OR(D950="V01",D950="V02",D950="V03")),1,0)</f>
        <v/>
      </c>
      <c r="F950">
        <f>IF(E950=1,SUMIFS(Compta!$F$2:$F$675,Compta!$A$2:$A$675,A950,Compta!$B$2:$B$675,B950,Compta!$C$2:$C$675,"2026"),0)</f>
        <v/>
      </c>
      <c r="G950">
        <f>IF(D950="V01",cad!$I$21,IF(D950="V02",cad!$J$21,cad!$K$21))</f>
        <v/>
      </c>
      <c r="H950">
        <f>IF(D950="V01",cad!$I$22,IF(D950="V02",cad!$J$22,cad!$K$22))</f>
        <v/>
      </c>
      <c r="I950">
        <f>IF(D950="V01",cad!$I$27,IF(D950="V02",cad!$J$27,cad!$K$27))</f>
        <v/>
      </c>
      <c r="J950">
        <f>IF(D950="V01",cad!$I$28,IF(D950="V02",cad!$J$28,cad!$K$28))</f>
        <v/>
      </c>
      <c r="K950">
        <f>IF(D950="V01",cad!$I$29,IF(D950="V02",cad!$J$29,cad!$K$29))</f>
        <v/>
      </c>
      <c r="L950">
        <f>IF(D950="V01",cad!$I$30,IF(D950="V02",cad!$J$30,cad!$K$30))</f>
        <v/>
      </c>
      <c r="M950">
        <f>IF(D950="V01",cad!$I$31,IF(D950="V02",cad!$J$31,cad!$K$31))</f>
        <v/>
      </c>
      <c r="N950">
        <f>IF(D950="V01",$R$2,IF(D950="V02",$R$3,$R$4))</f>
        <v/>
      </c>
      <c r="O950">
        <f>IF(OR(B950="7062",B950="706",B950="708"),N950,IF(B950="6231",1+G950,IF(B950="6236",1+H950,IF(OR(B950="621",B950="604",B950="6063"),N950*(1-L950),IF(OR(B950="6411",B950="6413",B950="6414",B950="645"),(1+J950)*(1+K950),IF(OR(B950="613",B950="615",B950="616",B950="6226",B950="625",B950="626",B950="6281"),(1+I950)*(1-L950)*(1+M950),IF(OR(B950="6331",B950="63511",B950="6333"),(1+I950)*(1-L950),IF(B950="6811",1+I950,1))))))))</f>
        <v/>
      </c>
      <c r="P950">
        <f>IF(E950=1,F950*O950,"")</f>
        <v/>
      </c>
    </row>
    <row r="951">
      <c r="A951">
        <f>PNL!A951</f>
        <v/>
      </c>
      <c r="B951">
        <f>PNL!B951</f>
        <v/>
      </c>
      <c r="C951">
        <f>PNL!C951</f>
        <v/>
      </c>
      <c r="D951">
        <f>PNL!D951</f>
        <v/>
      </c>
      <c r="E951">
        <f>IF(AND(C951="2027",OR(D951="V01",D951="V02",D951="V03")),1,0)</f>
        <v/>
      </c>
      <c r="F951">
        <f>IF(E951=1,SUMIFS(Compta!$F$2:$F$675,Compta!$A$2:$A$675,A951,Compta!$B$2:$B$675,B951,Compta!$C$2:$C$675,"2026"),0)</f>
        <v/>
      </c>
      <c r="G951">
        <f>IF(D951="V01",cad!$I$21,IF(D951="V02",cad!$J$21,cad!$K$21))</f>
        <v/>
      </c>
      <c r="H951">
        <f>IF(D951="V01",cad!$I$22,IF(D951="V02",cad!$J$22,cad!$K$22))</f>
        <v/>
      </c>
      <c r="I951">
        <f>IF(D951="V01",cad!$I$27,IF(D951="V02",cad!$J$27,cad!$K$27))</f>
        <v/>
      </c>
      <c r="J951">
        <f>IF(D951="V01",cad!$I$28,IF(D951="V02",cad!$J$28,cad!$K$28))</f>
        <v/>
      </c>
      <c r="K951">
        <f>IF(D951="V01",cad!$I$29,IF(D951="V02",cad!$J$29,cad!$K$29))</f>
        <v/>
      </c>
      <c r="L951">
        <f>IF(D951="V01",cad!$I$30,IF(D951="V02",cad!$J$30,cad!$K$30))</f>
        <v/>
      </c>
      <c r="M951">
        <f>IF(D951="V01",cad!$I$31,IF(D951="V02",cad!$J$31,cad!$K$31))</f>
        <v/>
      </c>
      <c r="N951">
        <f>IF(D951="V01",$R$2,IF(D951="V02",$R$3,$R$4))</f>
        <v/>
      </c>
      <c r="O951">
        <f>IF(OR(B951="7062",B951="706",B951="708"),N951,IF(B951="6231",1+G951,IF(B951="6236",1+H951,IF(OR(B951="621",B951="604",B951="6063"),N951*(1-L951),IF(OR(B951="6411",B951="6413",B951="6414",B951="645"),(1+J951)*(1+K951),IF(OR(B951="613",B951="615",B951="616",B951="6226",B951="625",B951="626",B951="6281"),(1+I951)*(1-L951)*(1+M951),IF(OR(B951="6331",B951="63511",B951="6333"),(1+I951)*(1-L951),IF(B951="6811",1+I951,1))))))))</f>
        <v/>
      </c>
      <c r="P951">
        <f>IF(E951=1,F951*O951,"")</f>
        <v/>
      </c>
    </row>
    <row r="952">
      <c r="A952">
        <f>PNL!A952</f>
        <v/>
      </c>
      <c r="B952">
        <f>PNL!B952</f>
        <v/>
      </c>
      <c r="C952">
        <f>PNL!C952</f>
        <v/>
      </c>
      <c r="D952">
        <f>PNL!D952</f>
        <v/>
      </c>
      <c r="E952">
        <f>IF(AND(C952="2027",OR(D952="V01",D952="V02",D952="V03")),1,0)</f>
        <v/>
      </c>
      <c r="F952">
        <f>IF(E952=1,SUMIFS(Compta!$F$2:$F$675,Compta!$A$2:$A$675,A952,Compta!$B$2:$B$675,B952,Compta!$C$2:$C$675,"2026"),0)</f>
        <v/>
      </c>
      <c r="G952">
        <f>IF(D952="V01",cad!$I$21,IF(D952="V02",cad!$J$21,cad!$K$21))</f>
        <v/>
      </c>
      <c r="H952">
        <f>IF(D952="V01",cad!$I$22,IF(D952="V02",cad!$J$22,cad!$K$22))</f>
        <v/>
      </c>
      <c r="I952">
        <f>IF(D952="V01",cad!$I$27,IF(D952="V02",cad!$J$27,cad!$K$27))</f>
        <v/>
      </c>
      <c r="J952">
        <f>IF(D952="V01",cad!$I$28,IF(D952="V02",cad!$J$28,cad!$K$28))</f>
        <v/>
      </c>
      <c r="K952">
        <f>IF(D952="V01",cad!$I$29,IF(D952="V02",cad!$J$29,cad!$K$29))</f>
        <v/>
      </c>
      <c r="L952">
        <f>IF(D952="V01",cad!$I$30,IF(D952="V02",cad!$J$30,cad!$K$30))</f>
        <v/>
      </c>
      <c r="M952">
        <f>IF(D952="V01",cad!$I$31,IF(D952="V02",cad!$J$31,cad!$K$31))</f>
        <v/>
      </c>
      <c r="N952">
        <f>IF(D952="V01",$R$2,IF(D952="V02",$R$3,$R$4))</f>
        <v/>
      </c>
      <c r="O952">
        <f>IF(OR(B952="7062",B952="706",B952="708"),N952,IF(B952="6231",1+G952,IF(B952="6236",1+H952,IF(OR(B952="621",B952="604",B952="6063"),N952*(1-L952),IF(OR(B952="6411",B952="6413",B952="6414",B952="645"),(1+J952)*(1+K952),IF(OR(B952="613",B952="615",B952="616",B952="6226",B952="625",B952="626",B952="6281"),(1+I952)*(1-L952)*(1+M952),IF(OR(B952="6331",B952="63511",B952="6333"),(1+I952)*(1-L952),IF(B952="6811",1+I952,1))))))))</f>
        <v/>
      </c>
      <c r="P952">
        <f>IF(E952=1,F952*O952,"")</f>
        <v/>
      </c>
    </row>
    <row r="953">
      <c r="A953">
        <f>PNL!A953</f>
        <v/>
      </c>
      <c r="B953">
        <f>PNL!B953</f>
        <v/>
      </c>
      <c r="C953">
        <f>PNL!C953</f>
        <v/>
      </c>
      <c r="D953">
        <f>PNL!D953</f>
        <v/>
      </c>
      <c r="E953">
        <f>IF(AND(C953="2027",OR(D953="V01",D953="V02",D953="V03")),1,0)</f>
        <v/>
      </c>
      <c r="F953">
        <f>IF(E953=1,SUMIFS(Compta!$F$2:$F$675,Compta!$A$2:$A$675,A953,Compta!$B$2:$B$675,B953,Compta!$C$2:$C$675,"2026"),0)</f>
        <v/>
      </c>
      <c r="G953">
        <f>IF(D953="V01",cad!$I$21,IF(D953="V02",cad!$J$21,cad!$K$21))</f>
        <v/>
      </c>
      <c r="H953">
        <f>IF(D953="V01",cad!$I$22,IF(D953="V02",cad!$J$22,cad!$K$22))</f>
        <v/>
      </c>
      <c r="I953">
        <f>IF(D953="V01",cad!$I$27,IF(D953="V02",cad!$J$27,cad!$K$27))</f>
        <v/>
      </c>
      <c r="J953">
        <f>IF(D953="V01",cad!$I$28,IF(D953="V02",cad!$J$28,cad!$K$28))</f>
        <v/>
      </c>
      <c r="K953">
        <f>IF(D953="V01",cad!$I$29,IF(D953="V02",cad!$J$29,cad!$K$29))</f>
        <v/>
      </c>
      <c r="L953">
        <f>IF(D953="V01",cad!$I$30,IF(D953="V02",cad!$J$30,cad!$K$30))</f>
        <v/>
      </c>
      <c r="M953">
        <f>IF(D953="V01",cad!$I$31,IF(D953="V02",cad!$J$31,cad!$K$31))</f>
        <v/>
      </c>
      <c r="N953">
        <f>IF(D953="V01",$R$2,IF(D953="V02",$R$3,$R$4))</f>
        <v/>
      </c>
      <c r="O953">
        <f>IF(OR(B953="7062",B953="706",B953="708"),N953,IF(B953="6231",1+G953,IF(B953="6236",1+H953,IF(OR(B953="621",B953="604",B953="6063"),N953*(1-L953),IF(OR(B953="6411",B953="6413",B953="6414",B953="645"),(1+J953)*(1+K953),IF(OR(B953="613",B953="615",B953="616",B953="6226",B953="625",B953="626",B953="6281"),(1+I953)*(1-L953)*(1+M953),IF(OR(B953="6331",B953="63511",B953="6333"),(1+I953)*(1-L953),IF(B953="6811",1+I953,1))))))))</f>
        <v/>
      </c>
      <c r="P953">
        <f>IF(E953=1,F953*O953,"")</f>
        <v/>
      </c>
    </row>
    <row r="954">
      <c r="A954">
        <f>PNL!A954</f>
        <v/>
      </c>
      <c r="B954">
        <f>PNL!B954</f>
        <v/>
      </c>
      <c r="C954">
        <f>PNL!C954</f>
        <v/>
      </c>
      <c r="D954">
        <f>PNL!D954</f>
        <v/>
      </c>
      <c r="E954">
        <f>IF(AND(C954="2027",OR(D954="V01",D954="V02",D954="V03")),1,0)</f>
        <v/>
      </c>
      <c r="F954">
        <f>IF(E954=1,SUMIFS(Compta!$F$2:$F$675,Compta!$A$2:$A$675,A954,Compta!$B$2:$B$675,B954,Compta!$C$2:$C$675,"2026"),0)</f>
        <v/>
      </c>
      <c r="G954">
        <f>IF(D954="V01",cad!$I$21,IF(D954="V02",cad!$J$21,cad!$K$21))</f>
        <v/>
      </c>
      <c r="H954">
        <f>IF(D954="V01",cad!$I$22,IF(D954="V02",cad!$J$22,cad!$K$22))</f>
        <v/>
      </c>
      <c r="I954">
        <f>IF(D954="V01",cad!$I$27,IF(D954="V02",cad!$J$27,cad!$K$27))</f>
        <v/>
      </c>
      <c r="J954">
        <f>IF(D954="V01",cad!$I$28,IF(D954="V02",cad!$J$28,cad!$K$28))</f>
        <v/>
      </c>
      <c r="K954">
        <f>IF(D954="V01",cad!$I$29,IF(D954="V02",cad!$J$29,cad!$K$29))</f>
        <v/>
      </c>
      <c r="L954">
        <f>IF(D954="V01",cad!$I$30,IF(D954="V02",cad!$J$30,cad!$K$30))</f>
        <v/>
      </c>
      <c r="M954">
        <f>IF(D954="V01",cad!$I$31,IF(D954="V02",cad!$J$31,cad!$K$31))</f>
        <v/>
      </c>
      <c r="N954">
        <f>IF(D954="V01",$R$2,IF(D954="V02",$R$3,$R$4))</f>
        <v/>
      </c>
      <c r="O954">
        <f>IF(OR(B954="7062",B954="706",B954="708"),N954,IF(B954="6231",1+G954,IF(B954="6236",1+H954,IF(OR(B954="621",B954="604",B954="6063"),N954*(1-L954),IF(OR(B954="6411",B954="6413",B954="6414",B954="645"),(1+J954)*(1+K954),IF(OR(B954="613",B954="615",B954="616",B954="6226",B954="625",B954="626",B954="6281"),(1+I954)*(1-L954)*(1+M954),IF(OR(B954="6331",B954="63511",B954="6333"),(1+I954)*(1-L954),IF(B954="6811",1+I954,1))))))))</f>
        <v/>
      </c>
      <c r="P954">
        <f>IF(E954=1,F954*O954,"")</f>
        <v/>
      </c>
    </row>
    <row r="955">
      <c r="A955">
        <f>PNL!A955</f>
        <v/>
      </c>
      <c r="B955">
        <f>PNL!B955</f>
        <v/>
      </c>
      <c r="C955">
        <f>PNL!C955</f>
        <v/>
      </c>
      <c r="D955">
        <f>PNL!D955</f>
        <v/>
      </c>
      <c r="E955">
        <f>IF(AND(C955="2027",OR(D955="V01",D955="V02",D955="V03")),1,0)</f>
        <v/>
      </c>
      <c r="F955">
        <f>IF(E955=1,SUMIFS(Compta!$F$2:$F$675,Compta!$A$2:$A$675,A955,Compta!$B$2:$B$675,B955,Compta!$C$2:$C$675,"2026"),0)</f>
        <v/>
      </c>
      <c r="G955">
        <f>IF(D955="V01",cad!$I$21,IF(D955="V02",cad!$J$21,cad!$K$21))</f>
        <v/>
      </c>
      <c r="H955">
        <f>IF(D955="V01",cad!$I$22,IF(D955="V02",cad!$J$22,cad!$K$22))</f>
        <v/>
      </c>
      <c r="I955">
        <f>IF(D955="V01",cad!$I$27,IF(D955="V02",cad!$J$27,cad!$K$27))</f>
        <v/>
      </c>
      <c r="J955">
        <f>IF(D955="V01",cad!$I$28,IF(D955="V02",cad!$J$28,cad!$K$28))</f>
        <v/>
      </c>
      <c r="K955">
        <f>IF(D955="V01",cad!$I$29,IF(D955="V02",cad!$J$29,cad!$K$29))</f>
        <v/>
      </c>
      <c r="L955">
        <f>IF(D955="V01",cad!$I$30,IF(D955="V02",cad!$J$30,cad!$K$30))</f>
        <v/>
      </c>
      <c r="M955">
        <f>IF(D955="V01",cad!$I$31,IF(D955="V02",cad!$J$31,cad!$K$31))</f>
        <v/>
      </c>
      <c r="N955">
        <f>IF(D955="V01",$R$2,IF(D955="V02",$R$3,$R$4))</f>
        <v/>
      </c>
      <c r="O955">
        <f>IF(OR(B955="7062",B955="706",B955="708"),N955,IF(B955="6231",1+G955,IF(B955="6236",1+H955,IF(OR(B955="621",B955="604",B955="6063"),N955*(1-L955),IF(OR(B955="6411",B955="6413",B955="6414",B955="645"),(1+J955)*(1+K955),IF(OR(B955="613",B955="615",B955="616",B955="6226",B955="625",B955="626",B955="6281"),(1+I955)*(1-L955)*(1+M955),IF(OR(B955="6331",B955="63511",B955="6333"),(1+I955)*(1-L955),IF(B955="6811",1+I955,1))))))))</f>
        <v/>
      </c>
      <c r="P955">
        <f>IF(E955=1,F955*O955,"")</f>
        <v/>
      </c>
    </row>
    <row r="956">
      <c r="A956">
        <f>PNL!A956</f>
        <v/>
      </c>
      <c r="B956">
        <f>PNL!B956</f>
        <v/>
      </c>
      <c r="C956">
        <f>PNL!C956</f>
        <v/>
      </c>
      <c r="D956">
        <f>PNL!D956</f>
        <v/>
      </c>
      <c r="E956">
        <f>IF(AND(C956="2027",OR(D956="V01",D956="V02",D956="V03")),1,0)</f>
        <v/>
      </c>
      <c r="F956">
        <f>IF(E956=1,SUMIFS(Compta!$F$2:$F$675,Compta!$A$2:$A$675,A956,Compta!$B$2:$B$675,B956,Compta!$C$2:$C$675,"2026"),0)</f>
        <v/>
      </c>
      <c r="G956">
        <f>IF(D956="V01",cad!$I$21,IF(D956="V02",cad!$J$21,cad!$K$21))</f>
        <v/>
      </c>
      <c r="H956">
        <f>IF(D956="V01",cad!$I$22,IF(D956="V02",cad!$J$22,cad!$K$22))</f>
        <v/>
      </c>
      <c r="I956">
        <f>IF(D956="V01",cad!$I$27,IF(D956="V02",cad!$J$27,cad!$K$27))</f>
        <v/>
      </c>
      <c r="J956">
        <f>IF(D956="V01",cad!$I$28,IF(D956="V02",cad!$J$28,cad!$K$28))</f>
        <v/>
      </c>
      <c r="K956">
        <f>IF(D956="V01",cad!$I$29,IF(D956="V02",cad!$J$29,cad!$K$29))</f>
        <v/>
      </c>
      <c r="L956">
        <f>IF(D956="V01",cad!$I$30,IF(D956="V02",cad!$J$30,cad!$K$30))</f>
        <v/>
      </c>
      <c r="M956">
        <f>IF(D956="V01",cad!$I$31,IF(D956="V02",cad!$J$31,cad!$K$31))</f>
        <v/>
      </c>
      <c r="N956">
        <f>IF(D956="V01",$R$2,IF(D956="V02",$R$3,$R$4))</f>
        <v/>
      </c>
      <c r="O956">
        <f>IF(OR(B956="7062",B956="706",B956="708"),N956,IF(B956="6231",1+G956,IF(B956="6236",1+H956,IF(OR(B956="621",B956="604",B956="6063"),N956*(1-L956),IF(OR(B956="6411",B956="6413",B956="6414",B956="645"),(1+J956)*(1+K956),IF(OR(B956="613",B956="615",B956="616",B956="6226",B956="625",B956="626",B956="6281"),(1+I956)*(1-L956)*(1+M956),IF(OR(B956="6331",B956="63511",B956="6333"),(1+I956)*(1-L956),IF(B956="6811",1+I956,1))))))))</f>
        <v/>
      </c>
      <c r="P956">
        <f>IF(E956=1,F956*O956,"")</f>
        <v/>
      </c>
    </row>
    <row r="957">
      <c r="A957">
        <f>PNL!A957</f>
        <v/>
      </c>
      <c r="B957">
        <f>PNL!B957</f>
        <v/>
      </c>
      <c r="C957">
        <f>PNL!C957</f>
        <v/>
      </c>
      <c r="D957">
        <f>PNL!D957</f>
        <v/>
      </c>
      <c r="E957">
        <f>IF(AND(C957="2027",OR(D957="V01",D957="V02",D957="V03")),1,0)</f>
        <v/>
      </c>
      <c r="F957">
        <f>IF(E957=1,SUMIFS(Compta!$F$2:$F$675,Compta!$A$2:$A$675,A957,Compta!$B$2:$B$675,B957,Compta!$C$2:$C$675,"2026"),0)</f>
        <v/>
      </c>
      <c r="G957">
        <f>IF(D957="V01",cad!$I$21,IF(D957="V02",cad!$J$21,cad!$K$21))</f>
        <v/>
      </c>
      <c r="H957">
        <f>IF(D957="V01",cad!$I$22,IF(D957="V02",cad!$J$22,cad!$K$22))</f>
        <v/>
      </c>
      <c r="I957">
        <f>IF(D957="V01",cad!$I$27,IF(D957="V02",cad!$J$27,cad!$K$27))</f>
        <v/>
      </c>
      <c r="J957">
        <f>IF(D957="V01",cad!$I$28,IF(D957="V02",cad!$J$28,cad!$K$28))</f>
        <v/>
      </c>
      <c r="K957">
        <f>IF(D957="V01",cad!$I$29,IF(D957="V02",cad!$J$29,cad!$K$29))</f>
        <v/>
      </c>
      <c r="L957">
        <f>IF(D957="V01",cad!$I$30,IF(D957="V02",cad!$J$30,cad!$K$30))</f>
        <v/>
      </c>
      <c r="M957">
        <f>IF(D957="V01",cad!$I$31,IF(D957="V02",cad!$J$31,cad!$K$31))</f>
        <v/>
      </c>
      <c r="N957">
        <f>IF(D957="V01",$R$2,IF(D957="V02",$R$3,$R$4))</f>
        <v/>
      </c>
      <c r="O957">
        <f>IF(OR(B957="7062",B957="706",B957="708"),N957,IF(B957="6231",1+G957,IF(B957="6236",1+H957,IF(OR(B957="621",B957="604",B957="6063"),N957*(1-L957),IF(OR(B957="6411",B957="6413",B957="6414",B957="645"),(1+J957)*(1+K957),IF(OR(B957="613",B957="615",B957="616",B957="6226",B957="625",B957="626",B957="6281"),(1+I957)*(1-L957)*(1+M957),IF(OR(B957="6331",B957="63511",B957="6333"),(1+I957)*(1-L957),IF(B957="6811",1+I957,1))))))))</f>
        <v/>
      </c>
      <c r="P957">
        <f>IF(E957=1,F957*O957,"")</f>
        <v/>
      </c>
    </row>
    <row r="958">
      <c r="A958">
        <f>PNL!A958</f>
        <v/>
      </c>
      <c r="B958">
        <f>PNL!B958</f>
        <v/>
      </c>
      <c r="C958">
        <f>PNL!C958</f>
        <v/>
      </c>
      <c r="D958">
        <f>PNL!D958</f>
        <v/>
      </c>
      <c r="E958">
        <f>IF(AND(C958="2027",OR(D958="V01",D958="V02",D958="V03")),1,0)</f>
        <v/>
      </c>
      <c r="F958">
        <f>IF(E958=1,SUMIFS(Compta!$F$2:$F$675,Compta!$A$2:$A$675,A958,Compta!$B$2:$B$675,B958,Compta!$C$2:$C$675,"2026"),0)</f>
        <v/>
      </c>
      <c r="G958">
        <f>IF(D958="V01",cad!$I$21,IF(D958="V02",cad!$J$21,cad!$K$21))</f>
        <v/>
      </c>
      <c r="H958">
        <f>IF(D958="V01",cad!$I$22,IF(D958="V02",cad!$J$22,cad!$K$22))</f>
        <v/>
      </c>
      <c r="I958">
        <f>IF(D958="V01",cad!$I$27,IF(D958="V02",cad!$J$27,cad!$K$27))</f>
        <v/>
      </c>
      <c r="J958">
        <f>IF(D958="V01",cad!$I$28,IF(D958="V02",cad!$J$28,cad!$K$28))</f>
        <v/>
      </c>
      <c r="K958">
        <f>IF(D958="V01",cad!$I$29,IF(D958="V02",cad!$J$29,cad!$K$29))</f>
        <v/>
      </c>
      <c r="L958">
        <f>IF(D958="V01",cad!$I$30,IF(D958="V02",cad!$J$30,cad!$K$30))</f>
        <v/>
      </c>
      <c r="M958">
        <f>IF(D958="V01",cad!$I$31,IF(D958="V02",cad!$J$31,cad!$K$31))</f>
        <v/>
      </c>
      <c r="N958">
        <f>IF(D958="V01",$R$2,IF(D958="V02",$R$3,$R$4))</f>
        <v/>
      </c>
      <c r="O958">
        <f>IF(OR(B958="7062",B958="706",B958="708"),N958,IF(B958="6231",1+G958,IF(B958="6236",1+H958,IF(OR(B958="621",B958="604",B958="6063"),N958*(1-L958),IF(OR(B958="6411",B958="6413",B958="6414",B958="645"),(1+J958)*(1+K958),IF(OR(B958="613",B958="615",B958="616",B958="6226",B958="625",B958="626",B958="6281"),(1+I958)*(1-L958)*(1+M958),IF(OR(B958="6331",B958="63511",B958="6333"),(1+I958)*(1-L958),IF(B958="6811",1+I958,1))))))))</f>
        <v/>
      </c>
      <c r="P958">
        <f>IF(E958=1,F958*O958,"")</f>
        <v/>
      </c>
    </row>
    <row r="959">
      <c r="A959">
        <f>PNL!A959</f>
        <v/>
      </c>
      <c r="B959">
        <f>PNL!B959</f>
        <v/>
      </c>
      <c r="C959">
        <f>PNL!C959</f>
        <v/>
      </c>
      <c r="D959">
        <f>PNL!D959</f>
        <v/>
      </c>
      <c r="E959">
        <f>IF(AND(C959="2027",OR(D959="V01",D959="V02",D959="V03")),1,0)</f>
        <v/>
      </c>
      <c r="F959">
        <f>IF(E959=1,SUMIFS(Compta!$F$2:$F$675,Compta!$A$2:$A$675,A959,Compta!$B$2:$B$675,B959,Compta!$C$2:$C$675,"2026"),0)</f>
        <v/>
      </c>
      <c r="G959">
        <f>IF(D959="V01",cad!$I$21,IF(D959="V02",cad!$J$21,cad!$K$21))</f>
        <v/>
      </c>
      <c r="H959">
        <f>IF(D959="V01",cad!$I$22,IF(D959="V02",cad!$J$22,cad!$K$22))</f>
        <v/>
      </c>
      <c r="I959">
        <f>IF(D959="V01",cad!$I$27,IF(D959="V02",cad!$J$27,cad!$K$27))</f>
        <v/>
      </c>
      <c r="J959">
        <f>IF(D959="V01",cad!$I$28,IF(D959="V02",cad!$J$28,cad!$K$28))</f>
        <v/>
      </c>
      <c r="K959">
        <f>IF(D959="V01",cad!$I$29,IF(D959="V02",cad!$J$29,cad!$K$29))</f>
        <v/>
      </c>
      <c r="L959">
        <f>IF(D959="V01",cad!$I$30,IF(D959="V02",cad!$J$30,cad!$K$30))</f>
        <v/>
      </c>
      <c r="M959">
        <f>IF(D959="V01",cad!$I$31,IF(D959="V02",cad!$J$31,cad!$K$31))</f>
        <v/>
      </c>
      <c r="N959">
        <f>IF(D959="V01",$R$2,IF(D959="V02",$R$3,$R$4))</f>
        <v/>
      </c>
      <c r="O959">
        <f>IF(OR(B959="7062",B959="706",B959="708"),N959,IF(B959="6231",1+G959,IF(B959="6236",1+H959,IF(OR(B959="621",B959="604",B959="6063"),N959*(1-L959),IF(OR(B959="6411",B959="6413",B959="6414",B959="645"),(1+J959)*(1+K959),IF(OR(B959="613",B959="615",B959="616",B959="6226",B959="625",B959="626",B959="6281"),(1+I959)*(1-L959)*(1+M959),IF(OR(B959="6331",B959="63511",B959="6333"),(1+I959)*(1-L959),IF(B959="6811",1+I959,1))))))))</f>
        <v/>
      </c>
      <c r="P959">
        <f>IF(E959=1,F959*O959,"")</f>
        <v/>
      </c>
    </row>
    <row r="960">
      <c r="A960">
        <f>PNL!A960</f>
        <v/>
      </c>
      <c r="B960">
        <f>PNL!B960</f>
        <v/>
      </c>
      <c r="C960">
        <f>PNL!C960</f>
        <v/>
      </c>
      <c r="D960">
        <f>PNL!D960</f>
        <v/>
      </c>
      <c r="E960">
        <f>IF(AND(C960="2027",OR(D960="V01",D960="V02",D960="V03")),1,0)</f>
        <v/>
      </c>
      <c r="F960">
        <f>IF(E960=1,SUMIFS(Compta!$F$2:$F$675,Compta!$A$2:$A$675,A960,Compta!$B$2:$B$675,B960,Compta!$C$2:$C$675,"2026"),0)</f>
        <v/>
      </c>
      <c r="G960">
        <f>IF(D960="V01",cad!$I$21,IF(D960="V02",cad!$J$21,cad!$K$21))</f>
        <v/>
      </c>
      <c r="H960">
        <f>IF(D960="V01",cad!$I$22,IF(D960="V02",cad!$J$22,cad!$K$22))</f>
        <v/>
      </c>
      <c r="I960">
        <f>IF(D960="V01",cad!$I$27,IF(D960="V02",cad!$J$27,cad!$K$27))</f>
        <v/>
      </c>
      <c r="J960">
        <f>IF(D960="V01",cad!$I$28,IF(D960="V02",cad!$J$28,cad!$K$28))</f>
        <v/>
      </c>
      <c r="K960">
        <f>IF(D960="V01",cad!$I$29,IF(D960="V02",cad!$J$29,cad!$K$29))</f>
        <v/>
      </c>
      <c r="L960">
        <f>IF(D960="V01",cad!$I$30,IF(D960="V02",cad!$J$30,cad!$K$30))</f>
        <v/>
      </c>
      <c r="M960">
        <f>IF(D960="V01",cad!$I$31,IF(D960="V02",cad!$J$31,cad!$K$31))</f>
        <v/>
      </c>
      <c r="N960">
        <f>IF(D960="V01",$R$2,IF(D960="V02",$R$3,$R$4))</f>
        <v/>
      </c>
      <c r="O960">
        <f>IF(OR(B960="7062",B960="706",B960="708"),N960,IF(B960="6231",1+G960,IF(B960="6236",1+H960,IF(OR(B960="621",B960="604",B960="6063"),N960*(1-L960),IF(OR(B960="6411",B960="6413",B960="6414",B960="645"),(1+J960)*(1+K960),IF(OR(B960="613",B960="615",B960="616",B960="6226",B960="625",B960="626",B960="6281"),(1+I960)*(1-L960)*(1+M960),IF(OR(B960="6331",B960="63511",B960="6333"),(1+I960)*(1-L960),IF(B960="6811",1+I960,1))))))))</f>
        <v/>
      </c>
      <c r="P960">
        <f>IF(E960=1,F960*O960,"")</f>
        <v/>
      </c>
    </row>
    <row r="961">
      <c r="A961">
        <f>PNL!A961</f>
        <v/>
      </c>
      <c r="B961">
        <f>PNL!B961</f>
        <v/>
      </c>
      <c r="C961">
        <f>PNL!C961</f>
        <v/>
      </c>
      <c r="D961">
        <f>PNL!D961</f>
        <v/>
      </c>
      <c r="E961">
        <f>IF(AND(C961="2027",OR(D961="V01",D961="V02",D961="V03")),1,0)</f>
        <v/>
      </c>
      <c r="F961">
        <f>IF(E961=1,SUMIFS(Compta!$F$2:$F$675,Compta!$A$2:$A$675,A961,Compta!$B$2:$B$675,B961,Compta!$C$2:$C$675,"2026"),0)</f>
        <v/>
      </c>
      <c r="G961">
        <f>IF(D961="V01",cad!$I$21,IF(D961="V02",cad!$J$21,cad!$K$21))</f>
        <v/>
      </c>
      <c r="H961">
        <f>IF(D961="V01",cad!$I$22,IF(D961="V02",cad!$J$22,cad!$K$22))</f>
        <v/>
      </c>
      <c r="I961">
        <f>IF(D961="V01",cad!$I$27,IF(D961="V02",cad!$J$27,cad!$K$27))</f>
        <v/>
      </c>
      <c r="J961">
        <f>IF(D961="V01",cad!$I$28,IF(D961="V02",cad!$J$28,cad!$K$28))</f>
        <v/>
      </c>
      <c r="K961">
        <f>IF(D961="V01",cad!$I$29,IF(D961="V02",cad!$J$29,cad!$K$29))</f>
        <v/>
      </c>
      <c r="L961">
        <f>IF(D961="V01",cad!$I$30,IF(D961="V02",cad!$J$30,cad!$K$30))</f>
        <v/>
      </c>
      <c r="M961">
        <f>IF(D961="V01",cad!$I$31,IF(D961="V02",cad!$J$31,cad!$K$31))</f>
        <v/>
      </c>
      <c r="N961">
        <f>IF(D961="V01",$R$2,IF(D961="V02",$R$3,$R$4))</f>
        <v/>
      </c>
      <c r="O961">
        <f>IF(OR(B961="7062",B961="706",B961="708"),N961,IF(B961="6231",1+G961,IF(B961="6236",1+H961,IF(OR(B961="621",B961="604",B961="6063"),N961*(1-L961),IF(OR(B961="6411",B961="6413",B961="6414",B961="645"),(1+J961)*(1+K961),IF(OR(B961="613",B961="615",B961="616",B961="6226",B961="625",B961="626",B961="6281"),(1+I961)*(1-L961)*(1+M961),IF(OR(B961="6331",B961="63511",B961="6333"),(1+I961)*(1-L961),IF(B961="6811",1+I961,1))))))))</f>
        <v/>
      </c>
      <c r="P961">
        <f>IF(E961=1,F961*O961,"")</f>
        <v/>
      </c>
    </row>
    <row r="962">
      <c r="A962">
        <f>PNL!A962</f>
        <v/>
      </c>
      <c r="B962">
        <f>PNL!B962</f>
        <v/>
      </c>
      <c r="C962">
        <f>PNL!C962</f>
        <v/>
      </c>
      <c r="D962">
        <f>PNL!D962</f>
        <v/>
      </c>
      <c r="E962">
        <f>IF(AND(C962="2027",OR(D962="V01",D962="V02",D962="V03")),1,0)</f>
        <v/>
      </c>
      <c r="F962">
        <f>IF(E962=1,SUMIFS(Compta!$F$2:$F$675,Compta!$A$2:$A$675,A962,Compta!$B$2:$B$675,B962,Compta!$C$2:$C$675,"2026"),0)</f>
        <v/>
      </c>
      <c r="G962">
        <f>IF(D962="V01",cad!$I$21,IF(D962="V02",cad!$J$21,cad!$K$21))</f>
        <v/>
      </c>
      <c r="H962">
        <f>IF(D962="V01",cad!$I$22,IF(D962="V02",cad!$J$22,cad!$K$22))</f>
        <v/>
      </c>
      <c r="I962">
        <f>IF(D962="V01",cad!$I$27,IF(D962="V02",cad!$J$27,cad!$K$27))</f>
        <v/>
      </c>
      <c r="J962">
        <f>IF(D962="V01",cad!$I$28,IF(D962="V02",cad!$J$28,cad!$K$28))</f>
        <v/>
      </c>
      <c r="K962">
        <f>IF(D962="V01",cad!$I$29,IF(D962="V02",cad!$J$29,cad!$K$29))</f>
        <v/>
      </c>
      <c r="L962">
        <f>IF(D962="V01",cad!$I$30,IF(D962="V02",cad!$J$30,cad!$K$30))</f>
        <v/>
      </c>
      <c r="M962">
        <f>IF(D962="V01",cad!$I$31,IF(D962="V02",cad!$J$31,cad!$K$31))</f>
        <v/>
      </c>
      <c r="N962">
        <f>IF(D962="V01",$R$2,IF(D962="V02",$R$3,$R$4))</f>
        <v/>
      </c>
      <c r="O962">
        <f>IF(OR(B962="7062",B962="706",B962="708"),N962,IF(B962="6231",1+G962,IF(B962="6236",1+H962,IF(OR(B962="621",B962="604",B962="6063"),N962*(1-L962),IF(OR(B962="6411",B962="6413",B962="6414",B962="645"),(1+J962)*(1+K962),IF(OR(B962="613",B962="615",B962="616",B962="6226",B962="625",B962="626",B962="6281"),(1+I962)*(1-L962)*(1+M962),IF(OR(B962="6331",B962="63511",B962="6333"),(1+I962)*(1-L962),IF(B962="6811",1+I962,1))))))))</f>
        <v/>
      </c>
      <c r="P962">
        <f>IF(E962=1,F962*O962,"")</f>
        <v/>
      </c>
    </row>
    <row r="963">
      <c r="A963">
        <f>PNL!A963</f>
        <v/>
      </c>
      <c r="B963">
        <f>PNL!B963</f>
        <v/>
      </c>
      <c r="C963">
        <f>PNL!C963</f>
        <v/>
      </c>
      <c r="D963">
        <f>PNL!D963</f>
        <v/>
      </c>
      <c r="E963">
        <f>IF(AND(C963="2027",OR(D963="V01",D963="V02",D963="V03")),1,0)</f>
        <v/>
      </c>
      <c r="F963">
        <f>IF(E963=1,SUMIFS(Compta!$F$2:$F$675,Compta!$A$2:$A$675,A963,Compta!$B$2:$B$675,B963,Compta!$C$2:$C$675,"2026"),0)</f>
        <v/>
      </c>
      <c r="G963">
        <f>IF(D963="V01",cad!$I$21,IF(D963="V02",cad!$J$21,cad!$K$21))</f>
        <v/>
      </c>
      <c r="H963">
        <f>IF(D963="V01",cad!$I$22,IF(D963="V02",cad!$J$22,cad!$K$22))</f>
        <v/>
      </c>
      <c r="I963">
        <f>IF(D963="V01",cad!$I$27,IF(D963="V02",cad!$J$27,cad!$K$27))</f>
        <v/>
      </c>
      <c r="J963">
        <f>IF(D963="V01",cad!$I$28,IF(D963="V02",cad!$J$28,cad!$K$28))</f>
        <v/>
      </c>
      <c r="K963">
        <f>IF(D963="V01",cad!$I$29,IF(D963="V02",cad!$J$29,cad!$K$29))</f>
        <v/>
      </c>
      <c r="L963">
        <f>IF(D963="V01",cad!$I$30,IF(D963="V02",cad!$J$30,cad!$K$30))</f>
        <v/>
      </c>
      <c r="M963">
        <f>IF(D963="V01",cad!$I$31,IF(D963="V02",cad!$J$31,cad!$K$31))</f>
        <v/>
      </c>
      <c r="N963">
        <f>IF(D963="V01",$R$2,IF(D963="V02",$R$3,$R$4))</f>
        <v/>
      </c>
      <c r="O963">
        <f>IF(OR(B963="7062",B963="706",B963="708"),N963,IF(B963="6231",1+G963,IF(B963="6236",1+H963,IF(OR(B963="621",B963="604",B963="6063"),N963*(1-L963),IF(OR(B963="6411",B963="6413",B963="6414",B963="645"),(1+J963)*(1+K963),IF(OR(B963="613",B963="615",B963="616",B963="6226",B963="625",B963="626",B963="6281"),(1+I963)*(1-L963)*(1+M963),IF(OR(B963="6331",B963="63511",B963="6333"),(1+I963)*(1-L963),IF(B963="6811",1+I963,1))))))))</f>
        <v/>
      </c>
      <c r="P963">
        <f>IF(E963=1,F963*O963,"")</f>
        <v/>
      </c>
    </row>
    <row r="964">
      <c r="A964">
        <f>PNL!A964</f>
        <v/>
      </c>
      <c r="B964">
        <f>PNL!B964</f>
        <v/>
      </c>
      <c r="C964">
        <f>PNL!C964</f>
        <v/>
      </c>
      <c r="D964">
        <f>PNL!D964</f>
        <v/>
      </c>
      <c r="E964">
        <f>IF(AND(C964="2027",OR(D964="V01",D964="V02",D964="V03")),1,0)</f>
        <v/>
      </c>
      <c r="F964">
        <f>IF(E964=1,SUMIFS(Compta!$F$2:$F$675,Compta!$A$2:$A$675,A964,Compta!$B$2:$B$675,B964,Compta!$C$2:$C$675,"2026"),0)</f>
        <v/>
      </c>
      <c r="G964">
        <f>IF(D964="V01",cad!$I$21,IF(D964="V02",cad!$J$21,cad!$K$21))</f>
        <v/>
      </c>
      <c r="H964">
        <f>IF(D964="V01",cad!$I$22,IF(D964="V02",cad!$J$22,cad!$K$22))</f>
        <v/>
      </c>
      <c r="I964">
        <f>IF(D964="V01",cad!$I$27,IF(D964="V02",cad!$J$27,cad!$K$27))</f>
        <v/>
      </c>
      <c r="J964">
        <f>IF(D964="V01",cad!$I$28,IF(D964="V02",cad!$J$28,cad!$K$28))</f>
        <v/>
      </c>
      <c r="K964">
        <f>IF(D964="V01",cad!$I$29,IF(D964="V02",cad!$J$29,cad!$K$29))</f>
        <v/>
      </c>
      <c r="L964">
        <f>IF(D964="V01",cad!$I$30,IF(D964="V02",cad!$J$30,cad!$K$30))</f>
        <v/>
      </c>
      <c r="M964">
        <f>IF(D964="V01",cad!$I$31,IF(D964="V02",cad!$J$31,cad!$K$31))</f>
        <v/>
      </c>
      <c r="N964">
        <f>IF(D964="V01",$R$2,IF(D964="V02",$R$3,$R$4))</f>
        <v/>
      </c>
      <c r="O964">
        <f>IF(OR(B964="7062",B964="706",B964="708"),N964,IF(B964="6231",1+G964,IF(B964="6236",1+H964,IF(OR(B964="621",B964="604",B964="6063"),N964*(1-L964),IF(OR(B964="6411",B964="6413",B964="6414",B964="645"),(1+J964)*(1+K964),IF(OR(B964="613",B964="615",B964="616",B964="6226",B964="625",B964="626",B964="6281"),(1+I964)*(1-L964)*(1+M964),IF(OR(B964="6331",B964="63511",B964="6333"),(1+I964)*(1-L964),IF(B964="6811",1+I964,1))))))))</f>
        <v/>
      </c>
      <c r="P964">
        <f>IF(E964=1,F964*O964,"")</f>
        <v/>
      </c>
    </row>
    <row r="965">
      <c r="A965">
        <f>PNL!A965</f>
        <v/>
      </c>
      <c r="B965">
        <f>PNL!B965</f>
        <v/>
      </c>
      <c r="C965">
        <f>PNL!C965</f>
        <v/>
      </c>
      <c r="D965">
        <f>PNL!D965</f>
        <v/>
      </c>
      <c r="E965">
        <f>IF(AND(C965="2027",OR(D965="V01",D965="V02",D965="V03")),1,0)</f>
        <v/>
      </c>
      <c r="F965">
        <f>IF(E965=1,SUMIFS(Compta!$F$2:$F$675,Compta!$A$2:$A$675,A965,Compta!$B$2:$B$675,B965,Compta!$C$2:$C$675,"2026"),0)</f>
        <v/>
      </c>
      <c r="G965">
        <f>IF(D965="V01",cad!$I$21,IF(D965="V02",cad!$J$21,cad!$K$21))</f>
        <v/>
      </c>
      <c r="H965">
        <f>IF(D965="V01",cad!$I$22,IF(D965="V02",cad!$J$22,cad!$K$22))</f>
        <v/>
      </c>
      <c r="I965">
        <f>IF(D965="V01",cad!$I$27,IF(D965="V02",cad!$J$27,cad!$K$27))</f>
        <v/>
      </c>
      <c r="J965">
        <f>IF(D965="V01",cad!$I$28,IF(D965="V02",cad!$J$28,cad!$K$28))</f>
        <v/>
      </c>
      <c r="K965">
        <f>IF(D965="V01",cad!$I$29,IF(D965="V02",cad!$J$29,cad!$K$29))</f>
        <v/>
      </c>
      <c r="L965">
        <f>IF(D965="V01",cad!$I$30,IF(D965="V02",cad!$J$30,cad!$K$30))</f>
        <v/>
      </c>
      <c r="M965">
        <f>IF(D965="V01",cad!$I$31,IF(D965="V02",cad!$J$31,cad!$K$31))</f>
        <v/>
      </c>
      <c r="N965">
        <f>IF(D965="V01",$R$2,IF(D965="V02",$R$3,$R$4))</f>
        <v/>
      </c>
      <c r="O965">
        <f>IF(OR(B965="7062",B965="706",B965="708"),N965,IF(B965="6231",1+G965,IF(B965="6236",1+H965,IF(OR(B965="621",B965="604",B965="6063"),N965*(1-L965),IF(OR(B965="6411",B965="6413",B965="6414",B965="645"),(1+J965)*(1+K965),IF(OR(B965="613",B965="615",B965="616",B965="6226",B965="625",B965="626",B965="6281"),(1+I965)*(1-L965)*(1+M965),IF(OR(B965="6331",B965="63511",B965="6333"),(1+I965)*(1-L965),IF(B965="6811",1+I965,1))))))))</f>
        <v/>
      </c>
      <c r="P965">
        <f>IF(E965=1,F965*O965,"")</f>
        <v/>
      </c>
    </row>
    <row r="966">
      <c r="A966">
        <f>PNL!A966</f>
        <v/>
      </c>
      <c r="B966">
        <f>PNL!B966</f>
        <v/>
      </c>
      <c r="C966">
        <f>PNL!C966</f>
        <v/>
      </c>
      <c r="D966">
        <f>PNL!D966</f>
        <v/>
      </c>
      <c r="E966">
        <f>IF(AND(C966="2027",OR(D966="V01",D966="V02",D966="V03")),1,0)</f>
        <v/>
      </c>
      <c r="F966">
        <f>IF(E966=1,SUMIFS(Compta!$F$2:$F$675,Compta!$A$2:$A$675,A966,Compta!$B$2:$B$675,B966,Compta!$C$2:$C$675,"2026"),0)</f>
        <v/>
      </c>
      <c r="G966">
        <f>IF(D966="V01",cad!$I$21,IF(D966="V02",cad!$J$21,cad!$K$21))</f>
        <v/>
      </c>
      <c r="H966">
        <f>IF(D966="V01",cad!$I$22,IF(D966="V02",cad!$J$22,cad!$K$22))</f>
        <v/>
      </c>
      <c r="I966">
        <f>IF(D966="V01",cad!$I$27,IF(D966="V02",cad!$J$27,cad!$K$27))</f>
        <v/>
      </c>
      <c r="J966">
        <f>IF(D966="V01",cad!$I$28,IF(D966="V02",cad!$J$28,cad!$K$28))</f>
        <v/>
      </c>
      <c r="K966">
        <f>IF(D966="V01",cad!$I$29,IF(D966="V02",cad!$J$29,cad!$K$29))</f>
        <v/>
      </c>
      <c r="L966">
        <f>IF(D966="V01",cad!$I$30,IF(D966="V02",cad!$J$30,cad!$K$30))</f>
        <v/>
      </c>
      <c r="M966">
        <f>IF(D966="V01",cad!$I$31,IF(D966="V02",cad!$J$31,cad!$K$31))</f>
        <v/>
      </c>
      <c r="N966">
        <f>IF(D966="V01",$R$2,IF(D966="V02",$R$3,$R$4))</f>
        <v/>
      </c>
      <c r="O966">
        <f>IF(OR(B966="7062",B966="706",B966="708"),N966,IF(B966="6231",1+G966,IF(B966="6236",1+H966,IF(OR(B966="621",B966="604",B966="6063"),N966*(1-L966),IF(OR(B966="6411",B966="6413",B966="6414",B966="645"),(1+J966)*(1+K966),IF(OR(B966="613",B966="615",B966="616",B966="6226",B966="625",B966="626",B966="6281"),(1+I966)*(1-L966)*(1+M966),IF(OR(B966="6331",B966="63511",B966="6333"),(1+I966)*(1-L966),IF(B966="6811",1+I966,1))))))))</f>
        <v/>
      </c>
      <c r="P966">
        <f>IF(E966=1,F966*O966,"")</f>
        <v/>
      </c>
    </row>
    <row r="967">
      <c r="A967">
        <f>PNL!A967</f>
        <v/>
      </c>
      <c r="B967">
        <f>PNL!B967</f>
        <v/>
      </c>
      <c r="C967">
        <f>PNL!C967</f>
        <v/>
      </c>
      <c r="D967">
        <f>PNL!D967</f>
        <v/>
      </c>
      <c r="E967">
        <f>IF(AND(C967="2027",OR(D967="V01",D967="V02",D967="V03")),1,0)</f>
        <v/>
      </c>
      <c r="F967">
        <f>IF(E967=1,SUMIFS(Compta!$F$2:$F$675,Compta!$A$2:$A$675,A967,Compta!$B$2:$B$675,B967,Compta!$C$2:$C$675,"2026"),0)</f>
        <v/>
      </c>
      <c r="G967">
        <f>IF(D967="V01",cad!$I$21,IF(D967="V02",cad!$J$21,cad!$K$21))</f>
        <v/>
      </c>
      <c r="H967">
        <f>IF(D967="V01",cad!$I$22,IF(D967="V02",cad!$J$22,cad!$K$22))</f>
        <v/>
      </c>
      <c r="I967">
        <f>IF(D967="V01",cad!$I$27,IF(D967="V02",cad!$J$27,cad!$K$27))</f>
        <v/>
      </c>
      <c r="J967">
        <f>IF(D967="V01",cad!$I$28,IF(D967="V02",cad!$J$28,cad!$K$28))</f>
        <v/>
      </c>
      <c r="K967">
        <f>IF(D967="V01",cad!$I$29,IF(D967="V02",cad!$J$29,cad!$K$29))</f>
        <v/>
      </c>
      <c r="L967">
        <f>IF(D967="V01",cad!$I$30,IF(D967="V02",cad!$J$30,cad!$K$30))</f>
        <v/>
      </c>
      <c r="M967">
        <f>IF(D967="V01",cad!$I$31,IF(D967="V02",cad!$J$31,cad!$K$31))</f>
        <v/>
      </c>
      <c r="N967">
        <f>IF(D967="V01",$R$2,IF(D967="V02",$R$3,$R$4))</f>
        <v/>
      </c>
      <c r="O967">
        <f>IF(OR(B967="7062",B967="706",B967="708"),N967,IF(B967="6231",1+G967,IF(B967="6236",1+H967,IF(OR(B967="621",B967="604",B967="6063"),N967*(1-L967),IF(OR(B967="6411",B967="6413",B967="6414",B967="645"),(1+J967)*(1+K967),IF(OR(B967="613",B967="615",B967="616",B967="6226",B967="625",B967="626",B967="6281"),(1+I967)*(1-L967)*(1+M967),IF(OR(B967="6331",B967="63511",B967="6333"),(1+I967)*(1-L967),IF(B967="6811",1+I967,1))))))))</f>
        <v/>
      </c>
      <c r="P967">
        <f>IF(E967=1,F967*O967,"")</f>
        <v/>
      </c>
    </row>
    <row r="968">
      <c r="A968">
        <f>PNL!A968</f>
        <v/>
      </c>
      <c r="B968">
        <f>PNL!B968</f>
        <v/>
      </c>
      <c r="C968">
        <f>PNL!C968</f>
        <v/>
      </c>
      <c r="D968">
        <f>PNL!D968</f>
        <v/>
      </c>
      <c r="E968">
        <f>IF(AND(C968="2027",OR(D968="V01",D968="V02",D968="V03")),1,0)</f>
        <v/>
      </c>
      <c r="F968">
        <f>IF(E968=1,SUMIFS(Compta!$F$2:$F$675,Compta!$A$2:$A$675,A968,Compta!$B$2:$B$675,B968,Compta!$C$2:$C$675,"2026"),0)</f>
        <v/>
      </c>
      <c r="G968">
        <f>IF(D968="V01",cad!$I$21,IF(D968="V02",cad!$J$21,cad!$K$21))</f>
        <v/>
      </c>
      <c r="H968">
        <f>IF(D968="V01",cad!$I$22,IF(D968="V02",cad!$J$22,cad!$K$22))</f>
        <v/>
      </c>
      <c r="I968">
        <f>IF(D968="V01",cad!$I$27,IF(D968="V02",cad!$J$27,cad!$K$27))</f>
        <v/>
      </c>
      <c r="J968">
        <f>IF(D968="V01",cad!$I$28,IF(D968="V02",cad!$J$28,cad!$K$28))</f>
        <v/>
      </c>
      <c r="K968">
        <f>IF(D968="V01",cad!$I$29,IF(D968="V02",cad!$J$29,cad!$K$29))</f>
        <v/>
      </c>
      <c r="L968">
        <f>IF(D968="V01",cad!$I$30,IF(D968="V02",cad!$J$30,cad!$K$30))</f>
        <v/>
      </c>
      <c r="M968">
        <f>IF(D968="V01",cad!$I$31,IF(D968="V02",cad!$J$31,cad!$K$31))</f>
        <v/>
      </c>
      <c r="N968">
        <f>IF(D968="V01",$R$2,IF(D968="V02",$R$3,$R$4))</f>
        <v/>
      </c>
      <c r="O968">
        <f>IF(OR(B968="7062",B968="706",B968="708"),N968,IF(B968="6231",1+G968,IF(B968="6236",1+H968,IF(OR(B968="621",B968="604",B968="6063"),N968*(1-L968),IF(OR(B968="6411",B968="6413",B968="6414",B968="645"),(1+J968)*(1+K968),IF(OR(B968="613",B968="615",B968="616",B968="6226",B968="625",B968="626",B968="6281"),(1+I968)*(1-L968)*(1+M968),IF(OR(B968="6331",B968="63511",B968="6333"),(1+I968)*(1-L968),IF(B968="6811",1+I968,1))))))))</f>
        <v/>
      </c>
      <c r="P968">
        <f>IF(E968=1,F968*O968,"")</f>
        <v/>
      </c>
    </row>
    <row r="969">
      <c r="A969">
        <f>PNL!A969</f>
        <v/>
      </c>
      <c r="B969">
        <f>PNL!B969</f>
        <v/>
      </c>
      <c r="C969">
        <f>PNL!C969</f>
        <v/>
      </c>
      <c r="D969">
        <f>PNL!D969</f>
        <v/>
      </c>
      <c r="E969">
        <f>IF(AND(C969="2027",OR(D969="V01",D969="V02",D969="V03")),1,0)</f>
        <v/>
      </c>
      <c r="F969">
        <f>IF(E969=1,SUMIFS(Compta!$F$2:$F$675,Compta!$A$2:$A$675,A969,Compta!$B$2:$B$675,B969,Compta!$C$2:$C$675,"2026"),0)</f>
        <v/>
      </c>
      <c r="G969">
        <f>IF(D969="V01",cad!$I$21,IF(D969="V02",cad!$J$21,cad!$K$21))</f>
        <v/>
      </c>
      <c r="H969">
        <f>IF(D969="V01",cad!$I$22,IF(D969="V02",cad!$J$22,cad!$K$22))</f>
        <v/>
      </c>
      <c r="I969">
        <f>IF(D969="V01",cad!$I$27,IF(D969="V02",cad!$J$27,cad!$K$27))</f>
        <v/>
      </c>
      <c r="J969">
        <f>IF(D969="V01",cad!$I$28,IF(D969="V02",cad!$J$28,cad!$K$28))</f>
        <v/>
      </c>
      <c r="K969">
        <f>IF(D969="V01",cad!$I$29,IF(D969="V02",cad!$J$29,cad!$K$29))</f>
        <v/>
      </c>
      <c r="L969">
        <f>IF(D969="V01",cad!$I$30,IF(D969="V02",cad!$J$30,cad!$K$30))</f>
        <v/>
      </c>
      <c r="M969">
        <f>IF(D969="V01",cad!$I$31,IF(D969="V02",cad!$J$31,cad!$K$31))</f>
        <v/>
      </c>
      <c r="N969">
        <f>IF(D969="V01",$R$2,IF(D969="V02",$R$3,$R$4))</f>
        <v/>
      </c>
      <c r="O969">
        <f>IF(OR(B969="7062",B969="706",B969="708"),N969,IF(B969="6231",1+G969,IF(B969="6236",1+H969,IF(OR(B969="621",B969="604",B969="6063"),N969*(1-L969),IF(OR(B969="6411",B969="6413",B969="6414",B969="645"),(1+J969)*(1+K969),IF(OR(B969="613",B969="615",B969="616",B969="6226",B969="625",B969="626",B969="6281"),(1+I969)*(1-L969)*(1+M969),IF(OR(B969="6331",B969="63511",B969="6333"),(1+I969)*(1-L969),IF(B969="6811",1+I969,1))))))))</f>
        <v/>
      </c>
      <c r="P969">
        <f>IF(E969=1,F969*O969,"")</f>
        <v/>
      </c>
    </row>
    <row r="970">
      <c r="A970">
        <f>PNL!A970</f>
        <v/>
      </c>
      <c r="B970">
        <f>PNL!B970</f>
        <v/>
      </c>
      <c r="C970">
        <f>PNL!C970</f>
        <v/>
      </c>
      <c r="D970">
        <f>PNL!D970</f>
        <v/>
      </c>
      <c r="E970">
        <f>IF(AND(C970="2027",OR(D970="V01",D970="V02",D970="V03")),1,0)</f>
        <v/>
      </c>
      <c r="F970">
        <f>IF(E970=1,SUMIFS(Compta!$F$2:$F$675,Compta!$A$2:$A$675,A970,Compta!$B$2:$B$675,B970,Compta!$C$2:$C$675,"2026"),0)</f>
        <v/>
      </c>
      <c r="G970">
        <f>IF(D970="V01",cad!$I$21,IF(D970="V02",cad!$J$21,cad!$K$21))</f>
        <v/>
      </c>
      <c r="H970">
        <f>IF(D970="V01",cad!$I$22,IF(D970="V02",cad!$J$22,cad!$K$22))</f>
        <v/>
      </c>
      <c r="I970">
        <f>IF(D970="V01",cad!$I$27,IF(D970="V02",cad!$J$27,cad!$K$27))</f>
        <v/>
      </c>
      <c r="J970">
        <f>IF(D970="V01",cad!$I$28,IF(D970="V02",cad!$J$28,cad!$K$28))</f>
        <v/>
      </c>
      <c r="K970">
        <f>IF(D970="V01",cad!$I$29,IF(D970="V02",cad!$J$29,cad!$K$29))</f>
        <v/>
      </c>
      <c r="L970">
        <f>IF(D970="V01",cad!$I$30,IF(D970="V02",cad!$J$30,cad!$K$30))</f>
        <v/>
      </c>
      <c r="M970">
        <f>IF(D970="V01",cad!$I$31,IF(D970="V02",cad!$J$31,cad!$K$31))</f>
        <v/>
      </c>
      <c r="N970">
        <f>IF(D970="V01",$R$2,IF(D970="V02",$R$3,$R$4))</f>
        <v/>
      </c>
      <c r="O970">
        <f>IF(OR(B970="7062",B970="706",B970="708"),N970,IF(B970="6231",1+G970,IF(B970="6236",1+H970,IF(OR(B970="621",B970="604",B970="6063"),N970*(1-L970),IF(OR(B970="6411",B970="6413",B970="6414",B970="645"),(1+J970)*(1+K970),IF(OR(B970="613",B970="615",B970="616",B970="6226",B970="625",B970="626",B970="6281"),(1+I970)*(1-L970)*(1+M970),IF(OR(B970="6331",B970="63511",B970="6333"),(1+I970)*(1-L970),IF(B970="6811",1+I970,1))))))))</f>
        <v/>
      </c>
      <c r="P970">
        <f>IF(E970=1,F970*O970,"")</f>
        <v/>
      </c>
    </row>
    <row r="971">
      <c r="A971">
        <f>PNL!A971</f>
        <v/>
      </c>
      <c r="B971">
        <f>PNL!B971</f>
        <v/>
      </c>
      <c r="C971">
        <f>PNL!C971</f>
        <v/>
      </c>
      <c r="D971">
        <f>PNL!D971</f>
        <v/>
      </c>
      <c r="E971">
        <f>IF(AND(C971="2027",OR(D971="V01",D971="V02",D971="V03")),1,0)</f>
        <v/>
      </c>
      <c r="F971">
        <f>IF(E971=1,SUMIFS(Compta!$F$2:$F$675,Compta!$A$2:$A$675,A971,Compta!$B$2:$B$675,B971,Compta!$C$2:$C$675,"2026"),0)</f>
        <v/>
      </c>
      <c r="G971">
        <f>IF(D971="V01",cad!$I$21,IF(D971="V02",cad!$J$21,cad!$K$21))</f>
        <v/>
      </c>
      <c r="H971">
        <f>IF(D971="V01",cad!$I$22,IF(D971="V02",cad!$J$22,cad!$K$22))</f>
        <v/>
      </c>
      <c r="I971">
        <f>IF(D971="V01",cad!$I$27,IF(D971="V02",cad!$J$27,cad!$K$27))</f>
        <v/>
      </c>
      <c r="J971">
        <f>IF(D971="V01",cad!$I$28,IF(D971="V02",cad!$J$28,cad!$K$28))</f>
        <v/>
      </c>
      <c r="K971">
        <f>IF(D971="V01",cad!$I$29,IF(D971="V02",cad!$J$29,cad!$K$29))</f>
        <v/>
      </c>
      <c r="L971">
        <f>IF(D971="V01",cad!$I$30,IF(D971="V02",cad!$J$30,cad!$K$30))</f>
        <v/>
      </c>
      <c r="M971">
        <f>IF(D971="V01",cad!$I$31,IF(D971="V02",cad!$J$31,cad!$K$31))</f>
        <v/>
      </c>
      <c r="N971">
        <f>IF(D971="V01",$R$2,IF(D971="V02",$R$3,$R$4))</f>
        <v/>
      </c>
      <c r="O971">
        <f>IF(OR(B971="7062",B971="706",B971="708"),N971,IF(B971="6231",1+G971,IF(B971="6236",1+H971,IF(OR(B971="621",B971="604",B971="6063"),N971*(1-L971),IF(OR(B971="6411",B971="6413",B971="6414",B971="645"),(1+J971)*(1+K971),IF(OR(B971="613",B971="615",B971="616",B971="6226",B971="625",B971="626",B971="6281"),(1+I971)*(1-L971)*(1+M971),IF(OR(B971="6331",B971="63511",B971="6333"),(1+I971)*(1-L971),IF(B971="6811",1+I971,1))))))))</f>
        <v/>
      </c>
      <c r="P971">
        <f>IF(E971=1,F971*O971,"")</f>
        <v/>
      </c>
    </row>
    <row r="972">
      <c r="A972">
        <f>PNL!A972</f>
        <v/>
      </c>
      <c r="B972">
        <f>PNL!B972</f>
        <v/>
      </c>
      <c r="C972">
        <f>PNL!C972</f>
        <v/>
      </c>
      <c r="D972">
        <f>PNL!D972</f>
        <v/>
      </c>
      <c r="E972">
        <f>IF(AND(C972="2027",OR(D972="V01",D972="V02",D972="V03")),1,0)</f>
        <v/>
      </c>
      <c r="F972">
        <f>IF(E972=1,SUMIFS(Compta!$F$2:$F$675,Compta!$A$2:$A$675,A972,Compta!$B$2:$B$675,B972,Compta!$C$2:$C$675,"2026"),0)</f>
        <v/>
      </c>
      <c r="G972">
        <f>IF(D972="V01",cad!$I$21,IF(D972="V02",cad!$J$21,cad!$K$21))</f>
        <v/>
      </c>
      <c r="H972">
        <f>IF(D972="V01",cad!$I$22,IF(D972="V02",cad!$J$22,cad!$K$22))</f>
        <v/>
      </c>
      <c r="I972">
        <f>IF(D972="V01",cad!$I$27,IF(D972="V02",cad!$J$27,cad!$K$27))</f>
        <v/>
      </c>
      <c r="J972">
        <f>IF(D972="V01",cad!$I$28,IF(D972="V02",cad!$J$28,cad!$K$28))</f>
        <v/>
      </c>
      <c r="K972">
        <f>IF(D972="V01",cad!$I$29,IF(D972="V02",cad!$J$29,cad!$K$29))</f>
        <v/>
      </c>
      <c r="L972">
        <f>IF(D972="V01",cad!$I$30,IF(D972="V02",cad!$J$30,cad!$K$30))</f>
        <v/>
      </c>
      <c r="M972">
        <f>IF(D972="V01",cad!$I$31,IF(D972="V02",cad!$J$31,cad!$K$31))</f>
        <v/>
      </c>
      <c r="N972">
        <f>IF(D972="V01",$R$2,IF(D972="V02",$R$3,$R$4))</f>
        <v/>
      </c>
      <c r="O972">
        <f>IF(OR(B972="7062",B972="706",B972="708"),N972,IF(B972="6231",1+G972,IF(B972="6236",1+H972,IF(OR(B972="621",B972="604",B972="6063"),N972*(1-L972),IF(OR(B972="6411",B972="6413",B972="6414",B972="645"),(1+J972)*(1+K972),IF(OR(B972="613",B972="615",B972="616",B972="6226",B972="625",B972="626",B972="6281"),(1+I972)*(1-L972)*(1+M972),IF(OR(B972="6331",B972="63511",B972="6333"),(1+I972)*(1-L972),IF(B972="6811",1+I972,1))))))))</f>
        <v/>
      </c>
      <c r="P972">
        <f>IF(E972=1,F972*O972,"")</f>
        <v/>
      </c>
    </row>
    <row r="973">
      <c r="A973">
        <f>PNL!A973</f>
        <v/>
      </c>
      <c r="B973">
        <f>PNL!B973</f>
        <v/>
      </c>
      <c r="C973">
        <f>PNL!C973</f>
        <v/>
      </c>
      <c r="D973">
        <f>PNL!D973</f>
        <v/>
      </c>
      <c r="E973">
        <f>IF(AND(C973="2027",OR(D973="V01",D973="V02",D973="V03")),1,0)</f>
        <v/>
      </c>
      <c r="F973">
        <f>IF(E973=1,SUMIFS(Compta!$F$2:$F$675,Compta!$A$2:$A$675,A973,Compta!$B$2:$B$675,B973,Compta!$C$2:$C$675,"2026"),0)</f>
        <v/>
      </c>
      <c r="G973">
        <f>IF(D973="V01",cad!$I$21,IF(D973="V02",cad!$J$21,cad!$K$21))</f>
        <v/>
      </c>
      <c r="H973">
        <f>IF(D973="V01",cad!$I$22,IF(D973="V02",cad!$J$22,cad!$K$22))</f>
        <v/>
      </c>
      <c r="I973">
        <f>IF(D973="V01",cad!$I$27,IF(D973="V02",cad!$J$27,cad!$K$27))</f>
        <v/>
      </c>
      <c r="J973">
        <f>IF(D973="V01",cad!$I$28,IF(D973="V02",cad!$J$28,cad!$K$28))</f>
        <v/>
      </c>
      <c r="K973">
        <f>IF(D973="V01",cad!$I$29,IF(D973="V02",cad!$J$29,cad!$K$29))</f>
        <v/>
      </c>
      <c r="L973">
        <f>IF(D973="V01",cad!$I$30,IF(D973="V02",cad!$J$30,cad!$K$30))</f>
        <v/>
      </c>
      <c r="M973">
        <f>IF(D973="V01",cad!$I$31,IF(D973="V02",cad!$J$31,cad!$K$31))</f>
        <v/>
      </c>
      <c r="N973">
        <f>IF(D973="V01",$R$2,IF(D973="V02",$R$3,$R$4))</f>
        <v/>
      </c>
      <c r="O973">
        <f>IF(OR(B973="7062",B973="706",B973="708"),N973,IF(B973="6231",1+G973,IF(B973="6236",1+H973,IF(OR(B973="621",B973="604",B973="6063"),N973*(1-L973),IF(OR(B973="6411",B973="6413",B973="6414",B973="645"),(1+J973)*(1+K973),IF(OR(B973="613",B973="615",B973="616",B973="6226",B973="625",B973="626",B973="6281"),(1+I973)*(1-L973)*(1+M973),IF(OR(B973="6331",B973="63511",B973="6333"),(1+I973)*(1-L973),IF(B973="6811",1+I973,1))))))))</f>
        <v/>
      </c>
      <c r="P973">
        <f>IF(E973=1,F973*O973,"")</f>
        <v/>
      </c>
    </row>
    <row r="974">
      <c r="A974">
        <f>PNL!A974</f>
        <v/>
      </c>
      <c r="B974">
        <f>PNL!B974</f>
        <v/>
      </c>
      <c r="C974">
        <f>PNL!C974</f>
        <v/>
      </c>
      <c r="D974">
        <f>PNL!D974</f>
        <v/>
      </c>
      <c r="E974">
        <f>IF(AND(C974="2027",OR(D974="V01",D974="V02",D974="V03")),1,0)</f>
        <v/>
      </c>
      <c r="F974">
        <f>IF(E974=1,SUMIFS(Compta!$F$2:$F$675,Compta!$A$2:$A$675,A974,Compta!$B$2:$B$675,B974,Compta!$C$2:$C$675,"2026"),0)</f>
        <v/>
      </c>
      <c r="G974">
        <f>IF(D974="V01",cad!$I$21,IF(D974="V02",cad!$J$21,cad!$K$21))</f>
        <v/>
      </c>
      <c r="H974">
        <f>IF(D974="V01",cad!$I$22,IF(D974="V02",cad!$J$22,cad!$K$22))</f>
        <v/>
      </c>
      <c r="I974">
        <f>IF(D974="V01",cad!$I$27,IF(D974="V02",cad!$J$27,cad!$K$27))</f>
        <v/>
      </c>
      <c r="J974">
        <f>IF(D974="V01",cad!$I$28,IF(D974="V02",cad!$J$28,cad!$K$28))</f>
        <v/>
      </c>
      <c r="K974">
        <f>IF(D974="V01",cad!$I$29,IF(D974="V02",cad!$J$29,cad!$K$29))</f>
        <v/>
      </c>
      <c r="L974">
        <f>IF(D974="V01",cad!$I$30,IF(D974="V02",cad!$J$30,cad!$K$30))</f>
        <v/>
      </c>
      <c r="M974">
        <f>IF(D974="V01",cad!$I$31,IF(D974="V02",cad!$J$31,cad!$K$31))</f>
        <v/>
      </c>
      <c r="N974">
        <f>IF(D974="V01",$R$2,IF(D974="V02",$R$3,$R$4))</f>
        <v/>
      </c>
      <c r="O974">
        <f>IF(OR(B974="7062",B974="706",B974="708"),N974,IF(B974="6231",1+G974,IF(B974="6236",1+H974,IF(OR(B974="621",B974="604",B974="6063"),N974*(1-L974),IF(OR(B974="6411",B974="6413",B974="6414",B974="645"),(1+J974)*(1+K974),IF(OR(B974="613",B974="615",B974="616",B974="6226",B974="625",B974="626",B974="6281"),(1+I974)*(1-L974)*(1+M974),IF(OR(B974="6331",B974="63511",B974="6333"),(1+I974)*(1-L974),IF(B974="6811",1+I974,1))))))))</f>
        <v/>
      </c>
      <c r="P974">
        <f>IF(E974=1,F974*O974,"")</f>
        <v/>
      </c>
    </row>
    <row r="975">
      <c r="A975">
        <f>PNL!A975</f>
        <v/>
      </c>
      <c r="B975">
        <f>PNL!B975</f>
        <v/>
      </c>
      <c r="C975">
        <f>PNL!C975</f>
        <v/>
      </c>
      <c r="D975">
        <f>PNL!D975</f>
        <v/>
      </c>
      <c r="E975">
        <f>IF(AND(C975="2027",OR(D975="V01",D975="V02",D975="V03")),1,0)</f>
        <v/>
      </c>
      <c r="F975">
        <f>IF(E975=1,SUMIFS(Compta!$F$2:$F$675,Compta!$A$2:$A$675,A975,Compta!$B$2:$B$675,B975,Compta!$C$2:$C$675,"2026"),0)</f>
        <v/>
      </c>
      <c r="G975">
        <f>IF(D975="V01",cad!$I$21,IF(D975="V02",cad!$J$21,cad!$K$21))</f>
        <v/>
      </c>
      <c r="H975">
        <f>IF(D975="V01",cad!$I$22,IF(D975="V02",cad!$J$22,cad!$K$22))</f>
        <v/>
      </c>
      <c r="I975">
        <f>IF(D975="V01",cad!$I$27,IF(D975="V02",cad!$J$27,cad!$K$27))</f>
        <v/>
      </c>
      <c r="J975">
        <f>IF(D975="V01",cad!$I$28,IF(D975="V02",cad!$J$28,cad!$K$28))</f>
        <v/>
      </c>
      <c r="K975">
        <f>IF(D975="V01",cad!$I$29,IF(D975="V02",cad!$J$29,cad!$K$29))</f>
        <v/>
      </c>
      <c r="L975">
        <f>IF(D975="V01",cad!$I$30,IF(D975="V02",cad!$J$30,cad!$K$30))</f>
        <v/>
      </c>
      <c r="M975">
        <f>IF(D975="V01",cad!$I$31,IF(D975="V02",cad!$J$31,cad!$K$31))</f>
        <v/>
      </c>
      <c r="N975">
        <f>IF(D975="V01",$R$2,IF(D975="V02",$R$3,$R$4))</f>
        <v/>
      </c>
      <c r="O975">
        <f>IF(OR(B975="7062",B975="706",B975="708"),N975,IF(B975="6231",1+G975,IF(B975="6236",1+H975,IF(OR(B975="621",B975="604",B975="6063"),N975*(1-L975),IF(OR(B975="6411",B975="6413",B975="6414",B975="645"),(1+J975)*(1+K975),IF(OR(B975="613",B975="615",B975="616",B975="6226",B975="625",B975="626",B975="6281"),(1+I975)*(1-L975)*(1+M975),IF(OR(B975="6331",B975="63511",B975="6333"),(1+I975)*(1-L975),IF(B975="6811",1+I975,1))))))))</f>
        <v/>
      </c>
      <c r="P975">
        <f>IF(E975=1,F975*O975,"")</f>
        <v/>
      </c>
    </row>
    <row r="976">
      <c r="A976">
        <f>PNL!A976</f>
        <v/>
      </c>
      <c r="B976">
        <f>PNL!B976</f>
        <v/>
      </c>
      <c r="C976">
        <f>PNL!C976</f>
        <v/>
      </c>
      <c r="D976">
        <f>PNL!D976</f>
        <v/>
      </c>
      <c r="E976">
        <f>IF(AND(C976="2027",OR(D976="V01",D976="V02",D976="V03")),1,0)</f>
        <v/>
      </c>
      <c r="F976">
        <f>IF(E976=1,SUMIFS(Compta!$F$2:$F$675,Compta!$A$2:$A$675,A976,Compta!$B$2:$B$675,B976,Compta!$C$2:$C$675,"2026"),0)</f>
        <v/>
      </c>
      <c r="G976">
        <f>IF(D976="V01",cad!$I$21,IF(D976="V02",cad!$J$21,cad!$K$21))</f>
        <v/>
      </c>
      <c r="H976">
        <f>IF(D976="V01",cad!$I$22,IF(D976="V02",cad!$J$22,cad!$K$22))</f>
        <v/>
      </c>
      <c r="I976">
        <f>IF(D976="V01",cad!$I$27,IF(D976="V02",cad!$J$27,cad!$K$27))</f>
        <v/>
      </c>
      <c r="J976">
        <f>IF(D976="V01",cad!$I$28,IF(D976="V02",cad!$J$28,cad!$K$28))</f>
        <v/>
      </c>
      <c r="K976">
        <f>IF(D976="V01",cad!$I$29,IF(D976="V02",cad!$J$29,cad!$K$29))</f>
        <v/>
      </c>
      <c r="L976">
        <f>IF(D976="V01",cad!$I$30,IF(D976="V02",cad!$J$30,cad!$K$30))</f>
        <v/>
      </c>
      <c r="M976">
        <f>IF(D976="V01",cad!$I$31,IF(D976="V02",cad!$J$31,cad!$K$31))</f>
        <v/>
      </c>
      <c r="N976">
        <f>IF(D976="V01",$R$2,IF(D976="V02",$R$3,$R$4))</f>
        <v/>
      </c>
      <c r="O976">
        <f>IF(OR(B976="7062",B976="706",B976="708"),N976,IF(B976="6231",1+G976,IF(B976="6236",1+H976,IF(OR(B976="621",B976="604",B976="6063"),N976*(1-L976),IF(OR(B976="6411",B976="6413",B976="6414",B976="645"),(1+J976)*(1+K976),IF(OR(B976="613",B976="615",B976="616",B976="6226",B976="625",B976="626",B976="6281"),(1+I976)*(1-L976)*(1+M976),IF(OR(B976="6331",B976="63511",B976="6333"),(1+I976)*(1-L976),IF(B976="6811",1+I976,1))))))))</f>
        <v/>
      </c>
      <c r="P976">
        <f>IF(E976=1,F976*O976,"")</f>
        <v/>
      </c>
    </row>
    <row r="977">
      <c r="A977">
        <f>PNL!A977</f>
        <v/>
      </c>
      <c r="B977">
        <f>PNL!B977</f>
        <v/>
      </c>
      <c r="C977">
        <f>PNL!C977</f>
        <v/>
      </c>
      <c r="D977">
        <f>PNL!D977</f>
        <v/>
      </c>
      <c r="E977">
        <f>IF(AND(C977="2027",OR(D977="V01",D977="V02",D977="V03")),1,0)</f>
        <v/>
      </c>
      <c r="F977">
        <f>IF(E977=1,SUMIFS(Compta!$F$2:$F$675,Compta!$A$2:$A$675,A977,Compta!$B$2:$B$675,B977,Compta!$C$2:$C$675,"2026"),0)</f>
        <v/>
      </c>
      <c r="G977">
        <f>IF(D977="V01",cad!$I$21,IF(D977="V02",cad!$J$21,cad!$K$21))</f>
        <v/>
      </c>
      <c r="H977">
        <f>IF(D977="V01",cad!$I$22,IF(D977="V02",cad!$J$22,cad!$K$22))</f>
        <v/>
      </c>
      <c r="I977">
        <f>IF(D977="V01",cad!$I$27,IF(D977="V02",cad!$J$27,cad!$K$27))</f>
        <v/>
      </c>
      <c r="J977">
        <f>IF(D977="V01",cad!$I$28,IF(D977="V02",cad!$J$28,cad!$K$28))</f>
        <v/>
      </c>
      <c r="K977">
        <f>IF(D977="V01",cad!$I$29,IF(D977="V02",cad!$J$29,cad!$K$29))</f>
        <v/>
      </c>
      <c r="L977">
        <f>IF(D977="V01",cad!$I$30,IF(D977="V02",cad!$J$30,cad!$K$30))</f>
        <v/>
      </c>
      <c r="M977">
        <f>IF(D977="V01",cad!$I$31,IF(D977="V02",cad!$J$31,cad!$K$31))</f>
        <v/>
      </c>
      <c r="N977">
        <f>IF(D977="V01",$R$2,IF(D977="V02",$R$3,$R$4))</f>
        <v/>
      </c>
      <c r="O977">
        <f>IF(OR(B977="7062",B977="706",B977="708"),N977,IF(B977="6231",1+G977,IF(B977="6236",1+H977,IF(OR(B977="621",B977="604",B977="6063"),N977*(1-L977),IF(OR(B977="6411",B977="6413",B977="6414",B977="645"),(1+J977)*(1+K977),IF(OR(B977="613",B977="615",B977="616",B977="6226",B977="625",B977="626",B977="6281"),(1+I977)*(1-L977)*(1+M977),IF(OR(B977="6331",B977="63511",B977="6333"),(1+I977)*(1-L977),IF(B977="6811",1+I977,1))))))))</f>
        <v/>
      </c>
      <c r="P977">
        <f>IF(E977=1,F977*O977,"")</f>
        <v/>
      </c>
    </row>
    <row r="978">
      <c r="A978">
        <f>PNL!A978</f>
        <v/>
      </c>
      <c r="B978">
        <f>PNL!B978</f>
        <v/>
      </c>
      <c r="C978">
        <f>PNL!C978</f>
        <v/>
      </c>
      <c r="D978">
        <f>PNL!D978</f>
        <v/>
      </c>
      <c r="E978">
        <f>IF(AND(C978="2027",OR(D978="V01",D978="V02",D978="V03")),1,0)</f>
        <v/>
      </c>
      <c r="F978">
        <f>IF(E978=1,SUMIFS(Compta!$F$2:$F$675,Compta!$A$2:$A$675,A978,Compta!$B$2:$B$675,B978,Compta!$C$2:$C$675,"2026"),0)</f>
        <v/>
      </c>
      <c r="G978">
        <f>IF(D978="V01",cad!$I$21,IF(D978="V02",cad!$J$21,cad!$K$21))</f>
        <v/>
      </c>
      <c r="H978">
        <f>IF(D978="V01",cad!$I$22,IF(D978="V02",cad!$J$22,cad!$K$22))</f>
        <v/>
      </c>
      <c r="I978">
        <f>IF(D978="V01",cad!$I$27,IF(D978="V02",cad!$J$27,cad!$K$27))</f>
        <v/>
      </c>
      <c r="J978">
        <f>IF(D978="V01",cad!$I$28,IF(D978="V02",cad!$J$28,cad!$K$28))</f>
        <v/>
      </c>
      <c r="K978">
        <f>IF(D978="V01",cad!$I$29,IF(D978="V02",cad!$J$29,cad!$K$29))</f>
        <v/>
      </c>
      <c r="L978">
        <f>IF(D978="V01",cad!$I$30,IF(D978="V02",cad!$J$30,cad!$K$30))</f>
        <v/>
      </c>
      <c r="M978">
        <f>IF(D978="V01",cad!$I$31,IF(D978="V02",cad!$J$31,cad!$K$31))</f>
        <v/>
      </c>
      <c r="N978">
        <f>IF(D978="V01",$R$2,IF(D978="V02",$R$3,$R$4))</f>
        <v/>
      </c>
      <c r="O978">
        <f>IF(OR(B978="7062",B978="706",B978="708"),N978,IF(B978="6231",1+G978,IF(B978="6236",1+H978,IF(OR(B978="621",B978="604",B978="6063"),N978*(1-L978),IF(OR(B978="6411",B978="6413",B978="6414",B978="645"),(1+J978)*(1+K978),IF(OR(B978="613",B978="615",B978="616",B978="6226",B978="625",B978="626",B978="6281"),(1+I978)*(1-L978)*(1+M978),IF(OR(B978="6331",B978="63511",B978="6333"),(1+I978)*(1-L978),IF(B978="6811",1+I978,1))))))))</f>
        <v/>
      </c>
      <c r="P978">
        <f>IF(E978=1,F978*O978,"")</f>
        <v/>
      </c>
    </row>
    <row r="979">
      <c r="A979">
        <f>PNL!A979</f>
        <v/>
      </c>
      <c r="B979">
        <f>PNL!B979</f>
        <v/>
      </c>
      <c r="C979">
        <f>PNL!C979</f>
        <v/>
      </c>
      <c r="D979">
        <f>PNL!D979</f>
        <v/>
      </c>
      <c r="E979">
        <f>IF(AND(C979="2027",OR(D979="V01",D979="V02",D979="V03")),1,0)</f>
        <v/>
      </c>
      <c r="F979">
        <f>IF(E979=1,SUMIFS(Compta!$F$2:$F$675,Compta!$A$2:$A$675,A979,Compta!$B$2:$B$675,B979,Compta!$C$2:$C$675,"2026"),0)</f>
        <v/>
      </c>
      <c r="G979">
        <f>IF(D979="V01",cad!$I$21,IF(D979="V02",cad!$J$21,cad!$K$21))</f>
        <v/>
      </c>
      <c r="H979">
        <f>IF(D979="V01",cad!$I$22,IF(D979="V02",cad!$J$22,cad!$K$22))</f>
        <v/>
      </c>
      <c r="I979">
        <f>IF(D979="V01",cad!$I$27,IF(D979="V02",cad!$J$27,cad!$K$27))</f>
        <v/>
      </c>
      <c r="J979">
        <f>IF(D979="V01",cad!$I$28,IF(D979="V02",cad!$J$28,cad!$K$28))</f>
        <v/>
      </c>
      <c r="K979">
        <f>IF(D979="V01",cad!$I$29,IF(D979="V02",cad!$J$29,cad!$K$29))</f>
        <v/>
      </c>
      <c r="L979">
        <f>IF(D979="V01",cad!$I$30,IF(D979="V02",cad!$J$30,cad!$K$30))</f>
        <v/>
      </c>
      <c r="M979">
        <f>IF(D979="V01",cad!$I$31,IF(D979="V02",cad!$J$31,cad!$K$31))</f>
        <v/>
      </c>
      <c r="N979">
        <f>IF(D979="V01",$R$2,IF(D979="V02",$R$3,$R$4))</f>
        <v/>
      </c>
      <c r="O979">
        <f>IF(OR(B979="7062",B979="706",B979="708"),N979,IF(B979="6231",1+G979,IF(B979="6236",1+H979,IF(OR(B979="621",B979="604",B979="6063"),N979*(1-L979),IF(OR(B979="6411",B979="6413",B979="6414",B979="645"),(1+J979)*(1+K979),IF(OR(B979="613",B979="615",B979="616",B979="6226",B979="625",B979="626",B979="6281"),(1+I979)*(1-L979)*(1+M979),IF(OR(B979="6331",B979="63511",B979="6333"),(1+I979)*(1-L979),IF(B979="6811",1+I979,1))))))))</f>
        <v/>
      </c>
      <c r="P979">
        <f>IF(E979=1,F979*O979,"")</f>
        <v/>
      </c>
    </row>
    <row r="980">
      <c r="A980">
        <f>PNL!A980</f>
        <v/>
      </c>
      <c r="B980">
        <f>PNL!B980</f>
        <v/>
      </c>
      <c r="C980">
        <f>PNL!C980</f>
        <v/>
      </c>
      <c r="D980">
        <f>PNL!D980</f>
        <v/>
      </c>
      <c r="E980">
        <f>IF(AND(C980="2027",OR(D980="V01",D980="V02",D980="V03")),1,0)</f>
        <v/>
      </c>
      <c r="F980">
        <f>IF(E980=1,SUMIFS(Compta!$F$2:$F$675,Compta!$A$2:$A$675,A980,Compta!$B$2:$B$675,B980,Compta!$C$2:$C$675,"2026"),0)</f>
        <v/>
      </c>
      <c r="G980">
        <f>IF(D980="V01",cad!$I$21,IF(D980="V02",cad!$J$21,cad!$K$21))</f>
        <v/>
      </c>
      <c r="H980">
        <f>IF(D980="V01",cad!$I$22,IF(D980="V02",cad!$J$22,cad!$K$22))</f>
        <v/>
      </c>
      <c r="I980">
        <f>IF(D980="V01",cad!$I$27,IF(D980="V02",cad!$J$27,cad!$K$27))</f>
        <v/>
      </c>
      <c r="J980">
        <f>IF(D980="V01",cad!$I$28,IF(D980="V02",cad!$J$28,cad!$K$28))</f>
        <v/>
      </c>
      <c r="K980">
        <f>IF(D980="V01",cad!$I$29,IF(D980="V02",cad!$J$29,cad!$K$29))</f>
        <v/>
      </c>
      <c r="L980">
        <f>IF(D980="V01",cad!$I$30,IF(D980="V02",cad!$J$30,cad!$K$30))</f>
        <v/>
      </c>
      <c r="M980">
        <f>IF(D980="V01",cad!$I$31,IF(D980="V02",cad!$J$31,cad!$K$31))</f>
        <v/>
      </c>
      <c r="N980">
        <f>IF(D980="V01",$R$2,IF(D980="V02",$R$3,$R$4))</f>
        <v/>
      </c>
      <c r="O980">
        <f>IF(OR(B980="7062",B980="706",B980="708"),N980,IF(B980="6231",1+G980,IF(B980="6236",1+H980,IF(OR(B980="621",B980="604",B980="6063"),N980*(1-L980),IF(OR(B980="6411",B980="6413",B980="6414",B980="645"),(1+J980)*(1+K980),IF(OR(B980="613",B980="615",B980="616",B980="6226",B980="625",B980="626",B980="6281"),(1+I980)*(1-L980)*(1+M980),IF(OR(B980="6331",B980="63511",B980="6333"),(1+I980)*(1-L980),IF(B980="6811",1+I980,1))))))))</f>
        <v/>
      </c>
      <c r="P980">
        <f>IF(E980=1,F980*O980,"")</f>
        <v/>
      </c>
    </row>
    <row r="981">
      <c r="A981">
        <f>PNL!A981</f>
        <v/>
      </c>
      <c r="B981">
        <f>PNL!B981</f>
        <v/>
      </c>
      <c r="C981">
        <f>PNL!C981</f>
        <v/>
      </c>
      <c r="D981">
        <f>PNL!D981</f>
        <v/>
      </c>
      <c r="E981">
        <f>IF(AND(C981="2027",OR(D981="V01",D981="V02",D981="V03")),1,0)</f>
        <v/>
      </c>
      <c r="F981">
        <f>IF(E981=1,SUMIFS(Compta!$F$2:$F$675,Compta!$A$2:$A$675,A981,Compta!$B$2:$B$675,B981,Compta!$C$2:$C$675,"2026"),0)</f>
        <v/>
      </c>
      <c r="G981">
        <f>IF(D981="V01",cad!$I$21,IF(D981="V02",cad!$J$21,cad!$K$21))</f>
        <v/>
      </c>
      <c r="H981">
        <f>IF(D981="V01",cad!$I$22,IF(D981="V02",cad!$J$22,cad!$K$22))</f>
        <v/>
      </c>
      <c r="I981">
        <f>IF(D981="V01",cad!$I$27,IF(D981="V02",cad!$J$27,cad!$K$27))</f>
        <v/>
      </c>
      <c r="J981">
        <f>IF(D981="V01",cad!$I$28,IF(D981="V02",cad!$J$28,cad!$K$28))</f>
        <v/>
      </c>
      <c r="K981">
        <f>IF(D981="V01",cad!$I$29,IF(D981="V02",cad!$J$29,cad!$K$29))</f>
        <v/>
      </c>
      <c r="L981">
        <f>IF(D981="V01",cad!$I$30,IF(D981="V02",cad!$J$30,cad!$K$30))</f>
        <v/>
      </c>
      <c r="M981">
        <f>IF(D981="V01",cad!$I$31,IF(D981="V02",cad!$J$31,cad!$K$31))</f>
        <v/>
      </c>
      <c r="N981">
        <f>IF(D981="V01",$R$2,IF(D981="V02",$R$3,$R$4))</f>
        <v/>
      </c>
      <c r="O981">
        <f>IF(OR(B981="7062",B981="706",B981="708"),N981,IF(B981="6231",1+G981,IF(B981="6236",1+H981,IF(OR(B981="621",B981="604",B981="6063"),N981*(1-L981),IF(OR(B981="6411",B981="6413",B981="6414",B981="645"),(1+J981)*(1+K981),IF(OR(B981="613",B981="615",B981="616",B981="6226",B981="625",B981="626",B981="6281"),(1+I981)*(1-L981)*(1+M981),IF(OR(B981="6331",B981="63511",B981="6333"),(1+I981)*(1-L981),IF(B981="6811",1+I981,1))))))))</f>
        <v/>
      </c>
      <c r="P981">
        <f>IF(E981=1,F981*O981,"")</f>
        <v/>
      </c>
    </row>
    <row r="982">
      <c r="A982">
        <f>PNL!A982</f>
        <v/>
      </c>
      <c r="B982">
        <f>PNL!B982</f>
        <v/>
      </c>
      <c r="C982">
        <f>PNL!C982</f>
        <v/>
      </c>
      <c r="D982">
        <f>PNL!D982</f>
        <v/>
      </c>
      <c r="E982">
        <f>IF(AND(C982="2027",OR(D982="V01",D982="V02",D982="V03")),1,0)</f>
        <v/>
      </c>
      <c r="F982">
        <f>IF(E982=1,SUMIFS(Compta!$F$2:$F$675,Compta!$A$2:$A$675,A982,Compta!$B$2:$B$675,B982,Compta!$C$2:$C$675,"2026"),0)</f>
        <v/>
      </c>
      <c r="G982">
        <f>IF(D982="V01",cad!$I$21,IF(D982="V02",cad!$J$21,cad!$K$21))</f>
        <v/>
      </c>
      <c r="H982">
        <f>IF(D982="V01",cad!$I$22,IF(D982="V02",cad!$J$22,cad!$K$22))</f>
        <v/>
      </c>
      <c r="I982">
        <f>IF(D982="V01",cad!$I$27,IF(D982="V02",cad!$J$27,cad!$K$27))</f>
        <v/>
      </c>
      <c r="J982">
        <f>IF(D982="V01",cad!$I$28,IF(D982="V02",cad!$J$28,cad!$K$28))</f>
        <v/>
      </c>
      <c r="K982">
        <f>IF(D982="V01",cad!$I$29,IF(D982="V02",cad!$J$29,cad!$K$29))</f>
        <v/>
      </c>
      <c r="L982">
        <f>IF(D982="V01",cad!$I$30,IF(D982="V02",cad!$J$30,cad!$K$30))</f>
        <v/>
      </c>
      <c r="M982">
        <f>IF(D982="V01",cad!$I$31,IF(D982="V02",cad!$J$31,cad!$K$31))</f>
        <v/>
      </c>
      <c r="N982">
        <f>IF(D982="V01",$R$2,IF(D982="V02",$R$3,$R$4))</f>
        <v/>
      </c>
      <c r="O982">
        <f>IF(OR(B982="7062",B982="706",B982="708"),N982,IF(B982="6231",1+G982,IF(B982="6236",1+H982,IF(OR(B982="621",B982="604",B982="6063"),N982*(1-L982),IF(OR(B982="6411",B982="6413",B982="6414",B982="645"),(1+J982)*(1+K982),IF(OR(B982="613",B982="615",B982="616",B982="6226",B982="625",B982="626",B982="6281"),(1+I982)*(1-L982)*(1+M982),IF(OR(B982="6331",B982="63511",B982="6333"),(1+I982)*(1-L982),IF(B982="6811",1+I982,1))))))))</f>
        <v/>
      </c>
      <c r="P982">
        <f>IF(E982=1,F982*O982,"")</f>
        <v/>
      </c>
    </row>
    <row r="983">
      <c r="A983">
        <f>PNL!A983</f>
        <v/>
      </c>
      <c r="B983">
        <f>PNL!B983</f>
        <v/>
      </c>
      <c r="C983">
        <f>PNL!C983</f>
        <v/>
      </c>
      <c r="D983">
        <f>PNL!D983</f>
        <v/>
      </c>
      <c r="E983">
        <f>IF(AND(C983="2027",OR(D983="V01",D983="V02",D983="V03")),1,0)</f>
        <v/>
      </c>
      <c r="F983">
        <f>IF(E983=1,SUMIFS(Compta!$F$2:$F$675,Compta!$A$2:$A$675,A983,Compta!$B$2:$B$675,B983,Compta!$C$2:$C$675,"2026"),0)</f>
        <v/>
      </c>
      <c r="G983">
        <f>IF(D983="V01",cad!$I$21,IF(D983="V02",cad!$J$21,cad!$K$21))</f>
        <v/>
      </c>
      <c r="H983">
        <f>IF(D983="V01",cad!$I$22,IF(D983="V02",cad!$J$22,cad!$K$22))</f>
        <v/>
      </c>
      <c r="I983">
        <f>IF(D983="V01",cad!$I$27,IF(D983="V02",cad!$J$27,cad!$K$27))</f>
        <v/>
      </c>
      <c r="J983">
        <f>IF(D983="V01",cad!$I$28,IF(D983="V02",cad!$J$28,cad!$K$28))</f>
        <v/>
      </c>
      <c r="K983">
        <f>IF(D983="V01",cad!$I$29,IF(D983="V02",cad!$J$29,cad!$K$29))</f>
        <v/>
      </c>
      <c r="L983">
        <f>IF(D983="V01",cad!$I$30,IF(D983="V02",cad!$J$30,cad!$K$30))</f>
        <v/>
      </c>
      <c r="M983">
        <f>IF(D983="V01",cad!$I$31,IF(D983="V02",cad!$J$31,cad!$K$31))</f>
        <v/>
      </c>
      <c r="N983">
        <f>IF(D983="V01",$R$2,IF(D983="V02",$R$3,$R$4))</f>
        <v/>
      </c>
      <c r="O983">
        <f>IF(OR(B983="7062",B983="706",B983="708"),N983,IF(B983="6231",1+G983,IF(B983="6236",1+H983,IF(OR(B983="621",B983="604",B983="6063"),N983*(1-L983),IF(OR(B983="6411",B983="6413",B983="6414",B983="645"),(1+J983)*(1+K983),IF(OR(B983="613",B983="615",B983="616",B983="6226",B983="625",B983="626",B983="6281"),(1+I983)*(1-L983)*(1+M983),IF(OR(B983="6331",B983="63511",B983="6333"),(1+I983)*(1-L983),IF(B983="6811",1+I983,1))))))))</f>
        <v/>
      </c>
      <c r="P983">
        <f>IF(E983=1,F983*O983,"")</f>
        <v/>
      </c>
    </row>
    <row r="984">
      <c r="A984">
        <f>PNL!A984</f>
        <v/>
      </c>
      <c r="B984">
        <f>PNL!B984</f>
        <v/>
      </c>
      <c r="C984">
        <f>PNL!C984</f>
        <v/>
      </c>
      <c r="D984">
        <f>PNL!D984</f>
        <v/>
      </c>
      <c r="E984">
        <f>IF(AND(C984="2027",OR(D984="V01",D984="V02",D984="V03")),1,0)</f>
        <v/>
      </c>
      <c r="F984">
        <f>IF(E984=1,SUMIFS(Compta!$F$2:$F$675,Compta!$A$2:$A$675,A984,Compta!$B$2:$B$675,B984,Compta!$C$2:$C$675,"2026"),0)</f>
        <v/>
      </c>
      <c r="G984">
        <f>IF(D984="V01",cad!$I$21,IF(D984="V02",cad!$J$21,cad!$K$21))</f>
        <v/>
      </c>
      <c r="H984">
        <f>IF(D984="V01",cad!$I$22,IF(D984="V02",cad!$J$22,cad!$K$22))</f>
        <v/>
      </c>
      <c r="I984">
        <f>IF(D984="V01",cad!$I$27,IF(D984="V02",cad!$J$27,cad!$K$27))</f>
        <v/>
      </c>
      <c r="J984">
        <f>IF(D984="V01",cad!$I$28,IF(D984="V02",cad!$J$28,cad!$K$28))</f>
        <v/>
      </c>
      <c r="K984">
        <f>IF(D984="V01",cad!$I$29,IF(D984="V02",cad!$J$29,cad!$K$29))</f>
        <v/>
      </c>
      <c r="L984">
        <f>IF(D984="V01",cad!$I$30,IF(D984="V02",cad!$J$30,cad!$K$30))</f>
        <v/>
      </c>
      <c r="M984">
        <f>IF(D984="V01",cad!$I$31,IF(D984="V02",cad!$J$31,cad!$K$31))</f>
        <v/>
      </c>
      <c r="N984">
        <f>IF(D984="V01",$R$2,IF(D984="V02",$R$3,$R$4))</f>
        <v/>
      </c>
      <c r="O984">
        <f>IF(OR(B984="7062",B984="706",B984="708"),N984,IF(B984="6231",1+G984,IF(B984="6236",1+H984,IF(OR(B984="621",B984="604",B984="6063"),N984*(1-L984),IF(OR(B984="6411",B984="6413",B984="6414",B984="645"),(1+J984)*(1+K984),IF(OR(B984="613",B984="615",B984="616",B984="6226",B984="625",B984="626",B984="6281"),(1+I984)*(1-L984)*(1+M984),IF(OR(B984="6331",B984="63511",B984="6333"),(1+I984)*(1-L984),IF(B984="6811",1+I984,1))))))))</f>
        <v/>
      </c>
      <c r="P984">
        <f>IF(E984=1,F984*O984,"")</f>
        <v/>
      </c>
    </row>
    <row r="985">
      <c r="A985">
        <f>PNL!A985</f>
        <v/>
      </c>
      <c r="B985">
        <f>PNL!B985</f>
        <v/>
      </c>
      <c r="C985">
        <f>PNL!C985</f>
        <v/>
      </c>
      <c r="D985">
        <f>PNL!D985</f>
        <v/>
      </c>
      <c r="E985">
        <f>IF(AND(C985="2027",OR(D985="V01",D985="V02",D985="V03")),1,0)</f>
        <v/>
      </c>
      <c r="F985">
        <f>IF(E985=1,SUMIFS(Compta!$F$2:$F$675,Compta!$A$2:$A$675,A985,Compta!$B$2:$B$675,B985,Compta!$C$2:$C$675,"2026"),0)</f>
        <v/>
      </c>
      <c r="G985">
        <f>IF(D985="V01",cad!$I$21,IF(D985="V02",cad!$J$21,cad!$K$21))</f>
        <v/>
      </c>
      <c r="H985">
        <f>IF(D985="V01",cad!$I$22,IF(D985="V02",cad!$J$22,cad!$K$22))</f>
        <v/>
      </c>
      <c r="I985">
        <f>IF(D985="V01",cad!$I$27,IF(D985="V02",cad!$J$27,cad!$K$27))</f>
        <v/>
      </c>
      <c r="J985">
        <f>IF(D985="V01",cad!$I$28,IF(D985="V02",cad!$J$28,cad!$K$28))</f>
        <v/>
      </c>
      <c r="K985">
        <f>IF(D985="V01",cad!$I$29,IF(D985="V02",cad!$J$29,cad!$K$29))</f>
        <v/>
      </c>
      <c r="L985">
        <f>IF(D985="V01",cad!$I$30,IF(D985="V02",cad!$J$30,cad!$K$30))</f>
        <v/>
      </c>
      <c r="M985">
        <f>IF(D985="V01",cad!$I$31,IF(D985="V02",cad!$J$31,cad!$K$31))</f>
        <v/>
      </c>
      <c r="N985">
        <f>IF(D985="V01",$R$2,IF(D985="V02",$R$3,$R$4))</f>
        <v/>
      </c>
      <c r="O985">
        <f>IF(OR(B985="7062",B985="706",B985="708"),N985,IF(B985="6231",1+G985,IF(B985="6236",1+H985,IF(OR(B985="621",B985="604",B985="6063"),N985*(1-L985),IF(OR(B985="6411",B985="6413",B985="6414",B985="645"),(1+J985)*(1+K985),IF(OR(B985="613",B985="615",B985="616",B985="6226",B985="625",B985="626",B985="6281"),(1+I985)*(1-L985)*(1+M985),IF(OR(B985="6331",B985="63511",B985="6333"),(1+I985)*(1-L985),IF(B985="6811",1+I985,1))))))))</f>
        <v/>
      </c>
      <c r="P985">
        <f>IF(E985=1,F985*O985,"")</f>
        <v/>
      </c>
    </row>
    <row r="986">
      <c r="A986">
        <f>PNL!A986</f>
        <v/>
      </c>
      <c r="B986">
        <f>PNL!B986</f>
        <v/>
      </c>
      <c r="C986">
        <f>PNL!C986</f>
        <v/>
      </c>
      <c r="D986">
        <f>PNL!D986</f>
        <v/>
      </c>
      <c r="E986">
        <f>IF(AND(C986="2027",OR(D986="V01",D986="V02",D986="V03")),1,0)</f>
        <v/>
      </c>
      <c r="F986">
        <f>IF(E986=1,SUMIFS(Compta!$F$2:$F$675,Compta!$A$2:$A$675,A986,Compta!$B$2:$B$675,B986,Compta!$C$2:$C$675,"2026"),0)</f>
        <v/>
      </c>
      <c r="G986">
        <f>IF(D986="V01",cad!$I$21,IF(D986="V02",cad!$J$21,cad!$K$21))</f>
        <v/>
      </c>
      <c r="H986">
        <f>IF(D986="V01",cad!$I$22,IF(D986="V02",cad!$J$22,cad!$K$22))</f>
        <v/>
      </c>
      <c r="I986">
        <f>IF(D986="V01",cad!$I$27,IF(D986="V02",cad!$J$27,cad!$K$27))</f>
        <v/>
      </c>
      <c r="J986">
        <f>IF(D986="V01",cad!$I$28,IF(D986="V02",cad!$J$28,cad!$K$28))</f>
        <v/>
      </c>
      <c r="K986">
        <f>IF(D986="V01",cad!$I$29,IF(D986="V02",cad!$J$29,cad!$K$29))</f>
        <v/>
      </c>
      <c r="L986">
        <f>IF(D986="V01",cad!$I$30,IF(D986="V02",cad!$J$30,cad!$K$30))</f>
        <v/>
      </c>
      <c r="M986">
        <f>IF(D986="V01",cad!$I$31,IF(D986="V02",cad!$J$31,cad!$K$31))</f>
        <v/>
      </c>
      <c r="N986">
        <f>IF(D986="V01",$R$2,IF(D986="V02",$R$3,$R$4))</f>
        <v/>
      </c>
      <c r="O986">
        <f>IF(OR(B986="7062",B986="706",B986="708"),N986,IF(B986="6231",1+G986,IF(B986="6236",1+H986,IF(OR(B986="621",B986="604",B986="6063"),N986*(1-L986),IF(OR(B986="6411",B986="6413",B986="6414",B986="645"),(1+J986)*(1+K986),IF(OR(B986="613",B986="615",B986="616",B986="6226",B986="625",B986="626",B986="6281"),(1+I986)*(1-L986)*(1+M986),IF(OR(B986="6331",B986="63511",B986="6333"),(1+I986)*(1-L986),IF(B986="6811",1+I986,1))))))))</f>
        <v/>
      </c>
      <c r="P986">
        <f>IF(E986=1,F986*O986,"")</f>
        <v/>
      </c>
    </row>
    <row r="987">
      <c r="A987">
        <f>PNL!A987</f>
        <v/>
      </c>
      <c r="B987">
        <f>PNL!B987</f>
        <v/>
      </c>
      <c r="C987">
        <f>PNL!C987</f>
        <v/>
      </c>
      <c r="D987">
        <f>PNL!D987</f>
        <v/>
      </c>
      <c r="E987">
        <f>IF(AND(C987="2027",OR(D987="V01",D987="V02",D987="V03")),1,0)</f>
        <v/>
      </c>
      <c r="F987">
        <f>IF(E987=1,SUMIFS(Compta!$F$2:$F$675,Compta!$A$2:$A$675,A987,Compta!$B$2:$B$675,B987,Compta!$C$2:$C$675,"2026"),0)</f>
        <v/>
      </c>
      <c r="G987">
        <f>IF(D987="V01",cad!$I$21,IF(D987="V02",cad!$J$21,cad!$K$21))</f>
        <v/>
      </c>
      <c r="H987">
        <f>IF(D987="V01",cad!$I$22,IF(D987="V02",cad!$J$22,cad!$K$22))</f>
        <v/>
      </c>
      <c r="I987">
        <f>IF(D987="V01",cad!$I$27,IF(D987="V02",cad!$J$27,cad!$K$27))</f>
        <v/>
      </c>
      <c r="J987">
        <f>IF(D987="V01",cad!$I$28,IF(D987="V02",cad!$J$28,cad!$K$28))</f>
        <v/>
      </c>
      <c r="K987">
        <f>IF(D987="V01",cad!$I$29,IF(D987="V02",cad!$J$29,cad!$K$29))</f>
        <v/>
      </c>
      <c r="L987">
        <f>IF(D987="V01",cad!$I$30,IF(D987="V02",cad!$J$30,cad!$K$30))</f>
        <v/>
      </c>
      <c r="M987">
        <f>IF(D987="V01",cad!$I$31,IF(D987="V02",cad!$J$31,cad!$K$31))</f>
        <v/>
      </c>
      <c r="N987">
        <f>IF(D987="V01",$R$2,IF(D987="V02",$R$3,$R$4))</f>
        <v/>
      </c>
      <c r="O987">
        <f>IF(OR(B987="7062",B987="706",B987="708"),N987,IF(B987="6231",1+G987,IF(B987="6236",1+H987,IF(OR(B987="621",B987="604",B987="6063"),N987*(1-L987),IF(OR(B987="6411",B987="6413",B987="6414",B987="645"),(1+J987)*(1+K987),IF(OR(B987="613",B987="615",B987="616",B987="6226",B987="625",B987="626",B987="6281"),(1+I987)*(1-L987)*(1+M987),IF(OR(B987="6331",B987="63511",B987="6333"),(1+I987)*(1-L987),IF(B987="6811",1+I987,1))))))))</f>
        <v/>
      </c>
      <c r="P987">
        <f>IF(E987=1,F987*O987,"")</f>
        <v/>
      </c>
    </row>
    <row r="988">
      <c r="A988">
        <f>PNL!A988</f>
        <v/>
      </c>
      <c r="B988">
        <f>PNL!B988</f>
        <v/>
      </c>
      <c r="C988">
        <f>PNL!C988</f>
        <v/>
      </c>
      <c r="D988">
        <f>PNL!D988</f>
        <v/>
      </c>
      <c r="E988">
        <f>IF(AND(C988="2027",OR(D988="V01",D988="V02",D988="V03")),1,0)</f>
        <v/>
      </c>
      <c r="F988">
        <f>IF(E988=1,SUMIFS(Compta!$F$2:$F$675,Compta!$A$2:$A$675,A988,Compta!$B$2:$B$675,B988,Compta!$C$2:$C$675,"2026"),0)</f>
        <v/>
      </c>
      <c r="G988">
        <f>IF(D988="V01",cad!$I$21,IF(D988="V02",cad!$J$21,cad!$K$21))</f>
        <v/>
      </c>
      <c r="H988">
        <f>IF(D988="V01",cad!$I$22,IF(D988="V02",cad!$J$22,cad!$K$22))</f>
        <v/>
      </c>
      <c r="I988">
        <f>IF(D988="V01",cad!$I$27,IF(D988="V02",cad!$J$27,cad!$K$27))</f>
        <v/>
      </c>
      <c r="J988">
        <f>IF(D988="V01",cad!$I$28,IF(D988="V02",cad!$J$28,cad!$K$28))</f>
        <v/>
      </c>
      <c r="K988">
        <f>IF(D988="V01",cad!$I$29,IF(D988="V02",cad!$J$29,cad!$K$29))</f>
        <v/>
      </c>
      <c r="L988">
        <f>IF(D988="V01",cad!$I$30,IF(D988="V02",cad!$J$30,cad!$K$30))</f>
        <v/>
      </c>
      <c r="M988">
        <f>IF(D988="V01",cad!$I$31,IF(D988="V02",cad!$J$31,cad!$K$31))</f>
        <v/>
      </c>
      <c r="N988">
        <f>IF(D988="V01",$R$2,IF(D988="V02",$R$3,$R$4))</f>
        <v/>
      </c>
      <c r="O988">
        <f>IF(OR(B988="7062",B988="706",B988="708"),N988,IF(B988="6231",1+G988,IF(B988="6236",1+H988,IF(OR(B988="621",B988="604",B988="6063"),N988*(1-L988),IF(OR(B988="6411",B988="6413",B988="6414",B988="645"),(1+J988)*(1+K988),IF(OR(B988="613",B988="615",B988="616",B988="6226",B988="625",B988="626",B988="6281"),(1+I988)*(1-L988)*(1+M988),IF(OR(B988="6331",B988="63511",B988="6333"),(1+I988)*(1-L988),IF(B988="6811",1+I988,1))))))))</f>
        <v/>
      </c>
      <c r="P988">
        <f>IF(E988=1,F988*O988,"")</f>
        <v/>
      </c>
    </row>
    <row r="989">
      <c r="A989">
        <f>PNL!A989</f>
        <v/>
      </c>
      <c r="B989">
        <f>PNL!B989</f>
        <v/>
      </c>
      <c r="C989">
        <f>PNL!C989</f>
        <v/>
      </c>
      <c r="D989">
        <f>PNL!D989</f>
        <v/>
      </c>
      <c r="E989">
        <f>IF(AND(C989="2027",OR(D989="V01",D989="V02",D989="V03")),1,0)</f>
        <v/>
      </c>
      <c r="F989">
        <f>IF(E989=1,SUMIFS(Compta!$F$2:$F$675,Compta!$A$2:$A$675,A989,Compta!$B$2:$B$675,B989,Compta!$C$2:$C$675,"2026"),0)</f>
        <v/>
      </c>
      <c r="G989">
        <f>IF(D989="V01",cad!$I$21,IF(D989="V02",cad!$J$21,cad!$K$21))</f>
        <v/>
      </c>
      <c r="H989">
        <f>IF(D989="V01",cad!$I$22,IF(D989="V02",cad!$J$22,cad!$K$22))</f>
        <v/>
      </c>
      <c r="I989">
        <f>IF(D989="V01",cad!$I$27,IF(D989="V02",cad!$J$27,cad!$K$27))</f>
        <v/>
      </c>
      <c r="J989">
        <f>IF(D989="V01",cad!$I$28,IF(D989="V02",cad!$J$28,cad!$K$28))</f>
        <v/>
      </c>
      <c r="K989">
        <f>IF(D989="V01",cad!$I$29,IF(D989="V02",cad!$J$29,cad!$K$29))</f>
        <v/>
      </c>
      <c r="L989">
        <f>IF(D989="V01",cad!$I$30,IF(D989="V02",cad!$J$30,cad!$K$30))</f>
        <v/>
      </c>
      <c r="M989">
        <f>IF(D989="V01",cad!$I$31,IF(D989="V02",cad!$J$31,cad!$K$31))</f>
        <v/>
      </c>
      <c r="N989">
        <f>IF(D989="V01",$R$2,IF(D989="V02",$R$3,$R$4))</f>
        <v/>
      </c>
      <c r="O989">
        <f>IF(OR(B989="7062",B989="706",B989="708"),N989,IF(B989="6231",1+G989,IF(B989="6236",1+H989,IF(OR(B989="621",B989="604",B989="6063"),N989*(1-L989),IF(OR(B989="6411",B989="6413",B989="6414",B989="645"),(1+J989)*(1+K989),IF(OR(B989="613",B989="615",B989="616",B989="6226",B989="625",B989="626",B989="6281"),(1+I989)*(1-L989)*(1+M989),IF(OR(B989="6331",B989="63511",B989="6333"),(1+I989)*(1-L989),IF(B989="6811",1+I989,1))))))))</f>
        <v/>
      </c>
      <c r="P989">
        <f>IF(E989=1,F989*O989,"")</f>
        <v/>
      </c>
    </row>
    <row r="990">
      <c r="A990">
        <f>PNL!A990</f>
        <v/>
      </c>
      <c r="B990">
        <f>PNL!B990</f>
        <v/>
      </c>
      <c r="C990">
        <f>PNL!C990</f>
        <v/>
      </c>
      <c r="D990">
        <f>PNL!D990</f>
        <v/>
      </c>
      <c r="E990">
        <f>IF(AND(C990="2027",OR(D990="V01",D990="V02",D990="V03")),1,0)</f>
        <v/>
      </c>
      <c r="F990">
        <f>IF(E990=1,SUMIFS(Compta!$F$2:$F$675,Compta!$A$2:$A$675,A990,Compta!$B$2:$B$675,B990,Compta!$C$2:$C$675,"2026"),0)</f>
        <v/>
      </c>
      <c r="G990">
        <f>IF(D990="V01",cad!$I$21,IF(D990="V02",cad!$J$21,cad!$K$21))</f>
        <v/>
      </c>
      <c r="H990">
        <f>IF(D990="V01",cad!$I$22,IF(D990="V02",cad!$J$22,cad!$K$22))</f>
        <v/>
      </c>
      <c r="I990">
        <f>IF(D990="V01",cad!$I$27,IF(D990="V02",cad!$J$27,cad!$K$27))</f>
        <v/>
      </c>
      <c r="J990">
        <f>IF(D990="V01",cad!$I$28,IF(D990="V02",cad!$J$28,cad!$K$28))</f>
        <v/>
      </c>
      <c r="K990">
        <f>IF(D990="V01",cad!$I$29,IF(D990="V02",cad!$J$29,cad!$K$29))</f>
        <v/>
      </c>
      <c r="L990">
        <f>IF(D990="V01",cad!$I$30,IF(D990="V02",cad!$J$30,cad!$K$30))</f>
        <v/>
      </c>
      <c r="M990">
        <f>IF(D990="V01",cad!$I$31,IF(D990="V02",cad!$J$31,cad!$K$31))</f>
        <v/>
      </c>
      <c r="N990">
        <f>IF(D990="V01",$R$2,IF(D990="V02",$R$3,$R$4))</f>
        <v/>
      </c>
      <c r="O990">
        <f>IF(OR(B990="7062",B990="706",B990="708"),N990,IF(B990="6231",1+G990,IF(B990="6236",1+H990,IF(OR(B990="621",B990="604",B990="6063"),N990*(1-L990),IF(OR(B990="6411",B990="6413",B990="6414",B990="645"),(1+J990)*(1+K990),IF(OR(B990="613",B990="615",B990="616",B990="6226",B990="625",B990="626",B990="6281"),(1+I990)*(1-L990)*(1+M990),IF(OR(B990="6331",B990="63511",B990="6333"),(1+I990)*(1-L990),IF(B990="6811",1+I990,1))))))))</f>
        <v/>
      </c>
      <c r="P990">
        <f>IF(E990=1,F990*O990,"")</f>
        <v/>
      </c>
    </row>
    <row r="991">
      <c r="A991">
        <f>PNL!A991</f>
        <v/>
      </c>
      <c r="B991">
        <f>PNL!B991</f>
        <v/>
      </c>
      <c r="C991">
        <f>PNL!C991</f>
        <v/>
      </c>
      <c r="D991">
        <f>PNL!D991</f>
        <v/>
      </c>
      <c r="E991">
        <f>IF(AND(C991="2027",OR(D991="V01",D991="V02",D991="V03")),1,0)</f>
        <v/>
      </c>
      <c r="F991">
        <f>IF(E991=1,SUMIFS(Compta!$F$2:$F$675,Compta!$A$2:$A$675,A991,Compta!$B$2:$B$675,B991,Compta!$C$2:$C$675,"2026"),0)</f>
        <v/>
      </c>
      <c r="G991">
        <f>IF(D991="V01",cad!$I$21,IF(D991="V02",cad!$J$21,cad!$K$21))</f>
        <v/>
      </c>
      <c r="H991">
        <f>IF(D991="V01",cad!$I$22,IF(D991="V02",cad!$J$22,cad!$K$22))</f>
        <v/>
      </c>
      <c r="I991">
        <f>IF(D991="V01",cad!$I$27,IF(D991="V02",cad!$J$27,cad!$K$27))</f>
        <v/>
      </c>
      <c r="J991">
        <f>IF(D991="V01",cad!$I$28,IF(D991="V02",cad!$J$28,cad!$K$28))</f>
        <v/>
      </c>
      <c r="K991">
        <f>IF(D991="V01",cad!$I$29,IF(D991="V02",cad!$J$29,cad!$K$29))</f>
        <v/>
      </c>
      <c r="L991">
        <f>IF(D991="V01",cad!$I$30,IF(D991="V02",cad!$J$30,cad!$K$30))</f>
        <v/>
      </c>
      <c r="M991">
        <f>IF(D991="V01",cad!$I$31,IF(D991="V02",cad!$J$31,cad!$K$31))</f>
        <v/>
      </c>
      <c r="N991">
        <f>IF(D991="V01",$R$2,IF(D991="V02",$R$3,$R$4))</f>
        <v/>
      </c>
      <c r="O991">
        <f>IF(OR(B991="7062",B991="706",B991="708"),N991,IF(B991="6231",1+G991,IF(B991="6236",1+H991,IF(OR(B991="621",B991="604",B991="6063"),N991*(1-L991),IF(OR(B991="6411",B991="6413",B991="6414",B991="645"),(1+J991)*(1+K991),IF(OR(B991="613",B991="615",B991="616",B991="6226",B991="625",B991="626",B991="6281"),(1+I991)*(1-L991)*(1+M991),IF(OR(B991="6331",B991="63511",B991="6333"),(1+I991)*(1-L991),IF(B991="6811",1+I991,1))))))))</f>
        <v/>
      </c>
      <c r="P991">
        <f>IF(E991=1,F991*O991,"")</f>
        <v/>
      </c>
    </row>
    <row r="992">
      <c r="A992">
        <f>PNL!A992</f>
        <v/>
      </c>
      <c r="B992">
        <f>PNL!B992</f>
        <v/>
      </c>
      <c r="C992">
        <f>PNL!C992</f>
        <v/>
      </c>
      <c r="D992">
        <f>PNL!D992</f>
        <v/>
      </c>
      <c r="E992">
        <f>IF(AND(C992="2027",OR(D992="V01",D992="V02",D992="V03")),1,0)</f>
        <v/>
      </c>
      <c r="F992">
        <f>IF(E992=1,SUMIFS(Compta!$F$2:$F$675,Compta!$A$2:$A$675,A992,Compta!$B$2:$B$675,B992,Compta!$C$2:$C$675,"2026"),0)</f>
        <v/>
      </c>
      <c r="G992">
        <f>IF(D992="V01",cad!$I$21,IF(D992="V02",cad!$J$21,cad!$K$21))</f>
        <v/>
      </c>
      <c r="H992">
        <f>IF(D992="V01",cad!$I$22,IF(D992="V02",cad!$J$22,cad!$K$22))</f>
        <v/>
      </c>
      <c r="I992">
        <f>IF(D992="V01",cad!$I$27,IF(D992="V02",cad!$J$27,cad!$K$27))</f>
        <v/>
      </c>
      <c r="J992">
        <f>IF(D992="V01",cad!$I$28,IF(D992="V02",cad!$J$28,cad!$K$28))</f>
        <v/>
      </c>
      <c r="K992">
        <f>IF(D992="V01",cad!$I$29,IF(D992="V02",cad!$J$29,cad!$K$29))</f>
        <v/>
      </c>
      <c r="L992">
        <f>IF(D992="V01",cad!$I$30,IF(D992="V02",cad!$J$30,cad!$K$30))</f>
        <v/>
      </c>
      <c r="M992">
        <f>IF(D992="V01",cad!$I$31,IF(D992="V02",cad!$J$31,cad!$K$31))</f>
        <v/>
      </c>
      <c r="N992">
        <f>IF(D992="V01",$R$2,IF(D992="V02",$R$3,$R$4))</f>
        <v/>
      </c>
      <c r="O992">
        <f>IF(OR(B992="7062",B992="706",B992="708"),N992,IF(B992="6231",1+G992,IF(B992="6236",1+H992,IF(OR(B992="621",B992="604",B992="6063"),N992*(1-L992),IF(OR(B992="6411",B992="6413",B992="6414",B992="645"),(1+J992)*(1+K992),IF(OR(B992="613",B992="615",B992="616",B992="6226",B992="625",B992="626",B992="6281"),(1+I992)*(1-L992)*(1+M992),IF(OR(B992="6331",B992="63511",B992="6333"),(1+I992)*(1-L992),IF(B992="6811",1+I992,1))))))))</f>
        <v/>
      </c>
      <c r="P992">
        <f>IF(E992=1,F992*O992,"")</f>
        <v/>
      </c>
    </row>
    <row r="993">
      <c r="A993">
        <f>PNL!A993</f>
        <v/>
      </c>
      <c r="B993">
        <f>PNL!B993</f>
        <v/>
      </c>
      <c r="C993">
        <f>PNL!C993</f>
        <v/>
      </c>
      <c r="D993">
        <f>PNL!D993</f>
        <v/>
      </c>
      <c r="E993">
        <f>IF(AND(C993="2027",OR(D993="V01",D993="V02",D993="V03")),1,0)</f>
        <v/>
      </c>
      <c r="F993">
        <f>IF(E993=1,SUMIFS(Compta!$F$2:$F$675,Compta!$A$2:$A$675,A993,Compta!$B$2:$B$675,B993,Compta!$C$2:$C$675,"2026"),0)</f>
        <v/>
      </c>
      <c r="G993">
        <f>IF(D993="V01",cad!$I$21,IF(D993="V02",cad!$J$21,cad!$K$21))</f>
        <v/>
      </c>
      <c r="H993">
        <f>IF(D993="V01",cad!$I$22,IF(D993="V02",cad!$J$22,cad!$K$22))</f>
        <v/>
      </c>
      <c r="I993">
        <f>IF(D993="V01",cad!$I$27,IF(D993="V02",cad!$J$27,cad!$K$27))</f>
        <v/>
      </c>
      <c r="J993">
        <f>IF(D993="V01",cad!$I$28,IF(D993="V02",cad!$J$28,cad!$K$28))</f>
        <v/>
      </c>
      <c r="K993">
        <f>IF(D993="V01",cad!$I$29,IF(D993="V02",cad!$J$29,cad!$K$29))</f>
        <v/>
      </c>
      <c r="L993">
        <f>IF(D993="V01",cad!$I$30,IF(D993="V02",cad!$J$30,cad!$K$30))</f>
        <v/>
      </c>
      <c r="M993">
        <f>IF(D993="V01",cad!$I$31,IF(D993="V02",cad!$J$31,cad!$K$31))</f>
        <v/>
      </c>
      <c r="N993">
        <f>IF(D993="V01",$R$2,IF(D993="V02",$R$3,$R$4))</f>
        <v/>
      </c>
      <c r="O993">
        <f>IF(OR(B993="7062",B993="706",B993="708"),N993,IF(B993="6231",1+G993,IF(B993="6236",1+H993,IF(OR(B993="621",B993="604",B993="6063"),N993*(1-L993),IF(OR(B993="6411",B993="6413",B993="6414",B993="645"),(1+J993)*(1+K993),IF(OR(B993="613",B993="615",B993="616",B993="6226",B993="625",B993="626",B993="6281"),(1+I993)*(1-L993)*(1+M993),IF(OR(B993="6331",B993="63511",B993="6333"),(1+I993)*(1-L993),IF(B993="6811",1+I993,1))))))))</f>
        <v/>
      </c>
      <c r="P993">
        <f>IF(E993=1,F993*O993,"")</f>
        <v/>
      </c>
    </row>
    <row r="994">
      <c r="A994">
        <f>PNL!A994</f>
        <v/>
      </c>
      <c r="B994">
        <f>PNL!B994</f>
        <v/>
      </c>
      <c r="C994">
        <f>PNL!C994</f>
        <v/>
      </c>
      <c r="D994">
        <f>PNL!D994</f>
        <v/>
      </c>
      <c r="E994">
        <f>IF(AND(C994="2027",OR(D994="V01",D994="V02",D994="V03")),1,0)</f>
        <v/>
      </c>
      <c r="F994">
        <f>IF(E994=1,SUMIFS(Compta!$F$2:$F$675,Compta!$A$2:$A$675,A994,Compta!$B$2:$B$675,B994,Compta!$C$2:$C$675,"2026"),0)</f>
        <v/>
      </c>
      <c r="G994">
        <f>IF(D994="V01",cad!$I$21,IF(D994="V02",cad!$J$21,cad!$K$21))</f>
        <v/>
      </c>
      <c r="H994">
        <f>IF(D994="V01",cad!$I$22,IF(D994="V02",cad!$J$22,cad!$K$22))</f>
        <v/>
      </c>
      <c r="I994">
        <f>IF(D994="V01",cad!$I$27,IF(D994="V02",cad!$J$27,cad!$K$27))</f>
        <v/>
      </c>
      <c r="J994">
        <f>IF(D994="V01",cad!$I$28,IF(D994="V02",cad!$J$28,cad!$K$28))</f>
        <v/>
      </c>
      <c r="K994">
        <f>IF(D994="V01",cad!$I$29,IF(D994="V02",cad!$J$29,cad!$K$29))</f>
        <v/>
      </c>
      <c r="L994">
        <f>IF(D994="V01",cad!$I$30,IF(D994="V02",cad!$J$30,cad!$K$30))</f>
        <v/>
      </c>
      <c r="M994">
        <f>IF(D994="V01",cad!$I$31,IF(D994="V02",cad!$J$31,cad!$K$31))</f>
        <v/>
      </c>
      <c r="N994">
        <f>IF(D994="V01",$R$2,IF(D994="V02",$R$3,$R$4))</f>
        <v/>
      </c>
      <c r="O994">
        <f>IF(OR(B994="7062",B994="706",B994="708"),N994,IF(B994="6231",1+G994,IF(B994="6236",1+H994,IF(OR(B994="621",B994="604",B994="6063"),N994*(1-L994),IF(OR(B994="6411",B994="6413",B994="6414",B994="645"),(1+J994)*(1+K994),IF(OR(B994="613",B994="615",B994="616",B994="6226",B994="625",B994="626",B994="6281"),(1+I994)*(1-L994)*(1+M994),IF(OR(B994="6331",B994="63511",B994="6333"),(1+I994)*(1-L994),IF(B994="6811",1+I994,1))))))))</f>
        <v/>
      </c>
      <c r="P994">
        <f>IF(E994=1,F994*O994,"")</f>
        <v/>
      </c>
    </row>
    <row r="995">
      <c r="A995">
        <f>PNL!A995</f>
        <v/>
      </c>
      <c r="B995">
        <f>PNL!B995</f>
        <v/>
      </c>
      <c r="C995">
        <f>PNL!C995</f>
        <v/>
      </c>
      <c r="D995">
        <f>PNL!D995</f>
        <v/>
      </c>
      <c r="E995">
        <f>IF(AND(C995="2027",OR(D995="V01",D995="V02",D995="V03")),1,0)</f>
        <v/>
      </c>
      <c r="F995">
        <f>IF(E995=1,SUMIFS(Compta!$F$2:$F$675,Compta!$A$2:$A$675,A995,Compta!$B$2:$B$675,B995,Compta!$C$2:$C$675,"2026"),0)</f>
        <v/>
      </c>
      <c r="G995">
        <f>IF(D995="V01",cad!$I$21,IF(D995="V02",cad!$J$21,cad!$K$21))</f>
        <v/>
      </c>
      <c r="H995">
        <f>IF(D995="V01",cad!$I$22,IF(D995="V02",cad!$J$22,cad!$K$22))</f>
        <v/>
      </c>
      <c r="I995">
        <f>IF(D995="V01",cad!$I$27,IF(D995="V02",cad!$J$27,cad!$K$27))</f>
        <v/>
      </c>
      <c r="J995">
        <f>IF(D995="V01",cad!$I$28,IF(D995="V02",cad!$J$28,cad!$K$28))</f>
        <v/>
      </c>
      <c r="K995">
        <f>IF(D995="V01",cad!$I$29,IF(D995="V02",cad!$J$29,cad!$K$29))</f>
        <v/>
      </c>
      <c r="L995">
        <f>IF(D995="V01",cad!$I$30,IF(D995="V02",cad!$J$30,cad!$K$30))</f>
        <v/>
      </c>
      <c r="M995">
        <f>IF(D995="V01",cad!$I$31,IF(D995="V02",cad!$J$31,cad!$K$31))</f>
        <v/>
      </c>
      <c r="N995">
        <f>IF(D995="V01",$R$2,IF(D995="V02",$R$3,$R$4))</f>
        <v/>
      </c>
      <c r="O995">
        <f>IF(OR(B995="7062",B995="706",B995="708"),N995,IF(B995="6231",1+G995,IF(B995="6236",1+H995,IF(OR(B995="621",B995="604",B995="6063"),N995*(1-L995),IF(OR(B995="6411",B995="6413",B995="6414",B995="645"),(1+J995)*(1+K995),IF(OR(B995="613",B995="615",B995="616",B995="6226",B995="625",B995="626",B995="6281"),(1+I995)*(1-L995)*(1+M995),IF(OR(B995="6331",B995="63511",B995="6333"),(1+I995)*(1-L995),IF(B995="6811",1+I995,1))))))))</f>
        <v/>
      </c>
      <c r="P995">
        <f>IF(E995=1,F995*O995,"")</f>
        <v/>
      </c>
    </row>
    <row r="996">
      <c r="A996">
        <f>PNL!A996</f>
        <v/>
      </c>
      <c r="B996">
        <f>PNL!B996</f>
        <v/>
      </c>
      <c r="C996">
        <f>PNL!C996</f>
        <v/>
      </c>
      <c r="D996">
        <f>PNL!D996</f>
        <v/>
      </c>
      <c r="E996">
        <f>IF(AND(C996="2027",OR(D996="V01",D996="V02",D996="V03")),1,0)</f>
        <v/>
      </c>
      <c r="F996">
        <f>IF(E996=1,SUMIFS(Compta!$F$2:$F$675,Compta!$A$2:$A$675,A996,Compta!$B$2:$B$675,B996,Compta!$C$2:$C$675,"2026"),0)</f>
        <v/>
      </c>
      <c r="G996">
        <f>IF(D996="V01",cad!$I$21,IF(D996="V02",cad!$J$21,cad!$K$21))</f>
        <v/>
      </c>
      <c r="H996">
        <f>IF(D996="V01",cad!$I$22,IF(D996="V02",cad!$J$22,cad!$K$22))</f>
        <v/>
      </c>
      <c r="I996">
        <f>IF(D996="V01",cad!$I$27,IF(D996="V02",cad!$J$27,cad!$K$27))</f>
        <v/>
      </c>
      <c r="J996">
        <f>IF(D996="V01",cad!$I$28,IF(D996="V02",cad!$J$28,cad!$K$28))</f>
        <v/>
      </c>
      <c r="K996">
        <f>IF(D996="V01",cad!$I$29,IF(D996="V02",cad!$J$29,cad!$K$29))</f>
        <v/>
      </c>
      <c r="L996">
        <f>IF(D996="V01",cad!$I$30,IF(D996="V02",cad!$J$30,cad!$K$30))</f>
        <v/>
      </c>
      <c r="M996">
        <f>IF(D996="V01",cad!$I$31,IF(D996="V02",cad!$J$31,cad!$K$31))</f>
        <v/>
      </c>
      <c r="N996">
        <f>IF(D996="V01",$R$2,IF(D996="V02",$R$3,$R$4))</f>
        <v/>
      </c>
      <c r="O996">
        <f>IF(OR(B996="7062",B996="706",B996="708"),N996,IF(B996="6231",1+G996,IF(B996="6236",1+H996,IF(OR(B996="621",B996="604",B996="6063"),N996*(1-L996),IF(OR(B996="6411",B996="6413",B996="6414",B996="645"),(1+J996)*(1+K996),IF(OR(B996="613",B996="615",B996="616",B996="6226",B996="625",B996="626",B996="6281"),(1+I996)*(1-L996)*(1+M996),IF(OR(B996="6331",B996="63511",B996="6333"),(1+I996)*(1-L996),IF(B996="6811",1+I996,1))))))))</f>
        <v/>
      </c>
      <c r="P996">
        <f>IF(E996=1,F996*O996,"")</f>
        <v/>
      </c>
    </row>
    <row r="997">
      <c r="A997">
        <f>PNL!A997</f>
        <v/>
      </c>
      <c r="B997">
        <f>PNL!B997</f>
        <v/>
      </c>
      <c r="C997">
        <f>PNL!C997</f>
        <v/>
      </c>
      <c r="D997">
        <f>PNL!D997</f>
        <v/>
      </c>
      <c r="E997">
        <f>IF(AND(C997="2027",OR(D997="V01",D997="V02",D997="V03")),1,0)</f>
        <v/>
      </c>
      <c r="F997">
        <f>IF(E997=1,SUMIFS(Compta!$F$2:$F$675,Compta!$A$2:$A$675,A997,Compta!$B$2:$B$675,B997,Compta!$C$2:$C$675,"2026"),0)</f>
        <v/>
      </c>
      <c r="G997">
        <f>IF(D997="V01",cad!$I$21,IF(D997="V02",cad!$J$21,cad!$K$21))</f>
        <v/>
      </c>
      <c r="H997">
        <f>IF(D997="V01",cad!$I$22,IF(D997="V02",cad!$J$22,cad!$K$22))</f>
        <v/>
      </c>
      <c r="I997">
        <f>IF(D997="V01",cad!$I$27,IF(D997="V02",cad!$J$27,cad!$K$27))</f>
        <v/>
      </c>
      <c r="J997">
        <f>IF(D997="V01",cad!$I$28,IF(D997="V02",cad!$J$28,cad!$K$28))</f>
        <v/>
      </c>
      <c r="K997">
        <f>IF(D997="V01",cad!$I$29,IF(D997="V02",cad!$J$29,cad!$K$29))</f>
        <v/>
      </c>
      <c r="L997">
        <f>IF(D997="V01",cad!$I$30,IF(D997="V02",cad!$J$30,cad!$K$30))</f>
        <v/>
      </c>
      <c r="M997">
        <f>IF(D997="V01",cad!$I$31,IF(D997="V02",cad!$J$31,cad!$K$31))</f>
        <v/>
      </c>
      <c r="N997">
        <f>IF(D997="V01",$R$2,IF(D997="V02",$R$3,$R$4))</f>
        <v/>
      </c>
      <c r="O997">
        <f>IF(OR(B997="7062",B997="706",B997="708"),N997,IF(B997="6231",1+G997,IF(B997="6236",1+H997,IF(OR(B997="621",B997="604",B997="6063"),N997*(1-L997),IF(OR(B997="6411",B997="6413",B997="6414",B997="645"),(1+J997)*(1+K997),IF(OR(B997="613",B997="615",B997="616",B997="6226",B997="625",B997="626",B997="6281"),(1+I997)*(1-L997)*(1+M997),IF(OR(B997="6331",B997="63511",B997="6333"),(1+I997)*(1-L997),IF(B997="6811",1+I997,1))))))))</f>
        <v/>
      </c>
      <c r="P997">
        <f>IF(E997=1,F997*O997,"")</f>
        <v/>
      </c>
    </row>
    <row r="998">
      <c r="A998">
        <f>PNL!A998</f>
        <v/>
      </c>
      <c r="B998">
        <f>PNL!B998</f>
        <v/>
      </c>
      <c r="C998">
        <f>PNL!C998</f>
        <v/>
      </c>
      <c r="D998">
        <f>PNL!D998</f>
        <v/>
      </c>
      <c r="E998">
        <f>IF(AND(C998="2027",OR(D998="V01",D998="V02",D998="V03")),1,0)</f>
        <v/>
      </c>
      <c r="F998">
        <f>IF(E998=1,SUMIFS(Compta!$F$2:$F$675,Compta!$A$2:$A$675,A998,Compta!$B$2:$B$675,B998,Compta!$C$2:$C$675,"2026"),0)</f>
        <v/>
      </c>
      <c r="G998">
        <f>IF(D998="V01",cad!$I$21,IF(D998="V02",cad!$J$21,cad!$K$21))</f>
        <v/>
      </c>
      <c r="H998">
        <f>IF(D998="V01",cad!$I$22,IF(D998="V02",cad!$J$22,cad!$K$22))</f>
        <v/>
      </c>
      <c r="I998">
        <f>IF(D998="V01",cad!$I$27,IF(D998="V02",cad!$J$27,cad!$K$27))</f>
        <v/>
      </c>
      <c r="J998">
        <f>IF(D998="V01",cad!$I$28,IF(D998="V02",cad!$J$28,cad!$K$28))</f>
        <v/>
      </c>
      <c r="K998">
        <f>IF(D998="V01",cad!$I$29,IF(D998="V02",cad!$J$29,cad!$K$29))</f>
        <v/>
      </c>
      <c r="L998">
        <f>IF(D998="V01",cad!$I$30,IF(D998="V02",cad!$J$30,cad!$K$30))</f>
        <v/>
      </c>
      <c r="M998">
        <f>IF(D998="V01",cad!$I$31,IF(D998="V02",cad!$J$31,cad!$K$31))</f>
        <v/>
      </c>
      <c r="N998">
        <f>IF(D998="V01",$R$2,IF(D998="V02",$R$3,$R$4))</f>
        <v/>
      </c>
      <c r="O998">
        <f>IF(OR(B998="7062",B998="706",B998="708"),N998,IF(B998="6231",1+G998,IF(B998="6236",1+H998,IF(OR(B998="621",B998="604",B998="6063"),N998*(1-L998),IF(OR(B998="6411",B998="6413",B998="6414",B998="645"),(1+J998)*(1+K998),IF(OR(B998="613",B998="615",B998="616",B998="6226",B998="625",B998="626",B998="6281"),(1+I998)*(1-L998)*(1+M998),IF(OR(B998="6331",B998="63511",B998="6333"),(1+I998)*(1-L998),IF(B998="6811",1+I998,1))))))))</f>
        <v/>
      </c>
      <c r="P998">
        <f>IF(E998=1,F998*O998,"")</f>
        <v/>
      </c>
    </row>
    <row r="999">
      <c r="A999">
        <f>PNL!A999</f>
        <v/>
      </c>
      <c r="B999">
        <f>PNL!B999</f>
        <v/>
      </c>
      <c r="C999">
        <f>PNL!C999</f>
        <v/>
      </c>
      <c r="D999">
        <f>PNL!D999</f>
        <v/>
      </c>
      <c r="E999">
        <f>IF(AND(C999="2027",OR(D999="V01",D999="V02",D999="V03")),1,0)</f>
        <v/>
      </c>
      <c r="F999">
        <f>IF(E999=1,SUMIFS(Compta!$F$2:$F$675,Compta!$A$2:$A$675,A999,Compta!$B$2:$B$675,B999,Compta!$C$2:$C$675,"2026"),0)</f>
        <v/>
      </c>
      <c r="G999">
        <f>IF(D999="V01",cad!$I$21,IF(D999="V02",cad!$J$21,cad!$K$21))</f>
        <v/>
      </c>
      <c r="H999">
        <f>IF(D999="V01",cad!$I$22,IF(D999="V02",cad!$J$22,cad!$K$22))</f>
        <v/>
      </c>
      <c r="I999">
        <f>IF(D999="V01",cad!$I$27,IF(D999="V02",cad!$J$27,cad!$K$27))</f>
        <v/>
      </c>
      <c r="J999">
        <f>IF(D999="V01",cad!$I$28,IF(D999="V02",cad!$J$28,cad!$K$28))</f>
        <v/>
      </c>
      <c r="K999">
        <f>IF(D999="V01",cad!$I$29,IF(D999="V02",cad!$J$29,cad!$K$29))</f>
        <v/>
      </c>
      <c r="L999">
        <f>IF(D999="V01",cad!$I$30,IF(D999="V02",cad!$J$30,cad!$K$30))</f>
        <v/>
      </c>
      <c r="M999">
        <f>IF(D999="V01",cad!$I$31,IF(D999="V02",cad!$J$31,cad!$K$31))</f>
        <v/>
      </c>
      <c r="N999">
        <f>IF(D999="V01",$R$2,IF(D999="V02",$R$3,$R$4))</f>
        <v/>
      </c>
      <c r="O999">
        <f>IF(OR(B999="7062",B999="706",B999="708"),N999,IF(B999="6231",1+G999,IF(B999="6236",1+H999,IF(OR(B999="621",B999="604",B999="6063"),N999*(1-L999),IF(OR(B999="6411",B999="6413",B999="6414",B999="645"),(1+J999)*(1+K999),IF(OR(B999="613",B999="615",B999="616",B999="6226",B999="625",B999="626",B999="6281"),(1+I999)*(1-L999)*(1+M999),IF(OR(B999="6331",B999="63511",B999="6333"),(1+I999)*(1-L999),IF(B999="6811",1+I999,1))))))))</f>
        <v/>
      </c>
      <c r="P999">
        <f>IF(E999=1,F999*O999,"")</f>
        <v/>
      </c>
    </row>
    <row r="1000">
      <c r="A1000">
        <f>PNL!A1000</f>
        <v/>
      </c>
      <c r="B1000">
        <f>PNL!B1000</f>
        <v/>
      </c>
      <c r="C1000">
        <f>PNL!C1000</f>
        <v/>
      </c>
      <c r="D1000">
        <f>PNL!D1000</f>
        <v/>
      </c>
      <c r="E1000">
        <f>IF(AND(C1000="2027",OR(D1000="V01",D1000="V02",D1000="V03")),1,0)</f>
        <v/>
      </c>
      <c r="F1000">
        <f>IF(E1000=1,SUMIFS(Compta!$F$2:$F$675,Compta!$A$2:$A$675,A1000,Compta!$B$2:$B$675,B1000,Compta!$C$2:$C$675,"2026"),0)</f>
        <v/>
      </c>
      <c r="G1000">
        <f>IF(D1000="V01",cad!$I$21,IF(D1000="V02",cad!$J$21,cad!$K$21))</f>
        <v/>
      </c>
      <c r="H1000">
        <f>IF(D1000="V01",cad!$I$22,IF(D1000="V02",cad!$J$22,cad!$K$22))</f>
        <v/>
      </c>
      <c r="I1000">
        <f>IF(D1000="V01",cad!$I$27,IF(D1000="V02",cad!$J$27,cad!$K$27))</f>
        <v/>
      </c>
      <c r="J1000">
        <f>IF(D1000="V01",cad!$I$28,IF(D1000="V02",cad!$J$28,cad!$K$28))</f>
        <v/>
      </c>
      <c r="K1000">
        <f>IF(D1000="V01",cad!$I$29,IF(D1000="V02",cad!$J$29,cad!$K$29))</f>
        <v/>
      </c>
      <c r="L1000">
        <f>IF(D1000="V01",cad!$I$30,IF(D1000="V02",cad!$J$30,cad!$K$30))</f>
        <v/>
      </c>
      <c r="M1000">
        <f>IF(D1000="V01",cad!$I$31,IF(D1000="V02",cad!$J$31,cad!$K$31))</f>
        <v/>
      </c>
      <c r="N1000">
        <f>IF(D1000="V01",$R$2,IF(D1000="V02",$R$3,$R$4))</f>
        <v/>
      </c>
      <c r="O1000">
        <f>IF(OR(B1000="7062",B1000="706",B1000="708"),N1000,IF(B1000="6231",1+G1000,IF(B1000="6236",1+H1000,IF(OR(B1000="621",B1000="604",B1000="6063"),N1000*(1-L1000),IF(OR(B1000="6411",B1000="6413",B1000="6414",B1000="645"),(1+J1000)*(1+K1000),IF(OR(B1000="613",B1000="615",B1000="616",B1000="6226",B1000="625",B1000="626",B1000="6281"),(1+I1000)*(1-L1000)*(1+M1000),IF(OR(B1000="6331",B1000="63511",B1000="6333"),(1+I1000)*(1-L1000),IF(B1000="6811",1+I1000,1))))))))</f>
        <v/>
      </c>
      <c r="P1000">
        <f>IF(E1000=1,F1000*O1000,"")</f>
        <v/>
      </c>
    </row>
    <row r="1001">
      <c r="A1001">
        <f>PNL!A1001</f>
        <v/>
      </c>
      <c r="B1001">
        <f>PNL!B1001</f>
        <v/>
      </c>
      <c r="C1001">
        <f>PNL!C1001</f>
        <v/>
      </c>
      <c r="D1001">
        <f>PNL!D1001</f>
        <v/>
      </c>
      <c r="E1001">
        <f>IF(AND(C1001="2027",OR(D1001="V01",D1001="V02",D1001="V03")),1,0)</f>
        <v/>
      </c>
      <c r="F1001">
        <f>IF(E1001=1,SUMIFS(Compta!$F$2:$F$675,Compta!$A$2:$A$675,A1001,Compta!$B$2:$B$675,B1001,Compta!$C$2:$C$675,"2026"),0)</f>
        <v/>
      </c>
      <c r="G1001">
        <f>IF(D1001="V01",cad!$I$21,IF(D1001="V02",cad!$J$21,cad!$K$21))</f>
        <v/>
      </c>
      <c r="H1001">
        <f>IF(D1001="V01",cad!$I$22,IF(D1001="V02",cad!$J$22,cad!$K$22))</f>
        <v/>
      </c>
      <c r="I1001">
        <f>IF(D1001="V01",cad!$I$27,IF(D1001="V02",cad!$J$27,cad!$K$27))</f>
        <v/>
      </c>
      <c r="J1001">
        <f>IF(D1001="V01",cad!$I$28,IF(D1001="V02",cad!$J$28,cad!$K$28))</f>
        <v/>
      </c>
      <c r="K1001">
        <f>IF(D1001="V01",cad!$I$29,IF(D1001="V02",cad!$J$29,cad!$K$29))</f>
        <v/>
      </c>
      <c r="L1001">
        <f>IF(D1001="V01",cad!$I$30,IF(D1001="V02",cad!$J$30,cad!$K$30))</f>
        <v/>
      </c>
      <c r="M1001">
        <f>IF(D1001="V01",cad!$I$31,IF(D1001="V02",cad!$J$31,cad!$K$31))</f>
        <v/>
      </c>
      <c r="N1001">
        <f>IF(D1001="V01",$R$2,IF(D1001="V02",$R$3,$R$4))</f>
        <v/>
      </c>
      <c r="O1001">
        <f>IF(OR(B1001="7062",B1001="706",B1001="708"),N1001,IF(B1001="6231",1+G1001,IF(B1001="6236",1+H1001,IF(OR(B1001="621",B1001="604",B1001="6063"),N1001*(1-L1001),IF(OR(B1001="6411",B1001="6413",B1001="6414",B1001="645"),(1+J1001)*(1+K1001),IF(OR(B1001="613",B1001="615",B1001="616",B1001="6226",B1001="625",B1001="626",B1001="6281"),(1+I1001)*(1-L1001)*(1+M1001),IF(OR(B1001="6331",B1001="63511",B1001="6333"),(1+I1001)*(1-L1001),IF(B1001="6811",1+I1001,1))))))))</f>
        <v/>
      </c>
      <c r="P1001">
        <f>IF(E1001=1,F1001*O1001,"")</f>
        <v/>
      </c>
    </row>
    <row r="1002">
      <c r="A1002">
        <f>PNL!A1002</f>
        <v/>
      </c>
      <c r="B1002">
        <f>PNL!B1002</f>
        <v/>
      </c>
      <c r="C1002">
        <f>PNL!C1002</f>
        <v/>
      </c>
      <c r="D1002">
        <f>PNL!D1002</f>
        <v/>
      </c>
      <c r="E1002">
        <f>IF(AND(C1002="2027",OR(D1002="V01",D1002="V02",D1002="V03")),1,0)</f>
        <v/>
      </c>
      <c r="F1002">
        <f>IF(E1002=1,SUMIFS(Compta!$F$2:$F$675,Compta!$A$2:$A$675,A1002,Compta!$B$2:$B$675,B1002,Compta!$C$2:$C$675,"2026"),0)</f>
        <v/>
      </c>
      <c r="G1002">
        <f>IF(D1002="V01",cad!$I$21,IF(D1002="V02",cad!$J$21,cad!$K$21))</f>
        <v/>
      </c>
      <c r="H1002">
        <f>IF(D1002="V01",cad!$I$22,IF(D1002="V02",cad!$J$22,cad!$K$22))</f>
        <v/>
      </c>
      <c r="I1002">
        <f>IF(D1002="V01",cad!$I$27,IF(D1002="V02",cad!$J$27,cad!$K$27))</f>
        <v/>
      </c>
      <c r="J1002">
        <f>IF(D1002="V01",cad!$I$28,IF(D1002="V02",cad!$J$28,cad!$K$28))</f>
        <v/>
      </c>
      <c r="K1002">
        <f>IF(D1002="V01",cad!$I$29,IF(D1002="V02",cad!$J$29,cad!$K$29))</f>
        <v/>
      </c>
      <c r="L1002">
        <f>IF(D1002="V01",cad!$I$30,IF(D1002="V02",cad!$J$30,cad!$K$30))</f>
        <v/>
      </c>
      <c r="M1002">
        <f>IF(D1002="V01",cad!$I$31,IF(D1002="V02",cad!$J$31,cad!$K$31))</f>
        <v/>
      </c>
      <c r="N1002">
        <f>IF(D1002="V01",$R$2,IF(D1002="V02",$R$3,$R$4))</f>
        <v/>
      </c>
      <c r="O1002">
        <f>IF(OR(B1002="7062",B1002="706",B1002="708"),N1002,IF(B1002="6231",1+G1002,IF(B1002="6236",1+H1002,IF(OR(B1002="621",B1002="604",B1002="6063"),N1002*(1-L1002),IF(OR(B1002="6411",B1002="6413",B1002="6414",B1002="645"),(1+J1002)*(1+K1002),IF(OR(B1002="613",B1002="615",B1002="616",B1002="6226",B1002="625",B1002="626",B1002="6281"),(1+I1002)*(1-L1002)*(1+M1002),IF(OR(B1002="6331",B1002="63511",B1002="6333"),(1+I1002)*(1-L1002),IF(B1002="6811",1+I1002,1))))))))</f>
        <v/>
      </c>
      <c r="P1002">
        <f>IF(E1002=1,F1002*O1002,"")</f>
        <v/>
      </c>
    </row>
    <row r="1003">
      <c r="A1003">
        <f>PNL!A1003</f>
        <v/>
      </c>
      <c r="B1003">
        <f>PNL!B1003</f>
        <v/>
      </c>
      <c r="C1003">
        <f>PNL!C1003</f>
        <v/>
      </c>
      <c r="D1003">
        <f>PNL!D1003</f>
        <v/>
      </c>
      <c r="E1003">
        <f>IF(AND(C1003="2027",OR(D1003="V01",D1003="V02",D1003="V03")),1,0)</f>
        <v/>
      </c>
      <c r="F1003">
        <f>IF(E1003=1,SUMIFS(Compta!$F$2:$F$675,Compta!$A$2:$A$675,A1003,Compta!$B$2:$B$675,B1003,Compta!$C$2:$C$675,"2026"),0)</f>
        <v/>
      </c>
      <c r="G1003">
        <f>IF(D1003="V01",cad!$I$21,IF(D1003="V02",cad!$J$21,cad!$K$21))</f>
        <v/>
      </c>
      <c r="H1003">
        <f>IF(D1003="V01",cad!$I$22,IF(D1003="V02",cad!$J$22,cad!$K$22))</f>
        <v/>
      </c>
      <c r="I1003">
        <f>IF(D1003="V01",cad!$I$27,IF(D1003="V02",cad!$J$27,cad!$K$27))</f>
        <v/>
      </c>
      <c r="J1003">
        <f>IF(D1003="V01",cad!$I$28,IF(D1003="V02",cad!$J$28,cad!$K$28))</f>
        <v/>
      </c>
      <c r="K1003">
        <f>IF(D1003="V01",cad!$I$29,IF(D1003="V02",cad!$J$29,cad!$K$29))</f>
        <v/>
      </c>
      <c r="L1003">
        <f>IF(D1003="V01",cad!$I$30,IF(D1003="V02",cad!$J$30,cad!$K$30))</f>
        <v/>
      </c>
      <c r="M1003">
        <f>IF(D1003="V01",cad!$I$31,IF(D1003="V02",cad!$J$31,cad!$K$31))</f>
        <v/>
      </c>
      <c r="N1003">
        <f>IF(D1003="V01",$R$2,IF(D1003="V02",$R$3,$R$4))</f>
        <v/>
      </c>
      <c r="O1003">
        <f>IF(OR(B1003="7062",B1003="706",B1003="708"),N1003,IF(B1003="6231",1+G1003,IF(B1003="6236",1+H1003,IF(OR(B1003="621",B1003="604",B1003="6063"),N1003*(1-L1003),IF(OR(B1003="6411",B1003="6413",B1003="6414",B1003="645"),(1+J1003)*(1+K1003),IF(OR(B1003="613",B1003="615",B1003="616",B1003="6226",B1003="625",B1003="626",B1003="6281"),(1+I1003)*(1-L1003)*(1+M1003),IF(OR(B1003="6331",B1003="63511",B1003="6333"),(1+I1003)*(1-L1003),IF(B1003="6811",1+I1003,1))))))))</f>
        <v/>
      </c>
      <c r="P1003">
        <f>IF(E1003=1,F1003*O1003,"")</f>
        <v/>
      </c>
    </row>
    <row r="1004">
      <c r="A1004">
        <f>PNL!A1004</f>
        <v/>
      </c>
      <c r="B1004">
        <f>PNL!B1004</f>
        <v/>
      </c>
      <c r="C1004">
        <f>PNL!C1004</f>
        <v/>
      </c>
      <c r="D1004">
        <f>PNL!D1004</f>
        <v/>
      </c>
      <c r="E1004">
        <f>IF(AND(C1004="2027",OR(D1004="V01",D1004="V02",D1004="V03")),1,0)</f>
        <v/>
      </c>
      <c r="F1004">
        <f>IF(E1004=1,SUMIFS(Compta!$F$2:$F$675,Compta!$A$2:$A$675,A1004,Compta!$B$2:$B$675,B1004,Compta!$C$2:$C$675,"2026"),0)</f>
        <v/>
      </c>
      <c r="G1004">
        <f>IF(D1004="V01",cad!$I$21,IF(D1004="V02",cad!$J$21,cad!$K$21))</f>
        <v/>
      </c>
      <c r="H1004">
        <f>IF(D1004="V01",cad!$I$22,IF(D1004="V02",cad!$J$22,cad!$K$22))</f>
        <v/>
      </c>
      <c r="I1004">
        <f>IF(D1004="V01",cad!$I$27,IF(D1004="V02",cad!$J$27,cad!$K$27))</f>
        <v/>
      </c>
      <c r="J1004">
        <f>IF(D1004="V01",cad!$I$28,IF(D1004="V02",cad!$J$28,cad!$K$28))</f>
        <v/>
      </c>
      <c r="K1004">
        <f>IF(D1004="V01",cad!$I$29,IF(D1004="V02",cad!$J$29,cad!$K$29))</f>
        <v/>
      </c>
      <c r="L1004">
        <f>IF(D1004="V01",cad!$I$30,IF(D1004="V02",cad!$J$30,cad!$K$30))</f>
        <v/>
      </c>
      <c r="M1004">
        <f>IF(D1004="V01",cad!$I$31,IF(D1004="V02",cad!$J$31,cad!$K$31))</f>
        <v/>
      </c>
      <c r="N1004">
        <f>IF(D1004="V01",$R$2,IF(D1004="V02",$R$3,$R$4))</f>
        <v/>
      </c>
      <c r="O1004">
        <f>IF(OR(B1004="7062",B1004="706",B1004="708"),N1004,IF(B1004="6231",1+G1004,IF(B1004="6236",1+H1004,IF(OR(B1004="621",B1004="604",B1004="6063"),N1004*(1-L1004),IF(OR(B1004="6411",B1004="6413",B1004="6414",B1004="645"),(1+J1004)*(1+K1004),IF(OR(B1004="613",B1004="615",B1004="616",B1004="6226",B1004="625",B1004="626",B1004="6281"),(1+I1004)*(1-L1004)*(1+M1004),IF(OR(B1004="6331",B1004="63511",B1004="6333"),(1+I1004)*(1-L1004),IF(B1004="6811",1+I1004,1))))))))</f>
        <v/>
      </c>
      <c r="P1004">
        <f>IF(E1004=1,F1004*O1004,"")</f>
        <v/>
      </c>
    </row>
    <row r="1005">
      <c r="A1005">
        <f>PNL!A1005</f>
        <v/>
      </c>
      <c r="B1005">
        <f>PNL!B1005</f>
        <v/>
      </c>
      <c r="C1005">
        <f>PNL!C1005</f>
        <v/>
      </c>
      <c r="D1005">
        <f>PNL!D1005</f>
        <v/>
      </c>
      <c r="E1005">
        <f>IF(AND(C1005="2027",OR(D1005="V01",D1005="V02",D1005="V03")),1,0)</f>
        <v/>
      </c>
      <c r="F1005">
        <f>IF(E1005=1,SUMIFS(Compta!$F$2:$F$675,Compta!$A$2:$A$675,A1005,Compta!$B$2:$B$675,B1005,Compta!$C$2:$C$675,"2026"),0)</f>
        <v/>
      </c>
      <c r="G1005">
        <f>IF(D1005="V01",cad!$I$21,IF(D1005="V02",cad!$J$21,cad!$K$21))</f>
        <v/>
      </c>
      <c r="H1005">
        <f>IF(D1005="V01",cad!$I$22,IF(D1005="V02",cad!$J$22,cad!$K$22))</f>
        <v/>
      </c>
      <c r="I1005">
        <f>IF(D1005="V01",cad!$I$27,IF(D1005="V02",cad!$J$27,cad!$K$27))</f>
        <v/>
      </c>
      <c r="J1005">
        <f>IF(D1005="V01",cad!$I$28,IF(D1005="V02",cad!$J$28,cad!$K$28))</f>
        <v/>
      </c>
      <c r="K1005">
        <f>IF(D1005="V01",cad!$I$29,IF(D1005="V02",cad!$J$29,cad!$K$29))</f>
        <v/>
      </c>
      <c r="L1005">
        <f>IF(D1005="V01",cad!$I$30,IF(D1005="V02",cad!$J$30,cad!$K$30))</f>
        <v/>
      </c>
      <c r="M1005">
        <f>IF(D1005="V01",cad!$I$31,IF(D1005="V02",cad!$J$31,cad!$K$31))</f>
        <v/>
      </c>
      <c r="N1005">
        <f>IF(D1005="V01",$R$2,IF(D1005="V02",$R$3,$R$4))</f>
        <v/>
      </c>
      <c r="O1005">
        <f>IF(OR(B1005="7062",B1005="706",B1005="708"),N1005,IF(B1005="6231",1+G1005,IF(B1005="6236",1+H1005,IF(OR(B1005="621",B1005="604",B1005="6063"),N1005*(1-L1005),IF(OR(B1005="6411",B1005="6413",B1005="6414",B1005="645"),(1+J1005)*(1+K1005),IF(OR(B1005="613",B1005="615",B1005="616",B1005="6226",B1005="625",B1005="626",B1005="6281"),(1+I1005)*(1-L1005)*(1+M1005),IF(OR(B1005="6331",B1005="63511",B1005="6333"),(1+I1005)*(1-L1005),IF(B1005="6811",1+I1005,1))))))))</f>
        <v/>
      </c>
      <c r="P1005">
        <f>IF(E1005=1,F1005*O1005,"")</f>
        <v/>
      </c>
    </row>
    <row r="1006">
      <c r="A1006">
        <f>PNL!A1006</f>
        <v/>
      </c>
      <c r="B1006">
        <f>PNL!B1006</f>
        <v/>
      </c>
      <c r="C1006">
        <f>PNL!C1006</f>
        <v/>
      </c>
      <c r="D1006">
        <f>PNL!D1006</f>
        <v/>
      </c>
      <c r="E1006">
        <f>IF(AND(C1006="2027",OR(D1006="V01",D1006="V02",D1006="V03")),1,0)</f>
        <v/>
      </c>
      <c r="F1006">
        <f>IF(E1006=1,SUMIFS(Compta!$F$2:$F$675,Compta!$A$2:$A$675,A1006,Compta!$B$2:$B$675,B1006,Compta!$C$2:$C$675,"2026"),0)</f>
        <v/>
      </c>
      <c r="G1006">
        <f>IF(D1006="V01",cad!$I$21,IF(D1006="V02",cad!$J$21,cad!$K$21))</f>
        <v/>
      </c>
      <c r="H1006">
        <f>IF(D1006="V01",cad!$I$22,IF(D1006="V02",cad!$J$22,cad!$K$22))</f>
        <v/>
      </c>
      <c r="I1006">
        <f>IF(D1006="V01",cad!$I$27,IF(D1006="V02",cad!$J$27,cad!$K$27))</f>
        <v/>
      </c>
      <c r="J1006">
        <f>IF(D1006="V01",cad!$I$28,IF(D1006="V02",cad!$J$28,cad!$K$28))</f>
        <v/>
      </c>
      <c r="K1006">
        <f>IF(D1006="V01",cad!$I$29,IF(D1006="V02",cad!$J$29,cad!$K$29))</f>
        <v/>
      </c>
      <c r="L1006">
        <f>IF(D1006="V01",cad!$I$30,IF(D1006="V02",cad!$J$30,cad!$K$30))</f>
        <v/>
      </c>
      <c r="M1006">
        <f>IF(D1006="V01",cad!$I$31,IF(D1006="V02",cad!$J$31,cad!$K$31))</f>
        <v/>
      </c>
      <c r="N1006">
        <f>IF(D1006="V01",$R$2,IF(D1006="V02",$R$3,$R$4))</f>
        <v/>
      </c>
      <c r="O1006">
        <f>IF(OR(B1006="7062",B1006="706",B1006="708"),N1006,IF(B1006="6231",1+G1006,IF(B1006="6236",1+H1006,IF(OR(B1006="621",B1006="604",B1006="6063"),N1006*(1-L1006),IF(OR(B1006="6411",B1006="6413",B1006="6414",B1006="645"),(1+J1006)*(1+K1006),IF(OR(B1006="613",B1006="615",B1006="616",B1006="6226",B1006="625",B1006="626",B1006="6281"),(1+I1006)*(1-L1006)*(1+M1006),IF(OR(B1006="6331",B1006="63511",B1006="6333"),(1+I1006)*(1-L1006),IF(B1006="6811",1+I1006,1))))))))</f>
        <v/>
      </c>
      <c r="P1006">
        <f>IF(E1006=1,F1006*O1006,"")</f>
        <v/>
      </c>
    </row>
    <row r="1007">
      <c r="A1007">
        <f>PNL!A1007</f>
        <v/>
      </c>
      <c r="B1007">
        <f>PNL!B1007</f>
        <v/>
      </c>
      <c r="C1007">
        <f>PNL!C1007</f>
        <v/>
      </c>
      <c r="D1007">
        <f>PNL!D1007</f>
        <v/>
      </c>
      <c r="E1007">
        <f>IF(AND(C1007="2027",OR(D1007="V01",D1007="V02",D1007="V03")),1,0)</f>
        <v/>
      </c>
      <c r="F1007">
        <f>IF(E1007=1,SUMIFS(Compta!$F$2:$F$675,Compta!$A$2:$A$675,A1007,Compta!$B$2:$B$675,B1007,Compta!$C$2:$C$675,"2026"),0)</f>
        <v/>
      </c>
      <c r="G1007">
        <f>IF(D1007="V01",cad!$I$21,IF(D1007="V02",cad!$J$21,cad!$K$21))</f>
        <v/>
      </c>
      <c r="H1007">
        <f>IF(D1007="V01",cad!$I$22,IF(D1007="V02",cad!$J$22,cad!$K$22))</f>
        <v/>
      </c>
      <c r="I1007">
        <f>IF(D1007="V01",cad!$I$27,IF(D1007="V02",cad!$J$27,cad!$K$27))</f>
        <v/>
      </c>
      <c r="J1007">
        <f>IF(D1007="V01",cad!$I$28,IF(D1007="V02",cad!$J$28,cad!$K$28))</f>
        <v/>
      </c>
      <c r="K1007">
        <f>IF(D1007="V01",cad!$I$29,IF(D1007="V02",cad!$J$29,cad!$K$29))</f>
        <v/>
      </c>
      <c r="L1007">
        <f>IF(D1007="V01",cad!$I$30,IF(D1007="V02",cad!$J$30,cad!$K$30))</f>
        <v/>
      </c>
      <c r="M1007">
        <f>IF(D1007="V01",cad!$I$31,IF(D1007="V02",cad!$J$31,cad!$K$31))</f>
        <v/>
      </c>
      <c r="N1007">
        <f>IF(D1007="V01",$R$2,IF(D1007="V02",$R$3,$R$4))</f>
        <v/>
      </c>
      <c r="O1007">
        <f>IF(OR(B1007="7062",B1007="706",B1007="708"),N1007,IF(B1007="6231",1+G1007,IF(B1007="6236",1+H1007,IF(OR(B1007="621",B1007="604",B1007="6063"),N1007*(1-L1007),IF(OR(B1007="6411",B1007="6413",B1007="6414",B1007="645"),(1+J1007)*(1+K1007),IF(OR(B1007="613",B1007="615",B1007="616",B1007="6226",B1007="625",B1007="626",B1007="6281"),(1+I1007)*(1-L1007)*(1+M1007),IF(OR(B1007="6331",B1007="63511",B1007="6333"),(1+I1007)*(1-L1007),IF(B1007="6811",1+I1007,1))))))))</f>
        <v/>
      </c>
      <c r="P1007">
        <f>IF(E1007=1,F1007*O1007,"")</f>
        <v/>
      </c>
    </row>
    <row r="1008">
      <c r="A1008">
        <f>PNL!A1008</f>
        <v/>
      </c>
      <c r="B1008">
        <f>PNL!B1008</f>
        <v/>
      </c>
      <c r="C1008">
        <f>PNL!C1008</f>
        <v/>
      </c>
      <c r="D1008">
        <f>PNL!D1008</f>
        <v/>
      </c>
      <c r="E1008">
        <f>IF(AND(C1008="2027",OR(D1008="V01",D1008="V02",D1008="V03")),1,0)</f>
        <v/>
      </c>
      <c r="F1008">
        <f>IF(E1008=1,SUMIFS(Compta!$F$2:$F$675,Compta!$A$2:$A$675,A1008,Compta!$B$2:$B$675,B1008,Compta!$C$2:$C$675,"2026"),0)</f>
        <v/>
      </c>
      <c r="G1008">
        <f>IF(D1008="V01",cad!$I$21,IF(D1008="V02",cad!$J$21,cad!$K$21))</f>
        <v/>
      </c>
      <c r="H1008">
        <f>IF(D1008="V01",cad!$I$22,IF(D1008="V02",cad!$J$22,cad!$K$22))</f>
        <v/>
      </c>
      <c r="I1008">
        <f>IF(D1008="V01",cad!$I$27,IF(D1008="V02",cad!$J$27,cad!$K$27))</f>
        <v/>
      </c>
      <c r="J1008">
        <f>IF(D1008="V01",cad!$I$28,IF(D1008="V02",cad!$J$28,cad!$K$28))</f>
        <v/>
      </c>
      <c r="K1008">
        <f>IF(D1008="V01",cad!$I$29,IF(D1008="V02",cad!$J$29,cad!$K$29))</f>
        <v/>
      </c>
      <c r="L1008">
        <f>IF(D1008="V01",cad!$I$30,IF(D1008="V02",cad!$J$30,cad!$K$30))</f>
        <v/>
      </c>
      <c r="M1008">
        <f>IF(D1008="V01",cad!$I$31,IF(D1008="V02",cad!$J$31,cad!$K$31))</f>
        <v/>
      </c>
      <c r="N1008">
        <f>IF(D1008="V01",$R$2,IF(D1008="V02",$R$3,$R$4))</f>
        <v/>
      </c>
      <c r="O1008">
        <f>IF(OR(B1008="7062",B1008="706",B1008="708"),N1008,IF(B1008="6231",1+G1008,IF(B1008="6236",1+H1008,IF(OR(B1008="621",B1008="604",B1008="6063"),N1008*(1-L1008),IF(OR(B1008="6411",B1008="6413",B1008="6414",B1008="645"),(1+J1008)*(1+K1008),IF(OR(B1008="613",B1008="615",B1008="616",B1008="6226",B1008="625",B1008="626",B1008="6281"),(1+I1008)*(1-L1008)*(1+M1008),IF(OR(B1008="6331",B1008="63511",B1008="6333"),(1+I1008)*(1-L1008),IF(B1008="6811",1+I1008,1))))))))</f>
        <v/>
      </c>
      <c r="P1008">
        <f>IF(E1008=1,F1008*O1008,"")</f>
        <v/>
      </c>
    </row>
    <row r="1009">
      <c r="A1009">
        <f>PNL!A1009</f>
        <v/>
      </c>
      <c r="B1009">
        <f>PNL!B1009</f>
        <v/>
      </c>
      <c r="C1009">
        <f>PNL!C1009</f>
        <v/>
      </c>
      <c r="D1009">
        <f>PNL!D1009</f>
        <v/>
      </c>
      <c r="E1009">
        <f>IF(AND(C1009="2027",OR(D1009="V01",D1009="V02",D1009="V03")),1,0)</f>
        <v/>
      </c>
      <c r="F1009">
        <f>IF(E1009=1,SUMIFS(Compta!$F$2:$F$675,Compta!$A$2:$A$675,A1009,Compta!$B$2:$B$675,B1009,Compta!$C$2:$C$675,"2026"),0)</f>
        <v/>
      </c>
      <c r="G1009">
        <f>IF(D1009="V01",cad!$I$21,IF(D1009="V02",cad!$J$21,cad!$K$21))</f>
        <v/>
      </c>
      <c r="H1009">
        <f>IF(D1009="V01",cad!$I$22,IF(D1009="V02",cad!$J$22,cad!$K$22))</f>
        <v/>
      </c>
      <c r="I1009">
        <f>IF(D1009="V01",cad!$I$27,IF(D1009="V02",cad!$J$27,cad!$K$27))</f>
        <v/>
      </c>
      <c r="J1009">
        <f>IF(D1009="V01",cad!$I$28,IF(D1009="V02",cad!$J$28,cad!$K$28))</f>
        <v/>
      </c>
      <c r="K1009">
        <f>IF(D1009="V01",cad!$I$29,IF(D1009="V02",cad!$J$29,cad!$K$29))</f>
        <v/>
      </c>
      <c r="L1009">
        <f>IF(D1009="V01",cad!$I$30,IF(D1009="V02",cad!$J$30,cad!$K$30))</f>
        <v/>
      </c>
      <c r="M1009">
        <f>IF(D1009="V01",cad!$I$31,IF(D1009="V02",cad!$J$31,cad!$K$31))</f>
        <v/>
      </c>
      <c r="N1009">
        <f>IF(D1009="V01",$R$2,IF(D1009="V02",$R$3,$R$4))</f>
        <v/>
      </c>
      <c r="O1009">
        <f>IF(OR(B1009="7062",B1009="706",B1009="708"),N1009,IF(B1009="6231",1+G1009,IF(B1009="6236",1+H1009,IF(OR(B1009="621",B1009="604",B1009="6063"),N1009*(1-L1009),IF(OR(B1009="6411",B1009="6413",B1009="6414",B1009="645"),(1+J1009)*(1+K1009),IF(OR(B1009="613",B1009="615",B1009="616",B1009="6226",B1009="625",B1009="626",B1009="6281"),(1+I1009)*(1-L1009)*(1+M1009),IF(OR(B1009="6331",B1009="63511",B1009="6333"),(1+I1009)*(1-L1009),IF(B1009="6811",1+I1009,1))))))))</f>
        <v/>
      </c>
      <c r="P1009">
        <f>IF(E1009=1,F1009*O1009,"")</f>
        <v/>
      </c>
    </row>
    <row r="1010">
      <c r="A1010">
        <f>PNL!A1010</f>
        <v/>
      </c>
      <c r="B1010">
        <f>PNL!B1010</f>
        <v/>
      </c>
      <c r="C1010">
        <f>PNL!C1010</f>
        <v/>
      </c>
      <c r="D1010">
        <f>PNL!D1010</f>
        <v/>
      </c>
      <c r="E1010">
        <f>IF(AND(C1010="2027",OR(D1010="V01",D1010="V02",D1010="V03")),1,0)</f>
        <v/>
      </c>
      <c r="F1010">
        <f>IF(E1010=1,SUMIFS(Compta!$F$2:$F$675,Compta!$A$2:$A$675,A1010,Compta!$B$2:$B$675,B1010,Compta!$C$2:$C$675,"2026"),0)</f>
        <v/>
      </c>
      <c r="G1010">
        <f>IF(D1010="V01",cad!$I$21,IF(D1010="V02",cad!$J$21,cad!$K$21))</f>
        <v/>
      </c>
      <c r="H1010">
        <f>IF(D1010="V01",cad!$I$22,IF(D1010="V02",cad!$J$22,cad!$K$22))</f>
        <v/>
      </c>
      <c r="I1010">
        <f>IF(D1010="V01",cad!$I$27,IF(D1010="V02",cad!$J$27,cad!$K$27))</f>
        <v/>
      </c>
      <c r="J1010">
        <f>IF(D1010="V01",cad!$I$28,IF(D1010="V02",cad!$J$28,cad!$K$28))</f>
        <v/>
      </c>
      <c r="K1010">
        <f>IF(D1010="V01",cad!$I$29,IF(D1010="V02",cad!$J$29,cad!$K$29))</f>
        <v/>
      </c>
      <c r="L1010">
        <f>IF(D1010="V01",cad!$I$30,IF(D1010="V02",cad!$J$30,cad!$K$30))</f>
        <v/>
      </c>
      <c r="M1010">
        <f>IF(D1010="V01",cad!$I$31,IF(D1010="V02",cad!$J$31,cad!$K$31))</f>
        <v/>
      </c>
      <c r="N1010">
        <f>IF(D1010="V01",$R$2,IF(D1010="V02",$R$3,$R$4))</f>
        <v/>
      </c>
      <c r="O1010">
        <f>IF(OR(B1010="7062",B1010="706",B1010="708"),N1010,IF(B1010="6231",1+G1010,IF(B1010="6236",1+H1010,IF(OR(B1010="621",B1010="604",B1010="6063"),N1010*(1-L1010),IF(OR(B1010="6411",B1010="6413",B1010="6414",B1010="645"),(1+J1010)*(1+K1010),IF(OR(B1010="613",B1010="615",B1010="616",B1010="6226",B1010="625",B1010="626",B1010="6281"),(1+I1010)*(1-L1010)*(1+M1010),IF(OR(B1010="6331",B1010="63511",B1010="6333"),(1+I1010)*(1-L1010),IF(B1010="6811",1+I1010,1))))))))</f>
        <v/>
      </c>
      <c r="P1010">
        <f>IF(E1010=1,F1010*O1010,"")</f>
        <v/>
      </c>
    </row>
    <row r="1011">
      <c r="A1011">
        <f>PNL!A1011</f>
        <v/>
      </c>
      <c r="B1011">
        <f>PNL!B1011</f>
        <v/>
      </c>
      <c r="C1011">
        <f>PNL!C1011</f>
        <v/>
      </c>
      <c r="D1011">
        <f>PNL!D1011</f>
        <v/>
      </c>
      <c r="E1011">
        <f>IF(AND(C1011="2027",OR(D1011="V01",D1011="V02",D1011="V03")),1,0)</f>
        <v/>
      </c>
      <c r="F1011">
        <f>IF(E1011=1,SUMIFS(Compta!$F$2:$F$675,Compta!$A$2:$A$675,A1011,Compta!$B$2:$B$675,B1011,Compta!$C$2:$C$675,"2026"),0)</f>
        <v/>
      </c>
      <c r="G1011">
        <f>IF(D1011="V01",cad!$I$21,IF(D1011="V02",cad!$J$21,cad!$K$21))</f>
        <v/>
      </c>
      <c r="H1011">
        <f>IF(D1011="V01",cad!$I$22,IF(D1011="V02",cad!$J$22,cad!$K$22))</f>
        <v/>
      </c>
      <c r="I1011">
        <f>IF(D1011="V01",cad!$I$27,IF(D1011="V02",cad!$J$27,cad!$K$27))</f>
        <v/>
      </c>
      <c r="J1011">
        <f>IF(D1011="V01",cad!$I$28,IF(D1011="V02",cad!$J$28,cad!$K$28))</f>
        <v/>
      </c>
      <c r="K1011">
        <f>IF(D1011="V01",cad!$I$29,IF(D1011="V02",cad!$J$29,cad!$K$29))</f>
        <v/>
      </c>
      <c r="L1011">
        <f>IF(D1011="V01",cad!$I$30,IF(D1011="V02",cad!$J$30,cad!$K$30))</f>
        <v/>
      </c>
      <c r="M1011">
        <f>IF(D1011="V01",cad!$I$31,IF(D1011="V02",cad!$J$31,cad!$K$31))</f>
        <v/>
      </c>
      <c r="N1011">
        <f>IF(D1011="V01",$R$2,IF(D1011="V02",$R$3,$R$4))</f>
        <v/>
      </c>
      <c r="O1011">
        <f>IF(OR(B1011="7062",B1011="706",B1011="708"),N1011,IF(B1011="6231",1+G1011,IF(B1011="6236",1+H1011,IF(OR(B1011="621",B1011="604",B1011="6063"),N1011*(1-L1011),IF(OR(B1011="6411",B1011="6413",B1011="6414",B1011="645"),(1+J1011)*(1+K1011),IF(OR(B1011="613",B1011="615",B1011="616",B1011="6226",B1011="625",B1011="626",B1011="6281"),(1+I1011)*(1-L1011)*(1+M1011),IF(OR(B1011="6331",B1011="63511",B1011="6333"),(1+I1011)*(1-L1011),IF(B1011="6811",1+I1011,1))))))))</f>
        <v/>
      </c>
      <c r="P1011">
        <f>IF(E1011=1,F1011*O1011,"")</f>
        <v/>
      </c>
    </row>
    <row r="1012">
      <c r="A1012">
        <f>PNL!A1012</f>
        <v/>
      </c>
      <c r="B1012">
        <f>PNL!B1012</f>
        <v/>
      </c>
      <c r="C1012">
        <f>PNL!C1012</f>
        <v/>
      </c>
      <c r="D1012">
        <f>PNL!D1012</f>
        <v/>
      </c>
      <c r="E1012">
        <f>IF(AND(C1012="2027",OR(D1012="V01",D1012="V02",D1012="V03")),1,0)</f>
        <v/>
      </c>
      <c r="F1012">
        <f>IF(E1012=1,SUMIFS(Compta!$F$2:$F$675,Compta!$A$2:$A$675,A1012,Compta!$B$2:$B$675,B1012,Compta!$C$2:$C$675,"2026"),0)</f>
        <v/>
      </c>
      <c r="G1012">
        <f>IF(D1012="V01",cad!$I$21,IF(D1012="V02",cad!$J$21,cad!$K$21))</f>
        <v/>
      </c>
      <c r="H1012">
        <f>IF(D1012="V01",cad!$I$22,IF(D1012="V02",cad!$J$22,cad!$K$22))</f>
        <v/>
      </c>
      <c r="I1012">
        <f>IF(D1012="V01",cad!$I$27,IF(D1012="V02",cad!$J$27,cad!$K$27))</f>
        <v/>
      </c>
      <c r="J1012">
        <f>IF(D1012="V01",cad!$I$28,IF(D1012="V02",cad!$J$28,cad!$K$28))</f>
        <v/>
      </c>
      <c r="K1012">
        <f>IF(D1012="V01",cad!$I$29,IF(D1012="V02",cad!$J$29,cad!$K$29))</f>
        <v/>
      </c>
      <c r="L1012">
        <f>IF(D1012="V01",cad!$I$30,IF(D1012="V02",cad!$J$30,cad!$K$30))</f>
        <v/>
      </c>
      <c r="M1012">
        <f>IF(D1012="V01",cad!$I$31,IF(D1012="V02",cad!$J$31,cad!$K$31))</f>
        <v/>
      </c>
      <c r="N1012">
        <f>IF(D1012="V01",$R$2,IF(D1012="V02",$R$3,$R$4))</f>
        <v/>
      </c>
      <c r="O1012">
        <f>IF(OR(B1012="7062",B1012="706",B1012="708"),N1012,IF(B1012="6231",1+G1012,IF(B1012="6236",1+H1012,IF(OR(B1012="621",B1012="604",B1012="6063"),N1012*(1-L1012),IF(OR(B1012="6411",B1012="6413",B1012="6414",B1012="645"),(1+J1012)*(1+K1012),IF(OR(B1012="613",B1012="615",B1012="616",B1012="6226",B1012="625",B1012="626",B1012="6281"),(1+I1012)*(1-L1012)*(1+M1012),IF(OR(B1012="6331",B1012="63511",B1012="6333"),(1+I1012)*(1-L1012),IF(B1012="6811",1+I1012,1))))))))</f>
        <v/>
      </c>
      <c r="P1012">
        <f>IF(E1012=1,F1012*O1012,"")</f>
        <v/>
      </c>
    </row>
    <row r="1013">
      <c r="A1013">
        <f>PNL!A1013</f>
        <v/>
      </c>
      <c r="B1013">
        <f>PNL!B1013</f>
        <v/>
      </c>
      <c r="C1013">
        <f>PNL!C1013</f>
        <v/>
      </c>
      <c r="D1013">
        <f>PNL!D1013</f>
        <v/>
      </c>
      <c r="E1013">
        <f>IF(AND(C1013="2027",OR(D1013="V01",D1013="V02",D1013="V03")),1,0)</f>
        <v/>
      </c>
      <c r="F1013">
        <f>IF(E1013=1,SUMIFS(Compta!$F$2:$F$675,Compta!$A$2:$A$675,A1013,Compta!$B$2:$B$675,B1013,Compta!$C$2:$C$675,"2026"),0)</f>
        <v/>
      </c>
      <c r="G1013">
        <f>IF(D1013="V01",cad!$I$21,IF(D1013="V02",cad!$J$21,cad!$K$21))</f>
        <v/>
      </c>
      <c r="H1013">
        <f>IF(D1013="V01",cad!$I$22,IF(D1013="V02",cad!$J$22,cad!$K$22))</f>
        <v/>
      </c>
      <c r="I1013">
        <f>IF(D1013="V01",cad!$I$27,IF(D1013="V02",cad!$J$27,cad!$K$27))</f>
        <v/>
      </c>
      <c r="J1013">
        <f>IF(D1013="V01",cad!$I$28,IF(D1013="V02",cad!$J$28,cad!$K$28))</f>
        <v/>
      </c>
      <c r="K1013">
        <f>IF(D1013="V01",cad!$I$29,IF(D1013="V02",cad!$J$29,cad!$K$29))</f>
        <v/>
      </c>
      <c r="L1013">
        <f>IF(D1013="V01",cad!$I$30,IF(D1013="V02",cad!$J$30,cad!$K$30))</f>
        <v/>
      </c>
      <c r="M1013">
        <f>IF(D1013="V01",cad!$I$31,IF(D1013="V02",cad!$J$31,cad!$K$31))</f>
        <v/>
      </c>
      <c r="N1013">
        <f>IF(D1013="V01",$R$2,IF(D1013="V02",$R$3,$R$4))</f>
        <v/>
      </c>
      <c r="O1013">
        <f>IF(OR(B1013="7062",B1013="706",B1013="708"),N1013,IF(B1013="6231",1+G1013,IF(B1013="6236",1+H1013,IF(OR(B1013="621",B1013="604",B1013="6063"),N1013*(1-L1013),IF(OR(B1013="6411",B1013="6413",B1013="6414",B1013="645"),(1+J1013)*(1+K1013),IF(OR(B1013="613",B1013="615",B1013="616",B1013="6226",B1013="625",B1013="626",B1013="6281"),(1+I1013)*(1-L1013)*(1+M1013),IF(OR(B1013="6331",B1013="63511",B1013="6333"),(1+I1013)*(1-L1013),IF(B1013="6811",1+I1013,1))))))))</f>
        <v/>
      </c>
      <c r="P1013">
        <f>IF(E1013=1,F1013*O1013,"")</f>
        <v/>
      </c>
    </row>
    <row r="1014">
      <c r="A1014">
        <f>PNL!A1014</f>
        <v/>
      </c>
      <c r="B1014">
        <f>PNL!B1014</f>
        <v/>
      </c>
      <c r="C1014">
        <f>PNL!C1014</f>
        <v/>
      </c>
      <c r="D1014">
        <f>PNL!D1014</f>
        <v/>
      </c>
      <c r="E1014">
        <f>IF(AND(C1014="2027",OR(D1014="V01",D1014="V02",D1014="V03")),1,0)</f>
        <v/>
      </c>
      <c r="F1014">
        <f>IF(E1014=1,SUMIFS(Compta!$F$2:$F$675,Compta!$A$2:$A$675,A1014,Compta!$B$2:$B$675,B1014,Compta!$C$2:$C$675,"2026"),0)</f>
        <v/>
      </c>
      <c r="G1014">
        <f>IF(D1014="V01",cad!$I$21,IF(D1014="V02",cad!$J$21,cad!$K$21))</f>
        <v/>
      </c>
      <c r="H1014">
        <f>IF(D1014="V01",cad!$I$22,IF(D1014="V02",cad!$J$22,cad!$K$22))</f>
        <v/>
      </c>
      <c r="I1014">
        <f>IF(D1014="V01",cad!$I$27,IF(D1014="V02",cad!$J$27,cad!$K$27))</f>
        <v/>
      </c>
      <c r="J1014">
        <f>IF(D1014="V01",cad!$I$28,IF(D1014="V02",cad!$J$28,cad!$K$28))</f>
        <v/>
      </c>
      <c r="K1014">
        <f>IF(D1014="V01",cad!$I$29,IF(D1014="V02",cad!$J$29,cad!$K$29))</f>
        <v/>
      </c>
      <c r="L1014">
        <f>IF(D1014="V01",cad!$I$30,IF(D1014="V02",cad!$J$30,cad!$K$30))</f>
        <v/>
      </c>
      <c r="M1014">
        <f>IF(D1014="V01",cad!$I$31,IF(D1014="V02",cad!$J$31,cad!$K$31))</f>
        <v/>
      </c>
      <c r="N1014">
        <f>IF(D1014="V01",$R$2,IF(D1014="V02",$R$3,$R$4))</f>
        <v/>
      </c>
      <c r="O1014">
        <f>IF(OR(B1014="7062",B1014="706",B1014="708"),N1014,IF(B1014="6231",1+G1014,IF(B1014="6236",1+H1014,IF(OR(B1014="621",B1014="604",B1014="6063"),N1014*(1-L1014),IF(OR(B1014="6411",B1014="6413",B1014="6414",B1014="645"),(1+J1014)*(1+K1014),IF(OR(B1014="613",B1014="615",B1014="616",B1014="6226",B1014="625",B1014="626",B1014="6281"),(1+I1014)*(1-L1014)*(1+M1014),IF(OR(B1014="6331",B1014="63511",B1014="6333"),(1+I1014)*(1-L1014),IF(B1014="6811",1+I1014,1))))))))</f>
        <v/>
      </c>
      <c r="P1014">
        <f>IF(E1014=1,F1014*O1014,"")</f>
        <v/>
      </c>
    </row>
    <row r="1015">
      <c r="A1015">
        <f>PNL!A1015</f>
        <v/>
      </c>
      <c r="B1015">
        <f>PNL!B1015</f>
        <v/>
      </c>
      <c r="C1015">
        <f>PNL!C1015</f>
        <v/>
      </c>
      <c r="D1015">
        <f>PNL!D1015</f>
        <v/>
      </c>
      <c r="E1015">
        <f>IF(AND(C1015="2027",OR(D1015="V01",D1015="V02",D1015="V03")),1,0)</f>
        <v/>
      </c>
      <c r="F1015">
        <f>IF(E1015=1,SUMIFS(Compta!$F$2:$F$675,Compta!$A$2:$A$675,A1015,Compta!$B$2:$B$675,B1015,Compta!$C$2:$C$675,"2026"),0)</f>
        <v/>
      </c>
      <c r="G1015">
        <f>IF(D1015="V01",cad!$I$21,IF(D1015="V02",cad!$J$21,cad!$K$21))</f>
        <v/>
      </c>
      <c r="H1015">
        <f>IF(D1015="V01",cad!$I$22,IF(D1015="V02",cad!$J$22,cad!$K$22))</f>
        <v/>
      </c>
      <c r="I1015">
        <f>IF(D1015="V01",cad!$I$27,IF(D1015="V02",cad!$J$27,cad!$K$27))</f>
        <v/>
      </c>
      <c r="J1015">
        <f>IF(D1015="V01",cad!$I$28,IF(D1015="V02",cad!$J$28,cad!$K$28))</f>
        <v/>
      </c>
      <c r="K1015">
        <f>IF(D1015="V01",cad!$I$29,IF(D1015="V02",cad!$J$29,cad!$K$29))</f>
        <v/>
      </c>
      <c r="L1015">
        <f>IF(D1015="V01",cad!$I$30,IF(D1015="V02",cad!$J$30,cad!$K$30))</f>
        <v/>
      </c>
      <c r="M1015">
        <f>IF(D1015="V01",cad!$I$31,IF(D1015="V02",cad!$J$31,cad!$K$31))</f>
        <v/>
      </c>
      <c r="N1015">
        <f>IF(D1015="V01",$R$2,IF(D1015="V02",$R$3,$R$4))</f>
        <v/>
      </c>
      <c r="O1015">
        <f>IF(OR(B1015="7062",B1015="706",B1015="708"),N1015,IF(B1015="6231",1+G1015,IF(B1015="6236",1+H1015,IF(OR(B1015="621",B1015="604",B1015="6063"),N1015*(1-L1015),IF(OR(B1015="6411",B1015="6413",B1015="6414",B1015="645"),(1+J1015)*(1+K1015),IF(OR(B1015="613",B1015="615",B1015="616",B1015="6226",B1015="625",B1015="626",B1015="6281"),(1+I1015)*(1-L1015)*(1+M1015),IF(OR(B1015="6331",B1015="63511",B1015="6333"),(1+I1015)*(1-L1015),IF(B1015="6811",1+I1015,1))))))))</f>
        <v/>
      </c>
      <c r="P1015">
        <f>IF(E1015=1,F1015*O1015,"")</f>
        <v/>
      </c>
    </row>
    <row r="1016">
      <c r="A1016">
        <f>PNL!A1016</f>
        <v/>
      </c>
      <c r="B1016">
        <f>PNL!B1016</f>
        <v/>
      </c>
      <c r="C1016">
        <f>PNL!C1016</f>
        <v/>
      </c>
      <c r="D1016">
        <f>PNL!D1016</f>
        <v/>
      </c>
      <c r="E1016">
        <f>IF(AND(C1016="2027",OR(D1016="V01",D1016="V02",D1016="V03")),1,0)</f>
        <v/>
      </c>
      <c r="F1016">
        <f>IF(E1016=1,SUMIFS(Compta!$F$2:$F$675,Compta!$A$2:$A$675,A1016,Compta!$B$2:$B$675,B1016,Compta!$C$2:$C$675,"2026"),0)</f>
        <v/>
      </c>
      <c r="G1016">
        <f>IF(D1016="V01",cad!$I$21,IF(D1016="V02",cad!$J$21,cad!$K$21))</f>
        <v/>
      </c>
      <c r="H1016">
        <f>IF(D1016="V01",cad!$I$22,IF(D1016="V02",cad!$J$22,cad!$K$22))</f>
        <v/>
      </c>
      <c r="I1016">
        <f>IF(D1016="V01",cad!$I$27,IF(D1016="V02",cad!$J$27,cad!$K$27))</f>
        <v/>
      </c>
      <c r="J1016">
        <f>IF(D1016="V01",cad!$I$28,IF(D1016="V02",cad!$J$28,cad!$K$28))</f>
        <v/>
      </c>
      <c r="K1016">
        <f>IF(D1016="V01",cad!$I$29,IF(D1016="V02",cad!$J$29,cad!$K$29))</f>
        <v/>
      </c>
      <c r="L1016">
        <f>IF(D1016="V01",cad!$I$30,IF(D1016="V02",cad!$J$30,cad!$K$30))</f>
        <v/>
      </c>
      <c r="M1016">
        <f>IF(D1016="V01",cad!$I$31,IF(D1016="V02",cad!$J$31,cad!$K$31))</f>
        <v/>
      </c>
      <c r="N1016">
        <f>IF(D1016="V01",$R$2,IF(D1016="V02",$R$3,$R$4))</f>
        <v/>
      </c>
      <c r="O1016">
        <f>IF(OR(B1016="7062",B1016="706",B1016="708"),N1016,IF(B1016="6231",1+G1016,IF(B1016="6236",1+H1016,IF(OR(B1016="621",B1016="604",B1016="6063"),N1016*(1-L1016),IF(OR(B1016="6411",B1016="6413",B1016="6414",B1016="645"),(1+J1016)*(1+K1016),IF(OR(B1016="613",B1016="615",B1016="616",B1016="6226",B1016="625",B1016="626",B1016="6281"),(1+I1016)*(1-L1016)*(1+M1016),IF(OR(B1016="6331",B1016="63511",B1016="6333"),(1+I1016)*(1-L1016),IF(B1016="6811",1+I1016,1))))))))</f>
        <v/>
      </c>
      <c r="P1016">
        <f>IF(E1016=1,F1016*O1016,"")</f>
        <v/>
      </c>
    </row>
    <row r="1017">
      <c r="A1017">
        <f>PNL!A1017</f>
        <v/>
      </c>
      <c r="B1017">
        <f>PNL!B1017</f>
        <v/>
      </c>
      <c r="C1017">
        <f>PNL!C1017</f>
        <v/>
      </c>
      <c r="D1017">
        <f>PNL!D1017</f>
        <v/>
      </c>
      <c r="E1017">
        <f>IF(AND(C1017="2027",OR(D1017="V01",D1017="V02",D1017="V03")),1,0)</f>
        <v/>
      </c>
      <c r="F1017">
        <f>IF(E1017=1,SUMIFS(Compta!$F$2:$F$675,Compta!$A$2:$A$675,A1017,Compta!$B$2:$B$675,B1017,Compta!$C$2:$C$675,"2026"),0)</f>
        <v/>
      </c>
      <c r="G1017">
        <f>IF(D1017="V01",cad!$I$21,IF(D1017="V02",cad!$J$21,cad!$K$21))</f>
        <v/>
      </c>
      <c r="H1017">
        <f>IF(D1017="V01",cad!$I$22,IF(D1017="V02",cad!$J$22,cad!$K$22))</f>
        <v/>
      </c>
      <c r="I1017">
        <f>IF(D1017="V01",cad!$I$27,IF(D1017="V02",cad!$J$27,cad!$K$27))</f>
        <v/>
      </c>
      <c r="J1017">
        <f>IF(D1017="V01",cad!$I$28,IF(D1017="V02",cad!$J$28,cad!$K$28))</f>
        <v/>
      </c>
      <c r="K1017">
        <f>IF(D1017="V01",cad!$I$29,IF(D1017="V02",cad!$J$29,cad!$K$29))</f>
        <v/>
      </c>
      <c r="L1017">
        <f>IF(D1017="V01",cad!$I$30,IF(D1017="V02",cad!$J$30,cad!$K$30))</f>
        <v/>
      </c>
      <c r="M1017">
        <f>IF(D1017="V01",cad!$I$31,IF(D1017="V02",cad!$J$31,cad!$K$31))</f>
        <v/>
      </c>
      <c r="N1017">
        <f>IF(D1017="V01",$R$2,IF(D1017="V02",$R$3,$R$4))</f>
        <v/>
      </c>
      <c r="O1017">
        <f>IF(OR(B1017="7062",B1017="706",B1017="708"),N1017,IF(B1017="6231",1+G1017,IF(B1017="6236",1+H1017,IF(OR(B1017="621",B1017="604",B1017="6063"),N1017*(1-L1017),IF(OR(B1017="6411",B1017="6413",B1017="6414",B1017="645"),(1+J1017)*(1+K1017),IF(OR(B1017="613",B1017="615",B1017="616",B1017="6226",B1017="625",B1017="626",B1017="6281"),(1+I1017)*(1-L1017)*(1+M1017),IF(OR(B1017="6331",B1017="63511",B1017="6333"),(1+I1017)*(1-L1017),IF(B1017="6811",1+I1017,1))))))))</f>
        <v/>
      </c>
      <c r="P1017">
        <f>IF(E1017=1,F1017*O1017,"")</f>
        <v/>
      </c>
    </row>
    <row r="1018">
      <c r="A1018">
        <f>PNL!A1018</f>
        <v/>
      </c>
      <c r="B1018">
        <f>PNL!B1018</f>
        <v/>
      </c>
      <c r="C1018">
        <f>PNL!C1018</f>
        <v/>
      </c>
      <c r="D1018">
        <f>PNL!D1018</f>
        <v/>
      </c>
      <c r="E1018">
        <f>IF(AND(C1018="2027",OR(D1018="V01",D1018="V02",D1018="V03")),1,0)</f>
        <v/>
      </c>
      <c r="F1018">
        <f>IF(E1018=1,SUMIFS(Compta!$F$2:$F$675,Compta!$A$2:$A$675,A1018,Compta!$B$2:$B$675,B1018,Compta!$C$2:$C$675,"2026"),0)</f>
        <v/>
      </c>
      <c r="G1018">
        <f>IF(D1018="V01",cad!$I$21,IF(D1018="V02",cad!$J$21,cad!$K$21))</f>
        <v/>
      </c>
      <c r="H1018">
        <f>IF(D1018="V01",cad!$I$22,IF(D1018="V02",cad!$J$22,cad!$K$22))</f>
        <v/>
      </c>
      <c r="I1018">
        <f>IF(D1018="V01",cad!$I$27,IF(D1018="V02",cad!$J$27,cad!$K$27))</f>
        <v/>
      </c>
      <c r="J1018">
        <f>IF(D1018="V01",cad!$I$28,IF(D1018="V02",cad!$J$28,cad!$K$28))</f>
        <v/>
      </c>
      <c r="K1018">
        <f>IF(D1018="V01",cad!$I$29,IF(D1018="V02",cad!$J$29,cad!$K$29))</f>
        <v/>
      </c>
      <c r="L1018">
        <f>IF(D1018="V01",cad!$I$30,IF(D1018="V02",cad!$J$30,cad!$K$30))</f>
        <v/>
      </c>
      <c r="M1018">
        <f>IF(D1018="V01",cad!$I$31,IF(D1018="V02",cad!$J$31,cad!$K$31))</f>
        <v/>
      </c>
      <c r="N1018">
        <f>IF(D1018="V01",$R$2,IF(D1018="V02",$R$3,$R$4))</f>
        <v/>
      </c>
      <c r="O1018">
        <f>IF(OR(B1018="7062",B1018="706",B1018="708"),N1018,IF(B1018="6231",1+G1018,IF(B1018="6236",1+H1018,IF(OR(B1018="621",B1018="604",B1018="6063"),N1018*(1-L1018),IF(OR(B1018="6411",B1018="6413",B1018="6414",B1018="645"),(1+J1018)*(1+K1018),IF(OR(B1018="613",B1018="615",B1018="616",B1018="6226",B1018="625",B1018="626",B1018="6281"),(1+I1018)*(1-L1018)*(1+M1018),IF(OR(B1018="6331",B1018="63511",B1018="6333"),(1+I1018)*(1-L1018),IF(B1018="6811",1+I1018,1))))))))</f>
        <v/>
      </c>
      <c r="P1018">
        <f>IF(E1018=1,F1018*O1018,"")</f>
        <v/>
      </c>
    </row>
    <row r="1019">
      <c r="A1019">
        <f>PNL!A1019</f>
        <v/>
      </c>
      <c r="B1019">
        <f>PNL!B1019</f>
        <v/>
      </c>
      <c r="C1019">
        <f>PNL!C1019</f>
        <v/>
      </c>
      <c r="D1019">
        <f>PNL!D1019</f>
        <v/>
      </c>
      <c r="E1019">
        <f>IF(AND(C1019="2027",OR(D1019="V01",D1019="V02",D1019="V03")),1,0)</f>
        <v/>
      </c>
      <c r="F1019">
        <f>IF(E1019=1,SUMIFS(Compta!$F$2:$F$675,Compta!$A$2:$A$675,A1019,Compta!$B$2:$B$675,B1019,Compta!$C$2:$C$675,"2026"),0)</f>
        <v/>
      </c>
      <c r="G1019">
        <f>IF(D1019="V01",cad!$I$21,IF(D1019="V02",cad!$J$21,cad!$K$21))</f>
        <v/>
      </c>
      <c r="H1019">
        <f>IF(D1019="V01",cad!$I$22,IF(D1019="V02",cad!$J$22,cad!$K$22))</f>
        <v/>
      </c>
      <c r="I1019">
        <f>IF(D1019="V01",cad!$I$27,IF(D1019="V02",cad!$J$27,cad!$K$27))</f>
        <v/>
      </c>
      <c r="J1019">
        <f>IF(D1019="V01",cad!$I$28,IF(D1019="V02",cad!$J$28,cad!$K$28))</f>
        <v/>
      </c>
      <c r="K1019">
        <f>IF(D1019="V01",cad!$I$29,IF(D1019="V02",cad!$J$29,cad!$K$29))</f>
        <v/>
      </c>
      <c r="L1019">
        <f>IF(D1019="V01",cad!$I$30,IF(D1019="V02",cad!$J$30,cad!$K$30))</f>
        <v/>
      </c>
      <c r="M1019">
        <f>IF(D1019="V01",cad!$I$31,IF(D1019="V02",cad!$J$31,cad!$K$31))</f>
        <v/>
      </c>
      <c r="N1019">
        <f>IF(D1019="V01",$R$2,IF(D1019="V02",$R$3,$R$4))</f>
        <v/>
      </c>
      <c r="O1019">
        <f>IF(OR(B1019="7062",B1019="706",B1019="708"),N1019,IF(B1019="6231",1+G1019,IF(B1019="6236",1+H1019,IF(OR(B1019="621",B1019="604",B1019="6063"),N1019*(1-L1019),IF(OR(B1019="6411",B1019="6413",B1019="6414",B1019="645"),(1+J1019)*(1+K1019),IF(OR(B1019="613",B1019="615",B1019="616",B1019="6226",B1019="625",B1019="626",B1019="6281"),(1+I1019)*(1-L1019)*(1+M1019),IF(OR(B1019="6331",B1019="63511",B1019="6333"),(1+I1019)*(1-L1019),IF(B1019="6811",1+I1019,1))))))))</f>
        <v/>
      </c>
      <c r="P1019">
        <f>IF(E1019=1,F1019*O1019,"")</f>
        <v/>
      </c>
    </row>
    <row r="1020">
      <c r="A1020">
        <f>PNL!A1020</f>
        <v/>
      </c>
      <c r="B1020">
        <f>PNL!B1020</f>
        <v/>
      </c>
      <c r="C1020">
        <f>PNL!C1020</f>
        <v/>
      </c>
      <c r="D1020">
        <f>PNL!D1020</f>
        <v/>
      </c>
      <c r="E1020">
        <f>IF(AND(C1020="2027",OR(D1020="V01",D1020="V02",D1020="V03")),1,0)</f>
        <v/>
      </c>
      <c r="F1020">
        <f>IF(E1020=1,SUMIFS(Compta!$F$2:$F$675,Compta!$A$2:$A$675,A1020,Compta!$B$2:$B$675,B1020,Compta!$C$2:$C$675,"2026"),0)</f>
        <v/>
      </c>
      <c r="G1020">
        <f>IF(D1020="V01",cad!$I$21,IF(D1020="V02",cad!$J$21,cad!$K$21))</f>
        <v/>
      </c>
      <c r="H1020">
        <f>IF(D1020="V01",cad!$I$22,IF(D1020="V02",cad!$J$22,cad!$K$22))</f>
        <v/>
      </c>
      <c r="I1020">
        <f>IF(D1020="V01",cad!$I$27,IF(D1020="V02",cad!$J$27,cad!$K$27))</f>
        <v/>
      </c>
      <c r="J1020">
        <f>IF(D1020="V01",cad!$I$28,IF(D1020="V02",cad!$J$28,cad!$K$28))</f>
        <v/>
      </c>
      <c r="K1020">
        <f>IF(D1020="V01",cad!$I$29,IF(D1020="V02",cad!$J$29,cad!$K$29))</f>
        <v/>
      </c>
      <c r="L1020">
        <f>IF(D1020="V01",cad!$I$30,IF(D1020="V02",cad!$J$30,cad!$K$30))</f>
        <v/>
      </c>
      <c r="M1020">
        <f>IF(D1020="V01",cad!$I$31,IF(D1020="V02",cad!$J$31,cad!$K$31))</f>
        <v/>
      </c>
      <c r="N1020">
        <f>IF(D1020="V01",$R$2,IF(D1020="V02",$R$3,$R$4))</f>
        <v/>
      </c>
      <c r="O1020">
        <f>IF(OR(B1020="7062",B1020="706",B1020="708"),N1020,IF(B1020="6231",1+G1020,IF(B1020="6236",1+H1020,IF(OR(B1020="621",B1020="604",B1020="6063"),N1020*(1-L1020),IF(OR(B1020="6411",B1020="6413",B1020="6414",B1020="645"),(1+J1020)*(1+K1020),IF(OR(B1020="613",B1020="615",B1020="616",B1020="6226",B1020="625",B1020="626",B1020="6281"),(1+I1020)*(1-L1020)*(1+M1020),IF(OR(B1020="6331",B1020="63511",B1020="6333"),(1+I1020)*(1-L1020),IF(B1020="6811",1+I1020,1))))))))</f>
        <v/>
      </c>
      <c r="P1020">
        <f>IF(E1020=1,F1020*O1020,"")</f>
        <v/>
      </c>
    </row>
    <row r="1021">
      <c r="A1021">
        <f>PNL!A1021</f>
        <v/>
      </c>
      <c r="B1021">
        <f>PNL!B1021</f>
        <v/>
      </c>
      <c r="C1021">
        <f>PNL!C1021</f>
        <v/>
      </c>
      <c r="D1021">
        <f>PNL!D1021</f>
        <v/>
      </c>
      <c r="E1021">
        <f>IF(AND(C1021="2027",OR(D1021="V01",D1021="V02",D1021="V03")),1,0)</f>
        <v/>
      </c>
      <c r="F1021">
        <f>IF(E1021=1,SUMIFS(Compta!$F$2:$F$675,Compta!$A$2:$A$675,A1021,Compta!$B$2:$B$675,B1021,Compta!$C$2:$C$675,"2026"),0)</f>
        <v/>
      </c>
      <c r="G1021">
        <f>IF(D1021="V01",cad!$I$21,IF(D1021="V02",cad!$J$21,cad!$K$21))</f>
        <v/>
      </c>
      <c r="H1021">
        <f>IF(D1021="V01",cad!$I$22,IF(D1021="V02",cad!$J$22,cad!$K$22))</f>
        <v/>
      </c>
      <c r="I1021">
        <f>IF(D1021="V01",cad!$I$27,IF(D1021="V02",cad!$J$27,cad!$K$27))</f>
        <v/>
      </c>
      <c r="J1021">
        <f>IF(D1021="V01",cad!$I$28,IF(D1021="V02",cad!$J$28,cad!$K$28))</f>
        <v/>
      </c>
      <c r="K1021">
        <f>IF(D1021="V01",cad!$I$29,IF(D1021="V02",cad!$J$29,cad!$K$29))</f>
        <v/>
      </c>
      <c r="L1021">
        <f>IF(D1021="V01",cad!$I$30,IF(D1021="V02",cad!$J$30,cad!$K$30))</f>
        <v/>
      </c>
      <c r="M1021">
        <f>IF(D1021="V01",cad!$I$31,IF(D1021="V02",cad!$J$31,cad!$K$31))</f>
        <v/>
      </c>
      <c r="N1021">
        <f>IF(D1021="V01",$R$2,IF(D1021="V02",$R$3,$R$4))</f>
        <v/>
      </c>
      <c r="O1021">
        <f>IF(OR(B1021="7062",B1021="706",B1021="708"),N1021,IF(B1021="6231",1+G1021,IF(B1021="6236",1+H1021,IF(OR(B1021="621",B1021="604",B1021="6063"),N1021*(1-L1021),IF(OR(B1021="6411",B1021="6413",B1021="6414",B1021="645"),(1+J1021)*(1+K1021),IF(OR(B1021="613",B1021="615",B1021="616",B1021="6226",B1021="625",B1021="626",B1021="6281"),(1+I1021)*(1-L1021)*(1+M1021),IF(OR(B1021="6331",B1021="63511",B1021="6333"),(1+I1021)*(1-L1021),IF(B1021="6811",1+I1021,1))))))))</f>
        <v/>
      </c>
      <c r="P1021">
        <f>IF(E1021=1,F1021*O1021,"")</f>
        <v/>
      </c>
    </row>
    <row r="1022">
      <c r="A1022">
        <f>PNL!A1022</f>
        <v/>
      </c>
      <c r="B1022">
        <f>PNL!B1022</f>
        <v/>
      </c>
      <c r="C1022">
        <f>PNL!C1022</f>
        <v/>
      </c>
      <c r="D1022">
        <f>PNL!D1022</f>
        <v/>
      </c>
      <c r="E1022">
        <f>IF(AND(C1022="2027",OR(D1022="V01",D1022="V02",D1022="V03")),1,0)</f>
        <v/>
      </c>
      <c r="F1022">
        <f>IF(E1022=1,SUMIFS(Compta!$F$2:$F$675,Compta!$A$2:$A$675,A1022,Compta!$B$2:$B$675,B1022,Compta!$C$2:$C$675,"2026"),0)</f>
        <v/>
      </c>
      <c r="G1022">
        <f>IF(D1022="V01",cad!$I$21,IF(D1022="V02",cad!$J$21,cad!$K$21))</f>
        <v/>
      </c>
      <c r="H1022">
        <f>IF(D1022="V01",cad!$I$22,IF(D1022="V02",cad!$J$22,cad!$K$22))</f>
        <v/>
      </c>
      <c r="I1022">
        <f>IF(D1022="V01",cad!$I$27,IF(D1022="V02",cad!$J$27,cad!$K$27))</f>
        <v/>
      </c>
      <c r="J1022">
        <f>IF(D1022="V01",cad!$I$28,IF(D1022="V02",cad!$J$28,cad!$K$28))</f>
        <v/>
      </c>
      <c r="K1022">
        <f>IF(D1022="V01",cad!$I$29,IF(D1022="V02",cad!$J$29,cad!$K$29))</f>
        <v/>
      </c>
      <c r="L1022">
        <f>IF(D1022="V01",cad!$I$30,IF(D1022="V02",cad!$J$30,cad!$K$30))</f>
        <v/>
      </c>
      <c r="M1022">
        <f>IF(D1022="V01",cad!$I$31,IF(D1022="V02",cad!$J$31,cad!$K$31))</f>
        <v/>
      </c>
      <c r="N1022">
        <f>IF(D1022="V01",$R$2,IF(D1022="V02",$R$3,$R$4))</f>
        <v/>
      </c>
      <c r="O1022">
        <f>IF(OR(B1022="7062",B1022="706",B1022="708"),N1022,IF(B1022="6231",1+G1022,IF(B1022="6236",1+H1022,IF(OR(B1022="621",B1022="604",B1022="6063"),N1022*(1-L1022),IF(OR(B1022="6411",B1022="6413",B1022="6414",B1022="645"),(1+J1022)*(1+K1022),IF(OR(B1022="613",B1022="615",B1022="616",B1022="6226",B1022="625",B1022="626",B1022="6281"),(1+I1022)*(1-L1022)*(1+M1022),IF(OR(B1022="6331",B1022="63511",B1022="6333"),(1+I1022)*(1-L1022),IF(B1022="6811",1+I1022,1))))))))</f>
        <v/>
      </c>
      <c r="P1022">
        <f>IF(E1022=1,F1022*O1022,"")</f>
        <v/>
      </c>
    </row>
    <row r="1023">
      <c r="A1023">
        <f>PNL!A1023</f>
        <v/>
      </c>
      <c r="B1023">
        <f>PNL!B1023</f>
        <v/>
      </c>
      <c r="C1023">
        <f>PNL!C1023</f>
        <v/>
      </c>
      <c r="D1023">
        <f>PNL!D1023</f>
        <v/>
      </c>
      <c r="E1023">
        <f>IF(AND(C1023="2027",OR(D1023="V01",D1023="V02",D1023="V03")),1,0)</f>
        <v/>
      </c>
      <c r="F1023">
        <f>IF(E1023=1,SUMIFS(Compta!$F$2:$F$675,Compta!$A$2:$A$675,A1023,Compta!$B$2:$B$675,B1023,Compta!$C$2:$C$675,"2026"),0)</f>
        <v/>
      </c>
      <c r="G1023">
        <f>IF(D1023="V01",cad!$I$21,IF(D1023="V02",cad!$J$21,cad!$K$21))</f>
        <v/>
      </c>
      <c r="H1023">
        <f>IF(D1023="V01",cad!$I$22,IF(D1023="V02",cad!$J$22,cad!$K$22))</f>
        <v/>
      </c>
      <c r="I1023">
        <f>IF(D1023="V01",cad!$I$27,IF(D1023="V02",cad!$J$27,cad!$K$27))</f>
        <v/>
      </c>
      <c r="J1023">
        <f>IF(D1023="V01",cad!$I$28,IF(D1023="V02",cad!$J$28,cad!$K$28))</f>
        <v/>
      </c>
      <c r="K1023">
        <f>IF(D1023="V01",cad!$I$29,IF(D1023="V02",cad!$J$29,cad!$K$29))</f>
        <v/>
      </c>
      <c r="L1023">
        <f>IF(D1023="V01",cad!$I$30,IF(D1023="V02",cad!$J$30,cad!$K$30))</f>
        <v/>
      </c>
      <c r="M1023">
        <f>IF(D1023="V01",cad!$I$31,IF(D1023="V02",cad!$J$31,cad!$K$31))</f>
        <v/>
      </c>
      <c r="N1023">
        <f>IF(D1023="V01",$R$2,IF(D1023="V02",$R$3,$R$4))</f>
        <v/>
      </c>
      <c r="O1023">
        <f>IF(OR(B1023="7062",B1023="706",B1023="708"),N1023,IF(B1023="6231",1+G1023,IF(B1023="6236",1+H1023,IF(OR(B1023="621",B1023="604",B1023="6063"),N1023*(1-L1023),IF(OR(B1023="6411",B1023="6413",B1023="6414",B1023="645"),(1+J1023)*(1+K1023),IF(OR(B1023="613",B1023="615",B1023="616",B1023="6226",B1023="625",B1023="626",B1023="6281"),(1+I1023)*(1-L1023)*(1+M1023),IF(OR(B1023="6331",B1023="63511",B1023="6333"),(1+I1023)*(1-L1023),IF(B1023="6811",1+I1023,1))))))))</f>
        <v/>
      </c>
      <c r="P1023">
        <f>IF(E1023=1,F1023*O1023,"")</f>
        <v/>
      </c>
    </row>
    <row r="1024">
      <c r="A1024">
        <f>PNL!A1024</f>
        <v/>
      </c>
      <c r="B1024">
        <f>PNL!B1024</f>
        <v/>
      </c>
      <c r="C1024">
        <f>PNL!C1024</f>
        <v/>
      </c>
      <c r="D1024">
        <f>PNL!D1024</f>
        <v/>
      </c>
      <c r="E1024">
        <f>IF(AND(C1024="2027",OR(D1024="V01",D1024="V02",D1024="V03")),1,0)</f>
        <v/>
      </c>
      <c r="F1024">
        <f>IF(E1024=1,SUMIFS(Compta!$F$2:$F$675,Compta!$A$2:$A$675,A1024,Compta!$B$2:$B$675,B1024,Compta!$C$2:$C$675,"2026"),0)</f>
        <v/>
      </c>
      <c r="G1024">
        <f>IF(D1024="V01",cad!$I$21,IF(D1024="V02",cad!$J$21,cad!$K$21))</f>
        <v/>
      </c>
      <c r="H1024">
        <f>IF(D1024="V01",cad!$I$22,IF(D1024="V02",cad!$J$22,cad!$K$22))</f>
        <v/>
      </c>
      <c r="I1024">
        <f>IF(D1024="V01",cad!$I$27,IF(D1024="V02",cad!$J$27,cad!$K$27))</f>
        <v/>
      </c>
      <c r="J1024">
        <f>IF(D1024="V01",cad!$I$28,IF(D1024="V02",cad!$J$28,cad!$K$28))</f>
        <v/>
      </c>
      <c r="K1024">
        <f>IF(D1024="V01",cad!$I$29,IF(D1024="V02",cad!$J$29,cad!$K$29))</f>
        <v/>
      </c>
      <c r="L1024">
        <f>IF(D1024="V01",cad!$I$30,IF(D1024="V02",cad!$J$30,cad!$K$30))</f>
        <v/>
      </c>
      <c r="M1024">
        <f>IF(D1024="V01",cad!$I$31,IF(D1024="V02",cad!$J$31,cad!$K$31))</f>
        <v/>
      </c>
      <c r="N1024">
        <f>IF(D1024="V01",$R$2,IF(D1024="V02",$R$3,$R$4))</f>
        <v/>
      </c>
      <c r="O1024">
        <f>IF(OR(B1024="7062",B1024="706",B1024="708"),N1024,IF(B1024="6231",1+G1024,IF(B1024="6236",1+H1024,IF(OR(B1024="621",B1024="604",B1024="6063"),N1024*(1-L1024),IF(OR(B1024="6411",B1024="6413",B1024="6414",B1024="645"),(1+J1024)*(1+K1024),IF(OR(B1024="613",B1024="615",B1024="616",B1024="6226",B1024="625",B1024="626",B1024="6281"),(1+I1024)*(1-L1024)*(1+M1024),IF(OR(B1024="6331",B1024="63511",B1024="6333"),(1+I1024)*(1-L1024),IF(B1024="6811",1+I1024,1))))))))</f>
        <v/>
      </c>
      <c r="P1024">
        <f>IF(E1024=1,F1024*O1024,"")</f>
        <v/>
      </c>
    </row>
    <row r="1025">
      <c r="A1025">
        <f>PNL!A1025</f>
        <v/>
      </c>
      <c r="B1025">
        <f>PNL!B1025</f>
        <v/>
      </c>
      <c r="C1025">
        <f>PNL!C1025</f>
        <v/>
      </c>
      <c r="D1025">
        <f>PNL!D1025</f>
        <v/>
      </c>
      <c r="E1025">
        <f>IF(AND(C1025="2027",OR(D1025="V01",D1025="V02",D1025="V03")),1,0)</f>
        <v/>
      </c>
      <c r="F1025">
        <f>IF(E1025=1,SUMIFS(Compta!$F$2:$F$675,Compta!$A$2:$A$675,A1025,Compta!$B$2:$B$675,B1025,Compta!$C$2:$C$675,"2026"),0)</f>
        <v/>
      </c>
      <c r="G1025">
        <f>IF(D1025="V01",cad!$I$21,IF(D1025="V02",cad!$J$21,cad!$K$21))</f>
        <v/>
      </c>
      <c r="H1025">
        <f>IF(D1025="V01",cad!$I$22,IF(D1025="V02",cad!$J$22,cad!$K$22))</f>
        <v/>
      </c>
      <c r="I1025">
        <f>IF(D1025="V01",cad!$I$27,IF(D1025="V02",cad!$J$27,cad!$K$27))</f>
        <v/>
      </c>
      <c r="J1025">
        <f>IF(D1025="V01",cad!$I$28,IF(D1025="V02",cad!$J$28,cad!$K$28))</f>
        <v/>
      </c>
      <c r="K1025">
        <f>IF(D1025="V01",cad!$I$29,IF(D1025="V02",cad!$J$29,cad!$K$29))</f>
        <v/>
      </c>
      <c r="L1025">
        <f>IF(D1025="V01",cad!$I$30,IF(D1025="V02",cad!$J$30,cad!$K$30))</f>
        <v/>
      </c>
      <c r="M1025">
        <f>IF(D1025="V01",cad!$I$31,IF(D1025="V02",cad!$J$31,cad!$K$31))</f>
        <v/>
      </c>
      <c r="N1025">
        <f>IF(D1025="V01",$R$2,IF(D1025="V02",$R$3,$R$4))</f>
        <v/>
      </c>
      <c r="O1025">
        <f>IF(OR(B1025="7062",B1025="706",B1025="708"),N1025,IF(B1025="6231",1+G1025,IF(B1025="6236",1+H1025,IF(OR(B1025="621",B1025="604",B1025="6063"),N1025*(1-L1025),IF(OR(B1025="6411",B1025="6413",B1025="6414",B1025="645"),(1+J1025)*(1+K1025),IF(OR(B1025="613",B1025="615",B1025="616",B1025="6226",B1025="625",B1025="626",B1025="6281"),(1+I1025)*(1-L1025)*(1+M1025),IF(OR(B1025="6331",B1025="63511",B1025="6333"),(1+I1025)*(1-L1025),IF(B1025="6811",1+I1025,1))))))))</f>
        <v/>
      </c>
      <c r="P1025">
        <f>IF(E1025=1,F1025*O1025,"")</f>
        <v/>
      </c>
    </row>
    <row r="1026">
      <c r="A1026">
        <f>PNL!A1026</f>
        <v/>
      </c>
      <c r="B1026">
        <f>PNL!B1026</f>
        <v/>
      </c>
      <c r="C1026">
        <f>PNL!C1026</f>
        <v/>
      </c>
      <c r="D1026">
        <f>PNL!D1026</f>
        <v/>
      </c>
      <c r="E1026">
        <f>IF(AND(C1026="2027",OR(D1026="V01",D1026="V02",D1026="V03")),1,0)</f>
        <v/>
      </c>
      <c r="F1026">
        <f>IF(E1026=1,SUMIFS(Compta!$F$2:$F$675,Compta!$A$2:$A$675,A1026,Compta!$B$2:$B$675,B1026,Compta!$C$2:$C$675,"2026"),0)</f>
        <v/>
      </c>
      <c r="G1026">
        <f>IF(D1026="V01",cad!$I$21,IF(D1026="V02",cad!$J$21,cad!$K$21))</f>
        <v/>
      </c>
      <c r="H1026">
        <f>IF(D1026="V01",cad!$I$22,IF(D1026="V02",cad!$J$22,cad!$K$22))</f>
        <v/>
      </c>
      <c r="I1026">
        <f>IF(D1026="V01",cad!$I$27,IF(D1026="V02",cad!$J$27,cad!$K$27))</f>
        <v/>
      </c>
      <c r="J1026">
        <f>IF(D1026="V01",cad!$I$28,IF(D1026="V02",cad!$J$28,cad!$K$28))</f>
        <v/>
      </c>
      <c r="K1026">
        <f>IF(D1026="V01",cad!$I$29,IF(D1026="V02",cad!$J$29,cad!$K$29))</f>
        <v/>
      </c>
      <c r="L1026">
        <f>IF(D1026="V01",cad!$I$30,IF(D1026="V02",cad!$J$30,cad!$K$30))</f>
        <v/>
      </c>
      <c r="M1026">
        <f>IF(D1026="V01",cad!$I$31,IF(D1026="V02",cad!$J$31,cad!$K$31))</f>
        <v/>
      </c>
      <c r="N1026">
        <f>IF(D1026="V01",$R$2,IF(D1026="V02",$R$3,$R$4))</f>
        <v/>
      </c>
      <c r="O1026">
        <f>IF(OR(B1026="7062",B1026="706",B1026="708"),N1026,IF(B1026="6231",1+G1026,IF(B1026="6236",1+H1026,IF(OR(B1026="621",B1026="604",B1026="6063"),N1026*(1-L1026),IF(OR(B1026="6411",B1026="6413",B1026="6414",B1026="645"),(1+J1026)*(1+K1026),IF(OR(B1026="613",B1026="615",B1026="616",B1026="6226",B1026="625",B1026="626",B1026="6281"),(1+I1026)*(1-L1026)*(1+M1026),IF(OR(B1026="6331",B1026="63511",B1026="6333"),(1+I1026)*(1-L1026),IF(B1026="6811",1+I1026,1))))))))</f>
        <v/>
      </c>
      <c r="P1026">
        <f>IF(E1026=1,F1026*O1026,"")</f>
        <v/>
      </c>
    </row>
    <row r="1027">
      <c r="A1027">
        <f>PNL!A1027</f>
        <v/>
      </c>
      <c r="B1027">
        <f>PNL!B1027</f>
        <v/>
      </c>
      <c r="C1027">
        <f>PNL!C1027</f>
        <v/>
      </c>
      <c r="D1027">
        <f>PNL!D1027</f>
        <v/>
      </c>
      <c r="E1027">
        <f>IF(AND(C1027="2027",OR(D1027="V01",D1027="V02",D1027="V03")),1,0)</f>
        <v/>
      </c>
      <c r="F1027">
        <f>IF(E1027=1,SUMIFS(Compta!$F$2:$F$675,Compta!$A$2:$A$675,A1027,Compta!$B$2:$B$675,B1027,Compta!$C$2:$C$675,"2026"),0)</f>
        <v/>
      </c>
      <c r="G1027">
        <f>IF(D1027="V01",cad!$I$21,IF(D1027="V02",cad!$J$21,cad!$K$21))</f>
        <v/>
      </c>
      <c r="H1027">
        <f>IF(D1027="V01",cad!$I$22,IF(D1027="V02",cad!$J$22,cad!$K$22))</f>
        <v/>
      </c>
      <c r="I1027">
        <f>IF(D1027="V01",cad!$I$27,IF(D1027="V02",cad!$J$27,cad!$K$27))</f>
        <v/>
      </c>
      <c r="J1027">
        <f>IF(D1027="V01",cad!$I$28,IF(D1027="V02",cad!$J$28,cad!$K$28))</f>
        <v/>
      </c>
      <c r="K1027">
        <f>IF(D1027="V01",cad!$I$29,IF(D1027="V02",cad!$J$29,cad!$K$29))</f>
        <v/>
      </c>
      <c r="L1027">
        <f>IF(D1027="V01",cad!$I$30,IF(D1027="V02",cad!$J$30,cad!$K$30))</f>
        <v/>
      </c>
      <c r="M1027">
        <f>IF(D1027="V01",cad!$I$31,IF(D1027="V02",cad!$J$31,cad!$K$31))</f>
        <v/>
      </c>
      <c r="N1027">
        <f>IF(D1027="V01",$R$2,IF(D1027="V02",$R$3,$R$4))</f>
        <v/>
      </c>
      <c r="O1027">
        <f>IF(OR(B1027="7062",B1027="706",B1027="708"),N1027,IF(B1027="6231",1+G1027,IF(B1027="6236",1+H1027,IF(OR(B1027="621",B1027="604",B1027="6063"),N1027*(1-L1027),IF(OR(B1027="6411",B1027="6413",B1027="6414",B1027="645"),(1+J1027)*(1+K1027),IF(OR(B1027="613",B1027="615",B1027="616",B1027="6226",B1027="625",B1027="626",B1027="6281"),(1+I1027)*(1-L1027)*(1+M1027),IF(OR(B1027="6331",B1027="63511",B1027="6333"),(1+I1027)*(1-L1027),IF(B1027="6811",1+I1027,1))))))))</f>
        <v/>
      </c>
      <c r="P1027">
        <f>IF(E1027=1,F1027*O1027,"")</f>
        <v/>
      </c>
    </row>
    <row r="1028">
      <c r="A1028">
        <f>PNL!A1028</f>
        <v/>
      </c>
      <c r="B1028">
        <f>PNL!B1028</f>
        <v/>
      </c>
      <c r="C1028">
        <f>PNL!C1028</f>
        <v/>
      </c>
      <c r="D1028">
        <f>PNL!D1028</f>
        <v/>
      </c>
      <c r="E1028">
        <f>IF(AND(C1028="2027",OR(D1028="V01",D1028="V02",D1028="V03")),1,0)</f>
        <v/>
      </c>
      <c r="F1028">
        <f>IF(E1028=1,SUMIFS(Compta!$F$2:$F$675,Compta!$A$2:$A$675,A1028,Compta!$B$2:$B$675,B1028,Compta!$C$2:$C$675,"2026"),0)</f>
        <v/>
      </c>
      <c r="G1028">
        <f>IF(D1028="V01",cad!$I$21,IF(D1028="V02",cad!$J$21,cad!$K$21))</f>
        <v/>
      </c>
      <c r="H1028">
        <f>IF(D1028="V01",cad!$I$22,IF(D1028="V02",cad!$J$22,cad!$K$22))</f>
        <v/>
      </c>
      <c r="I1028">
        <f>IF(D1028="V01",cad!$I$27,IF(D1028="V02",cad!$J$27,cad!$K$27))</f>
        <v/>
      </c>
      <c r="J1028">
        <f>IF(D1028="V01",cad!$I$28,IF(D1028="V02",cad!$J$28,cad!$K$28))</f>
        <v/>
      </c>
      <c r="K1028">
        <f>IF(D1028="V01",cad!$I$29,IF(D1028="V02",cad!$J$29,cad!$K$29))</f>
        <v/>
      </c>
      <c r="L1028">
        <f>IF(D1028="V01",cad!$I$30,IF(D1028="V02",cad!$J$30,cad!$K$30))</f>
        <v/>
      </c>
      <c r="M1028">
        <f>IF(D1028="V01",cad!$I$31,IF(D1028="V02",cad!$J$31,cad!$K$31))</f>
        <v/>
      </c>
      <c r="N1028">
        <f>IF(D1028="V01",$R$2,IF(D1028="V02",$R$3,$R$4))</f>
        <v/>
      </c>
      <c r="O1028">
        <f>IF(OR(B1028="7062",B1028="706",B1028="708"),N1028,IF(B1028="6231",1+G1028,IF(B1028="6236",1+H1028,IF(OR(B1028="621",B1028="604",B1028="6063"),N1028*(1-L1028),IF(OR(B1028="6411",B1028="6413",B1028="6414",B1028="645"),(1+J1028)*(1+K1028),IF(OR(B1028="613",B1028="615",B1028="616",B1028="6226",B1028="625",B1028="626",B1028="6281"),(1+I1028)*(1-L1028)*(1+M1028),IF(OR(B1028="6331",B1028="63511",B1028="6333"),(1+I1028)*(1-L1028),IF(B1028="6811",1+I1028,1))))))))</f>
        <v/>
      </c>
      <c r="P1028">
        <f>IF(E1028=1,F1028*O1028,"")</f>
        <v/>
      </c>
    </row>
    <row r="1029">
      <c r="A1029">
        <f>PNL!A1029</f>
        <v/>
      </c>
      <c r="B1029">
        <f>PNL!B1029</f>
        <v/>
      </c>
      <c r="C1029">
        <f>PNL!C1029</f>
        <v/>
      </c>
      <c r="D1029">
        <f>PNL!D1029</f>
        <v/>
      </c>
      <c r="E1029">
        <f>IF(AND(C1029="2027",OR(D1029="V01",D1029="V02",D1029="V03")),1,0)</f>
        <v/>
      </c>
      <c r="F1029">
        <f>IF(E1029=1,SUMIFS(Compta!$F$2:$F$675,Compta!$A$2:$A$675,A1029,Compta!$B$2:$B$675,B1029,Compta!$C$2:$C$675,"2026"),0)</f>
        <v/>
      </c>
      <c r="G1029">
        <f>IF(D1029="V01",cad!$I$21,IF(D1029="V02",cad!$J$21,cad!$K$21))</f>
        <v/>
      </c>
      <c r="H1029">
        <f>IF(D1029="V01",cad!$I$22,IF(D1029="V02",cad!$J$22,cad!$K$22))</f>
        <v/>
      </c>
      <c r="I1029">
        <f>IF(D1029="V01",cad!$I$27,IF(D1029="V02",cad!$J$27,cad!$K$27))</f>
        <v/>
      </c>
      <c r="J1029">
        <f>IF(D1029="V01",cad!$I$28,IF(D1029="V02",cad!$J$28,cad!$K$28))</f>
        <v/>
      </c>
      <c r="K1029">
        <f>IF(D1029="V01",cad!$I$29,IF(D1029="V02",cad!$J$29,cad!$K$29))</f>
        <v/>
      </c>
      <c r="L1029">
        <f>IF(D1029="V01",cad!$I$30,IF(D1029="V02",cad!$J$30,cad!$K$30))</f>
        <v/>
      </c>
      <c r="M1029">
        <f>IF(D1029="V01",cad!$I$31,IF(D1029="V02",cad!$J$31,cad!$K$31))</f>
        <v/>
      </c>
      <c r="N1029">
        <f>IF(D1029="V01",$R$2,IF(D1029="V02",$R$3,$R$4))</f>
        <v/>
      </c>
      <c r="O1029">
        <f>IF(OR(B1029="7062",B1029="706",B1029="708"),N1029,IF(B1029="6231",1+G1029,IF(B1029="6236",1+H1029,IF(OR(B1029="621",B1029="604",B1029="6063"),N1029*(1-L1029),IF(OR(B1029="6411",B1029="6413",B1029="6414",B1029="645"),(1+J1029)*(1+K1029),IF(OR(B1029="613",B1029="615",B1029="616",B1029="6226",B1029="625",B1029="626",B1029="6281"),(1+I1029)*(1-L1029)*(1+M1029),IF(OR(B1029="6331",B1029="63511",B1029="6333"),(1+I1029)*(1-L1029),IF(B1029="6811",1+I1029,1))))))))</f>
        <v/>
      </c>
      <c r="P1029">
        <f>IF(E1029=1,F1029*O1029,"")</f>
        <v/>
      </c>
    </row>
    <row r="1030">
      <c r="A1030">
        <f>PNL!A1030</f>
        <v/>
      </c>
      <c r="B1030">
        <f>PNL!B1030</f>
        <v/>
      </c>
      <c r="C1030">
        <f>PNL!C1030</f>
        <v/>
      </c>
      <c r="D1030">
        <f>PNL!D1030</f>
        <v/>
      </c>
      <c r="E1030">
        <f>IF(AND(C1030="2027",OR(D1030="V01",D1030="V02",D1030="V03")),1,0)</f>
        <v/>
      </c>
      <c r="F1030">
        <f>IF(E1030=1,SUMIFS(Compta!$F$2:$F$675,Compta!$A$2:$A$675,A1030,Compta!$B$2:$B$675,B1030,Compta!$C$2:$C$675,"2026"),0)</f>
        <v/>
      </c>
      <c r="G1030">
        <f>IF(D1030="V01",cad!$I$21,IF(D1030="V02",cad!$J$21,cad!$K$21))</f>
        <v/>
      </c>
      <c r="H1030">
        <f>IF(D1030="V01",cad!$I$22,IF(D1030="V02",cad!$J$22,cad!$K$22))</f>
        <v/>
      </c>
      <c r="I1030">
        <f>IF(D1030="V01",cad!$I$27,IF(D1030="V02",cad!$J$27,cad!$K$27))</f>
        <v/>
      </c>
      <c r="J1030">
        <f>IF(D1030="V01",cad!$I$28,IF(D1030="V02",cad!$J$28,cad!$K$28))</f>
        <v/>
      </c>
      <c r="K1030">
        <f>IF(D1030="V01",cad!$I$29,IF(D1030="V02",cad!$J$29,cad!$K$29))</f>
        <v/>
      </c>
      <c r="L1030">
        <f>IF(D1030="V01",cad!$I$30,IF(D1030="V02",cad!$J$30,cad!$K$30))</f>
        <v/>
      </c>
      <c r="M1030">
        <f>IF(D1030="V01",cad!$I$31,IF(D1030="V02",cad!$J$31,cad!$K$31))</f>
        <v/>
      </c>
      <c r="N1030">
        <f>IF(D1030="V01",$R$2,IF(D1030="V02",$R$3,$R$4))</f>
        <v/>
      </c>
      <c r="O1030">
        <f>IF(OR(B1030="7062",B1030="706",B1030="708"),N1030,IF(B1030="6231",1+G1030,IF(B1030="6236",1+H1030,IF(OR(B1030="621",B1030="604",B1030="6063"),N1030*(1-L1030),IF(OR(B1030="6411",B1030="6413",B1030="6414",B1030="645"),(1+J1030)*(1+K1030),IF(OR(B1030="613",B1030="615",B1030="616",B1030="6226",B1030="625",B1030="626",B1030="6281"),(1+I1030)*(1-L1030)*(1+M1030),IF(OR(B1030="6331",B1030="63511",B1030="6333"),(1+I1030)*(1-L1030),IF(B1030="6811",1+I1030,1))))))))</f>
        <v/>
      </c>
      <c r="P1030">
        <f>IF(E1030=1,F1030*O1030,"")</f>
        <v/>
      </c>
    </row>
    <row r="1031">
      <c r="A1031">
        <f>PNL!A1031</f>
        <v/>
      </c>
      <c r="B1031">
        <f>PNL!B1031</f>
        <v/>
      </c>
      <c r="C1031">
        <f>PNL!C1031</f>
        <v/>
      </c>
      <c r="D1031">
        <f>PNL!D1031</f>
        <v/>
      </c>
      <c r="E1031">
        <f>IF(AND(C1031="2027",OR(D1031="V01",D1031="V02",D1031="V03")),1,0)</f>
        <v/>
      </c>
      <c r="F1031">
        <f>IF(E1031=1,SUMIFS(Compta!$F$2:$F$675,Compta!$A$2:$A$675,A1031,Compta!$B$2:$B$675,B1031,Compta!$C$2:$C$675,"2026"),0)</f>
        <v/>
      </c>
      <c r="G1031">
        <f>IF(D1031="V01",cad!$I$21,IF(D1031="V02",cad!$J$21,cad!$K$21))</f>
        <v/>
      </c>
      <c r="H1031">
        <f>IF(D1031="V01",cad!$I$22,IF(D1031="V02",cad!$J$22,cad!$K$22))</f>
        <v/>
      </c>
      <c r="I1031">
        <f>IF(D1031="V01",cad!$I$27,IF(D1031="V02",cad!$J$27,cad!$K$27))</f>
        <v/>
      </c>
      <c r="J1031">
        <f>IF(D1031="V01",cad!$I$28,IF(D1031="V02",cad!$J$28,cad!$K$28))</f>
        <v/>
      </c>
      <c r="K1031">
        <f>IF(D1031="V01",cad!$I$29,IF(D1031="V02",cad!$J$29,cad!$K$29))</f>
        <v/>
      </c>
      <c r="L1031">
        <f>IF(D1031="V01",cad!$I$30,IF(D1031="V02",cad!$J$30,cad!$K$30))</f>
        <v/>
      </c>
      <c r="M1031">
        <f>IF(D1031="V01",cad!$I$31,IF(D1031="V02",cad!$J$31,cad!$K$31))</f>
        <v/>
      </c>
      <c r="N1031">
        <f>IF(D1031="V01",$R$2,IF(D1031="V02",$R$3,$R$4))</f>
        <v/>
      </c>
      <c r="O1031">
        <f>IF(OR(B1031="7062",B1031="706",B1031="708"),N1031,IF(B1031="6231",1+G1031,IF(B1031="6236",1+H1031,IF(OR(B1031="621",B1031="604",B1031="6063"),N1031*(1-L1031),IF(OR(B1031="6411",B1031="6413",B1031="6414",B1031="645"),(1+J1031)*(1+K1031),IF(OR(B1031="613",B1031="615",B1031="616",B1031="6226",B1031="625",B1031="626",B1031="6281"),(1+I1031)*(1-L1031)*(1+M1031),IF(OR(B1031="6331",B1031="63511",B1031="6333"),(1+I1031)*(1-L1031),IF(B1031="6811",1+I1031,1))))))))</f>
        <v/>
      </c>
      <c r="P1031">
        <f>IF(E1031=1,F1031*O1031,"")</f>
        <v/>
      </c>
    </row>
    <row r="1032">
      <c r="A1032">
        <f>PNL!A1032</f>
        <v/>
      </c>
      <c r="B1032">
        <f>PNL!B1032</f>
        <v/>
      </c>
      <c r="C1032">
        <f>PNL!C1032</f>
        <v/>
      </c>
      <c r="D1032">
        <f>PNL!D1032</f>
        <v/>
      </c>
      <c r="E1032">
        <f>IF(AND(C1032="2027",OR(D1032="V01",D1032="V02",D1032="V03")),1,0)</f>
        <v/>
      </c>
      <c r="F1032">
        <f>IF(E1032=1,SUMIFS(Compta!$F$2:$F$675,Compta!$A$2:$A$675,A1032,Compta!$B$2:$B$675,B1032,Compta!$C$2:$C$675,"2026"),0)</f>
        <v/>
      </c>
      <c r="G1032">
        <f>IF(D1032="V01",cad!$I$21,IF(D1032="V02",cad!$J$21,cad!$K$21))</f>
        <v/>
      </c>
      <c r="H1032">
        <f>IF(D1032="V01",cad!$I$22,IF(D1032="V02",cad!$J$22,cad!$K$22))</f>
        <v/>
      </c>
      <c r="I1032">
        <f>IF(D1032="V01",cad!$I$27,IF(D1032="V02",cad!$J$27,cad!$K$27))</f>
        <v/>
      </c>
      <c r="J1032">
        <f>IF(D1032="V01",cad!$I$28,IF(D1032="V02",cad!$J$28,cad!$K$28))</f>
        <v/>
      </c>
      <c r="K1032">
        <f>IF(D1032="V01",cad!$I$29,IF(D1032="V02",cad!$J$29,cad!$K$29))</f>
        <v/>
      </c>
      <c r="L1032">
        <f>IF(D1032="V01",cad!$I$30,IF(D1032="V02",cad!$J$30,cad!$K$30))</f>
        <v/>
      </c>
      <c r="M1032">
        <f>IF(D1032="V01",cad!$I$31,IF(D1032="V02",cad!$J$31,cad!$K$31))</f>
        <v/>
      </c>
      <c r="N1032">
        <f>IF(D1032="V01",$R$2,IF(D1032="V02",$R$3,$R$4))</f>
        <v/>
      </c>
      <c r="O1032">
        <f>IF(OR(B1032="7062",B1032="706",B1032="708"),N1032,IF(B1032="6231",1+G1032,IF(B1032="6236",1+H1032,IF(OR(B1032="621",B1032="604",B1032="6063"),N1032*(1-L1032),IF(OR(B1032="6411",B1032="6413",B1032="6414",B1032="645"),(1+J1032)*(1+K1032),IF(OR(B1032="613",B1032="615",B1032="616",B1032="6226",B1032="625",B1032="626",B1032="6281"),(1+I1032)*(1-L1032)*(1+M1032),IF(OR(B1032="6331",B1032="63511",B1032="6333"),(1+I1032)*(1-L1032),IF(B1032="6811",1+I1032,1))))))))</f>
        <v/>
      </c>
      <c r="P1032">
        <f>IF(E1032=1,F1032*O1032,"")</f>
        <v/>
      </c>
    </row>
    <row r="1033">
      <c r="A1033">
        <f>PNL!A1033</f>
        <v/>
      </c>
      <c r="B1033">
        <f>PNL!B1033</f>
        <v/>
      </c>
      <c r="C1033">
        <f>PNL!C1033</f>
        <v/>
      </c>
      <c r="D1033">
        <f>PNL!D1033</f>
        <v/>
      </c>
      <c r="E1033">
        <f>IF(AND(C1033="2027",OR(D1033="V01",D1033="V02",D1033="V03")),1,0)</f>
        <v/>
      </c>
      <c r="F1033">
        <f>IF(E1033=1,SUMIFS(Compta!$F$2:$F$675,Compta!$A$2:$A$675,A1033,Compta!$B$2:$B$675,B1033,Compta!$C$2:$C$675,"2026"),0)</f>
        <v/>
      </c>
      <c r="G1033">
        <f>IF(D1033="V01",cad!$I$21,IF(D1033="V02",cad!$J$21,cad!$K$21))</f>
        <v/>
      </c>
      <c r="H1033">
        <f>IF(D1033="V01",cad!$I$22,IF(D1033="V02",cad!$J$22,cad!$K$22))</f>
        <v/>
      </c>
      <c r="I1033">
        <f>IF(D1033="V01",cad!$I$27,IF(D1033="V02",cad!$J$27,cad!$K$27))</f>
        <v/>
      </c>
      <c r="J1033">
        <f>IF(D1033="V01",cad!$I$28,IF(D1033="V02",cad!$J$28,cad!$K$28))</f>
        <v/>
      </c>
      <c r="K1033">
        <f>IF(D1033="V01",cad!$I$29,IF(D1033="V02",cad!$J$29,cad!$K$29))</f>
        <v/>
      </c>
      <c r="L1033">
        <f>IF(D1033="V01",cad!$I$30,IF(D1033="V02",cad!$J$30,cad!$K$30))</f>
        <v/>
      </c>
      <c r="M1033">
        <f>IF(D1033="V01",cad!$I$31,IF(D1033="V02",cad!$J$31,cad!$K$31))</f>
        <v/>
      </c>
      <c r="N1033">
        <f>IF(D1033="V01",$R$2,IF(D1033="V02",$R$3,$R$4))</f>
        <v/>
      </c>
      <c r="O1033">
        <f>IF(OR(B1033="7062",B1033="706",B1033="708"),N1033,IF(B1033="6231",1+G1033,IF(B1033="6236",1+H1033,IF(OR(B1033="621",B1033="604",B1033="6063"),N1033*(1-L1033),IF(OR(B1033="6411",B1033="6413",B1033="6414",B1033="645"),(1+J1033)*(1+K1033),IF(OR(B1033="613",B1033="615",B1033="616",B1033="6226",B1033="625",B1033="626",B1033="6281"),(1+I1033)*(1-L1033)*(1+M1033),IF(OR(B1033="6331",B1033="63511",B1033="6333"),(1+I1033)*(1-L1033),IF(B1033="6811",1+I1033,1))))))))</f>
        <v/>
      </c>
      <c r="P1033">
        <f>IF(E1033=1,F1033*O1033,"")</f>
        <v/>
      </c>
    </row>
    <row r="1034">
      <c r="A1034">
        <f>PNL!A1034</f>
        <v/>
      </c>
      <c r="B1034">
        <f>PNL!B1034</f>
        <v/>
      </c>
      <c r="C1034">
        <f>PNL!C1034</f>
        <v/>
      </c>
      <c r="D1034">
        <f>PNL!D1034</f>
        <v/>
      </c>
      <c r="E1034">
        <f>IF(AND(C1034="2027",OR(D1034="V01",D1034="V02",D1034="V03")),1,0)</f>
        <v/>
      </c>
      <c r="F1034">
        <f>IF(E1034=1,SUMIFS(Compta!$F$2:$F$675,Compta!$A$2:$A$675,A1034,Compta!$B$2:$B$675,B1034,Compta!$C$2:$C$675,"2026"),0)</f>
        <v/>
      </c>
      <c r="G1034">
        <f>IF(D1034="V01",cad!$I$21,IF(D1034="V02",cad!$J$21,cad!$K$21))</f>
        <v/>
      </c>
      <c r="H1034">
        <f>IF(D1034="V01",cad!$I$22,IF(D1034="V02",cad!$J$22,cad!$K$22))</f>
        <v/>
      </c>
      <c r="I1034">
        <f>IF(D1034="V01",cad!$I$27,IF(D1034="V02",cad!$J$27,cad!$K$27))</f>
        <v/>
      </c>
      <c r="J1034">
        <f>IF(D1034="V01",cad!$I$28,IF(D1034="V02",cad!$J$28,cad!$K$28))</f>
        <v/>
      </c>
      <c r="K1034">
        <f>IF(D1034="V01",cad!$I$29,IF(D1034="V02",cad!$J$29,cad!$K$29))</f>
        <v/>
      </c>
      <c r="L1034">
        <f>IF(D1034="V01",cad!$I$30,IF(D1034="V02",cad!$J$30,cad!$K$30))</f>
        <v/>
      </c>
      <c r="M1034">
        <f>IF(D1034="V01",cad!$I$31,IF(D1034="V02",cad!$J$31,cad!$K$31))</f>
        <v/>
      </c>
      <c r="N1034">
        <f>IF(D1034="V01",$R$2,IF(D1034="V02",$R$3,$R$4))</f>
        <v/>
      </c>
      <c r="O1034">
        <f>IF(OR(B1034="7062",B1034="706",B1034="708"),N1034,IF(B1034="6231",1+G1034,IF(B1034="6236",1+H1034,IF(OR(B1034="621",B1034="604",B1034="6063"),N1034*(1-L1034),IF(OR(B1034="6411",B1034="6413",B1034="6414",B1034="645"),(1+J1034)*(1+K1034),IF(OR(B1034="613",B1034="615",B1034="616",B1034="6226",B1034="625",B1034="626",B1034="6281"),(1+I1034)*(1-L1034)*(1+M1034),IF(OR(B1034="6331",B1034="63511",B1034="6333"),(1+I1034)*(1-L1034),IF(B1034="6811",1+I1034,1))))))))</f>
        <v/>
      </c>
      <c r="P1034">
        <f>IF(E1034=1,F1034*O1034,"")</f>
        <v/>
      </c>
    </row>
    <row r="1035">
      <c r="A1035">
        <f>PNL!A1035</f>
        <v/>
      </c>
      <c r="B1035">
        <f>PNL!B1035</f>
        <v/>
      </c>
      <c r="C1035">
        <f>PNL!C1035</f>
        <v/>
      </c>
      <c r="D1035">
        <f>PNL!D1035</f>
        <v/>
      </c>
      <c r="E1035">
        <f>IF(AND(C1035="2027",OR(D1035="V01",D1035="V02",D1035="V03")),1,0)</f>
        <v/>
      </c>
      <c r="F1035">
        <f>IF(E1035=1,SUMIFS(Compta!$F$2:$F$675,Compta!$A$2:$A$675,A1035,Compta!$B$2:$B$675,B1035,Compta!$C$2:$C$675,"2026"),0)</f>
        <v/>
      </c>
      <c r="G1035">
        <f>IF(D1035="V01",cad!$I$21,IF(D1035="V02",cad!$J$21,cad!$K$21))</f>
        <v/>
      </c>
      <c r="H1035">
        <f>IF(D1035="V01",cad!$I$22,IF(D1035="V02",cad!$J$22,cad!$K$22))</f>
        <v/>
      </c>
      <c r="I1035">
        <f>IF(D1035="V01",cad!$I$27,IF(D1035="V02",cad!$J$27,cad!$K$27))</f>
        <v/>
      </c>
      <c r="J1035">
        <f>IF(D1035="V01",cad!$I$28,IF(D1035="V02",cad!$J$28,cad!$K$28))</f>
        <v/>
      </c>
      <c r="K1035">
        <f>IF(D1035="V01",cad!$I$29,IF(D1035="V02",cad!$J$29,cad!$K$29))</f>
        <v/>
      </c>
      <c r="L1035">
        <f>IF(D1035="V01",cad!$I$30,IF(D1035="V02",cad!$J$30,cad!$K$30))</f>
        <v/>
      </c>
      <c r="M1035">
        <f>IF(D1035="V01",cad!$I$31,IF(D1035="V02",cad!$J$31,cad!$K$31))</f>
        <v/>
      </c>
      <c r="N1035">
        <f>IF(D1035="V01",$R$2,IF(D1035="V02",$R$3,$R$4))</f>
        <v/>
      </c>
      <c r="O1035">
        <f>IF(OR(B1035="7062",B1035="706",B1035="708"),N1035,IF(B1035="6231",1+G1035,IF(B1035="6236",1+H1035,IF(OR(B1035="621",B1035="604",B1035="6063"),N1035*(1-L1035),IF(OR(B1035="6411",B1035="6413",B1035="6414",B1035="645"),(1+J1035)*(1+K1035),IF(OR(B1035="613",B1035="615",B1035="616",B1035="6226",B1035="625",B1035="626",B1035="6281"),(1+I1035)*(1-L1035)*(1+M1035),IF(OR(B1035="6331",B1035="63511",B1035="6333"),(1+I1035)*(1-L1035),IF(B1035="6811",1+I1035,1))))))))</f>
        <v/>
      </c>
      <c r="P1035">
        <f>IF(E1035=1,F1035*O1035,"")</f>
        <v/>
      </c>
    </row>
    <row r="1036">
      <c r="A1036">
        <f>PNL!A1036</f>
        <v/>
      </c>
      <c r="B1036">
        <f>PNL!B1036</f>
        <v/>
      </c>
      <c r="C1036">
        <f>PNL!C1036</f>
        <v/>
      </c>
      <c r="D1036">
        <f>PNL!D1036</f>
        <v/>
      </c>
      <c r="E1036">
        <f>IF(AND(C1036="2027",OR(D1036="V01",D1036="V02",D1036="V03")),1,0)</f>
        <v/>
      </c>
      <c r="F1036">
        <f>IF(E1036=1,SUMIFS(Compta!$F$2:$F$675,Compta!$A$2:$A$675,A1036,Compta!$B$2:$B$675,B1036,Compta!$C$2:$C$675,"2026"),0)</f>
        <v/>
      </c>
      <c r="G1036">
        <f>IF(D1036="V01",cad!$I$21,IF(D1036="V02",cad!$J$21,cad!$K$21))</f>
        <v/>
      </c>
      <c r="H1036">
        <f>IF(D1036="V01",cad!$I$22,IF(D1036="V02",cad!$J$22,cad!$K$22))</f>
        <v/>
      </c>
      <c r="I1036">
        <f>IF(D1036="V01",cad!$I$27,IF(D1036="V02",cad!$J$27,cad!$K$27))</f>
        <v/>
      </c>
      <c r="J1036">
        <f>IF(D1036="V01",cad!$I$28,IF(D1036="V02",cad!$J$28,cad!$K$28))</f>
        <v/>
      </c>
      <c r="K1036">
        <f>IF(D1036="V01",cad!$I$29,IF(D1036="V02",cad!$J$29,cad!$K$29))</f>
        <v/>
      </c>
      <c r="L1036">
        <f>IF(D1036="V01",cad!$I$30,IF(D1036="V02",cad!$J$30,cad!$K$30))</f>
        <v/>
      </c>
      <c r="M1036">
        <f>IF(D1036="V01",cad!$I$31,IF(D1036="V02",cad!$J$31,cad!$K$31))</f>
        <v/>
      </c>
      <c r="N1036">
        <f>IF(D1036="V01",$R$2,IF(D1036="V02",$R$3,$R$4))</f>
        <v/>
      </c>
      <c r="O1036">
        <f>IF(OR(B1036="7062",B1036="706",B1036="708"),N1036,IF(B1036="6231",1+G1036,IF(B1036="6236",1+H1036,IF(OR(B1036="621",B1036="604",B1036="6063"),N1036*(1-L1036),IF(OR(B1036="6411",B1036="6413",B1036="6414",B1036="645"),(1+J1036)*(1+K1036),IF(OR(B1036="613",B1036="615",B1036="616",B1036="6226",B1036="625",B1036="626",B1036="6281"),(1+I1036)*(1-L1036)*(1+M1036),IF(OR(B1036="6331",B1036="63511",B1036="6333"),(1+I1036)*(1-L1036),IF(B1036="6811",1+I1036,1))))))))</f>
        <v/>
      </c>
      <c r="P1036">
        <f>IF(E1036=1,F1036*O1036,"")</f>
        <v/>
      </c>
    </row>
    <row r="1037">
      <c r="A1037">
        <f>PNL!A1037</f>
        <v/>
      </c>
      <c r="B1037">
        <f>PNL!B1037</f>
        <v/>
      </c>
      <c r="C1037">
        <f>PNL!C1037</f>
        <v/>
      </c>
      <c r="D1037">
        <f>PNL!D1037</f>
        <v/>
      </c>
      <c r="E1037">
        <f>IF(AND(C1037="2027",OR(D1037="V01",D1037="V02",D1037="V03")),1,0)</f>
        <v/>
      </c>
      <c r="F1037">
        <f>IF(E1037=1,SUMIFS(Compta!$F$2:$F$675,Compta!$A$2:$A$675,A1037,Compta!$B$2:$B$675,B1037,Compta!$C$2:$C$675,"2026"),0)</f>
        <v/>
      </c>
      <c r="G1037">
        <f>IF(D1037="V01",cad!$I$21,IF(D1037="V02",cad!$J$21,cad!$K$21))</f>
        <v/>
      </c>
      <c r="H1037">
        <f>IF(D1037="V01",cad!$I$22,IF(D1037="V02",cad!$J$22,cad!$K$22))</f>
        <v/>
      </c>
      <c r="I1037">
        <f>IF(D1037="V01",cad!$I$27,IF(D1037="V02",cad!$J$27,cad!$K$27))</f>
        <v/>
      </c>
      <c r="J1037">
        <f>IF(D1037="V01",cad!$I$28,IF(D1037="V02",cad!$J$28,cad!$K$28))</f>
        <v/>
      </c>
      <c r="K1037">
        <f>IF(D1037="V01",cad!$I$29,IF(D1037="V02",cad!$J$29,cad!$K$29))</f>
        <v/>
      </c>
      <c r="L1037">
        <f>IF(D1037="V01",cad!$I$30,IF(D1037="V02",cad!$J$30,cad!$K$30))</f>
        <v/>
      </c>
      <c r="M1037">
        <f>IF(D1037="V01",cad!$I$31,IF(D1037="V02",cad!$J$31,cad!$K$31))</f>
        <v/>
      </c>
      <c r="N1037">
        <f>IF(D1037="V01",$R$2,IF(D1037="V02",$R$3,$R$4))</f>
        <v/>
      </c>
      <c r="O1037">
        <f>IF(OR(B1037="7062",B1037="706",B1037="708"),N1037,IF(B1037="6231",1+G1037,IF(B1037="6236",1+H1037,IF(OR(B1037="621",B1037="604",B1037="6063"),N1037*(1-L1037),IF(OR(B1037="6411",B1037="6413",B1037="6414",B1037="645"),(1+J1037)*(1+K1037),IF(OR(B1037="613",B1037="615",B1037="616",B1037="6226",B1037="625",B1037="626",B1037="6281"),(1+I1037)*(1-L1037)*(1+M1037),IF(OR(B1037="6331",B1037="63511",B1037="6333"),(1+I1037)*(1-L1037),IF(B1037="6811",1+I1037,1))))))))</f>
        <v/>
      </c>
      <c r="P1037">
        <f>IF(E1037=1,F1037*O1037,"")</f>
        <v/>
      </c>
    </row>
    <row r="1038">
      <c r="A1038">
        <f>PNL!A1038</f>
        <v/>
      </c>
      <c r="B1038">
        <f>PNL!B1038</f>
        <v/>
      </c>
      <c r="C1038">
        <f>PNL!C1038</f>
        <v/>
      </c>
      <c r="D1038">
        <f>PNL!D1038</f>
        <v/>
      </c>
      <c r="E1038">
        <f>IF(AND(C1038="2027",OR(D1038="V01",D1038="V02",D1038="V03")),1,0)</f>
        <v/>
      </c>
      <c r="F1038">
        <f>IF(E1038=1,SUMIFS(Compta!$F$2:$F$675,Compta!$A$2:$A$675,A1038,Compta!$B$2:$B$675,B1038,Compta!$C$2:$C$675,"2026"),0)</f>
        <v/>
      </c>
      <c r="G1038">
        <f>IF(D1038="V01",cad!$I$21,IF(D1038="V02",cad!$J$21,cad!$K$21))</f>
        <v/>
      </c>
      <c r="H1038">
        <f>IF(D1038="V01",cad!$I$22,IF(D1038="V02",cad!$J$22,cad!$K$22))</f>
        <v/>
      </c>
      <c r="I1038">
        <f>IF(D1038="V01",cad!$I$27,IF(D1038="V02",cad!$J$27,cad!$K$27))</f>
        <v/>
      </c>
      <c r="J1038">
        <f>IF(D1038="V01",cad!$I$28,IF(D1038="V02",cad!$J$28,cad!$K$28))</f>
        <v/>
      </c>
      <c r="K1038">
        <f>IF(D1038="V01",cad!$I$29,IF(D1038="V02",cad!$J$29,cad!$K$29))</f>
        <v/>
      </c>
      <c r="L1038">
        <f>IF(D1038="V01",cad!$I$30,IF(D1038="V02",cad!$J$30,cad!$K$30))</f>
        <v/>
      </c>
      <c r="M1038">
        <f>IF(D1038="V01",cad!$I$31,IF(D1038="V02",cad!$J$31,cad!$K$31))</f>
        <v/>
      </c>
      <c r="N1038">
        <f>IF(D1038="V01",$R$2,IF(D1038="V02",$R$3,$R$4))</f>
        <v/>
      </c>
      <c r="O1038">
        <f>IF(OR(B1038="7062",B1038="706",B1038="708"),N1038,IF(B1038="6231",1+G1038,IF(B1038="6236",1+H1038,IF(OR(B1038="621",B1038="604",B1038="6063"),N1038*(1-L1038),IF(OR(B1038="6411",B1038="6413",B1038="6414",B1038="645"),(1+J1038)*(1+K1038),IF(OR(B1038="613",B1038="615",B1038="616",B1038="6226",B1038="625",B1038="626",B1038="6281"),(1+I1038)*(1-L1038)*(1+M1038),IF(OR(B1038="6331",B1038="63511",B1038="6333"),(1+I1038)*(1-L1038),IF(B1038="6811",1+I1038,1))))))))</f>
        <v/>
      </c>
      <c r="P1038">
        <f>IF(E1038=1,F1038*O1038,"")</f>
        <v/>
      </c>
    </row>
    <row r="1039">
      <c r="A1039">
        <f>PNL!A1039</f>
        <v/>
      </c>
      <c r="B1039">
        <f>PNL!B1039</f>
        <v/>
      </c>
      <c r="C1039">
        <f>PNL!C1039</f>
        <v/>
      </c>
      <c r="D1039">
        <f>PNL!D1039</f>
        <v/>
      </c>
      <c r="E1039">
        <f>IF(AND(C1039="2027",OR(D1039="V01",D1039="V02",D1039="V03")),1,0)</f>
        <v/>
      </c>
      <c r="F1039">
        <f>IF(E1039=1,SUMIFS(Compta!$F$2:$F$675,Compta!$A$2:$A$675,A1039,Compta!$B$2:$B$675,B1039,Compta!$C$2:$C$675,"2026"),0)</f>
        <v/>
      </c>
      <c r="G1039">
        <f>IF(D1039="V01",cad!$I$21,IF(D1039="V02",cad!$J$21,cad!$K$21))</f>
        <v/>
      </c>
      <c r="H1039">
        <f>IF(D1039="V01",cad!$I$22,IF(D1039="V02",cad!$J$22,cad!$K$22))</f>
        <v/>
      </c>
      <c r="I1039">
        <f>IF(D1039="V01",cad!$I$27,IF(D1039="V02",cad!$J$27,cad!$K$27))</f>
        <v/>
      </c>
      <c r="J1039">
        <f>IF(D1039="V01",cad!$I$28,IF(D1039="V02",cad!$J$28,cad!$K$28))</f>
        <v/>
      </c>
      <c r="K1039">
        <f>IF(D1039="V01",cad!$I$29,IF(D1039="V02",cad!$J$29,cad!$K$29))</f>
        <v/>
      </c>
      <c r="L1039">
        <f>IF(D1039="V01",cad!$I$30,IF(D1039="V02",cad!$J$30,cad!$K$30))</f>
        <v/>
      </c>
      <c r="M1039">
        <f>IF(D1039="V01",cad!$I$31,IF(D1039="V02",cad!$J$31,cad!$K$31))</f>
        <v/>
      </c>
      <c r="N1039">
        <f>IF(D1039="V01",$R$2,IF(D1039="V02",$R$3,$R$4))</f>
        <v/>
      </c>
      <c r="O1039">
        <f>IF(OR(B1039="7062",B1039="706",B1039="708"),N1039,IF(B1039="6231",1+G1039,IF(B1039="6236",1+H1039,IF(OR(B1039="621",B1039="604",B1039="6063"),N1039*(1-L1039),IF(OR(B1039="6411",B1039="6413",B1039="6414",B1039="645"),(1+J1039)*(1+K1039),IF(OR(B1039="613",B1039="615",B1039="616",B1039="6226",B1039="625",B1039="626",B1039="6281"),(1+I1039)*(1-L1039)*(1+M1039),IF(OR(B1039="6331",B1039="63511",B1039="6333"),(1+I1039)*(1-L1039),IF(B1039="6811",1+I1039,1))))))))</f>
        <v/>
      </c>
      <c r="P1039">
        <f>IF(E1039=1,F1039*O1039,"")</f>
        <v/>
      </c>
    </row>
    <row r="1040">
      <c r="A1040">
        <f>PNL!A1040</f>
        <v/>
      </c>
      <c r="B1040">
        <f>PNL!B1040</f>
        <v/>
      </c>
      <c r="C1040">
        <f>PNL!C1040</f>
        <v/>
      </c>
      <c r="D1040">
        <f>PNL!D1040</f>
        <v/>
      </c>
      <c r="E1040">
        <f>IF(AND(C1040="2027",OR(D1040="V01",D1040="V02",D1040="V03")),1,0)</f>
        <v/>
      </c>
      <c r="F1040">
        <f>IF(E1040=1,SUMIFS(Compta!$F$2:$F$675,Compta!$A$2:$A$675,A1040,Compta!$B$2:$B$675,B1040,Compta!$C$2:$C$675,"2026"),0)</f>
        <v/>
      </c>
      <c r="G1040">
        <f>IF(D1040="V01",cad!$I$21,IF(D1040="V02",cad!$J$21,cad!$K$21))</f>
        <v/>
      </c>
      <c r="H1040">
        <f>IF(D1040="V01",cad!$I$22,IF(D1040="V02",cad!$J$22,cad!$K$22))</f>
        <v/>
      </c>
      <c r="I1040">
        <f>IF(D1040="V01",cad!$I$27,IF(D1040="V02",cad!$J$27,cad!$K$27))</f>
        <v/>
      </c>
      <c r="J1040">
        <f>IF(D1040="V01",cad!$I$28,IF(D1040="V02",cad!$J$28,cad!$K$28))</f>
        <v/>
      </c>
      <c r="K1040">
        <f>IF(D1040="V01",cad!$I$29,IF(D1040="V02",cad!$J$29,cad!$K$29))</f>
        <v/>
      </c>
      <c r="L1040">
        <f>IF(D1040="V01",cad!$I$30,IF(D1040="V02",cad!$J$30,cad!$K$30))</f>
        <v/>
      </c>
      <c r="M1040">
        <f>IF(D1040="V01",cad!$I$31,IF(D1040="V02",cad!$J$31,cad!$K$31))</f>
        <v/>
      </c>
      <c r="N1040">
        <f>IF(D1040="V01",$R$2,IF(D1040="V02",$R$3,$R$4))</f>
        <v/>
      </c>
      <c r="O1040">
        <f>IF(OR(B1040="7062",B1040="706",B1040="708"),N1040,IF(B1040="6231",1+G1040,IF(B1040="6236",1+H1040,IF(OR(B1040="621",B1040="604",B1040="6063"),N1040*(1-L1040),IF(OR(B1040="6411",B1040="6413",B1040="6414",B1040="645"),(1+J1040)*(1+K1040),IF(OR(B1040="613",B1040="615",B1040="616",B1040="6226",B1040="625",B1040="626",B1040="6281"),(1+I1040)*(1-L1040)*(1+M1040),IF(OR(B1040="6331",B1040="63511",B1040="6333"),(1+I1040)*(1-L1040),IF(B1040="6811",1+I1040,1))))))))</f>
        <v/>
      </c>
      <c r="P1040">
        <f>IF(E1040=1,F1040*O1040,"")</f>
        <v/>
      </c>
    </row>
    <row r="1041">
      <c r="A1041">
        <f>PNL!A1041</f>
        <v/>
      </c>
      <c r="B1041">
        <f>PNL!B1041</f>
        <v/>
      </c>
      <c r="C1041">
        <f>PNL!C1041</f>
        <v/>
      </c>
      <c r="D1041">
        <f>PNL!D1041</f>
        <v/>
      </c>
      <c r="E1041">
        <f>IF(AND(C1041="2027",OR(D1041="V01",D1041="V02",D1041="V03")),1,0)</f>
        <v/>
      </c>
      <c r="F1041">
        <f>IF(E1041=1,SUMIFS(Compta!$F$2:$F$675,Compta!$A$2:$A$675,A1041,Compta!$B$2:$B$675,B1041,Compta!$C$2:$C$675,"2026"),0)</f>
        <v/>
      </c>
      <c r="G1041">
        <f>IF(D1041="V01",cad!$I$21,IF(D1041="V02",cad!$J$21,cad!$K$21))</f>
        <v/>
      </c>
      <c r="H1041">
        <f>IF(D1041="V01",cad!$I$22,IF(D1041="V02",cad!$J$22,cad!$K$22))</f>
        <v/>
      </c>
      <c r="I1041">
        <f>IF(D1041="V01",cad!$I$27,IF(D1041="V02",cad!$J$27,cad!$K$27))</f>
        <v/>
      </c>
      <c r="J1041">
        <f>IF(D1041="V01",cad!$I$28,IF(D1041="V02",cad!$J$28,cad!$K$28))</f>
        <v/>
      </c>
      <c r="K1041">
        <f>IF(D1041="V01",cad!$I$29,IF(D1041="V02",cad!$J$29,cad!$K$29))</f>
        <v/>
      </c>
      <c r="L1041">
        <f>IF(D1041="V01",cad!$I$30,IF(D1041="V02",cad!$J$30,cad!$K$30))</f>
        <v/>
      </c>
      <c r="M1041">
        <f>IF(D1041="V01",cad!$I$31,IF(D1041="V02",cad!$J$31,cad!$K$31))</f>
        <v/>
      </c>
      <c r="N1041">
        <f>IF(D1041="V01",$R$2,IF(D1041="V02",$R$3,$R$4))</f>
        <v/>
      </c>
      <c r="O1041">
        <f>IF(OR(B1041="7062",B1041="706",B1041="708"),N1041,IF(B1041="6231",1+G1041,IF(B1041="6236",1+H1041,IF(OR(B1041="621",B1041="604",B1041="6063"),N1041*(1-L1041),IF(OR(B1041="6411",B1041="6413",B1041="6414",B1041="645"),(1+J1041)*(1+K1041),IF(OR(B1041="613",B1041="615",B1041="616",B1041="6226",B1041="625",B1041="626",B1041="6281"),(1+I1041)*(1-L1041)*(1+M1041),IF(OR(B1041="6331",B1041="63511",B1041="6333"),(1+I1041)*(1-L1041),IF(B1041="6811",1+I1041,1))))))))</f>
        <v/>
      </c>
      <c r="P1041">
        <f>IF(E1041=1,F1041*O1041,"")</f>
        <v/>
      </c>
    </row>
    <row r="1042">
      <c r="A1042">
        <f>PNL!A1042</f>
        <v/>
      </c>
      <c r="B1042">
        <f>PNL!B1042</f>
        <v/>
      </c>
      <c r="C1042">
        <f>PNL!C1042</f>
        <v/>
      </c>
      <c r="D1042">
        <f>PNL!D1042</f>
        <v/>
      </c>
      <c r="E1042">
        <f>IF(AND(C1042="2027",OR(D1042="V01",D1042="V02",D1042="V03")),1,0)</f>
        <v/>
      </c>
      <c r="F1042">
        <f>IF(E1042=1,SUMIFS(Compta!$F$2:$F$675,Compta!$A$2:$A$675,A1042,Compta!$B$2:$B$675,B1042,Compta!$C$2:$C$675,"2026"),0)</f>
        <v/>
      </c>
      <c r="G1042">
        <f>IF(D1042="V01",cad!$I$21,IF(D1042="V02",cad!$J$21,cad!$K$21))</f>
        <v/>
      </c>
      <c r="H1042">
        <f>IF(D1042="V01",cad!$I$22,IF(D1042="V02",cad!$J$22,cad!$K$22))</f>
        <v/>
      </c>
      <c r="I1042">
        <f>IF(D1042="V01",cad!$I$27,IF(D1042="V02",cad!$J$27,cad!$K$27))</f>
        <v/>
      </c>
      <c r="J1042">
        <f>IF(D1042="V01",cad!$I$28,IF(D1042="V02",cad!$J$28,cad!$K$28))</f>
        <v/>
      </c>
      <c r="K1042">
        <f>IF(D1042="V01",cad!$I$29,IF(D1042="V02",cad!$J$29,cad!$K$29))</f>
        <v/>
      </c>
      <c r="L1042">
        <f>IF(D1042="V01",cad!$I$30,IF(D1042="V02",cad!$J$30,cad!$K$30))</f>
        <v/>
      </c>
      <c r="M1042">
        <f>IF(D1042="V01",cad!$I$31,IF(D1042="V02",cad!$J$31,cad!$K$31))</f>
        <v/>
      </c>
      <c r="N1042">
        <f>IF(D1042="V01",$R$2,IF(D1042="V02",$R$3,$R$4))</f>
        <v/>
      </c>
      <c r="O1042">
        <f>IF(OR(B1042="7062",B1042="706",B1042="708"),N1042,IF(B1042="6231",1+G1042,IF(B1042="6236",1+H1042,IF(OR(B1042="621",B1042="604",B1042="6063"),N1042*(1-L1042),IF(OR(B1042="6411",B1042="6413",B1042="6414",B1042="645"),(1+J1042)*(1+K1042),IF(OR(B1042="613",B1042="615",B1042="616",B1042="6226",B1042="625",B1042="626",B1042="6281"),(1+I1042)*(1-L1042)*(1+M1042),IF(OR(B1042="6331",B1042="63511",B1042="6333"),(1+I1042)*(1-L1042),IF(B1042="6811",1+I1042,1))))))))</f>
        <v/>
      </c>
      <c r="P1042">
        <f>IF(E1042=1,F1042*O1042,"")</f>
        <v/>
      </c>
    </row>
    <row r="1043">
      <c r="A1043">
        <f>PNL!A1043</f>
        <v/>
      </c>
      <c r="B1043">
        <f>PNL!B1043</f>
        <v/>
      </c>
      <c r="C1043">
        <f>PNL!C1043</f>
        <v/>
      </c>
      <c r="D1043">
        <f>PNL!D1043</f>
        <v/>
      </c>
      <c r="E1043">
        <f>IF(AND(C1043="2027",OR(D1043="V01",D1043="V02",D1043="V03")),1,0)</f>
        <v/>
      </c>
      <c r="F1043">
        <f>IF(E1043=1,SUMIFS(Compta!$F$2:$F$675,Compta!$A$2:$A$675,A1043,Compta!$B$2:$B$675,B1043,Compta!$C$2:$C$675,"2026"),0)</f>
        <v/>
      </c>
      <c r="G1043">
        <f>IF(D1043="V01",cad!$I$21,IF(D1043="V02",cad!$J$21,cad!$K$21))</f>
        <v/>
      </c>
      <c r="H1043">
        <f>IF(D1043="V01",cad!$I$22,IF(D1043="V02",cad!$J$22,cad!$K$22))</f>
        <v/>
      </c>
      <c r="I1043">
        <f>IF(D1043="V01",cad!$I$27,IF(D1043="V02",cad!$J$27,cad!$K$27))</f>
        <v/>
      </c>
      <c r="J1043">
        <f>IF(D1043="V01",cad!$I$28,IF(D1043="V02",cad!$J$28,cad!$K$28))</f>
        <v/>
      </c>
      <c r="K1043">
        <f>IF(D1043="V01",cad!$I$29,IF(D1043="V02",cad!$J$29,cad!$K$29))</f>
        <v/>
      </c>
      <c r="L1043">
        <f>IF(D1043="V01",cad!$I$30,IF(D1043="V02",cad!$J$30,cad!$K$30))</f>
        <v/>
      </c>
      <c r="M1043">
        <f>IF(D1043="V01",cad!$I$31,IF(D1043="V02",cad!$J$31,cad!$K$31))</f>
        <v/>
      </c>
      <c r="N1043">
        <f>IF(D1043="V01",$R$2,IF(D1043="V02",$R$3,$R$4))</f>
        <v/>
      </c>
      <c r="O1043">
        <f>IF(OR(B1043="7062",B1043="706",B1043="708"),N1043,IF(B1043="6231",1+G1043,IF(B1043="6236",1+H1043,IF(OR(B1043="621",B1043="604",B1043="6063"),N1043*(1-L1043),IF(OR(B1043="6411",B1043="6413",B1043="6414",B1043="645"),(1+J1043)*(1+K1043),IF(OR(B1043="613",B1043="615",B1043="616",B1043="6226",B1043="625",B1043="626",B1043="6281"),(1+I1043)*(1-L1043)*(1+M1043),IF(OR(B1043="6331",B1043="63511",B1043="6333"),(1+I1043)*(1-L1043),IF(B1043="6811",1+I1043,1))))))))</f>
        <v/>
      </c>
      <c r="P1043">
        <f>IF(E1043=1,F1043*O1043,"")</f>
        <v/>
      </c>
    </row>
    <row r="1044">
      <c r="A1044">
        <f>PNL!A1044</f>
        <v/>
      </c>
      <c r="B1044">
        <f>PNL!B1044</f>
        <v/>
      </c>
      <c r="C1044">
        <f>PNL!C1044</f>
        <v/>
      </c>
      <c r="D1044">
        <f>PNL!D1044</f>
        <v/>
      </c>
      <c r="E1044">
        <f>IF(AND(C1044="2027",OR(D1044="V01",D1044="V02",D1044="V03")),1,0)</f>
        <v/>
      </c>
      <c r="F1044">
        <f>IF(E1044=1,SUMIFS(Compta!$F$2:$F$675,Compta!$A$2:$A$675,A1044,Compta!$B$2:$B$675,B1044,Compta!$C$2:$C$675,"2026"),0)</f>
        <v/>
      </c>
      <c r="G1044">
        <f>IF(D1044="V01",cad!$I$21,IF(D1044="V02",cad!$J$21,cad!$K$21))</f>
        <v/>
      </c>
      <c r="H1044">
        <f>IF(D1044="V01",cad!$I$22,IF(D1044="V02",cad!$J$22,cad!$K$22))</f>
        <v/>
      </c>
      <c r="I1044">
        <f>IF(D1044="V01",cad!$I$27,IF(D1044="V02",cad!$J$27,cad!$K$27))</f>
        <v/>
      </c>
      <c r="J1044">
        <f>IF(D1044="V01",cad!$I$28,IF(D1044="V02",cad!$J$28,cad!$K$28))</f>
        <v/>
      </c>
      <c r="K1044">
        <f>IF(D1044="V01",cad!$I$29,IF(D1044="V02",cad!$J$29,cad!$K$29))</f>
        <v/>
      </c>
      <c r="L1044">
        <f>IF(D1044="V01",cad!$I$30,IF(D1044="V02",cad!$J$30,cad!$K$30))</f>
        <v/>
      </c>
      <c r="M1044">
        <f>IF(D1044="V01",cad!$I$31,IF(D1044="V02",cad!$J$31,cad!$K$31))</f>
        <v/>
      </c>
      <c r="N1044">
        <f>IF(D1044="V01",$R$2,IF(D1044="V02",$R$3,$R$4))</f>
        <v/>
      </c>
      <c r="O1044">
        <f>IF(OR(B1044="7062",B1044="706",B1044="708"),N1044,IF(B1044="6231",1+G1044,IF(B1044="6236",1+H1044,IF(OR(B1044="621",B1044="604",B1044="6063"),N1044*(1-L1044),IF(OR(B1044="6411",B1044="6413",B1044="6414",B1044="645"),(1+J1044)*(1+K1044),IF(OR(B1044="613",B1044="615",B1044="616",B1044="6226",B1044="625",B1044="626",B1044="6281"),(1+I1044)*(1-L1044)*(1+M1044),IF(OR(B1044="6331",B1044="63511",B1044="6333"),(1+I1044)*(1-L1044),IF(B1044="6811",1+I1044,1))))))))</f>
        <v/>
      </c>
      <c r="P1044">
        <f>IF(E1044=1,F1044*O1044,"")</f>
        <v/>
      </c>
    </row>
    <row r="1045">
      <c r="A1045">
        <f>PNL!A1045</f>
        <v/>
      </c>
      <c r="B1045">
        <f>PNL!B1045</f>
        <v/>
      </c>
      <c r="C1045">
        <f>PNL!C1045</f>
        <v/>
      </c>
      <c r="D1045">
        <f>PNL!D1045</f>
        <v/>
      </c>
      <c r="E1045">
        <f>IF(AND(C1045="2027",OR(D1045="V01",D1045="V02",D1045="V03")),1,0)</f>
        <v/>
      </c>
      <c r="F1045">
        <f>IF(E1045=1,SUMIFS(Compta!$F$2:$F$675,Compta!$A$2:$A$675,A1045,Compta!$B$2:$B$675,B1045,Compta!$C$2:$C$675,"2026"),0)</f>
        <v/>
      </c>
      <c r="G1045">
        <f>IF(D1045="V01",cad!$I$21,IF(D1045="V02",cad!$J$21,cad!$K$21))</f>
        <v/>
      </c>
      <c r="H1045">
        <f>IF(D1045="V01",cad!$I$22,IF(D1045="V02",cad!$J$22,cad!$K$22))</f>
        <v/>
      </c>
      <c r="I1045">
        <f>IF(D1045="V01",cad!$I$27,IF(D1045="V02",cad!$J$27,cad!$K$27))</f>
        <v/>
      </c>
      <c r="J1045">
        <f>IF(D1045="V01",cad!$I$28,IF(D1045="V02",cad!$J$28,cad!$K$28))</f>
        <v/>
      </c>
      <c r="K1045">
        <f>IF(D1045="V01",cad!$I$29,IF(D1045="V02",cad!$J$29,cad!$K$29))</f>
        <v/>
      </c>
      <c r="L1045">
        <f>IF(D1045="V01",cad!$I$30,IF(D1045="V02",cad!$J$30,cad!$K$30))</f>
        <v/>
      </c>
      <c r="M1045">
        <f>IF(D1045="V01",cad!$I$31,IF(D1045="V02",cad!$J$31,cad!$K$31))</f>
        <v/>
      </c>
      <c r="N1045">
        <f>IF(D1045="V01",$R$2,IF(D1045="V02",$R$3,$R$4))</f>
        <v/>
      </c>
      <c r="O1045">
        <f>IF(OR(B1045="7062",B1045="706",B1045="708"),N1045,IF(B1045="6231",1+G1045,IF(B1045="6236",1+H1045,IF(OR(B1045="621",B1045="604",B1045="6063"),N1045*(1-L1045),IF(OR(B1045="6411",B1045="6413",B1045="6414",B1045="645"),(1+J1045)*(1+K1045),IF(OR(B1045="613",B1045="615",B1045="616",B1045="6226",B1045="625",B1045="626",B1045="6281"),(1+I1045)*(1-L1045)*(1+M1045),IF(OR(B1045="6331",B1045="63511",B1045="6333"),(1+I1045)*(1-L1045),IF(B1045="6811",1+I1045,1))))))))</f>
        <v/>
      </c>
      <c r="P1045">
        <f>IF(E1045=1,F1045*O1045,"")</f>
        <v/>
      </c>
    </row>
    <row r="1046">
      <c r="A1046">
        <f>PNL!A1046</f>
        <v/>
      </c>
      <c r="B1046">
        <f>PNL!B1046</f>
        <v/>
      </c>
      <c r="C1046">
        <f>PNL!C1046</f>
        <v/>
      </c>
      <c r="D1046">
        <f>PNL!D1046</f>
        <v/>
      </c>
      <c r="E1046">
        <f>IF(AND(C1046="2027",OR(D1046="V01",D1046="V02",D1046="V03")),1,0)</f>
        <v/>
      </c>
      <c r="F1046">
        <f>IF(E1046=1,SUMIFS(Compta!$F$2:$F$675,Compta!$A$2:$A$675,A1046,Compta!$B$2:$B$675,B1046,Compta!$C$2:$C$675,"2026"),0)</f>
        <v/>
      </c>
      <c r="G1046">
        <f>IF(D1046="V01",cad!$I$21,IF(D1046="V02",cad!$J$21,cad!$K$21))</f>
        <v/>
      </c>
      <c r="H1046">
        <f>IF(D1046="V01",cad!$I$22,IF(D1046="V02",cad!$J$22,cad!$K$22))</f>
        <v/>
      </c>
      <c r="I1046">
        <f>IF(D1046="V01",cad!$I$27,IF(D1046="V02",cad!$J$27,cad!$K$27))</f>
        <v/>
      </c>
      <c r="J1046">
        <f>IF(D1046="V01",cad!$I$28,IF(D1046="V02",cad!$J$28,cad!$K$28))</f>
        <v/>
      </c>
      <c r="K1046">
        <f>IF(D1046="V01",cad!$I$29,IF(D1046="V02",cad!$J$29,cad!$K$29))</f>
        <v/>
      </c>
      <c r="L1046">
        <f>IF(D1046="V01",cad!$I$30,IF(D1046="V02",cad!$J$30,cad!$K$30))</f>
        <v/>
      </c>
      <c r="M1046">
        <f>IF(D1046="V01",cad!$I$31,IF(D1046="V02",cad!$J$31,cad!$K$31))</f>
        <v/>
      </c>
      <c r="N1046">
        <f>IF(D1046="V01",$R$2,IF(D1046="V02",$R$3,$R$4))</f>
        <v/>
      </c>
      <c r="O1046">
        <f>IF(OR(B1046="7062",B1046="706",B1046="708"),N1046,IF(B1046="6231",1+G1046,IF(B1046="6236",1+H1046,IF(OR(B1046="621",B1046="604",B1046="6063"),N1046*(1-L1046),IF(OR(B1046="6411",B1046="6413",B1046="6414",B1046="645"),(1+J1046)*(1+K1046),IF(OR(B1046="613",B1046="615",B1046="616",B1046="6226",B1046="625",B1046="626",B1046="6281"),(1+I1046)*(1-L1046)*(1+M1046),IF(OR(B1046="6331",B1046="63511",B1046="6333"),(1+I1046)*(1-L1046),IF(B1046="6811",1+I1046,1))))))))</f>
        <v/>
      </c>
      <c r="P1046">
        <f>IF(E1046=1,F1046*O1046,"")</f>
        <v/>
      </c>
    </row>
    <row r="1047">
      <c r="A1047">
        <f>PNL!A1047</f>
        <v/>
      </c>
      <c r="B1047">
        <f>PNL!B1047</f>
        <v/>
      </c>
      <c r="C1047">
        <f>PNL!C1047</f>
        <v/>
      </c>
      <c r="D1047">
        <f>PNL!D1047</f>
        <v/>
      </c>
      <c r="E1047">
        <f>IF(AND(C1047="2027",OR(D1047="V01",D1047="V02",D1047="V03")),1,0)</f>
        <v/>
      </c>
      <c r="F1047">
        <f>IF(E1047=1,SUMIFS(Compta!$F$2:$F$675,Compta!$A$2:$A$675,A1047,Compta!$B$2:$B$675,B1047,Compta!$C$2:$C$675,"2026"),0)</f>
        <v/>
      </c>
      <c r="G1047">
        <f>IF(D1047="V01",cad!$I$21,IF(D1047="V02",cad!$J$21,cad!$K$21))</f>
        <v/>
      </c>
      <c r="H1047">
        <f>IF(D1047="V01",cad!$I$22,IF(D1047="V02",cad!$J$22,cad!$K$22))</f>
        <v/>
      </c>
      <c r="I1047">
        <f>IF(D1047="V01",cad!$I$27,IF(D1047="V02",cad!$J$27,cad!$K$27))</f>
        <v/>
      </c>
      <c r="J1047">
        <f>IF(D1047="V01",cad!$I$28,IF(D1047="V02",cad!$J$28,cad!$K$28))</f>
        <v/>
      </c>
      <c r="K1047">
        <f>IF(D1047="V01",cad!$I$29,IF(D1047="V02",cad!$J$29,cad!$K$29))</f>
        <v/>
      </c>
      <c r="L1047">
        <f>IF(D1047="V01",cad!$I$30,IF(D1047="V02",cad!$J$30,cad!$K$30))</f>
        <v/>
      </c>
      <c r="M1047">
        <f>IF(D1047="V01",cad!$I$31,IF(D1047="V02",cad!$J$31,cad!$K$31))</f>
        <v/>
      </c>
      <c r="N1047">
        <f>IF(D1047="V01",$R$2,IF(D1047="V02",$R$3,$R$4))</f>
        <v/>
      </c>
      <c r="O1047">
        <f>IF(OR(B1047="7062",B1047="706",B1047="708"),N1047,IF(B1047="6231",1+G1047,IF(B1047="6236",1+H1047,IF(OR(B1047="621",B1047="604",B1047="6063"),N1047*(1-L1047),IF(OR(B1047="6411",B1047="6413",B1047="6414",B1047="645"),(1+J1047)*(1+K1047),IF(OR(B1047="613",B1047="615",B1047="616",B1047="6226",B1047="625",B1047="626",B1047="6281"),(1+I1047)*(1-L1047)*(1+M1047),IF(OR(B1047="6331",B1047="63511",B1047="6333"),(1+I1047)*(1-L1047),IF(B1047="6811",1+I1047,1))))))))</f>
        <v/>
      </c>
      <c r="P1047">
        <f>IF(E1047=1,F1047*O1047,"")</f>
        <v/>
      </c>
    </row>
    <row r="1048">
      <c r="A1048">
        <f>PNL!A1048</f>
        <v/>
      </c>
      <c r="B1048">
        <f>PNL!B1048</f>
        <v/>
      </c>
      <c r="C1048">
        <f>PNL!C1048</f>
        <v/>
      </c>
      <c r="D1048">
        <f>PNL!D1048</f>
        <v/>
      </c>
      <c r="E1048">
        <f>IF(AND(C1048="2027",OR(D1048="V01",D1048="V02",D1048="V03")),1,0)</f>
        <v/>
      </c>
      <c r="F1048">
        <f>IF(E1048=1,SUMIFS(Compta!$F$2:$F$675,Compta!$A$2:$A$675,A1048,Compta!$B$2:$B$675,B1048,Compta!$C$2:$C$675,"2026"),0)</f>
        <v/>
      </c>
      <c r="G1048">
        <f>IF(D1048="V01",cad!$I$21,IF(D1048="V02",cad!$J$21,cad!$K$21))</f>
        <v/>
      </c>
      <c r="H1048">
        <f>IF(D1048="V01",cad!$I$22,IF(D1048="V02",cad!$J$22,cad!$K$22))</f>
        <v/>
      </c>
      <c r="I1048">
        <f>IF(D1048="V01",cad!$I$27,IF(D1048="V02",cad!$J$27,cad!$K$27))</f>
        <v/>
      </c>
      <c r="J1048">
        <f>IF(D1048="V01",cad!$I$28,IF(D1048="V02",cad!$J$28,cad!$K$28))</f>
        <v/>
      </c>
      <c r="K1048">
        <f>IF(D1048="V01",cad!$I$29,IF(D1048="V02",cad!$J$29,cad!$K$29))</f>
        <v/>
      </c>
      <c r="L1048">
        <f>IF(D1048="V01",cad!$I$30,IF(D1048="V02",cad!$J$30,cad!$K$30))</f>
        <v/>
      </c>
      <c r="M1048">
        <f>IF(D1048="V01",cad!$I$31,IF(D1048="V02",cad!$J$31,cad!$K$31))</f>
        <v/>
      </c>
      <c r="N1048">
        <f>IF(D1048="V01",$R$2,IF(D1048="V02",$R$3,$R$4))</f>
        <v/>
      </c>
      <c r="O1048">
        <f>IF(OR(B1048="7062",B1048="706",B1048="708"),N1048,IF(B1048="6231",1+G1048,IF(B1048="6236",1+H1048,IF(OR(B1048="621",B1048="604",B1048="6063"),N1048*(1-L1048),IF(OR(B1048="6411",B1048="6413",B1048="6414",B1048="645"),(1+J1048)*(1+K1048),IF(OR(B1048="613",B1048="615",B1048="616",B1048="6226",B1048="625",B1048="626",B1048="6281"),(1+I1048)*(1-L1048)*(1+M1048),IF(OR(B1048="6331",B1048="63511",B1048="6333"),(1+I1048)*(1-L1048),IF(B1048="6811",1+I1048,1))))))))</f>
        <v/>
      </c>
      <c r="P1048">
        <f>IF(E1048=1,F1048*O1048,"")</f>
        <v/>
      </c>
    </row>
    <row r="1049">
      <c r="A1049">
        <f>PNL!A1049</f>
        <v/>
      </c>
      <c r="B1049">
        <f>PNL!B1049</f>
        <v/>
      </c>
      <c r="C1049">
        <f>PNL!C1049</f>
        <v/>
      </c>
      <c r="D1049">
        <f>PNL!D1049</f>
        <v/>
      </c>
      <c r="E1049">
        <f>IF(AND(C1049="2027",OR(D1049="V01",D1049="V02",D1049="V03")),1,0)</f>
        <v/>
      </c>
      <c r="F1049">
        <f>IF(E1049=1,SUMIFS(Compta!$F$2:$F$675,Compta!$A$2:$A$675,A1049,Compta!$B$2:$B$675,B1049,Compta!$C$2:$C$675,"2026"),0)</f>
        <v/>
      </c>
      <c r="G1049">
        <f>IF(D1049="V01",cad!$I$21,IF(D1049="V02",cad!$J$21,cad!$K$21))</f>
        <v/>
      </c>
      <c r="H1049">
        <f>IF(D1049="V01",cad!$I$22,IF(D1049="V02",cad!$J$22,cad!$K$22))</f>
        <v/>
      </c>
      <c r="I1049">
        <f>IF(D1049="V01",cad!$I$27,IF(D1049="V02",cad!$J$27,cad!$K$27))</f>
        <v/>
      </c>
      <c r="J1049">
        <f>IF(D1049="V01",cad!$I$28,IF(D1049="V02",cad!$J$28,cad!$K$28))</f>
        <v/>
      </c>
      <c r="K1049">
        <f>IF(D1049="V01",cad!$I$29,IF(D1049="V02",cad!$J$29,cad!$K$29))</f>
        <v/>
      </c>
      <c r="L1049">
        <f>IF(D1049="V01",cad!$I$30,IF(D1049="V02",cad!$J$30,cad!$K$30))</f>
        <v/>
      </c>
      <c r="M1049">
        <f>IF(D1049="V01",cad!$I$31,IF(D1049="V02",cad!$J$31,cad!$K$31))</f>
        <v/>
      </c>
      <c r="N1049">
        <f>IF(D1049="V01",$R$2,IF(D1049="V02",$R$3,$R$4))</f>
        <v/>
      </c>
      <c r="O1049">
        <f>IF(OR(B1049="7062",B1049="706",B1049="708"),N1049,IF(B1049="6231",1+G1049,IF(B1049="6236",1+H1049,IF(OR(B1049="621",B1049="604",B1049="6063"),N1049*(1-L1049),IF(OR(B1049="6411",B1049="6413",B1049="6414",B1049="645"),(1+J1049)*(1+K1049),IF(OR(B1049="613",B1049="615",B1049="616",B1049="6226",B1049="625",B1049="626",B1049="6281"),(1+I1049)*(1-L1049)*(1+M1049),IF(OR(B1049="6331",B1049="63511",B1049="6333"),(1+I1049)*(1-L1049),IF(B1049="6811",1+I1049,1))))))))</f>
        <v/>
      </c>
      <c r="P1049">
        <f>IF(E1049=1,F1049*O1049,"")</f>
        <v/>
      </c>
    </row>
    <row r="1050">
      <c r="A1050">
        <f>PNL!A1050</f>
        <v/>
      </c>
      <c r="B1050">
        <f>PNL!B1050</f>
        <v/>
      </c>
      <c r="C1050">
        <f>PNL!C1050</f>
        <v/>
      </c>
      <c r="D1050">
        <f>PNL!D1050</f>
        <v/>
      </c>
      <c r="E1050">
        <f>IF(AND(C1050="2027",OR(D1050="V01",D1050="V02",D1050="V03")),1,0)</f>
        <v/>
      </c>
      <c r="F1050">
        <f>IF(E1050=1,SUMIFS(Compta!$F$2:$F$675,Compta!$A$2:$A$675,A1050,Compta!$B$2:$B$675,B1050,Compta!$C$2:$C$675,"2026"),0)</f>
        <v/>
      </c>
      <c r="G1050">
        <f>IF(D1050="V01",cad!$I$21,IF(D1050="V02",cad!$J$21,cad!$K$21))</f>
        <v/>
      </c>
      <c r="H1050">
        <f>IF(D1050="V01",cad!$I$22,IF(D1050="V02",cad!$J$22,cad!$K$22))</f>
        <v/>
      </c>
      <c r="I1050">
        <f>IF(D1050="V01",cad!$I$27,IF(D1050="V02",cad!$J$27,cad!$K$27))</f>
        <v/>
      </c>
      <c r="J1050">
        <f>IF(D1050="V01",cad!$I$28,IF(D1050="V02",cad!$J$28,cad!$K$28))</f>
        <v/>
      </c>
      <c r="K1050">
        <f>IF(D1050="V01",cad!$I$29,IF(D1050="V02",cad!$J$29,cad!$K$29))</f>
        <v/>
      </c>
      <c r="L1050">
        <f>IF(D1050="V01",cad!$I$30,IF(D1050="V02",cad!$J$30,cad!$K$30))</f>
        <v/>
      </c>
      <c r="M1050">
        <f>IF(D1050="V01",cad!$I$31,IF(D1050="V02",cad!$J$31,cad!$K$31))</f>
        <v/>
      </c>
      <c r="N1050">
        <f>IF(D1050="V01",$R$2,IF(D1050="V02",$R$3,$R$4))</f>
        <v/>
      </c>
      <c r="O1050">
        <f>IF(OR(B1050="7062",B1050="706",B1050="708"),N1050,IF(B1050="6231",1+G1050,IF(B1050="6236",1+H1050,IF(OR(B1050="621",B1050="604",B1050="6063"),N1050*(1-L1050),IF(OR(B1050="6411",B1050="6413",B1050="6414",B1050="645"),(1+J1050)*(1+K1050),IF(OR(B1050="613",B1050="615",B1050="616",B1050="6226",B1050="625",B1050="626",B1050="6281"),(1+I1050)*(1-L1050)*(1+M1050),IF(OR(B1050="6331",B1050="63511",B1050="6333"),(1+I1050)*(1-L1050),IF(B1050="6811",1+I1050,1))))))))</f>
        <v/>
      </c>
      <c r="P1050">
        <f>IF(E1050=1,F1050*O1050,"")</f>
        <v/>
      </c>
    </row>
    <row r="1051">
      <c r="A1051">
        <f>PNL!A1051</f>
        <v/>
      </c>
      <c r="B1051">
        <f>PNL!B1051</f>
        <v/>
      </c>
      <c r="C1051">
        <f>PNL!C1051</f>
        <v/>
      </c>
      <c r="D1051">
        <f>PNL!D1051</f>
        <v/>
      </c>
      <c r="E1051">
        <f>IF(AND(C1051="2027",OR(D1051="V01",D1051="V02",D1051="V03")),1,0)</f>
        <v/>
      </c>
      <c r="F1051">
        <f>IF(E1051=1,SUMIFS(Compta!$F$2:$F$675,Compta!$A$2:$A$675,A1051,Compta!$B$2:$B$675,B1051,Compta!$C$2:$C$675,"2026"),0)</f>
        <v/>
      </c>
      <c r="G1051">
        <f>IF(D1051="V01",cad!$I$21,IF(D1051="V02",cad!$J$21,cad!$K$21))</f>
        <v/>
      </c>
      <c r="H1051">
        <f>IF(D1051="V01",cad!$I$22,IF(D1051="V02",cad!$J$22,cad!$K$22))</f>
        <v/>
      </c>
      <c r="I1051">
        <f>IF(D1051="V01",cad!$I$27,IF(D1051="V02",cad!$J$27,cad!$K$27))</f>
        <v/>
      </c>
      <c r="J1051">
        <f>IF(D1051="V01",cad!$I$28,IF(D1051="V02",cad!$J$28,cad!$K$28))</f>
        <v/>
      </c>
      <c r="K1051">
        <f>IF(D1051="V01",cad!$I$29,IF(D1051="V02",cad!$J$29,cad!$K$29))</f>
        <v/>
      </c>
      <c r="L1051">
        <f>IF(D1051="V01",cad!$I$30,IF(D1051="V02",cad!$J$30,cad!$K$30))</f>
        <v/>
      </c>
      <c r="M1051">
        <f>IF(D1051="V01",cad!$I$31,IF(D1051="V02",cad!$J$31,cad!$K$31))</f>
        <v/>
      </c>
      <c r="N1051">
        <f>IF(D1051="V01",$R$2,IF(D1051="V02",$R$3,$R$4))</f>
        <v/>
      </c>
      <c r="O1051">
        <f>IF(OR(B1051="7062",B1051="706",B1051="708"),N1051,IF(B1051="6231",1+G1051,IF(B1051="6236",1+H1051,IF(OR(B1051="621",B1051="604",B1051="6063"),N1051*(1-L1051),IF(OR(B1051="6411",B1051="6413",B1051="6414",B1051="645"),(1+J1051)*(1+K1051),IF(OR(B1051="613",B1051="615",B1051="616",B1051="6226",B1051="625",B1051="626",B1051="6281"),(1+I1051)*(1-L1051)*(1+M1051),IF(OR(B1051="6331",B1051="63511",B1051="6333"),(1+I1051)*(1-L1051),IF(B1051="6811",1+I1051,1))))))))</f>
        <v/>
      </c>
      <c r="P1051">
        <f>IF(E1051=1,F1051*O1051,"")</f>
        <v/>
      </c>
    </row>
    <row r="1052">
      <c r="A1052">
        <f>PNL!A1052</f>
        <v/>
      </c>
      <c r="B1052">
        <f>PNL!B1052</f>
        <v/>
      </c>
      <c r="C1052">
        <f>PNL!C1052</f>
        <v/>
      </c>
      <c r="D1052">
        <f>PNL!D1052</f>
        <v/>
      </c>
      <c r="E1052">
        <f>IF(AND(C1052="2027",OR(D1052="V01",D1052="V02",D1052="V03")),1,0)</f>
        <v/>
      </c>
      <c r="F1052">
        <f>IF(E1052=1,SUMIFS(Compta!$F$2:$F$675,Compta!$A$2:$A$675,A1052,Compta!$B$2:$B$675,B1052,Compta!$C$2:$C$675,"2026"),0)</f>
        <v/>
      </c>
      <c r="G1052">
        <f>IF(D1052="V01",cad!$I$21,IF(D1052="V02",cad!$J$21,cad!$K$21))</f>
        <v/>
      </c>
      <c r="H1052">
        <f>IF(D1052="V01",cad!$I$22,IF(D1052="V02",cad!$J$22,cad!$K$22))</f>
        <v/>
      </c>
      <c r="I1052">
        <f>IF(D1052="V01",cad!$I$27,IF(D1052="V02",cad!$J$27,cad!$K$27))</f>
        <v/>
      </c>
      <c r="J1052">
        <f>IF(D1052="V01",cad!$I$28,IF(D1052="V02",cad!$J$28,cad!$K$28))</f>
        <v/>
      </c>
      <c r="K1052">
        <f>IF(D1052="V01",cad!$I$29,IF(D1052="V02",cad!$J$29,cad!$K$29))</f>
        <v/>
      </c>
      <c r="L1052">
        <f>IF(D1052="V01",cad!$I$30,IF(D1052="V02",cad!$J$30,cad!$K$30))</f>
        <v/>
      </c>
      <c r="M1052">
        <f>IF(D1052="V01",cad!$I$31,IF(D1052="V02",cad!$J$31,cad!$K$31))</f>
        <v/>
      </c>
      <c r="N1052">
        <f>IF(D1052="V01",$R$2,IF(D1052="V02",$R$3,$R$4))</f>
        <v/>
      </c>
      <c r="O1052">
        <f>IF(OR(B1052="7062",B1052="706",B1052="708"),N1052,IF(B1052="6231",1+G1052,IF(B1052="6236",1+H1052,IF(OR(B1052="621",B1052="604",B1052="6063"),N1052*(1-L1052),IF(OR(B1052="6411",B1052="6413",B1052="6414",B1052="645"),(1+J1052)*(1+K1052),IF(OR(B1052="613",B1052="615",B1052="616",B1052="6226",B1052="625",B1052="626",B1052="6281"),(1+I1052)*(1-L1052)*(1+M1052),IF(OR(B1052="6331",B1052="63511",B1052="6333"),(1+I1052)*(1-L1052),IF(B1052="6811",1+I1052,1))))))))</f>
        <v/>
      </c>
      <c r="P1052">
        <f>IF(E1052=1,F1052*O1052,"")</f>
        <v/>
      </c>
    </row>
    <row r="1053">
      <c r="A1053">
        <f>PNL!A1053</f>
        <v/>
      </c>
      <c r="B1053">
        <f>PNL!B1053</f>
        <v/>
      </c>
      <c r="C1053">
        <f>PNL!C1053</f>
        <v/>
      </c>
      <c r="D1053">
        <f>PNL!D1053</f>
        <v/>
      </c>
      <c r="E1053">
        <f>IF(AND(C1053="2027",OR(D1053="V01",D1053="V02",D1053="V03")),1,0)</f>
        <v/>
      </c>
      <c r="F1053">
        <f>IF(E1053=1,SUMIFS(Compta!$F$2:$F$675,Compta!$A$2:$A$675,A1053,Compta!$B$2:$B$675,B1053,Compta!$C$2:$C$675,"2026"),0)</f>
        <v/>
      </c>
      <c r="G1053">
        <f>IF(D1053="V01",cad!$I$21,IF(D1053="V02",cad!$J$21,cad!$K$21))</f>
        <v/>
      </c>
      <c r="H1053">
        <f>IF(D1053="V01",cad!$I$22,IF(D1053="V02",cad!$J$22,cad!$K$22))</f>
        <v/>
      </c>
      <c r="I1053">
        <f>IF(D1053="V01",cad!$I$27,IF(D1053="V02",cad!$J$27,cad!$K$27))</f>
        <v/>
      </c>
      <c r="J1053">
        <f>IF(D1053="V01",cad!$I$28,IF(D1053="V02",cad!$J$28,cad!$K$28))</f>
        <v/>
      </c>
      <c r="K1053">
        <f>IF(D1053="V01",cad!$I$29,IF(D1053="V02",cad!$J$29,cad!$K$29))</f>
        <v/>
      </c>
      <c r="L1053">
        <f>IF(D1053="V01",cad!$I$30,IF(D1053="V02",cad!$J$30,cad!$K$30))</f>
        <v/>
      </c>
      <c r="M1053">
        <f>IF(D1053="V01",cad!$I$31,IF(D1053="V02",cad!$J$31,cad!$K$31))</f>
        <v/>
      </c>
      <c r="N1053">
        <f>IF(D1053="V01",$R$2,IF(D1053="V02",$R$3,$R$4))</f>
        <v/>
      </c>
      <c r="O1053">
        <f>IF(OR(B1053="7062",B1053="706",B1053="708"),N1053,IF(B1053="6231",1+G1053,IF(B1053="6236",1+H1053,IF(OR(B1053="621",B1053="604",B1053="6063"),N1053*(1-L1053),IF(OR(B1053="6411",B1053="6413",B1053="6414",B1053="645"),(1+J1053)*(1+K1053),IF(OR(B1053="613",B1053="615",B1053="616",B1053="6226",B1053="625",B1053="626",B1053="6281"),(1+I1053)*(1-L1053)*(1+M1053),IF(OR(B1053="6331",B1053="63511",B1053="6333"),(1+I1053)*(1-L1053),IF(B1053="6811",1+I1053,1))))))))</f>
        <v/>
      </c>
      <c r="P1053">
        <f>IF(E1053=1,F1053*O1053,"")</f>
        <v/>
      </c>
    </row>
    <row r="1054">
      <c r="A1054">
        <f>PNL!A1054</f>
        <v/>
      </c>
      <c r="B1054">
        <f>PNL!B1054</f>
        <v/>
      </c>
      <c r="C1054">
        <f>PNL!C1054</f>
        <v/>
      </c>
      <c r="D1054">
        <f>PNL!D1054</f>
        <v/>
      </c>
      <c r="E1054">
        <f>IF(AND(C1054="2027",OR(D1054="V01",D1054="V02",D1054="V03")),1,0)</f>
        <v/>
      </c>
      <c r="F1054">
        <f>IF(E1054=1,SUMIFS(Compta!$F$2:$F$675,Compta!$A$2:$A$675,A1054,Compta!$B$2:$B$675,B1054,Compta!$C$2:$C$675,"2026"),0)</f>
        <v/>
      </c>
      <c r="G1054">
        <f>IF(D1054="V01",cad!$I$21,IF(D1054="V02",cad!$J$21,cad!$K$21))</f>
        <v/>
      </c>
      <c r="H1054">
        <f>IF(D1054="V01",cad!$I$22,IF(D1054="V02",cad!$J$22,cad!$K$22))</f>
        <v/>
      </c>
      <c r="I1054">
        <f>IF(D1054="V01",cad!$I$27,IF(D1054="V02",cad!$J$27,cad!$K$27))</f>
        <v/>
      </c>
      <c r="J1054">
        <f>IF(D1054="V01",cad!$I$28,IF(D1054="V02",cad!$J$28,cad!$K$28))</f>
        <v/>
      </c>
      <c r="K1054">
        <f>IF(D1054="V01",cad!$I$29,IF(D1054="V02",cad!$J$29,cad!$K$29))</f>
        <v/>
      </c>
      <c r="L1054">
        <f>IF(D1054="V01",cad!$I$30,IF(D1054="V02",cad!$J$30,cad!$K$30))</f>
        <v/>
      </c>
      <c r="M1054">
        <f>IF(D1054="V01",cad!$I$31,IF(D1054="V02",cad!$J$31,cad!$K$31))</f>
        <v/>
      </c>
      <c r="N1054">
        <f>IF(D1054="V01",$R$2,IF(D1054="V02",$R$3,$R$4))</f>
        <v/>
      </c>
      <c r="O1054">
        <f>IF(OR(B1054="7062",B1054="706",B1054="708"),N1054,IF(B1054="6231",1+G1054,IF(B1054="6236",1+H1054,IF(OR(B1054="621",B1054="604",B1054="6063"),N1054*(1-L1054),IF(OR(B1054="6411",B1054="6413",B1054="6414",B1054="645"),(1+J1054)*(1+K1054),IF(OR(B1054="613",B1054="615",B1054="616",B1054="6226",B1054="625",B1054="626",B1054="6281"),(1+I1054)*(1-L1054)*(1+M1054),IF(OR(B1054="6331",B1054="63511",B1054="6333"),(1+I1054)*(1-L1054),IF(B1054="6811",1+I1054,1))))))))</f>
        <v/>
      </c>
      <c r="P1054">
        <f>IF(E1054=1,F1054*O1054,"")</f>
        <v/>
      </c>
    </row>
    <row r="1055">
      <c r="A1055">
        <f>PNL!A1055</f>
        <v/>
      </c>
      <c r="B1055">
        <f>PNL!B1055</f>
        <v/>
      </c>
      <c r="C1055">
        <f>PNL!C1055</f>
        <v/>
      </c>
      <c r="D1055">
        <f>PNL!D1055</f>
        <v/>
      </c>
      <c r="E1055">
        <f>IF(AND(C1055="2027",OR(D1055="V01",D1055="V02",D1055="V03")),1,0)</f>
        <v/>
      </c>
      <c r="F1055">
        <f>IF(E1055=1,SUMIFS(Compta!$F$2:$F$675,Compta!$A$2:$A$675,A1055,Compta!$B$2:$B$675,B1055,Compta!$C$2:$C$675,"2026"),0)</f>
        <v/>
      </c>
      <c r="G1055">
        <f>IF(D1055="V01",cad!$I$21,IF(D1055="V02",cad!$J$21,cad!$K$21))</f>
        <v/>
      </c>
      <c r="H1055">
        <f>IF(D1055="V01",cad!$I$22,IF(D1055="V02",cad!$J$22,cad!$K$22))</f>
        <v/>
      </c>
      <c r="I1055">
        <f>IF(D1055="V01",cad!$I$27,IF(D1055="V02",cad!$J$27,cad!$K$27))</f>
        <v/>
      </c>
      <c r="J1055">
        <f>IF(D1055="V01",cad!$I$28,IF(D1055="V02",cad!$J$28,cad!$K$28))</f>
        <v/>
      </c>
      <c r="K1055">
        <f>IF(D1055="V01",cad!$I$29,IF(D1055="V02",cad!$J$29,cad!$K$29))</f>
        <v/>
      </c>
      <c r="L1055">
        <f>IF(D1055="V01",cad!$I$30,IF(D1055="V02",cad!$J$30,cad!$K$30))</f>
        <v/>
      </c>
      <c r="M1055">
        <f>IF(D1055="V01",cad!$I$31,IF(D1055="V02",cad!$J$31,cad!$K$31))</f>
        <v/>
      </c>
      <c r="N1055">
        <f>IF(D1055="V01",$R$2,IF(D1055="V02",$R$3,$R$4))</f>
        <v/>
      </c>
      <c r="O1055">
        <f>IF(OR(B1055="7062",B1055="706",B1055="708"),N1055,IF(B1055="6231",1+G1055,IF(B1055="6236",1+H1055,IF(OR(B1055="621",B1055="604",B1055="6063"),N1055*(1-L1055),IF(OR(B1055="6411",B1055="6413",B1055="6414",B1055="645"),(1+J1055)*(1+K1055),IF(OR(B1055="613",B1055="615",B1055="616",B1055="6226",B1055="625",B1055="626",B1055="6281"),(1+I1055)*(1-L1055)*(1+M1055),IF(OR(B1055="6331",B1055="63511",B1055="6333"),(1+I1055)*(1-L1055),IF(B1055="6811",1+I1055,1))))))))</f>
        <v/>
      </c>
      <c r="P1055">
        <f>IF(E1055=1,F1055*O1055,"")</f>
        <v/>
      </c>
    </row>
    <row r="1056">
      <c r="A1056">
        <f>PNL!A1056</f>
        <v/>
      </c>
      <c r="B1056">
        <f>PNL!B1056</f>
        <v/>
      </c>
      <c r="C1056">
        <f>PNL!C1056</f>
        <v/>
      </c>
      <c r="D1056">
        <f>PNL!D1056</f>
        <v/>
      </c>
      <c r="E1056">
        <f>IF(AND(C1056="2027",OR(D1056="V01",D1056="V02",D1056="V03")),1,0)</f>
        <v/>
      </c>
      <c r="F1056">
        <f>IF(E1056=1,SUMIFS(Compta!$F$2:$F$675,Compta!$A$2:$A$675,A1056,Compta!$B$2:$B$675,B1056,Compta!$C$2:$C$675,"2026"),0)</f>
        <v/>
      </c>
      <c r="G1056">
        <f>IF(D1056="V01",cad!$I$21,IF(D1056="V02",cad!$J$21,cad!$K$21))</f>
        <v/>
      </c>
      <c r="H1056">
        <f>IF(D1056="V01",cad!$I$22,IF(D1056="V02",cad!$J$22,cad!$K$22))</f>
        <v/>
      </c>
      <c r="I1056">
        <f>IF(D1056="V01",cad!$I$27,IF(D1056="V02",cad!$J$27,cad!$K$27))</f>
        <v/>
      </c>
      <c r="J1056">
        <f>IF(D1056="V01",cad!$I$28,IF(D1056="V02",cad!$J$28,cad!$K$28))</f>
        <v/>
      </c>
      <c r="K1056">
        <f>IF(D1056="V01",cad!$I$29,IF(D1056="V02",cad!$J$29,cad!$K$29))</f>
        <v/>
      </c>
      <c r="L1056">
        <f>IF(D1056="V01",cad!$I$30,IF(D1056="V02",cad!$J$30,cad!$K$30))</f>
        <v/>
      </c>
      <c r="M1056">
        <f>IF(D1056="V01",cad!$I$31,IF(D1056="V02",cad!$J$31,cad!$K$31))</f>
        <v/>
      </c>
      <c r="N1056">
        <f>IF(D1056="V01",$R$2,IF(D1056="V02",$R$3,$R$4))</f>
        <v/>
      </c>
      <c r="O1056">
        <f>IF(OR(B1056="7062",B1056="706",B1056="708"),N1056,IF(B1056="6231",1+G1056,IF(B1056="6236",1+H1056,IF(OR(B1056="621",B1056="604",B1056="6063"),N1056*(1-L1056),IF(OR(B1056="6411",B1056="6413",B1056="6414",B1056="645"),(1+J1056)*(1+K1056),IF(OR(B1056="613",B1056="615",B1056="616",B1056="6226",B1056="625",B1056="626",B1056="6281"),(1+I1056)*(1-L1056)*(1+M1056),IF(OR(B1056="6331",B1056="63511",B1056="6333"),(1+I1056)*(1-L1056),IF(B1056="6811",1+I1056,1))))))))</f>
        <v/>
      </c>
      <c r="P1056">
        <f>IF(E1056=1,F1056*O1056,"")</f>
        <v/>
      </c>
    </row>
    <row r="1057">
      <c r="A1057">
        <f>PNL!A1057</f>
        <v/>
      </c>
      <c r="B1057">
        <f>PNL!B1057</f>
        <v/>
      </c>
      <c r="C1057">
        <f>PNL!C1057</f>
        <v/>
      </c>
      <c r="D1057">
        <f>PNL!D1057</f>
        <v/>
      </c>
      <c r="E1057">
        <f>IF(AND(C1057="2027",OR(D1057="V01",D1057="V02",D1057="V03")),1,0)</f>
        <v/>
      </c>
      <c r="F1057">
        <f>IF(E1057=1,SUMIFS(Compta!$F$2:$F$675,Compta!$A$2:$A$675,A1057,Compta!$B$2:$B$675,B1057,Compta!$C$2:$C$675,"2026"),0)</f>
        <v/>
      </c>
      <c r="G1057">
        <f>IF(D1057="V01",cad!$I$21,IF(D1057="V02",cad!$J$21,cad!$K$21))</f>
        <v/>
      </c>
      <c r="H1057">
        <f>IF(D1057="V01",cad!$I$22,IF(D1057="V02",cad!$J$22,cad!$K$22))</f>
        <v/>
      </c>
      <c r="I1057">
        <f>IF(D1057="V01",cad!$I$27,IF(D1057="V02",cad!$J$27,cad!$K$27))</f>
        <v/>
      </c>
      <c r="J1057">
        <f>IF(D1057="V01",cad!$I$28,IF(D1057="V02",cad!$J$28,cad!$K$28))</f>
        <v/>
      </c>
      <c r="K1057">
        <f>IF(D1057="V01",cad!$I$29,IF(D1057="V02",cad!$J$29,cad!$K$29))</f>
        <v/>
      </c>
      <c r="L1057">
        <f>IF(D1057="V01",cad!$I$30,IF(D1057="V02",cad!$J$30,cad!$K$30))</f>
        <v/>
      </c>
      <c r="M1057">
        <f>IF(D1057="V01",cad!$I$31,IF(D1057="V02",cad!$J$31,cad!$K$31))</f>
        <v/>
      </c>
      <c r="N1057">
        <f>IF(D1057="V01",$R$2,IF(D1057="V02",$R$3,$R$4))</f>
        <v/>
      </c>
      <c r="O1057">
        <f>IF(OR(B1057="7062",B1057="706",B1057="708"),N1057,IF(B1057="6231",1+G1057,IF(B1057="6236",1+H1057,IF(OR(B1057="621",B1057="604",B1057="6063"),N1057*(1-L1057),IF(OR(B1057="6411",B1057="6413",B1057="6414",B1057="645"),(1+J1057)*(1+K1057),IF(OR(B1057="613",B1057="615",B1057="616",B1057="6226",B1057="625",B1057="626",B1057="6281"),(1+I1057)*(1-L1057)*(1+M1057),IF(OR(B1057="6331",B1057="63511",B1057="6333"),(1+I1057)*(1-L1057),IF(B1057="6811",1+I1057,1))))))))</f>
        <v/>
      </c>
      <c r="P1057">
        <f>IF(E1057=1,F1057*O1057,"")</f>
        <v/>
      </c>
    </row>
    <row r="1058">
      <c r="A1058">
        <f>PNL!A1058</f>
        <v/>
      </c>
      <c r="B1058">
        <f>PNL!B1058</f>
        <v/>
      </c>
      <c r="C1058">
        <f>PNL!C1058</f>
        <v/>
      </c>
      <c r="D1058">
        <f>PNL!D1058</f>
        <v/>
      </c>
      <c r="E1058">
        <f>IF(AND(C1058="2027",OR(D1058="V01",D1058="V02",D1058="V03")),1,0)</f>
        <v/>
      </c>
      <c r="F1058">
        <f>IF(E1058=1,SUMIFS(Compta!$F$2:$F$675,Compta!$A$2:$A$675,A1058,Compta!$B$2:$B$675,B1058,Compta!$C$2:$C$675,"2026"),0)</f>
        <v/>
      </c>
      <c r="G1058">
        <f>IF(D1058="V01",cad!$I$21,IF(D1058="V02",cad!$J$21,cad!$K$21))</f>
        <v/>
      </c>
      <c r="H1058">
        <f>IF(D1058="V01",cad!$I$22,IF(D1058="V02",cad!$J$22,cad!$K$22))</f>
        <v/>
      </c>
      <c r="I1058">
        <f>IF(D1058="V01",cad!$I$27,IF(D1058="V02",cad!$J$27,cad!$K$27))</f>
        <v/>
      </c>
      <c r="J1058">
        <f>IF(D1058="V01",cad!$I$28,IF(D1058="V02",cad!$J$28,cad!$K$28))</f>
        <v/>
      </c>
      <c r="K1058">
        <f>IF(D1058="V01",cad!$I$29,IF(D1058="V02",cad!$J$29,cad!$K$29))</f>
        <v/>
      </c>
      <c r="L1058">
        <f>IF(D1058="V01",cad!$I$30,IF(D1058="V02",cad!$J$30,cad!$K$30))</f>
        <v/>
      </c>
      <c r="M1058">
        <f>IF(D1058="V01",cad!$I$31,IF(D1058="V02",cad!$J$31,cad!$K$31))</f>
        <v/>
      </c>
      <c r="N1058">
        <f>IF(D1058="V01",$R$2,IF(D1058="V02",$R$3,$R$4))</f>
        <v/>
      </c>
      <c r="O1058">
        <f>IF(OR(B1058="7062",B1058="706",B1058="708"),N1058,IF(B1058="6231",1+G1058,IF(B1058="6236",1+H1058,IF(OR(B1058="621",B1058="604",B1058="6063"),N1058*(1-L1058),IF(OR(B1058="6411",B1058="6413",B1058="6414",B1058="645"),(1+J1058)*(1+K1058),IF(OR(B1058="613",B1058="615",B1058="616",B1058="6226",B1058="625",B1058="626",B1058="6281"),(1+I1058)*(1-L1058)*(1+M1058),IF(OR(B1058="6331",B1058="63511",B1058="6333"),(1+I1058)*(1-L1058),IF(B1058="6811",1+I1058,1))))))))</f>
        <v/>
      </c>
      <c r="P1058">
        <f>IF(E1058=1,F1058*O1058,"")</f>
        <v/>
      </c>
    </row>
    <row r="1059">
      <c r="A1059">
        <f>PNL!A1059</f>
        <v/>
      </c>
      <c r="B1059">
        <f>PNL!B1059</f>
        <v/>
      </c>
      <c r="C1059">
        <f>PNL!C1059</f>
        <v/>
      </c>
      <c r="D1059">
        <f>PNL!D1059</f>
        <v/>
      </c>
      <c r="E1059">
        <f>IF(AND(C1059="2027",OR(D1059="V01",D1059="V02",D1059="V03")),1,0)</f>
        <v/>
      </c>
      <c r="F1059">
        <f>IF(E1059=1,SUMIFS(Compta!$F$2:$F$675,Compta!$A$2:$A$675,A1059,Compta!$B$2:$B$675,B1059,Compta!$C$2:$C$675,"2026"),0)</f>
        <v/>
      </c>
      <c r="G1059">
        <f>IF(D1059="V01",cad!$I$21,IF(D1059="V02",cad!$J$21,cad!$K$21))</f>
        <v/>
      </c>
      <c r="H1059">
        <f>IF(D1059="V01",cad!$I$22,IF(D1059="V02",cad!$J$22,cad!$K$22))</f>
        <v/>
      </c>
      <c r="I1059">
        <f>IF(D1059="V01",cad!$I$27,IF(D1059="V02",cad!$J$27,cad!$K$27))</f>
        <v/>
      </c>
      <c r="J1059">
        <f>IF(D1059="V01",cad!$I$28,IF(D1059="V02",cad!$J$28,cad!$K$28))</f>
        <v/>
      </c>
      <c r="K1059">
        <f>IF(D1059="V01",cad!$I$29,IF(D1059="V02",cad!$J$29,cad!$K$29))</f>
        <v/>
      </c>
      <c r="L1059">
        <f>IF(D1059="V01",cad!$I$30,IF(D1059="V02",cad!$J$30,cad!$K$30))</f>
        <v/>
      </c>
      <c r="M1059">
        <f>IF(D1059="V01",cad!$I$31,IF(D1059="V02",cad!$J$31,cad!$K$31))</f>
        <v/>
      </c>
      <c r="N1059">
        <f>IF(D1059="V01",$R$2,IF(D1059="V02",$R$3,$R$4))</f>
        <v/>
      </c>
      <c r="O1059">
        <f>IF(OR(B1059="7062",B1059="706",B1059="708"),N1059,IF(B1059="6231",1+G1059,IF(B1059="6236",1+H1059,IF(OR(B1059="621",B1059="604",B1059="6063"),N1059*(1-L1059),IF(OR(B1059="6411",B1059="6413",B1059="6414",B1059="645"),(1+J1059)*(1+K1059),IF(OR(B1059="613",B1059="615",B1059="616",B1059="6226",B1059="625",B1059="626",B1059="6281"),(1+I1059)*(1-L1059)*(1+M1059),IF(OR(B1059="6331",B1059="63511",B1059="6333"),(1+I1059)*(1-L1059),IF(B1059="6811",1+I1059,1))))))))</f>
        <v/>
      </c>
      <c r="P1059">
        <f>IF(E1059=1,F1059*O1059,"")</f>
        <v/>
      </c>
    </row>
    <row r="1060">
      <c r="A1060">
        <f>PNL!A1060</f>
        <v/>
      </c>
      <c r="B1060">
        <f>PNL!B1060</f>
        <v/>
      </c>
      <c r="C1060">
        <f>PNL!C1060</f>
        <v/>
      </c>
      <c r="D1060">
        <f>PNL!D1060</f>
        <v/>
      </c>
      <c r="E1060">
        <f>IF(AND(C1060="2027",OR(D1060="V01",D1060="V02",D1060="V03")),1,0)</f>
        <v/>
      </c>
      <c r="F1060">
        <f>IF(E1060=1,SUMIFS(Compta!$F$2:$F$675,Compta!$A$2:$A$675,A1060,Compta!$B$2:$B$675,B1060,Compta!$C$2:$C$675,"2026"),0)</f>
        <v/>
      </c>
      <c r="G1060">
        <f>IF(D1060="V01",cad!$I$21,IF(D1060="V02",cad!$J$21,cad!$K$21))</f>
        <v/>
      </c>
      <c r="H1060">
        <f>IF(D1060="V01",cad!$I$22,IF(D1060="V02",cad!$J$22,cad!$K$22))</f>
        <v/>
      </c>
      <c r="I1060">
        <f>IF(D1060="V01",cad!$I$27,IF(D1060="V02",cad!$J$27,cad!$K$27))</f>
        <v/>
      </c>
      <c r="J1060">
        <f>IF(D1060="V01",cad!$I$28,IF(D1060="V02",cad!$J$28,cad!$K$28))</f>
        <v/>
      </c>
      <c r="K1060">
        <f>IF(D1060="V01",cad!$I$29,IF(D1060="V02",cad!$J$29,cad!$K$29))</f>
        <v/>
      </c>
      <c r="L1060">
        <f>IF(D1060="V01",cad!$I$30,IF(D1060="V02",cad!$J$30,cad!$K$30))</f>
        <v/>
      </c>
      <c r="M1060">
        <f>IF(D1060="V01",cad!$I$31,IF(D1060="V02",cad!$J$31,cad!$K$31))</f>
        <v/>
      </c>
      <c r="N1060">
        <f>IF(D1060="V01",$R$2,IF(D1060="V02",$R$3,$R$4))</f>
        <v/>
      </c>
      <c r="O1060">
        <f>IF(OR(B1060="7062",B1060="706",B1060="708"),N1060,IF(B1060="6231",1+G1060,IF(B1060="6236",1+H1060,IF(OR(B1060="621",B1060="604",B1060="6063"),N1060*(1-L1060),IF(OR(B1060="6411",B1060="6413",B1060="6414",B1060="645"),(1+J1060)*(1+K1060),IF(OR(B1060="613",B1060="615",B1060="616",B1060="6226",B1060="625",B1060="626",B1060="6281"),(1+I1060)*(1-L1060)*(1+M1060),IF(OR(B1060="6331",B1060="63511",B1060="6333"),(1+I1060)*(1-L1060),IF(B1060="6811",1+I1060,1))))))))</f>
        <v/>
      </c>
      <c r="P1060">
        <f>IF(E1060=1,F1060*O1060,"")</f>
        <v/>
      </c>
    </row>
    <row r="1061">
      <c r="A1061">
        <f>PNL!A1061</f>
        <v/>
      </c>
      <c r="B1061">
        <f>PNL!B1061</f>
        <v/>
      </c>
      <c r="C1061">
        <f>PNL!C1061</f>
        <v/>
      </c>
      <c r="D1061">
        <f>PNL!D1061</f>
        <v/>
      </c>
      <c r="E1061">
        <f>IF(AND(C1061="2027",OR(D1061="V01",D1061="V02",D1061="V03")),1,0)</f>
        <v/>
      </c>
      <c r="F1061">
        <f>IF(E1061=1,SUMIFS(Compta!$F$2:$F$675,Compta!$A$2:$A$675,A1061,Compta!$B$2:$B$675,B1061,Compta!$C$2:$C$675,"2026"),0)</f>
        <v/>
      </c>
      <c r="G1061">
        <f>IF(D1061="V01",cad!$I$21,IF(D1061="V02",cad!$J$21,cad!$K$21))</f>
        <v/>
      </c>
      <c r="H1061">
        <f>IF(D1061="V01",cad!$I$22,IF(D1061="V02",cad!$J$22,cad!$K$22))</f>
        <v/>
      </c>
      <c r="I1061">
        <f>IF(D1061="V01",cad!$I$27,IF(D1061="V02",cad!$J$27,cad!$K$27))</f>
        <v/>
      </c>
      <c r="J1061">
        <f>IF(D1061="V01",cad!$I$28,IF(D1061="V02",cad!$J$28,cad!$K$28))</f>
        <v/>
      </c>
      <c r="K1061">
        <f>IF(D1061="V01",cad!$I$29,IF(D1061="V02",cad!$J$29,cad!$K$29))</f>
        <v/>
      </c>
      <c r="L1061">
        <f>IF(D1061="V01",cad!$I$30,IF(D1061="V02",cad!$J$30,cad!$K$30))</f>
        <v/>
      </c>
      <c r="M1061">
        <f>IF(D1061="V01",cad!$I$31,IF(D1061="V02",cad!$J$31,cad!$K$31))</f>
        <v/>
      </c>
      <c r="N1061">
        <f>IF(D1061="V01",$R$2,IF(D1061="V02",$R$3,$R$4))</f>
        <v/>
      </c>
      <c r="O1061">
        <f>IF(OR(B1061="7062",B1061="706",B1061="708"),N1061,IF(B1061="6231",1+G1061,IF(B1061="6236",1+H1061,IF(OR(B1061="621",B1061="604",B1061="6063"),N1061*(1-L1061),IF(OR(B1061="6411",B1061="6413",B1061="6414",B1061="645"),(1+J1061)*(1+K1061),IF(OR(B1061="613",B1061="615",B1061="616",B1061="6226",B1061="625",B1061="626",B1061="6281"),(1+I1061)*(1-L1061)*(1+M1061),IF(OR(B1061="6331",B1061="63511",B1061="6333"),(1+I1061)*(1-L1061),IF(B1061="6811",1+I1061,1))))))))</f>
        <v/>
      </c>
      <c r="P1061">
        <f>IF(E1061=1,F1061*O1061,"")</f>
        <v/>
      </c>
    </row>
    <row r="1062">
      <c r="A1062">
        <f>PNL!A1062</f>
        <v/>
      </c>
      <c r="B1062">
        <f>PNL!B1062</f>
        <v/>
      </c>
      <c r="C1062">
        <f>PNL!C1062</f>
        <v/>
      </c>
      <c r="D1062">
        <f>PNL!D1062</f>
        <v/>
      </c>
      <c r="E1062">
        <f>IF(AND(C1062="2027",OR(D1062="V01",D1062="V02",D1062="V03")),1,0)</f>
        <v/>
      </c>
      <c r="F1062">
        <f>IF(E1062=1,SUMIFS(Compta!$F$2:$F$675,Compta!$A$2:$A$675,A1062,Compta!$B$2:$B$675,B1062,Compta!$C$2:$C$675,"2026"),0)</f>
        <v/>
      </c>
      <c r="G1062">
        <f>IF(D1062="V01",cad!$I$21,IF(D1062="V02",cad!$J$21,cad!$K$21))</f>
        <v/>
      </c>
      <c r="H1062">
        <f>IF(D1062="V01",cad!$I$22,IF(D1062="V02",cad!$J$22,cad!$K$22))</f>
        <v/>
      </c>
      <c r="I1062">
        <f>IF(D1062="V01",cad!$I$27,IF(D1062="V02",cad!$J$27,cad!$K$27))</f>
        <v/>
      </c>
      <c r="J1062">
        <f>IF(D1062="V01",cad!$I$28,IF(D1062="V02",cad!$J$28,cad!$K$28))</f>
        <v/>
      </c>
      <c r="K1062">
        <f>IF(D1062="V01",cad!$I$29,IF(D1062="V02",cad!$J$29,cad!$K$29))</f>
        <v/>
      </c>
      <c r="L1062">
        <f>IF(D1062="V01",cad!$I$30,IF(D1062="V02",cad!$J$30,cad!$K$30))</f>
        <v/>
      </c>
      <c r="M1062">
        <f>IF(D1062="V01",cad!$I$31,IF(D1062="V02",cad!$J$31,cad!$K$31))</f>
        <v/>
      </c>
      <c r="N1062">
        <f>IF(D1062="V01",$R$2,IF(D1062="V02",$R$3,$R$4))</f>
        <v/>
      </c>
      <c r="O1062">
        <f>IF(OR(B1062="7062",B1062="706",B1062="708"),N1062,IF(B1062="6231",1+G1062,IF(B1062="6236",1+H1062,IF(OR(B1062="621",B1062="604",B1062="6063"),N1062*(1-L1062),IF(OR(B1062="6411",B1062="6413",B1062="6414",B1062="645"),(1+J1062)*(1+K1062),IF(OR(B1062="613",B1062="615",B1062="616",B1062="6226",B1062="625",B1062="626",B1062="6281"),(1+I1062)*(1-L1062)*(1+M1062),IF(OR(B1062="6331",B1062="63511",B1062="6333"),(1+I1062)*(1-L1062),IF(B1062="6811",1+I1062,1))))))))</f>
        <v/>
      </c>
      <c r="P1062">
        <f>IF(E1062=1,F1062*O1062,"")</f>
        <v/>
      </c>
    </row>
    <row r="1063">
      <c r="A1063">
        <f>PNL!A1063</f>
        <v/>
      </c>
      <c r="B1063">
        <f>PNL!B1063</f>
        <v/>
      </c>
      <c r="C1063">
        <f>PNL!C1063</f>
        <v/>
      </c>
      <c r="D1063">
        <f>PNL!D1063</f>
        <v/>
      </c>
      <c r="E1063">
        <f>IF(AND(C1063="2027",OR(D1063="V01",D1063="V02",D1063="V03")),1,0)</f>
        <v/>
      </c>
      <c r="F1063">
        <f>IF(E1063=1,SUMIFS(Compta!$F$2:$F$675,Compta!$A$2:$A$675,A1063,Compta!$B$2:$B$675,B1063,Compta!$C$2:$C$675,"2026"),0)</f>
        <v/>
      </c>
      <c r="G1063">
        <f>IF(D1063="V01",cad!$I$21,IF(D1063="V02",cad!$J$21,cad!$K$21))</f>
        <v/>
      </c>
      <c r="H1063">
        <f>IF(D1063="V01",cad!$I$22,IF(D1063="V02",cad!$J$22,cad!$K$22))</f>
        <v/>
      </c>
      <c r="I1063">
        <f>IF(D1063="V01",cad!$I$27,IF(D1063="V02",cad!$J$27,cad!$K$27))</f>
        <v/>
      </c>
      <c r="J1063">
        <f>IF(D1063="V01",cad!$I$28,IF(D1063="V02",cad!$J$28,cad!$K$28))</f>
        <v/>
      </c>
      <c r="K1063">
        <f>IF(D1063="V01",cad!$I$29,IF(D1063="V02",cad!$J$29,cad!$K$29))</f>
        <v/>
      </c>
      <c r="L1063">
        <f>IF(D1063="V01",cad!$I$30,IF(D1063="V02",cad!$J$30,cad!$K$30))</f>
        <v/>
      </c>
      <c r="M1063">
        <f>IF(D1063="V01",cad!$I$31,IF(D1063="V02",cad!$J$31,cad!$K$31))</f>
        <v/>
      </c>
      <c r="N1063">
        <f>IF(D1063="V01",$R$2,IF(D1063="V02",$R$3,$R$4))</f>
        <v/>
      </c>
      <c r="O1063">
        <f>IF(OR(B1063="7062",B1063="706",B1063="708"),N1063,IF(B1063="6231",1+G1063,IF(B1063="6236",1+H1063,IF(OR(B1063="621",B1063="604",B1063="6063"),N1063*(1-L1063),IF(OR(B1063="6411",B1063="6413",B1063="6414",B1063="645"),(1+J1063)*(1+K1063),IF(OR(B1063="613",B1063="615",B1063="616",B1063="6226",B1063="625",B1063="626",B1063="6281"),(1+I1063)*(1-L1063)*(1+M1063),IF(OR(B1063="6331",B1063="63511",B1063="6333"),(1+I1063)*(1-L1063),IF(B1063="6811",1+I1063,1))))))))</f>
        <v/>
      </c>
      <c r="P1063">
        <f>IF(E1063=1,F1063*O1063,"")</f>
        <v/>
      </c>
    </row>
    <row r="1064">
      <c r="A1064">
        <f>PNL!A1064</f>
        <v/>
      </c>
      <c r="B1064">
        <f>PNL!B1064</f>
        <v/>
      </c>
      <c r="C1064">
        <f>PNL!C1064</f>
        <v/>
      </c>
      <c r="D1064">
        <f>PNL!D1064</f>
        <v/>
      </c>
      <c r="E1064">
        <f>IF(AND(C1064="2027",OR(D1064="V01",D1064="V02",D1064="V03")),1,0)</f>
        <v/>
      </c>
      <c r="F1064">
        <f>IF(E1064=1,SUMIFS(Compta!$F$2:$F$675,Compta!$A$2:$A$675,A1064,Compta!$B$2:$B$675,B1064,Compta!$C$2:$C$675,"2026"),0)</f>
        <v/>
      </c>
      <c r="G1064">
        <f>IF(D1064="V01",cad!$I$21,IF(D1064="V02",cad!$J$21,cad!$K$21))</f>
        <v/>
      </c>
      <c r="H1064">
        <f>IF(D1064="V01",cad!$I$22,IF(D1064="V02",cad!$J$22,cad!$K$22))</f>
        <v/>
      </c>
      <c r="I1064">
        <f>IF(D1064="V01",cad!$I$27,IF(D1064="V02",cad!$J$27,cad!$K$27))</f>
        <v/>
      </c>
      <c r="J1064">
        <f>IF(D1064="V01",cad!$I$28,IF(D1064="V02",cad!$J$28,cad!$K$28))</f>
        <v/>
      </c>
      <c r="K1064">
        <f>IF(D1064="V01",cad!$I$29,IF(D1064="V02",cad!$J$29,cad!$K$29))</f>
        <v/>
      </c>
      <c r="L1064">
        <f>IF(D1064="V01",cad!$I$30,IF(D1064="V02",cad!$J$30,cad!$K$30))</f>
        <v/>
      </c>
      <c r="M1064">
        <f>IF(D1064="V01",cad!$I$31,IF(D1064="V02",cad!$J$31,cad!$K$31))</f>
        <v/>
      </c>
      <c r="N1064">
        <f>IF(D1064="V01",$R$2,IF(D1064="V02",$R$3,$R$4))</f>
        <v/>
      </c>
      <c r="O1064">
        <f>IF(OR(B1064="7062",B1064="706",B1064="708"),N1064,IF(B1064="6231",1+G1064,IF(B1064="6236",1+H1064,IF(OR(B1064="621",B1064="604",B1064="6063"),N1064*(1-L1064),IF(OR(B1064="6411",B1064="6413",B1064="6414",B1064="645"),(1+J1064)*(1+K1064),IF(OR(B1064="613",B1064="615",B1064="616",B1064="6226",B1064="625",B1064="626",B1064="6281"),(1+I1064)*(1-L1064)*(1+M1064),IF(OR(B1064="6331",B1064="63511",B1064="6333"),(1+I1064)*(1-L1064),IF(B1064="6811",1+I1064,1))))))))</f>
        <v/>
      </c>
      <c r="P1064">
        <f>IF(E1064=1,F1064*O1064,"")</f>
        <v/>
      </c>
    </row>
    <row r="1065">
      <c r="A1065">
        <f>PNL!A1065</f>
        <v/>
      </c>
      <c r="B1065">
        <f>PNL!B1065</f>
        <v/>
      </c>
      <c r="C1065">
        <f>PNL!C1065</f>
        <v/>
      </c>
      <c r="D1065">
        <f>PNL!D1065</f>
        <v/>
      </c>
      <c r="E1065">
        <f>IF(AND(C1065="2027",OR(D1065="V01",D1065="V02",D1065="V03")),1,0)</f>
        <v/>
      </c>
      <c r="F1065">
        <f>IF(E1065=1,SUMIFS(Compta!$F$2:$F$675,Compta!$A$2:$A$675,A1065,Compta!$B$2:$B$675,B1065,Compta!$C$2:$C$675,"2026"),0)</f>
        <v/>
      </c>
      <c r="G1065">
        <f>IF(D1065="V01",cad!$I$21,IF(D1065="V02",cad!$J$21,cad!$K$21))</f>
        <v/>
      </c>
      <c r="H1065">
        <f>IF(D1065="V01",cad!$I$22,IF(D1065="V02",cad!$J$22,cad!$K$22))</f>
        <v/>
      </c>
      <c r="I1065">
        <f>IF(D1065="V01",cad!$I$27,IF(D1065="V02",cad!$J$27,cad!$K$27))</f>
        <v/>
      </c>
      <c r="J1065">
        <f>IF(D1065="V01",cad!$I$28,IF(D1065="V02",cad!$J$28,cad!$K$28))</f>
        <v/>
      </c>
      <c r="K1065">
        <f>IF(D1065="V01",cad!$I$29,IF(D1065="V02",cad!$J$29,cad!$K$29))</f>
        <v/>
      </c>
      <c r="L1065">
        <f>IF(D1065="V01",cad!$I$30,IF(D1065="V02",cad!$J$30,cad!$K$30))</f>
        <v/>
      </c>
      <c r="M1065">
        <f>IF(D1065="V01",cad!$I$31,IF(D1065="V02",cad!$J$31,cad!$K$31))</f>
        <v/>
      </c>
      <c r="N1065">
        <f>IF(D1065="V01",$R$2,IF(D1065="V02",$R$3,$R$4))</f>
        <v/>
      </c>
      <c r="O1065">
        <f>IF(OR(B1065="7062",B1065="706",B1065="708"),N1065,IF(B1065="6231",1+G1065,IF(B1065="6236",1+H1065,IF(OR(B1065="621",B1065="604",B1065="6063"),N1065*(1-L1065),IF(OR(B1065="6411",B1065="6413",B1065="6414",B1065="645"),(1+J1065)*(1+K1065),IF(OR(B1065="613",B1065="615",B1065="616",B1065="6226",B1065="625",B1065="626",B1065="6281"),(1+I1065)*(1-L1065)*(1+M1065),IF(OR(B1065="6331",B1065="63511",B1065="6333"),(1+I1065)*(1-L1065),IF(B1065="6811",1+I1065,1))))))))</f>
        <v/>
      </c>
      <c r="P1065">
        <f>IF(E1065=1,F1065*O1065,"")</f>
        <v/>
      </c>
    </row>
    <row r="1066">
      <c r="A1066">
        <f>PNL!A1066</f>
        <v/>
      </c>
      <c r="B1066">
        <f>PNL!B1066</f>
        <v/>
      </c>
      <c r="C1066">
        <f>PNL!C1066</f>
        <v/>
      </c>
      <c r="D1066">
        <f>PNL!D1066</f>
        <v/>
      </c>
      <c r="E1066">
        <f>IF(AND(C1066="2027",OR(D1066="V01",D1066="V02",D1066="V03")),1,0)</f>
        <v/>
      </c>
      <c r="F1066">
        <f>IF(E1066=1,SUMIFS(Compta!$F$2:$F$675,Compta!$A$2:$A$675,A1066,Compta!$B$2:$B$675,B1066,Compta!$C$2:$C$675,"2026"),0)</f>
        <v/>
      </c>
      <c r="G1066">
        <f>IF(D1066="V01",cad!$I$21,IF(D1066="V02",cad!$J$21,cad!$K$21))</f>
        <v/>
      </c>
      <c r="H1066">
        <f>IF(D1066="V01",cad!$I$22,IF(D1066="V02",cad!$J$22,cad!$K$22))</f>
        <v/>
      </c>
      <c r="I1066">
        <f>IF(D1066="V01",cad!$I$27,IF(D1066="V02",cad!$J$27,cad!$K$27))</f>
        <v/>
      </c>
      <c r="J1066">
        <f>IF(D1066="V01",cad!$I$28,IF(D1066="V02",cad!$J$28,cad!$K$28))</f>
        <v/>
      </c>
      <c r="K1066">
        <f>IF(D1066="V01",cad!$I$29,IF(D1066="V02",cad!$J$29,cad!$K$29))</f>
        <v/>
      </c>
      <c r="L1066">
        <f>IF(D1066="V01",cad!$I$30,IF(D1066="V02",cad!$J$30,cad!$K$30))</f>
        <v/>
      </c>
      <c r="M1066">
        <f>IF(D1066="V01",cad!$I$31,IF(D1066="V02",cad!$J$31,cad!$K$31))</f>
        <v/>
      </c>
      <c r="N1066">
        <f>IF(D1066="V01",$R$2,IF(D1066="V02",$R$3,$R$4))</f>
        <v/>
      </c>
      <c r="O1066">
        <f>IF(OR(B1066="7062",B1066="706",B1066="708"),N1066,IF(B1066="6231",1+G1066,IF(B1066="6236",1+H1066,IF(OR(B1066="621",B1066="604",B1066="6063"),N1066*(1-L1066),IF(OR(B1066="6411",B1066="6413",B1066="6414",B1066="645"),(1+J1066)*(1+K1066),IF(OR(B1066="613",B1066="615",B1066="616",B1066="6226",B1066="625",B1066="626",B1066="6281"),(1+I1066)*(1-L1066)*(1+M1066),IF(OR(B1066="6331",B1066="63511",B1066="6333"),(1+I1066)*(1-L1066),IF(B1066="6811",1+I1066,1))))))))</f>
        <v/>
      </c>
      <c r="P1066">
        <f>IF(E1066=1,F1066*O1066,"")</f>
        <v/>
      </c>
    </row>
    <row r="1067">
      <c r="A1067">
        <f>PNL!A1067</f>
        <v/>
      </c>
      <c r="B1067">
        <f>PNL!B1067</f>
        <v/>
      </c>
      <c r="C1067">
        <f>PNL!C1067</f>
        <v/>
      </c>
      <c r="D1067">
        <f>PNL!D1067</f>
        <v/>
      </c>
      <c r="E1067">
        <f>IF(AND(C1067="2027",OR(D1067="V01",D1067="V02",D1067="V03")),1,0)</f>
        <v/>
      </c>
      <c r="F1067">
        <f>IF(E1067=1,SUMIFS(Compta!$F$2:$F$675,Compta!$A$2:$A$675,A1067,Compta!$B$2:$B$675,B1067,Compta!$C$2:$C$675,"2026"),0)</f>
        <v/>
      </c>
      <c r="G1067">
        <f>IF(D1067="V01",cad!$I$21,IF(D1067="V02",cad!$J$21,cad!$K$21))</f>
        <v/>
      </c>
      <c r="H1067">
        <f>IF(D1067="V01",cad!$I$22,IF(D1067="V02",cad!$J$22,cad!$K$22))</f>
        <v/>
      </c>
      <c r="I1067">
        <f>IF(D1067="V01",cad!$I$27,IF(D1067="V02",cad!$J$27,cad!$K$27))</f>
        <v/>
      </c>
      <c r="J1067">
        <f>IF(D1067="V01",cad!$I$28,IF(D1067="V02",cad!$J$28,cad!$K$28))</f>
        <v/>
      </c>
      <c r="K1067">
        <f>IF(D1067="V01",cad!$I$29,IF(D1067="V02",cad!$J$29,cad!$K$29))</f>
        <v/>
      </c>
      <c r="L1067">
        <f>IF(D1067="V01",cad!$I$30,IF(D1067="V02",cad!$J$30,cad!$K$30))</f>
        <v/>
      </c>
      <c r="M1067">
        <f>IF(D1067="V01",cad!$I$31,IF(D1067="V02",cad!$J$31,cad!$K$31))</f>
        <v/>
      </c>
      <c r="N1067">
        <f>IF(D1067="V01",$R$2,IF(D1067="V02",$R$3,$R$4))</f>
        <v/>
      </c>
      <c r="O1067">
        <f>IF(OR(B1067="7062",B1067="706",B1067="708"),N1067,IF(B1067="6231",1+G1067,IF(B1067="6236",1+H1067,IF(OR(B1067="621",B1067="604",B1067="6063"),N1067*(1-L1067),IF(OR(B1067="6411",B1067="6413",B1067="6414",B1067="645"),(1+J1067)*(1+K1067),IF(OR(B1067="613",B1067="615",B1067="616",B1067="6226",B1067="625",B1067="626",B1067="6281"),(1+I1067)*(1-L1067)*(1+M1067),IF(OR(B1067="6331",B1067="63511",B1067="6333"),(1+I1067)*(1-L1067),IF(B1067="6811",1+I1067,1))))))))</f>
        <v/>
      </c>
      <c r="P1067">
        <f>IF(E1067=1,F1067*O1067,"")</f>
        <v/>
      </c>
    </row>
    <row r="1068">
      <c r="A1068">
        <f>PNL!A1068</f>
        <v/>
      </c>
      <c r="B1068">
        <f>PNL!B1068</f>
        <v/>
      </c>
      <c r="C1068">
        <f>PNL!C1068</f>
        <v/>
      </c>
      <c r="D1068">
        <f>PNL!D1068</f>
        <v/>
      </c>
      <c r="E1068">
        <f>IF(AND(C1068="2027",OR(D1068="V01",D1068="V02",D1068="V03")),1,0)</f>
        <v/>
      </c>
      <c r="F1068">
        <f>IF(E1068=1,SUMIFS(Compta!$F$2:$F$675,Compta!$A$2:$A$675,A1068,Compta!$B$2:$B$675,B1068,Compta!$C$2:$C$675,"2026"),0)</f>
        <v/>
      </c>
      <c r="G1068">
        <f>IF(D1068="V01",cad!$I$21,IF(D1068="V02",cad!$J$21,cad!$K$21))</f>
        <v/>
      </c>
      <c r="H1068">
        <f>IF(D1068="V01",cad!$I$22,IF(D1068="V02",cad!$J$22,cad!$K$22))</f>
        <v/>
      </c>
      <c r="I1068">
        <f>IF(D1068="V01",cad!$I$27,IF(D1068="V02",cad!$J$27,cad!$K$27))</f>
        <v/>
      </c>
      <c r="J1068">
        <f>IF(D1068="V01",cad!$I$28,IF(D1068="V02",cad!$J$28,cad!$K$28))</f>
        <v/>
      </c>
      <c r="K1068">
        <f>IF(D1068="V01",cad!$I$29,IF(D1068="V02",cad!$J$29,cad!$K$29))</f>
        <v/>
      </c>
      <c r="L1068">
        <f>IF(D1068="V01",cad!$I$30,IF(D1068="V02",cad!$J$30,cad!$K$30))</f>
        <v/>
      </c>
      <c r="M1068">
        <f>IF(D1068="V01",cad!$I$31,IF(D1068="V02",cad!$J$31,cad!$K$31))</f>
        <v/>
      </c>
      <c r="N1068">
        <f>IF(D1068="V01",$R$2,IF(D1068="V02",$R$3,$R$4))</f>
        <v/>
      </c>
      <c r="O1068">
        <f>IF(OR(B1068="7062",B1068="706",B1068="708"),N1068,IF(B1068="6231",1+G1068,IF(B1068="6236",1+H1068,IF(OR(B1068="621",B1068="604",B1068="6063"),N1068*(1-L1068),IF(OR(B1068="6411",B1068="6413",B1068="6414",B1068="645"),(1+J1068)*(1+K1068),IF(OR(B1068="613",B1068="615",B1068="616",B1068="6226",B1068="625",B1068="626",B1068="6281"),(1+I1068)*(1-L1068)*(1+M1068),IF(OR(B1068="6331",B1068="63511",B1068="6333"),(1+I1068)*(1-L1068),IF(B1068="6811",1+I1068,1))))))))</f>
        <v/>
      </c>
      <c r="P1068">
        <f>IF(E1068=1,F1068*O1068,"")</f>
        <v/>
      </c>
    </row>
    <row r="1069">
      <c r="A1069">
        <f>PNL!A1069</f>
        <v/>
      </c>
      <c r="B1069">
        <f>PNL!B1069</f>
        <v/>
      </c>
      <c r="C1069">
        <f>PNL!C1069</f>
        <v/>
      </c>
      <c r="D1069">
        <f>PNL!D1069</f>
        <v/>
      </c>
      <c r="E1069">
        <f>IF(AND(C1069="2027",OR(D1069="V01",D1069="V02",D1069="V03")),1,0)</f>
        <v/>
      </c>
      <c r="F1069">
        <f>IF(E1069=1,SUMIFS(Compta!$F$2:$F$675,Compta!$A$2:$A$675,A1069,Compta!$B$2:$B$675,B1069,Compta!$C$2:$C$675,"2026"),0)</f>
        <v/>
      </c>
      <c r="G1069">
        <f>IF(D1069="V01",cad!$I$21,IF(D1069="V02",cad!$J$21,cad!$K$21))</f>
        <v/>
      </c>
      <c r="H1069">
        <f>IF(D1069="V01",cad!$I$22,IF(D1069="V02",cad!$J$22,cad!$K$22))</f>
        <v/>
      </c>
      <c r="I1069">
        <f>IF(D1069="V01",cad!$I$27,IF(D1069="V02",cad!$J$27,cad!$K$27))</f>
        <v/>
      </c>
      <c r="J1069">
        <f>IF(D1069="V01",cad!$I$28,IF(D1069="V02",cad!$J$28,cad!$K$28))</f>
        <v/>
      </c>
      <c r="K1069">
        <f>IF(D1069="V01",cad!$I$29,IF(D1069="V02",cad!$J$29,cad!$K$29))</f>
        <v/>
      </c>
      <c r="L1069">
        <f>IF(D1069="V01",cad!$I$30,IF(D1069="V02",cad!$J$30,cad!$K$30))</f>
        <v/>
      </c>
      <c r="M1069">
        <f>IF(D1069="V01",cad!$I$31,IF(D1069="V02",cad!$J$31,cad!$K$31))</f>
        <v/>
      </c>
      <c r="N1069">
        <f>IF(D1069="V01",$R$2,IF(D1069="V02",$R$3,$R$4))</f>
        <v/>
      </c>
      <c r="O1069">
        <f>IF(OR(B1069="7062",B1069="706",B1069="708"),N1069,IF(B1069="6231",1+G1069,IF(B1069="6236",1+H1069,IF(OR(B1069="621",B1069="604",B1069="6063"),N1069*(1-L1069),IF(OR(B1069="6411",B1069="6413",B1069="6414",B1069="645"),(1+J1069)*(1+K1069),IF(OR(B1069="613",B1069="615",B1069="616",B1069="6226",B1069="625",B1069="626",B1069="6281"),(1+I1069)*(1-L1069)*(1+M1069),IF(OR(B1069="6331",B1069="63511",B1069="6333"),(1+I1069)*(1-L1069),IF(B1069="6811",1+I1069,1))))))))</f>
        <v/>
      </c>
      <c r="P1069">
        <f>IF(E1069=1,F1069*O1069,"")</f>
        <v/>
      </c>
    </row>
    <row r="1070">
      <c r="A1070">
        <f>PNL!A1070</f>
        <v/>
      </c>
      <c r="B1070">
        <f>PNL!B1070</f>
        <v/>
      </c>
      <c r="C1070">
        <f>PNL!C1070</f>
        <v/>
      </c>
      <c r="D1070">
        <f>PNL!D1070</f>
        <v/>
      </c>
      <c r="E1070">
        <f>IF(AND(C1070="2027",OR(D1070="V01",D1070="V02",D1070="V03")),1,0)</f>
        <v/>
      </c>
      <c r="F1070">
        <f>IF(E1070=1,SUMIFS(Compta!$F$2:$F$675,Compta!$A$2:$A$675,A1070,Compta!$B$2:$B$675,B1070,Compta!$C$2:$C$675,"2026"),0)</f>
        <v/>
      </c>
      <c r="G1070">
        <f>IF(D1070="V01",cad!$I$21,IF(D1070="V02",cad!$J$21,cad!$K$21))</f>
        <v/>
      </c>
      <c r="H1070">
        <f>IF(D1070="V01",cad!$I$22,IF(D1070="V02",cad!$J$22,cad!$K$22))</f>
        <v/>
      </c>
      <c r="I1070">
        <f>IF(D1070="V01",cad!$I$27,IF(D1070="V02",cad!$J$27,cad!$K$27))</f>
        <v/>
      </c>
      <c r="J1070">
        <f>IF(D1070="V01",cad!$I$28,IF(D1070="V02",cad!$J$28,cad!$K$28))</f>
        <v/>
      </c>
      <c r="K1070">
        <f>IF(D1070="V01",cad!$I$29,IF(D1070="V02",cad!$J$29,cad!$K$29))</f>
        <v/>
      </c>
      <c r="L1070">
        <f>IF(D1070="V01",cad!$I$30,IF(D1070="V02",cad!$J$30,cad!$K$30))</f>
        <v/>
      </c>
      <c r="M1070">
        <f>IF(D1070="V01",cad!$I$31,IF(D1070="V02",cad!$J$31,cad!$K$31))</f>
        <v/>
      </c>
      <c r="N1070">
        <f>IF(D1070="V01",$R$2,IF(D1070="V02",$R$3,$R$4))</f>
        <v/>
      </c>
      <c r="O1070">
        <f>IF(OR(B1070="7062",B1070="706",B1070="708"),N1070,IF(B1070="6231",1+G1070,IF(B1070="6236",1+H1070,IF(OR(B1070="621",B1070="604",B1070="6063"),N1070*(1-L1070),IF(OR(B1070="6411",B1070="6413",B1070="6414",B1070="645"),(1+J1070)*(1+K1070),IF(OR(B1070="613",B1070="615",B1070="616",B1070="6226",B1070="625",B1070="626",B1070="6281"),(1+I1070)*(1-L1070)*(1+M1070),IF(OR(B1070="6331",B1070="63511",B1070="6333"),(1+I1070)*(1-L1070),IF(B1070="6811",1+I1070,1))))))))</f>
        <v/>
      </c>
      <c r="P1070">
        <f>IF(E1070=1,F1070*O1070,"")</f>
        <v/>
      </c>
    </row>
    <row r="1071">
      <c r="A1071">
        <f>PNL!A1071</f>
        <v/>
      </c>
      <c r="B1071">
        <f>PNL!B1071</f>
        <v/>
      </c>
      <c r="C1071">
        <f>PNL!C1071</f>
        <v/>
      </c>
      <c r="D1071">
        <f>PNL!D1071</f>
        <v/>
      </c>
      <c r="E1071">
        <f>IF(AND(C1071="2027",OR(D1071="V01",D1071="V02",D1071="V03")),1,0)</f>
        <v/>
      </c>
      <c r="F1071">
        <f>IF(E1071=1,SUMIFS(Compta!$F$2:$F$675,Compta!$A$2:$A$675,A1071,Compta!$B$2:$B$675,B1071,Compta!$C$2:$C$675,"2026"),0)</f>
        <v/>
      </c>
      <c r="G1071">
        <f>IF(D1071="V01",cad!$I$21,IF(D1071="V02",cad!$J$21,cad!$K$21))</f>
        <v/>
      </c>
      <c r="H1071">
        <f>IF(D1071="V01",cad!$I$22,IF(D1071="V02",cad!$J$22,cad!$K$22))</f>
        <v/>
      </c>
      <c r="I1071">
        <f>IF(D1071="V01",cad!$I$27,IF(D1071="V02",cad!$J$27,cad!$K$27))</f>
        <v/>
      </c>
      <c r="J1071">
        <f>IF(D1071="V01",cad!$I$28,IF(D1071="V02",cad!$J$28,cad!$K$28))</f>
        <v/>
      </c>
      <c r="K1071">
        <f>IF(D1071="V01",cad!$I$29,IF(D1071="V02",cad!$J$29,cad!$K$29))</f>
        <v/>
      </c>
      <c r="L1071">
        <f>IF(D1071="V01",cad!$I$30,IF(D1071="V02",cad!$J$30,cad!$K$30))</f>
        <v/>
      </c>
      <c r="M1071">
        <f>IF(D1071="V01",cad!$I$31,IF(D1071="V02",cad!$J$31,cad!$K$31))</f>
        <v/>
      </c>
      <c r="N1071">
        <f>IF(D1071="V01",$R$2,IF(D1071="V02",$R$3,$R$4))</f>
        <v/>
      </c>
      <c r="O1071">
        <f>IF(OR(B1071="7062",B1071="706",B1071="708"),N1071,IF(B1071="6231",1+G1071,IF(B1071="6236",1+H1071,IF(OR(B1071="621",B1071="604",B1071="6063"),N1071*(1-L1071),IF(OR(B1071="6411",B1071="6413",B1071="6414",B1071="645"),(1+J1071)*(1+K1071),IF(OR(B1071="613",B1071="615",B1071="616",B1071="6226",B1071="625",B1071="626",B1071="6281"),(1+I1071)*(1-L1071)*(1+M1071),IF(OR(B1071="6331",B1071="63511",B1071="6333"),(1+I1071)*(1-L1071),IF(B1071="6811",1+I1071,1))))))))</f>
        <v/>
      </c>
      <c r="P1071">
        <f>IF(E1071=1,F1071*O1071,"")</f>
        <v/>
      </c>
    </row>
    <row r="1072">
      <c r="A1072">
        <f>PNL!A1072</f>
        <v/>
      </c>
      <c r="B1072">
        <f>PNL!B1072</f>
        <v/>
      </c>
      <c r="C1072">
        <f>PNL!C1072</f>
        <v/>
      </c>
      <c r="D1072">
        <f>PNL!D1072</f>
        <v/>
      </c>
      <c r="E1072">
        <f>IF(AND(C1072="2027",OR(D1072="V01",D1072="V02",D1072="V03")),1,0)</f>
        <v/>
      </c>
      <c r="F1072">
        <f>IF(E1072=1,SUMIFS(Compta!$F$2:$F$675,Compta!$A$2:$A$675,A1072,Compta!$B$2:$B$675,B1072,Compta!$C$2:$C$675,"2026"),0)</f>
        <v/>
      </c>
      <c r="G1072">
        <f>IF(D1072="V01",cad!$I$21,IF(D1072="V02",cad!$J$21,cad!$K$21))</f>
        <v/>
      </c>
      <c r="H1072">
        <f>IF(D1072="V01",cad!$I$22,IF(D1072="V02",cad!$J$22,cad!$K$22))</f>
        <v/>
      </c>
      <c r="I1072">
        <f>IF(D1072="V01",cad!$I$27,IF(D1072="V02",cad!$J$27,cad!$K$27))</f>
        <v/>
      </c>
      <c r="J1072">
        <f>IF(D1072="V01",cad!$I$28,IF(D1072="V02",cad!$J$28,cad!$K$28))</f>
        <v/>
      </c>
      <c r="K1072">
        <f>IF(D1072="V01",cad!$I$29,IF(D1072="V02",cad!$J$29,cad!$K$29))</f>
        <v/>
      </c>
      <c r="L1072">
        <f>IF(D1072="V01",cad!$I$30,IF(D1072="V02",cad!$J$30,cad!$K$30))</f>
        <v/>
      </c>
      <c r="M1072">
        <f>IF(D1072="V01",cad!$I$31,IF(D1072="V02",cad!$J$31,cad!$K$31))</f>
        <v/>
      </c>
      <c r="N1072">
        <f>IF(D1072="V01",$R$2,IF(D1072="V02",$R$3,$R$4))</f>
        <v/>
      </c>
      <c r="O1072">
        <f>IF(OR(B1072="7062",B1072="706",B1072="708"),N1072,IF(B1072="6231",1+G1072,IF(B1072="6236",1+H1072,IF(OR(B1072="621",B1072="604",B1072="6063"),N1072*(1-L1072),IF(OR(B1072="6411",B1072="6413",B1072="6414",B1072="645"),(1+J1072)*(1+K1072),IF(OR(B1072="613",B1072="615",B1072="616",B1072="6226",B1072="625",B1072="626",B1072="6281"),(1+I1072)*(1-L1072)*(1+M1072),IF(OR(B1072="6331",B1072="63511",B1072="6333"),(1+I1072)*(1-L1072),IF(B1072="6811",1+I1072,1))))))))</f>
        <v/>
      </c>
      <c r="P1072">
        <f>IF(E1072=1,F1072*O1072,"")</f>
        <v/>
      </c>
    </row>
    <row r="1073">
      <c r="A1073">
        <f>PNL!A1073</f>
        <v/>
      </c>
      <c r="B1073">
        <f>PNL!B1073</f>
        <v/>
      </c>
      <c r="C1073">
        <f>PNL!C1073</f>
        <v/>
      </c>
      <c r="D1073">
        <f>PNL!D1073</f>
        <v/>
      </c>
      <c r="E1073">
        <f>IF(AND(C1073="2027",OR(D1073="V01",D1073="V02",D1073="V03")),1,0)</f>
        <v/>
      </c>
      <c r="F1073">
        <f>IF(E1073=1,SUMIFS(Compta!$F$2:$F$675,Compta!$A$2:$A$675,A1073,Compta!$B$2:$B$675,B1073,Compta!$C$2:$C$675,"2026"),0)</f>
        <v/>
      </c>
      <c r="G1073">
        <f>IF(D1073="V01",cad!$I$21,IF(D1073="V02",cad!$J$21,cad!$K$21))</f>
        <v/>
      </c>
      <c r="H1073">
        <f>IF(D1073="V01",cad!$I$22,IF(D1073="V02",cad!$J$22,cad!$K$22))</f>
        <v/>
      </c>
      <c r="I1073">
        <f>IF(D1073="V01",cad!$I$27,IF(D1073="V02",cad!$J$27,cad!$K$27))</f>
        <v/>
      </c>
      <c r="J1073">
        <f>IF(D1073="V01",cad!$I$28,IF(D1073="V02",cad!$J$28,cad!$K$28))</f>
        <v/>
      </c>
      <c r="K1073">
        <f>IF(D1073="V01",cad!$I$29,IF(D1073="V02",cad!$J$29,cad!$K$29))</f>
        <v/>
      </c>
      <c r="L1073">
        <f>IF(D1073="V01",cad!$I$30,IF(D1073="V02",cad!$J$30,cad!$K$30))</f>
        <v/>
      </c>
      <c r="M1073">
        <f>IF(D1073="V01",cad!$I$31,IF(D1073="V02",cad!$J$31,cad!$K$31))</f>
        <v/>
      </c>
      <c r="N1073">
        <f>IF(D1073="V01",$R$2,IF(D1073="V02",$R$3,$R$4))</f>
        <v/>
      </c>
      <c r="O1073">
        <f>IF(OR(B1073="7062",B1073="706",B1073="708"),N1073,IF(B1073="6231",1+G1073,IF(B1073="6236",1+H1073,IF(OR(B1073="621",B1073="604",B1073="6063"),N1073*(1-L1073),IF(OR(B1073="6411",B1073="6413",B1073="6414",B1073="645"),(1+J1073)*(1+K1073),IF(OR(B1073="613",B1073="615",B1073="616",B1073="6226",B1073="625",B1073="626",B1073="6281"),(1+I1073)*(1-L1073)*(1+M1073),IF(OR(B1073="6331",B1073="63511",B1073="6333"),(1+I1073)*(1-L1073),IF(B1073="6811",1+I1073,1))))))))</f>
        <v/>
      </c>
      <c r="P1073">
        <f>IF(E1073=1,F1073*O1073,"")</f>
        <v/>
      </c>
    </row>
    <row r="1074">
      <c r="A1074">
        <f>PNL!A1074</f>
        <v/>
      </c>
      <c r="B1074">
        <f>PNL!B1074</f>
        <v/>
      </c>
      <c r="C1074">
        <f>PNL!C1074</f>
        <v/>
      </c>
      <c r="D1074">
        <f>PNL!D1074</f>
        <v/>
      </c>
      <c r="E1074">
        <f>IF(AND(C1074="2027",OR(D1074="V01",D1074="V02",D1074="V03")),1,0)</f>
        <v/>
      </c>
      <c r="F1074">
        <f>IF(E1074=1,SUMIFS(Compta!$F$2:$F$675,Compta!$A$2:$A$675,A1074,Compta!$B$2:$B$675,B1074,Compta!$C$2:$C$675,"2026"),0)</f>
        <v/>
      </c>
      <c r="G1074">
        <f>IF(D1074="V01",cad!$I$21,IF(D1074="V02",cad!$J$21,cad!$K$21))</f>
        <v/>
      </c>
      <c r="H1074">
        <f>IF(D1074="V01",cad!$I$22,IF(D1074="V02",cad!$J$22,cad!$K$22))</f>
        <v/>
      </c>
      <c r="I1074">
        <f>IF(D1074="V01",cad!$I$27,IF(D1074="V02",cad!$J$27,cad!$K$27))</f>
        <v/>
      </c>
      <c r="J1074">
        <f>IF(D1074="V01",cad!$I$28,IF(D1074="V02",cad!$J$28,cad!$K$28))</f>
        <v/>
      </c>
      <c r="K1074">
        <f>IF(D1074="V01",cad!$I$29,IF(D1074="V02",cad!$J$29,cad!$K$29))</f>
        <v/>
      </c>
      <c r="L1074">
        <f>IF(D1074="V01",cad!$I$30,IF(D1074="V02",cad!$J$30,cad!$K$30))</f>
        <v/>
      </c>
      <c r="M1074">
        <f>IF(D1074="V01",cad!$I$31,IF(D1074="V02",cad!$J$31,cad!$K$31))</f>
        <v/>
      </c>
      <c r="N1074">
        <f>IF(D1074="V01",$R$2,IF(D1074="V02",$R$3,$R$4))</f>
        <v/>
      </c>
      <c r="O1074">
        <f>IF(OR(B1074="7062",B1074="706",B1074="708"),N1074,IF(B1074="6231",1+G1074,IF(B1074="6236",1+H1074,IF(OR(B1074="621",B1074="604",B1074="6063"),N1074*(1-L1074),IF(OR(B1074="6411",B1074="6413",B1074="6414",B1074="645"),(1+J1074)*(1+K1074),IF(OR(B1074="613",B1074="615",B1074="616",B1074="6226",B1074="625",B1074="626",B1074="6281"),(1+I1074)*(1-L1074)*(1+M1074),IF(OR(B1074="6331",B1074="63511",B1074="6333"),(1+I1074)*(1-L1074),IF(B1074="6811",1+I1074,1))))))))</f>
        <v/>
      </c>
      <c r="P1074">
        <f>IF(E1074=1,F1074*O1074,"")</f>
        <v/>
      </c>
    </row>
    <row r="1075">
      <c r="A1075">
        <f>PNL!A1075</f>
        <v/>
      </c>
      <c r="B1075">
        <f>PNL!B1075</f>
        <v/>
      </c>
      <c r="C1075">
        <f>PNL!C1075</f>
        <v/>
      </c>
      <c r="D1075">
        <f>PNL!D1075</f>
        <v/>
      </c>
      <c r="E1075">
        <f>IF(AND(C1075="2027",OR(D1075="V01",D1075="V02",D1075="V03")),1,0)</f>
        <v/>
      </c>
      <c r="F1075">
        <f>IF(E1075=1,SUMIFS(Compta!$F$2:$F$675,Compta!$A$2:$A$675,A1075,Compta!$B$2:$B$675,B1075,Compta!$C$2:$C$675,"2026"),0)</f>
        <v/>
      </c>
      <c r="G1075">
        <f>IF(D1075="V01",cad!$I$21,IF(D1075="V02",cad!$J$21,cad!$K$21))</f>
        <v/>
      </c>
      <c r="H1075">
        <f>IF(D1075="V01",cad!$I$22,IF(D1075="V02",cad!$J$22,cad!$K$22))</f>
        <v/>
      </c>
      <c r="I1075">
        <f>IF(D1075="V01",cad!$I$27,IF(D1075="V02",cad!$J$27,cad!$K$27))</f>
        <v/>
      </c>
      <c r="J1075">
        <f>IF(D1075="V01",cad!$I$28,IF(D1075="V02",cad!$J$28,cad!$K$28))</f>
        <v/>
      </c>
      <c r="K1075">
        <f>IF(D1075="V01",cad!$I$29,IF(D1075="V02",cad!$J$29,cad!$K$29))</f>
        <v/>
      </c>
      <c r="L1075">
        <f>IF(D1075="V01",cad!$I$30,IF(D1075="V02",cad!$J$30,cad!$K$30))</f>
        <v/>
      </c>
      <c r="M1075">
        <f>IF(D1075="V01",cad!$I$31,IF(D1075="V02",cad!$J$31,cad!$K$31))</f>
        <v/>
      </c>
      <c r="N1075">
        <f>IF(D1075="V01",$R$2,IF(D1075="V02",$R$3,$R$4))</f>
        <v/>
      </c>
      <c r="O1075">
        <f>IF(OR(B1075="7062",B1075="706",B1075="708"),N1075,IF(B1075="6231",1+G1075,IF(B1075="6236",1+H1075,IF(OR(B1075="621",B1075="604",B1075="6063"),N1075*(1-L1075),IF(OR(B1075="6411",B1075="6413",B1075="6414",B1075="645"),(1+J1075)*(1+K1075),IF(OR(B1075="613",B1075="615",B1075="616",B1075="6226",B1075="625",B1075="626",B1075="6281"),(1+I1075)*(1-L1075)*(1+M1075),IF(OR(B1075="6331",B1075="63511",B1075="6333"),(1+I1075)*(1-L1075),IF(B1075="6811",1+I1075,1))))))))</f>
        <v/>
      </c>
      <c r="P1075">
        <f>IF(E1075=1,F1075*O1075,"")</f>
        <v/>
      </c>
    </row>
    <row r="1076">
      <c r="A1076">
        <f>PNL!A1076</f>
        <v/>
      </c>
      <c r="B1076">
        <f>PNL!B1076</f>
        <v/>
      </c>
      <c r="C1076">
        <f>PNL!C1076</f>
        <v/>
      </c>
      <c r="D1076">
        <f>PNL!D1076</f>
        <v/>
      </c>
      <c r="E1076">
        <f>IF(AND(C1076="2027",OR(D1076="V01",D1076="V02",D1076="V03")),1,0)</f>
        <v/>
      </c>
      <c r="F1076">
        <f>IF(E1076=1,SUMIFS(Compta!$F$2:$F$675,Compta!$A$2:$A$675,A1076,Compta!$B$2:$B$675,B1076,Compta!$C$2:$C$675,"2026"),0)</f>
        <v/>
      </c>
      <c r="G1076">
        <f>IF(D1076="V01",cad!$I$21,IF(D1076="V02",cad!$J$21,cad!$K$21))</f>
        <v/>
      </c>
      <c r="H1076">
        <f>IF(D1076="V01",cad!$I$22,IF(D1076="V02",cad!$J$22,cad!$K$22))</f>
        <v/>
      </c>
      <c r="I1076">
        <f>IF(D1076="V01",cad!$I$27,IF(D1076="V02",cad!$J$27,cad!$K$27))</f>
        <v/>
      </c>
      <c r="J1076">
        <f>IF(D1076="V01",cad!$I$28,IF(D1076="V02",cad!$J$28,cad!$K$28))</f>
        <v/>
      </c>
      <c r="K1076">
        <f>IF(D1076="V01",cad!$I$29,IF(D1076="V02",cad!$J$29,cad!$K$29))</f>
        <v/>
      </c>
      <c r="L1076">
        <f>IF(D1076="V01",cad!$I$30,IF(D1076="V02",cad!$J$30,cad!$K$30))</f>
        <v/>
      </c>
      <c r="M1076">
        <f>IF(D1076="V01",cad!$I$31,IF(D1076="V02",cad!$J$31,cad!$K$31))</f>
        <v/>
      </c>
      <c r="N1076">
        <f>IF(D1076="V01",$R$2,IF(D1076="V02",$R$3,$R$4))</f>
        <v/>
      </c>
      <c r="O1076">
        <f>IF(OR(B1076="7062",B1076="706",B1076="708"),N1076,IF(B1076="6231",1+G1076,IF(B1076="6236",1+H1076,IF(OR(B1076="621",B1076="604",B1076="6063"),N1076*(1-L1076),IF(OR(B1076="6411",B1076="6413",B1076="6414",B1076="645"),(1+J1076)*(1+K1076),IF(OR(B1076="613",B1076="615",B1076="616",B1076="6226",B1076="625",B1076="626",B1076="6281"),(1+I1076)*(1-L1076)*(1+M1076),IF(OR(B1076="6331",B1076="63511",B1076="6333"),(1+I1076)*(1-L1076),IF(B1076="6811",1+I1076,1))))))))</f>
        <v/>
      </c>
      <c r="P1076">
        <f>IF(E1076=1,F1076*O1076,"")</f>
        <v/>
      </c>
    </row>
    <row r="1077">
      <c r="A1077">
        <f>PNL!A1077</f>
        <v/>
      </c>
      <c r="B1077">
        <f>PNL!B1077</f>
        <v/>
      </c>
      <c r="C1077">
        <f>PNL!C1077</f>
        <v/>
      </c>
      <c r="D1077">
        <f>PNL!D1077</f>
        <v/>
      </c>
      <c r="E1077">
        <f>IF(AND(C1077="2027",OR(D1077="V01",D1077="V02",D1077="V03")),1,0)</f>
        <v/>
      </c>
      <c r="F1077">
        <f>IF(E1077=1,SUMIFS(Compta!$F$2:$F$675,Compta!$A$2:$A$675,A1077,Compta!$B$2:$B$675,B1077,Compta!$C$2:$C$675,"2026"),0)</f>
        <v/>
      </c>
      <c r="G1077">
        <f>IF(D1077="V01",cad!$I$21,IF(D1077="V02",cad!$J$21,cad!$K$21))</f>
        <v/>
      </c>
      <c r="H1077">
        <f>IF(D1077="V01",cad!$I$22,IF(D1077="V02",cad!$J$22,cad!$K$22))</f>
        <v/>
      </c>
      <c r="I1077">
        <f>IF(D1077="V01",cad!$I$27,IF(D1077="V02",cad!$J$27,cad!$K$27))</f>
        <v/>
      </c>
      <c r="J1077">
        <f>IF(D1077="V01",cad!$I$28,IF(D1077="V02",cad!$J$28,cad!$K$28))</f>
        <v/>
      </c>
      <c r="K1077">
        <f>IF(D1077="V01",cad!$I$29,IF(D1077="V02",cad!$J$29,cad!$K$29))</f>
        <v/>
      </c>
      <c r="L1077">
        <f>IF(D1077="V01",cad!$I$30,IF(D1077="V02",cad!$J$30,cad!$K$30))</f>
        <v/>
      </c>
      <c r="M1077">
        <f>IF(D1077="V01",cad!$I$31,IF(D1077="V02",cad!$J$31,cad!$K$31))</f>
        <v/>
      </c>
      <c r="N1077">
        <f>IF(D1077="V01",$R$2,IF(D1077="V02",$R$3,$R$4))</f>
        <v/>
      </c>
      <c r="O1077">
        <f>IF(OR(B1077="7062",B1077="706",B1077="708"),N1077,IF(B1077="6231",1+G1077,IF(B1077="6236",1+H1077,IF(OR(B1077="621",B1077="604",B1077="6063"),N1077*(1-L1077),IF(OR(B1077="6411",B1077="6413",B1077="6414",B1077="645"),(1+J1077)*(1+K1077),IF(OR(B1077="613",B1077="615",B1077="616",B1077="6226",B1077="625",B1077="626",B1077="6281"),(1+I1077)*(1-L1077)*(1+M1077),IF(OR(B1077="6331",B1077="63511",B1077="6333"),(1+I1077)*(1-L1077),IF(B1077="6811",1+I1077,1))))))))</f>
        <v/>
      </c>
      <c r="P1077">
        <f>IF(E1077=1,F1077*O1077,"")</f>
        <v/>
      </c>
    </row>
    <row r="1078">
      <c r="A1078">
        <f>PNL!A1078</f>
        <v/>
      </c>
      <c r="B1078">
        <f>PNL!B1078</f>
        <v/>
      </c>
      <c r="C1078">
        <f>PNL!C1078</f>
        <v/>
      </c>
      <c r="D1078">
        <f>PNL!D1078</f>
        <v/>
      </c>
      <c r="E1078">
        <f>IF(AND(C1078="2027",OR(D1078="V01",D1078="V02",D1078="V03")),1,0)</f>
        <v/>
      </c>
      <c r="F1078">
        <f>IF(E1078=1,SUMIFS(Compta!$F$2:$F$675,Compta!$A$2:$A$675,A1078,Compta!$B$2:$B$675,B1078,Compta!$C$2:$C$675,"2026"),0)</f>
        <v/>
      </c>
      <c r="G1078">
        <f>IF(D1078="V01",cad!$I$21,IF(D1078="V02",cad!$J$21,cad!$K$21))</f>
        <v/>
      </c>
      <c r="H1078">
        <f>IF(D1078="V01",cad!$I$22,IF(D1078="V02",cad!$J$22,cad!$K$22))</f>
        <v/>
      </c>
      <c r="I1078">
        <f>IF(D1078="V01",cad!$I$27,IF(D1078="V02",cad!$J$27,cad!$K$27))</f>
        <v/>
      </c>
      <c r="J1078">
        <f>IF(D1078="V01",cad!$I$28,IF(D1078="V02",cad!$J$28,cad!$K$28))</f>
        <v/>
      </c>
      <c r="K1078">
        <f>IF(D1078="V01",cad!$I$29,IF(D1078="V02",cad!$J$29,cad!$K$29))</f>
        <v/>
      </c>
      <c r="L1078">
        <f>IF(D1078="V01",cad!$I$30,IF(D1078="V02",cad!$J$30,cad!$K$30))</f>
        <v/>
      </c>
      <c r="M1078">
        <f>IF(D1078="V01",cad!$I$31,IF(D1078="V02",cad!$J$31,cad!$K$31))</f>
        <v/>
      </c>
      <c r="N1078">
        <f>IF(D1078="V01",$R$2,IF(D1078="V02",$R$3,$R$4))</f>
        <v/>
      </c>
      <c r="O1078">
        <f>IF(OR(B1078="7062",B1078="706",B1078="708"),N1078,IF(B1078="6231",1+G1078,IF(B1078="6236",1+H1078,IF(OR(B1078="621",B1078="604",B1078="6063"),N1078*(1-L1078),IF(OR(B1078="6411",B1078="6413",B1078="6414",B1078="645"),(1+J1078)*(1+K1078),IF(OR(B1078="613",B1078="615",B1078="616",B1078="6226",B1078="625",B1078="626",B1078="6281"),(1+I1078)*(1-L1078)*(1+M1078),IF(OR(B1078="6331",B1078="63511",B1078="6333"),(1+I1078)*(1-L1078),IF(B1078="6811",1+I1078,1))))))))</f>
        <v/>
      </c>
      <c r="P1078">
        <f>IF(E1078=1,F1078*O1078,"")</f>
        <v/>
      </c>
    </row>
    <row r="1079">
      <c r="A1079">
        <f>PNL!A1079</f>
        <v/>
      </c>
      <c r="B1079">
        <f>PNL!B1079</f>
        <v/>
      </c>
      <c r="C1079">
        <f>PNL!C1079</f>
        <v/>
      </c>
      <c r="D1079">
        <f>PNL!D1079</f>
        <v/>
      </c>
      <c r="E1079">
        <f>IF(AND(C1079="2027",OR(D1079="V01",D1079="V02",D1079="V03")),1,0)</f>
        <v/>
      </c>
      <c r="F1079">
        <f>IF(E1079=1,SUMIFS(Compta!$F$2:$F$675,Compta!$A$2:$A$675,A1079,Compta!$B$2:$B$675,B1079,Compta!$C$2:$C$675,"2026"),0)</f>
        <v/>
      </c>
      <c r="G1079">
        <f>IF(D1079="V01",cad!$I$21,IF(D1079="V02",cad!$J$21,cad!$K$21))</f>
        <v/>
      </c>
      <c r="H1079">
        <f>IF(D1079="V01",cad!$I$22,IF(D1079="V02",cad!$J$22,cad!$K$22))</f>
        <v/>
      </c>
      <c r="I1079">
        <f>IF(D1079="V01",cad!$I$27,IF(D1079="V02",cad!$J$27,cad!$K$27))</f>
        <v/>
      </c>
      <c r="J1079">
        <f>IF(D1079="V01",cad!$I$28,IF(D1079="V02",cad!$J$28,cad!$K$28))</f>
        <v/>
      </c>
      <c r="K1079">
        <f>IF(D1079="V01",cad!$I$29,IF(D1079="V02",cad!$J$29,cad!$K$29))</f>
        <v/>
      </c>
      <c r="L1079">
        <f>IF(D1079="V01",cad!$I$30,IF(D1079="V02",cad!$J$30,cad!$K$30))</f>
        <v/>
      </c>
      <c r="M1079">
        <f>IF(D1079="V01",cad!$I$31,IF(D1079="V02",cad!$J$31,cad!$K$31))</f>
        <v/>
      </c>
      <c r="N1079">
        <f>IF(D1079="V01",$R$2,IF(D1079="V02",$R$3,$R$4))</f>
        <v/>
      </c>
      <c r="O1079">
        <f>IF(OR(B1079="7062",B1079="706",B1079="708"),N1079,IF(B1079="6231",1+G1079,IF(B1079="6236",1+H1079,IF(OR(B1079="621",B1079="604",B1079="6063"),N1079*(1-L1079),IF(OR(B1079="6411",B1079="6413",B1079="6414",B1079="645"),(1+J1079)*(1+K1079),IF(OR(B1079="613",B1079="615",B1079="616",B1079="6226",B1079="625",B1079="626",B1079="6281"),(1+I1079)*(1-L1079)*(1+M1079),IF(OR(B1079="6331",B1079="63511",B1079="6333"),(1+I1079)*(1-L1079),IF(B1079="6811",1+I1079,1))))))))</f>
        <v/>
      </c>
      <c r="P1079">
        <f>IF(E1079=1,F1079*O1079,"")</f>
        <v/>
      </c>
    </row>
    <row r="1080">
      <c r="A1080">
        <f>PNL!A1080</f>
        <v/>
      </c>
      <c r="B1080">
        <f>PNL!B1080</f>
        <v/>
      </c>
      <c r="C1080">
        <f>PNL!C1080</f>
        <v/>
      </c>
      <c r="D1080">
        <f>PNL!D1080</f>
        <v/>
      </c>
      <c r="E1080">
        <f>IF(AND(C1080="2027",OR(D1080="V01",D1080="V02",D1080="V03")),1,0)</f>
        <v/>
      </c>
      <c r="F1080">
        <f>IF(E1080=1,SUMIFS(Compta!$F$2:$F$675,Compta!$A$2:$A$675,A1080,Compta!$B$2:$B$675,B1080,Compta!$C$2:$C$675,"2026"),0)</f>
        <v/>
      </c>
      <c r="G1080">
        <f>IF(D1080="V01",cad!$I$21,IF(D1080="V02",cad!$J$21,cad!$K$21))</f>
        <v/>
      </c>
      <c r="H1080">
        <f>IF(D1080="V01",cad!$I$22,IF(D1080="V02",cad!$J$22,cad!$K$22))</f>
        <v/>
      </c>
      <c r="I1080">
        <f>IF(D1080="V01",cad!$I$27,IF(D1080="V02",cad!$J$27,cad!$K$27))</f>
        <v/>
      </c>
      <c r="J1080">
        <f>IF(D1080="V01",cad!$I$28,IF(D1080="V02",cad!$J$28,cad!$K$28))</f>
        <v/>
      </c>
      <c r="K1080">
        <f>IF(D1080="V01",cad!$I$29,IF(D1080="V02",cad!$J$29,cad!$K$29))</f>
        <v/>
      </c>
      <c r="L1080">
        <f>IF(D1080="V01",cad!$I$30,IF(D1080="V02",cad!$J$30,cad!$K$30))</f>
        <v/>
      </c>
      <c r="M1080">
        <f>IF(D1080="V01",cad!$I$31,IF(D1080="V02",cad!$J$31,cad!$K$31))</f>
        <v/>
      </c>
      <c r="N1080">
        <f>IF(D1080="V01",$R$2,IF(D1080="V02",$R$3,$R$4))</f>
        <v/>
      </c>
      <c r="O1080">
        <f>IF(OR(B1080="7062",B1080="706",B1080="708"),N1080,IF(B1080="6231",1+G1080,IF(B1080="6236",1+H1080,IF(OR(B1080="621",B1080="604",B1080="6063"),N1080*(1-L1080),IF(OR(B1080="6411",B1080="6413",B1080="6414",B1080="645"),(1+J1080)*(1+K1080),IF(OR(B1080="613",B1080="615",B1080="616",B1080="6226",B1080="625",B1080="626",B1080="6281"),(1+I1080)*(1-L1080)*(1+M1080),IF(OR(B1080="6331",B1080="63511",B1080="6333"),(1+I1080)*(1-L1080),IF(B1080="6811",1+I1080,1))))))))</f>
        <v/>
      </c>
      <c r="P1080">
        <f>IF(E1080=1,F1080*O1080,"")</f>
        <v/>
      </c>
    </row>
    <row r="1081">
      <c r="A1081">
        <f>PNL!A1081</f>
        <v/>
      </c>
      <c r="B1081">
        <f>PNL!B1081</f>
        <v/>
      </c>
      <c r="C1081">
        <f>PNL!C1081</f>
        <v/>
      </c>
      <c r="D1081">
        <f>PNL!D1081</f>
        <v/>
      </c>
      <c r="E1081">
        <f>IF(AND(C1081="2027",OR(D1081="V01",D1081="V02",D1081="V03")),1,0)</f>
        <v/>
      </c>
      <c r="F1081">
        <f>IF(E1081=1,SUMIFS(Compta!$F$2:$F$675,Compta!$A$2:$A$675,A1081,Compta!$B$2:$B$675,B1081,Compta!$C$2:$C$675,"2026"),0)</f>
        <v/>
      </c>
      <c r="G1081">
        <f>IF(D1081="V01",cad!$I$21,IF(D1081="V02",cad!$J$21,cad!$K$21))</f>
        <v/>
      </c>
      <c r="H1081">
        <f>IF(D1081="V01",cad!$I$22,IF(D1081="V02",cad!$J$22,cad!$K$22))</f>
        <v/>
      </c>
      <c r="I1081">
        <f>IF(D1081="V01",cad!$I$27,IF(D1081="V02",cad!$J$27,cad!$K$27))</f>
        <v/>
      </c>
      <c r="J1081">
        <f>IF(D1081="V01",cad!$I$28,IF(D1081="V02",cad!$J$28,cad!$K$28))</f>
        <v/>
      </c>
      <c r="K1081">
        <f>IF(D1081="V01",cad!$I$29,IF(D1081="V02",cad!$J$29,cad!$K$29))</f>
        <v/>
      </c>
      <c r="L1081">
        <f>IF(D1081="V01",cad!$I$30,IF(D1081="V02",cad!$J$30,cad!$K$30))</f>
        <v/>
      </c>
      <c r="M1081">
        <f>IF(D1081="V01",cad!$I$31,IF(D1081="V02",cad!$J$31,cad!$K$31))</f>
        <v/>
      </c>
      <c r="N1081">
        <f>IF(D1081="V01",$R$2,IF(D1081="V02",$R$3,$R$4))</f>
        <v/>
      </c>
      <c r="O1081">
        <f>IF(OR(B1081="7062",B1081="706",B1081="708"),N1081,IF(B1081="6231",1+G1081,IF(B1081="6236",1+H1081,IF(OR(B1081="621",B1081="604",B1081="6063"),N1081*(1-L1081),IF(OR(B1081="6411",B1081="6413",B1081="6414",B1081="645"),(1+J1081)*(1+K1081),IF(OR(B1081="613",B1081="615",B1081="616",B1081="6226",B1081="625",B1081="626",B1081="6281"),(1+I1081)*(1-L1081)*(1+M1081),IF(OR(B1081="6331",B1081="63511",B1081="6333"),(1+I1081)*(1-L1081),IF(B1081="6811",1+I1081,1))))))))</f>
        <v/>
      </c>
      <c r="P1081">
        <f>IF(E1081=1,F1081*O1081,"")</f>
        <v/>
      </c>
    </row>
    <row r="1082">
      <c r="A1082">
        <f>PNL!A1082</f>
        <v/>
      </c>
      <c r="B1082">
        <f>PNL!B1082</f>
        <v/>
      </c>
      <c r="C1082">
        <f>PNL!C1082</f>
        <v/>
      </c>
      <c r="D1082">
        <f>PNL!D1082</f>
        <v/>
      </c>
      <c r="E1082">
        <f>IF(AND(C1082="2027",OR(D1082="V01",D1082="V02",D1082="V03")),1,0)</f>
        <v/>
      </c>
      <c r="F1082">
        <f>IF(E1082=1,SUMIFS(Compta!$F$2:$F$675,Compta!$A$2:$A$675,A1082,Compta!$B$2:$B$675,B1082,Compta!$C$2:$C$675,"2026"),0)</f>
        <v/>
      </c>
      <c r="G1082">
        <f>IF(D1082="V01",cad!$I$21,IF(D1082="V02",cad!$J$21,cad!$K$21))</f>
        <v/>
      </c>
      <c r="H1082">
        <f>IF(D1082="V01",cad!$I$22,IF(D1082="V02",cad!$J$22,cad!$K$22))</f>
        <v/>
      </c>
      <c r="I1082">
        <f>IF(D1082="V01",cad!$I$27,IF(D1082="V02",cad!$J$27,cad!$K$27))</f>
        <v/>
      </c>
      <c r="J1082">
        <f>IF(D1082="V01",cad!$I$28,IF(D1082="V02",cad!$J$28,cad!$K$28))</f>
        <v/>
      </c>
      <c r="K1082">
        <f>IF(D1082="V01",cad!$I$29,IF(D1082="V02",cad!$J$29,cad!$K$29))</f>
        <v/>
      </c>
      <c r="L1082">
        <f>IF(D1082="V01",cad!$I$30,IF(D1082="V02",cad!$J$30,cad!$K$30))</f>
        <v/>
      </c>
      <c r="M1082">
        <f>IF(D1082="V01",cad!$I$31,IF(D1082="V02",cad!$J$31,cad!$K$31))</f>
        <v/>
      </c>
      <c r="N1082">
        <f>IF(D1082="V01",$R$2,IF(D1082="V02",$R$3,$R$4))</f>
        <v/>
      </c>
      <c r="O1082">
        <f>IF(OR(B1082="7062",B1082="706",B1082="708"),N1082,IF(B1082="6231",1+G1082,IF(B1082="6236",1+H1082,IF(OR(B1082="621",B1082="604",B1082="6063"),N1082*(1-L1082),IF(OR(B1082="6411",B1082="6413",B1082="6414",B1082="645"),(1+J1082)*(1+K1082),IF(OR(B1082="613",B1082="615",B1082="616",B1082="6226",B1082="625",B1082="626",B1082="6281"),(1+I1082)*(1-L1082)*(1+M1082),IF(OR(B1082="6331",B1082="63511",B1082="6333"),(1+I1082)*(1-L1082),IF(B1082="6811",1+I1082,1))))))))</f>
        <v/>
      </c>
      <c r="P1082">
        <f>IF(E1082=1,F1082*O1082,"")</f>
        <v/>
      </c>
    </row>
    <row r="1083">
      <c r="A1083">
        <f>PNL!A1083</f>
        <v/>
      </c>
      <c r="B1083">
        <f>PNL!B1083</f>
        <v/>
      </c>
      <c r="C1083">
        <f>PNL!C1083</f>
        <v/>
      </c>
      <c r="D1083">
        <f>PNL!D1083</f>
        <v/>
      </c>
      <c r="E1083">
        <f>IF(AND(C1083="2027",OR(D1083="V01",D1083="V02",D1083="V03")),1,0)</f>
        <v/>
      </c>
      <c r="F1083">
        <f>IF(E1083=1,SUMIFS(Compta!$F$2:$F$675,Compta!$A$2:$A$675,A1083,Compta!$B$2:$B$675,B1083,Compta!$C$2:$C$675,"2026"),0)</f>
        <v/>
      </c>
      <c r="G1083">
        <f>IF(D1083="V01",cad!$I$21,IF(D1083="V02",cad!$J$21,cad!$K$21))</f>
        <v/>
      </c>
      <c r="H1083">
        <f>IF(D1083="V01",cad!$I$22,IF(D1083="V02",cad!$J$22,cad!$K$22))</f>
        <v/>
      </c>
      <c r="I1083">
        <f>IF(D1083="V01",cad!$I$27,IF(D1083="V02",cad!$J$27,cad!$K$27))</f>
        <v/>
      </c>
      <c r="J1083">
        <f>IF(D1083="V01",cad!$I$28,IF(D1083="V02",cad!$J$28,cad!$K$28))</f>
        <v/>
      </c>
      <c r="K1083">
        <f>IF(D1083="V01",cad!$I$29,IF(D1083="V02",cad!$J$29,cad!$K$29))</f>
        <v/>
      </c>
      <c r="L1083">
        <f>IF(D1083="V01",cad!$I$30,IF(D1083="V02",cad!$J$30,cad!$K$30))</f>
        <v/>
      </c>
      <c r="M1083">
        <f>IF(D1083="V01",cad!$I$31,IF(D1083="V02",cad!$J$31,cad!$K$31))</f>
        <v/>
      </c>
      <c r="N1083">
        <f>IF(D1083="V01",$R$2,IF(D1083="V02",$R$3,$R$4))</f>
        <v/>
      </c>
      <c r="O1083">
        <f>IF(OR(B1083="7062",B1083="706",B1083="708"),N1083,IF(B1083="6231",1+G1083,IF(B1083="6236",1+H1083,IF(OR(B1083="621",B1083="604",B1083="6063"),N1083*(1-L1083),IF(OR(B1083="6411",B1083="6413",B1083="6414",B1083="645"),(1+J1083)*(1+K1083),IF(OR(B1083="613",B1083="615",B1083="616",B1083="6226",B1083="625",B1083="626",B1083="6281"),(1+I1083)*(1-L1083)*(1+M1083),IF(OR(B1083="6331",B1083="63511",B1083="6333"),(1+I1083)*(1-L1083),IF(B1083="6811",1+I1083,1))))))))</f>
        <v/>
      </c>
      <c r="P1083">
        <f>IF(E1083=1,F1083*O1083,"")</f>
        <v/>
      </c>
    </row>
    <row r="1084">
      <c r="A1084">
        <f>PNL!A1084</f>
        <v/>
      </c>
      <c r="B1084">
        <f>PNL!B1084</f>
        <v/>
      </c>
      <c r="C1084">
        <f>PNL!C1084</f>
        <v/>
      </c>
      <c r="D1084">
        <f>PNL!D1084</f>
        <v/>
      </c>
      <c r="E1084">
        <f>IF(AND(C1084="2027",OR(D1084="V01",D1084="V02",D1084="V03")),1,0)</f>
        <v/>
      </c>
      <c r="F1084">
        <f>IF(E1084=1,SUMIFS(Compta!$F$2:$F$675,Compta!$A$2:$A$675,A1084,Compta!$B$2:$B$675,B1084,Compta!$C$2:$C$675,"2026"),0)</f>
        <v/>
      </c>
      <c r="G1084">
        <f>IF(D1084="V01",cad!$I$21,IF(D1084="V02",cad!$J$21,cad!$K$21))</f>
        <v/>
      </c>
      <c r="H1084">
        <f>IF(D1084="V01",cad!$I$22,IF(D1084="V02",cad!$J$22,cad!$K$22))</f>
        <v/>
      </c>
      <c r="I1084">
        <f>IF(D1084="V01",cad!$I$27,IF(D1084="V02",cad!$J$27,cad!$K$27))</f>
        <v/>
      </c>
      <c r="J1084">
        <f>IF(D1084="V01",cad!$I$28,IF(D1084="V02",cad!$J$28,cad!$K$28))</f>
        <v/>
      </c>
      <c r="K1084">
        <f>IF(D1084="V01",cad!$I$29,IF(D1084="V02",cad!$J$29,cad!$K$29))</f>
        <v/>
      </c>
      <c r="L1084">
        <f>IF(D1084="V01",cad!$I$30,IF(D1084="V02",cad!$J$30,cad!$K$30))</f>
        <v/>
      </c>
      <c r="M1084">
        <f>IF(D1084="V01",cad!$I$31,IF(D1084="V02",cad!$J$31,cad!$K$31))</f>
        <v/>
      </c>
      <c r="N1084">
        <f>IF(D1084="V01",$R$2,IF(D1084="V02",$R$3,$R$4))</f>
        <v/>
      </c>
      <c r="O1084">
        <f>IF(OR(B1084="7062",B1084="706",B1084="708"),N1084,IF(B1084="6231",1+G1084,IF(B1084="6236",1+H1084,IF(OR(B1084="621",B1084="604",B1084="6063"),N1084*(1-L1084),IF(OR(B1084="6411",B1084="6413",B1084="6414",B1084="645"),(1+J1084)*(1+K1084),IF(OR(B1084="613",B1084="615",B1084="616",B1084="6226",B1084="625",B1084="626",B1084="6281"),(1+I1084)*(1-L1084)*(1+M1084),IF(OR(B1084="6331",B1084="63511",B1084="6333"),(1+I1084)*(1-L1084),IF(B1084="6811",1+I1084,1))))))))</f>
        <v/>
      </c>
      <c r="P1084">
        <f>IF(E1084=1,F1084*O1084,"")</f>
        <v/>
      </c>
    </row>
    <row r="1085">
      <c r="A1085">
        <f>PNL!A1085</f>
        <v/>
      </c>
      <c r="B1085">
        <f>PNL!B1085</f>
        <v/>
      </c>
      <c r="C1085">
        <f>PNL!C1085</f>
        <v/>
      </c>
      <c r="D1085">
        <f>PNL!D1085</f>
        <v/>
      </c>
      <c r="E1085">
        <f>IF(AND(C1085="2027",OR(D1085="V01",D1085="V02",D1085="V03")),1,0)</f>
        <v/>
      </c>
      <c r="F1085">
        <f>IF(E1085=1,SUMIFS(Compta!$F$2:$F$675,Compta!$A$2:$A$675,A1085,Compta!$B$2:$B$675,B1085,Compta!$C$2:$C$675,"2026"),0)</f>
        <v/>
      </c>
      <c r="G1085">
        <f>IF(D1085="V01",cad!$I$21,IF(D1085="V02",cad!$J$21,cad!$K$21))</f>
        <v/>
      </c>
      <c r="H1085">
        <f>IF(D1085="V01",cad!$I$22,IF(D1085="V02",cad!$J$22,cad!$K$22))</f>
        <v/>
      </c>
      <c r="I1085">
        <f>IF(D1085="V01",cad!$I$27,IF(D1085="V02",cad!$J$27,cad!$K$27))</f>
        <v/>
      </c>
      <c r="J1085">
        <f>IF(D1085="V01",cad!$I$28,IF(D1085="V02",cad!$J$28,cad!$K$28))</f>
        <v/>
      </c>
      <c r="K1085">
        <f>IF(D1085="V01",cad!$I$29,IF(D1085="V02",cad!$J$29,cad!$K$29))</f>
        <v/>
      </c>
      <c r="L1085">
        <f>IF(D1085="V01",cad!$I$30,IF(D1085="V02",cad!$J$30,cad!$K$30))</f>
        <v/>
      </c>
      <c r="M1085">
        <f>IF(D1085="V01",cad!$I$31,IF(D1085="V02",cad!$J$31,cad!$K$31))</f>
        <v/>
      </c>
      <c r="N1085">
        <f>IF(D1085="V01",$R$2,IF(D1085="V02",$R$3,$R$4))</f>
        <v/>
      </c>
      <c r="O1085">
        <f>IF(OR(B1085="7062",B1085="706",B1085="708"),N1085,IF(B1085="6231",1+G1085,IF(B1085="6236",1+H1085,IF(OR(B1085="621",B1085="604",B1085="6063"),N1085*(1-L1085),IF(OR(B1085="6411",B1085="6413",B1085="6414",B1085="645"),(1+J1085)*(1+K1085),IF(OR(B1085="613",B1085="615",B1085="616",B1085="6226",B1085="625",B1085="626",B1085="6281"),(1+I1085)*(1-L1085)*(1+M1085),IF(OR(B1085="6331",B1085="63511",B1085="6333"),(1+I1085)*(1-L1085),IF(B1085="6811",1+I1085,1))))))))</f>
        <v/>
      </c>
      <c r="P1085">
        <f>IF(E1085=1,F1085*O1085,"")</f>
        <v/>
      </c>
    </row>
    <row r="1086">
      <c r="A1086">
        <f>PNL!A1086</f>
        <v/>
      </c>
      <c r="B1086">
        <f>PNL!B1086</f>
        <v/>
      </c>
      <c r="C1086">
        <f>PNL!C1086</f>
        <v/>
      </c>
      <c r="D1086">
        <f>PNL!D1086</f>
        <v/>
      </c>
      <c r="E1086">
        <f>IF(AND(C1086="2027",OR(D1086="V01",D1086="V02",D1086="V03")),1,0)</f>
        <v/>
      </c>
      <c r="F1086">
        <f>IF(E1086=1,SUMIFS(Compta!$F$2:$F$675,Compta!$A$2:$A$675,A1086,Compta!$B$2:$B$675,B1086,Compta!$C$2:$C$675,"2026"),0)</f>
        <v/>
      </c>
      <c r="G1086">
        <f>IF(D1086="V01",cad!$I$21,IF(D1086="V02",cad!$J$21,cad!$K$21))</f>
        <v/>
      </c>
      <c r="H1086">
        <f>IF(D1086="V01",cad!$I$22,IF(D1086="V02",cad!$J$22,cad!$K$22))</f>
        <v/>
      </c>
      <c r="I1086">
        <f>IF(D1086="V01",cad!$I$27,IF(D1086="V02",cad!$J$27,cad!$K$27))</f>
        <v/>
      </c>
      <c r="J1086">
        <f>IF(D1086="V01",cad!$I$28,IF(D1086="V02",cad!$J$28,cad!$K$28))</f>
        <v/>
      </c>
      <c r="K1086">
        <f>IF(D1086="V01",cad!$I$29,IF(D1086="V02",cad!$J$29,cad!$K$29))</f>
        <v/>
      </c>
      <c r="L1086">
        <f>IF(D1086="V01",cad!$I$30,IF(D1086="V02",cad!$J$30,cad!$K$30))</f>
        <v/>
      </c>
      <c r="M1086">
        <f>IF(D1086="V01",cad!$I$31,IF(D1086="V02",cad!$J$31,cad!$K$31))</f>
        <v/>
      </c>
      <c r="N1086">
        <f>IF(D1086="V01",$R$2,IF(D1086="V02",$R$3,$R$4))</f>
        <v/>
      </c>
      <c r="O1086">
        <f>IF(OR(B1086="7062",B1086="706",B1086="708"),N1086,IF(B1086="6231",1+G1086,IF(B1086="6236",1+H1086,IF(OR(B1086="621",B1086="604",B1086="6063"),N1086*(1-L1086),IF(OR(B1086="6411",B1086="6413",B1086="6414",B1086="645"),(1+J1086)*(1+K1086),IF(OR(B1086="613",B1086="615",B1086="616",B1086="6226",B1086="625",B1086="626",B1086="6281"),(1+I1086)*(1-L1086)*(1+M1086),IF(OR(B1086="6331",B1086="63511",B1086="6333"),(1+I1086)*(1-L1086),IF(B1086="6811",1+I1086,1))))))))</f>
        <v/>
      </c>
      <c r="P1086">
        <f>IF(E1086=1,F1086*O1086,"")</f>
        <v/>
      </c>
    </row>
    <row r="1087">
      <c r="A1087">
        <f>PNL!A1087</f>
        <v/>
      </c>
      <c r="B1087">
        <f>PNL!B1087</f>
        <v/>
      </c>
      <c r="C1087">
        <f>PNL!C1087</f>
        <v/>
      </c>
      <c r="D1087">
        <f>PNL!D1087</f>
        <v/>
      </c>
      <c r="E1087">
        <f>IF(AND(C1087="2027",OR(D1087="V01",D1087="V02",D1087="V03")),1,0)</f>
        <v/>
      </c>
      <c r="F1087">
        <f>IF(E1087=1,SUMIFS(Compta!$F$2:$F$675,Compta!$A$2:$A$675,A1087,Compta!$B$2:$B$675,B1087,Compta!$C$2:$C$675,"2026"),0)</f>
        <v/>
      </c>
      <c r="G1087">
        <f>IF(D1087="V01",cad!$I$21,IF(D1087="V02",cad!$J$21,cad!$K$21))</f>
        <v/>
      </c>
      <c r="H1087">
        <f>IF(D1087="V01",cad!$I$22,IF(D1087="V02",cad!$J$22,cad!$K$22))</f>
        <v/>
      </c>
      <c r="I1087">
        <f>IF(D1087="V01",cad!$I$27,IF(D1087="V02",cad!$J$27,cad!$K$27))</f>
        <v/>
      </c>
      <c r="J1087">
        <f>IF(D1087="V01",cad!$I$28,IF(D1087="V02",cad!$J$28,cad!$K$28))</f>
        <v/>
      </c>
      <c r="K1087">
        <f>IF(D1087="V01",cad!$I$29,IF(D1087="V02",cad!$J$29,cad!$K$29))</f>
        <v/>
      </c>
      <c r="L1087">
        <f>IF(D1087="V01",cad!$I$30,IF(D1087="V02",cad!$J$30,cad!$K$30))</f>
        <v/>
      </c>
      <c r="M1087">
        <f>IF(D1087="V01",cad!$I$31,IF(D1087="V02",cad!$J$31,cad!$K$31))</f>
        <v/>
      </c>
      <c r="N1087">
        <f>IF(D1087="V01",$R$2,IF(D1087="V02",$R$3,$R$4))</f>
        <v/>
      </c>
      <c r="O1087">
        <f>IF(OR(B1087="7062",B1087="706",B1087="708"),N1087,IF(B1087="6231",1+G1087,IF(B1087="6236",1+H1087,IF(OR(B1087="621",B1087="604",B1087="6063"),N1087*(1-L1087),IF(OR(B1087="6411",B1087="6413",B1087="6414",B1087="645"),(1+J1087)*(1+K1087),IF(OR(B1087="613",B1087="615",B1087="616",B1087="6226",B1087="625",B1087="626",B1087="6281"),(1+I1087)*(1-L1087)*(1+M1087),IF(OR(B1087="6331",B1087="63511",B1087="6333"),(1+I1087)*(1-L1087),IF(B1087="6811",1+I1087,1))))))))</f>
        <v/>
      </c>
      <c r="P1087">
        <f>IF(E1087=1,F1087*O1087,"")</f>
        <v/>
      </c>
    </row>
    <row r="1088">
      <c r="A1088">
        <f>PNL!A1088</f>
        <v/>
      </c>
      <c r="B1088">
        <f>PNL!B1088</f>
        <v/>
      </c>
      <c r="C1088">
        <f>PNL!C1088</f>
        <v/>
      </c>
      <c r="D1088">
        <f>PNL!D1088</f>
        <v/>
      </c>
      <c r="E1088">
        <f>IF(AND(C1088="2027",OR(D1088="V01",D1088="V02",D1088="V03")),1,0)</f>
        <v/>
      </c>
      <c r="F1088">
        <f>IF(E1088=1,SUMIFS(Compta!$F$2:$F$675,Compta!$A$2:$A$675,A1088,Compta!$B$2:$B$675,B1088,Compta!$C$2:$C$675,"2026"),0)</f>
        <v/>
      </c>
      <c r="G1088">
        <f>IF(D1088="V01",cad!$I$21,IF(D1088="V02",cad!$J$21,cad!$K$21))</f>
        <v/>
      </c>
      <c r="H1088">
        <f>IF(D1088="V01",cad!$I$22,IF(D1088="V02",cad!$J$22,cad!$K$22))</f>
        <v/>
      </c>
      <c r="I1088">
        <f>IF(D1088="V01",cad!$I$27,IF(D1088="V02",cad!$J$27,cad!$K$27))</f>
        <v/>
      </c>
      <c r="J1088">
        <f>IF(D1088="V01",cad!$I$28,IF(D1088="V02",cad!$J$28,cad!$K$28))</f>
        <v/>
      </c>
      <c r="K1088">
        <f>IF(D1088="V01",cad!$I$29,IF(D1088="V02",cad!$J$29,cad!$K$29))</f>
        <v/>
      </c>
      <c r="L1088">
        <f>IF(D1088="V01",cad!$I$30,IF(D1088="V02",cad!$J$30,cad!$K$30))</f>
        <v/>
      </c>
      <c r="M1088">
        <f>IF(D1088="V01",cad!$I$31,IF(D1088="V02",cad!$J$31,cad!$K$31))</f>
        <v/>
      </c>
      <c r="N1088">
        <f>IF(D1088="V01",$R$2,IF(D1088="V02",$R$3,$R$4))</f>
        <v/>
      </c>
      <c r="O1088">
        <f>IF(OR(B1088="7062",B1088="706",B1088="708"),N1088,IF(B1088="6231",1+G1088,IF(B1088="6236",1+H1088,IF(OR(B1088="621",B1088="604",B1088="6063"),N1088*(1-L1088),IF(OR(B1088="6411",B1088="6413",B1088="6414",B1088="645"),(1+J1088)*(1+K1088),IF(OR(B1088="613",B1088="615",B1088="616",B1088="6226",B1088="625",B1088="626",B1088="6281"),(1+I1088)*(1-L1088)*(1+M1088),IF(OR(B1088="6331",B1088="63511",B1088="6333"),(1+I1088)*(1-L1088),IF(B1088="6811",1+I1088,1))))))))</f>
        <v/>
      </c>
      <c r="P1088">
        <f>IF(E1088=1,F1088*O1088,"")</f>
        <v/>
      </c>
    </row>
    <row r="1089">
      <c r="A1089">
        <f>PNL!A1089</f>
        <v/>
      </c>
      <c r="B1089">
        <f>PNL!B1089</f>
        <v/>
      </c>
      <c r="C1089">
        <f>PNL!C1089</f>
        <v/>
      </c>
      <c r="D1089">
        <f>PNL!D1089</f>
        <v/>
      </c>
      <c r="E1089">
        <f>IF(AND(C1089="2027",OR(D1089="V01",D1089="V02",D1089="V03")),1,0)</f>
        <v/>
      </c>
      <c r="F1089">
        <f>IF(E1089=1,SUMIFS(Compta!$F$2:$F$675,Compta!$A$2:$A$675,A1089,Compta!$B$2:$B$675,B1089,Compta!$C$2:$C$675,"2026"),0)</f>
        <v/>
      </c>
      <c r="G1089">
        <f>IF(D1089="V01",cad!$I$21,IF(D1089="V02",cad!$J$21,cad!$K$21))</f>
        <v/>
      </c>
      <c r="H1089">
        <f>IF(D1089="V01",cad!$I$22,IF(D1089="V02",cad!$J$22,cad!$K$22))</f>
        <v/>
      </c>
      <c r="I1089">
        <f>IF(D1089="V01",cad!$I$27,IF(D1089="V02",cad!$J$27,cad!$K$27))</f>
        <v/>
      </c>
      <c r="J1089">
        <f>IF(D1089="V01",cad!$I$28,IF(D1089="V02",cad!$J$28,cad!$K$28))</f>
        <v/>
      </c>
      <c r="K1089">
        <f>IF(D1089="V01",cad!$I$29,IF(D1089="V02",cad!$J$29,cad!$K$29))</f>
        <v/>
      </c>
      <c r="L1089">
        <f>IF(D1089="V01",cad!$I$30,IF(D1089="V02",cad!$J$30,cad!$K$30))</f>
        <v/>
      </c>
      <c r="M1089">
        <f>IF(D1089="V01",cad!$I$31,IF(D1089="V02",cad!$J$31,cad!$K$31))</f>
        <v/>
      </c>
      <c r="N1089">
        <f>IF(D1089="V01",$R$2,IF(D1089="V02",$R$3,$R$4))</f>
        <v/>
      </c>
      <c r="O1089">
        <f>IF(OR(B1089="7062",B1089="706",B1089="708"),N1089,IF(B1089="6231",1+G1089,IF(B1089="6236",1+H1089,IF(OR(B1089="621",B1089="604",B1089="6063"),N1089*(1-L1089),IF(OR(B1089="6411",B1089="6413",B1089="6414",B1089="645"),(1+J1089)*(1+K1089),IF(OR(B1089="613",B1089="615",B1089="616",B1089="6226",B1089="625",B1089="626",B1089="6281"),(1+I1089)*(1-L1089)*(1+M1089),IF(OR(B1089="6331",B1089="63511",B1089="6333"),(1+I1089)*(1-L1089),IF(B1089="6811",1+I1089,1))))))))</f>
        <v/>
      </c>
      <c r="P1089">
        <f>IF(E1089=1,F1089*O1089,"")</f>
        <v/>
      </c>
    </row>
    <row r="1090">
      <c r="A1090">
        <f>PNL!A1090</f>
        <v/>
      </c>
      <c r="B1090">
        <f>PNL!B1090</f>
        <v/>
      </c>
      <c r="C1090">
        <f>PNL!C1090</f>
        <v/>
      </c>
      <c r="D1090">
        <f>PNL!D1090</f>
        <v/>
      </c>
      <c r="E1090">
        <f>IF(AND(C1090="2027",OR(D1090="V01",D1090="V02",D1090="V03")),1,0)</f>
        <v/>
      </c>
      <c r="F1090">
        <f>IF(E1090=1,SUMIFS(Compta!$F$2:$F$675,Compta!$A$2:$A$675,A1090,Compta!$B$2:$B$675,B1090,Compta!$C$2:$C$675,"2026"),0)</f>
        <v/>
      </c>
      <c r="G1090">
        <f>IF(D1090="V01",cad!$I$21,IF(D1090="V02",cad!$J$21,cad!$K$21))</f>
        <v/>
      </c>
      <c r="H1090">
        <f>IF(D1090="V01",cad!$I$22,IF(D1090="V02",cad!$J$22,cad!$K$22))</f>
        <v/>
      </c>
      <c r="I1090">
        <f>IF(D1090="V01",cad!$I$27,IF(D1090="V02",cad!$J$27,cad!$K$27))</f>
        <v/>
      </c>
      <c r="J1090">
        <f>IF(D1090="V01",cad!$I$28,IF(D1090="V02",cad!$J$28,cad!$K$28))</f>
        <v/>
      </c>
      <c r="K1090">
        <f>IF(D1090="V01",cad!$I$29,IF(D1090="V02",cad!$J$29,cad!$K$29))</f>
        <v/>
      </c>
      <c r="L1090">
        <f>IF(D1090="V01",cad!$I$30,IF(D1090="V02",cad!$J$30,cad!$K$30))</f>
        <v/>
      </c>
      <c r="M1090">
        <f>IF(D1090="V01",cad!$I$31,IF(D1090="V02",cad!$J$31,cad!$K$31))</f>
        <v/>
      </c>
      <c r="N1090">
        <f>IF(D1090="V01",$R$2,IF(D1090="V02",$R$3,$R$4))</f>
        <v/>
      </c>
      <c r="O1090">
        <f>IF(OR(B1090="7062",B1090="706",B1090="708"),N1090,IF(B1090="6231",1+G1090,IF(B1090="6236",1+H1090,IF(OR(B1090="621",B1090="604",B1090="6063"),N1090*(1-L1090),IF(OR(B1090="6411",B1090="6413",B1090="6414",B1090="645"),(1+J1090)*(1+K1090),IF(OR(B1090="613",B1090="615",B1090="616",B1090="6226",B1090="625",B1090="626",B1090="6281"),(1+I1090)*(1-L1090)*(1+M1090),IF(OR(B1090="6331",B1090="63511",B1090="6333"),(1+I1090)*(1-L1090),IF(B1090="6811",1+I1090,1))))))))</f>
        <v/>
      </c>
      <c r="P1090">
        <f>IF(E1090=1,F1090*O1090,"")</f>
        <v/>
      </c>
    </row>
    <row r="1091">
      <c r="A1091">
        <f>PNL!A1091</f>
        <v/>
      </c>
      <c r="B1091">
        <f>PNL!B1091</f>
        <v/>
      </c>
      <c r="C1091">
        <f>PNL!C1091</f>
        <v/>
      </c>
      <c r="D1091">
        <f>PNL!D1091</f>
        <v/>
      </c>
      <c r="E1091">
        <f>IF(AND(C1091="2027",OR(D1091="V01",D1091="V02",D1091="V03")),1,0)</f>
        <v/>
      </c>
      <c r="F1091">
        <f>IF(E1091=1,SUMIFS(Compta!$F$2:$F$675,Compta!$A$2:$A$675,A1091,Compta!$B$2:$B$675,B1091,Compta!$C$2:$C$675,"2026"),0)</f>
        <v/>
      </c>
      <c r="G1091">
        <f>IF(D1091="V01",cad!$I$21,IF(D1091="V02",cad!$J$21,cad!$K$21))</f>
        <v/>
      </c>
      <c r="H1091">
        <f>IF(D1091="V01",cad!$I$22,IF(D1091="V02",cad!$J$22,cad!$K$22))</f>
        <v/>
      </c>
      <c r="I1091">
        <f>IF(D1091="V01",cad!$I$27,IF(D1091="V02",cad!$J$27,cad!$K$27))</f>
        <v/>
      </c>
      <c r="J1091">
        <f>IF(D1091="V01",cad!$I$28,IF(D1091="V02",cad!$J$28,cad!$K$28))</f>
        <v/>
      </c>
      <c r="K1091">
        <f>IF(D1091="V01",cad!$I$29,IF(D1091="V02",cad!$J$29,cad!$K$29))</f>
        <v/>
      </c>
      <c r="L1091">
        <f>IF(D1091="V01",cad!$I$30,IF(D1091="V02",cad!$J$30,cad!$K$30))</f>
        <v/>
      </c>
      <c r="M1091">
        <f>IF(D1091="V01",cad!$I$31,IF(D1091="V02",cad!$J$31,cad!$K$31))</f>
        <v/>
      </c>
      <c r="N1091">
        <f>IF(D1091="V01",$R$2,IF(D1091="V02",$R$3,$R$4))</f>
        <v/>
      </c>
      <c r="O1091">
        <f>IF(OR(B1091="7062",B1091="706",B1091="708"),N1091,IF(B1091="6231",1+G1091,IF(B1091="6236",1+H1091,IF(OR(B1091="621",B1091="604",B1091="6063"),N1091*(1-L1091),IF(OR(B1091="6411",B1091="6413",B1091="6414",B1091="645"),(1+J1091)*(1+K1091),IF(OR(B1091="613",B1091="615",B1091="616",B1091="6226",B1091="625",B1091="626",B1091="6281"),(1+I1091)*(1-L1091)*(1+M1091),IF(OR(B1091="6331",B1091="63511",B1091="6333"),(1+I1091)*(1-L1091),IF(B1091="6811",1+I1091,1))))))))</f>
        <v/>
      </c>
      <c r="P1091">
        <f>IF(E1091=1,F1091*O1091,"")</f>
        <v/>
      </c>
    </row>
    <row r="1092">
      <c r="A1092">
        <f>PNL!A1092</f>
        <v/>
      </c>
      <c r="B1092">
        <f>PNL!B1092</f>
        <v/>
      </c>
      <c r="C1092">
        <f>PNL!C1092</f>
        <v/>
      </c>
      <c r="D1092">
        <f>PNL!D1092</f>
        <v/>
      </c>
      <c r="E1092">
        <f>IF(AND(C1092="2027",OR(D1092="V01",D1092="V02",D1092="V03")),1,0)</f>
        <v/>
      </c>
      <c r="F1092">
        <f>IF(E1092=1,SUMIFS(Compta!$F$2:$F$675,Compta!$A$2:$A$675,A1092,Compta!$B$2:$B$675,B1092,Compta!$C$2:$C$675,"2026"),0)</f>
        <v/>
      </c>
      <c r="G1092">
        <f>IF(D1092="V01",cad!$I$21,IF(D1092="V02",cad!$J$21,cad!$K$21))</f>
        <v/>
      </c>
      <c r="H1092">
        <f>IF(D1092="V01",cad!$I$22,IF(D1092="V02",cad!$J$22,cad!$K$22))</f>
        <v/>
      </c>
      <c r="I1092">
        <f>IF(D1092="V01",cad!$I$27,IF(D1092="V02",cad!$J$27,cad!$K$27))</f>
        <v/>
      </c>
      <c r="J1092">
        <f>IF(D1092="V01",cad!$I$28,IF(D1092="V02",cad!$J$28,cad!$K$28))</f>
        <v/>
      </c>
      <c r="K1092">
        <f>IF(D1092="V01",cad!$I$29,IF(D1092="V02",cad!$J$29,cad!$K$29))</f>
        <v/>
      </c>
      <c r="L1092">
        <f>IF(D1092="V01",cad!$I$30,IF(D1092="V02",cad!$J$30,cad!$K$30))</f>
        <v/>
      </c>
      <c r="M1092">
        <f>IF(D1092="V01",cad!$I$31,IF(D1092="V02",cad!$J$31,cad!$K$31))</f>
        <v/>
      </c>
      <c r="N1092">
        <f>IF(D1092="V01",$R$2,IF(D1092="V02",$R$3,$R$4))</f>
        <v/>
      </c>
      <c r="O1092">
        <f>IF(OR(B1092="7062",B1092="706",B1092="708"),N1092,IF(B1092="6231",1+G1092,IF(B1092="6236",1+H1092,IF(OR(B1092="621",B1092="604",B1092="6063"),N1092*(1-L1092),IF(OR(B1092="6411",B1092="6413",B1092="6414",B1092="645"),(1+J1092)*(1+K1092),IF(OR(B1092="613",B1092="615",B1092="616",B1092="6226",B1092="625",B1092="626",B1092="6281"),(1+I1092)*(1-L1092)*(1+M1092),IF(OR(B1092="6331",B1092="63511",B1092="6333"),(1+I1092)*(1-L1092),IF(B1092="6811",1+I1092,1))))))))</f>
        <v/>
      </c>
      <c r="P1092">
        <f>IF(E1092=1,F1092*O1092,"")</f>
        <v/>
      </c>
    </row>
    <row r="1093">
      <c r="A1093">
        <f>PNL!A1093</f>
        <v/>
      </c>
      <c r="B1093">
        <f>PNL!B1093</f>
        <v/>
      </c>
      <c r="C1093">
        <f>PNL!C1093</f>
        <v/>
      </c>
      <c r="D1093">
        <f>PNL!D1093</f>
        <v/>
      </c>
      <c r="E1093">
        <f>IF(AND(C1093="2027",OR(D1093="V01",D1093="V02",D1093="V03")),1,0)</f>
        <v/>
      </c>
      <c r="F1093">
        <f>IF(E1093=1,SUMIFS(Compta!$F$2:$F$675,Compta!$A$2:$A$675,A1093,Compta!$B$2:$B$675,B1093,Compta!$C$2:$C$675,"2026"),0)</f>
        <v/>
      </c>
      <c r="G1093">
        <f>IF(D1093="V01",cad!$I$21,IF(D1093="V02",cad!$J$21,cad!$K$21))</f>
        <v/>
      </c>
      <c r="H1093">
        <f>IF(D1093="V01",cad!$I$22,IF(D1093="V02",cad!$J$22,cad!$K$22))</f>
        <v/>
      </c>
      <c r="I1093">
        <f>IF(D1093="V01",cad!$I$27,IF(D1093="V02",cad!$J$27,cad!$K$27))</f>
        <v/>
      </c>
      <c r="J1093">
        <f>IF(D1093="V01",cad!$I$28,IF(D1093="V02",cad!$J$28,cad!$K$28))</f>
        <v/>
      </c>
      <c r="K1093">
        <f>IF(D1093="V01",cad!$I$29,IF(D1093="V02",cad!$J$29,cad!$K$29))</f>
        <v/>
      </c>
      <c r="L1093">
        <f>IF(D1093="V01",cad!$I$30,IF(D1093="V02",cad!$J$30,cad!$K$30))</f>
        <v/>
      </c>
      <c r="M1093">
        <f>IF(D1093="V01",cad!$I$31,IF(D1093="V02",cad!$J$31,cad!$K$31))</f>
        <v/>
      </c>
      <c r="N1093">
        <f>IF(D1093="V01",$R$2,IF(D1093="V02",$R$3,$R$4))</f>
        <v/>
      </c>
      <c r="O1093">
        <f>IF(OR(B1093="7062",B1093="706",B1093="708"),N1093,IF(B1093="6231",1+G1093,IF(B1093="6236",1+H1093,IF(OR(B1093="621",B1093="604",B1093="6063"),N1093*(1-L1093),IF(OR(B1093="6411",B1093="6413",B1093="6414",B1093="645"),(1+J1093)*(1+K1093),IF(OR(B1093="613",B1093="615",B1093="616",B1093="6226",B1093="625",B1093="626",B1093="6281"),(1+I1093)*(1-L1093)*(1+M1093),IF(OR(B1093="6331",B1093="63511",B1093="6333"),(1+I1093)*(1-L1093),IF(B1093="6811",1+I1093,1))))))))</f>
        <v/>
      </c>
      <c r="P1093">
        <f>IF(E1093=1,F1093*O1093,"")</f>
        <v/>
      </c>
    </row>
    <row r="1094">
      <c r="A1094">
        <f>PNL!A1094</f>
        <v/>
      </c>
      <c r="B1094">
        <f>PNL!B1094</f>
        <v/>
      </c>
      <c r="C1094">
        <f>PNL!C1094</f>
        <v/>
      </c>
      <c r="D1094">
        <f>PNL!D1094</f>
        <v/>
      </c>
      <c r="E1094">
        <f>IF(AND(C1094="2027",OR(D1094="V01",D1094="V02",D1094="V03")),1,0)</f>
        <v/>
      </c>
      <c r="F1094">
        <f>IF(E1094=1,SUMIFS(Compta!$F$2:$F$675,Compta!$A$2:$A$675,A1094,Compta!$B$2:$B$675,B1094,Compta!$C$2:$C$675,"2026"),0)</f>
        <v/>
      </c>
      <c r="G1094">
        <f>IF(D1094="V01",cad!$I$21,IF(D1094="V02",cad!$J$21,cad!$K$21))</f>
        <v/>
      </c>
      <c r="H1094">
        <f>IF(D1094="V01",cad!$I$22,IF(D1094="V02",cad!$J$22,cad!$K$22))</f>
        <v/>
      </c>
      <c r="I1094">
        <f>IF(D1094="V01",cad!$I$27,IF(D1094="V02",cad!$J$27,cad!$K$27))</f>
        <v/>
      </c>
      <c r="J1094">
        <f>IF(D1094="V01",cad!$I$28,IF(D1094="V02",cad!$J$28,cad!$K$28))</f>
        <v/>
      </c>
      <c r="K1094">
        <f>IF(D1094="V01",cad!$I$29,IF(D1094="V02",cad!$J$29,cad!$K$29))</f>
        <v/>
      </c>
      <c r="L1094">
        <f>IF(D1094="V01",cad!$I$30,IF(D1094="V02",cad!$J$30,cad!$K$30))</f>
        <v/>
      </c>
      <c r="M1094">
        <f>IF(D1094="V01",cad!$I$31,IF(D1094="V02",cad!$J$31,cad!$K$31))</f>
        <v/>
      </c>
      <c r="N1094">
        <f>IF(D1094="V01",$R$2,IF(D1094="V02",$R$3,$R$4))</f>
        <v/>
      </c>
      <c r="O1094">
        <f>IF(OR(B1094="7062",B1094="706",B1094="708"),N1094,IF(B1094="6231",1+G1094,IF(B1094="6236",1+H1094,IF(OR(B1094="621",B1094="604",B1094="6063"),N1094*(1-L1094),IF(OR(B1094="6411",B1094="6413",B1094="6414",B1094="645"),(1+J1094)*(1+K1094),IF(OR(B1094="613",B1094="615",B1094="616",B1094="6226",B1094="625",B1094="626",B1094="6281"),(1+I1094)*(1-L1094)*(1+M1094),IF(OR(B1094="6331",B1094="63511",B1094="6333"),(1+I1094)*(1-L1094),IF(B1094="6811",1+I1094,1))))))))</f>
        <v/>
      </c>
      <c r="P1094">
        <f>IF(E1094=1,F1094*O1094,"")</f>
        <v/>
      </c>
    </row>
    <row r="1095">
      <c r="A1095">
        <f>PNL!A1095</f>
        <v/>
      </c>
      <c r="B1095">
        <f>PNL!B1095</f>
        <v/>
      </c>
      <c r="C1095">
        <f>PNL!C1095</f>
        <v/>
      </c>
      <c r="D1095">
        <f>PNL!D1095</f>
        <v/>
      </c>
      <c r="E1095">
        <f>IF(AND(C1095="2027",OR(D1095="V01",D1095="V02",D1095="V03")),1,0)</f>
        <v/>
      </c>
      <c r="F1095">
        <f>IF(E1095=1,SUMIFS(Compta!$F$2:$F$675,Compta!$A$2:$A$675,A1095,Compta!$B$2:$B$675,B1095,Compta!$C$2:$C$675,"2026"),0)</f>
        <v/>
      </c>
      <c r="G1095">
        <f>IF(D1095="V01",cad!$I$21,IF(D1095="V02",cad!$J$21,cad!$K$21))</f>
        <v/>
      </c>
      <c r="H1095">
        <f>IF(D1095="V01",cad!$I$22,IF(D1095="V02",cad!$J$22,cad!$K$22))</f>
        <v/>
      </c>
      <c r="I1095">
        <f>IF(D1095="V01",cad!$I$27,IF(D1095="V02",cad!$J$27,cad!$K$27))</f>
        <v/>
      </c>
      <c r="J1095">
        <f>IF(D1095="V01",cad!$I$28,IF(D1095="V02",cad!$J$28,cad!$K$28))</f>
        <v/>
      </c>
      <c r="K1095">
        <f>IF(D1095="V01",cad!$I$29,IF(D1095="V02",cad!$J$29,cad!$K$29))</f>
        <v/>
      </c>
      <c r="L1095">
        <f>IF(D1095="V01",cad!$I$30,IF(D1095="V02",cad!$J$30,cad!$K$30))</f>
        <v/>
      </c>
      <c r="M1095">
        <f>IF(D1095="V01",cad!$I$31,IF(D1095="V02",cad!$J$31,cad!$K$31))</f>
        <v/>
      </c>
      <c r="N1095">
        <f>IF(D1095="V01",$R$2,IF(D1095="V02",$R$3,$R$4))</f>
        <v/>
      </c>
      <c r="O1095">
        <f>IF(OR(B1095="7062",B1095="706",B1095="708"),N1095,IF(B1095="6231",1+G1095,IF(B1095="6236",1+H1095,IF(OR(B1095="621",B1095="604",B1095="6063"),N1095*(1-L1095),IF(OR(B1095="6411",B1095="6413",B1095="6414",B1095="645"),(1+J1095)*(1+K1095),IF(OR(B1095="613",B1095="615",B1095="616",B1095="6226",B1095="625",B1095="626",B1095="6281"),(1+I1095)*(1-L1095)*(1+M1095),IF(OR(B1095="6331",B1095="63511",B1095="6333"),(1+I1095)*(1-L1095),IF(B1095="6811",1+I1095,1))))))))</f>
        <v/>
      </c>
      <c r="P1095">
        <f>IF(E1095=1,F1095*O1095,"")</f>
        <v/>
      </c>
    </row>
    <row r="1096">
      <c r="A1096">
        <f>PNL!A1096</f>
        <v/>
      </c>
      <c r="B1096">
        <f>PNL!B1096</f>
        <v/>
      </c>
      <c r="C1096">
        <f>PNL!C1096</f>
        <v/>
      </c>
      <c r="D1096">
        <f>PNL!D1096</f>
        <v/>
      </c>
      <c r="E1096">
        <f>IF(AND(C1096="2027",OR(D1096="V01",D1096="V02",D1096="V03")),1,0)</f>
        <v/>
      </c>
      <c r="F1096">
        <f>IF(E1096=1,SUMIFS(Compta!$F$2:$F$675,Compta!$A$2:$A$675,A1096,Compta!$B$2:$B$675,B1096,Compta!$C$2:$C$675,"2026"),0)</f>
        <v/>
      </c>
      <c r="G1096">
        <f>IF(D1096="V01",cad!$I$21,IF(D1096="V02",cad!$J$21,cad!$K$21))</f>
        <v/>
      </c>
      <c r="H1096">
        <f>IF(D1096="V01",cad!$I$22,IF(D1096="V02",cad!$J$22,cad!$K$22))</f>
        <v/>
      </c>
      <c r="I1096">
        <f>IF(D1096="V01",cad!$I$27,IF(D1096="V02",cad!$J$27,cad!$K$27))</f>
        <v/>
      </c>
      <c r="J1096">
        <f>IF(D1096="V01",cad!$I$28,IF(D1096="V02",cad!$J$28,cad!$K$28))</f>
        <v/>
      </c>
      <c r="K1096">
        <f>IF(D1096="V01",cad!$I$29,IF(D1096="V02",cad!$J$29,cad!$K$29))</f>
        <v/>
      </c>
      <c r="L1096">
        <f>IF(D1096="V01",cad!$I$30,IF(D1096="V02",cad!$J$30,cad!$K$30))</f>
        <v/>
      </c>
      <c r="M1096">
        <f>IF(D1096="V01",cad!$I$31,IF(D1096="V02",cad!$J$31,cad!$K$31))</f>
        <v/>
      </c>
      <c r="N1096">
        <f>IF(D1096="V01",$R$2,IF(D1096="V02",$R$3,$R$4))</f>
        <v/>
      </c>
      <c r="O1096">
        <f>IF(OR(B1096="7062",B1096="706",B1096="708"),N1096,IF(B1096="6231",1+G1096,IF(B1096="6236",1+H1096,IF(OR(B1096="621",B1096="604",B1096="6063"),N1096*(1-L1096),IF(OR(B1096="6411",B1096="6413",B1096="6414",B1096="645"),(1+J1096)*(1+K1096),IF(OR(B1096="613",B1096="615",B1096="616",B1096="6226",B1096="625",B1096="626",B1096="6281"),(1+I1096)*(1-L1096)*(1+M1096),IF(OR(B1096="6331",B1096="63511",B1096="6333"),(1+I1096)*(1-L1096),IF(B1096="6811",1+I1096,1))))))))</f>
        <v/>
      </c>
      <c r="P1096">
        <f>IF(E1096=1,F1096*O1096,"")</f>
        <v/>
      </c>
    </row>
    <row r="1097">
      <c r="A1097">
        <f>PNL!A1097</f>
        <v/>
      </c>
      <c r="B1097">
        <f>PNL!B1097</f>
        <v/>
      </c>
      <c r="C1097">
        <f>PNL!C1097</f>
        <v/>
      </c>
      <c r="D1097">
        <f>PNL!D1097</f>
        <v/>
      </c>
      <c r="E1097">
        <f>IF(AND(C1097="2027",OR(D1097="V01",D1097="V02",D1097="V03")),1,0)</f>
        <v/>
      </c>
      <c r="F1097">
        <f>IF(E1097=1,SUMIFS(Compta!$F$2:$F$675,Compta!$A$2:$A$675,A1097,Compta!$B$2:$B$675,B1097,Compta!$C$2:$C$675,"2026"),0)</f>
        <v/>
      </c>
      <c r="G1097">
        <f>IF(D1097="V01",cad!$I$21,IF(D1097="V02",cad!$J$21,cad!$K$21))</f>
        <v/>
      </c>
      <c r="H1097">
        <f>IF(D1097="V01",cad!$I$22,IF(D1097="V02",cad!$J$22,cad!$K$22))</f>
        <v/>
      </c>
      <c r="I1097">
        <f>IF(D1097="V01",cad!$I$27,IF(D1097="V02",cad!$J$27,cad!$K$27))</f>
        <v/>
      </c>
      <c r="J1097">
        <f>IF(D1097="V01",cad!$I$28,IF(D1097="V02",cad!$J$28,cad!$K$28))</f>
        <v/>
      </c>
      <c r="K1097">
        <f>IF(D1097="V01",cad!$I$29,IF(D1097="V02",cad!$J$29,cad!$K$29))</f>
        <v/>
      </c>
      <c r="L1097">
        <f>IF(D1097="V01",cad!$I$30,IF(D1097="V02",cad!$J$30,cad!$K$30))</f>
        <v/>
      </c>
      <c r="M1097">
        <f>IF(D1097="V01",cad!$I$31,IF(D1097="V02",cad!$J$31,cad!$K$31))</f>
        <v/>
      </c>
      <c r="N1097">
        <f>IF(D1097="V01",$R$2,IF(D1097="V02",$R$3,$R$4))</f>
        <v/>
      </c>
      <c r="O1097">
        <f>IF(OR(B1097="7062",B1097="706",B1097="708"),N1097,IF(B1097="6231",1+G1097,IF(B1097="6236",1+H1097,IF(OR(B1097="621",B1097="604",B1097="6063"),N1097*(1-L1097),IF(OR(B1097="6411",B1097="6413",B1097="6414",B1097="645"),(1+J1097)*(1+K1097),IF(OR(B1097="613",B1097="615",B1097="616",B1097="6226",B1097="625",B1097="626",B1097="6281"),(1+I1097)*(1-L1097)*(1+M1097),IF(OR(B1097="6331",B1097="63511",B1097="6333"),(1+I1097)*(1-L1097),IF(B1097="6811",1+I1097,1))))))))</f>
        <v/>
      </c>
      <c r="P1097">
        <f>IF(E1097=1,F1097*O1097,"")</f>
        <v/>
      </c>
    </row>
    <row r="1098">
      <c r="A1098">
        <f>PNL!A1098</f>
        <v/>
      </c>
      <c r="B1098">
        <f>PNL!B1098</f>
        <v/>
      </c>
      <c r="C1098">
        <f>PNL!C1098</f>
        <v/>
      </c>
      <c r="D1098">
        <f>PNL!D1098</f>
        <v/>
      </c>
      <c r="E1098">
        <f>IF(AND(C1098="2027",OR(D1098="V01",D1098="V02",D1098="V03")),1,0)</f>
        <v/>
      </c>
      <c r="F1098">
        <f>IF(E1098=1,SUMIFS(Compta!$F$2:$F$675,Compta!$A$2:$A$675,A1098,Compta!$B$2:$B$675,B1098,Compta!$C$2:$C$675,"2026"),0)</f>
        <v/>
      </c>
      <c r="G1098">
        <f>IF(D1098="V01",cad!$I$21,IF(D1098="V02",cad!$J$21,cad!$K$21))</f>
        <v/>
      </c>
      <c r="H1098">
        <f>IF(D1098="V01",cad!$I$22,IF(D1098="V02",cad!$J$22,cad!$K$22))</f>
        <v/>
      </c>
      <c r="I1098">
        <f>IF(D1098="V01",cad!$I$27,IF(D1098="V02",cad!$J$27,cad!$K$27))</f>
        <v/>
      </c>
      <c r="J1098">
        <f>IF(D1098="V01",cad!$I$28,IF(D1098="V02",cad!$J$28,cad!$K$28))</f>
        <v/>
      </c>
      <c r="K1098">
        <f>IF(D1098="V01",cad!$I$29,IF(D1098="V02",cad!$J$29,cad!$K$29))</f>
        <v/>
      </c>
      <c r="L1098">
        <f>IF(D1098="V01",cad!$I$30,IF(D1098="V02",cad!$J$30,cad!$K$30))</f>
        <v/>
      </c>
      <c r="M1098">
        <f>IF(D1098="V01",cad!$I$31,IF(D1098="V02",cad!$J$31,cad!$K$31))</f>
        <v/>
      </c>
      <c r="N1098">
        <f>IF(D1098="V01",$R$2,IF(D1098="V02",$R$3,$R$4))</f>
        <v/>
      </c>
      <c r="O1098">
        <f>IF(OR(B1098="7062",B1098="706",B1098="708"),N1098,IF(B1098="6231",1+G1098,IF(B1098="6236",1+H1098,IF(OR(B1098="621",B1098="604",B1098="6063"),N1098*(1-L1098),IF(OR(B1098="6411",B1098="6413",B1098="6414",B1098="645"),(1+J1098)*(1+K1098),IF(OR(B1098="613",B1098="615",B1098="616",B1098="6226",B1098="625",B1098="626",B1098="6281"),(1+I1098)*(1-L1098)*(1+M1098),IF(OR(B1098="6331",B1098="63511",B1098="6333"),(1+I1098)*(1-L1098),IF(B1098="6811",1+I1098,1))))))))</f>
        <v/>
      </c>
      <c r="P1098">
        <f>IF(E1098=1,F1098*O1098,"")</f>
        <v/>
      </c>
    </row>
    <row r="1099">
      <c r="A1099">
        <f>PNL!A1099</f>
        <v/>
      </c>
      <c r="B1099">
        <f>PNL!B1099</f>
        <v/>
      </c>
      <c r="C1099">
        <f>PNL!C1099</f>
        <v/>
      </c>
      <c r="D1099">
        <f>PNL!D1099</f>
        <v/>
      </c>
      <c r="E1099">
        <f>IF(AND(C1099="2027",OR(D1099="V01",D1099="V02",D1099="V03")),1,0)</f>
        <v/>
      </c>
      <c r="F1099">
        <f>IF(E1099=1,SUMIFS(Compta!$F$2:$F$675,Compta!$A$2:$A$675,A1099,Compta!$B$2:$B$675,B1099,Compta!$C$2:$C$675,"2026"),0)</f>
        <v/>
      </c>
      <c r="G1099">
        <f>IF(D1099="V01",cad!$I$21,IF(D1099="V02",cad!$J$21,cad!$K$21))</f>
        <v/>
      </c>
      <c r="H1099">
        <f>IF(D1099="V01",cad!$I$22,IF(D1099="V02",cad!$J$22,cad!$K$22))</f>
        <v/>
      </c>
      <c r="I1099">
        <f>IF(D1099="V01",cad!$I$27,IF(D1099="V02",cad!$J$27,cad!$K$27))</f>
        <v/>
      </c>
      <c r="J1099">
        <f>IF(D1099="V01",cad!$I$28,IF(D1099="V02",cad!$J$28,cad!$K$28))</f>
        <v/>
      </c>
      <c r="K1099">
        <f>IF(D1099="V01",cad!$I$29,IF(D1099="V02",cad!$J$29,cad!$K$29))</f>
        <v/>
      </c>
      <c r="L1099">
        <f>IF(D1099="V01",cad!$I$30,IF(D1099="V02",cad!$J$30,cad!$K$30))</f>
        <v/>
      </c>
      <c r="M1099">
        <f>IF(D1099="V01",cad!$I$31,IF(D1099="V02",cad!$J$31,cad!$K$31))</f>
        <v/>
      </c>
      <c r="N1099">
        <f>IF(D1099="V01",$R$2,IF(D1099="V02",$R$3,$R$4))</f>
        <v/>
      </c>
      <c r="O1099">
        <f>IF(OR(B1099="7062",B1099="706",B1099="708"),N1099,IF(B1099="6231",1+G1099,IF(B1099="6236",1+H1099,IF(OR(B1099="621",B1099="604",B1099="6063"),N1099*(1-L1099),IF(OR(B1099="6411",B1099="6413",B1099="6414",B1099="645"),(1+J1099)*(1+K1099),IF(OR(B1099="613",B1099="615",B1099="616",B1099="6226",B1099="625",B1099="626",B1099="6281"),(1+I1099)*(1-L1099)*(1+M1099),IF(OR(B1099="6331",B1099="63511",B1099="6333"),(1+I1099)*(1-L1099),IF(B1099="6811",1+I1099,1))))))))</f>
        <v/>
      </c>
      <c r="P1099">
        <f>IF(E1099=1,F1099*O1099,"")</f>
        <v/>
      </c>
    </row>
    <row r="1100">
      <c r="A1100">
        <f>PNL!A1100</f>
        <v/>
      </c>
      <c r="B1100">
        <f>PNL!B1100</f>
        <v/>
      </c>
      <c r="C1100">
        <f>PNL!C1100</f>
        <v/>
      </c>
      <c r="D1100">
        <f>PNL!D1100</f>
        <v/>
      </c>
      <c r="E1100">
        <f>IF(AND(C1100="2027",OR(D1100="V01",D1100="V02",D1100="V03")),1,0)</f>
        <v/>
      </c>
      <c r="F1100">
        <f>IF(E1100=1,SUMIFS(Compta!$F$2:$F$675,Compta!$A$2:$A$675,A1100,Compta!$B$2:$B$675,B1100,Compta!$C$2:$C$675,"2026"),0)</f>
        <v/>
      </c>
      <c r="G1100">
        <f>IF(D1100="V01",cad!$I$21,IF(D1100="V02",cad!$J$21,cad!$K$21))</f>
        <v/>
      </c>
      <c r="H1100">
        <f>IF(D1100="V01",cad!$I$22,IF(D1100="V02",cad!$J$22,cad!$K$22))</f>
        <v/>
      </c>
      <c r="I1100">
        <f>IF(D1100="V01",cad!$I$27,IF(D1100="V02",cad!$J$27,cad!$K$27))</f>
        <v/>
      </c>
      <c r="J1100">
        <f>IF(D1100="V01",cad!$I$28,IF(D1100="V02",cad!$J$28,cad!$K$28))</f>
        <v/>
      </c>
      <c r="K1100">
        <f>IF(D1100="V01",cad!$I$29,IF(D1100="V02",cad!$J$29,cad!$K$29))</f>
        <v/>
      </c>
      <c r="L1100">
        <f>IF(D1100="V01",cad!$I$30,IF(D1100="V02",cad!$J$30,cad!$K$30))</f>
        <v/>
      </c>
      <c r="M1100">
        <f>IF(D1100="V01",cad!$I$31,IF(D1100="V02",cad!$J$31,cad!$K$31))</f>
        <v/>
      </c>
      <c r="N1100">
        <f>IF(D1100="V01",$R$2,IF(D1100="V02",$R$3,$R$4))</f>
        <v/>
      </c>
      <c r="O1100">
        <f>IF(OR(B1100="7062",B1100="706",B1100="708"),N1100,IF(B1100="6231",1+G1100,IF(B1100="6236",1+H1100,IF(OR(B1100="621",B1100="604",B1100="6063"),N1100*(1-L1100),IF(OR(B1100="6411",B1100="6413",B1100="6414",B1100="645"),(1+J1100)*(1+K1100),IF(OR(B1100="613",B1100="615",B1100="616",B1100="6226",B1100="625",B1100="626",B1100="6281"),(1+I1100)*(1-L1100)*(1+M1100),IF(OR(B1100="6331",B1100="63511",B1100="6333"),(1+I1100)*(1-L1100),IF(B1100="6811",1+I1100,1))))))))</f>
        <v/>
      </c>
      <c r="P1100">
        <f>IF(E1100=1,F1100*O1100,"")</f>
        <v/>
      </c>
    </row>
    <row r="1101">
      <c r="A1101">
        <f>PNL!A1101</f>
        <v/>
      </c>
      <c r="B1101">
        <f>PNL!B1101</f>
        <v/>
      </c>
      <c r="C1101">
        <f>PNL!C1101</f>
        <v/>
      </c>
      <c r="D1101">
        <f>PNL!D1101</f>
        <v/>
      </c>
      <c r="E1101">
        <f>IF(AND(C1101="2027",OR(D1101="V01",D1101="V02",D1101="V03")),1,0)</f>
        <v/>
      </c>
      <c r="F1101">
        <f>IF(E1101=1,SUMIFS(Compta!$F$2:$F$675,Compta!$A$2:$A$675,A1101,Compta!$B$2:$B$675,B1101,Compta!$C$2:$C$675,"2026"),0)</f>
        <v/>
      </c>
      <c r="G1101">
        <f>IF(D1101="V01",cad!$I$21,IF(D1101="V02",cad!$J$21,cad!$K$21))</f>
        <v/>
      </c>
      <c r="H1101">
        <f>IF(D1101="V01",cad!$I$22,IF(D1101="V02",cad!$J$22,cad!$K$22))</f>
        <v/>
      </c>
      <c r="I1101">
        <f>IF(D1101="V01",cad!$I$27,IF(D1101="V02",cad!$J$27,cad!$K$27))</f>
        <v/>
      </c>
      <c r="J1101">
        <f>IF(D1101="V01",cad!$I$28,IF(D1101="V02",cad!$J$28,cad!$K$28))</f>
        <v/>
      </c>
      <c r="K1101">
        <f>IF(D1101="V01",cad!$I$29,IF(D1101="V02",cad!$J$29,cad!$K$29))</f>
        <v/>
      </c>
      <c r="L1101">
        <f>IF(D1101="V01",cad!$I$30,IF(D1101="V02",cad!$J$30,cad!$K$30))</f>
        <v/>
      </c>
      <c r="M1101">
        <f>IF(D1101="V01",cad!$I$31,IF(D1101="V02",cad!$J$31,cad!$K$31))</f>
        <v/>
      </c>
      <c r="N1101">
        <f>IF(D1101="V01",$R$2,IF(D1101="V02",$R$3,$R$4))</f>
        <v/>
      </c>
      <c r="O1101">
        <f>IF(OR(B1101="7062",B1101="706",B1101="708"),N1101,IF(B1101="6231",1+G1101,IF(B1101="6236",1+H1101,IF(OR(B1101="621",B1101="604",B1101="6063"),N1101*(1-L1101),IF(OR(B1101="6411",B1101="6413",B1101="6414",B1101="645"),(1+J1101)*(1+K1101),IF(OR(B1101="613",B1101="615",B1101="616",B1101="6226",B1101="625",B1101="626",B1101="6281"),(1+I1101)*(1-L1101)*(1+M1101),IF(OR(B1101="6331",B1101="63511",B1101="6333"),(1+I1101)*(1-L1101),IF(B1101="6811",1+I1101,1))))))))</f>
        <v/>
      </c>
      <c r="P1101">
        <f>IF(E1101=1,F1101*O1101,"")</f>
        <v/>
      </c>
    </row>
    <row r="1102">
      <c r="A1102">
        <f>PNL!A1102</f>
        <v/>
      </c>
      <c r="B1102">
        <f>PNL!B1102</f>
        <v/>
      </c>
      <c r="C1102">
        <f>PNL!C1102</f>
        <v/>
      </c>
      <c r="D1102">
        <f>PNL!D1102</f>
        <v/>
      </c>
      <c r="E1102">
        <f>IF(AND(C1102="2027",OR(D1102="V01",D1102="V02",D1102="V03")),1,0)</f>
        <v/>
      </c>
      <c r="F1102">
        <f>IF(E1102=1,SUMIFS(Compta!$F$2:$F$675,Compta!$A$2:$A$675,A1102,Compta!$B$2:$B$675,B1102,Compta!$C$2:$C$675,"2026"),0)</f>
        <v/>
      </c>
      <c r="G1102">
        <f>IF(D1102="V01",cad!$I$21,IF(D1102="V02",cad!$J$21,cad!$K$21))</f>
        <v/>
      </c>
      <c r="H1102">
        <f>IF(D1102="V01",cad!$I$22,IF(D1102="V02",cad!$J$22,cad!$K$22))</f>
        <v/>
      </c>
      <c r="I1102">
        <f>IF(D1102="V01",cad!$I$27,IF(D1102="V02",cad!$J$27,cad!$K$27))</f>
        <v/>
      </c>
      <c r="J1102">
        <f>IF(D1102="V01",cad!$I$28,IF(D1102="V02",cad!$J$28,cad!$K$28))</f>
        <v/>
      </c>
      <c r="K1102">
        <f>IF(D1102="V01",cad!$I$29,IF(D1102="V02",cad!$J$29,cad!$K$29))</f>
        <v/>
      </c>
      <c r="L1102">
        <f>IF(D1102="V01",cad!$I$30,IF(D1102="V02",cad!$J$30,cad!$K$30))</f>
        <v/>
      </c>
      <c r="M1102">
        <f>IF(D1102="V01",cad!$I$31,IF(D1102="V02",cad!$J$31,cad!$K$31))</f>
        <v/>
      </c>
      <c r="N1102">
        <f>IF(D1102="V01",$R$2,IF(D1102="V02",$R$3,$R$4))</f>
        <v/>
      </c>
      <c r="O1102">
        <f>IF(OR(B1102="7062",B1102="706",B1102="708"),N1102,IF(B1102="6231",1+G1102,IF(B1102="6236",1+H1102,IF(OR(B1102="621",B1102="604",B1102="6063"),N1102*(1-L1102),IF(OR(B1102="6411",B1102="6413",B1102="6414",B1102="645"),(1+J1102)*(1+K1102),IF(OR(B1102="613",B1102="615",B1102="616",B1102="6226",B1102="625",B1102="626",B1102="6281"),(1+I1102)*(1-L1102)*(1+M1102),IF(OR(B1102="6331",B1102="63511",B1102="6333"),(1+I1102)*(1-L1102),IF(B1102="6811",1+I1102,1))))))))</f>
        <v/>
      </c>
      <c r="P1102">
        <f>IF(E1102=1,F1102*O1102,"")</f>
        <v/>
      </c>
    </row>
    <row r="1103">
      <c r="A1103">
        <f>PNL!A1103</f>
        <v/>
      </c>
      <c r="B1103">
        <f>PNL!B1103</f>
        <v/>
      </c>
      <c r="C1103">
        <f>PNL!C1103</f>
        <v/>
      </c>
      <c r="D1103">
        <f>PNL!D1103</f>
        <v/>
      </c>
      <c r="E1103">
        <f>IF(AND(C1103="2027",OR(D1103="V01",D1103="V02",D1103="V03")),1,0)</f>
        <v/>
      </c>
      <c r="F1103">
        <f>IF(E1103=1,SUMIFS(Compta!$F$2:$F$675,Compta!$A$2:$A$675,A1103,Compta!$B$2:$B$675,B1103,Compta!$C$2:$C$675,"2026"),0)</f>
        <v/>
      </c>
      <c r="G1103">
        <f>IF(D1103="V01",cad!$I$21,IF(D1103="V02",cad!$J$21,cad!$K$21))</f>
        <v/>
      </c>
      <c r="H1103">
        <f>IF(D1103="V01",cad!$I$22,IF(D1103="V02",cad!$J$22,cad!$K$22))</f>
        <v/>
      </c>
      <c r="I1103">
        <f>IF(D1103="V01",cad!$I$27,IF(D1103="V02",cad!$J$27,cad!$K$27))</f>
        <v/>
      </c>
      <c r="J1103">
        <f>IF(D1103="V01",cad!$I$28,IF(D1103="V02",cad!$J$28,cad!$K$28))</f>
        <v/>
      </c>
      <c r="K1103">
        <f>IF(D1103="V01",cad!$I$29,IF(D1103="V02",cad!$J$29,cad!$K$29))</f>
        <v/>
      </c>
      <c r="L1103">
        <f>IF(D1103="V01",cad!$I$30,IF(D1103="V02",cad!$J$30,cad!$K$30))</f>
        <v/>
      </c>
      <c r="M1103">
        <f>IF(D1103="V01",cad!$I$31,IF(D1103="V02",cad!$J$31,cad!$K$31))</f>
        <v/>
      </c>
      <c r="N1103">
        <f>IF(D1103="V01",$R$2,IF(D1103="V02",$R$3,$R$4))</f>
        <v/>
      </c>
      <c r="O1103">
        <f>IF(OR(B1103="7062",B1103="706",B1103="708"),N1103,IF(B1103="6231",1+G1103,IF(B1103="6236",1+H1103,IF(OR(B1103="621",B1103="604",B1103="6063"),N1103*(1-L1103),IF(OR(B1103="6411",B1103="6413",B1103="6414",B1103="645"),(1+J1103)*(1+K1103),IF(OR(B1103="613",B1103="615",B1103="616",B1103="6226",B1103="625",B1103="626",B1103="6281"),(1+I1103)*(1-L1103)*(1+M1103),IF(OR(B1103="6331",B1103="63511",B1103="6333"),(1+I1103)*(1-L1103),IF(B1103="6811",1+I1103,1))))))))</f>
        <v/>
      </c>
      <c r="P1103">
        <f>IF(E1103=1,F1103*O1103,"")</f>
        <v/>
      </c>
    </row>
    <row r="1104">
      <c r="A1104">
        <f>PNL!A1104</f>
        <v/>
      </c>
      <c r="B1104">
        <f>PNL!B1104</f>
        <v/>
      </c>
      <c r="C1104">
        <f>PNL!C1104</f>
        <v/>
      </c>
      <c r="D1104">
        <f>PNL!D1104</f>
        <v/>
      </c>
      <c r="E1104">
        <f>IF(AND(C1104="2027",OR(D1104="V01",D1104="V02",D1104="V03")),1,0)</f>
        <v/>
      </c>
      <c r="F1104">
        <f>IF(E1104=1,SUMIFS(Compta!$F$2:$F$675,Compta!$A$2:$A$675,A1104,Compta!$B$2:$B$675,B1104,Compta!$C$2:$C$675,"2026"),0)</f>
        <v/>
      </c>
      <c r="G1104">
        <f>IF(D1104="V01",cad!$I$21,IF(D1104="V02",cad!$J$21,cad!$K$21))</f>
        <v/>
      </c>
      <c r="H1104">
        <f>IF(D1104="V01",cad!$I$22,IF(D1104="V02",cad!$J$22,cad!$K$22))</f>
        <v/>
      </c>
      <c r="I1104">
        <f>IF(D1104="V01",cad!$I$27,IF(D1104="V02",cad!$J$27,cad!$K$27))</f>
        <v/>
      </c>
      <c r="J1104">
        <f>IF(D1104="V01",cad!$I$28,IF(D1104="V02",cad!$J$28,cad!$K$28))</f>
        <v/>
      </c>
      <c r="K1104">
        <f>IF(D1104="V01",cad!$I$29,IF(D1104="V02",cad!$J$29,cad!$K$29))</f>
        <v/>
      </c>
      <c r="L1104">
        <f>IF(D1104="V01",cad!$I$30,IF(D1104="V02",cad!$J$30,cad!$K$30))</f>
        <v/>
      </c>
      <c r="M1104">
        <f>IF(D1104="V01",cad!$I$31,IF(D1104="V02",cad!$J$31,cad!$K$31))</f>
        <v/>
      </c>
      <c r="N1104">
        <f>IF(D1104="V01",$R$2,IF(D1104="V02",$R$3,$R$4))</f>
        <v/>
      </c>
      <c r="O1104">
        <f>IF(OR(B1104="7062",B1104="706",B1104="708"),N1104,IF(B1104="6231",1+G1104,IF(B1104="6236",1+H1104,IF(OR(B1104="621",B1104="604",B1104="6063"),N1104*(1-L1104),IF(OR(B1104="6411",B1104="6413",B1104="6414",B1104="645"),(1+J1104)*(1+K1104),IF(OR(B1104="613",B1104="615",B1104="616",B1104="6226",B1104="625",B1104="626",B1104="6281"),(1+I1104)*(1-L1104)*(1+M1104),IF(OR(B1104="6331",B1104="63511",B1104="6333"),(1+I1104)*(1-L1104),IF(B1104="6811",1+I1104,1))))))))</f>
        <v/>
      </c>
      <c r="P1104">
        <f>IF(E1104=1,F1104*O1104,"")</f>
        <v/>
      </c>
    </row>
    <row r="1105">
      <c r="A1105">
        <f>PNL!A1105</f>
        <v/>
      </c>
      <c r="B1105">
        <f>PNL!B1105</f>
        <v/>
      </c>
      <c r="C1105">
        <f>PNL!C1105</f>
        <v/>
      </c>
      <c r="D1105">
        <f>PNL!D1105</f>
        <v/>
      </c>
      <c r="E1105">
        <f>IF(AND(C1105="2027",OR(D1105="V01",D1105="V02",D1105="V03")),1,0)</f>
        <v/>
      </c>
      <c r="F1105">
        <f>IF(E1105=1,SUMIFS(Compta!$F$2:$F$675,Compta!$A$2:$A$675,A1105,Compta!$B$2:$B$675,B1105,Compta!$C$2:$C$675,"2026"),0)</f>
        <v/>
      </c>
      <c r="G1105">
        <f>IF(D1105="V01",cad!$I$21,IF(D1105="V02",cad!$J$21,cad!$K$21))</f>
        <v/>
      </c>
      <c r="H1105">
        <f>IF(D1105="V01",cad!$I$22,IF(D1105="V02",cad!$J$22,cad!$K$22))</f>
        <v/>
      </c>
      <c r="I1105">
        <f>IF(D1105="V01",cad!$I$27,IF(D1105="V02",cad!$J$27,cad!$K$27))</f>
        <v/>
      </c>
      <c r="J1105">
        <f>IF(D1105="V01",cad!$I$28,IF(D1105="V02",cad!$J$28,cad!$K$28))</f>
        <v/>
      </c>
      <c r="K1105">
        <f>IF(D1105="V01",cad!$I$29,IF(D1105="V02",cad!$J$29,cad!$K$29))</f>
        <v/>
      </c>
      <c r="L1105">
        <f>IF(D1105="V01",cad!$I$30,IF(D1105="V02",cad!$J$30,cad!$K$30))</f>
        <v/>
      </c>
      <c r="M1105">
        <f>IF(D1105="V01",cad!$I$31,IF(D1105="V02",cad!$J$31,cad!$K$31))</f>
        <v/>
      </c>
      <c r="N1105">
        <f>IF(D1105="V01",$R$2,IF(D1105="V02",$R$3,$R$4))</f>
        <v/>
      </c>
      <c r="O1105">
        <f>IF(OR(B1105="7062",B1105="706",B1105="708"),N1105,IF(B1105="6231",1+G1105,IF(B1105="6236",1+H1105,IF(OR(B1105="621",B1105="604",B1105="6063"),N1105*(1-L1105),IF(OR(B1105="6411",B1105="6413",B1105="6414",B1105="645"),(1+J1105)*(1+K1105),IF(OR(B1105="613",B1105="615",B1105="616",B1105="6226",B1105="625",B1105="626",B1105="6281"),(1+I1105)*(1-L1105)*(1+M1105),IF(OR(B1105="6331",B1105="63511",B1105="6333"),(1+I1105)*(1-L1105),IF(B1105="6811",1+I1105,1))))))))</f>
        <v/>
      </c>
      <c r="P1105">
        <f>IF(E1105=1,F1105*O1105,"")</f>
        <v/>
      </c>
    </row>
    <row r="1106">
      <c r="A1106">
        <f>PNL!A1106</f>
        <v/>
      </c>
      <c r="B1106">
        <f>PNL!B1106</f>
        <v/>
      </c>
      <c r="C1106">
        <f>PNL!C1106</f>
        <v/>
      </c>
      <c r="D1106">
        <f>PNL!D1106</f>
        <v/>
      </c>
      <c r="E1106">
        <f>IF(AND(C1106="2027",OR(D1106="V01",D1106="V02",D1106="V03")),1,0)</f>
        <v/>
      </c>
      <c r="F1106">
        <f>IF(E1106=1,SUMIFS(Compta!$F$2:$F$675,Compta!$A$2:$A$675,A1106,Compta!$B$2:$B$675,B1106,Compta!$C$2:$C$675,"2026"),0)</f>
        <v/>
      </c>
      <c r="G1106">
        <f>IF(D1106="V01",cad!$I$21,IF(D1106="V02",cad!$J$21,cad!$K$21))</f>
        <v/>
      </c>
      <c r="H1106">
        <f>IF(D1106="V01",cad!$I$22,IF(D1106="V02",cad!$J$22,cad!$K$22))</f>
        <v/>
      </c>
      <c r="I1106">
        <f>IF(D1106="V01",cad!$I$27,IF(D1106="V02",cad!$J$27,cad!$K$27))</f>
        <v/>
      </c>
      <c r="J1106">
        <f>IF(D1106="V01",cad!$I$28,IF(D1106="V02",cad!$J$28,cad!$K$28))</f>
        <v/>
      </c>
      <c r="K1106">
        <f>IF(D1106="V01",cad!$I$29,IF(D1106="V02",cad!$J$29,cad!$K$29))</f>
        <v/>
      </c>
      <c r="L1106">
        <f>IF(D1106="V01",cad!$I$30,IF(D1106="V02",cad!$J$30,cad!$K$30))</f>
        <v/>
      </c>
      <c r="M1106">
        <f>IF(D1106="V01",cad!$I$31,IF(D1106="V02",cad!$J$31,cad!$K$31))</f>
        <v/>
      </c>
      <c r="N1106">
        <f>IF(D1106="V01",$R$2,IF(D1106="V02",$R$3,$R$4))</f>
        <v/>
      </c>
      <c r="O1106">
        <f>IF(OR(B1106="7062",B1106="706",B1106="708"),N1106,IF(B1106="6231",1+G1106,IF(B1106="6236",1+H1106,IF(OR(B1106="621",B1106="604",B1106="6063"),N1106*(1-L1106),IF(OR(B1106="6411",B1106="6413",B1106="6414",B1106="645"),(1+J1106)*(1+K1106),IF(OR(B1106="613",B1106="615",B1106="616",B1106="6226",B1106="625",B1106="626",B1106="6281"),(1+I1106)*(1-L1106)*(1+M1106),IF(OR(B1106="6331",B1106="63511",B1106="6333"),(1+I1106)*(1-L1106),IF(B1106="6811",1+I1106,1))))))))</f>
        <v/>
      </c>
      <c r="P1106">
        <f>IF(E1106=1,F1106*O1106,"")</f>
        <v/>
      </c>
    </row>
    <row r="1107">
      <c r="A1107">
        <f>PNL!A1107</f>
        <v/>
      </c>
      <c r="B1107">
        <f>PNL!B1107</f>
        <v/>
      </c>
      <c r="C1107">
        <f>PNL!C1107</f>
        <v/>
      </c>
      <c r="D1107">
        <f>PNL!D1107</f>
        <v/>
      </c>
      <c r="E1107">
        <f>IF(AND(C1107="2027",OR(D1107="V01",D1107="V02",D1107="V03")),1,0)</f>
        <v/>
      </c>
      <c r="F1107">
        <f>IF(E1107=1,SUMIFS(Compta!$F$2:$F$675,Compta!$A$2:$A$675,A1107,Compta!$B$2:$B$675,B1107,Compta!$C$2:$C$675,"2026"),0)</f>
        <v/>
      </c>
      <c r="G1107">
        <f>IF(D1107="V01",cad!$I$21,IF(D1107="V02",cad!$J$21,cad!$K$21))</f>
        <v/>
      </c>
      <c r="H1107">
        <f>IF(D1107="V01",cad!$I$22,IF(D1107="V02",cad!$J$22,cad!$K$22))</f>
        <v/>
      </c>
      <c r="I1107">
        <f>IF(D1107="V01",cad!$I$27,IF(D1107="V02",cad!$J$27,cad!$K$27))</f>
        <v/>
      </c>
      <c r="J1107">
        <f>IF(D1107="V01",cad!$I$28,IF(D1107="V02",cad!$J$28,cad!$K$28))</f>
        <v/>
      </c>
      <c r="K1107">
        <f>IF(D1107="V01",cad!$I$29,IF(D1107="V02",cad!$J$29,cad!$K$29))</f>
        <v/>
      </c>
      <c r="L1107">
        <f>IF(D1107="V01",cad!$I$30,IF(D1107="V02",cad!$J$30,cad!$K$30))</f>
        <v/>
      </c>
      <c r="M1107">
        <f>IF(D1107="V01",cad!$I$31,IF(D1107="V02",cad!$J$31,cad!$K$31))</f>
        <v/>
      </c>
      <c r="N1107">
        <f>IF(D1107="V01",$R$2,IF(D1107="V02",$R$3,$R$4))</f>
        <v/>
      </c>
      <c r="O1107">
        <f>IF(OR(B1107="7062",B1107="706",B1107="708"),N1107,IF(B1107="6231",1+G1107,IF(B1107="6236",1+H1107,IF(OR(B1107="621",B1107="604",B1107="6063"),N1107*(1-L1107),IF(OR(B1107="6411",B1107="6413",B1107="6414",B1107="645"),(1+J1107)*(1+K1107),IF(OR(B1107="613",B1107="615",B1107="616",B1107="6226",B1107="625",B1107="626",B1107="6281"),(1+I1107)*(1-L1107)*(1+M1107),IF(OR(B1107="6331",B1107="63511",B1107="6333"),(1+I1107)*(1-L1107),IF(B1107="6811",1+I1107,1))))))))</f>
        <v/>
      </c>
      <c r="P1107">
        <f>IF(E1107=1,F1107*O1107,"")</f>
        <v/>
      </c>
    </row>
    <row r="1108">
      <c r="A1108">
        <f>PNL!A1108</f>
        <v/>
      </c>
      <c r="B1108">
        <f>PNL!B1108</f>
        <v/>
      </c>
      <c r="C1108">
        <f>PNL!C1108</f>
        <v/>
      </c>
      <c r="D1108">
        <f>PNL!D1108</f>
        <v/>
      </c>
      <c r="E1108">
        <f>IF(AND(C1108="2027",OR(D1108="V01",D1108="V02",D1108="V03")),1,0)</f>
        <v/>
      </c>
      <c r="F1108">
        <f>IF(E1108=1,SUMIFS(Compta!$F$2:$F$675,Compta!$A$2:$A$675,A1108,Compta!$B$2:$B$675,B1108,Compta!$C$2:$C$675,"2026"),0)</f>
        <v/>
      </c>
      <c r="G1108">
        <f>IF(D1108="V01",cad!$I$21,IF(D1108="V02",cad!$J$21,cad!$K$21))</f>
        <v/>
      </c>
      <c r="H1108">
        <f>IF(D1108="V01",cad!$I$22,IF(D1108="V02",cad!$J$22,cad!$K$22))</f>
        <v/>
      </c>
      <c r="I1108">
        <f>IF(D1108="V01",cad!$I$27,IF(D1108="V02",cad!$J$27,cad!$K$27))</f>
        <v/>
      </c>
      <c r="J1108">
        <f>IF(D1108="V01",cad!$I$28,IF(D1108="V02",cad!$J$28,cad!$K$28))</f>
        <v/>
      </c>
      <c r="K1108">
        <f>IF(D1108="V01",cad!$I$29,IF(D1108="V02",cad!$J$29,cad!$K$29))</f>
        <v/>
      </c>
      <c r="L1108">
        <f>IF(D1108="V01",cad!$I$30,IF(D1108="V02",cad!$J$30,cad!$K$30))</f>
        <v/>
      </c>
      <c r="M1108">
        <f>IF(D1108="V01",cad!$I$31,IF(D1108="V02",cad!$J$31,cad!$K$31))</f>
        <v/>
      </c>
      <c r="N1108">
        <f>IF(D1108="V01",$R$2,IF(D1108="V02",$R$3,$R$4))</f>
        <v/>
      </c>
      <c r="O1108">
        <f>IF(OR(B1108="7062",B1108="706",B1108="708"),N1108,IF(B1108="6231",1+G1108,IF(B1108="6236",1+H1108,IF(OR(B1108="621",B1108="604",B1108="6063"),N1108*(1-L1108),IF(OR(B1108="6411",B1108="6413",B1108="6414",B1108="645"),(1+J1108)*(1+K1108),IF(OR(B1108="613",B1108="615",B1108="616",B1108="6226",B1108="625",B1108="626",B1108="6281"),(1+I1108)*(1-L1108)*(1+M1108),IF(OR(B1108="6331",B1108="63511",B1108="6333"),(1+I1108)*(1-L1108),IF(B1108="6811",1+I1108,1))))))))</f>
        <v/>
      </c>
      <c r="P1108">
        <f>IF(E1108=1,F1108*O1108,"")</f>
        <v/>
      </c>
    </row>
    <row r="1109">
      <c r="A1109">
        <f>PNL!A1109</f>
        <v/>
      </c>
      <c r="B1109">
        <f>PNL!B1109</f>
        <v/>
      </c>
      <c r="C1109">
        <f>PNL!C1109</f>
        <v/>
      </c>
      <c r="D1109">
        <f>PNL!D1109</f>
        <v/>
      </c>
      <c r="E1109">
        <f>IF(AND(C1109="2027",OR(D1109="V01",D1109="V02",D1109="V03")),1,0)</f>
        <v/>
      </c>
      <c r="F1109">
        <f>IF(E1109=1,SUMIFS(Compta!$F$2:$F$675,Compta!$A$2:$A$675,A1109,Compta!$B$2:$B$675,B1109,Compta!$C$2:$C$675,"2026"),0)</f>
        <v/>
      </c>
      <c r="G1109">
        <f>IF(D1109="V01",cad!$I$21,IF(D1109="V02",cad!$J$21,cad!$K$21))</f>
        <v/>
      </c>
      <c r="H1109">
        <f>IF(D1109="V01",cad!$I$22,IF(D1109="V02",cad!$J$22,cad!$K$22))</f>
        <v/>
      </c>
      <c r="I1109">
        <f>IF(D1109="V01",cad!$I$27,IF(D1109="V02",cad!$J$27,cad!$K$27))</f>
        <v/>
      </c>
      <c r="J1109">
        <f>IF(D1109="V01",cad!$I$28,IF(D1109="V02",cad!$J$28,cad!$K$28))</f>
        <v/>
      </c>
      <c r="K1109">
        <f>IF(D1109="V01",cad!$I$29,IF(D1109="V02",cad!$J$29,cad!$K$29))</f>
        <v/>
      </c>
      <c r="L1109">
        <f>IF(D1109="V01",cad!$I$30,IF(D1109="V02",cad!$J$30,cad!$K$30))</f>
        <v/>
      </c>
      <c r="M1109">
        <f>IF(D1109="V01",cad!$I$31,IF(D1109="V02",cad!$J$31,cad!$K$31))</f>
        <v/>
      </c>
      <c r="N1109">
        <f>IF(D1109="V01",$R$2,IF(D1109="V02",$R$3,$R$4))</f>
        <v/>
      </c>
      <c r="O1109">
        <f>IF(OR(B1109="7062",B1109="706",B1109="708"),N1109,IF(B1109="6231",1+G1109,IF(B1109="6236",1+H1109,IF(OR(B1109="621",B1109="604",B1109="6063"),N1109*(1-L1109),IF(OR(B1109="6411",B1109="6413",B1109="6414",B1109="645"),(1+J1109)*(1+K1109),IF(OR(B1109="613",B1109="615",B1109="616",B1109="6226",B1109="625",B1109="626",B1109="6281"),(1+I1109)*(1-L1109)*(1+M1109),IF(OR(B1109="6331",B1109="63511",B1109="6333"),(1+I1109)*(1-L1109),IF(B1109="6811",1+I1109,1))))))))</f>
        <v/>
      </c>
      <c r="P1109">
        <f>IF(E1109=1,F1109*O1109,"")</f>
        <v/>
      </c>
    </row>
    <row r="1110">
      <c r="A1110">
        <f>PNL!A1110</f>
        <v/>
      </c>
      <c r="B1110">
        <f>PNL!B1110</f>
        <v/>
      </c>
      <c r="C1110">
        <f>PNL!C1110</f>
        <v/>
      </c>
      <c r="D1110">
        <f>PNL!D1110</f>
        <v/>
      </c>
      <c r="E1110">
        <f>IF(AND(C1110="2027",OR(D1110="V01",D1110="V02",D1110="V03")),1,0)</f>
        <v/>
      </c>
      <c r="F1110">
        <f>IF(E1110=1,SUMIFS(Compta!$F$2:$F$675,Compta!$A$2:$A$675,A1110,Compta!$B$2:$B$675,B1110,Compta!$C$2:$C$675,"2026"),0)</f>
        <v/>
      </c>
      <c r="G1110">
        <f>IF(D1110="V01",cad!$I$21,IF(D1110="V02",cad!$J$21,cad!$K$21))</f>
        <v/>
      </c>
      <c r="H1110">
        <f>IF(D1110="V01",cad!$I$22,IF(D1110="V02",cad!$J$22,cad!$K$22))</f>
        <v/>
      </c>
      <c r="I1110">
        <f>IF(D1110="V01",cad!$I$27,IF(D1110="V02",cad!$J$27,cad!$K$27))</f>
        <v/>
      </c>
      <c r="J1110">
        <f>IF(D1110="V01",cad!$I$28,IF(D1110="V02",cad!$J$28,cad!$K$28))</f>
        <v/>
      </c>
      <c r="K1110">
        <f>IF(D1110="V01",cad!$I$29,IF(D1110="V02",cad!$J$29,cad!$K$29))</f>
        <v/>
      </c>
      <c r="L1110">
        <f>IF(D1110="V01",cad!$I$30,IF(D1110="V02",cad!$J$30,cad!$K$30))</f>
        <v/>
      </c>
      <c r="M1110">
        <f>IF(D1110="V01",cad!$I$31,IF(D1110="V02",cad!$J$31,cad!$K$31))</f>
        <v/>
      </c>
      <c r="N1110">
        <f>IF(D1110="V01",$R$2,IF(D1110="V02",$R$3,$R$4))</f>
        <v/>
      </c>
      <c r="O1110">
        <f>IF(OR(B1110="7062",B1110="706",B1110="708"),N1110,IF(B1110="6231",1+G1110,IF(B1110="6236",1+H1110,IF(OR(B1110="621",B1110="604",B1110="6063"),N1110*(1-L1110),IF(OR(B1110="6411",B1110="6413",B1110="6414",B1110="645"),(1+J1110)*(1+K1110),IF(OR(B1110="613",B1110="615",B1110="616",B1110="6226",B1110="625",B1110="626",B1110="6281"),(1+I1110)*(1-L1110)*(1+M1110),IF(OR(B1110="6331",B1110="63511",B1110="6333"),(1+I1110)*(1-L1110),IF(B1110="6811",1+I1110,1))))))))</f>
        <v/>
      </c>
      <c r="P1110">
        <f>IF(E1110=1,F1110*O1110,"")</f>
        <v/>
      </c>
    </row>
    <row r="1111">
      <c r="A1111">
        <f>PNL!A1111</f>
        <v/>
      </c>
      <c r="B1111">
        <f>PNL!B1111</f>
        <v/>
      </c>
      <c r="C1111">
        <f>PNL!C1111</f>
        <v/>
      </c>
      <c r="D1111">
        <f>PNL!D1111</f>
        <v/>
      </c>
      <c r="E1111">
        <f>IF(AND(C1111="2027",OR(D1111="V01",D1111="V02",D1111="V03")),1,0)</f>
        <v/>
      </c>
      <c r="F1111">
        <f>IF(E1111=1,SUMIFS(Compta!$F$2:$F$675,Compta!$A$2:$A$675,A1111,Compta!$B$2:$B$675,B1111,Compta!$C$2:$C$675,"2026"),0)</f>
        <v/>
      </c>
      <c r="G1111">
        <f>IF(D1111="V01",cad!$I$21,IF(D1111="V02",cad!$J$21,cad!$K$21))</f>
        <v/>
      </c>
      <c r="H1111">
        <f>IF(D1111="V01",cad!$I$22,IF(D1111="V02",cad!$J$22,cad!$K$22))</f>
        <v/>
      </c>
      <c r="I1111">
        <f>IF(D1111="V01",cad!$I$27,IF(D1111="V02",cad!$J$27,cad!$K$27))</f>
        <v/>
      </c>
      <c r="J1111">
        <f>IF(D1111="V01",cad!$I$28,IF(D1111="V02",cad!$J$28,cad!$K$28))</f>
        <v/>
      </c>
      <c r="K1111">
        <f>IF(D1111="V01",cad!$I$29,IF(D1111="V02",cad!$J$29,cad!$K$29))</f>
        <v/>
      </c>
      <c r="L1111">
        <f>IF(D1111="V01",cad!$I$30,IF(D1111="V02",cad!$J$30,cad!$K$30))</f>
        <v/>
      </c>
      <c r="M1111">
        <f>IF(D1111="V01",cad!$I$31,IF(D1111="V02",cad!$J$31,cad!$K$31))</f>
        <v/>
      </c>
      <c r="N1111">
        <f>IF(D1111="V01",$R$2,IF(D1111="V02",$R$3,$R$4))</f>
        <v/>
      </c>
      <c r="O1111">
        <f>IF(OR(B1111="7062",B1111="706",B1111="708"),N1111,IF(B1111="6231",1+G1111,IF(B1111="6236",1+H1111,IF(OR(B1111="621",B1111="604",B1111="6063"),N1111*(1-L1111),IF(OR(B1111="6411",B1111="6413",B1111="6414",B1111="645"),(1+J1111)*(1+K1111),IF(OR(B1111="613",B1111="615",B1111="616",B1111="6226",B1111="625",B1111="626",B1111="6281"),(1+I1111)*(1-L1111)*(1+M1111),IF(OR(B1111="6331",B1111="63511",B1111="6333"),(1+I1111)*(1-L1111),IF(B1111="6811",1+I1111,1))))))))</f>
        <v/>
      </c>
      <c r="P1111">
        <f>IF(E1111=1,F1111*O1111,"")</f>
        <v/>
      </c>
    </row>
    <row r="1112">
      <c r="A1112">
        <f>PNL!A1112</f>
        <v/>
      </c>
      <c r="B1112">
        <f>PNL!B1112</f>
        <v/>
      </c>
      <c r="C1112">
        <f>PNL!C1112</f>
        <v/>
      </c>
      <c r="D1112">
        <f>PNL!D1112</f>
        <v/>
      </c>
      <c r="E1112">
        <f>IF(AND(C1112="2027",OR(D1112="V01",D1112="V02",D1112="V03")),1,0)</f>
        <v/>
      </c>
      <c r="F1112">
        <f>IF(E1112=1,SUMIFS(Compta!$F$2:$F$675,Compta!$A$2:$A$675,A1112,Compta!$B$2:$B$675,B1112,Compta!$C$2:$C$675,"2026"),0)</f>
        <v/>
      </c>
      <c r="G1112">
        <f>IF(D1112="V01",cad!$I$21,IF(D1112="V02",cad!$J$21,cad!$K$21))</f>
        <v/>
      </c>
      <c r="H1112">
        <f>IF(D1112="V01",cad!$I$22,IF(D1112="V02",cad!$J$22,cad!$K$22))</f>
        <v/>
      </c>
      <c r="I1112">
        <f>IF(D1112="V01",cad!$I$27,IF(D1112="V02",cad!$J$27,cad!$K$27))</f>
        <v/>
      </c>
      <c r="J1112">
        <f>IF(D1112="V01",cad!$I$28,IF(D1112="V02",cad!$J$28,cad!$K$28))</f>
        <v/>
      </c>
      <c r="K1112">
        <f>IF(D1112="V01",cad!$I$29,IF(D1112="V02",cad!$J$29,cad!$K$29))</f>
        <v/>
      </c>
      <c r="L1112">
        <f>IF(D1112="V01",cad!$I$30,IF(D1112="V02",cad!$J$30,cad!$K$30))</f>
        <v/>
      </c>
      <c r="M1112">
        <f>IF(D1112="V01",cad!$I$31,IF(D1112="V02",cad!$J$31,cad!$K$31))</f>
        <v/>
      </c>
      <c r="N1112">
        <f>IF(D1112="V01",$R$2,IF(D1112="V02",$R$3,$R$4))</f>
        <v/>
      </c>
      <c r="O1112">
        <f>IF(OR(B1112="7062",B1112="706",B1112="708"),N1112,IF(B1112="6231",1+G1112,IF(B1112="6236",1+H1112,IF(OR(B1112="621",B1112="604",B1112="6063"),N1112*(1-L1112),IF(OR(B1112="6411",B1112="6413",B1112="6414",B1112="645"),(1+J1112)*(1+K1112),IF(OR(B1112="613",B1112="615",B1112="616",B1112="6226",B1112="625",B1112="626",B1112="6281"),(1+I1112)*(1-L1112)*(1+M1112),IF(OR(B1112="6331",B1112="63511",B1112="6333"),(1+I1112)*(1-L1112),IF(B1112="6811",1+I1112,1))))))))</f>
        <v/>
      </c>
      <c r="P1112">
        <f>IF(E1112=1,F1112*O1112,"")</f>
        <v/>
      </c>
    </row>
    <row r="1113">
      <c r="A1113">
        <f>PNL!A1113</f>
        <v/>
      </c>
      <c r="B1113">
        <f>PNL!B1113</f>
        <v/>
      </c>
      <c r="C1113">
        <f>PNL!C1113</f>
        <v/>
      </c>
      <c r="D1113">
        <f>PNL!D1113</f>
        <v/>
      </c>
      <c r="E1113">
        <f>IF(AND(C1113="2027",OR(D1113="V01",D1113="V02",D1113="V03")),1,0)</f>
        <v/>
      </c>
      <c r="F1113">
        <f>IF(E1113=1,SUMIFS(Compta!$F$2:$F$675,Compta!$A$2:$A$675,A1113,Compta!$B$2:$B$675,B1113,Compta!$C$2:$C$675,"2026"),0)</f>
        <v/>
      </c>
      <c r="G1113">
        <f>IF(D1113="V01",cad!$I$21,IF(D1113="V02",cad!$J$21,cad!$K$21))</f>
        <v/>
      </c>
      <c r="H1113">
        <f>IF(D1113="V01",cad!$I$22,IF(D1113="V02",cad!$J$22,cad!$K$22))</f>
        <v/>
      </c>
      <c r="I1113">
        <f>IF(D1113="V01",cad!$I$27,IF(D1113="V02",cad!$J$27,cad!$K$27))</f>
        <v/>
      </c>
      <c r="J1113">
        <f>IF(D1113="V01",cad!$I$28,IF(D1113="V02",cad!$J$28,cad!$K$28))</f>
        <v/>
      </c>
      <c r="K1113">
        <f>IF(D1113="V01",cad!$I$29,IF(D1113="V02",cad!$J$29,cad!$K$29))</f>
        <v/>
      </c>
      <c r="L1113">
        <f>IF(D1113="V01",cad!$I$30,IF(D1113="V02",cad!$J$30,cad!$K$30))</f>
        <v/>
      </c>
      <c r="M1113">
        <f>IF(D1113="V01",cad!$I$31,IF(D1113="V02",cad!$J$31,cad!$K$31))</f>
        <v/>
      </c>
      <c r="N1113">
        <f>IF(D1113="V01",$R$2,IF(D1113="V02",$R$3,$R$4))</f>
        <v/>
      </c>
      <c r="O1113">
        <f>IF(OR(B1113="7062",B1113="706",B1113="708"),N1113,IF(B1113="6231",1+G1113,IF(B1113="6236",1+H1113,IF(OR(B1113="621",B1113="604",B1113="6063"),N1113*(1-L1113),IF(OR(B1113="6411",B1113="6413",B1113="6414",B1113="645"),(1+J1113)*(1+K1113),IF(OR(B1113="613",B1113="615",B1113="616",B1113="6226",B1113="625",B1113="626",B1113="6281"),(1+I1113)*(1-L1113)*(1+M1113),IF(OR(B1113="6331",B1113="63511",B1113="6333"),(1+I1113)*(1-L1113),IF(B1113="6811",1+I1113,1))))))))</f>
        <v/>
      </c>
      <c r="P1113">
        <f>IF(E1113=1,F1113*O1113,"")</f>
        <v/>
      </c>
    </row>
    <row r="1114">
      <c r="A1114">
        <f>PNL!A1114</f>
        <v/>
      </c>
      <c r="B1114">
        <f>PNL!B1114</f>
        <v/>
      </c>
      <c r="C1114">
        <f>PNL!C1114</f>
        <v/>
      </c>
      <c r="D1114">
        <f>PNL!D1114</f>
        <v/>
      </c>
      <c r="E1114">
        <f>IF(AND(C1114="2027",OR(D1114="V01",D1114="V02",D1114="V03")),1,0)</f>
        <v/>
      </c>
      <c r="F1114">
        <f>IF(E1114=1,SUMIFS(Compta!$F$2:$F$675,Compta!$A$2:$A$675,A1114,Compta!$B$2:$B$675,B1114,Compta!$C$2:$C$675,"2026"),0)</f>
        <v/>
      </c>
      <c r="G1114">
        <f>IF(D1114="V01",cad!$I$21,IF(D1114="V02",cad!$J$21,cad!$K$21))</f>
        <v/>
      </c>
      <c r="H1114">
        <f>IF(D1114="V01",cad!$I$22,IF(D1114="V02",cad!$J$22,cad!$K$22))</f>
        <v/>
      </c>
      <c r="I1114">
        <f>IF(D1114="V01",cad!$I$27,IF(D1114="V02",cad!$J$27,cad!$K$27))</f>
        <v/>
      </c>
      <c r="J1114">
        <f>IF(D1114="V01",cad!$I$28,IF(D1114="V02",cad!$J$28,cad!$K$28))</f>
        <v/>
      </c>
      <c r="K1114">
        <f>IF(D1114="V01",cad!$I$29,IF(D1114="V02",cad!$J$29,cad!$K$29))</f>
        <v/>
      </c>
      <c r="L1114">
        <f>IF(D1114="V01",cad!$I$30,IF(D1114="V02",cad!$J$30,cad!$K$30))</f>
        <v/>
      </c>
      <c r="M1114">
        <f>IF(D1114="V01",cad!$I$31,IF(D1114="V02",cad!$J$31,cad!$K$31))</f>
        <v/>
      </c>
      <c r="N1114">
        <f>IF(D1114="V01",$R$2,IF(D1114="V02",$R$3,$R$4))</f>
        <v/>
      </c>
      <c r="O1114">
        <f>IF(OR(B1114="7062",B1114="706",B1114="708"),N1114,IF(B1114="6231",1+G1114,IF(B1114="6236",1+H1114,IF(OR(B1114="621",B1114="604",B1114="6063"),N1114*(1-L1114),IF(OR(B1114="6411",B1114="6413",B1114="6414",B1114="645"),(1+J1114)*(1+K1114),IF(OR(B1114="613",B1114="615",B1114="616",B1114="6226",B1114="625",B1114="626",B1114="6281"),(1+I1114)*(1-L1114)*(1+M1114),IF(OR(B1114="6331",B1114="63511",B1114="6333"),(1+I1114)*(1-L1114),IF(B1114="6811",1+I1114,1))))))))</f>
        <v/>
      </c>
      <c r="P1114">
        <f>IF(E1114=1,F1114*O1114,"")</f>
        <v/>
      </c>
    </row>
    <row r="1115">
      <c r="A1115">
        <f>PNL!A1115</f>
        <v/>
      </c>
      <c r="B1115">
        <f>PNL!B1115</f>
        <v/>
      </c>
      <c r="C1115">
        <f>PNL!C1115</f>
        <v/>
      </c>
      <c r="D1115">
        <f>PNL!D1115</f>
        <v/>
      </c>
      <c r="E1115">
        <f>IF(AND(C1115="2027",OR(D1115="V01",D1115="V02",D1115="V03")),1,0)</f>
        <v/>
      </c>
      <c r="F1115">
        <f>IF(E1115=1,SUMIFS(Compta!$F$2:$F$675,Compta!$A$2:$A$675,A1115,Compta!$B$2:$B$675,B1115,Compta!$C$2:$C$675,"2026"),0)</f>
        <v/>
      </c>
      <c r="G1115">
        <f>IF(D1115="V01",cad!$I$21,IF(D1115="V02",cad!$J$21,cad!$K$21))</f>
        <v/>
      </c>
      <c r="H1115">
        <f>IF(D1115="V01",cad!$I$22,IF(D1115="V02",cad!$J$22,cad!$K$22))</f>
        <v/>
      </c>
      <c r="I1115">
        <f>IF(D1115="V01",cad!$I$27,IF(D1115="V02",cad!$J$27,cad!$K$27))</f>
        <v/>
      </c>
      <c r="J1115">
        <f>IF(D1115="V01",cad!$I$28,IF(D1115="V02",cad!$J$28,cad!$K$28))</f>
        <v/>
      </c>
      <c r="K1115">
        <f>IF(D1115="V01",cad!$I$29,IF(D1115="V02",cad!$J$29,cad!$K$29))</f>
        <v/>
      </c>
      <c r="L1115">
        <f>IF(D1115="V01",cad!$I$30,IF(D1115="V02",cad!$J$30,cad!$K$30))</f>
        <v/>
      </c>
      <c r="M1115">
        <f>IF(D1115="V01",cad!$I$31,IF(D1115="V02",cad!$J$31,cad!$K$31))</f>
        <v/>
      </c>
      <c r="N1115">
        <f>IF(D1115="V01",$R$2,IF(D1115="V02",$R$3,$R$4))</f>
        <v/>
      </c>
      <c r="O1115">
        <f>IF(OR(B1115="7062",B1115="706",B1115="708"),N1115,IF(B1115="6231",1+G1115,IF(B1115="6236",1+H1115,IF(OR(B1115="621",B1115="604",B1115="6063"),N1115*(1-L1115),IF(OR(B1115="6411",B1115="6413",B1115="6414",B1115="645"),(1+J1115)*(1+K1115),IF(OR(B1115="613",B1115="615",B1115="616",B1115="6226",B1115="625",B1115="626",B1115="6281"),(1+I1115)*(1-L1115)*(1+M1115),IF(OR(B1115="6331",B1115="63511",B1115="6333"),(1+I1115)*(1-L1115),IF(B1115="6811",1+I1115,1))))))))</f>
        <v/>
      </c>
      <c r="P1115">
        <f>IF(E1115=1,F1115*O1115,"")</f>
        <v/>
      </c>
    </row>
    <row r="1116">
      <c r="A1116">
        <f>PNL!A1116</f>
        <v/>
      </c>
      <c r="B1116">
        <f>PNL!B1116</f>
        <v/>
      </c>
      <c r="C1116">
        <f>PNL!C1116</f>
        <v/>
      </c>
      <c r="D1116">
        <f>PNL!D1116</f>
        <v/>
      </c>
      <c r="E1116">
        <f>IF(AND(C1116="2027",OR(D1116="V01",D1116="V02",D1116="V03")),1,0)</f>
        <v/>
      </c>
      <c r="F1116">
        <f>IF(E1116=1,SUMIFS(Compta!$F$2:$F$675,Compta!$A$2:$A$675,A1116,Compta!$B$2:$B$675,B1116,Compta!$C$2:$C$675,"2026"),0)</f>
        <v/>
      </c>
      <c r="G1116">
        <f>IF(D1116="V01",cad!$I$21,IF(D1116="V02",cad!$J$21,cad!$K$21))</f>
        <v/>
      </c>
      <c r="H1116">
        <f>IF(D1116="V01",cad!$I$22,IF(D1116="V02",cad!$J$22,cad!$K$22))</f>
        <v/>
      </c>
      <c r="I1116">
        <f>IF(D1116="V01",cad!$I$27,IF(D1116="V02",cad!$J$27,cad!$K$27))</f>
        <v/>
      </c>
      <c r="J1116">
        <f>IF(D1116="V01",cad!$I$28,IF(D1116="V02",cad!$J$28,cad!$K$28))</f>
        <v/>
      </c>
      <c r="K1116">
        <f>IF(D1116="V01",cad!$I$29,IF(D1116="V02",cad!$J$29,cad!$K$29))</f>
        <v/>
      </c>
      <c r="L1116">
        <f>IF(D1116="V01",cad!$I$30,IF(D1116="V02",cad!$J$30,cad!$K$30))</f>
        <v/>
      </c>
      <c r="M1116">
        <f>IF(D1116="V01",cad!$I$31,IF(D1116="V02",cad!$J$31,cad!$K$31))</f>
        <v/>
      </c>
      <c r="N1116">
        <f>IF(D1116="V01",$R$2,IF(D1116="V02",$R$3,$R$4))</f>
        <v/>
      </c>
      <c r="O1116">
        <f>IF(OR(B1116="7062",B1116="706",B1116="708"),N1116,IF(B1116="6231",1+G1116,IF(B1116="6236",1+H1116,IF(OR(B1116="621",B1116="604",B1116="6063"),N1116*(1-L1116),IF(OR(B1116="6411",B1116="6413",B1116="6414",B1116="645"),(1+J1116)*(1+K1116),IF(OR(B1116="613",B1116="615",B1116="616",B1116="6226",B1116="625",B1116="626",B1116="6281"),(1+I1116)*(1-L1116)*(1+M1116),IF(OR(B1116="6331",B1116="63511",B1116="6333"),(1+I1116)*(1-L1116),IF(B1116="6811",1+I1116,1))))))))</f>
        <v/>
      </c>
      <c r="P1116">
        <f>IF(E1116=1,F1116*O1116,"")</f>
        <v/>
      </c>
    </row>
    <row r="1117">
      <c r="A1117">
        <f>PNL!A1117</f>
        <v/>
      </c>
      <c r="B1117">
        <f>PNL!B1117</f>
        <v/>
      </c>
      <c r="C1117">
        <f>PNL!C1117</f>
        <v/>
      </c>
      <c r="D1117">
        <f>PNL!D1117</f>
        <v/>
      </c>
      <c r="E1117">
        <f>IF(AND(C1117="2027",OR(D1117="V01",D1117="V02",D1117="V03")),1,0)</f>
        <v/>
      </c>
      <c r="F1117">
        <f>IF(E1117=1,SUMIFS(Compta!$F$2:$F$675,Compta!$A$2:$A$675,A1117,Compta!$B$2:$B$675,B1117,Compta!$C$2:$C$675,"2026"),0)</f>
        <v/>
      </c>
      <c r="G1117">
        <f>IF(D1117="V01",cad!$I$21,IF(D1117="V02",cad!$J$21,cad!$K$21))</f>
        <v/>
      </c>
      <c r="H1117">
        <f>IF(D1117="V01",cad!$I$22,IF(D1117="V02",cad!$J$22,cad!$K$22))</f>
        <v/>
      </c>
      <c r="I1117">
        <f>IF(D1117="V01",cad!$I$27,IF(D1117="V02",cad!$J$27,cad!$K$27))</f>
        <v/>
      </c>
      <c r="J1117">
        <f>IF(D1117="V01",cad!$I$28,IF(D1117="V02",cad!$J$28,cad!$K$28))</f>
        <v/>
      </c>
      <c r="K1117">
        <f>IF(D1117="V01",cad!$I$29,IF(D1117="V02",cad!$J$29,cad!$K$29))</f>
        <v/>
      </c>
      <c r="L1117">
        <f>IF(D1117="V01",cad!$I$30,IF(D1117="V02",cad!$J$30,cad!$K$30))</f>
        <v/>
      </c>
      <c r="M1117">
        <f>IF(D1117="V01",cad!$I$31,IF(D1117="V02",cad!$J$31,cad!$K$31))</f>
        <v/>
      </c>
      <c r="N1117">
        <f>IF(D1117="V01",$R$2,IF(D1117="V02",$R$3,$R$4))</f>
        <v/>
      </c>
      <c r="O1117">
        <f>IF(OR(B1117="7062",B1117="706",B1117="708"),N1117,IF(B1117="6231",1+G1117,IF(B1117="6236",1+H1117,IF(OR(B1117="621",B1117="604",B1117="6063"),N1117*(1-L1117),IF(OR(B1117="6411",B1117="6413",B1117="6414",B1117="645"),(1+J1117)*(1+K1117),IF(OR(B1117="613",B1117="615",B1117="616",B1117="6226",B1117="625",B1117="626",B1117="6281"),(1+I1117)*(1-L1117)*(1+M1117),IF(OR(B1117="6331",B1117="63511",B1117="6333"),(1+I1117)*(1-L1117),IF(B1117="6811",1+I1117,1))))))))</f>
        <v/>
      </c>
      <c r="P1117">
        <f>IF(E1117=1,F1117*O1117,"")</f>
        <v/>
      </c>
    </row>
    <row r="1118">
      <c r="A1118">
        <f>PNL!A1118</f>
        <v/>
      </c>
      <c r="B1118">
        <f>PNL!B1118</f>
        <v/>
      </c>
      <c r="C1118">
        <f>PNL!C1118</f>
        <v/>
      </c>
      <c r="D1118">
        <f>PNL!D1118</f>
        <v/>
      </c>
      <c r="E1118">
        <f>IF(AND(C1118="2027",OR(D1118="V01",D1118="V02",D1118="V03")),1,0)</f>
        <v/>
      </c>
      <c r="F1118">
        <f>IF(E1118=1,SUMIFS(Compta!$F$2:$F$675,Compta!$A$2:$A$675,A1118,Compta!$B$2:$B$675,B1118,Compta!$C$2:$C$675,"2026"),0)</f>
        <v/>
      </c>
      <c r="G1118">
        <f>IF(D1118="V01",cad!$I$21,IF(D1118="V02",cad!$J$21,cad!$K$21))</f>
        <v/>
      </c>
      <c r="H1118">
        <f>IF(D1118="V01",cad!$I$22,IF(D1118="V02",cad!$J$22,cad!$K$22))</f>
        <v/>
      </c>
      <c r="I1118">
        <f>IF(D1118="V01",cad!$I$27,IF(D1118="V02",cad!$J$27,cad!$K$27))</f>
        <v/>
      </c>
      <c r="J1118">
        <f>IF(D1118="V01",cad!$I$28,IF(D1118="V02",cad!$J$28,cad!$K$28))</f>
        <v/>
      </c>
      <c r="K1118">
        <f>IF(D1118="V01",cad!$I$29,IF(D1118="V02",cad!$J$29,cad!$K$29))</f>
        <v/>
      </c>
      <c r="L1118">
        <f>IF(D1118="V01",cad!$I$30,IF(D1118="V02",cad!$J$30,cad!$K$30))</f>
        <v/>
      </c>
      <c r="M1118">
        <f>IF(D1118="V01",cad!$I$31,IF(D1118="V02",cad!$J$31,cad!$K$31))</f>
        <v/>
      </c>
      <c r="N1118">
        <f>IF(D1118="V01",$R$2,IF(D1118="V02",$R$3,$R$4))</f>
        <v/>
      </c>
      <c r="O1118">
        <f>IF(OR(B1118="7062",B1118="706",B1118="708"),N1118,IF(B1118="6231",1+G1118,IF(B1118="6236",1+H1118,IF(OR(B1118="621",B1118="604",B1118="6063"),N1118*(1-L1118),IF(OR(B1118="6411",B1118="6413",B1118="6414",B1118="645"),(1+J1118)*(1+K1118),IF(OR(B1118="613",B1118="615",B1118="616",B1118="6226",B1118="625",B1118="626",B1118="6281"),(1+I1118)*(1-L1118)*(1+M1118),IF(OR(B1118="6331",B1118="63511",B1118="6333"),(1+I1118)*(1-L1118),IF(B1118="6811",1+I1118,1))))))))</f>
        <v/>
      </c>
      <c r="P1118">
        <f>IF(E1118=1,F1118*O1118,"")</f>
        <v/>
      </c>
    </row>
    <row r="1119">
      <c r="A1119">
        <f>PNL!A1119</f>
        <v/>
      </c>
      <c r="B1119">
        <f>PNL!B1119</f>
        <v/>
      </c>
      <c r="C1119">
        <f>PNL!C1119</f>
        <v/>
      </c>
      <c r="D1119">
        <f>PNL!D1119</f>
        <v/>
      </c>
      <c r="E1119">
        <f>IF(AND(C1119="2027",OR(D1119="V01",D1119="V02",D1119="V03")),1,0)</f>
        <v/>
      </c>
      <c r="F1119">
        <f>IF(E1119=1,SUMIFS(Compta!$F$2:$F$675,Compta!$A$2:$A$675,A1119,Compta!$B$2:$B$675,B1119,Compta!$C$2:$C$675,"2026"),0)</f>
        <v/>
      </c>
      <c r="G1119">
        <f>IF(D1119="V01",cad!$I$21,IF(D1119="V02",cad!$J$21,cad!$K$21))</f>
        <v/>
      </c>
      <c r="H1119">
        <f>IF(D1119="V01",cad!$I$22,IF(D1119="V02",cad!$J$22,cad!$K$22))</f>
        <v/>
      </c>
      <c r="I1119">
        <f>IF(D1119="V01",cad!$I$27,IF(D1119="V02",cad!$J$27,cad!$K$27))</f>
        <v/>
      </c>
      <c r="J1119">
        <f>IF(D1119="V01",cad!$I$28,IF(D1119="V02",cad!$J$28,cad!$K$28))</f>
        <v/>
      </c>
      <c r="K1119">
        <f>IF(D1119="V01",cad!$I$29,IF(D1119="V02",cad!$J$29,cad!$K$29))</f>
        <v/>
      </c>
      <c r="L1119">
        <f>IF(D1119="V01",cad!$I$30,IF(D1119="V02",cad!$J$30,cad!$K$30))</f>
        <v/>
      </c>
      <c r="M1119">
        <f>IF(D1119="V01",cad!$I$31,IF(D1119="V02",cad!$J$31,cad!$K$31))</f>
        <v/>
      </c>
      <c r="N1119">
        <f>IF(D1119="V01",$R$2,IF(D1119="V02",$R$3,$R$4))</f>
        <v/>
      </c>
      <c r="O1119">
        <f>IF(OR(B1119="7062",B1119="706",B1119="708"),N1119,IF(B1119="6231",1+G1119,IF(B1119="6236",1+H1119,IF(OR(B1119="621",B1119="604",B1119="6063"),N1119*(1-L1119),IF(OR(B1119="6411",B1119="6413",B1119="6414",B1119="645"),(1+J1119)*(1+K1119),IF(OR(B1119="613",B1119="615",B1119="616",B1119="6226",B1119="625",B1119="626",B1119="6281"),(1+I1119)*(1-L1119)*(1+M1119),IF(OR(B1119="6331",B1119="63511",B1119="6333"),(1+I1119)*(1-L1119),IF(B1119="6811",1+I1119,1))))))))</f>
        <v/>
      </c>
      <c r="P1119">
        <f>IF(E1119=1,F1119*O1119,"")</f>
        <v/>
      </c>
    </row>
    <row r="1120">
      <c r="A1120">
        <f>PNL!A1120</f>
        <v/>
      </c>
      <c r="B1120">
        <f>PNL!B1120</f>
        <v/>
      </c>
      <c r="C1120">
        <f>PNL!C1120</f>
        <v/>
      </c>
      <c r="D1120">
        <f>PNL!D1120</f>
        <v/>
      </c>
      <c r="E1120">
        <f>IF(AND(C1120="2027",OR(D1120="V01",D1120="V02",D1120="V03")),1,0)</f>
        <v/>
      </c>
      <c r="F1120">
        <f>IF(E1120=1,SUMIFS(Compta!$F$2:$F$675,Compta!$A$2:$A$675,A1120,Compta!$B$2:$B$675,B1120,Compta!$C$2:$C$675,"2026"),0)</f>
        <v/>
      </c>
      <c r="G1120">
        <f>IF(D1120="V01",cad!$I$21,IF(D1120="V02",cad!$J$21,cad!$K$21))</f>
        <v/>
      </c>
      <c r="H1120">
        <f>IF(D1120="V01",cad!$I$22,IF(D1120="V02",cad!$J$22,cad!$K$22))</f>
        <v/>
      </c>
      <c r="I1120">
        <f>IF(D1120="V01",cad!$I$27,IF(D1120="V02",cad!$J$27,cad!$K$27))</f>
        <v/>
      </c>
      <c r="J1120">
        <f>IF(D1120="V01",cad!$I$28,IF(D1120="V02",cad!$J$28,cad!$K$28))</f>
        <v/>
      </c>
      <c r="K1120">
        <f>IF(D1120="V01",cad!$I$29,IF(D1120="V02",cad!$J$29,cad!$K$29))</f>
        <v/>
      </c>
      <c r="L1120">
        <f>IF(D1120="V01",cad!$I$30,IF(D1120="V02",cad!$J$30,cad!$K$30))</f>
        <v/>
      </c>
      <c r="M1120">
        <f>IF(D1120="V01",cad!$I$31,IF(D1120="V02",cad!$J$31,cad!$K$31))</f>
        <v/>
      </c>
      <c r="N1120">
        <f>IF(D1120="V01",$R$2,IF(D1120="V02",$R$3,$R$4))</f>
        <v/>
      </c>
      <c r="O1120">
        <f>IF(OR(B1120="7062",B1120="706",B1120="708"),N1120,IF(B1120="6231",1+G1120,IF(B1120="6236",1+H1120,IF(OR(B1120="621",B1120="604",B1120="6063"),N1120*(1-L1120),IF(OR(B1120="6411",B1120="6413",B1120="6414",B1120="645"),(1+J1120)*(1+K1120),IF(OR(B1120="613",B1120="615",B1120="616",B1120="6226",B1120="625",B1120="626",B1120="6281"),(1+I1120)*(1-L1120)*(1+M1120),IF(OR(B1120="6331",B1120="63511",B1120="6333"),(1+I1120)*(1-L1120),IF(B1120="6811",1+I1120,1))))))))</f>
        <v/>
      </c>
      <c r="P1120">
        <f>IF(E1120=1,F1120*O1120,"")</f>
        <v/>
      </c>
    </row>
    <row r="1121">
      <c r="A1121">
        <f>PNL!A1121</f>
        <v/>
      </c>
      <c r="B1121">
        <f>PNL!B1121</f>
        <v/>
      </c>
      <c r="C1121">
        <f>PNL!C1121</f>
        <v/>
      </c>
      <c r="D1121">
        <f>PNL!D1121</f>
        <v/>
      </c>
      <c r="E1121">
        <f>IF(AND(C1121="2027",OR(D1121="V01",D1121="V02",D1121="V03")),1,0)</f>
        <v/>
      </c>
      <c r="F1121">
        <f>IF(E1121=1,SUMIFS(Compta!$F$2:$F$675,Compta!$A$2:$A$675,A1121,Compta!$B$2:$B$675,B1121,Compta!$C$2:$C$675,"2026"),0)</f>
        <v/>
      </c>
      <c r="G1121">
        <f>IF(D1121="V01",cad!$I$21,IF(D1121="V02",cad!$J$21,cad!$K$21))</f>
        <v/>
      </c>
      <c r="H1121">
        <f>IF(D1121="V01",cad!$I$22,IF(D1121="V02",cad!$J$22,cad!$K$22))</f>
        <v/>
      </c>
      <c r="I1121">
        <f>IF(D1121="V01",cad!$I$27,IF(D1121="V02",cad!$J$27,cad!$K$27))</f>
        <v/>
      </c>
      <c r="J1121">
        <f>IF(D1121="V01",cad!$I$28,IF(D1121="V02",cad!$J$28,cad!$K$28))</f>
        <v/>
      </c>
      <c r="K1121">
        <f>IF(D1121="V01",cad!$I$29,IF(D1121="V02",cad!$J$29,cad!$K$29))</f>
        <v/>
      </c>
      <c r="L1121">
        <f>IF(D1121="V01",cad!$I$30,IF(D1121="V02",cad!$J$30,cad!$K$30))</f>
        <v/>
      </c>
      <c r="M1121">
        <f>IF(D1121="V01",cad!$I$31,IF(D1121="V02",cad!$J$31,cad!$K$31))</f>
        <v/>
      </c>
      <c r="N1121">
        <f>IF(D1121="V01",$R$2,IF(D1121="V02",$R$3,$R$4))</f>
        <v/>
      </c>
      <c r="O1121">
        <f>IF(OR(B1121="7062",B1121="706",B1121="708"),N1121,IF(B1121="6231",1+G1121,IF(B1121="6236",1+H1121,IF(OR(B1121="621",B1121="604",B1121="6063"),N1121*(1-L1121),IF(OR(B1121="6411",B1121="6413",B1121="6414",B1121="645"),(1+J1121)*(1+K1121),IF(OR(B1121="613",B1121="615",B1121="616",B1121="6226",B1121="625",B1121="626",B1121="6281"),(1+I1121)*(1-L1121)*(1+M1121),IF(OR(B1121="6331",B1121="63511",B1121="6333"),(1+I1121)*(1-L1121),IF(B1121="6811",1+I1121,1))))))))</f>
        <v/>
      </c>
      <c r="P1121">
        <f>IF(E1121=1,F1121*O1121,"")</f>
        <v/>
      </c>
    </row>
    <row r="1122">
      <c r="A1122">
        <f>PNL!A1122</f>
        <v/>
      </c>
      <c r="B1122">
        <f>PNL!B1122</f>
        <v/>
      </c>
      <c r="C1122">
        <f>PNL!C1122</f>
        <v/>
      </c>
      <c r="D1122">
        <f>PNL!D1122</f>
        <v/>
      </c>
      <c r="E1122">
        <f>IF(AND(C1122="2027",OR(D1122="V01",D1122="V02",D1122="V03")),1,0)</f>
        <v/>
      </c>
      <c r="F1122">
        <f>IF(E1122=1,SUMIFS(Compta!$F$2:$F$675,Compta!$A$2:$A$675,A1122,Compta!$B$2:$B$675,B1122,Compta!$C$2:$C$675,"2026"),0)</f>
        <v/>
      </c>
      <c r="G1122">
        <f>IF(D1122="V01",cad!$I$21,IF(D1122="V02",cad!$J$21,cad!$K$21))</f>
        <v/>
      </c>
      <c r="H1122">
        <f>IF(D1122="V01",cad!$I$22,IF(D1122="V02",cad!$J$22,cad!$K$22))</f>
        <v/>
      </c>
      <c r="I1122">
        <f>IF(D1122="V01",cad!$I$27,IF(D1122="V02",cad!$J$27,cad!$K$27))</f>
        <v/>
      </c>
      <c r="J1122">
        <f>IF(D1122="V01",cad!$I$28,IF(D1122="V02",cad!$J$28,cad!$K$28))</f>
        <v/>
      </c>
      <c r="K1122">
        <f>IF(D1122="V01",cad!$I$29,IF(D1122="V02",cad!$J$29,cad!$K$29))</f>
        <v/>
      </c>
      <c r="L1122">
        <f>IF(D1122="V01",cad!$I$30,IF(D1122="V02",cad!$J$30,cad!$K$30))</f>
        <v/>
      </c>
      <c r="M1122">
        <f>IF(D1122="V01",cad!$I$31,IF(D1122="V02",cad!$J$31,cad!$K$31))</f>
        <v/>
      </c>
      <c r="N1122">
        <f>IF(D1122="V01",$R$2,IF(D1122="V02",$R$3,$R$4))</f>
        <v/>
      </c>
      <c r="O1122">
        <f>IF(OR(B1122="7062",B1122="706",B1122="708"),N1122,IF(B1122="6231",1+G1122,IF(B1122="6236",1+H1122,IF(OR(B1122="621",B1122="604",B1122="6063"),N1122*(1-L1122),IF(OR(B1122="6411",B1122="6413",B1122="6414",B1122="645"),(1+J1122)*(1+K1122),IF(OR(B1122="613",B1122="615",B1122="616",B1122="6226",B1122="625",B1122="626",B1122="6281"),(1+I1122)*(1-L1122)*(1+M1122),IF(OR(B1122="6331",B1122="63511",B1122="6333"),(1+I1122)*(1-L1122),IF(B1122="6811",1+I1122,1))))))))</f>
        <v/>
      </c>
      <c r="P1122">
        <f>IF(E1122=1,F1122*O1122,"")</f>
        <v/>
      </c>
    </row>
    <row r="1123">
      <c r="A1123">
        <f>PNL!A1123</f>
        <v/>
      </c>
      <c r="B1123">
        <f>PNL!B1123</f>
        <v/>
      </c>
      <c r="C1123">
        <f>PNL!C1123</f>
        <v/>
      </c>
      <c r="D1123">
        <f>PNL!D1123</f>
        <v/>
      </c>
      <c r="E1123">
        <f>IF(AND(C1123="2027",OR(D1123="V01",D1123="V02",D1123="V03")),1,0)</f>
        <v/>
      </c>
      <c r="F1123">
        <f>IF(E1123=1,SUMIFS(Compta!$F$2:$F$675,Compta!$A$2:$A$675,A1123,Compta!$B$2:$B$675,B1123,Compta!$C$2:$C$675,"2026"),0)</f>
        <v/>
      </c>
      <c r="G1123">
        <f>IF(D1123="V01",cad!$I$21,IF(D1123="V02",cad!$J$21,cad!$K$21))</f>
        <v/>
      </c>
      <c r="H1123">
        <f>IF(D1123="V01",cad!$I$22,IF(D1123="V02",cad!$J$22,cad!$K$22))</f>
        <v/>
      </c>
      <c r="I1123">
        <f>IF(D1123="V01",cad!$I$27,IF(D1123="V02",cad!$J$27,cad!$K$27))</f>
        <v/>
      </c>
      <c r="J1123">
        <f>IF(D1123="V01",cad!$I$28,IF(D1123="V02",cad!$J$28,cad!$K$28))</f>
        <v/>
      </c>
      <c r="K1123">
        <f>IF(D1123="V01",cad!$I$29,IF(D1123="V02",cad!$J$29,cad!$K$29))</f>
        <v/>
      </c>
      <c r="L1123">
        <f>IF(D1123="V01",cad!$I$30,IF(D1123="V02",cad!$J$30,cad!$K$30))</f>
        <v/>
      </c>
      <c r="M1123">
        <f>IF(D1123="V01",cad!$I$31,IF(D1123="V02",cad!$J$31,cad!$K$31))</f>
        <v/>
      </c>
      <c r="N1123">
        <f>IF(D1123="V01",$R$2,IF(D1123="V02",$R$3,$R$4))</f>
        <v/>
      </c>
      <c r="O1123">
        <f>IF(OR(B1123="7062",B1123="706",B1123="708"),N1123,IF(B1123="6231",1+G1123,IF(B1123="6236",1+H1123,IF(OR(B1123="621",B1123="604",B1123="6063"),N1123*(1-L1123),IF(OR(B1123="6411",B1123="6413",B1123="6414",B1123="645"),(1+J1123)*(1+K1123),IF(OR(B1123="613",B1123="615",B1123="616",B1123="6226",B1123="625",B1123="626",B1123="6281"),(1+I1123)*(1-L1123)*(1+M1123),IF(OR(B1123="6331",B1123="63511",B1123="6333"),(1+I1123)*(1-L1123),IF(B1123="6811",1+I1123,1))))))))</f>
        <v/>
      </c>
      <c r="P1123">
        <f>IF(E1123=1,F1123*O1123,"")</f>
        <v/>
      </c>
    </row>
    <row r="1124">
      <c r="A1124">
        <f>PNL!A1124</f>
        <v/>
      </c>
      <c r="B1124">
        <f>PNL!B1124</f>
        <v/>
      </c>
      <c r="C1124">
        <f>PNL!C1124</f>
        <v/>
      </c>
      <c r="D1124">
        <f>PNL!D1124</f>
        <v/>
      </c>
      <c r="E1124">
        <f>IF(AND(C1124="2027",OR(D1124="V01",D1124="V02",D1124="V03")),1,0)</f>
        <v/>
      </c>
      <c r="F1124">
        <f>IF(E1124=1,SUMIFS(Compta!$F$2:$F$675,Compta!$A$2:$A$675,A1124,Compta!$B$2:$B$675,B1124,Compta!$C$2:$C$675,"2026"),0)</f>
        <v/>
      </c>
      <c r="G1124">
        <f>IF(D1124="V01",cad!$I$21,IF(D1124="V02",cad!$J$21,cad!$K$21))</f>
        <v/>
      </c>
      <c r="H1124">
        <f>IF(D1124="V01",cad!$I$22,IF(D1124="V02",cad!$J$22,cad!$K$22))</f>
        <v/>
      </c>
      <c r="I1124">
        <f>IF(D1124="V01",cad!$I$27,IF(D1124="V02",cad!$J$27,cad!$K$27))</f>
        <v/>
      </c>
      <c r="J1124">
        <f>IF(D1124="V01",cad!$I$28,IF(D1124="V02",cad!$J$28,cad!$K$28))</f>
        <v/>
      </c>
      <c r="K1124">
        <f>IF(D1124="V01",cad!$I$29,IF(D1124="V02",cad!$J$29,cad!$K$29))</f>
        <v/>
      </c>
      <c r="L1124">
        <f>IF(D1124="V01",cad!$I$30,IF(D1124="V02",cad!$J$30,cad!$K$30))</f>
        <v/>
      </c>
      <c r="M1124">
        <f>IF(D1124="V01",cad!$I$31,IF(D1124="V02",cad!$J$31,cad!$K$31))</f>
        <v/>
      </c>
      <c r="N1124">
        <f>IF(D1124="V01",$R$2,IF(D1124="V02",$R$3,$R$4))</f>
        <v/>
      </c>
      <c r="O1124">
        <f>IF(OR(B1124="7062",B1124="706",B1124="708"),N1124,IF(B1124="6231",1+G1124,IF(B1124="6236",1+H1124,IF(OR(B1124="621",B1124="604",B1124="6063"),N1124*(1-L1124),IF(OR(B1124="6411",B1124="6413",B1124="6414",B1124="645"),(1+J1124)*(1+K1124),IF(OR(B1124="613",B1124="615",B1124="616",B1124="6226",B1124="625",B1124="626",B1124="6281"),(1+I1124)*(1-L1124)*(1+M1124),IF(OR(B1124="6331",B1124="63511",B1124="6333"),(1+I1124)*(1-L1124),IF(B1124="6811",1+I1124,1))))))))</f>
        <v/>
      </c>
      <c r="P1124">
        <f>IF(E1124=1,F1124*O1124,"")</f>
        <v/>
      </c>
    </row>
    <row r="1125">
      <c r="A1125">
        <f>PNL!A1125</f>
        <v/>
      </c>
      <c r="B1125">
        <f>PNL!B1125</f>
        <v/>
      </c>
      <c r="C1125">
        <f>PNL!C1125</f>
        <v/>
      </c>
      <c r="D1125">
        <f>PNL!D1125</f>
        <v/>
      </c>
      <c r="E1125">
        <f>IF(AND(C1125="2027",OR(D1125="V01",D1125="V02",D1125="V03")),1,0)</f>
        <v/>
      </c>
      <c r="F1125">
        <f>IF(E1125=1,SUMIFS(Compta!$F$2:$F$675,Compta!$A$2:$A$675,A1125,Compta!$B$2:$B$675,B1125,Compta!$C$2:$C$675,"2026"),0)</f>
        <v/>
      </c>
      <c r="G1125">
        <f>IF(D1125="V01",cad!$I$21,IF(D1125="V02",cad!$J$21,cad!$K$21))</f>
        <v/>
      </c>
      <c r="H1125">
        <f>IF(D1125="V01",cad!$I$22,IF(D1125="V02",cad!$J$22,cad!$K$22))</f>
        <v/>
      </c>
      <c r="I1125">
        <f>IF(D1125="V01",cad!$I$27,IF(D1125="V02",cad!$J$27,cad!$K$27))</f>
        <v/>
      </c>
      <c r="J1125">
        <f>IF(D1125="V01",cad!$I$28,IF(D1125="V02",cad!$J$28,cad!$K$28))</f>
        <v/>
      </c>
      <c r="K1125">
        <f>IF(D1125="V01",cad!$I$29,IF(D1125="V02",cad!$J$29,cad!$K$29))</f>
        <v/>
      </c>
      <c r="L1125">
        <f>IF(D1125="V01",cad!$I$30,IF(D1125="V02",cad!$J$30,cad!$K$30))</f>
        <v/>
      </c>
      <c r="M1125">
        <f>IF(D1125="V01",cad!$I$31,IF(D1125="V02",cad!$J$31,cad!$K$31))</f>
        <v/>
      </c>
      <c r="N1125">
        <f>IF(D1125="V01",$R$2,IF(D1125="V02",$R$3,$R$4))</f>
        <v/>
      </c>
      <c r="O1125">
        <f>IF(OR(B1125="7062",B1125="706",B1125="708"),N1125,IF(B1125="6231",1+G1125,IF(B1125="6236",1+H1125,IF(OR(B1125="621",B1125="604",B1125="6063"),N1125*(1-L1125),IF(OR(B1125="6411",B1125="6413",B1125="6414",B1125="645"),(1+J1125)*(1+K1125),IF(OR(B1125="613",B1125="615",B1125="616",B1125="6226",B1125="625",B1125="626",B1125="6281"),(1+I1125)*(1-L1125)*(1+M1125),IF(OR(B1125="6331",B1125="63511",B1125="6333"),(1+I1125)*(1-L1125),IF(B1125="6811",1+I1125,1))))))))</f>
        <v/>
      </c>
      <c r="P1125">
        <f>IF(E1125=1,F1125*O1125,"")</f>
        <v/>
      </c>
    </row>
    <row r="1126">
      <c r="A1126">
        <f>PNL!A1126</f>
        <v/>
      </c>
      <c r="B1126">
        <f>PNL!B1126</f>
        <v/>
      </c>
      <c r="C1126">
        <f>PNL!C1126</f>
        <v/>
      </c>
      <c r="D1126">
        <f>PNL!D1126</f>
        <v/>
      </c>
      <c r="E1126">
        <f>IF(AND(C1126="2027",OR(D1126="V01",D1126="V02",D1126="V03")),1,0)</f>
        <v/>
      </c>
      <c r="F1126">
        <f>IF(E1126=1,SUMIFS(Compta!$F$2:$F$675,Compta!$A$2:$A$675,A1126,Compta!$B$2:$B$675,B1126,Compta!$C$2:$C$675,"2026"),0)</f>
        <v/>
      </c>
      <c r="G1126">
        <f>IF(D1126="V01",cad!$I$21,IF(D1126="V02",cad!$J$21,cad!$K$21))</f>
        <v/>
      </c>
      <c r="H1126">
        <f>IF(D1126="V01",cad!$I$22,IF(D1126="V02",cad!$J$22,cad!$K$22))</f>
        <v/>
      </c>
      <c r="I1126">
        <f>IF(D1126="V01",cad!$I$27,IF(D1126="V02",cad!$J$27,cad!$K$27))</f>
        <v/>
      </c>
      <c r="J1126">
        <f>IF(D1126="V01",cad!$I$28,IF(D1126="V02",cad!$J$28,cad!$K$28))</f>
        <v/>
      </c>
      <c r="K1126">
        <f>IF(D1126="V01",cad!$I$29,IF(D1126="V02",cad!$J$29,cad!$K$29))</f>
        <v/>
      </c>
      <c r="L1126">
        <f>IF(D1126="V01",cad!$I$30,IF(D1126="V02",cad!$J$30,cad!$K$30))</f>
        <v/>
      </c>
      <c r="M1126">
        <f>IF(D1126="V01",cad!$I$31,IF(D1126="V02",cad!$J$31,cad!$K$31))</f>
        <v/>
      </c>
      <c r="N1126">
        <f>IF(D1126="V01",$R$2,IF(D1126="V02",$R$3,$R$4))</f>
        <v/>
      </c>
      <c r="O1126">
        <f>IF(OR(B1126="7062",B1126="706",B1126="708"),N1126,IF(B1126="6231",1+G1126,IF(B1126="6236",1+H1126,IF(OR(B1126="621",B1126="604",B1126="6063"),N1126*(1-L1126),IF(OR(B1126="6411",B1126="6413",B1126="6414",B1126="645"),(1+J1126)*(1+K1126),IF(OR(B1126="613",B1126="615",B1126="616",B1126="6226",B1126="625",B1126="626",B1126="6281"),(1+I1126)*(1-L1126)*(1+M1126),IF(OR(B1126="6331",B1126="63511",B1126="6333"),(1+I1126)*(1-L1126),IF(B1126="6811",1+I1126,1))))))))</f>
        <v/>
      </c>
      <c r="P1126">
        <f>IF(E1126=1,F1126*O1126,"")</f>
        <v/>
      </c>
    </row>
    <row r="1127">
      <c r="A1127">
        <f>PNL!A1127</f>
        <v/>
      </c>
      <c r="B1127">
        <f>PNL!B1127</f>
        <v/>
      </c>
      <c r="C1127">
        <f>PNL!C1127</f>
        <v/>
      </c>
      <c r="D1127">
        <f>PNL!D1127</f>
        <v/>
      </c>
      <c r="E1127">
        <f>IF(AND(C1127="2027",OR(D1127="V01",D1127="V02",D1127="V03")),1,0)</f>
        <v/>
      </c>
      <c r="F1127">
        <f>IF(E1127=1,SUMIFS(Compta!$F$2:$F$675,Compta!$A$2:$A$675,A1127,Compta!$B$2:$B$675,B1127,Compta!$C$2:$C$675,"2026"),0)</f>
        <v/>
      </c>
      <c r="G1127">
        <f>IF(D1127="V01",cad!$I$21,IF(D1127="V02",cad!$J$21,cad!$K$21))</f>
        <v/>
      </c>
      <c r="H1127">
        <f>IF(D1127="V01",cad!$I$22,IF(D1127="V02",cad!$J$22,cad!$K$22))</f>
        <v/>
      </c>
      <c r="I1127">
        <f>IF(D1127="V01",cad!$I$27,IF(D1127="V02",cad!$J$27,cad!$K$27))</f>
        <v/>
      </c>
      <c r="J1127">
        <f>IF(D1127="V01",cad!$I$28,IF(D1127="V02",cad!$J$28,cad!$K$28))</f>
        <v/>
      </c>
      <c r="K1127">
        <f>IF(D1127="V01",cad!$I$29,IF(D1127="V02",cad!$J$29,cad!$K$29))</f>
        <v/>
      </c>
      <c r="L1127">
        <f>IF(D1127="V01",cad!$I$30,IF(D1127="V02",cad!$J$30,cad!$K$30))</f>
        <v/>
      </c>
      <c r="M1127">
        <f>IF(D1127="V01",cad!$I$31,IF(D1127="V02",cad!$J$31,cad!$K$31))</f>
        <v/>
      </c>
      <c r="N1127">
        <f>IF(D1127="V01",$R$2,IF(D1127="V02",$R$3,$R$4))</f>
        <v/>
      </c>
      <c r="O1127">
        <f>IF(OR(B1127="7062",B1127="706",B1127="708"),N1127,IF(B1127="6231",1+G1127,IF(B1127="6236",1+H1127,IF(OR(B1127="621",B1127="604",B1127="6063"),N1127*(1-L1127),IF(OR(B1127="6411",B1127="6413",B1127="6414",B1127="645"),(1+J1127)*(1+K1127),IF(OR(B1127="613",B1127="615",B1127="616",B1127="6226",B1127="625",B1127="626",B1127="6281"),(1+I1127)*(1-L1127)*(1+M1127),IF(OR(B1127="6331",B1127="63511",B1127="6333"),(1+I1127)*(1-L1127),IF(B1127="6811",1+I1127,1))))))))</f>
        <v/>
      </c>
      <c r="P1127">
        <f>IF(E1127=1,F1127*O1127,"")</f>
        <v/>
      </c>
    </row>
    <row r="1128">
      <c r="A1128">
        <f>PNL!A1128</f>
        <v/>
      </c>
      <c r="B1128">
        <f>PNL!B1128</f>
        <v/>
      </c>
      <c r="C1128">
        <f>PNL!C1128</f>
        <v/>
      </c>
      <c r="D1128">
        <f>PNL!D1128</f>
        <v/>
      </c>
      <c r="E1128">
        <f>IF(AND(C1128="2027",OR(D1128="V01",D1128="V02",D1128="V03")),1,0)</f>
        <v/>
      </c>
      <c r="F1128">
        <f>IF(E1128=1,SUMIFS(Compta!$F$2:$F$675,Compta!$A$2:$A$675,A1128,Compta!$B$2:$B$675,B1128,Compta!$C$2:$C$675,"2026"),0)</f>
        <v/>
      </c>
      <c r="G1128">
        <f>IF(D1128="V01",cad!$I$21,IF(D1128="V02",cad!$J$21,cad!$K$21))</f>
        <v/>
      </c>
      <c r="H1128">
        <f>IF(D1128="V01",cad!$I$22,IF(D1128="V02",cad!$J$22,cad!$K$22))</f>
        <v/>
      </c>
      <c r="I1128">
        <f>IF(D1128="V01",cad!$I$27,IF(D1128="V02",cad!$J$27,cad!$K$27))</f>
        <v/>
      </c>
      <c r="J1128">
        <f>IF(D1128="V01",cad!$I$28,IF(D1128="V02",cad!$J$28,cad!$K$28))</f>
        <v/>
      </c>
      <c r="K1128">
        <f>IF(D1128="V01",cad!$I$29,IF(D1128="V02",cad!$J$29,cad!$K$29))</f>
        <v/>
      </c>
      <c r="L1128">
        <f>IF(D1128="V01",cad!$I$30,IF(D1128="V02",cad!$J$30,cad!$K$30))</f>
        <v/>
      </c>
      <c r="M1128">
        <f>IF(D1128="V01",cad!$I$31,IF(D1128="V02",cad!$J$31,cad!$K$31))</f>
        <v/>
      </c>
      <c r="N1128">
        <f>IF(D1128="V01",$R$2,IF(D1128="V02",$R$3,$R$4))</f>
        <v/>
      </c>
      <c r="O1128">
        <f>IF(OR(B1128="7062",B1128="706",B1128="708"),N1128,IF(B1128="6231",1+G1128,IF(B1128="6236",1+H1128,IF(OR(B1128="621",B1128="604",B1128="6063"),N1128*(1-L1128),IF(OR(B1128="6411",B1128="6413",B1128="6414",B1128="645"),(1+J1128)*(1+K1128),IF(OR(B1128="613",B1128="615",B1128="616",B1128="6226",B1128="625",B1128="626",B1128="6281"),(1+I1128)*(1-L1128)*(1+M1128),IF(OR(B1128="6331",B1128="63511",B1128="6333"),(1+I1128)*(1-L1128),IF(B1128="6811",1+I1128,1))))))))</f>
        <v/>
      </c>
      <c r="P1128">
        <f>IF(E1128=1,F1128*O1128,"")</f>
        <v/>
      </c>
    </row>
    <row r="1129">
      <c r="A1129">
        <f>PNL!A1129</f>
        <v/>
      </c>
      <c r="B1129">
        <f>PNL!B1129</f>
        <v/>
      </c>
      <c r="C1129">
        <f>PNL!C1129</f>
        <v/>
      </c>
      <c r="D1129">
        <f>PNL!D1129</f>
        <v/>
      </c>
      <c r="E1129">
        <f>IF(AND(C1129="2027",OR(D1129="V01",D1129="V02",D1129="V03")),1,0)</f>
        <v/>
      </c>
      <c r="F1129">
        <f>IF(E1129=1,SUMIFS(Compta!$F$2:$F$675,Compta!$A$2:$A$675,A1129,Compta!$B$2:$B$675,B1129,Compta!$C$2:$C$675,"2026"),0)</f>
        <v/>
      </c>
      <c r="G1129">
        <f>IF(D1129="V01",cad!$I$21,IF(D1129="V02",cad!$J$21,cad!$K$21))</f>
        <v/>
      </c>
      <c r="H1129">
        <f>IF(D1129="V01",cad!$I$22,IF(D1129="V02",cad!$J$22,cad!$K$22))</f>
        <v/>
      </c>
      <c r="I1129">
        <f>IF(D1129="V01",cad!$I$27,IF(D1129="V02",cad!$J$27,cad!$K$27))</f>
        <v/>
      </c>
      <c r="J1129">
        <f>IF(D1129="V01",cad!$I$28,IF(D1129="V02",cad!$J$28,cad!$K$28))</f>
        <v/>
      </c>
      <c r="K1129">
        <f>IF(D1129="V01",cad!$I$29,IF(D1129="V02",cad!$J$29,cad!$K$29))</f>
        <v/>
      </c>
      <c r="L1129">
        <f>IF(D1129="V01",cad!$I$30,IF(D1129="V02",cad!$J$30,cad!$K$30))</f>
        <v/>
      </c>
      <c r="M1129">
        <f>IF(D1129="V01",cad!$I$31,IF(D1129="V02",cad!$J$31,cad!$K$31))</f>
        <v/>
      </c>
      <c r="N1129">
        <f>IF(D1129="V01",$R$2,IF(D1129="V02",$R$3,$R$4))</f>
        <v/>
      </c>
      <c r="O1129">
        <f>IF(OR(B1129="7062",B1129="706",B1129="708"),N1129,IF(B1129="6231",1+G1129,IF(B1129="6236",1+H1129,IF(OR(B1129="621",B1129="604",B1129="6063"),N1129*(1-L1129),IF(OR(B1129="6411",B1129="6413",B1129="6414",B1129="645"),(1+J1129)*(1+K1129),IF(OR(B1129="613",B1129="615",B1129="616",B1129="6226",B1129="625",B1129="626",B1129="6281"),(1+I1129)*(1-L1129)*(1+M1129),IF(OR(B1129="6331",B1129="63511",B1129="6333"),(1+I1129)*(1-L1129),IF(B1129="6811",1+I1129,1))))))))</f>
        <v/>
      </c>
      <c r="P1129">
        <f>IF(E1129=1,F1129*O1129,"")</f>
        <v/>
      </c>
    </row>
    <row r="1130">
      <c r="A1130">
        <f>PNL!A1130</f>
        <v/>
      </c>
      <c r="B1130">
        <f>PNL!B1130</f>
        <v/>
      </c>
      <c r="C1130">
        <f>PNL!C1130</f>
        <v/>
      </c>
      <c r="D1130">
        <f>PNL!D1130</f>
        <v/>
      </c>
      <c r="E1130">
        <f>IF(AND(C1130="2027",OR(D1130="V01",D1130="V02",D1130="V03")),1,0)</f>
        <v/>
      </c>
      <c r="F1130">
        <f>IF(E1130=1,SUMIFS(Compta!$F$2:$F$675,Compta!$A$2:$A$675,A1130,Compta!$B$2:$B$675,B1130,Compta!$C$2:$C$675,"2026"),0)</f>
        <v/>
      </c>
      <c r="G1130">
        <f>IF(D1130="V01",cad!$I$21,IF(D1130="V02",cad!$J$21,cad!$K$21))</f>
        <v/>
      </c>
      <c r="H1130">
        <f>IF(D1130="V01",cad!$I$22,IF(D1130="V02",cad!$J$22,cad!$K$22))</f>
        <v/>
      </c>
      <c r="I1130">
        <f>IF(D1130="V01",cad!$I$27,IF(D1130="V02",cad!$J$27,cad!$K$27))</f>
        <v/>
      </c>
      <c r="J1130">
        <f>IF(D1130="V01",cad!$I$28,IF(D1130="V02",cad!$J$28,cad!$K$28))</f>
        <v/>
      </c>
      <c r="K1130">
        <f>IF(D1130="V01",cad!$I$29,IF(D1130="V02",cad!$J$29,cad!$K$29))</f>
        <v/>
      </c>
      <c r="L1130">
        <f>IF(D1130="V01",cad!$I$30,IF(D1130="V02",cad!$J$30,cad!$K$30))</f>
        <v/>
      </c>
      <c r="M1130">
        <f>IF(D1130="V01",cad!$I$31,IF(D1130="V02",cad!$J$31,cad!$K$31))</f>
        <v/>
      </c>
      <c r="N1130">
        <f>IF(D1130="V01",$R$2,IF(D1130="V02",$R$3,$R$4))</f>
        <v/>
      </c>
      <c r="O1130">
        <f>IF(OR(B1130="7062",B1130="706",B1130="708"),N1130,IF(B1130="6231",1+G1130,IF(B1130="6236",1+H1130,IF(OR(B1130="621",B1130="604",B1130="6063"),N1130*(1-L1130),IF(OR(B1130="6411",B1130="6413",B1130="6414",B1130="645"),(1+J1130)*(1+K1130),IF(OR(B1130="613",B1130="615",B1130="616",B1130="6226",B1130="625",B1130="626",B1130="6281"),(1+I1130)*(1-L1130)*(1+M1130),IF(OR(B1130="6331",B1130="63511",B1130="6333"),(1+I1130)*(1-L1130),IF(B1130="6811",1+I1130,1))))))))</f>
        <v/>
      </c>
      <c r="P1130">
        <f>IF(E1130=1,F1130*O1130,"")</f>
        <v/>
      </c>
    </row>
    <row r="1131">
      <c r="A1131">
        <f>PNL!A1131</f>
        <v/>
      </c>
      <c r="B1131">
        <f>PNL!B1131</f>
        <v/>
      </c>
      <c r="C1131">
        <f>PNL!C1131</f>
        <v/>
      </c>
      <c r="D1131">
        <f>PNL!D1131</f>
        <v/>
      </c>
      <c r="E1131">
        <f>IF(AND(C1131="2027",OR(D1131="V01",D1131="V02",D1131="V03")),1,0)</f>
        <v/>
      </c>
      <c r="F1131">
        <f>IF(E1131=1,SUMIFS(Compta!$F$2:$F$675,Compta!$A$2:$A$675,A1131,Compta!$B$2:$B$675,B1131,Compta!$C$2:$C$675,"2026"),0)</f>
        <v/>
      </c>
      <c r="G1131">
        <f>IF(D1131="V01",cad!$I$21,IF(D1131="V02",cad!$J$21,cad!$K$21))</f>
        <v/>
      </c>
      <c r="H1131">
        <f>IF(D1131="V01",cad!$I$22,IF(D1131="V02",cad!$J$22,cad!$K$22))</f>
        <v/>
      </c>
      <c r="I1131">
        <f>IF(D1131="V01",cad!$I$27,IF(D1131="V02",cad!$J$27,cad!$K$27))</f>
        <v/>
      </c>
      <c r="J1131">
        <f>IF(D1131="V01",cad!$I$28,IF(D1131="V02",cad!$J$28,cad!$K$28))</f>
        <v/>
      </c>
      <c r="K1131">
        <f>IF(D1131="V01",cad!$I$29,IF(D1131="V02",cad!$J$29,cad!$K$29))</f>
        <v/>
      </c>
      <c r="L1131">
        <f>IF(D1131="V01",cad!$I$30,IF(D1131="V02",cad!$J$30,cad!$K$30))</f>
        <v/>
      </c>
      <c r="M1131">
        <f>IF(D1131="V01",cad!$I$31,IF(D1131="V02",cad!$J$31,cad!$K$31))</f>
        <v/>
      </c>
      <c r="N1131">
        <f>IF(D1131="V01",$R$2,IF(D1131="V02",$R$3,$R$4))</f>
        <v/>
      </c>
      <c r="O1131">
        <f>IF(OR(B1131="7062",B1131="706",B1131="708"),N1131,IF(B1131="6231",1+G1131,IF(B1131="6236",1+H1131,IF(OR(B1131="621",B1131="604",B1131="6063"),N1131*(1-L1131),IF(OR(B1131="6411",B1131="6413",B1131="6414",B1131="645"),(1+J1131)*(1+K1131),IF(OR(B1131="613",B1131="615",B1131="616",B1131="6226",B1131="625",B1131="626",B1131="6281"),(1+I1131)*(1-L1131)*(1+M1131),IF(OR(B1131="6331",B1131="63511",B1131="6333"),(1+I1131)*(1-L1131),IF(B1131="6811",1+I1131,1))))))))</f>
        <v/>
      </c>
      <c r="P1131">
        <f>IF(E1131=1,F1131*O1131,"")</f>
        <v/>
      </c>
    </row>
    <row r="1132">
      <c r="A1132">
        <f>PNL!A1132</f>
        <v/>
      </c>
      <c r="B1132">
        <f>PNL!B1132</f>
        <v/>
      </c>
      <c r="C1132">
        <f>PNL!C1132</f>
        <v/>
      </c>
      <c r="D1132">
        <f>PNL!D1132</f>
        <v/>
      </c>
      <c r="E1132">
        <f>IF(AND(C1132="2027",OR(D1132="V01",D1132="V02",D1132="V03")),1,0)</f>
        <v/>
      </c>
      <c r="F1132">
        <f>IF(E1132=1,SUMIFS(Compta!$F$2:$F$675,Compta!$A$2:$A$675,A1132,Compta!$B$2:$B$675,B1132,Compta!$C$2:$C$675,"2026"),0)</f>
        <v/>
      </c>
      <c r="G1132">
        <f>IF(D1132="V01",cad!$I$21,IF(D1132="V02",cad!$J$21,cad!$K$21))</f>
        <v/>
      </c>
      <c r="H1132">
        <f>IF(D1132="V01",cad!$I$22,IF(D1132="V02",cad!$J$22,cad!$K$22))</f>
        <v/>
      </c>
      <c r="I1132">
        <f>IF(D1132="V01",cad!$I$27,IF(D1132="V02",cad!$J$27,cad!$K$27))</f>
        <v/>
      </c>
      <c r="J1132">
        <f>IF(D1132="V01",cad!$I$28,IF(D1132="V02",cad!$J$28,cad!$K$28))</f>
        <v/>
      </c>
      <c r="K1132">
        <f>IF(D1132="V01",cad!$I$29,IF(D1132="V02",cad!$J$29,cad!$K$29))</f>
        <v/>
      </c>
      <c r="L1132">
        <f>IF(D1132="V01",cad!$I$30,IF(D1132="V02",cad!$J$30,cad!$K$30))</f>
        <v/>
      </c>
      <c r="M1132">
        <f>IF(D1132="V01",cad!$I$31,IF(D1132="V02",cad!$J$31,cad!$K$31))</f>
        <v/>
      </c>
      <c r="N1132">
        <f>IF(D1132="V01",$R$2,IF(D1132="V02",$R$3,$R$4))</f>
        <v/>
      </c>
      <c r="O1132">
        <f>IF(OR(B1132="7062",B1132="706",B1132="708"),N1132,IF(B1132="6231",1+G1132,IF(B1132="6236",1+H1132,IF(OR(B1132="621",B1132="604",B1132="6063"),N1132*(1-L1132),IF(OR(B1132="6411",B1132="6413",B1132="6414",B1132="645"),(1+J1132)*(1+K1132),IF(OR(B1132="613",B1132="615",B1132="616",B1132="6226",B1132="625",B1132="626",B1132="6281"),(1+I1132)*(1-L1132)*(1+M1132),IF(OR(B1132="6331",B1132="63511",B1132="6333"),(1+I1132)*(1-L1132),IF(B1132="6811",1+I1132,1))))))))</f>
        <v/>
      </c>
      <c r="P1132">
        <f>IF(E1132=1,F1132*O1132,"")</f>
        <v/>
      </c>
    </row>
    <row r="1133">
      <c r="A1133">
        <f>PNL!A1133</f>
        <v/>
      </c>
      <c r="B1133">
        <f>PNL!B1133</f>
        <v/>
      </c>
      <c r="C1133">
        <f>PNL!C1133</f>
        <v/>
      </c>
      <c r="D1133">
        <f>PNL!D1133</f>
        <v/>
      </c>
      <c r="E1133">
        <f>IF(AND(C1133="2027",OR(D1133="V01",D1133="V02",D1133="V03")),1,0)</f>
        <v/>
      </c>
      <c r="F1133">
        <f>IF(E1133=1,SUMIFS(Compta!$F$2:$F$675,Compta!$A$2:$A$675,A1133,Compta!$B$2:$B$675,B1133,Compta!$C$2:$C$675,"2026"),0)</f>
        <v/>
      </c>
      <c r="G1133">
        <f>IF(D1133="V01",cad!$I$21,IF(D1133="V02",cad!$J$21,cad!$K$21))</f>
        <v/>
      </c>
      <c r="H1133">
        <f>IF(D1133="V01",cad!$I$22,IF(D1133="V02",cad!$J$22,cad!$K$22))</f>
        <v/>
      </c>
      <c r="I1133">
        <f>IF(D1133="V01",cad!$I$27,IF(D1133="V02",cad!$J$27,cad!$K$27))</f>
        <v/>
      </c>
      <c r="J1133">
        <f>IF(D1133="V01",cad!$I$28,IF(D1133="V02",cad!$J$28,cad!$K$28))</f>
        <v/>
      </c>
      <c r="K1133">
        <f>IF(D1133="V01",cad!$I$29,IF(D1133="V02",cad!$J$29,cad!$K$29))</f>
        <v/>
      </c>
      <c r="L1133">
        <f>IF(D1133="V01",cad!$I$30,IF(D1133="V02",cad!$J$30,cad!$K$30))</f>
        <v/>
      </c>
      <c r="M1133">
        <f>IF(D1133="V01",cad!$I$31,IF(D1133="V02",cad!$J$31,cad!$K$31))</f>
        <v/>
      </c>
      <c r="N1133">
        <f>IF(D1133="V01",$R$2,IF(D1133="V02",$R$3,$R$4))</f>
        <v/>
      </c>
      <c r="O1133">
        <f>IF(OR(B1133="7062",B1133="706",B1133="708"),N1133,IF(B1133="6231",1+G1133,IF(B1133="6236",1+H1133,IF(OR(B1133="621",B1133="604",B1133="6063"),N1133*(1-L1133),IF(OR(B1133="6411",B1133="6413",B1133="6414",B1133="645"),(1+J1133)*(1+K1133),IF(OR(B1133="613",B1133="615",B1133="616",B1133="6226",B1133="625",B1133="626",B1133="6281"),(1+I1133)*(1-L1133)*(1+M1133),IF(OR(B1133="6331",B1133="63511",B1133="6333"),(1+I1133)*(1-L1133),IF(B1133="6811",1+I1133,1))))))))</f>
        <v/>
      </c>
      <c r="P1133">
        <f>IF(E1133=1,F1133*O1133,"")</f>
        <v/>
      </c>
    </row>
    <row r="1134">
      <c r="A1134">
        <f>PNL!A1134</f>
        <v/>
      </c>
      <c r="B1134">
        <f>PNL!B1134</f>
        <v/>
      </c>
      <c r="C1134">
        <f>PNL!C1134</f>
        <v/>
      </c>
      <c r="D1134">
        <f>PNL!D1134</f>
        <v/>
      </c>
      <c r="E1134">
        <f>IF(AND(C1134="2027",OR(D1134="V01",D1134="V02",D1134="V03")),1,0)</f>
        <v/>
      </c>
      <c r="F1134">
        <f>IF(E1134=1,SUMIFS(Compta!$F$2:$F$675,Compta!$A$2:$A$675,A1134,Compta!$B$2:$B$675,B1134,Compta!$C$2:$C$675,"2026"),0)</f>
        <v/>
      </c>
      <c r="G1134">
        <f>IF(D1134="V01",cad!$I$21,IF(D1134="V02",cad!$J$21,cad!$K$21))</f>
        <v/>
      </c>
      <c r="H1134">
        <f>IF(D1134="V01",cad!$I$22,IF(D1134="V02",cad!$J$22,cad!$K$22))</f>
        <v/>
      </c>
      <c r="I1134">
        <f>IF(D1134="V01",cad!$I$27,IF(D1134="V02",cad!$J$27,cad!$K$27))</f>
        <v/>
      </c>
      <c r="J1134">
        <f>IF(D1134="V01",cad!$I$28,IF(D1134="V02",cad!$J$28,cad!$K$28))</f>
        <v/>
      </c>
      <c r="K1134">
        <f>IF(D1134="V01",cad!$I$29,IF(D1134="V02",cad!$J$29,cad!$K$29))</f>
        <v/>
      </c>
      <c r="L1134">
        <f>IF(D1134="V01",cad!$I$30,IF(D1134="V02",cad!$J$30,cad!$K$30))</f>
        <v/>
      </c>
      <c r="M1134">
        <f>IF(D1134="V01",cad!$I$31,IF(D1134="V02",cad!$J$31,cad!$K$31))</f>
        <v/>
      </c>
      <c r="N1134">
        <f>IF(D1134="V01",$R$2,IF(D1134="V02",$R$3,$R$4))</f>
        <v/>
      </c>
      <c r="O1134">
        <f>IF(OR(B1134="7062",B1134="706",B1134="708"),N1134,IF(B1134="6231",1+G1134,IF(B1134="6236",1+H1134,IF(OR(B1134="621",B1134="604",B1134="6063"),N1134*(1-L1134),IF(OR(B1134="6411",B1134="6413",B1134="6414",B1134="645"),(1+J1134)*(1+K1134),IF(OR(B1134="613",B1134="615",B1134="616",B1134="6226",B1134="625",B1134="626",B1134="6281"),(1+I1134)*(1-L1134)*(1+M1134),IF(OR(B1134="6331",B1134="63511",B1134="6333"),(1+I1134)*(1-L1134),IF(B1134="6811",1+I1134,1))))))))</f>
        <v/>
      </c>
      <c r="P1134">
        <f>IF(E1134=1,F1134*O1134,"")</f>
        <v/>
      </c>
    </row>
    <row r="1135">
      <c r="A1135">
        <f>PNL!A1135</f>
        <v/>
      </c>
      <c r="B1135">
        <f>PNL!B1135</f>
        <v/>
      </c>
      <c r="C1135">
        <f>PNL!C1135</f>
        <v/>
      </c>
      <c r="D1135">
        <f>PNL!D1135</f>
        <v/>
      </c>
      <c r="E1135">
        <f>IF(AND(C1135="2027",OR(D1135="V01",D1135="V02",D1135="V03")),1,0)</f>
        <v/>
      </c>
      <c r="F1135">
        <f>IF(E1135=1,SUMIFS(Compta!$F$2:$F$675,Compta!$A$2:$A$675,A1135,Compta!$B$2:$B$675,B1135,Compta!$C$2:$C$675,"2026"),0)</f>
        <v/>
      </c>
      <c r="G1135">
        <f>IF(D1135="V01",cad!$I$21,IF(D1135="V02",cad!$J$21,cad!$K$21))</f>
        <v/>
      </c>
      <c r="H1135">
        <f>IF(D1135="V01",cad!$I$22,IF(D1135="V02",cad!$J$22,cad!$K$22))</f>
        <v/>
      </c>
      <c r="I1135">
        <f>IF(D1135="V01",cad!$I$27,IF(D1135="V02",cad!$J$27,cad!$K$27))</f>
        <v/>
      </c>
      <c r="J1135">
        <f>IF(D1135="V01",cad!$I$28,IF(D1135="V02",cad!$J$28,cad!$K$28))</f>
        <v/>
      </c>
      <c r="K1135">
        <f>IF(D1135="V01",cad!$I$29,IF(D1135="V02",cad!$J$29,cad!$K$29))</f>
        <v/>
      </c>
      <c r="L1135">
        <f>IF(D1135="V01",cad!$I$30,IF(D1135="V02",cad!$J$30,cad!$K$30))</f>
        <v/>
      </c>
      <c r="M1135">
        <f>IF(D1135="V01",cad!$I$31,IF(D1135="V02",cad!$J$31,cad!$K$31))</f>
        <v/>
      </c>
      <c r="N1135">
        <f>IF(D1135="V01",$R$2,IF(D1135="V02",$R$3,$R$4))</f>
        <v/>
      </c>
      <c r="O1135">
        <f>IF(OR(B1135="7062",B1135="706",B1135="708"),N1135,IF(B1135="6231",1+G1135,IF(B1135="6236",1+H1135,IF(OR(B1135="621",B1135="604",B1135="6063"),N1135*(1-L1135),IF(OR(B1135="6411",B1135="6413",B1135="6414",B1135="645"),(1+J1135)*(1+K1135),IF(OR(B1135="613",B1135="615",B1135="616",B1135="6226",B1135="625",B1135="626",B1135="6281"),(1+I1135)*(1-L1135)*(1+M1135),IF(OR(B1135="6331",B1135="63511",B1135="6333"),(1+I1135)*(1-L1135),IF(B1135="6811",1+I1135,1))))))))</f>
        <v/>
      </c>
      <c r="P1135">
        <f>IF(E1135=1,F1135*O1135,"")</f>
        <v/>
      </c>
    </row>
    <row r="1136">
      <c r="A1136">
        <f>PNL!A1136</f>
        <v/>
      </c>
      <c r="B1136">
        <f>PNL!B1136</f>
        <v/>
      </c>
      <c r="C1136">
        <f>PNL!C1136</f>
        <v/>
      </c>
      <c r="D1136">
        <f>PNL!D1136</f>
        <v/>
      </c>
      <c r="E1136">
        <f>IF(AND(C1136="2027",OR(D1136="V01",D1136="V02",D1136="V03")),1,0)</f>
        <v/>
      </c>
      <c r="F1136">
        <f>IF(E1136=1,SUMIFS(Compta!$F$2:$F$675,Compta!$A$2:$A$675,A1136,Compta!$B$2:$B$675,B1136,Compta!$C$2:$C$675,"2026"),0)</f>
        <v/>
      </c>
      <c r="G1136">
        <f>IF(D1136="V01",cad!$I$21,IF(D1136="V02",cad!$J$21,cad!$K$21))</f>
        <v/>
      </c>
      <c r="H1136">
        <f>IF(D1136="V01",cad!$I$22,IF(D1136="V02",cad!$J$22,cad!$K$22))</f>
        <v/>
      </c>
      <c r="I1136">
        <f>IF(D1136="V01",cad!$I$27,IF(D1136="V02",cad!$J$27,cad!$K$27))</f>
        <v/>
      </c>
      <c r="J1136">
        <f>IF(D1136="V01",cad!$I$28,IF(D1136="V02",cad!$J$28,cad!$K$28))</f>
        <v/>
      </c>
      <c r="K1136">
        <f>IF(D1136="V01",cad!$I$29,IF(D1136="V02",cad!$J$29,cad!$K$29))</f>
        <v/>
      </c>
      <c r="L1136">
        <f>IF(D1136="V01",cad!$I$30,IF(D1136="V02",cad!$J$30,cad!$K$30))</f>
        <v/>
      </c>
      <c r="M1136">
        <f>IF(D1136="V01",cad!$I$31,IF(D1136="V02",cad!$J$31,cad!$K$31))</f>
        <v/>
      </c>
      <c r="N1136">
        <f>IF(D1136="V01",$R$2,IF(D1136="V02",$R$3,$R$4))</f>
        <v/>
      </c>
      <c r="O1136">
        <f>IF(OR(B1136="7062",B1136="706",B1136="708"),N1136,IF(B1136="6231",1+G1136,IF(B1136="6236",1+H1136,IF(OR(B1136="621",B1136="604",B1136="6063"),N1136*(1-L1136),IF(OR(B1136="6411",B1136="6413",B1136="6414",B1136="645"),(1+J1136)*(1+K1136),IF(OR(B1136="613",B1136="615",B1136="616",B1136="6226",B1136="625",B1136="626",B1136="6281"),(1+I1136)*(1-L1136)*(1+M1136),IF(OR(B1136="6331",B1136="63511",B1136="6333"),(1+I1136)*(1-L1136),IF(B1136="6811",1+I1136,1))))))))</f>
        <v/>
      </c>
      <c r="P1136">
        <f>IF(E1136=1,F1136*O1136,"")</f>
        <v/>
      </c>
    </row>
    <row r="1137">
      <c r="A1137">
        <f>PNL!A1137</f>
        <v/>
      </c>
      <c r="B1137">
        <f>PNL!B1137</f>
        <v/>
      </c>
      <c r="C1137">
        <f>PNL!C1137</f>
        <v/>
      </c>
      <c r="D1137">
        <f>PNL!D1137</f>
        <v/>
      </c>
      <c r="E1137">
        <f>IF(AND(C1137="2027",OR(D1137="V01",D1137="V02",D1137="V03")),1,0)</f>
        <v/>
      </c>
      <c r="F1137">
        <f>IF(E1137=1,SUMIFS(Compta!$F$2:$F$675,Compta!$A$2:$A$675,A1137,Compta!$B$2:$B$675,B1137,Compta!$C$2:$C$675,"2026"),0)</f>
        <v/>
      </c>
      <c r="G1137">
        <f>IF(D1137="V01",cad!$I$21,IF(D1137="V02",cad!$J$21,cad!$K$21))</f>
        <v/>
      </c>
      <c r="H1137">
        <f>IF(D1137="V01",cad!$I$22,IF(D1137="V02",cad!$J$22,cad!$K$22))</f>
        <v/>
      </c>
      <c r="I1137">
        <f>IF(D1137="V01",cad!$I$27,IF(D1137="V02",cad!$J$27,cad!$K$27))</f>
        <v/>
      </c>
      <c r="J1137">
        <f>IF(D1137="V01",cad!$I$28,IF(D1137="V02",cad!$J$28,cad!$K$28))</f>
        <v/>
      </c>
      <c r="K1137">
        <f>IF(D1137="V01",cad!$I$29,IF(D1137="V02",cad!$J$29,cad!$K$29))</f>
        <v/>
      </c>
      <c r="L1137">
        <f>IF(D1137="V01",cad!$I$30,IF(D1137="V02",cad!$J$30,cad!$K$30))</f>
        <v/>
      </c>
      <c r="M1137">
        <f>IF(D1137="V01",cad!$I$31,IF(D1137="V02",cad!$J$31,cad!$K$31))</f>
        <v/>
      </c>
      <c r="N1137">
        <f>IF(D1137="V01",$R$2,IF(D1137="V02",$R$3,$R$4))</f>
        <v/>
      </c>
      <c r="O1137">
        <f>IF(OR(B1137="7062",B1137="706",B1137="708"),N1137,IF(B1137="6231",1+G1137,IF(B1137="6236",1+H1137,IF(OR(B1137="621",B1137="604",B1137="6063"),N1137*(1-L1137),IF(OR(B1137="6411",B1137="6413",B1137="6414",B1137="645"),(1+J1137)*(1+K1137),IF(OR(B1137="613",B1137="615",B1137="616",B1137="6226",B1137="625",B1137="626",B1137="6281"),(1+I1137)*(1-L1137)*(1+M1137),IF(OR(B1137="6331",B1137="63511",B1137="6333"),(1+I1137)*(1-L1137),IF(B1137="6811",1+I1137,1))))))))</f>
        <v/>
      </c>
      <c r="P1137">
        <f>IF(E1137=1,F1137*O1137,"")</f>
        <v/>
      </c>
    </row>
    <row r="1138">
      <c r="A1138">
        <f>PNL!A1138</f>
        <v/>
      </c>
      <c r="B1138">
        <f>PNL!B1138</f>
        <v/>
      </c>
      <c r="C1138">
        <f>PNL!C1138</f>
        <v/>
      </c>
      <c r="D1138">
        <f>PNL!D1138</f>
        <v/>
      </c>
      <c r="E1138">
        <f>IF(AND(C1138="2027",OR(D1138="V01",D1138="V02",D1138="V03")),1,0)</f>
        <v/>
      </c>
      <c r="F1138">
        <f>IF(E1138=1,SUMIFS(Compta!$F$2:$F$675,Compta!$A$2:$A$675,A1138,Compta!$B$2:$B$675,B1138,Compta!$C$2:$C$675,"2026"),0)</f>
        <v/>
      </c>
      <c r="G1138">
        <f>IF(D1138="V01",cad!$I$21,IF(D1138="V02",cad!$J$21,cad!$K$21))</f>
        <v/>
      </c>
      <c r="H1138">
        <f>IF(D1138="V01",cad!$I$22,IF(D1138="V02",cad!$J$22,cad!$K$22))</f>
        <v/>
      </c>
      <c r="I1138">
        <f>IF(D1138="V01",cad!$I$27,IF(D1138="V02",cad!$J$27,cad!$K$27))</f>
        <v/>
      </c>
      <c r="J1138">
        <f>IF(D1138="V01",cad!$I$28,IF(D1138="V02",cad!$J$28,cad!$K$28))</f>
        <v/>
      </c>
      <c r="K1138">
        <f>IF(D1138="V01",cad!$I$29,IF(D1138="V02",cad!$J$29,cad!$K$29))</f>
        <v/>
      </c>
      <c r="L1138">
        <f>IF(D1138="V01",cad!$I$30,IF(D1138="V02",cad!$J$30,cad!$K$30))</f>
        <v/>
      </c>
      <c r="M1138">
        <f>IF(D1138="V01",cad!$I$31,IF(D1138="V02",cad!$J$31,cad!$K$31))</f>
        <v/>
      </c>
      <c r="N1138">
        <f>IF(D1138="V01",$R$2,IF(D1138="V02",$R$3,$R$4))</f>
        <v/>
      </c>
      <c r="O1138">
        <f>IF(OR(B1138="7062",B1138="706",B1138="708"),N1138,IF(B1138="6231",1+G1138,IF(B1138="6236",1+H1138,IF(OR(B1138="621",B1138="604",B1138="6063"),N1138*(1-L1138),IF(OR(B1138="6411",B1138="6413",B1138="6414",B1138="645"),(1+J1138)*(1+K1138),IF(OR(B1138="613",B1138="615",B1138="616",B1138="6226",B1138="625",B1138="626",B1138="6281"),(1+I1138)*(1-L1138)*(1+M1138),IF(OR(B1138="6331",B1138="63511",B1138="6333"),(1+I1138)*(1-L1138),IF(B1138="6811",1+I1138,1))))))))</f>
        <v/>
      </c>
      <c r="P1138">
        <f>IF(E1138=1,F1138*O1138,"")</f>
        <v/>
      </c>
    </row>
    <row r="1139">
      <c r="A1139">
        <f>PNL!A1139</f>
        <v/>
      </c>
      <c r="B1139">
        <f>PNL!B1139</f>
        <v/>
      </c>
      <c r="C1139">
        <f>PNL!C1139</f>
        <v/>
      </c>
      <c r="D1139">
        <f>PNL!D1139</f>
        <v/>
      </c>
      <c r="E1139">
        <f>IF(AND(C1139="2027",OR(D1139="V01",D1139="V02",D1139="V03")),1,0)</f>
        <v/>
      </c>
      <c r="F1139">
        <f>IF(E1139=1,SUMIFS(Compta!$F$2:$F$675,Compta!$A$2:$A$675,A1139,Compta!$B$2:$B$675,B1139,Compta!$C$2:$C$675,"2026"),0)</f>
        <v/>
      </c>
      <c r="G1139">
        <f>IF(D1139="V01",cad!$I$21,IF(D1139="V02",cad!$J$21,cad!$K$21))</f>
        <v/>
      </c>
      <c r="H1139">
        <f>IF(D1139="V01",cad!$I$22,IF(D1139="V02",cad!$J$22,cad!$K$22))</f>
        <v/>
      </c>
      <c r="I1139">
        <f>IF(D1139="V01",cad!$I$27,IF(D1139="V02",cad!$J$27,cad!$K$27))</f>
        <v/>
      </c>
      <c r="J1139">
        <f>IF(D1139="V01",cad!$I$28,IF(D1139="V02",cad!$J$28,cad!$K$28))</f>
        <v/>
      </c>
      <c r="K1139">
        <f>IF(D1139="V01",cad!$I$29,IF(D1139="V02",cad!$J$29,cad!$K$29))</f>
        <v/>
      </c>
      <c r="L1139">
        <f>IF(D1139="V01",cad!$I$30,IF(D1139="V02",cad!$J$30,cad!$K$30))</f>
        <v/>
      </c>
      <c r="M1139">
        <f>IF(D1139="V01",cad!$I$31,IF(D1139="V02",cad!$J$31,cad!$K$31))</f>
        <v/>
      </c>
      <c r="N1139">
        <f>IF(D1139="V01",$R$2,IF(D1139="V02",$R$3,$R$4))</f>
        <v/>
      </c>
      <c r="O1139">
        <f>IF(OR(B1139="7062",B1139="706",B1139="708"),N1139,IF(B1139="6231",1+G1139,IF(B1139="6236",1+H1139,IF(OR(B1139="621",B1139="604",B1139="6063"),N1139*(1-L1139),IF(OR(B1139="6411",B1139="6413",B1139="6414",B1139="645"),(1+J1139)*(1+K1139),IF(OR(B1139="613",B1139="615",B1139="616",B1139="6226",B1139="625",B1139="626",B1139="6281"),(1+I1139)*(1-L1139)*(1+M1139),IF(OR(B1139="6331",B1139="63511",B1139="6333"),(1+I1139)*(1-L1139),IF(B1139="6811",1+I1139,1))))))))</f>
        <v/>
      </c>
      <c r="P1139">
        <f>IF(E1139=1,F1139*O1139,"")</f>
        <v/>
      </c>
    </row>
    <row r="1140">
      <c r="A1140">
        <f>PNL!A1140</f>
        <v/>
      </c>
      <c r="B1140">
        <f>PNL!B1140</f>
        <v/>
      </c>
      <c r="C1140">
        <f>PNL!C1140</f>
        <v/>
      </c>
      <c r="D1140">
        <f>PNL!D1140</f>
        <v/>
      </c>
      <c r="E1140">
        <f>IF(AND(C1140="2027",OR(D1140="V01",D1140="V02",D1140="V03")),1,0)</f>
        <v/>
      </c>
      <c r="F1140">
        <f>IF(E1140=1,SUMIFS(Compta!$F$2:$F$675,Compta!$A$2:$A$675,A1140,Compta!$B$2:$B$675,B1140,Compta!$C$2:$C$675,"2026"),0)</f>
        <v/>
      </c>
      <c r="G1140">
        <f>IF(D1140="V01",cad!$I$21,IF(D1140="V02",cad!$J$21,cad!$K$21))</f>
        <v/>
      </c>
      <c r="H1140">
        <f>IF(D1140="V01",cad!$I$22,IF(D1140="V02",cad!$J$22,cad!$K$22))</f>
        <v/>
      </c>
      <c r="I1140">
        <f>IF(D1140="V01",cad!$I$27,IF(D1140="V02",cad!$J$27,cad!$K$27))</f>
        <v/>
      </c>
      <c r="J1140">
        <f>IF(D1140="V01",cad!$I$28,IF(D1140="V02",cad!$J$28,cad!$K$28))</f>
        <v/>
      </c>
      <c r="K1140">
        <f>IF(D1140="V01",cad!$I$29,IF(D1140="V02",cad!$J$29,cad!$K$29))</f>
        <v/>
      </c>
      <c r="L1140">
        <f>IF(D1140="V01",cad!$I$30,IF(D1140="V02",cad!$J$30,cad!$K$30))</f>
        <v/>
      </c>
      <c r="M1140">
        <f>IF(D1140="V01",cad!$I$31,IF(D1140="V02",cad!$J$31,cad!$K$31))</f>
        <v/>
      </c>
      <c r="N1140">
        <f>IF(D1140="V01",$R$2,IF(D1140="V02",$R$3,$R$4))</f>
        <v/>
      </c>
      <c r="O1140">
        <f>IF(OR(B1140="7062",B1140="706",B1140="708"),N1140,IF(B1140="6231",1+G1140,IF(B1140="6236",1+H1140,IF(OR(B1140="621",B1140="604",B1140="6063"),N1140*(1-L1140),IF(OR(B1140="6411",B1140="6413",B1140="6414",B1140="645"),(1+J1140)*(1+K1140),IF(OR(B1140="613",B1140="615",B1140="616",B1140="6226",B1140="625",B1140="626",B1140="6281"),(1+I1140)*(1-L1140)*(1+M1140),IF(OR(B1140="6331",B1140="63511",B1140="6333"),(1+I1140)*(1-L1140),IF(B1140="6811",1+I1140,1))))))))</f>
        <v/>
      </c>
      <c r="P1140">
        <f>IF(E1140=1,F1140*O1140,"")</f>
        <v/>
      </c>
    </row>
    <row r="1141">
      <c r="A1141">
        <f>PNL!A1141</f>
        <v/>
      </c>
      <c r="B1141">
        <f>PNL!B1141</f>
        <v/>
      </c>
      <c r="C1141">
        <f>PNL!C1141</f>
        <v/>
      </c>
      <c r="D1141">
        <f>PNL!D1141</f>
        <v/>
      </c>
      <c r="E1141">
        <f>IF(AND(C1141="2027",OR(D1141="V01",D1141="V02",D1141="V03")),1,0)</f>
        <v/>
      </c>
      <c r="F1141">
        <f>IF(E1141=1,SUMIFS(Compta!$F$2:$F$675,Compta!$A$2:$A$675,A1141,Compta!$B$2:$B$675,B1141,Compta!$C$2:$C$675,"2026"),0)</f>
        <v/>
      </c>
      <c r="G1141">
        <f>IF(D1141="V01",cad!$I$21,IF(D1141="V02",cad!$J$21,cad!$K$21))</f>
        <v/>
      </c>
      <c r="H1141">
        <f>IF(D1141="V01",cad!$I$22,IF(D1141="V02",cad!$J$22,cad!$K$22))</f>
        <v/>
      </c>
      <c r="I1141">
        <f>IF(D1141="V01",cad!$I$27,IF(D1141="V02",cad!$J$27,cad!$K$27))</f>
        <v/>
      </c>
      <c r="J1141">
        <f>IF(D1141="V01",cad!$I$28,IF(D1141="V02",cad!$J$28,cad!$K$28))</f>
        <v/>
      </c>
      <c r="K1141">
        <f>IF(D1141="V01",cad!$I$29,IF(D1141="V02",cad!$J$29,cad!$K$29))</f>
        <v/>
      </c>
      <c r="L1141">
        <f>IF(D1141="V01",cad!$I$30,IF(D1141="V02",cad!$J$30,cad!$K$30))</f>
        <v/>
      </c>
      <c r="M1141">
        <f>IF(D1141="V01",cad!$I$31,IF(D1141="V02",cad!$J$31,cad!$K$31))</f>
        <v/>
      </c>
      <c r="N1141">
        <f>IF(D1141="V01",$R$2,IF(D1141="V02",$R$3,$R$4))</f>
        <v/>
      </c>
      <c r="O1141">
        <f>IF(OR(B1141="7062",B1141="706",B1141="708"),N1141,IF(B1141="6231",1+G1141,IF(B1141="6236",1+H1141,IF(OR(B1141="621",B1141="604",B1141="6063"),N1141*(1-L1141),IF(OR(B1141="6411",B1141="6413",B1141="6414",B1141="645"),(1+J1141)*(1+K1141),IF(OR(B1141="613",B1141="615",B1141="616",B1141="6226",B1141="625",B1141="626",B1141="6281"),(1+I1141)*(1-L1141)*(1+M1141),IF(OR(B1141="6331",B1141="63511",B1141="6333"),(1+I1141)*(1-L1141),IF(B1141="6811",1+I1141,1))))))))</f>
        <v/>
      </c>
      <c r="P1141">
        <f>IF(E1141=1,F1141*O1141,"")</f>
        <v/>
      </c>
    </row>
    <row r="1142">
      <c r="A1142">
        <f>PNL!A1142</f>
        <v/>
      </c>
      <c r="B1142">
        <f>PNL!B1142</f>
        <v/>
      </c>
      <c r="C1142">
        <f>PNL!C1142</f>
        <v/>
      </c>
      <c r="D1142">
        <f>PNL!D1142</f>
        <v/>
      </c>
      <c r="E1142">
        <f>IF(AND(C1142="2027",OR(D1142="V01",D1142="V02",D1142="V03")),1,0)</f>
        <v/>
      </c>
      <c r="F1142">
        <f>IF(E1142=1,SUMIFS(Compta!$F$2:$F$675,Compta!$A$2:$A$675,A1142,Compta!$B$2:$B$675,B1142,Compta!$C$2:$C$675,"2026"),0)</f>
        <v/>
      </c>
      <c r="G1142">
        <f>IF(D1142="V01",cad!$I$21,IF(D1142="V02",cad!$J$21,cad!$K$21))</f>
        <v/>
      </c>
      <c r="H1142">
        <f>IF(D1142="V01",cad!$I$22,IF(D1142="V02",cad!$J$22,cad!$K$22))</f>
        <v/>
      </c>
      <c r="I1142">
        <f>IF(D1142="V01",cad!$I$27,IF(D1142="V02",cad!$J$27,cad!$K$27))</f>
        <v/>
      </c>
      <c r="J1142">
        <f>IF(D1142="V01",cad!$I$28,IF(D1142="V02",cad!$J$28,cad!$K$28))</f>
        <v/>
      </c>
      <c r="K1142">
        <f>IF(D1142="V01",cad!$I$29,IF(D1142="V02",cad!$J$29,cad!$K$29))</f>
        <v/>
      </c>
      <c r="L1142">
        <f>IF(D1142="V01",cad!$I$30,IF(D1142="V02",cad!$J$30,cad!$K$30))</f>
        <v/>
      </c>
      <c r="M1142">
        <f>IF(D1142="V01",cad!$I$31,IF(D1142="V02",cad!$J$31,cad!$K$31))</f>
        <v/>
      </c>
      <c r="N1142">
        <f>IF(D1142="V01",$R$2,IF(D1142="V02",$R$3,$R$4))</f>
        <v/>
      </c>
      <c r="O1142">
        <f>IF(OR(B1142="7062",B1142="706",B1142="708"),N1142,IF(B1142="6231",1+G1142,IF(B1142="6236",1+H1142,IF(OR(B1142="621",B1142="604",B1142="6063"),N1142*(1-L1142),IF(OR(B1142="6411",B1142="6413",B1142="6414",B1142="645"),(1+J1142)*(1+K1142),IF(OR(B1142="613",B1142="615",B1142="616",B1142="6226",B1142="625",B1142="626",B1142="6281"),(1+I1142)*(1-L1142)*(1+M1142),IF(OR(B1142="6331",B1142="63511",B1142="6333"),(1+I1142)*(1-L1142),IF(B1142="6811",1+I1142,1))))))))</f>
        <v/>
      </c>
      <c r="P1142">
        <f>IF(E1142=1,F1142*O1142,"")</f>
        <v/>
      </c>
    </row>
    <row r="1143">
      <c r="A1143">
        <f>PNL!A1143</f>
        <v/>
      </c>
      <c r="B1143">
        <f>PNL!B1143</f>
        <v/>
      </c>
      <c r="C1143">
        <f>PNL!C1143</f>
        <v/>
      </c>
      <c r="D1143">
        <f>PNL!D1143</f>
        <v/>
      </c>
      <c r="E1143">
        <f>IF(AND(C1143="2027",OR(D1143="V01",D1143="V02",D1143="V03")),1,0)</f>
        <v/>
      </c>
      <c r="F1143">
        <f>IF(E1143=1,SUMIFS(Compta!$F$2:$F$675,Compta!$A$2:$A$675,A1143,Compta!$B$2:$B$675,B1143,Compta!$C$2:$C$675,"2026"),0)</f>
        <v/>
      </c>
      <c r="G1143">
        <f>IF(D1143="V01",cad!$I$21,IF(D1143="V02",cad!$J$21,cad!$K$21))</f>
        <v/>
      </c>
      <c r="H1143">
        <f>IF(D1143="V01",cad!$I$22,IF(D1143="V02",cad!$J$22,cad!$K$22))</f>
        <v/>
      </c>
      <c r="I1143">
        <f>IF(D1143="V01",cad!$I$27,IF(D1143="V02",cad!$J$27,cad!$K$27))</f>
        <v/>
      </c>
      <c r="J1143">
        <f>IF(D1143="V01",cad!$I$28,IF(D1143="V02",cad!$J$28,cad!$K$28))</f>
        <v/>
      </c>
      <c r="K1143">
        <f>IF(D1143="V01",cad!$I$29,IF(D1143="V02",cad!$J$29,cad!$K$29))</f>
        <v/>
      </c>
      <c r="L1143">
        <f>IF(D1143="V01",cad!$I$30,IF(D1143="V02",cad!$J$30,cad!$K$30))</f>
        <v/>
      </c>
      <c r="M1143">
        <f>IF(D1143="V01",cad!$I$31,IF(D1143="V02",cad!$J$31,cad!$K$31))</f>
        <v/>
      </c>
      <c r="N1143">
        <f>IF(D1143="V01",$R$2,IF(D1143="V02",$R$3,$R$4))</f>
        <v/>
      </c>
      <c r="O1143">
        <f>IF(OR(B1143="7062",B1143="706",B1143="708"),N1143,IF(B1143="6231",1+G1143,IF(B1143="6236",1+H1143,IF(OR(B1143="621",B1143="604",B1143="6063"),N1143*(1-L1143),IF(OR(B1143="6411",B1143="6413",B1143="6414",B1143="645"),(1+J1143)*(1+K1143),IF(OR(B1143="613",B1143="615",B1143="616",B1143="6226",B1143="625",B1143="626",B1143="6281"),(1+I1143)*(1-L1143)*(1+M1143),IF(OR(B1143="6331",B1143="63511",B1143="6333"),(1+I1143)*(1-L1143),IF(B1143="6811",1+I1143,1))))))))</f>
        <v/>
      </c>
      <c r="P1143">
        <f>IF(E1143=1,F1143*O1143,"")</f>
        <v/>
      </c>
    </row>
    <row r="1144">
      <c r="A1144">
        <f>PNL!A1144</f>
        <v/>
      </c>
      <c r="B1144">
        <f>PNL!B1144</f>
        <v/>
      </c>
      <c r="C1144">
        <f>PNL!C1144</f>
        <v/>
      </c>
      <c r="D1144">
        <f>PNL!D1144</f>
        <v/>
      </c>
      <c r="E1144">
        <f>IF(AND(C1144="2027",OR(D1144="V01",D1144="V02",D1144="V03")),1,0)</f>
        <v/>
      </c>
      <c r="F1144">
        <f>IF(E1144=1,SUMIFS(Compta!$F$2:$F$675,Compta!$A$2:$A$675,A1144,Compta!$B$2:$B$675,B1144,Compta!$C$2:$C$675,"2026"),0)</f>
        <v/>
      </c>
      <c r="G1144">
        <f>IF(D1144="V01",cad!$I$21,IF(D1144="V02",cad!$J$21,cad!$K$21))</f>
        <v/>
      </c>
      <c r="H1144">
        <f>IF(D1144="V01",cad!$I$22,IF(D1144="V02",cad!$J$22,cad!$K$22))</f>
        <v/>
      </c>
      <c r="I1144">
        <f>IF(D1144="V01",cad!$I$27,IF(D1144="V02",cad!$J$27,cad!$K$27))</f>
        <v/>
      </c>
      <c r="J1144">
        <f>IF(D1144="V01",cad!$I$28,IF(D1144="V02",cad!$J$28,cad!$K$28))</f>
        <v/>
      </c>
      <c r="K1144">
        <f>IF(D1144="V01",cad!$I$29,IF(D1144="V02",cad!$J$29,cad!$K$29))</f>
        <v/>
      </c>
      <c r="L1144">
        <f>IF(D1144="V01",cad!$I$30,IF(D1144="V02",cad!$J$30,cad!$K$30))</f>
        <v/>
      </c>
      <c r="M1144">
        <f>IF(D1144="V01",cad!$I$31,IF(D1144="V02",cad!$J$31,cad!$K$31))</f>
        <v/>
      </c>
      <c r="N1144">
        <f>IF(D1144="V01",$R$2,IF(D1144="V02",$R$3,$R$4))</f>
        <v/>
      </c>
      <c r="O1144">
        <f>IF(OR(B1144="7062",B1144="706",B1144="708"),N1144,IF(B1144="6231",1+G1144,IF(B1144="6236",1+H1144,IF(OR(B1144="621",B1144="604",B1144="6063"),N1144*(1-L1144),IF(OR(B1144="6411",B1144="6413",B1144="6414",B1144="645"),(1+J1144)*(1+K1144),IF(OR(B1144="613",B1144="615",B1144="616",B1144="6226",B1144="625",B1144="626",B1144="6281"),(1+I1144)*(1-L1144)*(1+M1144),IF(OR(B1144="6331",B1144="63511",B1144="6333"),(1+I1144)*(1-L1144),IF(B1144="6811",1+I1144,1))))))))</f>
        <v/>
      </c>
      <c r="P1144">
        <f>IF(E1144=1,F1144*O1144,"")</f>
        <v/>
      </c>
    </row>
    <row r="1145">
      <c r="A1145">
        <f>PNL!A1145</f>
        <v/>
      </c>
      <c r="B1145">
        <f>PNL!B1145</f>
        <v/>
      </c>
      <c r="C1145">
        <f>PNL!C1145</f>
        <v/>
      </c>
      <c r="D1145">
        <f>PNL!D1145</f>
        <v/>
      </c>
      <c r="E1145">
        <f>IF(AND(C1145="2027",OR(D1145="V01",D1145="V02",D1145="V03")),1,0)</f>
        <v/>
      </c>
      <c r="F1145">
        <f>IF(E1145=1,SUMIFS(Compta!$F$2:$F$675,Compta!$A$2:$A$675,A1145,Compta!$B$2:$B$675,B1145,Compta!$C$2:$C$675,"2026"),0)</f>
        <v/>
      </c>
      <c r="G1145">
        <f>IF(D1145="V01",cad!$I$21,IF(D1145="V02",cad!$J$21,cad!$K$21))</f>
        <v/>
      </c>
      <c r="H1145">
        <f>IF(D1145="V01",cad!$I$22,IF(D1145="V02",cad!$J$22,cad!$K$22))</f>
        <v/>
      </c>
      <c r="I1145">
        <f>IF(D1145="V01",cad!$I$27,IF(D1145="V02",cad!$J$27,cad!$K$27))</f>
        <v/>
      </c>
      <c r="J1145">
        <f>IF(D1145="V01",cad!$I$28,IF(D1145="V02",cad!$J$28,cad!$K$28))</f>
        <v/>
      </c>
      <c r="K1145">
        <f>IF(D1145="V01",cad!$I$29,IF(D1145="V02",cad!$J$29,cad!$K$29))</f>
        <v/>
      </c>
      <c r="L1145">
        <f>IF(D1145="V01",cad!$I$30,IF(D1145="V02",cad!$J$30,cad!$K$30))</f>
        <v/>
      </c>
      <c r="M1145">
        <f>IF(D1145="V01",cad!$I$31,IF(D1145="V02",cad!$J$31,cad!$K$31))</f>
        <v/>
      </c>
      <c r="N1145">
        <f>IF(D1145="V01",$R$2,IF(D1145="V02",$R$3,$R$4))</f>
        <v/>
      </c>
      <c r="O1145">
        <f>IF(OR(B1145="7062",B1145="706",B1145="708"),N1145,IF(B1145="6231",1+G1145,IF(B1145="6236",1+H1145,IF(OR(B1145="621",B1145="604",B1145="6063"),N1145*(1-L1145),IF(OR(B1145="6411",B1145="6413",B1145="6414",B1145="645"),(1+J1145)*(1+K1145),IF(OR(B1145="613",B1145="615",B1145="616",B1145="6226",B1145="625",B1145="626",B1145="6281"),(1+I1145)*(1-L1145)*(1+M1145),IF(OR(B1145="6331",B1145="63511",B1145="6333"),(1+I1145)*(1-L1145),IF(B1145="6811",1+I1145,1))))))))</f>
        <v/>
      </c>
      <c r="P1145">
        <f>IF(E1145=1,F1145*O1145,"")</f>
        <v/>
      </c>
    </row>
    <row r="1146">
      <c r="A1146">
        <f>PNL!A1146</f>
        <v/>
      </c>
      <c r="B1146">
        <f>PNL!B1146</f>
        <v/>
      </c>
      <c r="C1146">
        <f>PNL!C1146</f>
        <v/>
      </c>
      <c r="D1146">
        <f>PNL!D1146</f>
        <v/>
      </c>
      <c r="E1146">
        <f>IF(AND(C1146="2027",OR(D1146="V01",D1146="V02",D1146="V03")),1,0)</f>
        <v/>
      </c>
      <c r="F1146">
        <f>IF(E1146=1,SUMIFS(Compta!$F$2:$F$675,Compta!$A$2:$A$675,A1146,Compta!$B$2:$B$675,B1146,Compta!$C$2:$C$675,"2026"),0)</f>
        <v/>
      </c>
      <c r="G1146">
        <f>IF(D1146="V01",cad!$I$21,IF(D1146="V02",cad!$J$21,cad!$K$21))</f>
        <v/>
      </c>
      <c r="H1146">
        <f>IF(D1146="V01",cad!$I$22,IF(D1146="V02",cad!$J$22,cad!$K$22))</f>
        <v/>
      </c>
      <c r="I1146">
        <f>IF(D1146="V01",cad!$I$27,IF(D1146="V02",cad!$J$27,cad!$K$27))</f>
        <v/>
      </c>
      <c r="J1146">
        <f>IF(D1146="V01",cad!$I$28,IF(D1146="V02",cad!$J$28,cad!$K$28))</f>
        <v/>
      </c>
      <c r="K1146">
        <f>IF(D1146="V01",cad!$I$29,IF(D1146="V02",cad!$J$29,cad!$K$29))</f>
        <v/>
      </c>
      <c r="L1146">
        <f>IF(D1146="V01",cad!$I$30,IF(D1146="V02",cad!$J$30,cad!$K$30))</f>
        <v/>
      </c>
      <c r="M1146">
        <f>IF(D1146="V01",cad!$I$31,IF(D1146="V02",cad!$J$31,cad!$K$31))</f>
        <v/>
      </c>
      <c r="N1146">
        <f>IF(D1146="V01",$R$2,IF(D1146="V02",$R$3,$R$4))</f>
        <v/>
      </c>
      <c r="O1146">
        <f>IF(OR(B1146="7062",B1146="706",B1146="708"),N1146,IF(B1146="6231",1+G1146,IF(B1146="6236",1+H1146,IF(OR(B1146="621",B1146="604",B1146="6063"),N1146*(1-L1146),IF(OR(B1146="6411",B1146="6413",B1146="6414",B1146="645"),(1+J1146)*(1+K1146),IF(OR(B1146="613",B1146="615",B1146="616",B1146="6226",B1146="625",B1146="626",B1146="6281"),(1+I1146)*(1-L1146)*(1+M1146),IF(OR(B1146="6331",B1146="63511",B1146="6333"),(1+I1146)*(1-L1146),IF(B1146="6811",1+I1146,1))))))))</f>
        <v/>
      </c>
      <c r="P1146">
        <f>IF(E1146=1,F1146*O1146,"")</f>
        <v/>
      </c>
    </row>
    <row r="1147">
      <c r="A1147">
        <f>PNL!A1147</f>
        <v/>
      </c>
      <c r="B1147">
        <f>PNL!B1147</f>
        <v/>
      </c>
      <c r="C1147">
        <f>PNL!C1147</f>
        <v/>
      </c>
      <c r="D1147">
        <f>PNL!D1147</f>
        <v/>
      </c>
      <c r="E1147">
        <f>IF(AND(C1147="2027",OR(D1147="V01",D1147="V02",D1147="V03")),1,0)</f>
        <v/>
      </c>
      <c r="F1147">
        <f>IF(E1147=1,SUMIFS(Compta!$F$2:$F$675,Compta!$A$2:$A$675,A1147,Compta!$B$2:$B$675,B1147,Compta!$C$2:$C$675,"2026"),0)</f>
        <v/>
      </c>
      <c r="G1147">
        <f>IF(D1147="V01",cad!$I$21,IF(D1147="V02",cad!$J$21,cad!$K$21))</f>
        <v/>
      </c>
      <c r="H1147">
        <f>IF(D1147="V01",cad!$I$22,IF(D1147="V02",cad!$J$22,cad!$K$22))</f>
        <v/>
      </c>
      <c r="I1147">
        <f>IF(D1147="V01",cad!$I$27,IF(D1147="V02",cad!$J$27,cad!$K$27))</f>
        <v/>
      </c>
      <c r="J1147">
        <f>IF(D1147="V01",cad!$I$28,IF(D1147="V02",cad!$J$28,cad!$K$28))</f>
        <v/>
      </c>
      <c r="K1147">
        <f>IF(D1147="V01",cad!$I$29,IF(D1147="V02",cad!$J$29,cad!$K$29))</f>
        <v/>
      </c>
      <c r="L1147">
        <f>IF(D1147="V01",cad!$I$30,IF(D1147="V02",cad!$J$30,cad!$K$30))</f>
        <v/>
      </c>
      <c r="M1147">
        <f>IF(D1147="V01",cad!$I$31,IF(D1147="V02",cad!$J$31,cad!$K$31))</f>
        <v/>
      </c>
      <c r="N1147">
        <f>IF(D1147="V01",$R$2,IF(D1147="V02",$R$3,$R$4))</f>
        <v/>
      </c>
      <c r="O1147">
        <f>IF(OR(B1147="7062",B1147="706",B1147="708"),N1147,IF(B1147="6231",1+G1147,IF(B1147="6236",1+H1147,IF(OR(B1147="621",B1147="604",B1147="6063"),N1147*(1-L1147),IF(OR(B1147="6411",B1147="6413",B1147="6414",B1147="645"),(1+J1147)*(1+K1147),IF(OR(B1147="613",B1147="615",B1147="616",B1147="6226",B1147="625",B1147="626",B1147="6281"),(1+I1147)*(1-L1147)*(1+M1147),IF(OR(B1147="6331",B1147="63511",B1147="6333"),(1+I1147)*(1-L1147),IF(B1147="6811",1+I1147,1))))))))</f>
        <v/>
      </c>
      <c r="P1147">
        <f>IF(E1147=1,F1147*O1147,"")</f>
        <v/>
      </c>
    </row>
    <row r="1148">
      <c r="A1148">
        <f>PNL!A1148</f>
        <v/>
      </c>
      <c r="B1148">
        <f>PNL!B1148</f>
        <v/>
      </c>
      <c r="C1148">
        <f>PNL!C1148</f>
        <v/>
      </c>
      <c r="D1148">
        <f>PNL!D1148</f>
        <v/>
      </c>
      <c r="E1148">
        <f>IF(AND(C1148="2027",OR(D1148="V01",D1148="V02",D1148="V03")),1,0)</f>
        <v/>
      </c>
      <c r="F1148">
        <f>IF(E1148=1,SUMIFS(Compta!$F$2:$F$675,Compta!$A$2:$A$675,A1148,Compta!$B$2:$B$675,B1148,Compta!$C$2:$C$675,"2026"),0)</f>
        <v/>
      </c>
      <c r="G1148">
        <f>IF(D1148="V01",cad!$I$21,IF(D1148="V02",cad!$J$21,cad!$K$21))</f>
        <v/>
      </c>
      <c r="H1148">
        <f>IF(D1148="V01",cad!$I$22,IF(D1148="V02",cad!$J$22,cad!$K$22))</f>
        <v/>
      </c>
      <c r="I1148">
        <f>IF(D1148="V01",cad!$I$27,IF(D1148="V02",cad!$J$27,cad!$K$27))</f>
        <v/>
      </c>
      <c r="J1148">
        <f>IF(D1148="V01",cad!$I$28,IF(D1148="V02",cad!$J$28,cad!$K$28))</f>
        <v/>
      </c>
      <c r="K1148">
        <f>IF(D1148="V01",cad!$I$29,IF(D1148="V02",cad!$J$29,cad!$K$29))</f>
        <v/>
      </c>
      <c r="L1148">
        <f>IF(D1148="V01",cad!$I$30,IF(D1148="V02",cad!$J$30,cad!$K$30))</f>
        <v/>
      </c>
      <c r="M1148">
        <f>IF(D1148="V01",cad!$I$31,IF(D1148="V02",cad!$J$31,cad!$K$31))</f>
        <v/>
      </c>
      <c r="N1148">
        <f>IF(D1148="V01",$R$2,IF(D1148="V02",$R$3,$R$4))</f>
        <v/>
      </c>
      <c r="O1148">
        <f>IF(OR(B1148="7062",B1148="706",B1148="708"),N1148,IF(B1148="6231",1+G1148,IF(B1148="6236",1+H1148,IF(OR(B1148="621",B1148="604",B1148="6063"),N1148*(1-L1148),IF(OR(B1148="6411",B1148="6413",B1148="6414",B1148="645"),(1+J1148)*(1+K1148),IF(OR(B1148="613",B1148="615",B1148="616",B1148="6226",B1148="625",B1148="626",B1148="6281"),(1+I1148)*(1-L1148)*(1+M1148),IF(OR(B1148="6331",B1148="63511",B1148="6333"),(1+I1148)*(1-L1148),IF(B1148="6811",1+I1148,1))))))))</f>
        <v/>
      </c>
      <c r="P1148">
        <f>IF(E1148=1,F1148*O1148,"")</f>
        <v/>
      </c>
    </row>
    <row r="1149">
      <c r="A1149">
        <f>PNL!A1149</f>
        <v/>
      </c>
      <c r="B1149">
        <f>PNL!B1149</f>
        <v/>
      </c>
      <c r="C1149">
        <f>PNL!C1149</f>
        <v/>
      </c>
      <c r="D1149">
        <f>PNL!D1149</f>
        <v/>
      </c>
      <c r="E1149">
        <f>IF(AND(C1149="2027",OR(D1149="V01",D1149="V02",D1149="V03")),1,0)</f>
        <v/>
      </c>
      <c r="F1149">
        <f>IF(E1149=1,SUMIFS(Compta!$F$2:$F$675,Compta!$A$2:$A$675,A1149,Compta!$B$2:$B$675,B1149,Compta!$C$2:$C$675,"2026"),0)</f>
        <v/>
      </c>
      <c r="G1149">
        <f>IF(D1149="V01",cad!$I$21,IF(D1149="V02",cad!$J$21,cad!$K$21))</f>
        <v/>
      </c>
      <c r="H1149">
        <f>IF(D1149="V01",cad!$I$22,IF(D1149="V02",cad!$J$22,cad!$K$22))</f>
        <v/>
      </c>
      <c r="I1149">
        <f>IF(D1149="V01",cad!$I$27,IF(D1149="V02",cad!$J$27,cad!$K$27))</f>
        <v/>
      </c>
      <c r="J1149">
        <f>IF(D1149="V01",cad!$I$28,IF(D1149="V02",cad!$J$28,cad!$K$28))</f>
        <v/>
      </c>
      <c r="K1149">
        <f>IF(D1149="V01",cad!$I$29,IF(D1149="V02",cad!$J$29,cad!$K$29))</f>
        <v/>
      </c>
      <c r="L1149">
        <f>IF(D1149="V01",cad!$I$30,IF(D1149="V02",cad!$J$30,cad!$K$30))</f>
        <v/>
      </c>
      <c r="M1149">
        <f>IF(D1149="V01",cad!$I$31,IF(D1149="V02",cad!$J$31,cad!$K$31))</f>
        <v/>
      </c>
      <c r="N1149">
        <f>IF(D1149="V01",$R$2,IF(D1149="V02",$R$3,$R$4))</f>
        <v/>
      </c>
      <c r="O1149">
        <f>IF(OR(B1149="7062",B1149="706",B1149="708"),N1149,IF(B1149="6231",1+G1149,IF(B1149="6236",1+H1149,IF(OR(B1149="621",B1149="604",B1149="6063"),N1149*(1-L1149),IF(OR(B1149="6411",B1149="6413",B1149="6414",B1149="645"),(1+J1149)*(1+K1149),IF(OR(B1149="613",B1149="615",B1149="616",B1149="6226",B1149="625",B1149="626",B1149="6281"),(1+I1149)*(1-L1149)*(1+M1149),IF(OR(B1149="6331",B1149="63511",B1149="6333"),(1+I1149)*(1-L1149),IF(B1149="6811",1+I1149,1))))))))</f>
        <v/>
      </c>
      <c r="P1149">
        <f>IF(E1149=1,F1149*O1149,"")</f>
        <v/>
      </c>
    </row>
    <row r="1150">
      <c r="A1150">
        <f>PNL!A1150</f>
        <v/>
      </c>
      <c r="B1150">
        <f>PNL!B1150</f>
        <v/>
      </c>
      <c r="C1150">
        <f>PNL!C1150</f>
        <v/>
      </c>
      <c r="D1150">
        <f>PNL!D1150</f>
        <v/>
      </c>
      <c r="E1150">
        <f>IF(AND(C1150="2027",OR(D1150="V01",D1150="V02",D1150="V03")),1,0)</f>
        <v/>
      </c>
      <c r="F1150">
        <f>IF(E1150=1,SUMIFS(Compta!$F$2:$F$675,Compta!$A$2:$A$675,A1150,Compta!$B$2:$B$675,B1150,Compta!$C$2:$C$675,"2026"),0)</f>
        <v/>
      </c>
      <c r="G1150">
        <f>IF(D1150="V01",cad!$I$21,IF(D1150="V02",cad!$J$21,cad!$K$21))</f>
        <v/>
      </c>
      <c r="H1150">
        <f>IF(D1150="V01",cad!$I$22,IF(D1150="V02",cad!$J$22,cad!$K$22))</f>
        <v/>
      </c>
      <c r="I1150">
        <f>IF(D1150="V01",cad!$I$27,IF(D1150="V02",cad!$J$27,cad!$K$27))</f>
        <v/>
      </c>
      <c r="J1150">
        <f>IF(D1150="V01",cad!$I$28,IF(D1150="V02",cad!$J$28,cad!$K$28))</f>
        <v/>
      </c>
      <c r="K1150">
        <f>IF(D1150="V01",cad!$I$29,IF(D1150="V02",cad!$J$29,cad!$K$29))</f>
        <v/>
      </c>
      <c r="L1150">
        <f>IF(D1150="V01",cad!$I$30,IF(D1150="V02",cad!$J$30,cad!$K$30))</f>
        <v/>
      </c>
      <c r="M1150">
        <f>IF(D1150="V01",cad!$I$31,IF(D1150="V02",cad!$J$31,cad!$K$31))</f>
        <v/>
      </c>
      <c r="N1150">
        <f>IF(D1150="V01",$R$2,IF(D1150="V02",$R$3,$R$4))</f>
        <v/>
      </c>
      <c r="O1150">
        <f>IF(OR(B1150="7062",B1150="706",B1150="708"),N1150,IF(B1150="6231",1+G1150,IF(B1150="6236",1+H1150,IF(OR(B1150="621",B1150="604",B1150="6063"),N1150*(1-L1150),IF(OR(B1150="6411",B1150="6413",B1150="6414",B1150="645"),(1+J1150)*(1+K1150),IF(OR(B1150="613",B1150="615",B1150="616",B1150="6226",B1150="625",B1150="626",B1150="6281"),(1+I1150)*(1-L1150)*(1+M1150),IF(OR(B1150="6331",B1150="63511",B1150="6333"),(1+I1150)*(1-L1150),IF(B1150="6811",1+I1150,1))))))))</f>
        <v/>
      </c>
      <c r="P1150">
        <f>IF(E1150=1,F1150*O1150,"")</f>
        <v/>
      </c>
    </row>
    <row r="1151">
      <c r="A1151">
        <f>PNL!A1151</f>
        <v/>
      </c>
      <c r="B1151">
        <f>PNL!B1151</f>
        <v/>
      </c>
      <c r="C1151">
        <f>PNL!C1151</f>
        <v/>
      </c>
      <c r="D1151">
        <f>PNL!D1151</f>
        <v/>
      </c>
      <c r="E1151">
        <f>IF(AND(C1151="2027",OR(D1151="V01",D1151="V02",D1151="V03")),1,0)</f>
        <v/>
      </c>
      <c r="F1151">
        <f>IF(E1151=1,SUMIFS(Compta!$F$2:$F$675,Compta!$A$2:$A$675,A1151,Compta!$B$2:$B$675,B1151,Compta!$C$2:$C$675,"2026"),0)</f>
        <v/>
      </c>
      <c r="G1151">
        <f>IF(D1151="V01",cad!$I$21,IF(D1151="V02",cad!$J$21,cad!$K$21))</f>
        <v/>
      </c>
      <c r="H1151">
        <f>IF(D1151="V01",cad!$I$22,IF(D1151="V02",cad!$J$22,cad!$K$22))</f>
        <v/>
      </c>
      <c r="I1151">
        <f>IF(D1151="V01",cad!$I$27,IF(D1151="V02",cad!$J$27,cad!$K$27))</f>
        <v/>
      </c>
      <c r="J1151">
        <f>IF(D1151="V01",cad!$I$28,IF(D1151="V02",cad!$J$28,cad!$K$28))</f>
        <v/>
      </c>
      <c r="K1151">
        <f>IF(D1151="V01",cad!$I$29,IF(D1151="V02",cad!$J$29,cad!$K$29))</f>
        <v/>
      </c>
      <c r="L1151">
        <f>IF(D1151="V01",cad!$I$30,IF(D1151="V02",cad!$J$30,cad!$K$30))</f>
        <v/>
      </c>
      <c r="M1151">
        <f>IF(D1151="V01",cad!$I$31,IF(D1151="V02",cad!$J$31,cad!$K$31))</f>
        <v/>
      </c>
      <c r="N1151">
        <f>IF(D1151="V01",$R$2,IF(D1151="V02",$R$3,$R$4))</f>
        <v/>
      </c>
      <c r="O1151">
        <f>IF(OR(B1151="7062",B1151="706",B1151="708"),N1151,IF(B1151="6231",1+G1151,IF(B1151="6236",1+H1151,IF(OR(B1151="621",B1151="604",B1151="6063"),N1151*(1-L1151),IF(OR(B1151="6411",B1151="6413",B1151="6414",B1151="645"),(1+J1151)*(1+K1151),IF(OR(B1151="613",B1151="615",B1151="616",B1151="6226",B1151="625",B1151="626",B1151="6281"),(1+I1151)*(1-L1151)*(1+M1151),IF(OR(B1151="6331",B1151="63511",B1151="6333"),(1+I1151)*(1-L1151),IF(B1151="6811",1+I1151,1))))))))</f>
        <v/>
      </c>
      <c r="P1151">
        <f>IF(E1151=1,F1151*O1151,"")</f>
        <v/>
      </c>
    </row>
    <row r="1152">
      <c r="A1152">
        <f>PNL!A1152</f>
        <v/>
      </c>
      <c r="B1152">
        <f>PNL!B1152</f>
        <v/>
      </c>
      <c r="C1152">
        <f>PNL!C1152</f>
        <v/>
      </c>
      <c r="D1152">
        <f>PNL!D1152</f>
        <v/>
      </c>
      <c r="E1152">
        <f>IF(AND(C1152="2027",OR(D1152="V01",D1152="V02",D1152="V03")),1,0)</f>
        <v/>
      </c>
      <c r="F1152">
        <f>IF(E1152=1,SUMIFS(Compta!$F$2:$F$675,Compta!$A$2:$A$675,A1152,Compta!$B$2:$B$675,B1152,Compta!$C$2:$C$675,"2026"),0)</f>
        <v/>
      </c>
      <c r="G1152">
        <f>IF(D1152="V01",cad!$I$21,IF(D1152="V02",cad!$J$21,cad!$K$21))</f>
        <v/>
      </c>
      <c r="H1152">
        <f>IF(D1152="V01",cad!$I$22,IF(D1152="V02",cad!$J$22,cad!$K$22))</f>
        <v/>
      </c>
      <c r="I1152">
        <f>IF(D1152="V01",cad!$I$27,IF(D1152="V02",cad!$J$27,cad!$K$27))</f>
        <v/>
      </c>
      <c r="J1152">
        <f>IF(D1152="V01",cad!$I$28,IF(D1152="V02",cad!$J$28,cad!$K$28))</f>
        <v/>
      </c>
      <c r="K1152">
        <f>IF(D1152="V01",cad!$I$29,IF(D1152="V02",cad!$J$29,cad!$K$29))</f>
        <v/>
      </c>
      <c r="L1152">
        <f>IF(D1152="V01",cad!$I$30,IF(D1152="V02",cad!$J$30,cad!$K$30))</f>
        <v/>
      </c>
      <c r="M1152">
        <f>IF(D1152="V01",cad!$I$31,IF(D1152="V02",cad!$J$31,cad!$K$31))</f>
        <v/>
      </c>
      <c r="N1152">
        <f>IF(D1152="V01",$R$2,IF(D1152="V02",$R$3,$R$4))</f>
        <v/>
      </c>
      <c r="O1152">
        <f>IF(OR(B1152="7062",B1152="706",B1152="708"),N1152,IF(B1152="6231",1+G1152,IF(B1152="6236",1+H1152,IF(OR(B1152="621",B1152="604",B1152="6063"),N1152*(1-L1152),IF(OR(B1152="6411",B1152="6413",B1152="6414",B1152="645"),(1+J1152)*(1+K1152),IF(OR(B1152="613",B1152="615",B1152="616",B1152="6226",B1152="625",B1152="626",B1152="6281"),(1+I1152)*(1-L1152)*(1+M1152),IF(OR(B1152="6331",B1152="63511",B1152="6333"),(1+I1152)*(1-L1152),IF(B1152="6811",1+I1152,1))))))))</f>
        <v/>
      </c>
      <c r="P1152">
        <f>IF(E1152=1,F1152*O1152,"")</f>
        <v/>
      </c>
    </row>
    <row r="1153">
      <c r="A1153">
        <f>PNL!A1153</f>
        <v/>
      </c>
      <c r="B1153">
        <f>PNL!B1153</f>
        <v/>
      </c>
      <c r="C1153">
        <f>PNL!C1153</f>
        <v/>
      </c>
      <c r="D1153">
        <f>PNL!D1153</f>
        <v/>
      </c>
      <c r="E1153">
        <f>IF(AND(C1153="2027",OR(D1153="V01",D1153="V02",D1153="V03")),1,0)</f>
        <v/>
      </c>
      <c r="F1153">
        <f>IF(E1153=1,SUMIFS(Compta!$F$2:$F$675,Compta!$A$2:$A$675,A1153,Compta!$B$2:$B$675,B1153,Compta!$C$2:$C$675,"2026"),0)</f>
        <v/>
      </c>
      <c r="G1153">
        <f>IF(D1153="V01",cad!$I$21,IF(D1153="V02",cad!$J$21,cad!$K$21))</f>
        <v/>
      </c>
      <c r="H1153">
        <f>IF(D1153="V01",cad!$I$22,IF(D1153="V02",cad!$J$22,cad!$K$22))</f>
        <v/>
      </c>
      <c r="I1153">
        <f>IF(D1153="V01",cad!$I$27,IF(D1153="V02",cad!$J$27,cad!$K$27))</f>
        <v/>
      </c>
      <c r="J1153">
        <f>IF(D1153="V01",cad!$I$28,IF(D1153="V02",cad!$J$28,cad!$K$28))</f>
        <v/>
      </c>
      <c r="K1153">
        <f>IF(D1153="V01",cad!$I$29,IF(D1153="V02",cad!$J$29,cad!$K$29))</f>
        <v/>
      </c>
      <c r="L1153">
        <f>IF(D1153="V01",cad!$I$30,IF(D1153="V02",cad!$J$30,cad!$K$30))</f>
        <v/>
      </c>
      <c r="M1153">
        <f>IF(D1153="V01",cad!$I$31,IF(D1153="V02",cad!$J$31,cad!$K$31))</f>
        <v/>
      </c>
      <c r="N1153">
        <f>IF(D1153="V01",$R$2,IF(D1153="V02",$R$3,$R$4))</f>
        <v/>
      </c>
      <c r="O1153">
        <f>IF(OR(B1153="7062",B1153="706",B1153="708"),N1153,IF(B1153="6231",1+G1153,IF(B1153="6236",1+H1153,IF(OR(B1153="621",B1153="604",B1153="6063"),N1153*(1-L1153),IF(OR(B1153="6411",B1153="6413",B1153="6414",B1153="645"),(1+J1153)*(1+K1153),IF(OR(B1153="613",B1153="615",B1153="616",B1153="6226",B1153="625",B1153="626",B1153="6281"),(1+I1153)*(1-L1153)*(1+M1153),IF(OR(B1153="6331",B1153="63511",B1153="6333"),(1+I1153)*(1-L1153),IF(B1153="6811",1+I1153,1))))))))</f>
        <v/>
      </c>
      <c r="P1153">
        <f>IF(E1153=1,F1153*O1153,"")</f>
        <v/>
      </c>
    </row>
    <row r="1154">
      <c r="A1154">
        <f>PNL!A1154</f>
        <v/>
      </c>
      <c r="B1154">
        <f>PNL!B1154</f>
        <v/>
      </c>
      <c r="C1154">
        <f>PNL!C1154</f>
        <v/>
      </c>
      <c r="D1154">
        <f>PNL!D1154</f>
        <v/>
      </c>
      <c r="E1154">
        <f>IF(AND(C1154="2027",OR(D1154="V01",D1154="V02",D1154="V03")),1,0)</f>
        <v/>
      </c>
      <c r="F1154">
        <f>IF(E1154=1,SUMIFS(Compta!$F$2:$F$675,Compta!$A$2:$A$675,A1154,Compta!$B$2:$B$675,B1154,Compta!$C$2:$C$675,"2026"),0)</f>
        <v/>
      </c>
      <c r="G1154">
        <f>IF(D1154="V01",cad!$I$21,IF(D1154="V02",cad!$J$21,cad!$K$21))</f>
        <v/>
      </c>
      <c r="H1154">
        <f>IF(D1154="V01",cad!$I$22,IF(D1154="V02",cad!$J$22,cad!$K$22))</f>
        <v/>
      </c>
      <c r="I1154">
        <f>IF(D1154="V01",cad!$I$27,IF(D1154="V02",cad!$J$27,cad!$K$27))</f>
        <v/>
      </c>
      <c r="J1154">
        <f>IF(D1154="V01",cad!$I$28,IF(D1154="V02",cad!$J$28,cad!$K$28))</f>
        <v/>
      </c>
      <c r="K1154">
        <f>IF(D1154="V01",cad!$I$29,IF(D1154="V02",cad!$J$29,cad!$K$29))</f>
        <v/>
      </c>
      <c r="L1154">
        <f>IF(D1154="V01",cad!$I$30,IF(D1154="V02",cad!$J$30,cad!$K$30))</f>
        <v/>
      </c>
      <c r="M1154">
        <f>IF(D1154="V01",cad!$I$31,IF(D1154="V02",cad!$J$31,cad!$K$31))</f>
        <v/>
      </c>
      <c r="N1154">
        <f>IF(D1154="V01",$R$2,IF(D1154="V02",$R$3,$R$4))</f>
        <v/>
      </c>
      <c r="O1154">
        <f>IF(OR(B1154="7062",B1154="706",B1154="708"),N1154,IF(B1154="6231",1+G1154,IF(B1154="6236",1+H1154,IF(OR(B1154="621",B1154="604",B1154="6063"),N1154*(1-L1154),IF(OR(B1154="6411",B1154="6413",B1154="6414",B1154="645"),(1+J1154)*(1+K1154),IF(OR(B1154="613",B1154="615",B1154="616",B1154="6226",B1154="625",B1154="626",B1154="6281"),(1+I1154)*(1-L1154)*(1+M1154),IF(OR(B1154="6331",B1154="63511",B1154="6333"),(1+I1154)*(1-L1154),IF(B1154="6811",1+I1154,1))))))))</f>
        <v/>
      </c>
      <c r="P1154">
        <f>IF(E1154=1,F1154*O1154,"")</f>
        <v/>
      </c>
    </row>
    <row r="1155">
      <c r="A1155">
        <f>PNL!A1155</f>
        <v/>
      </c>
      <c r="B1155">
        <f>PNL!B1155</f>
        <v/>
      </c>
      <c r="C1155">
        <f>PNL!C1155</f>
        <v/>
      </c>
      <c r="D1155">
        <f>PNL!D1155</f>
        <v/>
      </c>
      <c r="E1155">
        <f>IF(AND(C1155="2027",OR(D1155="V01",D1155="V02",D1155="V03")),1,0)</f>
        <v/>
      </c>
      <c r="F1155">
        <f>IF(E1155=1,SUMIFS(Compta!$F$2:$F$675,Compta!$A$2:$A$675,A1155,Compta!$B$2:$B$675,B1155,Compta!$C$2:$C$675,"2026"),0)</f>
        <v/>
      </c>
      <c r="G1155">
        <f>IF(D1155="V01",cad!$I$21,IF(D1155="V02",cad!$J$21,cad!$K$21))</f>
        <v/>
      </c>
      <c r="H1155">
        <f>IF(D1155="V01",cad!$I$22,IF(D1155="V02",cad!$J$22,cad!$K$22))</f>
        <v/>
      </c>
      <c r="I1155">
        <f>IF(D1155="V01",cad!$I$27,IF(D1155="V02",cad!$J$27,cad!$K$27))</f>
        <v/>
      </c>
      <c r="J1155">
        <f>IF(D1155="V01",cad!$I$28,IF(D1155="V02",cad!$J$28,cad!$K$28))</f>
        <v/>
      </c>
      <c r="K1155">
        <f>IF(D1155="V01",cad!$I$29,IF(D1155="V02",cad!$J$29,cad!$K$29))</f>
        <v/>
      </c>
      <c r="L1155">
        <f>IF(D1155="V01",cad!$I$30,IF(D1155="V02",cad!$J$30,cad!$K$30))</f>
        <v/>
      </c>
      <c r="M1155">
        <f>IF(D1155="V01",cad!$I$31,IF(D1155="V02",cad!$J$31,cad!$K$31))</f>
        <v/>
      </c>
      <c r="N1155">
        <f>IF(D1155="V01",$R$2,IF(D1155="V02",$R$3,$R$4))</f>
        <v/>
      </c>
      <c r="O1155">
        <f>IF(OR(B1155="7062",B1155="706",B1155="708"),N1155,IF(B1155="6231",1+G1155,IF(B1155="6236",1+H1155,IF(OR(B1155="621",B1155="604",B1155="6063"),N1155*(1-L1155),IF(OR(B1155="6411",B1155="6413",B1155="6414",B1155="645"),(1+J1155)*(1+K1155),IF(OR(B1155="613",B1155="615",B1155="616",B1155="6226",B1155="625",B1155="626",B1155="6281"),(1+I1155)*(1-L1155)*(1+M1155),IF(OR(B1155="6331",B1155="63511",B1155="6333"),(1+I1155)*(1-L1155),IF(B1155="6811",1+I1155,1))))))))</f>
        <v/>
      </c>
      <c r="P1155">
        <f>IF(E1155=1,F1155*O1155,"")</f>
        <v/>
      </c>
    </row>
    <row r="1156">
      <c r="A1156">
        <f>PNL!A1156</f>
        <v/>
      </c>
      <c r="B1156">
        <f>PNL!B1156</f>
        <v/>
      </c>
      <c r="C1156">
        <f>PNL!C1156</f>
        <v/>
      </c>
      <c r="D1156">
        <f>PNL!D1156</f>
        <v/>
      </c>
      <c r="E1156">
        <f>IF(AND(C1156="2027",OR(D1156="V01",D1156="V02",D1156="V03")),1,0)</f>
        <v/>
      </c>
      <c r="F1156">
        <f>IF(E1156=1,SUMIFS(Compta!$F$2:$F$675,Compta!$A$2:$A$675,A1156,Compta!$B$2:$B$675,B1156,Compta!$C$2:$C$675,"2026"),0)</f>
        <v/>
      </c>
      <c r="G1156">
        <f>IF(D1156="V01",cad!$I$21,IF(D1156="V02",cad!$J$21,cad!$K$21))</f>
        <v/>
      </c>
      <c r="H1156">
        <f>IF(D1156="V01",cad!$I$22,IF(D1156="V02",cad!$J$22,cad!$K$22))</f>
        <v/>
      </c>
      <c r="I1156">
        <f>IF(D1156="V01",cad!$I$27,IF(D1156="V02",cad!$J$27,cad!$K$27))</f>
        <v/>
      </c>
      <c r="J1156">
        <f>IF(D1156="V01",cad!$I$28,IF(D1156="V02",cad!$J$28,cad!$K$28))</f>
        <v/>
      </c>
      <c r="K1156">
        <f>IF(D1156="V01",cad!$I$29,IF(D1156="V02",cad!$J$29,cad!$K$29))</f>
        <v/>
      </c>
      <c r="L1156">
        <f>IF(D1156="V01",cad!$I$30,IF(D1156="V02",cad!$J$30,cad!$K$30))</f>
        <v/>
      </c>
      <c r="M1156">
        <f>IF(D1156="V01",cad!$I$31,IF(D1156="V02",cad!$J$31,cad!$K$31))</f>
        <v/>
      </c>
      <c r="N1156">
        <f>IF(D1156="V01",$R$2,IF(D1156="V02",$R$3,$R$4))</f>
        <v/>
      </c>
      <c r="O1156">
        <f>IF(OR(B1156="7062",B1156="706",B1156="708"),N1156,IF(B1156="6231",1+G1156,IF(B1156="6236",1+H1156,IF(OR(B1156="621",B1156="604",B1156="6063"),N1156*(1-L1156),IF(OR(B1156="6411",B1156="6413",B1156="6414",B1156="645"),(1+J1156)*(1+K1156),IF(OR(B1156="613",B1156="615",B1156="616",B1156="6226",B1156="625",B1156="626",B1156="6281"),(1+I1156)*(1-L1156)*(1+M1156),IF(OR(B1156="6331",B1156="63511",B1156="6333"),(1+I1156)*(1-L1156),IF(B1156="6811",1+I1156,1))))))))</f>
        <v/>
      </c>
      <c r="P1156">
        <f>IF(E1156=1,F1156*O1156,"")</f>
        <v/>
      </c>
    </row>
    <row r="1157">
      <c r="A1157">
        <f>PNL!A1157</f>
        <v/>
      </c>
      <c r="B1157">
        <f>PNL!B1157</f>
        <v/>
      </c>
      <c r="C1157">
        <f>PNL!C1157</f>
        <v/>
      </c>
      <c r="D1157">
        <f>PNL!D1157</f>
        <v/>
      </c>
      <c r="E1157">
        <f>IF(AND(C1157="2027",OR(D1157="V01",D1157="V02",D1157="V03")),1,0)</f>
        <v/>
      </c>
      <c r="F1157">
        <f>IF(E1157=1,SUMIFS(Compta!$F$2:$F$675,Compta!$A$2:$A$675,A1157,Compta!$B$2:$B$675,B1157,Compta!$C$2:$C$675,"2026"),0)</f>
        <v/>
      </c>
      <c r="G1157">
        <f>IF(D1157="V01",cad!$I$21,IF(D1157="V02",cad!$J$21,cad!$K$21))</f>
        <v/>
      </c>
      <c r="H1157">
        <f>IF(D1157="V01",cad!$I$22,IF(D1157="V02",cad!$J$22,cad!$K$22))</f>
        <v/>
      </c>
      <c r="I1157">
        <f>IF(D1157="V01",cad!$I$27,IF(D1157="V02",cad!$J$27,cad!$K$27))</f>
        <v/>
      </c>
      <c r="J1157">
        <f>IF(D1157="V01",cad!$I$28,IF(D1157="V02",cad!$J$28,cad!$K$28))</f>
        <v/>
      </c>
      <c r="K1157">
        <f>IF(D1157="V01",cad!$I$29,IF(D1157="V02",cad!$J$29,cad!$K$29))</f>
        <v/>
      </c>
      <c r="L1157">
        <f>IF(D1157="V01",cad!$I$30,IF(D1157="V02",cad!$J$30,cad!$K$30))</f>
        <v/>
      </c>
      <c r="M1157">
        <f>IF(D1157="V01",cad!$I$31,IF(D1157="V02",cad!$J$31,cad!$K$31))</f>
        <v/>
      </c>
      <c r="N1157">
        <f>IF(D1157="V01",$R$2,IF(D1157="V02",$R$3,$R$4))</f>
        <v/>
      </c>
      <c r="O1157">
        <f>IF(OR(B1157="7062",B1157="706",B1157="708"),N1157,IF(B1157="6231",1+G1157,IF(B1157="6236",1+H1157,IF(OR(B1157="621",B1157="604",B1157="6063"),N1157*(1-L1157),IF(OR(B1157="6411",B1157="6413",B1157="6414",B1157="645"),(1+J1157)*(1+K1157),IF(OR(B1157="613",B1157="615",B1157="616",B1157="6226",B1157="625",B1157="626",B1157="6281"),(1+I1157)*(1-L1157)*(1+M1157),IF(OR(B1157="6331",B1157="63511",B1157="6333"),(1+I1157)*(1-L1157),IF(B1157="6811",1+I1157,1))))))))</f>
        <v/>
      </c>
      <c r="P1157">
        <f>IF(E1157=1,F1157*O1157,"")</f>
        <v/>
      </c>
    </row>
    <row r="1158">
      <c r="A1158">
        <f>PNL!A1158</f>
        <v/>
      </c>
      <c r="B1158">
        <f>PNL!B1158</f>
        <v/>
      </c>
      <c r="C1158">
        <f>PNL!C1158</f>
        <v/>
      </c>
      <c r="D1158">
        <f>PNL!D1158</f>
        <v/>
      </c>
      <c r="E1158">
        <f>IF(AND(C1158="2027",OR(D1158="V01",D1158="V02",D1158="V03")),1,0)</f>
        <v/>
      </c>
      <c r="F1158">
        <f>IF(E1158=1,SUMIFS(Compta!$F$2:$F$675,Compta!$A$2:$A$675,A1158,Compta!$B$2:$B$675,B1158,Compta!$C$2:$C$675,"2026"),0)</f>
        <v/>
      </c>
      <c r="G1158">
        <f>IF(D1158="V01",cad!$I$21,IF(D1158="V02",cad!$J$21,cad!$K$21))</f>
        <v/>
      </c>
      <c r="H1158">
        <f>IF(D1158="V01",cad!$I$22,IF(D1158="V02",cad!$J$22,cad!$K$22))</f>
        <v/>
      </c>
      <c r="I1158">
        <f>IF(D1158="V01",cad!$I$27,IF(D1158="V02",cad!$J$27,cad!$K$27))</f>
        <v/>
      </c>
      <c r="J1158">
        <f>IF(D1158="V01",cad!$I$28,IF(D1158="V02",cad!$J$28,cad!$K$28))</f>
        <v/>
      </c>
      <c r="K1158">
        <f>IF(D1158="V01",cad!$I$29,IF(D1158="V02",cad!$J$29,cad!$K$29))</f>
        <v/>
      </c>
      <c r="L1158">
        <f>IF(D1158="V01",cad!$I$30,IF(D1158="V02",cad!$J$30,cad!$K$30))</f>
        <v/>
      </c>
      <c r="M1158">
        <f>IF(D1158="V01",cad!$I$31,IF(D1158="V02",cad!$J$31,cad!$K$31))</f>
        <v/>
      </c>
      <c r="N1158">
        <f>IF(D1158="V01",$R$2,IF(D1158="V02",$R$3,$R$4))</f>
        <v/>
      </c>
      <c r="O1158">
        <f>IF(OR(B1158="7062",B1158="706",B1158="708"),N1158,IF(B1158="6231",1+G1158,IF(B1158="6236",1+H1158,IF(OR(B1158="621",B1158="604",B1158="6063"),N1158*(1-L1158),IF(OR(B1158="6411",B1158="6413",B1158="6414",B1158="645"),(1+J1158)*(1+K1158),IF(OR(B1158="613",B1158="615",B1158="616",B1158="6226",B1158="625",B1158="626",B1158="6281"),(1+I1158)*(1-L1158)*(1+M1158),IF(OR(B1158="6331",B1158="63511",B1158="6333"),(1+I1158)*(1-L1158),IF(B1158="6811",1+I1158,1))))))))</f>
        <v/>
      </c>
      <c r="P1158">
        <f>IF(E1158=1,F1158*O1158,"")</f>
        <v/>
      </c>
    </row>
    <row r="1159">
      <c r="A1159">
        <f>PNL!A1159</f>
        <v/>
      </c>
      <c r="B1159">
        <f>PNL!B1159</f>
        <v/>
      </c>
      <c r="C1159">
        <f>PNL!C1159</f>
        <v/>
      </c>
      <c r="D1159">
        <f>PNL!D1159</f>
        <v/>
      </c>
      <c r="E1159">
        <f>IF(AND(C1159="2027",OR(D1159="V01",D1159="V02",D1159="V03")),1,0)</f>
        <v/>
      </c>
      <c r="F1159">
        <f>IF(E1159=1,SUMIFS(Compta!$F$2:$F$675,Compta!$A$2:$A$675,A1159,Compta!$B$2:$B$675,B1159,Compta!$C$2:$C$675,"2026"),0)</f>
        <v/>
      </c>
      <c r="G1159">
        <f>IF(D1159="V01",cad!$I$21,IF(D1159="V02",cad!$J$21,cad!$K$21))</f>
        <v/>
      </c>
      <c r="H1159">
        <f>IF(D1159="V01",cad!$I$22,IF(D1159="V02",cad!$J$22,cad!$K$22))</f>
        <v/>
      </c>
      <c r="I1159">
        <f>IF(D1159="V01",cad!$I$27,IF(D1159="V02",cad!$J$27,cad!$K$27))</f>
        <v/>
      </c>
      <c r="J1159">
        <f>IF(D1159="V01",cad!$I$28,IF(D1159="V02",cad!$J$28,cad!$K$28))</f>
        <v/>
      </c>
      <c r="K1159">
        <f>IF(D1159="V01",cad!$I$29,IF(D1159="V02",cad!$J$29,cad!$K$29))</f>
        <v/>
      </c>
      <c r="L1159">
        <f>IF(D1159="V01",cad!$I$30,IF(D1159="V02",cad!$J$30,cad!$K$30))</f>
        <v/>
      </c>
      <c r="M1159">
        <f>IF(D1159="V01",cad!$I$31,IF(D1159="V02",cad!$J$31,cad!$K$31))</f>
        <v/>
      </c>
      <c r="N1159">
        <f>IF(D1159="V01",$R$2,IF(D1159="V02",$R$3,$R$4))</f>
        <v/>
      </c>
      <c r="O1159">
        <f>IF(OR(B1159="7062",B1159="706",B1159="708"),N1159,IF(B1159="6231",1+G1159,IF(B1159="6236",1+H1159,IF(OR(B1159="621",B1159="604",B1159="6063"),N1159*(1-L1159),IF(OR(B1159="6411",B1159="6413",B1159="6414",B1159="645"),(1+J1159)*(1+K1159),IF(OR(B1159="613",B1159="615",B1159="616",B1159="6226",B1159="625",B1159="626",B1159="6281"),(1+I1159)*(1-L1159)*(1+M1159),IF(OR(B1159="6331",B1159="63511",B1159="6333"),(1+I1159)*(1-L1159),IF(B1159="6811",1+I1159,1))))))))</f>
        <v/>
      </c>
      <c r="P1159">
        <f>IF(E1159=1,F1159*O1159,"")</f>
        <v/>
      </c>
    </row>
    <row r="1160">
      <c r="A1160">
        <f>PNL!A1160</f>
        <v/>
      </c>
      <c r="B1160">
        <f>PNL!B1160</f>
        <v/>
      </c>
      <c r="C1160">
        <f>PNL!C1160</f>
        <v/>
      </c>
      <c r="D1160">
        <f>PNL!D1160</f>
        <v/>
      </c>
      <c r="E1160">
        <f>IF(AND(C1160="2027",OR(D1160="V01",D1160="V02",D1160="V03")),1,0)</f>
        <v/>
      </c>
      <c r="F1160">
        <f>IF(E1160=1,SUMIFS(Compta!$F$2:$F$675,Compta!$A$2:$A$675,A1160,Compta!$B$2:$B$675,B1160,Compta!$C$2:$C$675,"2026"),0)</f>
        <v/>
      </c>
      <c r="G1160">
        <f>IF(D1160="V01",cad!$I$21,IF(D1160="V02",cad!$J$21,cad!$K$21))</f>
        <v/>
      </c>
      <c r="H1160">
        <f>IF(D1160="V01",cad!$I$22,IF(D1160="V02",cad!$J$22,cad!$K$22))</f>
        <v/>
      </c>
      <c r="I1160">
        <f>IF(D1160="V01",cad!$I$27,IF(D1160="V02",cad!$J$27,cad!$K$27))</f>
        <v/>
      </c>
      <c r="J1160">
        <f>IF(D1160="V01",cad!$I$28,IF(D1160="V02",cad!$J$28,cad!$K$28))</f>
        <v/>
      </c>
      <c r="K1160">
        <f>IF(D1160="V01",cad!$I$29,IF(D1160="V02",cad!$J$29,cad!$K$29))</f>
        <v/>
      </c>
      <c r="L1160">
        <f>IF(D1160="V01",cad!$I$30,IF(D1160="V02",cad!$J$30,cad!$K$30))</f>
        <v/>
      </c>
      <c r="M1160">
        <f>IF(D1160="V01",cad!$I$31,IF(D1160="V02",cad!$J$31,cad!$K$31))</f>
        <v/>
      </c>
      <c r="N1160">
        <f>IF(D1160="V01",$R$2,IF(D1160="V02",$R$3,$R$4))</f>
        <v/>
      </c>
      <c r="O1160">
        <f>IF(OR(B1160="7062",B1160="706",B1160="708"),N1160,IF(B1160="6231",1+G1160,IF(B1160="6236",1+H1160,IF(OR(B1160="621",B1160="604",B1160="6063"),N1160*(1-L1160),IF(OR(B1160="6411",B1160="6413",B1160="6414",B1160="645"),(1+J1160)*(1+K1160),IF(OR(B1160="613",B1160="615",B1160="616",B1160="6226",B1160="625",B1160="626",B1160="6281"),(1+I1160)*(1-L1160)*(1+M1160),IF(OR(B1160="6331",B1160="63511",B1160="6333"),(1+I1160)*(1-L1160),IF(B1160="6811",1+I1160,1))))))))</f>
        <v/>
      </c>
      <c r="P1160">
        <f>IF(E1160=1,F1160*O1160,"")</f>
        <v/>
      </c>
    </row>
    <row r="1161">
      <c r="A1161">
        <f>PNL!A1161</f>
        <v/>
      </c>
      <c r="B1161">
        <f>PNL!B1161</f>
        <v/>
      </c>
      <c r="C1161">
        <f>PNL!C1161</f>
        <v/>
      </c>
      <c r="D1161">
        <f>PNL!D1161</f>
        <v/>
      </c>
      <c r="E1161">
        <f>IF(AND(C1161="2027",OR(D1161="V01",D1161="V02",D1161="V03")),1,0)</f>
        <v/>
      </c>
      <c r="F1161">
        <f>IF(E1161=1,SUMIFS(Compta!$F$2:$F$675,Compta!$A$2:$A$675,A1161,Compta!$B$2:$B$675,B1161,Compta!$C$2:$C$675,"2026"),0)</f>
        <v/>
      </c>
      <c r="G1161">
        <f>IF(D1161="V01",cad!$I$21,IF(D1161="V02",cad!$J$21,cad!$K$21))</f>
        <v/>
      </c>
      <c r="H1161">
        <f>IF(D1161="V01",cad!$I$22,IF(D1161="V02",cad!$J$22,cad!$K$22))</f>
        <v/>
      </c>
      <c r="I1161">
        <f>IF(D1161="V01",cad!$I$27,IF(D1161="V02",cad!$J$27,cad!$K$27))</f>
        <v/>
      </c>
      <c r="J1161">
        <f>IF(D1161="V01",cad!$I$28,IF(D1161="V02",cad!$J$28,cad!$K$28))</f>
        <v/>
      </c>
      <c r="K1161">
        <f>IF(D1161="V01",cad!$I$29,IF(D1161="V02",cad!$J$29,cad!$K$29))</f>
        <v/>
      </c>
      <c r="L1161">
        <f>IF(D1161="V01",cad!$I$30,IF(D1161="V02",cad!$J$30,cad!$K$30))</f>
        <v/>
      </c>
      <c r="M1161">
        <f>IF(D1161="V01",cad!$I$31,IF(D1161="V02",cad!$J$31,cad!$K$31))</f>
        <v/>
      </c>
      <c r="N1161">
        <f>IF(D1161="V01",$R$2,IF(D1161="V02",$R$3,$R$4))</f>
        <v/>
      </c>
      <c r="O1161">
        <f>IF(OR(B1161="7062",B1161="706",B1161="708"),N1161,IF(B1161="6231",1+G1161,IF(B1161="6236",1+H1161,IF(OR(B1161="621",B1161="604",B1161="6063"),N1161*(1-L1161),IF(OR(B1161="6411",B1161="6413",B1161="6414",B1161="645"),(1+J1161)*(1+K1161),IF(OR(B1161="613",B1161="615",B1161="616",B1161="6226",B1161="625",B1161="626",B1161="6281"),(1+I1161)*(1-L1161)*(1+M1161),IF(OR(B1161="6331",B1161="63511",B1161="6333"),(1+I1161)*(1-L1161),IF(B1161="6811",1+I1161,1))))))))</f>
        <v/>
      </c>
      <c r="P1161">
        <f>IF(E1161=1,F1161*O1161,"")</f>
        <v/>
      </c>
    </row>
    <row r="1162">
      <c r="A1162">
        <f>PNL!A1162</f>
        <v/>
      </c>
      <c r="B1162">
        <f>PNL!B1162</f>
        <v/>
      </c>
      <c r="C1162">
        <f>PNL!C1162</f>
        <v/>
      </c>
      <c r="D1162">
        <f>PNL!D1162</f>
        <v/>
      </c>
      <c r="E1162">
        <f>IF(AND(C1162="2027",OR(D1162="V01",D1162="V02",D1162="V03")),1,0)</f>
        <v/>
      </c>
      <c r="F1162">
        <f>IF(E1162=1,SUMIFS(Compta!$F$2:$F$675,Compta!$A$2:$A$675,A1162,Compta!$B$2:$B$675,B1162,Compta!$C$2:$C$675,"2026"),0)</f>
        <v/>
      </c>
      <c r="G1162">
        <f>IF(D1162="V01",cad!$I$21,IF(D1162="V02",cad!$J$21,cad!$K$21))</f>
        <v/>
      </c>
      <c r="H1162">
        <f>IF(D1162="V01",cad!$I$22,IF(D1162="V02",cad!$J$22,cad!$K$22))</f>
        <v/>
      </c>
      <c r="I1162">
        <f>IF(D1162="V01",cad!$I$27,IF(D1162="V02",cad!$J$27,cad!$K$27))</f>
        <v/>
      </c>
      <c r="J1162">
        <f>IF(D1162="V01",cad!$I$28,IF(D1162="V02",cad!$J$28,cad!$K$28))</f>
        <v/>
      </c>
      <c r="K1162">
        <f>IF(D1162="V01",cad!$I$29,IF(D1162="V02",cad!$J$29,cad!$K$29))</f>
        <v/>
      </c>
      <c r="L1162">
        <f>IF(D1162="V01",cad!$I$30,IF(D1162="V02",cad!$J$30,cad!$K$30))</f>
        <v/>
      </c>
      <c r="M1162">
        <f>IF(D1162="V01",cad!$I$31,IF(D1162="V02",cad!$J$31,cad!$K$31))</f>
        <v/>
      </c>
      <c r="N1162">
        <f>IF(D1162="V01",$R$2,IF(D1162="V02",$R$3,$R$4))</f>
        <v/>
      </c>
      <c r="O1162">
        <f>IF(OR(B1162="7062",B1162="706",B1162="708"),N1162,IF(B1162="6231",1+G1162,IF(B1162="6236",1+H1162,IF(OR(B1162="621",B1162="604",B1162="6063"),N1162*(1-L1162),IF(OR(B1162="6411",B1162="6413",B1162="6414",B1162="645"),(1+J1162)*(1+K1162),IF(OR(B1162="613",B1162="615",B1162="616",B1162="6226",B1162="625",B1162="626",B1162="6281"),(1+I1162)*(1-L1162)*(1+M1162),IF(OR(B1162="6331",B1162="63511",B1162="6333"),(1+I1162)*(1-L1162),IF(B1162="6811",1+I1162,1))))))))</f>
        <v/>
      </c>
      <c r="P1162">
        <f>IF(E1162=1,F1162*O1162,"")</f>
        <v/>
      </c>
    </row>
    <row r="1163">
      <c r="A1163">
        <f>PNL!A1163</f>
        <v/>
      </c>
      <c r="B1163">
        <f>PNL!B1163</f>
        <v/>
      </c>
      <c r="C1163">
        <f>PNL!C1163</f>
        <v/>
      </c>
      <c r="D1163">
        <f>PNL!D1163</f>
        <v/>
      </c>
      <c r="E1163">
        <f>IF(AND(C1163="2027",OR(D1163="V01",D1163="V02",D1163="V03")),1,0)</f>
        <v/>
      </c>
      <c r="F1163">
        <f>IF(E1163=1,SUMIFS(Compta!$F$2:$F$675,Compta!$A$2:$A$675,A1163,Compta!$B$2:$B$675,B1163,Compta!$C$2:$C$675,"2026"),0)</f>
        <v/>
      </c>
      <c r="G1163">
        <f>IF(D1163="V01",cad!$I$21,IF(D1163="V02",cad!$J$21,cad!$K$21))</f>
        <v/>
      </c>
      <c r="H1163">
        <f>IF(D1163="V01",cad!$I$22,IF(D1163="V02",cad!$J$22,cad!$K$22))</f>
        <v/>
      </c>
      <c r="I1163">
        <f>IF(D1163="V01",cad!$I$27,IF(D1163="V02",cad!$J$27,cad!$K$27))</f>
        <v/>
      </c>
      <c r="J1163">
        <f>IF(D1163="V01",cad!$I$28,IF(D1163="V02",cad!$J$28,cad!$K$28))</f>
        <v/>
      </c>
      <c r="K1163">
        <f>IF(D1163="V01",cad!$I$29,IF(D1163="V02",cad!$J$29,cad!$K$29))</f>
        <v/>
      </c>
      <c r="L1163">
        <f>IF(D1163="V01",cad!$I$30,IF(D1163="V02",cad!$J$30,cad!$K$30))</f>
        <v/>
      </c>
      <c r="M1163">
        <f>IF(D1163="V01",cad!$I$31,IF(D1163="V02",cad!$J$31,cad!$K$31))</f>
        <v/>
      </c>
      <c r="N1163">
        <f>IF(D1163="V01",$R$2,IF(D1163="V02",$R$3,$R$4))</f>
        <v/>
      </c>
      <c r="O1163">
        <f>IF(OR(B1163="7062",B1163="706",B1163="708"),N1163,IF(B1163="6231",1+G1163,IF(B1163="6236",1+H1163,IF(OR(B1163="621",B1163="604",B1163="6063"),N1163*(1-L1163),IF(OR(B1163="6411",B1163="6413",B1163="6414",B1163="645"),(1+J1163)*(1+K1163),IF(OR(B1163="613",B1163="615",B1163="616",B1163="6226",B1163="625",B1163="626",B1163="6281"),(1+I1163)*(1-L1163)*(1+M1163),IF(OR(B1163="6331",B1163="63511",B1163="6333"),(1+I1163)*(1-L1163),IF(B1163="6811",1+I1163,1))))))))</f>
        <v/>
      </c>
      <c r="P1163">
        <f>IF(E1163=1,F1163*O1163,"")</f>
        <v/>
      </c>
    </row>
    <row r="1164">
      <c r="A1164">
        <f>PNL!A1164</f>
        <v/>
      </c>
      <c r="B1164">
        <f>PNL!B1164</f>
        <v/>
      </c>
      <c r="C1164">
        <f>PNL!C1164</f>
        <v/>
      </c>
      <c r="D1164">
        <f>PNL!D1164</f>
        <v/>
      </c>
      <c r="E1164">
        <f>IF(AND(C1164="2027",OR(D1164="V01",D1164="V02",D1164="V03")),1,0)</f>
        <v/>
      </c>
      <c r="F1164">
        <f>IF(E1164=1,SUMIFS(Compta!$F$2:$F$675,Compta!$A$2:$A$675,A1164,Compta!$B$2:$B$675,B1164,Compta!$C$2:$C$675,"2026"),0)</f>
        <v/>
      </c>
      <c r="G1164">
        <f>IF(D1164="V01",cad!$I$21,IF(D1164="V02",cad!$J$21,cad!$K$21))</f>
        <v/>
      </c>
      <c r="H1164">
        <f>IF(D1164="V01",cad!$I$22,IF(D1164="V02",cad!$J$22,cad!$K$22))</f>
        <v/>
      </c>
      <c r="I1164">
        <f>IF(D1164="V01",cad!$I$27,IF(D1164="V02",cad!$J$27,cad!$K$27))</f>
        <v/>
      </c>
      <c r="J1164">
        <f>IF(D1164="V01",cad!$I$28,IF(D1164="V02",cad!$J$28,cad!$K$28))</f>
        <v/>
      </c>
      <c r="K1164">
        <f>IF(D1164="V01",cad!$I$29,IF(D1164="V02",cad!$J$29,cad!$K$29))</f>
        <v/>
      </c>
      <c r="L1164">
        <f>IF(D1164="V01",cad!$I$30,IF(D1164="V02",cad!$J$30,cad!$K$30))</f>
        <v/>
      </c>
      <c r="M1164">
        <f>IF(D1164="V01",cad!$I$31,IF(D1164="V02",cad!$J$31,cad!$K$31))</f>
        <v/>
      </c>
      <c r="N1164">
        <f>IF(D1164="V01",$R$2,IF(D1164="V02",$R$3,$R$4))</f>
        <v/>
      </c>
      <c r="O1164">
        <f>IF(OR(B1164="7062",B1164="706",B1164="708"),N1164,IF(B1164="6231",1+G1164,IF(B1164="6236",1+H1164,IF(OR(B1164="621",B1164="604",B1164="6063"),N1164*(1-L1164),IF(OR(B1164="6411",B1164="6413",B1164="6414",B1164="645"),(1+J1164)*(1+K1164),IF(OR(B1164="613",B1164="615",B1164="616",B1164="6226",B1164="625",B1164="626",B1164="6281"),(1+I1164)*(1-L1164)*(1+M1164),IF(OR(B1164="6331",B1164="63511",B1164="6333"),(1+I1164)*(1-L1164),IF(B1164="6811",1+I1164,1))))))))</f>
        <v/>
      </c>
      <c r="P1164">
        <f>IF(E1164=1,F1164*O1164,"")</f>
        <v/>
      </c>
    </row>
    <row r="1165">
      <c r="A1165">
        <f>PNL!A1165</f>
        <v/>
      </c>
      <c r="B1165">
        <f>PNL!B1165</f>
        <v/>
      </c>
      <c r="C1165">
        <f>PNL!C1165</f>
        <v/>
      </c>
      <c r="D1165">
        <f>PNL!D1165</f>
        <v/>
      </c>
      <c r="E1165">
        <f>IF(AND(C1165="2027",OR(D1165="V01",D1165="V02",D1165="V03")),1,0)</f>
        <v/>
      </c>
      <c r="F1165">
        <f>IF(E1165=1,SUMIFS(Compta!$F$2:$F$675,Compta!$A$2:$A$675,A1165,Compta!$B$2:$B$675,B1165,Compta!$C$2:$C$675,"2026"),0)</f>
        <v/>
      </c>
      <c r="G1165">
        <f>IF(D1165="V01",cad!$I$21,IF(D1165="V02",cad!$J$21,cad!$K$21))</f>
        <v/>
      </c>
      <c r="H1165">
        <f>IF(D1165="V01",cad!$I$22,IF(D1165="V02",cad!$J$22,cad!$K$22))</f>
        <v/>
      </c>
      <c r="I1165">
        <f>IF(D1165="V01",cad!$I$27,IF(D1165="V02",cad!$J$27,cad!$K$27))</f>
        <v/>
      </c>
      <c r="J1165">
        <f>IF(D1165="V01",cad!$I$28,IF(D1165="V02",cad!$J$28,cad!$K$28))</f>
        <v/>
      </c>
      <c r="K1165">
        <f>IF(D1165="V01",cad!$I$29,IF(D1165="V02",cad!$J$29,cad!$K$29))</f>
        <v/>
      </c>
      <c r="L1165">
        <f>IF(D1165="V01",cad!$I$30,IF(D1165="V02",cad!$J$30,cad!$K$30))</f>
        <v/>
      </c>
      <c r="M1165">
        <f>IF(D1165="V01",cad!$I$31,IF(D1165="V02",cad!$J$31,cad!$K$31))</f>
        <v/>
      </c>
      <c r="N1165">
        <f>IF(D1165="V01",$R$2,IF(D1165="V02",$R$3,$R$4))</f>
        <v/>
      </c>
      <c r="O1165">
        <f>IF(OR(B1165="7062",B1165="706",B1165="708"),N1165,IF(B1165="6231",1+G1165,IF(B1165="6236",1+H1165,IF(OR(B1165="621",B1165="604",B1165="6063"),N1165*(1-L1165),IF(OR(B1165="6411",B1165="6413",B1165="6414",B1165="645"),(1+J1165)*(1+K1165),IF(OR(B1165="613",B1165="615",B1165="616",B1165="6226",B1165="625",B1165="626",B1165="6281"),(1+I1165)*(1-L1165)*(1+M1165),IF(OR(B1165="6331",B1165="63511",B1165="6333"),(1+I1165)*(1-L1165),IF(B1165="6811",1+I1165,1))))))))</f>
        <v/>
      </c>
      <c r="P1165">
        <f>IF(E1165=1,F1165*O1165,"")</f>
        <v/>
      </c>
    </row>
    <row r="1166">
      <c r="A1166">
        <f>PNL!A1166</f>
        <v/>
      </c>
      <c r="B1166">
        <f>PNL!B1166</f>
        <v/>
      </c>
      <c r="C1166">
        <f>PNL!C1166</f>
        <v/>
      </c>
      <c r="D1166">
        <f>PNL!D1166</f>
        <v/>
      </c>
      <c r="E1166">
        <f>IF(AND(C1166="2027",OR(D1166="V01",D1166="V02",D1166="V03")),1,0)</f>
        <v/>
      </c>
      <c r="F1166">
        <f>IF(E1166=1,SUMIFS(Compta!$F$2:$F$675,Compta!$A$2:$A$675,A1166,Compta!$B$2:$B$675,B1166,Compta!$C$2:$C$675,"2026"),0)</f>
        <v/>
      </c>
      <c r="G1166">
        <f>IF(D1166="V01",cad!$I$21,IF(D1166="V02",cad!$J$21,cad!$K$21))</f>
        <v/>
      </c>
      <c r="H1166">
        <f>IF(D1166="V01",cad!$I$22,IF(D1166="V02",cad!$J$22,cad!$K$22))</f>
        <v/>
      </c>
      <c r="I1166">
        <f>IF(D1166="V01",cad!$I$27,IF(D1166="V02",cad!$J$27,cad!$K$27))</f>
        <v/>
      </c>
      <c r="J1166">
        <f>IF(D1166="V01",cad!$I$28,IF(D1166="V02",cad!$J$28,cad!$K$28))</f>
        <v/>
      </c>
      <c r="K1166">
        <f>IF(D1166="V01",cad!$I$29,IF(D1166="V02",cad!$J$29,cad!$K$29))</f>
        <v/>
      </c>
      <c r="L1166">
        <f>IF(D1166="V01",cad!$I$30,IF(D1166="V02",cad!$J$30,cad!$K$30))</f>
        <v/>
      </c>
      <c r="M1166">
        <f>IF(D1166="V01",cad!$I$31,IF(D1166="V02",cad!$J$31,cad!$K$31))</f>
        <v/>
      </c>
      <c r="N1166">
        <f>IF(D1166="V01",$R$2,IF(D1166="V02",$R$3,$R$4))</f>
        <v/>
      </c>
      <c r="O1166">
        <f>IF(OR(B1166="7062",B1166="706",B1166="708"),N1166,IF(B1166="6231",1+G1166,IF(B1166="6236",1+H1166,IF(OR(B1166="621",B1166="604",B1166="6063"),N1166*(1-L1166),IF(OR(B1166="6411",B1166="6413",B1166="6414",B1166="645"),(1+J1166)*(1+K1166),IF(OR(B1166="613",B1166="615",B1166="616",B1166="6226",B1166="625",B1166="626",B1166="6281"),(1+I1166)*(1-L1166)*(1+M1166),IF(OR(B1166="6331",B1166="63511",B1166="6333"),(1+I1166)*(1-L1166),IF(B1166="6811",1+I1166,1))))))))</f>
        <v/>
      </c>
      <c r="P1166">
        <f>IF(E1166=1,F1166*O1166,"")</f>
        <v/>
      </c>
    </row>
    <row r="1167">
      <c r="A1167">
        <f>PNL!A1167</f>
        <v/>
      </c>
      <c r="B1167">
        <f>PNL!B1167</f>
        <v/>
      </c>
      <c r="C1167">
        <f>PNL!C1167</f>
        <v/>
      </c>
      <c r="D1167">
        <f>PNL!D1167</f>
        <v/>
      </c>
      <c r="E1167">
        <f>IF(AND(C1167="2027",OR(D1167="V01",D1167="V02",D1167="V03")),1,0)</f>
        <v/>
      </c>
      <c r="F1167">
        <f>IF(E1167=1,SUMIFS(Compta!$F$2:$F$675,Compta!$A$2:$A$675,A1167,Compta!$B$2:$B$675,B1167,Compta!$C$2:$C$675,"2026"),0)</f>
        <v/>
      </c>
      <c r="G1167">
        <f>IF(D1167="V01",cad!$I$21,IF(D1167="V02",cad!$J$21,cad!$K$21))</f>
        <v/>
      </c>
      <c r="H1167">
        <f>IF(D1167="V01",cad!$I$22,IF(D1167="V02",cad!$J$22,cad!$K$22))</f>
        <v/>
      </c>
      <c r="I1167">
        <f>IF(D1167="V01",cad!$I$27,IF(D1167="V02",cad!$J$27,cad!$K$27))</f>
        <v/>
      </c>
      <c r="J1167">
        <f>IF(D1167="V01",cad!$I$28,IF(D1167="V02",cad!$J$28,cad!$K$28))</f>
        <v/>
      </c>
      <c r="K1167">
        <f>IF(D1167="V01",cad!$I$29,IF(D1167="V02",cad!$J$29,cad!$K$29))</f>
        <v/>
      </c>
      <c r="L1167">
        <f>IF(D1167="V01",cad!$I$30,IF(D1167="V02",cad!$J$30,cad!$K$30))</f>
        <v/>
      </c>
      <c r="M1167">
        <f>IF(D1167="V01",cad!$I$31,IF(D1167="V02",cad!$J$31,cad!$K$31))</f>
        <v/>
      </c>
      <c r="N1167">
        <f>IF(D1167="V01",$R$2,IF(D1167="V02",$R$3,$R$4))</f>
        <v/>
      </c>
      <c r="O1167">
        <f>IF(OR(B1167="7062",B1167="706",B1167="708"),N1167,IF(B1167="6231",1+G1167,IF(B1167="6236",1+H1167,IF(OR(B1167="621",B1167="604",B1167="6063"),N1167*(1-L1167),IF(OR(B1167="6411",B1167="6413",B1167="6414",B1167="645"),(1+J1167)*(1+K1167),IF(OR(B1167="613",B1167="615",B1167="616",B1167="6226",B1167="625",B1167="626",B1167="6281"),(1+I1167)*(1-L1167)*(1+M1167),IF(OR(B1167="6331",B1167="63511",B1167="6333"),(1+I1167)*(1-L1167),IF(B1167="6811",1+I1167,1))))))))</f>
        <v/>
      </c>
      <c r="P1167">
        <f>IF(E1167=1,F1167*O1167,"")</f>
        <v/>
      </c>
    </row>
    <row r="1168">
      <c r="A1168">
        <f>PNL!A1168</f>
        <v/>
      </c>
      <c r="B1168">
        <f>PNL!B1168</f>
        <v/>
      </c>
      <c r="C1168">
        <f>PNL!C1168</f>
        <v/>
      </c>
      <c r="D1168">
        <f>PNL!D1168</f>
        <v/>
      </c>
      <c r="E1168">
        <f>IF(AND(C1168="2027",OR(D1168="V01",D1168="V02",D1168="V03")),1,0)</f>
        <v/>
      </c>
      <c r="F1168">
        <f>IF(E1168=1,SUMIFS(Compta!$F$2:$F$675,Compta!$A$2:$A$675,A1168,Compta!$B$2:$B$675,B1168,Compta!$C$2:$C$675,"2026"),0)</f>
        <v/>
      </c>
      <c r="G1168">
        <f>IF(D1168="V01",cad!$I$21,IF(D1168="V02",cad!$J$21,cad!$K$21))</f>
        <v/>
      </c>
      <c r="H1168">
        <f>IF(D1168="V01",cad!$I$22,IF(D1168="V02",cad!$J$22,cad!$K$22))</f>
        <v/>
      </c>
      <c r="I1168">
        <f>IF(D1168="V01",cad!$I$27,IF(D1168="V02",cad!$J$27,cad!$K$27))</f>
        <v/>
      </c>
      <c r="J1168">
        <f>IF(D1168="V01",cad!$I$28,IF(D1168="V02",cad!$J$28,cad!$K$28))</f>
        <v/>
      </c>
      <c r="K1168">
        <f>IF(D1168="V01",cad!$I$29,IF(D1168="V02",cad!$J$29,cad!$K$29))</f>
        <v/>
      </c>
      <c r="L1168">
        <f>IF(D1168="V01",cad!$I$30,IF(D1168="V02",cad!$J$30,cad!$K$30))</f>
        <v/>
      </c>
      <c r="M1168">
        <f>IF(D1168="V01",cad!$I$31,IF(D1168="V02",cad!$J$31,cad!$K$31))</f>
        <v/>
      </c>
      <c r="N1168">
        <f>IF(D1168="V01",$R$2,IF(D1168="V02",$R$3,$R$4))</f>
        <v/>
      </c>
      <c r="O1168">
        <f>IF(OR(B1168="7062",B1168="706",B1168="708"),N1168,IF(B1168="6231",1+G1168,IF(B1168="6236",1+H1168,IF(OR(B1168="621",B1168="604",B1168="6063"),N1168*(1-L1168),IF(OR(B1168="6411",B1168="6413",B1168="6414",B1168="645"),(1+J1168)*(1+K1168),IF(OR(B1168="613",B1168="615",B1168="616",B1168="6226",B1168="625",B1168="626",B1168="6281"),(1+I1168)*(1-L1168)*(1+M1168),IF(OR(B1168="6331",B1168="63511",B1168="6333"),(1+I1168)*(1-L1168),IF(B1168="6811",1+I1168,1))))))))</f>
        <v/>
      </c>
      <c r="P1168">
        <f>IF(E1168=1,F1168*O1168,"")</f>
        <v/>
      </c>
    </row>
    <row r="1169">
      <c r="A1169">
        <f>PNL!A1169</f>
        <v/>
      </c>
      <c r="B1169">
        <f>PNL!B1169</f>
        <v/>
      </c>
      <c r="C1169">
        <f>PNL!C1169</f>
        <v/>
      </c>
      <c r="D1169">
        <f>PNL!D1169</f>
        <v/>
      </c>
      <c r="E1169">
        <f>IF(AND(C1169="2027",OR(D1169="V01",D1169="V02",D1169="V03")),1,0)</f>
        <v/>
      </c>
      <c r="F1169">
        <f>IF(E1169=1,SUMIFS(Compta!$F$2:$F$675,Compta!$A$2:$A$675,A1169,Compta!$B$2:$B$675,B1169,Compta!$C$2:$C$675,"2026"),0)</f>
        <v/>
      </c>
      <c r="G1169">
        <f>IF(D1169="V01",cad!$I$21,IF(D1169="V02",cad!$J$21,cad!$K$21))</f>
        <v/>
      </c>
      <c r="H1169">
        <f>IF(D1169="V01",cad!$I$22,IF(D1169="V02",cad!$J$22,cad!$K$22))</f>
        <v/>
      </c>
      <c r="I1169">
        <f>IF(D1169="V01",cad!$I$27,IF(D1169="V02",cad!$J$27,cad!$K$27))</f>
        <v/>
      </c>
      <c r="J1169">
        <f>IF(D1169="V01",cad!$I$28,IF(D1169="V02",cad!$J$28,cad!$K$28))</f>
        <v/>
      </c>
      <c r="K1169">
        <f>IF(D1169="V01",cad!$I$29,IF(D1169="V02",cad!$J$29,cad!$K$29))</f>
        <v/>
      </c>
      <c r="L1169">
        <f>IF(D1169="V01",cad!$I$30,IF(D1169="V02",cad!$J$30,cad!$K$30))</f>
        <v/>
      </c>
      <c r="M1169">
        <f>IF(D1169="V01",cad!$I$31,IF(D1169="V02",cad!$J$31,cad!$K$31))</f>
        <v/>
      </c>
      <c r="N1169">
        <f>IF(D1169="V01",$R$2,IF(D1169="V02",$R$3,$R$4))</f>
        <v/>
      </c>
      <c r="O1169">
        <f>IF(OR(B1169="7062",B1169="706",B1169="708"),N1169,IF(B1169="6231",1+G1169,IF(B1169="6236",1+H1169,IF(OR(B1169="621",B1169="604",B1169="6063"),N1169*(1-L1169),IF(OR(B1169="6411",B1169="6413",B1169="6414",B1169="645"),(1+J1169)*(1+K1169),IF(OR(B1169="613",B1169="615",B1169="616",B1169="6226",B1169="625",B1169="626",B1169="6281"),(1+I1169)*(1-L1169)*(1+M1169),IF(OR(B1169="6331",B1169="63511",B1169="6333"),(1+I1169)*(1-L1169),IF(B1169="6811",1+I1169,1))))))))</f>
        <v/>
      </c>
      <c r="P1169">
        <f>IF(E1169=1,F1169*O1169,"")</f>
        <v/>
      </c>
    </row>
    <row r="1170">
      <c r="A1170">
        <f>PNL!A1170</f>
        <v/>
      </c>
      <c r="B1170">
        <f>PNL!B1170</f>
        <v/>
      </c>
      <c r="C1170">
        <f>PNL!C1170</f>
        <v/>
      </c>
      <c r="D1170">
        <f>PNL!D1170</f>
        <v/>
      </c>
      <c r="E1170">
        <f>IF(AND(C1170="2027",OR(D1170="V01",D1170="V02",D1170="V03")),1,0)</f>
        <v/>
      </c>
      <c r="F1170">
        <f>IF(E1170=1,SUMIFS(Compta!$F$2:$F$675,Compta!$A$2:$A$675,A1170,Compta!$B$2:$B$675,B1170,Compta!$C$2:$C$675,"2026"),0)</f>
        <v/>
      </c>
      <c r="G1170">
        <f>IF(D1170="V01",cad!$I$21,IF(D1170="V02",cad!$J$21,cad!$K$21))</f>
        <v/>
      </c>
      <c r="H1170">
        <f>IF(D1170="V01",cad!$I$22,IF(D1170="V02",cad!$J$22,cad!$K$22))</f>
        <v/>
      </c>
      <c r="I1170">
        <f>IF(D1170="V01",cad!$I$27,IF(D1170="V02",cad!$J$27,cad!$K$27))</f>
        <v/>
      </c>
      <c r="J1170">
        <f>IF(D1170="V01",cad!$I$28,IF(D1170="V02",cad!$J$28,cad!$K$28))</f>
        <v/>
      </c>
      <c r="K1170">
        <f>IF(D1170="V01",cad!$I$29,IF(D1170="V02",cad!$J$29,cad!$K$29))</f>
        <v/>
      </c>
      <c r="L1170">
        <f>IF(D1170="V01",cad!$I$30,IF(D1170="V02",cad!$J$30,cad!$K$30))</f>
        <v/>
      </c>
      <c r="M1170">
        <f>IF(D1170="V01",cad!$I$31,IF(D1170="V02",cad!$J$31,cad!$K$31))</f>
        <v/>
      </c>
      <c r="N1170">
        <f>IF(D1170="V01",$R$2,IF(D1170="V02",$R$3,$R$4))</f>
        <v/>
      </c>
      <c r="O1170">
        <f>IF(OR(B1170="7062",B1170="706",B1170="708"),N1170,IF(B1170="6231",1+G1170,IF(B1170="6236",1+H1170,IF(OR(B1170="621",B1170="604",B1170="6063"),N1170*(1-L1170),IF(OR(B1170="6411",B1170="6413",B1170="6414",B1170="645"),(1+J1170)*(1+K1170),IF(OR(B1170="613",B1170="615",B1170="616",B1170="6226",B1170="625",B1170="626",B1170="6281"),(1+I1170)*(1-L1170)*(1+M1170),IF(OR(B1170="6331",B1170="63511",B1170="6333"),(1+I1170)*(1-L1170),IF(B1170="6811",1+I1170,1))))))))</f>
        <v/>
      </c>
      <c r="P1170">
        <f>IF(E1170=1,F1170*O1170,"")</f>
        <v/>
      </c>
    </row>
    <row r="1171">
      <c r="A1171">
        <f>PNL!A1171</f>
        <v/>
      </c>
      <c r="B1171">
        <f>PNL!B1171</f>
        <v/>
      </c>
      <c r="C1171">
        <f>PNL!C1171</f>
        <v/>
      </c>
      <c r="D1171">
        <f>PNL!D1171</f>
        <v/>
      </c>
      <c r="E1171">
        <f>IF(AND(C1171="2027",OR(D1171="V01",D1171="V02",D1171="V03")),1,0)</f>
        <v/>
      </c>
      <c r="F1171">
        <f>IF(E1171=1,SUMIFS(Compta!$F$2:$F$675,Compta!$A$2:$A$675,A1171,Compta!$B$2:$B$675,B1171,Compta!$C$2:$C$675,"2026"),0)</f>
        <v/>
      </c>
      <c r="G1171">
        <f>IF(D1171="V01",cad!$I$21,IF(D1171="V02",cad!$J$21,cad!$K$21))</f>
        <v/>
      </c>
      <c r="H1171">
        <f>IF(D1171="V01",cad!$I$22,IF(D1171="V02",cad!$J$22,cad!$K$22))</f>
        <v/>
      </c>
      <c r="I1171">
        <f>IF(D1171="V01",cad!$I$27,IF(D1171="V02",cad!$J$27,cad!$K$27))</f>
        <v/>
      </c>
      <c r="J1171">
        <f>IF(D1171="V01",cad!$I$28,IF(D1171="V02",cad!$J$28,cad!$K$28))</f>
        <v/>
      </c>
      <c r="K1171">
        <f>IF(D1171="V01",cad!$I$29,IF(D1171="V02",cad!$J$29,cad!$K$29))</f>
        <v/>
      </c>
      <c r="L1171">
        <f>IF(D1171="V01",cad!$I$30,IF(D1171="V02",cad!$J$30,cad!$K$30))</f>
        <v/>
      </c>
      <c r="M1171">
        <f>IF(D1171="V01",cad!$I$31,IF(D1171="V02",cad!$J$31,cad!$K$31))</f>
        <v/>
      </c>
      <c r="N1171">
        <f>IF(D1171="V01",$R$2,IF(D1171="V02",$R$3,$R$4))</f>
        <v/>
      </c>
      <c r="O1171">
        <f>IF(OR(B1171="7062",B1171="706",B1171="708"),N1171,IF(B1171="6231",1+G1171,IF(B1171="6236",1+H1171,IF(OR(B1171="621",B1171="604",B1171="6063"),N1171*(1-L1171),IF(OR(B1171="6411",B1171="6413",B1171="6414",B1171="645"),(1+J1171)*(1+K1171),IF(OR(B1171="613",B1171="615",B1171="616",B1171="6226",B1171="625",B1171="626",B1171="6281"),(1+I1171)*(1-L1171)*(1+M1171),IF(OR(B1171="6331",B1171="63511",B1171="6333"),(1+I1171)*(1-L1171),IF(B1171="6811",1+I1171,1))))))))</f>
        <v/>
      </c>
      <c r="P1171">
        <f>IF(E1171=1,F1171*O1171,"")</f>
        <v/>
      </c>
    </row>
    <row r="1172">
      <c r="A1172">
        <f>PNL!A1172</f>
        <v/>
      </c>
      <c r="B1172">
        <f>PNL!B1172</f>
        <v/>
      </c>
      <c r="C1172">
        <f>PNL!C1172</f>
        <v/>
      </c>
      <c r="D1172">
        <f>PNL!D1172</f>
        <v/>
      </c>
      <c r="E1172">
        <f>IF(AND(C1172="2027",OR(D1172="V01",D1172="V02",D1172="V03")),1,0)</f>
        <v/>
      </c>
      <c r="F1172">
        <f>IF(E1172=1,SUMIFS(Compta!$F$2:$F$675,Compta!$A$2:$A$675,A1172,Compta!$B$2:$B$675,B1172,Compta!$C$2:$C$675,"2026"),0)</f>
        <v/>
      </c>
      <c r="G1172">
        <f>IF(D1172="V01",cad!$I$21,IF(D1172="V02",cad!$J$21,cad!$K$21))</f>
        <v/>
      </c>
      <c r="H1172">
        <f>IF(D1172="V01",cad!$I$22,IF(D1172="V02",cad!$J$22,cad!$K$22))</f>
        <v/>
      </c>
      <c r="I1172">
        <f>IF(D1172="V01",cad!$I$27,IF(D1172="V02",cad!$J$27,cad!$K$27))</f>
        <v/>
      </c>
      <c r="J1172">
        <f>IF(D1172="V01",cad!$I$28,IF(D1172="V02",cad!$J$28,cad!$K$28))</f>
        <v/>
      </c>
      <c r="K1172">
        <f>IF(D1172="V01",cad!$I$29,IF(D1172="V02",cad!$J$29,cad!$K$29))</f>
        <v/>
      </c>
      <c r="L1172">
        <f>IF(D1172="V01",cad!$I$30,IF(D1172="V02",cad!$J$30,cad!$K$30))</f>
        <v/>
      </c>
      <c r="M1172">
        <f>IF(D1172="V01",cad!$I$31,IF(D1172="V02",cad!$J$31,cad!$K$31))</f>
        <v/>
      </c>
      <c r="N1172">
        <f>IF(D1172="V01",$R$2,IF(D1172="V02",$R$3,$R$4))</f>
        <v/>
      </c>
      <c r="O1172">
        <f>IF(OR(B1172="7062",B1172="706",B1172="708"),N1172,IF(B1172="6231",1+G1172,IF(B1172="6236",1+H1172,IF(OR(B1172="621",B1172="604",B1172="6063"),N1172*(1-L1172),IF(OR(B1172="6411",B1172="6413",B1172="6414",B1172="645"),(1+J1172)*(1+K1172),IF(OR(B1172="613",B1172="615",B1172="616",B1172="6226",B1172="625",B1172="626",B1172="6281"),(1+I1172)*(1-L1172)*(1+M1172),IF(OR(B1172="6331",B1172="63511",B1172="6333"),(1+I1172)*(1-L1172),IF(B1172="6811",1+I1172,1))))))))</f>
        <v/>
      </c>
      <c r="P1172">
        <f>IF(E1172=1,F1172*O1172,"")</f>
        <v/>
      </c>
    </row>
    <row r="1173">
      <c r="A1173">
        <f>PNL!A1173</f>
        <v/>
      </c>
      <c r="B1173">
        <f>PNL!B1173</f>
        <v/>
      </c>
      <c r="C1173">
        <f>PNL!C1173</f>
        <v/>
      </c>
      <c r="D1173">
        <f>PNL!D1173</f>
        <v/>
      </c>
      <c r="E1173">
        <f>IF(AND(C1173="2027",OR(D1173="V01",D1173="V02",D1173="V03")),1,0)</f>
        <v/>
      </c>
      <c r="F1173">
        <f>IF(E1173=1,SUMIFS(Compta!$F$2:$F$675,Compta!$A$2:$A$675,A1173,Compta!$B$2:$B$675,B1173,Compta!$C$2:$C$675,"2026"),0)</f>
        <v/>
      </c>
      <c r="G1173">
        <f>IF(D1173="V01",cad!$I$21,IF(D1173="V02",cad!$J$21,cad!$K$21))</f>
        <v/>
      </c>
      <c r="H1173">
        <f>IF(D1173="V01",cad!$I$22,IF(D1173="V02",cad!$J$22,cad!$K$22))</f>
        <v/>
      </c>
      <c r="I1173">
        <f>IF(D1173="V01",cad!$I$27,IF(D1173="V02",cad!$J$27,cad!$K$27))</f>
        <v/>
      </c>
      <c r="J1173">
        <f>IF(D1173="V01",cad!$I$28,IF(D1173="V02",cad!$J$28,cad!$K$28))</f>
        <v/>
      </c>
      <c r="K1173">
        <f>IF(D1173="V01",cad!$I$29,IF(D1173="V02",cad!$J$29,cad!$K$29))</f>
        <v/>
      </c>
      <c r="L1173">
        <f>IF(D1173="V01",cad!$I$30,IF(D1173="V02",cad!$J$30,cad!$K$30))</f>
        <v/>
      </c>
      <c r="M1173">
        <f>IF(D1173="V01",cad!$I$31,IF(D1173="V02",cad!$J$31,cad!$K$31))</f>
        <v/>
      </c>
      <c r="N1173">
        <f>IF(D1173="V01",$R$2,IF(D1173="V02",$R$3,$R$4))</f>
        <v/>
      </c>
      <c r="O1173">
        <f>IF(OR(B1173="7062",B1173="706",B1173="708"),N1173,IF(B1173="6231",1+G1173,IF(B1173="6236",1+H1173,IF(OR(B1173="621",B1173="604",B1173="6063"),N1173*(1-L1173),IF(OR(B1173="6411",B1173="6413",B1173="6414",B1173="645"),(1+J1173)*(1+K1173),IF(OR(B1173="613",B1173="615",B1173="616",B1173="6226",B1173="625",B1173="626",B1173="6281"),(1+I1173)*(1-L1173)*(1+M1173),IF(OR(B1173="6331",B1173="63511",B1173="6333"),(1+I1173)*(1-L1173),IF(B1173="6811",1+I1173,1))))))))</f>
        <v/>
      </c>
      <c r="P1173">
        <f>IF(E1173=1,F1173*O1173,"")</f>
        <v/>
      </c>
    </row>
    <row r="1174">
      <c r="A1174">
        <f>PNL!A1174</f>
        <v/>
      </c>
      <c r="B1174">
        <f>PNL!B1174</f>
        <v/>
      </c>
      <c r="C1174">
        <f>PNL!C1174</f>
        <v/>
      </c>
      <c r="D1174">
        <f>PNL!D1174</f>
        <v/>
      </c>
      <c r="E1174">
        <f>IF(AND(C1174="2027",OR(D1174="V01",D1174="V02",D1174="V03")),1,0)</f>
        <v/>
      </c>
      <c r="F1174">
        <f>IF(E1174=1,SUMIFS(Compta!$F$2:$F$675,Compta!$A$2:$A$675,A1174,Compta!$B$2:$B$675,B1174,Compta!$C$2:$C$675,"2026"),0)</f>
        <v/>
      </c>
      <c r="G1174">
        <f>IF(D1174="V01",cad!$I$21,IF(D1174="V02",cad!$J$21,cad!$K$21))</f>
        <v/>
      </c>
      <c r="H1174">
        <f>IF(D1174="V01",cad!$I$22,IF(D1174="V02",cad!$J$22,cad!$K$22))</f>
        <v/>
      </c>
      <c r="I1174">
        <f>IF(D1174="V01",cad!$I$27,IF(D1174="V02",cad!$J$27,cad!$K$27))</f>
        <v/>
      </c>
      <c r="J1174">
        <f>IF(D1174="V01",cad!$I$28,IF(D1174="V02",cad!$J$28,cad!$K$28))</f>
        <v/>
      </c>
      <c r="K1174">
        <f>IF(D1174="V01",cad!$I$29,IF(D1174="V02",cad!$J$29,cad!$K$29))</f>
        <v/>
      </c>
      <c r="L1174">
        <f>IF(D1174="V01",cad!$I$30,IF(D1174="V02",cad!$J$30,cad!$K$30))</f>
        <v/>
      </c>
      <c r="M1174">
        <f>IF(D1174="V01",cad!$I$31,IF(D1174="V02",cad!$J$31,cad!$K$31))</f>
        <v/>
      </c>
      <c r="N1174">
        <f>IF(D1174="V01",$R$2,IF(D1174="V02",$R$3,$R$4))</f>
        <v/>
      </c>
      <c r="O1174">
        <f>IF(OR(B1174="7062",B1174="706",B1174="708"),N1174,IF(B1174="6231",1+G1174,IF(B1174="6236",1+H1174,IF(OR(B1174="621",B1174="604",B1174="6063"),N1174*(1-L1174),IF(OR(B1174="6411",B1174="6413",B1174="6414",B1174="645"),(1+J1174)*(1+K1174),IF(OR(B1174="613",B1174="615",B1174="616",B1174="6226",B1174="625",B1174="626",B1174="6281"),(1+I1174)*(1-L1174)*(1+M1174),IF(OR(B1174="6331",B1174="63511",B1174="6333"),(1+I1174)*(1-L1174),IF(B1174="6811",1+I1174,1))))))))</f>
        <v/>
      </c>
      <c r="P1174">
        <f>IF(E1174=1,F1174*O1174,"")</f>
        <v/>
      </c>
    </row>
    <row r="1175">
      <c r="A1175">
        <f>PNL!A1175</f>
        <v/>
      </c>
      <c r="B1175">
        <f>PNL!B1175</f>
        <v/>
      </c>
      <c r="C1175">
        <f>PNL!C1175</f>
        <v/>
      </c>
      <c r="D1175">
        <f>PNL!D1175</f>
        <v/>
      </c>
      <c r="E1175">
        <f>IF(AND(C1175="2027",OR(D1175="V01",D1175="V02",D1175="V03")),1,0)</f>
        <v/>
      </c>
      <c r="F1175">
        <f>IF(E1175=1,SUMIFS(Compta!$F$2:$F$675,Compta!$A$2:$A$675,A1175,Compta!$B$2:$B$675,B1175,Compta!$C$2:$C$675,"2026"),0)</f>
        <v/>
      </c>
      <c r="G1175">
        <f>IF(D1175="V01",cad!$I$21,IF(D1175="V02",cad!$J$21,cad!$K$21))</f>
        <v/>
      </c>
      <c r="H1175">
        <f>IF(D1175="V01",cad!$I$22,IF(D1175="V02",cad!$J$22,cad!$K$22))</f>
        <v/>
      </c>
      <c r="I1175">
        <f>IF(D1175="V01",cad!$I$27,IF(D1175="V02",cad!$J$27,cad!$K$27))</f>
        <v/>
      </c>
      <c r="J1175">
        <f>IF(D1175="V01",cad!$I$28,IF(D1175="V02",cad!$J$28,cad!$K$28))</f>
        <v/>
      </c>
      <c r="K1175">
        <f>IF(D1175="V01",cad!$I$29,IF(D1175="V02",cad!$J$29,cad!$K$29))</f>
        <v/>
      </c>
      <c r="L1175">
        <f>IF(D1175="V01",cad!$I$30,IF(D1175="V02",cad!$J$30,cad!$K$30))</f>
        <v/>
      </c>
      <c r="M1175">
        <f>IF(D1175="V01",cad!$I$31,IF(D1175="V02",cad!$J$31,cad!$K$31))</f>
        <v/>
      </c>
      <c r="N1175">
        <f>IF(D1175="V01",$R$2,IF(D1175="V02",$R$3,$R$4))</f>
        <v/>
      </c>
      <c r="O1175">
        <f>IF(OR(B1175="7062",B1175="706",B1175="708"),N1175,IF(B1175="6231",1+G1175,IF(B1175="6236",1+H1175,IF(OR(B1175="621",B1175="604",B1175="6063"),N1175*(1-L1175),IF(OR(B1175="6411",B1175="6413",B1175="6414",B1175="645"),(1+J1175)*(1+K1175),IF(OR(B1175="613",B1175="615",B1175="616",B1175="6226",B1175="625",B1175="626",B1175="6281"),(1+I1175)*(1-L1175)*(1+M1175),IF(OR(B1175="6331",B1175="63511",B1175="6333"),(1+I1175)*(1-L1175),IF(B1175="6811",1+I1175,1))))))))</f>
        <v/>
      </c>
      <c r="P1175">
        <f>IF(E1175=1,F1175*O1175,"")</f>
        <v/>
      </c>
    </row>
    <row r="1176">
      <c r="A1176">
        <f>PNL!A1176</f>
        <v/>
      </c>
      <c r="B1176">
        <f>PNL!B1176</f>
        <v/>
      </c>
      <c r="C1176">
        <f>PNL!C1176</f>
        <v/>
      </c>
      <c r="D1176">
        <f>PNL!D1176</f>
        <v/>
      </c>
      <c r="E1176">
        <f>IF(AND(C1176="2027",OR(D1176="V01",D1176="V02",D1176="V03")),1,0)</f>
        <v/>
      </c>
      <c r="F1176">
        <f>IF(E1176=1,SUMIFS(Compta!$F$2:$F$675,Compta!$A$2:$A$675,A1176,Compta!$B$2:$B$675,B1176,Compta!$C$2:$C$675,"2026"),0)</f>
        <v/>
      </c>
      <c r="G1176">
        <f>IF(D1176="V01",cad!$I$21,IF(D1176="V02",cad!$J$21,cad!$K$21))</f>
        <v/>
      </c>
      <c r="H1176">
        <f>IF(D1176="V01",cad!$I$22,IF(D1176="V02",cad!$J$22,cad!$K$22))</f>
        <v/>
      </c>
      <c r="I1176">
        <f>IF(D1176="V01",cad!$I$27,IF(D1176="V02",cad!$J$27,cad!$K$27))</f>
        <v/>
      </c>
      <c r="J1176">
        <f>IF(D1176="V01",cad!$I$28,IF(D1176="V02",cad!$J$28,cad!$K$28))</f>
        <v/>
      </c>
      <c r="K1176">
        <f>IF(D1176="V01",cad!$I$29,IF(D1176="V02",cad!$J$29,cad!$K$29))</f>
        <v/>
      </c>
      <c r="L1176">
        <f>IF(D1176="V01",cad!$I$30,IF(D1176="V02",cad!$J$30,cad!$K$30))</f>
        <v/>
      </c>
      <c r="M1176">
        <f>IF(D1176="V01",cad!$I$31,IF(D1176="V02",cad!$J$31,cad!$K$31))</f>
        <v/>
      </c>
      <c r="N1176">
        <f>IF(D1176="V01",$R$2,IF(D1176="V02",$R$3,$R$4))</f>
        <v/>
      </c>
      <c r="O1176">
        <f>IF(OR(B1176="7062",B1176="706",B1176="708"),N1176,IF(B1176="6231",1+G1176,IF(B1176="6236",1+H1176,IF(OR(B1176="621",B1176="604",B1176="6063"),N1176*(1-L1176),IF(OR(B1176="6411",B1176="6413",B1176="6414",B1176="645"),(1+J1176)*(1+K1176),IF(OR(B1176="613",B1176="615",B1176="616",B1176="6226",B1176="625",B1176="626",B1176="6281"),(1+I1176)*(1-L1176)*(1+M1176),IF(OR(B1176="6331",B1176="63511",B1176="6333"),(1+I1176)*(1-L1176),IF(B1176="6811",1+I1176,1))))))))</f>
        <v/>
      </c>
      <c r="P1176">
        <f>IF(E1176=1,F1176*O1176,"")</f>
        <v/>
      </c>
    </row>
    <row r="1177">
      <c r="A1177">
        <f>PNL!A1177</f>
        <v/>
      </c>
      <c r="B1177">
        <f>PNL!B1177</f>
        <v/>
      </c>
      <c r="C1177">
        <f>PNL!C1177</f>
        <v/>
      </c>
      <c r="D1177">
        <f>PNL!D1177</f>
        <v/>
      </c>
      <c r="E1177">
        <f>IF(AND(C1177="2027",OR(D1177="V01",D1177="V02",D1177="V03")),1,0)</f>
        <v/>
      </c>
      <c r="F1177">
        <f>IF(E1177=1,SUMIFS(Compta!$F$2:$F$675,Compta!$A$2:$A$675,A1177,Compta!$B$2:$B$675,B1177,Compta!$C$2:$C$675,"2026"),0)</f>
        <v/>
      </c>
      <c r="G1177">
        <f>IF(D1177="V01",cad!$I$21,IF(D1177="V02",cad!$J$21,cad!$K$21))</f>
        <v/>
      </c>
      <c r="H1177">
        <f>IF(D1177="V01",cad!$I$22,IF(D1177="V02",cad!$J$22,cad!$K$22))</f>
        <v/>
      </c>
      <c r="I1177">
        <f>IF(D1177="V01",cad!$I$27,IF(D1177="V02",cad!$J$27,cad!$K$27))</f>
        <v/>
      </c>
      <c r="J1177">
        <f>IF(D1177="V01",cad!$I$28,IF(D1177="V02",cad!$J$28,cad!$K$28))</f>
        <v/>
      </c>
      <c r="K1177">
        <f>IF(D1177="V01",cad!$I$29,IF(D1177="V02",cad!$J$29,cad!$K$29))</f>
        <v/>
      </c>
      <c r="L1177">
        <f>IF(D1177="V01",cad!$I$30,IF(D1177="V02",cad!$J$30,cad!$K$30))</f>
        <v/>
      </c>
      <c r="M1177">
        <f>IF(D1177="V01",cad!$I$31,IF(D1177="V02",cad!$J$31,cad!$K$31))</f>
        <v/>
      </c>
      <c r="N1177">
        <f>IF(D1177="V01",$R$2,IF(D1177="V02",$R$3,$R$4))</f>
        <v/>
      </c>
      <c r="O1177">
        <f>IF(OR(B1177="7062",B1177="706",B1177="708"),N1177,IF(B1177="6231",1+G1177,IF(B1177="6236",1+H1177,IF(OR(B1177="621",B1177="604",B1177="6063"),N1177*(1-L1177),IF(OR(B1177="6411",B1177="6413",B1177="6414",B1177="645"),(1+J1177)*(1+K1177),IF(OR(B1177="613",B1177="615",B1177="616",B1177="6226",B1177="625",B1177="626",B1177="6281"),(1+I1177)*(1-L1177)*(1+M1177),IF(OR(B1177="6331",B1177="63511",B1177="6333"),(1+I1177)*(1-L1177),IF(B1177="6811",1+I1177,1))))))))</f>
        <v/>
      </c>
      <c r="P1177">
        <f>IF(E1177=1,F1177*O1177,"")</f>
        <v/>
      </c>
    </row>
    <row r="1178">
      <c r="A1178">
        <f>PNL!A1178</f>
        <v/>
      </c>
      <c r="B1178">
        <f>PNL!B1178</f>
        <v/>
      </c>
      <c r="C1178">
        <f>PNL!C1178</f>
        <v/>
      </c>
      <c r="D1178">
        <f>PNL!D1178</f>
        <v/>
      </c>
      <c r="E1178">
        <f>IF(AND(C1178="2027",OR(D1178="V01",D1178="V02",D1178="V03")),1,0)</f>
        <v/>
      </c>
      <c r="F1178">
        <f>IF(E1178=1,SUMIFS(Compta!$F$2:$F$675,Compta!$A$2:$A$675,A1178,Compta!$B$2:$B$675,B1178,Compta!$C$2:$C$675,"2026"),0)</f>
        <v/>
      </c>
      <c r="G1178">
        <f>IF(D1178="V01",cad!$I$21,IF(D1178="V02",cad!$J$21,cad!$K$21))</f>
        <v/>
      </c>
      <c r="H1178">
        <f>IF(D1178="V01",cad!$I$22,IF(D1178="V02",cad!$J$22,cad!$K$22))</f>
        <v/>
      </c>
      <c r="I1178">
        <f>IF(D1178="V01",cad!$I$27,IF(D1178="V02",cad!$J$27,cad!$K$27))</f>
        <v/>
      </c>
      <c r="J1178">
        <f>IF(D1178="V01",cad!$I$28,IF(D1178="V02",cad!$J$28,cad!$K$28))</f>
        <v/>
      </c>
      <c r="K1178">
        <f>IF(D1178="V01",cad!$I$29,IF(D1178="V02",cad!$J$29,cad!$K$29))</f>
        <v/>
      </c>
      <c r="L1178">
        <f>IF(D1178="V01",cad!$I$30,IF(D1178="V02",cad!$J$30,cad!$K$30))</f>
        <v/>
      </c>
      <c r="M1178">
        <f>IF(D1178="V01",cad!$I$31,IF(D1178="V02",cad!$J$31,cad!$K$31))</f>
        <v/>
      </c>
      <c r="N1178">
        <f>IF(D1178="V01",$R$2,IF(D1178="V02",$R$3,$R$4))</f>
        <v/>
      </c>
      <c r="O1178">
        <f>IF(OR(B1178="7062",B1178="706",B1178="708"),N1178,IF(B1178="6231",1+G1178,IF(B1178="6236",1+H1178,IF(OR(B1178="621",B1178="604",B1178="6063"),N1178*(1-L1178),IF(OR(B1178="6411",B1178="6413",B1178="6414",B1178="645"),(1+J1178)*(1+K1178),IF(OR(B1178="613",B1178="615",B1178="616",B1178="6226",B1178="625",B1178="626",B1178="6281"),(1+I1178)*(1-L1178)*(1+M1178),IF(OR(B1178="6331",B1178="63511",B1178="6333"),(1+I1178)*(1-L1178),IF(B1178="6811",1+I1178,1))))))))</f>
        <v/>
      </c>
      <c r="P1178">
        <f>IF(E1178=1,F1178*O1178,"")</f>
        <v/>
      </c>
    </row>
    <row r="1179">
      <c r="A1179">
        <f>PNL!A1179</f>
        <v/>
      </c>
      <c r="B1179">
        <f>PNL!B1179</f>
        <v/>
      </c>
      <c r="C1179">
        <f>PNL!C1179</f>
        <v/>
      </c>
      <c r="D1179">
        <f>PNL!D1179</f>
        <v/>
      </c>
      <c r="E1179">
        <f>IF(AND(C1179="2027",OR(D1179="V01",D1179="V02",D1179="V03")),1,0)</f>
        <v/>
      </c>
      <c r="F1179">
        <f>IF(E1179=1,SUMIFS(Compta!$F$2:$F$675,Compta!$A$2:$A$675,A1179,Compta!$B$2:$B$675,B1179,Compta!$C$2:$C$675,"2026"),0)</f>
        <v/>
      </c>
      <c r="G1179">
        <f>IF(D1179="V01",cad!$I$21,IF(D1179="V02",cad!$J$21,cad!$K$21))</f>
        <v/>
      </c>
      <c r="H1179">
        <f>IF(D1179="V01",cad!$I$22,IF(D1179="V02",cad!$J$22,cad!$K$22))</f>
        <v/>
      </c>
      <c r="I1179">
        <f>IF(D1179="V01",cad!$I$27,IF(D1179="V02",cad!$J$27,cad!$K$27))</f>
        <v/>
      </c>
      <c r="J1179">
        <f>IF(D1179="V01",cad!$I$28,IF(D1179="V02",cad!$J$28,cad!$K$28))</f>
        <v/>
      </c>
      <c r="K1179">
        <f>IF(D1179="V01",cad!$I$29,IF(D1179="V02",cad!$J$29,cad!$K$29))</f>
        <v/>
      </c>
      <c r="L1179">
        <f>IF(D1179="V01",cad!$I$30,IF(D1179="V02",cad!$J$30,cad!$K$30))</f>
        <v/>
      </c>
      <c r="M1179">
        <f>IF(D1179="V01",cad!$I$31,IF(D1179="V02",cad!$J$31,cad!$K$31))</f>
        <v/>
      </c>
      <c r="N1179">
        <f>IF(D1179="V01",$R$2,IF(D1179="V02",$R$3,$R$4))</f>
        <v/>
      </c>
      <c r="O1179">
        <f>IF(OR(B1179="7062",B1179="706",B1179="708"),N1179,IF(B1179="6231",1+G1179,IF(B1179="6236",1+H1179,IF(OR(B1179="621",B1179="604",B1179="6063"),N1179*(1-L1179),IF(OR(B1179="6411",B1179="6413",B1179="6414",B1179="645"),(1+J1179)*(1+K1179),IF(OR(B1179="613",B1179="615",B1179="616",B1179="6226",B1179="625",B1179="626",B1179="6281"),(1+I1179)*(1-L1179)*(1+M1179),IF(OR(B1179="6331",B1179="63511",B1179="6333"),(1+I1179)*(1-L1179),IF(B1179="6811",1+I1179,1))))))))</f>
        <v/>
      </c>
      <c r="P1179">
        <f>IF(E1179=1,F1179*O1179,"")</f>
        <v/>
      </c>
    </row>
    <row r="1180">
      <c r="A1180">
        <f>PNL!A1180</f>
        <v/>
      </c>
      <c r="B1180">
        <f>PNL!B1180</f>
        <v/>
      </c>
      <c r="C1180">
        <f>PNL!C1180</f>
        <v/>
      </c>
      <c r="D1180">
        <f>PNL!D1180</f>
        <v/>
      </c>
      <c r="E1180">
        <f>IF(AND(C1180="2027",OR(D1180="V01",D1180="V02",D1180="V03")),1,0)</f>
        <v/>
      </c>
      <c r="F1180">
        <f>IF(E1180=1,SUMIFS(Compta!$F$2:$F$675,Compta!$A$2:$A$675,A1180,Compta!$B$2:$B$675,B1180,Compta!$C$2:$C$675,"2026"),0)</f>
        <v/>
      </c>
      <c r="G1180">
        <f>IF(D1180="V01",cad!$I$21,IF(D1180="V02",cad!$J$21,cad!$K$21))</f>
        <v/>
      </c>
      <c r="H1180">
        <f>IF(D1180="V01",cad!$I$22,IF(D1180="V02",cad!$J$22,cad!$K$22))</f>
        <v/>
      </c>
      <c r="I1180">
        <f>IF(D1180="V01",cad!$I$27,IF(D1180="V02",cad!$J$27,cad!$K$27))</f>
        <v/>
      </c>
      <c r="J1180">
        <f>IF(D1180="V01",cad!$I$28,IF(D1180="V02",cad!$J$28,cad!$K$28))</f>
        <v/>
      </c>
      <c r="K1180">
        <f>IF(D1180="V01",cad!$I$29,IF(D1180="V02",cad!$J$29,cad!$K$29))</f>
        <v/>
      </c>
      <c r="L1180">
        <f>IF(D1180="V01",cad!$I$30,IF(D1180="V02",cad!$J$30,cad!$K$30))</f>
        <v/>
      </c>
      <c r="M1180">
        <f>IF(D1180="V01",cad!$I$31,IF(D1180="V02",cad!$J$31,cad!$K$31))</f>
        <v/>
      </c>
      <c r="N1180">
        <f>IF(D1180="V01",$R$2,IF(D1180="V02",$R$3,$R$4))</f>
        <v/>
      </c>
      <c r="O1180">
        <f>IF(OR(B1180="7062",B1180="706",B1180="708"),N1180,IF(B1180="6231",1+G1180,IF(B1180="6236",1+H1180,IF(OR(B1180="621",B1180="604",B1180="6063"),N1180*(1-L1180),IF(OR(B1180="6411",B1180="6413",B1180="6414",B1180="645"),(1+J1180)*(1+K1180),IF(OR(B1180="613",B1180="615",B1180="616",B1180="6226",B1180="625",B1180="626",B1180="6281"),(1+I1180)*(1-L1180)*(1+M1180),IF(OR(B1180="6331",B1180="63511",B1180="6333"),(1+I1180)*(1-L1180),IF(B1180="6811",1+I1180,1))))))))</f>
        <v/>
      </c>
      <c r="P1180">
        <f>IF(E1180=1,F1180*O1180,"")</f>
        <v/>
      </c>
    </row>
    <row r="1181">
      <c r="A1181">
        <f>PNL!A1181</f>
        <v/>
      </c>
      <c r="B1181">
        <f>PNL!B1181</f>
        <v/>
      </c>
      <c r="C1181">
        <f>PNL!C1181</f>
        <v/>
      </c>
      <c r="D1181">
        <f>PNL!D1181</f>
        <v/>
      </c>
      <c r="E1181">
        <f>IF(AND(C1181="2027",OR(D1181="V01",D1181="V02",D1181="V03")),1,0)</f>
        <v/>
      </c>
      <c r="F1181">
        <f>IF(E1181=1,SUMIFS(Compta!$F$2:$F$675,Compta!$A$2:$A$675,A1181,Compta!$B$2:$B$675,B1181,Compta!$C$2:$C$675,"2026"),0)</f>
        <v/>
      </c>
      <c r="G1181">
        <f>IF(D1181="V01",cad!$I$21,IF(D1181="V02",cad!$J$21,cad!$K$21))</f>
        <v/>
      </c>
      <c r="H1181">
        <f>IF(D1181="V01",cad!$I$22,IF(D1181="V02",cad!$J$22,cad!$K$22))</f>
        <v/>
      </c>
      <c r="I1181">
        <f>IF(D1181="V01",cad!$I$27,IF(D1181="V02",cad!$J$27,cad!$K$27))</f>
        <v/>
      </c>
      <c r="J1181">
        <f>IF(D1181="V01",cad!$I$28,IF(D1181="V02",cad!$J$28,cad!$K$28))</f>
        <v/>
      </c>
      <c r="K1181">
        <f>IF(D1181="V01",cad!$I$29,IF(D1181="V02",cad!$J$29,cad!$K$29))</f>
        <v/>
      </c>
      <c r="L1181">
        <f>IF(D1181="V01",cad!$I$30,IF(D1181="V02",cad!$J$30,cad!$K$30))</f>
        <v/>
      </c>
      <c r="M1181">
        <f>IF(D1181="V01",cad!$I$31,IF(D1181="V02",cad!$J$31,cad!$K$31))</f>
        <v/>
      </c>
      <c r="N1181">
        <f>IF(D1181="V01",$R$2,IF(D1181="V02",$R$3,$R$4))</f>
        <v/>
      </c>
      <c r="O1181">
        <f>IF(OR(B1181="7062",B1181="706",B1181="708"),N1181,IF(B1181="6231",1+G1181,IF(B1181="6236",1+H1181,IF(OR(B1181="621",B1181="604",B1181="6063"),N1181*(1-L1181),IF(OR(B1181="6411",B1181="6413",B1181="6414",B1181="645"),(1+J1181)*(1+K1181),IF(OR(B1181="613",B1181="615",B1181="616",B1181="6226",B1181="625",B1181="626",B1181="6281"),(1+I1181)*(1-L1181)*(1+M1181),IF(OR(B1181="6331",B1181="63511",B1181="6333"),(1+I1181)*(1-L1181),IF(B1181="6811",1+I1181,1))))))))</f>
        <v/>
      </c>
      <c r="P1181">
        <f>IF(E1181=1,F1181*O1181,"")</f>
        <v/>
      </c>
    </row>
    <row r="1182">
      <c r="A1182">
        <f>PNL!A1182</f>
        <v/>
      </c>
      <c r="B1182">
        <f>PNL!B1182</f>
        <v/>
      </c>
      <c r="C1182">
        <f>PNL!C1182</f>
        <v/>
      </c>
      <c r="D1182">
        <f>PNL!D1182</f>
        <v/>
      </c>
      <c r="E1182">
        <f>IF(AND(C1182="2027",OR(D1182="V01",D1182="V02",D1182="V03")),1,0)</f>
        <v/>
      </c>
      <c r="F1182">
        <f>IF(E1182=1,SUMIFS(Compta!$F$2:$F$675,Compta!$A$2:$A$675,A1182,Compta!$B$2:$B$675,B1182,Compta!$C$2:$C$675,"2026"),0)</f>
        <v/>
      </c>
      <c r="G1182">
        <f>IF(D1182="V01",cad!$I$21,IF(D1182="V02",cad!$J$21,cad!$K$21))</f>
        <v/>
      </c>
      <c r="H1182">
        <f>IF(D1182="V01",cad!$I$22,IF(D1182="V02",cad!$J$22,cad!$K$22))</f>
        <v/>
      </c>
      <c r="I1182">
        <f>IF(D1182="V01",cad!$I$27,IF(D1182="V02",cad!$J$27,cad!$K$27))</f>
        <v/>
      </c>
      <c r="J1182">
        <f>IF(D1182="V01",cad!$I$28,IF(D1182="V02",cad!$J$28,cad!$K$28))</f>
        <v/>
      </c>
      <c r="K1182">
        <f>IF(D1182="V01",cad!$I$29,IF(D1182="V02",cad!$J$29,cad!$K$29))</f>
        <v/>
      </c>
      <c r="L1182">
        <f>IF(D1182="V01",cad!$I$30,IF(D1182="V02",cad!$J$30,cad!$K$30))</f>
        <v/>
      </c>
      <c r="M1182">
        <f>IF(D1182="V01",cad!$I$31,IF(D1182="V02",cad!$J$31,cad!$K$31))</f>
        <v/>
      </c>
      <c r="N1182">
        <f>IF(D1182="V01",$R$2,IF(D1182="V02",$R$3,$R$4))</f>
        <v/>
      </c>
      <c r="O1182">
        <f>IF(OR(B1182="7062",B1182="706",B1182="708"),N1182,IF(B1182="6231",1+G1182,IF(B1182="6236",1+H1182,IF(OR(B1182="621",B1182="604",B1182="6063"),N1182*(1-L1182),IF(OR(B1182="6411",B1182="6413",B1182="6414",B1182="645"),(1+J1182)*(1+K1182),IF(OR(B1182="613",B1182="615",B1182="616",B1182="6226",B1182="625",B1182="626",B1182="6281"),(1+I1182)*(1-L1182)*(1+M1182),IF(OR(B1182="6331",B1182="63511",B1182="6333"),(1+I1182)*(1-L1182),IF(B1182="6811",1+I1182,1))))))))</f>
        <v/>
      </c>
      <c r="P1182">
        <f>IF(E1182=1,F1182*O1182,"")</f>
        <v/>
      </c>
    </row>
    <row r="1183">
      <c r="A1183">
        <f>PNL!A1183</f>
        <v/>
      </c>
      <c r="B1183">
        <f>PNL!B1183</f>
        <v/>
      </c>
      <c r="C1183">
        <f>PNL!C1183</f>
        <v/>
      </c>
      <c r="D1183">
        <f>PNL!D1183</f>
        <v/>
      </c>
      <c r="E1183">
        <f>IF(AND(C1183="2027",OR(D1183="V01",D1183="V02",D1183="V03")),1,0)</f>
        <v/>
      </c>
      <c r="F1183">
        <f>IF(E1183=1,SUMIFS(Compta!$F$2:$F$675,Compta!$A$2:$A$675,A1183,Compta!$B$2:$B$675,B1183,Compta!$C$2:$C$675,"2026"),0)</f>
        <v/>
      </c>
      <c r="G1183">
        <f>IF(D1183="V01",cad!$I$21,IF(D1183="V02",cad!$J$21,cad!$K$21))</f>
        <v/>
      </c>
      <c r="H1183">
        <f>IF(D1183="V01",cad!$I$22,IF(D1183="V02",cad!$J$22,cad!$K$22))</f>
        <v/>
      </c>
      <c r="I1183">
        <f>IF(D1183="V01",cad!$I$27,IF(D1183="V02",cad!$J$27,cad!$K$27))</f>
        <v/>
      </c>
      <c r="J1183">
        <f>IF(D1183="V01",cad!$I$28,IF(D1183="V02",cad!$J$28,cad!$K$28))</f>
        <v/>
      </c>
      <c r="K1183">
        <f>IF(D1183="V01",cad!$I$29,IF(D1183="V02",cad!$J$29,cad!$K$29))</f>
        <v/>
      </c>
      <c r="L1183">
        <f>IF(D1183="V01",cad!$I$30,IF(D1183="V02",cad!$J$30,cad!$K$30))</f>
        <v/>
      </c>
      <c r="M1183">
        <f>IF(D1183="V01",cad!$I$31,IF(D1183="V02",cad!$J$31,cad!$K$31))</f>
        <v/>
      </c>
      <c r="N1183">
        <f>IF(D1183="V01",$R$2,IF(D1183="V02",$R$3,$R$4))</f>
        <v/>
      </c>
      <c r="O1183">
        <f>IF(OR(B1183="7062",B1183="706",B1183="708"),N1183,IF(B1183="6231",1+G1183,IF(B1183="6236",1+H1183,IF(OR(B1183="621",B1183="604",B1183="6063"),N1183*(1-L1183),IF(OR(B1183="6411",B1183="6413",B1183="6414",B1183="645"),(1+J1183)*(1+K1183),IF(OR(B1183="613",B1183="615",B1183="616",B1183="6226",B1183="625",B1183="626",B1183="6281"),(1+I1183)*(1-L1183)*(1+M1183),IF(OR(B1183="6331",B1183="63511",B1183="6333"),(1+I1183)*(1-L1183),IF(B1183="6811",1+I1183,1))))))))</f>
        <v/>
      </c>
      <c r="P1183">
        <f>IF(E1183=1,F1183*O1183,"")</f>
        <v/>
      </c>
    </row>
    <row r="1184">
      <c r="A1184">
        <f>PNL!A1184</f>
        <v/>
      </c>
      <c r="B1184">
        <f>PNL!B1184</f>
        <v/>
      </c>
      <c r="C1184">
        <f>PNL!C1184</f>
        <v/>
      </c>
      <c r="D1184">
        <f>PNL!D1184</f>
        <v/>
      </c>
      <c r="E1184">
        <f>IF(AND(C1184="2027",OR(D1184="V01",D1184="V02",D1184="V03")),1,0)</f>
        <v/>
      </c>
      <c r="F1184">
        <f>IF(E1184=1,SUMIFS(Compta!$F$2:$F$675,Compta!$A$2:$A$675,A1184,Compta!$B$2:$B$675,B1184,Compta!$C$2:$C$675,"2026"),0)</f>
        <v/>
      </c>
      <c r="G1184">
        <f>IF(D1184="V01",cad!$I$21,IF(D1184="V02",cad!$J$21,cad!$K$21))</f>
        <v/>
      </c>
      <c r="H1184">
        <f>IF(D1184="V01",cad!$I$22,IF(D1184="V02",cad!$J$22,cad!$K$22))</f>
        <v/>
      </c>
      <c r="I1184">
        <f>IF(D1184="V01",cad!$I$27,IF(D1184="V02",cad!$J$27,cad!$K$27))</f>
        <v/>
      </c>
      <c r="J1184">
        <f>IF(D1184="V01",cad!$I$28,IF(D1184="V02",cad!$J$28,cad!$K$28))</f>
        <v/>
      </c>
      <c r="K1184">
        <f>IF(D1184="V01",cad!$I$29,IF(D1184="V02",cad!$J$29,cad!$K$29))</f>
        <v/>
      </c>
      <c r="L1184">
        <f>IF(D1184="V01",cad!$I$30,IF(D1184="V02",cad!$J$30,cad!$K$30))</f>
        <v/>
      </c>
      <c r="M1184">
        <f>IF(D1184="V01",cad!$I$31,IF(D1184="V02",cad!$J$31,cad!$K$31))</f>
        <v/>
      </c>
      <c r="N1184">
        <f>IF(D1184="V01",$R$2,IF(D1184="V02",$R$3,$R$4))</f>
        <v/>
      </c>
      <c r="O1184">
        <f>IF(OR(B1184="7062",B1184="706",B1184="708"),N1184,IF(B1184="6231",1+G1184,IF(B1184="6236",1+H1184,IF(OR(B1184="621",B1184="604",B1184="6063"),N1184*(1-L1184),IF(OR(B1184="6411",B1184="6413",B1184="6414",B1184="645"),(1+J1184)*(1+K1184),IF(OR(B1184="613",B1184="615",B1184="616",B1184="6226",B1184="625",B1184="626",B1184="6281"),(1+I1184)*(1-L1184)*(1+M1184),IF(OR(B1184="6331",B1184="63511",B1184="6333"),(1+I1184)*(1-L1184),IF(B1184="6811",1+I1184,1))))))))</f>
        <v/>
      </c>
      <c r="P1184">
        <f>IF(E1184=1,F1184*O1184,"")</f>
        <v/>
      </c>
    </row>
    <row r="1185">
      <c r="A1185">
        <f>PNL!A1185</f>
        <v/>
      </c>
      <c r="B1185">
        <f>PNL!B1185</f>
        <v/>
      </c>
      <c r="C1185">
        <f>PNL!C1185</f>
        <v/>
      </c>
      <c r="D1185">
        <f>PNL!D1185</f>
        <v/>
      </c>
      <c r="E1185">
        <f>IF(AND(C1185="2027",OR(D1185="V01",D1185="V02",D1185="V03")),1,0)</f>
        <v/>
      </c>
      <c r="F1185">
        <f>IF(E1185=1,SUMIFS(Compta!$F$2:$F$675,Compta!$A$2:$A$675,A1185,Compta!$B$2:$B$675,B1185,Compta!$C$2:$C$675,"2026"),0)</f>
        <v/>
      </c>
      <c r="G1185">
        <f>IF(D1185="V01",cad!$I$21,IF(D1185="V02",cad!$J$21,cad!$K$21))</f>
        <v/>
      </c>
      <c r="H1185">
        <f>IF(D1185="V01",cad!$I$22,IF(D1185="V02",cad!$J$22,cad!$K$22))</f>
        <v/>
      </c>
      <c r="I1185">
        <f>IF(D1185="V01",cad!$I$27,IF(D1185="V02",cad!$J$27,cad!$K$27))</f>
        <v/>
      </c>
      <c r="J1185">
        <f>IF(D1185="V01",cad!$I$28,IF(D1185="V02",cad!$J$28,cad!$K$28))</f>
        <v/>
      </c>
      <c r="K1185">
        <f>IF(D1185="V01",cad!$I$29,IF(D1185="V02",cad!$J$29,cad!$K$29))</f>
        <v/>
      </c>
      <c r="L1185">
        <f>IF(D1185="V01",cad!$I$30,IF(D1185="V02",cad!$J$30,cad!$K$30))</f>
        <v/>
      </c>
      <c r="M1185">
        <f>IF(D1185="V01",cad!$I$31,IF(D1185="V02",cad!$J$31,cad!$K$31))</f>
        <v/>
      </c>
      <c r="N1185">
        <f>IF(D1185="V01",$R$2,IF(D1185="V02",$R$3,$R$4))</f>
        <v/>
      </c>
      <c r="O1185">
        <f>IF(OR(B1185="7062",B1185="706",B1185="708"),N1185,IF(B1185="6231",1+G1185,IF(B1185="6236",1+H1185,IF(OR(B1185="621",B1185="604",B1185="6063"),N1185*(1-L1185),IF(OR(B1185="6411",B1185="6413",B1185="6414",B1185="645"),(1+J1185)*(1+K1185),IF(OR(B1185="613",B1185="615",B1185="616",B1185="6226",B1185="625",B1185="626",B1185="6281"),(1+I1185)*(1-L1185)*(1+M1185),IF(OR(B1185="6331",B1185="63511",B1185="6333"),(1+I1185)*(1-L1185),IF(B1185="6811",1+I1185,1))))))))</f>
        <v/>
      </c>
      <c r="P1185">
        <f>IF(E1185=1,F1185*O1185,"")</f>
        <v/>
      </c>
    </row>
    <row r="1186">
      <c r="A1186">
        <f>PNL!A1186</f>
        <v/>
      </c>
      <c r="B1186">
        <f>PNL!B1186</f>
        <v/>
      </c>
      <c r="C1186">
        <f>PNL!C1186</f>
        <v/>
      </c>
      <c r="D1186">
        <f>PNL!D1186</f>
        <v/>
      </c>
      <c r="E1186">
        <f>IF(AND(C1186="2027",OR(D1186="V01",D1186="V02",D1186="V03")),1,0)</f>
        <v/>
      </c>
      <c r="F1186">
        <f>IF(E1186=1,SUMIFS(Compta!$F$2:$F$675,Compta!$A$2:$A$675,A1186,Compta!$B$2:$B$675,B1186,Compta!$C$2:$C$675,"2026"),0)</f>
        <v/>
      </c>
      <c r="G1186">
        <f>IF(D1186="V01",cad!$I$21,IF(D1186="V02",cad!$J$21,cad!$K$21))</f>
        <v/>
      </c>
      <c r="H1186">
        <f>IF(D1186="V01",cad!$I$22,IF(D1186="V02",cad!$J$22,cad!$K$22))</f>
        <v/>
      </c>
      <c r="I1186">
        <f>IF(D1186="V01",cad!$I$27,IF(D1186="V02",cad!$J$27,cad!$K$27))</f>
        <v/>
      </c>
      <c r="J1186">
        <f>IF(D1186="V01",cad!$I$28,IF(D1186="V02",cad!$J$28,cad!$K$28))</f>
        <v/>
      </c>
      <c r="K1186">
        <f>IF(D1186="V01",cad!$I$29,IF(D1186="V02",cad!$J$29,cad!$K$29))</f>
        <v/>
      </c>
      <c r="L1186">
        <f>IF(D1186="V01",cad!$I$30,IF(D1186="V02",cad!$J$30,cad!$K$30))</f>
        <v/>
      </c>
      <c r="M1186">
        <f>IF(D1186="V01",cad!$I$31,IF(D1186="V02",cad!$J$31,cad!$K$31))</f>
        <v/>
      </c>
      <c r="N1186">
        <f>IF(D1186="V01",$R$2,IF(D1186="V02",$R$3,$R$4))</f>
        <v/>
      </c>
      <c r="O1186">
        <f>IF(OR(B1186="7062",B1186="706",B1186="708"),N1186,IF(B1186="6231",1+G1186,IF(B1186="6236",1+H1186,IF(OR(B1186="621",B1186="604",B1186="6063"),N1186*(1-L1186),IF(OR(B1186="6411",B1186="6413",B1186="6414",B1186="645"),(1+J1186)*(1+K1186),IF(OR(B1186="613",B1186="615",B1186="616",B1186="6226",B1186="625",B1186="626",B1186="6281"),(1+I1186)*(1-L1186)*(1+M1186),IF(OR(B1186="6331",B1186="63511",B1186="6333"),(1+I1186)*(1-L1186),IF(B1186="6811",1+I1186,1))))))))</f>
        <v/>
      </c>
      <c r="P1186">
        <f>IF(E1186=1,F1186*O1186,"")</f>
        <v/>
      </c>
    </row>
    <row r="1187">
      <c r="A1187">
        <f>PNL!A1187</f>
        <v/>
      </c>
      <c r="B1187">
        <f>PNL!B1187</f>
        <v/>
      </c>
      <c r="C1187">
        <f>PNL!C1187</f>
        <v/>
      </c>
      <c r="D1187">
        <f>PNL!D1187</f>
        <v/>
      </c>
      <c r="E1187">
        <f>IF(AND(C1187="2027",OR(D1187="V01",D1187="V02",D1187="V03")),1,0)</f>
        <v/>
      </c>
      <c r="F1187">
        <f>IF(E1187=1,SUMIFS(Compta!$F$2:$F$675,Compta!$A$2:$A$675,A1187,Compta!$B$2:$B$675,B1187,Compta!$C$2:$C$675,"2026"),0)</f>
        <v/>
      </c>
      <c r="G1187">
        <f>IF(D1187="V01",cad!$I$21,IF(D1187="V02",cad!$J$21,cad!$K$21))</f>
        <v/>
      </c>
      <c r="H1187">
        <f>IF(D1187="V01",cad!$I$22,IF(D1187="V02",cad!$J$22,cad!$K$22))</f>
        <v/>
      </c>
      <c r="I1187">
        <f>IF(D1187="V01",cad!$I$27,IF(D1187="V02",cad!$J$27,cad!$K$27))</f>
        <v/>
      </c>
      <c r="J1187">
        <f>IF(D1187="V01",cad!$I$28,IF(D1187="V02",cad!$J$28,cad!$K$28))</f>
        <v/>
      </c>
      <c r="K1187">
        <f>IF(D1187="V01",cad!$I$29,IF(D1187="V02",cad!$J$29,cad!$K$29))</f>
        <v/>
      </c>
      <c r="L1187">
        <f>IF(D1187="V01",cad!$I$30,IF(D1187="V02",cad!$J$30,cad!$K$30))</f>
        <v/>
      </c>
      <c r="M1187">
        <f>IF(D1187="V01",cad!$I$31,IF(D1187="V02",cad!$J$31,cad!$K$31))</f>
        <v/>
      </c>
      <c r="N1187">
        <f>IF(D1187="V01",$R$2,IF(D1187="V02",$R$3,$R$4))</f>
        <v/>
      </c>
      <c r="O1187">
        <f>IF(OR(B1187="7062",B1187="706",B1187="708"),N1187,IF(B1187="6231",1+G1187,IF(B1187="6236",1+H1187,IF(OR(B1187="621",B1187="604",B1187="6063"),N1187*(1-L1187),IF(OR(B1187="6411",B1187="6413",B1187="6414",B1187="645"),(1+J1187)*(1+K1187),IF(OR(B1187="613",B1187="615",B1187="616",B1187="6226",B1187="625",B1187="626",B1187="6281"),(1+I1187)*(1-L1187)*(1+M1187),IF(OR(B1187="6331",B1187="63511",B1187="6333"),(1+I1187)*(1-L1187),IF(B1187="6811",1+I1187,1))))))))</f>
        <v/>
      </c>
      <c r="P1187">
        <f>IF(E1187=1,F1187*O1187,"")</f>
        <v/>
      </c>
    </row>
    <row r="1188">
      <c r="A1188">
        <f>PNL!A1188</f>
        <v/>
      </c>
      <c r="B1188">
        <f>PNL!B1188</f>
        <v/>
      </c>
      <c r="C1188">
        <f>PNL!C1188</f>
        <v/>
      </c>
      <c r="D1188">
        <f>PNL!D1188</f>
        <v/>
      </c>
      <c r="E1188">
        <f>IF(AND(C1188="2027",OR(D1188="V01",D1188="V02",D1188="V03")),1,0)</f>
        <v/>
      </c>
      <c r="F1188">
        <f>IF(E1188=1,SUMIFS(Compta!$F$2:$F$675,Compta!$A$2:$A$675,A1188,Compta!$B$2:$B$675,B1188,Compta!$C$2:$C$675,"2026"),0)</f>
        <v/>
      </c>
      <c r="G1188">
        <f>IF(D1188="V01",cad!$I$21,IF(D1188="V02",cad!$J$21,cad!$K$21))</f>
        <v/>
      </c>
      <c r="H1188">
        <f>IF(D1188="V01",cad!$I$22,IF(D1188="V02",cad!$J$22,cad!$K$22))</f>
        <v/>
      </c>
      <c r="I1188">
        <f>IF(D1188="V01",cad!$I$27,IF(D1188="V02",cad!$J$27,cad!$K$27))</f>
        <v/>
      </c>
      <c r="J1188">
        <f>IF(D1188="V01",cad!$I$28,IF(D1188="V02",cad!$J$28,cad!$K$28))</f>
        <v/>
      </c>
      <c r="K1188">
        <f>IF(D1188="V01",cad!$I$29,IF(D1188="V02",cad!$J$29,cad!$K$29))</f>
        <v/>
      </c>
      <c r="L1188">
        <f>IF(D1188="V01",cad!$I$30,IF(D1188="V02",cad!$J$30,cad!$K$30))</f>
        <v/>
      </c>
      <c r="M1188">
        <f>IF(D1188="V01",cad!$I$31,IF(D1188="V02",cad!$J$31,cad!$K$31))</f>
        <v/>
      </c>
      <c r="N1188">
        <f>IF(D1188="V01",$R$2,IF(D1188="V02",$R$3,$R$4))</f>
        <v/>
      </c>
      <c r="O1188">
        <f>IF(OR(B1188="7062",B1188="706",B1188="708"),N1188,IF(B1188="6231",1+G1188,IF(B1188="6236",1+H1188,IF(OR(B1188="621",B1188="604",B1188="6063"),N1188*(1-L1188),IF(OR(B1188="6411",B1188="6413",B1188="6414",B1188="645"),(1+J1188)*(1+K1188),IF(OR(B1188="613",B1188="615",B1188="616",B1188="6226",B1188="625",B1188="626",B1188="6281"),(1+I1188)*(1-L1188)*(1+M1188),IF(OR(B1188="6331",B1188="63511",B1188="6333"),(1+I1188)*(1-L1188),IF(B1188="6811",1+I1188,1))))))))</f>
        <v/>
      </c>
      <c r="P1188">
        <f>IF(E1188=1,F1188*O1188,"")</f>
        <v/>
      </c>
    </row>
    <row r="1189">
      <c r="A1189">
        <f>PNL!A1189</f>
        <v/>
      </c>
      <c r="B1189">
        <f>PNL!B1189</f>
        <v/>
      </c>
      <c r="C1189">
        <f>PNL!C1189</f>
        <v/>
      </c>
      <c r="D1189">
        <f>PNL!D1189</f>
        <v/>
      </c>
      <c r="E1189">
        <f>IF(AND(C1189="2027",OR(D1189="V01",D1189="V02",D1189="V03")),1,0)</f>
        <v/>
      </c>
      <c r="F1189">
        <f>IF(E1189=1,SUMIFS(Compta!$F$2:$F$675,Compta!$A$2:$A$675,A1189,Compta!$B$2:$B$675,B1189,Compta!$C$2:$C$675,"2026"),0)</f>
        <v/>
      </c>
      <c r="G1189">
        <f>IF(D1189="V01",cad!$I$21,IF(D1189="V02",cad!$J$21,cad!$K$21))</f>
        <v/>
      </c>
      <c r="H1189">
        <f>IF(D1189="V01",cad!$I$22,IF(D1189="V02",cad!$J$22,cad!$K$22))</f>
        <v/>
      </c>
      <c r="I1189">
        <f>IF(D1189="V01",cad!$I$27,IF(D1189="V02",cad!$J$27,cad!$K$27))</f>
        <v/>
      </c>
      <c r="J1189">
        <f>IF(D1189="V01",cad!$I$28,IF(D1189="V02",cad!$J$28,cad!$K$28))</f>
        <v/>
      </c>
      <c r="K1189">
        <f>IF(D1189="V01",cad!$I$29,IF(D1189="V02",cad!$J$29,cad!$K$29))</f>
        <v/>
      </c>
      <c r="L1189">
        <f>IF(D1189="V01",cad!$I$30,IF(D1189="V02",cad!$J$30,cad!$K$30))</f>
        <v/>
      </c>
      <c r="M1189">
        <f>IF(D1189="V01",cad!$I$31,IF(D1189="V02",cad!$J$31,cad!$K$31))</f>
        <v/>
      </c>
      <c r="N1189">
        <f>IF(D1189="V01",$R$2,IF(D1189="V02",$R$3,$R$4))</f>
        <v/>
      </c>
      <c r="O1189">
        <f>IF(OR(B1189="7062",B1189="706",B1189="708"),N1189,IF(B1189="6231",1+G1189,IF(B1189="6236",1+H1189,IF(OR(B1189="621",B1189="604",B1189="6063"),N1189*(1-L1189),IF(OR(B1189="6411",B1189="6413",B1189="6414",B1189="645"),(1+J1189)*(1+K1189),IF(OR(B1189="613",B1189="615",B1189="616",B1189="6226",B1189="625",B1189="626",B1189="6281"),(1+I1189)*(1-L1189)*(1+M1189),IF(OR(B1189="6331",B1189="63511",B1189="6333"),(1+I1189)*(1-L1189),IF(B1189="6811",1+I1189,1))))))))</f>
        <v/>
      </c>
      <c r="P1189">
        <f>IF(E1189=1,F1189*O1189,"")</f>
        <v/>
      </c>
    </row>
    <row r="1190">
      <c r="A1190">
        <f>PNL!A1190</f>
        <v/>
      </c>
      <c r="B1190">
        <f>PNL!B1190</f>
        <v/>
      </c>
      <c r="C1190">
        <f>PNL!C1190</f>
        <v/>
      </c>
      <c r="D1190">
        <f>PNL!D1190</f>
        <v/>
      </c>
      <c r="E1190">
        <f>IF(AND(C1190="2027",OR(D1190="V01",D1190="V02",D1190="V03")),1,0)</f>
        <v/>
      </c>
      <c r="F1190">
        <f>IF(E1190=1,SUMIFS(Compta!$F$2:$F$675,Compta!$A$2:$A$675,A1190,Compta!$B$2:$B$675,B1190,Compta!$C$2:$C$675,"2026"),0)</f>
        <v/>
      </c>
      <c r="G1190">
        <f>IF(D1190="V01",cad!$I$21,IF(D1190="V02",cad!$J$21,cad!$K$21))</f>
        <v/>
      </c>
      <c r="H1190">
        <f>IF(D1190="V01",cad!$I$22,IF(D1190="V02",cad!$J$22,cad!$K$22))</f>
        <v/>
      </c>
      <c r="I1190">
        <f>IF(D1190="V01",cad!$I$27,IF(D1190="V02",cad!$J$27,cad!$K$27))</f>
        <v/>
      </c>
      <c r="J1190">
        <f>IF(D1190="V01",cad!$I$28,IF(D1190="V02",cad!$J$28,cad!$K$28))</f>
        <v/>
      </c>
      <c r="K1190">
        <f>IF(D1190="V01",cad!$I$29,IF(D1190="V02",cad!$J$29,cad!$K$29))</f>
        <v/>
      </c>
      <c r="L1190">
        <f>IF(D1190="V01",cad!$I$30,IF(D1190="V02",cad!$J$30,cad!$K$30))</f>
        <v/>
      </c>
      <c r="M1190">
        <f>IF(D1190="V01",cad!$I$31,IF(D1190="V02",cad!$J$31,cad!$K$31))</f>
        <v/>
      </c>
      <c r="N1190">
        <f>IF(D1190="V01",$R$2,IF(D1190="V02",$R$3,$R$4))</f>
        <v/>
      </c>
      <c r="O1190">
        <f>IF(OR(B1190="7062",B1190="706",B1190="708"),N1190,IF(B1190="6231",1+G1190,IF(B1190="6236",1+H1190,IF(OR(B1190="621",B1190="604",B1190="6063"),N1190*(1-L1190),IF(OR(B1190="6411",B1190="6413",B1190="6414",B1190="645"),(1+J1190)*(1+K1190),IF(OR(B1190="613",B1190="615",B1190="616",B1190="6226",B1190="625",B1190="626",B1190="6281"),(1+I1190)*(1-L1190)*(1+M1190),IF(OR(B1190="6331",B1190="63511",B1190="6333"),(1+I1190)*(1-L1190),IF(B1190="6811",1+I1190,1))))))))</f>
        <v/>
      </c>
      <c r="P1190">
        <f>IF(E1190=1,F1190*O1190,"")</f>
        <v/>
      </c>
    </row>
    <row r="1191">
      <c r="A1191">
        <f>PNL!A1191</f>
        <v/>
      </c>
      <c r="B1191">
        <f>PNL!B1191</f>
        <v/>
      </c>
      <c r="C1191">
        <f>PNL!C1191</f>
        <v/>
      </c>
      <c r="D1191">
        <f>PNL!D1191</f>
        <v/>
      </c>
      <c r="E1191">
        <f>IF(AND(C1191="2027",OR(D1191="V01",D1191="V02",D1191="V03")),1,0)</f>
        <v/>
      </c>
      <c r="F1191">
        <f>IF(E1191=1,SUMIFS(Compta!$F$2:$F$675,Compta!$A$2:$A$675,A1191,Compta!$B$2:$B$675,B1191,Compta!$C$2:$C$675,"2026"),0)</f>
        <v/>
      </c>
      <c r="G1191">
        <f>IF(D1191="V01",cad!$I$21,IF(D1191="V02",cad!$J$21,cad!$K$21))</f>
        <v/>
      </c>
      <c r="H1191">
        <f>IF(D1191="V01",cad!$I$22,IF(D1191="V02",cad!$J$22,cad!$K$22))</f>
        <v/>
      </c>
      <c r="I1191">
        <f>IF(D1191="V01",cad!$I$27,IF(D1191="V02",cad!$J$27,cad!$K$27))</f>
        <v/>
      </c>
      <c r="J1191">
        <f>IF(D1191="V01",cad!$I$28,IF(D1191="V02",cad!$J$28,cad!$K$28))</f>
        <v/>
      </c>
      <c r="K1191">
        <f>IF(D1191="V01",cad!$I$29,IF(D1191="V02",cad!$J$29,cad!$K$29))</f>
        <v/>
      </c>
      <c r="L1191">
        <f>IF(D1191="V01",cad!$I$30,IF(D1191="V02",cad!$J$30,cad!$K$30))</f>
        <v/>
      </c>
      <c r="M1191">
        <f>IF(D1191="V01",cad!$I$31,IF(D1191="V02",cad!$J$31,cad!$K$31))</f>
        <v/>
      </c>
      <c r="N1191">
        <f>IF(D1191="V01",$R$2,IF(D1191="V02",$R$3,$R$4))</f>
        <v/>
      </c>
      <c r="O1191">
        <f>IF(OR(B1191="7062",B1191="706",B1191="708"),N1191,IF(B1191="6231",1+G1191,IF(B1191="6236",1+H1191,IF(OR(B1191="621",B1191="604",B1191="6063"),N1191*(1-L1191),IF(OR(B1191="6411",B1191="6413",B1191="6414",B1191="645"),(1+J1191)*(1+K1191),IF(OR(B1191="613",B1191="615",B1191="616",B1191="6226",B1191="625",B1191="626",B1191="6281"),(1+I1191)*(1-L1191)*(1+M1191),IF(OR(B1191="6331",B1191="63511",B1191="6333"),(1+I1191)*(1-L1191),IF(B1191="6811",1+I1191,1))))))))</f>
        <v/>
      </c>
      <c r="P1191">
        <f>IF(E1191=1,F1191*O1191,"")</f>
        <v/>
      </c>
    </row>
    <row r="1192">
      <c r="A1192">
        <f>PNL!A1192</f>
        <v/>
      </c>
      <c r="B1192">
        <f>PNL!B1192</f>
        <v/>
      </c>
      <c r="C1192">
        <f>PNL!C1192</f>
        <v/>
      </c>
      <c r="D1192">
        <f>PNL!D1192</f>
        <v/>
      </c>
      <c r="E1192">
        <f>IF(AND(C1192="2027",OR(D1192="V01",D1192="V02",D1192="V03")),1,0)</f>
        <v/>
      </c>
      <c r="F1192">
        <f>IF(E1192=1,SUMIFS(Compta!$F$2:$F$675,Compta!$A$2:$A$675,A1192,Compta!$B$2:$B$675,B1192,Compta!$C$2:$C$675,"2026"),0)</f>
        <v/>
      </c>
      <c r="G1192">
        <f>IF(D1192="V01",cad!$I$21,IF(D1192="V02",cad!$J$21,cad!$K$21))</f>
        <v/>
      </c>
      <c r="H1192">
        <f>IF(D1192="V01",cad!$I$22,IF(D1192="V02",cad!$J$22,cad!$K$22))</f>
        <v/>
      </c>
      <c r="I1192">
        <f>IF(D1192="V01",cad!$I$27,IF(D1192="V02",cad!$J$27,cad!$K$27))</f>
        <v/>
      </c>
      <c r="J1192">
        <f>IF(D1192="V01",cad!$I$28,IF(D1192="V02",cad!$J$28,cad!$K$28))</f>
        <v/>
      </c>
      <c r="K1192">
        <f>IF(D1192="V01",cad!$I$29,IF(D1192="V02",cad!$J$29,cad!$K$29))</f>
        <v/>
      </c>
      <c r="L1192">
        <f>IF(D1192="V01",cad!$I$30,IF(D1192="V02",cad!$J$30,cad!$K$30))</f>
        <v/>
      </c>
      <c r="M1192">
        <f>IF(D1192="V01",cad!$I$31,IF(D1192="V02",cad!$J$31,cad!$K$31))</f>
        <v/>
      </c>
      <c r="N1192">
        <f>IF(D1192="V01",$R$2,IF(D1192="V02",$R$3,$R$4))</f>
        <v/>
      </c>
      <c r="O1192">
        <f>IF(OR(B1192="7062",B1192="706",B1192="708"),N1192,IF(B1192="6231",1+G1192,IF(B1192="6236",1+H1192,IF(OR(B1192="621",B1192="604",B1192="6063"),N1192*(1-L1192),IF(OR(B1192="6411",B1192="6413",B1192="6414",B1192="645"),(1+J1192)*(1+K1192),IF(OR(B1192="613",B1192="615",B1192="616",B1192="6226",B1192="625",B1192="626",B1192="6281"),(1+I1192)*(1-L1192)*(1+M1192),IF(OR(B1192="6331",B1192="63511",B1192="6333"),(1+I1192)*(1-L1192),IF(B1192="6811",1+I1192,1))))))))</f>
        <v/>
      </c>
      <c r="P1192">
        <f>IF(E1192=1,F1192*O1192,"")</f>
        <v/>
      </c>
    </row>
    <row r="1193">
      <c r="A1193">
        <f>PNL!A1193</f>
        <v/>
      </c>
      <c r="B1193">
        <f>PNL!B1193</f>
        <v/>
      </c>
      <c r="C1193">
        <f>PNL!C1193</f>
        <v/>
      </c>
      <c r="D1193">
        <f>PNL!D1193</f>
        <v/>
      </c>
      <c r="E1193">
        <f>IF(AND(C1193="2027",OR(D1193="V01",D1193="V02",D1193="V03")),1,0)</f>
        <v/>
      </c>
      <c r="F1193">
        <f>IF(E1193=1,SUMIFS(Compta!$F$2:$F$675,Compta!$A$2:$A$675,A1193,Compta!$B$2:$B$675,B1193,Compta!$C$2:$C$675,"2026"),0)</f>
        <v/>
      </c>
      <c r="G1193">
        <f>IF(D1193="V01",cad!$I$21,IF(D1193="V02",cad!$J$21,cad!$K$21))</f>
        <v/>
      </c>
      <c r="H1193">
        <f>IF(D1193="V01",cad!$I$22,IF(D1193="V02",cad!$J$22,cad!$K$22))</f>
        <v/>
      </c>
      <c r="I1193">
        <f>IF(D1193="V01",cad!$I$27,IF(D1193="V02",cad!$J$27,cad!$K$27))</f>
        <v/>
      </c>
      <c r="J1193">
        <f>IF(D1193="V01",cad!$I$28,IF(D1193="V02",cad!$J$28,cad!$K$28))</f>
        <v/>
      </c>
      <c r="K1193">
        <f>IF(D1193="V01",cad!$I$29,IF(D1193="V02",cad!$J$29,cad!$K$29))</f>
        <v/>
      </c>
      <c r="L1193">
        <f>IF(D1193="V01",cad!$I$30,IF(D1193="V02",cad!$J$30,cad!$K$30))</f>
        <v/>
      </c>
      <c r="M1193">
        <f>IF(D1193="V01",cad!$I$31,IF(D1193="V02",cad!$J$31,cad!$K$31))</f>
        <v/>
      </c>
      <c r="N1193">
        <f>IF(D1193="V01",$R$2,IF(D1193="V02",$R$3,$R$4))</f>
        <v/>
      </c>
      <c r="O1193">
        <f>IF(OR(B1193="7062",B1193="706",B1193="708"),N1193,IF(B1193="6231",1+G1193,IF(B1193="6236",1+H1193,IF(OR(B1193="621",B1193="604",B1193="6063"),N1193*(1-L1193),IF(OR(B1193="6411",B1193="6413",B1193="6414",B1193="645"),(1+J1193)*(1+K1193),IF(OR(B1193="613",B1193="615",B1193="616",B1193="6226",B1193="625",B1193="626",B1193="6281"),(1+I1193)*(1-L1193)*(1+M1193),IF(OR(B1193="6331",B1193="63511",B1193="6333"),(1+I1193)*(1-L1193),IF(B1193="6811",1+I1193,1))))))))</f>
        <v/>
      </c>
      <c r="P1193">
        <f>IF(E1193=1,F1193*O1193,"")</f>
        <v/>
      </c>
    </row>
    <row r="1194">
      <c r="A1194">
        <f>PNL!A1194</f>
        <v/>
      </c>
      <c r="B1194">
        <f>PNL!B1194</f>
        <v/>
      </c>
      <c r="C1194">
        <f>PNL!C1194</f>
        <v/>
      </c>
      <c r="D1194">
        <f>PNL!D1194</f>
        <v/>
      </c>
      <c r="E1194">
        <f>IF(AND(C1194="2027",OR(D1194="V01",D1194="V02",D1194="V03")),1,0)</f>
        <v/>
      </c>
      <c r="F1194">
        <f>IF(E1194=1,SUMIFS(Compta!$F$2:$F$675,Compta!$A$2:$A$675,A1194,Compta!$B$2:$B$675,B1194,Compta!$C$2:$C$675,"2026"),0)</f>
        <v/>
      </c>
      <c r="G1194">
        <f>IF(D1194="V01",cad!$I$21,IF(D1194="V02",cad!$J$21,cad!$K$21))</f>
        <v/>
      </c>
      <c r="H1194">
        <f>IF(D1194="V01",cad!$I$22,IF(D1194="V02",cad!$J$22,cad!$K$22))</f>
        <v/>
      </c>
      <c r="I1194">
        <f>IF(D1194="V01",cad!$I$27,IF(D1194="V02",cad!$J$27,cad!$K$27))</f>
        <v/>
      </c>
      <c r="J1194">
        <f>IF(D1194="V01",cad!$I$28,IF(D1194="V02",cad!$J$28,cad!$K$28))</f>
        <v/>
      </c>
      <c r="K1194">
        <f>IF(D1194="V01",cad!$I$29,IF(D1194="V02",cad!$J$29,cad!$K$29))</f>
        <v/>
      </c>
      <c r="L1194">
        <f>IF(D1194="V01",cad!$I$30,IF(D1194="V02",cad!$J$30,cad!$K$30))</f>
        <v/>
      </c>
      <c r="M1194">
        <f>IF(D1194="V01",cad!$I$31,IF(D1194="V02",cad!$J$31,cad!$K$31))</f>
        <v/>
      </c>
      <c r="N1194">
        <f>IF(D1194="V01",$R$2,IF(D1194="V02",$R$3,$R$4))</f>
        <v/>
      </c>
      <c r="O1194">
        <f>IF(OR(B1194="7062",B1194="706",B1194="708"),N1194,IF(B1194="6231",1+G1194,IF(B1194="6236",1+H1194,IF(OR(B1194="621",B1194="604",B1194="6063"),N1194*(1-L1194),IF(OR(B1194="6411",B1194="6413",B1194="6414",B1194="645"),(1+J1194)*(1+K1194),IF(OR(B1194="613",B1194="615",B1194="616",B1194="6226",B1194="625",B1194="626",B1194="6281"),(1+I1194)*(1-L1194)*(1+M1194),IF(OR(B1194="6331",B1194="63511",B1194="6333"),(1+I1194)*(1-L1194),IF(B1194="6811",1+I1194,1))))))))</f>
        <v/>
      </c>
      <c r="P1194">
        <f>IF(E1194=1,F1194*O1194,"")</f>
        <v/>
      </c>
    </row>
    <row r="1195">
      <c r="A1195">
        <f>PNL!A1195</f>
        <v/>
      </c>
      <c r="B1195">
        <f>PNL!B1195</f>
        <v/>
      </c>
      <c r="C1195">
        <f>PNL!C1195</f>
        <v/>
      </c>
      <c r="D1195">
        <f>PNL!D1195</f>
        <v/>
      </c>
      <c r="E1195">
        <f>IF(AND(C1195="2027",OR(D1195="V01",D1195="V02",D1195="V03")),1,0)</f>
        <v/>
      </c>
      <c r="F1195">
        <f>IF(E1195=1,SUMIFS(Compta!$F$2:$F$675,Compta!$A$2:$A$675,A1195,Compta!$B$2:$B$675,B1195,Compta!$C$2:$C$675,"2026"),0)</f>
        <v/>
      </c>
      <c r="G1195">
        <f>IF(D1195="V01",cad!$I$21,IF(D1195="V02",cad!$J$21,cad!$K$21))</f>
        <v/>
      </c>
      <c r="H1195">
        <f>IF(D1195="V01",cad!$I$22,IF(D1195="V02",cad!$J$22,cad!$K$22))</f>
        <v/>
      </c>
      <c r="I1195">
        <f>IF(D1195="V01",cad!$I$27,IF(D1195="V02",cad!$J$27,cad!$K$27))</f>
        <v/>
      </c>
      <c r="J1195">
        <f>IF(D1195="V01",cad!$I$28,IF(D1195="V02",cad!$J$28,cad!$K$28))</f>
        <v/>
      </c>
      <c r="K1195">
        <f>IF(D1195="V01",cad!$I$29,IF(D1195="V02",cad!$J$29,cad!$K$29))</f>
        <v/>
      </c>
      <c r="L1195">
        <f>IF(D1195="V01",cad!$I$30,IF(D1195="V02",cad!$J$30,cad!$K$30))</f>
        <v/>
      </c>
      <c r="M1195">
        <f>IF(D1195="V01",cad!$I$31,IF(D1195="V02",cad!$J$31,cad!$K$31))</f>
        <v/>
      </c>
      <c r="N1195">
        <f>IF(D1195="V01",$R$2,IF(D1195="V02",$R$3,$R$4))</f>
        <v/>
      </c>
      <c r="O1195">
        <f>IF(OR(B1195="7062",B1195="706",B1195="708"),N1195,IF(B1195="6231",1+G1195,IF(B1195="6236",1+H1195,IF(OR(B1195="621",B1195="604",B1195="6063"),N1195*(1-L1195),IF(OR(B1195="6411",B1195="6413",B1195="6414",B1195="645"),(1+J1195)*(1+K1195),IF(OR(B1195="613",B1195="615",B1195="616",B1195="6226",B1195="625",B1195="626",B1195="6281"),(1+I1195)*(1-L1195)*(1+M1195),IF(OR(B1195="6331",B1195="63511",B1195="6333"),(1+I1195)*(1-L1195),IF(B1195="6811",1+I1195,1))))))))</f>
        <v/>
      </c>
      <c r="P1195">
        <f>IF(E1195=1,F1195*O1195,"")</f>
        <v/>
      </c>
    </row>
    <row r="1196">
      <c r="A1196">
        <f>PNL!A1196</f>
        <v/>
      </c>
      <c r="B1196">
        <f>PNL!B1196</f>
        <v/>
      </c>
      <c r="C1196">
        <f>PNL!C1196</f>
        <v/>
      </c>
      <c r="D1196">
        <f>PNL!D1196</f>
        <v/>
      </c>
      <c r="E1196">
        <f>IF(AND(C1196="2027",OR(D1196="V01",D1196="V02",D1196="V03")),1,0)</f>
        <v/>
      </c>
      <c r="F1196">
        <f>IF(E1196=1,SUMIFS(Compta!$F$2:$F$675,Compta!$A$2:$A$675,A1196,Compta!$B$2:$B$675,B1196,Compta!$C$2:$C$675,"2026"),0)</f>
        <v/>
      </c>
      <c r="G1196">
        <f>IF(D1196="V01",cad!$I$21,IF(D1196="V02",cad!$J$21,cad!$K$21))</f>
        <v/>
      </c>
      <c r="H1196">
        <f>IF(D1196="V01",cad!$I$22,IF(D1196="V02",cad!$J$22,cad!$K$22))</f>
        <v/>
      </c>
      <c r="I1196">
        <f>IF(D1196="V01",cad!$I$27,IF(D1196="V02",cad!$J$27,cad!$K$27))</f>
        <v/>
      </c>
      <c r="J1196">
        <f>IF(D1196="V01",cad!$I$28,IF(D1196="V02",cad!$J$28,cad!$K$28))</f>
        <v/>
      </c>
      <c r="K1196">
        <f>IF(D1196="V01",cad!$I$29,IF(D1196="V02",cad!$J$29,cad!$K$29))</f>
        <v/>
      </c>
      <c r="L1196">
        <f>IF(D1196="V01",cad!$I$30,IF(D1196="V02",cad!$J$30,cad!$K$30))</f>
        <v/>
      </c>
      <c r="M1196">
        <f>IF(D1196="V01",cad!$I$31,IF(D1196="V02",cad!$J$31,cad!$K$31))</f>
        <v/>
      </c>
      <c r="N1196">
        <f>IF(D1196="V01",$R$2,IF(D1196="V02",$R$3,$R$4))</f>
        <v/>
      </c>
      <c r="O1196">
        <f>IF(OR(B1196="7062",B1196="706",B1196="708"),N1196,IF(B1196="6231",1+G1196,IF(B1196="6236",1+H1196,IF(OR(B1196="621",B1196="604",B1196="6063"),N1196*(1-L1196),IF(OR(B1196="6411",B1196="6413",B1196="6414",B1196="645"),(1+J1196)*(1+K1196),IF(OR(B1196="613",B1196="615",B1196="616",B1196="6226",B1196="625",B1196="626",B1196="6281"),(1+I1196)*(1-L1196)*(1+M1196),IF(OR(B1196="6331",B1196="63511",B1196="6333"),(1+I1196)*(1-L1196),IF(B1196="6811",1+I1196,1))))))))</f>
        <v/>
      </c>
      <c r="P1196">
        <f>IF(E1196=1,F1196*O1196,"")</f>
        <v/>
      </c>
    </row>
    <row r="1197">
      <c r="A1197">
        <f>PNL!A1197</f>
        <v/>
      </c>
      <c r="B1197">
        <f>PNL!B1197</f>
        <v/>
      </c>
      <c r="C1197">
        <f>PNL!C1197</f>
        <v/>
      </c>
      <c r="D1197">
        <f>PNL!D1197</f>
        <v/>
      </c>
      <c r="E1197">
        <f>IF(AND(C1197="2027",OR(D1197="V01",D1197="V02",D1197="V03")),1,0)</f>
        <v/>
      </c>
      <c r="F1197">
        <f>IF(E1197=1,SUMIFS(Compta!$F$2:$F$675,Compta!$A$2:$A$675,A1197,Compta!$B$2:$B$675,B1197,Compta!$C$2:$C$675,"2026"),0)</f>
        <v/>
      </c>
      <c r="G1197">
        <f>IF(D1197="V01",cad!$I$21,IF(D1197="V02",cad!$J$21,cad!$K$21))</f>
        <v/>
      </c>
      <c r="H1197">
        <f>IF(D1197="V01",cad!$I$22,IF(D1197="V02",cad!$J$22,cad!$K$22))</f>
        <v/>
      </c>
      <c r="I1197">
        <f>IF(D1197="V01",cad!$I$27,IF(D1197="V02",cad!$J$27,cad!$K$27))</f>
        <v/>
      </c>
      <c r="J1197">
        <f>IF(D1197="V01",cad!$I$28,IF(D1197="V02",cad!$J$28,cad!$K$28))</f>
        <v/>
      </c>
      <c r="K1197">
        <f>IF(D1197="V01",cad!$I$29,IF(D1197="V02",cad!$J$29,cad!$K$29))</f>
        <v/>
      </c>
      <c r="L1197">
        <f>IF(D1197="V01",cad!$I$30,IF(D1197="V02",cad!$J$30,cad!$K$30))</f>
        <v/>
      </c>
      <c r="M1197">
        <f>IF(D1197="V01",cad!$I$31,IF(D1197="V02",cad!$J$31,cad!$K$31))</f>
        <v/>
      </c>
      <c r="N1197">
        <f>IF(D1197="V01",$R$2,IF(D1197="V02",$R$3,$R$4))</f>
        <v/>
      </c>
      <c r="O1197">
        <f>IF(OR(B1197="7062",B1197="706",B1197="708"),N1197,IF(B1197="6231",1+G1197,IF(B1197="6236",1+H1197,IF(OR(B1197="621",B1197="604",B1197="6063"),N1197*(1-L1197),IF(OR(B1197="6411",B1197="6413",B1197="6414",B1197="645"),(1+J1197)*(1+K1197),IF(OR(B1197="613",B1197="615",B1197="616",B1197="6226",B1197="625",B1197="626",B1197="6281"),(1+I1197)*(1-L1197)*(1+M1197),IF(OR(B1197="6331",B1197="63511",B1197="6333"),(1+I1197)*(1-L1197),IF(B1197="6811",1+I1197,1))))))))</f>
        <v/>
      </c>
      <c r="P1197">
        <f>IF(E1197=1,F1197*O1197,"")</f>
        <v/>
      </c>
    </row>
    <row r="1198">
      <c r="A1198">
        <f>PNL!A1198</f>
        <v/>
      </c>
      <c r="B1198">
        <f>PNL!B1198</f>
        <v/>
      </c>
      <c r="C1198">
        <f>PNL!C1198</f>
        <v/>
      </c>
      <c r="D1198">
        <f>PNL!D1198</f>
        <v/>
      </c>
      <c r="E1198">
        <f>IF(AND(C1198="2027",OR(D1198="V01",D1198="V02",D1198="V03")),1,0)</f>
        <v/>
      </c>
      <c r="F1198">
        <f>IF(E1198=1,SUMIFS(Compta!$F$2:$F$675,Compta!$A$2:$A$675,A1198,Compta!$B$2:$B$675,B1198,Compta!$C$2:$C$675,"2026"),0)</f>
        <v/>
      </c>
      <c r="G1198">
        <f>IF(D1198="V01",cad!$I$21,IF(D1198="V02",cad!$J$21,cad!$K$21))</f>
        <v/>
      </c>
      <c r="H1198">
        <f>IF(D1198="V01",cad!$I$22,IF(D1198="V02",cad!$J$22,cad!$K$22))</f>
        <v/>
      </c>
      <c r="I1198">
        <f>IF(D1198="V01",cad!$I$27,IF(D1198="V02",cad!$J$27,cad!$K$27))</f>
        <v/>
      </c>
      <c r="J1198">
        <f>IF(D1198="V01",cad!$I$28,IF(D1198="V02",cad!$J$28,cad!$K$28))</f>
        <v/>
      </c>
      <c r="K1198">
        <f>IF(D1198="V01",cad!$I$29,IF(D1198="V02",cad!$J$29,cad!$K$29))</f>
        <v/>
      </c>
      <c r="L1198">
        <f>IF(D1198="V01",cad!$I$30,IF(D1198="V02",cad!$J$30,cad!$K$30))</f>
        <v/>
      </c>
      <c r="M1198">
        <f>IF(D1198="V01",cad!$I$31,IF(D1198="V02",cad!$J$31,cad!$K$31))</f>
        <v/>
      </c>
      <c r="N1198">
        <f>IF(D1198="V01",$R$2,IF(D1198="V02",$R$3,$R$4))</f>
        <v/>
      </c>
      <c r="O1198">
        <f>IF(OR(B1198="7062",B1198="706",B1198="708"),N1198,IF(B1198="6231",1+G1198,IF(B1198="6236",1+H1198,IF(OR(B1198="621",B1198="604",B1198="6063"),N1198*(1-L1198),IF(OR(B1198="6411",B1198="6413",B1198="6414",B1198="645"),(1+J1198)*(1+K1198),IF(OR(B1198="613",B1198="615",B1198="616",B1198="6226",B1198="625",B1198="626",B1198="6281"),(1+I1198)*(1-L1198)*(1+M1198),IF(OR(B1198="6331",B1198="63511",B1198="6333"),(1+I1198)*(1-L1198),IF(B1198="6811",1+I1198,1))))))))</f>
        <v/>
      </c>
      <c r="P1198">
        <f>IF(E1198=1,F1198*O1198,"")</f>
        <v/>
      </c>
    </row>
    <row r="1199">
      <c r="A1199">
        <f>PNL!A1199</f>
        <v/>
      </c>
      <c r="B1199">
        <f>PNL!B1199</f>
        <v/>
      </c>
      <c r="C1199">
        <f>PNL!C1199</f>
        <v/>
      </c>
      <c r="D1199">
        <f>PNL!D1199</f>
        <v/>
      </c>
      <c r="E1199">
        <f>IF(AND(C1199="2027",OR(D1199="V01",D1199="V02",D1199="V03")),1,0)</f>
        <v/>
      </c>
      <c r="F1199">
        <f>IF(E1199=1,SUMIFS(Compta!$F$2:$F$675,Compta!$A$2:$A$675,A1199,Compta!$B$2:$B$675,B1199,Compta!$C$2:$C$675,"2026"),0)</f>
        <v/>
      </c>
      <c r="G1199">
        <f>IF(D1199="V01",cad!$I$21,IF(D1199="V02",cad!$J$21,cad!$K$21))</f>
        <v/>
      </c>
      <c r="H1199">
        <f>IF(D1199="V01",cad!$I$22,IF(D1199="V02",cad!$J$22,cad!$K$22))</f>
        <v/>
      </c>
      <c r="I1199">
        <f>IF(D1199="V01",cad!$I$27,IF(D1199="V02",cad!$J$27,cad!$K$27))</f>
        <v/>
      </c>
      <c r="J1199">
        <f>IF(D1199="V01",cad!$I$28,IF(D1199="V02",cad!$J$28,cad!$K$28))</f>
        <v/>
      </c>
      <c r="K1199">
        <f>IF(D1199="V01",cad!$I$29,IF(D1199="V02",cad!$J$29,cad!$K$29))</f>
        <v/>
      </c>
      <c r="L1199">
        <f>IF(D1199="V01",cad!$I$30,IF(D1199="V02",cad!$J$30,cad!$K$30))</f>
        <v/>
      </c>
      <c r="M1199">
        <f>IF(D1199="V01",cad!$I$31,IF(D1199="V02",cad!$J$31,cad!$K$31))</f>
        <v/>
      </c>
      <c r="N1199">
        <f>IF(D1199="V01",$R$2,IF(D1199="V02",$R$3,$R$4))</f>
        <v/>
      </c>
      <c r="O1199">
        <f>IF(OR(B1199="7062",B1199="706",B1199="708"),N1199,IF(B1199="6231",1+G1199,IF(B1199="6236",1+H1199,IF(OR(B1199="621",B1199="604",B1199="6063"),N1199*(1-L1199),IF(OR(B1199="6411",B1199="6413",B1199="6414",B1199="645"),(1+J1199)*(1+K1199),IF(OR(B1199="613",B1199="615",B1199="616",B1199="6226",B1199="625",B1199="626",B1199="6281"),(1+I1199)*(1-L1199)*(1+M1199),IF(OR(B1199="6331",B1199="63511",B1199="6333"),(1+I1199)*(1-L1199),IF(B1199="6811",1+I1199,1))))))))</f>
        <v/>
      </c>
      <c r="P1199">
        <f>IF(E1199=1,F1199*O1199,"")</f>
        <v/>
      </c>
    </row>
    <row r="1200">
      <c r="A1200">
        <f>PNL!A1200</f>
        <v/>
      </c>
      <c r="B1200">
        <f>PNL!B1200</f>
        <v/>
      </c>
      <c r="C1200">
        <f>PNL!C1200</f>
        <v/>
      </c>
      <c r="D1200">
        <f>PNL!D1200</f>
        <v/>
      </c>
      <c r="E1200">
        <f>IF(AND(C1200="2027",OR(D1200="V01",D1200="V02",D1200="V03")),1,0)</f>
        <v/>
      </c>
      <c r="F1200">
        <f>IF(E1200=1,SUMIFS(Compta!$F$2:$F$675,Compta!$A$2:$A$675,A1200,Compta!$B$2:$B$675,B1200,Compta!$C$2:$C$675,"2026"),0)</f>
        <v/>
      </c>
      <c r="G1200">
        <f>IF(D1200="V01",cad!$I$21,IF(D1200="V02",cad!$J$21,cad!$K$21))</f>
        <v/>
      </c>
      <c r="H1200">
        <f>IF(D1200="V01",cad!$I$22,IF(D1200="V02",cad!$J$22,cad!$K$22))</f>
        <v/>
      </c>
      <c r="I1200">
        <f>IF(D1200="V01",cad!$I$27,IF(D1200="V02",cad!$J$27,cad!$K$27))</f>
        <v/>
      </c>
      <c r="J1200">
        <f>IF(D1200="V01",cad!$I$28,IF(D1200="V02",cad!$J$28,cad!$K$28))</f>
        <v/>
      </c>
      <c r="K1200">
        <f>IF(D1200="V01",cad!$I$29,IF(D1200="V02",cad!$J$29,cad!$K$29))</f>
        <v/>
      </c>
      <c r="L1200">
        <f>IF(D1200="V01",cad!$I$30,IF(D1200="V02",cad!$J$30,cad!$K$30))</f>
        <v/>
      </c>
      <c r="M1200">
        <f>IF(D1200="V01",cad!$I$31,IF(D1200="V02",cad!$J$31,cad!$K$31))</f>
        <v/>
      </c>
      <c r="N1200">
        <f>IF(D1200="V01",$R$2,IF(D1200="V02",$R$3,$R$4))</f>
        <v/>
      </c>
      <c r="O1200">
        <f>IF(OR(B1200="7062",B1200="706",B1200="708"),N1200,IF(B1200="6231",1+G1200,IF(B1200="6236",1+H1200,IF(OR(B1200="621",B1200="604",B1200="6063"),N1200*(1-L1200),IF(OR(B1200="6411",B1200="6413",B1200="6414",B1200="645"),(1+J1200)*(1+K1200),IF(OR(B1200="613",B1200="615",B1200="616",B1200="6226",B1200="625",B1200="626",B1200="6281"),(1+I1200)*(1-L1200)*(1+M1200),IF(OR(B1200="6331",B1200="63511",B1200="6333"),(1+I1200)*(1-L1200),IF(B1200="6811",1+I1200,1))))))))</f>
        <v/>
      </c>
      <c r="P1200">
        <f>IF(E1200=1,F1200*O1200,"")</f>
        <v/>
      </c>
    </row>
    <row r="1201">
      <c r="A1201">
        <f>PNL!A1201</f>
        <v/>
      </c>
      <c r="B1201">
        <f>PNL!B1201</f>
        <v/>
      </c>
      <c r="C1201">
        <f>PNL!C1201</f>
        <v/>
      </c>
      <c r="D1201">
        <f>PNL!D1201</f>
        <v/>
      </c>
      <c r="E1201">
        <f>IF(AND(C1201="2027",OR(D1201="V01",D1201="V02",D1201="V03")),1,0)</f>
        <v/>
      </c>
      <c r="F1201">
        <f>IF(E1201=1,SUMIFS(Compta!$F$2:$F$675,Compta!$A$2:$A$675,A1201,Compta!$B$2:$B$675,B1201,Compta!$C$2:$C$675,"2026"),0)</f>
        <v/>
      </c>
      <c r="G1201">
        <f>IF(D1201="V01",cad!$I$21,IF(D1201="V02",cad!$J$21,cad!$K$21))</f>
        <v/>
      </c>
      <c r="H1201">
        <f>IF(D1201="V01",cad!$I$22,IF(D1201="V02",cad!$J$22,cad!$K$22))</f>
        <v/>
      </c>
      <c r="I1201">
        <f>IF(D1201="V01",cad!$I$27,IF(D1201="V02",cad!$J$27,cad!$K$27))</f>
        <v/>
      </c>
      <c r="J1201">
        <f>IF(D1201="V01",cad!$I$28,IF(D1201="V02",cad!$J$28,cad!$K$28))</f>
        <v/>
      </c>
      <c r="K1201">
        <f>IF(D1201="V01",cad!$I$29,IF(D1201="V02",cad!$J$29,cad!$K$29))</f>
        <v/>
      </c>
      <c r="L1201">
        <f>IF(D1201="V01",cad!$I$30,IF(D1201="V02",cad!$J$30,cad!$K$30))</f>
        <v/>
      </c>
      <c r="M1201">
        <f>IF(D1201="V01",cad!$I$31,IF(D1201="V02",cad!$J$31,cad!$K$31))</f>
        <v/>
      </c>
      <c r="N1201">
        <f>IF(D1201="V01",$R$2,IF(D1201="V02",$R$3,$R$4))</f>
        <v/>
      </c>
      <c r="O1201">
        <f>IF(OR(B1201="7062",B1201="706",B1201="708"),N1201,IF(B1201="6231",1+G1201,IF(B1201="6236",1+H1201,IF(OR(B1201="621",B1201="604",B1201="6063"),N1201*(1-L1201),IF(OR(B1201="6411",B1201="6413",B1201="6414",B1201="645"),(1+J1201)*(1+K1201),IF(OR(B1201="613",B1201="615",B1201="616",B1201="6226",B1201="625",B1201="626",B1201="6281"),(1+I1201)*(1-L1201)*(1+M1201),IF(OR(B1201="6331",B1201="63511",B1201="6333"),(1+I1201)*(1-L1201),IF(B1201="6811",1+I1201,1))))))))</f>
        <v/>
      </c>
      <c r="P1201">
        <f>IF(E1201=1,F1201*O1201,"")</f>
        <v/>
      </c>
    </row>
    <row r="1202">
      <c r="A1202">
        <f>PNL!A1202</f>
        <v/>
      </c>
      <c r="B1202">
        <f>PNL!B1202</f>
        <v/>
      </c>
      <c r="C1202">
        <f>PNL!C1202</f>
        <v/>
      </c>
      <c r="D1202">
        <f>PNL!D1202</f>
        <v/>
      </c>
      <c r="E1202">
        <f>IF(AND(C1202="2027",OR(D1202="V01",D1202="V02",D1202="V03")),1,0)</f>
        <v/>
      </c>
      <c r="F1202">
        <f>IF(E1202=1,SUMIFS(Compta!$F$2:$F$675,Compta!$A$2:$A$675,A1202,Compta!$B$2:$B$675,B1202,Compta!$C$2:$C$675,"2026"),0)</f>
        <v/>
      </c>
      <c r="G1202">
        <f>IF(D1202="V01",cad!$I$21,IF(D1202="V02",cad!$J$21,cad!$K$21))</f>
        <v/>
      </c>
      <c r="H1202">
        <f>IF(D1202="V01",cad!$I$22,IF(D1202="V02",cad!$J$22,cad!$K$22))</f>
        <v/>
      </c>
      <c r="I1202">
        <f>IF(D1202="V01",cad!$I$27,IF(D1202="V02",cad!$J$27,cad!$K$27))</f>
        <v/>
      </c>
      <c r="J1202">
        <f>IF(D1202="V01",cad!$I$28,IF(D1202="V02",cad!$J$28,cad!$K$28))</f>
        <v/>
      </c>
      <c r="K1202">
        <f>IF(D1202="V01",cad!$I$29,IF(D1202="V02",cad!$J$29,cad!$K$29))</f>
        <v/>
      </c>
      <c r="L1202">
        <f>IF(D1202="V01",cad!$I$30,IF(D1202="V02",cad!$J$30,cad!$K$30))</f>
        <v/>
      </c>
      <c r="M1202">
        <f>IF(D1202="V01",cad!$I$31,IF(D1202="V02",cad!$J$31,cad!$K$31))</f>
        <v/>
      </c>
      <c r="N1202">
        <f>IF(D1202="V01",$R$2,IF(D1202="V02",$R$3,$R$4))</f>
        <v/>
      </c>
      <c r="O1202">
        <f>IF(OR(B1202="7062",B1202="706",B1202="708"),N1202,IF(B1202="6231",1+G1202,IF(B1202="6236",1+H1202,IF(OR(B1202="621",B1202="604",B1202="6063"),N1202*(1-L1202),IF(OR(B1202="6411",B1202="6413",B1202="6414",B1202="645"),(1+J1202)*(1+K1202),IF(OR(B1202="613",B1202="615",B1202="616",B1202="6226",B1202="625",B1202="626",B1202="6281"),(1+I1202)*(1-L1202)*(1+M1202),IF(OR(B1202="6331",B1202="63511",B1202="6333"),(1+I1202)*(1-L1202),IF(B1202="6811",1+I1202,1))))))))</f>
        <v/>
      </c>
      <c r="P1202">
        <f>IF(E1202=1,F1202*O1202,"")</f>
        <v/>
      </c>
    </row>
    <row r="1203">
      <c r="A1203">
        <f>PNL!A1203</f>
        <v/>
      </c>
      <c r="B1203">
        <f>PNL!B1203</f>
        <v/>
      </c>
      <c r="C1203">
        <f>PNL!C1203</f>
        <v/>
      </c>
      <c r="D1203">
        <f>PNL!D1203</f>
        <v/>
      </c>
      <c r="E1203">
        <f>IF(AND(C1203="2027",OR(D1203="V01",D1203="V02",D1203="V03")),1,0)</f>
        <v/>
      </c>
      <c r="F1203">
        <f>IF(E1203=1,SUMIFS(Compta!$F$2:$F$675,Compta!$A$2:$A$675,A1203,Compta!$B$2:$B$675,B1203,Compta!$C$2:$C$675,"2026"),0)</f>
        <v/>
      </c>
      <c r="G1203">
        <f>IF(D1203="V01",cad!$I$21,IF(D1203="V02",cad!$J$21,cad!$K$21))</f>
        <v/>
      </c>
      <c r="H1203">
        <f>IF(D1203="V01",cad!$I$22,IF(D1203="V02",cad!$J$22,cad!$K$22))</f>
        <v/>
      </c>
      <c r="I1203">
        <f>IF(D1203="V01",cad!$I$27,IF(D1203="V02",cad!$J$27,cad!$K$27))</f>
        <v/>
      </c>
      <c r="J1203">
        <f>IF(D1203="V01",cad!$I$28,IF(D1203="V02",cad!$J$28,cad!$K$28))</f>
        <v/>
      </c>
      <c r="K1203">
        <f>IF(D1203="V01",cad!$I$29,IF(D1203="V02",cad!$J$29,cad!$K$29))</f>
        <v/>
      </c>
      <c r="L1203">
        <f>IF(D1203="V01",cad!$I$30,IF(D1203="V02",cad!$J$30,cad!$K$30))</f>
        <v/>
      </c>
      <c r="M1203">
        <f>IF(D1203="V01",cad!$I$31,IF(D1203="V02",cad!$J$31,cad!$K$31))</f>
        <v/>
      </c>
      <c r="N1203">
        <f>IF(D1203="V01",$R$2,IF(D1203="V02",$R$3,$R$4))</f>
        <v/>
      </c>
      <c r="O1203">
        <f>IF(OR(B1203="7062",B1203="706",B1203="708"),N1203,IF(B1203="6231",1+G1203,IF(B1203="6236",1+H1203,IF(OR(B1203="621",B1203="604",B1203="6063"),N1203*(1-L1203),IF(OR(B1203="6411",B1203="6413",B1203="6414",B1203="645"),(1+J1203)*(1+K1203),IF(OR(B1203="613",B1203="615",B1203="616",B1203="6226",B1203="625",B1203="626",B1203="6281"),(1+I1203)*(1-L1203)*(1+M1203),IF(OR(B1203="6331",B1203="63511",B1203="6333"),(1+I1203)*(1-L1203),IF(B1203="6811",1+I1203,1))))))))</f>
        <v/>
      </c>
      <c r="P1203">
        <f>IF(E1203=1,F1203*O1203,"")</f>
        <v/>
      </c>
    </row>
    <row r="1204">
      <c r="A1204">
        <f>PNL!A1204</f>
        <v/>
      </c>
      <c r="B1204">
        <f>PNL!B1204</f>
        <v/>
      </c>
      <c r="C1204">
        <f>PNL!C1204</f>
        <v/>
      </c>
      <c r="D1204">
        <f>PNL!D1204</f>
        <v/>
      </c>
      <c r="E1204">
        <f>IF(AND(C1204="2027",OR(D1204="V01",D1204="V02",D1204="V03")),1,0)</f>
        <v/>
      </c>
      <c r="F1204">
        <f>IF(E1204=1,SUMIFS(Compta!$F$2:$F$675,Compta!$A$2:$A$675,A1204,Compta!$B$2:$B$675,B1204,Compta!$C$2:$C$675,"2026"),0)</f>
        <v/>
      </c>
      <c r="G1204">
        <f>IF(D1204="V01",cad!$I$21,IF(D1204="V02",cad!$J$21,cad!$K$21))</f>
        <v/>
      </c>
      <c r="H1204">
        <f>IF(D1204="V01",cad!$I$22,IF(D1204="V02",cad!$J$22,cad!$K$22))</f>
        <v/>
      </c>
      <c r="I1204">
        <f>IF(D1204="V01",cad!$I$27,IF(D1204="V02",cad!$J$27,cad!$K$27))</f>
        <v/>
      </c>
      <c r="J1204">
        <f>IF(D1204="V01",cad!$I$28,IF(D1204="V02",cad!$J$28,cad!$K$28))</f>
        <v/>
      </c>
      <c r="K1204">
        <f>IF(D1204="V01",cad!$I$29,IF(D1204="V02",cad!$J$29,cad!$K$29))</f>
        <v/>
      </c>
      <c r="L1204">
        <f>IF(D1204="V01",cad!$I$30,IF(D1204="V02",cad!$J$30,cad!$K$30))</f>
        <v/>
      </c>
      <c r="M1204">
        <f>IF(D1204="V01",cad!$I$31,IF(D1204="V02",cad!$J$31,cad!$K$31))</f>
        <v/>
      </c>
      <c r="N1204">
        <f>IF(D1204="V01",$R$2,IF(D1204="V02",$R$3,$R$4))</f>
        <v/>
      </c>
      <c r="O1204">
        <f>IF(OR(B1204="7062",B1204="706",B1204="708"),N1204,IF(B1204="6231",1+G1204,IF(B1204="6236",1+H1204,IF(OR(B1204="621",B1204="604",B1204="6063"),N1204*(1-L1204),IF(OR(B1204="6411",B1204="6413",B1204="6414",B1204="645"),(1+J1204)*(1+K1204),IF(OR(B1204="613",B1204="615",B1204="616",B1204="6226",B1204="625",B1204="626",B1204="6281"),(1+I1204)*(1-L1204)*(1+M1204),IF(OR(B1204="6331",B1204="63511",B1204="6333"),(1+I1204)*(1-L1204),IF(B1204="6811",1+I1204,1))))))))</f>
        <v/>
      </c>
      <c r="P1204">
        <f>IF(E1204=1,F1204*O1204,"")</f>
        <v/>
      </c>
    </row>
    <row r="1205">
      <c r="A1205">
        <f>PNL!A1205</f>
        <v/>
      </c>
      <c r="B1205">
        <f>PNL!B1205</f>
        <v/>
      </c>
      <c r="C1205">
        <f>PNL!C1205</f>
        <v/>
      </c>
      <c r="D1205">
        <f>PNL!D1205</f>
        <v/>
      </c>
      <c r="E1205">
        <f>IF(AND(C1205="2027",OR(D1205="V01",D1205="V02",D1205="V03")),1,0)</f>
        <v/>
      </c>
      <c r="F1205">
        <f>IF(E1205=1,SUMIFS(Compta!$F$2:$F$675,Compta!$A$2:$A$675,A1205,Compta!$B$2:$B$675,B1205,Compta!$C$2:$C$675,"2026"),0)</f>
        <v/>
      </c>
      <c r="G1205">
        <f>IF(D1205="V01",cad!$I$21,IF(D1205="V02",cad!$J$21,cad!$K$21))</f>
        <v/>
      </c>
      <c r="H1205">
        <f>IF(D1205="V01",cad!$I$22,IF(D1205="V02",cad!$J$22,cad!$K$22))</f>
        <v/>
      </c>
      <c r="I1205">
        <f>IF(D1205="V01",cad!$I$27,IF(D1205="V02",cad!$J$27,cad!$K$27))</f>
        <v/>
      </c>
      <c r="J1205">
        <f>IF(D1205="V01",cad!$I$28,IF(D1205="V02",cad!$J$28,cad!$K$28))</f>
        <v/>
      </c>
      <c r="K1205">
        <f>IF(D1205="V01",cad!$I$29,IF(D1205="V02",cad!$J$29,cad!$K$29))</f>
        <v/>
      </c>
      <c r="L1205">
        <f>IF(D1205="V01",cad!$I$30,IF(D1205="V02",cad!$J$30,cad!$K$30))</f>
        <v/>
      </c>
      <c r="M1205">
        <f>IF(D1205="V01",cad!$I$31,IF(D1205="V02",cad!$J$31,cad!$K$31))</f>
        <v/>
      </c>
      <c r="N1205">
        <f>IF(D1205="V01",$R$2,IF(D1205="V02",$R$3,$R$4))</f>
        <v/>
      </c>
      <c r="O1205">
        <f>IF(OR(B1205="7062",B1205="706",B1205="708"),N1205,IF(B1205="6231",1+G1205,IF(B1205="6236",1+H1205,IF(OR(B1205="621",B1205="604",B1205="6063"),N1205*(1-L1205),IF(OR(B1205="6411",B1205="6413",B1205="6414",B1205="645"),(1+J1205)*(1+K1205),IF(OR(B1205="613",B1205="615",B1205="616",B1205="6226",B1205="625",B1205="626",B1205="6281"),(1+I1205)*(1-L1205)*(1+M1205),IF(OR(B1205="6331",B1205="63511",B1205="6333"),(1+I1205)*(1-L1205),IF(B1205="6811",1+I1205,1))))))))</f>
        <v/>
      </c>
      <c r="P1205">
        <f>IF(E1205=1,F1205*O1205,"")</f>
        <v/>
      </c>
    </row>
    <row r="1206">
      <c r="A1206">
        <f>PNL!A1206</f>
        <v/>
      </c>
      <c r="B1206">
        <f>PNL!B1206</f>
        <v/>
      </c>
      <c r="C1206">
        <f>PNL!C1206</f>
        <v/>
      </c>
      <c r="D1206">
        <f>PNL!D1206</f>
        <v/>
      </c>
      <c r="E1206">
        <f>IF(AND(C1206="2027",OR(D1206="V01",D1206="V02",D1206="V03")),1,0)</f>
        <v/>
      </c>
      <c r="F1206">
        <f>IF(E1206=1,SUMIFS(Compta!$F$2:$F$675,Compta!$A$2:$A$675,A1206,Compta!$B$2:$B$675,B1206,Compta!$C$2:$C$675,"2026"),0)</f>
        <v/>
      </c>
      <c r="G1206">
        <f>IF(D1206="V01",cad!$I$21,IF(D1206="V02",cad!$J$21,cad!$K$21))</f>
        <v/>
      </c>
      <c r="H1206">
        <f>IF(D1206="V01",cad!$I$22,IF(D1206="V02",cad!$J$22,cad!$K$22))</f>
        <v/>
      </c>
      <c r="I1206">
        <f>IF(D1206="V01",cad!$I$27,IF(D1206="V02",cad!$J$27,cad!$K$27))</f>
        <v/>
      </c>
      <c r="J1206">
        <f>IF(D1206="V01",cad!$I$28,IF(D1206="V02",cad!$J$28,cad!$K$28))</f>
        <v/>
      </c>
      <c r="K1206">
        <f>IF(D1206="V01",cad!$I$29,IF(D1206="V02",cad!$J$29,cad!$K$29))</f>
        <v/>
      </c>
      <c r="L1206">
        <f>IF(D1206="V01",cad!$I$30,IF(D1206="V02",cad!$J$30,cad!$K$30))</f>
        <v/>
      </c>
      <c r="M1206">
        <f>IF(D1206="V01",cad!$I$31,IF(D1206="V02",cad!$J$31,cad!$K$31))</f>
        <v/>
      </c>
      <c r="N1206">
        <f>IF(D1206="V01",$R$2,IF(D1206="V02",$R$3,$R$4))</f>
        <v/>
      </c>
      <c r="O1206">
        <f>IF(OR(B1206="7062",B1206="706",B1206="708"),N1206,IF(B1206="6231",1+G1206,IF(B1206="6236",1+H1206,IF(OR(B1206="621",B1206="604",B1206="6063"),N1206*(1-L1206),IF(OR(B1206="6411",B1206="6413",B1206="6414",B1206="645"),(1+J1206)*(1+K1206),IF(OR(B1206="613",B1206="615",B1206="616",B1206="6226",B1206="625",B1206="626",B1206="6281"),(1+I1206)*(1-L1206)*(1+M1206),IF(OR(B1206="6331",B1206="63511",B1206="6333"),(1+I1206)*(1-L1206),IF(B1206="6811",1+I1206,1))))))))</f>
        <v/>
      </c>
      <c r="P1206">
        <f>IF(E1206=1,F1206*O1206,"")</f>
        <v/>
      </c>
    </row>
    <row r="1207">
      <c r="A1207">
        <f>PNL!A1207</f>
        <v/>
      </c>
      <c r="B1207">
        <f>PNL!B1207</f>
        <v/>
      </c>
      <c r="C1207">
        <f>PNL!C1207</f>
        <v/>
      </c>
      <c r="D1207">
        <f>PNL!D1207</f>
        <v/>
      </c>
      <c r="E1207">
        <f>IF(AND(C1207="2027",OR(D1207="V01",D1207="V02",D1207="V03")),1,0)</f>
        <v/>
      </c>
      <c r="F1207">
        <f>IF(E1207=1,SUMIFS(Compta!$F$2:$F$675,Compta!$A$2:$A$675,A1207,Compta!$B$2:$B$675,B1207,Compta!$C$2:$C$675,"2026"),0)</f>
        <v/>
      </c>
      <c r="G1207">
        <f>IF(D1207="V01",cad!$I$21,IF(D1207="V02",cad!$J$21,cad!$K$21))</f>
        <v/>
      </c>
      <c r="H1207">
        <f>IF(D1207="V01",cad!$I$22,IF(D1207="V02",cad!$J$22,cad!$K$22))</f>
        <v/>
      </c>
      <c r="I1207">
        <f>IF(D1207="V01",cad!$I$27,IF(D1207="V02",cad!$J$27,cad!$K$27))</f>
        <v/>
      </c>
      <c r="J1207">
        <f>IF(D1207="V01",cad!$I$28,IF(D1207="V02",cad!$J$28,cad!$K$28))</f>
        <v/>
      </c>
      <c r="K1207">
        <f>IF(D1207="V01",cad!$I$29,IF(D1207="V02",cad!$J$29,cad!$K$29))</f>
        <v/>
      </c>
      <c r="L1207">
        <f>IF(D1207="V01",cad!$I$30,IF(D1207="V02",cad!$J$30,cad!$K$30))</f>
        <v/>
      </c>
      <c r="M1207">
        <f>IF(D1207="V01",cad!$I$31,IF(D1207="V02",cad!$J$31,cad!$K$31))</f>
        <v/>
      </c>
      <c r="N1207">
        <f>IF(D1207="V01",$R$2,IF(D1207="V02",$R$3,$R$4))</f>
        <v/>
      </c>
      <c r="O1207">
        <f>IF(OR(B1207="7062",B1207="706",B1207="708"),N1207,IF(B1207="6231",1+G1207,IF(B1207="6236",1+H1207,IF(OR(B1207="621",B1207="604",B1207="6063"),N1207*(1-L1207),IF(OR(B1207="6411",B1207="6413",B1207="6414",B1207="645"),(1+J1207)*(1+K1207),IF(OR(B1207="613",B1207="615",B1207="616",B1207="6226",B1207="625",B1207="626",B1207="6281"),(1+I1207)*(1-L1207)*(1+M1207),IF(OR(B1207="6331",B1207="63511",B1207="6333"),(1+I1207)*(1-L1207),IF(B1207="6811",1+I1207,1))))))))</f>
        <v/>
      </c>
      <c r="P1207">
        <f>IF(E1207=1,F1207*O1207,"")</f>
        <v/>
      </c>
    </row>
    <row r="1208">
      <c r="A1208">
        <f>PNL!A1208</f>
        <v/>
      </c>
      <c r="B1208">
        <f>PNL!B1208</f>
        <v/>
      </c>
      <c r="C1208">
        <f>PNL!C1208</f>
        <v/>
      </c>
      <c r="D1208">
        <f>PNL!D1208</f>
        <v/>
      </c>
      <c r="E1208">
        <f>IF(AND(C1208="2027",OR(D1208="V01",D1208="V02",D1208="V03")),1,0)</f>
        <v/>
      </c>
      <c r="F1208">
        <f>IF(E1208=1,SUMIFS(Compta!$F$2:$F$675,Compta!$A$2:$A$675,A1208,Compta!$B$2:$B$675,B1208,Compta!$C$2:$C$675,"2026"),0)</f>
        <v/>
      </c>
      <c r="G1208">
        <f>IF(D1208="V01",cad!$I$21,IF(D1208="V02",cad!$J$21,cad!$K$21))</f>
        <v/>
      </c>
      <c r="H1208">
        <f>IF(D1208="V01",cad!$I$22,IF(D1208="V02",cad!$J$22,cad!$K$22))</f>
        <v/>
      </c>
      <c r="I1208">
        <f>IF(D1208="V01",cad!$I$27,IF(D1208="V02",cad!$J$27,cad!$K$27))</f>
        <v/>
      </c>
      <c r="J1208">
        <f>IF(D1208="V01",cad!$I$28,IF(D1208="V02",cad!$J$28,cad!$K$28))</f>
        <v/>
      </c>
      <c r="K1208">
        <f>IF(D1208="V01",cad!$I$29,IF(D1208="V02",cad!$J$29,cad!$K$29))</f>
        <v/>
      </c>
      <c r="L1208">
        <f>IF(D1208="V01",cad!$I$30,IF(D1208="V02",cad!$J$30,cad!$K$30))</f>
        <v/>
      </c>
      <c r="M1208">
        <f>IF(D1208="V01",cad!$I$31,IF(D1208="V02",cad!$J$31,cad!$K$31))</f>
        <v/>
      </c>
      <c r="N1208">
        <f>IF(D1208="V01",$R$2,IF(D1208="V02",$R$3,$R$4))</f>
        <v/>
      </c>
      <c r="O1208">
        <f>IF(OR(B1208="7062",B1208="706",B1208="708"),N1208,IF(B1208="6231",1+G1208,IF(B1208="6236",1+H1208,IF(OR(B1208="621",B1208="604",B1208="6063"),N1208*(1-L1208),IF(OR(B1208="6411",B1208="6413",B1208="6414",B1208="645"),(1+J1208)*(1+K1208),IF(OR(B1208="613",B1208="615",B1208="616",B1208="6226",B1208="625",B1208="626",B1208="6281"),(1+I1208)*(1-L1208)*(1+M1208),IF(OR(B1208="6331",B1208="63511",B1208="6333"),(1+I1208)*(1-L1208),IF(B1208="6811",1+I1208,1))))))))</f>
        <v/>
      </c>
      <c r="P1208">
        <f>IF(E1208=1,F1208*O1208,"")</f>
        <v/>
      </c>
    </row>
    <row r="1209">
      <c r="A1209">
        <f>PNL!A1209</f>
        <v/>
      </c>
      <c r="B1209">
        <f>PNL!B1209</f>
        <v/>
      </c>
      <c r="C1209">
        <f>PNL!C1209</f>
        <v/>
      </c>
      <c r="D1209">
        <f>PNL!D1209</f>
        <v/>
      </c>
      <c r="E1209">
        <f>IF(AND(C1209="2027",OR(D1209="V01",D1209="V02",D1209="V03")),1,0)</f>
        <v/>
      </c>
      <c r="F1209">
        <f>IF(E1209=1,SUMIFS(Compta!$F$2:$F$675,Compta!$A$2:$A$675,A1209,Compta!$B$2:$B$675,B1209,Compta!$C$2:$C$675,"2026"),0)</f>
        <v/>
      </c>
      <c r="G1209">
        <f>IF(D1209="V01",cad!$I$21,IF(D1209="V02",cad!$J$21,cad!$K$21))</f>
        <v/>
      </c>
      <c r="H1209">
        <f>IF(D1209="V01",cad!$I$22,IF(D1209="V02",cad!$J$22,cad!$K$22))</f>
        <v/>
      </c>
      <c r="I1209">
        <f>IF(D1209="V01",cad!$I$27,IF(D1209="V02",cad!$J$27,cad!$K$27))</f>
        <v/>
      </c>
      <c r="J1209">
        <f>IF(D1209="V01",cad!$I$28,IF(D1209="V02",cad!$J$28,cad!$K$28))</f>
        <v/>
      </c>
      <c r="K1209">
        <f>IF(D1209="V01",cad!$I$29,IF(D1209="V02",cad!$J$29,cad!$K$29))</f>
        <v/>
      </c>
      <c r="L1209">
        <f>IF(D1209="V01",cad!$I$30,IF(D1209="V02",cad!$J$30,cad!$K$30))</f>
        <v/>
      </c>
      <c r="M1209">
        <f>IF(D1209="V01",cad!$I$31,IF(D1209="V02",cad!$J$31,cad!$K$31))</f>
        <v/>
      </c>
      <c r="N1209">
        <f>IF(D1209="V01",$R$2,IF(D1209="V02",$R$3,$R$4))</f>
        <v/>
      </c>
      <c r="O1209">
        <f>IF(OR(B1209="7062",B1209="706",B1209="708"),N1209,IF(B1209="6231",1+G1209,IF(B1209="6236",1+H1209,IF(OR(B1209="621",B1209="604",B1209="6063"),N1209*(1-L1209),IF(OR(B1209="6411",B1209="6413",B1209="6414",B1209="645"),(1+J1209)*(1+K1209),IF(OR(B1209="613",B1209="615",B1209="616",B1209="6226",B1209="625",B1209="626",B1209="6281"),(1+I1209)*(1-L1209)*(1+M1209),IF(OR(B1209="6331",B1209="63511",B1209="6333"),(1+I1209)*(1-L1209),IF(B1209="6811",1+I1209,1))))))))</f>
        <v/>
      </c>
      <c r="P1209">
        <f>IF(E1209=1,F1209*O1209,"")</f>
        <v/>
      </c>
    </row>
    <row r="1210">
      <c r="A1210">
        <f>PNL!A1210</f>
        <v/>
      </c>
      <c r="B1210">
        <f>PNL!B1210</f>
        <v/>
      </c>
      <c r="C1210">
        <f>PNL!C1210</f>
        <v/>
      </c>
      <c r="D1210">
        <f>PNL!D1210</f>
        <v/>
      </c>
      <c r="E1210">
        <f>IF(AND(C1210="2027",OR(D1210="V01",D1210="V02",D1210="V03")),1,0)</f>
        <v/>
      </c>
      <c r="F1210">
        <f>IF(E1210=1,SUMIFS(Compta!$F$2:$F$675,Compta!$A$2:$A$675,A1210,Compta!$B$2:$B$675,B1210,Compta!$C$2:$C$675,"2026"),0)</f>
        <v/>
      </c>
      <c r="G1210">
        <f>IF(D1210="V01",cad!$I$21,IF(D1210="V02",cad!$J$21,cad!$K$21))</f>
        <v/>
      </c>
      <c r="H1210">
        <f>IF(D1210="V01",cad!$I$22,IF(D1210="V02",cad!$J$22,cad!$K$22))</f>
        <v/>
      </c>
      <c r="I1210">
        <f>IF(D1210="V01",cad!$I$27,IF(D1210="V02",cad!$J$27,cad!$K$27))</f>
        <v/>
      </c>
      <c r="J1210">
        <f>IF(D1210="V01",cad!$I$28,IF(D1210="V02",cad!$J$28,cad!$K$28))</f>
        <v/>
      </c>
      <c r="K1210">
        <f>IF(D1210="V01",cad!$I$29,IF(D1210="V02",cad!$J$29,cad!$K$29))</f>
        <v/>
      </c>
      <c r="L1210">
        <f>IF(D1210="V01",cad!$I$30,IF(D1210="V02",cad!$J$30,cad!$K$30))</f>
        <v/>
      </c>
      <c r="M1210">
        <f>IF(D1210="V01",cad!$I$31,IF(D1210="V02",cad!$J$31,cad!$K$31))</f>
        <v/>
      </c>
      <c r="N1210">
        <f>IF(D1210="V01",$R$2,IF(D1210="V02",$R$3,$R$4))</f>
        <v/>
      </c>
      <c r="O1210">
        <f>IF(OR(B1210="7062",B1210="706",B1210="708"),N1210,IF(B1210="6231",1+G1210,IF(B1210="6236",1+H1210,IF(OR(B1210="621",B1210="604",B1210="6063"),N1210*(1-L1210),IF(OR(B1210="6411",B1210="6413",B1210="6414",B1210="645"),(1+J1210)*(1+K1210),IF(OR(B1210="613",B1210="615",B1210="616",B1210="6226",B1210="625",B1210="626",B1210="6281"),(1+I1210)*(1-L1210)*(1+M1210),IF(OR(B1210="6331",B1210="63511",B1210="6333"),(1+I1210)*(1-L1210),IF(B1210="6811",1+I1210,1))))))))</f>
        <v/>
      </c>
      <c r="P1210">
        <f>IF(E1210=1,F1210*O1210,"")</f>
        <v/>
      </c>
    </row>
    <row r="1211">
      <c r="A1211">
        <f>PNL!A1211</f>
        <v/>
      </c>
      <c r="B1211">
        <f>PNL!B1211</f>
        <v/>
      </c>
      <c r="C1211">
        <f>PNL!C1211</f>
        <v/>
      </c>
      <c r="D1211">
        <f>PNL!D1211</f>
        <v/>
      </c>
      <c r="E1211">
        <f>IF(AND(C1211="2027",OR(D1211="V01",D1211="V02",D1211="V03")),1,0)</f>
        <v/>
      </c>
      <c r="F1211">
        <f>IF(E1211=1,SUMIFS(Compta!$F$2:$F$675,Compta!$A$2:$A$675,A1211,Compta!$B$2:$B$675,B1211,Compta!$C$2:$C$675,"2026"),0)</f>
        <v/>
      </c>
      <c r="G1211">
        <f>IF(D1211="V01",cad!$I$21,IF(D1211="V02",cad!$J$21,cad!$K$21))</f>
        <v/>
      </c>
      <c r="H1211">
        <f>IF(D1211="V01",cad!$I$22,IF(D1211="V02",cad!$J$22,cad!$K$22))</f>
        <v/>
      </c>
      <c r="I1211">
        <f>IF(D1211="V01",cad!$I$27,IF(D1211="V02",cad!$J$27,cad!$K$27))</f>
        <v/>
      </c>
      <c r="J1211">
        <f>IF(D1211="V01",cad!$I$28,IF(D1211="V02",cad!$J$28,cad!$K$28))</f>
        <v/>
      </c>
      <c r="K1211">
        <f>IF(D1211="V01",cad!$I$29,IF(D1211="V02",cad!$J$29,cad!$K$29))</f>
        <v/>
      </c>
      <c r="L1211">
        <f>IF(D1211="V01",cad!$I$30,IF(D1211="V02",cad!$J$30,cad!$K$30))</f>
        <v/>
      </c>
      <c r="M1211">
        <f>IF(D1211="V01",cad!$I$31,IF(D1211="V02",cad!$J$31,cad!$K$31))</f>
        <v/>
      </c>
      <c r="N1211">
        <f>IF(D1211="V01",$R$2,IF(D1211="V02",$R$3,$R$4))</f>
        <v/>
      </c>
      <c r="O1211">
        <f>IF(OR(B1211="7062",B1211="706",B1211="708"),N1211,IF(B1211="6231",1+G1211,IF(B1211="6236",1+H1211,IF(OR(B1211="621",B1211="604",B1211="6063"),N1211*(1-L1211),IF(OR(B1211="6411",B1211="6413",B1211="6414",B1211="645"),(1+J1211)*(1+K1211),IF(OR(B1211="613",B1211="615",B1211="616",B1211="6226",B1211="625",B1211="626",B1211="6281"),(1+I1211)*(1-L1211)*(1+M1211),IF(OR(B1211="6331",B1211="63511",B1211="6333"),(1+I1211)*(1-L1211),IF(B1211="6811",1+I1211,1))))))))</f>
        <v/>
      </c>
      <c r="P1211">
        <f>IF(E1211=1,F1211*O1211,"")</f>
        <v/>
      </c>
    </row>
    <row r="1212">
      <c r="A1212">
        <f>PNL!A1212</f>
        <v/>
      </c>
      <c r="B1212">
        <f>PNL!B1212</f>
        <v/>
      </c>
      <c r="C1212">
        <f>PNL!C1212</f>
        <v/>
      </c>
      <c r="D1212">
        <f>PNL!D1212</f>
        <v/>
      </c>
      <c r="E1212">
        <f>IF(AND(C1212="2027",OR(D1212="V01",D1212="V02",D1212="V03")),1,0)</f>
        <v/>
      </c>
      <c r="F1212">
        <f>IF(E1212=1,SUMIFS(Compta!$F$2:$F$675,Compta!$A$2:$A$675,A1212,Compta!$B$2:$B$675,B1212,Compta!$C$2:$C$675,"2026"),0)</f>
        <v/>
      </c>
      <c r="G1212">
        <f>IF(D1212="V01",cad!$I$21,IF(D1212="V02",cad!$J$21,cad!$K$21))</f>
        <v/>
      </c>
      <c r="H1212">
        <f>IF(D1212="V01",cad!$I$22,IF(D1212="V02",cad!$J$22,cad!$K$22))</f>
        <v/>
      </c>
      <c r="I1212">
        <f>IF(D1212="V01",cad!$I$27,IF(D1212="V02",cad!$J$27,cad!$K$27))</f>
        <v/>
      </c>
      <c r="J1212">
        <f>IF(D1212="V01",cad!$I$28,IF(D1212="V02",cad!$J$28,cad!$K$28))</f>
        <v/>
      </c>
      <c r="K1212">
        <f>IF(D1212="V01",cad!$I$29,IF(D1212="V02",cad!$J$29,cad!$K$29))</f>
        <v/>
      </c>
      <c r="L1212">
        <f>IF(D1212="V01",cad!$I$30,IF(D1212="V02",cad!$J$30,cad!$K$30))</f>
        <v/>
      </c>
      <c r="M1212">
        <f>IF(D1212="V01",cad!$I$31,IF(D1212="V02",cad!$J$31,cad!$K$31))</f>
        <v/>
      </c>
      <c r="N1212">
        <f>IF(D1212="V01",$R$2,IF(D1212="V02",$R$3,$R$4))</f>
        <v/>
      </c>
      <c r="O1212">
        <f>IF(OR(B1212="7062",B1212="706",B1212="708"),N1212,IF(B1212="6231",1+G1212,IF(B1212="6236",1+H1212,IF(OR(B1212="621",B1212="604",B1212="6063"),N1212*(1-L1212),IF(OR(B1212="6411",B1212="6413",B1212="6414",B1212="645"),(1+J1212)*(1+K1212),IF(OR(B1212="613",B1212="615",B1212="616",B1212="6226",B1212="625",B1212="626",B1212="6281"),(1+I1212)*(1-L1212)*(1+M1212),IF(OR(B1212="6331",B1212="63511",B1212="6333"),(1+I1212)*(1-L1212),IF(B1212="6811",1+I1212,1))))))))</f>
        <v/>
      </c>
      <c r="P1212">
        <f>IF(E1212=1,F1212*O1212,"")</f>
        <v/>
      </c>
    </row>
    <row r="1213">
      <c r="A1213">
        <f>PNL!A1213</f>
        <v/>
      </c>
      <c r="B1213">
        <f>PNL!B1213</f>
        <v/>
      </c>
      <c r="C1213">
        <f>PNL!C1213</f>
        <v/>
      </c>
      <c r="D1213">
        <f>PNL!D1213</f>
        <v/>
      </c>
      <c r="E1213">
        <f>IF(AND(C1213="2027",OR(D1213="V01",D1213="V02",D1213="V03")),1,0)</f>
        <v/>
      </c>
      <c r="F1213">
        <f>IF(E1213=1,SUMIFS(Compta!$F$2:$F$675,Compta!$A$2:$A$675,A1213,Compta!$B$2:$B$675,B1213,Compta!$C$2:$C$675,"2026"),0)</f>
        <v/>
      </c>
      <c r="G1213">
        <f>IF(D1213="V01",cad!$I$21,IF(D1213="V02",cad!$J$21,cad!$K$21))</f>
        <v/>
      </c>
      <c r="H1213">
        <f>IF(D1213="V01",cad!$I$22,IF(D1213="V02",cad!$J$22,cad!$K$22))</f>
        <v/>
      </c>
      <c r="I1213">
        <f>IF(D1213="V01",cad!$I$27,IF(D1213="V02",cad!$J$27,cad!$K$27))</f>
        <v/>
      </c>
      <c r="J1213">
        <f>IF(D1213="V01",cad!$I$28,IF(D1213="V02",cad!$J$28,cad!$K$28))</f>
        <v/>
      </c>
      <c r="K1213">
        <f>IF(D1213="V01",cad!$I$29,IF(D1213="V02",cad!$J$29,cad!$K$29))</f>
        <v/>
      </c>
      <c r="L1213">
        <f>IF(D1213="V01",cad!$I$30,IF(D1213="V02",cad!$J$30,cad!$K$30))</f>
        <v/>
      </c>
      <c r="M1213">
        <f>IF(D1213="V01",cad!$I$31,IF(D1213="V02",cad!$J$31,cad!$K$31))</f>
        <v/>
      </c>
      <c r="N1213">
        <f>IF(D1213="V01",$R$2,IF(D1213="V02",$R$3,$R$4))</f>
        <v/>
      </c>
      <c r="O1213">
        <f>IF(OR(B1213="7062",B1213="706",B1213="708"),N1213,IF(B1213="6231",1+G1213,IF(B1213="6236",1+H1213,IF(OR(B1213="621",B1213="604",B1213="6063"),N1213*(1-L1213),IF(OR(B1213="6411",B1213="6413",B1213="6414",B1213="645"),(1+J1213)*(1+K1213),IF(OR(B1213="613",B1213="615",B1213="616",B1213="6226",B1213="625",B1213="626",B1213="6281"),(1+I1213)*(1-L1213)*(1+M1213),IF(OR(B1213="6331",B1213="63511",B1213="6333"),(1+I1213)*(1-L1213),IF(B1213="6811",1+I1213,1))))))))</f>
        <v/>
      </c>
      <c r="P1213">
        <f>IF(E1213=1,F1213*O1213,"")</f>
        <v/>
      </c>
    </row>
    <row r="1214">
      <c r="A1214">
        <f>PNL!A1214</f>
        <v/>
      </c>
      <c r="B1214">
        <f>PNL!B1214</f>
        <v/>
      </c>
      <c r="C1214">
        <f>PNL!C1214</f>
        <v/>
      </c>
      <c r="D1214">
        <f>PNL!D1214</f>
        <v/>
      </c>
      <c r="E1214">
        <f>IF(AND(C1214="2027",OR(D1214="V01",D1214="V02",D1214="V03")),1,0)</f>
        <v/>
      </c>
      <c r="F1214">
        <f>IF(E1214=1,SUMIFS(Compta!$F$2:$F$675,Compta!$A$2:$A$675,A1214,Compta!$B$2:$B$675,B1214,Compta!$C$2:$C$675,"2026"),0)</f>
        <v/>
      </c>
      <c r="G1214">
        <f>IF(D1214="V01",cad!$I$21,IF(D1214="V02",cad!$J$21,cad!$K$21))</f>
        <v/>
      </c>
      <c r="H1214">
        <f>IF(D1214="V01",cad!$I$22,IF(D1214="V02",cad!$J$22,cad!$K$22))</f>
        <v/>
      </c>
      <c r="I1214">
        <f>IF(D1214="V01",cad!$I$27,IF(D1214="V02",cad!$J$27,cad!$K$27))</f>
        <v/>
      </c>
      <c r="J1214">
        <f>IF(D1214="V01",cad!$I$28,IF(D1214="V02",cad!$J$28,cad!$K$28))</f>
        <v/>
      </c>
      <c r="K1214">
        <f>IF(D1214="V01",cad!$I$29,IF(D1214="V02",cad!$J$29,cad!$K$29))</f>
        <v/>
      </c>
      <c r="L1214">
        <f>IF(D1214="V01",cad!$I$30,IF(D1214="V02",cad!$J$30,cad!$K$30))</f>
        <v/>
      </c>
      <c r="M1214">
        <f>IF(D1214="V01",cad!$I$31,IF(D1214="V02",cad!$J$31,cad!$K$31))</f>
        <v/>
      </c>
      <c r="N1214">
        <f>IF(D1214="V01",$R$2,IF(D1214="V02",$R$3,$R$4))</f>
        <v/>
      </c>
      <c r="O1214">
        <f>IF(OR(B1214="7062",B1214="706",B1214="708"),N1214,IF(B1214="6231",1+G1214,IF(B1214="6236",1+H1214,IF(OR(B1214="621",B1214="604",B1214="6063"),N1214*(1-L1214),IF(OR(B1214="6411",B1214="6413",B1214="6414",B1214="645"),(1+J1214)*(1+K1214),IF(OR(B1214="613",B1214="615",B1214="616",B1214="6226",B1214="625",B1214="626",B1214="6281"),(1+I1214)*(1-L1214)*(1+M1214),IF(OR(B1214="6331",B1214="63511",B1214="6333"),(1+I1214)*(1-L1214),IF(B1214="6811",1+I1214,1))))))))</f>
        <v/>
      </c>
      <c r="P1214">
        <f>IF(E1214=1,F1214*O1214,"")</f>
        <v/>
      </c>
    </row>
    <row r="1215">
      <c r="A1215">
        <f>PNL!A1215</f>
        <v/>
      </c>
      <c r="B1215">
        <f>PNL!B1215</f>
        <v/>
      </c>
      <c r="C1215">
        <f>PNL!C1215</f>
        <v/>
      </c>
      <c r="D1215">
        <f>PNL!D1215</f>
        <v/>
      </c>
      <c r="E1215">
        <f>IF(AND(C1215="2027",OR(D1215="V01",D1215="V02",D1215="V03")),1,0)</f>
        <v/>
      </c>
      <c r="F1215">
        <f>IF(E1215=1,SUMIFS(Compta!$F$2:$F$675,Compta!$A$2:$A$675,A1215,Compta!$B$2:$B$675,B1215,Compta!$C$2:$C$675,"2026"),0)</f>
        <v/>
      </c>
      <c r="G1215">
        <f>IF(D1215="V01",cad!$I$21,IF(D1215="V02",cad!$J$21,cad!$K$21))</f>
        <v/>
      </c>
      <c r="H1215">
        <f>IF(D1215="V01",cad!$I$22,IF(D1215="V02",cad!$J$22,cad!$K$22))</f>
        <v/>
      </c>
      <c r="I1215">
        <f>IF(D1215="V01",cad!$I$27,IF(D1215="V02",cad!$J$27,cad!$K$27))</f>
        <v/>
      </c>
      <c r="J1215">
        <f>IF(D1215="V01",cad!$I$28,IF(D1215="V02",cad!$J$28,cad!$K$28))</f>
        <v/>
      </c>
      <c r="K1215">
        <f>IF(D1215="V01",cad!$I$29,IF(D1215="V02",cad!$J$29,cad!$K$29))</f>
        <v/>
      </c>
      <c r="L1215">
        <f>IF(D1215="V01",cad!$I$30,IF(D1215="V02",cad!$J$30,cad!$K$30))</f>
        <v/>
      </c>
      <c r="M1215">
        <f>IF(D1215="V01",cad!$I$31,IF(D1215="V02",cad!$J$31,cad!$K$31))</f>
        <v/>
      </c>
      <c r="N1215">
        <f>IF(D1215="V01",$R$2,IF(D1215="V02",$R$3,$R$4))</f>
        <v/>
      </c>
      <c r="O1215">
        <f>IF(OR(B1215="7062",B1215="706",B1215="708"),N1215,IF(B1215="6231",1+G1215,IF(B1215="6236",1+H1215,IF(OR(B1215="621",B1215="604",B1215="6063"),N1215*(1-L1215),IF(OR(B1215="6411",B1215="6413",B1215="6414",B1215="645"),(1+J1215)*(1+K1215),IF(OR(B1215="613",B1215="615",B1215="616",B1215="6226",B1215="625",B1215="626",B1215="6281"),(1+I1215)*(1-L1215)*(1+M1215),IF(OR(B1215="6331",B1215="63511",B1215="6333"),(1+I1215)*(1-L1215),IF(B1215="6811",1+I1215,1))))))))</f>
        <v/>
      </c>
      <c r="P1215">
        <f>IF(E1215=1,F1215*O1215,"")</f>
        <v/>
      </c>
    </row>
    <row r="1216">
      <c r="A1216">
        <f>PNL!A1216</f>
        <v/>
      </c>
      <c r="B1216">
        <f>PNL!B1216</f>
        <v/>
      </c>
      <c r="C1216">
        <f>PNL!C1216</f>
        <v/>
      </c>
      <c r="D1216">
        <f>PNL!D1216</f>
        <v/>
      </c>
      <c r="E1216">
        <f>IF(AND(C1216="2027",OR(D1216="V01",D1216="V02",D1216="V03")),1,0)</f>
        <v/>
      </c>
      <c r="F1216">
        <f>IF(E1216=1,SUMIFS(Compta!$F$2:$F$675,Compta!$A$2:$A$675,A1216,Compta!$B$2:$B$675,B1216,Compta!$C$2:$C$675,"2026"),0)</f>
        <v/>
      </c>
      <c r="G1216">
        <f>IF(D1216="V01",cad!$I$21,IF(D1216="V02",cad!$J$21,cad!$K$21))</f>
        <v/>
      </c>
      <c r="H1216">
        <f>IF(D1216="V01",cad!$I$22,IF(D1216="V02",cad!$J$22,cad!$K$22))</f>
        <v/>
      </c>
      <c r="I1216">
        <f>IF(D1216="V01",cad!$I$27,IF(D1216="V02",cad!$J$27,cad!$K$27))</f>
        <v/>
      </c>
      <c r="J1216">
        <f>IF(D1216="V01",cad!$I$28,IF(D1216="V02",cad!$J$28,cad!$K$28))</f>
        <v/>
      </c>
      <c r="K1216">
        <f>IF(D1216="V01",cad!$I$29,IF(D1216="V02",cad!$J$29,cad!$K$29))</f>
        <v/>
      </c>
      <c r="L1216">
        <f>IF(D1216="V01",cad!$I$30,IF(D1216="V02",cad!$J$30,cad!$K$30))</f>
        <v/>
      </c>
      <c r="M1216">
        <f>IF(D1216="V01",cad!$I$31,IF(D1216="V02",cad!$J$31,cad!$K$31))</f>
        <v/>
      </c>
      <c r="N1216">
        <f>IF(D1216="V01",$R$2,IF(D1216="V02",$R$3,$R$4))</f>
        <v/>
      </c>
      <c r="O1216">
        <f>IF(OR(B1216="7062",B1216="706",B1216="708"),N1216,IF(B1216="6231",1+G1216,IF(B1216="6236",1+H1216,IF(OR(B1216="621",B1216="604",B1216="6063"),N1216*(1-L1216),IF(OR(B1216="6411",B1216="6413",B1216="6414",B1216="645"),(1+J1216)*(1+K1216),IF(OR(B1216="613",B1216="615",B1216="616",B1216="6226",B1216="625",B1216="626",B1216="6281"),(1+I1216)*(1-L1216)*(1+M1216),IF(OR(B1216="6331",B1216="63511",B1216="6333"),(1+I1216)*(1-L1216),IF(B1216="6811",1+I1216,1))))))))</f>
        <v/>
      </c>
      <c r="P1216">
        <f>IF(E1216=1,F1216*O1216,"")</f>
        <v/>
      </c>
    </row>
    <row r="1217">
      <c r="A1217">
        <f>PNL!A1217</f>
        <v/>
      </c>
      <c r="B1217">
        <f>PNL!B1217</f>
        <v/>
      </c>
      <c r="C1217">
        <f>PNL!C1217</f>
        <v/>
      </c>
      <c r="D1217">
        <f>PNL!D1217</f>
        <v/>
      </c>
      <c r="E1217">
        <f>IF(AND(C1217="2027",OR(D1217="V01",D1217="V02",D1217="V03")),1,0)</f>
        <v/>
      </c>
      <c r="F1217">
        <f>IF(E1217=1,SUMIFS(Compta!$F$2:$F$675,Compta!$A$2:$A$675,A1217,Compta!$B$2:$B$675,B1217,Compta!$C$2:$C$675,"2026"),0)</f>
        <v/>
      </c>
      <c r="G1217">
        <f>IF(D1217="V01",cad!$I$21,IF(D1217="V02",cad!$J$21,cad!$K$21))</f>
        <v/>
      </c>
      <c r="H1217">
        <f>IF(D1217="V01",cad!$I$22,IF(D1217="V02",cad!$J$22,cad!$K$22))</f>
        <v/>
      </c>
      <c r="I1217">
        <f>IF(D1217="V01",cad!$I$27,IF(D1217="V02",cad!$J$27,cad!$K$27))</f>
        <v/>
      </c>
      <c r="J1217">
        <f>IF(D1217="V01",cad!$I$28,IF(D1217="V02",cad!$J$28,cad!$K$28))</f>
        <v/>
      </c>
      <c r="K1217">
        <f>IF(D1217="V01",cad!$I$29,IF(D1217="V02",cad!$J$29,cad!$K$29))</f>
        <v/>
      </c>
      <c r="L1217">
        <f>IF(D1217="V01",cad!$I$30,IF(D1217="V02",cad!$J$30,cad!$K$30))</f>
        <v/>
      </c>
      <c r="M1217">
        <f>IF(D1217="V01",cad!$I$31,IF(D1217="V02",cad!$J$31,cad!$K$31))</f>
        <v/>
      </c>
      <c r="N1217">
        <f>IF(D1217="V01",$R$2,IF(D1217="V02",$R$3,$R$4))</f>
        <v/>
      </c>
      <c r="O1217">
        <f>IF(OR(B1217="7062",B1217="706",B1217="708"),N1217,IF(B1217="6231",1+G1217,IF(B1217="6236",1+H1217,IF(OR(B1217="621",B1217="604",B1217="6063"),N1217*(1-L1217),IF(OR(B1217="6411",B1217="6413",B1217="6414",B1217="645"),(1+J1217)*(1+K1217),IF(OR(B1217="613",B1217="615",B1217="616",B1217="6226",B1217="625",B1217="626",B1217="6281"),(1+I1217)*(1-L1217)*(1+M1217),IF(OR(B1217="6331",B1217="63511",B1217="6333"),(1+I1217)*(1-L1217),IF(B1217="6811",1+I1217,1))))))))</f>
        <v/>
      </c>
      <c r="P1217">
        <f>IF(E1217=1,F1217*O1217,"")</f>
        <v/>
      </c>
    </row>
    <row r="1218">
      <c r="A1218">
        <f>PNL!A1218</f>
        <v/>
      </c>
      <c r="B1218">
        <f>PNL!B1218</f>
        <v/>
      </c>
      <c r="C1218">
        <f>PNL!C1218</f>
        <v/>
      </c>
      <c r="D1218">
        <f>PNL!D1218</f>
        <v/>
      </c>
      <c r="E1218">
        <f>IF(AND(C1218="2027",OR(D1218="V01",D1218="V02",D1218="V03")),1,0)</f>
        <v/>
      </c>
      <c r="F1218">
        <f>IF(E1218=1,SUMIFS(Compta!$F$2:$F$675,Compta!$A$2:$A$675,A1218,Compta!$B$2:$B$675,B1218,Compta!$C$2:$C$675,"2026"),0)</f>
        <v/>
      </c>
      <c r="G1218">
        <f>IF(D1218="V01",cad!$I$21,IF(D1218="V02",cad!$J$21,cad!$K$21))</f>
        <v/>
      </c>
      <c r="H1218">
        <f>IF(D1218="V01",cad!$I$22,IF(D1218="V02",cad!$J$22,cad!$K$22))</f>
        <v/>
      </c>
      <c r="I1218">
        <f>IF(D1218="V01",cad!$I$27,IF(D1218="V02",cad!$J$27,cad!$K$27))</f>
        <v/>
      </c>
      <c r="J1218">
        <f>IF(D1218="V01",cad!$I$28,IF(D1218="V02",cad!$J$28,cad!$K$28))</f>
        <v/>
      </c>
      <c r="K1218">
        <f>IF(D1218="V01",cad!$I$29,IF(D1218="V02",cad!$J$29,cad!$K$29))</f>
        <v/>
      </c>
      <c r="L1218">
        <f>IF(D1218="V01",cad!$I$30,IF(D1218="V02",cad!$J$30,cad!$K$30))</f>
        <v/>
      </c>
      <c r="M1218">
        <f>IF(D1218="V01",cad!$I$31,IF(D1218="V02",cad!$J$31,cad!$K$31))</f>
        <v/>
      </c>
      <c r="N1218">
        <f>IF(D1218="V01",$R$2,IF(D1218="V02",$R$3,$R$4))</f>
        <v/>
      </c>
      <c r="O1218">
        <f>IF(OR(B1218="7062",B1218="706",B1218="708"),N1218,IF(B1218="6231",1+G1218,IF(B1218="6236",1+H1218,IF(OR(B1218="621",B1218="604",B1218="6063"),N1218*(1-L1218),IF(OR(B1218="6411",B1218="6413",B1218="6414",B1218="645"),(1+J1218)*(1+K1218),IF(OR(B1218="613",B1218="615",B1218="616",B1218="6226",B1218="625",B1218="626",B1218="6281"),(1+I1218)*(1-L1218)*(1+M1218),IF(OR(B1218="6331",B1218="63511",B1218="6333"),(1+I1218)*(1-L1218),IF(B1218="6811",1+I1218,1))))))))</f>
        <v/>
      </c>
      <c r="P1218">
        <f>IF(E1218=1,F1218*O1218,"")</f>
        <v/>
      </c>
    </row>
    <row r="1219">
      <c r="A1219">
        <f>PNL!A1219</f>
        <v/>
      </c>
      <c r="B1219">
        <f>PNL!B1219</f>
        <v/>
      </c>
      <c r="C1219">
        <f>PNL!C1219</f>
        <v/>
      </c>
      <c r="D1219">
        <f>PNL!D1219</f>
        <v/>
      </c>
      <c r="E1219">
        <f>IF(AND(C1219="2027",OR(D1219="V01",D1219="V02",D1219="V03")),1,0)</f>
        <v/>
      </c>
      <c r="F1219">
        <f>IF(E1219=1,SUMIFS(Compta!$F$2:$F$675,Compta!$A$2:$A$675,A1219,Compta!$B$2:$B$675,B1219,Compta!$C$2:$C$675,"2026"),0)</f>
        <v/>
      </c>
      <c r="G1219">
        <f>IF(D1219="V01",cad!$I$21,IF(D1219="V02",cad!$J$21,cad!$K$21))</f>
        <v/>
      </c>
      <c r="H1219">
        <f>IF(D1219="V01",cad!$I$22,IF(D1219="V02",cad!$J$22,cad!$K$22))</f>
        <v/>
      </c>
      <c r="I1219">
        <f>IF(D1219="V01",cad!$I$27,IF(D1219="V02",cad!$J$27,cad!$K$27))</f>
        <v/>
      </c>
      <c r="J1219">
        <f>IF(D1219="V01",cad!$I$28,IF(D1219="V02",cad!$J$28,cad!$K$28))</f>
        <v/>
      </c>
      <c r="K1219">
        <f>IF(D1219="V01",cad!$I$29,IF(D1219="V02",cad!$J$29,cad!$K$29))</f>
        <v/>
      </c>
      <c r="L1219">
        <f>IF(D1219="V01",cad!$I$30,IF(D1219="V02",cad!$J$30,cad!$K$30))</f>
        <v/>
      </c>
      <c r="M1219">
        <f>IF(D1219="V01",cad!$I$31,IF(D1219="V02",cad!$J$31,cad!$K$31))</f>
        <v/>
      </c>
      <c r="N1219">
        <f>IF(D1219="V01",$R$2,IF(D1219="V02",$R$3,$R$4))</f>
        <v/>
      </c>
      <c r="O1219">
        <f>IF(OR(B1219="7062",B1219="706",B1219="708"),N1219,IF(B1219="6231",1+G1219,IF(B1219="6236",1+H1219,IF(OR(B1219="621",B1219="604",B1219="6063"),N1219*(1-L1219),IF(OR(B1219="6411",B1219="6413",B1219="6414",B1219="645"),(1+J1219)*(1+K1219),IF(OR(B1219="613",B1219="615",B1219="616",B1219="6226",B1219="625",B1219="626",B1219="6281"),(1+I1219)*(1-L1219)*(1+M1219),IF(OR(B1219="6331",B1219="63511",B1219="6333"),(1+I1219)*(1-L1219),IF(B1219="6811",1+I1219,1))))))))</f>
        <v/>
      </c>
      <c r="P1219">
        <f>IF(E1219=1,F1219*O1219,"")</f>
        <v/>
      </c>
    </row>
    <row r="1220">
      <c r="A1220">
        <f>PNL!A1220</f>
        <v/>
      </c>
      <c r="B1220">
        <f>PNL!B1220</f>
        <v/>
      </c>
      <c r="C1220">
        <f>PNL!C1220</f>
        <v/>
      </c>
      <c r="D1220">
        <f>PNL!D1220</f>
        <v/>
      </c>
      <c r="E1220">
        <f>IF(AND(C1220="2027",OR(D1220="V01",D1220="V02",D1220="V03")),1,0)</f>
        <v/>
      </c>
      <c r="F1220">
        <f>IF(E1220=1,SUMIFS(Compta!$F$2:$F$675,Compta!$A$2:$A$675,A1220,Compta!$B$2:$B$675,B1220,Compta!$C$2:$C$675,"2026"),0)</f>
        <v/>
      </c>
      <c r="G1220">
        <f>IF(D1220="V01",cad!$I$21,IF(D1220="V02",cad!$J$21,cad!$K$21))</f>
        <v/>
      </c>
      <c r="H1220">
        <f>IF(D1220="V01",cad!$I$22,IF(D1220="V02",cad!$J$22,cad!$K$22))</f>
        <v/>
      </c>
      <c r="I1220">
        <f>IF(D1220="V01",cad!$I$27,IF(D1220="V02",cad!$J$27,cad!$K$27))</f>
        <v/>
      </c>
      <c r="J1220">
        <f>IF(D1220="V01",cad!$I$28,IF(D1220="V02",cad!$J$28,cad!$K$28))</f>
        <v/>
      </c>
      <c r="K1220">
        <f>IF(D1220="V01",cad!$I$29,IF(D1220="V02",cad!$J$29,cad!$K$29))</f>
        <v/>
      </c>
      <c r="L1220">
        <f>IF(D1220="V01",cad!$I$30,IF(D1220="V02",cad!$J$30,cad!$K$30))</f>
        <v/>
      </c>
      <c r="M1220">
        <f>IF(D1220="V01",cad!$I$31,IF(D1220="V02",cad!$J$31,cad!$K$31))</f>
        <v/>
      </c>
      <c r="N1220">
        <f>IF(D1220="V01",$R$2,IF(D1220="V02",$R$3,$R$4))</f>
        <v/>
      </c>
      <c r="O1220">
        <f>IF(OR(B1220="7062",B1220="706",B1220="708"),N1220,IF(B1220="6231",1+G1220,IF(B1220="6236",1+H1220,IF(OR(B1220="621",B1220="604",B1220="6063"),N1220*(1-L1220),IF(OR(B1220="6411",B1220="6413",B1220="6414",B1220="645"),(1+J1220)*(1+K1220),IF(OR(B1220="613",B1220="615",B1220="616",B1220="6226",B1220="625",B1220="626",B1220="6281"),(1+I1220)*(1-L1220)*(1+M1220),IF(OR(B1220="6331",B1220="63511",B1220="6333"),(1+I1220)*(1-L1220),IF(B1220="6811",1+I1220,1))))))))</f>
        <v/>
      </c>
      <c r="P1220">
        <f>IF(E1220=1,F1220*O1220,"")</f>
        <v/>
      </c>
    </row>
    <row r="1221">
      <c r="A1221">
        <f>PNL!A1221</f>
        <v/>
      </c>
      <c r="B1221">
        <f>PNL!B1221</f>
        <v/>
      </c>
      <c r="C1221">
        <f>PNL!C1221</f>
        <v/>
      </c>
      <c r="D1221">
        <f>PNL!D1221</f>
        <v/>
      </c>
      <c r="E1221">
        <f>IF(AND(C1221="2027",OR(D1221="V01",D1221="V02",D1221="V03")),1,0)</f>
        <v/>
      </c>
      <c r="F1221">
        <f>IF(E1221=1,SUMIFS(Compta!$F$2:$F$675,Compta!$A$2:$A$675,A1221,Compta!$B$2:$B$675,B1221,Compta!$C$2:$C$675,"2026"),0)</f>
        <v/>
      </c>
      <c r="G1221">
        <f>IF(D1221="V01",cad!$I$21,IF(D1221="V02",cad!$J$21,cad!$K$21))</f>
        <v/>
      </c>
      <c r="H1221">
        <f>IF(D1221="V01",cad!$I$22,IF(D1221="V02",cad!$J$22,cad!$K$22))</f>
        <v/>
      </c>
      <c r="I1221">
        <f>IF(D1221="V01",cad!$I$27,IF(D1221="V02",cad!$J$27,cad!$K$27))</f>
        <v/>
      </c>
      <c r="J1221">
        <f>IF(D1221="V01",cad!$I$28,IF(D1221="V02",cad!$J$28,cad!$K$28))</f>
        <v/>
      </c>
      <c r="K1221">
        <f>IF(D1221="V01",cad!$I$29,IF(D1221="V02",cad!$J$29,cad!$K$29))</f>
        <v/>
      </c>
      <c r="L1221">
        <f>IF(D1221="V01",cad!$I$30,IF(D1221="V02",cad!$J$30,cad!$K$30))</f>
        <v/>
      </c>
      <c r="M1221">
        <f>IF(D1221="V01",cad!$I$31,IF(D1221="V02",cad!$J$31,cad!$K$31))</f>
        <v/>
      </c>
      <c r="N1221">
        <f>IF(D1221="V01",$R$2,IF(D1221="V02",$R$3,$R$4))</f>
        <v/>
      </c>
      <c r="O1221">
        <f>IF(OR(B1221="7062",B1221="706",B1221="708"),N1221,IF(B1221="6231",1+G1221,IF(B1221="6236",1+H1221,IF(OR(B1221="621",B1221="604",B1221="6063"),N1221*(1-L1221),IF(OR(B1221="6411",B1221="6413",B1221="6414",B1221="645"),(1+J1221)*(1+K1221),IF(OR(B1221="613",B1221="615",B1221="616",B1221="6226",B1221="625",B1221="626",B1221="6281"),(1+I1221)*(1-L1221)*(1+M1221),IF(OR(B1221="6331",B1221="63511",B1221="6333"),(1+I1221)*(1-L1221),IF(B1221="6811",1+I1221,1))))))))</f>
        <v/>
      </c>
      <c r="P1221">
        <f>IF(E1221=1,F1221*O1221,"")</f>
        <v/>
      </c>
    </row>
    <row r="1222">
      <c r="A1222">
        <f>PNL!A1222</f>
        <v/>
      </c>
      <c r="B1222">
        <f>PNL!B1222</f>
        <v/>
      </c>
      <c r="C1222">
        <f>PNL!C1222</f>
        <v/>
      </c>
      <c r="D1222">
        <f>PNL!D1222</f>
        <v/>
      </c>
      <c r="E1222">
        <f>IF(AND(C1222="2027",OR(D1222="V01",D1222="V02",D1222="V03")),1,0)</f>
        <v/>
      </c>
      <c r="F1222">
        <f>IF(E1222=1,SUMIFS(Compta!$F$2:$F$675,Compta!$A$2:$A$675,A1222,Compta!$B$2:$B$675,B1222,Compta!$C$2:$C$675,"2026"),0)</f>
        <v/>
      </c>
      <c r="G1222">
        <f>IF(D1222="V01",cad!$I$21,IF(D1222="V02",cad!$J$21,cad!$K$21))</f>
        <v/>
      </c>
      <c r="H1222">
        <f>IF(D1222="V01",cad!$I$22,IF(D1222="V02",cad!$J$22,cad!$K$22))</f>
        <v/>
      </c>
      <c r="I1222">
        <f>IF(D1222="V01",cad!$I$27,IF(D1222="V02",cad!$J$27,cad!$K$27))</f>
        <v/>
      </c>
      <c r="J1222">
        <f>IF(D1222="V01",cad!$I$28,IF(D1222="V02",cad!$J$28,cad!$K$28))</f>
        <v/>
      </c>
      <c r="K1222">
        <f>IF(D1222="V01",cad!$I$29,IF(D1222="V02",cad!$J$29,cad!$K$29))</f>
        <v/>
      </c>
      <c r="L1222">
        <f>IF(D1222="V01",cad!$I$30,IF(D1222="V02",cad!$J$30,cad!$K$30))</f>
        <v/>
      </c>
      <c r="M1222">
        <f>IF(D1222="V01",cad!$I$31,IF(D1222="V02",cad!$J$31,cad!$K$31))</f>
        <v/>
      </c>
      <c r="N1222">
        <f>IF(D1222="V01",$R$2,IF(D1222="V02",$R$3,$R$4))</f>
        <v/>
      </c>
      <c r="O1222">
        <f>IF(OR(B1222="7062",B1222="706",B1222="708"),N1222,IF(B1222="6231",1+G1222,IF(B1222="6236",1+H1222,IF(OR(B1222="621",B1222="604",B1222="6063"),N1222*(1-L1222),IF(OR(B1222="6411",B1222="6413",B1222="6414",B1222="645"),(1+J1222)*(1+K1222),IF(OR(B1222="613",B1222="615",B1222="616",B1222="6226",B1222="625",B1222="626",B1222="6281"),(1+I1222)*(1-L1222)*(1+M1222),IF(OR(B1222="6331",B1222="63511",B1222="6333"),(1+I1222)*(1-L1222),IF(B1222="6811",1+I1222,1))))))))</f>
        <v/>
      </c>
      <c r="P1222">
        <f>IF(E1222=1,F1222*O1222,"")</f>
        <v/>
      </c>
    </row>
    <row r="1223">
      <c r="A1223">
        <f>PNL!A1223</f>
        <v/>
      </c>
      <c r="B1223">
        <f>PNL!B1223</f>
        <v/>
      </c>
      <c r="C1223">
        <f>PNL!C1223</f>
        <v/>
      </c>
      <c r="D1223">
        <f>PNL!D1223</f>
        <v/>
      </c>
      <c r="E1223">
        <f>IF(AND(C1223="2027",OR(D1223="V01",D1223="V02",D1223="V03")),1,0)</f>
        <v/>
      </c>
      <c r="F1223">
        <f>IF(E1223=1,SUMIFS(Compta!$F$2:$F$675,Compta!$A$2:$A$675,A1223,Compta!$B$2:$B$675,B1223,Compta!$C$2:$C$675,"2026"),0)</f>
        <v/>
      </c>
      <c r="G1223">
        <f>IF(D1223="V01",cad!$I$21,IF(D1223="V02",cad!$J$21,cad!$K$21))</f>
        <v/>
      </c>
      <c r="H1223">
        <f>IF(D1223="V01",cad!$I$22,IF(D1223="V02",cad!$J$22,cad!$K$22))</f>
        <v/>
      </c>
      <c r="I1223">
        <f>IF(D1223="V01",cad!$I$27,IF(D1223="V02",cad!$J$27,cad!$K$27))</f>
        <v/>
      </c>
      <c r="J1223">
        <f>IF(D1223="V01",cad!$I$28,IF(D1223="V02",cad!$J$28,cad!$K$28))</f>
        <v/>
      </c>
      <c r="K1223">
        <f>IF(D1223="V01",cad!$I$29,IF(D1223="V02",cad!$J$29,cad!$K$29))</f>
        <v/>
      </c>
      <c r="L1223">
        <f>IF(D1223="V01",cad!$I$30,IF(D1223="V02",cad!$J$30,cad!$K$30))</f>
        <v/>
      </c>
      <c r="M1223">
        <f>IF(D1223="V01",cad!$I$31,IF(D1223="V02",cad!$J$31,cad!$K$31))</f>
        <v/>
      </c>
      <c r="N1223">
        <f>IF(D1223="V01",$R$2,IF(D1223="V02",$R$3,$R$4))</f>
        <v/>
      </c>
      <c r="O1223">
        <f>IF(OR(B1223="7062",B1223="706",B1223="708"),N1223,IF(B1223="6231",1+G1223,IF(B1223="6236",1+H1223,IF(OR(B1223="621",B1223="604",B1223="6063"),N1223*(1-L1223),IF(OR(B1223="6411",B1223="6413",B1223="6414",B1223="645"),(1+J1223)*(1+K1223),IF(OR(B1223="613",B1223="615",B1223="616",B1223="6226",B1223="625",B1223="626",B1223="6281"),(1+I1223)*(1-L1223)*(1+M1223),IF(OR(B1223="6331",B1223="63511",B1223="6333"),(1+I1223)*(1-L1223),IF(B1223="6811",1+I1223,1))))))))</f>
        <v/>
      </c>
      <c r="P1223">
        <f>IF(E1223=1,F1223*O1223,"")</f>
        <v/>
      </c>
    </row>
    <row r="1224">
      <c r="A1224">
        <f>PNL!A1224</f>
        <v/>
      </c>
      <c r="B1224">
        <f>PNL!B1224</f>
        <v/>
      </c>
      <c r="C1224">
        <f>PNL!C1224</f>
        <v/>
      </c>
      <c r="D1224">
        <f>PNL!D1224</f>
        <v/>
      </c>
      <c r="E1224">
        <f>IF(AND(C1224="2027",OR(D1224="V01",D1224="V02",D1224="V03")),1,0)</f>
        <v/>
      </c>
      <c r="F1224">
        <f>IF(E1224=1,SUMIFS(Compta!$F$2:$F$675,Compta!$A$2:$A$675,A1224,Compta!$B$2:$B$675,B1224,Compta!$C$2:$C$675,"2026"),0)</f>
        <v/>
      </c>
      <c r="G1224">
        <f>IF(D1224="V01",cad!$I$21,IF(D1224="V02",cad!$J$21,cad!$K$21))</f>
        <v/>
      </c>
      <c r="H1224">
        <f>IF(D1224="V01",cad!$I$22,IF(D1224="V02",cad!$J$22,cad!$K$22))</f>
        <v/>
      </c>
      <c r="I1224">
        <f>IF(D1224="V01",cad!$I$27,IF(D1224="V02",cad!$J$27,cad!$K$27))</f>
        <v/>
      </c>
      <c r="J1224">
        <f>IF(D1224="V01",cad!$I$28,IF(D1224="V02",cad!$J$28,cad!$K$28))</f>
        <v/>
      </c>
      <c r="K1224">
        <f>IF(D1224="V01",cad!$I$29,IF(D1224="V02",cad!$J$29,cad!$K$29))</f>
        <v/>
      </c>
      <c r="L1224">
        <f>IF(D1224="V01",cad!$I$30,IF(D1224="V02",cad!$J$30,cad!$K$30))</f>
        <v/>
      </c>
      <c r="M1224">
        <f>IF(D1224="V01",cad!$I$31,IF(D1224="V02",cad!$J$31,cad!$K$31))</f>
        <v/>
      </c>
      <c r="N1224">
        <f>IF(D1224="V01",$R$2,IF(D1224="V02",$R$3,$R$4))</f>
        <v/>
      </c>
      <c r="O1224">
        <f>IF(OR(B1224="7062",B1224="706",B1224="708"),N1224,IF(B1224="6231",1+G1224,IF(B1224="6236",1+H1224,IF(OR(B1224="621",B1224="604",B1224="6063"),N1224*(1-L1224),IF(OR(B1224="6411",B1224="6413",B1224="6414",B1224="645"),(1+J1224)*(1+K1224),IF(OR(B1224="613",B1224="615",B1224="616",B1224="6226",B1224="625",B1224="626",B1224="6281"),(1+I1224)*(1-L1224)*(1+M1224),IF(OR(B1224="6331",B1224="63511",B1224="6333"),(1+I1224)*(1-L1224),IF(B1224="6811",1+I1224,1))))))))</f>
        <v/>
      </c>
      <c r="P1224">
        <f>IF(E1224=1,F1224*O1224,"")</f>
        <v/>
      </c>
    </row>
    <row r="1225">
      <c r="A1225">
        <f>PNL!A1225</f>
        <v/>
      </c>
      <c r="B1225">
        <f>PNL!B1225</f>
        <v/>
      </c>
      <c r="C1225">
        <f>PNL!C1225</f>
        <v/>
      </c>
      <c r="D1225">
        <f>PNL!D1225</f>
        <v/>
      </c>
      <c r="E1225">
        <f>IF(AND(C1225="2027",OR(D1225="V01",D1225="V02",D1225="V03")),1,0)</f>
        <v/>
      </c>
      <c r="F1225">
        <f>IF(E1225=1,SUMIFS(Compta!$F$2:$F$675,Compta!$A$2:$A$675,A1225,Compta!$B$2:$B$675,B1225,Compta!$C$2:$C$675,"2026"),0)</f>
        <v/>
      </c>
      <c r="G1225">
        <f>IF(D1225="V01",cad!$I$21,IF(D1225="V02",cad!$J$21,cad!$K$21))</f>
        <v/>
      </c>
      <c r="H1225">
        <f>IF(D1225="V01",cad!$I$22,IF(D1225="V02",cad!$J$22,cad!$K$22))</f>
        <v/>
      </c>
      <c r="I1225">
        <f>IF(D1225="V01",cad!$I$27,IF(D1225="V02",cad!$J$27,cad!$K$27))</f>
        <v/>
      </c>
      <c r="J1225">
        <f>IF(D1225="V01",cad!$I$28,IF(D1225="V02",cad!$J$28,cad!$K$28))</f>
        <v/>
      </c>
      <c r="K1225">
        <f>IF(D1225="V01",cad!$I$29,IF(D1225="V02",cad!$J$29,cad!$K$29))</f>
        <v/>
      </c>
      <c r="L1225">
        <f>IF(D1225="V01",cad!$I$30,IF(D1225="V02",cad!$J$30,cad!$K$30))</f>
        <v/>
      </c>
      <c r="M1225">
        <f>IF(D1225="V01",cad!$I$31,IF(D1225="V02",cad!$J$31,cad!$K$31))</f>
        <v/>
      </c>
      <c r="N1225">
        <f>IF(D1225="V01",$R$2,IF(D1225="V02",$R$3,$R$4))</f>
        <v/>
      </c>
      <c r="O1225">
        <f>IF(OR(B1225="7062",B1225="706",B1225="708"),N1225,IF(B1225="6231",1+G1225,IF(B1225="6236",1+H1225,IF(OR(B1225="621",B1225="604",B1225="6063"),N1225*(1-L1225),IF(OR(B1225="6411",B1225="6413",B1225="6414",B1225="645"),(1+J1225)*(1+K1225),IF(OR(B1225="613",B1225="615",B1225="616",B1225="6226",B1225="625",B1225="626",B1225="6281"),(1+I1225)*(1-L1225)*(1+M1225),IF(OR(B1225="6331",B1225="63511",B1225="6333"),(1+I1225)*(1-L1225),IF(B1225="6811",1+I1225,1))))))))</f>
        <v/>
      </c>
      <c r="P1225">
        <f>IF(E1225=1,F1225*O1225,"")</f>
        <v/>
      </c>
    </row>
    <row r="1226">
      <c r="A1226">
        <f>PNL!A1226</f>
        <v/>
      </c>
      <c r="B1226">
        <f>PNL!B1226</f>
        <v/>
      </c>
      <c r="C1226">
        <f>PNL!C1226</f>
        <v/>
      </c>
      <c r="D1226">
        <f>PNL!D1226</f>
        <v/>
      </c>
      <c r="E1226">
        <f>IF(AND(C1226="2027",OR(D1226="V01",D1226="V02",D1226="V03")),1,0)</f>
        <v/>
      </c>
      <c r="F1226">
        <f>IF(E1226=1,SUMIFS(Compta!$F$2:$F$675,Compta!$A$2:$A$675,A1226,Compta!$B$2:$B$675,B1226,Compta!$C$2:$C$675,"2026"),0)</f>
        <v/>
      </c>
      <c r="G1226">
        <f>IF(D1226="V01",cad!$I$21,IF(D1226="V02",cad!$J$21,cad!$K$21))</f>
        <v/>
      </c>
      <c r="H1226">
        <f>IF(D1226="V01",cad!$I$22,IF(D1226="V02",cad!$J$22,cad!$K$22))</f>
        <v/>
      </c>
      <c r="I1226">
        <f>IF(D1226="V01",cad!$I$27,IF(D1226="V02",cad!$J$27,cad!$K$27))</f>
        <v/>
      </c>
      <c r="J1226">
        <f>IF(D1226="V01",cad!$I$28,IF(D1226="V02",cad!$J$28,cad!$K$28))</f>
        <v/>
      </c>
      <c r="K1226">
        <f>IF(D1226="V01",cad!$I$29,IF(D1226="V02",cad!$J$29,cad!$K$29))</f>
        <v/>
      </c>
      <c r="L1226">
        <f>IF(D1226="V01",cad!$I$30,IF(D1226="V02",cad!$J$30,cad!$K$30))</f>
        <v/>
      </c>
      <c r="M1226">
        <f>IF(D1226="V01",cad!$I$31,IF(D1226="V02",cad!$J$31,cad!$K$31))</f>
        <v/>
      </c>
      <c r="N1226">
        <f>IF(D1226="V01",$R$2,IF(D1226="V02",$R$3,$R$4))</f>
        <v/>
      </c>
      <c r="O1226">
        <f>IF(OR(B1226="7062",B1226="706",B1226="708"),N1226,IF(B1226="6231",1+G1226,IF(B1226="6236",1+H1226,IF(OR(B1226="621",B1226="604",B1226="6063"),N1226*(1-L1226),IF(OR(B1226="6411",B1226="6413",B1226="6414",B1226="645"),(1+J1226)*(1+K1226),IF(OR(B1226="613",B1226="615",B1226="616",B1226="6226",B1226="625",B1226="626",B1226="6281"),(1+I1226)*(1-L1226)*(1+M1226),IF(OR(B1226="6331",B1226="63511",B1226="6333"),(1+I1226)*(1-L1226),IF(B1226="6811",1+I1226,1))))))))</f>
        <v/>
      </c>
      <c r="P1226">
        <f>IF(E1226=1,F1226*O1226,"")</f>
        <v/>
      </c>
    </row>
    <row r="1227">
      <c r="A1227">
        <f>PNL!A1227</f>
        <v/>
      </c>
      <c r="B1227">
        <f>PNL!B1227</f>
        <v/>
      </c>
      <c r="C1227">
        <f>PNL!C1227</f>
        <v/>
      </c>
      <c r="D1227">
        <f>PNL!D1227</f>
        <v/>
      </c>
      <c r="E1227">
        <f>IF(AND(C1227="2027",OR(D1227="V01",D1227="V02",D1227="V03")),1,0)</f>
        <v/>
      </c>
      <c r="F1227">
        <f>IF(E1227=1,SUMIFS(Compta!$F$2:$F$675,Compta!$A$2:$A$675,A1227,Compta!$B$2:$B$675,B1227,Compta!$C$2:$C$675,"2026"),0)</f>
        <v/>
      </c>
      <c r="G1227">
        <f>IF(D1227="V01",cad!$I$21,IF(D1227="V02",cad!$J$21,cad!$K$21))</f>
        <v/>
      </c>
      <c r="H1227">
        <f>IF(D1227="V01",cad!$I$22,IF(D1227="V02",cad!$J$22,cad!$K$22))</f>
        <v/>
      </c>
      <c r="I1227">
        <f>IF(D1227="V01",cad!$I$27,IF(D1227="V02",cad!$J$27,cad!$K$27))</f>
        <v/>
      </c>
      <c r="J1227">
        <f>IF(D1227="V01",cad!$I$28,IF(D1227="V02",cad!$J$28,cad!$K$28))</f>
        <v/>
      </c>
      <c r="K1227">
        <f>IF(D1227="V01",cad!$I$29,IF(D1227="V02",cad!$J$29,cad!$K$29))</f>
        <v/>
      </c>
      <c r="L1227">
        <f>IF(D1227="V01",cad!$I$30,IF(D1227="V02",cad!$J$30,cad!$K$30))</f>
        <v/>
      </c>
      <c r="M1227">
        <f>IF(D1227="V01",cad!$I$31,IF(D1227="V02",cad!$J$31,cad!$K$31))</f>
        <v/>
      </c>
      <c r="N1227">
        <f>IF(D1227="V01",$R$2,IF(D1227="V02",$R$3,$R$4))</f>
        <v/>
      </c>
      <c r="O1227">
        <f>IF(OR(B1227="7062",B1227="706",B1227="708"),N1227,IF(B1227="6231",1+G1227,IF(B1227="6236",1+H1227,IF(OR(B1227="621",B1227="604",B1227="6063"),N1227*(1-L1227),IF(OR(B1227="6411",B1227="6413",B1227="6414",B1227="645"),(1+J1227)*(1+K1227),IF(OR(B1227="613",B1227="615",B1227="616",B1227="6226",B1227="625",B1227="626",B1227="6281"),(1+I1227)*(1-L1227)*(1+M1227),IF(OR(B1227="6331",B1227="63511",B1227="6333"),(1+I1227)*(1-L1227),IF(B1227="6811",1+I1227,1))))))))</f>
        <v/>
      </c>
      <c r="P1227">
        <f>IF(E1227=1,F1227*O1227,"")</f>
        <v/>
      </c>
    </row>
    <row r="1228">
      <c r="A1228">
        <f>PNL!A1228</f>
        <v/>
      </c>
      <c r="B1228">
        <f>PNL!B1228</f>
        <v/>
      </c>
      <c r="C1228">
        <f>PNL!C1228</f>
        <v/>
      </c>
      <c r="D1228">
        <f>PNL!D1228</f>
        <v/>
      </c>
      <c r="E1228">
        <f>IF(AND(C1228="2027",OR(D1228="V01",D1228="V02",D1228="V03")),1,0)</f>
        <v/>
      </c>
      <c r="F1228">
        <f>IF(E1228=1,SUMIFS(Compta!$F$2:$F$675,Compta!$A$2:$A$675,A1228,Compta!$B$2:$B$675,B1228,Compta!$C$2:$C$675,"2026"),0)</f>
        <v/>
      </c>
      <c r="G1228">
        <f>IF(D1228="V01",cad!$I$21,IF(D1228="V02",cad!$J$21,cad!$K$21))</f>
        <v/>
      </c>
      <c r="H1228">
        <f>IF(D1228="V01",cad!$I$22,IF(D1228="V02",cad!$J$22,cad!$K$22))</f>
        <v/>
      </c>
      <c r="I1228">
        <f>IF(D1228="V01",cad!$I$27,IF(D1228="V02",cad!$J$27,cad!$K$27))</f>
        <v/>
      </c>
      <c r="J1228">
        <f>IF(D1228="V01",cad!$I$28,IF(D1228="V02",cad!$J$28,cad!$K$28))</f>
        <v/>
      </c>
      <c r="K1228">
        <f>IF(D1228="V01",cad!$I$29,IF(D1228="V02",cad!$J$29,cad!$K$29))</f>
        <v/>
      </c>
      <c r="L1228">
        <f>IF(D1228="V01",cad!$I$30,IF(D1228="V02",cad!$J$30,cad!$K$30))</f>
        <v/>
      </c>
      <c r="M1228">
        <f>IF(D1228="V01",cad!$I$31,IF(D1228="V02",cad!$J$31,cad!$K$31))</f>
        <v/>
      </c>
      <c r="N1228">
        <f>IF(D1228="V01",$R$2,IF(D1228="V02",$R$3,$R$4))</f>
        <v/>
      </c>
      <c r="O1228">
        <f>IF(OR(B1228="7062",B1228="706",B1228="708"),N1228,IF(B1228="6231",1+G1228,IF(B1228="6236",1+H1228,IF(OR(B1228="621",B1228="604",B1228="6063"),N1228*(1-L1228),IF(OR(B1228="6411",B1228="6413",B1228="6414",B1228="645"),(1+J1228)*(1+K1228),IF(OR(B1228="613",B1228="615",B1228="616",B1228="6226",B1228="625",B1228="626",B1228="6281"),(1+I1228)*(1-L1228)*(1+M1228),IF(OR(B1228="6331",B1228="63511",B1228="6333"),(1+I1228)*(1-L1228),IF(B1228="6811",1+I1228,1))))))))</f>
        <v/>
      </c>
      <c r="P1228">
        <f>IF(E1228=1,F1228*O1228,"")</f>
        <v/>
      </c>
    </row>
    <row r="1229">
      <c r="A1229">
        <f>PNL!A1229</f>
        <v/>
      </c>
      <c r="B1229">
        <f>PNL!B1229</f>
        <v/>
      </c>
      <c r="C1229">
        <f>PNL!C1229</f>
        <v/>
      </c>
      <c r="D1229">
        <f>PNL!D1229</f>
        <v/>
      </c>
      <c r="E1229">
        <f>IF(AND(C1229="2027",OR(D1229="V01",D1229="V02",D1229="V03")),1,0)</f>
        <v/>
      </c>
      <c r="F1229">
        <f>IF(E1229=1,SUMIFS(Compta!$F$2:$F$675,Compta!$A$2:$A$675,A1229,Compta!$B$2:$B$675,B1229,Compta!$C$2:$C$675,"2026"),0)</f>
        <v/>
      </c>
      <c r="G1229">
        <f>IF(D1229="V01",cad!$I$21,IF(D1229="V02",cad!$J$21,cad!$K$21))</f>
        <v/>
      </c>
      <c r="H1229">
        <f>IF(D1229="V01",cad!$I$22,IF(D1229="V02",cad!$J$22,cad!$K$22))</f>
        <v/>
      </c>
      <c r="I1229">
        <f>IF(D1229="V01",cad!$I$27,IF(D1229="V02",cad!$J$27,cad!$K$27))</f>
        <v/>
      </c>
      <c r="J1229">
        <f>IF(D1229="V01",cad!$I$28,IF(D1229="V02",cad!$J$28,cad!$K$28))</f>
        <v/>
      </c>
      <c r="K1229">
        <f>IF(D1229="V01",cad!$I$29,IF(D1229="V02",cad!$J$29,cad!$K$29))</f>
        <v/>
      </c>
      <c r="L1229">
        <f>IF(D1229="V01",cad!$I$30,IF(D1229="V02",cad!$J$30,cad!$K$30))</f>
        <v/>
      </c>
      <c r="M1229">
        <f>IF(D1229="V01",cad!$I$31,IF(D1229="V02",cad!$J$31,cad!$K$31))</f>
        <v/>
      </c>
      <c r="N1229">
        <f>IF(D1229="V01",$R$2,IF(D1229="V02",$R$3,$R$4))</f>
        <v/>
      </c>
      <c r="O1229">
        <f>IF(OR(B1229="7062",B1229="706",B1229="708"),N1229,IF(B1229="6231",1+G1229,IF(B1229="6236",1+H1229,IF(OR(B1229="621",B1229="604",B1229="6063"),N1229*(1-L1229),IF(OR(B1229="6411",B1229="6413",B1229="6414",B1229="645"),(1+J1229)*(1+K1229),IF(OR(B1229="613",B1229="615",B1229="616",B1229="6226",B1229="625",B1229="626",B1229="6281"),(1+I1229)*(1-L1229)*(1+M1229),IF(OR(B1229="6331",B1229="63511",B1229="6333"),(1+I1229)*(1-L1229),IF(B1229="6811",1+I1229,1))))))))</f>
        <v/>
      </c>
      <c r="P1229">
        <f>IF(E1229=1,F1229*O1229,"")</f>
        <v/>
      </c>
    </row>
    <row r="1230">
      <c r="A1230">
        <f>PNL!A1230</f>
        <v/>
      </c>
      <c r="B1230">
        <f>PNL!B1230</f>
        <v/>
      </c>
      <c r="C1230">
        <f>PNL!C1230</f>
        <v/>
      </c>
      <c r="D1230">
        <f>PNL!D1230</f>
        <v/>
      </c>
      <c r="E1230">
        <f>IF(AND(C1230="2027",OR(D1230="V01",D1230="V02",D1230="V03")),1,0)</f>
        <v/>
      </c>
      <c r="F1230">
        <f>IF(E1230=1,SUMIFS(Compta!$F$2:$F$675,Compta!$A$2:$A$675,A1230,Compta!$B$2:$B$675,B1230,Compta!$C$2:$C$675,"2026"),0)</f>
        <v/>
      </c>
      <c r="G1230">
        <f>IF(D1230="V01",cad!$I$21,IF(D1230="V02",cad!$J$21,cad!$K$21))</f>
        <v/>
      </c>
      <c r="H1230">
        <f>IF(D1230="V01",cad!$I$22,IF(D1230="V02",cad!$J$22,cad!$K$22))</f>
        <v/>
      </c>
      <c r="I1230">
        <f>IF(D1230="V01",cad!$I$27,IF(D1230="V02",cad!$J$27,cad!$K$27))</f>
        <v/>
      </c>
      <c r="J1230">
        <f>IF(D1230="V01",cad!$I$28,IF(D1230="V02",cad!$J$28,cad!$K$28))</f>
        <v/>
      </c>
      <c r="K1230">
        <f>IF(D1230="V01",cad!$I$29,IF(D1230="V02",cad!$J$29,cad!$K$29))</f>
        <v/>
      </c>
      <c r="L1230">
        <f>IF(D1230="V01",cad!$I$30,IF(D1230="V02",cad!$J$30,cad!$K$30))</f>
        <v/>
      </c>
      <c r="M1230">
        <f>IF(D1230="V01",cad!$I$31,IF(D1230="V02",cad!$J$31,cad!$K$31))</f>
        <v/>
      </c>
      <c r="N1230">
        <f>IF(D1230="V01",$R$2,IF(D1230="V02",$R$3,$R$4))</f>
        <v/>
      </c>
      <c r="O1230">
        <f>IF(OR(B1230="7062",B1230="706",B1230="708"),N1230,IF(B1230="6231",1+G1230,IF(B1230="6236",1+H1230,IF(OR(B1230="621",B1230="604",B1230="6063"),N1230*(1-L1230),IF(OR(B1230="6411",B1230="6413",B1230="6414",B1230="645"),(1+J1230)*(1+K1230),IF(OR(B1230="613",B1230="615",B1230="616",B1230="6226",B1230="625",B1230="626",B1230="6281"),(1+I1230)*(1-L1230)*(1+M1230),IF(OR(B1230="6331",B1230="63511",B1230="6333"),(1+I1230)*(1-L1230),IF(B1230="6811",1+I1230,1))))))))</f>
        <v/>
      </c>
      <c r="P1230">
        <f>IF(E1230=1,F1230*O1230,"")</f>
        <v/>
      </c>
    </row>
    <row r="1231">
      <c r="A1231">
        <f>PNL!A1231</f>
        <v/>
      </c>
      <c r="B1231">
        <f>PNL!B1231</f>
        <v/>
      </c>
      <c r="C1231">
        <f>PNL!C1231</f>
        <v/>
      </c>
      <c r="D1231">
        <f>PNL!D1231</f>
        <v/>
      </c>
      <c r="E1231">
        <f>IF(AND(C1231="2027",OR(D1231="V01",D1231="V02",D1231="V03")),1,0)</f>
        <v/>
      </c>
      <c r="F1231">
        <f>IF(E1231=1,SUMIFS(Compta!$F$2:$F$675,Compta!$A$2:$A$675,A1231,Compta!$B$2:$B$675,B1231,Compta!$C$2:$C$675,"2026"),0)</f>
        <v/>
      </c>
      <c r="G1231">
        <f>IF(D1231="V01",cad!$I$21,IF(D1231="V02",cad!$J$21,cad!$K$21))</f>
        <v/>
      </c>
      <c r="H1231">
        <f>IF(D1231="V01",cad!$I$22,IF(D1231="V02",cad!$J$22,cad!$K$22))</f>
        <v/>
      </c>
      <c r="I1231">
        <f>IF(D1231="V01",cad!$I$27,IF(D1231="V02",cad!$J$27,cad!$K$27))</f>
        <v/>
      </c>
      <c r="J1231">
        <f>IF(D1231="V01",cad!$I$28,IF(D1231="V02",cad!$J$28,cad!$K$28))</f>
        <v/>
      </c>
      <c r="K1231">
        <f>IF(D1231="V01",cad!$I$29,IF(D1231="V02",cad!$J$29,cad!$K$29))</f>
        <v/>
      </c>
      <c r="L1231">
        <f>IF(D1231="V01",cad!$I$30,IF(D1231="V02",cad!$J$30,cad!$K$30))</f>
        <v/>
      </c>
      <c r="M1231">
        <f>IF(D1231="V01",cad!$I$31,IF(D1231="V02",cad!$J$31,cad!$K$31))</f>
        <v/>
      </c>
      <c r="N1231">
        <f>IF(D1231="V01",$R$2,IF(D1231="V02",$R$3,$R$4))</f>
        <v/>
      </c>
      <c r="O1231">
        <f>IF(OR(B1231="7062",B1231="706",B1231="708"),N1231,IF(B1231="6231",1+G1231,IF(B1231="6236",1+H1231,IF(OR(B1231="621",B1231="604",B1231="6063"),N1231*(1-L1231),IF(OR(B1231="6411",B1231="6413",B1231="6414",B1231="645"),(1+J1231)*(1+K1231),IF(OR(B1231="613",B1231="615",B1231="616",B1231="6226",B1231="625",B1231="626",B1231="6281"),(1+I1231)*(1-L1231)*(1+M1231),IF(OR(B1231="6331",B1231="63511",B1231="6333"),(1+I1231)*(1-L1231),IF(B1231="6811",1+I1231,1))))))))</f>
        <v/>
      </c>
      <c r="P1231">
        <f>IF(E1231=1,F1231*O1231,"")</f>
        <v/>
      </c>
    </row>
    <row r="1232">
      <c r="A1232">
        <f>PNL!A1232</f>
        <v/>
      </c>
      <c r="B1232">
        <f>PNL!B1232</f>
        <v/>
      </c>
      <c r="C1232">
        <f>PNL!C1232</f>
        <v/>
      </c>
      <c r="D1232">
        <f>PNL!D1232</f>
        <v/>
      </c>
      <c r="E1232">
        <f>IF(AND(C1232="2027",OR(D1232="V01",D1232="V02",D1232="V03")),1,0)</f>
        <v/>
      </c>
      <c r="F1232">
        <f>IF(E1232=1,SUMIFS(Compta!$F$2:$F$675,Compta!$A$2:$A$675,A1232,Compta!$B$2:$B$675,B1232,Compta!$C$2:$C$675,"2026"),0)</f>
        <v/>
      </c>
      <c r="G1232">
        <f>IF(D1232="V01",cad!$I$21,IF(D1232="V02",cad!$J$21,cad!$K$21))</f>
        <v/>
      </c>
      <c r="H1232">
        <f>IF(D1232="V01",cad!$I$22,IF(D1232="V02",cad!$J$22,cad!$K$22))</f>
        <v/>
      </c>
      <c r="I1232">
        <f>IF(D1232="V01",cad!$I$27,IF(D1232="V02",cad!$J$27,cad!$K$27))</f>
        <v/>
      </c>
      <c r="J1232">
        <f>IF(D1232="V01",cad!$I$28,IF(D1232="V02",cad!$J$28,cad!$K$28))</f>
        <v/>
      </c>
      <c r="K1232">
        <f>IF(D1232="V01",cad!$I$29,IF(D1232="V02",cad!$J$29,cad!$K$29))</f>
        <v/>
      </c>
      <c r="L1232">
        <f>IF(D1232="V01",cad!$I$30,IF(D1232="V02",cad!$J$30,cad!$K$30))</f>
        <v/>
      </c>
      <c r="M1232">
        <f>IF(D1232="V01",cad!$I$31,IF(D1232="V02",cad!$J$31,cad!$K$31))</f>
        <v/>
      </c>
      <c r="N1232">
        <f>IF(D1232="V01",$R$2,IF(D1232="V02",$R$3,$R$4))</f>
        <v/>
      </c>
      <c r="O1232">
        <f>IF(OR(B1232="7062",B1232="706",B1232="708"),N1232,IF(B1232="6231",1+G1232,IF(B1232="6236",1+H1232,IF(OR(B1232="621",B1232="604",B1232="6063"),N1232*(1-L1232),IF(OR(B1232="6411",B1232="6413",B1232="6414",B1232="645"),(1+J1232)*(1+K1232),IF(OR(B1232="613",B1232="615",B1232="616",B1232="6226",B1232="625",B1232="626",B1232="6281"),(1+I1232)*(1-L1232)*(1+M1232),IF(OR(B1232="6331",B1232="63511",B1232="6333"),(1+I1232)*(1-L1232),IF(B1232="6811",1+I1232,1))))))))</f>
        <v/>
      </c>
      <c r="P1232">
        <f>IF(E1232=1,F1232*O1232,"")</f>
        <v/>
      </c>
    </row>
    <row r="1233">
      <c r="A1233">
        <f>PNL!A1233</f>
        <v/>
      </c>
      <c r="B1233">
        <f>PNL!B1233</f>
        <v/>
      </c>
      <c r="C1233">
        <f>PNL!C1233</f>
        <v/>
      </c>
      <c r="D1233">
        <f>PNL!D1233</f>
        <v/>
      </c>
      <c r="E1233">
        <f>IF(AND(C1233="2027",OR(D1233="V01",D1233="V02",D1233="V03")),1,0)</f>
        <v/>
      </c>
      <c r="F1233">
        <f>IF(E1233=1,SUMIFS(Compta!$F$2:$F$675,Compta!$A$2:$A$675,A1233,Compta!$B$2:$B$675,B1233,Compta!$C$2:$C$675,"2026"),0)</f>
        <v/>
      </c>
      <c r="G1233">
        <f>IF(D1233="V01",cad!$I$21,IF(D1233="V02",cad!$J$21,cad!$K$21))</f>
        <v/>
      </c>
      <c r="H1233">
        <f>IF(D1233="V01",cad!$I$22,IF(D1233="V02",cad!$J$22,cad!$K$22))</f>
        <v/>
      </c>
      <c r="I1233">
        <f>IF(D1233="V01",cad!$I$27,IF(D1233="V02",cad!$J$27,cad!$K$27))</f>
        <v/>
      </c>
      <c r="J1233">
        <f>IF(D1233="V01",cad!$I$28,IF(D1233="V02",cad!$J$28,cad!$K$28))</f>
        <v/>
      </c>
      <c r="K1233">
        <f>IF(D1233="V01",cad!$I$29,IF(D1233="V02",cad!$J$29,cad!$K$29))</f>
        <v/>
      </c>
      <c r="L1233">
        <f>IF(D1233="V01",cad!$I$30,IF(D1233="V02",cad!$J$30,cad!$K$30))</f>
        <v/>
      </c>
      <c r="M1233">
        <f>IF(D1233="V01",cad!$I$31,IF(D1233="V02",cad!$J$31,cad!$K$31))</f>
        <v/>
      </c>
      <c r="N1233">
        <f>IF(D1233="V01",$R$2,IF(D1233="V02",$R$3,$R$4))</f>
        <v/>
      </c>
      <c r="O1233">
        <f>IF(OR(B1233="7062",B1233="706",B1233="708"),N1233,IF(B1233="6231",1+G1233,IF(B1233="6236",1+H1233,IF(OR(B1233="621",B1233="604",B1233="6063"),N1233*(1-L1233),IF(OR(B1233="6411",B1233="6413",B1233="6414",B1233="645"),(1+J1233)*(1+K1233),IF(OR(B1233="613",B1233="615",B1233="616",B1233="6226",B1233="625",B1233="626",B1233="6281"),(1+I1233)*(1-L1233)*(1+M1233),IF(OR(B1233="6331",B1233="63511",B1233="6333"),(1+I1233)*(1-L1233),IF(B1233="6811",1+I1233,1))))))))</f>
        <v/>
      </c>
      <c r="P1233">
        <f>IF(E1233=1,F1233*O1233,"")</f>
        <v/>
      </c>
    </row>
    <row r="1234">
      <c r="A1234">
        <f>PNL!A1234</f>
        <v/>
      </c>
      <c r="B1234">
        <f>PNL!B1234</f>
        <v/>
      </c>
      <c r="C1234">
        <f>PNL!C1234</f>
        <v/>
      </c>
      <c r="D1234">
        <f>PNL!D1234</f>
        <v/>
      </c>
      <c r="E1234">
        <f>IF(AND(C1234="2027",OR(D1234="V01",D1234="V02",D1234="V03")),1,0)</f>
        <v/>
      </c>
      <c r="F1234">
        <f>IF(E1234=1,SUMIFS(Compta!$F$2:$F$675,Compta!$A$2:$A$675,A1234,Compta!$B$2:$B$675,B1234,Compta!$C$2:$C$675,"2026"),0)</f>
        <v/>
      </c>
      <c r="G1234">
        <f>IF(D1234="V01",cad!$I$21,IF(D1234="V02",cad!$J$21,cad!$K$21))</f>
        <v/>
      </c>
      <c r="H1234">
        <f>IF(D1234="V01",cad!$I$22,IF(D1234="V02",cad!$J$22,cad!$K$22))</f>
        <v/>
      </c>
      <c r="I1234">
        <f>IF(D1234="V01",cad!$I$27,IF(D1234="V02",cad!$J$27,cad!$K$27))</f>
        <v/>
      </c>
      <c r="J1234">
        <f>IF(D1234="V01",cad!$I$28,IF(D1234="V02",cad!$J$28,cad!$K$28))</f>
        <v/>
      </c>
      <c r="K1234">
        <f>IF(D1234="V01",cad!$I$29,IF(D1234="V02",cad!$J$29,cad!$K$29))</f>
        <v/>
      </c>
      <c r="L1234">
        <f>IF(D1234="V01",cad!$I$30,IF(D1234="V02",cad!$J$30,cad!$K$30))</f>
        <v/>
      </c>
      <c r="M1234">
        <f>IF(D1234="V01",cad!$I$31,IF(D1234="V02",cad!$J$31,cad!$K$31))</f>
        <v/>
      </c>
      <c r="N1234">
        <f>IF(D1234="V01",$R$2,IF(D1234="V02",$R$3,$R$4))</f>
        <v/>
      </c>
      <c r="O1234">
        <f>IF(OR(B1234="7062",B1234="706",B1234="708"),N1234,IF(B1234="6231",1+G1234,IF(B1234="6236",1+H1234,IF(OR(B1234="621",B1234="604",B1234="6063"),N1234*(1-L1234),IF(OR(B1234="6411",B1234="6413",B1234="6414",B1234="645"),(1+J1234)*(1+K1234),IF(OR(B1234="613",B1234="615",B1234="616",B1234="6226",B1234="625",B1234="626",B1234="6281"),(1+I1234)*(1-L1234)*(1+M1234),IF(OR(B1234="6331",B1234="63511",B1234="6333"),(1+I1234)*(1-L1234),IF(B1234="6811",1+I1234,1))))))))</f>
        <v/>
      </c>
      <c r="P1234">
        <f>IF(E1234=1,F1234*O1234,"")</f>
        <v/>
      </c>
    </row>
    <row r="1235">
      <c r="A1235">
        <f>PNL!A1235</f>
        <v/>
      </c>
      <c r="B1235">
        <f>PNL!B1235</f>
        <v/>
      </c>
      <c r="C1235">
        <f>PNL!C1235</f>
        <v/>
      </c>
      <c r="D1235">
        <f>PNL!D1235</f>
        <v/>
      </c>
      <c r="E1235">
        <f>IF(AND(C1235="2027",OR(D1235="V01",D1235="V02",D1235="V03")),1,0)</f>
        <v/>
      </c>
      <c r="F1235">
        <f>IF(E1235=1,SUMIFS(Compta!$F$2:$F$675,Compta!$A$2:$A$675,A1235,Compta!$B$2:$B$675,B1235,Compta!$C$2:$C$675,"2026"),0)</f>
        <v/>
      </c>
      <c r="G1235">
        <f>IF(D1235="V01",cad!$I$21,IF(D1235="V02",cad!$J$21,cad!$K$21))</f>
        <v/>
      </c>
      <c r="H1235">
        <f>IF(D1235="V01",cad!$I$22,IF(D1235="V02",cad!$J$22,cad!$K$22))</f>
        <v/>
      </c>
      <c r="I1235">
        <f>IF(D1235="V01",cad!$I$27,IF(D1235="V02",cad!$J$27,cad!$K$27))</f>
        <v/>
      </c>
      <c r="J1235">
        <f>IF(D1235="V01",cad!$I$28,IF(D1235="V02",cad!$J$28,cad!$K$28))</f>
        <v/>
      </c>
      <c r="K1235">
        <f>IF(D1235="V01",cad!$I$29,IF(D1235="V02",cad!$J$29,cad!$K$29))</f>
        <v/>
      </c>
      <c r="L1235">
        <f>IF(D1235="V01",cad!$I$30,IF(D1235="V02",cad!$J$30,cad!$K$30))</f>
        <v/>
      </c>
      <c r="M1235">
        <f>IF(D1235="V01",cad!$I$31,IF(D1235="V02",cad!$J$31,cad!$K$31))</f>
        <v/>
      </c>
      <c r="N1235">
        <f>IF(D1235="V01",$R$2,IF(D1235="V02",$R$3,$R$4))</f>
        <v/>
      </c>
      <c r="O1235">
        <f>IF(OR(B1235="7062",B1235="706",B1235="708"),N1235,IF(B1235="6231",1+G1235,IF(B1235="6236",1+H1235,IF(OR(B1235="621",B1235="604",B1235="6063"),N1235*(1-L1235),IF(OR(B1235="6411",B1235="6413",B1235="6414",B1235="645"),(1+J1235)*(1+K1235),IF(OR(B1235="613",B1235="615",B1235="616",B1235="6226",B1235="625",B1235="626",B1235="6281"),(1+I1235)*(1-L1235)*(1+M1235),IF(OR(B1235="6331",B1235="63511",B1235="6333"),(1+I1235)*(1-L1235),IF(B1235="6811",1+I1235,1))))))))</f>
        <v/>
      </c>
      <c r="P1235">
        <f>IF(E1235=1,F1235*O1235,"")</f>
        <v/>
      </c>
    </row>
    <row r="1236">
      <c r="A1236">
        <f>PNL!A1236</f>
        <v/>
      </c>
      <c r="B1236">
        <f>PNL!B1236</f>
        <v/>
      </c>
      <c r="C1236">
        <f>PNL!C1236</f>
        <v/>
      </c>
      <c r="D1236">
        <f>PNL!D1236</f>
        <v/>
      </c>
      <c r="E1236">
        <f>IF(AND(C1236="2027",OR(D1236="V01",D1236="V02",D1236="V03")),1,0)</f>
        <v/>
      </c>
      <c r="F1236">
        <f>IF(E1236=1,SUMIFS(Compta!$F$2:$F$675,Compta!$A$2:$A$675,A1236,Compta!$B$2:$B$675,B1236,Compta!$C$2:$C$675,"2026"),0)</f>
        <v/>
      </c>
      <c r="G1236">
        <f>IF(D1236="V01",cad!$I$21,IF(D1236="V02",cad!$J$21,cad!$K$21))</f>
        <v/>
      </c>
      <c r="H1236">
        <f>IF(D1236="V01",cad!$I$22,IF(D1236="V02",cad!$J$22,cad!$K$22))</f>
        <v/>
      </c>
      <c r="I1236">
        <f>IF(D1236="V01",cad!$I$27,IF(D1236="V02",cad!$J$27,cad!$K$27))</f>
        <v/>
      </c>
      <c r="J1236">
        <f>IF(D1236="V01",cad!$I$28,IF(D1236="V02",cad!$J$28,cad!$K$28))</f>
        <v/>
      </c>
      <c r="K1236">
        <f>IF(D1236="V01",cad!$I$29,IF(D1236="V02",cad!$J$29,cad!$K$29))</f>
        <v/>
      </c>
      <c r="L1236">
        <f>IF(D1236="V01",cad!$I$30,IF(D1236="V02",cad!$J$30,cad!$K$30))</f>
        <v/>
      </c>
      <c r="M1236">
        <f>IF(D1236="V01",cad!$I$31,IF(D1236="V02",cad!$J$31,cad!$K$31))</f>
        <v/>
      </c>
      <c r="N1236">
        <f>IF(D1236="V01",$R$2,IF(D1236="V02",$R$3,$R$4))</f>
        <v/>
      </c>
      <c r="O1236">
        <f>IF(OR(B1236="7062",B1236="706",B1236="708"),N1236,IF(B1236="6231",1+G1236,IF(B1236="6236",1+H1236,IF(OR(B1236="621",B1236="604",B1236="6063"),N1236*(1-L1236),IF(OR(B1236="6411",B1236="6413",B1236="6414",B1236="645"),(1+J1236)*(1+K1236),IF(OR(B1236="613",B1236="615",B1236="616",B1236="6226",B1236="625",B1236="626",B1236="6281"),(1+I1236)*(1-L1236)*(1+M1236),IF(OR(B1236="6331",B1236="63511",B1236="6333"),(1+I1236)*(1-L1236),IF(B1236="6811",1+I1236,1))))))))</f>
        <v/>
      </c>
      <c r="P1236">
        <f>IF(E1236=1,F1236*O1236,"")</f>
        <v/>
      </c>
    </row>
    <row r="1237">
      <c r="A1237">
        <f>PNL!A1237</f>
        <v/>
      </c>
      <c r="B1237">
        <f>PNL!B1237</f>
        <v/>
      </c>
      <c r="C1237">
        <f>PNL!C1237</f>
        <v/>
      </c>
      <c r="D1237">
        <f>PNL!D1237</f>
        <v/>
      </c>
      <c r="E1237">
        <f>IF(AND(C1237="2027",OR(D1237="V01",D1237="V02",D1237="V03")),1,0)</f>
        <v/>
      </c>
      <c r="F1237">
        <f>IF(E1237=1,SUMIFS(Compta!$F$2:$F$675,Compta!$A$2:$A$675,A1237,Compta!$B$2:$B$675,B1237,Compta!$C$2:$C$675,"2026"),0)</f>
        <v/>
      </c>
      <c r="G1237">
        <f>IF(D1237="V01",cad!$I$21,IF(D1237="V02",cad!$J$21,cad!$K$21))</f>
        <v/>
      </c>
      <c r="H1237">
        <f>IF(D1237="V01",cad!$I$22,IF(D1237="V02",cad!$J$22,cad!$K$22))</f>
        <v/>
      </c>
      <c r="I1237">
        <f>IF(D1237="V01",cad!$I$27,IF(D1237="V02",cad!$J$27,cad!$K$27))</f>
        <v/>
      </c>
      <c r="J1237">
        <f>IF(D1237="V01",cad!$I$28,IF(D1237="V02",cad!$J$28,cad!$K$28))</f>
        <v/>
      </c>
      <c r="K1237">
        <f>IF(D1237="V01",cad!$I$29,IF(D1237="V02",cad!$J$29,cad!$K$29))</f>
        <v/>
      </c>
      <c r="L1237">
        <f>IF(D1237="V01",cad!$I$30,IF(D1237="V02",cad!$J$30,cad!$K$30))</f>
        <v/>
      </c>
      <c r="M1237">
        <f>IF(D1237="V01",cad!$I$31,IF(D1237="V02",cad!$J$31,cad!$K$31))</f>
        <v/>
      </c>
      <c r="N1237">
        <f>IF(D1237="V01",$R$2,IF(D1237="V02",$R$3,$R$4))</f>
        <v/>
      </c>
      <c r="O1237">
        <f>IF(OR(B1237="7062",B1237="706",B1237="708"),N1237,IF(B1237="6231",1+G1237,IF(B1237="6236",1+H1237,IF(OR(B1237="621",B1237="604",B1237="6063"),N1237*(1-L1237),IF(OR(B1237="6411",B1237="6413",B1237="6414",B1237="645"),(1+J1237)*(1+K1237),IF(OR(B1237="613",B1237="615",B1237="616",B1237="6226",B1237="625",B1237="626",B1237="6281"),(1+I1237)*(1-L1237)*(1+M1237),IF(OR(B1237="6331",B1237="63511",B1237="6333"),(1+I1237)*(1-L1237),IF(B1237="6811",1+I1237,1))))))))</f>
        <v/>
      </c>
      <c r="P1237">
        <f>IF(E1237=1,F1237*O1237,"")</f>
        <v/>
      </c>
    </row>
    <row r="1238">
      <c r="A1238">
        <f>PNL!A1238</f>
        <v/>
      </c>
      <c r="B1238">
        <f>PNL!B1238</f>
        <v/>
      </c>
      <c r="C1238">
        <f>PNL!C1238</f>
        <v/>
      </c>
      <c r="D1238">
        <f>PNL!D1238</f>
        <v/>
      </c>
      <c r="E1238">
        <f>IF(AND(C1238="2027",OR(D1238="V01",D1238="V02",D1238="V03")),1,0)</f>
        <v/>
      </c>
      <c r="F1238">
        <f>IF(E1238=1,SUMIFS(Compta!$F$2:$F$675,Compta!$A$2:$A$675,A1238,Compta!$B$2:$B$675,B1238,Compta!$C$2:$C$675,"2026"),0)</f>
        <v/>
      </c>
      <c r="G1238">
        <f>IF(D1238="V01",cad!$I$21,IF(D1238="V02",cad!$J$21,cad!$K$21))</f>
        <v/>
      </c>
      <c r="H1238">
        <f>IF(D1238="V01",cad!$I$22,IF(D1238="V02",cad!$J$22,cad!$K$22))</f>
        <v/>
      </c>
      <c r="I1238">
        <f>IF(D1238="V01",cad!$I$27,IF(D1238="V02",cad!$J$27,cad!$K$27))</f>
        <v/>
      </c>
      <c r="J1238">
        <f>IF(D1238="V01",cad!$I$28,IF(D1238="V02",cad!$J$28,cad!$K$28))</f>
        <v/>
      </c>
      <c r="K1238">
        <f>IF(D1238="V01",cad!$I$29,IF(D1238="V02",cad!$J$29,cad!$K$29))</f>
        <v/>
      </c>
      <c r="L1238">
        <f>IF(D1238="V01",cad!$I$30,IF(D1238="V02",cad!$J$30,cad!$K$30))</f>
        <v/>
      </c>
      <c r="M1238">
        <f>IF(D1238="V01",cad!$I$31,IF(D1238="V02",cad!$J$31,cad!$K$31))</f>
        <v/>
      </c>
      <c r="N1238">
        <f>IF(D1238="V01",$R$2,IF(D1238="V02",$R$3,$R$4))</f>
        <v/>
      </c>
      <c r="O1238">
        <f>IF(OR(B1238="7062",B1238="706",B1238="708"),N1238,IF(B1238="6231",1+G1238,IF(B1238="6236",1+H1238,IF(OR(B1238="621",B1238="604",B1238="6063"),N1238*(1-L1238),IF(OR(B1238="6411",B1238="6413",B1238="6414",B1238="645"),(1+J1238)*(1+K1238),IF(OR(B1238="613",B1238="615",B1238="616",B1238="6226",B1238="625",B1238="626",B1238="6281"),(1+I1238)*(1-L1238)*(1+M1238),IF(OR(B1238="6331",B1238="63511",B1238="6333"),(1+I1238)*(1-L1238),IF(B1238="6811",1+I1238,1))))))))</f>
        <v/>
      </c>
      <c r="P1238">
        <f>IF(E1238=1,F1238*O1238,"")</f>
        <v/>
      </c>
    </row>
    <row r="1239">
      <c r="A1239">
        <f>PNL!A1239</f>
        <v/>
      </c>
      <c r="B1239">
        <f>PNL!B1239</f>
        <v/>
      </c>
      <c r="C1239">
        <f>PNL!C1239</f>
        <v/>
      </c>
      <c r="D1239">
        <f>PNL!D1239</f>
        <v/>
      </c>
      <c r="E1239">
        <f>IF(AND(C1239="2027",OR(D1239="V01",D1239="V02",D1239="V03")),1,0)</f>
        <v/>
      </c>
      <c r="F1239">
        <f>IF(E1239=1,SUMIFS(Compta!$F$2:$F$675,Compta!$A$2:$A$675,A1239,Compta!$B$2:$B$675,B1239,Compta!$C$2:$C$675,"2026"),0)</f>
        <v/>
      </c>
      <c r="G1239">
        <f>IF(D1239="V01",cad!$I$21,IF(D1239="V02",cad!$J$21,cad!$K$21))</f>
        <v/>
      </c>
      <c r="H1239">
        <f>IF(D1239="V01",cad!$I$22,IF(D1239="V02",cad!$J$22,cad!$K$22))</f>
        <v/>
      </c>
      <c r="I1239">
        <f>IF(D1239="V01",cad!$I$27,IF(D1239="V02",cad!$J$27,cad!$K$27))</f>
        <v/>
      </c>
      <c r="J1239">
        <f>IF(D1239="V01",cad!$I$28,IF(D1239="V02",cad!$J$28,cad!$K$28))</f>
        <v/>
      </c>
      <c r="K1239">
        <f>IF(D1239="V01",cad!$I$29,IF(D1239="V02",cad!$J$29,cad!$K$29))</f>
        <v/>
      </c>
      <c r="L1239">
        <f>IF(D1239="V01",cad!$I$30,IF(D1239="V02",cad!$J$30,cad!$K$30))</f>
        <v/>
      </c>
      <c r="M1239">
        <f>IF(D1239="V01",cad!$I$31,IF(D1239="V02",cad!$J$31,cad!$K$31))</f>
        <v/>
      </c>
      <c r="N1239">
        <f>IF(D1239="V01",$R$2,IF(D1239="V02",$R$3,$R$4))</f>
        <v/>
      </c>
      <c r="O1239">
        <f>IF(OR(B1239="7062",B1239="706",B1239="708"),N1239,IF(B1239="6231",1+G1239,IF(B1239="6236",1+H1239,IF(OR(B1239="621",B1239="604",B1239="6063"),N1239*(1-L1239),IF(OR(B1239="6411",B1239="6413",B1239="6414",B1239="645"),(1+J1239)*(1+K1239),IF(OR(B1239="613",B1239="615",B1239="616",B1239="6226",B1239="625",B1239="626",B1239="6281"),(1+I1239)*(1-L1239)*(1+M1239),IF(OR(B1239="6331",B1239="63511",B1239="6333"),(1+I1239)*(1-L1239),IF(B1239="6811",1+I1239,1))))))))</f>
        <v/>
      </c>
      <c r="P1239">
        <f>IF(E1239=1,F1239*O1239,"")</f>
        <v/>
      </c>
    </row>
    <row r="1240">
      <c r="A1240">
        <f>PNL!A1240</f>
        <v/>
      </c>
      <c r="B1240">
        <f>PNL!B1240</f>
        <v/>
      </c>
      <c r="C1240">
        <f>PNL!C1240</f>
        <v/>
      </c>
      <c r="D1240">
        <f>PNL!D1240</f>
        <v/>
      </c>
      <c r="E1240">
        <f>IF(AND(C1240="2027",OR(D1240="V01",D1240="V02",D1240="V03")),1,0)</f>
        <v/>
      </c>
      <c r="F1240">
        <f>IF(E1240=1,SUMIFS(Compta!$F$2:$F$675,Compta!$A$2:$A$675,A1240,Compta!$B$2:$B$675,B1240,Compta!$C$2:$C$675,"2026"),0)</f>
        <v/>
      </c>
      <c r="G1240">
        <f>IF(D1240="V01",cad!$I$21,IF(D1240="V02",cad!$J$21,cad!$K$21))</f>
        <v/>
      </c>
      <c r="H1240">
        <f>IF(D1240="V01",cad!$I$22,IF(D1240="V02",cad!$J$22,cad!$K$22))</f>
        <v/>
      </c>
      <c r="I1240">
        <f>IF(D1240="V01",cad!$I$27,IF(D1240="V02",cad!$J$27,cad!$K$27))</f>
        <v/>
      </c>
      <c r="J1240">
        <f>IF(D1240="V01",cad!$I$28,IF(D1240="V02",cad!$J$28,cad!$K$28))</f>
        <v/>
      </c>
      <c r="K1240">
        <f>IF(D1240="V01",cad!$I$29,IF(D1240="V02",cad!$J$29,cad!$K$29))</f>
        <v/>
      </c>
      <c r="L1240">
        <f>IF(D1240="V01",cad!$I$30,IF(D1240="V02",cad!$J$30,cad!$K$30))</f>
        <v/>
      </c>
      <c r="M1240">
        <f>IF(D1240="V01",cad!$I$31,IF(D1240="V02",cad!$J$31,cad!$K$31))</f>
        <v/>
      </c>
      <c r="N1240">
        <f>IF(D1240="V01",$R$2,IF(D1240="V02",$R$3,$R$4))</f>
        <v/>
      </c>
      <c r="O1240">
        <f>IF(OR(B1240="7062",B1240="706",B1240="708"),N1240,IF(B1240="6231",1+G1240,IF(B1240="6236",1+H1240,IF(OR(B1240="621",B1240="604",B1240="6063"),N1240*(1-L1240),IF(OR(B1240="6411",B1240="6413",B1240="6414",B1240="645"),(1+J1240)*(1+K1240),IF(OR(B1240="613",B1240="615",B1240="616",B1240="6226",B1240="625",B1240="626",B1240="6281"),(1+I1240)*(1-L1240)*(1+M1240),IF(OR(B1240="6331",B1240="63511",B1240="6333"),(1+I1240)*(1-L1240),IF(B1240="6811",1+I1240,1))))))))</f>
        <v/>
      </c>
      <c r="P1240">
        <f>IF(E1240=1,F1240*O1240,"")</f>
        <v/>
      </c>
    </row>
    <row r="1241">
      <c r="A1241">
        <f>PNL!A1241</f>
        <v/>
      </c>
      <c r="B1241">
        <f>PNL!B1241</f>
        <v/>
      </c>
      <c r="C1241">
        <f>PNL!C1241</f>
        <v/>
      </c>
      <c r="D1241">
        <f>PNL!D1241</f>
        <v/>
      </c>
      <c r="E1241">
        <f>IF(AND(C1241="2027",OR(D1241="V01",D1241="V02",D1241="V03")),1,0)</f>
        <v/>
      </c>
      <c r="F1241">
        <f>IF(E1241=1,SUMIFS(Compta!$F$2:$F$675,Compta!$A$2:$A$675,A1241,Compta!$B$2:$B$675,B1241,Compta!$C$2:$C$675,"2026"),0)</f>
        <v/>
      </c>
      <c r="G1241">
        <f>IF(D1241="V01",cad!$I$21,IF(D1241="V02",cad!$J$21,cad!$K$21))</f>
        <v/>
      </c>
      <c r="H1241">
        <f>IF(D1241="V01",cad!$I$22,IF(D1241="V02",cad!$J$22,cad!$K$22))</f>
        <v/>
      </c>
      <c r="I1241">
        <f>IF(D1241="V01",cad!$I$27,IF(D1241="V02",cad!$J$27,cad!$K$27))</f>
        <v/>
      </c>
      <c r="J1241">
        <f>IF(D1241="V01",cad!$I$28,IF(D1241="V02",cad!$J$28,cad!$K$28))</f>
        <v/>
      </c>
      <c r="K1241">
        <f>IF(D1241="V01",cad!$I$29,IF(D1241="V02",cad!$J$29,cad!$K$29))</f>
        <v/>
      </c>
      <c r="L1241">
        <f>IF(D1241="V01",cad!$I$30,IF(D1241="V02",cad!$J$30,cad!$K$30))</f>
        <v/>
      </c>
      <c r="M1241">
        <f>IF(D1241="V01",cad!$I$31,IF(D1241="V02",cad!$J$31,cad!$K$31))</f>
        <v/>
      </c>
      <c r="N1241">
        <f>IF(D1241="V01",$R$2,IF(D1241="V02",$R$3,$R$4))</f>
        <v/>
      </c>
      <c r="O1241">
        <f>IF(OR(B1241="7062",B1241="706",B1241="708"),N1241,IF(B1241="6231",1+G1241,IF(B1241="6236",1+H1241,IF(OR(B1241="621",B1241="604",B1241="6063"),N1241*(1-L1241),IF(OR(B1241="6411",B1241="6413",B1241="6414",B1241="645"),(1+J1241)*(1+K1241),IF(OR(B1241="613",B1241="615",B1241="616",B1241="6226",B1241="625",B1241="626",B1241="6281"),(1+I1241)*(1-L1241)*(1+M1241),IF(OR(B1241="6331",B1241="63511",B1241="6333"),(1+I1241)*(1-L1241),IF(B1241="6811",1+I1241,1))))))))</f>
        <v/>
      </c>
      <c r="P1241">
        <f>IF(E1241=1,F1241*O1241,"")</f>
        <v/>
      </c>
    </row>
    <row r="1242">
      <c r="A1242">
        <f>PNL!A1242</f>
        <v/>
      </c>
      <c r="B1242">
        <f>PNL!B1242</f>
        <v/>
      </c>
      <c r="C1242">
        <f>PNL!C1242</f>
        <v/>
      </c>
      <c r="D1242">
        <f>PNL!D1242</f>
        <v/>
      </c>
      <c r="E1242">
        <f>IF(AND(C1242="2027",OR(D1242="V01",D1242="V02",D1242="V03")),1,0)</f>
        <v/>
      </c>
      <c r="F1242">
        <f>IF(E1242=1,SUMIFS(Compta!$F$2:$F$675,Compta!$A$2:$A$675,A1242,Compta!$B$2:$B$675,B1242,Compta!$C$2:$C$675,"2026"),0)</f>
        <v/>
      </c>
      <c r="G1242">
        <f>IF(D1242="V01",cad!$I$21,IF(D1242="V02",cad!$J$21,cad!$K$21))</f>
        <v/>
      </c>
      <c r="H1242">
        <f>IF(D1242="V01",cad!$I$22,IF(D1242="V02",cad!$J$22,cad!$K$22))</f>
        <v/>
      </c>
      <c r="I1242">
        <f>IF(D1242="V01",cad!$I$27,IF(D1242="V02",cad!$J$27,cad!$K$27))</f>
        <v/>
      </c>
      <c r="J1242">
        <f>IF(D1242="V01",cad!$I$28,IF(D1242="V02",cad!$J$28,cad!$K$28))</f>
        <v/>
      </c>
      <c r="K1242">
        <f>IF(D1242="V01",cad!$I$29,IF(D1242="V02",cad!$J$29,cad!$K$29))</f>
        <v/>
      </c>
      <c r="L1242">
        <f>IF(D1242="V01",cad!$I$30,IF(D1242="V02",cad!$J$30,cad!$K$30))</f>
        <v/>
      </c>
      <c r="M1242">
        <f>IF(D1242="V01",cad!$I$31,IF(D1242="V02",cad!$J$31,cad!$K$31))</f>
        <v/>
      </c>
      <c r="N1242">
        <f>IF(D1242="V01",$R$2,IF(D1242="V02",$R$3,$R$4))</f>
        <v/>
      </c>
      <c r="O1242">
        <f>IF(OR(B1242="7062",B1242="706",B1242="708"),N1242,IF(B1242="6231",1+G1242,IF(B1242="6236",1+H1242,IF(OR(B1242="621",B1242="604",B1242="6063"),N1242*(1-L1242),IF(OR(B1242="6411",B1242="6413",B1242="6414",B1242="645"),(1+J1242)*(1+K1242),IF(OR(B1242="613",B1242="615",B1242="616",B1242="6226",B1242="625",B1242="626",B1242="6281"),(1+I1242)*(1-L1242)*(1+M1242),IF(OR(B1242="6331",B1242="63511",B1242="6333"),(1+I1242)*(1-L1242),IF(B1242="6811",1+I1242,1))))))))</f>
        <v/>
      </c>
      <c r="P1242">
        <f>IF(E1242=1,F1242*O1242,"")</f>
        <v/>
      </c>
    </row>
    <row r="1243">
      <c r="A1243">
        <f>PNL!A1243</f>
        <v/>
      </c>
      <c r="B1243">
        <f>PNL!B1243</f>
        <v/>
      </c>
      <c r="C1243">
        <f>PNL!C1243</f>
        <v/>
      </c>
      <c r="D1243">
        <f>PNL!D1243</f>
        <v/>
      </c>
      <c r="E1243">
        <f>IF(AND(C1243="2027",OR(D1243="V01",D1243="V02",D1243="V03")),1,0)</f>
        <v/>
      </c>
      <c r="F1243">
        <f>IF(E1243=1,SUMIFS(Compta!$F$2:$F$675,Compta!$A$2:$A$675,A1243,Compta!$B$2:$B$675,B1243,Compta!$C$2:$C$675,"2026"),0)</f>
        <v/>
      </c>
      <c r="G1243">
        <f>IF(D1243="V01",cad!$I$21,IF(D1243="V02",cad!$J$21,cad!$K$21))</f>
        <v/>
      </c>
      <c r="H1243">
        <f>IF(D1243="V01",cad!$I$22,IF(D1243="V02",cad!$J$22,cad!$K$22))</f>
        <v/>
      </c>
      <c r="I1243">
        <f>IF(D1243="V01",cad!$I$27,IF(D1243="V02",cad!$J$27,cad!$K$27))</f>
        <v/>
      </c>
      <c r="J1243">
        <f>IF(D1243="V01",cad!$I$28,IF(D1243="V02",cad!$J$28,cad!$K$28))</f>
        <v/>
      </c>
      <c r="K1243">
        <f>IF(D1243="V01",cad!$I$29,IF(D1243="V02",cad!$J$29,cad!$K$29))</f>
        <v/>
      </c>
      <c r="L1243">
        <f>IF(D1243="V01",cad!$I$30,IF(D1243="V02",cad!$J$30,cad!$K$30))</f>
        <v/>
      </c>
      <c r="M1243">
        <f>IF(D1243="V01",cad!$I$31,IF(D1243="V02",cad!$J$31,cad!$K$31))</f>
        <v/>
      </c>
      <c r="N1243">
        <f>IF(D1243="V01",$R$2,IF(D1243="V02",$R$3,$R$4))</f>
        <v/>
      </c>
      <c r="O1243">
        <f>IF(OR(B1243="7062",B1243="706",B1243="708"),N1243,IF(B1243="6231",1+G1243,IF(B1243="6236",1+H1243,IF(OR(B1243="621",B1243="604",B1243="6063"),N1243*(1-L1243),IF(OR(B1243="6411",B1243="6413",B1243="6414",B1243="645"),(1+J1243)*(1+K1243),IF(OR(B1243="613",B1243="615",B1243="616",B1243="6226",B1243="625",B1243="626",B1243="6281"),(1+I1243)*(1-L1243)*(1+M1243),IF(OR(B1243="6331",B1243="63511",B1243="6333"),(1+I1243)*(1-L1243),IF(B1243="6811",1+I1243,1))))))))</f>
        <v/>
      </c>
      <c r="P1243">
        <f>IF(E1243=1,F1243*O1243,"")</f>
        <v/>
      </c>
    </row>
    <row r="1244">
      <c r="A1244">
        <f>PNL!A1244</f>
        <v/>
      </c>
      <c r="B1244">
        <f>PNL!B1244</f>
        <v/>
      </c>
      <c r="C1244">
        <f>PNL!C1244</f>
        <v/>
      </c>
      <c r="D1244">
        <f>PNL!D1244</f>
        <v/>
      </c>
      <c r="E1244">
        <f>IF(AND(C1244="2027",OR(D1244="V01",D1244="V02",D1244="V03")),1,0)</f>
        <v/>
      </c>
      <c r="F1244">
        <f>IF(E1244=1,SUMIFS(Compta!$F$2:$F$675,Compta!$A$2:$A$675,A1244,Compta!$B$2:$B$675,B1244,Compta!$C$2:$C$675,"2026"),0)</f>
        <v/>
      </c>
      <c r="G1244">
        <f>IF(D1244="V01",cad!$I$21,IF(D1244="V02",cad!$J$21,cad!$K$21))</f>
        <v/>
      </c>
      <c r="H1244">
        <f>IF(D1244="V01",cad!$I$22,IF(D1244="V02",cad!$J$22,cad!$K$22))</f>
        <v/>
      </c>
      <c r="I1244">
        <f>IF(D1244="V01",cad!$I$27,IF(D1244="V02",cad!$J$27,cad!$K$27))</f>
        <v/>
      </c>
      <c r="J1244">
        <f>IF(D1244="V01",cad!$I$28,IF(D1244="V02",cad!$J$28,cad!$K$28))</f>
        <v/>
      </c>
      <c r="K1244">
        <f>IF(D1244="V01",cad!$I$29,IF(D1244="V02",cad!$J$29,cad!$K$29))</f>
        <v/>
      </c>
      <c r="L1244">
        <f>IF(D1244="V01",cad!$I$30,IF(D1244="V02",cad!$J$30,cad!$K$30))</f>
        <v/>
      </c>
      <c r="M1244">
        <f>IF(D1244="V01",cad!$I$31,IF(D1244="V02",cad!$J$31,cad!$K$31))</f>
        <v/>
      </c>
      <c r="N1244">
        <f>IF(D1244="V01",$R$2,IF(D1244="V02",$R$3,$R$4))</f>
        <v/>
      </c>
      <c r="O1244">
        <f>IF(OR(B1244="7062",B1244="706",B1244="708"),N1244,IF(B1244="6231",1+G1244,IF(B1244="6236",1+H1244,IF(OR(B1244="621",B1244="604",B1244="6063"),N1244*(1-L1244),IF(OR(B1244="6411",B1244="6413",B1244="6414",B1244="645"),(1+J1244)*(1+K1244),IF(OR(B1244="613",B1244="615",B1244="616",B1244="6226",B1244="625",B1244="626",B1244="6281"),(1+I1244)*(1-L1244)*(1+M1244),IF(OR(B1244="6331",B1244="63511",B1244="6333"),(1+I1244)*(1-L1244),IF(B1244="6811",1+I1244,1))))))))</f>
        <v/>
      </c>
      <c r="P1244">
        <f>IF(E1244=1,F1244*O1244,"")</f>
        <v/>
      </c>
    </row>
    <row r="1245">
      <c r="A1245">
        <f>PNL!A1245</f>
        <v/>
      </c>
      <c r="B1245">
        <f>PNL!B1245</f>
        <v/>
      </c>
      <c r="C1245">
        <f>PNL!C1245</f>
        <v/>
      </c>
      <c r="D1245">
        <f>PNL!D1245</f>
        <v/>
      </c>
      <c r="E1245">
        <f>IF(AND(C1245="2027",OR(D1245="V01",D1245="V02",D1245="V03")),1,0)</f>
        <v/>
      </c>
      <c r="F1245">
        <f>IF(E1245=1,SUMIFS(Compta!$F$2:$F$675,Compta!$A$2:$A$675,A1245,Compta!$B$2:$B$675,B1245,Compta!$C$2:$C$675,"2026"),0)</f>
        <v/>
      </c>
      <c r="G1245">
        <f>IF(D1245="V01",cad!$I$21,IF(D1245="V02",cad!$J$21,cad!$K$21))</f>
        <v/>
      </c>
      <c r="H1245">
        <f>IF(D1245="V01",cad!$I$22,IF(D1245="V02",cad!$J$22,cad!$K$22))</f>
        <v/>
      </c>
      <c r="I1245">
        <f>IF(D1245="V01",cad!$I$27,IF(D1245="V02",cad!$J$27,cad!$K$27))</f>
        <v/>
      </c>
      <c r="J1245">
        <f>IF(D1245="V01",cad!$I$28,IF(D1245="V02",cad!$J$28,cad!$K$28))</f>
        <v/>
      </c>
      <c r="K1245">
        <f>IF(D1245="V01",cad!$I$29,IF(D1245="V02",cad!$J$29,cad!$K$29))</f>
        <v/>
      </c>
      <c r="L1245">
        <f>IF(D1245="V01",cad!$I$30,IF(D1245="V02",cad!$J$30,cad!$K$30))</f>
        <v/>
      </c>
      <c r="M1245">
        <f>IF(D1245="V01",cad!$I$31,IF(D1245="V02",cad!$J$31,cad!$K$31))</f>
        <v/>
      </c>
      <c r="N1245">
        <f>IF(D1245="V01",$R$2,IF(D1245="V02",$R$3,$R$4))</f>
        <v/>
      </c>
      <c r="O1245">
        <f>IF(OR(B1245="7062",B1245="706",B1245="708"),N1245,IF(B1245="6231",1+G1245,IF(B1245="6236",1+H1245,IF(OR(B1245="621",B1245="604",B1245="6063"),N1245*(1-L1245),IF(OR(B1245="6411",B1245="6413",B1245="6414",B1245="645"),(1+J1245)*(1+K1245),IF(OR(B1245="613",B1245="615",B1245="616",B1245="6226",B1245="625",B1245="626",B1245="6281"),(1+I1245)*(1-L1245)*(1+M1245),IF(OR(B1245="6331",B1245="63511",B1245="6333"),(1+I1245)*(1-L1245),IF(B1245="6811",1+I1245,1))))))))</f>
        <v/>
      </c>
      <c r="P1245">
        <f>IF(E1245=1,F1245*O1245,"")</f>
        <v/>
      </c>
    </row>
    <row r="1246">
      <c r="A1246">
        <f>PNL!A1246</f>
        <v/>
      </c>
      <c r="B1246">
        <f>PNL!B1246</f>
        <v/>
      </c>
      <c r="C1246">
        <f>PNL!C1246</f>
        <v/>
      </c>
      <c r="D1246">
        <f>PNL!D1246</f>
        <v/>
      </c>
      <c r="E1246">
        <f>IF(AND(C1246="2027",OR(D1246="V01",D1246="V02",D1246="V03")),1,0)</f>
        <v/>
      </c>
      <c r="F1246">
        <f>IF(E1246=1,SUMIFS(Compta!$F$2:$F$675,Compta!$A$2:$A$675,A1246,Compta!$B$2:$B$675,B1246,Compta!$C$2:$C$675,"2026"),0)</f>
        <v/>
      </c>
      <c r="G1246">
        <f>IF(D1246="V01",cad!$I$21,IF(D1246="V02",cad!$J$21,cad!$K$21))</f>
        <v/>
      </c>
      <c r="H1246">
        <f>IF(D1246="V01",cad!$I$22,IF(D1246="V02",cad!$J$22,cad!$K$22))</f>
        <v/>
      </c>
      <c r="I1246">
        <f>IF(D1246="V01",cad!$I$27,IF(D1246="V02",cad!$J$27,cad!$K$27))</f>
        <v/>
      </c>
      <c r="J1246">
        <f>IF(D1246="V01",cad!$I$28,IF(D1246="V02",cad!$J$28,cad!$K$28))</f>
        <v/>
      </c>
      <c r="K1246">
        <f>IF(D1246="V01",cad!$I$29,IF(D1246="V02",cad!$J$29,cad!$K$29))</f>
        <v/>
      </c>
      <c r="L1246">
        <f>IF(D1246="V01",cad!$I$30,IF(D1246="V02",cad!$J$30,cad!$K$30))</f>
        <v/>
      </c>
      <c r="M1246">
        <f>IF(D1246="V01",cad!$I$31,IF(D1246="V02",cad!$J$31,cad!$K$31))</f>
        <v/>
      </c>
      <c r="N1246">
        <f>IF(D1246="V01",$R$2,IF(D1246="V02",$R$3,$R$4))</f>
        <v/>
      </c>
      <c r="O1246">
        <f>IF(OR(B1246="7062",B1246="706",B1246="708"),N1246,IF(B1246="6231",1+G1246,IF(B1246="6236",1+H1246,IF(OR(B1246="621",B1246="604",B1246="6063"),N1246*(1-L1246),IF(OR(B1246="6411",B1246="6413",B1246="6414",B1246="645"),(1+J1246)*(1+K1246),IF(OR(B1246="613",B1246="615",B1246="616",B1246="6226",B1246="625",B1246="626",B1246="6281"),(1+I1246)*(1-L1246)*(1+M1246),IF(OR(B1246="6331",B1246="63511",B1246="6333"),(1+I1246)*(1-L1246),IF(B1246="6811",1+I1246,1))))))))</f>
        <v/>
      </c>
      <c r="P1246">
        <f>IF(E1246=1,F1246*O1246,"")</f>
        <v/>
      </c>
    </row>
    <row r="1247">
      <c r="A1247">
        <f>PNL!A1247</f>
        <v/>
      </c>
      <c r="B1247">
        <f>PNL!B1247</f>
        <v/>
      </c>
      <c r="C1247">
        <f>PNL!C1247</f>
        <v/>
      </c>
      <c r="D1247">
        <f>PNL!D1247</f>
        <v/>
      </c>
      <c r="E1247">
        <f>IF(AND(C1247="2027",OR(D1247="V01",D1247="V02",D1247="V03")),1,0)</f>
        <v/>
      </c>
      <c r="F1247">
        <f>IF(E1247=1,SUMIFS(Compta!$F$2:$F$675,Compta!$A$2:$A$675,A1247,Compta!$B$2:$B$675,B1247,Compta!$C$2:$C$675,"2026"),0)</f>
        <v/>
      </c>
      <c r="G1247">
        <f>IF(D1247="V01",cad!$I$21,IF(D1247="V02",cad!$J$21,cad!$K$21))</f>
        <v/>
      </c>
      <c r="H1247">
        <f>IF(D1247="V01",cad!$I$22,IF(D1247="V02",cad!$J$22,cad!$K$22))</f>
        <v/>
      </c>
      <c r="I1247">
        <f>IF(D1247="V01",cad!$I$27,IF(D1247="V02",cad!$J$27,cad!$K$27))</f>
        <v/>
      </c>
      <c r="J1247">
        <f>IF(D1247="V01",cad!$I$28,IF(D1247="V02",cad!$J$28,cad!$K$28))</f>
        <v/>
      </c>
      <c r="K1247">
        <f>IF(D1247="V01",cad!$I$29,IF(D1247="V02",cad!$J$29,cad!$K$29))</f>
        <v/>
      </c>
      <c r="L1247">
        <f>IF(D1247="V01",cad!$I$30,IF(D1247="V02",cad!$J$30,cad!$K$30))</f>
        <v/>
      </c>
      <c r="M1247">
        <f>IF(D1247="V01",cad!$I$31,IF(D1247="V02",cad!$J$31,cad!$K$31))</f>
        <v/>
      </c>
      <c r="N1247">
        <f>IF(D1247="V01",$R$2,IF(D1247="V02",$R$3,$R$4))</f>
        <v/>
      </c>
      <c r="O1247">
        <f>IF(OR(B1247="7062",B1247="706",B1247="708"),N1247,IF(B1247="6231",1+G1247,IF(B1247="6236",1+H1247,IF(OR(B1247="621",B1247="604",B1247="6063"),N1247*(1-L1247),IF(OR(B1247="6411",B1247="6413",B1247="6414",B1247="645"),(1+J1247)*(1+K1247),IF(OR(B1247="613",B1247="615",B1247="616",B1247="6226",B1247="625",B1247="626",B1247="6281"),(1+I1247)*(1-L1247)*(1+M1247),IF(OR(B1247="6331",B1247="63511",B1247="6333"),(1+I1247)*(1-L1247),IF(B1247="6811",1+I1247,1))))))))</f>
        <v/>
      </c>
      <c r="P1247">
        <f>IF(E1247=1,F1247*O1247,"")</f>
        <v/>
      </c>
    </row>
    <row r="1248">
      <c r="A1248">
        <f>PNL!A1248</f>
        <v/>
      </c>
      <c r="B1248">
        <f>PNL!B1248</f>
        <v/>
      </c>
      <c r="C1248">
        <f>PNL!C1248</f>
        <v/>
      </c>
      <c r="D1248">
        <f>PNL!D1248</f>
        <v/>
      </c>
      <c r="E1248">
        <f>IF(AND(C1248="2027",OR(D1248="V01",D1248="V02",D1248="V03")),1,0)</f>
        <v/>
      </c>
      <c r="F1248">
        <f>IF(E1248=1,SUMIFS(Compta!$F$2:$F$675,Compta!$A$2:$A$675,A1248,Compta!$B$2:$B$675,B1248,Compta!$C$2:$C$675,"2026"),0)</f>
        <v/>
      </c>
      <c r="G1248">
        <f>IF(D1248="V01",cad!$I$21,IF(D1248="V02",cad!$J$21,cad!$K$21))</f>
        <v/>
      </c>
      <c r="H1248">
        <f>IF(D1248="V01",cad!$I$22,IF(D1248="V02",cad!$J$22,cad!$K$22))</f>
        <v/>
      </c>
      <c r="I1248">
        <f>IF(D1248="V01",cad!$I$27,IF(D1248="V02",cad!$J$27,cad!$K$27))</f>
        <v/>
      </c>
      <c r="J1248">
        <f>IF(D1248="V01",cad!$I$28,IF(D1248="V02",cad!$J$28,cad!$K$28))</f>
        <v/>
      </c>
      <c r="K1248">
        <f>IF(D1248="V01",cad!$I$29,IF(D1248="V02",cad!$J$29,cad!$K$29))</f>
        <v/>
      </c>
      <c r="L1248">
        <f>IF(D1248="V01",cad!$I$30,IF(D1248="V02",cad!$J$30,cad!$K$30))</f>
        <v/>
      </c>
      <c r="M1248">
        <f>IF(D1248="V01",cad!$I$31,IF(D1248="V02",cad!$J$31,cad!$K$31))</f>
        <v/>
      </c>
      <c r="N1248">
        <f>IF(D1248="V01",$R$2,IF(D1248="V02",$R$3,$R$4))</f>
        <v/>
      </c>
      <c r="O1248">
        <f>IF(OR(B1248="7062",B1248="706",B1248="708"),N1248,IF(B1248="6231",1+G1248,IF(B1248="6236",1+H1248,IF(OR(B1248="621",B1248="604",B1248="6063"),N1248*(1-L1248),IF(OR(B1248="6411",B1248="6413",B1248="6414",B1248="645"),(1+J1248)*(1+K1248),IF(OR(B1248="613",B1248="615",B1248="616",B1248="6226",B1248="625",B1248="626",B1248="6281"),(1+I1248)*(1-L1248)*(1+M1248),IF(OR(B1248="6331",B1248="63511",B1248="6333"),(1+I1248)*(1-L1248),IF(B1248="6811",1+I1248,1))))))))</f>
        <v/>
      </c>
      <c r="P1248">
        <f>IF(E1248=1,F1248*O1248,"")</f>
        <v/>
      </c>
    </row>
    <row r="1249">
      <c r="A1249">
        <f>PNL!A1249</f>
        <v/>
      </c>
      <c r="B1249">
        <f>PNL!B1249</f>
        <v/>
      </c>
      <c r="C1249">
        <f>PNL!C1249</f>
        <v/>
      </c>
      <c r="D1249">
        <f>PNL!D1249</f>
        <v/>
      </c>
      <c r="E1249">
        <f>IF(AND(C1249="2027",OR(D1249="V01",D1249="V02",D1249="V03")),1,0)</f>
        <v/>
      </c>
      <c r="F1249">
        <f>IF(E1249=1,SUMIFS(Compta!$F$2:$F$675,Compta!$A$2:$A$675,A1249,Compta!$B$2:$B$675,B1249,Compta!$C$2:$C$675,"2026"),0)</f>
        <v/>
      </c>
      <c r="G1249">
        <f>IF(D1249="V01",cad!$I$21,IF(D1249="V02",cad!$J$21,cad!$K$21))</f>
        <v/>
      </c>
      <c r="H1249">
        <f>IF(D1249="V01",cad!$I$22,IF(D1249="V02",cad!$J$22,cad!$K$22))</f>
        <v/>
      </c>
      <c r="I1249">
        <f>IF(D1249="V01",cad!$I$27,IF(D1249="V02",cad!$J$27,cad!$K$27))</f>
        <v/>
      </c>
      <c r="J1249">
        <f>IF(D1249="V01",cad!$I$28,IF(D1249="V02",cad!$J$28,cad!$K$28))</f>
        <v/>
      </c>
      <c r="K1249">
        <f>IF(D1249="V01",cad!$I$29,IF(D1249="V02",cad!$J$29,cad!$K$29))</f>
        <v/>
      </c>
      <c r="L1249">
        <f>IF(D1249="V01",cad!$I$30,IF(D1249="V02",cad!$J$30,cad!$K$30))</f>
        <v/>
      </c>
      <c r="M1249">
        <f>IF(D1249="V01",cad!$I$31,IF(D1249="V02",cad!$J$31,cad!$K$31))</f>
        <v/>
      </c>
      <c r="N1249">
        <f>IF(D1249="V01",$R$2,IF(D1249="V02",$R$3,$R$4))</f>
        <v/>
      </c>
      <c r="O1249">
        <f>IF(OR(B1249="7062",B1249="706",B1249="708"),N1249,IF(B1249="6231",1+G1249,IF(B1249="6236",1+H1249,IF(OR(B1249="621",B1249="604",B1249="6063"),N1249*(1-L1249),IF(OR(B1249="6411",B1249="6413",B1249="6414",B1249="645"),(1+J1249)*(1+K1249),IF(OR(B1249="613",B1249="615",B1249="616",B1249="6226",B1249="625",B1249="626",B1249="6281"),(1+I1249)*(1-L1249)*(1+M1249),IF(OR(B1249="6331",B1249="63511",B1249="6333"),(1+I1249)*(1-L1249),IF(B1249="6811",1+I1249,1))))))))</f>
        <v/>
      </c>
      <c r="P1249">
        <f>IF(E1249=1,F1249*O1249,"")</f>
        <v/>
      </c>
    </row>
    <row r="1250">
      <c r="A1250">
        <f>PNL!A1250</f>
        <v/>
      </c>
      <c r="B1250">
        <f>PNL!B1250</f>
        <v/>
      </c>
      <c r="C1250">
        <f>PNL!C1250</f>
        <v/>
      </c>
      <c r="D1250">
        <f>PNL!D1250</f>
        <v/>
      </c>
      <c r="E1250">
        <f>IF(AND(C1250="2027",OR(D1250="V01",D1250="V02",D1250="V03")),1,0)</f>
        <v/>
      </c>
      <c r="F1250">
        <f>IF(E1250=1,SUMIFS(Compta!$F$2:$F$675,Compta!$A$2:$A$675,A1250,Compta!$B$2:$B$675,B1250,Compta!$C$2:$C$675,"2026"),0)</f>
        <v/>
      </c>
      <c r="G1250">
        <f>IF(D1250="V01",cad!$I$21,IF(D1250="V02",cad!$J$21,cad!$K$21))</f>
        <v/>
      </c>
      <c r="H1250">
        <f>IF(D1250="V01",cad!$I$22,IF(D1250="V02",cad!$J$22,cad!$K$22))</f>
        <v/>
      </c>
      <c r="I1250">
        <f>IF(D1250="V01",cad!$I$27,IF(D1250="V02",cad!$J$27,cad!$K$27))</f>
        <v/>
      </c>
      <c r="J1250">
        <f>IF(D1250="V01",cad!$I$28,IF(D1250="V02",cad!$J$28,cad!$K$28))</f>
        <v/>
      </c>
      <c r="K1250">
        <f>IF(D1250="V01",cad!$I$29,IF(D1250="V02",cad!$J$29,cad!$K$29))</f>
        <v/>
      </c>
      <c r="L1250">
        <f>IF(D1250="V01",cad!$I$30,IF(D1250="V02",cad!$J$30,cad!$K$30))</f>
        <v/>
      </c>
      <c r="M1250">
        <f>IF(D1250="V01",cad!$I$31,IF(D1250="V02",cad!$J$31,cad!$K$31))</f>
        <v/>
      </c>
      <c r="N1250">
        <f>IF(D1250="V01",$R$2,IF(D1250="V02",$R$3,$R$4))</f>
        <v/>
      </c>
      <c r="O1250">
        <f>IF(OR(B1250="7062",B1250="706",B1250="708"),N1250,IF(B1250="6231",1+G1250,IF(B1250="6236",1+H1250,IF(OR(B1250="621",B1250="604",B1250="6063"),N1250*(1-L1250),IF(OR(B1250="6411",B1250="6413",B1250="6414",B1250="645"),(1+J1250)*(1+K1250),IF(OR(B1250="613",B1250="615",B1250="616",B1250="6226",B1250="625",B1250="626",B1250="6281"),(1+I1250)*(1-L1250)*(1+M1250),IF(OR(B1250="6331",B1250="63511",B1250="6333"),(1+I1250)*(1-L1250),IF(B1250="6811",1+I1250,1))))))))</f>
        <v/>
      </c>
      <c r="P1250">
        <f>IF(E1250=1,F1250*O1250,"")</f>
        <v/>
      </c>
    </row>
    <row r="1251">
      <c r="A1251">
        <f>PNL!A1251</f>
        <v/>
      </c>
      <c r="B1251">
        <f>PNL!B1251</f>
        <v/>
      </c>
      <c r="C1251">
        <f>PNL!C1251</f>
        <v/>
      </c>
      <c r="D1251">
        <f>PNL!D1251</f>
        <v/>
      </c>
      <c r="E1251">
        <f>IF(AND(C1251="2027",OR(D1251="V01",D1251="V02",D1251="V03")),1,0)</f>
        <v/>
      </c>
      <c r="F1251">
        <f>IF(E1251=1,SUMIFS(Compta!$F$2:$F$675,Compta!$A$2:$A$675,A1251,Compta!$B$2:$B$675,B1251,Compta!$C$2:$C$675,"2026"),0)</f>
        <v/>
      </c>
      <c r="G1251">
        <f>IF(D1251="V01",cad!$I$21,IF(D1251="V02",cad!$J$21,cad!$K$21))</f>
        <v/>
      </c>
      <c r="H1251">
        <f>IF(D1251="V01",cad!$I$22,IF(D1251="V02",cad!$J$22,cad!$K$22))</f>
        <v/>
      </c>
      <c r="I1251">
        <f>IF(D1251="V01",cad!$I$27,IF(D1251="V02",cad!$J$27,cad!$K$27))</f>
        <v/>
      </c>
      <c r="J1251">
        <f>IF(D1251="V01",cad!$I$28,IF(D1251="V02",cad!$J$28,cad!$K$28))</f>
        <v/>
      </c>
      <c r="K1251">
        <f>IF(D1251="V01",cad!$I$29,IF(D1251="V02",cad!$J$29,cad!$K$29))</f>
        <v/>
      </c>
      <c r="L1251">
        <f>IF(D1251="V01",cad!$I$30,IF(D1251="V02",cad!$J$30,cad!$K$30))</f>
        <v/>
      </c>
      <c r="M1251">
        <f>IF(D1251="V01",cad!$I$31,IF(D1251="V02",cad!$J$31,cad!$K$31))</f>
        <v/>
      </c>
      <c r="N1251">
        <f>IF(D1251="V01",$R$2,IF(D1251="V02",$R$3,$R$4))</f>
        <v/>
      </c>
      <c r="O1251">
        <f>IF(OR(B1251="7062",B1251="706",B1251="708"),N1251,IF(B1251="6231",1+G1251,IF(B1251="6236",1+H1251,IF(OR(B1251="621",B1251="604",B1251="6063"),N1251*(1-L1251),IF(OR(B1251="6411",B1251="6413",B1251="6414",B1251="645"),(1+J1251)*(1+K1251),IF(OR(B1251="613",B1251="615",B1251="616",B1251="6226",B1251="625",B1251="626",B1251="6281"),(1+I1251)*(1-L1251)*(1+M1251),IF(OR(B1251="6331",B1251="63511",B1251="6333"),(1+I1251)*(1-L1251),IF(B1251="6811",1+I1251,1))))))))</f>
        <v/>
      </c>
      <c r="P1251">
        <f>IF(E1251=1,F1251*O1251,"")</f>
        <v/>
      </c>
    </row>
    <row r="1252">
      <c r="A1252">
        <f>PNL!A1252</f>
        <v/>
      </c>
      <c r="B1252">
        <f>PNL!B1252</f>
        <v/>
      </c>
      <c r="C1252">
        <f>PNL!C1252</f>
        <v/>
      </c>
      <c r="D1252">
        <f>PNL!D1252</f>
        <v/>
      </c>
      <c r="E1252">
        <f>IF(AND(C1252="2027",OR(D1252="V01",D1252="V02",D1252="V03")),1,0)</f>
        <v/>
      </c>
      <c r="F1252">
        <f>IF(E1252=1,SUMIFS(Compta!$F$2:$F$675,Compta!$A$2:$A$675,A1252,Compta!$B$2:$B$675,B1252,Compta!$C$2:$C$675,"2026"),0)</f>
        <v/>
      </c>
      <c r="G1252">
        <f>IF(D1252="V01",cad!$I$21,IF(D1252="V02",cad!$J$21,cad!$K$21))</f>
        <v/>
      </c>
      <c r="H1252">
        <f>IF(D1252="V01",cad!$I$22,IF(D1252="V02",cad!$J$22,cad!$K$22))</f>
        <v/>
      </c>
      <c r="I1252">
        <f>IF(D1252="V01",cad!$I$27,IF(D1252="V02",cad!$J$27,cad!$K$27))</f>
        <v/>
      </c>
      <c r="J1252">
        <f>IF(D1252="V01",cad!$I$28,IF(D1252="V02",cad!$J$28,cad!$K$28))</f>
        <v/>
      </c>
      <c r="K1252">
        <f>IF(D1252="V01",cad!$I$29,IF(D1252="V02",cad!$J$29,cad!$K$29))</f>
        <v/>
      </c>
      <c r="L1252">
        <f>IF(D1252="V01",cad!$I$30,IF(D1252="V02",cad!$J$30,cad!$K$30))</f>
        <v/>
      </c>
      <c r="M1252">
        <f>IF(D1252="V01",cad!$I$31,IF(D1252="V02",cad!$J$31,cad!$K$31))</f>
        <v/>
      </c>
      <c r="N1252">
        <f>IF(D1252="V01",$R$2,IF(D1252="V02",$R$3,$R$4))</f>
        <v/>
      </c>
      <c r="O1252">
        <f>IF(OR(B1252="7062",B1252="706",B1252="708"),N1252,IF(B1252="6231",1+G1252,IF(B1252="6236",1+H1252,IF(OR(B1252="621",B1252="604",B1252="6063"),N1252*(1-L1252),IF(OR(B1252="6411",B1252="6413",B1252="6414",B1252="645"),(1+J1252)*(1+K1252),IF(OR(B1252="613",B1252="615",B1252="616",B1252="6226",B1252="625",B1252="626",B1252="6281"),(1+I1252)*(1-L1252)*(1+M1252),IF(OR(B1252="6331",B1252="63511",B1252="6333"),(1+I1252)*(1-L1252),IF(B1252="6811",1+I1252,1))))))))</f>
        <v/>
      </c>
      <c r="P1252">
        <f>IF(E1252=1,F1252*O1252,"")</f>
        <v/>
      </c>
    </row>
    <row r="1253">
      <c r="A1253">
        <f>PNL!A1253</f>
        <v/>
      </c>
      <c r="B1253">
        <f>PNL!B1253</f>
        <v/>
      </c>
      <c r="C1253">
        <f>PNL!C1253</f>
        <v/>
      </c>
      <c r="D1253">
        <f>PNL!D1253</f>
        <v/>
      </c>
      <c r="E1253">
        <f>IF(AND(C1253="2027",OR(D1253="V01",D1253="V02",D1253="V03")),1,0)</f>
        <v/>
      </c>
      <c r="F1253">
        <f>IF(E1253=1,SUMIFS(Compta!$F$2:$F$675,Compta!$A$2:$A$675,A1253,Compta!$B$2:$B$675,B1253,Compta!$C$2:$C$675,"2026"),0)</f>
        <v/>
      </c>
      <c r="G1253">
        <f>IF(D1253="V01",cad!$I$21,IF(D1253="V02",cad!$J$21,cad!$K$21))</f>
        <v/>
      </c>
      <c r="H1253">
        <f>IF(D1253="V01",cad!$I$22,IF(D1253="V02",cad!$J$22,cad!$K$22))</f>
        <v/>
      </c>
      <c r="I1253">
        <f>IF(D1253="V01",cad!$I$27,IF(D1253="V02",cad!$J$27,cad!$K$27))</f>
        <v/>
      </c>
      <c r="J1253">
        <f>IF(D1253="V01",cad!$I$28,IF(D1253="V02",cad!$J$28,cad!$K$28))</f>
        <v/>
      </c>
      <c r="K1253">
        <f>IF(D1253="V01",cad!$I$29,IF(D1253="V02",cad!$J$29,cad!$K$29))</f>
        <v/>
      </c>
      <c r="L1253">
        <f>IF(D1253="V01",cad!$I$30,IF(D1253="V02",cad!$J$30,cad!$K$30))</f>
        <v/>
      </c>
      <c r="M1253">
        <f>IF(D1253="V01",cad!$I$31,IF(D1253="V02",cad!$J$31,cad!$K$31))</f>
        <v/>
      </c>
      <c r="N1253">
        <f>IF(D1253="V01",$R$2,IF(D1253="V02",$R$3,$R$4))</f>
        <v/>
      </c>
      <c r="O1253">
        <f>IF(OR(B1253="7062",B1253="706",B1253="708"),N1253,IF(B1253="6231",1+G1253,IF(B1253="6236",1+H1253,IF(OR(B1253="621",B1253="604",B1253="6063"),N1253*(1-L1253),IF(OR(B1253="6411",B1253="6413",B1253="6414",B1253="645"),(1+J1253)*(1+K1253),IF(OR(B1253="613",B1253="615",B1253="616",B1253="6226",B1253="625",B1253="626",B1253="6281"),(1+I1253)*(1-L1253)*(1+M1253),IF(OR(B1253="6331",B1253="63511",B1253="6333"),(1+I1253)*(1-L1253),IF(B1253="6811",1+I1253,1))))))))</f>
        <v/>
      </c>
      <c r="P1253">
        <f>IF(E1253=1,F1253*O1253,"")</f>
        <v/>
      </c>
    </row>
    <row r="1254">
      <c r="A1254">
        <f>PNL!A1254</f>
        <v/>
      </c>
      <c r="B1254">
        <f>PNL!B1254</f>
        <v/>
      </c>
      <c r="C1254">
        <f>PNL!C1254</f>
        <v/>
      </c>
      <c r="D1254">
        <f>PNL!D1254</f>
        <v/>
      </c>
      <c r="E1254">
        <f>IF(AND(C1254="2027",OR(D1254="V01",D1254="V02",D1254="V03")),1,0)</f>
        <v/>
      </c>
      <c r="F1254">
        <f>IF(E1254=1,SUMIFS(Compta!$F$2:$F$675,Compta!$A$2:$A$675,A1254,Compta!$B$2:$B$675,B1254,Compta!$C$2:$C$675,"2026"),0)</f>
        <v/>
      </c>
      <c r="G1254">
        <f>IF(D1254="V01",cad!$I$21,IF(D1254="V02",cad!$J$21,cad!$K$21))</f>
        <v/>
      </c>
      <c r="H1254">
        <f>IF(D1254="V01",cad!$I$22,IF(D1254="V02",cad!$J$22,cad!$K$22))</f>
        <v/>
      </c>
      <c r="I1254">
        <f>IF(D1254="V01",cad!$I$27,IF(D1254="V02",cad!$J$27,cad!$K$27))</f>
        <v/>
      </c>
      <c r="J1254">
        <f>IF(D1254="V01",cad!$I$28,IF(D1254="V02",cad!$J$28,cad!$K$28))</f>
        <v/>
      </c>
      <c r="K1254">
        <f>IF(D1254="V01",cad!$I$29,IF(D1254="V02",cad!$J$29,cad!$K$29))</f>
        <v/>
      </c>
      <c r="L1254">
        <f>IF(D1254="V01",cad!$I$30,IF(D1254="V02",cad!$J$30,cad!$K$30))</f>
        <v/>
      </c>
      <c r="M1254">
        <f>IF(D1254="V01",cad!$I$31,IF(D1254="V02",cad!$J$31,cad!$K$31))</f>
        <v/>
      </c>
      <c r="N1254">
        <f>IF(D1254="V01",$R$2,IF(D1254="V02",$R$3,$R$4))</f>
        <v/>
      </c>
      <c r="O1254">
        <f>IF(OR(B1254="7062",B1254="706",B1254="708"),N1254,IF(B1254="6231",1+G1254,IF(B1254="6236",1+H1254,IF(OR(B1254="621",B1254="604",B1254="6063"),N1254*(1-L1254),IF(OR(B1254="6411",B1254="6413",B1254="6414",B1254="645"),(1+J1254)*(1+K1254),IF(OR(B1254="613",B1254="615",B1254="616",B1254="6226",B1254="625",B1254="626",B1254="6281"),(1+I1254)*(1-L1254)*(1+M1254),IF(OR(B1254="6331",B1254="63511",B1254="6333"),(1+I1254)*(1-L1254),IF(B1254="6811",1+I1254,1))))))))</f>
        <v/>
      </c>
      <c r="P1254">
        <f>IF(E1254=1,F1254*O1254,"")</f>
        <v/>
      </c>
    </row>
    <row r="1255">
      <c r="A1255">
        <f>PNL!A1255</f>
        <v/>
      </c>
      <c r="B1255">
        <f>PNL!B1255</f>
        <v/>
      </c>
      <c r="C1255">
        <f>PNL!C1255</f>
        <v/>
      </c>
      <c r="D1255">
        <f>PNL!D1255</f>
        <v/>
      </c>
      <c r="E1255">
        <f>IF(AND(C1255="2027",OR(D1255="V01",D1255="V02",D1255="V03")),1,0)</f>
        <v/>
      </c>
      <c r="F1255">
        <f>IF(E1255=1,SUMIFS(Compta!$F$2:$F$675,Compta!$A$2:$A$675,A1255,Compta!$B$2:$B$675,B1255,Compta!$C$2:$C$675,"2026"),0)</f>
        <v/>
      </c>
      <c r="G1255">
        <f>IF(D1255="V01",cad!$I$21,IF(D1255="V02",cad!$J$21,cad!$K$21))</f>
        <v/>
      </c>
      <c r="H1255">
        <f>IF(D1255="V01",cad!$I$22,IF(D1255="V02",cad!$J$22,cad!$K$22))</f>
        <v/>
      </c>
      <c r="I1255">
        <f>IF(D1255="V01",cad!$I$27,IF(D1255="V02",cad!$J$27,cad!$K$27))</f>
        <v/>
      </c>
      <c r="J1255">
        <f>IF(D1255="V01",cad!$I$28,IF(D1255="V02",cad!$J$28,cad!$K$28))</f>
        <v/>
      </c>
      <c r="K1255">
        <f>IF(D1255="V01",cad!$I$29,IF(D1255="V02",cad!$J$29,cad!$K$29))</f>
        <v/>
      </c>
      <c r="L1255">
        <f>IF(D1255="V01",cad!$I$30,IF(D1255="V02",cad!$J$30,cad!$K$30))</f>
        <v/>
      </c>
      <c r="M1255">
        <f>IF(D1255="V01",cad!$I$31,IF(D1255="V02",cad!$J$31,cad!$K$31))</f>
        <v/>
      </c>
      <c r="N1255">
        <f>IF(D1255="V01",$R$2,IF(D1255="V02",$R$3,$R$4))</f>
        <v/>
      </c>
      <c r="O1255">
        <f>IF(OR(B1255="7062",B1255="706",B1255="708"),N1255,IF(B1255="6231",1+G1255,IF(B1255="6236",1+H1255,IF(OR(B1255="621",B1255="604",B1255="6063"),N1255*(1-L1255),IF(OR(B1255="6411",B1255="6413",B1255="6414",B1255="645"),(1+J1255)*(1+K1255),IF(OR(B1255="613",B1255="615",B1255="616",B1255="6226",B1255="625",B1255="626",B1255="6281"),(1+I1255)*(1-L1255)*(1+M1255),IF(OR(B1255="6331",B1255="63511",B1255="6333"),(1+I1255)*(1-L1255),IF(B1255="6811",1+I1255,1))))))))</f>
        <v/>
      </c>
      <c r="P1255">
        <f>IF(E1255=1,F1255*O1255,"")</f>
        <v/>
      </c>
    </row>
    <row r="1256">
      <c r="A1256">
        <f>PNL!A1256</f>
        <v/>
      </c>
      <c r="B1256">
        <f>PNL!B1256</f>
        <v/>
      </c>
      <c r="C1256">
        <f>PNL!C1256</f>
        <v/>
      </c>
      <c r="D1256">
        <f>PNL!D1256</f>
        <v/>
      </c>
      <c r="E1256">
        <f>IF(AND(C1256="2027",OR(D1256="V01",D1256="V02",D1256="V03")),1,0)</f>
        <v/>
      </c>
      <c r="F1256">
        <f>IF(E1256=1,SUMIFS(Compta!$F$2:$F$675,Compta!$A$2:$A$675,A1256,Compta!$B$2:$B$675,B1256,Compta!$C$2:$C$675,"2026"),0)</f>
        <v/>
      </c>
      <c r="G1256">
        <f>IF(D1256="V01",cad!$I$21,IF(D1256="V02",cad!$J$21,cad!$K$21))</f>
        <v/>
      </c>
      <c r="H1256">
        <f>IF(D1256="V01",cad!$I$22,IF(D1256="V02",cad!$J$22,cad!$K$22))</f>
        <v/>
      </c>
      <c r="I1256">
        <f>IF(D1256="V01",cad!$I$27,IF(D1256="V02",cad!$J$27,cad!$K$27))</f>
        <v/>
      </c>
      <c r="J1256">
        <f>IF(D1256="V01",cad!$I$28,IF(D1256="V02",cad!$J$28,cad!$K$28))</f>
        <v/>
      </c>
      <c r="K1256">
        <f>IF(D1256="V01",cad!$I$29,IF(D1256="V02",cad!$J$29,cad!$K$29))</f>
        <v/>
      </c>
      <c r="L1256">
        <f>IF(D1256="V01",cad!$I$30,IF(D1256="V02",cad!$J$30,cad!$K$30))</f>
        <v/>
      </c>
      <c r="M1256">
        <f>IF(D1256="V01",cad!$I$31,IF(D1256="V02",cad!$J$31,cad!$K$31))</f>
        <v/>
      </c>
      <c r="N1256">
        <f>IF(D1256="V01",$R$2,IF(D1256="V02",$R$3,$R$4))</f>
        <v/>
      </c>
      <c r="O1256">
        <f>IF(OR(B1256="7062",B1256="706",B1256="708"),N1256,IF(B1256="6231",1+G1256,IF(B1256="6236",1+H1256,IF(OR(B1256="621",B1256="604",B1256="6063"),N1256*(1-L1256),IF(OR(B1256="6411",B1256="6413",B1256="6414",B1256="645"),(1+J1256)*(1+K1256),IF(OR(B1256="613",B1256="615",B1256="616",B1256="6226",B1256="625",B1256="626",B1256="6281"),(1+I1256)*(1-L1256)*(1+M1256),IF(OR(B1256="6331",B1256="63511",B1256="6333"),(1+I1256)*(1-L1256),IF(B1256="6811",1+I1256,1))))))))</f>
        <v/>
      </c>
      <c r="P1256">
        <f>IF(E1256=1,F1256*O1256,"")</f>
        <v/>
      </c>
    </row>
    <row r="1257">
      <c r="A1257">
        <f>PNL!A1257</f>
        <v/>
      </c>
      <c r="B1257">
        <f>PNL!B1257</f>
        <v/>
      </c>
      <c r="C1257">
        <f>PNL!C1257</f>
        <v/>
      </c>
      <c r="D1257">
        <f>PNL!D1257</f>
        <v/>
      </c>
      <c r="E1257">
        <f>IF(AND(C1257="2027",OR(D1257="V01",D1257="V02",D1257="V03")),1,0)</f>
        <v/>
      </c>
      <c r="F1257">
        <f>IF(E1257=1,SUMIFS(Compta!$F$2:$F$675,Compta!$A$2:$A$675,A1257,Compta!$B$2:$B$675,B1257,Compta!$C$2:$C$675,"2026"),0)</f>
        <v/>
      </c>
      <c r="G1257">
        <f>IF(D1257="V01",cad!$I$21,IF(D1257="V02",cad!$J$21,cad!$K$21))</f>
        <v/>
      </c>
      <c r="H1257">
        <f>IF(D1257="V01",cad!$I$22,IF(D1257="V02",cad!$J$22,cad!$K$22))</f>
        <v/>
      </c>
      <c r="I1257">
        <f>IF(D1257="V01",cad!$I$27,IF(D1257="V02",cad!$J$27,cad!$K$27))</f>
        <v/>
      </c>
      <c r="J1257">
        <f>IF(D1257="V01",cad!$I$28,IF(D1257="V02",cad!$J$28,cad!$K$28))</f>
        <v/>
      </c>
      <c r="K1257">
        <f>IF(D1257="V01",cad!$I$29,IF(D1257="V02",cad!$J$29,cad!$K$29))</f>
        <v/>
      </c>
      <c r="L1257">
        <f>IF(D1257="V01",cad!$I$30,IF(D1257="V02",cad!$J$30,cad!$K$30))</f>
        <v/>
      </c>
      <c r="M1257">
        <f>IF(D1257="V01",cad!$I$31,IF(D1257="V02",cad!$J$31,cad!$K$31))</f>
        <v/>
      </c>
      <c r="N1257">
        <f>IF(D1257="V01",$R$2,IF(D1257="V02",$R$3,$R$4))</f>
        <v/>
      </c>
      <c r="O1257">
        <f>IF(OR(B1257="7062",B1257="706",B1257="708"),N1257,IF(B1257="6231",1+G1257,IF(B1257="6236",1+H1257,IF(OR(B1257="621",B1257="604",B1257="6063"),N1257*(1-L1257),IF(OR(B1257="6411",B1257="6413",B1257="6414",B1257="645"),(1+J1257)*(1+K1257),IF(OR(B1257="613",B1257="615",B1257="616",B1257="6226",B1257="625",B1257="626",B1257="6281"),(1+I1257)*(1-L1257)*(1+M1257),IF(OR(B1257="6331",B1257="63511",B1257="6333"),(1+I1257)*(1-L1257),IF(B1257="6811",1+I1257,1))))))))</f>
        <v/>
      </c>
      <c r="P1257">
        <f>IF(E1257=1,F1257*O1257,"")</f>
        <v/>
      </c>
    </row>
    <row r="1258">
      <c r="A1258">
        <f>PNL!A1258</f>
        <v/>
      </c>
      <c r="B1258">
        <f>PNL!B1258</f>
        <v/>
      </c>
      <c r="C1258">
        <f>PNL!C1258</f>
        <v/>
      </c>
      <c r="D1258">
        <f>PNL!D1258</f>
        <v/>
      </c>
      <c r="E1258">
        <f>IF(AND(C1258="2027",OR(D1258="V01",D1258="V02",D1258="V03")),1,0)</f>
        <v/>
      </c>
      <c r="F1258">
        <f>IF(E1258=1,SUMIFS(Compta!$F$2:$F$675,Compta!$A$2:$A$675,A1258,Compta!$B$2:$B$675,B1258,Compta!$C$2:$C$675,"2026"),0)</f>
        <v/>
      </c>
      <c r="G1258">
        <f>IF(D1258="V01",cad!$I$21,IF(D1258="V02",cad!$J$21,cad!$K$21))</f>
        <v/>
      </c>
      <c r="H1258">
        <f>IF(D1258="V01",cad!$I$22,IF(D1258="V02",cad!$J$22,cad!$K$22))</f>
        <v/>
      </c>
      <c r="I1258">
        <f>IF(D1258="V01",cad!$I$27,IF(D1258="V02",cad!$J$27,cad!$K$27))</f>
        <v/>
      </c>
      <c r="J1258">
        <f>IF(D1258="V01",cad!$I$28,IF(D1258="V02",cad!$J$28,cad!$K$28))</f>
        <v/>
      </c>
      <c r="K1258">
        <f>IF(D1258="V01",cad!$I$29,IF(D1258="V02",cad!$J$29,cad!$K$29))</f>
        <v/>
      </c>
      <c r="L1258">
        <f>IF(D1258="V01",cad!$I$30,IF(D1258="V02",cad!$J$30,cad!$K$30))</f>
        <v/>
      </c>
      <c r="M1258">
        <f>IF(D1258="V01",cad!$I$31,IF(D1258="V02",cad!$J$31,cad!$K$31))</f>
        <v/>
      </c>
      <c r="N1258">
        <f>IF(D1258="V01",$R$2,IF(D1258="V02",$R$3,$R$4))</f>
        <v/>
      </c>
      <c r="O1258">
        <f>IF(OR(B1258="7062",B1258="706",B1258="708"),N1258,IF(B1258="6231",1+G1258,IF(B1258="6236",1+H1258,IF(OR(B1258="621",B1258="604",B1258="6063"),N1258*(1-L1258),IF(OR(B1258="6411",B1258="6413",B1258="6414",B1258="645"),(1+J1258)*(1+K1258),IF(OR(B1258="613",B1258="615",B1258="616",B1258="6226",B1258="625",B1258="626",B1258="6281"),(1+I1258)*(1-L1258)*(1+M1258),IF(OR(B1258="6331",B1258="63511",B1258="6333"),(1+I1258)*(1-L1258),IF(B1258="6811",1+I1258,1))))))))</f>
        <v/>
      </c>
      <c r="P1258">
        <f>IF(E1258=1,F1258*O1258,"")</f>
        <v/>
      </c>
    </row>
    <row r="1259">
      <c r="A1259">
        <f>PNL!A1259</f>
        <v/>
      </c>
      <c r="B1259">
        <f>PNL!B1259</f>
        <v/>
      </c>
      <c r="C1259">
        <f>PNL!C1259</f>
        <v/>
      </c>
      <c r="D1259">
        <f>PNL!D1259</f>
        <v/>
      </c>
      <c r="E1259">
        <f>IF(AND(C1259="2027",OR(D1259="V01",D1259="V02",D1259="V03")),1,0)</f>
        <v/>
      </c>
      <c r="F1259">
        <f>IF(E1259=1,SUMIFS(Compta!$F$2:$F$675,Compta!$A$2:$A$675,A1259,Compta!$B$2:$B$675,B1259,Compta!$C$2:$C$675,"2026"),0)</f>
        <v/>
      </c>
      <c r="G1259">
        <f>IF(D1259="V01",cad!$I$21,IF(D1259="V02",cad!$J$21,cad!$K$21))</f>
        <v/>
      </c>
      <c r="H1259">
        <f>IF(D1259="V01",cad!$I$22,IF(D1259="V02",cad!$J$22,cad!$K$22))</f>
        <v/>
      </c>
      <c r="I1259">
        <f>IF(D1259="V01",cad!$I$27,IF(D1259="V02",cad!$J$27,cad!$K$27))</f>
        <v/>
      </c>
      <c r="J1259">
        <f>IF(D1259="V01",cad!$I$28,IF(D1259="V02",cad!$J$28,cad!$K$28))</f>
        <v/>
      </c>
      <c r="K1259">
        <f>IF(D1259="V01",cad!$I$29,IF(D1259="V02",cad!$J$29,cad!$K$29))</f>
        <v/>
      </c>
      <c r="L1259">
        <f>IF(D1259="V01",cad!$I$30,IF(D1259="V02",cad!$J$30,cad!$K$30))</f>
        <v/>
      </c>
      <c r="M1259">
        <f>IF(D1259="V01",cad!$I$31,IF(D1259="V02",cad!$J$31,cad!$K$31))</f>
        <v/>
      </c>
      <c r="N1259">
        <f>IF(D1259="V01",$R$2,IF(D1259="V02",$R$3,$R$4))</f>
        <v/>
      </c>
      <c r="O1259">
        <f>IF(OR(B1259="7062",B1259="706",B1259="708"),N1259,IF(B1259="6231",1+G1259,IF(B1259="6236",1+H1259,IF(OR(B1259="621",B1259="604",B1259="6063"),N1259*(1-L1259),IF(OR(B1259="6411",B1259="6413",B1259="6414",B1259="645"),(1+J1259)*(1+K1259),IF(OR(B1259="613",B1259="615",B1259="616",B1259="6226",B1259="625",B1259="626",B1259="6281"),(1+I1259)*(1-L1259)*(1+M1259),IF(OR(B1259="6331",B1259="63511",B1259="6333"),(1+I1259)*(1-L1259),IF(B1259="6811",1+I1259,1))))))))</f>
        <v/>
      </c>
      <c r="P1259">
        <f>IF(E1259=1,F1259*O1259,"")</f>
        <v/>
      </c>
    </row>
    <row r="1260">
      <c r="A1260">
        <f>PNL!A1260</f>
        <v/>
      </c>
      <c r="B1260">
        <f>PNL!B1260</f>
        <v/>
      </c>
      <c r="C1260">
        <f>PNL!C1260</f>
        <v/>
      </c>
      <c r="D1260">
        <f>PNL!D1260</f>
        <v/>
      </c>
      <c r="E1260">
        <f>IF(AND(C1260="2027",OR(D1260="V01",D1260="V02",D1260="V03")),1,0)</f>
        <v/>
      </c>
      <c r="F1260">
        <f>IF(E1260=1,SUMIFS(Compta!$F$2:$F$675,Compta!$A$2:$A$675,A1260,Compta!$B$2:$B$675,B1260,Compta!$C$2:$C$675,"2026"),0)</f>
        <v/>
      </c>
      <c r="G1260">
        <f>IF(D1260="V01",cad!$I$21,IF(D1260="V02",cad!$J$21,cad!$K$21))</f>
        <v/>
      </c>
      <c r="H1260">
        <f>IF(D1260="V01",cad!$I$22,IF(D1260="V02",cad!$J$22,cad!$K$22))</f>
        <v/>
      </c>
      <c r="I1260">
        <f>IF(D1260="V01",cad!$I$27,IF(D1260="V02",cad!$J$27,cad!$K$27))</f>
        <v/>
      </c>
      <c r="J1260">
        <f>IF(D1260="V01",cad!$I$28,IF(D1260="V02",cad!$J$28,cad!$K$28))</f>
        <v/>
      </c>
      <c r="K1260">
        <f>IF(D1260="V01",cad!$I$29,IF(D1260="V02",cad!$J$29,cad!$K$29))</f>
        <v/>
      </c>
      <c r="L1260">
        <f>IF(D1260="V01",cad!$I$30,IF(D1260="V02",cad!$J$30,cad!$K$30))</f>
        <v/>
      </c>
      <c r="M1260">
        <f>IF(D1260="V01",cad!$I$31,IF(D1260="V02",cad!$J$31,cad!$K$31))</f>
        <v/>
      </c>
      <c r="N1260">
        <f>IF(D1260="V01",$R$2,IF(D1260="V02",$R$3,$R$4))</f>
        <v/>
      </c>
      <c r="O1260">
        <f>IF(OR(B1260="7062",B1260="706",B1260="708"),N1260,IF(B1260="6231",1+G1260,IF(B1260="6236",1+H1260,IF(OR(B1260="621",B1260="604",B1260="6063"),N1260*(1-L1260),IF(OR(B1260="6411",B1260="6413",B1260="6414",B1260="645"),(1+J1260)*(1+K1260),IF(OR(B1260="613",B1260="615",B1260="616",B1260="6226",B1260="625",B1260="626",B1260="6281"),(1+I1260)*(1-L1260)*(1+M1260),IF(OR(B1260="6331",B1260="63511",B1260="6333"),(1+I1260)*(1-L1260),IF(B1260="6811",1+I1260,1))))))))</f>
        <v/>
      </c>
      <c r="P1260">
        <f>IF(E1260=1,F1260*O1260,"")</f>
        <v/>
      </c>
    </row>
    <row r="1261">
      <c r="A1261">
        <f>PNL!A1261</f>
        <v/>
      </c>
      <c r="B1261">
        <f>PNL!B1261</f>
        <v/>
      </c>
      <c r="C1261">
        <f>PNL!C1261</f>
        <v/>
      </c>
      <c r="D1261">
        <f>PNL!D1261</f>
        <v/>
      </c>
      <c r="E1261">
        <f>IF(AND(C1261="2027",OR(D1261="V01",D1261="V02",D1261="V03")),1,0)</f>
        <v/>
      </c>
      <c r="F1261">
        <f>IF(E1261=1,SUMIFS(Compta!$F$2:$F$675,Compta!$A$2:$A$675,A1261,Compta!$B$2:$B$675,B1261,Compta!$C$2:$C$675,"2026"),0)</f>
        <v/>
      </c>
      <c r="G1261">
        <f>IF(D1261="V01",cad!$I$21,IF(D1261="V02",cad!$J$21,cad!$K$21))</f>
        <v/>
      </c>
      <c r="H1261">
        <f>IF(D1261="V01",cad!$I$22,IF(D1261="V02",cad!$J$22,cad!$K$22))</f>
        <v/>
      </c>
      <c r="I1261">
        <f>IF(D1261="V01",cad!$I$27,IF(D1261="V02",cad!$J$27,cad!$K$27))</f>
        <v/>
      </c>
      <c r="J1261">
        <f>IF(D1261="V01",cad!$I$28,IF(D1261="V02",cad!$J$28,cad!$K$28))</f>
        <v/>
      </c>
      <c r="K1261">
        <f>IF(D1261="V01",cad!$I$29,IF(D1261="V02",cad!$J$29,cad!$K$29))</f>
        <v/>
      </c>
      <c r="L1261">
        <f>IF(D1261="V01",cad!$I$30,IF(D1261="V02",cad!$J$30,cad!$K$30))</f>
        <v/>
      </c>
      <c r="M1261">
        <f>IF(D1261="V01",cad!$I$31,IF(D1261="V02",cad!$J$31,cad!$K$31))</f>
        <v/>
      </c>
      <c r="N1261">
        <f>IF(D1261="V01",$R$2,IF(D1261="V02",$R$3,$R$4))</f>
        <v/>
      </c>
      <c r="O1261">
        <f>IF(OR(B1261="7062",B1261="706",B1261="708"),N1261,IF(B1261="6231",1+G1261,IF(B1261="6236",1+H1261,IF(OR(B1261="621",B1261="604",B1261="6063"),N1261*(1-L1261),IF(OR(B1261="6411",B1261="6413",B1261="6414",B1261="645"),(1+J1261)*(1+K1261),IF(OR(B1261="613",B1261="615",B1261="616",B1261="6226",B1261="625",B1261="626",B1261="6281"),(1+I1261)*(1-L1261)*(1+M1261),IF(OR(B1261="6331",B1261="63511",B1261="6333"),(1+I1261)*(1-L1261),IF(B1261="6811",1+I1261,1))))))))</f>
        <v/>
      </c>
      <c r="P1261">
        <f>IF(E1261=1,F1261*O1261,"")</f>
        <v/>
      </c>
    </row>
    <row r="1262">
      <c r="A1262">
        <f>PNL!A1262</f>
        <v/>
      </c>
      <c r="B1262">
        <f>PNL!B1262</f>
        <v/>
      </c>
      <c r="C1262">
        <f>PNL!C1262</f>
        <v/>
      </c>
      <c r="D1262">
        <f>PNL!D1262</f>
        <v/>
      </c>
      <c r="E1262">
        <f>IF(AND(C1262="2027",OR(D1262="V01",D1262="V02",D1262="V03")),1,0)</f>
        <v/>
      </c>
      <c r="F1262">
        <f>IF(E1262=1,SUMIFS(Compta!$F$2:$F$675,Compta!$A$2:$A$675,A1262,Compta!$B$2:$B$675,B1262,Compta!$C$2:$C$675,"2026"),0)</f>
        <v/>
      </c>
      <c r="G1262">
        <f>IF(D1262="V01",cad!$I$21,IF(D1262="V02",cad!$J$21,cad!$K$21))</f>
        <v/>
      </c>
      <c r="H1262">
        <f>IF(D1262="V01",cad!$I$22,IF(D1262="V02",cad!$J$22,cad!$K$22))</f>
        <v/>
      </c>
      <c r="I1262">
        <f>IF(D1262="V01",cad!$I$27,IF(D1262="V02",cad!$J$27,cad!$K$27))</f>
        <v/>
      </c>
      <c r="J1262">
        <f>IF(D1262="V01",cad!$I$28,IF(D1262="V02",cad!$J$28,cad!$K$28))</f>
        <v/>
      </c>
      <c r="K1262">
        <f>IF(D1262="V01",cad!$I$29,IF(D1262="V02",cad!$J$29,cad!$K$29))</f>
        <v/>
      </c>
      <c r="L1262">
        <f>IF(D1262="V01",cad!$I$30,IF(D1262="V02",cad!$J$30,cad!$K$30))</f>
        <v/>
      </c>
      <c r="M1262">
        <f>IF(D1262="V01",cad!$I$31,IF(D1262="V02",cad!$J$31,cad!$K$31))</f>
        <v/>
      </c>
      <c r="N1262">
        <f>IF(D1262="V01",$R$2,IF(D1262="V02",$R$3,$R$4))</f>
        <v/>
      </c>
      <c r="O1262">
        <f>IF(OR(B1262="7062",B1262="706",B1262="708"),N1262,IF(B1262="6231",1+G1262,IF(B1262="6236",1+H1262,IF(OR(B1262="621",B1262="604",B1262="6063"),N1262*(1-L1262),IF(OR(B1262="6411",B1262="6413",B1262="6414",B1262="645"),(1+J1262)*(1+K1262),IF(OR(B1262="613",B1262="615",B1262="616",B1262="6226",B1262="625",B1262="626",B1262="6281"),(1+I1262)*(1-L1262)*(1+M1262),IF(OR(B1262="6331",B1262="63511",B1262="6333"),(1+I1262)*(1-L1262),IF(B1262="6811",1+I1262,1))))))))</f>
        <v/>
      </c>
      <c r="P1262">
        <f>IF(E1262=1,F1262*O1262,"")</f>
        <v/>
      </c>
    </row>
    <row r="1263">
      <c r="A1263">
        <f>PNL!A1263</f>
        <v/>
      </c>
      <c r="B1263">
        <f>PNL!B1263</f>
        <v/>
      </c>
      <c r="C1263">
        <f>PNL!C1263</f>
        <v/>
      </c>
      <c r="D1263">
        <f>PNL!D1263</f>
        <v/>
      </c>
      <c r="E1263">
        <f>IF(AND(C1263="2027",OR(D1263="V01",D1263="V02",D1263="V03")),1,0)</f>
        <v/>
      </c>
      <c r="F1263">
        <f>IF(E1263=1,SUMIFS(Compta!$F$2:$F$675,Compta!$A$2:$A$675,A1263,Compta!$B$2:$B$675,B1263,Compta!$C$2:$C$675,"2026"),0)</f>
        <v/>
      </c>
      <c r="G1263">
        <f>IF(D1263="V01",cad!$I$21,IF(D1263="V02",cad!$J$21,cad!$K$21))</f>
        <v/>
      </c>
      <c r="H1263">
        <f>IF(D1263="V01",cad!$I$22,IF(D1263="V02",cad!$J$22,cad!$K$22))</f>
        <v/>
      </c>
      <c r="I1263">
        <f>IF(D1263="V01",cad!$I$27,IF(D1263="V02",cad!$J$27,cad!$K$27))</f>
        <v/>
      </c>
      <c r="J1263">
        <f>IF(D1263="V01",cad!$I$28,IF(D1263="V02",cad!$J$28,cad!$K$28))</f>
        <v/>
      </c>
      <c r="K1263">
        <f>IF(D1263="V01",cad!$I$29,IF(D1263="V02",cad!$J$29,cad!$K$29))</f>
        <v/>
      </c>
      <c r="L1263">
        <f>IF(D1263="V01",cad!$I$30,IF(D1263="V02",cad!$J$30,cad!$K$30))</f>
        <v/>
      </c>
      <c r="M1263">
        <f>IF(D1263="V01",cad!$I$31,IF(D1263="V02",cad!$J$31,cad!$K$31))</f>
        <v/>
      </c>
      <c r="N1263">
        <f>IF(D1263="V01",$R$2,IF(D1263="V02",$R$3,$R$4))</f>
        <v/>
      </c>
      <c r="O1263">
        <f>IF(OR(B1263="7062",B1263="706",B1263="708"),N1263,IF(B1263="6231",1+G1263,IF(B1263="6236",1+H1263,IF(OR(B1263="621",B1263="604",B1263="6063"),N1263*(1-L1263),IF(OR(B1263="6411",B1263="6413",B1263="6414",B1263="645"),(1+J1263)*(1+K1263),IF(OR(B1263="613",B1263="615",B1263="616",B1263="6226",B1263="625",B1263="626",B1263="6281"),(1+I1263)*(1-L1263)*(1+M1263),IF(OR(B1263="6331",B1263="63511",B1263="6333"),(1+I1263)*(1-L1263),IF(B1263="6811",1+I1263,1))))))))</f>
        <v/>
      </c>
      <c r="P1263">
        <f>IF(E1263=1,F1263*O1263,"")</f>
        <v/>
      </c>
    </row>
    <row r="1264">
      <c r="A1264">
        <f>PNL!A1264</f>
        <v/>
      </c>
      <c r="B1264">
        <f>PNL!B1264</f>
        <v/>
      </c>
      <c r="C1264">
        <f>PNL!C1264</f>
        <v/>
      </c>
      <c r="D1264">
        <f>PNL!D1264</f>
        <v/>
      </c>
      <c r="E1264">
        <f>IF(AND(C1264="2027",OR(D1264="V01",D1264="V02",D1264="V03")),1,0)</f>
        <v/>
      </c>
      <c r="F1264">
        <f>IF(E1264=1,SUMIFS(Compta!$F$2:$F$675,Compta!$A$2:$A$675,A1264,Compta!$B$2:$B$675,B1264,Compta!$C$2:$C$675,"2026"),0)</f>
        <v/>
      </c>
      <c r="G1264">
        <f>IF(D1264="V01",cad!$I$21,IF(D1264="V02",cad!$J$21,cad!$K$21))</f>
        <v/>
      </c>
      <c r="H1264">
        <f>IF(D1264="V01",cad!$I$22,IF(D1264="V02",cad!$J$22,cad!$K$22))</f>
        <v/>
      </c>
      <c r="I1264">
        <f>IF(D1264="V01",cad!$I$27,IF(D1264="V02",cad!$J$27,cad!$K$27))</f>
        <v/>
      </c>
      <c r="J1264">
        <f>IF(D1264="V01",cad!$I$28,IF(D1264="V02",cad!$J$28,cad!$K$28))</f>
        <v/>
      </c>
      <c r="K1264">
        <f>IF(D1264="V01",cad!$I$29,IF(D1264="V02",cad!$J$29,cad!$K$29))</f>
        <v/>
      </c>
      <c r="L1264">
        <f>IF(D1264="V01",cad!$I$30,IF(D1264="V02",cad!$J$30,cad!$K$30))</f>
        <v/>
      </c>
      <c r="M1264">
        <f>IF(D1264="V01",cad!$I$31,IF(D1264="V02",cad!$J$31,cad!$K$31))</f>
        <v/>
      </c>
      <c r="N1264">
        <f>IF(D1264="V01",$R$2,IF(D1264="V02",$R$3,$R$4))</f>
        <v/>
      </c>
      <c r="O1264">
        <f>IF(OR(B1264="7062",B1264="706",B1264="708"),N1264,IF(B1264="6231",1+G1264,IF(B1264="6236",1+H1264,IF(OR(B1264="621",B1264="604",B1264="6063"),N1264*(1-L1264),IF(OR(B1264="6411",B1264="6413",B1264="6414",B1264="645"),(1+J1264)*(1+K1264),IF(OR(B1264="613",B1264="615",B1264="616",B1264="6226",B1264="625",B1264="626",B1264="6281"),(1+I1264)*(1-L1264)*(1+M1264),IF(OR(B1264="6331",B1264="63511",B1264="6333"),(1+I1264)*(1-L1264),IF(B1264="6811",1+I1264,1))))))))</f>
        <v/>
      </c>
      <c r="P1264">
        <f>IF(E1264=1,F1264*O1264,"")</f>
        <v/>
      </c>
    </row>
    <row r="1265">
      <c r="A1265">
        <f>PNL!A1265</f>
        <v/>
      </c>
      <c r="B1265">
        <f>PNL!B1265</f>
        <v/>
      </c>
      <c r="C1265">
        <f>PNL!C1265</f>
        <v/>
      </c>
      <c r="D1265">
        <f>PNL!D1265</f>
        <v/>
      </c>
      <c r="E1265">
        <f>IF(AND(C1265="2027",OR(D1265="V01",D1265="V02",D1265="V03")),1,0)</f>
        <v/>
      </c>
      <c r="F1265">
        <f>IF(E1265=1,SUMIFS(Compta!$F$2:$F$675,Compta!$A$2:$A$675,A1265,Compta!$B$2:$B$675,B1265,Compta!$C$2:$C$675,"2026"),0)</f>
        <v/>
      </c>
      <c r="G1265">
        <f>IF(D1265="V01",cad!$I$21,IF(D1265="V02",cad!$J$21,cad!$K$21))</f>
        <v/>
      </c>
      <c r="H1265">
        <f>IF(D1265="V01",cad!$I$22,IF(D1265="V02",cad!$J$22,cad!$K$22))</f>
        <v/>
      </c>
      <c r="I1265">
        <f>IF(D1265="V01",cad!$I$27,IF(D1265="V02",cad!$J$27,cad!$K$27))</f>
        <v/>
      </c>
      <c r="J1265">
        <f>IF(D1265="V01",cad!$I$28,IF(D1265="V02",cad!$J$28,cad!$K$28))</f>
        <v/>
      </c>
      <c r="K1265">
        <f>IF(D1265="V01",cad!$I$29,IF(D1265="V02",cad!$J$29,cad!$K$29))</f>
        <v/>
      </c>
      <c r="L1265">
        <f>IF(D1265="V01",cad!$I$30,IF(D1265="V02",cad!$J$30,cad!$K$30))</f>
        <v/>
      </c>
      <c r="M1265">
        <f>IF(D1265="V01",cad!$I$31,IF(D1265="V02",cad!$J$31,cad!$K$31))</f>
        <v/>
      </c>
      <c r="N1265">
        <f>IF(D1265="V01",$R$2,IF(D1265="V02",$R$3,$R$4))</f>
        <v/>
      </c>
      <c r="O1265">
        <f>IF(OR(B1265="7062",B1265="706",B1265="708"),N1265,IF(B1265="6231",1+G1265,IF(B1265="6236",1+H1265,IF(OR(B1265="621",B1265="604",B1265="6063"),N1265*(1-L1265),IF(OR(B1265="6411",B1265="6413",B1265="6414",B1265="645"),(1+J1265)*(1+K1265),IF(OR(B1265="613",B1265="615",B1265="616",B1265="6226",B1265="625",B1265="626",B1265="6281"),(1+I1265)*(1-L1265)*(1+M1265),IF(OR(B1265="6331",B1265="63511",B1265="6333"),(1+I1265)*(1-L1265),IF(B1265="6811",1+I1265,1))))))))</f>
        <v/>
      </c>
      <c r="P1265">
        <f>IF(E1265=1,F1265*O1265,"")</f>
        <v/>
      </c>
    </row>
    <row r="1266">
      <c r="A1266">
        <f>PNL!A1266</f>
        <v/>
      </c>
      <c r="B1266">
        <f>PNL!B1266</f>
        <v/>
      </c>
      <c r="C1266">
        <f>PNL!C1266</f>
        <v/>
      </c>
      <c r="D1266">
        <f>PNL!D1266</f>
        <v/>
      </c>
      <c r="E1266">
        <f>IF(AND(C1266="2027",OR(D1266="V01",D1266="V02",D1266="V03")),1,0)</f>
        <v/>
      </c>
      <c r="F1266">
        <f>IF(E1266=1,SUMIFS(Compta!$F$2:$F$675,Compta!$A$2:$A$675,A1266,Compta!$B$2:$B$675,B1266,Compta!$C$2:$C$675,"2026"),0)</f>
        <v/>
      </c>
      <c r="G1266">
        <f>IF(D1266="V01",cad!$I$21,IF(D1266="V02",cad!$J$21,cad!$K$21))</f>
        <v/>
      </c>
      <c r="H1266">
        <f>IF(D1266="V01",cad!$I$22,IF(D1266="V02",cad!$J$22,cad!$K$22))</f>
        <v/>
      </c>
      <c r="I1266">
        <f>IF(D1266="V01",cad!$I$27,IF(D1266="V02",cad!$J$27,cad!$K$27))</f>
        <v/>
      </c>
      <c r="J1266">
        <f>IF(D1266="V01",cad!$I$28,IF(D1266="V02",cad!$J$28,cad!$K$28))</f>
        <v/>
      </c>
      <c r="K1266">
        <f>IF(D1266="V01",cad!$I$29,IF(D1266="V02",cad!$J$29,cad!$K$29))</f>
        <v/>
      </c>
      <c r="L1266">
        <f>IF(D1266="V01",cad!$I$30,IF(D1266="V02",cad!$J$30,cad!$K$30))</f>
        <v/>
      </c>
      <c r="M1266">
        <f>IF(D1266="V01",cad!$I$31,IF(D1266="V02",cad!$J$31,cad!$K$31))</f>
        <v/>
      </c>
      <c r="N1266">
        <f>IF(D1266="V01",$R$2,IF(D1266="V02",$R$3,$R$4))</f>
        <v/>
      </c>
      <c r="O1266">
        <f>IF(OR(B1266="7062",B1266="706",B1266="708"),N1266,IF(B1266="6231",1+G1266,IF(B1266="6236",1+H1266,IF(OR(B1266="621",B1266="604",B1266="6063"),N1266*(1-L1266),IF(OR(B1266="6411",B1266="6413",B1266="6414",B1266="645"),(1+J1266)*(1+K1266),IF(OR(B1266="613",B1266="615",B1266="616",B1266="6226",B1266="625",B1266="626",B1266="6281"),(1+I1266)*(1-L1266)*(1+M1266),IF(OR(B1266="6331",B1266="63511",B1266="6333"),(1+I1266)*(1-L1266),IF(B1266="6811",1+I1266,1))))))))</f>
        <v/>
      </c>
      <c r="P1266">
        <f>IF(E1266=1,F1266*O1266,"")</f>
        <v/>
      </c>
    </row>
    <row r="1267">
      <c r="A1267">
        <f>PNL!A1267</f>
        <v/>
      </c>
      <c r="B1267">
        <f>PNL!B1267</f>
        <v/>
      </c>
      <c r="C1267">
        <f>PNL!C1267</f>
        <v/>
      </c>
      <c r="D1267">
        <f>PNL!D1267</f>
        <v/>
      </c>
      <c r="E1267">
        <f>IF(AND(C1267="2027",OR(D1267="V01",D1267="V02",D1267="V03")),1,0)</f>
        <v/>
      </c>
      <c r="F1267">
        <f>IF(E1267=1,SUMIFS(Compta!$F$2:$F$675,Compta!$A$2:$A$675,A1267,Compta!$B$2:$B$675,B1267,Compta!$C$2:$C$675,"2026"),0)</f>
        <v/>
      </c>
      <c r="G1267">
        <f>IF(D1267="V01",cad!$I$21,IF(D1267="V02",cad!$J$21,cad!$K$21))</f>
        <v/>
      </c>
      <c r="H1267">
        <f>IF(D1267="V01",cad!$I$22,IF(D1267="V02",cad!$J$22,cad!$K$22))</f>
        <v/>
      </c>
      <c r="I1267">
        <f>IF(D1267="V01",cad!$I$27,IF(D1267="V02",cad!$J$27,cad!$K$27))</f>
        <v/>
      </c>
      <c r="J1267">
        <f>IF(D1267="V01",cad!$I$28,IF(D1267="V02",cad!$J$28,cad!$K$28))</f>
        <v/>
      </c>
      <c r="K1267">
        <f>IF(D1267="V01",cad!$I$29,IF(D1267="V02",cad!$J$29,cad!$K$29))</f>
        <v/>
      </c>
      <c r="L1267">
        <f>IF(D1267="V01",cad!$I$30,IF(D1267="V02",cad!$J$30,cad!$K$30))</f>
        <v/>
      </c>
      <c r="M1267">
        <f>IF(D1267="V01",cad!$I$31,IF(D1267="V02",cad!$J$31,cad!$K$31))</f>
        <v/>
      </c>
      <c r="N1267">
        <f>IF(D1267="V01",$R$2,IF(D1267="V02",$R$3,$R$4))</f>
        <v/>
      </c>
      <c r="O1267">
        <f>IF(OR(B1267="7062",B1267="706",B1267="708"),N1267,IF(B1267="6231",1+G1267,IF(B1267="6236",1+H1267,IF(OR(B1267="621",B1267="604",B1267="6063"),N1267*(1-L1267),IF(OR(B1267="6411",B1267="6413",B1267="6414",B1267="645"),(1+J1267)*(1+K1267),IF(OR(B1267="613",B1267="615",B1267="616",B1267="6226",B1267="625",B1267="626",B1267="6281"),(1+I1267)*(1-L1267)*(1+M1267),IF(OR(B1267="6331",B1267="63511",B1267="6333"),(1+I1267)*(1-L1267),IF(B1267="6811",1+I1267,1))))))))</f>
        <v/>
      </c>
      <c r="P1267">
        <f>IF(E1267=1,F1267*O1267,"")</f>
        <v/>
      </c>
    </row>
    <row r="1268">
      <c r="A1268">
        <f>PNL!A1268</f>
        <v/>
      </c>
      <c r="B1268">
        <f>PNL!B1268</f>
        <v/>
      </c>
      <c r="C1268">
        <f>PNL!C1268</f>
        <v/>
      </c>
      <c r="D1268">
        <f>PNL!D1268</f>
        <v/>
      </c>
      <c r="E1268">
        <f>IF(AND(C1268="2027",OR(D1268="V01",D1268="V02",D1268="V03")),1,0)</f>
        <v/>
      </c>
      <c r="F1268">
        <f>IF(E1268=1,SUMIFS(Compta!$F$2:$F$675,Compta!$A$2:$A$675,A1268,Compta!$B$2:$B$675,B1268,Compta!$C$2:$C$675,"2026"),0)</f>
        <v/>
      </c>
      <c r="G1268">
        <f>IF(D1268="V01",cad!$I$21,IF(D1268="V02",cad!$J$21,cad!$K$21))</f>
        <v/>
      </c>
      <c r="H1268">
        <f>IF(D1268="V01",cad!$I$22,IF(D1268="V02",cad!$J$22,cad!$K$22))</f>
        <v/>
      </c>
      <c r="I1268">
        <f>IF(D1268="V01",cad!$I$27,IF(D1268="V02",cad!$J$27,cad!$K$27))</f>
        <v/>
      </c>
      <c r="J1268">
        <f>IF(D1268="V01",cad!$I$28,IF(D1268="V02",cad!$J$28,cad!$K$28))</f>
        <v/>
      </c>
      <c r="K1268">
        <f>IF(D1268="V01",cad!$I$29,IF(D1268="V02",cad!$J$29,cad!$K$29))</f>
        <v/>
      </c>
      <c r="L1268">
        <f>IF(D1268="V01",cad!$I$30,IF(D1268="V02",cad!$J$30,cad!$K$30))</f>
        <v/>
      </c>
      <c r="M1268">
        <f>IF(D1268="V01",cad!$I$31,IF(D1268="V02",cad!$J$31,cad!$K$31))</f>
        <v/>
      </c>
      <c r="N1268">
        <f>IF(D1268="V01",$R$2,IF(D1268="V02",$R$3,$R$4))</f>
        <v/>
      </c>
      <c r="O1268">
        <f>IF(OR(B1268="7062",B1268="706",B1268="708"),N1268,IF(B1268="6231",1+G1268,IF(B1268="6236",1+H1268,IF(OR(B1268="621",B1268="604",B1268="6063"),N1268*(1-L1268),IF(OR(B1268="6411",B1268="6413",B1268="6414",B1268="645"),(1+J1268)*(1+K1268),IF(OR(B1268="613",B1268="615",B1268="616",B1268="6226",B1268="625",B1268="626",B1268="6281"),(1+I1268)*(1-L1268)*(1+M1268),IF(OR(B1268="6331",B1268="63511",B1268="6333"),(1+I1268)*(1-L1268),IF(B1268="6811",1+I1268,1))))))))</f>
        <v/>
      </c>
      <c r="P1268">
        <f>IF(E1268=1,F1268*O1268,"")</f>
        <v/>
      </c>
    </row>
    <row r="1269">
      <c r="A1269">
        <f>PNL!A1269</f>
        <v/>
      </c>
      <c r="B1269">
        <f>PNL!B1269</f>
        <v/>
      </c>
      <c r="C1269">
        <f>PNL!C1269</f>
        <v/>
      </c>
      <c r="D1269">
        <f>PNL!D1269</f>
        <v/>
      </c>
      <c r="E1269">
        <f>IF(AND(C1269="2027",OR(D1269="V01",D1269="V02",D1269="V03")),1,0)</f>
        <v/>
      </c>
      <c r="F1269">
        <f>IF(E1269=1,SUMIFS(Compta!$F$2:$F$675,Compta!$A$2:$A$675,A1269,Compta!$B$2:$B$675,B1269,Compta!$C$2:$C$675,"2026"),0)</f>
        <v/>
      </c>
      <c r="G1269">
        <f>IF(D1269="V01",cad!$I$21,IF(D1269="V02",cad!$J$21,cad!$K$21))</f>
        <v/>
      </c>
      <c r="H1269">
        <f>IF(D1269="V01",cad!$I$22,IF(D1269="V02",cad!$J$22,cad!$K$22))</f>
        <v/>
      </c>
      <c r="I1269">
        <f>IF(D1269="V01",cad!$I$27,IF(D1269="V02",cad!$J$27,cad!$K$27))</f>
        <v/>
      </c>
      <c r="J1269">
        <f>IF(D1269="V01",cad!$I$28,IF(D1269="V02",cad!$J$28,cad!$K$28))</f>
        <v/>
      </c>
      <c r="K1269">
        <f>IF(D1269="V01",cad!$I$29,IF(D1269="V02",cad!$J$29,cad!$K$29))</f>
        <v/>
      </c>
      <c r="L1269">
        <f>IF(D1269="V01",cad!$I$30,IF(D1269="V02",cad!$J$30,cad!$K$30))</f>
        <v/>
      </c>
      <c r="M1269">
        <f>IF(D1269="V01",cad!$I$31,IF(D1269="V02",cad!$J$31,cad!$K$31))</f>
        <v/>
      </c>
      <c r="N1269">
        <f>IF(D1269="V01",$R$2,IF(D1269="V02",$R$3,$R$4))</f>
        <v/>
      </c>
      <c r="O1269">
        <f>IF(OR(B1269="7062",B1269="706",B1269="708"),N1269,IF(B1269="6231",1+G1269,IF(B1269="6236",1+H1269,IF(OR(B1269="621",B1269="604",B1269="6063"),N1269*(1-L1269),IF(OR(B1269="6411",B1269="6413",B1269="6414",B1269="645"),(1+J1269)*(1+K1269),IF(OR(B1269="613",B1269="615",B1269="616",B1269="6226",B1269="625",B1269="626",B1269="6281"),(1+I1269)*(1-L1269)*(1+M1269),IF(OR(B1269="6331",B1269="63511",B1269="6333"),(1+I1269)*(1-L1269),IF(B1269="6811",1+I1269,1))))))))</f>
        <v/>
      </c>
      <c r="P1269">
        <f>IF(E1269=1,F1269*O1269,"")</f>
        <v/>
      </c>
    </row>
    <row r="1270">
      <c r="A1270">
        <f>PNL!A1270</f>
        <v/>
      </c>
      <c r="B1270">
        <f>PNL!B1270</f>
        <v/>
      </c>
      <c r="C1270">
        <f>PNL!C1270</f>
        <v/>
      </c>
      <c r="D1270">
        <f>PNL!D1270</f>
        <v/>
      </c>
      <c r="E1270">
        <f>IF(AND(C1270="2027",OR(D1270="V01",D1270="V02",D1270="V03")),1,0)</f>
        <v/>
      </c>
      <c r="F1270">
        <f>IF(E1270=1,SUMIFS(Compta!$F$2:$F$675,Compta!$A$2:$A$675,A1270,Compta!$B$2:$B$675,B1270,Compta!$C$2:$C$675,"2026"),0)</f>
        <v/>
      </c>
      <c r="G1270">
        <f>IF(D1270="V01",cad!$I$21,IF(D1270="V02",cad!$J$21,cad!$K$21))</f>
        <v/>
      </c>
      <c r="H1270">
        <f>IF(D1270="V01",cad!$I$22,IF(D1270="V02",cad!$J$22,cad!$K$22))</f>
        <v/>
      </c>
      <c r="I1270">
        <f>IF(D1270="V01",cad!$I$27,IF(D1270="V02",cad!$J$27,cad!$K$27))</f>
        <v/>
      </c>
      <c r="J1270">
        <f>IF(D1270="V01",cad!$I$28,IF(D1270="V02",cad!$J$28,cad!$K$28))</f>
        <v/>
      </c>
      <c r="K1270">
        <f>IF(D1270="V01",cad!$I$29,IF(D1270="V02",cad!$J$29,cad!$K$29))</f>
        <v/>
      </c>
      <c r="L1270">
        <f>IF(D1270="V01",cad!$I$30,IF(D1270="V02",cad!$J$30,cad!$K$30))</f>
        <v/>
      </c>
      <c r="M1270">
        <f>IF(D1270="V01",cad!$I$31,IF(D1270="V02",cad!$J$31,cad!$K$31))</f>
        <v/>
      </c>
      <c r="N1270">
        <f>IF(D1270="V01",$R$2,IF(D1270="V02",$R$3,$R$4))</f>
        <v/>
      </c>
      <c r="O1270">
        <f>IF(OR(B1270="7062",B1270="706",B1270="708"),N1270,IF(B1270="6231",1+G1270,IF(B1270="6236",1+H1270,IF(OR(B1270="621",B1270="604",B1270="6063"),N1270*(1-L1270),IF(OR(B1270="6411",B1270="6413",B1270="6414",B1270="645"),(1+J1270)*(1+K1270),IF(OR(B1270="613",B1270="615",B1270="616",B1270="6226",B1270="625",B1270="626",B1270="6281"),(1+I1270)*(1-L1270)*(1+M1270),IF(OR(B1270="6331",B1270="63511",B1270="6333"),(1+I1270)*(1-L1270),IF(B1270="6811",1+I1270,1))))))))</f>
        <v/>
      </c>
      <c r="P1270">
        <f>IF(E1270=1,F1270*O1270,"")</f>
        <v/>
      </c>
    </row>
    <row r="1271">
      <c r="A1271">
        <f>PNL!A1271</f>
        <v/>
      </c>
      <c r="B1271">
        <f>PNL!B1271</f>
        <v/>
      </c>
      <c r="C1271">
        <f>PNL!C1271</f>
        <v/>
      </c>
      <c r="D1271">
        <f>PNL!D1271</f>
        <v/>
      </c>
      <c r="E1271">
        <f>IF(AND(C1271="2027",OR(D1271="V01",D1271="V02",D1271="V03")),1,0)</f>
        <v/>
      </c>
      <c r="F1271">
        <f>IF(E1271=1,SUMIFS(Compta!$F$2:$F$675,Compta!$A$2:$A$675,A1271,Compta!$B$2:$B$675,B1271,Compta!$C$2:$C$675,"2026"),0)</f>
        <v/>
      </c>
      <c r="G1271">
        <f>IF(D1271="V01",cad!$I$21,IF(D1271="V02",cad!$J$21,cad!$K$21))</f>
        <v/>
      </c>
      <c r="H1271">
        <f>IF(D1271="V01",cad!$I$22,IF(D1271="V02",cad!$J$22,cad!$K$22))</f>
        <v/>
      </c>
      <c r="I1271">
        <f>IF(D1271="V01",cad!$I$27,IF(D1271="V02",cad!$J$27,cad!$K$27))</f>
        <v/>
      </c>
      <c r="J1271">
        <f>IF(D1271="V01",cad!$I$28,IF(D1271="V02",cad!$J$28,cad!$K$28))</f>
        <v/>
      </c>
      <c r="K1271">
        <f>IF(D1271="V01",cad!$I$29,IF(D1271="V02",cad!$J$29,cad!$K$29))</f>
        <v/>
      </c>
      <c r="L1271">
        <f>IF(D1271="V01",cad!$I$30,IF(D1271="V02",cad!$J$30,cad!$K$30))</f>
        <v/>
      </c>
      <c r="M1271">
        <f>IF(D1271="V01",cad!$I$31,IF(D1271="V02",cad!$J$31,cad!$K$31))</f>
        <v/>
      </c>
      <c r="N1271">
        <f>IF(D1271="V01",$R$2,IF(D1271="V02",$R$3,$R$4))</f>
        <v/>
      </c>
      <c r="O1271">
        <f>IF(OR(B1271="7062",B1271="706",B1271="708"),N1271,IF(B1271="6231",1+G1271,IF(B1271="6236",1+H1271,IF(OR(B1271="621",B1271="604",B1271="6063"),N1271*(1-L1271),IF(OR(B1271="6411",B1271="6413",B1271="6414",B1271="645"),(1+J1271)*(1+K1271),IF(OR(B1271="613",B1271="615",B1271="616",B1271="6226",B1271="625",B1271="626",B1271="6281"),(1+I1271)*(1-L1271)*(1+M1271),IF(OR(B1271="6331",B1271="63511",B1271="6333"),(1+I1271)*(1-L1271),IF(B1271="6811",1+I1271,1))))))))</f>
        <v/>
      </c>
      <c r="P1271">
        <f>IF(E1271=1,F1271*O1271,"")</f>
        <v/>
      </c>
    </row>
    <row r="1272">
      <c r="A1272">
        <f>PNL!A1272</f>
        <v/>
      </c>
      <c r="B1272">
        <f>PNL!B1272</f>
        <v/>
      </c>
      <c r="C1272">
        <f>PNL!C1272</f>
        <v/>
      </c>
      <c r="D1272">
        <f>PNL!D1272</f>
        <v/>
      </c>
      <c r="E1272">
        <f>IF(AND(C1272="2027",OR(D1272="V01",D1272="V02",D1272="V03")),1,0)</f>
        <v/>
      </c>
      <c r="F1272">
        <f>IF(E1272=1,SUMIFS(Compta!$F$2:$F$675,Compta!$A$2:$A$675,A1272,Compta!$B$2:$B$675,B1272,Compta!$C$2:$C$675,"2026"),0)</f>
        <v/>
      </c>
      <c r="G1272">
        <f>IF(D1272="V01",cad!$I$21,IF(D1272="V02",cad!$J$21,cad!$K$21))</f>
        <v/>
      </c>
      <c r="H1272">
        <f>IF(D1272="V01",cad!$I$22,IF(D1272="V02",cad!$J$22,cad!$K$22))</f>
        <v/>
      </c>
      <c r="I1272">
        <f>IF(D1272="V01",cad!$I$27,IF(D1272="V02",cad!$J$27,cad!$K$27))</f>
        <v/>
      </c>
      <c r="J1272">
        <f>IF(D1272="V01",cad!$I$28,IF(D1272="V02",cad!$J$28,cad!$K$28))</f>
        <v/>
      </c>
      <c r="K1272">
        <f>IF(D1272="V01",cad!$I$29,IF(D1272="V02",cad!$J$29,cad!$K$29))</f>
        <v/>
      </c>
      <c r="L1272">
        <f>IF(D1272="V01",cad!$I$30,IF(D1272="V02",cad!$J$30,cad!$K$30))</f>
        <v/>
      </c>
      <c r="M1272">
        <f>IF(D1272="V01",cad!$I$31,IF(D1272="V02",cad!$J$31,cad!$K$31))</f>
        <v/>
      </c>
      <c r="N1272">
        <f>IF(D1272="V01",$R$2,IF(D1272="V02",$R$3,$R$4))</f>
        <v/>
      </c>
      <c r="O1272">
        <f>IF(OR(B1272="7062",B1272="706",B1272="708"),N1272,IF(B1272="6231",1+G1272,IF(B1272="6236",1+H1272,IF(OR(B1272="621",B1272="604",B1272="6063"),N1272*(1-L1272),IF(OR(B1272="6411",B1272="6413",B1272="6414",B1272="645"),(1+J1272)*(1+K1272),IF(OR(B1272="613",B1272="615",B1272="616",B1272="6226",B1272="625",B1272="626",B1272="6281"),(1+I1272)*(1-L1272)*(1+M1272),IF(OR(B1272="6331",B1272="63511",B1272="6333"),(1+I1272)*(1-L1272),IF(B1272="6811",1+I1272,1))))))))</f>
        <v/>
      </c>
      <c r="P1272">
        <f>IF(E1272=1,F1272*O1272,"")</f>
        <v/>
      </c>
    </row>
    <row r="1273">
      <c r="A1273">
        <f>PNL!A1273</f>
        <v/>
      </c>
      <c r="B1273">
        <f>PNL!B1273</f>
        <v/>
      </c>
      <c r="C1273">
        <f>PNL!C1273</f>
        <v/>
      </c>
      <c r="D1273">
        <f>PNL!D1273</f>
        <v/>
      </c>
      <c r="E1273">
        <f>IF(AND(C1273="2027",OR(D1273="V01",D1273="V02",D1273="V03")),1,0)</f>
        <v/>
      </c>
      <c r="F1273">
        <f>IF(E1273=1,SUMIFS(Compta!$F$2:$F$675,Compta!$A$2:$A$675,A1273,Compta!$B$2:$B$675,B1273,Compta!$C$2:$C$675,"2026"),0)</f>
        <v/>
      </c>
      <c r="G1273">
        <f>IF(D1273="V01",cad!$I$21,IF(D1273="V02",cad!$J$21,cad!$K$21))</f>
        <v/>
      </c>
      <c r="H1273">
        <f>IF(D1273="V01",cad!$I$22,IF(D1273="V02",cad!$J$22,cad!$K$22))</f>
        <v/>
      </c>
      <c r="I1273">
        <f>IF(D1273="V01",cad!$I$27,IF(D1273="V02",cad!$J$27,cad!$K$27))</f>
        <v/>
      </c>
      <c r="J1273">
        <f>IF(D1273="V01",cad!$I$28,IF(D1273="V02",cad!$J$28,cad!$K$28))</f>
        <v/>
      </c>
      <c r="K1273">
        <f>IF(D1273="V01",cad!$I$29,IF(D1273="V02",cad!$J$29,cad!$K$29))</f>
        <v/>
      </c>
      <c r="L1273">
        <f>IF(D1273="V01",cad!$I$30,IF(D1273="V02",cad!$J$30,cad!$K$30))</f>
        <v/>
      </c>
      <c r="M1273">
        <f>IF(D1273="V01",cad!$I$31,IF(D1273="V02",cad!$J$31,cad!$K$31))</f>
        <v/>
      </c>
      <c r="N1273">
        <f>IF(D1273="V01",$R$2,IF(D1273="V02",$R$3,$R$4))</f>
        <v/>
      </c>
      <c r="O1273">
        <f>IF(OR(B1273="7062",B1273="706",B1273="708"),N1273,IF(B1273="6231",1+G1273,IF(B1273="6236",1+H1273,IF(OR(B1273="621",B1273="604",B1273="6063"),N1273*(1-L1273),IF(OR(B1273="6411",B1273="6413",B1273="6414",B1273="645"),(1+J1273)*(1+K1273),IF(OR(B1273="613",B1273="615",B1273="616",B1273="6226",B1273="625",B1273="626",B1273="6281"),(1+I1273)*(1-L1273)*(1+M1273),IF(OR(B1273="6331",B1273="63511",B1273="6333"),(1+I1273)*(1-L1273),IF(B1273="6811",1+I1273,1))))))))</f>
        <v/>
      </c>
      <c r="P1273">
        <f>IF(E1273=1,F1273*O1273,"")</f>
        <v/>
      </c>
    </row>
    <row r="1274">
      <c r="A1274">
        <f>PNL!A1274</f>
        <v/>
      </c>
      <c r="B1274">
        <f>PNL!B1274</f>
        <v/>
      </c>
      <c r="C1274">
        <f>PNL!C1274</f>
        <v/>
      </c>
      <c r="D1274">
        <f>PNL!D1274</f>
        <v/>
      </c>
      <c r="E1274">
        <f>IF(AND(C1274="2027",OR(D1274="V01",D1274="V02",D1274="V03")),1,0)</f>
        <v/>
      </c>
      <c r="F1274">
        <f>IF(E1274=1,SUMIFS(Compta!$F$2:$F$675,Compta!$A$2:$A$675,A1274,Compta!$B$2:$B$675,B1274,Compta!$C$2:$C$675,"2026"),0)</f>
        <v/>
      </c>
      <c r="G1274">
        <f>IF(D1274="V01",cad!$I$21,IF(D1274="V02",cad!$J$21,cad!$K$21))</f>
        <v/>
      </c>
      <c r="H1274">
        <f>IF(D1274="V01",cad!$I$22,IF(D1274="V02",cad!$J$22,cad!$K$22))</f>
        <v/>
      </c>
      <c r="I1274">
        <f>IF(D1274="V01",cad!$I$27,IF(D1274="V02",cad!$J$27,cad!$K$27))</f>
        <v/>
      </c>
      <c r="J1274">
        <f>IF(D1274="V01",cad!$I$28,IF(D1274="V02",cad!$J$28,cad!$K$28))</f>
        <v/>
      </c>
      <c r="K1274">
        <f>IF(D1274="V01",cad!$I$29,IF(D1274="V02",cad!$J$29,cad!$K$29))</f>
        <v/>
      </c>
      <c r="L1274">
        <f>IF(D1274="V01",cad!$I$30,IF(D1274="V02",cad!$J$30,cad!$K$30))</f>
        <v/>
      </c>
      <c r="M1274">
        <f>IF(D1274="V01",cad!$I$31,IF(D1274="V02",cad!$J$31,cad!$K$31))</f>
        <v/>
      </c>
      <c r="N1274">
        <f>IF(D1274="V01",$R$2,IF(D1274="V02",$R$3,$R$4))</f>
        <v/>
      </c>
      <c r="O1274">
        <f>IF(OR(B1274="7062",B1274="706",B1274="708"),N1274,IF(B1274="6231",1+G1274,IF(B1274="6236",1+H1274,IF(OR(B1274="621",B1274="604",B1274="6063"),N1274*(1-L1274),IF(OR(B1274="6411",B1274="6413",B1274="6414",B1274="645"),(1+J1274)*(1+K1274),IF(OR(B1274="613",B1274="615",B1274="616",B1274="6226",B1274="625",B1274="626",B1274="6281"),(1+I1274)*(1-L1274)*(1+M1274),IF(OR(B1274="6331",B1274="63511",B1274="6333"),(1+I1274)*(1-L1274),IF(B1274="6811",1+I1274,1))))))))</f>
        <v/>
      </c>
      <c r="P1274">
        <f>IF(E1274=1,F1274*O1274,"")</f>
        <v/>
      </c>
    </row>
    <row r="1275">
      <c r="A1275">
        <f>PNL!A1275</f>
        <v/>
      </c>
      <c r="B1275">
        <f>PNL!B1275</f>
        <v/>
      </c>
      <c r="C1275">
        <f>PNL!C1275</f>
        <v/>
      </c>
      <c r="D1275">
        <f>PNL!D1275</f>
        <v/>
      </c>
      <c r="E1275">
        <f>IF(AND(C1275="2027",OR(D1275="V01",D1275="V02",D1275="V03")),1,0)</f>
        <v/>
      </c>
      <c r="F1275">
        <f>IF(E1275=1,SUMIFS(Compta!$F$2:$F$675,Compta!$A$2:$A$675,A1275,Compta!$B$2:$B$675,B1275,Compta!$C$2:$C$675,"2026"),0)</f>
        <v/>
      </c>
      <c r="G1275">
        <f>IF(D1275="V01",cad!$I$21,IF(D1275="V02",cad!$J$21,cad!$K$21))</f>
        <v/>
      </c>
      <c r="H1275">
        <f>IF(D1275="V01",cad!$I$22,IF(D1275="V02",cad!$J$22,cad!$K$22))</f>
        <v/>
      </c>
      <c r="I1275">
        <f>IF(D1275="V01",cad!$I$27,IF(D1275="V02",cad!$J$27,cad!$K$27))</f>
        <v/>
      </c>
      <c r="J1275">
        <f>IF(D1275="V01",cad!$I$28,IF(D1275="V02",cad!$J$28,cad!$K$28))</f>
        <v/>
      </c>
      <c r="K1275">
        <f>IF(D1275="V01",cad!$I$29,IF(D1275="V02",cad!$J$29,cad!$K$29))</f>
        <v/>
      </c>
      <c r="L1275">
        <f>IF(D1275="V01",cad!$I$30,IF(D1275="V02",cad!$J$30,cad!$K$30))</f>
        <v/>
      </c>
      <c r="M1275">
        <f>IF(D1275="V01",cad!$I$31,IF(D1275="V02",cad!$J$31,cad!$K$31))</f>
        <v/>
      </c>
      <c r="N1275">
        <f>IF(D1275="V01",$R$2,IF(D1275="V02",$R$3,$R$4))</f>
        <v/>
      </c>
      <c r="O1275">
        <f>IF(OR(B1275="7062",B1275="706",B1275="708"),N1275,IF(B1275="6231",1+G1275,IF(B1275="6236",1+H1275,IF(OR(B1275="621",B1275="604",B1275="6063"),N1275*(1-L1275),IF(OR(B1275="6411",B1275="6413",B1275="6414",B1275="645"),(1+J1275)*(1+K1275),IF(OR(B1275="613",B1275="615",B1275="616",B1275="6226",B1275="625",B1275="626",B1275="6281"),(1+I1275)*(1-L1275)*(1+M1275),IF(OR(B1275="6331",B1275="63511",B1275="6333"),(1+I1275)*(1-L1275),IF(B1275="6811",1+I1275,1))))))))</f>
        <v/>
      </c>
      <c r="P1275">
        <f>IF(E1275=1,F1275*O1275,"")</f>
        <v/>
      </c>
    </row>
    <row r="1276">
      <c r="A1276">
        <f>PNL!A1276</f>
        <v/>
      </c>
      <c r="B1276">
        <f>PNL!B1276</f>
        <v/>
      </c>
      <c r="C1276">
        <f>PNL!C1276</f>
        <v/>
      </c>
      <c r="D1276">
        <f>PNL!D1276</f>
        <v/>
      </c>
      <c r="E1276">
        <f>IF(AND(C1276="2027",OR(D1276="V01",D1276="V02",D1276="V03")),1,0)</f>
        <v/>
      </c>
      <c r="F1276">
        <f>IF(E1276=1,SUMIFS(Compta!$F$2:$F$675,Compta!$A$2:$A$675,A1276,Compta!$B$2:$B$675,B1276,Compta!$C$2:$C$675,"2026"),0)</f>
        <v/>
      </c>
      <c r="G1276">
        <f>IF(D1276="V01",cad!$I$21,IF(D1276="V02",cad!$J$21,cad!$K$21))</f>
        <v/>
      </c>
      <c r="H1276">
        <f>IF(D1276="V01",cad!$I$22,IF(D1276="V02",cad!$J$22,cad!$K$22))</f>
        <v/>
      </c>
      <c r="I1276">
        <f>IF(D1276="V01",cad!$I$27,IF(D1276="V02",cad!$J$27,cad!$K$27))</f>
        <v/>
      </c>
      <c r="J1276">
        <f>IF(D1276="V01",cad!$I$28,IF(D1276="V02",cad!$J$28,cad!$K$28))</f>
        <v/>
      </c>
      <c r="K1276">
        <f>IF(D1276="V01",cad!$I$29,IF(D1276="V02",cad!$J$29,cad!$K$29))</f>
        <v/>
      </c>
      <c r="L1276">
        <f>IF(D1276="V01",cad!$I$30,IF(D1276="V02",cad!$J$30,cad!$K$30))</f>
        <v/>
      </c>
      <c r="M1276">
        <f>IF(D1276="V01",cad!$I$31,IF(D1276="V02",cad!$J$31,cad!$K$31))</f>
        <v/>
      </c>
      <c r="N1276">
        <f>IF(D1276="V01",$R$2,IF(D1276="V02",$R$3,$R$4))</f>
        <v/>
      </c>
      <c r="O1276">
        <f>IF(OR(B1276="7062",B1276="706",B1276="708"),N1276,IF(B1276="6231",1+G1276,IF(B1276="6236",1+H1276,IF(OR(B1276="621",B1276="604",B1276="6063"),N1276*(1-L1276),IF(OR(B1276="6411",B1276="6413",B1276="6414",B1276="645"),(1+J1276)*(1+K1276),IF(OR(B1276="613",B1276="615",B1276="616",B1276="6226",B1276="625",B1276="626",B1276="6281"),(1+I1276)*(1-L1276)*(1+M1276),IF(OR(B1276="6331",B1276="63511",B1276="6333"),(1+I1276)*(1-L1276),IF(B1276="6811",1+I1276,1))))))))</f>
        <v/>
      </c>
      <c r="P1276">
        <f>IF(E1276=1,F1276*O1276,"")</f>
        <v/>
      </c>
    </row>
    <row r="1277">
      <c r="A1277">
        <f>PNL!A1277</f>
        <v/>
      </c>
      <c r="B1277">
        <f>PNL!B1277</f>
        <v/>
      </c>
      <c r="C1277">
        <f>PNL!C1277</f>
        <v/>
      </c>
      <c r="D1277">
        <f>PNL!D1277</f>
        <v/>
      </c>
      <c r="E1277">
        <f>IF(AND(C1277="2027",OR(D1277="V01",D1277="V02",D1277="V03")),1,0)</f>
        <v/>
      </c>
      <c r="F1277">
        <f>IF(E1277=1,SUMIFS(Compta!$F$2:$F$675,Compta!$A$2:$A$675,A1277,Compta!$B$2:$B$675,B1277,Compta!$C$2:$C$675,"2026"),0)</f>
        <v/>
      </c>
      <c r="G1277">
        <f>IF(D1277="V01",cad!$I$21,IF(D1277="V02",cad!$J$21,cad!$K$21))</f>
        <v/>
      </c>
      <c r="H1277">
        <f>IF(D1277="V01",cad!$I$22,IF(D1277="V02",cad!$J$22,cad!$K$22))</f>
        <v/>
      </c>
      <c r="I1277">
        <f>IF(D1277="V01",cad!$I$27,IF(D1277="V02",cad!$J$27,cad!$K$27))</f>
        <v/>
      </c>
      <c r="J1277">
        <f>IF(D1277="V01",cad!$I$28,IF(D1277="V02",cad!$J$28,cad!$K$28))</f>
        <v/>
      </c>
      <c r="K1277">
        <f>IF(D1277="V01",cad!$I$29,IF(D1277="V02",cad!$J$29,cad!$K$29))</f>
        <v/>
      </c>
      <c r="L1277">
        <f>IF(D1277="V01",cad!$I$30,IF(D1277="V02",cad!$J$30,cad!$K$30))</f>
        <v/>
      </c>
      <c r="M1277">
        <f>IF(D1277="V01",cad!$I$31,IF(D1277="V02",cad!$J$31,cad!$K$31))</f>
        <v/>
      </c>
      <c r="N1277">
        <f>IF(D1277="V01",$R$2,IF(D1277="V02",$R$3,$R$4))</f>
        <v/>
      </c>
      <c r="O1277">
        <f>IF(OR(B1277="7062",B1277="706",B1277="708"),N1277,IF(B1277="6231",1+G1277,IF(B1277="6236",1+H1277,IF(OR(B1277="621",B1277="604",B1277="6063"),N1277*(1-L1277),IF(OR(B1277="6411",B1277="6413",B1277="6414",B1277="645"),(1+J1277)*(1+K1277),IF(OR(B1277="613",B1277="615",B1277="616",B1277="6226",B1277="625",B1277="626",B1277="6281"),(1+I1277)*(1-L1277)*(1+M1277),IF(OR(B1277="6331",B1277="63511",B1277="6333"),(1+I1277)*(1-L1277),IF(B1277="6811",1+I1277,1))))))))</f>
        <v/>
      </c>
      <c r="P1277">
        <f>IF(E1277=1,F1277*O1277,"")</f>
        <v/>
      </c>
    </row>
    <row r="1278">
      <c r="A1278">
        <f>PNL!A1278</f>
        <v/>
      </c>
      <c r="B1278">
        <f>PNL!B1278</f>
        <v/>
      </c>
      <c r="C1278">
        <f>PNL!C1278</f>
        <v/>
      </c>
      <c r="D1278">
        <f>PNL!D1278</f>
        <v/>
      </c>
      <c r="E1278">
        <f>IF(AND(C1278="2027",OR(D1278="V01",D1278="V02",D1278="V03")),1,0)</f>
        <v/>
      </c>
      <c r="F1278">
        <f>IF(E1278=1,SUMIFS(Compta!$F$2:$F$675,Compta!$A$2:$A$675,A1278,Compta!$B$2:$B$675,B1278,Compta!$C$2:$C$675,"2026"),0)</f>
        <v/>
      </c>
      <c r="G1278">
        <f>IF(D1278="V01",cad!$I$21,IF(D1278="V02",cad!$J$21,cad!$K$21))</f>
        <v/>
      </c>
      <c r="H1278">
        <f>IF(D1278="V01",cad!$I$22,IF(D1278="V02",cad!$J$22,cad!$K$22))</f>
        <v/>
      </c>
      <c r="I1278">
        <f>IF(D1278="V01",cad!$I$27,IF(D1278="V02",cad!$J$27,cad!$K$27))</f>
        <v/>
      </c>
      <c r="J1278">
        <f>IF(D1278="V01",cad!$I$28,IF(D1278="V02",cad!$J$28,cad!$K$28))</f>
        <v/>
      </c>
      <c r="K1278">
        <f>IF(D1278="V01",cad!$I$29,IF(D1278="V02",cad!$J$29,cad!$K$29))</f>
        <v/>
      </c>
      <c r="L1278">
        <f>IF(D1278="V01",cad!$I$30,IF(D1278="V02",cad!$J$30,cad!$K$30))</f>
        <v/>
      </c>
      <c r="M1278">
        <f>IF(D1278="V01",cad!$I$31,IF(D1278="V02",cad!$J$31,cad!$K$31))</f>
        <v/>
      </c>
      <c r="N1278">
        <f>IF(D1278="V01",$R$2,IF(D1278="V02",$R$3,$R$4))</f>
        <v/>
      </c>
      <c r="O1278">
        <f>IF(OR(B1278="7062",B1278="706",B1278="708"),N1278,IF(B1278="6231",1+G1278,IF(B1278="6236",1+H1278,IF(OR(B1278="621",B1278="604",B1278="6063"),N1278*(1-L1278),IF(OR(B1278="6411",B1278="6413",B1278="6414",B1278="645"),(1+J1278)*(1+K1278),IF(OR(B1278="613",B1278="615",B1278="616",B1278="6226",B1278="625",B1278="626",B1278="6281"),(1+I1278)*(1-L1278)*(1+M1278),IF(OR(B1278="6331",B1278="63511",B1278="6333"),(1+I1278)*(1-L1278),IF(B1278="6811",1+I1278,1))))))))</f>
        <v/>
      </c>
      <c r="P1278">
        <f>IF(E1278=1,F1278*O1278,"")</f>
        <v/>
      </c>
    </row>
    <row r="1279">
      <c r="A1279">
        <f>PNL!A1279</f>
        <v/>
      </c>
      <c r="B1279">
        <f>PNL!B1279</f>
        <v/>
      </c>
      <c r="C1279">
        <f>PNL!C1279</f>
        <v/>
      </c>
      <c r="D1279">
        <f>PNL!D1279</f>
        <v/>
      </c>
      <c r="E1279">
        <f>IF(AND(C1279="2027",OR(D1279="V01",D1279="V02",D1279="V03")),1,0)</f>
        <v/>
      </c>
      <c r="F1279">
        <f>IF(E1279=1,SUMIFS(Compta!$F$2:$F$675,Compta!$A$2:$A$675,A1279,Compta!$B$2:$B$675,B1279,Compta!$C$2:$C$675,"2026"),0)</f>
        <v/>
      </c>
      <c r="G1279">
        <f>IF(D1279="V01",cad!$I$21,IF(D1279="V02",cad!$J$21,cad!$K$21))</f>
        <v/>
      </c>
      <c r="H1279">
        <f>IF(D1279="V01",cad!$I$22,IF(D1279="V02",cad!$J$22,cad!$K$22))</f>
        <v/>
      </c>
      <c r="I1279">
        <f>IF(D1279="V01",cad!$I$27,IF(D1279="V02",cad!$J$27,cad!$K$27))</f>
        <v/>
      </c>
      <c r="J1279">
        <f>IF(D1279="V01",cad!$I$28,IF(D1279="V02",cad!$J$28,cad!$K$28))</f>
        <v/>
      </c>
      <c r="K1279">
        <f>IF(D1279="V01",cad!$I$29,IF(D1279="V02",cad!$J$29,cad!$K$29))</f>
        <v/>
      </c>
      <c r="L1279">
        <f>IF(D1279="V01",cad!$I$30,IF(D1279="V02",cad!$J$30,cad!$K$30))</f>
        <v/>
      </c>
      <c r="M1279">
        <f>IF(D1279="V01",cad!$I$31,IF(D1279="V02",cad!$J$31,cad!$K$31))</f>
        <v/>
      </c>
      <c r="N1279">
        <f>IF(D1279="V01",$R$2,IF(D1279="V02",$R$3,$R$4))</f>
        <v/>
      </c>
      <c r="O1279">
        <f>IF(OR(B1279="7062",B1279="706",B1279="708"),N1279,IF(B1279="6231",1+G1279,IF(B1279="6236",1+H1279,IF(OR(B1279="621",B1279="604",B1279="6063"),N1279*(1-L1279),IF(OR(B1279="6411",B1279="6413",B1279="6414",B1279="645"),(1+J1279)*(1+K1279),IF(OR(B1279="613",B1279="615",B1279="616",B1279="6226",B1279="625",B1279="626",B1279="6281"),(1+I1279)*(1-L1279)*(1+M1279),IF(OR(B1279="6331",B1279="63511",B1279="6333"),(1+I1279)*(1-L1279),IF(B1279="6811",1+I1279,1))))))))</f>
        <v/>
      </c>
      <c r="P1279">
        <f>IF(E1279=1,F1279*O1279,"")</f>
        <v/>
      </c>
    </row>
    <row r="1280">
      <c r="A1280">
        <f>PNL!A1280</f>
        <v/>
      </c>
      <c r="B1280">
        <f>PNL!B1280</f>
        <v/>
      </c>
      <c r="C1280">
        <f>PNL!C1280</f>
        <v/>
      </c>
      <c r="D1280">
        <f>PNL!D1280</f>
        <v/>
      </c>
      <c r="E1280">
        <f>IF(AND(C1280="2027",OR(D1280="V01",D1280="V02",D1280="V03")),1,0)</f>
        <v/>
      </c>
      <c r="F1280">
        <f>IF(E1280=1,SUMIFS(Compta!$F$2:$F$675,Compta!$A$2:$A$675,A1280,Compta!$B$2:$B$675,B1280,Compta!$C$2:$C$675,"2026"),0)</f>
        <v/>
      </c>
      <c r="G1280">
        <f>IF(D1280="V01",cad!$I$21,IF(D1280="V02",cad!$J$21,cad!$K$21))</f>
        <v/>
      </c>
      <c r="H1280">
        <f>IF(D1280="V01",cad!$I$22,IF(D1280="V02",cad!$J$22,cad!$K$22))</f>
        <v/>
      </c>
      <c r="I1280">
        <f>IF(D1280="V01",cad!$I$27,IF(D1280="V02",cad!$J$27,cad!$K$27))</f>
        <v/>
      </c>
      <c r="J1280">
        <f>IF(D1280="V01",cad!$I$28,IF(D1280="V02",cad!$J$28,cad!$K$28))</f>
        <v/>
      </c>
      <c r="K1280">
        <f>IF(D1280="V01",cad!$I$29,IF(D1280="V02",cad!$J$29,cad!$K$29))</f>
        <v/>
      </c>
      <c r="L1280">
        <f>IF(D1280="V01",cad!$I$30,IF(D1280="V02",cad!$J$30,cad!$K$30))</f>
        <v/>
      </c>
      <c r="M1280">
        <f>IF(D1280="V01",cad!$I$31,IF(D1280="V02",cad!$J$31,cad!$K$31))</f>
        <v/>
      </c>
      <c r="N1280">
        <f>IF(D1280="V01",$R$2,IF(D1280="V02",$R$3,$R$4))</f>
        <v/>
      </c>
      <c r="O1280">
        <f>IF(OR(B1280="7062",B1280="706",B1280="708"),N1280,IF(B1280="6231",1+G1280,IF(B1280="6236",1+H1280,IF(OR(B1280="621",B1280="604",B1280="6063"),N1280*(1-L1280),IF(OR(B1280="6411",B1280="6413",B1280="6414",B1280="645"),(1+J1280)*(1+K1280),IF(OR(B1280="613",B1280="615",B1280="616",B1280="6226",B1280="625",B1280="626",B1280="6281"),(1+I1280)*(1-L1280)*(1+M1280),IF(OR(B1280="6331",B1280="63511",B1280="6333"),(1+I1280)*(1-L1280),IF(B1280="6811",1+I1280,1))))))))</f>
        <v/>
      </c>
      <c r="P1280">
        <f>IF(E1280=1,F1280*O1280,"")</f>
        <v/>
      </c>
    </row>
    <row r="1281">
      <c r="A1281">
        <f>PNL!A1281</f>
        <v/>
      </c>
      <c r="B1281">
        <f>PNL!B1281</f>
        <v/>
      </c>
      <c r="C1281">
        <f>PNL!C1281</f>
        <v/>
      </c>
      <c r="D1281">
        <f>PNL!D1281</f>
        <v/>
      </c>
      <c r="E1281">
        <f>IF(AND(C1281="2027",OR(D1281="V01",D1281="V02",D1281="V03")),1,0)</f>
        <v/>
      </c>
      <c r="F1281">
        <f>IF(E1281=1,SUMIFS(Compta!$F$2:$F$675,Compta!$A$2:$A$675,A1281,Compta!$B$2:$B$675,B1281,Compta!$C$2:$C$675,"2026"),0)</f>
        <v/>
      </c>
      <c r="G1281">
        <f>IF(D1281="V01",cad!$I$21,IF(D1281="V02",cad!$J$21,cad!$K$21))</f>
        <v/>
      </c>
      <c r="H1281">
        <f>IF(D1281="V01",cad!$I$22,IF(D1281="V02",cad!$J$22,cad!$K$22))</f>
        <v/>
      </c>
      <c r="I1281">
        <f>IF(D1281="V01",cad!$I$27,IF(D1281="V02",cad!$J$27,cad!$K$27))</f>
        <v/>
      </c>
      <c r="J1281">
        <f>IF(D1281="V01",cad!$I$28,IF(D1281="V02",cad!$J$28,cad!$K$28))</f>
        <v/>
      </c>
      <c r="K1281">
        <f>IF(D1281="V01",cad!$I$29,IF(D1281="V02",cad!$J$29,cad!$K$29))</f>
        <v/>
      </c>
      <c r="L1281">
        <f>IF(D1281="V01",cad!$I$30,IF(D1281="V02",cad!$J$30,cad!$K$30))</f>
        <v/>
      </c>
      <c r="M1281">
        <f>IF(D1281="V01",cad!$I$31,IF(D1281="V02",cad!$J$31,cad!$K$31))</f>
        <v/>
      </c>
      <c r="N1281">
        <f>IF(D1281="V01",$R$2,IF(D1281="V02",$R$3,$R$4))</f>
        <v/>
      </c>
      <c r="O1281">
        <f>IF(OR(B1281="7062",B1281="706",B1281="708"),N1281,IF(B1281="6231",1+G1281,IF(B1281="6236",1+H1281,IF(OR(B1281="621",B1281="604",B1281="6063"),N1281*(1-L1281),IF(OR(B1281="6411",B1281="6413",B1281="6414",B1281="645"),(1+J1281)*(1+K1281),IF(OR(B1281="613",B1281="615",B1281="616",B1281="6226",B1281="625",B1281="626",B1281="6281"),(1+I1281)*(1-L1281)*(1+M1281),IF(OR(B1281="6331",B1281="63511",B1281="6333"),(1+I1281)*(1-L1281),IF(B1281="6811",1+I1281,1))))))))</f>
        <v/>
      </c>
      <c r="P1281">
        <f>IF(E1281=1,F1281*O1281,"")</f>
        <v/>
      </c>
    </row>
    <row r="1282">
      <c r="A1282">
        <f>PNL!A1282</f>
        <v/>
      </c>
      <c r="B1282">
        <f>PNL!B1282</f>
        <v/>
      </c>
      <c r="C1282">
        <f>PNL!C1282</f>
        <v/>
      </c>
      <c r="D1282">
        <f>PNL!D1282</f>
        <v/>
      </c>
      <c r="E1282">
        <f>IF(AND(C1282="2027",OR(D1282="V01",D1282="V02",D1282="V03")),1,0)</f>
        <v/>
      </c>
      <c r="F1282">
        <f>IF(E1282=1,SUMIFS(Compta!$F$2:$F$675,Compta!$A$2:$A$675,A1282,Compta!$B$2:$B$675,B1282,Compta!$C$2:$C$675,"2026"),0)</f>
        <v/>
      </c>
      <c r="G1282">
        <f>IF(D1282="V01",cad!$I$21,IF(D1282="V02",cad!$J$21,cad!$K$21))</f>
        <v/>
      </c>
      <c r="H1282">
        <f>IF(D1282="V01",cad!$I$22,IF(D1282="V02",cad!$J$22,cad!$K$22))</f>
        <v/>
      </c>
      <c r="I1282">
        <f>IF(D1282="V01",cad!$I$27,IF(D1282="V02",cad!$J$27,cad!$K$27))</f>
        <v/>
      </c>
      <c r="J1282">
        <f>IF(D1282="V01",cad!$I$28,IF(D1282="V02",cad!$J$28,cad!$K$28))</f>
        <v/>
      </c>
      <c r="K1282">
        <f>IF(D1282="V01",cad!$I$29,IF(D1282="V02",cad!$J$29,cad!$K$29))</f>
        <v/>
      </c>
      <c r="L1282">
        <f>IF(D1282="V01",cad!$I$30,IF(D1282="V02",cad!$J$30,cad!$K$30))</f>
        <v/>
      </c>
      <c r="M1282">
        <f>IF(D1282="V01",cad!$I$31,IF(D1282="V02",cad!$J$31,cad!$K$31))</f>
        <v/>
      </c>
      <c r="N1282">
        <f>IF(D1282="V01",$R$2,IF(D1282="V02",$R$3,$R$4))</f>
        <v/>
      </c>
      <c r="O1282">
        <f>IF(OR(B1282="7062",B1282="706",B1282="708"),N1282,IF(B1282="6231",1+G1282,IF(B1282="6236",1+H1282,IF(OR(B1282="621",B1282="604",B1282="6063"),N1282*(1-L1282),IF(OR(B1282="6411",B1282="6413",B1282="6414",B1282="645"),(1+J1282)*(1+K1282),IF(OR(B1282="613",B1282="615",B1282="616",B1282="6226",B1282="625",B1282="626",B1282="6281"),(1+I1282)*(1-L1282)*(1+M1282),IF(OR(B1282="6331",B1282="63511",B1282="6333"),(1+I1282)*(1-L1282),IF(B1282="6811",1+I1282,1))))))))</f>
        <v/>
      </c>
      <c r="P1282">
        <f>IF(E1282=1,F1282*O1282,"")</f>
        <v/>
      </c>
    </row>
    <row r="1283">
      <c r="A1283">
        <f>PNL!A1283</f>
        <v/>
      </c>
      <c r="B1283">
        <f>PNL!B1283</f>
        <v/>
      </c>
      <c r="C1283">
        <f>PNL!C1283</f>
        <v/>
      </c>
      <c r="D1283">
        <f>PNL!D1283</f>
        <v/>
      </c>
      <c r="E1283">
        <f>IF(AND(C1283="2027",OR(D1283="V01",D1283="V02",D1283="V03")),1,0)</f>
        <v/>
      </c>
      <c r="F1283">
        <f>IF(E1283=1,SUMIFS(Compta!$F$2:$F$675,Compta!$A$2:$A$675,A1283,Compta!$B$2:$B$675,B1283,Compta!$C$2:$C$675,"2026"),0)</f>
        <v/>
      </c>
      <c r="G1283">
        <f>IF(D1283="V01",cad!$I$21,IF(D1283="V02",cad!$J$21,cad!$K$21))</f>
        <v/>
      </c>
      <c r="H1283">
        <f>IF(D1283="V01",cad!$I$22,IF(D1283="V02",cad!$J$22,cad!$K$22))</f>
        <v/>
      </c>
      <c r="I1283">
        <f>IF(D1283="V01",cad!$I$27,IF(D1283="V02",cad!$J$27,cad!$K$27))</f>
        <v/>
      </c>
      <c r="J1283">
        <f>IF(D1283="V01",cad!$I$28,IF(D1283="V02",cad!$J$28,cad!$K$28))</f>
        <v/>
      </c>
      <c r="K1283">
        <f>IF(D1283="V01",cad!$I$29,IF(D1283="V02",cad!$J$29,cad!$K$29))</f>
        <v/>
      </c>
      <c r="L1283">
        <f>IF(D1283="V01",cad!$I$30,IF(D1283="V02",cad!$J$30,cad!$K$30))</f>
        <v/>
      </c>
      <c r="M1283">
        <f>IF(D1283="V01",cad!$I$31,IF(D1283="V02",cad!$J$31,cad!$K$31))</f>
        <v/>
      </c>
      <c r="N1283">
        <f>IF(D1283="V01",$R$2,IF(D1283="V02",$R$3,$R$4))</f>
        <v/>
      </c>
      <c r="O1283">
        <f>IF(OR(B1283="7062",B1283="706",B1283="708"),N1283,IF(B1283="6231",1+G1283,IF(B1283="6236",1+H1283,IF(OR(B1283="621",B1283="604",B1283="6063"),N1283*(1-L1283),IF(OR(B1283="6411",B1283="6413",B1283="6414",B1283="645"),(1+J1283)*(1+K1283),IF(OR(B1283="613",B1283="615",B1283="616",B1283="6226",B1283="625",B1283="626",B1283="6281"),(1+I1283)*(1-L1283)*(1+M1283),IF(OR(B1283="6331",B1283="63511",B1283="6333"),(1+I1283)*(1-L1283),IF(B1283="6811",1+I1283,1))))))))</f>
        <v/>
      </c>
      <c r="P1283">
        <f>IF(E1283=1,F1283*O1283,"")</f>
        <v/>
      </c>
    </row>
    <row r="1284">
      <c r="A1284">
        <f>PNL!A1284</f>
        <v/>
      </c>
      <c r="B1284">
        <f>PNL!B1284</f>
        <v/>
      </c>
      <c r="C1284">
        <f>PNL!C1284</f>
        <v/>
      </c>
      <c r="D1284">
        <f>PNL!D1284</f>
        <v/>
      </c>
      <c r="E1284">
        <f>IF(AND(C1284="2027",OR(D1284="V01",D1284="V02",D1284="V03")),1,0)</f>
        <v/>
      </c>
      <c r="F1284">
        <f>IF(E1284=1,SUMIFS(Compta!$F$2:$F$675,Compta!$A$2:$A$675,A1284,Compta!$B$2:$B$675,B1284,Compta!$C$2:$C$675,"2026"),0)</f>
        <v/>
      </c>
      <c r="G1284">
        <f>IF(D1284="V01",cad!$I$21,IF(D1284="V02",cad!$J$21,cad!$K$21))</f>
        <v/>
      </c>
      <c r="H1284">
        <f>IF(D1284="V01",cad!$I$22,IF(D1284="V02",cad!$J$22,cad!$K$22))</f>
        <v/>
      </c>
      <c r="I1284">
        <f>IF(D1284="V01",cad!$I$27,IF(D1284="V02",cad!$J$27,cad!$K$27))</f>
        <v/>
      </c>
      <c r="J1284">
        <f>IF(D1284="V01",cad!$I$28,IF(D1284="V02",cad!$J$28,cad!$K$28))</f>
        <v/>
      </c>
      <c r="K1284">
        <f>IF(D1284="V01",cad!$I$29,IF(D1284="V02",cad!$J$29,cad!$K$29))</f>
        <v/>
      </c>
      <c r="L1284">
        <f>IF(D1284="V01",cad!$I$30,IF(D1284="V02",cad!$J$30,cad!$K$30))</f>
        <v/>
      </c>
      <c r="M1284">
        <f>IF(D1284="V01",cad!$I$31,IF(D1284="V02",cad!$J$31,cad!$K$31))</f>
        <v/>
      </c>
      <c r="N1284">
        <f>IF(D1284="V01",$R$2,IF(D1284="V02",$R$3,$R$4))</f>
        <v/>
      </c>
      <c r="O1284">
        <f>IF(OR(B1284="7062",B1284="706",B1284="708"),N1284,IF(B1284="6231",1+G1284,IF(B1284="6236",1+H1284,IF(OR(B1284="621",B1284="604",B1284="6063"),N1284*(1-L1284),IF(OR(B1284="6411",B1284="6413",B1284="6414",B1284="645"),(1+J1284)*(1+K1284),IF(OR(B1284="613",B1284="615",B1284="616",B1284="6226",B1284="625",B1284="626",B1284="6281"),(1+I1284)*(1-L1284)*(1+M1284),IF(OR(B1284="6331",B1284="63511",B1284="6333"),(1+I1284)*(1-L1284),IF(B1284="6811",1+I1284,1))))))))</f>
        <v/>
      </c>
      <c r="P1284">
        <f>IF(E1284=1,F1284*O1284,"")</f>
        <v/>
      </c>
    </row>
    <row r="1285">
      <c r="A1285">
        <f>PNL!A1285</f>
        <v/>
      </c>
      <c r="B1285">
        <f>PNL!B1285</f>
        <v/>
      </c>
      <c r="C1285">
        <f>PNL!C1285</f>
        <v/>
      </c>
      <c r="D1285">
        <f>PNL!D1285</f>
        <v/>
      </c>
      <c r="E1285">
        <f>IF(AND(C1285="2027",OR(D1285="V01",D1285="V02",D1285="V03")),1,0)</f>
        <v/>
      </c>
      <c r="F1285">
        <f>IF(E1285=1,SUMIFS(Compta!$F$2:$F$675,Compta!$A$2:$A$675,A1285,Compta!$B$2:$B$675,B1285,Compta!$C$2:$C$675,"2026"),0)</f>
        <v/>
      </c>
      <c r="G1285">
        <f>IF(D1285="V01",cad!$I$21,IF(D1285="V02",cad!$J$21,cad!$K$21))</f>
        <v/>
      </c>
      <c r="H1285">
        <f>IF(D1285="V01",cad!$I$22,IF(D1285="V02",cad!$J$22,cad!$K$22))</f>
        <v/>
      </c>
      <c r="I1285">
        <f>IF(D1285="V01",cad!$I$27,IF(D1285="V02",cad!$J$27,cad!$K$27))</f>
        <v/>
      </c>
      <c r="J1285">
        <f>IF(D1285="V01",cad!$I$28,IF(D1285="V02",cad!$J$28,cad!$K$28))</f>
        <v/>
      </c>
      <c r="K1285">
        <f>IF(D1285="V01",cad!$I$29,IF(D1285="V02",cad!$J$29,cad!$K$29))</f>
        <v/>
      </c>
      <c r="L1285">
        <f>IF(D1285="V01",cad!$I$30,IF(D1285="V02",cad!$J$30,cad!$K$30))</f>
        <v/>
      </c>
      <c r="M1285">
        <f>IF(D1285="V01",cad!$I$31,IF(D1285="V02",cad!$J$31,cad!$K$31))</f>
        <v/>
      </c>
      <c r="N1285">
        <f>IF(D1285="V01",$R$2,IF(D1285="V02",$R$3,$R$4))</f>
        <v/>
      </c>
      <c r="O1285">
        <f>IF(OR(B1285="7062",B1285="706",B1285="708"),N1285,IF(B1285="6231",1+G1285,IF(B1285="6236",1+H1285,IF(OR(B1285="621",B1285="604",B1285="6063"),N1285*(1-L1285),IF(OR(B1285="6411",B1285="6413",B1285="6414",B1285="645"),(1+J1285)*(1+K1285),IF(OR(B1285="613",B1285="615",B1285="616",B1285="6226",B1285="625",B1285="626",B1285="6281"),(1+I1285)*(1-L1285)*(1+M1285),IF(OR(B1285="6331",B1285="63511",B1285="6333"),(1+I1285)*(1-L1285),IF(B1285="6811",1+I1285,1))))))))</f>
        <v/>
      </c>
      <c r="P1285">
        <f>IF(E1285=1,F1285*O1285,"")</f>
        <v/>
      </c>
    </row>
    <row r="1286">
      <c r="A1286">
        <f>PNL!A1286</f>
        <v/>
      </c>
      <c r="B1286">
        <f>PNL!B1286</f>
        <v/>
      </c>
      <c r="C1286">
        <f>PNL!C1286</f>
        <v/>
      </c>
      <c r="D1286">
        <f>PNL!D1286</f>
        <v/>
      </c>
      <c r="E1286">
        <f>IF(AND(C1286="2027",OR(D1286="V01",D1286="V02",D1286="V03")),1,0)</f>
        <v/>
      </c>
      <c r="F1286">
        <f>IF(E1286=1,SUMIFS(Compta!$F$2:$F$675,Compta!$A$2:$A$675,A1286,Compta!$B$2:$B$675,B1286,Compta!$C$2:$C$675,"2026"),0)</f>
        <v/>
      </c>
      <c r="G1286">
        <f>IF(D1286="V01",cad!$I$21,IF(D1286="V02",cad!$J$21,cad!$K$21))</f>
        <v/>
      </c>
      <c r="H1286">
        <f>IF(D1286="V01",cad!$I$22,IF(D1286="V02",cad!$J$22,cad!$K$22))</f>
        <v/>
      </c>
      <c r="I1286">
        <f>IF(D1286="V01",cad!$I$27,IF(D1286="V02",cad!$J$27,cad!$K$27))</f>
        <v/>
      </c>
      <c r="J1286">
        <f>IF(D1286="V01",cad!$I$28,IF(D1286="V02",cad!$J$28,cad!$K$28))</f>
        <v/>
      </c>
      <c r="K1286">
        <f>IF(D1286="V01",cad!$I$29,IF(D1286="V02",cad!$J$29,cad!$K$29))</f>
        <v/>
      </c>
      <c r="L1286">
        <f>IF(D1286="V01",cad!$I$30,IF(D1286="V02",cad!$J$30,cad!$K$30))</f>
        <v/>
      </c>
      <c r="M1286">
        <f>IF(D1286="V01",cad!$I$31,IF(D1286="V02",cad!$J$31,cad!$K$31))</f>
        <v/>
      </c>
      <c r="N1286">
        <f>IF(D1286="V01",$R$2,IF(D1286="V02",$R$3,$R$4))</f>
        <v/>
      </c>
      <c r="O1286">
        <f>IF(OR(B1286="7062",B1286="706",B1286="708"),N1286,IF(B1286="6231",1+G1286,IF(B1286="6236",1+H1286,IF(OR(B1286="621",B1286="604",B1286="6063"),N1286*(1-L1286),IF(OR(B1286="6411",B1286="6413",B1286="6414",B1286="645"),(1+J1286)*(1+K1286),IF(OR(B1286="613",B1286="615",B1286="616",B1286="6226",B1286="625",B1286="626",B1286="6281"),(1+I1286)*(1-L1286)*(1+M1286),IF(OR(B1286="6331",B1286="63511",B1286="6333"),(1+I1286)*(1-L1286),IF(B1286="6811",1+I1286,1))))))))</f>
        <v/>
      </c>
      <c r="P1286">
        <f>IF(E1286=1,F1286*O1286,"")</f>
        <v/>
      </c>
    </row>
    <row r="1287">
      <c r="A1287">
        <f>PNL!A1287</f>
        <v/>
      </c>
      <c r="B1287">
        <f>PNL!B1287</f>
        <v/>
      </c>
      <c r="C1287">
        <f>PNL!C1287</f>
        <v/>
      </c>
      <c r="D1287">
        <f>PNL!D1287</f>
        <v/>
      </c>
      <c r="E1287">
        <f>IF(AND(C1287="2027",OR(D1287="V01",D1287="V02",D1287="V03")),1,0)</f>
        <v/>
      </c>
      <c r="F1287">
        <f>IF(E1287=1,SUMIFS(Compta!$F$2:$F$675,Compta!$A$2:$A$675,A1287,Compta!$B$2:$B$675,B1287,Compta!$C$2:$C$675,"2026"),0)</f>
        <v/>
      </c>
      <c r="G1287">
        <f>IF(D1287="V01",cad!$I$21,IF(D1287="V02",cad!$J$21,cad!$K$21))</f>
        <v/>
      </c>
      <c r="H1287">
        <f>IF(D1287="V01",cad!$I$22,IF(D1287="V02",cad!$J$22,cad!$K$22))</f>
        <v/>
      </c>
      <c r="I1287">
        <f>IF(D1287="V01",cad!$I$27,IF(D1287="V02",cad!$J$27,cad!$K$27))</f>
        <v/>
      </c>
      <c r="J1287">
        <f>IF(D1287="V01",cad!$I$28,IF(D1287="V02",cad!$J$28,cad!$K$28))</f>
        <v/>
      </c>
      <c r="K1287">
        <f>IF(D1287="V01",cad!$I$29,IF(D1287="V02",cad!$J$29,cad!$K$29))</f>
        <v/>
      </c>
      <c r="L1287">
        <f>IF(D1287="V01",cad!$I$30,IF(D1287="V02",cad!$J$30,cad!$K$30))</f>
        <v/>
      </c>
      <c r="M1287">
        <f>IF(D1287="V01",cad!$I$31,IF(D1287="V02",cad!$J$31,cad!$K$31))</f>
        <v/>
      </c>
      <c r="N1287">
        <f>IF(D1287="V01",$R$2,IF(D1287="V02",$R$3,$R$4))</f>
        <v/>
      </c>
      <c r="O1287">
        <f>IF(OR(B1287="7062",B1287="706",B1287="708"),N1287,IF(B1287="6231",1+G1287,IF(B1287="6236",1+H1287,IF(OR(B1287="621",B1287="604",B1287="6063"),N1287*(1-L1287),IF(OR(B1287="6411",B1287="6413",B1287="6414",B1287="645"),(1+J1287)*(1+K1287),IF(OR(B1287="613",B1287="615",B1287="616",B1287="6226",B1287="625",B1287="626",B1287="6281"),(1+I1287)*(1-L1287)*(1+M1287),IF(OR(B1287="6331",B1287="63511",B1287="6333"),(1+I1287)*(1-L1287),IF(B1287="6811",1+I1287,1))))))))</f>
        <v/>
      </c>
      <c r="P1287">
        <f>IF(E1287=1,F1287*O1287,"")</f>
        <v/>
      </c>
    </row>
    <row r="1288">
      <c r="A1288">
        <f>PNL!A1288</f>
        <v/>
      </c>
      <c r="B1288">
        <f>PNL!B1288</f>
        <v/>
      </c>
      <c r="C1288">
        <f>PNL!C1288</f>
        <v/>
      </c>
      <c r="D1288">
        <f>PNL!D1288</f>
        <v/>
      </c>
      <c r="E1288">
        <f>IF(AND(C1288="2027",OR(D1288="V01",D1288="V02",D1288="V03")),1,0)</f>
        <v/>
      </c>
      <c r="F1288">
        <f>IF(E1288=1,SUMIFS(Compta!$F$2:$F$675,Compta!$A$2:$A$675,A1288,Compta!$B$2:$B$675,B1288,Compta!$C$2:$C$675,"2026"),0)</f>
        <v/>
      </c>
      <c r="G1288">
        <f>IF(D1288="V01",cad!$I$21,IF(D1288="V02",cad!$J$21,cad!$K$21))</f>
        <v/>
      </c>
      <c r="H1288">
        <f>IF(D1288="V01",cad!$I$22,IF(D1288="V02",cad!$J$22,cad!$K$22))</f>
        <v/>
      </c>
      <c r="I1288">
        <f>IF(D1288="V01",cad!$I$27,IF(D1288="V02",cad!$J$27,cad!$K$27))</f>
        <v/>
      </c>
      <c r="J1288">
        <f>IF(D1288="V01",cad!$I$28,IF(D1288="V02",cad!$J$28,cad!$K$28))</f>
        <v/>
      </c>
      <c r="K1288">
        <f>IF(D1288="V01",cad!$I$29,IF(D1288="V02",cad!$J$29,cad!$K$29))</f>
        <v/>
      </c>
      <c r="L1288">
        <f>IF(D1288="V01",cad!$I$30,IF(D1288="V02",cad!$J$30,cad!$K$30))</f>
        <v/>
      </c>
      <c r="M1288">
        <f>IF(D1288="V01",cad!$I$31,IF(D1288="V02",cad!$J$31,cad!$K$31))</f>
        <v/>
      </c>
      <c r="N1288">
        <f>IF(D1288="V01",$R$2,IF(D1288="V02",$R$3,$R$4))</f>
        <v/>
      </c>
      <c r="O1288">
        <f>IF(OR(B1288="7062",B1288="706",B1288="708"),N1288,IF(B1288="6231",1+G1288,IF(B1288="6236",1+H1288,IF(OR(B1288="621",B1288="604",B1288="6063"),N1288*(1-L1288),IF(OR(B1288="6411",B1288="6413",B1288="6414",B1288="645"),(1+J1288)*(1+K1288),IF(OR(B1288="613",B1288="615",B1288="616",B1288="6226",B1288="625",B1288="626",B1288="6281"),(1+I1288)*(1-L1288)*(1+M1288),IF(OR(B1288="6331",B1288="63511",B1288="6333"),(1+I1288)*(1-L1288),IF(B1288="6811",1+I1288,1))))))))</f>
        <v/>
      </c>
      <c r="P1288">
        <f>IF(E1288=1,F1288*O1288,"")</f>
        <v/>
      </c>
    </row>
    <row r="1289">
      <c r="A1289">
        <f>PNL!A1289</f>
        <v/>
      </c>
      <c r="B1289">
        <f>PNL!B1289</f>
        <v/>
      </c>
      <c r="C1289">
        <f>PNL!C1289</f>
        <v/>
      </c>
      <c r="D1289">
        <f>PNL!D1289</f>
        <v/>
      </c>
      <c r="E1289">
        <f>IF(AND(C1289="2027",OR(D1289="V01",D1289="V02",D1289="V03")),1,0)</f>
        <v/>
      </c>
      <c r="F1289">
        <f>IF(E1289=1,SUMIFS(Compta!$F$2:$F$675,Compta!$A$2:$A$675,A1289,Compta!$B$2:$B$675,B1289,Compta!$C$2:$C$675,"2026"),0)</f>
        <v/>
      </c>
      <c r="G1289">
        <f>IF(D1289="V01",cad!$I$21,IF(D1289="V02",cad!$J$21,cad!$K$21))</f>
        <v/>
      </c>
      <c r="H1289">
        <f>IF(D1289="V01",cad!$I$22,IF(D1289="V02",cad!$J$22,cad!$K$22))</f>
        <v/>
      </c>
      <c r="I1289">
        <f>IF(D1289="V01",cad!$I$27,IF(D1289="V02",cad!$J$27,cad!$K$27))</f>
        <v/>
      </c>
      <c r="J1289">
        <f>IF(D1289="V01",cad!$I$28,IF(D1289="V02",cad!$J$28,cad!$K$28))</f>
        <v/>
      </c>
      <c r="K1289">
        <f>IF(D1289="V01",cad!$I$29,IF(D1289="V02",cad!$J$29,cad!$K$29))</f>
        <v/>
      </c>
      <c r="L1289">
        <f>IF(D1289="V01",cad!$I$30,IF(D1289="V02",cad!$J$30,cad!$K$30))</f>
        <v/>
      </c>
      <c r="M1289">
        <f>IF(D1289="V01",cad!$I$31,IF(D1289="V02",cad!$J$31,cad!$K$31))</f>
        <v/>
      </c>
      <c r="N1289">
        <f>IF(D1289="V01",$R$2,IF(D1289="V02",$R$3,$R$4))</f>
        <v/>
      </c>
      <c r="O1289">
        <f>IF(OR(B1289="7062",B1289="706",B1289="708"),N1289,IF(B1289="6231",1+G1289,IF(B1289="6236",1+H1289,IF(OR(B1289="621",B1289="604",B1289="6063"),N1289*(1-L1289),IF(OR(B1289="6411",B1289="6413",B1289="6414",B1289="645"),(1+J1289)*(1+K1289),IF(OR(B1289="613",B1289="615",B1289="616",B1289="6226",B1289="625",B1289="626",B1289="6281"),(1+I1289)*(1-L1289)*(1+M1289),IF(OR(B1289="6331",B1289="63511",B1289="6333"),(1+I1289)*(1-L1289),IF(B1289="6811",1+I1289,1))))))))</f>
        <v/>
      </c>
      <c r="P1289">
        <f>IF(E1289=1,F1289*O1289,"")</f>
        <v/>
      </c>
    </row>
    <row r="1290">
      <c r="A1290">
        <f>PNL!A1290</f>
        <v/>
      </c>
      <c r="B1290">
        <f>PNL!B1290</f>
        <v/>
      </c>
      <c r="C1290">
        <f>PNL!C1290</f>
        <v/>
      </c>
      <c r="D1290">
        <f>PNL!D1290</f>
        <v/>
      </c>
      <c r="E1290">
        <f>IF(AND(C1290="2027",OR(D1290="V01",D1290="V02",D1290="V03")),1,0)</f>
        <v/>
      </c>
      <c r="F1290">
        <f>IF(E1290=1,SUMIFS(Compta!$F$2:$F$675,Compta!$A$2:$A$675,A1290,Compta!$B$2:$B$675,B1290,Compta!$C$2:$C$675,"2026"),0)</f>
        <v/>
      </c>
      <c r="G1290">
        <f>IF(D1290="V01",cad!$I$21,IF(D1290="V02",cad!$J$21,cad!$K$21))</f>
        <v/>
      </c>
      <c r="H1290">
        <f>IF(D1290="V01",cad!$I$22,IF(D1290="V02",cad!$J$22,cad!$K$22))</f>
        <v/>
      </c>
      <c r="I1290">
        <f>IF(D1290="V01",cad!$I$27,IF(D1290="V02",cad!$J$27,cad!$K$27))</f>
        <v/>
      </c>
      <c r="J1290">
        <f>IF(D1290="V01",cad!$I$28,IF(D1290="V02",cad!$J$28,cad!$K$28))</f>
        <v/>
      </c>
      <c r="K1290">
        <f>IF(D1290="V01",cad!$I$29,IF(D1290="V02",cad!$J$29,cad!$K$29))</f>
        <v/>
      </c>
      <c r="L1290">
        <f>IF(D1290="V01",cad!$I$30,IF(D1290="V02",cad!$J$30,cad!$K$30))</f>
        <v/>
      </c>
      <c r="M1290">
        <f>IF(D1290="V01",cad!$I$31,IF(D1290="V02",cad!$J$31,cad!$K$31))</f>
        <v/>
      </c>
      <c r="N1290">
        <f>IF(D1290="V01",$R$2,IF(D1290="V02",$R$3,$R$4))</f>
        <v/>
      </c>
      <c r="O1290">
        <f>IF(OR(B1290="7062",B1290="706",B1290="708"),N1290,IF(B1290="6231",1+G1290,IF(B1290="6236",1+H1290,IF(OR(B1290="621",B1290="604",B1290="6063"),N1290*(1-L1290),IF(OR(B1290="6411",B1290="6413",B1290="6414",B1290="645"),(1+J1290)*(1+K1290),IF(OR(B1290="613",B1290="615",B1290="616",B1290="6226",B1290="625",B1290="626",B1290="6281"),(1+I1290)*(1-L1290)*(1+M1290),IF(OR(B1290="6331",B1290="63511",B1290="6333"),(1+I1290)*(1-L1290),IF(B1290="6811",1+I1290,1))))))))</f>
        <v/>
      </c>
      <c r="P1290">
        <f>IF(E1290=1,F1290*O1290,"")</f>
        <v/>
      </c>
    </row>
    <row r="1291">
      <c r="A1291">
        <f>PNL!A1291</f>
        <v/>
      </c>
      <c r="B1291">
        <f>PNL!B1291</f>
        <v/>
      </c>
      <c r="C1291">
        <f>PNL!C1291</f>
        <v/>
      </c>
      <c r="D1291">
        <f>PNL!D1291</f>
        <v/>
      </c>
      <c r="E1291">
        <f>IF(AND(C1291="2027",OR(D1291="V01",D1291="V02",D1291="V03")),1,0)</f>
        <v/>
      </c>
      <c r="F1291">
        <f>IF(E1291=1,SUMIFS(Compta!$F$2:$F$675,Compta!$A$2:$A$675,A1291,Compta!$B$2:$B$675,B1291,Compta!$C$2:$C$675,"2026"),0)</f>
        <v/>
      </c>
      <c r="G1291">
        <f>IF(D1291="V01",cad!$I$21,IF(D1291="V02",cad!$J$21,cad!$K$21))</f>
        <v/>
      </c>
      <c r="H1291">
        <f>IF(D1291="V01",cad!$I$22,IF(D1291="V02",cad!$J$22,cad!$K$22))</f>
        <v/>
      </c>
      <c r="I1291">
        <f>IF(D1291="V01",cad!$I$27,IF(D1291="V02",cad!$J$27,cad!$K$27))</f>
        <v/>
      </c>
      <c r="J1291">
        <f>IF(D1291="V01",cad!$I$28,IF(D1291="V02",cad!$J$28,cad!$K$28))</f>
        <v/>
      </c>
      <c r="K1291">
        <f>IF(D1291="V01",cad!$I$29,IF(D1291="V02",cad!$J$29,cad!$K$29))</f>
        <v/>
      </c>
      <c r="L1291">
        <f>IF(D1291="V01",cad!$I$30,IF(D1291="V02",cad!$J$30,cad!$K$30))</f>
        <v/>
      </c>
      <c r="M1291">
        <f>IF(D1291="V01",cad!$I$31,IF(D1291="V02",cad!$J$31,cad!$K$31))</f>
        <v/>
      </c>
      <c r="N1291">
        <f>IF(D1291="V01",$R$2,IF(D1291="V02",$R$3,$R$4))</f>
        <v/>
      </c>
      <c r="O1291">
        <f>IF(OR(B1291="7062",B1291="706",B1291="708"),N1291,IF(B1291="6231",1+G1291,IF(B1291="6236",1+H1291,IF(OR(B1291="621",B1291="604",B1291="6063"),N1291*(1-L1291),IF(OR(B1291="6411",B1291="6413",B1291="6414",B1291="645"),(1+J1291)*(1+K1291),IF(OR(B1291="613",B1291="615",B1291="616",B1291="6226",B1291="625",B1291="626",B1291="6281"),(1+I1291)*(1-L1291)*(1+M1291),IF(OR(B1291="6331",B1291="63511",B1291="6333"),(1+I1291)*(1-L1291),IF(B1291="6811",1+I1291,1))))))))</f>
        <v/>
      </c>
      <c r="P1291">
        <f>IF(E1291=1,F1291*O1291,"")</f>
        <v/>
      </c>
    </row>
    <row r="1292">
      <c r="A1292">
        <f>PNL!A1292</f>
        <v/>
      </c>
      <c r="B1292">
        <f>PNL!B1292</f>
        <v/>
      </c>
      <c r="C1292">
        <f>PNL!C1292</f>
        <v/>
      </c>
      <c r="D1292">
        <f>PNL!D1292</f>
        <v/>
      </c>
      <c r="E1292">
        <f>IF(AND(C1292="2027",OR(D1292="V01",D1292="V02",D1292="V03")),1,0)</f>
        <v/>
      </c>
      <c r="F1292">
        <f>IF(E1292=1,SUMIFS(Compta!$F$2:$F$675,Compta!$A$2:$A$675,A1292,Compta!$B$2:$B$675,B1292,Compta!$C$2:$C$675,"2026"),0)</f>
        <v/>
      </c>
      <c r="G1292">
        <f>IF(D1292="V01",cad!$I$21,IF(D1292="V02",cad!$J$21,cad!$K$21))</f>
        <v/>
      </c>
      <c r="H1292">
        <f>IF(D1292="V01",cad!$I$22,IF(D1292="V02",cad!$J$22,cad!$K$22))</f>
        <v/>
      </c>
      <c r="I1292">
        <f>IF(D1292="V01",cad!$I$27,IF(D1292="V02",cad!$J$27,cad!$K$27))</f>
        <v/>
      </c>
      <c r="J1292">
        <f>IF(D1292="V01",cad!$I$28,IF(D1292="V02",cad!$J$28,cad!$K$28))</f>
        <v/>
      </c>
      <c r="K1292">
        <f>IF(D1292="V01",cad!$I$29,IF(D1292="V02",cad!$J$29,cad!$K$29))</f>
        <v/>
      </c>
      <c r="L1292">
        <f>IF(D1292="V01",cad!$I$30,IF(D1292="V02",cad!$J$30,cad!$K$30))</f>
        <v/>
      </c>
      <c r="M1292">
        <f>IF(D1292="V01",cad!$I$31,IF(D1292="V02",cad!$J$31,cad!$K$31))</f>
        <v/>
      </c>
      <c r="N1292">
        <f>IF(D1292="V01",$R$2,IF(D1292="V02",$R$3,$R$4))</f>
        <v/>
      </c>
      <c r="O1292">
        <f>IF(OR(B1292="7062",B1292="706",B1292="708"),N1292,IF(B1292="6231",1+G1292,IF(B1292="6236",1+H1292,IF(OR(B1292="621",B1292="604",B1292="6063"),N1292*(1-L1292),IF(OR(B1292="6411",B1292="6413",B1292="6414",B1292="645"),(1+J1292)*(1+K1292),IF(OR(B1292="613",B1292="615",B1292="616",B1292="6226",B1292="625",B1292="626",B1292="6281"),(1+I1292)*(1-L1292)*(1+M1292),IF(OR(B1292="6331",B1292="63511",B1292="6333"),(1+I1292)*(1-L1292),IF(B1292="6811",1+I1292,1))))))))</f>
        <v/>
      </c>
      <c r="P1292">
        <f>IF(E1292=1,F1292*O1292,"")</f>
        <v/>
      </c>
    </row>
    <row r="1293">
      <c r="A1293">
        <f>PNL!A1293</f>
        <v/>
      </c>
      <c r="B1293">
        <f>PNL!B1293</f>
        <v/>
      </c>
      <c r="C1293">
        <f>PNL!C1293</f>
        <v/>
      </c>
      <c r="D1293">
        <f>PNL!D1293</f>
        <v/>
      </c>
      <c r="E1293">
        <f>IF(AND(C1293="2027",OR(D1293="V01",D1293="V02",D1293="V03")),1,0)</f>
        <v/>
      </c>
      <c r="F1293">
        <f>IF(E1293=1,SUMIFS(Compta!$F$2:$F$675,Compta!$A$2:$A$675,A1293,Compta!$B$2:$B$675,B1293,Compta!$C$2:$C$675,"2026"),0)</f>
        <v/>
      </c>
      <c r="G1293">
        <f>IF(D1293="V01",cad!$I$21,IF(D1293="V02",cad!$J$21,cad!$K$21))</f>
        <v/>
      </c>
      <c r="H1293">
        <f>IF(D1293="V01",cad!$I$22,IF(D1293="V02",cad!$J$22,cad!$K$22))</f>
        <v/>
      </c>
      <c r="I1293">
        <f>IF(D1293="V01",cad!$I$27,IF(D1293="V02",cad!$J$27,cad!$K$27))</f>
        <v/>
      </c>
      <c r="J1293">
        <f>IF(D1293="V01",cad!$I$28,IF(D1293="V02",cad!$J$28,cad!$K$28))</f>
        <v/>
      </c>
      <c r="K1293">
        <f>IF(D1293="V01",cad!$I$29,IF(D1293="V02",cad!$J$29,cad!$K$29))</f>
        <v/>
      </c>
      <c r="L1293">
        <f>IF(D1293="V01",cad!$I$30,IF(D1293="V02",cad!$J$30,cad!$K$30))</f>
        <v/>
      </c>
      <c r="M1293">
        <f>IF(D1293="V01",cad!$I$31,IF(D1293="V02",cad!$J$31,cad!$K$31))</f>
        <v/>
      </c>
      <c r="N1293">
        <f>IF(D1293="V01",$R$2,IF(D1293="V02",$R$3,$R$4))</f>
        <v/>
      </c>
      <c r="O1293">
        <f>IF(OR(B1293="7062",B1293="706",B1293="708"),N1293,IF(B1293="6231",1+G1293,IF(B1293="6236",1+H1293,IF(OR(B1293="621",B1293="604",B1293="6063"),N1293*(1-L1293),IF(OR(B1293="6411",B1293="6413",B1293="6414",B1293="645"),(1+J1293)*(1+K1293),IF(OR(B1293="613",B1293="615",B1293="616",B1293="6226",B1293="625",B1293="626",B1293="6281"),(1+I1293)*(1-L1293)*(1+M1293),IF(OR(B1293="6331",B1293="63511",B1293="6333"),(1+I1293)*(1-L1293),IF(B1293="6811",1+I1293,1))))))))</f>
        <v/>
      </c>
      <c r="P1293">
        <f>IF(E1293=1,F1293*O1293,"")</f>
        <v/>
      </c>
    </row>
    <row r="1294">
      <c r="A1294">
        <f>PNL!A1294</f>
        <v/>
      </c>
      <c r="B1294">
        <f>PNL!B1294</f>
        <v/>
      </c>
      <c r="C1294">
        <f>PNL!C1294</f>
        <v/>
      </c>
      <c r="D1294">
        <f>PNL!D1294</f>
        <v/>
      </c>
      <c r="E1294">
        <f>IF(AND(C1294="2027",OR(D1294="V01",D1294="V02",D1294="V03")),1,0)</f>
        <v/>
      </c>
      <c r="F1294">
        <f>IF(E1294=1,SUMIFS(Compta!$F$2:$F$675,Compta!$A$2:$A$675,A1294,Compta!$B$2:$B$675,B1294,Compta!$C$2:$C$675,"2026"),0)</f>
        <v/>
      </c>
      <c r="G1294">
        <f>IF(D1294="V01",cad!$I$21,IF(D1294="V02",cad!$J$21,cad!$K$21))</f>
        <v/>
      </c>
      <c r="H1294">
        <f>IF(D1294="V01",cad!$I$22,IF(D1294="V02",cad!$J$22,cad!$K$22))</f>
        <v/>
      </c>
      <c r="I1294">
        <f>IF(D1294="V01",cad!$I$27,IF(D1294="V02",cad!$J$27,cad!$K$27))</f>
        <v/>
      </c>
      <c r="J1294">
        <f>IF(D1294="V01",cad!$I$28,IF(D1294="V02",cad!$J$28,cad!$K$28))</f>
        <v/>
      </c>
      <c r="K1294">
        <f>IF(D1294="V01",cad!$I$29,IF(D1294="V02",cad!$J$29,cad!$K$29))</f>
        <v/>
      </c>
      <c r="L1294">
        <f>IF(D1294="V01",cad!$I$30,IF(D1294="V02",cad!$J$30,cad!$K$30))</f>
        <v/>
      </c>
      <c r="M1294">
        <f>IF(D1294="V01",cad!$I$31,IF(D1294="V02",cad!$J$31,cad!$K$31))</f>
        <v/>
      </c>
      <c r="N1294">
        <f>IF(D1294="V01",$R$2,IF(D1294="V02",$R$3,$R$4))</f>
        <v/>
      </c>
      <c r="O1294">
        <f>IF(OR(B1294="7062",B1294="706",B1294="708"),N1294,IF(B1294="6231",1+G1294,IF(B1294="6236",1+H1294,IF(OR(B1294="621",B1294="604",B1294="6063"),N1294*(1-L1294),IF(OR(B1294="6411",B1294="6413",B1294="6414",B1294="645"),(1+J1294)*(1+K1294),IF(OR(B1294="613",B1294="615",B1294="616",B1294="6226",B1294="625",B1294="626",B1294="6281"),(1+I1294)*(1-L1294)*(1+M1294),IF(OR(B1294="6331",B1294="63511",B1294="6333"),(1+I1294)*(1-L1294),IF(B1294="6811",1+I1294,1))))))))</f>
        <v/>
      </c>
      <c r="P1294">
        <f>IF(E1294=1,F1294*O1294,"")</f>
        <v/>
      </c>
    </row>
    <row r="1295">
      <c r="A1295">
        <f>PNL!A1295</f>
        <v/>
      </c>
      <c r="B1295">
        <f>PNL!B1295</f>
        <v/>
      </c>
      <c r="C1295">
        <f>PNL!C1295</f>
        <v/>
      </c>
      <c r="D1295">
        <f>PNL!D1295</f>
        <v/>
      </c>
      <c r="E1295">
        <f>IF(AND(C1295="2027",OR(D1295="V01",D1295="V02",D1295="V03")),1,0)</f>
        <v/>
      </c>
      <c r="F1295">
        <f>IF(E1295=1,SUMIFS(Compta!$F$2:$F$675,Compta!$A$2:$A$675,A1295,Compta!$B$2:$B$675,B1295,Compta!$C$2:$C$675,"2026"),0)</f>
        <v/>
      </c>
      <c r="G1295">
        <f>IF(D1295="V01",cad!$I$21,IF(D1295="V02",cad!$J$21,cad!$K$21))</f>
        <v/>
      </c>
      <c r="H1295">
        <f>IF(D1295="V01",cad!$I$22,IF(D1295="V02",cad!$J$22,cad!$K$22))</f>
        <v/>
      </c>
      <c r="I1295">
        <f>IF(D1295="V01",cad!$I$27,IF(D1295="V02",cad!$J$27,cad!$K$27))</f>
        <v/>
      </c>
      <c r="J1295">
        <f>IF(D1295="V01",cad!$I$28,IF(D1295="V02",cad!$J$28,cad!$K$28))</f>
        <v/>
      </c>
      <c r="K1295">
        <f>IF(D1295="V01",cad!$I$29,IF(D1295="V02",cad!$J$29,cad!$K$29))</f>
        <v/>
      </c>
      <c r="L1295">
        <f>IF(D1295="V01",cad!$I$30,IF(D1295="V02",cad!$J$30,cad!$K$30))</f>
        <v/>
      </c>
      <c r="M1295">
        <f>IF(D1295="V01",cad!$I$31,IF(D1295="V02",cad!$J$31,cad!$K$31))</f>
        <v/>
      </c>
      <c r="N1295">
        <f>IF(D1295="V01",$R$2,IF(D1295="V02",$R$3,$R$4))</f>
        <v/>
      </c>
      <c r="O1295">
        <f>IF(OR(B1295="7062",B1295="706",B1295="708"),N1295,IF(B1295="6231",1+G1295,IF(B1295="6236",1+H1295,IF(OR(B1295="621",B1295="604",B1295="6063"),N1295*(1-L1295),IF(OR(B1295="6411",B1295="6413",B1295="6414",B1295="645"),(1+J1295)*(1+K1295),IF(OR(B1295="613",B1295="615",B1295="616",B1295="6226",B1295="625",B1295="626",B1295="6281"),(1+I1295)*(1-L1295)*(1+M1295),IF(OR(B1295="6331",B1295="63511",B1295="6333"),(1+I1295)*(1-L1295),IF(B1295="6811",1+I1295,1))))))))</f>
        <v/>
      </c>
      <c r="P1295">
        <f>IF(E1295=1,F1295*O1295,"")</f>
        <v/>
      </c>
    </row>
    <row r="1296">
      <c r="A1296">
        <f>PNL!A1296</f>
        <v/>
      </c>
      <c r="B1296">
        <f>PNL!B1296</f>
        <v/>
      </c>
      <c r="C1296">
        <f>PNL!C1296</f>
        <v/>
      </c>
      <c r="D1296">
        <f>PNL!D1296</f>
        <v/>
      </c>
      <c r="E1296">
        <f>IF(AND(C1296="2027",OR(D1296="V01",D1296="V02",D1296="V03")),1,0)</f>
        <v/>
      </c>
      <c r="F1296">
        <f>IF(E1296=1,SUMIFS(Compta!$F$2:$F$675,Compta!$A$2:$A$675,A1296,Compta!$B$2:$B$675,B1296,Compta!$C$2:$C$675,"2026"),0)</f>
        <v/>
      </c>
      <c r="G1296">
        <f>IF(D1296="V01",cad!$I$21,IF(D1296="V02",cad!$J$21,cad!$K$21))</f>
        <v/>
      </c>
      <c r="H1296">
        <f>IF(D1296="V01",cad!$I$22,IF(D1296="V02",cad!$J$22,cad!$K$22))</f>
        <v/>
      </c>
      <c r="I1296">
        <f>IF(D1296="V01",cad!$I$27,IF(D1296="V02",cad!$J$27,cad!$K$27))</f>
        <v/>
      </c>
      <c r="J1296">
        <f>IF(D1296="V01",cad!$I$28,IF(D1296="V02",cad!$J$28,cad!$K$28))</f>
        <v/>
      </c>
      <c r="K1296">
        <f>IF(D1296="V01",cad!$I$29,IF(D1296="V02",cad!$J$29,cad!$K$29))</f>
        <v/>
      </c>
      <c r="L1296">
        <f>IF(D1296="V01",cad!$I$30,IF(D1296="V02",cad!$J$30,cad!$K$30))</f>
        <v/>
      </c>
      <c r="M1296">
        <f>IF(D1296="V01",cad!$I$31,IF(D1296="V02",cad!$J$31,cad!$K$31))</f>
        <v/>
      </c>
      <c r="N1296">
        <f>IF(D1296="V01",$R$2,IF(D1296="V02",$R$3,$R$4))</f>
        <v/>
      </c>
      <c r="O1296">
        <f>IF(OR(B1296="7062",B1296="706",B1296="708"),N1296,IF(B1296="6231",1+G1296,IF(B1296="6236",1+H1296,IF(OR(B1296="621",B1296="604",B1296="6063"),N1296*(1-L1296),IF(OR(B1296="6411",B1296="6413",B1296="6414",B1296="645"),(1+J1296)*(1+K1296),IF(OR(B1296="613",B1296="615",B1296="616",B1296="6226",B1296="625",B1296="626",B1296="6281"),(1+I1296)*(1-L1296)*(1+M1296),IF(OR(B1296="6331",B1296="63511",B1296="6333"),(1+I1296)*(1-L1296),IF(B1296="6811",1+I1296,1))))))))</f>
        <v/>
      </c>
      <c r="P1296">
        <f>IF(E1296=1,F1296*O1296,"")</f>
        <v/>
      </c>
    </row>
    <row r="1297">
      <c r="A1297">
        <f>PNL!A1297</f>
        <v/>
      </c>
      <c r="B1297">
        <f>PNL!B1297</f>
        <v/>
      </c>
      <c r="C1297">
        <f>PNL!C1297</f>
        <v/>
      </c>
      <c r="D1297">
        <f>PNL!D1297</f>
        <v/>
      </c>
      <c r="E1297">
        <f>IF(AND(C1297="2027",OR(D1297="V01",D1297="V02",D1297="V03")),1,0)</f>
        <v/>
      </c>
      <c r="F1297">
        <f>IF(E1297=1,SUMIFS(Compta!$F$2:$F$675,Compta!$A$2:$A$675,A1297,Compta!$B$2:$B$675,B1297,Compta!$C$2:$C$675,"2026"),0)</f>
        <v/>
      </c>
      <c r="G1297">
        <f>IF(D1297="V01",cad!$I$21,IF(D1297="V02",cad!$J$21,cad!$K$21))</f>
        <v/>
      </c>
      <c r="H1297">
        <f>IF(D1297="V01",cad!$I$22,IF(D1297="V02",cad!$J$22,cad!$K$22))</f>
        <v/>
      </c>
      <c r="I1297">
        <f>IF(D1297="V01",cad!$I$27,IF(D1297="V02",cad!$J$27,cad!$K$27))</f>
        <v/>
      </c>
      <c r="J1297">
        <f>IF(D1297="V01",cad!$I$28,IF(D1297="V02",cad!$J$28,cad!$K$28))</f>
        <v/>
      </c>
      <c r="K1297">
        <f>IF(D1297="V01",cad!$I$29,IF(D1297="V02",cad!$J$29,cad!$K$29))</f>
        <v/>
      </c>
      <c r="L1297">
        <f>IF(D1297="V01",cad!$I$30,IF(D1297="V02",cad!$J$30,cad!$K$30))</f>
        <v/>
      </c>
      <c r="M1297">
        <f>IF(D1297="V01",cad!$I$31,IF(D1297="V02",cad!$J$31,cad!$K$31))</f>
        <v/>
      </c>
      <c r="N1297">
        <f>IF(D1297="V01",$R$2,IF(D1297="V02",$R$3,$R$4))</f>
        <v/>
      </c>
      <c r="O1297">
        <f>IF(OR(B1297="7062",B1297="706",B1297="708"),N1297,IF(B1297="6231",1+G1297,IF(B1297="6236",1+H1297,IF(OR(B1297="621",B1297="604",B1297="6063"),N1297*(1-L1297),IF(OR(B1297="6411",B1297="6413",B1297="6414",B1297="645"),(1+J1297)*(1+K1297),IF(OR(B1297="613",B1297="615",B1297="616",B1297="6226",B1297="625",B1297="626",B1297="6281"),(1+I1297)*(1-L1297)*(1+M1297),IF(OR(B1297="6331",B1297="63511",B1297="6333"),(1+I1297)*(1-L1297),IF(B1297="6811",1+I1297,1))))))))</f>
        <v/>
      </c>
      <c r="P1297">
        <f>IF(E1297=1,F1297*O1297,"")</f>
        <v/>
      </c>
    </row>
    <row r="1298">
      <c r="A1298">
        <f>PNL!A1298</f>
        <v/>
      </c>
      <c r="B1298">
        <f>PNL!B1298</f>
        <v/>
      </c>
      <c r="C1298">
        <f>PNL!C1298</f>
        <v/>
      </c>
      <c r="D1298">
        <f>PNL!D1298</f>
        <v/>
      </c>
      <c r="E1298">
        <f>IF(AND(C1298="2027",OR(D1298="V01",D1298="V02",D1298="V03")),1,0)</f>
        <v/>
      </c>
      <c r="F1298">
        <f>IF(E1298=1,SUMIFS(Compta!$F$2:$F$675,Compta!$A$2:$A$675,A1298,Compta!$B$2:$B$675,B1298,Compta!$C$2:$C$675,"2026"),0)</f>
        <v/>
      </c>
      <c r="G1298">
        <f>IF(D1298="V01",cad!$I$21,IF(D1298="V02",cad!$J$21,cad!$K$21))</f>
        <v/>
      </c>
      <c r="H1298">
        <f>IF(D1298="V01",cad!$I$22,IF(D1298="V02",cad!$J$22,cad!$K$22))</f>
        <v/>
      </c>
      <c r="I1298">
        <f>IF(D1298="V01",cad!$I$27,IF(D1298="V02",cad!$J$27,cad!$K$27))</f>
        <v/>
      </c>
      <c r="J1298">
        <f>IF(D1298="V01",cad!$I$28,IF(D1298="V02",cad!$J$28,cad!$K$28))</f>
        <v/>
      </c>
      <c r="K1298">
        <f>IF(D1298="V01",cad!$I$29,IF(D1298="V02",cad!$J$29,cad!$K$29))</f>
        <v/>
      </c>
      <c r="L1298">
        <f>IF(D1298="V01",cad!$I$30,IF(D1298="V02",cad!$J$30,cad!$K$30))</f>
        <v/>
      </c>
      <c r="M1298">
        <f>IF(D1298="V01",cad!$I$31,IF(D1298="V02",cad!$J$31,cad!$K$31))</f>
        <v/>
      </c>
      <c r="N1298">
        <f>IF(D1298="V01",$R$2,IF(D1298="V02",$R$3,$R$4))</f>
        <v/>
      </c>
      <c r="O1298">
        <f>IF(OR(B1298="7062",B1298="706",B1298="708"),N1298,IF(B1298="6231",1+G1298,IF(B1298="6236",1+H1298,IF(OR(B1298="621",B1298="604",B1298="6063"),N1298*(1-L1298),IF(OR(B1298="6411",B1298="6413",B1298="6414",B1298="645"),(1+J1298)*(1+K1298),IF(OR(B1298="613",B1298="615",B1298="616",B1298="6226",B1298="625",B1298="626",B1298="6281"),(1+I1298)*(1-L1298)*(1+M1298),IF(OR(B1298="6331",B1298="63511",B1298="6333"),(1+I1298)*(1-L1298),IF(B1298="6811",1+I1298,1))))))))</f>
        <v/>
      </c>
      <c r="P1298">
        <f>IF(E1298=1,F1298*O1298,"")</f>
        <v/>
      </c>
    </row>
    <row r="1299">
      <c r="A1299">
        <f>PNL!A1299</f>
        <v/>
      </c>
      <c r="B1299">
        <f>PNL!B1299</f>
        <v/>
      </c>
      <c r="C1299">
        <f>PNL!C1299</f>
        <v/>
      </c>
      <c r="D1299">
        <f>PNL!D1299</f>
        <v/>
      </c>
      <c r="E1299">
        <f>IF(AND(C1299="2027",OR(D1299="V01",D1299="V02",D1299="V03")),1,0)</f>
        <v/>
      </c>
      <c r="F1299">
        <f>IF(E1299=1,SUMIFS(Compta!$F$2:$F$675,Compta!$A$2:$A$675,A1299,Compta!$B$2:$B$675,B1299,Compta!$C$2:$C$675,"2026"),0)</f>
        <v/>
      </c>
      <c r="G1299">
        <f>IF(D1299="V01",cad!$I$21,IF(D1299="V02",cad!$J$21,cad!$K$21))</f>
        <v/>
      </c>
      <c r="H1299">
        <f>IF(D1299="V01",cad!$I$22,IF(D1299="V02",cad!$J$22,cad!$K$22))</f>
        <v/>
      </c>
      <c r="I1299">
        <f>IF(D1299="V01",cad!$I$27,IF(D1299="V02",cad!$J$27,cad!$K$27))</f>
        <v/>
      </c>
      <c r="J1299">
        <f>IF(D1299="V01",cad!$I$28,IF(D1299="V02",cad!$J$28,cad!$K$28))</f>
        <v/>
      </c>
      <c r="K1299">
        <f>IF(D1299="V01",cad!$I$29,IF(D1299="V02",cad!$J$29,cad!$K$29))</f>
        <v/>
      </c>
      <c r="L1299">
        <f>IF(D1299="V01",cad!$I$30,IF(D1299="V02",cad!$J$30,cad!$K$30))</f>
        <v/>
      </c>
      <c r="M1299">
        <f>IF(D1299="V01",cad!$I$31,IF(D1299="V02",cad!$J$31,cad!$K$31))</f>
        <v/>
      </c>
      <c r="N1299">
        <f>IF(D1299="V01",$R$2,IF(D1299="V02",$R$3,$R$4))</f>
        <v/>
      </c>
      <c r="O1299">
        <f>IF(OR(B1299="7062",B1299="706",B1299="708"),N1299,IF(B1299="6231",1+G1299,IF(B1299="6236",1+H1299,IF(OR(B1299="621",B1299="604",B1299="6063"),N1299*(1-L1299),IF(OR(B1299="6411",B1299="6413",B1299="6414",B1299="645"),(1+J1299)*(1+K1299),IF(OR(B1299="613",B1299="615",B1299="616",B1299="6226",B1299="625",B1299="626",B1299="6281"),(1+I1299)*(1-L1299)*(1+M1299),IF(OR(B1299="6331",B1299="63511",B1299="6333"),(1+I1299)*(1-L1299),IF(B1299="6811",1+I1299,1))))))))</f>
        <v/>
      </c>
      <c r="P1299">
        <f>IF(E1299=1,F1299*O1299,"")</f>
        <v/>
      </c>
    </row>
    <row r="1300">
      <c r="A1300">
        <f>PNL!A1300</f>
        <v/>
      </c>
      <c r="B1300">
        <f>PNL!B1300</f>
        <v/>
      </c>
      <c r="C1300">
        <f>PNL!C1300</f>
        <v/>
      </c>
      <c r="D1300">
        <f>PNL!D1300</f>
        <v/>
      </c>
      <c r="E1300">
        <f>IF(AND(C1300="2027",OR(D1300="V01",D1300="V02",D1300="V03")),1,0)</f>
        <v/>
      </c>
      <c r="F1300">
        <f>IF(E1300=1,SUMIFS(Compta!$F$2:$F$675,Compta!$A$2:$A$675,A1300,Compta!$B$2:$B$675,B1300,Compta!$C$2:$C$675,"2026"),0)</f>
        <v/>
      </c>
      <c r="G1300">
        <f>IF(D1300="V01",cad!$I$21,IF(D1300="V02",cad!$J$21,cad!$K$21))</f>
        <v/>
      </c>
      <c r="H1300">
        <f>IF(D1300="V01",cad!$I$22,IF(D1300="V02",cad!$J$22,cad!$K$22))</f>
        <v/>
      </c>
      <c r="I1300">
        <f>IF(D1300="V01",cad!$I$27,IF(D1300="V02",cad!$J$27,cad!$K$27))</f>
        <v/>
      </c>
      <c r="J1300">
        <f>IF(D1300="V01",cad!$I$28,IF(D1300="V02",cad!$J$28,cad!$K$28))</f>
        <v/>
      </c>
      <c r="K1300">
        <f>IF(D1300="V01",cad!$I$29,IF(D1300="V02",cad!$J$29,cad!$K$29))</f>
        <v/>
      </c>
      <c r="L1300">
        <f>IF(D1300="V01",cad!$I$30,IF(D1300="V02",cad!$J$30,cad!$K$30))</f>
        <v/>
      </c>
      <c r="M1300">
        <f>IF(D1300="V01",cad!$I$31,IF(D1300="V02",cad!$J$31,cad!$K$31))</f>
        <v/>
      </c>
      <c r="N1300">
        <f>IF(D1300="V01",$R$2,IF(D1300="V02",$R$3,$R$4))</f>
        <v/>
      </c>
      <c r="O1300">
        <f>IF(OR(B1300="7062",B1300="706",B1300="708"),N1300,IF(B1300="6231",1+G1300,IF(B1300="6236",1+H1300,IF(OR(B1300="621",B1300="604",B1300="6063"),N1300*(1-L1300),IF(OR(B1300="6411",B1300="6413",B1300="6414",B1300="645"),(1+J1300)*(1+K1300),IF(OR(B1300="613",B1300="615",B1300="616",B1300="6226",B1300="625",B1300="626",B1300="6281"),(1+I1300)*(1-L1300)*(1+M1300),IF(OR(B1300="6331",B1300="63511",B1300="6333"),(1+I1300)*(1-L1300),IF(B1300="6811",1+I1300,1))))))))</f>
        <v/>
      </c>
      <c r="P1300">
        <f>IF(E1300=1,F1300*O1300,"")</f>
        <v/>
      </c>
    </row>
    <row r="1301">
      <c r="A1301">
        <f>PNL!A1301</f>
        <v/>
      </c>
      <c r="B1301">
        <f>PNL!B1301</f>
        <v/>
      </c>
      <c r="C1301">
        <f>PNL!C1301</f>
        <v/>
      </c>
      <c r="D1301">
        <f>PNL!D1301</f>
        <v/>
      </c>
      <c r="E1301">
        <f>IF(AND(C1301="2027",OR(D1301="V01",D1301="V02",D1301="V03")),1,0)</f>
        <v/>
      </c>
      <c r="F1301">
        <f>IF(E1301=1,SUMIFS(Compta!$F$2:$F$675,Compta!$A$2:$A$675,A1301,Compta!$B$2:$B$675,B1301,Compta!$C$2:$C$675,"2026"),0)</f>
        <v/>
      </c>
      <c r="G1301">
        <f>IF(D1301="V01",cad!$I$21,IF(D1301="V02",cad!$J$21,cad!$K$21))</f>
        <v/>
      </c>
      <c r="H1301">
        <f>IF(D1301="V01",cad!$I$22,IF(D1301="V02",cad!$J$22,cad!$K$22))</f>
        <v/>
      </c>
      <c r="I1301">
        <f>IF(D1301="V01",cad!$I$27,IF(D1301="V02",cad!$J$27,cad!$K$27))</f>
        <v/>
      </c>
      <c r="J1301">
        <f>IF(D1301="V01",cad!$I$28,IF(D1301="V02",cad!$J$28,cad!$K$28))</f>
        <v/>
      </c>
      <c r="K1301">
        <f>IF(D1301="V01",cad!$I$29,IF(D1301="V02",cad!$J$29,cad!$K$29))</f>
        <v/>
      </c>
      <c r="L1301">
        <f>IF(D1301="V01",cad!$I$30,IF(D1301="V02",cad!$J$30,cad!$K$30))</f>
        <v/>
      </c>
      <c r="M1301">
        <f>IF(D1301="V01",cad!$I$31,IF(D1301="V02",cad!$J$31,cad!$K$31))</f>
        <v/>
      </c>
      <c r="N1301">
        <f>IF(D1301="V01",$R$2,IF(D1301="V02",$R$3,$R$4))</f>
        <v/>
      </c>
      <c r="O1301">
        <f>IF(OR(B1301="7062",B1301="706",B1301="708"),N1301,IF(B1301="6231",1+G1301,IF(B1301="6236",1+H1301,IF(OR(B1301="621",B1301="604",B1301="6063"),N1301*(1-L1301),IF(OR(B1301="6411",B1301="6413",B1301="6414",B1301="645"),(1+J1301)*(1+K1301),IF(OR(B1301="613",B1301="615",B1301="616",B1301="6226",B1301="625",B1301="626",B1301="6281"),(1+I1301)*(1-L1301)*(1+M1301),IF(OR(B1301="6331",B1301="63511",B1301="6333"),(1+I1301)*(1-L1301),IF(B1301="6811",1+I1301,1))))))))</f>
        <v/>
      </c>
      <c r="P1301">
        <f>IF(E1301=1,F1301*O1301,"")</f>
        <v/>
      </c>
    </row>
    <row r="1302">
      <c r="A1302">
        <f>PNL!A1302</f>
        <v/>
      </c>
      <c r="B1302">
        <f>PNL!B1302</f>
        <v/>
      </c>
      <c r="C1302">
        <f>PNL!C1302</f>
        <v/>
      </c>
      <c r="D1302">
        <f>PNL!D1302</f>
        <v/>
      </c>
      <c r="E1302">
        <f>IF(AND(C1302="2027",OR(D1302="V01",D1302="V02",D1302="V03")),1,0)</f>
        <v/>
      </c>
      <c r="F1302">
        <f>IF(E1302=1,SUMIFS(Compta!$F$2:$F$675,Compta!$A$2:$A$675,A1302,Compta!$B$2:$B$675,B1302,Compta!$C$2:$C$675,"2026"),0)</f>
        <v/>
      </c>
      <c r="G1302">
        <f>IF(D1302="V01",cad!$I$21,IF(D1302="V02",cad!$J$21,cad!$K$21))</f>
        <v/>
      </c>
      <c r="H1302">
        <f>IF(D1302="V01",cad!$I$22,IF(D1302="V02",cad!$J$22,cad!$K$22))</f>
        <v/>
      </c>
      <c r="I1302">
        <f>IF(D1302="V01",cad!$I$27,IF(D1302="V02",cad!$J$27,cad!$K$27))</f>
        <v/>
      </c>
      <c r="J1302">
        <f>IF(D1302="V01",cad!$I$28,IF(D1302="V02",cad!$J$28,cad!$K$28))</f>
        <v/>
      </c>
      <c r="K1302">
        <f>IF(D1302="V01",cad!$I$29,IF(D1302="V02",cad!$J$29,cad!$K$29))</f>
        <v/>
      </c>
      <c r="L1302">
        <f>IF(D1302="V01",cad!$I$30,IF(D1302="V02",cad!$J$30,cad!$K$30))</f>
        <v/>
      </c>
      <c r="M1302">
        <f>IF(D1302="V01",cad!$I$31,IF(D1302="V02",cad!$J$31,cad!$K$31))</f>
        <v/>
      </c>
      <c r="N1302">
        <f>IF(D1302="V01",$R$2,IF(D1302="V02",$R$3,$R$4))</f>
        <v/>
      </c>
      <c r="O1302">
        <f>IF(OR(B1302="7062",B1302="706",B1302="708"),N1302,IF(B1302="6231",1+G1302,IF(B1302="6236",1+H1302,IF(OR(B1302="621",B1302="604",B1302="6063"),N1302*(1-L1302),IF(OR(B1302="6411",B1302="6413",B1302="6414",B1302="645"),(1+J1302)*(1+K1302),IF(OR(B1302="613",B1302="615",B1302="616",B1302="6226",B1302="625",B1302="626",B1302="6281"),(1+I1302)*(1-L1302)*(1+M1302),IF(OR(B1302="6331",B1302="63511",B1302="6333"),(1+I1302)*(1-L1302),IF(B1302="6811",1+I1302,1))))))))</f>
        <v/>
      </c>
      <c r="P1302">
        <f>IF(E1302=1,F1302*O1302,"")</f>
        <v/>
      </c>
    </row>
    <row r="1303">
      <c r="A1303">
        <f>PNL!A1303</f>
        <v/>
      </c>
      <c r="B1303">
        <f>PNL!B1303</f>
        <v/>
      </c>
      <c r="C1303">
        <f>PNL!C1303</f>
        <v/>
      </c>
      <c r="D1303">
        <f>PNL!D1303</f>
        <v/>
      </c>
      <c r="E1303">
        <f>IF(AND(C1303="2027",OR(D1303="V01",D1303="V02",D1303="V03")),1,0)</f>
        <v/>
      </c>
      <c r="F1303">
        <f>IF(E1303=1,SUMIFS(Compta!$F$2:$F$675,Compta!$A$2:$A$675,A1303,Compta!$B$2:$B$675,B1303,Compta!$C$2:$C$675,"2026"),0)</f>
        <v/>
      </c>
      <c r="G1303">
        <f>IF(D1303="V01",cad!$I$21,IF(D1303="V02",cad!$J$21,cad!$K$21))</f>
        <v/>
      </c>
      <c r="H1303">
        <f>IF(D1303="V01",cad!$I$22,IF(D1303="V02",cad!$J$22,cad!$K$22))</f>
        <v/>
      </c>
      <c r="I1303">
        <f>IF(D1303="V01",cad!$I$27,IF(D1303="V02",cad!$J$27,cad!$K$27))</f>
        <v/>
      </c>
      <c r="J1303">
        <f>IF(D1303="V01",cad!$I$28,IF(D1303="V02",cad!$J$28,cad!$K$28))</f>
        <v/>
      </c>
      <c r="K1303">
        <f>IF(D1303="V01",cad!$I$29,IF(D1303="V02",cad!$J$29,cad!$K$29))</f>
        <v/>
      </c>
      <c r="L1303">
        <f>IF(D1303="V01",cad!$I$30,IF(D1303="V02",cad!$J$30,cad!$K$30))</f>
        <v/>
      </c>
      <c r="M1303">
        <f>IF(D1303="V01",cad!$I$31,IF(D1303="V02",cad!$J$31,cad!$K$31))</f>
        <v/>
      </c>
      <c r="N1303">
        <f>IF(D1303="V01",$R$2,IF(D1303="V02",$R$3,$R$4))</f>
        <v/>
      </c>
      <c r="O1303">
        <f>IF(OR(B1303="7062",B1303="706",B1303="708"),N1303,IF(B1303="6231",1+G1303,IF(B1303="6236",1+H1303,IF(OR(B1303="621",B1303="604",B1303="6063"),N1303*(1-L1303),IF(OR(B1303="6411",B1303="6413",B1303="6414",B1303="645"),(1+J1303)*(1+K1303),IF(OR(B1303="613",B1303="615",B1303="616",B1303="6226",B1303="625",B1303="626",B1303="6281"),(1+I1303)*(1-L1303)*(1+M1303),IF(OR(B1303="6331",B1303="63511",B1303="6333"),(1+I1303)*(1-L1303),IF(B1303="6811",1+I1303,1))))))))</f>
        <v/>
      </c>
      <c r="P1303">
        <f>IF(E1303=1,F1303*O1303,"")</f>
        <v/>
      </c>
    </row>
    <row r="1304">
      <c r="A1304">
        <f>PNL!A1304</f>
        <v/>
      </c>
      <c r="B1304">
        <f>PNL!B1304</f>
        <v/>
      </c>
      <c r="C1304">
        <f>PNL!C1304</f>
        <v/>
      </c>
      <c r="D1304">
        <f>PNL!D1304</f>
        <v/>
      </c>
      <c r="E1304">
        <f>IF(AND(C1304="2027",OR(D1304="V01",D1304="V02",D1304="V03")),1,0)</f>
        <v/>
      </c>
      <c r="F1304">
        <f>IF(E1304=1,SUMIFS(Compta!$F$2:$F$675,Compta!$A$2:$A$675,A1304,Compta!$B$2:$B$675,B1304,Compta!$C$2:$C$675,"2026"),0)</f>
        <v/>
      </c>
      <c r="G1304">
        <f>IF(D1304="V01",cad!$I$21,IF(D1304="V02",cad!$J$21,cad!$K$21))</f>
        <v/>
      </c>
      <c r="H1304">
        <f>IF(D1304="V01",cad!$I$22,IF(D1304="V02",cad!$J$22,cad!$K$22))</f>
        <v/>
      </c>
      <c r="I1304">
        <f>IF(D1304="V01",cad!$I$27,IF(D1304="V02",cad!$J$27,cad!$K$27))</f>
        <v/>
      </c>
      <c r="J1304">
        <f>IF(D1304="V01",cad!$I$28,IF(D1304="V02",cad!$J$28,cad!$K$28))</f>
        <v/>
      </c>
      <c r="K1304">
        <f>IF(D1304="V01",cad!$I$29,IF(D1304="V02",cad!$J$29,cad!$K$29))</f>
        <v/>
      </c>
      <c r="L1304">
        <f>IF(D1304="V01",cad!$I$30,IF(D1304="V02",cad!$J$30,cad!$K$30))</f>
        <v/>
      </c>
      <c r="M1304">
        <f>IF(D1304="V01",cad!$I$31,IF(D1304="V02",cad!$J$31,cad!$K$31))</f>
        <v/>
      </c>
      <c r="N1304">
        <f>IF(D1304="V01",$R$2,IF(D1304="V02",$R$3,$R$4))</f>
        <v/>
      </c>
      <c r="O1304">
        <f>IF(OR(B1304="7062",B1304="706",B1304="708"),N1304,IF(B1304="6231",1+G1304,IF(B1304="6236",1+H1304,IF(OR(B1304="621",B1304="604",B1304="6063"),N1304*(1-L1304),IF(OR(B1304="6411",B1304="6413",B1304="6414",B1304="645"),(1+J1304)*(1+K1304),IF(OR(B1304="613",B1304="615",B1304="616",B1304="6226",B1304="625",B1304="626",B1304="6281"),(1+I1304)*(1-L1304)*(1+M1304),IF(OR(B1304="6331",B1304="63511",B1304="6333"),(1+I1304)*(1-L1304),IF(B1304="6811",1+I1304,1))))))))</f>
        <v/>
      </c>
      <c r="P1304">
        <f>IF(E1304=1,F1304*O1304,"")</f>
        <v/>
      </c>
    </row>
    <row r="1305">
      <c r="A1305">
        <f>PNL!A1305</f>
        <v/>
      </c>
      <c r="B1305">
        <f>PNL!B1305</f>
        <v/>
      </c>
      <c r="C1305">
        <f>PNL!C1305</f>
        <v/>
      </c>
      <c r="D1305">
        <f>PNL!D1305</f>
        <v/>
      </c>
      <c r="E1305">
        <f>IF(AND(C1305="2027",OR(D1305="V01",D1305="V02",D1305="V03")),1,0)</f>
        <v/>
      </c>
      <c r="F1305">
        <f>IF(E1305=1,SUMIFS(Compta!$F$2:$F$675,Compta!$A$2:$A$675,A1305,Compta!$B$2:$B$675,B1305,Compta!$C$2:$C$675,"2026"),0)</f>
        <v/>
      </c>
      <c r="G1305">
        <f>IF(D1305="V01",cad!$I$21,IF(D1305="V02",cad!$J$21,cad!$K$21))</f>
        <v/>
      </c>
      <c r="H1305">
        <f>IF(D1305="V01",cad!$I$22,IF(D1305="V02",cad!$J$22,cad!$K$22))</f>
        <v/>
      </c>
      <c r="I1305">
        <f>IF(D1305="V01",cad!$I$27,IF(D1305="V02",cad!$J$27,cad!$K$27))</f>
        <v/>
      </c>
      <c r="J1305">
        <f>IF(D1305="V01",cad!$I$28,IF(D1305="V02",cad!$J$28,cad!$K$28))</f>
        <v/>
      </c>
      <c r="K1305">
        <f>IF(D1305="V01",cad!$I$29,IF(D1305="V02",cad!$J$29,cad!$K$29))</f>
        <v/>
      </c>
      <c r="L1305">
        <f>IF(D1305="V01",cad!$I$30,IF(D1305="V02",cad!$J$30,cad!$K$30))</f>
        <v/>
      </c>
      <c r="M1305">
        <f>IF(D1305="V01",cad!$I$31,IF(D1305="V02",cad!$J$31,cad!$K$31))</f>
        <v/>
      </c>
      <c r="N1305">
        <f>IF(D1305="V01",$R$2,IF(D1305="V02",$R$3,$R$4))</f>
        <v/>
      </c>
      <c r="O1305">
        <f>IF(OR(B1305="7062",B1305="706",B1305="708"),N1305,IF(B1305="6231",1+G1305,IF(B1305="6236",1+H1305,IF(OR(B1305="621",B1305="604",B1305="6063"),N1305*(1-L1305),IF(OR(B1305="6411",B1305="6413",B1305="6414",B1305="645"),(1+J1305)*(1+K1305),IF(OR(B1305="613",B1305="615",B1305="616",B1305="6226",B1305="625",B1305="626",B1305="6281"),(1+I1305)*(1-L1305)*(1+M1305),IF(OR(B1305="6331",B1305="63511",B1305="6333"),(1+I1305)*(1-L1305),IF(B1305="6811",1+I1305,1))))))))</f>
        <v/>
      </c>
      <c r="P1305">
        <f>IF(E1305=1,F1305*O1305,"")</f>
        <v/>
      </c>
    </row>
    <row r="1306">
      <c r="A1306">
        <f>PNL!A1306</f>
        <v/>
      </c>
      <c r="B1306">
        <f>PNL!B1306</f>
        <v/>
      </c>
      <c r="C1306">
        <f>PNL!C1306</f>
        <v/>
      </c>
      <c r="D1306">
        <f>PNL!D1306</f>
        <v/>
      </c>
      <c r="E1306">
        <f>IF(AND(C1306="2027",OR(D1306="V01",D1306="V02",D1306="V03")),1,0)</f>
        <v/>
      </c>
      <c r="F1306">
        <f>IF(E1306=1,SUMIFS(Compta!$F$2:$F$675,Compta!$A$2:$A$675,A1306,Compta!$B$2:$B$675,B1306,Compta!$C$2:$C$675,"2026"),0)</f>
        <v/>
      </c>
      <c r="G1306">
        <f>IF(D1306="V01",cad!$I$21,IF(D1306="V02",cad!$J$21,cad!$K$21))</f>
        <v/>
      </c>
      <c r="H1306">
        <f>IF(D1306="V01",cad!$I$22,IF(D1306="V02",cad!$J$22,cad!$K$22))</f>
        <v/>
      </c>
      <c r="I1306">
        <f>IF(D1306="V01",cad!$I$27,IF(D1306="V02",cad!$J$27,cad!$K$27))</f>
        <v/>
      </c>
      <c r="J1306">
        <f>IF(D1306="V01",cad!$I$28,IF(D1306="V02",cad!$J$28,cad!$K$28))</f>
        <v/>
      </c>
      <c r="K1306">
        <f>IF(D1306="V01",cad!$I$29,IF(D1306="V02",cad!$J$29,cad!$K$29))</f>
        <v/>
      </c>
      <c r="L1306">
        <f>IF(D1306="V01",cad!$I$30,IF(D1306="V02",cad!$J$30,cad!$K$30))</f>
        <v/>
      </c>
      <c r="M1306">
        <f>IF(D1306="V01",cad!$I$31,IF(D1306="V02",cad!$J$31,cad!$K$31))</f>
        <v/>
      </c>
      <c r="N1306">
        <f>IF(D1306="V01",$R$2,IF(D1306="V02",$R$3,$R$4))</f>
        <v/>
      </c>
      <c r="O1306">
        <f>IF(OR(B1306="7062",B1306="706",B1306="708"),N1306,IF(B1306="6231",1+G1306,IF(B1306="6236",1+H1306,IF(OR(B1306="621",B1306="604",B1306="6063"),N1306*(1-L1306),IF(OR(B1306="6411",B1306="6413",B1306="6414",B1306="645"),(1+J1306)*(1+K1306),IF(OR(B1306="613",B1306="615",B1306="616",B1306="6226",B1306="625",B1306="626",B1306="6281"),(1+I1306)*(1-L1306)*(1+M1306),IF(OR(B1306="6331",B1306="63511",B1306="6333"),(1+I1306)*(1-L1306),IF(B1306="6811",1+I1306,1))))))))</f>
        <v/>
      </c>
      <c r="P1306">
        <f>IF(E1306=1,F1306*O1306,"")</f>
        <v/>
      </c>
    </row>
    <row r="1307">
      <c r="A1307">
        <f>PNL!A1307</f>
        <v/>
      </c>
      <c r="B1307">
        <f>PNL!B1307</f>
        <v/>
      </c>
      <c r="C1307">
        <f>PNL!C1307</f>
        <v/>
      </c>
      <c r="D1307">
        <f>PNL!D1307</f>
        <v/>
      </c>
      <c r="E1307">
        <f>IF(AND(C1307="2027",OR(D1307="V01",D1307="V02",D1307="V03")),1,0)</f>
        <v/>
      </c>
      <c r="F1307">
        <f>IF(E1307=1,SUMIFS(Compta!$F$2:$F$675,Compta!$A$2:$A$675,A1307,Compta!$B$2:$B$675,B1307,Compta!$C$2:$C$675,"2026"),0)</f>
        <v/>
      </c>
      <c r="G1307">
        <f>IF(D1307="V01",cad!$I$21,IF(D1307="V02",cad!$J$21,cad!$K$21))</f>
        <v/>
      </c>
      <c r="H1307">
        <f>IF(D1307="V01",cad!$I$22,IF(D1307="V02",cad!$J$22,cad!$K$22))</f>
        <v/>
      </c>
      <c r="I1307">
        <f>IF(D1307="V01",cad!$I$27,IF(D1307="V02",cad!$J$27,cad!$K$27))</f>
        <v/>
      </c>
      <c r="J1307">
        <f>IF(D1307="V01",cad!$I$28,IF(D1307="V02",cad!$J$28,cad!$K$28))</f>
        <v/>
      </c>
      <c r="K1307">
        <f>IF(D1307="V01",cad!$I$29,IF(D1307="V02",cad!$J$29,cad!$K$29))</f>
        <v/>
      </c>
      <c r="L1307">
        <f>IF(D1307="V01",cad!$I$30,IF(D1307="V02",cad!$J$30,cad!$K$30))</f>
        <v/>
      </c>
      <c r="M1307">
        <f>IF(D1307="V01",cad!$I$31,IF(D1307="V02",cad!$J$31,cad!$K$31))</f>
        <v/>
      </c>
      <c r="N1307">
        <f>IF(D1307="V01",$R$2,IF(D1307="V02",$R$3,$R$4))</f>
        <v/>
      </c>
      <c r="O1307">
        <f>IF(OR(B1307="7062",B1307="706",B1307="708"),N1307,IF(B1307="6231",1+G1307,IF(B1307="6236",1+H1307,IF(OR(B1307="621",B1307="604",B1307="6063"),N1307*(1-L1307),IF(OR(B1307="6411",B1307="6413",B1307="6414",B1307="645"),(1+J1307)*(1+K1307),IF(OR(B1307="613",B1307="615",B1307="616",B1307="6226",B1307="625",B1307="626",B1307="6281"),(1+I1307)*(1-L1307)*(1+M1307),IF(OR(B1307="6331",B1307="63511",B1307="6333"),(1+I1307)*(1-L1307),IF(B1307="6811",1+I1307,1))))))))</f>
        <v/>
      </c>
      <c r="P1307">
        <f>IF(E1307=1,F1307*O1307,"")</f>
        <v/>
      </c>
    </row>
    <row r="1308">
      <c r="A1308">
        <f>PNL!A1308</f>
        <v/>
      </c>
      <c r="B1308">
        <f>PNL!B1308</f>
        <v/>
      </c>
      <c r="C1308">
        <f>PNL!C1308</f>
        <v/>
      </c>
      <c r="D1308">
        <f>PNL!D1308</f>
        <v/>
      </c>
      <c r="E1308">
        <f>IF(AND(C1308="2027",OR(D1308="V01",D1308="V02",D1308="V03")),1,0)</f>
        <v/>
      </c>
      <c r="F1308">
        <f>IF(E1308=1,SUMIFS(Compta!$F$2:$F$675,Compta!$A$2:$A$675,A1308,Compta!$B$2:$B$675,B1308,Compta!$C$2:$C$675,"2026"),0)</f>
        <v/>
      </c>
      <c r="G1308">
        <f>IF(D1308="V01",cad!$I$21,IF(D1308="V02",cad!$J$21,cad!$K$21))</f>
        <v/>
      </c>
      <c r="H1308">
        <f>IF(D1308="V01",cad!$I$22,IF(D1308="V02",cad!$J$22,cad!$K$22))</f>
        <v/>
      </c>
      <c r="I1308">
        <f>IF(D1308="V01",cad!$I$27,IF(D1308="V02",cad!$J$27,cad!$K$27))</f>
        <v/>
      </c>
      <c r="J1308">
        <f>IF(D1308="V01",cad!$I$28,IF(D1308="V02",cad!$J$28,cad!$K$28))</f>
        <v/>
      </c>
      <c r="K1308">
        <f>IF(D1308="V01",cad!$I$29,IF(D1308="V02",cad!$J$29,cad!$K$29))</f>
        <v/>
      </c>
      <c r="L1308">
        <f>IF(D1308="V01",cad!$I$30,IF(D1308="V02",cad!$J$30,cad!$K$30))</f>
        <v/>
      </c>
      <c r="M1308">
        <f>IF(D1308="V01",cad!$I$31,IF(D1308="V02",cad!$J$31,cad!$K$31))</f>
        <v/>
      </c>
      <c r="N1308">
        <f>IF(D1308="V01",$R$2,IF(D1308="V02",$R$3,$R$4))</f>
        <v/>
      </c>
      <c r="O1308">
        <f>IF(OR(B1308="7062",B1308="706",B1308="708"),N1308,IF(B1308="6231",1+G1308,IF(B1308="6236",1+H1308,IF(OR(B1308="621",B1308="604",B1308="6063"),N1308*(1-L1308),IF(OR(B1308="6411",B1308="6413",B1308="6414",B1308="645"),(1+J1308)*(1+K1308),IF(OR(B1308="613",B1308="615",B1308="616",B1308="6226",B1308="625",B1308="626",B1308="6281"),(1+I1308)*(1-L1308)*(1+M1308),IF(OR(B1308="6331",B1308="63511",B1308="6333"),(1+I1308)*(1-L1308),IF(B1308="6811",1+I1308,1))))))))</f>
        <v/>
      </c>
      <c r="P1308">
        <f>IF(E1308=1,F1308*O1308,"")</f>
        <v/>
      </c>
    </row>
    <row r="1309">
      <c r="A1309">
        <f>PNL!A1309</f>
        <v/>
      </c>
      <c r="B1309">
        <f>PNL!B1309</f>
        <v/>
      </c>
      <c r="C1309">
        <f>PNL!C1309</f>
        <v/>
      </c>
      <c r="D1309">
        <f>PNL!D1309</f>
        <v/>
      </c>
      <c r="E1309">
        <f>IF(AND(C1309="2027",OR(D1309="V01",D1309="V02",D1309="V03")),1,0)</f>
        <v/>
      </c>
      <c r="F1309">
        <f>IF(E1309=1,SUMIFS(Compta!$F$2:$F$675,Compta!$A$2:$A$675,A1309,Compta!$B$2:$B$675,B1309,Compta!$C$2:$C$675,"2026"),0)</f>
        <v/>
      </c>
      <c r="G1309">
        <f>IF(D1309="V01",cad!$I$21,IF(D1309="V02",cad!$J$21,cad!$K$21))</f>
        <v/>
      </c>
      <c r="H1309">
        <f>IF(D1309="V01",cad!$I$22,IF(D1309="V02",cad!$J$22,cad!$K$22))</f>
        <v/>
      </c>
      <c r="I1309">
        <f>IF(D1309="V01",cad!$I$27,IF(D1309="V02",cad!$J$27,cad!$K$27))</f>
        <v/>
      </c>
      <c r="J1309">
        <f>IF(D1309="V01",cad!$I$28,IF(D1309="V02",cad!$J$28,cad!$K$28))</f>
        <v/>
      </c>
      <c r="K1309">
        <f>IF(D1309="V01",cad!$I$29,IF(D1309="V02",cad!$J$29,cad!$K$29))</f>
        <v/>
      </c>
      <c r="L1309">
        <f>IF(D1309="V01",cad!$I$30,IF(D1309="V02",cad!$J$30,cad!$K$30))</f>
        <v/>
      </c>
      <c r="M1309">
        <f>IF(D1309="V01",cad!$I$31,IF(D1309="V02",cad!$J$31,cad!$K$31))</f>
        <v/>
      </c>
      <c r="N1309">
        <f>IF(D1309="V01",$R$2,IF(D1309="V02",$R$3,$R$4))</f>
        <v/>
      </c>
      <c r="O1309">
        <f>IF(OR(B1309="7062",B1309="706",B1309="708"),N1309,IF(B1309="6231",1+G1309,IF(B1309="6236",1+H1309,IF(OR(B1309="621",B1309="604",B1309="6063"),N1309*(1-L1309),IF(OR(B1309="6411",B1309="6413",B1309="6414",B1309="645"),(1+J1309)*(1+K1309),IF(OR(B1309="613",B1309="615",B1309="616",B1309="6226",B1309="625",B1309="626",B1309="6281"),(1+I1309)*(1-L1309)*(1+M1309),IF(OR(B1309="6331",B1309="63511",B1309="6333"),(1+I1309)*(1-L1309),IF(B1309="6811",1+I1309,1))))))))</f>
        <v/>
      </c>
      <c r="P1309">
        <f>IF(E1309=1,F1309*O1309,"")</f>
        <v/>
      </c>
    </row>
    <row r="1310">
      <c r="A1310">
        <f>PNL!A1310</f>
        <v/>
      </c>
      <c r="B1310">
        <f>PNL!B1310</f>
        <v/>
      </c>
      <c r="C1310">
        <f>PNL!C1310</f>
        <v/>
      </c>
      <c r="D1310">
        <f>PNL!D1310</f>
        <v/>
      </c>
      <c r="E1310">
        <f>IF(AND(C1310="2027",OR(D1310="V01",D1310="V02",D1310="V03")),1,0)</f>
        <v/>
      </c>
      <c r="F1310">
        <f>IF(E1310=1,SUMIFS(Compta!$F$2:$F$675,Compta!$A$2:$A$675,A1310,Compta!$B$2:$B$675,B1310,Compta!$C$2:$C$675,"2026"),0)</f>
        <v/>
      </c>
      <c r="G1310">
        <f>IF(D1310="V01",cad!$I$21,IF(D1310="V02",cad!$J$21,cad!$K$21))</f>
        <v/>
      </c>
      <c r="H1310">
        <f>IF(D1310="V01",cad!$I$22,IF(D1310="V02",cad!$J$22,cad!$K$22))</f>
        <v/>
      </c>
      <c r="I1310">
        <f>IF(D1310="V01",cad!$I$27,IF(D1310="V02",cad!$J$27,cad!$K$27))</f>
        <v/>
      </c>
      <c r="J1310">
        <f>IF(D1310="V01",cad!$I$28,IF(D1310="V02",cad!$J$28,cad!$K$28))</f>
        <v/>
      </c>
      <c r="K1310">
        <f>IF(D1310="V01",cad!$I$29,IF(D1310="V02",cad!$J$29,cad!$K$29))</f>
        <v/>
      </c>
      <c r="L1310">
        <f>IF(D1310="V01",cad!$I$30,IF(D1310="V02",cad!$J$30,cad!$K$30))</f>
        <v/>
      </c>
      <c r="M1310">
        <f>IF(D1310="V01",cad!$I$31,IF(D1310="V02",cad!$J$31,cad!$K$31))</f>
        <v/>
      </c>
      <c r="N1310">
        <f>IF(D1310="V01",$R$2,IF(D1310="V02",$R$3,$R$4))</f>
        <v/>
      </c>
      <c r="O1310">
        <f>IF(OR(B1310="7062",B1310="706",B1310="708"),N1310,IF(B1310="6231",1+G1310,IF(B1310="6236",1+H1310,IF(OR(B1310="621",B1310="604",B1310="6063"),N1310*(1-L1310),IF(OR(B1310="6411",B1310="6413",B1310="6414",B1310="645"),(1+J1310)*(1+K1310),IF(OR(B1310="613",B1310="615",B1310="616",B1310="6226",B1310="625",B1310="626",B1310="6281"),(1+I1310)*(1-L1310)*(1+M1310),IF(OR(B1310="6331",B1310="63511",B1310="6333"),(1+I1310)*(1-L1310),IF(B1310="6811",1+I1310,1))))))))</f>
        <v/>
      </c>
      <c r="P1310">
        <f>IF(E1310=1,F1310*O1310,"")</f>
        <v/>
      </c>
    </row>
    <row r="1311">
      <c r="A1311">
        <f>PNL!A1311</f>
        <v/>
      </c>
      <c r="B1311">
        <f>PNL!B1311</f>
        <v/>
      </c>
      <c r="C1311">
        <f>PNL!C1311</f>
        <v/>
      </c>
      <c r="D1311">
        <f>PNL!D1311</f>
        <v/>
      </c>
      <c r="E1311">
        <f>IF(AND(C1311="2027",OR(D1311="V01",D1311="V02",D1311="V03")),1,0)</f>
        <v/>
      </c>
      <c r="F1311">
        <f>IF(E1311=1,SUMIFS(Compta!$F$2:$F$675,Compta!$A$2:$A$675,A1311,Compta!$B$2:$B$675,B1311,Compta!$C$2:$C$675,"2026"),0)</f>
        <v/>
      </c>
      <c r="G1311">
        <f>IF(D1311="V01",cad!$I$21,IF(D1311="V02",cad!$J$21,cad!$K$21))</f>
        <v/>
      </c>
      <c r="H1311">
        <f>IF(D1311="V01",cad!$I$22,IF(D1311="V02",cad!$J$22,cad!$K$22))</f>
        <v/>
      </c>
      <c r="I1311">
        <f>IF(D1311="V01",cad!$I$27,IF(D1311="V02",cad!$J$27,cad!$K$27))</f>
        <v/>
      </c>
      <c r="J1311">
        <f>IF(D1311="V01",cad!$I$28,IF(D1311="V02",cad!$J$28,cad!$K$28))</f>
        <v/>
      </c>
      <c r="K1311">
        <f>IF(D1311="V01",cad!$I$29,IF(D1311="V02",cad!$J$29,cad!$K$29))</f>
        <v/>
      </c>
      <c r="L1311">
        <f>IF(D1311="V01",cad!$I$30,IF(D1311="V02",cad!$J$30,cad!$K$30))</f>
        <v/>
      </c>
      <c r="M1311">
        <f>IF(D1311="V01",cad!$I$31,IF(D1311="V02",cad!$J$31,cad!$K$31))</f>
        <v/>
      </c>
      <c r="N1311">
        <f>IF(D1311="V01",$R$2,IF(D1311="V02",$R$3,$R$4))</f>
        <v/>
      </c>
      <c r="O1311">
        <f>IF(OR(B1311="7062",B1311="706",B1311="708"),N1311,IF(B1311="6231",1+G1311,IF(B1311="6236",1+H1311,IF(OR(B1311="621",B1311="604",B1311="6063"),N1311*(1-L1311),IF(OR(B1311="6411",B1311="6413",B1311="6414",B1311="645"),(1+J1311)*(1+K1311),IF(OR(B1311="613",B1311="615",B1311="616",B1311="6226",B1311="625",B1311="626",B1311="6281"),(1+I1311)*(1-L1311)*(1+M1311),IF(OR(B1311="6331",B1311="63511",B1311="6333"),(1+I1311)*(1-L1311),IF(B1311="6811",1+I1311,1))))))))</f>
        <v/>
      </c>
      <c r="P1311">
        <f>IF(E1311=1,F1311*O1311,"")</f>
        <v/>
      </c>
    </row>
    <row r="1312">
      <c r="A1312">
        <f>PNL!A1312</f>
        <v/>
      </c>
      <c r="B1312">
        <f>PNL!B1312</f>
        <v/>
      </c>
      <c r="C1312">
        <f>PNL!C1312</f>
        <v/>
      </c>
      <c r="D1312">
        <f>PNL!D1312</f>
        <v/>
      </c>
      <c r="E1312">
        <f>IF(AND(C1312="2027",OR(D1312="V01",D1312="V02",D1312="V03")),1,0)</f>
        <v/>
      </c>
      <c r="F1312">
        <f>IF(E1312=1,SUMIFS(Compta!$F$2:$F$675,Compta!$A$2:$A$675,A1312,Compta!$B$2:$B$675,B1312,Compta!$C$2:$C$675,"2026"),0)</f>
        <v/>
      </c>
      <c r="G1312">
        <f>IF(D1312="V01",cad!$I$21,IF(D1312="V02",cad!$J$21,cad!$K$21))</f>
        <v/>
      </c>
      <c r="H1312">
        <f>IF(D1312="V01",cad!$I$22,IF(D1312="V02",cad!$J$22,cad!$K$22))</f>
        <v/>
      </c>
      <c r="I1312">
        <f>IF(D1312="V01",cad!$I$27,IF(D1312="V02",cad!$J$27,cad!$K$27))</f>
        <v/>
      </c>
      <c r="J1312">
        <f>IF(D1312="V01",cad!$I$28,IF(D1312="V02",cad!$J$28,cad!$K$28))</f>
        <v/>
      </c>
      <c r="K1312">
        <f>IF(D1312="V01",cad!$I$29,IF(D1312="V02",cad!$J$29,cad!$K$29))</f>
        <v/>
      </c>
      <c r="L1312">
        <f>IF(D1312="V01",cad!$I$30,IF(D1312="V02",cad!$J$30,cad!$K$30))</f>
        <v/>
      </c>
      <c r="M1312">
        <f>IF(D1312="V01",cad!$I$31,IF(D1312="V02",cad!$J$31,cad!$K$31))</f>
        <v/>
      </c>
      <c r="N1312">
        <f>IF(D1312="V01",$R$2,IF(D1312="V02",$R$3,$R$4))</f>
        <v/>
      </c>
      <c r="O1312">
        <f>IF(OR(B1312="7062",B1312="706",B1312="708"),N1312,IF(B1312="6231",1+G1312,IF(B1312="6236",1+H1312,IF(OR(B1312="621",B1312="604",B1312="6063"),N1312*(1-L1312),IF(OR(B1312="6411",B1312="6413",B1312="6414",B1312="645"),(1+J1312)*(1+K1312),IF(OR(B1312="613",B1312="615",B1312="616",B1312="6226",B1312="625",B1312="626",B1312="6281"),(1+I1312)*(1-L1312)*(1+M1312),IF(OR(B1312="6331",B1312="63511",B1312="6333"),(1+I1312)*(1-L1312),IF(B1312="6811",1+I1312,1))))))))</f>
        <v/>
      </c>
      <c r="P1312">
        <f>IF(E1312=1,F1312*O1312,"")</f>
        <v/>
      </c>
    </row>
    <row r="1313">
      <c r="A1313">
        <f>PNL!A1313</f>
        <v/>
      </c>
      <c r="B1313">
        <f>PNL!B1313</f>
        <v/>
      </c>
      <c r="C1313">
        <f>PNL!C1313</f>
        <v/>
      </c>
      <c r="D1313">
        <f>PNL!D1313</f>
        <v/>
      </c>
      <c r="E1313">
        <f>IF(AND(C1313="2027",OR(D1313="V01",D1313="V02",D1313="V03")),1,0)</f>
        <v/>
      </c>
      <c r="F1313">
        <f>IF(E1313=1,SUMIFS(Compta!$F$2:$F$675,Compta!$A$2:$A$675,A1313,Compta!$B$2:$B$675,B1313,Compta!$C$2:$C$675,"2026"),0)</f>
        <v/>
      </c>
      <c r="G1313">
        <f>IF(D1313="V01",cad!$I$21,IF(D1313="V02",cad!$J$21,cad!$K$21))</f>
        <v/>
      </c>
      <c r="H1313">
        <f>IF(D1313="V01",cad!$I$22,IF(D1313="V02",cad!$J$22,cad!$K$22))</f>
        <v/>
      </c>
      <c r="I1313">
        <f>IF(D1313="V01",cad!$I$27,IF(D1313="V02",cad!$J$27,cad!$K$27))</f>
        <v/>
      </c>
      <c r="J1313">
        <f>IF(D1313="V01",cad!$I$28,IF(D1313="V02",cad!$J$28,cad!$K$28))</f>
        <v/>
      </c>
      <c r="K1313">
        <f>IF(D1313="V01",cad!$I$29,IF(D1313="V02",cad!$J$29,cad!$K$29))</f>
        <v/>
      </c>
      <c r="L1313">
        <f>IF(D1313="V01",cad!$I$30,IF(D1313="V02",cad!$J$30,cad!$K$30))</f>
        <v/>
      </c>
      <c r="M1313">
        <f>IF(D1313="V01",cad!$I$31,IF(D1313="V02",cad!$J$31,cad!$K$31))</f>
        <v/>
      </c>
      <c r="N1313">
        <f>IF(D1313="V01",$R$2,IF(D1313="V02",$R$3,$R$4))</f>
        <v/>
      </c>
      <c r="O1313">
        <f>IF(OR(B1313="7062",B1313="706",B1313="708"),N1313,IF(B1313="6231",1+G1313,IF(B1313="6236",1+H1313,IF(OR(B1313="621",B1313="604",B1313="6063"),N1313*(1-L1313),IF(OR(B1313="6411",B1313="6413",B1313="6414",B1313="645"),(1+J1313)*(1+K1313),IF(OR(B1313="613",B1313="615",B1313="616",B1313="6226",B1313="625",B1313="626",B1313="6281"),(1+I1313)*(1-L1313)*(1+M1313),IF(OR(B1313="6331",B1313="63511",B1313="6333"),(1+I1313)*(1-L1313),IF(B1313="6811",1+I1313,1))))))))</f>
        <v/>
      </c>
      <c r="P1313">
        <f>IF(E1313=1,F1313*O1313,"")</f>
        <v/>
      </c>
    </row>
    <row r="1314">
      <c r="A1314">
        <f>PNL!A1314</f>
        <v/>
      </c>
      <c r="B1314">
        <f>PNL!B1314</f>
        <v/>
      </c>
      <c r="C1314">
        <f>PNL!C1314</f>
        <v/>
      </c>
      <c r="D1314">
        <f>PNL!D1314</f>
        <v/>
      </c>
      <c r="E1314">
        <f>IF(AND(C1314="2027",OR(D1314="V01",D1314="V02",D1314="V03")),1,0)</f>
        <v/>
      </c>
      <c r="F1314">
        <f>IF(E1314=1,SUMIFS(Compta!$F$2:$F$675,Compta!$A$2:$A$675,A1314,Compta!$B$2:$B$675,B1314,Compta!$C$2:$C$675,"2026"),0)</f>
        <v/>
      </c>
      <c r="G1314">
        <f>IF(D1314="V01",cad!$I$21,IF(D1314="V02",cad!$J$21,cad!$K$21))</f>
        <v/>
      </c>
      <c r="H1314">
        <f>IF(D1314="V01",cad!$I$22,IF(D1314="V02",cad!$J$22,cad!$K$22))</f>
        <v/>
      </c>
      <c r="I1314">
        <f>IF(D1314="V01",cad!$I$27,IF(D1314="V02",cad!$J$27,cad!$K$27))</f>
        <v/>
      </c>
      <c r="J1314">
        <f>IF(D1314="V01",cad!$I$28,IF(D1314="V02",cad!$J$28,cad!$K$28))</f>
        <v/>
      </c>
      <c r="K1314">
        <f>IF(D1314="V01",cad!$I$29,IF(D1314="V02",cad!$J$29,cad!$K$29))</f>
        <v/>
      </c>
      <c r="L1314">
        <f>IF(D1314="V01",cad!$I$30,IF(D1314="V02",cad!$J$30,cad!$K$30))</f>
        <v/>
      </c>
      <c r="M1314">
        <f>IF(D1314="V01",cad!$I$31,IF(D1314="V02",cad!$J$31,cad!$K$31))</f>
        <v/>
      </c>
      <c r="N1314">
        <f>IF(D1314="V01",$R$2,IF(D1314="V02",$R$3,$R$4))</f>
        <v/>
      </c>
      <c r="O1314">
        <f>IF(OR(B1314="7062",B1314="706",B1314="708"),N1314,IF(B1314="6231",1+G1314,IF(B1314="6236",1+H1314,IF(OR(B1314="621",B1314="604",B1314="6063"),N1314*(1-L1314),IF(OR(B1314="6411",B1314="6413",B1314="6414",B1314="645"),(1+J1314)*(1+K1314),IF(OR(B1314="613",B1314="615",B1314="616",B1314="6226",B1314="625",B1314="626",B1314="6281"),(1+I1314)*(1-L1314)*(1+M1314),IF(OR(B1314="6331",B1314="63511",B1314="6333"),(1+I1314)*(1-L1314),IF(B1314="6811",1+I1314,1))))))))</f>
        <v/>
      </c>
      <c r="P1314">
        <f>IF(E1314=1,F1314*O1314,"")</f>
        <v/>
      </c>
    </row>
    <row r="1315">
      <c r="A1315">
        <f>PNL!A1315</f>
        <v/>
      </c>
      <c r="B1315">
        <f>PNL!B1315</f>
        <v/>
      </c>
      <c r="C1315">
        <f>PNL!C1315</f>
        <v/>
      </c>
      <c r="D1315">
        <f>PNL!D1315</f>
        <v/>
      </c>
      <c r="E1315">
        <f>IF(AND(C1315="2027",OR(D1315="V01",D1315="V02",D1315="V03")),1,0)</f>
        <v/>
      </c>
      <c r="F1315">
        <f>IF(E1315=1,SUMIFS(Compta!$F$2:$F$675,Compta!$A$2:$A$675,A1315,Compta!$B$2:$B$675,B1315,Compta!$C$2:$C$675,"2026"),0)</f>
        <v/>
      </c>
      <c r="G1315">
        <f>IF(D1315="V01",cad!$I$21,IF(D1315="V02",cad!$J$21,cad!$K$21))</f>
        <v/>
      </c>
      <c r="H1315">
        <f>IF(D1315="V01",cad!$I$22,IF(D1315="V02",cad!$J$22,cad!$K$22))</f>
        <v/>
      </c>
      <c r="I1315">
        <f>IF(D1315="V01",cad!$I$27,IF(D1315="V02",cad!$J$27,cad!$K$27))</f>
        <v/>
      </c>
      <c r="J1315">
        <f>IF(D1315="V01",cad!$I$28,IF(D1315="V02",cad!$J$28,cad!$K$28))</f>
        <v/>
      </c>
      <c r="K1315">
        <f>IF(D1315="V01",cad!$I$29,IF(D1315="V02",cad!$J$29,cad!$K$29))</f>
        <v/>
      </c>
      <c r="L1315">
        <f>IF(D1315="V01",cad!$I$30,IF(D1315="V02",cad!$J$30,cad!$K$30))</f>
        <v/>
      </c>
      <c r="M1315">
        <f>IF(D1315="V01",cad!$I$31,IF(D1315="V02",cad!$J$31,cad!$K$31))</f>
        <v/>
      </c>
      <c r="N1315">
        <f>IF(D1315="V01",$R$2,IF(D1315="V02",$R$3,$R$4))</f>
        <v/>
      </c>
      <c r="O1315">
        <f>IF(OR(B1315="7062",B1315="706",B1315="708"),N1315,IF(B1315="6231",1+G1315,IF(B1315="6236",1+H1315,IF(OR(B1315="621",B1315="604",B1315="6063"),N1315*(1-L1315),IF(OR(B1315="6411",B1315="6413",B1315="6414",B1315="645"),(1+J1315)*(1+K1315),IF(OR(B1315="613",B1315="615",B1315="616",B1315="6226",B1315="625",B1315="626",B1315="6281"),(1+I1315)*(1-L1315)*(1+M1315),IF(OR(B1315="6331",B1315="63511",B1315="6333"),(1+I1315)*(1-L1315),IF(B1315="6811",1+I1315,1))))))))</f>
        <v/>
      </c>
      <c r="P1315">
        <f>IF(E1315=1,F1315*O1315,"")</f>
        <v/>
      </c>
    </row>
    <row r="1316">
      <c r="A1316">
        <f>PNL!A1316</f>
        <v/>
      </c>
      <c r="B1316">
        <f>PNL!B1316</f>
        <v/>
      </c>
      <c r="C1316">
        <f>PNL!C1316</f>
        <v/>
      </c>
      <c r="D1316">
        <f>PNL!D1316</f>
        <v/>
      </c>
      <c r="E1316">
        <f>IF(AND(C1316="2027",OR(D1316="V01",D1316="V02",D1316="V03")),1,0)</f>
        <v/>
      </c>
      <c r="F1316">
        <f>IF(E1316=1,SUMIFS(Compta!$F$2:$F$675,Compta!$A$2:$A$675,A1316,Compta!$B$2:$B$675,B1316,Compta!$C$2:$C$675,"2026"),0)</f>
        <v/>
      </c>
      <c r="G1316">
        <f>IF(D1316="V01",cad!$I$21,IF(D1316="V02",cad!$J$21,cad!$K$21))</f>
        <v/>
      </c>
      <c r="H1316">
        <f>IF(D1316="V01",cad!$I$22,IF(D1316="V02",cad!$J$22,cad!$K$22))</f>
        <v/>
      </c>
      <c r="I1316">
        <f>IF(D1316="V01",cad!$I$27,IF(D1316="V02",cad!$J$27,cad!$K$27))</f>
        <v/>
      </c>
      <c r="J1316">
        <f>IF(D1316="V01",cad!$I$28,IF(D1316="V02",cad!$J$28,cad!$K$28))</f>
        <v/>
      </c>
      <c r="K1316">
        <f>IF(D1316="V01",cad!$I$29,IF(D1316="V02",cad!$J$29,cad!$K$29))</f>
        <v/>
      </c>
      <c r="L1316">
        <f>IF(D1316="V01",cad!$I$30,IF(D1316="V02",cad!$J$30,cad!$K$30))</f>
        <v/>
      </c>
      <c r="M1316">
        <f>IF(D1316="V01",cad!$I$31,IF(D1316="V02",cad!$J$31,cad!$K$31))</f>
        <v/>
      </c>
      <c r="N1316">
        <f>IF(D1316="V01",$R$2,IF(D1316="V02",$R$3,$R$4))</f>
        <v/>
      </c>
      <c r="O1316">
        <f>IF(OR(B1316="7062",B1316="706",B1316="708"),N1316,IF(B1316="6231",1+G1316,IF(B1316="6236",1+H1316,IF(OR(B1316="621",B1316="604",B1316="6063"),N1316*(1-L1316),IF(OR(B1316="6411",B1316="6413",B1316="6414",B1316="645"),(1+J1316)*(1+K1316),IF(OR(B1316="613",B1316="615",B1316="616",B1316="6226",B1316="625",B1316="626",B1316="6281"),(1+I1316)*(1-L1316)*(1+M1316),IF(OR(B1316="6331",B1316="63511",B1316="6333"),(1+I1316)*(1-L1316),IF(B1316="6811",1+I1316,1))))))))</f>
        <v/>
      </c>
      <c r="P1316">
        <f>IF(E1316=1,F1316*O1316,"")</f>
        <v/>
      </c>
    </row>
    <row r="1317">
      <c r="A1317">
        <f>PNL!A1317</f>
        <v/>
      </c>
      <c r="B1317">
        <f>PNL!B1317</f>
        <v/>
      </c>
      <c r="C1317">
        <f>PNL!C1317</f>
        <v/>
      </c>
      <c r="D1317">
        <f>PNL!D1317</f>
        <v/>
      </c>
      <c r="E1317">
        <f>IF(AND(C1317="2027",OR(D1317="V01",D1317="V02",D1317="V03")),1,0)</f>
        <v/>
      </c>
      <c r="F1317">
        <f>IF(E1317=1,SUMIFS(Compta!$F$2:$F$675,Compta!$A$2:$A$675,A1317,Compta!$B$2:$B$675,B1317,Compta!$C$2:$C$675,"2026"),0)</f>
        <v/>
      </c>
      <c r="G1317">
        <f>IF(D1317="V01",cad!$I$21,IF(D1317="V02",cad!$J$21,cad!$K$21))</f>
        <v/>
      </c>
      <c r="H1317">
        <f>IF(D1317="V01",cad!$I$22,IF(D1317="V02",cad!$J$22,cad!$K$22))</f>
        <v/>
      </c>
      <c r="I1317">
        <f>IF(D1317="V01",cad!$I$27,IF(D1317="V02",cad!$J$27,cad!$K$27))</f>
        <v/>
      </c>
      <c r="J1317">
        <f>IF(D1317="V01",cad!$I$28,IF(D1317="V02",cad!$J$28,cad!$K$28))</f>
        <v/>
      </c>
      <c r="K1317">
        <f>IF(D1317="V01",cad!$I$29,IF(D1317="V02",cad!$J$29,cad!$K$29))</f>
        <v/>
      </c>
      <c r="L1317">
        <f>IF(D1317="V01",cad!$I$30,IF(D1317="V02",cad!$J$30,cad!$K$30))</f>
        <v/>
      </c>
      <c r="M1317">
        <f>IF(D1317="V01",cad!$I$31,IF(D1317="V02",cad!$J$31,cad!$K$31))</f>
        <v/>
      </c>
      <c r="N1317">
        <f>IF(D1317="V01",$R$2,IF(D1317="V02",$R$3,$R$4))</f>
        <v/>
      </c>
      <c r="O1317">
        <f>IF(OR(B1317="7062",B1317="706",B1317="708"),N1317,IF(B1317="6231",1+G1317,IF(B1317="6236",1+H1317,IF(OR(B1317="621",B1317="604",B1317="6063"),N1317*(1-L1317),IF(OR(B1317="6411",B1317="6413",B1317="6414",B1317="645"),(1+J1317)*(1+K1317),IF(OR(B1317="613",B1317="615",B1317="616",B1317="6226",B1317="625",B1317="626",B1317="6281"),(1+I1317)*(1-L1317)*(1+M1317),IF(OR(B1317="6331",B1317="63511",B1317="6333"),(1+I1317)*(1-L1317),IF(B1317="6811",1+I1317,1))))))))</f>
        <v/>
      </c>
      <c r="P1317">
        <f>IF(E1317=1,F1317*O1317,"")</f>
        <v/>
      </c>
    </row>
    <row r="1318">
      <c r="A1318">
        <f>PNL!A1318</f>
        <v/>
      </c>
      <c r="B1318">
        <f>PNL!B1318</f>
        <v/>
      </c>
      <c r="C1318">
        <f>PNL!C1318</f>
        <v/>
      </c>
      <c r="D1318">
        <f>PNL!D1318</f>
        <v/>
      </c>
      <c r="E1318">
        <f>IF(AND(C1318="2027",OR(D1318="V01",D1318="V02",D1318="V03")),1,0)</f>
        <v/>
      </c>
      <c r="F1318">
        <f>IF(E1318=1,SUMIFS(Compta!$F$2:$F$675,Compta!$A$2:$A$675,A1318,Compta!$B$2:$B$675,B1318,Compta!$C$2:$C$675,"2026"),0)</f>
        <v/>
      </c>
      <c r="G1318">
        <f>IF(D1318="V01",cad!$I$21,IF(D1318="V02",cad!$J$21,cad!$K$21))</f>
        <v/>
      </c>
      <c r="H1318">
        <f>IF(D1318="V01",cad!$I$22,IF(D1318="V02",cad!$J$22,cad!$K$22))</f>
        <v/>
      </c>
      <c r="I1318">
        <f>IF(D1318="V01",cad!$I$27,IF(D1318="V02",cad!$J$27,cad!$K$27))</f>
        <v/>
      </c>
      <c r="J1318">
        <f>IF(D1318="V01",cad!$I$28,IF(D1318="V02",cad!$J$28,cad!$K$28))</f>
        <v/>
      </c>
      <c r="K1318">
        <f>IF(D1318="V01",cad!$I$29,IF(D1318="V02",cad!$J$29,cad!$K$29))</f>
        <v/>
      </c>
      <c r="L1318">
        <f>IF(D1318="V01",cad!$I$30,IF(D1318="V02",cad!$J$30,cad!$K$30))</f>
        <v/>
      </c>
      <c r="M1318">
        <f>IF(D1318="V01",cad!$I$31,IF(D1318="V02",cad!$J$31,cad!$K$31))</f>
        <v/>
      </c>
      <c r="N1318">
        <f>IF(D1318="V01",$R$2,IF(D1318="V02",$R$3,$R$4))</f>
        <v/>
      </c>
      <c r="O1318">
        <f>IF(OR(B1318="7062",B1318="706",B1318="708"),N1318,IF(B1318="6231",1+G1318,IF(B1318="6236",1+H1318,IF(OR(B1318="621",B1318="604",B1318="6063"),N1318*(1-L1318),IF(OR(B1318="6411",B1318="6413",B1318="6414",B1318="645"),(1+J1318)*(1+K1318),IF(OR(B1318="613",B1318="615",B1318="616",B1318="6226",B1318="625",B1318="626",B1318="6281"),(1+I1318)*(1-L1318)*(1+M1318),IF(OR(B1318="6331",B1318="63511",B1318="6333"),(1+I1318)*(1-L1318),IF(B1318="6811",1+I1318,1))))))))</f>
        <v/>
      </c>
      <c r="P1318">
        <f>IF(E1318=1,F1318*O1318,"")</f>
        <v/>
      </c>
    </row>
    <row r="1319">
      <c r="A1319">
        <f>PNL!A1319</f>
        <v/>
      </c>
      <c r="B1319">
        <f>PNL!B1319</f>
        <v/>
      </c>
      <c r="C1319">
        <f>PNL!C1319</f>
        <v/>
      </c>
      <c r="D1319">
        <f>PNL!D1319</f>
        <v/>
      </c>
      <c r="E1319">
        <f>IF(AND(C1319="2027",OR(D1319="V01",D1319="V02",D1319="V03")),1,0)</f>
        <v/>
      </c>
      <c r="F1319">
        <f>IF(E1319=1,SUMIFS(Compta!$F$2:$F$675,Compta!$A$2:$A$675,A1319,Compta!$B$2:$B$675,B1319,Compta!$C$2:$C$675,"2026"),0)</f>
        <v/>
      </c>
      <c r="G1319">
        <f>IF(D1319="V01",cad!$I$21,IF(D1319="V02",cad!$J$21,cad!$K$21))</f>
        <v/>
      </c>
      <c r="H1319">
        <f>IF(D1319="V01",cad!$I$22,IF(D1319="V02",cad!$J$22,cad!$K$22))</f>
        <v/>
      </c>
      <c r="I1319">
        <f>IF(D1319="V01",cad!$I$27,IF(D1319="V02",cad!$J$27,cad!$K$27))</f>
        <v/>
      </c>
      <c r="J1319">
        <f>IF(D1319="V01",cad!$I$28,IF(D1319="V02",cad!$J$28,cad!$K$28))</f>
        <v/>
      </c>
      <c r="K1319">
        <f>IF(D1319="V01",cad!$I$29,IF(D1319="V02",cad!$J$29,cad!$K$29))</f>
        <v/>
      </c>
      <c r="L1319">
        <f>IF(D1319="V01",cad!$I$30,IF(D1319="V02",cad!$J$30,cad!$K$30))</f>
        <v/>
      </c>
      <c r="M1319">
        <f>IF(D1319="V01",cad!$I$31,IF(D1319="V02",cad!$J$31,cad!$K$31))</f>
        <v/>
      </c>
      <c r="N1319">
        <f>IF(D1319="V01",$R$2,IF(D1319="V02",$R$3,$R$4))</f>
        <v/>
      </c>
      <c r="O1319">
        <f>IF(OR(B1319="7062",B1319="706",B1319="708"),N1319,IF(B1319="6231",1+G1319,IF(B1319="6236",1+H1319,IF(OR(B1319="621",B1319="604",B1319="6063"),N1319*(1-L1319),IF(OR(B1319="6411",B1319="6413",B1319="6414",B1319="645"),(1+J1319)*(1+K1319),IF(OR(B1319="613",B1319="615",B1319="616",B1319="6226",B1319="625",B1319="626",B1319="6281"),(1+I1319)*(1-L1319)*(1+M1319),IF(OR(B1319="6331",B1319="63511",B1319="6333"),(1+I1319)*(1-L1319),IF(B1319="6811",1+I1319,1))))))))</f>
        <v/>
      </c>
      <c r="P1319">
        <f>IF(E1319=1,F1319*O1319,"")</f>
        <v/>
      </c>
    </row>
    <row r="1320">
      <c r="A1320">
        <f>PNL!A1320</f>
        <v/>
      </c>
      <c r="B1320">
        <f>PNL!B1320</f>
        <v/>
      </c>
      <c r="C1320">
        <f>PNL!C1320</f>
        <v/>
      </c>
      <c r="D1320">
        <f>PNL!D1320</f>
        <v/>
      </c>
      <c r="E1320">
        <f>IF(AND(C1320="2027",OR(D1320="V01",D1320="V02",D1320="V03")),1,0)</f>
        <v/>
      </c>
      <c r="F1320">
        <f>IF(E1320=1,SUMIFS(Compta!$F$2:$F$675,Compta!$A$2:$A$675,A1320,Compta!$B$2:$B$675,B1320,Compta!$C$2:$C$675,"2026"),0)</f>
        <v/>
      </c>
      <c r="G1320">
        <f>IF(D1320="V01",cad!$I$21,IF(D1320="V02",cad!$J$21,cad!$K$21))</f>
        <v/>
      </c>
      <c r="H1320">
        <f>IF(D1320="V01",cad!$I$22,IF(D1320="V02",cad!$J$22,cad!$K$22))</f>
        <v/>
      </c>
      <c r="I1320">
        <f>IF(D1320="V01",cad!$I$27,IF(D1320="V02",cad!$J$27,cad!$K$27))</f>
        <v/>
      </c>
      <c r="J1320">
        <f>IF(D1320="V01",cad!$I$28,IF(D1320="V02",cad!$J$28,cad!$K$28))</f>
        <v/>
      </c>
      <c r="K1320">
        <f>IF(D1320="V01",cad!$I$29,IF(D1320="V02",cad!$J$29,cad!$K$29))</f>
        <v/>
      </c>
      <c r="L1320">
        <f>IF(D1320="V01",cad!$I$30,IF(D1320="V02",cad!$J$30,cad!$K$30))</f>
        <v/>
      </c>
      <c r="M1320">
        <f>IF(D1320="V01",cad!$I$31,IF(D1320="V02",cad!$J$31,cad!$K$31))</f>
        <v/>
      </c>
      <c r="N1320">
        <f>IF(D1320="V01",$R$2,IF(D1320="V02",$R$3,$R$4))</f>
        <v/>
      </c>
      <c r="O1320">
        <f>IF(OR(B1320="7062",B1320="706",B1320="708"),N1320,IF(B1320="6231",1+G1320,IF(B1320="6236",1+H1320,IF(OR(B1320="621",B1320="604",B1320="6063"),N1320*(1-L1320),IF(OR(B1320="6411",B1320="6413",B1320="6414",B1320="645"),(1+J1320)*(1+K1320),IF(OR(B1320="613",B1320="615",B1320="616",B1320="6226",B1320="625",B1320="626",B1320="6281"),(1+I1320)*(1-L1320)*(1+M1320),IF(OR(B1320="6331",B1320="63511",B1320="6333"),(1+I1320)*(1-L1320),IF(B1320="6811",1+I1320,1))))))))</f>
        <v/>
      </c>
      <c r="P1320">
        <f>IF(E1320=1,F1320*O1320,"")</f>
        <v/>
      </c>
    </row>
    <row r="1321">
      <c r="A1321">
        <f>PNL!A1321</f>
        <v/>
      </c>
      <c r="B1321">
        <f>PNL!B1321</f>
        <v/>
      </c>
      <c r="C1321">
        <f>PNL!C1321</f>
        <v/>
      </c>
      <c r="D1321">
        <f>PNL!D1321</f>
        <v/>
      </c>
      <c r="E1321">
        <f>IF(AND(C1321="2027",OR(D1321="V01",D1321="V02",D1321="V03")),1,0)</f>
        <v/>
      </c>
      <c r="F1321">
        <f>IF(E1321=1,SUMIFS(Compta!$F$2:$F$675,Compta!$A$2:$A$675,A1321,Compta!$B$2:$B$675,B1321,Compta!$C$2:$C$675,"2026"),0)</f>
        <v/>
      </c>
      <c r="G1321">
        <f>IF(D1321="V01",cad!$I$21,IF(D1321="V02",cad!$J$21,cad!$K$21))</f>
        <v/>
      </c>
      <c r="H1321">
        <f>IF(D1321="V01",cad!$I$22,IF(D1321="V02",cad!$J$22,cad!$K$22))</f>
        <v/>
      </c>
      <c r="I1321">
        <f>IF(D1321="V01",cad!$I$27,IF(D1321="V02",cad!$J$27,cad!$K$27))</f>
        <v/>
      </c>
      <c r="J1321">
        <f>IF(D1321="V01",cad!$I$28,IF(D1321="V02",cad!$J$28,cad!$K$28))</f>
        <v/>
      </c>
      <c r="K1321">
        <f>IF(D1321="V01",cad!$I$29,IF(D1321="V02",cad!$J$29,cad!$K$29))</f>
        <v/>
      </c>
      <c r="L1321">
        <f>IF(D1321="V01",cad!$I$30,IF(D1321="V02",cad!$J$30,cad!$K$30))</f>
        <v/>
      </c>
      <c r="M1321">
        <f>IF(D1321="V01",cad!$I$31,IF(D1321="V02",cad!$J$31,cad!$K$31))</f>
        <v/>
      </c>
      <c r="N1321">
        <f>IF(D1321="V01",$R$2,IF(D1321="V02",$R$3,$R$4))</f>
        <v/>
      </c>
      <c r="O1321">
        <f>IF(OR(B1321="7062",B1321="706",B1321="708"),N1321,IF(B1321="6231",1+G1321,IF(B1321="6236",1+H1321,IF(OR(B1321="621",B1321="604",B1321="6063"),N1321*(1-L1321),IF(OR(B1321="6411",B1321="6413",B1321="6414",B1321="645"),(1+J1321)*(1+K1321),IF(OR(B1321="613",B1321="615",B1321="616",B1321="6226",B1321="625",B1321="626",B1321="6281"),(1+I1321)*(1-L1321)*(1+M1321),IF(OR(B1321="6331",B1321="63511",B1321="6333"),(1+I1321)*(1-L1321),IF(B1321="6811",1+I1321,1))))))))</f>
        <v/>
      </c>
      <c r="P1321">
        <f>IF(E1321=1,F1321*O1321,"")</f>
        <v/>
      </c>
    </row>
    <row r="1322">
      <c r="A1322">
        <f>PNL!A1322</f>
        <v/>
      </c>
      <c r="B1322">
        <f>PNL!B1322</f>
        <v/>
      </c>
      <c r="C1322">
        <f>PNL!C1322</f>
        <v/>
      </c>
      <c r="D1322">
        <f>PNL!D1322</f>
        <v/>
      </c>
      <c r="E1322">
        <f>IF(AND(C1322="2027",OR(D1322="V01",D1322="V02",D1322="V03")),1,0)</f>
        <v/>
      </c>
      <c r="F1322">
        <f>IF(E1322=1,SUMIFS(Compta!$F$2:$F$675,Compta!$A$2:$A$675,A1322,Compta!$B$2:$B$675,B1322,Compta!$C$2:$C$675,"2026"),0)</f>
        <v/>
      </c>
      <c r="G1322">
        <f>IF(D1322="V01",cad!$I$21,IF(D1322="V02",cad!$J$21,cad!$K$21))</f>
        <v/>
      </c>
      <c r="H1322">
        <f>IF(D1322="V01",cad!$I$22,IF(D1322="V02",cad!$J$22,cad!$K$22))</f>
        <v/>
      </c>
      <c r="I1322">
        <f>IF(D1322="V01",cad!$I$27,IF(D1322="V02",cad!$J$27,cad!$K$27))</f>
        <v/>
      </c>
      <c r="J1322">
        <f>IF(D1322="V01",cad!$I$28,IF(D1322="V02",cad!$J$28,cad!$K$28))</f>
        <v/>
      </c>
      <c r="K1322">
        <f>IF(D1322="V01",cad!$I$29,IF(D1322="V02",cad!$J$29,cad!$K$29))</f>
        <v/>
      </c>
      <c r="L1322">
        <f>IF(D1322="V01",cad!$I$30,IF(D1322="V02",cad!$J$30,cad!$K$30))</f>
        <v/>
      </c>
      <c r="M1322">
        <f>IF(D1322="V01",cad!$I$31,IF(D1322="V02",cad!$J$31,cad!$K$31))</f>
        <v/>
      </c>
      <c r="N1322">
        <f>IF(D1322="V01",$R$2,IF(D1322="V02",$R$3,$R$4))</f>
        <v/>
      </c>
      <c r="O1322">
        <f>IF(OR(B1322="7062",B1322="706",B1322="708"),N1322,IF(B1322="6231",1+G1322,IF(B1322="6236",1+H1322,IF(OR(B1322="621",B1322="604",B1322="6063"),N1322*(1-L1322),IF(OR(B1322="6411",B1322="6413",B1322="6414",B1322="645"),(1+J1322)*(1+K1322),IF(OR(B1322="613",B1322="615",B1322="616",B1322="6226",B1322="625",B1322="626",B1322="6281"),(1+I1322)*(1-L1322)*(1+M1322),IF(OR(B1322="6331",B1322="63511",B1322="6333"),(1+I1322)*(1-L1322),IF(B1322="6811",1+I1322,1))))))))</f>
        <v/>
      </c>
      <c r="P1322">
        <f>IF(E1322=1,F1322*O1322,"")</f>
        <v/>
      </c>
    </row>
    <row r="1323">
      <c r="A1323">
        <f>PNL!A1323</f>
        <v/>
      </c>
      <c r="B1323">
        <f>PNL!B1323</f>
        <v/>
      </c>
      <c r="C1323">
        <f>PNL!C1323</f>
        <v/>
      </c>
      <c r="D1323">
        <f>PNL!D1323</f>
        <v/>
      </c>
      <c r="E1323">
        <f>IF(AND(C1323="2027",OR(D1323="V01",D1323="V02",D1323="V03")),1,0)</f>
        <v/>
      </c>
      <c r="F1323">
        <f>IF(E1323=1,SUMIFS(Compta!$F$2:$F$675,Compta!$A$2:$A$675,A1323,Compta!$B$2:$B$675,B1323,Compta!$C$2:$C$675,"2026"),0)</f>
        <v/>
      </c>
      <c r="G1323">
        <f>IF(D1323="V01",cad!$I$21,IF(D1323="V02",cad!$J$21,cad!$K$21))</f>
        <v/>
      </c>
      <c r="H1323">
        <f>IF(D1323="V01",cad!$I$22,IF(D1323="V02",cad!$J$22,cad!$K$22))</f>
        <v/>
      </c>
      <c r="I1323">
        <f>IF(D1323="V01",cad!$I$27,IF(D1323="V02",cad!$J$27,cad!$K$27))</f>
        <v/>
      </c>
      <c r="J1323">
        <f>IF(D1323="V01",cad!$I$28,IF(D1323="V02",cad!$J$28,cad!$K$28))</f>
        <v/>
      </c>
      <c r="K1323">
        <f>IF(D1323="V01",cad!$I$29,IF(D1323="V02",cad!$J$29,cad!$K$29))</f>
        <v/>
      </c>
      <c r="L1323">
        <f>IF(D1323="V01",cad!$I$30,IF(D1323="V02",cad!$J$30,cad!$K$30))</f>
        <v/>
      </c>
      <c r="M1323">
        <f>IF(D1323="V01",cad!$I$31,IF(D1323="V02",cad!$J$31,cad!$K$31))</f>
        <v/>
      </c>
      <c r="N1323">
        <f>IF(D1323="V01",$R$2,IF(D1323="V02",$R$3,$R$4))</f>
        <v/>
      </c>
      <c r="O1323">
        <f>IF(OR(B1323="7062",B1323="706",B1323="708"),N1323,IF(B1323="6231",1+G1323,IF(B1323="6236",1+H1323,IF(OR(B1323="621",B1323="604",B1323="6063"),N1323*(1-L1323),IF(OR(B1323="6411",B1323="6413",B1323="6414",B1323="645"),(1+J1323)*(1+K1323),IF(OR(B1323="613",B1323="615",B1323="616",B1323="6226",B1323="625",B1323="626",B1323="6281"),(1+I1323)*(1-L1323)*(1+M1323),IF(OR(B1323="6331",B1323="63511",B1323="6333"),(1+I1323)*(1-L1323),IF(B1323="6811",1+I1323,1))))))))</f>
        <v/>
      </c>
      <c r="P1323">
        <f>IF(E1323=1,F1323*O1323,"")</f>
        <v/>
      </c>
    </row>
    <row r="1324">
      <c r="A1324">
        <f>PNL!A1324</f>
        <v/>
      </c>
      <c r="B1324">
        <f>PNL!B1324</f>
        <v/>
      </c>
      <c r="C1324">
        <f>PNL!C1324</f>
        <v/>
      </c>
      <c r="D1324">
        <f>PNL!D1324</f>
        <v/>
      </c>
      <c r="E1324">
        <f>IF(AND(C1324="2027",OR(D1324="V01",D1324="V02",D1324="V03")),1,0)</f>
        <v/>
      </c>
      <c r="F1324">
        <f>IF(E1324=1,SUMIFS(Compta!$F$2:$F$675,Compta!$A$2:$A$675,A1324,Compta!$B$2:$B$675,B1324,Compta!$C$2:$C$675,"2026"),0)</f>
        <v/>
      </c>
      <c r="G1324">
        <f>IF(D1324="V01",cad!$I$21,IF(D1324="V02",cad!$J$21,cad!$K$21))</f>
        <v/>
      </c>
      <c r="H1324">
        <f>IF(D1324="V01",cad!$I$22,IF(D1324="V02",cad!$J$22,cad!$K$22))</f>
        <v/>
      </c>
      <c r="I1324">
        <f>IF(D1324="V01",cad!$I$27,IF(D1324="V02",cad!$J$27,cad!$K$27))</f>
        <v/>
      </c>
      <c r="J1324">
        <f>IF(D1324="V01",cad!$I$28,IF(D1324="V02",cad!$J$28,cad!$K$28))</f>
        <v/>
      </c>
      <c r="K1324">
        <f>IF(D1324="V01",cad!$I$29,IF(D1324="V02",cad!$J$29,cad!$K$29))</f>
        <v/>
      </c>
      <c r="L1324">
        <f>IF(D1324="V01",cad!$I$30,IF(D1324="V02",cad!$J$30,cad!$K$30))</f>
        <v/>
      </c>
      <c r="M1324">
        <f>IF(D1324="V01",cad!$I$31,IF(D1324="V02",cad!$J$31,cad!$K$31))</f>
        <v/>
      </c>
      <c r="N1324">
        <f>IF(D1324="V01",$R$2,IF(D1324="V02",$R$3,$R$4))</f>
        <v/>
      </c>
      <c r="O1324">
        <f>IF(OR(B1324="7062",B1324="706",B1324="708"),N1324,IF(B1324="6231",1+G1324,IF(B1324="6236",1+H1324,IF(OR(B1324="621",B1324="604",B1324="6063"),N1324*(1-L1324),IF(OR(B1324="6411",B1324="6413",B1324="6414",B1324="645"),(1+J1324)*(1+K1324),IF(OR(B1324="613",B1324="615",B1324="616",B1324="6226",B1324="625",B1324="626",B1324="6281"),(1+I1324)*(1-L1324)*(1+M1324),IF(OR(B1324="6331",B1324="63511",B1324="6333"),(1+I1324)*(1-L1324),IF(B1324="6811",1+I1324,1))))))))</f>
        <v/>
      </c>
      <c r="P1324">
        <f>IF(E1324=1,F1324*O1324,"")</f>
        <v/>
      </c>
    </row>
    <row r="1325">
      <c r="A1325">
        <f>PNL!A1325</f>
        <v/>
      </c>
      <c r="B1325">
        <f>PNL!B1325</f>
        <v/>
      </c>
      <c r="C1325">
        <f>PNL!C1325</f>
        <v/>
      </c>
      <c r="D1325">
        <f>PNL!D1325</f>
        <v/>
      </c>
      <c r="E1325">
        <f>IF(AND(C1325="2027",OR(D1325="V01",D1325="V02",D1325="V03")),1,0)</f>
        <v/>
      </c>
      <c r="F1325">
        <f>IF(E1325=1,SUMIFS(Compta!$F$2:$F$675,Compta!$A$2:$A$675,A1325,Compta!$B$2:$B$675,B1325,Compta!$C$2:$C$675,"2026"),0)</f>
        <v/>
      </c>
      <c r="G1325">
        <f>IF(D1325="V01",cad!$I$21,IF(D1325="V02",cad!$J$21,cad!$K$21))</f>
        <v/>
      </c>
      <c r="H1325">
        <f>IF(D1325="V01",cad!$I$22,IF(D1325="V02",cad!$J$22,cad!$K$22))</f>
        <v/>
      </c>
      <c r="I1325">
        <f>IF(D1325="V01",cad!$I$27,IF(D1325="V02",cad!$J$27,cad!$K$27))</f>
        <v/>
      </c>
      <c r="J1325">
        <f>IF(D1325="V01",cad!$I$28,IF(D1325="V02",cad!$J$28,cad!$K$28))</f>
        <v/>
      </c>
      <c r="K1325">
        <f>IF(D1325="V01",cad!$I$29,IF(D1325="V02",cad!$J$29,cad!$K$29))</f>
        <v/>
      </c>
      <c r="L1325">
        <f>IF(D1325="V01",cad!$I$30,IF(D1325="V02",cad!$J$30,cad!$K$30))</f>
        <v/>
      </c>
      <c r="M1325">
        <f>IF(D1325="V01",cad!$I$31,IF(D1325="V02",cad!$J$31,cad!$K$31))</f>
        <v/>
      </c>
      <c r="N1325">
        <f>IF(D1325="V01",$R$2,IF(D1325="V02",$R$3,$R$4))</f>
        <v/>
      </c>
      <c r="O1325">
        <f>IF(OR(B1325="7062",B1325="706",B1325="708"),N1325,IF(B1325="6231",1+G1325,IF(B1325="6236",1+H1325,IF(OR(B1325="621",B1325="604",B1325="6063"),N1325*(1-L1325),IF(OR(B1325="6411",B1325="6413",B1325="6414",B1325="645"),(1+J1325)*(1+K1325),IF(OR(B1325="613",B1325="615",B1325="616",B1325="6226",B1325="625",B1325="626",B1325="6281"),(1+I1325)*(1-L1325)*(1+M1325),IF(OR(B1325="6331",B1325="63511",B1325="6333"),(1+I1325)*(1-L1325),IF(B1325="6811",1+I1325,1))))))))</f>
        <v/>
      </c>
      <c r="P1325">
        <f>IF(E1325=1,F1325*O1325,"")</f>
        <v/>
      </c>
    </row>
    <row r="1326">
      <c r="A1326">
        <f>PNL!A1326</f>
        <v/>
      </c>
      <c r="B1326">
        <f>PNL!B1326</f>
        <v/>
      </c>
      <c r="C1326">
        <f>PNL!C1326</f>
        <v/>
      </c>
      <c r="D1326">
        <f>PNL!D1326</f>
        <v/>
      </c>
      <c r="E1326">
        <f>IF(AND(C1326="2027",OR(D1326="V01",D1326="V02",D1326="V03")),1,0)</f>
        <v/>
      </c>
      <c r="F1326">
        <f>IF(E1326=1,SUMIFS(Compta!$F$2:$F$675,Compta!$A$2:$A$675,A1326,Compta!$B$2:$B$675,B1326,Compta!$C$2:$C$675,"2026"),0)</f>
        <v/>
      </c>
      <c r="G1326">
        <f>IF(D1326="V01",cad!$I$21,IF(D1326="V02",cad!$J$21,cad!$K$21))</f>
        <v/>
      </c>
      <c r="H1326">
        <f>IF(D1326="V01",cad!$I$22,IF(D1326="V02",cad!$J$22,cad!$K$22))</f>
        <v/>
      </c>
      <c r="I1326">
        <f>IF(D1326="V01",cad!$I$27,IF(D1326="V02",cad!$J$27,cad!$K$27))</f>
        <v/>
      </c>
      <c r="J1326">
        <f>IF(D1326="V01",cad!$I$28,IF(D1326="V02",cad!$J$28,cad!$K$28))</f>
        <v/>
      </c>
      <c r="K1326">
        <f>IF(D1326="V01",cad!$I$29,IF(D1326="V02",cad!$J$29,cad!$K$29))</f>
        <v/>
      </c>
      <c r="L1326">
        <f>IF(D1326="V01",cad!$I$30,IF(D1326="V02",cad!$J$30,cad!$K$30))</f>
        <v/>
      </c>
      <c r="M1326">
        <f>IF(D1326="V01",cad!$I$31,IF(D1326="V02",cad!$J$31,cad!$K$31))</f>
        <v/>
      </c>
      <c r="N1326">
        <f>IF(D1326="V01",$R$2,IF(D1326="V02",$R$3,$R$4))</f>
        <v/>
      </c>
      <c r="O1326">
        <f>IF(OR(B1326="7062",B1326="706",B1326="708"),N1326,IF(B1326="6231",1+G1326,IF(B1326="6236",1+H1326,IF(OR(B1326="621",B1326="604",B1326="6063"),N1326*(1-L1326),IF(OR(B1326="6411",B1326="6413",B1326="6414",B1326="645"),(1+J1326)*(1+K1326),IF(OR(B1326="613",B1326="615",B1326="616",B1326="6226",B1326="625",B1326="626",B1326="6281"),(1+I1326)*(1-L1326)*(1+M1326),IF(OR(B1326="6331",B1326="63511",B1326="6333"),(1+I1326)*(1-L1326),IF(B1326="6811",1+I1326,1))))))))</f>
        <v/>
      </c>
      <c r="P1326">
        <f>IF(E1326=1,F1326*O1326,"")</f>
        <v/>
      </c>
    </row>
    <row r="1327">
      <c r="A1327">
        <f>PNL!A1327</f>
        <v/>
      </c>
      <c r="B1327">
        <f>PNL!B1327</f>
        <v/>
      </c>
      <c r="C1327">
        <f>PNL!C1327</f>
        <v/>
      </c>
      <c r="D1327">
        <f>PNL!D1327</f>
        <v/>
      </c>
      <c r="E1327">
        <f>IF(AND(C1327="2027",OR(D1327="V01",D1327="V02",D1327="V03")),1,0)</f>
        <v/>
      </c>
      <c r="F1327">
        <f>IF(E1327=1,SUMIFS(Compta!$F$2:$F$675,Compta!$A$2:$A$675,A1327,Compta!$B$2:$B$675,B1327,Compta!$C$2:$C$675,"2026"),0)</f>
        <v/>
      </c>
      <c r="G1327">
        <f>IF(D1327="V01",cad!$I$21,IF(D1327="V02",cad!$J$21,cad!$K$21))</f>
        <v/>
      </c>
      <c r="H1327">
        <f>IF(D1327="V01",cad!$I$22,IF(D1327="V02",cad!$J$22,cad!$K$22))</f>
        <v/>
      </c>
      <c r="I1327">
        <f>IF(D1327="V01",cad!$I$27,IF(D1327="V02",cad!$J$27,cad!$K$27))</f>
        <v/>
      </c>
      <c r="J1327">
        <f>IF(D1327="V01",cad!$I$28,IF(D1327="V02",cad!$J$28,cad!$K$28))</f>
        <v/>
      </c>
      <c r="K1327">
        <f>IF(D1327="V01",cad!$I$29,IF(D1327="V02",cad!$J$29,cad!$K$29))</f>
        <v/>
      </c>
      <c r="L1327">
        <f>IF(D1327="V01",cad!$I$30,IF(D1327="V02",cad!$J$30,cad!$K$30))</f>
        <v/>
      </c>
      <c r="M1327">
        <f>IF(D1327="V01",cad!$I$31,IF(D1327="V02",cad!$J$31,cad!$K$31))</f>
        <v/>
      </c>
      <c r="N1327">
        <f>IF(D1327="V01",$R$2,IF(D1327="V02",$R$3,$R$4))</f>
        <v/>
      </c>
      <c r="O1327">
        <f>IF(OR(B1327="7062",B1327="706",B1327="708"),N1327,IF(B1327="6231",1+G1327,IF(B1327="6236",1+H1327,IF(OR(B1327="621",B1327="604",B1327="6063"),N1327*(1-L1327),IF(OR(B1327="6411",B1327="6413",B1327="6414",B1327="645"),(1+J1327)*(1+K1327),IF(OR(B1327="613",B1327="615",B1327="616",B1327="6226",B1327="625",B1327="626",B1327="6281"),(1+I1327)*(1-L1327)*(1+M1327),IF(OR(B1327="6331",B1327="63511",B1327="6333"),(1+I1327)*(1-L1327),IF(B1327="6811",1+I1327,1))))))))</f>
        <v/>
      </c>
      <c r="P1327">
        <f>IF(E1327=1,F1327*O1327,"")</f>
        <v/>
      </c>
    </row>
    <row r="1328">
      <c r="A1328">
        <f>PNL!A1328</f>
        <v/>
      </c>
      <c r="B1328">
        <f>PNL!B1328</f>
        <v/>
      </c>
      <c r="C1328">
        <f>PNL!C1328</f>
        <v/>
      </c>
      <c r="D1328">
        <f>PNL!D1328</f>
        <v/>
      </c>
      <c r="E1328">
        <f>IF(AND(C1328="2027",OR(D1328="V01",D1328="V02",D1328="V03")),1,0)</f>
        <v/>
      </c>
      <c r="F1328">
        <f>IF(E1328=1,SUMIFS(Compta!$F$2:$F$675,Compta!$A$2:$A$675,A1328,Compta!$B$2:$B$675,B1328,Compta!$C$2:$C$675,"2026"),0)</f>
        <v/>
      </c>
      <c r="G1328">
        <f>IF(D1328="V01",cad!$I$21,IF(D1328="V02",cad!$J$21,cad!$K$21))</f>
        <v/>
      </c>
      <c r="H1328">
        <f>IF(D1328="V01",cad!$I$22,IF(D1328="V02",cad!$J$22,cad!$K$22))</f>
        <v/>
      </c>
      <c r="I1328">
        <f>IF(D1328="V01",cad!$I$27,IF(D1328="V02",cad!$J$27,cad!$K$27))</f>
        <v/>
      </c>
      <c r="J1328">
        <f>IF(D1328="V01",cad!$I$28,IF(D1328="V02",cad!$J$28,cad!$K$28))</f>
        <v/>
      </c>
      <c r="K1328">
        <f>IF(D1328="V01",cad!$I$29,IF(D1328="V02",cad!$J$29,cad!$K$29))</f>
        <v/>
      </c>
      <c r="L1328">
        <f>IF(D1328="V01",cad!$I$30,IF(D1328="V02",cad!$J$30,cad!$K$30))</f>
        <v/>
      </c>
      <c r="M1328">
        <f>IF(D1328="V01",cad!$I$31,IF(D1328="V02",cad!$J$31,cad!$K$31))</f>
        <v/>
      </c>
      <c r="N1328">
        <f>IF(D1328="V01",$R$2,IF(D1328="V02",$R$3,$R$4))</f>
        <v/>
      </c>
      <c r="O1328">
        <f>IF(OR(B1328="7062",B1328="706",B1328="708"),N1328,IF(B1328="6231",1+G1328,IF(B1328="6236",1+H1328,IF(OR(B1328="621",B1328="604",B1328="6063"),N1328*(1-L1328),IF(OR(B1328="6411",B1328="6413",B1328="6414",B1328="645"),(1+J1328)*(1+K1328),IF(OR(B1328="613",B1328="615",B1328="616",B1328="6226",B1328="625",B1328="626",B1328="6281"),(1+I1328)*(1-L1328)*(1+M1328),IF(OR(B1328="6331",B1328="63511",B1328="6333"),(1+I1328)*(1-L1328),IF(B1328="6811",1+I1328,1))))))))</f>
        <v/>
      </c>
      <c r="P1328">
        <f>IF(E1328=1,F1328*O1328,"")</f>
        <v/>
      </c>
    </row>
    <row r="1329">
      <c r="A1329">
        <f>PNL!A1329</f>
        <v/>
      </c>
      <c r="B1329">
        <f>PNL!B1329</f>
        <v/>
      </c>
      <c r="C1329">
        <f>PNL!C1329</f>
        <v/>
      </c>
      <c r="D1329">
        <f>PNL!D1329</f>
        <v/>
      </c>
      <c r="E1329">
        <f>IF(AND(C1329="2027",OR(D1329="V01",D1329="V02",D1329="V03")),1,0)</f>
        <v/>
      </c>
      <c r="F1329">
        <f>IF(E1329=1,SUMIFS(Compta!$F$2:$F$675,Compta!$A$2:$A$675,A1329,Compta!$B$2:$B$675,B1329,Compta!$C$2:$C$675,"2026"),0)</f>
        <v/>
      </c>
      <c r="G1329">
        <f>IF(D1329="V01",cad!$I$21,IF(D1329="V02",cad!$J$21,cad!$K$21))</f>
        <v/>
      </c>
      <c r="H1329">
        <f>IF(D1329="V01",cad!$I$22,IF(D1329="V02",cad!$J$22,cad!$K$22))</f>
        <v/>
      </c>
      <c r="I1329">
        <f>IF(D1329="V01",cad!$I$27,IF(D1329="V02",cad!$J$27,cad!$K$27))</f>
        <v/>
      </c>
      <c r="J1329">
        <f>IF(D1329="V01",cad!$I$28,IF(D1329="V02",cad!$J$28,cad!$K$28))</f>
        <v/>
      </c>
      <c r="K1329">
        <f>IF(D1329="V01",cad!$I$29,IF(D1329="V02",cad!$J$29,cad!$K$29))</f>
        <v/>
      </c>
      <c r="L1329">
        <f>IF(D1329="V01",cad!$I$30,IF(D1329="V02",cad!$J$30,cad!$K$30))</f>
        <v/>
      </c>
      <c r="M1329">
        <f>IF(D1329="V01",cad!$I$31,IF(D1329="V02",cad!$J$31,cad!$K$31))</f>
        <v/>
      </c>
      <c r="N1329">
        <f>IF(D1329="V01",$R$2,IF(D1329="V02",$R$3,$R$4))</f>
        <v/>
      </c>
      <c r="O1329">
        <f>IF(OR(B1329="7062",B1329="706",B1329="708"),N1329,IF(B1329="6231",1+G1329,IF(B1329="6236",1+H1329,IF(OR(B1329="621",B1329="604",B1329="6063"),N1329*(1-L1329),IF(OR(B1329="6411",B1329="6413",B1329="6414",B1329="645"),(1+J1329)*(1+K1329),IF(OR(B1329="613",B1329="615",B1329="616",B1329="6226",B1329="625",B1329="626",B1329="6281"),(1+I1329)*(1-L1329)*(1+M1329),IF(OR(B1329="6331",B1329="63511",B1329="6333"),(1+I1329)*(1-L1329),IF(B1329="6811",1+I1329,1))))))))</f>
        <v/>
      </c>
      <c r="P1329">
        <f>IF(E1329=1,F1329*O1329,"")</f>
        <v/>
      </c>
    </row>
    <row r="1330">
      <c r="A1330">
        <f>PNL!A1330</f>
        <v/>
      </c>
      <c r="B1330">
        <f>PNL!B1330</f>
        <v/>
      </c>
      <c r="C1330">
        <f>PNL!C1330</f>
        <v/>
      </c>
      <c r="D1330">
        <f>PNL!D1330</f>
        <v/>
      </c>
      <c r="E1330">
        <f>IF(AND(C1330="2027",OR(D1330="V01",D1330="V02",D1330="V03")),1,0)</f>
        <v/>
      </c>
      <c r="F1330">
        <f>IF(E1330=1,SUMIFS(Compta!$F$2:$F$675,Compta!$A$2:$A$675,A1330,Compta!$B$2:$B$675,B1330,Compta!$C$2:$C$675,"2026"),0)</f>
        <v/>
      </c>
      <c r="G1330">
        <f>IF(D1330="V01",cad!$I$21,IF(D1330="V02",cad!$J$21,cad!$K$21))</f>
        <v/>
      </c>
      <c r="H1330">
        <f>IF(D1330="V01",cad!$I$22,IF(D1330="V02",cad!$J$22,cad!$K$22))</f>
        <v/>
      </c>
      <c r="I1330">
        <f>IF(D1330="V01",cad!$I$27,IF(D1330="V02",cad!$J$27,cad!$K$27))</f>
        <v/>
      </c>
      <c r="J1330">
        <f>IF(D1330="V01",cad!$I$28,IF(D1330="V02",cad!$J$28,cad!$K$28))</f>
        <v/>
      </c>
      <c r="K1330">
        <f>IF(D1330="V01",cad!$I$29,IF(D1330="V02",cad!$J$29,cad!$K$29))</f>
        <v/>
      </c>
      <c r="L1330">
        <f>IF(D1330="V01",cad!$I$30,IF(D1330="V02",cad!$J$30,cad!$K$30))</f>
        <v/>
      </c>
      <c r="M1330">
        <f>IF(D1330="V01",cad!$I$31,IF(D1330="V02",cad!$J$31,cad!$K$31))</f>
        <v/>
      </c>
      <c r="N1330">
        <f>IF(D1330="V01",$R$2,IF(D1330="V02",$R$3,$R$4))</f>
        <v/>
      </c>
      <c r="O1330">
        <f>IF(OR(B1330="7062",B1330="706",B1330="708"),N1330,IF(B1330="6231",1+G1330,IF(B1330="6236",1+H1330,IF(OR(B1330="621",B1330="604",B1330="6063"),N1330*(1-L1330),IF(OR(B1330="6411",B1330="6413",B1330="6414",B1330="645"),(1+J1330)*(1+K1330),IF(OR(B1330="613",B1330="615",B1330="616",B1330="6226",B1330="625",B1330="626",B1330="6281"),(1+I1330)*(1-L1330)*(1+M1330),IF(OR(B1330="6331",B1330="63511",B1330="6333"),(1+I1330)*(1-L1330),IF(B1330="6811",1+I1330,1))))))))</f>
        <v/>
      </c>
      <c r="P1330">
        <f>IF(E1330=1,F1330*O1330,"")</f>
        <v/>
      </c>
    </row>
    <row r="1331">
      <c r="A1331">
        <f>PNL!A1331</f>
        <v/>
      </c>
      <c r="B1331">
        <f>PNL!B1331</f>
        <v/>
      </c>
      <c r="C1331">
        <f>PNL!C1331</f>
        <v/>
      </c>
      <c r="D1331">
        <f>PNL!D1331</f>
        <v/>
      </c>
      <c r="E1331">
        <f>IF(AND(C1331="2027",OR(D1331="V01",D1331="V02",D1331="V03")),1,0)</f>
        <v/>
      </c>
      <c r="F1331">
        <f>IF(E1331=1,SUMIFS(Compta!$F$2:$F$675,Compta!$A$2:$A$675,A1331,Compta!$B$2:$B$675,B1331,Compta!$C$2:$C$675,"2026"),0)</f>
        <v/>
      </c>
      <c r="G1331">
        <f>IF(D1331="V01",cad!$I$21,IF(D1331="V02",cad!$J$21,cad!$K$21))</f>
        <v/>
      </c>
      <c r="H1331">
        <f>IF(D1331="V01",cad!$I$22,IF(D1331="V02",cad!$J$22,cad!$K$22))</f>
        <v/>
      </c>
      <c r="I1331">
        <f>IF(D1331="V01",cad!$I$27,IF(D1331="V02",cad!$J$27,cad!$K$27))</f>
        <v/>
      </c>
      <c r="J1331">
        <f>IF(D1331="V01",cad!$I$28,IF(D1331="V02",cad!$J$28,cad!$K$28))</f>
        <v/>
      </c>
      <c r="K1331">
        <f>IF(D1331="V01",cad!$I$29,IF(D1331="V02",cad!$J$29,cad!$K$29))</f>
        <v/>
      </c>
      <c r="L1331">
        <f>IF(D1331="V01",cad!$I$30,IF(D1331="V02",cad!$J$30,cad!$K$30))</f>
        <v/>
      </c>
      <c r="M1331">
        <f>IF(D1331="V01",cad!$I$31,IF(D1331="V02",cad!$J$31,cad!$K$31))</f>
        <v/>
      </c>
      <c r="N1331">
        <f>IF(D1331="V01",$R$2,IF(D1331="V02",$R$3,$R$4))</f>
        <v/>
      </c>
      <c r="O1331">
        <f>IF(OR(B1331="7062",B1331="706",B1331="708"),N1331,IF(B1331="6231",1+G1331,IF(B1331="6236",1+H1331,IF(OR(B1331="621",B1331="604",B1331="6063"),N1331*(1-L1331),IF(OR(B1331="6411",B1331="6413",B1331="6414",B1331="645"),(1+J1331)*(1+K1331),IF(OR(B1331="613",B1331="615",B1331="616",B1331="6226",B1331="625",B1331="626",B1331="6281"),(1+I1331)*(1-L1331)*(1+M1331),IF(OR(B1331="6331",B1331="63511",B1331="6333"),(1+I1331)*(1-L1331),IF(B1331="6811",1+I1331,1))))))))</f>
        <v/>
      </c>
      <c r="P1331">
        <f>IF(E1331=1,F1331*O1331,"")</f>
        <v/>
      </c>
    </row>
    <row r="1332">
      <c r="A1332">
        <f>PNL!A1332</f>
        <v/>
      </c>
      <c r="B1332">
        <f>PNL!B1332</f>
        <v/>
      </c>
      <c r="C1332">
        <f>PNL!C1332</f>
        <v/>
      </c>
      <c r="D1332">
        <f>PNL!D1332</f>
        <v/>
      </c>
      <c r="E1332">
        <f>IF(AND(C1332="2027",OR(D1332="V01",D1332="V02",D1332="V03")),1,0)</f>
        <v/>
      </c>
      <c r="F1332">
        <f>IF(E1332=1,SUMIFS(Compta!$F$2:$F$675,Compta!$A$2:$A$675,A1332,Compta!$B$2:$B$675,B1332,Compta!$C$2:$C$675,"2026"),0)</f>
        <v/>
      </c>
      <c r="G1332">
        <f>IF(D1332="V01",cad!$I$21,IF(D1332="V02",cad!$J$21,cad!$K$21))</f>
        <v/>
      </c>
      <c r="H1332">
        <f>IF(D1332="V01",cad!$I$22,IF(D1332="V02",cad!$J$22,cad!$K$22))</f>
        <v/>
      </c>
      <c r="I1332">
        <f>IF(D1332="V01",cad!$I$27,IF(D1332="V02",cad!$J$27,cad!$K$27))</f>
        <v/>
      </c>
      <c r="J1332">
        <f>IF(D1332="V01",cad!$I$28,IF(D1332="V02",cad!$J$28,cad!$K$28))</f>
        <v/>
      </c>
      <c r="K1332">
        <f>IF(D1332="V01",cad!$I$29,IF(D1332="V02",cad!$J$29,cad!$K$29))</f>
        <v/>
      </c>
      <c r="L1332">
        <f>IF(D1332="V01",cad!$I$30,IF(D1332="V02",cad!$J$30,cad!$K$30))</f>
        <v/>
      </c>
      <c r="M1332">
        <f>IF(D1332="V01",cad!$I$31,IF(D1332="V02",cad!$J$31,cad!$K$31))</f>
        <v/>
      </c>
      <c r="N1332">
        <f>IF(D1332="V01",$R$2,IF(D1332="V02",$R$3,$R$4))</f>
        <v/>
      </c>
      <c r="O1332">
        <f>IF(OR(B1332="7062",B1332="706",B1332="708"),N1332,IF(B1332="6231",1+G1332,IF(B1332="6236",1+H1332,IF(OR(B1332="621",B1332="604",B1332="6063"),N1332*(1-L1332),IF(OR(B1332="6411",B1332="6413",B1332="6414",B1332="645"),(1+J1332)*(1+K1332),IF(OR(B1332="613",B1332="615",B1332="616",B1332="6226",B1332="625",B1332="626",B1332="6281"),(1+I1332)*(1-L1332)*(1+M1332),IF(OR(B1332="6331",B1332="63511",B1332="6333"),(1+I1332)*(1-L1332),IF(B1332="6811",1+I1332,1))))))))</f>
        <v/>
      </c>
      <c r="P1332">
        <f>IF(E1332=1,F1332*O1332,"")</f>
        <v/>
      </c>
    </row>
    <row r="1333">
      <c r="A1333">
        <f>PNL!A1333</f>
        <v/>
      </c>
      <c r="B1333">
        <f>PNL!B1333</f>
        <v/>
      </c>
      <c r="C1333">
        <f>PNL!C1333</f>
        <v/>
      </c>
      <c r="D1333">
        <f>PNL!D1333</f>
        <v/>
      </c>
      <c r="E1333">
        <f>IF(AND(C1333="2027",OR(D1333="V01",D1333="V02",D1333="V03")),1,0)</f>
        <v/>
      </c>
      <c r="F1333">
        <f>IF(E1333=1,SUMIFS(Compta!$F$2:$F$675,Compta!$A$2:$A$675,A1333,Compta!$B$2:$B$675,B1333,Compta!$C$2:$C$675,"2026"),0)</f>
        <v/>
      </c>
      <c r="G1333">
        <f>IF(D1333="V01",cad!$I$21,IF(D1333="V02",cad!$J$21,cad!$K$21))</f>
        <v/>
      </c>
      <c r="H1333">
        <f>IF(D1333="V01",cad!$I$22,IF(D1333="V02",cad!$J$22,cad!$K$22))</f>
        <v/>
      </c>
      <c r="I1333">
        <f>IF(D1333="V01",cad!$I$27,IF(D1333="V02",cad!$J$27,cad!$K$27))</f>
        <v/>
      </c>
      <c r="J1333">
        <f>IF(D1333="V01",cad!$I$28,IF(D1333="V02",cad!$J$28,cad!$K$28))</f>
        <v/>
      </c>
      <c r="K1333">
        <f>IF(D1333="V01",cad!$I$29,IF(D1333="V02",cad!$J$29,cad!$K$29))</f>
        <v/>
      </c>
      <c r="L1333">
        <f>IF(D1333="V01",cad!$I$30,IF(D1333="V02",cad!$J$30,cad!$K$30))</f>
        <v/>
      </c>
      <c r="M1333">
        <f>IF(D1333="V01",cad!$I$31,IF(D1333="V02",cad!$J$31,cad!$K$31))</f>
        <v/>
      </c>
      <c r="N1333">
        <f>IF(D1333="V01",$R$2,IF(D1333="V02",$R$3,$R$4))</f>
        <v/>
      </c>
      <c r="O1333">
        <f>IF(OR(B1333="7062",B1333="706",B1333="708"),N1333,IF(B1333="6231",1+G1333,IF(B1333="6236",1+H1333,IF(OR(B1333="621",B1333="604",B1333="6063"),N1333*(1-L1333),IF(OR(B1333="6411",B1333="6413",B1333="6414",B1333="645"),(1+J1333)*(1+K1333),IF(OR(B1333="613",B1333="615",B1333="616",B1333="6226",B1333="625",B1333="626",B1333="6281"),(1+I1333)*(1-L1333)*(1+M1333),IF(OR(B1333="6331",B1333="63511",B1333="6333"),(1+I1333)*(1-L1333),IF(B1333="6811",1+I1333,1))))))))</f>
        <v/>
      </c>
      <c r="P1333">
        <f>IF(E1333=1,F1333*O1333,"")</f>
        <v/>
      </c>
    </row>
    <row r="1334">
      <c r="A1334">
        <f>PNL!A1334</f>
        <v/>
      </c>
      <c r="B1334">
        <f>PNL!B1334</f>
        <v/>
      </c>
      <c r="C1334">
        <f>PNL!C1334</f>
        <v/>
      </c>
      <c r="D1334">
        <f>PNL!D1334</f>
        <v/>
      </c>
      <c r="E1334">
        <f>IF(AND(C1334="2027",OR(D1334="V01",D1334="V02",D1334="V03")),1,0)</f>
        <v/>
      </c>
      <c r="F1334">
        <f>IF(E1334=1,SUMIFS(Compta!$F$2:$F$675,Compta!$A$2:$A$675,A1334,Compta!$B$2:$B$675,B1334,Compta!$C$2:$C$675,"2026"),0)</f>
        <v/>
      </c>
      <c r="G1334">
        <f>IF(D1334="V01",cad!$I$21,IF(D1334="V02",cad!$J$21,cad!$K$21))</f>
        <v/>
      </c>
      <c r="H1334">
        <f>IF(D1334="V01",cad!$I$22,IF(D1334="V02",cad!$J$22,cad!$K$22))</f>
        <v/>
      </c>
      <c r="I1334">
        <f>IF(D1334="V01",cad!$I$27,IF(D1334="V02",cad!$J$27,cad!$K$27))</f>
        <v/>
      </c>
      <c r="J1334">
        <f>IF(D1334="V01",cad!$I$28,IF(D1334="V02",cad!$J$28,cad!$K$28))</f>
        <v/>
      </c>
      <c r="K1334">
        <f>IF(D1334="V01",cad!$I$29,IF(D1334="V02",cad!$J$29,cad!$K$29))</f>
        <v/>
      </c>
      <c r="L1334">
        <f>IF(D1334="V01",cad!$I$30,IF(D1334="V02",cad!$J$30,cad!$K$30))</f>
        <v/>
      </c>
      <c r="M1334">
        <f>IF(D1334="V01",cad!$I$31,IF(D1334="V02",cad!$J$31,cad!$K$31))</f>
        <v/>
      </c>
      <c r="N1334">
        <f>IF(D1334="V01",$R$2,IF(D1334="V02",$R$3,$R$4))</f>
        <v/>
      </c>
      <c r="O1334">
        <f>IF(OR(B1334="7062",B1334="706",B1334="708"),N1334,IF(B1334="6231",1+G1334,IF(B1334="6236",1+H1334,IF(OR(B1334="621",B1334="604",B1334="6063"),N1334*(1-L1334),IF(OR(B1334="6411",B1334="6413",B1334="6414",B1334="645"),(1+J1334)*(1+K1334),IF(OR(B1334="613",B1334="615",B1334="616",B1334="6226",B1334="625",B1334="626",B1334="6281"),(1+I1334)*(1-L1334)*(1+M1334),IF(OR(B1334="6331",B1334="63511",B1334="6333"),(1+I1334)*(1-L1334),IF(B1334="6811",1+I1334,1))))))))</f>
        <v/>
      </c>
      <c r="P1334">
        <f>IF(E1334=1,F1334*O1334,"")</f>
        <v/>
      </c>
    </row>
    <row r="1335">
      <c r="A1335">
        <f>PNL!A1335</f>
        <v/>
      </c>
      <c r="B1335">
        <f>PNL!B1335</f>
        <v/>
      </c>
      <c r="C1335">
        <f>PNL!C1335</f>
        <v/>
      </c>
      <c r="D1335">
        <f>PNL!D1335</f>
        <v/>
      </c>
      <c r="E1335">
        <f>IF(AND(C1335="2027",OR(D1335="V01",D1335="V02",D1335="V03")),1,0)</f>
        <v/>
      </c>
      <c r="F1335">
        <f>IF(E1335=1,SUMIFS(Compta!$F$2:$F$675,Compta!$A$2:$A$675,A1335,Compta!$B$2:$B$675,B1335,Compta!$C$2:$C$675,"2026"),0)</f>
        <v/>
      </c>
      <c r="G1335">
        <f>IF(D1335="V01",cad!$I$21,IF(D1335="V02",cad!$J$21,cad!$K$21))</f>
        <v/>
      </c>
      <c r="H1335">
        <f>IF(D1335="V01",cad!$I$22,IF(D1335="V02",cad!$J$22,cad!$K$22))</f>
        <v/>
      </c>
      <c r="I1335">
        <f>IF(D1335="V01",cad!$I$27,IF(D1335="V02",cad!$J$27,cad!$K$27))</f>
        <v/>
      </c>
      <c r="J1335">
        <f>IF(D1335="V01",cad!$I$28,IF(D1335="V02",cad!$J$28,cad!$K$28))</f>
        <v/>
      </c>
      <c r="K1335">
        <f>IF(D1335="V01",cad!$I$29,IF(D1335="V02",cad!$J$29,cad!$K$29))</f>
        <v/>
      </c>
      <c r="L1335">
        <f>IF(D1335="V01",cad!$I$30,IF(D1335="V02",cad!$J$30,cad!$K$30))</f>
        <v/>
      </c>
      <c r="M1335">
        <f>IF(D1335="V01",cad!$I$31,IF(D1335="V02",cad!$J$31,cad!$K$31))</f>
        <v/>
      </c>
      <c r="N1335">
        <f>IF(D1335="V01",$R$2,IF(D1335="V02",$R$3,$R$4))</f>
        <v/>
      </c>
      <c r="O1335">
        <f>IF(OR(B1335="7062",B1335="706",B1335="708"),N1335,IF(B1335="6231",1+G1335,IF(B1335="6236",1+H1335,IF(OR(B1335="621",B1335="604",B1335="6063"),N1335*(1-L1335),IF(OR(B1335="6411",B1335="6413",B1335="6414",B1335="645"),(1+J1335)*(1+K1335),IF(OR(B1335="613",B1335="615",B1335="616",B1335="6226",B1335="625",B1335="626",B1335="6281"),(1+I1335)*(1-L1335)*(1+M1335),IF(OR(B1335="6331",B1335="63511",B1335="6333"),(1+I1335)*(1-L1335),IF(B1335="6811",1+I1335,1))))))))</f>
        <v/>
      </c>
      <c r="P1335">
        <f>IF(E1335=1,F1335*O1335,"")</f>
        <v/>
      </c>
    </row>
    <row r="1336">
      <c r="A1336">
        <f>PNL!A1336</f>
        <v/>
      </c>
      <c r="B1336">
        <f>PNL!B1336</f>
        <v/>
      </c>
      <c r="C1336">
        <f>PNL!C1336</f>
        <v/>
      </c>
      <c r="D1336">
        <f>PNL!D1336</f>
        <v/>
      </c>
      <c r="E1336">
        <f>IF(AND(C1336="2027",OR(D1336="V01",D1336="V02",D1336="V03")),1,0)</f>
        <v/>
      </c>
      <c r="F1336">
        <f>IF(E1336=1,SUMIFS(Compta!$F$2:$F$675,Compta!$A$2:$A$675,A1336,Compta!$B$2:$B$675,B1336,Compta!$C$2:$C$675,"2026"),0)</f>
        <v/>
      </c>
      <c r="G1336">
        <f>IF(D1336="V01",cad!$I$21,IF(D1336="V02",cad!$J$21,cad!$K$21))</f>
        <v/>
      </c>
      <c r="H1336">
        <f>IF(D1336="V01",cad!$I$22,IF(D1336="V02",cad!$J$22,cad!$K$22))</f>
        <v/>
      </c>
      <c r="I1336">
        <f>IF(D1336="V01",cad!$I$27,IF(D1336="V02",cad!$J$27,cad!$K$27))</f>
        <v/>
      </c>
      <c r="J1336">
        <f>IF(D1336="V01",cad!$I$28,IF(D1336="V02",cad!$J$28,cad!$K$28))</f>
        <v/>
      </c>
      <c r="K1336">
        <f>IF(D1336="V01",cad!$I$29,IF(D1336="V02",cad!$J$29,cad!$K$29))</f>
        <v/>
      </c>
      <c r="L1336">
        <f>IF(D1336="V01",cad!$I$30,IF(D1336="V02",cad!$J$30,cad!$K$30))</f>
        <v/>
      </c>
      <c r="M1336">
        <f>IF(D1336="V01",cad!$I$31,IF(D1336="V02",cad!$J$31,cad!$K$31))</f>
        <v/>
      </c>
      <c r="N1336">
        <f>IF(D1336="V01",$R$2,IF(D1336="V02",$R$3,$R$4))</f>
        <v/>
      </c>
      <c r="O1336">
        <f>IF(OR(B1336="7062",B1336="706",B1336="708"),N1336,IF(B1336="6231",1+G1336,IF(B1336="6236",1+H1336,IF(OR(B1336="621",B1336="604",B1336="6063"),N1336*(1-L1336),IF(OR(B1336="6411",B1336="6413",B1336="6414",B1336="645"),(1+J1336)*(1+K1336),IF(OR(B1336="613",B1336="615",B1336="616",B1336="6226",B1336="625",B1336="626",B1336="6281"),(1+I1336)*(1-L1336)*(1+M1336),IF(OR(B1336="6331",B1336="63511",B1336="6333"),(1+I1336)*(1-L1336),IF(B1336="6811",1+I1336,1))))))))</f>
        <v/>
      </c>
      <c r="P1336">
        <f>IF(E1336=1,F1336*O1336,"")</f>
        <v/>
      </c>
    </row>
    <row r="1337">
      <c r="A1337">
        <f>PNL!A1337</f>
        <v/>
      </c>
      <c r="B1337">
        <f>PNL!B1337</f>
        <v/>
      </c>
      <c r="C1337">
        <f>PNL!C1337</f>
        <v/>
      </c>
      <c r="D1337">
        <f>PNL!D1337</f>
        <v/>
      </c>
      <c r="E1337">
        <f>IF(AND(C1337="2027",OR(D1337="V01",D1337="V02",D1337="V03")),1,0)</f>
        <v/>
      </c>
      <c r="F1337">
        <f>IF(E1337=1,SUMIFS(Compta!$F$2:$F$675,Compta!$A$2:$A$675,A1337,Compta!$B$2:$B$675,B1337,Compta!$C$2:$C$675,"2026"),0)</f>
        <v/>
      </c>
      <c r="G1337">
        <f>IF(D1337="V01",cad!$I$21,IF(D1337="V02",cad!$J$21,cad!$K$21))</f>
        <v/>
      </c>
      <c r="H1337">
        <f>IF(D1337="V01",cad!$I$22,IF(D1337="V02",cad!$J$22,cad!$K$22))</f>
        <v/>
      </c>
      <c r="I1337">
        <f>IF(D1337="V01",cad!$I$27,IF(D1337="V02",cad!$J$27,cad!$K$27))</f>
        <v/>
      </c>
      <c r="J1337">
        <f>IF(D1337="V01",cad!$I$28,IF(D1337="V02",cad!$J$28,cad!$K$28))</f>
        <v/>
      </c>
      <c r="K1337">
        <f>IF(D1337="V01",cad!$I$29,IF(D1337="V02",cad!$J$29,cad!$K$29))</f>
        <v/>
      </c>
      <c r="L1337">
        <f>IF(D1337="V01",cad!$I$30,IF(D1337="V02",cad!$J$30,cad!$K$30))</f>
        <v/>
      </c>
      <c r="M1337">
        <f>IF(D1337="V01",cad!$I$31,IF(D1337="V02",cad!$J$31,cad!$K$31))</f>
        <v/>
      </c>
      <c r="N1337">
        <f>IF(D1337="V01",$R$2,IF(D1337="V02",$R$3,$R$4))</f>
        <v/>
      </c>
      <c r="O1337">
        <f>IF(OR(B1337="7062",B1337="706",B1337="708"),N1337,IF(B1337="6231",1+G1337,IF(B1337="6236",1+H1337,IF(OR(B1337="621",B1337="604",B1337="6063"),N1337*(1-L1337),IF(OR(B1337="6411",B1337="6413",B1337="6414",B1337="645"),(1+J1337)*(1+K1337),IF(OR(B1337="613",B1337="615",B1337="616",B1337="6226",B1337="625",B1337="626",B1337="6281"),(1+I1337)*(1-L1337)*(1+M1337),IF(OR(B1337="6331",B1337="63511",B1337="6333"),(1+I1337)*(1-L1337),IF(B1337="6811",1+I1337,1))))))))</f>
        <v/>
      </c>
      <c r="P1337">
        <f>IF(E1337=1,F1337*O1337,"")</f>
        <v/>
      </c>
    </row>
    <row r="1338">
      <c r="A1338">
        <f>PNL!A1338</f>
        <v/>
      </c>
      <c r="B1338">
        <f>PNL!B1338</f>
        <v/>
      </c>
      <c r="C1338">
        <f>PNL!C1338</f>
        <v/>
      </c>
      <c r="D1338">
        <f>PNL!D1338</f>
        <v/>
      </c>
      <c r="E1338">
        <f>IF(AND(C1338="2027",OR(D1338="V01",D1338="V02",D1338="V03")),1,0)</f>
        <v/>
      </c>
      <c r="F1338">
        <f>IF(E1338=1,SUMIFS(Compta!$F$2:$F$675,Compta!$A$2:$A$675,A1338,Compta!$B$2:$B$675,B1338,Compta!$C$2:$C$675,"2026"),0)</f>
        <v/>
      </c>
      <c r="G1338">
        <f>IF(D1338="V01",cad!$I$21,IF(D1338="V02",cad!$J$21,cad!$K$21))</f>
        <v/>
      </c>
      <c r="H1338">
        <f>IF(D1338="V01",cad!$I$22,IF(D1338="V02",cad!$J$22,cad!$K$22))</f>
        <v/>
      </c>
      <c r="I1338">
        <f>IF(D1338="V01",cad!$I$27,IF(D1338="V02",cad!$J$27,cad!$K$27))</f>
        <v/>
      </c>
      <c r="J1338">
        <f>IF(D1338="V01",cad!$I$28,IF(D1338="V02",cad!$J$28,cad!$K$28))</f>
        <v/>
      </c>
      <c r="K1338">
        <f>IF(D1338="V01",cad!$I$29,IF(D1338="V02",cad!$J$29,cad!$K$29))</f>
        <v/>
      </c>
      <c r="L1338">
        <f>IF(D1338="V01",cad!$I$30,IF(D1338="V02",cad!$J$30,cad!$K$30))</f>
        <v/>
      </c>
      <c r="M1338">
        <f>IF(D1338="V01",cad!$I$31,IF(D1338="V02",cad!$J$31,cad!$K$31))</f>
        <v/>
      </c>
      <c r="N1338">
        <f>IF(D1338="V01",$R$2,IF(D1338="V02",$R$3,$R$4))</f>
        <v/>
      </c>
      <c r="O1338">
        <f>IF(OR(B1338="7062",B1338="706",B1338="708"),N1338,IF(B1338="6231",1+G1338,IF(B1338="6236",1+H1338,IF(OR(B1338="621",B1338="604",B1338="6063"),N1338*(1-L1338),IF(OR(B1338="6411",B1338="6413",B1338="6414",B1338="645"),(1+J1338)*(1+K1338),IF(OR(B1338="613",B1338="615",B1338="616",B1338="6226",B1338="625",B1338="626",B1338="6281"),(1+I1338)*(1-L1338)*(1+M1338),IF(OR(B1338="6331",B1338="63511",B1338="6333"),(1+I1338)*(1-L1338),IF(B1338="6811",1+I1338,1))))))))</f>
        <v/>
      </c>
      <c r="P1338">
        <f>IF(E1338=1,F1338*O1338,"")</f>
        <v/>
      </c>
    </row>
    <row r="1339">
      <c r="A1339">
        <f>PNL!A1339</f>
        <v/>
      </c>
      <c r="B1339">
        <f>PNL!B1339</f>
        <v/>
      </c>
      <c r="C1339">
        <f>PNL!C1339</f>
        <v/>
      </c>
      <c r="D1339">
        <f>PNL!D1339</f>
        <v/>
      </c>
      <c r="E1339">
        <f>IF(AND(C1339="2027",OR(D1339="V01",D1339="V02",D1339="V03")),1,0)</f>
        <v/>
      </c>
      <c r="F1339">
        <f>IF(E1339=1,SUMIFS(Compta!$F$2:$F$675,Compta!$A$2:$A$675,A1339,Compta!$B$2:$B$675,B1339,Compta!$C$2:$C$675,"2026"),0)</f>
        <v/>
      </c>
      <c r="G1339">
        <f>IF(D1339="V01",cad!$I$21,IF(D1339="V02",cad!$J$21,cad!$K$21))</f>
        <v/>
      </c>
      <c r="H1339">
        <f>IF(D1339="V01",cad!$I$22,IF(D1339="V02",cad!$J$22,cad!$K$22))</f>
        <v/>
      </c>
      <c r="I1339">
        <f>IF(D1339="V01",cad!$I$27,IF(D1339="V02",cad!$J$27,cad!$K$27))</f>
        <v/>
      </c>
      <c r="J1339">
        <f>IF(D1339="V01",cad!$I$28,IF(D1339="V02",cad!$J$28,cad!$K$28))</f>
        <v/>
      </c>
      <c r="K1339">
        <f>IF(D1339="V01",cad!$I$29,IF(D1339="V02",cad!$J$29,cad!$K$29))</f>
        <v/>
      </c>
      <c r="L1339">
        <f>IF(D1339="V01",cad!$I$30,IF(D1339="V02",cad!$J$30,cad!$K$30))</f>
        <v/>
      </c>
      <c r="M1339">
        <f>IF(D1339="V01",cad!$I$31,IF(D1339="V02",cad!$J$31,cad!$K$31))</f>
        <v/>
      </c>
      <c r="N1339">
        <f>IF(D1339="V01",$R$2,IF(D1339="V02",$R$3,$R$4))</f>
        <v/>
      </c>
      <c r="O1339">
        <f>IF(OR(B1339="7062",B1339="706",B1339="708"),N1339,IF(B1339="6231",1+G1339,IF(B1339="6236",1+H1339,IF(OR(B1339="621",B1339="604",B1339="6063"),N1339*(1-L1339),IF(OR(B1339="6411",B1339="6413",B1339="6414",B1339="645"),(1+J1339)*(1+K1339),IF(OR(B1339="613",B1339="615",B1339="616",B1339="6226",B1339="625",B1339="626",B1339="6281"),(1+I1339)*(1-L1339)*(1+M1339),IF(OR(B1339="6331",B1339="63511",B1339="6333"),(1+I1339)*(1-L1339),IF(B1339="6811",1+I1339,1))))))))</f>
        <v/>
      </c>
      <c r="P1339">
        <f>IF(E1339=1,F1339*O1339,"")</f>
        <v/>
      </c>
    </row>
    <row r="1340">
      <c r="A1340">
        <f>PNL!A1340</f>
        <v/>
      </c>
      <c r="B1340">
        <f>PNL!B1340</f>
        <v/>
      </c>
      <c r="C1340">
        <f>PNL!C1340</f>
        <v/>
      </c>
      <c r="D1340">
        <f>PNL!D1340</f>
        <v/>
      </c>
      <c r="E1340">
        <f>IF(AND(C1340="2027",OR(D1340="V01",D1340="V02",D1340="V03")),1,0)</f>
        <v/>
      </c>
      <c r="F1340">
        <f>IF(E1340=1,SUMIFS(Compta!$F$2:$F$675,Compta!$A$2:$A$675,A1340,Compta!$B$2:$B$675,B1340,Compta!$C$2:$C$675,"2026"),0)</f>
        <v/>
      </c>
      <c r="G1340">
        <f>IF(D1340="V01",cad!$I$21,IF(D1340="V02",cad!$J$21,cad!$K$21))</f>
        <v/>
      </c>
      <c r="H1340">
        <f>IF(D1340="V01",cad!$I$22,IF(D1340="V02",cad!$J$22,cad!$K$22))</f>
        <v/>
      </c>
      <c r="I1340">
        <f>IF(D1340="V01",cad!$I$27,IF(D1340="V02",cad!$J$27,cad!$K$27))</f>
        <v/>
      </c>
      <c r="J1340">
        <f>IF(D1340="V01",cad!$I$28,IF(D1340="V02",cad!$J$28,cad!$K$28))</f>
        <v/>
      </c>
      <c r="K1340">
        <f>IF(D1340="V01",cad!$I$29,IF(D1340="V02",cad!$J$29,cad!$K$29))</f>
        <v/>
      </c>
      <c r="L1340">
        <f>IF(D1340="V01",cad!$I$30,IF(D1340="V02",cad!$J$30,cad!$K$30))</f>
        <v/>
      </c>
      <c r="M1340">
        <f>IF(D1340="V01",cad!$I$31,IF(D1340="V02",cad!$J$31,cad!$K$31))</f>
        <v/>
      </c>
      <c r="N1340">
        <f>IF(D1340="V01",$R$2,IF(D1340="V02",$R$3,$R$4))</f>
        <v/>
      </c>
      <c r="O1340">
        <f>IF(OR(B1340="7062",B1340="706",B1340="708"),N1340,IF(B1340="6231",1+G1340,IF(B1340="6236",1+H1340,IF(OR(B1340="621",B1340="604",B1340="6063"),N1340*(1-L1340),IF(OR(B1340="6411",B1340="6413",B1340="6414",B1340="645"),(1+J1340)*(1+K1340),IF(OR(B1340="613",B1340="615",B1340="616",B1340="6226",B1340="625",B1340="626",B1340="6281"),(1+I1340)*(1-L1340)*(1+M1340),IF(OR(B1340="6331",B1340="63511",B1340="6333"),(1+I1340)*(1-L1340),IF(B1340="6811",1+I1340,1))))))))</f>
        <v/>
      </c>
      <c r="P1340">
        <f>IF(E1340=1,F1340*O1340,"")</f>
        <v/>
      </c>
    </row>
    <row r="1341">
      <c r="A1341">
        <f>PNL!A1341</f>
        <v/>
      </c>
      <c r="B1341">
        <f>PNL!B1341</f>
        <v/>
      </c>
      <c r="C1341">
        <f>PNL!C1341</f>
        <v/>
      </c>
      <c r="D1341">
        <f>PNL!D1341</f>
        <v/>
      </c>
      <c r="E1341">
        <f>IF(AND(C1341="2027",OR(D1341="V01",D1341="V02",D1341="V03")),1,0)</f>
        <v/>
      </c>
      <c r="F1341">
        <f>IF(E1341=1,SUMIFS(Compta!$F$2:$F$675,Compta!$A$2:$A$675,A1341,Compta!$B$2:$B$675,B1341,Compta!$C$2:$C$675,"2026"),0)</f>
        <v/>
      </c>
      <c r="G1341">
        <f>IF(D1341="V01",cad!$I$21,IF(D1341="V02",cad!$J$21,cad!$K$21))</f>
        <v/>
      </c>
      <c r="H1341">
        <f>IF(D1341="V01",cad!$I$22,IF(D1341="V02",cad!$J$22,cad!$K$22))</f>
        <v/>
      </c>
      <c r="I1341">
        <f>IF(D1341="V01",cad!$I$27,IF(D1341="V02",cad!$J$27,cad!$K$27))</f>
        <v/>
      </c>
      <c r="J1341">
        <f>IF(D1341="V01",cad!$I$28,IF(D1341="V02",cad!$J$28,cad!$K$28))</f>
        <v/>
      </c>
      <c r="K1341">
        <f>IF(D1341="V01",cad!$I$29,IF(D1341="V02",cad!$J$29,cad!$K$29))</f>
        <v/>
      </c>
      <c r="L1341">
        <f>IF(D1341="V01",cad!$I$30,IF(D1341="V02",cad!$J$30,cad!$K$30))</f>
        <v/>
      </c>
      <c r="M1341">
        <f>IF(D1341="V01",cad!$I$31,IF(D1341="V02",cad!$J$31,cad!$K$31))</f>
        <v/>
      </c>
      <c r="N1341">
        <f>IF(D1341="V01",$R$2,IF(D1341="V02",$R$3,$R$4))</f>
        <v/>
      </c>
      <c r="O1341">
        <f>IF(OR(B1341="7062",B1341="706",B1341="708"),N1341,IF(B1341="6231",1+G1341,IF(B1341="6236",1+H1341,IF(OR(B1341="621",B1341="604",B1341="6063"),N1341*(1-L1341),IF(OR(B1341="6411",B1341="6413",B1341="6414",B1341="645"),(1+J1341)*(1+K1341),IF(OR(B1341="613",B1341="615",B1341="616",B1341="6226",B1341="625",B1341="626",B1341="6281"),(1+I1341)*(1-L1341)*(1+M1341),IF(OR(B1341="6331",B1341="63511",B1341="6333"),(1+I1341)*(1-L1341),IF(B1341="6811",1+I1341,1))))))))</f>
        <v/>
      </c>
      <c r="P1341">
        <f>IF(E1341=1,F1341*O1341,"")</f>
        <v/>
      </c>
    </row>
    <row r="1342">
      <c r="A1342">
        <f>PNL!A1342</f>
        <v/>
      </c>
      <c r="B1342">
        <f>PNL!B1342</f>
        <v/>
      </c>
      <c r="C1342">
        <f>PNL!C1342</f>
        <v/>
      </c>
      <c r="D1342">
        <f>PNL!D1342</f>
        <v/>
      </c>
      <c r="E1342">
        <f>IF(AND(C1342="2027",OR(D1342="V01",D1342="V02",D1342="V03")),1,0)</f>
        <v/>
      </c>
      <c r="F1342">
        <f>IF(E1342=1,SUMIFS(Compta!$F$2:$F$675,Compta!$A$2:$A$675,A1342,Compta!$B$2:$B$675,B1342,Compta!$C$2:$C$675,"2026"),0)</f>
        <v/>
      </c>
      <c r="G1342">
        <f>IF(D1342="V01",cad!$I$21,IF(D1342="V02",cad!$J$21,cad!$K$21))</f>
        <v/>
      </c>
      <c r="H1342">
        <f>IF(D1342="V01",cad!$I$22,IF(D1342="V02",cad!$J$22,cad!$K$22))</f>
        <v/>
      </c>
      <c r="I1342">
        <f>IF(D1342="V01",cad!$I$27,IF(D1342="V02",cad!$J$27,cad!$K$27))</f>
        <v/>
      </c>
      <c r="J1342">
        <f>IF(D1342="V01",cad!$I$28,IF(D1342="V02",cad!$J$28,cad!$K$28))</f>
        <v/>
      </c>
      <c r="K1342">
        <f>IF(D1342="V01",cad!$I$29,IF(D1342="V02",cad!$J$29,cad!$K$29))</f>
        <v/>
      </c>
      <c r="L1342">
        <f>IF(D1342="V01",cad!$I$30,IF(D1342="V02",cad!$J$30,cad!$K$30))</f>
        <v/>
      </c>
      <c r="M1342">
        <f>IF(D1342="V01",cad!$I$31,IF(D1342="V02",cad!$J$31,cad!$K$31))</f>
        <v/>
      </c>
      <c r="N1342">
        <f>IF(D1342="V01",$R$2,IF(D1342="V02",$R$3,$R$4))</f>
        <v/>
      </c>
      <c r="O1342">
        <f>IF(OR(B1342="7062",B1342="706",B1342="708"),N1342,IF(B1342="6231",1+G1342,IF(B1342="6236",1+H1342,IF(OR(B1342="621",B1342="604",B1342="6063"),N1342*(1-L1342),IF(OR(B1342="6411",B1342="6413",B1342="6414",B1342="645"),(1+J1342)*(1+K1342),IF(OR(B1342="613",B1342="615",B1342="616",B1342="6226",B1342="625",B1342="626",B1342="6281"),(1+I1342)*(1-L1342)*(1+M1342),IF(OR(B1342="6331",B1342="63511",B1342="6333"),(1+I1342)*(1-L1342),IF(B1342="6811",1+I1342,1))))))))</f>
        <v/>
      </c>
      <c r="P1342">
        <f>IF(E1342=1,F1342*O1342,"")</f>
        <v/>
      </c>
    </row>
    <row r="1343">
      <c r="A1343">
        <f>PNL!A1343</f>
        <v/>
      </c>
      <c r="B1343">
        <f>PNL!B1343</f>
        <v/>
      </c>
      <c r="C1343">
        <f>PNL!C1343</f>
        <v/>
      </c>
      <c r="D1343">
        <f>PNL!D1343</f>
        <v/>
      </c>
      <c r="E1343">
        <f>IF(AND(C1343="2027",OR(D1343="V01",D1343="V02",D1343="V03")),1,0)</f>
        <v/>
      </c>
      <c r="F1343">
        <f>IF(E1343=1,SUMIFS(Compta!$F$2:$F$675,Compta!$A$2:$A$675,A1343,Compta!$B$2:$B$675,B1343,Compta!$C$2:$C$675,"2026"),0)</f>
        <v/>
      </c>
      <c r="G1343">
        <f>IF(D1343="V01",cad!$I$21,IF(D1343="V02",cad!$J$21,cad!$K$21))</f>
        <v/>
      </c>
      <c r="H1343">
        <f>IF(D1343="V01",cad!$I$22,IF(D1343="V02",cad!$J$22,cad!$K$22))</f>
        <v/>
      </c>
      <c r="I1343">
        <f>IF(D1343="V01",cad!$I$27,IF(D1343="V02",cad!$J$27,cad!$K$27))</f>
        <v/>
      </c>
      <c r="J1343">
        <f>IF(D1343="V01",cad!$I$28,IF(D1343="V02",cad!$J$28,cad!$K$28))</f>
        <v/>
      </c>
      <c r="K1343">
        <f>IF(D1343="V01",cad!$I$29,IF(D1343="V02",cad!$J$29,cad!$K$29))</f>
        <v/>
      </c>
      <c r="L1343">
        <f>IF(D1343="V01",cad!$I$30,IF(D1343="V02",cad!$J$30,cad!$K$30))</f>
        <v/>
      </c>
      <c r="M1343">
        <f>IF(D1343="V01",cad!$I$31,IF(D1343="V02",cad!$J$31,cad!$K$31))</f>
        <v/>
      </c>
      <c r="N1343">
        <f>IF(D1343="V01",$R$2,IF(D1343="V02",$R$3,$R$4))</f>
        <v/>
      </c>
      <c r="O1343">
        <f>IF(OR(B1343="7062",B1343="706",B1343="708"),N1343,IF(B1343="6231",1+G1343,IF(B1343="6236",1+H1343,IF(OR(B1343="621",B1343="604",B1343="6063"),N1343*(1-L1343),IF(OR(B1343="6411",B1343="6413",B1343="6414",B1343="645"),(1+J1343)*(1+K1343),IF(OR(B1343="613",B1343="615",B1343="616",B1343="6226",B1343="625",B1343="626",B1343="6281"),(1+I1343)*(1-L1343)*(1+M1343),IF(OR(B1343="6331",B1343="63511",B1343="6333"),(1+I1343)*(1-L1343),IF(B1343="6811",1+I1343,1))))))))</f>
        <v/>
      </c>
      <c r="P1343">
        <f>IF(E1343=1,F1343*O1343,"")</f>
        <v/>
      </c>
    </row>
    <row r="1344">
      <c r="A1344">
        <f>PNL!A1344</f>
        <v/>
      </c>
      <c r="B1344">
        <f>PNL!B1344</f>
        <v/>
      </c>
      <c r="C1344">
        <f>PNL!C1344</f>
        <v/>
      </c>
      <c r="D1344">
        <f>PNL!D1344</f>
        <v/>
      </c>
      <c r="E1344">
        <f>IF(AND(C1344="2027",OR(D1344="V01",D1344="V02",D1344="V03")),1,0)</f>
        <v/>
      </c>
      <c r="F1344">
        <f>IF(E1344=1,SUMIFS(Compta!$F$2:$F$675,Compta!$A$2:$A$675,A1344,Compta!$B$2:$B$675,B1344,Compta!$C$2:$C$675,"2026"),0)</f>
        <v/>
      </c>
      <c r="G1344">
        <f>IF(D1344="V01",cad!$I$21,IF(D1344="V02",cad!$J$21,cad!$K$21))</f>
        <v/>
      </c>
      <c r="H1344">
        <f>IF(D1344="V01",cad!$I$22,IF(D1344="V02",cad!$J$22,cad!$K$22))</f>
        <v/>
      </c>
      <c r="I1344">
        <f>IF(D1344="V01",cad!$I$27,IF(D1344="V02",cad!$J$27,cad!$K$27))</f>
        <v/>
      </c>
      <c r="J1344">
        <f>IF(D1344="V01",cad!$I$28,IF(D1344="V02",cad!$J$28,cad!$K$28))</f>
        <v/>
      </c>
      <c r="K1344">
        <f>IF(D1344="V01",cad!$I$29,IF(D1344="V02",cad!$J$29,cad!$K$29))</f>
        <v/>
      </c>
      <c r="L1344">
        <f>IF(D1344="V01",cad!$I$30,IF(D1344="V02",cad!$J$30,cad!$K$30))</f>
        <v/>
      </c>
      <c r="M1344">
        <f>IF(D1344="V01",cad!$I$31,IF(D1344="V02",cad!$J$31,cad!$K$31))</f>
        <v/>
      </c>
      <c r="N1344">
        <f>IF(D1344="V01",$R$2,IF(D1344="V02",$R$3,$R$4))</f>
        <v/>
      </c>
      <c r="O1344">
        <f>IF(OR(B1344="7062",B1344="706",B1344="708"),N1344,IF(B1344="6231",1+G1344,IF(B1344="6236",1+H1344,IF(OR(B1344="621",B1344="604",B1344="6063"),N1344*(1-L1344),IF(OR(B1344="6411",B1344="6413",B1344="6414",B1344="645"),(1+J1344)*(1+K1344),IF(OR(B1344="613",B1344="615",B1344="616",B1344="6226",B1344="625",B1344="626",B1344="6281"),(1+I1344)*(1-L1344)*(1+M1344),IF(OR(B1344="6331",B1344="63511",B1344="6333"),(1+I1344)*(1-L1344),IF(B1344="6811",1+I1344,1))))))))</f>
        <v/>
      </c>
      <c r="P1344">
        <f>IF(E1344=1,F1344*O1344,"")</f>
        <v/>
      </c>
    </row>
    <row r="1345">
      <c r="A1345">
        <f>PNL!A1345</f>
        <v/>
      </c>
      <c r="B1345">
        <f>PNL!B1345</f>
        <v/>
      </c>
      <c r="C1345">
        <f>PNL!C1345</f>
        <v/>
      </c>
      <c r="D1345">
        <f>PNL!D1345</f>
        <v/>
      </c>
      <c r="E1345">
        <f>IF(AND(C1345="2027",OR(D1345="V01",D1345="V02",D1345="V03")),1,0)</f>
        <v/>
      </c>
      <c r="F1345">
        <f>IF(E1345=1,SUMIFS(Compta!$F$2:$F$675,Compta!$A$2:$A$675,A1345,Compta!$B$2:$B$675,B1345,Compta!$C$2:$C$675,"2026"),0)</f>
        <v/>
      </c>
      <c r="G1345">
        <f>IF(D1345="V01",cad!$I$21,IF(D1345="V02",cad!$J$21,cad!$K$21))</f>
        <v/>
      </c>
      <c r="H1345">
        <f>IF(D1345="V01",cad!$I$22,IF(D1345="V02",cad!$J$22,cad!$K$22))</f>
        <v/>
      </c>
      <c r="I1345">
        <f>IF(D1345="V01",cad!$I$27,IF(D1345="V02",cad!$J$27,cad!$K$27))</f>
        <v/>
      </c>
      <c r="J1345">
        <f>IF(D1345="V01",cad!$I$28,IF(D1345="V02",cad!$J$28,cad!$K$28))</f>
        <v/>
      </c>
      <c r="K1345">
        <f>IF(D1345="V01",cad!$I$29,IF(D1345="V02",cad!$J$29,cad!$K$29))</f>
        <v/>
      </c>
      <c r="L1345">
        <f>IF(D1345="V01",cad!$I$30,IF(D1345="V02",cad!$J$30,cad!$K$30))</f>
        <v/>
      </c>
      <c r="M1345">
        <f>IF(D1345="V01",cad!$I$31,IF(D1345="V02",cad!$J$31,cad!$K$31))</f>
        <v/>
      </c>
      <c r="N1345">
        <f>IF(D1345="V01",$R$2,IF(D1345="V02",$R$3,$R$4))</f>
        <v/>
      </c>
      <c r="O1345">
        <f>IF(OR(B1345="7062",B1345="706",B1345="708"),N1345,IF(B1345="6231",1+G1345,IF(B1345="6236",1+H1345,IF(OR(B1345="621",B1345="604",B1345="6063"),N1345*(1-L1345),IF(OR(B1345="6411",B1345="6413",B1345="6414",B1345="645"),(1+J1345)*(1+K1345),IF(OR(B1345="613",B1345="615",B1345="616",B1345="6226",B1345="625",B1345="626",B1345="6281"),(1+I1345)*(1-L1345)*(1+M1345),IF(OR(B1345="6331",B1345="63511",B1345="6333"),(1+I1345)*(1-L1345),IF(B1345="6811",1+I1345,1))))))))</f>
        <v/>
      </c>
      <c r="P1345">
        <f>IF(E1345=1,F1345*O1345,"")</f>
        <v/>
      </c>
    </row>
    <row r="1346">
      <c r="A1346">
        <f>PNL!A1346</f>
        <v/>
      </c>
      <c r="B1346">
        <f>PNL!B1346</f>
        <v/>
      </c>
      <c r="C1346">
        <f>PNL!C1346</f>
        <v/>
      </c>
      <c r="D1346">
        <f>PNL!D1346</f>
        <v/>
      </c>
      <c r="E1346">
        <f>IF(AND(C1346="2027",OR(D1346="V01",D1346="V02",D1346="V03")),1,0)</f>
        <v/>
      </c>
      <c r="F1346">
        <f>IF(E1346=1,SUMIFS(Compta!$F$2:$F$675,Compta!$A$2:$A$675,A1346,Compta!$B$2:$B$675,B1346,Compta!$C$2:$C$675,"2026"),0)</f>
        <v/>
      </c>
      <c r="G1346">
        <f>IF(D1346="V01",cad!$I$21,IF(D1346="V02",cad!$J$21,cad!$K$21))</f>
        <v/>
      </c>
      <c r="H1346">
        <f>IF(D1346="V01",cad!$I$22,IF(D1346="V02",cad!$J$22,cad!$K$22))</f>
        <v/>
      </c>
      <c r="I1346">
        <f>IF(D1346="V01",cad!$I$27,IF(D1346="V02",cad!$J$27,cad!$K$27))</f>
        <v/>
      </c>
      <c r="J1346">
        <f>IF(D1346="V01",cad!$I$28,IF(D1346="V02",cad!$J$28,cad!$K$28))</f>
        <v/>
      </c>
      <c r="K1346">
        <f>IF(D1346="V01",cad!$I$29,IF(D1346="V02",cad!$J$29,cad!$K$29))</f>
        <v/>
      </c>
      <c r="L1346">
        <f>IF(D1346="V01",cad!$I$30,IF(D1346="V02",cad!$J$30,cad!$K$30))</f>
        <v/>
      </c>
      <c r="M1346">
        <f>IF(D1346="V01",cad!$I$31,IF(D1346="V02",cad!$J$31,cad!$K$31))</f>
        <v/>
      </c>
      <c r="N1346">
        <f>IF(D1346="V01",$R$2,IF(D1346="V02",$R$3,$R$4))</f>
        <v/>
      </c>
      <c r="O1346">
        <f>IF(OR(B1346="7062",B1346="706",B1346="708"),N1346,IF(B1346="6231",1+G1346,IF(B1346="6236",1+H1346,IF(OR(B1346="621",B1346="604",B1346="6063"),N1346*(1-L1346),IF(OR(B1346="6411",B1346="6413",B1346="6414",B1346="645"),(1+J1346)*(1+K1346),IF(OR(B1346="613",B1346="615",B1346="616",B1346="6226",B1346="625",B1346="626",B1346="6281"),(1+I1346)*(1-L1346)*(1+M1346),IF(OR(B1346="6331",B1346="63511",B1346="6333"),(1+I1346)*(1-L1346),IF(B1346="6811",1+I1346,1))))))))</f>
        <v/>
      </c>
      <c r="P1346">
        <f>IF(E1346=1,F1346*O1346,"")</f>
        <v/>
      </c>
    </row>
    <row r="1347">
      <c r="A1347">
        <f>PNL!A1347</f>
        <v/>
      </c>
      <c r="B1347">
        <f>PNL!B1347</f>
        <v/>
      </c>
      <c r="C1347">
        <f>PNL!C1347</f>
        <v/>
      </c>
      <c r="D1347">
        <f>PNL!D1347</f>
        <v/>
      </c>
      <c r="E1347">
        <f>IF(AND(C1347="2027",OR(D1347="V01",D1347="V02",D1347="V03")),1,0)</f>
        <v/>
      </c>
      <c r="F1347">
        <f>IF(E1347=1,SUMIFS(Compta!$F$2:$F$675,Compta!$A$2:$A$675,A1347,Compta!$B$2:$B$675,B1347,Compta!$C$2:$C$675,"2026"),0)</f>
        <v/>
      </c>
      <c r="G1347">
        <f>IF(D1347="V01",cad!$I$21,IF(D1347="V02",cad!$J$21,cad!$K$21))</f>
        <v/>
      </c>
      <c r="H1347">
        <f>IF(D1347="V01",cad!$I$22,IF(D1347="V02",cad!$J$22,cad!$K$22))</f>
        <v/>
      </c>
      <c r="I1347">
        <f>IF(D1347="V01",cad!$I$27,IF(D1347="V02",cad!$J$27,cad!$K$27))</f>
        <v/>
      </c>
      <c r="J1347">
        <f>IF(D1347="V01",cad!$I$28,IF(D1347="V02",cad!$J$28,cad!$K$28))</f>
        <v/>
      </c>
      <c r="K1347">
        <f>IF(D1347="V01",cad!$I$29,IF(D1347="V02",cad!$J$29,cad!$K$29))</f>
        <v/>
      </c>
      <c r="L1347">
        <f>IF(D1347="V01",cad!$I$30,IF(D1347="V02",cad!$J$30,cad!$K$30))</f>
        <v/>
      </c>
      <c r="M1347">
        <f>IF(D1347="V01",cad!$I$31,IF(D1347="V02",cad!$J$31,cad!$K$31))</f>
        <v/>
      </c>
      <c r="N1347">
        <f>IF(D1347="V01",$R$2,IF(D1347="V02",$R$3,$R$4))</f>
        <v/>
      </c>
      <c r="O1347">
        <f>IF(OR(B1347="7062",B1347="706",B1347="708"),N1347,IF(B1347="6231",1+G1347,IF(B1347="6236",1+H1347,IF(OR(B1347="621",B1347="604",B1347="6063"),N1347*(1-L1347),IF(OR(B1347="6411",B1347="6413",B1347="6414",B1347="645"),(1+J1347)*(1+K1347),IF(OR(B1347="613",B1347="615",B1347="616",B1347="6226",B1347="625",B1347="626",B1347="6281"),(1+I1347)*(1-L1347)*(1+M1347),IF(OR(B1347="6331",B1347="63511",B1347="6333"),(1+I1347)*(1-L1347),IF(B1347="6811",1+I1347,1))))))))</f>
        <v/>
      </c>
      <c r="P1347">
        <f>IF(E1347=1,F1347*O1347,"")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N175"/>
  <sheetViews>
    <sheetView workbookViewId="0">
      <selection activeCell="A1" sqref="A1"/>
    </sheetView>
  </sheetViews>
  <sheetFormatPr baseColWidth="8" defaultRowHeight="15"/>
  <sheetData>
    <row r="1">
      <c r="A1" s="28" t="inlineStr">
        <is>
          <t>EXERCICE</t>
        </is>
      </c>
      <c r="B1" s="28" t="inlineStr">
        <is>
          <t>ENTITY</t>
        </is>
      </c>
      <c r="C1" s="28" t="inlineStr">
        <is>
          <t>MARQUE</t>
        </is>
      </c>
      <c r="D1" s="28" t="inlineStr">
        <is>
          <t>PROG</t>
        </is>
      </c>
      <c r="E1" s="28" t="inlineStr">
        <is>
          <t>AN</t>
        </is>
      </c>
      <c r="F1" s="28" t="inlineStr">
        <is>
          <t>MOD</t>
        </is>
      </c>
      <c r="G1" s="28" t="inlineStr">
        <is>
          <t>VOL_EFF</t>
        </is>
      </c>
      <c r="H1" s="28" t="inlineStr">
        <is>
          <t>VOL_CLASS</t>
        </is>
      </c>
      <c r="I1" s="28" t="inlineStr">
        <is>
          <t>CA</t>
        </is>
      </c>
      <c r="J1" s="28" t="inlineStr">
        <is>
          <t>VOL_NEW</t>
        </is>
      </c>
      <c r="K1" s="28" t="inlineStr">
        <is>
          <t>HRS</t>
        </is>
      </c>
      <c r="L1" s="28" t="inlineStr">
        <is>
          <t>E_EFF</t>
        </is>
      </c>
      <c r="M1" s="28" t="inlineStr">
        <is>
          <t>E_CLS</t>
        </is>
      </c>
      <c r="N1" s="28" t="inlineStr">
        <is>
          <t>E_CA</t>
        </is>
      </c>
      <c r="O1" s="28" t="inlineStr">
        <is>
          <t>E_HRS</t>
        </is>
      </c>
      <c r="P1" s="28" t="inlineStr">
        <is>
          <t>E_NEW</t>
        </is>
      </c>
      <c r="Q1" s="28" t="inlineStr">
        <is>
          <t>M_EFF</t>
        </is>
      </c>
      <c r="R1" s="28" t="inlineStr">
        <is>
          <t>M_CLS</t>
        </is>
      </c>
      <c r="S1" s="28" t="inlineStr">
        <is>
          <t>M_CA</t>
        </is>
      </c>
      <c r="T1" s="28" t="inlineStr">
        <is>
          <t>G_EFF</t>
        </is>
      </c>
      <c r="U1" s="28" t="inlineStr">
        <is>
          <t>G_CLS</t>
        </is>
      </c>
      <c r="V1" s="28" t="inlineStr">
        <is>
          <t>G_CA</t>
        </is>
      </c>
      <c r="W1" s="28" t="inlineStr">
        <is>
          <t>VAC</t>
        </is>
      </c>
      <c r="X1" s="28" t="inlineStr">
        <is>
          <t>PERM</t>
        </is>
      </c>
      <c r="Y1" s="28" t="inlineStr">
        <is>
          <t>ODIR</t>
        </is>
      </c>
      <c r="Z1" s="28" t="inlineStr">
        <is>
          <t>MKT</t>
        </is>
      </c>
      <c r="AA1" s="28" t="inlineStr">
        <is>
          <t>STRUCT_CAMP</t>
        </is>
      </c>
      <c r="AB1" s="28" t="inlineStr">
        <is>
          <t>SIEGE</t>
        </is>
      </c>
      <c r="AC1" s="28" t="inlineStr">
        <is>
          <t>D3C</t>
        </is>
      </c>
      <c r="AD1" s="28" t="inlineStr">
        <is>
          <t>D3E</t>
        </is>
      </c>
      <c r="AE1" s="28" t="inlineStr">
        <is>
          <t>D2E</t>
        </is>
      </c>
      <c r="AF1" s="28" t="inlineStr">
        <is>
          <t>D2M</t>
        </is>
      </c>
      <c r="AG1" s="28" t="inlineStr">
        <is>
          <t>D1M</t>
        </is>
      </c>
      <c r="AH1" s="28" t="inlineStr">
        <is>
          <t>D1G</t>
        </is>
      </c>
      <c r="AI1" s="28" t="inlineStr">
        <is>
          <t>COST_VAC</t>
        </is>
      </c>
      <c r="AJ1" s="28" t="inlineStr">
        <is>
          <t>COST_PERM</t>
        </is>
      </c>
      <c r="AK1" s="28" t="inlineStr">
        <is>
          <t>COST_ODIR</t>
        </is>
      </c>
      <c r="AL1" s="28" t="inlineStr">
        <is>
          <t>COST_STRUCT</t>
        </is>
      </c>
      <c r="AM1" s="28" t="inlineStr">
        <is>
          <t>COST_SIEGE</t>
        </is>
      </c>
      <c r="AN1" s="28" t="inlineStr">
        <is>
          <t>MARGE</t>
        </is>
      </c>
    </row>
    <row r="2">
      <c r="A2">
        <f>Allocation!C2</f>
        <v/>
      </c>
      <c r="B2">
        <f>Allocation!D2</f>
        <v/>
      </c>
      <c r="C2">
        <f>Allocation!E2</f>
        <v/>
      </c>
      <c r="D2">
        <f>Allocation!F2</f>
        <v/>
      </c>
      <c r="E2">
        <f>Allocation!G2</f>
        <v/>
      </c>
      <c r="F2">
        <f>Allocation!H2</f>
        <v/>
      </c>
      <c r="G2">
        <f>Allocation!I2</f>
        <v/>
      </c>
      <c r="H2">
        <f>Allocation!J2</f>
        <v/>
      </c>
      <c r="I2">
        <f>Allocation!K2</f>
        <v/>
      </c>
      <c r="J2">
        <f>SUMIFS(Socle!$K$2:$K$175,Socle!$C$2:$C$175,B2,Socle!$D$2:$D$175,D2,Socle!$E$2:$E$175,E2,Socle!$F$2:$F$175,F2,Socle!$G$2:$G$175,A2)</f>
        <v/>
      </c>
      <c r="K2">
        <f>H2*IF(AND(LEFT(D2,3)="BAC",F2="INIT"),600,IF(LEFT(D2,3)="BAC",480,IF(AND(LEFT(D2,3)="MAS",F2="INIT"),520,IF(LEFT(D2,3)="MAS",420,IF(F2="INIT",1000,700)))))</f>
        <v/>
      </c>
      <c r="L2">
        <f>SUMIFS(Allocation!$I$2:$I$175,Allocation!$C$2:$C$175,A2,Allocation!$D$2:$D$175,B2)</f>
        <v/>
      </c>
      <c r="M2">
        <f>SUMIFS(Allocation!$J$2:$J$175,Allocation!$C$2:$C$175,A2,Allocation!$D$2:$D$175,B2)</f>
        <v/>
      </c>
      <c r="N2">
        <f>SUMIFS(Allocation!$K$2:$K$175,Allocation!$C$2:$C$175,A2,Allocation!$D$2:$D$175,B2)</f>
        <v/>
      </c>
      <c r="O2">
        <f>SUMIFS($K$2:$K$175,$A$2:$A$175,A2,$B$2:$B$175,B2)</f>
        <v/>
      </c>
      <c r="P2">
        <f>SUMIFS($J$2:$J$175,$A$2:$A$175,A2,$B$2:$B$175,B2)</f>
        <v/>
      </c>
      <c r="Q2">
        <f>SUMIFS(Allocation!$I$2:$I$175,Allocation!$C$2:$C$175,A2,Allocation!$E$2:$E$175,C2)</f>
        <v/>
      </c>
      <c r="R2">
        <f>SUMIFS(Allocation!$J$2:$J$175,Allocation!$C$2:$C$175,A2,Allocation!$E$2:$E$175,C2)</f>
        <v/>
      </c>
      <c r="S2">
        <f>SUMIFS(Allocation!$K$2:$K$175,Allocation!$C$2:$C$175,A2,Allocation!$E$2:$E$175,C2)</f>
        <v/>
      </c>
      <c r="T2">
        <f>SUMIFS(Allocation!$I$2:$I$175,Allocation!$C$2:$C$175,A2)</f>
        <v/>
      </c>
      <c r="U2">
        <f>SUMIFS(Allocation!$J$2:$J$175,Allocation!$C$2:$C$175,A2)</f>
        <v/>
      </c>
      <c r="V2">
        <f>SUMIFS(Allocation!$K$2:$K$175,Allocation!$C$2:$C$175,A2)</f>
        <v/>
      </c>
      <c r="W2">
        <f>SUMIFS(Compta!$F$2:$F$675,Compta!$A$2:$A$675,B2,Compta!$B$2:$B$675,"621",Compta!$C$2:$C$675,A2)</f>
        <v/>
      </c>
      <c r="X2">
        <f>SUMIFS(Compta!$F$2:$F$675,Compta!$A$2:$A$675,B2,Compta!$B$2:$B$675,"6411",Compta!$C$2:$C$675,A2)</f>
        <v/>
      </c>
      <c r="Y2">
        <f>SUMIFS(Compta!$F$2:$F$675,Compta!$A$2:$A$675,B2,Compta!$B$2:$B$675,"604",Compta!$C$2:$C$675,A2)+SUMIFS(Compta!$F$2:$F$675,Compta!$A$2:$A$675,B2,Compta!$B$2:$B$675,"6063",Compta!$C$2:$C$675,A2)</f>
        <v/>
      </c>
      <c r="Z2">
        <f>SUMIFS(Compta!$F$2:$F$675,Compta!$A$2:$A$675,B2,Compta!$B$2:$B$675,"6231",Compta!$C$2:$C$675,A2)</f>
        <v/>
      </c>
      <c r="AA2">
        <f>SUMIFS(Compta!$F$2:$F$675,Compta!$A$2:$A$675,B2,Compta!$B$2:$B$675,"6413",Compta!$C$2:$C$675,A2)+SUMIFS(Compta!$F$2:$F$675,Compta!$A$2:$A$675,B2,Compta!$B$2:$B$675,"645",Compta!$C$2:$C$675,A2)+SUMIFS(Compta!$F$2:$F$675,Compta!$A$2:$A$675,B2,Compta!$B$2:$B$675,"613",Compta!$C$2:$C$675,A2)+SUMIFS(Compta!$F$2:$F$675,Compta!$A$2:$A$675,B2,Compta!$B$2:$B$675,"615",Compta!$C$2:$C$675,A2)+SUMIFS(Compta!$F$2:$F$675,Compta!$A$2:$A$675,B2,Compta!$B$2:$B$675,"616",Compta!$C$2:$C$675,A2)+SUMIFS(Compta!$F$2:$F$675,Compta!$A$2:$A$675,B2,Compta!$B$2:$B$675,"625",Compta!$C$2:$C$675,A2)+SUMIFS(Compta!$F$2:$F$675,Compta!$A$2:$A$675,B2,Compta!$B$2:$B$675,"63511",Compta!$C$2:$C$675,A2)</f>
        <v/>
      </c>
      <c r="AB2">
        <f>SUMIFS(Compta!$F$2:$F$675,Compta!$A$2:$A$675,"GRP",Compta!$B$2:$B$675,"6414",Compta!$C$2:$C$675,A2)+SUMIFS(Compta!$F$2:$F$675,Compta!$A$2:$A$675,"GRP",Compta!$B$2:$B$675,"6226",Compta!$C$2:$C$675,A2)+SUMIFS(Compta!$F$2:$F$675,Compta!$A$2:$A$675,"GRP",Compta!$B$2:$B$675,"6236",Compta!$C$2:$C$675,A2)+SUMIFS(Compta!$F$2:$F$675,Compta!$A$2:$A$675,"GRP",Compta!$B$2:$B$675,"626",Compta!$C$2:$C$675,A2)+SUMIFS(Compta!$F$2:$F$675,Compta!$A$2:$A$675,"GRP",Compta!$B$2:$B$675,"6281",Compta!$C$2:$C$675,A2)+SUMIFS(Compta!$F$2:$F$675,Compta!$A$2:$A$675,"GRP",Compta!$B$2:$B$675,"6331",Compta!$C$2:$C$675,A2)+SUMIFS(Compta!$F$2:$F$675,Compta!$A$2:$A$675,"GRP",Compta!$B$2:$B$675,"6333",Compta!$C$2:$C$675,A2)</f>
        <v/>
      </c>
      <c r="AC2">
        <f>IF(Pilotage!$E$10="Chiffre d'affaires",I2,IF(Pilotage!$E$10="Effectif",G2,H2))</f>
        <v/>
      </c>
      <c r="AD2">
        <f>IF(Pilotage!$E$10="Chiffre d'affaires",N2,IF(Pilotage!$E$10="Effectif",L2,M2))</f>
        <v/>
      </c>
      <c r="AE2">
        <f>IF(Pilotage!$E$8="Chiffre d'affaires",N2,IF(Pilotage!$E$8="Effectif",L2,M2))</f>
        <v/>
      </c>
      <c r="AF2">
        <f>IF(Pilotage!$E$8="Chiffre d'affaires",S2,IF(Pilotage!$E$8="Effectif",Q2,R2))</f>
        <v/>
      </c>
      <c r="AG2">
        <f>IF(Pilotage!$E$9="Chiffre d'affaires",S2,IF(Pilotage!$E$9="Effectif",Q2,R2))</f>
        <v/>
      </c>
      <c r="AH2">
        <f>IF(Pilotage!$E$9="Chiffre d'affaires",V2,IF(Pilotage!$E$9="Effectif",T2,U2))</f>
        <v/>
      </c>
      <c r="AI2">
        <f>W2*IFERROR(K2/O2,0)</f>
        <v/>
      </c>
      <c r="AJ2">
        <f>X2*IFERROR(K2/O2,0)</f>
        <v/>
      </c>
      <c r="AK2">
        <f>Y2*IFERROR(G2/L2,0)+Z2*IFERROR(J2/P2,0)</f>
        <v/>
      </c>
      <c r="AL2">
        <f>AA2*IFERROR(AC2/AD2,0)</f>
        <v/>
      </c>
      <c r="AM2">
        <f>AB2*IFERROR(AG2/AH2,0)*IFERROR(AE2/AF2,0)*IFERROR(AC2/AD2,0)</f>
        <v/>
      </c>
      <c r="AN2">
        <f>I2-(AI2+AJ2+AK2+AL2+AM2)</f>
        <v/>
      </c>
    </row>
    <row r="3">
      <c r="A3">
        <f>Allocation!C3</f>
        <v/>
      </c>
      <c r="B3">
        <f>Allocation!D3</f>
        <v/>
      </c>
      <c r="C3">
        <f>Allocation!E3</f>
        <v/>
      </c>
      <c r="D3">
        <f>Allocation!F3</f>
        <v/>
      </c>
      <c r="E3">
        <f>Allocation!G3</f>
        <v/>
      </c>
      <c r="F3">
        <f>Allocation!H3</f>
        <v/>
      </c>
      <c r="G3">
        <f>Allocation!I3</f>
        <v/>
      </c>
      <c r="H3">
        <f>Allocation!J3</f>
        <v/>
      </c>
      <c r="I3">
        <f>Allocation!K3</f>
        <v/>
      </c>
      <c r="J3">
        <f>SUMIFS(Socle!$K$2:$K$175,Socle!$C$2:$C$175,B3,Socle!$D$2:$D$175,D3,Socle!$E$2:$E$175,E3,Socle!$F$2:$F$175,F3,Socle!$G$2:$G$175,A3)</f>
        <v/>
      </c>
      <c r="K3">
        <f>H3*IF(AND(LEFT(D3,3)="BAC",F3="INIT"),600,IF(LEFT(D3,3)="BAC",480,IF(AND(LEFT(D3,3)="MAS",F3="INIT"),520,IF(LEFT(D3,3)="MAS",420,IF(F3="INIT",1000,700)))))</f>
        <v/>
      </c>
      <c r="L3">
        <f>SUMIFS(Allocation!$I$2:$I$175,Allocation!$C$2:$C$175,A3,Allocation!$D$2:$D$175,B3)</f>
        <v/>
      </c>
      <c r="M3">
        <f>SUMIFS(Allocation!$J$2:$J$175,Allocation!$C$2:$C$175,A3,Allocation!$D$2:$D$175,B3)</f>
        <v/>
      </c>
      <c r="N3">
        <f>SUMIFS(Allocation!$K$2:$K$175,Allocation!$C$2:$C$175,A3,Allocation!$D$2:$D$175,B3)</f>
        <v/>
      </c>
      <c r="O3">
        <f>SUMIFS($K$2:$K$175,$A$2:$A$175,A3,$B$2:$B$175,B3)</f>
        <v/>
      </c>
      <c r="P3">
        <f>SUMIFS($J$2:$J$175,$A$2:$A$175,A3,$B$2:$B$175,B3)</f>
        <v/>
      </c>
      <c r="Q3">
        <f>SUMIFS(Allocation!$I$2:$I$175,Allocation!$C$2:$C$175,A3,Allocation!$E$2:$E$175,C3)</f>
        <v/>
      </c>
      <c r="R3">
        <f>SUMIFS(Allocation!$J$2:$J$175,Allocation!$C$2:$C$175,A3,Allocation!$E$2:$E$175,C3)</f>
        <v/>
      </c>
      <c r="S3">
        <f>SUMIFS(Allocation!$K$2:$K$175,Allocation!$C$2:$C$175,A3,Allocation!$E$2:$E$175,C3)</f>
        <v/>
      </c>
      <c r="T3">
        <f>SUMIFS(Allocation!$I$2:$I$175,Allocation!$C$2:$C$175,A3)</f>
        <v/>
      </c>
      <c r="U3">
        <f>SUMIFS(Allocation!$J$2:$J$175,Allocation!$C$2:$C$175,A3)</f>
        <v/>
      </c>
      <c r="V3">
        <f>SUMIFS(Allocation!$K$2:$K$175,Allocation!$C$2:$C$175,A3)</f>
        <v/>
      </c>
      <c r="W3">
        <f>SUMIFS(Compta!$F$2:$F$675,Compta!$A$2:$A$675,B3,Compta!$B$2:$B$675,"621",Compta!$C$2:$C$675,A3)</f>
        <v/>
      </c>
      <c r="X3">
        <f>SUMIFS(Compta!$F$2:$F$675,Compta!$A$2:$A$675,B3,Compta!$B$2:$B$675,"6411",Compta!$C$2:$C$675,A3)</f>
        <v/>
      </c>
      <c r="Y3">
        <f>SUMIFS(Compta!$F$2:$F$675,Compta!$A$2:$A$675,B3,Compta!$B$2:$B$675,"604",Compta!$C$2:$C$675,A3)+SUMIFS(Compta!$F$2:$F$675,Compta!$A$2:$A$675,B3,Compta!$B$2:$B$675,"6063",Compta!$C$2:$C$675,A3)</f>
        <v/>
      </c>
      <c r="Z3">
        <f>SUMIFS(Compta!$F$2:$F$675,Compta!$A$2:$A$675,B3,Compta!$B$2:$B$675,"6231",Compta!$C$2:$C$675,A3)</f>
        <v/>
      </c>
      <c r="AA3">
        <f>SUMIFS(Compta!$F$2:$F$675,Compta!$A$2:$A$675,B3,Compta!$B$2:$B$675,"6413",Compta!$C$2:$C$675,A3)+SUMIFS(Compta!$F$2:$F$675,Compta!$A$2:$A$675,B3,Compta!$B$2:$B$675,"645",Compta!$C$2:$C$675,A3)+SUMIFS(Compta!$F$2:$F$675,Compta!$A$2:$A$675,B3,Compta!$B$2:$B$675,"613",Compta!$C$2:$C$675,A3)+SUMIFS(Compta!$F$2:$F$675,Compta!$A$2:$A$675,B3,Compta!$B$2:$B$675,"615",Compta!$C$2:$C$675,A3)+SUMIFS(Compta!$F$2:$F$675,Compta!$A$2:$A$675,B3,Compta!$B$2:$B$675,"616",Compta!$C$2:$C$675,A3)+SUMIFS(Compta!$F$2:$F$675,Compta!$A$2:$A$675,B3,Compta!$B$2:$B$675,"625",Compta!$C$2:$C$675,A3)+SUMIFS(Compta!$F$2:$F$675,Compta!$A$2:$A$675,B3,Compta!$B$2:$B$675,"63511",Compta!$C$2:$C$675,A3)</f>
        <v/>
      </c>
      <c r="AB3">
        <f>SUMIFS(Compta!$F$2:$F$675,Compta!$A$2:$A$675,"GRP",Compta!$B$2:$B$675,"6414",Compta!$C$2:$C$675,A3)+SUMIFS(Compta!$F$2:$F$675,Compta!$A$2:$A$675,"GRP",Compta!$B$2:$B$675,"6226",Compta!$C$2:$C$675,A3)+SUMIFS(Compta!$F$2:$F$675,Compta!$A$2:$A$675,"GRP",Compta!$B$2:$B$675,"6236",Compta!$C$2:$C$675,A3)+SUMIFS(Compta!$F$2:$F$675,Compta!$A$2:$A$675,"GRP",Compta!$B$2:$B$675,"626",Compta!$C$2:$C$675,A3)+SUMIFS(Compta!$F$2:$F$675,Compta!$A$2:$A$675,"GRP",Compta!$B$2:$B$675,"6281",Compta!$C$2:$C$675,A3)+SUMIFS(Compta!$F$2:$F$675,Compta!$A$2:$A$675,"GRP",Compta!$B$2:$B$675,"6331",Compta!$C$2:$C$675,A3)+SUMIFS(Compta!$F$2:$F$675,Compta!$A$2:$A$675,"GRP",Compta!$B$2:$B$675,"6333",Compta!$C$2:$C$675,A3)</f>
        <v/>
      </c>
      <c r="AC3">
        <f>IF(Pilotage!$E$10="Chiffre d'affaires",I3,IF(Pilotage!$E$10="Effectif",G3,H3))</f>
        <v/>
      </c>
      <c r="AD3">
        <f>IF(Pilotage!$E$10="Chiffre d'affaires",N3,IF(Pilotage!$E$10="Effectif",L3,M3))</f>
        <v/>
      </c>
      <c r="AE3">
        <f>IF(Pilotage!$E$8="Chiffre d'affaires",N3,IF(Pilotage!$E$8="Effectif",L3,M3))</f>
        <v/>
      </c>
      <c r="AF3">
        <f>IF(Pilotage!$E$8="Chiffre d'affaires",S3,IF(Pilotage!$E$8="Effectif",Q3,R3))</f>
        <v/>
      </c>
      <c r="AG3">
        <f>IF(Pilotage!$E$9="Chiffre d'affaires",S3,IF(Pilotage!$E$9="Effectif",Q3,R3))</f>
        <v/>
      </c>
      <c r="AH3">
        <f>IF(Pilotage!$E$9="Chiffre d'affaires",V3,IF(Pilotage!$E$9="Effectif",T3,U3))</f>
        <v/>
      </c>
      <c r="AI3">
        <f>W3*IFERROR(K3/O3,0)</f>
        <v/>
      </c>
      <c r="AJ3">
        <f>X3*IFERROR(K3/O3,0)</f>
        <v/>
      </c>
      <c r="AK3">
        <f>Y3*IFERROR(G3/L3,0)+Z3*IFERROR(J3/P3,0)</f>
        <v/>
      </c>
      <c r="AL3">
        <f>AA3*IFERROR(AC3/AD3,0)</f>
        <v/>
      </c>
      <c r="AM3">
        <f>AB3*IFERROR(AG3/AH3,0)*IFERROR(AE3/AF3,0)*IFERROR(AC3/AD3,0)</f>
        <v/>
      </c>
      <c r="AN3">
        <f>I3-(AI3+AJ3+AK3+AL3+AM3)</f>
        <v/>
      </c>
    </row>
    <row r="4">
      <c r="A4">
        <f>Allocation!C4</f>
        <v/>
      </c>
      <c r="B4">
        <f>Allocation!D4</f>
        <v/>
      </c>
      <c r="C4">
        <f>Allocation!E4</f>
        <v/>
      </c>
      <c r="D4">
        <f>Allocation!F4</f>
        <v/>
      </c>
      <c r="E4">
        <f>Allocation!G4</f>
        <v/>
      </c>
      <c r="F4">
        <f>Allocation!H4</f>
        <v/>
      </c>
      <c r="G4">
        <f>Allocation!I4</f>
        <v/>
      </c>
      <c r="H4">
        <f>Allocation!J4</f>
        <v/>
      </c>
      <c r="I4">
        <f>Allocation!K4</f>
        <v/>
      </c>
      <c r="J4">
        <f>SUMIFS(Socle!$K$2:$K$175,Socle!$C$2:$C$175,B4,Socle!$D$2:$D$175,D4,Socle!$E$2:$E$175,E4,Socle!$F$2:$F$175,F4,Socle!$G$2:$G$175,A4)</f>
        <v/>
      </c>
      <c r="K4">
        <f>H4*IF(AND(LEFT(D4,3)="BAC",F4="INIT"),600,IF(LEFT(D4,3)="BAC",480,IF(AND(LEFT(D4,3)="MAS",F4="INIT"),520,IF(LEFT(D4,3)="MAS",420,IF(F4="INIT",1000,700)))))</f>
        <v/>
      </c>
      <c r="L4">
        <f>SUMIFS(Allocation!$I$2:$I$175,Allocation!$C$2:$C$175,A4,Allocation!$D$2:$D$175,B4)</f>
        <v/>
      </c>
      <c r="M4">
        <f>SUMIFS(Allocation!$J$2:$J$175,Allocation!$C$2:$C$175,A4,Allocation!$D$2:$D$175,B4)</f>
        <v/>
      </c>
      <c r="N4">
        <f>SUMIFS(Allocation!$K$2:$K$175,Allocation!$C$2:$C$175,A4,Allocation!$D$2:$D$175,B4)</f>
        <v/>
      </c>
      <c r="O4">
        <f>SUMIFS($K$2:$K$175,$A$2:$A$175,A4,$B$2:$B$175,B4)</f>
        <v/>
      </c>
      <c r="P4">
        <f>SUMIFS($J$2:$J$175,$A$2:$A$175,A4,$B$2:$B$175,B4)</f>
        <v/>
      </c>
      <c r="Q4">
        <f>SUMIFS(Allocation!$I$2:$I$175,Allocation!$C$2:$C$175,A4,Allocation!$E$2:$E$175,C4)</f>
        <v/>
      </c>
      <c r="R4">
        <f>SUMIFS(Allocation!$J$2:$J$175,Allocation!$C$2:$C$175,A4,Allocation!$E$2:$E$175,C4)</f>
        <v/>
      </c>
      <c r="S4">
        <f>SUMIFS(Allocation!$K$2:$K$175,Allocation!$C$2:$C$175,A4,Allocation!$E$2:$E$175,C4)</f>
        <v/>
      </c>
      <c r="T4">
        <f>SUMIFS(Allocation!$I$2:$I$175,Allocation!$C$2:$C$175,A4)</f>
        <v/>
      </c>
      <c r="U4">
        <f>SUMIFS(Allocation!$J$2:$J$175,Allocation!$C$2:$C$175,A4)</f>
        <v/>
      </c>
      <c r="V4">
        <f>SUMIFS(Allocation!$K$2:$K$175,Allocation!$C$2:$C$175,A4)</f>
        <v/>
      </c>
      <c r="W4">
        <f>SUMIFS(Compta!$F$2:$F$675,Compta!$A$2:$A$675,B4,Compta!$B$2:$B$675,"621",Compta!$C$2:$C$675,A4)</f>
        <v/>
      </c>
      <c r="X4">
        <f>SUMIFS(Compta!$F$2:$F$675,Compta!$A$2:$A$675,B4,Compta!$B$2:$B$675,"6411",Compta!$C$2:$C$675,A4)</f>
        <v/>
      </c>
      <c r="Y4">
        <f>SUMIFS(Compta!$F$2:$F$675,Compta!$A$2:$A$675,B4,Compta!$B$2:$B$675,"604",Compta!$C$2:$C$675,A4)+SUMIFS(Compta!$F$2:$F$675,Compta!$A$2:$A$675,B4,Compta!$B$2:$B$675,"6063",Compta!$C$2:$C$675,A4)</f>
        <v/>
      </c>
      <c r="Z4">
        <f>SUMIFS(Compta!$F$2:$F$675,Compta!$A$2:$A$675,B4,Compta!$B$2:$B$675,"6231",Compta!$C$2:$C$675,A4)</f>
        <v/>
      </c>
      <c r="AA4">
        <f>SUMIFS(Compta!$F$2:$F$675,Compta!$A$2:$A$675,B4,Compta!$B$2:$B$675,"6413",Compta!$C$2:$C$675,A4)+SUMIFS(Compta!$F$2:$F$675,Compta!$A$2:$A$675,B4,Compta!$B$2:$B$675,"645",Compta!$C$2:$C$675,A4)+SUMIFS(Compta!$F$2:$F$675,Compta!$A$2:$A$675,B4,Compta!$B$2:$B$675,"613",Compta!$C$2:$C$675,A4)+SUMIFS(Compta!$F$2:$F$675,Compta!$A$2:$A$675,B4,Compta!$B$2:$B$675,"615",Compta!$C$2:$C$675,A4)+SUMIFS(Compta!$F$2:$F$675,Compta!$A$2:$A$675,B4,Compta!$B$2:$B$675,"616",Compta!$C$2:$C$675,A4)+SUMIFS(Compta!$F$2:$F$675,Compta!$A$2:$A$675,B4,Compta!$B$2:$B$675,"625",Compta!$C$2:$C$675,A4)+SUMIFS(Compta!$F$2:$F$675,Compta!$A$2:$A$675,B4,Compta!$B$2:$B$675,"63511",Compta!$C$2:$C$675,A4)</f>
        <v/>
      </c>
      <c r="AB4">
        <f>SUMIFS(Compta!$F$2:$F$675,Compta!$A$2:$A$675,"GRP",Compta!$B$2:$B$675,"6414",Compta!$C$2:$C$675,A4)+SUMIFS(Compta!$F$2:$F$675,Compta!$A$2:$A$675,"GRP",Compta!$B$2:$B$675,"6226",Compta!$C$2:$C$675,A4)+SUMIFS(Compta!$F$2:$F$675,Compta!$A$2:$A$675,"GRP",Compta!$B$2:$B$675,"6236",Compta!$C$2:$C$675,A4)+SUMIFS(Compta!$F$2:$F$675,Compta!$A$2:$A$675,"GRP",Compta!$B$2:$B$675,"626",Compta!$C$2:$C$675,A4)+SUMIFS(Compta!$F$2:$F$675,Compta!$A$2:$A$675,"GRP",Compta!$B$2:$B$675,"6281",Compta!$C$2:$C$675,A4)+SUMIFS(Compta!$F$2:$F$675,Compta!$A$2:$A$675,"GRP",Compta!$B$2:$B$675,"6331",Compta!$C$2:$C$675,A4)+SUMIFS(Compta!$F$2:$F$675,Compta!$A$2:$A$675,"GRP",Compta!$B$2:$B$675,"6333",Compta!$C$2:$C$675,A4)</f>
        <v/>
      </c>
      <c r="AC4">
        <f>IF(Pilotage!$E$10="Chiffre d'affaires",I4,IF(Pilotage!$E$10="Effectif",G4,H4))</f>
        <v/>
      </c>
      <c r="AD4">
        <f>IF(Pilotage!$E$10="Chiffre d'affaires",N4,IF(Pilotage!$E$10="Effectif",L4,M4))</f>
        <v/>
      </c>
      <c r="AE4">
        <f>IF(Pilotage!$E$8="Chiffre d'affaires",N4,IF(Pilotage!$E$8="Effectif",L4,M4))</f>
        <v/>
      </c>
      <c r="AF4">
        <f>IF(Pilotage!$E$8="Chiffre d'affaires",S4,IF(Pilotage!$E$8="Effectif",Q4,R4))</f>
        <v/>
      </c>
      <c r="AG4">
        <f>IF(Pilotage!$E$9="Chiffre d'affaires",S4,IF(Pilotage!$E$9="Effectif",Q4,R4))</f>
        <v/>
      </c>
      <c r="AH4">
        <f>IF(Pilotage!$E$9="Chiffre d'affaires",V4,IF(Pilotage!$E$9="Effectif",T4,U4))</f>
        <v/>
      </c>
      <c r="AI4">
        <f>W4*IFERROR(K4/O4,0)</f>
        <v/>
      </c>
      <c r="AJ4">
        <f>X4*IFERROR(K4/O4,0)</f>
        <v/>
      </c>
      <c r="AK4">
        <f>Y4*IFERROR(G4/L4,0)+Z4*IFERROR(J4/P4,0)</f>
        <v/>
      </c>
      <c r="AL4">
        <f>AA4*IFERROR(AC4/AD4,0)</f>
        <v/>
      </c>
      <c r="AM4">
        <f>AB4*IFERROR(AG4/AH4,0)*IFERROR(AE4/AF4,0)*IFERROR(AC4/AD4,0)</f>
        <v/>
      </c>
      <c r="AN4">
        <f>I4-(AI4+AJ4+AK4+AL4+AM4)</f>
        <v/>
      </c>
    </row>
    <row r="5">
      <c r="A5">
        <f>Allocation!C5</f>
        <v/>
      </c>
      <c r="B5">
        <f>Allocation!D5</f>
        <v/>
      </c>
      <c r="C5">
        <f>Allocation!E5</f>
        <v/>
      </c>
      <c r="D5">
        <f>Allocation!F5</f>
        <v/>
      </c>
      <c r="E5">
        <f>Allocation!G5</f>
        <v/>
      </c>
      <c r="F5">
        <f>Allocation!H5</f>
        <v/>
      </c>
      <c r="G5">
        <f>Allocation!I5</f>
        <v/>
      </c>
      <c r="H5">
        <f>Allocation!J5</f>
        <v/>
      </c>
      <c r="I5">
        <f>Allocation!K5</f>
        <v/>
      </c>
      <c r="J5">
        <f>SUMIFS(Socle!$K$2:$K$175,Socle!$C$2:$C$175,B5,Socle!$D$2:$D$175,D5,Socle!$E$2:$E$175,E5,Socle!$F$2:$F$175,F5,Socle!$G$2:$G$175,A5)</f>
        <v/>
      </c>
      <c r="K5">
        <f>H5*IF(AND(LEFT(D5,3)="BAC",F5="INIT"),600,IF(LEFT(D5,3)="BAC",480,IF(AND(LEFT(D5,3)="MAS",F5="INIT"),520,IF(LEFT(D5,3)="MAS",420,IF(F5="INIT",1000,700)))))</f>
        <v/>
      </c>
      <c r="L5">
        <f>SUMIFS(Allocation!$I$2:$I$175,Allocation!$C$2:$C$175,A5,Allocation!$D$2:$D$175,B5)</f>
        <v/>
      </c>
      <c r="M5">
        <f>SUMIFS(Allocation!$J$2:$J$175,Allocation!$C$2:$C$175,A5,Allocation!$D$2:$D$175,B5)</f>
        <v/>
      </c>
      <c r="N5">
        <f>SUMIFS(Allocation!$K$2:$K$175,Allocation!$C$2:$C$175,A5,Allocation!$D$2:$D$175,B5)</f>
        <v/>
      </c>
      <c r="O5">
        <f>SUMIFS($K$2:$K$175,$A$2:$A$175,A5,$B$2:$B$175,B5)</f>
        <v/>
      </c>
      <c r="P5">
        <f>SUMIFS($J$2:$J$175,$A$2:$A$175,A5,$B$2:$B$175,B5)</f>
        <v/>
      </c>
      <c r="Q5">
        <f>SUMIFS(Allocation!$I$2:$I$175,Allocation!$C$2:$C$175,A5,Allocation!$E$2:$E$175,C5)</f>
        <v/>
      </c>
      <c r="R5">
        <f>SUMIFS(Allocation!$J$2:$J$175,Allocation!$C$2:$C$175,A5,Allocation!$E$2:$E$175,C5)</f>
        <v/>
      </c>
      <c r="S5">
        <f>SUMIFS(Allocation!$K$2:$K$175,Allocation!$C$2:$C$175,A5,Allocation!$E$2:$E$175,C5)</f>
        <v/>
      </c>
      <c r="T5">
        <f>SUMIFS(Allocation!$I$2:$I$175,Allocation!$C$2:$C$175,A5)</f>
        <v/>
      </c>
      <c r="U5">
        <f>SUMIFS(Allocation!$J$2:$J$175,Allocation!$C$2:$C$175,A5)</f>
        <v/>
      </c>
      <c r="V5">
        <f>SUMIFS(Allocation!$K$2:$K$175,Allocation!$C$2:$C$175,A5)</f>
        <v/>
      </c>
      <c r="W5">
        <f>SUMIFS(Compta!$F$2:$F$675,Compta!$A$2:$A$675,B5,Compta!$B$2:$B$675,"621",Compta!$C$2:$C$675,A5)</f>
        <v/>
      </c>
      <c r="X5">
        <f>SUMIFS(Compta!$F$2:$F$675,Compta!$A$2:$A$675,B5,Compta!$B$2:$B$675,"6411",Compta!$C$2:$C$675,A5)</f>
        <v/>
      </c>
      <c r="Y5">
        <f>SUMIFS(Compta!$F$2:$F$675,Compta!$A$2:$A$675,B5,Compta!$B$2:$B$675,"604",Compta!$C$2:$C$675,A5)+SUMIFS(Compta!$F$2:$F$675,Compta!$A$2:$A$675,B5,Compta!$B$2:$B$675,"6063",Compta!$C$2:$C$675,A5)</f>
        <v/>
      </c>
      <c r="Z5">
        <f>SUMIFS(Compta!$F$2:$F$675,Compta!$A$2:$A$675,B5,Compta!$B$2:$B$675,"6231",Compta!$C$2:$C$675,A5)</f>
        <v/>
      </c>
      <c r="AA5">
        <f>SUMIFS(Compta!$F$2:$F$675,Compta!$A$2:$A$675,B5,Compta!$B$2:$B$675,"6413",Compta!$C$2:$C$675,A5)+SUMIFS(Compta!$F$2:$F$675,Compta!$A$2:$A$675,B5,Compta!$B$2:$B$675,"645",Compta!$C$2:$C$675,A5)+SUMIFS(Compta!$F$2:$F$675,Compta!$A$2:$A$675,B5,Compta!$B$2:$B$675,"613",Compta!$C$2:$C$675,A5)+SUMIFS(Compta!$F$2:$F$675,Compta!$A$2:$A$675,B5,Compta!$B$2:$B$675,"615",Compta!$C$2:$C$675,A5)+SUMIFS(Compta!$F$2:$F$675,Compta!$A$2:$A$675,B5,Compta!$B$2:$B$675,"616",Compta!$C$2:$C$675,A5)+SUMIFS(Compta!$F$2:$F$675,Compta!$A$2:$A$675,B5,Compta!$B$2:$B$675,"625",Compta!$C$2:$C$675,A5)+SUMIFS(Compta!$F$2:$F$675,Compta!$A$2:$A$675,B5,Compta!$B$2:$B$675,"63511",Compta!$C$2:$C$675,A5)</f>
        <v/>
      </c>
      <c r="AB5">
        <f>SUMIFS(Compta!$F$2:$F$675,Compta!$A$2:$A$675,"GRP",Compta!$B$2:$B$675,"6414",Compta!$C$2:$C$675,A5)+SUMIFS(Compta!$F$2:$F$675,Compta!$A$2:$A$675,"GRP",Compta!$B$2:$B$675,"6226",Compta!$C$2:$C$675,A5)+SUMIFS(Compta!$F$2:$F$675,Compta!$A$2:$A$675,"GRP",Compta!$B$2:$B$675,"6236",Compta!$C$2:$C$675,A5)+SUMIFS(Compta!$F$2:$F$675,Compta!$A$2:$A$675,"GRP",Compta!$B$2:$B$675,"626",Compta!$C$2:$C$675,A5)+SUMIFS(Compta!$F$2:$F$675,Compta!$A$2:$A$675,"GRP",Compta!$B$2:$B$675,"6281",Compta!$C$2:$C$675,A5)+SUMIFS(Compta!$F$2:$F$675,Compta!$A$2:$A$675,"GRP",Compta!$B$2:$B$675,"6331",Compta!$C$2:$C$675,A5)+SUMIFS(Compta!$F$2:$F$675,Compta!$A$2:$A$675,"GRP",Compta!$B$2:$B$675,"6333",Compta!$C$2:$C$675,A5)</f>
        <v/>
      </c>
      <c r="AC5">
        <f>IF(Pilotage!$E$10="Chiffre d'affaires",I5,IF(Pilotage!$E$10="Effectif",G5,H5))</f>
        <v/>
      </c>
      <c r="AD5">
        <f>IF(Pilotage!$E$10="Chiffre d'affaires",N5,IF(Pilotage!$E$10="Effectif",L5,M5))</f>
        <v/>
      </c>
      <c r="AE5">
        <f>IF(Pilotage!$E$8="Chiffre d'affaires",N5,IF(Pilotage!$E$8="Effectif",L5,M5))</f>
        <v/>
      </c>
      <c r="AF5">
        <f>IF(Pilotage!$E$8="Chiffre d'affaires",S5,IF(Pilotage!$E$8="Effectif",Q5,R5))</f>
        <v/>
      </c>
      <c r="AG5">
        <f>IF(Pilotage!$E$9="Chiffre d'affaires",S5,IF(Pilotage!$E$9="Effectif",Q5,R5))</f>
        <v/>
      </c>
      <c r="AH5">
        <f>IF(Pilotage!$E$9="Chiffre d'affaires",V5,IF(Pilotage!$E$9="Effectif",T5,U5))</f>
        <v/>
      </c>
      <c r="AI5">
        <f>W5*IFERROR(K5/O5,0)</f>
        <v/>
      </c>
      <c r="AJ5">
        <f>X5*IFERROR(K5/O5,0)</f>
        <v/>
      </c>
      <c r="AK5">
        <f>Y5*IFERROR(G5/L5,0)+Z5*IFERROR(J5/P5,0)</f>
        <v/>
      </c>
      <c r="AL5">
        <f>AA5*IFERROR(AC5/AD5,0)</f>
        <v/>
      </c>
      <c r="AM5">
        <f>AB5*IFERROR(AG5/AH5,0)*IFERROR(AE5/AF5,0)*IFERROR(AC5/AD5,0)</f>
        <v/>
      </c>
      <c r="AN5">
        <f>I5-(AI5+AJ5+AK5+AL5+AM5)</f>
        <v/>
      </c>
    </row>
    <row r="6">
      <c r="A6">
        <f>Allocation!C6</f>
        <v/>
      </c>
      <c r="B6">
        <f>Allocation!D6</f>
        <v/>
      </c>
      <c r="C6">
        <f>Allocation!E6</f>
        <v/>
      </c>
      <c r="D6">
        <f>Allocation!F6</f>
        <v/>
      </c>
      <c r="E6">
        <f>Allocation!G6</f>
        <v/>
      </c>
      <c r="F6">
        <f>Allocation!H6</f>
        <v/>
      </c>
      <c r="G6">
        <f>Allocation!I6</f>
        <v/>
      </c>
      <c r="H6">
        <f>Allocation!J6</f>
        <v/>
      </c>
      <c r="I6">
        <f>Allocation!K6</f>
        <v/>
      </c>
      <c r="J6">
        <f>SUMIFS(Socle!$K$2:$K$175,Socle!$C$2:$C$175,B6,Socle!$D$2:$D$175,D6,Socle!$E$2:$E$175,E6,Socle!$F$2:$F$175,F6,Socle!$G$2:$G$175,A6)</f>
        <v/>
      </c>
      <c r="K6">
        <f>H6*IF(AND(LEFT(D6,3)="BAC",F6="INIT"),600,IF(LEFT(D6,3)="BAC",480,IF(AND(LEFT(D6,3)="MAS",F6="INIT"),520,IF(LEFT(D6,3)="MAS",420,IF(F6="INIT",1000,700)))))</f>
        <v/>
      </c>
      <c r="L6">
        <f>SUMIFS(Allocation!$I$2:$I$175,Allocation!$C$2:$C$175,A6,Allocation!$D$2:$D$175,B6)</f>
        <v/>
      </c>
      <c r="M6">
        <f>SUMIFS(Allocation!$J$2:$J$175,Allocation!$C$2:$C$175,A6,Allocation!$D$2:$D$175,B6)</f>
        <v/>
      </c>
      <c r="N6">
        <f>SUMIFS(Allocation!$K$2:$K$175,Allocation!$C$2:$C$175,A6,Allocation!$D$2:$D$175,B6)</f>
        <v/>
      </c>
      <c r="O6">
        <f>SUMIFS($K$2:$K$175,$A$2:$A$175,A6,$B$2:$B$175,B6)</f>
        <v/>
      </c>
      <c r="P6">
        <f>SUMIFS($J$2:$J$175,$A$2:$A$175,A6,$B$2:$B$175,B6)</f>
        <v/>
      </c>
      <c r="Q6">
        <f>SUMIFS(Allocation!$I$2:$I$175,Allocation!$C$2:$C$175,A6,Allocation!$E$2:$E$175,C6)</f>
        <v/>
      </c>
      <c r="R6">
        <f>SUMIFS(Allocation!$J$2:$J$175,Allocation!$C$2:$C$175,A6,Allocation!$E$2:$E$175,C6)</f>
        <v/>
      </c>
      <c r="S6">
        <f>SUMIFS(Allocation!$K$2:$K$175,Allocation!$C$2:$C$175,A6,Allocation!$E$2:$E$175,C6)</f>
        <v/>
      </c>
      <c r="T6">
        <f>SUMIFS(Allocation!$I$2:$I$175,Allocation!$C$2:$C$175,A6)</f>
        <v/>
      </c>
      <c r="U6">
        <f>SUMIFS(Allocation!$J$2:$J$175,Allocation!$C$2:$C$175,A6)</f>
        <v/>
      </c>
      <c r="V6">
        <f>SUMIFS(Allocation!$K$2:$K$175,Allocation!$C$2:$C$175,A6)</f>
        <v/>
      </c>
      <c r="W6">
        <f>SUMIFS(Compta!$F$2:$F$675,Compta!$A$2:$A$675,B6,Compta!$B$2:$B$675,"621",Compta!$C$2:$C$675,A6)</f>
        <v/>
      </c>
      <c r="X6">
        <f>SUMIFS(Compta!$F$2:$F$675,Compta!$A$2:$A$675,B6,Compta!$B$2:$B$675,"6411",Compta!$C$2:$C$675,A6)</f>
        <v/>
      </c>
      <c r="Y6">
        <f>SUMIFS(Compta!$F$2:$F$675,Compta!$A$2:$A$675,B6,Compta!$B$2:$B$675,"604",Compta!$C$2:$C$675,A6)+SUMIFS(Compta!$F$2:$F$675,Compta!$A$2:$A$675,B6,Compta!$B$2:$B$675,"6063",Compta!$C$2:$C$675,A6)</f>
        <v/>
      </c>
      <c r="Z6">
        <f>SUMIFS(Compta!$F$2:$F$675,Compta!$A$2:$A$675,B6,Compta!$B$2:$B$675,"6231",Compta!$C$2:$C$675,A6)</f>
        <v/>
      </c>
      <c r="AA6">
        <f>SUMIFS(Compta!$F$2:$F$675,Compta!$A$2:$A$675,B6,Compta!$B$2:$B$675,"6413",Compta!$C$2:$C$675,A6)+SUMIFS(Compta!$F$2:$F$675,Compta!$A$2:$A$675,B6,Compta!$B$2:$B$675,"645",Compta!$C$2:$C$675,A6)+SUMIFS(Compta!$F$2:$F$675,Compta!$A$2:$A$675,B6,Compta!$B$2:$B$675,"613",Compta!$C$2:$C$675,A6)+SUMIFS(Compta!$F$2:$F$675,Compta!$A$2:$A$675,B6,Compta!$B$2:$B$675,"615",Compta!$C$2:$C$675,A6)+SUMIFS(Compta!$F$2:$F$675,Compta!$A$2:$A$675,B6,Compta!$B$2:$B$675,"616",Compta!$C$2:$C$675,A6)+SUMIFS(Compta!$F$2:$F$675,Compta!$A$2:$A$675,B6,Compta!$B$2:$B$675,"625",Compta!$C$2:$C$675,A6)+SUMIFS(Compta!$F$2:$F$675,Compta!$A$2:$A$675,B6,Compta!$B$2:$B$675,"63511",Compta!$C$2:$C$675,A6)</f>
        <v/>
      </c>
      <c r="AB6">
        <f>SUMIFS(Compta!$F$2:$F$675,Compta!$A$2:$A$675,"GRP",Compta!$B$2:$B$675,"6414",Compta!$C$2:$C$675,A6)+SUMIFS(Compta!$F$2:$F$675,Compta!$A$2:$A$675,"GRP",Compta!$B$2:$B$675,"6226",Compta!$C$2:$C$675,A6)+SUMIFS(Compta!$F$2:$F$675,Compta!$A$2:$A$675,"GRP",Compta!$B$2:$B$675,"6236",Compta!$C$2:$C$675,A6)+SUMIFS(Compta!$F$2:$F$675,Compta!$A$2:$A$675,"GRP",Compta!$B$2:$B$675,"626",Compta!$C$2:$C$675,A6)+SUMIFS(Compta!$F$2:$F$675,Compta!$A$2:$A$675,"GRP",Compta!$B$2:$B$675,"6281",Compta!$C$2:$C$675,A6)+SUMIFS(Compta!$F$2:$F$675,Compta!$A$2:$A$675,"GRP",Compta!$B$2:$B$675,"6331",Compta!$C$2:$C$675,A6)+SUMIFS(Compta!$F$2:$F$675,Compta!$A$2:$A$675,"GRP",Compta!$B$2:$B$675,"6333",Compta!$C$2:$C$675,A6)</f>
        <v/>
      </c>
      <c r="AC6">
        <f>IF(Pilotage!$E$10="Chiffre d'affaires",I6,IF(Pilotage!$E$10="Effectif",G6,H6))</f>
        <v/>
      </c>
      <c r="AD6">
        <f>IF(Pilotage!$E$10="Chiffre d'affaires",N6,IF(Pilotage!$E$10="Effectif",L6,M6))</f>
        <v/>
      </c>
      <c r="AE6">
        <f>IF(Pilotage!$E$8="Chiffre d'affaires",N6,IF(Pilotage!$E$8="Effectif",L6,M6))</f>
        <v/>
      </c>
      <c r="AF6">
        <f>IF(Pilotage!$E$8="Chiffre d'affaires",S6,IF(Pilotage!$E$8="Effectif",Q6,R6))</f>
        <v/>
      </c>
      <c r="AG6">
        <f>IF(Pilotage!$E$9="Chiffre d'affaires",S6,IF(Pilotage!$E$9="Effectif",Q6,R6))</f>
        <v/>
      </c>
      <c r="AH6">
        <f>IF(Pilotage!$E$9="Chiffre d'affaires",V6,IF(Pilotage!$E$9="Effectif",T6,U6))</f>
        <v/>
      </c>
      <c r="AI6">
        <f>W6*IFERROR(K6/O6,0)</f>
        <v/>
      </c>
      <c r="AJ6">
        <f>X6*IFERROR(K6/O6,0)</f>
        <v/>
      </c>
      <c r="AK6">
        <f>Y6*IFERROR(G6/L6,0)+Z6*IFERROR(J6/P6,0)</f>
        <v/>
      </c>
      <c r="AL6">
        <f>AA6*IFERROR(AC6/AD6,0)</f>
        <v/>
      </c>
      <c r="AM6">
        <f>AB6*IFERROR(AG6/AH6,0)*IFERROR(AE6/AF6,0)*IFERROR(AC6/AD6,0)</f>
        <v/>
      </c>
      <c r="AN6">
        <f>I6-(AI6+AJ6+AK6+AL6+AM6)</f>
        <v/>
      </c>
    </row>
    <row r="7">
      <c r="A7">
        <f>Allocation!C7</f>
        <v/>
      </c>
      <c r="B7">
        <f>Allocation!D7</f>
        <v/>
      </c>
      <c r="C7">
        <f>Allocation!E7</f>
        <v/>
      </c>
      <c r="D7">
        <f>Allocation!F7</f>
        <v/>
      </c>
      <c r="E7">
        <f>Allocation!G7</f>
        <v/>
      </c>
      <c r="F7">
        <f>Allocation!H7</f>
        <v/>
      </c>
      <c r="G7">
        <f>Allocation!I7</f>
        <v/>
      </c>
      <c r="H7">
        <f>Allocation!J7</f>
        <v/>
      </c>
      <c r="I7">
        <f>Allocation!K7</f>
        <v/>
      </c>
      <c r="J7">
        <f>SUMIFS(Socle!$K$2:$K$175,Socle!$C$2:$C$175,B7,Socle!$D$2:$D$175,D7,Socle!$E$2:$E$175,E7,Socle!$F$2:$F$175,F7,Socle!$G$2:$G$175,A7)</f>
        <v/>
      </c>
      <c r="K7">
        <f>H7*IF(AND(LEFT(D7,3)="BAC",F7="INIT"),600,IF(LEFT(D7,3)="BAC",480,IF(AND(LEFT(D7,3)="MAS",F7="INIT"),520,IF(LEFT(D7,3)="MAS",420,IF(F7="INIT",1000,700)))))</f>
        <v/>
      </c>
      <c r="L7">
        <f>SUMIFS(Allocation!$I$2:$I$175,Allocation!$C$2:$C$175,A7,Allocation!$D$2:$D$175,B7)</f>
        <v/>
      </c>
      <c r="M7">
        <f>SUMIFS(Allocation!$J$2:$J$175,Allocation!$C$2:$C$175,A7,Allocation!$D$2:$D$175,B7)</f>
        <v/>
      </c>
      <c r="N7">
        <f>SUMIFS(Allocation!$K$2:$K$175,Allocation!$C$2:$C$175,A7,Allocation!$D$2:$D$175,B7)</f>
        <v/>
      </c>
      <c r="O7">
        <f>SUMIFS($K$2:$K$175,$A$2:$A$175,A7,$B$2:$B$175,B7)</f>
        <v/>
      </c>
      <c r="P7">
        <f>SUMIFS($J$2:$J$175,$A$2:$A$175,A7,$B$2:$B$175,B7)</f>
        <v/>
      </c>
      <c r="Q7">
        <f>SUMIFS(Allocation!$I$2:$I$175,Allocation!$C$2:$C$175,A7,Allocation!$E$2:$E$175,C7)</f>
        <v/>
      </c>
      <c r="R7">
        <f>SUMIFS(Allocation!$J$2:$J$175,Allocation!$C$2:$C$175,A7,Allocation!$E$2:$E$175,C7)</f>
        <v/>
      </c>
      <c r="S7">
        <f>SUMIFS(Allocation!$K$2:$K$175,Allocation!$C$2:$C$175,A7,Allocation!$E$2:$E$175,C7)</f>
        <v/>
      </c>
      <c r="T7">
        <f>SUMIFS(Allocation!$I$2:$I$175,Allocation!$C$2:$C$175,A7)</f>
        <v/>
      </c>
      <c r="U7">
        <f>SUMIFS(Allocation!$J$2:$J$175,Allocation!$C$2:$C$175,A7)</f>
        <v/>
      </c>
      <c r="V7">
        <f>SUMIFS(Allocation!$K$2:$K$175,Allocation!$C$2:$C$175,A7)</f>
        <v/>
      </c>
      <c r="W7">
        <f>SUMIFS(Compta!$F$2:$F$675,Compta!$A$2:$A$675,B7,Compta!$B$2:$B$675,"621",Compta!$C$2:$C$675,A7)</f>
        <v/>
      </c>
      <c r="X7">
        <f>SUMIFS(Compta!$F$2:$F$675,Compta!$A$2:$A$675,B7,Compta!$B$2:$B$675,"6411",Compta!$C$2:$C$675,A7)</f>
        <v/>
      </c>
      <c r="Y7">
        <f>SUMIFS(Compta!$F$2:$F$675,Compta!$A$2:$A$675,B7,Compta!$B$2:$B$675,"604",Compta!$C$2:$C$675,A7)+SUMIFS(Compta!$F$2:$F$675,Compta!$A$2:$A$675,B7,Compta!$B$2:$B$675,"6063",Compta!$C$2:$C$675,A7)</f>
        <v/>
      </c>
      <c r="Z7">
        <f>SUMIFS(Compta!$F$2:$F$675,Compta!$A$2:$A$675,B7,Compta!$B$2:$B$675,"6231",Compta!$C$2:$C$675,A7)</f>
        <v/>
      </c>
      <c r="AA7">
        <f>SUMIFS(Compta!$F$2:$F$675,Compta!$A$2:$A$675,B7,Compta!$B$2:$B$675,"6413",Compta!$C$2:$C$675,A7)+SUMIFS(Compta!$F$2:$F$675,Compta!$A$2:$A$675,B7,Compta!$B$2:$B$675,"645",Compta!$C$2:$C$675,A7)+SUMIFS(Compta!$F$2:$F$675,Compta!$A$2:$A$675,B7,Compta!$B$2:$B$675,"613",Compta!$C$2:$C$675,A7)+SUMIFS(Compta!$F$2:$F$675,Compta!$A$2:$A$675,B7,Compta!$B$2:$B$675,"615",Compta!$C$2:$C$675,A7)+SUMIFS(Compta!$F$2:$F$675,Compta!$A$2:$A$675,B7,Compta!$B$2:$B$675,"616",Compta!$C$2:$C$675,A7)+SUMIFS(Compta!$F$2:$F$675,Compta!$A$2:$A$675,B7,Compta!$B$2:$B$675,"625",Compta!$C$2:$C$675,A7)+SUMIFS(Compta!$F$2:$F$675,Compta!$A$2:$A$675,B7,Compta!$B$2:$B$675,"63511",Compta!$C$2:$C$675,A7)</f>
        <v/>
      </c>
      <c r="AB7">
        <f>SUMIFS(Compta!$F$2:$F$675,Compta!$A$2:$A$675,"GRP",Compta!$B$2:$B$675,"6414",Compta!$C$2:$C$675,A7)+SUMIFS(Compta!$F$2:$F$675,Compta!$A$2:$A$675,"GRP",Compta!$B$2:$B$675,"6226",Compta!$C$2:$C$675,A7)+SUMIFS(Compta!$F$2:$F$675,Compta!$A$2:$A$675,"GRP",Compta!$B$2:$B$675,"6236",Compta!$C$2:$C$675,A7)+SUMIFS(Compta!$F$2:$F$675,Compta!$A$2:$A$675,"GRP",Compta!$B$2:$B$675,"626",Compta!$C$2:$C$675,A7)+SUMIFS(Compta!$F$2:$F$675,Compta!$A$2:$A$675,"GRP",Compta!$B$2:$B$675,"6281",Compta!$C$2:$C$675,A7)+SUMIFS(Compta!$F$2:$F$675,Compta!$A$2:$A$675,"GRP",Compta!$B$2:$B$675,"6331",Compta!$C$2:$C$675,A7)+SUMIFS(Compta!$F$2:$F$675,Compta!$A$2:$A$675,"GRP",Compta!$B$2:$B$675,"6333",Compta!$C$2:$C$675,A7)</f>
        <v/>
      </c>
      <c r="AC7">
        <f>IF(Pilotage!$E$10="Chiffre d'affaires",I7,IF(Pilotage!$E$10="Effectif",G7,H7))</f>
        <v/>
      </c>
      <c r="AD7">
        <f>IF(Pilotage!$E$10="Chiffre d'affaires",N7,IF(Pilotage!$E$10="Effectif",L7,M7))</f>
        <v/>
      </c>
      <c r="AE7">
        <f>IF(Pilotage!$E$8="Chiffre d'affaires",N7,IF(Pilotage!$E$8="Effectif",L7,M7))</f>
        <v/>
      </c>
      <c r="AF7">
        <f>IF(Pilotage!$E$8="Chiffre d'affaires",S7,IF(Pilotage!$E$8="Effectif",Q7,R7))</f>
        <v/>
      </c>
      <c r="AG7">
        <f>IF(Pilotage!$E$9="Chiffre d'affaires",S7,IF(Pilotage!$E$9="Effectif",Q7,R7))</f>
        <v/>
      </c>
      <c r="AH7">
        <f>IF(Pilotage!$E$9="Chiffre d'affaires",V7,IF(Pilotage!$E$9="Effectif",T7,U7))</f>
        <v/>
      </c>
      <c r="AI7">
        <f>W7*IFERROR(K7/O7,0)</f>
        <v/>
      </c>
      <c r="AJ7">
        <f>X7*IFERROR(K7/O7,0)</f>
        <v/>
      </c>
      <c r="AK7">
        <f>Y7*IFERROR(G7/L7,0)+Z7*IFERROR(J7/P7,0)</f>
        <v/>
      </c>
      <c r="AL7">
        <f>AA7*IFERROR(AC7/AD7,0)</f>
        <v/>
      </c>
      <c r="AM7">
        <f>AB7*IFERROR(AG7/AH7,0)*IFERROR(AE7/AF7,0)*IFERROR(AC7/AD7,0)</f>
        <v/>
      </c>
      <c r="AN7">
        <f>I7-(AI7+AJ7+AK7+AL7+AM7)</f>
        <v/>
      </c>
    </row>
    <row r="8">
      <c r="A8">
        <f>Allocation!C8</f>
        <v/>
      </c>
      <c r="B8">
        <f>Allocation!D8</f>
        <v/>
      </c>
      <c r="C8">
        <f>Allocation!E8</f>
        <v/>
      </c>
      <c r="D8">
        <f>Allocation!F8</f>
        <v/>
      </c>
      <c r="E8">
        <f>Allocation!G8</f>
        <v/>
      </c>
      <c r="F8">
        <f>Allocation!H8</f>
        <v/>
      </c>
      <c r="G8">
        <f>Allocation!I8</f>
        <v/>
      </c>
      <c r="H8">
        <f>Allocation!J8</f>
        <v/>
      </c>
      <c r="I8">
        <f>Allocation!K8</f>
        <v/>
      </c>
      <c r="J8">
        <f>SUMIFS(Socle!$K$2:$K$175,Socle!$C$2:$C$175,B8,Socle!$D$2:$D$175,D8,Socle!$E$2:$E$175,E8,Socle!$F$2:$F$175,F8,Socle!$G$2:$G$175,A8)</f>
        <v/>
      </c>
      <c r="K8">
        <f>H8*IF(AND(LEFT(D8,3)="BAC",F8="INIT"),600,IF(LEFT(D8,3)="BAC",480,IF(AND(LEFT(D8,3)="MAS",F8="INIT"),520,IF(LEFT(D8,3)="MAS",420,IF(F8="INIT",1000,700)))))</f>
        <v/>
      </c>
      <c r="L8">
        <f>SUMIFS(Allocation!$I$2:$I$175,Allocation!$C$2:$C$175,A8,Allocation!$D$2:$D$175,B8)</f>
        <v/>
      </c>
      <c r="M8">
        <f>SUMIFS(Allocation!$J$2:$J$175,Allocation!$C$2:$C$175,A8,Allocation!$D$2:$D$175,B8)</f>
        <v/>
      </c>
      <c r="N8">
        <f>SUMIFS(Allocation!$K$2:$K$175,Allocation!$C$2:$C$175,A8,Allocation!$D$2:$D$175,B8)</f>
        <v/>
      </c>
      <c r="O8">
        <f>SUMIFS($K$2:$K$175,$A$2:$A$175,A8,$B$2:$B$175,B8)</f>
        <v/>
      </c>
      <c r="P8">
        <f>SUMIFS($J$2:$J$175,$A$2:$A$175,A8,$B$2:$B$175,B8)</f>
        <v/>
      </c>
      <c r="Q8">
        <f>SUMIFS(Allocation!$I$2:$I$175,Allocation!$C$2:$C$175,A8,Allocation!$E$2:$E$175,C8)</f>
        <v/>
      </c>
      <c r="R8">
        <f>SUMIFS(Allocation!$J$2:$J$175,Allocation!$C$2:$C$175,A8,Allocation!$E$2:$E$175,C8)</f>
        <v/>
      </c>
      <c r="S8">
        <f>SUMIFS(Allocation!$K$2:$K$175,Allocation!$C$2:$C$175,A8,Allocation!$E$2:$E$175,C8)</f>
        <v/>
      </c>
      <c r="T8">
        <f>SUMIFS(Allocation!$I$2:$I$175,Allocation!$C$2:$C$175,A8)</f>
        <v/>
      </c>
      <c r="U8">
        <f>SUMIFS(Allocation!$J$2:$J$175,Allocation!$C$2:$C$175,A8)</f>
        <v/>
      </c>
      <c r="V8">
        <f>SUMIFS(Allocation!$K$2:$K$175,Allocation!$C$2:$C$175,A8)</f>
        <v/>
      </c>
      <c r="W8">
        <f>SUMIFS(Compta!$F$2:$F$675,Compta!$A$2:$A$675,B8,Compta!$B$2:$B$675,"621",Compta!$C$2:$C$675,A8)</f>
        <v/>
      </c>
      <c r="X8">
        <f>SUMIFS(Compta!$F$2:$F$675,Compta!$A$2:$A$675,B8,Compta!$B$2:$B$675,"6411",Compta!$C$2:$C$675,A8)</f>
        <v/>
      </c>
      <c r="Y8">
        <f>SUMIFS(Compta!$F$2:$F$675,Compta!$A$2:$A$675,B8,Compta!$B$2:$B$675,"604",Compta!$C$2:$C$675,A8)+SUMIFS(Compta!$F$2:$F$675,Compta!$A$2:$A$675,B8,Compta!$B$2:$B$675,"6063",Compta!$C$2:$C$675,A8)</f>
        <v/>
      </c>
      <c r="Z8">
        <f>SUMIFS(Compta!$F$2:$F$675,Compta!$A$2:$A$675,B8,Compta!$B$2:$B$675,"6231",Compta!$C$2:$C$675,A8)</f>
        <v/>
      </c>
      <c r="AA8">
        <f>SUMIFS(Compta!$F$2:$F$675,Compta!$A$2:$A$675,B8,Compta!$B$2:$B$675,"6413",Compta!$C$2:$C$675,A8)+SUMIFS(Compta!$F$2:$F$675,Compta!$A$2:$A$675,B8,Compta!$B$2:$B$675,"645",Compta!$C$2:$C$675,A8)+SUMIFS(Compta!$F$2:$F$675,Compta!$A$2:$A$675,B8,Compta!$B$2:$B$675,"613",Compta!$C$2:$C$675,A8)+SUMIFS(Compta!$F$2:$F$675,Compta!$A$2:$A$675,B8,Compta!$B$2:$B$675,"615",Compta!$C$2:$C$675,A8)+SUMIFS(Compta!$F$2:$F$675,Compta!$A$2:$A$675,B8,Compta!$B$2:$B$675,"616",Compta!$C$2:$C$675,A8)+SUMIFS(Compta!$F$2:$F$675,Compta!$A$2:$A$675,B8,Compta!$B$2:$B$675,"625",Compta!$C$2:$C$675,A8)+SUMIFS(Compta!$F$2:$F$675,Compta!$A$2:$A$675,B8,Compta!$B$2:$B$675,"63511",Compta!$C$2:$C$675,A8)</f>
        <v/>
      </c>
      <c r="AB8">
        <f>SUMIFS(Compta!$F$2:$F$675,Compta!$A$2:$A$675,"GRP",Compta!$B$2:$B$675,"6414",Compta!$C$2:$C$675,A8)+SUMIFS(Compta!$F$2:$F$675,Compta!$A$2:$A$675,"GRP",Compta!$B$2:$B$675,"6226",Compta!$C$2:$C$675,A8)+SUMIFS(Compta!$F$2:$F$675,Compta!$A$2:$A$675,"GRP",Compta!$B$2:$B$675,"6236",Compta!$C$2:$C$675,A8)+SUMIFS(Compta!$F$2:$F$675,Compta!$A$2:$A$675,"GRP",Compta!$B$2:$B$675,"626",Compta!$C$2:$C$675,A8)+SUMIFS(Compta!$F$2:$F$675,Compta!$A$2:$A$675,"GRP",Compta!$B$2:$B$675,"6281",Compta!$C$2:$C$675,A8)+SUMIFS(Compta!$F$2:$F$675,Compta!$A$2:$A$675,"GRP",Compta!$B$2:$B$675,"6331",Compta!$C$2:$C$675,A8)+SUMIFS(Compta!$F$2:$F$675,Compta!$A$2:$A$675,"GRP",Compta!$B$2:$B$675,"6333",Compta!$C$2:$C$675,A8)</f>
        <v/>
      </c>
      <c r="AC8">
        <f>IF(Pilotage!$E$10="Chiffre d'affaires",I8,IF(Pilotage!$E$10="Effectif",G8,H8))</f>
        <v/>
      </c>
      <c r="AD8">
        <f>IF(Pilotage!$E$10="Chiffre d'affaires",N8,IF(Pilotage!$E$10="Effectif",L8,M8))</f>
        <v/>
      </c>
      <c r="AE8">
        <f>IF(Pilotage!$E$8="Chiffre d'affaires",N8,IF(Pilotage!$E$8="Effectif",L8,M8))</f>
        <v/>
      </c>
      <c r="AF8">
        <f>IF(Pilotage!$E$8="Chiffre d'affaires",S8,IF(Pilotage!$E$8="Effectif",Q8,R8))</f>
        <v/>
      </c>
      <c r="AG8">
        <f>IF(Pilotage!$E$9="Chiffre d'affaires",S8,IF(Pilotage!$E$9="Effectif",Q8,R8))</f>
        <v/>
      </c>
      <c r="AH8">
        <f>IF(Pilotage!$E$9="Chiffre d'affaires",V8,IF(Pilotage!$E$9="Effectif",T8,U8))</f>
        <v/>
      </c>
      <c r="AI8">
        <f>W8*IFERROR(K8/O8,0)</f>
        <v/>
      </c>
      <c r="AJ8">
        <f>X8*IFERROR(K8/O8,0)</f>
        <v/>
      </c>
      <c r="AK8">
        <f>Y8*IFERROR(G8/L8,0)+Z8*IFERROR(J8/P8,0)</f>
        <v/>
      </c>
      <c r="AL8">
        <f>AA8*IFERROR(AC8/AD8,0)</f>
        <v/>
      </c>
      <c r="AM8">
        <f>AB8*IFERROR(AG8/AH8,0)*IFERROR(AE8/AF8,0)*IFERROR(AC8/AD8,0)</f>
        <v/>
      </c>
      <c r="AN8">
        <f>I8-(AI8+AJ8+AK8+AL8+AM8)</f>
        <v/>
      </c>
    </row>
    <row r="9">
      <c r="A9">
        <f>Allocation!C9</f>
        <v/>
      </c>
      <c r="B9">
        <f>Allocation!D9</f>
        <v/>
      </c>
      <c r="C9">
        <f>Allocation!E9</f>
        <v/>
      </c>
      <c r="D9">
        <f>Allocation!F9</f>
        <v/>
      </c>
      <c r="E9">
        <f>Allocation!G9</f>
        <v/>
      </c>
      <c r="F9">
        <f>Allocation!H9</f>
        <v/>
      </c>
      <c r="G9">
        <f>Allocation!I9</f>
        <v/>
      </c>
      <c r="H9">
        <f>Allocation!J9</f>
        <v/>
      </c>
      <c r="I9">
        <f>Allocation!K9</f>
        <v/>
      </c>
      <c r="J9">
        <f>SUMIFS(Socle!$K$2:$K$175,Socle!$C$2:$C$175,B9,Socle!$D$2:$D$175,D9,Socle!$E$2:$E$175,E9,Socle!$F$2:$F$175,F9,Socle!$G$2:$G$175,A9)</f>
        <v/>
      </c>
      <c r="K9">
        <f>H9*IF(AND(LEFT(D9,3)="BAC",F9="INIT"),600,IF(LEFT(D9,3)="BAC",480,IF(AND(LEFT(D9,3)="MAS",F9="INIT"),520,IF(LEFT(D9,3)="MAS",420,IF(F9="INIT",1000,700)))))</f>
        <v/>
      </c>
      <c r="L9">
        <f>SUMIFS(Allocation!$I$2:$I$175,Allocation!$C$2:$C$175,A9,Allocation!$D$2:$D$175,B9)</f>
        <v/>
      </c>
      <c r="M9">
        <f>SUMIFS(Allocation!$J$2:$J$175,Allocation!$C$2:$C$175,A9,Allocation!$D$2:$D$175,B9)</f>
        <v/>
      </c>
      <c r="N9">
        <f>SUMIFS(Allocation!$K$2:$K$175,Allocation!$C$2:$C$175,A9,Allocation!$D$2:$D$175,B9)</f>
        <v/>
      </c>
      <c r="O9">
        <f>SUMIFS($K$2:$K$175,$A$2:$A$175,A9,$B$2:$B$175,B9)</f>
        <v/>
      </c>
      <c r="P9">
        <f>SUMIFS($J$2:$J$175,$A$2:$A$175,A9,$B$2:$B$175,B9)</f>
        <v/>
      </c>
      <c r="Q9">
        <f>SUMIFS(Allocation!$I$2:$I$175,Allocation!$C$2:$C$175,A9,Allocation!$E$2:$E$175,C9)</f>
        <v/>
      </c>
      <c r="R9">
        <f>SUMIFS(Allocation!$J$2:$J$175,Allocation!$C$2:$C$175,A9,Allocation!$E$2:$E$175,C9)</f>
        <v/>
      </c>
      <c r="S9">
        <f>SUMIFS(Allocation!$K$2:$K$175,Allocation!$C$2:$C$175,A9,Allocation!$E$2:$E$175,C9)</f>
        <v/>
      </c>
      <c r="T9">
        <f>SUMIFS(Allocation!$I$2:$I$175,Allocation!$C$2:$C$175,A9)</f>
        <v/>
      </c>
      <c r="U9">
        <f>SUMIFS(Allocation!$J$2:$J$175,Allocation!$C$2:$C$175,A9)</f>
        <v/>
      </c>
      <c r="V9">
        <f>SUMIFS(Allocation!$K$2:$K$175,Allocation!$C$2:$C$175,A9)</f>
        <v/>
      </c>
      <c r="W9">
        <f>SUMIFS(Compta!$F$2:$F$675,Compta!$A$2:$A$675,B9,Compta!$B$2:$B$675,"621",Compta!$C$2:$C$675,A9)</f>
        <v/>
      </c>
      <c r="X9">
        <f>SUMIFS(Compta!$F$2:$F$675,Compta!$A$2:$A$675,B9,Compta!$B$2:$B$675,"6411",Compta!$C$2:$C$675,A9)</f>
        <v/>
      </c>
      <c r="Y9">
        <f>SUMIFS(Compta!$F$2:$F$675,Compta!$A$2:$A$675,B9,Compta!$B$2:$B$675,"604",Compta!$C$2:$C$675,A9)+SUMIFS(Compta!$F$2:$F$675,Compta!$A$2:$A$675,B9,Compta!$B$2:$B$675,"6063",Compta!$C$2:$C$675,A9)</f>
        <v/>
      </c>
      <c r="Z9">
        <f>SUMIFS(Compta!$F$2:$F$675,Compta!$A$2:$A$675,B9,Compta!$B$2:$B$675,"6231",Compta!$C$2:$C$675,A9)</f>
        <v/>
      </c>
      <c r="AA9">
        <f>SUMIFS(Compta!$F$2:$F$675,Compta!$A$2:$A$675,B9,Compta!$B$2:$B$675,"6413",Compta!$C$2:$C$675,A9)+SUMIFS(Compta!$F$2:$F$675,Compta!$A$2:$A$675,B9,Compta!$B$2:$B$675,"645",Compta!$C$2:$C$675,A9)+SUMIFS(Compta!$F$2:$F$675,Compta!$A$2:$A$675,B9,Compta!$B$2:$B$675,"613",Compta!$C$2:$C$675,A9)+SUMIFS(Compta!$F$2:$F$675,Compta!$A$2:$A$675,B9,Compta!$B$2:$B$675,"615",Compta!$C$2:$C$675,A9)+SUMIFS(Compta!$F$2:$F$675,Compta!$A$2:$A$675,B9,Compta!$B$2:$B$675,"616",Compta!$C$2:$C$675,A9)+SUMIFS(Compta!$F$2:$F$675,Compta!$A$2:$A$675,B9,Compta!$B$2:$B$675,"625",Compta!$C$2:$C$675,A9)+SUMIFS(Compta!$F$2:$F$675,Compta!$A$2:$A$675,B9,Compta!$B$2:$B$675,"63511",Compta!$C$2:$C$675,A9)</f>
        <v/>
      </c>
      <c r="AB9">
        <f>SUMIFS(Compta!$F$2:$F$675,Compta!$A$2:$A$675,"GRP",Compta!$B$2:$B$675,"6414",Compta!$C$2:$C$675,A9)+SUMIFS(Compta!$F$2:$F$675,Compta!$A$2:$A$675,"GRP",Compta!$B$2:$B$675,"6226",Compta!$C$2:$C$675,A9)+SUMIFS(Compta!$F$2:$F$675,Compta!$A$2:$A$675,"GRP",Compta!$B$2:$B$675,"6236",Compta!$C$2:$C$675,A9)+SUMIFS(Compta!$F$2:$F$675,Compta!$A$2:$A$675,"GRP",Compta!$B$2:$B$675,"626",Compta!$C$2:$C$675,A9)+SUMIFS(Compta!$F$2:$F$675,Compta!$A$2:$A$675,"GRP",Compta!$B$2:$B$675,"6281",Compta!$C$2:$C$675,A9)+SUMIFS(Compta!$F$2:$F$675,Compta!$A$2:$A$675,"GRP",Compta!$B$2:$B$675,"6331",Compta!$C$2:$C$675,A9)+SUMIFS(Compta!$F$2:$F$675,Compta!$A$2:$A$675,"GRP",Compta!$B$2:$B$675,"6333",Compta!$C$2:$C$675,A9)</f>
        <v/>
      </c>
      <c r="AC9">
        <f>IF(Pilotage!$E$10="Chiffre d'affaires",I9,IF(Pilotage!$E$10="Effectif",G9,H9))</f>
        <v/>
      </c>
      <c r="AD9">
        <f>IF(Pilotage!$E$10="Chiffre d'affaires",N9,IF(Pilotage!$E$10="Effectif",L9,M9))</f>
        <v/>
      </c>
      <c r="AE9">
        <f>IF(Pilotage!$E$8="Chiffre d'affaires",N9,IF(Pilotage!$E$8="Effectif",L9,M9))</f>
        <v/>
      </c>
      <c r="AF9">
        <f>IF(Pilotage!$E$8="Chiffre d'affaires",S9,IF(Pilotage!$E$8="Effectif",Q9,R9))</f>
        <v/>
      </c>
      <c r="AG9">
        <f>IF(Pilotage!$E$9="Chiffre d'affaires",S9,IF(Pilotage!$E$9="Effectif",Q9,R9))</f>
        <v/>
      </c>
      <c r="AH9">
        <f>IF(Pilotage!$E$9="Chiffre d'affaires",V9,IF(Pilotage!$E$9="Effectif",T9,U9))</f>
        <v/>
      </c>
      <c r="AI9">
        <f>W9*IFERROR(K9/O9,0)</f>
        <v/>
      </c>
      <c r="AJ9">
        <f>X9*IFERROR(K9/O9,0)</f>
        <v/>
      </c>
      <c r="AK9">
        <f>Y9*IFERROR(G9/L9,0)+Z9*IFERROR(J9/P9,0)</f>
        <v/>
      </c>
      <c r="AL9">
        <f>AA9*IFERROR(AC9/AD9,0)</f>
        <v/>
      </c>
      <c r="AM9">
        <f>AB9*IFERROR(AG9/AH9,0)*IFERROR(AE9/AF9,0)*IFERROR(AC9/AD9,0)</f>
        <v/>
      </c>
      <c r="AN9">
        <f>I9-(AI9+AJ9+AK9+AL9+AM9)</f>
        <v/>
      </c>
    </row>
    <row r="10">
      <c r="A10">
        <f>Allocation!C10</f>
        <v/>
      </c>
      <c r="B10">
        <f>Allocation!D10</f>
        <v/>
      </c>
      <c r="C10">
        <f>Allocation!E10</f>
        <v/>
      </c>
      <c r="D10">
        <f>Allocation!F10</f>
        <v/>
      </c>
      <c r="E10">
        <f>Allocation!G10</f>
        <v/>
      </c>
      <c r="F10">
        <f>Allocation!H10</f>
        <v/>
      </c>
      <c r="G10">
        <f>Allocation!I10</f>
        <v/>
      </c>
      <c r="H10">
        <f>Allocation!J10</f>
        <v/>
      </c>
      <c r="I10">
        <f>Allocation!K10</f>
        <v/>
      </c>
      <c r="J10">
        <f>SUMIFS(Socle!$K$2:$K$175,Socle!$C$2:$C$175,B10,Socle!$D$2:$D$175,D10,Socle!$E$2:$E$175,E10,Socle!$F$2:$F$175,F10,Socle!$G$2:$G$175,A10)</f>
        <v/>
      </c>
      <c r="K10">
        <f>H10*IF(AND(LEFT(D10,3)="BAC",F10="INIT"),600,IF(LEFT(D10,3)="BAC",480,IF(AND(LEFT(D10,3)="MAS",F10="INIT"),520,IF(LEFT(D10,3)="MAS",420,IF(F10="INIT",1000,700)))))</f>
        <v/>
      </c>
      <c r="L10">
        <f>SUMIFS(Allocation!$I$2:$I$175,Allocation!$C$2:$C$175,A10,Allocation!$D$2:$D$175,B10)</f>
        <v/>
      </c>
      <c r="M10">
        <f>SUMIFS(Allocation!$J$2:$J$175,Allocation!$C$2:$C$175,A10,Allocation!$D$2:$D$175,B10)</f>
        <v/>
      </c>
      <c r="N10">
        <f>SUMIFS(Allocation!$K$2:$K$175,Allocation!$C$2:$C$175,A10,Allocation!$D$2:$D$175,B10)</f>
        <v/>
      </c>
      <c r="O10">
        <f>SUMIFS($K$2:$K$175,$A$2:$A$175,A10,$B$2:$B$175,B10)</f>
        <v/>
      </c>
      <c r="P10">
        <f>SUMIFS($J$2:$J$175,$A$2:$A$175,A10,$B$2:$B$175,B10)</f>
        <v/>
      </c>
      <c r="Q10">
        <f>SUMIFS(Allocation!$I$2:$I$175,Allocation!$C$2:$C$175,A10,Allocation!$E$2:$E$175,C10)</f>
        <v/>
      </c>
      <c r="R10">
        <f>SUMIFS(Allocation!$J$2:$J$175,Allocation!$C$2:$C$175,A10,Allocation!$E$2:$E$175,C10)</f>
        <v/>
      </c>
      <c r="S10">
        <f>SUMIFS(Allocation!$K$2:$K$175,Allocation!$C$2:$C$175,A10,Allocation!$E$2:$E$175,C10)</f>
        <v/>
      </c>
      <c r="T10">
        <f>SUMIFS(Allocation!$I$2:$I$175,Allocation!$C$2:$C$175,A10)</f>
        <v/>
      </c>
      <c r="U10">
        <f>SUMIFS(Allocation!$J$2:$J$175,Allocation!$C$2:$C$175,A10)</f>
        <v/>
      </c>
      <c r="V10">
        <f>SUMIFS(Allocation!$K$2:$K$175,Allocation!$C$2:$C$175,A10)</f>
        <v/>
      </c>
      <c r="W10">
        <f>SUMIFS(Compta!$F$2:$F$675,Compta!$A$2:$A$675,B10,Compta!$B$2:$B$675,"621",Compta!$C$2:$C$675,A10)</f>
        <v/>
      </c>
      <c r="X10">
        <f>SUMIFS(Compta!$F$2:$F$675,Compta!$A$2:$A$675,B10,Compta!$B$2:$B$675,"6411",Compta!$C$2:$C$675,A10)</f>
        <v/>
      </c>
      <c r="Y10">
        <f>SUMIFS(Compta!$F$2:$F$675,Compta!$A$2:$A$675,B10,Compta!$B$2:$B$675,"604",Compta!$C$2:$C$675,A10)+SUMIFS(Compta!$F$2:$F$675,Compta!$A$2:$A$675,B10,Compta!$B$2:$B$675,"6063",Compta!$C$2:$C$675,A10)</f>
        <v/>
      </c>
      <c r="Z10">
        <f>SUMIFS(Compta!$F$2:$F$675,Compta!$A$2:$A$675,B10,Compta!$B$2:$B$675,"6231",Compta!$C$2:$C$675,A10)</f>
        <v/>
      </c>
      <c r="AA10">
        <f>SUMIFS(Compta!$F$2:$F$675,Compta!$A$2:$A$675,B10,Compta!$B$2:$B$675,"6413",Compta!$C$2:$C$675,A10)+SUMIFS(Compta!$F$2:$F$675,Compta!$A$2:$A$675,B10,Compta!$B$2:$B$675,"645",Compta!$C$2:$C$675,A10)+SUMIFS(Compta!$F$2:$F$675,Compta!$A$2:$A$675,B10,Compta!$B$2:$B$675,"613",Compta!$C$2:$C$675,A10)+SUMIFS(Compta!$F$2:$F$675,Compta!$A$2:$A$675,B10,Compta!$B$2:$B$675,"615",Compta!$C$2:$C$675,A10)+SUMIFS(Compta!$F$2:$F$675,Compta!$A$2:$A$675,B10,Compta!$B$2:$B$675,"616",Compta!$C$2:$C$675,A10)+SUMIFS(Compta!$F$2:$F$675,Compta!$A$2:$A$675,B10,Compta!$B$2:$B$675,"625",Compta!$C$2:$C$675,A10)+SUMIFS(Compta!$F$2:$F$675,Compta!$A$2:$A$675,B10,Compta!$B$2:$B$675,"63511",Compta!$C$2:$C$675,A10)</f>
        <v/>
      </c>
      <c r="AB10">
        <f>SUMIFS(Compta!$F$2:$F$675,Compta!$A$2:$A$675,"GRP",Compta!$B$2:$B$675,"6414",Compta!$C$2:$C$675,A10)+SUMIFS(Compta!$F$2:$F$675,Compta!$A$2:$A$675,"GRP",Compta!$B$2:$B$675,"6226",Compta!$C$2:$C$675,A10)+SUMIFS(Compta!$F$2:$F$675,Compta!$A$2:$A$675,"GRP",Compta!$B$2:$B$675,"6236",Compta!$C$2:$C$675,A10)+SUMIFS(Compta!$F$2:$F$675,Compta!$A$2:$A$675,"GRP",Compta!$B$2:$B$675,"626",Compta!$C$2:$C$675,A10)+SUMIFS(Compta!$F$2:$F$675,Compta!$A$2:$A$675,"GRP",Compta!$B$2:$B$675,"6281",Compta!$C$2:$C$675,A10)+SUMIFS(Compta!$F$2:$F$675,Compta!$A$2:$A$675,"GRP",Compta!$B$2:$B$675,"6331",Compta!$C$2:$C$675,A10)+SUMIFS(Compta!$F$2:$F$675,Compta!$A$2:$A$675,"GRP",Compta!$B$2:$B$675,"6333",Compta!$C$2:$C$675,A10)</f>
        <v/>
      </c>
      <c r="AC10">
        <f>IF(Pilotage!$E$10="Chiffre d'affaires",I10,IF(Pilotage!$E$10="Effectif",G10,H10))</f>
        <v/>
      </c>
      <c r="AD10">
        <f>IF(Pilotage!$E$10="Chiffre d'affaires",N10,IF(Pilotage!$E$10="Effectif",L10,M10))</f>
        <v/>
      </c>
      <c r="AE10">
        <f>IF(Pilotage!$E$8="Chiffre d'affaires",N10,IF(Pilotage!$E$8="Effectif",L10,M10))</f>
        <v/>
      </c>
      <c r="AF10">
        <f>IF(Pilotage!$E$8="Chiffre d'affaires",S10,IF(Pilotage!$E$8="Effectif",Q10,R10))</f>
        <v/>
      </c>
      <c r="AG10">
        <f>IF(Pilotage!$E$9="Chiffre d'affaires",S10,IF(Pilotage!$E$9="Effectif",Q10,R10))</f>
        <v/>
      </c>
      <c r="AH10">
        <f>IF(Pilotage!$E$9="Chiffre d'affaires",V10,IF(Pilotage!$E$9="Effectif",T10,U10))</f>
        <v/>
      </c>
      <c r="AI10">
        <f>W10*IFERROR(K10/O10,0)</f>
        <v/>
      </c>
      <c r="AJ10">
        <f>X10*IFERROR(K10/O10,0)</f>
        <v/>
      </c>
      <c r="AK10">
        <f>Y10*IFERROR(G10/L10,0)+Z10*IFERROR(J10/P10,0)</f>
        <v/>
      </c>
      <c r="AL10">
        <f>AA10*IFERROR(AC10/AD10,0)</f>
        <v/>
      </c>
      <c r="AM10">
        <f>AB10*IFERROR(AG10/AH10,0)*IFERROR(AE10/AF10,0)*IFERROR(AC10/AD10,0)</f>
        <v/>
      </c>
      <c r="AN10">
        <f>I10-(AI10+AJ10+AK10+AL10+AM10)</f>
        <v/>
      </c>
    </row>
    <row r="11">
      <c r="A11">
        <f>Allocation!C11</f>
        <v/>
      </c>
      <c r="B11">
        <f>Allocation!D11</f>
        <v/>
      </c>
      <c r="C11">
        <f>Allocation!E11</f>
        <v/>
      </c>
      <c r="D11">
        <f>Allocation!F11</f>
        <v/>
      </c>
      <c r="E11">
        <f>Allocation!G11</f>
        <v/>
      </c>
      <c r="F11">
        <f>Allocation!H11</f>
        <v/>
      </c>
      <c r="G11">
        <f>Allocation!I11</f>
        <v/>
      </c>
      <c r="H11">
        <f>Allocation!J11</f>
        <v/>
      </c>
      <c r="I11">
        <f>Allocation!K11</f>
        <v/>
      </c>
      <c r="J11">
        <f>SUMIFS(Socle!$K$2:$K$175,Socle!$C$2:$C$175,B11,Socle!$D$2:$D$175,D11,Socle!$E$2:$E$175,E11,Socle!$F$2:$F$175,F11,Socle!$G$2:$G$175,A11)</f>
        <v/>
      </c>
      <c r="K11">
        <f>H11*IF(AND(LEFT(D11,3)="BAC",F11="INIT"),600,IF(LEFT(D11,3)="BAC",480,IF(AND(LEFT(D11,3)="MAS",F11="INIT"),520,IF(LEFT(D11,3)="MAS",420,IF(F11="INIT",1000,700)))))</f>
        <v/>
      </c>
      <c r="L11">
        <f>SUMIFS(Allocation!$I$2:$I$175,Allocation!$C$2:$C$175,A11,Allocation!$D$2:$D$175,B11)</f>
        <v/>
      </c>
      <c r="M11">
        <f>SUMIFS(Allocation!$J$2:$J$175,Allocation!$C$2:$C$175,A11,Allocation!$D$2:$D$175,B11)</f>
        <v/>
      </c>
      <c r="N11">
        <f>SUMIFS(Allocation!$K$2:$K$175,Allocation!$C$2:$C$175,A11,Allocation!$D$2:$D$175,B11)</f>
        <v/>
      </c>
      <c r="O11">
        <f>SUMIFS($K$2:$K$175,$A$2:$A$175,A11,$B$2:$B$175,B11)</f>
        <v/>
      </c>
      <c r="P11">
        <f>SUMIFS($J$2:$J$175,$A$2:$A$175,A11,$B$2:$B$175,B11)</f>
        <v/>
      </c>
      <c r="Q11">
        <f>SUMIFS(Allocation!$I$2:$I$175,Allocation!$C$2:$C$175,A11,Allocation!$E$2:$E$175,C11)</f>
        <v/>
      </c>
      <c r="R11">
        <f>SUMIFS(Allocation!$J$2:$J$175,Allocation!$C$2:$C$175,A11,Allocation!$E$2:$E$175,C11)</f>
        <v/>
      </c>
      <c r="S11">
        <f>SUMIFS(Allocation!$K$2:$K$175,Allocation!$C$2:$C$175,A11,Allocation!$E$2:$E$175,C11)</f>
        <v/>
      </c>
      <c r="T11">
        <f>SUMIFS(Allocation!$I$2:$I$175,Allocation!$C$2:$C$175,A11)</f>
        <v/>
      </c>
      <c r="U11">
        <f>SUMIFS(Allocation!$J$2:$J$175,Allocation!$C$2:$C$175,A11)</f>
        <v/>
      </c>
      <c r="V11">
        <f>SUMIFS(Allocation!$K$2:$K$175,Allocation!$C$2:$C$175,A11)</f>
        <v/>
      </c>
      <c r="W11">
        <f>SUMIFS(Compta!$F$2:$F$675,Compta!$A$2:$A$675,B11,Compta!$B$2:$B$675,"621",Compta!$C$2:$C$675,A11)</f>
        <v/>
      </c>
      <c r="X11">
        <f>SUMIFS(Compta!$F$2:$F$675,Compta!$A$2:$A$675,B11,Compta!$B$2:$B$675,"6411",Compta!$C$2:$C$675,A11)</f>
        <v/>
      </c>
      <c r="Y11">
        <f>SUMIFS(Compta!$F$2:$F$675,Compta!$A$2:$A$675,B11,Compta!$B$2:$B$675,"604",Compta!$C$2:$C$675,A11)+SUMIFS(Compta!$F$2:$F$675,Compta!$A$2:$A$675,B11,Compta!$B$2:$B$675,"6063",Compta!$C$2:$C$675,A11)</f>
        <v/>
      </c>
      <c r="Z11">
        <f>SUMIFS(Compta!$F$2:$F$675,Compta!$A$2:$A$675,B11,Compta!$B$2:$B$675,"6231",Compta!$C$2:$C$675,A11)</f>
        <v/>
      </c>
      <c r="AA11">
        <f>SUMIFS(Compta!$F$2:$F$675,Compta!$A$2:$A$675,B11,Compta!$B$2:$B$675,"6413",Compta!$C$2:$C$675,A11)+SUMIFS(Compta!$F$2:$F$675,Compta!$A$2:$A$675,B11,Compta!$B$2:$B$675,"645",Compta!$C$2:$C$675,A11)+SUMIFS(Compta!$F$2:$F$675,Compta!$A$2:$A$675,B11,Compta!$B$2:$B$675,"613",Compta!$C$2:$C$675,A11)+SUMIFS(Compta!$F$2:$F$675,Compta!$A$2:$A$675,B11,Compta!$B$2:$B$675,"615",Compta!$C$2:$C$675,A11)+SUMIFS(Compta!$F$2:$F$675,Compta!$A$2:$A$675,B11,Compta!$B$2:$B$675,"616",Compta!$C$2:$C$675,A11)+SUMIFS(Compta!$F$2:$F$675,Compta!$A$2:$A$675,B11,Compta!$B$2:$B$675,"625",Compta!$C$2:$C$675,A11)+SUMIFS(Compta!$F$2:$F$675,Compta!$A$2:$A$675,B11,Compta!$B$2:$B$675,"63511",Compta!$C$2:$C$675,A11)</f>
        <v/>
      </c>
      <c r="AB11">
        <f>SUMIFS(Compta!$F$2:$F$675,Compta!$A$2:$A$675,"GRP",Compta!$B$2:$B$675,"6414",Compta!$C$2:$C$675,A11)+SUMIFS(Compta!$F$2:$F$675,Compta!$A$2:$A$675,"GRP",Compta!$B$2:$B$675,"6226",Compta!$C$2:$C$675,A11)+SUMIFS(Compta!$F$2:$F$675,Compta!$A$2:$A$675,"GRP",Compta!$B$2:$B$675,"6236",Compta!$C$2:$C$675,A11)+SUMIFS(Compta!$F$2:$F$675,Compta!$A$2:$A$675,"GRP",Compta!$B$2:$B$675,"626",Compta!$C$2:$C$675,A11)+SUMIFS(Compta!$F$2:$F$675,Compta!$A$2:$A$675,"GRP",Compta!$B$2:$B$675,"6281",Compta!$C$2:$C$675,A11)+SUMIFS(Compta!$F$2:$F$675,Compta!$A$2:$A$675,"GRP",Compta!$B$2:$B$675,"6331",Compta!$C$2:$C$675,A11)+SUMIFS(Compta!$F$2:$F$675,Compta!$A$2:$A$675,"GRP",Compta!$B$2:$B$675,"6333",Compta!$C$2:$C$675,A11)</f>
        <v/>
      </c>
      <c r="AC11">
        <f>IF(Pilotage!$E$10="Chiffre d'affaires",I11,IF(Pilotage!$E$10="Effectif",G11,H11))</f>
        <v/>
      </c>
      <c r="AD11">
        <f>IF(Pilotage!$E$10="Chiffre d'affaires",N11,IF(Pilotage!$E$10="Effectif",L11,M11))</f>
        <v/>
      </c>
      <c r="AE11">
        <f>IF(Pilotage!$E$8="Chiffre d'affaires",N11,IF(Pilotage!$E$8="Effectif",L11,M11))</f>
        <v/>
      </c>
      <c r="AF11">
        <f>IF(Pilotage!$E$8="Chiffre d'affaires",S11,IF(Pilotage!$E$8="Effectif",Q11,R11))</f>
        <v/>
      </c>
      <c r="AG11">
        <f>IF(Pilotage!$E$9="Chiffre d'affaires",S11,IF(Pilotage!$E$9="Effectif",Q11,R11))</f>
        <v/>
      </c>
      <c r="AH11">
        <f>IF(Pilotage!$E$9="Chiffre d'affaires",V11,IF(Pilotage!$E$9="Effectif",T11,U11))</f>
        <v/>
      </c>
      <c r="AI11">
        <f>W11*IFERROR(K11/O11,0)</f>
        <v/>
      </c>
      <c r="AJ11">
        <f>X11*IFERROR(K11/O11,0)</f>
        <v/>
      </c>
      <c r="AK11">
        <f>Y11*IFERROR(G11/L11,0)+Z11*IFERROR(J11/P11,0)</f>
        <v/>
      </c>
      <c r="AL11">
        <f>AA11*IFERROR(AC11/AD11,0)</f>
        <v/>
      </c>
      <c r="AM11">
        <f>AB11*IFERROR(AG11/AH11,0)*IFERROR(AE11/AF11,0)*IFERROR(AC11/AD11,0)</f>
        <v/>
      </c>
      <c r="AN11">
        <f>I11-(AI11+AJ11+AK11+AL11+AM11)</f>
        <v/>
      </c>
    </row>
    <row r="12">
      <c r="A12">
        <f>Allocation!C12</f>
        <v/>
      </c>
      <c r="B12">
        <f>Allocation!D12</f>
        <v/>
      </c>
      <c r="C12">
        <f>Allocation!E12</f>
        <v/>
      </c>
      <c r="D12">
        <f>Allocation!F12</f>
        <v/>
      </c>
      <c r="E12">
        <f>Allocation!G12</f>
        <v/>
      </c>
      <c r="F12">
        <f>Allocation!H12</f>
        <v/>
      </c>
      <c r="G12">
        <f>Allocation!I12</f>
        <v/>
      </c>
      <c r="H12">
        <f>Allocation!J12</f>
        <v/>
      </c>
      <c r="I12">
        <f>Allocation!K12</f>
        <v/>
      </c>
      <c r="J12">
        <f>SUMIFS(Socle!$K$2:$K$175,Socle!$C$2:$C$175,B12,Socle!$D$2:$D$175,D12,Socle!$E$2:$E$175,E12,Socle!$F$2:$F$175,F12,Socle!$G$2:$G$175,A12)</f>
        <v/>
      </c>
      <c r="K12">
        <f>H12*IF(AND(LEFT(D12,3)="BAC",F12="INIT"),600,IF(LEFT(D12,3)="BAC",480,IF(AND(LEFT(D12,3)="MAS",F12="INIT"),520,IF(LEFT(D12,3)="MAS",420,IF(F12="INIT",1000,700)))))</f>
        <v/>
      </c>
      <c r="L12">
        <f>SUMIFS(Allocation!$I$2:$I$175,Allocation!$C$2:$C$175,A12,Allocation!$D$2:$D$175,B12)</f>
        <v/>
      </c>
      <c r="M12">
        <f>SUMIFS(Allocation!$J$2:$J$175,Allocation!$C$2:$C$175,A12,Allocation!$D$2:$D$175,B12)</f>
        <v/>
      </c>
      <c r="N12">
        <f>SUMIFS(Allocation!$K$2:$K$175,Allocation!$C$2:$C$175,A12,Allocation!$D$2:$D$175,B12)</f>
        <v/>
      </c>
      <c r="O12">
        <f>SUMIFS($K$2:$K$175,$A$2:$A$175,A12,$B$2:$B$175,B12)</f>
        <v/>
      </c>
      <c r="P12">
        <f>SUMIFS($J$2:$J$175,$A$2:$A$175,A12,$B$2:$B$175,B12)</f>
        <v/>
      </c>
      <c r="Q12">
        <f>SUMIFS(Allocation!$I$2:$I$175,Allocation!$C$2:$C$175,A12,Allocation!$E$2:$E$175,C12)</f>
        <v/>
      </c>
      <c r="R12">
        <f>SUMIFS(Allocation!$J$2:$J$175,Allocation!$C$2:$C$175,A12,Allocation!$E$2:$E$175,C12)</f>
        <v/>
      </c>
      <c r="S12">
        <f>SUMIFS(Allocation!$K$2:$K$175,Allocation!$C$2:$C$175,A12,Allocation!$E$2:$E$175,C12)</f>
        <v/>
      </c>
      <c r="T12">
        <f>SUMIFS(Allocation!$I$2:$I$175,Allocation!$C$2:$C$175,A12)</f>
        <v/>
      </c>
      <c r="U12">
        <f>SUMIFS(Allocation!$J$2:$J$175,Allocation!$C$2:$C$175,A12)</f>
        <v/>
      </c>
      <c r="V12">
        <f>SUMIFS(Allocation!$K$2:$K$175,Allocation!$C$2:$C$175,A12)</f>
        <v/>
      </c>
      <c r="W12">
        <f>SUMIFS(Compta!$F$2:$F$675,Compta!$A$2:$A$675,B12,Compta!$B$2:$B$675,"621",Compta!$C$2:$C$675,A12)</f>
        <v/>
      </c>
      <c r="X12">
        <f>SUMIFS(Compta!$F$2:$F$675,Compta!$A$2:$A$675,B12,Compta!$B$2:$B$675,"6411",Compta!$C$2:$C$675,A12)</f>
        <v/>
      </c>
      <c r="Y12">
        <f>SUMIFS(Compta!$F$2:$F$675,Compta!$A$2:$A$675,B12,Compta!$B$2:$B$675,"604",Compta!$C$2:$C$675,A12)+SUMIFS(Compta!$F$2:$F$675,Compta!$A$2:$A$675,B12,Compta!$B$2:$B$675,"6063",Compta!$C$2:$C$675,A12)</f>
        <v/>
      </c>
      <c r="Z12">
        <f>SUMIFS(Compta!$F$2:$F$675,Compta!$A$2:$A$675,B12,Compta!$B$2:$B$675,"6231",Compta!$C$2:$C$675,A12)</f>
        <v/>
      </c>
      <c r="AA12">
        <f>SUMIFS(Compta!$F$2:$F$675,Compta!$A$2:$A$675,B12,Compta!$B$2:$B$675,"6413",Compta!$C$2:$C$675,A12)+SUMIFS(Compta!$F$2:$F$675,Compta!$A$2:$A$675,B12,Compta!$B$2:$B$675,"645",Compta!$C$2:$C$675,A12)+SUMIFS(Compta!$F$2:$F$675,Compta!$A$2:$A$675,B12,Compta!$B$2:$B$675,"613",Compta!$C$2:$C$675,A12)+SUMIFS(Compta!$F$2:$F$675,Compta!$A$2:$A$675,B12,Compta!$B$2:$B$675,"615",Compta!$C$2:$C$675,A12)+SUMIFS(Compta!$F$2:$F$675,Compta!$A$2:$A$675,B12,Compta!$B$2:$B$675,"616",Compta!$C$2:$C$675,A12)+SUMIFS(Compta!$F$2:$F$675,Compta!$A$2:$A$675,B12,Compta!$B$2:$B$675,"625",Compta!$C$2:$C$675,A12)+SUMIFS(Compta!$F$2:$F$675,Compta!$A$2:$A$675,B12,Compta!$B$2:$B$675,"63511",Compta!$C$2:$C$675,A12)</f>
        <v/>
      </c>
      <c r="AB12">
        <f>SUMIFS(Compta!$F$2:$F$675,Compta!$A$2:$A$675,"GRP",Compta!$B$2:$B$675,"6414",Compta!$C$2:$C$675,A12)+SUMIFS(Compta!$F$2:$F$675,Compta!$A$2:$A$675,"GRP",Compta!$B$2:$B$675,"6226",Compta!$C$2:$C$675,A12)+SUMIFS(Compta!$F$2:$F$675,Compta!$A$2:$A$675,"GRP",Compta!$B$2:$B$675,"6236",Compta!$C$2:$C$675,A12)+SUMIFS(Compta!$F$2:$F$675,Compta!$A$2:$A$675,"GRP",Compta!$B$2:$B$675,"626",Compta!$C$2:$C$675,A12)+SUMIFS(Compta!$F$2:$F$675,Compta!$A$2:$A$675,"GRP",Compta!$B$2:$B$675,"6281",Compta!$C$2:$C$675,A12)+SUMIFS(Compta!$F$2:$F$675,Compta!$A$2:$A$675,"GRP",Compta!$B$2:$B$675,"6331",Compta!$C$2:$C$675,A12)+SUMIFS(Compta!$F$2:$F$675,Compta!$A$2:$A$675,"GRP",Compta!$B$2:$B$675,"6333",Compta!$C$2:$C$675,A12)</f>
        <v/>
      </c>
      <c r="AC12">
        <f>IF(Pilotage!$E$10="Chiffre d'affaires",I12,IF(Pilotage!$E$10="Effectif",G12,H12))</f>
        <v/>
      </c>
      <c r="AD12">
        <f>IF(Pilotage!$E$10="Chiffre d'affaires",N12,IF(Pilotage!$E$10="Effectif",L12,M12))</f>
        <v/>
      </c>
      <c r="AE12">
        <f>IF(Pilotage!$E$8="Chiffre d'affaires",N12,IF(Pilotage!$E$8="Effectif",L12,M12))</f>
        <v/>
      </c>
      <c r="AF12">
        <f>IF(Pilotage!$E$8="Chiffre d'affaires",S12,IF(Pilotage!$E$8="Effectif",Q12,R12))</f>
        <v/>
      </c>
      <c r="AG12">
        <f>IF(Pilotage!$E$9="Chiffre d'affaires",S12,IF(Pilotage!$E$9="Effectif",Q12,R12))</f>
        <v/>
      </c>
      <c r="AH12">
        <f>IF(Pilotage!$E$9="Chiffre d'affaires",V12,IF(Pilotage!$E$9="Effectif",T12,U12))</f>
        <v/>
      </c>
      <c r="AI12">
        <f>W12*IFERROR(K12/O12,0)</f>
        <v/>
      </c>
      <c r="AJ12">
        <f>X12*IFERROR(K12/O12,0)</f>
        <v/>
      </c>
      <c r="AK12">
        <f>Y12*IFERROR(G12/L12,0)+Z12*IFERROR(J12/P12,0)</f>
        <v/>
      </c>
      <c r="AL12">
        <f>AA12*IFERROR(AC12/AD12,0)</f>
        <v/>
      </c>
      <c r="AM12">
        <f>AB12*IFERROR(AG12/AH12,0)*IFERROR(AE12/AF12,0)*IFERROR(AC12/AD12,0)</f>
        <v/>
      </c>
      <c r="AN12">
        <f>I12-(AI12+AJ12+AK12+AL12+AM12)</f>
        <v/>
      </c>
    </row>
    <row r="13">
      <c r="A13">
        <f>Allocation!C13</f>
        <v/>
      </c>
      <c r="B13">
        <f>Allocation!D13</f>
        <v/>
      </c>
      <c r="C13">
        <f>Allocation!E13</f>
        <v/>
      </c>
      <c r="D13">
        <f>Allocation!F13</f>
        <v/>
      </c>
      <c r="E13">
        <f>Allocation!G13</f>
        <v/>
      </c>
      <c r="F13">
        <f>Allocation!H13</f>
        <v/>
      </c>
      <c r="G13">
        <f>Allocation!I13</f>
        <v/>
      </c>
      <c r="H13">
        <f>Allocation!J13</f>
        <v/>
      </c>
      <c r="I13">
        <f>Allocation!K13</f>
        <v/>
      </c>
      <c r="J13">
        <f>SUMIFS(Socle!$K$2:$K$175,Socle!$C$2:$C$175,B13,Socle!$D$2:$D$175,D13,Socle!$E$2:$E$175,E13,Socle!$F$2:$F$175,F13,Socle!$G$2:$G$175,A13)</f>
        <v/>
      </c>
      <c r="K13">
        <f>H13*IF(AND(LEFT(D13,3)="BAC",F13="INIT"),600,IF(LEFT(D13,3)="BAC",480,IF(AND(LEFT(D13,3)="MAS",F13="INIT"),520,IF(LEFT(D13,3)="MAS",420,IF(F13="INIT",1000,700)))))</f>
        <v/>
      </c>
      <c r="L13">
        <f>SUMIFS(Allocation!$I$2:$I$175,Allocation!$C$2:$C$175,A13,Allocation!$D$2:$D$175,B13)</f>
        <v/>
      </c>
      <c r="M13">
        <f>SUMIFS(Allocation!$J$2:$J$175,Allocation!$C$2:$C$175,A13,Allocation!$D$2:$D$175,B13)</f>
        <v/>
      </c>
      <c r="N13">
        <f>SUMIFS(Allocation!$K$2:$K$175,Allocation!$C$2:$C$175,A13,Allocation!$D$2:$D$175,B13)</f>
        <v/>
      </c>
      <c r="O13">
        <f>SUMIFS($K$2:$K$175,$A$2:$A$175,A13,$B$2:$B$175,B13)</f>
        <v/>
      </c>
      <c r="P13">
        <f>SUMIFS($J$2:$J$175,$A$2:$A$175,A13,$B$2:$B$175,B13)</f>
        <v/>
      </c>
      <c r="Q13">
        <f>SUMIFS(Allocation!$I$2:$I$175,Allocation!$C$2:$C$175,A13,Allocation!$E$2:$E$175,C13)</f>
        <v/>
      </c>
      <c r="R13">
        <f>SUMIFS(Allocation!$J$2:$J$175,Allocation!$C$2:$C$175,A13,Allocation!$E$2:$E$175,C13)</f>
        <v/>
      </c>
      <c r="S13">
        <f>SUMIFS(Allocation!$K$2:$K$175,Allocation!$C$2:$C$175,A13,Allocation!$E$2:$E$175,C13)</f>
        <v/>
      </c>
      <c r="T13">
        <f>SUMIFS(Allocation!$I$2:$I$175,Allocation!$C$2:$C$175,A13)</f>
        <v/>
      </c>
      <c r="U13">
        <f>SUMIFS(Allocation!$J$2:$J$175,Allocation!$C$2:$C$175,A13)</f>
        <v/>
      </c>
      <c r="V13">
        <f>SUMIFS(Allocation!$K$2:$K$175,Allocation!$C$2:$C$175,A13)</f>
        <v/>
      </c>
      <c r="W13">
        <f>SUMIFS(Compta!$F$2:$F$675,Compta!$A$2:$A$675,B13,Compta!$B$2:$B$675,"621",Compta!$C$2:$C$675,A13)</f>
        <v/>
      </c>
      <c r="X13">
        <f>SUMIFS(Compta!$F$2:$F$675,Compta!$A$2:$A$675,B13,Compta!$B$2:$B$675,"6411",Compta!$C$2:$C$675,A13)</f>
        <v/>
      </c>
      <c r="Y13">
        <f>SUMIFS(Compta!$F$2:$F$675,Compta!$A$2:$A$675,B13,Compta!$B$2:$B$675,"604",Compta!$C$2:$C$675,A13)+SUMIFS(Compta!$F$2:$F$675,Compta!$A$2:$A$675,B13,Compta!$B$2:$B$675,"6063",Compta!$C$2:$C$675,A13)</f>
        <v/>
      </c>
      <c r="Z13">
        <f>SUMIFS(Compta!$F$2:$F$675,Compta!$A$2:$A$675,B13,Compta!$B$2:$B$675,"6231",Compta!$C$2:$C$675,A13)</f>
        <v/>
      </c>
      <c r="AA13">
        <f>SUMIFS(Compta!$F$2:$F$675,Compta!$A$2:$A$675,B13,Compta!$B$2:$B$675,"6413",Compta!$C$2:$C$675,A13)+SUMIFS(Compta!$F$2:$F$675,Compta!$A$2:$A$675,B13,Compta!$B$2:$B$675,"645",Compta!$C$2:$C$675,A13)+SUMIFS(Compta!$F$2:$F$675,Compta!$A$2:$A$675,B13,Compta!$B$2:$B$675,"613",Compta!$C$2:$C$675,A13)+SUMIFS(Compta!$F$2:$F$675,Compta!$A$2:$A$675,B13,Compta!$B$2:$B$675,"615",Compta!$C$2:$C$675,A13)+SUMIFS(Compta!$F$2:$F$675,Compta!$A$2:$A$675,B13,Compta!$B$2:$B$675,"616",Compta!$C$2:$C$675,A13)+SUMIFS(Compta!$F$2:$F$675,Compta!$A$2:$A$675,B13,Compta!$B$2:$B$675,"625",Compta!$C$2:$C$675,A13)+SUMIFS(Compta!$F$2:$F$675,Compta!$A$2:$A$675,B13,Compta!$B$2:$B$675,"63511",Compta!$C$2:$C$675,A13)</f>
        <v/>
      </c>
      <c r="AB13">
        <f>SUMIFS(Compta!$F$2:$F$675,Compta!$A$2:$A$675,"GRP",Compta!$B$2:$B$675,"6414",Compta!$C$2:$C$675,A13)+SUMIFS(Compta!$F$2:$F$675,Compta!$A$2:$A$675,"GRP",Compta!$B$2:$B$675,"6226",Compta!$C$2:$C$675,A13)+SUMIFS(Compta!$F$2:$F$675,Compta!$A$2:$A$675,"GRP",Compta!$B$2:$B$675,"6236",Compta!$C$2:$C$675,A13)+SUMIFS(Compta!$F$2:$F$675,Compta!$A$2:$A$675,"GRP",Compta!$B$2:$B$675,"626",Compta!$C$2:$C$675,A13)+SUMIFS(Compta!$F$2:$F$675,Compta!$A$2:$A$675,"GRP",Compta!$B$2:$B$675,"6281",Compta!$C$2:$C$675,A13)+SUMIFS(Compta!$F$2:$F$675,Compta!$A$2:$A$675,"GRP",Compta!$B$2:$B$675,"6331",Compta!$C$2:$C$675,A13)+SUMIFS(Compta!$F$2:$F$675,Compta!$A$2:$A$675,"GRP",Compta!$B$2:$B$675,"6333",Compta!$C$2:$C$675,A13)</f>
        <v/>
      </c>
      <c r="AC13">
        <f>IF(Pilotage!$E$10="Chiffre d'affaires",I13,IF(Pilotage!$E$10="Effectif",G13,H13))</f>
        <v/>
      </c>
      <c r="AD13">
        <f>IF(Pilotage!$E$10="Chiffre d'affaires",N13,IF(Pilotage!$E$10="Effectif",L13,M13))</f>
        <v/>
      </c>
      <c r="AE13">
        <f>IF(Pilotage!$E$8="Chiffre d'affaires",N13,IF(Pilotage!$E$8="Effectif",L13,M13))</f>
        <v/>
      </c>
      <c r="AF13">
        <f>IF(Pilotage!$E$8="Chiffre d'affaires",S13,IF(Pilotage!$E$8="Effectif",Q13,R13))</f>
        <v/>
      </c>
      <c r="AG13">
        <f>IF(Pilotage!$E$9="Chiffre d'affaires",S13,IF(Pilotage!$E$9="Effectif",Q13,R13))</f>
        <v/>
      </c>
      <c r="AH13">
        <f>IF(Pilotage!$E$9="Chiffre d'affaires",V13,IF(Pilotage!$E$9="Effectif",T13,U13))</f>
        <v/>
      </c>
      <c r="AI13">
        <f>W13*IFERROR(K13/O13,0)</f>
        <v/>
      </c>
      <c r="AJ13">
        <f>X13*IFERROR(K13/O13,0)</f>
        <v/>
      </c>
      <c r="AK13">
        <f>Y13*IFERROR(G13/L13,0)+Z13*IFERROR(J13/P13,0)</f>
        <v/>
      </c>
      <c r="AL13">
        <f>AA13*IFERROR(AC13/AD13,0)</f>
        <v/>
      </c>
      <c r="AM13">
        <f>AB13*IFERROR(AG13/AH13,0)*IFERROR(AE13/AF13,0)*IFERROR(AC13/AD13,0)</f>
        <v/>
      </c>
      <c r="AN13">
        <f>I13-(AI13+AJ13+AK13+AL13+AM13)</f>
        <v/>
      </c>
    </row>
    <row r="14">
      <c r="A14">
        <f>Allocation!C14</f>
        <v/>
      </c>
      <c r="B14">
        <f>Allocation!D14</f>
        <v/>
      </c>
      <c r="C14">
        <f>Allocation!E14</f>
        <v/>
      </c>
      <c r="D14">
        <f>Allocation!F14</f>
        <v/>
      </c>
      <c r="E14">
        <f>Allocation!G14</f>
        <v/>
      </c>
      <c r="F14">
        <f>Allocation!H14</f>
        <v/>
      </c>
      <c r="G14">
        <f>Allocation!I14</f>
        <v/>
      </c>
      <c r="H14">
        <f>Allocation!J14</f>
        <v/>
      </c>
      <c r="I14">
        <f>Allocation!K14</f>
        <v/>
      </c>
      <c r="J14">
        <f>SUMIFS(Socle!$K$2:$K$175,Socle!$C$2:$C$175,B14,Socle!$D$2:$D$175,D14,Socle!$E$2:$E$175,E14,Socle!$F$2:$F$175,F14,Socle!$G$2:$G$175,A14)</f>
        <v/>
      </c>
      <c r="K14">
        <f>H14*IF(AND(LEFT(D14,3)="BAC",F14="INIT"),600,IF(LEFT(D14,3)="BAC",480,IF(AND(LEFT(D14,3)="MAS",F14="INIT"),520,IF(LEFT(D14,3)="MAS",420,IF(F14="INIT",1000,700)))))</f>
        <v/>
      </c>
      <c r="L14">
        <f>SUMIFS(Allocation!$I$2:$I$175,Allocation!$C$2:$C$175,A14,Allocation!$D$2:$D$175,B14)</f>
        <v/>
      </c>
      <c r="M14">
        <f>SUMIFS(Allocation!$J$2:$J$175,Allocation!$C$2:$C$175,A14,Allocation!$D$2:$D$175,B14)</f>
        <v/>
      </c>
      <c r="N14">
        <f>SUMIFS(Allocation!$K$2:$K$175,Allocation!$C$2:$C$175,A14,Allocation!$D$2:$D$175,B14)</f>
        <v/>
      </c>
      <c r="O14">
        <f>SUMIFS($K$2:$K$175,$A$2:$A$175,A14,$B$2:$B$175,B14)</f>
        <v/>
      </c>
      <c r="P14">
        <f>SUMIFS($J$2:$J$175,$A$2:$A$175,A14,$B$2:$B$175,B14)</f>
        <v/>
      </c>
      <c r="Q14">
        <f>SUMIFS(Allocation!$I$2:$I$175,Allocation!$C$2:$C$175,A14,Allocation!$E$2:$E$175,C14)</f>
        <v/>
      </c>
      <c r="R14">
        <f>SUMIFS(Allocation!$J$2:$J$175,Allocation!$C$2:$C$175,A14,Allocation!$E$2:$E$175,C14)</f>
        <v/>
      </c>
      <c r="S14">
        <f>SUMIFS(Allocation!$K$2:$K$175,Allocation!$C$2:$C$175,A14,Allocation!$E$2:$E$175,C14)</f>
        <v/>
      </c>
      <c r="T14">
        <f>SUMIFS(Allocation!$I$2:$I$175,Allocation!$C$2:$C$175,A14)</f>
        <v/>
      </c>
      <c r="U14">
        <f>SUMIFS(Allocation!$J$2:$J$175,Allocation!$C$2:$C$175,A14)</f>
        <v/>
      </c>
      <c r="V14">
        <f>SUMIFS(Allocation!$K$2:$K$175,Allocation!$C$2:$C$175,A14)</f>
        <v/>
      </c>
      <c r="W14">
        <f>SUMIFS(Compta!$F$2:$F$675,Compta!$A$2:$A$675,B14,Compta!$B$2:$B$675,"621",Compta!$C$2:$C$675,A14)</f>
        <v/>
      </c>
      <c r="X14">
        <f>SUMIFS(Compta!$F$2:$F$675,Compta!$A$2:$A$675,B14,Compta!$B$2:$B$675,"6411",Compta!$C$2:$C$675,A14)</f>
        <v/>
      </c>
      <c r="Y14">
        <f>SUMIFS(Compta!$F$2:$F$675,Compta!$A$2:$A$675,B14,Compta!$B$2:$B$675,"604",Compta!$C$2:$C$675,A14)+SUMIFS(Compta!$F$2:$F$675,Compta!$A$2:$A$675,B14,Compta!$B$2:$B$675,"6063",Compta!$C$2:$C$675,A14)</f>
        <v/>
      </c>
      <c r="Z14">
        <f>SUMIFS(Compta!$F$2:$F$675,Compta!$A$2:$A$675,B14,Compta!$B$2:$B$675,"6231",Compta!$C$2:$C$675,A14)</f>
        <v/>
      </c>
      <c r="AA14">
        <f>SUMIFS(Compta!$F$2:$F$675,Compta!$A$2:$A$675,B14,Compta!$B$2:$B$675,"6413",Compta!$C$2:$C$675,A14)+SUMIFS(Compta!$F$2:$F$675,Compta!$A$2:$A$675,B14,Compta!$B$2:$B$675,"645",Compta!$C$2:$C$675,A14)+SUMIFS(Compta!$F$2:$F$675,Compta!$A$2:$A$675,B14,Compta!$B$2:$B$675,"613",Compta!$C$2:$C$675,A14)+SUMIFS(Compta!$F$2:$F$675,Compta!$A$2:$A$675,B14,Compta!$B$2:$B$675,"615",Compta!$C$2:$C$675,A14)+SUMIFS(Compta!$F$2:$F$675,Compta!$A$2:$A$675,B14,Compta!$B$2:$B$675,"616",Compta!$C$2:$C$675,A14)+SUMIFS(Compta!$F$2:$F$675,Compta!$A$2:$A$675,B14,Compta!$B$2:$B$675,"625",Compta!$C$2:$C$675,A14)+SUMIFS(Compta!$F$2:$F$675,Compta!$A$2:$A$675,B14,Compta!$B$2:$B$675,"63511",Compta!$C$2:$C$675,A14)</f>
        <v/>
      </c>
      <c r="AB14">
        <f>SUMIFS(Compta!$F$2:$F$675,Compta!$A$2:$A$675,"GRP",Compta!$B$2:$B$675,"6414",Compta!$C$2:$C$675,A14)+SUMIFS(Compta!$F$2:$F$675,Compta!$A$2:$A$675,"GRP",Compta!$B$2:$B$675,"6226",Compta!$C$2:$C$675,A14)+SUMIFS(Compta!$F$2:$F$675,Compta!$A$2:$A$675,"GRP",Compta!$B$2:$B$675,"6236",Compta!$C$2:$C$675,A14)+SUMIFS(Compta!$F$2:$F$675,Compta!$A$2:$A$675,"GRP",Compta!$B$2:$B$675,"626",Compta!$C$2:$C$675,A14)+SUMIFS(Compta!$F$2:$F$675,Compta!$A$2:$A$675,"GRP",Compta!$B$2:$B$675,"6281",Compta!$C$2:$C$675,A14)+SUMIFS(Compta!$F$2:$F$675,Compta!$A$2:$A$675,"GRP",Compta!$B$2:$B$675,"6331",Compta!$C$2:$C$675,A14)+SUMIFS(Compta!$F$2:$F$675,Compta!$A$2:$A$675,"GRP",Compta!$B$2:$B$675,"6333",Compta!$C$2:$C$675,A14)</f>
        <v/>
      </c>
      <c r="AC14">
        <f>IF(Pilotage!$E$10="Chiffre d'affaires",I14,IF(Pilotage!$E$10="Effectif",G14,H14))</f>
        <v/>
      </c>
      <c r="AD14">
        <f>IF(Pilotage!$E$10="Chiffre d'affaires",N14,IF(Pilotage!$E$10="Effectif",L14,M14))</f>
        <v/>
      </c>
      <c r="AE14">
        <f>IF(Pilotage!$E$8="Chiffre d'affaires",N14,IF(Pilotage!$E$8="Effectif",L14,M14))</f>
        <v/>
      </c>
      <c r="AF14">
        <f>IF(Pilotage!$E$8="Chiffre d'affaires",S14,IF(Pilotage!$E$8="Effectif",Q14,R14))</f>
        <v/>
      </c>
      <c r="AG14">
        <f>IF(Pilotage!$E$9="Chiffre d'affaires",S14,IF(Pilotage!$E$9="Effectif",Q14,R14))</f>
        <v/>
      </c>
      <c r="AH14">
        <f>IF(Pilotage!$E$9="Chiffre d'affaires",V14,IF(Pilotage!$E$9="Effectif",T14,U14))</f>
        <v/>
      </c>
      <c r="AI14">
        <f>W14*IFERROR(K14/O14,0)</f>
        <v/>
      </c>
      <c r="AJ14">
        <f>X14*IFERROR(K14/O14,0)</f>
        <v/>
      </c>
      <c r="AK14">
        <f>Y14*IFERROR(G14/L14,0)+Z14*IFERROR(J14/P14,0)</f>
        <v/>
      </c>
      <c r="AL14">
        <f>AA14*IFERROR(AC14/AD14,0)</f>
        <v/>
      </c>
      <c r="AM14">
        <f>AB14*IFERROR(AG14/AH14,0)*IFERROR(AE14/AF14,0)*IFERROR(AC14/AD14,0)</f>
        <v/>
      </c>
      <c r="AN14">
        <f>I14-(AI14+AJ14+AK14+AL14+AM14)</f>
        <v/>
      </c>
    </row>
    <row r="15">
      <c r="A15">
        <f>Allocation!C15</f>
        <v/>
      </c>
      <c r="B15">
        <f>Allocation!D15</f>
        <v/>
      </c>
      <c r="C15">
        <f>Allocation!E15</f>
        <v/>
      </c>
      <c r="D15">
        <f>Allocation!F15</f>
        <v/>
      </c>
      <c r="E15">
        <f>Allocation!G15</f>
        <v/>
      </c>
      <c r="F15">
        <f>Allocation!H15</f>
        <v/>
      </c>
      <c r="G15">
        <f>Allocation!I15</f>
        <v/>
      </c>
      <c r="H15">
        <f>Allocation!J15</f>
        <v/>
      </c>
      <c r="I15">
        <f>Allocation!K15</f>
        <v/>
      </c>
      <c r="J15">
        <f>SUMIFS(Socle!$K$2:$K$175,Socle!$C$2:$C$175,B15,Socle!$D$2:$D$175,D15,Socle!$E$2:$E$175,E15,Socle!$F$2:$F$175,F15,Socle!$G$2:$G$175,A15)</f>
        <v/>
      </c>
      <c r="K15">
        <f>H15*IF(AND(LEFT(D15,3)="BAC",F15="INIT"),600,IF(LEFT(D15,3)="BAC",480,IF(AND(LEFT(D15,3)="MAS",F15="INIT"),520,IF(LEFT(D15,3)="MAS",420,IF(F15="INIT",1000,700)))))</f>
        <v/>
      </c>
      <c r="L15">
        <f>SUMIFS(Allocation!$I$2:$I$175,Allocation!$C$2:$C$175,A15,Allocation!$D$2:$D$175,B15)</f>
        <v/>
      </c>
      <c r="M15">
        <f>SUMIFS(Allocation!$J$2:$J$175,Allocation!$C$2:$C$175,A15,Allocation!$D$2:$D$175,B15)</f>
        <v/>
      </c>
      <c r="N15">
        <f>SUMIFS(Allocation!$K$2:$K$175,Allocation!$C$2:$C$175,A15,Allocation!$D$2:$D$175,B15)</f>
        <v/>
      </c>
      <c r="O15">
        <f>SUMIFS($K$2:$K$175,$A$2:$A$175,A15,$B$2:$B$175,B15)</f>
        <v/>
      </c>
      <c r="P15">
        <f>SUMIFS($J$2:$J$175,$A$2:$A$175,A15,$B$2:$B$175,B15)</f>
        <v/>
      </c>
      <c r="Q15">
        <f>SUMIFS(Allocation!$I$2:$I$175,Allocation!$C$2:$C$175,A15,Allocation!$E$2:$E$175,C15)</f>
        <v/>
      </c>
      <c r="R15">
        <f>SUMIFS(Allocation!$J$2:$J$175,Allocation!$C$2:$C$175,A15,Allocation!$E$2:$E$175,C15)</f>
        <v/>
      </c>
      <c r="S15">
        <f>SUMIFS(Allocation!$K$2:$K$175,Allocation!$C$2:$C$175,A15,Allocation!$E$2:$E$175,C15)</f>
        <v/>
      </c>
      <c r="T15">
        <f>SUMIFS(Allocation!$I$2:$I$175,Allocation!$C$2:$C$175,A15)</f>
        <v/>
      </c>
      <c r="U15">
        <f>SUMIFS(Allocation!$J$2:$J$175,Allocation!$C$2:$C$175,A15)</f>
        <v/>
      </c>
      <c r="V15">
        <f>SUMIFS(Allocation!$K$2:$K$175,Allocation!$C$2:$C$175,A15)</f>
        <v/>
      </c>
      <c r="W15">
        <f>SUMIFS(Compta!$F$2:$F$675,Compta!$A$2:$A$675,B15,Compta!$B$2:$B$675,"621",Compta!$C$2:$C$675,A15)</f>
        <v/>
      </c>
      <c r="X15">
        <f>SUMIFS(Compta!$F$2:$F$675,Compta!$A$2:$A$675,B15,Compta!$B$2:$B$675,"6411",Compta!$C$2:$C$675,A15)</f>
        <v/>
      </c>
      <c r="Y15">
        <f>SUMIFS(Compta!$F$2:$F$675,Compta!$A$2:$A$675,B15,Compta!$B$2:$B$675,"604",Compta!$C$2:$C$675,A15)+SUMIFS(Compta!$F$2:$F$675,Compta!$A$2:$A$675,B15,Compta!$B$2:$B$675,"6063",Compta!$C$2:$C$675,A15)</f>
        <v/>
      </c>
      <c r="Z15">
        <f>SUMIFS(Compta!$F$2:$F$675,Compta!$A$2:$A$675,B15,Compta!$B$2:$B$675,"6231",Compta!$C$2:$C$675,A15)</f>
        <v/>
      </c>
      <c r="AA15">
        <f>SUMIFS(Compta!$F$2:$F$675,Compta!$A$2:$A$675,B15,Compta!$B$2:$B$675,"6413",Compta!$C$2:$C$675,A15)+SUMIFS(Compta!$F$2:$F$675,Compta!$A$2:$A$675,B15,Compta!$B$2:$B$675,"645",Compta!$C$2:$C$675,A15)+SUMIFS(Compta!$F$2:$F$675,Compta!$A$2:$A$675,B15,Compta!$B$2:$B$675,"613",Compta!$C$2:$C$675,A15)+SUMIFS(Compta!$F$2:$F$675,Compta!$A$2:$A$675,B15,Compta!$B$2:$B$675,"615",Compta!$C$2:$C$675,A15)+SUMIFS(Compta!$F$2:$F$675,Compta!$A$2:$A$675,B15,Compta!$B$2:$B$675,"616",Compta!$C$2:$C$675,A15)+SUMIFS(Compta!$F$2:$F$675,Compta!$A$2:$A$675,B15,Compta!$B$2:$B$675,"625",Compta!$C$2:$C$675,A15)+SUMIFS(Compta!$F$2:$F$675,Compta!$A$2:$A$675,B15,Compta!$B$2:$B$675,"63511",Compta!$C$2:$C$675,A15)</f>
        <v/>
      </c>
      <c r="AB15">
        <f>SUMIFS(Compta!$F$2:$F$675,Compta!$A$2:$A$675,"GRP",Compta!$B$2:$B$675,"6414",Compta!$C$2:$C$675,A15)+SUMIFS(Compta!$F$2:$F$675,Compta!$A$2:$A$675,"GRP",Compta!$B$2:$B$675,"6226",Compta!$C$2:$C$675,A15)+SUMIFS(Compta!$F$2:$F$675,Compta!$A$2:$A$675,"GRP",Compta!$B$2:$B$675,"6236",Compta!$C$2:$C$675,A15)+SUMIFS(Compta!$F$2:$F$675,Compta!$A$2:$A$675,"GRP",Compta!$B$2:$B$675,"626",Compta!$C$2:$C$675,A15)+SUMIFS(Compta!$F$2:$F$675,Compta!$A$2:$A$675,"GRP",Compta!$B$2:$B$675,"6281",Compta!$C$2:$C$675,A15)+SUMIFS(Compta!$F$2:$F$675,Compta!$A$2:$A$675,"GRP",Compta!$B$2:$B$675,"6331",Compta!$C$2:$C$675,A15)+SUMIFS(Compta!$F$2:$F$675,Compta!$A$2:$A$675,"GRP",Compta!$B$2:$B$675,"6333",Compta!$C$2:$C$675,A15)</f>
        <v/>
      </c>
      <c r="AC15">
        <f>IF(Pilotage!$E$10="Chiffre d'affaires",I15,IF(Pilotage!$E$10="Effectif",G15,H15))</f>
        <v/>
      </c>
      <c r="AD15">
        <f>IF(Pilotage!$E$10="Chiffre d'affaires",N15,IF(Pilotage!$E$10="Effectif",L15,M15))</f>
        <v/>
      </c>
      <c r="AE15">
        <f>IF(Pilotage!$E$8="Chiffre d'affaires",N15,IF(Pilotage!$E$8="Effectif",L15,M15))</f>
        <v/>
      </c>
      <c r="AF15">
        <f>IF(Pilotage!$E$8="Chiffre d'affaires",S15,IF(Pilotage!$E$8="Effectif",Q15,R15))</f>
        <v/>
      </c>
      <c r="AG15">
        <f>IF(Pilotage!$E$9="Chiffre d'affaires",S15,IF(Pilotage!$E$9="Effectif",Q15,R15))</f>
        <v/>
      </c>
      <c r="AH15">
        <f>IF(Pilotage!$E$9="Chiffre d'affaires",V15,IF(Pilotage!$E$9="Effectif",T15,U15))</f>
        <v/>
      </c>
      <c r="AI15">
        <f>W15*IFERROR(K15/O15,0)</f>
        <v/>
      </c>
      <c r="AJ15">
        <f>X15*IFERROR(K15/O15,0)</f>
        <v/>
      </c>
      <c r="AK15">
        <f>Y15*IFERROR(G15/L15,0)+Z15*IFERROR(J15/P15,0)</f>
        <v/>
      </c>
      <c r="AL15">
        <f>AA15*IFERROR(AC15/AD15,0)</f>
        <v/>
      </c>
      <c r="AM15">
        <f>AB15*IFERROR(AG15/AH15,0)*IFERROR(AE15/AF15,0)*IFERROR(AC15/AD15,0)</f>
        <v/>
      </c>
      <c r="AN15">
        <f>I15-(AI15+AJ15+AK15+AL15+AM15)</f>
        <v/>
      </c>
    </row>
    <row r="16">
      <c r="A16">
        <f>Allocation!C16</f>
        <v/>
      </c>
      <c r="B16">
        <f>Allocation!D16</f>
        <v/>
      </c>
      <c r="C16">
        <f>Allocation!E16</f>
        <v/>
      </c>
      <c r="D16">
        <f>Allocation!F16</f>
        <v/>
      </c>
      <c r="E16">
        <f>Allocation!G16</f>
        <v/>
      </c>
      <c r="F16">
        <f>Allocation!H16</f>
        <v/>
      </c>
      <c r="G16">
        <f>Allocation!I16</f>
        <v/>
      </c>
      <c r="H16">
        <f>Allocation!J16</f>
        <v/>
      </c>
      <c r="I16">
        <f>Allocation!K16</f>
        <v/>
      </c>
      <c r="J16">
        <f>SUMIFS(Socle!$K$2:$K$175,Socle!$C$2:$C$175,B16,Socle!$D$2:$D$175,D16,Socle!$E$2:$E$175,E16,Socle!$F$2:$F$175,F16,Socle!$G$2:$G$175,A16)</f>
        <v/>
      </c>
      <c r="K16">
        <f>H16*IF(AND(LEFT(D16,3)="BAC",F16="INIT"),600,IF(LEFT(D16,3)="BAC",480,IF(AND(LEFT(D16,3)="MAS",F16="INIT"),520,IF(LEFT(D16,3)="MAS",420,IF(F16="INIT",1000,700)))))</f>
        <v/>
      </c>
      <c r="L16">
        <f>SUMIFS(Allocation!$I$2:$I$175,Allocation!$C$2:$C$175,A16,Allocation!$D$2:$D$175,B16)</f>
        <v/>
      </c>
      <c r="M16">
        <f>SUMIFS(Allocation!$J$2:$J$175,Allocation!$C$2:$C$175,A16,Allocation!$D$2:$D$175,B16)</f>
        <v/>
      </c>
      <c r="N16">
        <f>SUMIFS(Allocation!$K$2:$K$175,Allocation!$C$2:$C$175,A16,Allocation!$D$2:$D$175,B16)</f>
        <v/>
      </c>
      <c r="O16">
        <f>SUMIFS($K$2:$K$175,$A$2:$A$175,A16,$B$2:$B$175,B16)</f>
        <v/>
      </c>
      <c r="P16">
        <f>SUMIFS($J$2:$J$175,$A$2:$A$175,A16,$B$2:$B$175,B16)</f>
        <v/>
      </c>
      <c r="Q16">
        <f>SUMIFS(Allocation!$I$2:$I$175,Allocation!$C$2:$C$175,A16,Allocation!$E$2:$E$175,C16)</f>
        <v/>
      </c>
      <c r="R16">
        <f>SUMIFS(Allocation!$J$2:$J$175,Allocation!$C$2:$C$175,A16,Allocation!$E$2:$E$175,C16)</f>
        <v/>
      </c>
      <c r="S16">
        <f>SUMIFS(Allocation!$K$2:$K$175,Allocation!$C$2:$C$175,A16,Allocation!$E$2:$E$175,C16)</f>
        <v/>
      </c>
      <c r="T16">
        <f>SUMIFS(Allocation!$I$2:$I$175,Allocation!$C$2:$C$175,A16)</f>
        <v/>
      </c>
      <c r="U16">
        <f>SUMIFS(Allocation!$J$2:$J$175,Allocation!$C$2:$C$175,A16)</f>
        <v/>
      </c>
      <c r="V16">
        <f>SUMIFS(Allocation!$K$2:$K$175,Allocation!$C$2:$C$175,A16)</f>
        <v/>
      </c>
      <c r="W16">
        <f>SUMIFS(Compta!$F$2:$F$675,Compta!$A$2:$A$675,B16,Compta!$B$2:$B$675,"621",Compta!$C$2:$C$675,A16)</f>
        <v/>
      </c>
      <c r="X16">
        <f>SUMIFS(Compta!$F$2:$F$675,Compta!$A$2:$A$675,B16,Compta!$B$2:$B$675,"6411",Compta!$C$2:$C$675,A16)</f>
        <v/>
      </c>
      <c r="Y16">
        <f>SUMIFS(Compta!$F$2:$F$675,Compta!$A$2:$A$675,B16,Compta!$B$2:$B$675,"604",Compta!$C$2:$C$675,A16)+SUMIFS(Compta!$F$2:$F$675,Compta!$A$2:$A$675,B16,Compta!$B$2:$B$675,"6063",Compta!$C$2:$C$675,A16)</f>
        <v/>
      </c>
      <c r="Z16">
        <f>SUMIFS(Compta!$F$2:$F$675,Compta!$A$2:$A$675,B16,Compta!$B$2:$B$675,"6231",Compta!$C$2:$C$675,A16)</f>
        <v/>
      </c>
      <c r="AA16">
        <f>SUMIFS(Compta!$F$2:$F$675,Compta!$A$2:$A$675,B16,Compta!$B$2:$B$675,"6413",Compta!$C$2:$C$675,A16)+SUMIFS(Compta!$F$2:$F$675,Compta!$A$2:$A$675,B16,Compta!$B$2:$B$675,"645",Compta!$C$2:$C$675,A16)+SUMIFS(Compta!$F$2:$F$675,Compta!$A$2:$A$675,B16,Compta!$B$2:$B$675,"613",Compta!$C$2:$C$675,A16)+SUMIFS(Compta!$F$2:$F$675,Compta!$A$2:$A$675,B16,Compta!$B$2:$B$675,"615",Compta!$C$2:$C$675,A16)+SUMIFS(Compta!$F$2:$F$675,Compta!$A$2:$A$675,B16,Compta!$B$2:$B$675,"616",Compta!$C$2:$C$675,A16)+SUMIFS(Compta!$F$2:$F$675,Compta!$A$2:$A$675,B16,Compta!$B$2:$B$675,"625",Compta!$C$2:$C$675,A16)+SUMIFS(Compta!$F$2:$F$675,Compta!$A$2:$A$675,B16,Compta!$B$2:$B$675,"63511",Compta!$C$2:$C$675,A16)</f>
        <v/>
      </c>
      <c r="AB16">
        <f>SUMIFS(Compta!$F$2:$F$675,Compta!$A$2:$A$675,"GRP",Compta!$B$2:$B$675,"6414",Compta!$C$2:$C$675,A16)+SUMIFS(Compta!$F$2:$F$675,Compta!$A$2:$A$675,"GRP",Compta!$B$2:$B$675,"6226",Compta!$C$2:$C$675,A16)+SUMIFS(Compta!$F$2:$F$675,Compta!$A$2:$A$675,"GRP",Compta!$B$2:$B$675,"6236",Compta!$C$2:$C$675,A16)+SUMIFS(Compta!$F$2:$F$675,Compta!$A$2:$A$675,"GRP",Compta!$B$2:$B$675,"626",Compta!$C$2:$C$675,A16)+SUMIFS(Compta!$F$2:$F$675,Compta!$A$2:$A$675,"GRP",Compta!$B$2:$B$675,"6281",Compta!$C$2:$C$675,A16)+SUMIFS(Compta!$F$2:$F$675,Compta!$A$2:$A$675,"GRP",Compta!$B$2:$B$675,"6331",Compta!$C$2:$C$675,A16)+SUMIFS(Compta!$F$2:$F$675,Compta!$A$2:$A$675,"GRP",Compta!$B$2:$B$675,"6333",Compta!$C$2:$C$675,A16)</f>
        <v/>
      </c>
      <c r="AC16">
        <f>IF(Pilotage!$E$10="Chiffre d'affaires",I16,IF(Pilotage!$E$10="Effectif",G16,H16))</f>
        <v/>
      </c>
      <c r="AD16">
        <f>IF(Pilotage!$E$10="Chiffre d'affaires",N16,IF(Pilotage!$E$10="Effectif",L16,M16))</f>
        <v/>
      </c>
      <c r="AE16">
        <f>IF(Pilotage!$E$8="Chiffre d'affaires",N16,IF(Pilotage!$E$8="Effectif",L16,M16))</f>
        <v/>
      </c>
      <c r="AF16">
        <f>IF(Pilotage!$E$8="Chiffre d'affaires",S16,IF(Pilotage!$E$8="Effectif",Q16,R16))</f>
        <v/>
      </c>
      <c r="AG16">
        <f>IF(Pilotage!$E$9="Chiffre d'affaires",S16,IF(Pilotage!$E$9="Effectif",Q16,R16))</f>
        <v/>
      </c>
      <c r="AH16">
        <f>IF(Pilotage!$E$9="Chiffre d'affaires",V16,IF(Pilotage!$E$9="Effectif",T16,U16))</f>
        <v/>
      </c>
      <c r="AI16">
        <f>W16*IFERROR(K16/O16,0)</f>
        <v/>
      </c>
      <c r="AJ16">
        <f>X16*IFERROR(K16/O16,0)</f>
        <v/>
      </c>
      <c r="AK16">
        <f>Y16*IFERROR(G16/L16,0)+Z16*IFERROR(J16/P16,0)</f>
        <v/>
      </c>
      <c r="AL16">
        <f>AA16*IFERROR(AC16/AD16,0)</f>
        <v/>
      </c>
      <c r="AM16">
        <f>AB16*IFERROR(AG16/AH16,0)*IFERROR(AE16/AF16,0)*IFERROR(AC16/AD16,0)</f>
        <v/>
      </c>
      <c r="AN16">
        <f>I16-(AI16+AJ16+AK16+AL16+AM16)</f>
        <v/>
      </c>
    </row>
    <row r="17">
      <c r="A17">
        <f>Allocation!C17</f>
        <v/>
      </c>
      <c r="B17">
        <f>Allocation!D17</f>
        <v/>
      </c>
      <c r="C17">
        <f>Allocation!E17</f>
        <v/>
      </c>
      <c r="D17">
        <f>Allocation!F17</f>
        <v/>
      </c>
      <c r="E17">
        <f>Allocation!G17</f>
        <v/>
      </c>
      <c r="F17">
        <f>Allocation!H17</f>
        <v/>
      </c>
      <c r="G17">
        <f>Allocation!I17</f>
        <v/>
      </c>
      <c r="H17">
        <f>Allocation!J17</f>
        <v/>
      </c>
      <c r="I17">
        <f>Allocation!K17</f>
        <v/>
      </c>
      <c r="J17">
        <f>SUMIFS(Socle!$K$2:$K$175,Socle!$C$2:$C$175,B17,Socle!$D$2:$D$175,D17,Socle!$E$2:$E$175,E17,Socle!$F$2:$F$175,F17,Socle!$G$2:$G$175,A17)</f>
        <v/>
      </c>
      <c r="K17">
        <f>H17*IF(AND(LEFT(D17,3)="BAC",F17="INIT"),600,IF(LEFT(D17,3)="BAC",480,IF(AND(LEFT(D17,3)="MAS",F17="INIT"),520,IF(LEFT(D17,3)="MAS",420,IF(F17="INIT",1000,700)))))</f>
        <v/>
      </c>
      <c r="L17">
        <f>SUMIFS(Allocation!$I$2:$I$175,Allocation!$C$2:$C$175,A17,Allocation!$D$2:$D$175,B17)</f>
        <v/>
      </c>
      <c r="M17">
        <f>SUMIFS(Allocation!$J$2:$J$175,Allocation!$C$2:$C$175,A17,Allocation!$D$2:$D$175,B17)</f>
        <v/>
      </c>
      <c r="N17">
        <f>SUMIFS(Allocation!$K$2:$K$175,Allocation!$C$2:$C$175,A17,Allocation!$D$2:$D$175,B17)</f>
        <v/>
      </c>
      <c r="O17">
        <f>SUMIFS($K$2:$K$175,$A$2:$A$175,A17,$B$2:$B$175,B17)</f>
        <v/>
      </c>
      <c r="P17">
        <f>SUMIFS($J$2:$J$175,$A$2:$A$175,A17,$B$2:$B$175,B17)</f>
        <v/>
      </c>
      <c r="Q17">
        <f>SUMIFS(Allocation!$I$2:$I$175,Allocation!$C$2:$C$175,A17,Allocation!$E$2:$E$175,C17)</f>
        <v/>
      </c>
      <c r="R17">
        <f>SUMIFS(Allocation!$J$2:$J$175,Allocation!$C$2:$C$175,A17,Allocation!$E$2:$E$175,C17)</f>
        <v/>
      </c>
      <c r="S17">
        <f>SUMIFS(Allocation!$K$2:$K$175,Allocation!$C$2:$C$175,A17,Allocation!$E$2:$E$175,C17)</f>
        <v/>
      </c>
      <c r="T17">
        <f>SUMIFS(Allocation!$I$2:$I$175,Allocation!$C$2:$C$175,A17)</f>
        <v/>
      </c>
      <c r="U17">
        <f>SUMIFS(Allocation!$J$2:$J$175,Allocation!$C$2:$C$175,A17)</f>
        <v/>
      </c>
      <c r="V17">
        <f>SUMIFS(Allocation!$K$2:$K$175,Allocation!$C$2:$C$175,A17)</f>
        <v/>
      </c>
      <c r="W17">
        <f>SUMIFS(Compta!$F$2:$F$675,Compta!$A$2:$A$675,B17,Compta!$B$2:$B$675,"621",Compta!$C$2:$C$675,A17)</f>
        <v/>
      </c>
      <c r="X17">
        <f>SUMIFS(Compta!$F$2:$F$675,Compta!$A$2:$A$675,B17,Compta!$B$2:$B$675,"6411",Compta!$C$2:$C$675,A17)</f>
        <v/>
      </c>
      <c r="Y17">
        <f>SUMIFS(Compta!$F$2:$F$675,Compta!$A$2:$A$675,B17,Compta!$B$2:$B$675,"604",Compta!$C$2:$C$675,A17)+SUMIFS(Compta!$F$2:$F$675,Compta!$A$2:$A$675,B17,Compta!$B$2:$B$675,"6063",Compta!$C$2:$C$675,A17)</f>
        <v/>
      </c>
      <c r="Z17">
        <f>SUMIFS(Compta!$F$2:$F$675,Compta!$A$2:$A$675,B17,Compta!$B$2:$B$675,"6231",Compta!$C$2:$C$675,A17)</f>
        <v/>
      </c>
      <c r="AA17">
        <f>SUMIFS(Compta!$F$2:$F$675,Compta!$A$2:$A$675,B17,Compta!$B$2:$B$675,"6413",Compta!$C$2:$C$675,A17)+SUMIFS(Compta!$F$2:$F$675,Compta!$A$2:$A$675,B17,Compta!$B$2:$B$675,"645",Compta!$C$2:$C$675,A17)+SUMIFS(Compta!$F$2:$F$675,Compta!$A$2:$A$675,B17,Compta!$B$2:$B$675,"613",Compta!$C$2:$C$675,A17)+SUMIFS(Compta!$F$2:$F$675,Compta!$A$2:$A$675,B17,Compta!$B$2:$B$675,"615",Compta!$C$2:$C$675,A17)+SUMIFS(Compta!$F$2:$F$675,Compta!$A$2:$A$675,B17,Compta!$B$2:$B$675,"616",Compta!$C$2:$C$675,A17)+SUMIFS(Compta!$F$2:$F$675,Compta!$A$2:$A$675,B17,Compta!$B$2:$B$675,"625",Compta!$C$2:$C$675,A17)+SUMIFS(Compta!$F$2:$F$675,Compta!$A$2:$A$675,B17,Compta!$B$2:$B$675,"63511",Compta!$C$2:$C$675,A17)</f>
        <v/>
      </c>
      <c r="AB17">
        <f>SUMIFS(Compta!$F$2:$F$675,Compta!$A$2:$A$675,"GRP",Compta!$B$2:$B$675,"6414",Compta!$C$2:$C$675,A17)+SUMIFS(Compta!$F$2:$F$675,Compta!$A$2:$A$675,"GRP",Compta!$B$2:$B$675,"6226",Compta!$C$2:$C$675,A17)+SUMIFS(Compta!$F$2:$F$675,Compta!$A$2:$A$675,"GRP",Compta!$B$2:$B$675,"6236",Compta!$C$2:$C$675,A17)+SUMIFS(Compta!$F$2:$F$675,Compta!$A$2:$A$675,"GRP",Compta!$B$2:$B$675,"626",Compta!$C$2:$C$675,A17)+SUMIFS(Compta!$F$2:$F$675,Compta!$A$2:$A$675,"GRP",Compta!$B$2:$B$675,"6281",Compta!$C$2:$C$675,A17)+SUMIFS(Compta!$F$2:$F$675,Compta!$A$2:$A$675,"GRP",Compta!$B$2:$B$675,"6331",Compta!$C$2:$C$675,A17)+SUMIFS(Compta!$F$2:$F$675,Compta!$A$2:$A$675,"GRP",Compta!$B$2:$B$675,"6333",Compta!$C$2:$C$675,A17)</f>
        <v/>
      </c>
      <c r="AC17">
        <f>IF(Pilotage!$E$10="Chiffre d'affaires",I17,IF(Pilotage!$E$10="Effectif",G17,H17))</f>
        <v/>
      </c>
      <c r="AD17">
        <f>IF(Pilotage!$E$10="Chiffre d'affaires",N17,IF(Pilotage!$E$10="Effectif",L17,M17))</f>
        <v/>
      </c>
      <c r="AE17">
        <f>IF(Pilotage!$E$8="Chiffre d'affaires",N17,IF(Pilotage!$E$8="Effectif",L17,M17))</f>
        <v/>
      </c>
      <c r="AF17">
        <f>IF(Pilotage!$E$8="Chiffre d'affaires",S17,IF(Pilotage!$E$8="Effectif",Q17,R17))</f>
        <v/>
      </c>
      <c r="AG17">
        <f>IF(Pilotage!$E$9="Chiffre d'affaires",S17,IF(Pilotage!$E$9="Effectif",Q17,R17))</f>
        <v/>
      </c>
      <c r="AH17">
        <f>IF(Pilotage!$E$9="Chiffre d'affaires",V17,IF(Pilotage!$E$9="Effectif",T17,U17))</f>
        <v/>
      </c>
      <c r="AI17">
        <f>W17*IFERROR(K17/O17,0)</f>
        <v/>
      </c>
      <c r="AJ17">
        <f>X17*IFERROR(K17/O17,0)</f>
        <v/>
      </c>
      <c r="AK17">
        <f>Y17*IFERROR(G17/L17,0)+Z17*IFERROR(J17/P17,0)</f>
        <v/>
      </c>
      <c r="AL17">
        <f>AA17*IFERROR(AC17/AD17,0)</f>
        <v/>
      </c>
      <c r="AM17">
        <f>AB17*IFERROR(AG17/AH17,0)*IFERROR(AE17/AF17,0)*IFERROR(AC17/AD17,0)</f>
        <v/>
      </c>
      <c r="AN17">
        <f>I17-(AI17+AJ17+AK17+AL17+AM17)</f>
        <v/>
      </c>
    </row>
    <row r="18">
      <c r="A18">
        <f>Allocation!C18</f>
        <v/>
      </c>
      <c r="B18">
        <f>Allocation!D18</f>
        <v/>
      </c>
      <c r="C18">
        <f>Allocation!E18</f>
        <v/>
      </c>
      <c r="D18">
        <f>Allocation!F18</f>
        <v/>
      </c>
      <c r="E18">
        <f>Allocation!G18</f>
        <v/>
      </c>
      <c r="F18">
        <f>Allocation!H18</f>
        <v/>
      </c>
      <c r="G18">
        <f>Allocation!I18</f>
        <v/>
      </c>
      <c r="H18">
        <f>Allocation!J18</f>
        <v/>
      </c>
      <c r="I18">
        <f>Allocation!K18</f>
        <v/>
      </c>
      <c r="J18">
        <f>SUMIFS(Socle!$K$2:$K$175,Socle!$C$2:$C$175,B18,Socle!$D$2:$D$175,D18,Socle!$E$2:$E$175,E18,Socle!$F$2:$F$175,F18,Socle!$G$2:$G$175,A18)</f>
        <v/>
      </c>
      <c r="K18">
        <f>H18*IF(AND(LEFT(D18,3)="BAC",F18="INIT"),600,IF(LEFT(D18,3)="BAC",480,IF(AND(LEFT(D18,3)="MAS",F18="INIT"),520,IF(LEFT(D18,3)="MAS",420,IF(F18="INIT",1000,700)))))</f>
        <v/>
      </c>
      <c r="L18">
        <f>SUMIFS(Allocation!$I$2:$I$175,Allocation!$C$2:$C$175,A18,Allocation!$D$2:$D$175,B18)</f>
        <v/>
      </c>
      <c r="M18">
        <f>SUMIFS(Allocation!$J$2:$J$175,Allocation!$C$2:$C$175,A18,Allocation!$D$2:$D$175,B18)</f>
        <v/>
      </c>
      <c r="N18">
        <f>SUMIFS(Allocation!$K$2:$K$175,Allocation!$C$2:$C$175,A18,Allocation!$D$2:$D$175,B18)</f>
        <v/>
      </c>
      <c r="O18">
        <f>SUMIFS($K$2:$K$175,$A$2:$A$175,A18,$B$2:$B$175,B18)</f>
        <v/>
      </c>
      <c r="P18">
        <f>SUMIFS($J$2:$J$175,$A$2:$A$175,A18,$B$2:$B$175,B18)</f>
        <v/>
      </c>
      <c r="Q18">
        <f>SUMIFS(Allocation!$I$2:$I$175,Allocation!$C$2:$C$175,A18,Allocation!$E$2:$E$175,C18)</f>
        <v/>
      </c>
      <c r="R18">
        <f>SUMIFS(Allocation!$J$2:$J$175,Allocation!$C$2:$C$175,A18,Allocation!$E$2:$E$175,C18)</f>
        <v/>
      </c>
      <c r="S18">
        <f>SUMIFS(Allocation!$K$2:$K$175,Allocation!$C$2:$C$175,A18,Allocation!$E$2:$E$175,C18)</f>
        <v/>
      </c>
      <c r="T18">
        <f>SUMIFS(Allocation!$I$2:$I$175,Allocation!$C$2:$C$175,A18)</f>
        <v/>
      </c>
      <c r="U18">
        <f>SUMIFS(Allocation!$J$2:$J$175,Allocation!$C$2:$C$175,A18)</f>
        <v/>
      </c>
      <c r="V18">
        <f>SUMIFS(Allocation!$K$2:$K$175,Allocation!$C$2:$C$175,A18)</f>
        <v/>
      </c>
      <c r="W18">
        <f>SUMIFS(Compta!$F$2:$F$675,Compta!$A$2:$A$675,B18,Compta!$B$2:$B$675,"621",Compta!$C$2:$C$675,A18)</f>
        <v/>
      </c>
      <c r="X18">
        <f>SUMIFS(Compta!$F$2:$F$675,Compta!$A$2:$A$675,B18,Compta!$B$2:$B$675,"6411",Compta!$C$2:$C$675,A18)</f>
        <v/>
      </c>
      <c r="Y18">
        <f>SUMIFS(Compta!$F$2:$F$675,Compta!$A$2:$A$675,B18,Compta!$B$2:$B$675,"604",Compta!$C$2:$C$675,A18)+SUMIFS(Compta!$F$2:$F$675,Compta!$A$2:$A$675,B18,Compta!$B$2:$B$675,"6063",Compta!$C$2:$C$675,A18)</f>
        <v/>
      </c>
      <c r="Z18">
        <f>SUMIFS(Compta!$F$2:$F$675,Compta!$A$2:$A$675,B18,Compta!$B$2:$B$675,"6231",Compta!$C$2:$C$675,A18)</f>
        <v/>
      </c>
      <c r="AA18">
        <f>SUMIFS(Compta!$F$2:$F$675,Compta!$A$2:$A$675,B18,Compta!$B$2:$B$675,"6413",Compta!$C$2:$C$675,A18)+SUMIFS(Compta!$F$2:$F$675,Compta!$A$2:$A$675,B18,Compta!$B$2:$B$675,"645",Compta!$C$2:$C$675,A18)+SUMIFS(Compta!$F$2:$F$675,Compta!$A$2:$A$675,B18,Compta!$B$2:$B$675,"613",Compta!$C$2:$C$675,A18)+SUMIFS(Compta!$F$2:$F$675,Compta!$A$2:$A$675,B18,Compta!$B$2:$B$675,"615",Compta!$C$2:$C$675,A18)+SUMIFS(Compta!$F$2:$F$675,Compta!$A$2:$A$675,B18,Compta!$B$2:$B$675,"616",Compta!$C$2:$C$675,A18)+SUMIFS(Compta!$F$2:$F$675,Compta!$A$2:$A$675,B18,Compta!$B$2:$B$675,"625",Compta!$C$2:$C$675,A18)+SUMIFS(Compta!$F$2:$F$675,Compta!$A$2:$A$675,B18,Compta!$B$2:$B$675,"63511",Compta!$C$2:$C$675,A18)</f>
        <v/>
      </c>
      <c r="AB18">
        <f>SUMIFS(Compta!$F$2:$F$675,Compta!$A$2:$A$675,"GRP",Compta!$B$2:$B$675,"6414",Compta!$C$2:$C$675,A18)+SUMIFS(Compta!$F$2:$F$675,Compta!$A$2:$A$675,"GRP",Compta!$B$2:$B$675,"6226",Compta!$C$2:$C$675,A18)+SUMIFS(Compta!$F$2:$F$675,Compta!$A$2:$A$675,"GRP",Compta!$B$2:$B$675,"6236",Compta!$C$2:$C$675,A18)+SUMIFS(Compta!$F$2:$F$675,Compta!$A$2:$A$675,"GRP",Compta!$B$2:$B$675,"626",Compta!$C$2:$C$675,A18)+SUMIFS(Compta!$F$2:$F$675,Compta!$A$2:$A$675,"GRP",Compta!$B$2:$B$675,"6281",Compta!$C$2:$C$675,A18)+SUMIFS(Compta!$F$2:$F$675,Compta!$A$2:$A$675,"GRP",Compta!$B$2:$B$675,"6331",Compta!$C$2:$C$675,A18)+SUMIFS(Compta!$F$2:$F$675,Compta!$A$2:$A$675,"GRP",Compta!$B$2:$B$675,"6333",Compta!$C$2:$C$675,A18)</f>
        <v/>
      </c>
      <c r="AC18">
        <f>IF(Pilotage!$E$10="Chiffre d'affaires",I18,IF(Pilotage!$E$10="Effectif",G18,H18))</f>
        <v/>
      </c>
      <c r="AD18">
        <f>IF(Pilotage!$E$10="Chiffre d'affaires",N18,IF(Pilotage!$E$10="Effectif",L18,M18))</f>
        <v/>
      </c>
      <c r="AE18">
        <f>IF(Pilotage!$E$8="Chiffre d'affaires",N18,IF(Pilotage!$E$8="Effectif",L18,M18))</f>
        <v/>
      </c>
      <c r="AF18">
        <f>IF(Pilotage!$E$8="Chiffre d'affaires",S18,IF(Pilotage!$E$8="Effectif",Q18,R18))</f>
        <v/>
      </c>
      <c r="AG18">
        <f>IF(Pilotage!$E$9="Chiffre d'affaires",S18,IF(Pilotage!$E$9="Effectif",Q18,R18))</f>
        <v/>
      </c>
      <c r="AH18">
        <f>IF(Pilotage!$E$9="Chiffre d'affaires",V18,IF(Pilotage!$E$9="Effectif",T18,U18))</f>
        <v/>
      </c>
      <c r="AI18">
        <f>W18*IFERROR(K18/O18,0)</f>
        <v/>
      </c>
      <c r="AJ18">
        <f>X18*IFERROR(K18/O18,0)</f>
        <v/>
      </c>
      <c r="AK18">
        <f>Y18*IFERROR(G18/L18,0)+Z18*IFERROR(J18/P18,0)</f>
        <v/>
      </c>
      <c r="AL18">
        <f>AA18*IFERROR(AC18/AD18,0)</f>
        <v/>
      </c>
      <c r="AM18">
        <f>AB18*IFERROR(AG18/AH18,0)*IFERROR(AE18/AF18,0)*IFERROR(AC18/AD18,0)</f>
        <v/>
      </c>
      <c r="AN18">
        <f>I18-(AI18+AJ18+AK18+AL18+AM18)</f>
        <v/>
      </c>
    </row>
    <row r="19">
      <c r="A19">
        <f>Allocation!C19</f>
        <v/>
      </c>
      <c r="B19">
        <f>Allocation!D19</f>
        <v/>
      </c>
      <c r="C19">
        <f>Allocation!E19</f>
        <v/>
      </c>
      <c r="D19">
        <f>Allocation!F19</f>
        <v/>
      </c>
      <c r="E19">
        <f>Allocation!G19</f>
        <v/>
      </c>
      <c r="F19">
        <f>Allocation!H19</f>
        <v/>
      </c>
      <c r="G19">
        <f>Allocation!I19</f>
        <v/>
      </c>
      <c r="H19">
        <f>Allocation!J19</f>
        <v/>
      </c>
      <c r="I19">
        <f>Allocation!K19</f>
        <v/>
      </c>
      <c r="J19">
        <f>SUMIFS(Socle!$K$2:$K$175,Socle!$C$2:$C$175,B19,Socle!$D$2:$D$175,D19,Socle!$E$2:$E$175,E19,Socle!$F$2:$F$175,F19,Socle!$G$2:$G$175,A19)</f>
        <v/>
      </c>
      <c r="K19">
        <f>H19*IF(AND(LEFT(D19,3)="BAC",F19="INIT"),600,IF(LEFT(D19,3)="BAC",480,IF(AND(LEFT(D19,3)="MAS",F19="INIT"),520,IF(LEFT(D19,3)="MAS",420,IF(F19="INIT",1000,700)))))</f>
        <v/>
      </c>
      <c r="L19">
        <f>SUMIFS(Allocation!$I$2:$I$175,Allocation!$C$2:$C$175,A19,Allocation!$D$2:$D$175,B19)</f>
        <v/>
      </c>
      <c r="M19">
        <f>SUMIFS(Allocation!$J$2:$J$175,Allocation!$C$2:$C$175,A19,Allocation!$D$2:$D$175,B19)</f>
        <v/>
      </c>
      <c r="N19">
        <f>SUMIFS(Allocation!$K$2:$K$175,Allocation!$C$2:$C$175,A19,Allocation!$D$2:$D$175,B19)</f>
        <v/>
      </c>
      <c r="O19">
        <f>SUMIFS($K$2:$K$175,$A$2:$A$175,A19,$B$2:$B$175,B19)</f>
        <v/>
      </c>
      <c r="P19">
        <f>SUMIFS($J$2:$J$175,$A$2:$A$175,A19,$B$2:$B$175,B19)</f>
        <v/>
      </c>
      <c r="Q19">
        <f>SUMIFS(Allocation!$I$2:$I$175,Allocation!$C$2:$C$175,A19,Allocation!$E$2:$E$175,C19)</f>
        <v/>
      </c>
      <c r="R19">
        <f>SUMIFS(Allocation!$J$2:$J$175,Allocation!$C$2:$C$175,A19,Allocation!$E$2:$E$175,C19)</f>
        <v/>
      </c>
      <c r="S19">
        <f>SUMIFS(Allocation!$K$2:$K$175,Allocation!$C$2:$C$175,A19,Allocation!$E$2:$E$175,C19)</f>
        <v/>
      </c>
      <c r="T19">
        <f>SUMIFS(Allocation!$I$2:$I$175,Allocation!$C$2:$C$175,A19)</f>
        <v/>
      </c>
      <c r="U19">
        <f>SUMIFS(Allocation!$J$2:$J$175,Allocation!$C$2:$C$175,A19)</f>
        <v/>
      </c>
      <c r="V19">
        <f>SUMIFS(Allocation!$K$2:$K$175,Allocation!$C$2:$C$175,A19)</f>
        <v/>
      </c>
      <c r="W19">
        <f>SUMIFS(Compta!$F$2:$F$675,Compta!$A$2:$A$675,B19,Compta!$B$2:$B$675,"621",Compta!$C$2:$C$675,A19)</f>
        <v/>
      </c>
      <c r="X19">
        <f>SUMIFS(Compta!$F$2:$F$675,Compta!$A$2:$A$675,B19,Compta!$B$2:$B$675,"6411",Compta!$C$2:$C$675,A19)</f>
        <v/>
      </c>
      <c r="Y19">
        <f>SUMIFS(Compta!$F$2:$F$675,Compta!$A$2:$A$675,B19,Compta!$B$2:$B$675,"604",Compta!$C$2:$C$675,A19)+SUMIFS(Compta!$F$2:$F$675,Compta!$A$2:$A$675,B19,Compta!$B$2:$B$675,"6063",Compta!$C$2:$C$675,A19)</f>
        <v/>
      </c>
      <c r="Z19">
        <f>SUMIFS(Compta!$F$2:$F$675,Compta!$A$2:$A$675,B19,Compta!$B$2:$B$675,"6231",Compta!$C$2:$C$675,A19)</f>
        <v/>
      </c>
      <c r="AA19">
        <f>SUMIFS(Compta!$F$2:$F$675,Compta!$A$2:$A$675,B19,Compta!$B$2:$B$675,"6413",Compta!$C$2:$C$675,A19)+SUMIFS(Compta!$F$2:$F$675,Compta!$A$2:$A$675,B19,Compta!$B$2:$B$675,"645",Compta!$C$2:$C$675,A19)+SUMIFS(Compta!$F$2:$F$675,Compta!$A$2:$A$675,B19,Compta!$B$2:$B$675,"613",Compta!$C$2:$C$675,A19)+SUMIFS(Compta!$F$2:$F$675,Compta!$A$2:$A$675,B19,Compta!$B$2:$B$675,"615",Compta!$C$2:$C$675,A19)+SUMIFS(Compta!$F$2:$F$675,Compta!$A$2:$A$675,B19,Compta!$B$2:$B$675,"616",Compta!$C$2:$C$675,A19)+SUMIFS(Compta!$F$2:$F$675,Compta!$A$2:$A$675,B19,Compta!$B$2:$B$675,"625",Compta!$C$2:$C$675,A19)+SUMIFS(Compta!$F$2:$F$675,Compta!$A$2:$A$675,B19,Compta!$B$2:$B$675,"63511",Compta!$C$2:$C$675,A19)</f>
        <v/>
      </c>
      <c r="AB19">
        <f>SUMIFS(Compta!$F$2:$F$675,Compta!$A$2:$A$675,"GRP",Compta!$B$2:$B$675,"6414",Compta!$C$2:$C$675,A19)+SUMIFS(Compta!$F$2:$F$675,Compta!$A$2:$A$675,"GRP",Compta!$B$2:$B$675,"6226",Compta!$C$2:$C$675,A19)+SUMIFS(Compta!$F$2:$F$675,Compta!$A$2:$A$675,"GRP",Compta!$B$2:$B$675,"6236",Compta!$C$2:$C$675,A19)+SUMIFS(Compta!$F$2:$F$675,Compta!$A$2:$A$675,"GRP",Compta!$B$2:$B$675,"626",Compta!$C$2:$C$675,A19)+SUMIFS(Compta!$F$2:$F$675,Compta!$A$2:$A$675,"GRP",Compta!$B$2:$B$675,"6281",Compta!$C$2:$C$675,A19)+SUMIFS(Compta!$F$2:$F$675,Compta!$A$2:$A$675,"GRP",Compta!$B$2:$B$675,"6331",Compta!$C$2:$C$675,A19)+SUMIFS(Compta!$F$2:$F$675,Compta!$A$2:$A$675,"GRP",Compta!$B$2:$B$675,"6333",Compta!$C$2:$C$675,A19)</f>
        <v/>
      </c>
      <c r="AC19">
        <f>IF(Pilotage!$E$10="Chiffre d'affaires",I19,IF(Pilotage!$E$10="Effectif",G19,H19))</f>
        <v/>
      </c>
      <c r="AD19">
        <f>IF(Pilotage!$E$10="Chiffre d'affaires",N19,IF(Pilotage!$E$10="Effectif",L19,M19))</f>
        <v/>
      </c>
      <c r="AE19">
        <f>IF(Pilotage!$E$8="Chiffre d'affaires",N19,IF(Pilotage!$E$8="Effectif",L19,M19))</f>
        <v/>
      </c>
      <c r="AF19">
        <f>IF(Pilotage!$E$8="Chiffre d'affaires",S19,IF(Pilotage!$E$8="Effectif",Q19,R19))</f>
        <v/>
      </c>
      <c r="AG19">
        <f>IF(Pilotage!$E$9="Chiffre d'affaires",S19,IF(Pilotage!$E$9="Effectif",Q19,R19))</f>
        <v/>
      </c>
      <c r="AH19">
        <f>IF(Pilotage!$E$9="Chiffre d'affaires",V19,IF(Pilotage!$E$9="Effectif",T19,U19))</f>
        <v/>
      </c>
      <c r="AI19">
        <f>W19*IFERROR(K19/O19,0)</f>
        <v/>
      </c>
      <c r="AJ19">
        <f>X19*IFERROR(K19/O19,0)</f>
        <v/>
      </c>
      <c r="AK19">
        <f>Y19*IFERROR(G19/L19,0)+Z19*IFERROR(J19/P19,0)</f>
        <v/>
      </c>
      <c r="AL19">
        <f>AA19*IFERROR(AC19/AD19,0)</f>
        <v/>
      </c>
      <c r="AM19">
        <f>AB19*IFERROR(AG19/AH19,0)*IFERROR(AE19/AF19,0)*IFERROR(AC19/AD19,0)</f>
        <v/>
      </c>
      <c r="AN19">
        <f>I19-(AI19+AJ19+AK19+AL19+AM19)</f>
        <v/>
      </c>
    </row>
    <row r="20">
      <c r="A20">
        <f>Allocation!C20</f>
        <v/>
      </c>
      <c r="B20">
        <f>Allocation!D20</f>
        <v/>
      </c>
      <c r="C20">
        <f>Allocation!E20</f>
        <v/>
      </c>
      <c r="D20">
        <f>Allocation!F20</f>
        <v/>
      </c>
      <c r="E20">
        <f>Allocation!G20</f>
        <v/>
      </c>
      <c r="F20">
        <f>Allocation!H20</f>
        <v/>
      </c>
      <c r="G20">
        <f>Allocation!I20</f>
        <v/>
      </c>
      <c r="H20">
        <f>Allocation!J20</f>
        <v/>
      </c>
      <c r="I20">
        <f>Allocation!K20</f>
        <v/>
      </c>
      <c r="J20">
        <f>SUMIFS(Socle!$K$2:$K$175,Socle!$C$2:$C$175,B20,Socle!$D$2:$D$175,D20,Socle!$E$2:$E$175,E20,Socle!$F$2:$F$175,F20,Socle!$G$2:$G$175,A20)</f>
        <v/>
      </c>
      <c r="K20">
        <f>H20*IF(AND(LEFT(D20,3)="BAC",F20="INIT"),600,IF(LEFT(D20,3)="BAC",480,IF(AND(LEFT(D20,3)="MAS",F20="INIT"),520,IF(LEFT(D20,3)="MAS",420,IF(F20="INIT",1000,700)))))</f>
        <v/>
      </c>
      <c r="L20">
        <f>SUMIFS(Allocation!$I$2:$I$175,Allocation!$C$2:$C$175,A20,Allocation!$D$2:$D$175,B20)</f>
        <v/>
      </c>
      <c r="M20">
        <f>SUMIFS(Allocation!$J$2:$J$175,Allocation!$C$2:$C$175,A20,Allocation!$D$2:$D$175,B20)</f>
        <v/>
      </c>
      <c r="N20">
        <f>SUMIFS(Allocation!$K$2:$K$175,Allocation!$C$2:$C$175,A20,Allocation!$D$2:$D$175,B20)</f>
        <v/>
      </c>
      <c r="O20">
        <f>SUMIFS($K$2:$K$175,$A$2:$A$175,A20,$B$2:$B$175,B20)</f>
        <v/>
      </c>
      <c r="P20">
        <f>SUMIFS($J$2:$J$175,$A$2:$A$175,A20,$B$2:$B$175,B20)</f>
        <v/>
      </c>
      <c r="Q20">
        <f>SUMIFS(Allocation!$I$2:$I$175,Allocation!$C$2:$C$175,A20,Allocation!$E$2:$E$175,C20)</f>
        <v/>
      </c>
      <c r="R20">
        <f>SUMIFS(Allocation!$J$2:$J$175,Allocation!$C$2:$C$175,A20,Allocation!$E$2:$E$175,C20)</f>
        <v/>
      </c>
      <c r="S20">
        <f>SUMIFS(Allocation!$K$2:$K$175,Allocation!$C$2:$C$175,A20,Allocation!$E$2:$E$175,C20)</f>
        <v/>
      </c>
      <c r="T20">
        <f>SUMIFS(Allocation!$I$2:$I$175,Allocation!$C$2:$C$175,A20)</f>
        <v/>
      </c>
      <c r="U20">
        <f>SUMIFS(Allocation!$J$2:$J$175,Allocation!$C$2:$C$175,A20)</f>
        <v/>
      </c>
      <c r="V20">
        <f>SUMIFS(Allocation!$K$2:$K$175,Allocation!$C$2:$C$175,A20)</f>
        <v/>
      </c>
      <c r="W20">
        <f>SUMIFS(Compta!$F$2:$F$675,Compta!$A$2:$A$675,B20,Compta!$B$2:$B$675,"621",Compta!$C$2:$C$675,A20)</f>
        <v/>
      </c>
      <c r="X20">
        <f>SUMIFS(Compta!$F$2:$F$675,Compta!$A$2:$A$675,B20,Compta!$B$2:$B$675,"6411",Compta!$C$2:$C$675,A20)</f>
        <v/>
      </c>
      <c r="Y20">
        <f>SUMIFS(Compta!$F$2:$F$675,Compta!$A$2:$A$675,B20,Compta!$B$2:$B$675,"604",Compta!$C$2:$C$675,A20)+SUMIFS(Compta!$F$2:$F$675,Compta!$A$2:$A$675,B20,Compta!$B$2:$B$675,"6063",Compta!$C$2:$C$675,A20)</f>
        <v/>
      </c>
      <c r="Z20">
        <f>SUMIFS(Compta!$F$2:$F$675,Compta!$A$2:$A$675,B20,Compta!$B$2:$B$675,"6231",Compta!$C$2:$C$675,A20)</f>
        <v/>
      </c>
      <c r="AA20">
        <f>SUMIFS(Compta!$F$2:$F$675,Compta!$A$2:$A$675,B20,Compta!$B$2:$B$675,"6413",Compta!$C$2:$C$675,A20)+SUMIFS(Compta!$F$2:$F$675,Compta!$A$2:$A$675,B20,Compta!$B$2:$B$675,"645",Compta!$C$2:$C$675,A20)+SUMIFS(Compta!$F$2:$F$675,Compta!$A$2:$A$675,B20,Compta!$B$2:$B$675,"613",Compta!$C$2:$C$675,A20)+SUMIFS(Compta!$F$2:$F$675,Compta!$A$2:$A$675,B20,Compta!$B$2:$B$675,"615",Compta!$C$2:$C$675,A20)+SUMIFS(Compta!$F$2:$F$675,Compta!$A$2:$A$675,B20,Compta!$B$2:$B$675,"616",Compta!$C$2:$C$675,A20)+SUMIFS(Compta!$F$2:$F$675,Compta!$A$2:$A$675,B20,Compta!$B$2:$B$675,"625",Compta!$C$2:$C$675,A20)+SUMIFS(Compta!$F$2:$F$675,Compta!$A$2:$A$675,B20,Compta!$B$2:$B$675,"63511",Compta!$C$2:$C$675,A20)</f>
        <v/>
      </c>
      <c r="AB20">
        <f>SUMIFS(Compta!$F$2:$F$675,Compta!$A$2:$A$675,"GRP",Compta!$B$2:$B$675,"6414",Compta!$C$2:$C$675,A20)+SUMIFS(Compta!$F$2:$F$675,Compta!$A$2:$A$675,"GRP",Compta!$B$2:$B$675,"6226",Compta!$C$2:$C$675,A20)+SUMIFS(Compta!$F$2:$F$675,Compta!$A$2:$A$675,"GRP",Compta!$B$2:$B$675,"6236",Compta!$C$2:$C$675,A20)+SUMIFS(Compta!$F$2:$F$675,Compta!$A$2:$A$675,"GRP",Compta!$B$2:$B$675,"626",Compta!$C$2:$C$675,A20)+SUMIFS(Compta!$F$2:$F$675,Compta!$A$2:$A$675,"GRP",Compta!$B$2:$B$675,"6281",Compta!$C$2:$C$675,A20)+SUMIFS(Compta!$F$2:$F$675,Compta!$A$2:$A$675,"GRP",Compta!$B$2:$B$675,"6331",Compta!$C$2:$C$675,A20)+SUMIFS(Compta!$F$2:$F$675,Compta!$A$2:$A$675,"GRP",Compta!$B$2:$B$675,"6333",Compta!$C$2:$C$675,A20)</f>
        <v/>
      </c>
      <c r="AC20">
        <f>IF(Pilotage!$E$10="Chiffre d'affaires",I20,IF(Pilotage!$E$10="Effectif",G20,H20))</f>
        <v/>
      </c>
      <c r="AD20">
        <f>IF(Pilotage!$E$10="Chiffre d'affaires",N20,IF(Pilotage!$E$10="Effectif",L20,M20))</f>
        <v/>
      </c>
      <c r="AE20">
        <f>IF(Pilotage!$E$8="Chiffre d'affaires",N20,IF(Pilotage!$E$8="Effectif",L20,M20))</f>
        <v/>
      </c>
      <c r="AF20">
        <f>IF(Pilotage!$E$8="Chiffre d'affaires",S20,IF(Pilotage!$E$8="Effectif",Q20,R20))</f>
        <v/>
      </c>
      <c r="AG20">
        <f>IF(Pilotage!$E$9="Chiffre d'affaires",S20,IF(Pilotage!$E$9="Effectif",Q20,R20))</f>
        <v/>
      </c>
      <c r="AH20">
        <f>IF(Pilotage!$E$9="Chiffre d'affaires",V20,IF(Pilotage!$E$9="Effectif",T20,U20))</f>
        <v/>
      </c>
      <c r="AI20">
        <f>W20*IFERROR(K20/O20,0)</f>
        <v/>
      </c>
      <c r="AJ20">
        <f>X20*IFERROR(K20/O20,0)</f>
        <v/>
      </c>
      <c r="AK20">
        <f>Y20*IFERROR(G20/L20,0)+Z20*IFERROR(J20/P20,0)</f>
        <v/>
      </c>
      <c r="AL20">
        <f>AA20*IFERROR(AC20/AD20,0)</f>
        <v/>
      </c>
      <c r="AM20">
        <f>AB20*IFERROR(AG20/AH20,0)*IFERROR(AE20/AF20,0)*IFERROR(AC20/AD20,0)</f>
        <v/>
      </c>
      <c r="AN20">
        <f>I20-(AI20+AJ20+AK20+AL20+AM20)</f>
        <v/>
      </c>
    </row>
    <row r="21">
      <c r="A21">
        <f>Allocation!C21</f>
        <v/>
      </c>
      <c r="B21">
        <f>Allocation!D21</f>
        <v/>
      </c>
      <c r="C21">
        <f>Allocation!E21</f>
        <v/>
      </c>
      <c r="D21">
        <f>Allocation!F21</f>
        <v/>
      </c>
      <c r="E21">
        <f>Allocation!G21</f>
        <v/>
      </c>
      <c r="F21">
        <f>Allocation!H21</f>
        <v/>
      </c>
      <c r="G21">
        <f>Allocation!I21</f>
        <v/>
      </c>
      <c r="H21">
        <f>Allocation!J21</f>
        <v/>
      </c>
      <c r="I21">
        <f>Allocation!K21</f>
        <v/>
      </c>
      <c r="J21">
        <f>SUMIFS(Socle!$K$2:$K$175,Socle!$C$2:$C$175,B21,Socle!$D$2:$D$175,D21,Socle!$E$2:$E$175,E21,Socle!$F$2:$F$175,F21,Socle!$G$2:$G$175,A21)</f>
        <v/>
      </c>
      <c r="K21">
        <f>H21*IF(AND(LEFT(D21,3)="BAC",F21="INIT"),600,IF(LEFT(D21,3)="BAC",480,IF(AND(LEFT(D21,3)="MAS",F21="INIT"),520,IF(LEFT(D21,3)="MAS",420,IF(F21="INIT",1000,700)))))</f>
        <v/>
      </c>
      <c r="L21">
        <f>SUMIFS(Allocation!$I$2:$I$175,Allocation!$C$2:$C$175,A21,Allocation!$D$2:$D$175,B21)</f>
        <v/>
      </c>
      <c r="M21">
        <f>SUMIFS(Allocation!$J$2:$J$175,Allocation!$C$2:$C$175,A21,Allocation!$D$2:$D$175,B21)</f>
        <v/>
      </c>
      <c r="N21">
        <f>SUMIFS(Allocation!$K$2:$K$175,Allocation!$C$2:$C$175,A21,Allocation!$D$2:$D$175,B21)</f>
        <v/>
      </c>
      <c r="O21">
        <f>SUMIFS($K$2:$K$175,$A$2:$A$175,A21,$B$2:$B$175,B21)</f>
        <v/>
      </c>
      <c r="P21">
        <f>SUMIFS($J$2:$J$175,$A$2:$A$175,A21,$B$2:$B$175,B21)</f>
        <v/>
      </c>
      <c r="Q21">
        <f>SUMIFS(Allocation!$I$2:$I$175,Allocation!$C$2:$C$175,A21,Allocation!$E$2:$E$175,C21)</f>
        <v/>
      </c>
      <c r="R21">
        <f>SUMIFS(Allocation!$J$2:$J$175,Allocation!$C$2:$C$175,A21,Allocation!$E$2:$E$175,C21)</f>
        <v/>
      </c>
      <c r="S21">
        <f>SUMIFS(Allocation!$K$2:$K$175,Allocation!$C$2:$C$175,A21,Allocation!$E$2:$E$175,C21)</f>
        <v/>
      </c>
      <c r="T21">
        <f>SUMIFS(Allocation!$I$2:$I$175,Allocation!$C$2:$C$175,A21)</f>
        <v/>
      </c>
      <c r="U21">
        <f>SUMIFS(Allocation!$J$2:$J$175,Allocation!$C$2:$C$175,A21)</f>
        <v/>
      </c>
      <c r="V21">
        <f>SUMIFS(Allocation!$K$2:$K$175,Allocation!$C$2:$C$175,A21)</f>
        <v/>
      </c>
      <c r="W21">
        <f>SUMIFS(Compta!$F$2:$F$675,Compta!$A$2:$A$675,B21,Compta!$B$2:$B$675,"621",Compta!$C$2:$C$675,A21)</f>
        <v/>
      </c>
      <c r="X21">
        <f>SUMIFS(Compta!$F$2:$F$675,Compta!$A$2:$A$675,B21,Compta!$B$2:$B$675,"6411",Compta!$C$2:$C$675,A21)</f>
        <v/>
      </c>
      <c r="Y21">
        <f>SUMIFS(Compta!$F$2:$F$675,Compta!$A$2:$A$675,B21,Compta!$B$2:$B$675,"604",Compta!$C$2:$C$675,A21)+SUMIFS(Compta!$F$2:$F$675,Compta!$A$2:$A$675,B21,Compta!$B$2:$B$675,"6063",Compta!$C$2:$C$675,A21)</f>
        <v/>
      </c>
      <c r="Z21">
        <f>SUMIFS(Compta!$F$2:$F$675,Compta!$A$2:$A$675,B21,Compta!$B$2:$B$675,"6231",Compta!$C$2:$C$675,A21)</f>
        <v/>
      </c>
      <c r="AA21">
        <f>SUMIFS(Compta!$F$2:$F$675,Compta!$A$2:$A$675,B21,Compta!$B$2:$B$675,"6413",Compta!$C$2:$C$675,A21)+SUMIFS(Compta!$F$2:$F$675,Compta!$A$2:$A$675,B21,Compta!$B$2:$B$675,"645",Compta!$C$2:$C$675,A21)+SUMIFS(Compta!$F$2:$F$675,Compta!$A$2:$A$675,B21,Compta!$B$2:$B$675,"613",Compta!$C$2:$C$675,A21)+SUMIFS(Compta!$F$2:$F$675,Compta!$A$2:$A$675,B21,Compta!$B$2:$B$675,"615",Compta!$C$2:$C$675,A21)+SUMIFS(Compta!$F$2:$F$675,Compta!$A$2:$A$675,B21,Compta!$B$2:$B$675,"616",Compta!$C$2:$C$675,A21)+SUMIFS(Compta!$F$2:$F$675,Compta!$A$2:$A$675,B21,Compta!$B$2:$B$675,"625",Compta!$C$2:$C$675,A21)+SUMIFS(Compta!$F$2:$F$675,Compta!$A$2:$A$675,B21,Compta!$B$2:$B$675,"63511",Compta!$C$2:$C$675,A21)</f>
        <v/>
      </c>
      <c r="AB21">
        <f>SUMIFS(Compta!$F$2:$F$675,Compta!$A$2:$A$675,"GRP",Compta!$B$2:$B$675,"6414",Compta!$C$2:$C$675,A21)+SUMIFS(Compta!$F$2:$F$675,Compta!$A$2:$A$675,"GRP",Compta!$B$2:$B$675,"6226",Compta!$C$2:$C$675,A21)+SUMIFS(Compta!$F$2:$F$675,Compta!$A$2:$A$675,"GRP",Compta!$B$2:$B$675,"6236",Compta!$C$2:$C$675,A21)+SUMIFS(Compta!$F$2:$F$675,Compta!$A$2:$A$675,"GRP",Compta!$B$2:$B$675,"626",Compta!$C$2:$C$675,A21)+SUMIFS(Compta!$F$2:$F$675,Compta!$A$2:$A$675,"GRP",Compta!$B$2:$B$675,"6281",Compta!$C$2:$C$675,A21)+SUMIFS(Compta!$F$2:$F$675,Compta!$A$2:$A$675,"GRP",Compta!$B$2:$B$675,"6331",Compta!$C$2:$C$675,A21)+SUMIFS(Compta!$F$2:$F$675,Compta!$A$2:$A$675,"GRP",Compta!$B$2:$B$675,"6333",Compta!$C$2:$C$675,A21)</f>
        <v/>
      </c>
      <c r="AC21">
        <f>IF(Pilotage!$E$10="Chiffre d'affaires",I21,IF(Pilotage!$E$10="Effectif",G21,H21))</f>
        <v/>
      </c>
      <c r="AD21">
        <f>IF(Pilotage!$E$10="Chiffre d'affaires",N21,IF(Pilotage!$E$10="Effectif",L21,M21))</f>
        <v/>
      </c>
      <c r="AE21">
        <f>IF(Pilotage!$E$8="Chiffre d'affaires",N21,IF(Pilotage!$E$8="Effectif",L21,M21))</f>
        <v/>
      </c>
      <c r="AF21">
        <f>IF(Pilotage!$E$8="Chiffre d'affaires",S21,IF(Pilotage!$E$8="Effectif",Q21,R21))</f>
        <v/>
      </c>
      <c r="AG21">
        <f>IF(Pilotage!$E$9="Chiffre d'affaires",S21,IF(Pilotage!$E$9="Effectif",Q21,R21))</f>
        <v/>
      </c>
      <c r="AH21">
        <f>IF(Pilotage!$E$9="Chiffre d'affaires",V21,IF(Pilotage!$E$9="Effectif",T21,U21))</f>
        <v/>
      </c>
      <c r="AI21">
        <f>W21*IFERROR(K21/O21,0)</f>
        <v/>
      </c>
      <c r="AJ21">
        <f>X21*IFERROR(K21/O21,0)</f>
        <v/>
      </c>
      <c r="AK21">
        <f>Y21*IFERROR(G21/L21,0)+Z21*IFERROR(J21/P21,0)</f>
        <v/>
      </c>
      <c r="AL21">
        <f>AA21*IFERROR(AC21/AD21,0)</f>
        <v/>
      </c>
      <c r="AM21">
        <f>AB21*IFERROR(AG21/AH21,0)*IFERROR(AE21/AF21,0)*IFERROR(AC21/AD21,0)</f>
        <v/>
      </c>
      <c r="AN21">
        <f>I21-(AI21+AJ21+AK21+AL21+AM21)</f>
        <v/>
      </c>
    </row>
    <row r="22">
      <c r="A22">
        <f>Allocation!C22</f>
        <v/>
      </c>
      <c r="B22">
        <f>Allocation!D22</f>
        <v/>
      </c>
      <c r="C22">
        <f>Allocation!E22</f>
        <v/>
      </c>
      <c r="D22">
        <f>Allocation!F22</f>
        <v/>
      </c>
      <c r="E22">
        <f>Allocation!G22</f>
        <v/>
      </c>
      <c r="F22">
        <f>Allocation!H22</f>
        <v/>
      </c>
      <c r="G22">
        <f>Allocation!I22</f>
        <v/>
      </c>
      <c r="H22">
        <f>Allocation!J22</f>
        <v/>
      </c>
      <c r="I22">
        <f>Allocation!K22</f>
        <v/>
      </c>
      <c r="J22">
        <f>SUMIFS(Socle!$K$2:$K$175,Socle!$C$2:$C$175,B22,Socle!$D$2:$D$175,D22,Socle!$E$2:$E$175,E22,Socle!$F$2:$F$175,F22,Socle!$G$2:$G$175,A22)</f>
        <v/>
      </c>
      <c r="K22">
        <f>H22*IF(AND(LEFT(D22,3)="BAC",F22="INIT"),600,IF(LEFT(D22,3)="BAC",480,IF(AND(LEFT(D22,3)="MAS",F22="INIT"),520,IF(LEFT(D22,3)="MAS",420,IF(F22="INIT",1000,700)))))</f>
        <v/>
      </c>
      <c r="L22">
        <f>SUMIFS(Allocation!$I$2:$I$175,Allocation!$C$2:$C$175,A22,Allocation!$D$2:$D$175,B22)</f>
        <v/>
      </c>
      <c r="M22">
        <f>SUMIFS(Allocation!$J$2:$J$175,Allocation!$C$2:$C$175,A22,Allocation!$D$2:$D$175,B22)</f>
        <v/>
      </c>
      <c r="N22">
        <f>SUMIFS(Allocation!$K$2:$K$175,Allocation!$C$2:$C$175,A22,Allocation!$D$2:$D$175,B22)</f>
        <v/>
      </c>
      <c r="O22">
        <f>SUMIFS($K$2:$K$175,$A$2:$A$175,A22,$B$2:$B$175,B22)</f>
        <v/>
      </c>
      <c r="P22">
        <f>SUMIFS($J$2:$J$175,$A$2:$A$175,A22,$B$2:$B$175,B22)</f>
        <v/>
      </c>
      <c r="Q22">
        <f>SUMIFS(Allocation!$I$2:$I$175,Allocation!$C$2:$C$175,A22,Allocation!$E$2:$E$175,C22)</f>
        <v/>
      </c>
      <c r="R22">
        <f>SUMIFS(Allocation!$J$2:$J$175,Allocation!$C$2:$C$175,A22,Allocation!$E$2:$E$175,C22)</f>
        <v/>
      </c>
      <c r="S22">
        <f>SUMIFS(Allocation!$K$2:$K$175,Allocation!$C$2:$C$175,A22,Allocation!$E$2:$E$175,C22)</f>
        <v/>
      </c>
      <c r="T22">
        <f>SUMIFS(Allocation!$I$2:$I$175,Allocation!$C$2:$C$175,A22)</f>
        <v/>
      </c>
      <c r="U22">
        <f>SUMIFS(Allocation!$J$2:$J$175,Allocation!$C$2:$C$175,A22)</f>
        <v/>
      </c>
      <c r="V22">
        <f>SUMIFS(Allocation!$K$2:$K$175,Allocation!$C$2:$C$175,A22)</f>
        <v/>
      </c>
      <c r="W22">
        <f>SUMIFS(Compta!$F$2:$F$675,Compta!$A$2:$A$675,B22,Compta!$B$2:$B$675,"621",Compta!$C$2:$C$675,A22)</f>
        <v/>
      </c>
      <c r="X22">
        <f>SUMIFS(Compta!$F$2:$F$675,Compta!$A$2:$A$675,B22,Compta!$B$2:$B$675,"6411",Compta!$C$2:$C$675,A22)</f>
        <v/>
      </c>
      <c r="Y22">
        <f>SUMIFS(Compta!$F$2:$F$675,Compta!$A$2:$A$675,B22,Compta!$B$2:$B$675,"604",Compta!$C$2:$C$675,A22)+SUMIFS(Compta!$F$2:$F$675,Compta!$A$2:$A$675,B22,Compta!$B$2:$B$675,"6063",Compta!$C$2:$C$675,A22)</f>
        <v/>
      </c>
      <c r="Z22">
        <f>SUMIFS(Compta!$F$2:$F$675,Compta!$A$2:$A$675,B22,Compta!$B$2:$B$675,"6231",Compta!$C$2:$C$675,A22)</f>
        <v/>
      </c>
      <c r="AA22">
        <f>SUMIFS(Compta!$F$2:$F$675,Compta!$A$2:$A$675,B22,Compta!$B$2:$B$675,"6413",Compta!$C$2:$C$675,A22)+SUMIFS(Compta!$F$2:$F$675,Compta!$A$2:$A$675,B22,Compta!$B$2:$B$675,"645",Compta!$C$2:$C$675,A22)+SUMIFS(Compta!$F$2:$F$675,Compta!$A$2:$A$675,B22,Compta!$B$2:$B$675,"613",Compta!$C$2:$C$675,A22)+SUMIFS(Compta!$F$2:$F$675,Compta!$A$2:$A$675,B22,Compta!$B$2:$B$675,"615",Compta!$C$2:$C$675,A22)+SUMIFS(Compta!$F$2:$F$675,Compta!$A$2:$A$675,B22,Compta!$B$2:$B$675,"616",Compta!$C$2:$C$675,A22)+SUMIFS(Compta!$F$2:$F$675,Compta!$A$2:$A$675,B22,Compta!$B$2:$B$675,"625",Compta!$C$2:$C$675,A22)+SUMIFS(Compta!$F$2:$F$675,Compta!$A$2:$A$675,B22,Compta!$B$2:$B$675,"63511",Compta!$C$2:$C$675,A22)</f>
        <v/>
      </c>
      <c r="AB22">
        <f>SUMIFS(Compta!$F$2:$F$675,Compta!$A$2:$A$675,"GRP",Compta!$B$2:$B$675,"6414",Compta!$C$2:$C$675,A22)+SUMIFS(Compta!$F$2:$F$675,Compta!$A$2:$A$675,"GRP",Compta!$B$2:$B$675,"6226",Compta!$C$2:$C$675,A22)+SUMIFS(Compta!$F$2:$F$675,Compta!$A$2:$A$675,"GRP",Compta!$B$2:$B$675,"6236",Compta!$C$2:$C$675,A22)+SUMIFS(Compta!$F$2:$F$675,Compta!$A$2:$A$675,"GRP",Compta!$B$2:$B$675,"626",Compta!$C$2:$C$675,A22)+SUMIFS(Compta!$F$2:$F$675,Compta!$A$2:$A$675,"GRP",Compta!$B$2:$B$675,"6281",Compta!$C$2:$C$675,A22)+SUMIFS(Compta!$F$2:$F$675,Compta!$A$2:$A$675,"GRP",Compta!$B$2:$B$675,"6331",Compta!$C$2:$C$675,A22)+SUMIFS(Compta!$F$2:$F$675,Compta!$A$2:$A$675,"GRP",Compta!$B$2:$B$675,"6333",Compta!$C$2:$C$675,A22)</f>
        <v/>
      </c>
      <c r="AC22">
        <f>IF(Pilotage!$E$10="Chiffre d'affaires",I22,IF(Pilotage!$E$10="Effectif",G22,H22))</f>
        <v/>
      </c>
      <c r="AD22">
        <f>IF(Pilotage!$E$10="Chiffre d'affaires",N22,IF(Pilotage!$E$10="Effectif",L22,M22))</f>
        <v/>
      </c>
      <c r="AE22">
        <f>IF(Pilotage!$E$8="Chiffre d'affaires",N22,IF(Pilotage!$E$8="Effectif",L22,M22))</f>
        <v/>
      </c>
      <c r="AF22">
        <f>IF(Pilotage!$E$8="Chiffre d'affaires",S22,IF(Pilotage!$E$8="Effectif",Q22,R22))</f>
        <v/>
      </c>
      <c r="AG22">
        <f>IF(Pilotage!$E$9="Chiffre d'affaires",S22,IF(Pilotage!$E$9="Effectif",Q22,R22))</f>
        <v/>
      </c>
      <c r="AH22">
        <f>IF(Pilotage!$E$9="Chiffre d'affaires",V22,IF(Pilotage!$E$9="Effectif",T22,U22))</f>
        <v/>
      </c>
      <c r="AI22">
        <f>W22*IFERROR(K22/O22,0)</f>
        <v/>
      </c>
      <c r="AJ22">
        <f>X22*IFERROR(K22/O22,0)</f>
        <v/>
      </c>
      <c r="AK22">
        <f>Y22*IFERROR(G22/L22,0)+Z22*IFERROR(J22/P22,0)</f>
        <v/>
      </c>
      <c r="AL22">
        <f>AA22*IFERROR(AC22/AD22,0)</f>
        <v/>
      </c>
      <c r="AM22">
        <f>AB22*IFERROR(AG22/AH22,0)*IFERROR(AE22/AF22,0)*IFERROR(AC22/AD22,0)</f>
        <v/>
      </c>
      <c r="AN22">
        <f>I22-(AI22+AJ22+AK22+AL22+AM22)</f>
        <v/>
      </c>
    </row>
    <row r="23">
      <c r="A23">
        <f>Allocation!C23</f>
        <v/>
      </c>
      <c r="B23">
        <f>Allocation!D23</f>
        <v/>
      </c>
      <c r="C23">
        <f>Allocation!E23</f>
        <v/>
      </c>
      <c r="D23">
        <f>Allocation!F23</f>
        <v/>
      </c>
      <c r="E23">
        <f>Allocation!G23</f>
        <v/>
      </c>
      <c r="F23">
        <f>Allocation!H23</f>
        <v/>
      </c>
      <c r="G23">
        <f>Allocation!I23</f>
        <v/>
      </c>
      <c r="H23">
        <f>Allocation!J23</f>
        <v/>
      </c>
      <c r="I23">
        <f>Allocation!K23</f>
        <v/>
      </c>
      <c r="J23">
        <f>SUMIFS(Socle!$K$2:$K$175,Socle!$C$2:$C$175,B23,Socle!$D$2:$D$175,D23,Socle!$E$2:$E$175,E23,Socle!$F$2:$F$175,F23,Socle!$G$2:$G$175,A23)</f>
        <v/>
      </c>
      <c r="K23">
        <f>H23*IF(AND(LEFT(D23,3)="BAC",F23="INIT"),600,IF(LEFT(D23,3)="BAC",480,IF(AND(LEFT(D23,3)="MAS",F23="INIT"),520,IF(LEFT(D23,3)="MAS",420,IF(F23="INIT",1000,700)))))</f>
        <v/>
      </c>
      <c r="L23">
        <f>SUMIFS(Allocation!$I$2:$I$175,Allocation!$C$2:$C$175,A23,Allocation!$D$2:$D$175,B23)</f>
        <v/>
      </c>
      <c r="M23">
        <f>SUMIFS(Allocation!$J$2:$J$175,Allocation!$C$2:$C$175,A23,Allocation!$D$2:$D$175,B23)</f>
        <v/>
      </c>
      <c r="N23">
        <f>SUMIFS(Allocation!$K$2:$K$175,Allocation!$C$2:$C$175,A23,Allocation!$D$2:$D$175,B23)</f>
        <v/>
      </c>
      <c r="O23">
        <f>SUMIFS($K$2:$K$175,$A$2:$A$175,A23,$B$2:$B$175,B23)</f>
        <v/>
      </c>
      <c r="P23">
        <f>SUMIFS($J$2:$J$175,$A$2:$A$175,A23,$B$2:$B$175,B23)</f>
        <v/>
      </c>
      <c r="Q23">
        <f>SUMIFS(Allocation!$I$2:$I$175,Allocation!$C$2:$C$175,A23,Allocation!$E$2:$E$175,C23)</f>
        <v/>
      </c>
      <c r="R23">
        <f>SUMIFS(Allocation!$J$2:$J$175,Allocation!$C$2:$C$175,A23,Allocation!$E$2:$E$175,C23)</f>
        <v/>
      </c>
      <c r="S23">
        <f>SUMIFS(Allocation!$K$2:$K$175,Allocation!$C$2:$C$175,A23,Allocation!$E$2:$E$175,C23)</f>
        <v/>
      </c>
      <c r="T23">
        <f>SUMIFS(Allocation!$I$2:$I$175,Allocation!$C$2:$C$175,A23)</f>
        <v/>
      </c>
      <c r="U23">
        <f>SUMIFS(Allocation!$J$2:$J$175,Allocation!$C$2:$C$175,A23)</f>
        <v/>
      </c>
      <c r="V23">
        <f>SUMIFS(Allocation!$K$2:$K$175,Allocation!$C$2:$C$175,A23)</f>
        <v/>
      </c>
      <c r="W23">
        <f>SUMIFS(Compta!$F$2:$F$675,Compta!$A$2:$A$675,B23,Compta!$B$2:$B$675,"621",Compta!$C$2:$C$675,A23)</f>
        <v/>
      </c>
      <c r="X23">
        <f>SUMIFS(Compta!$F$2:$F$675,Compta!$A$2:$A$675,B23,Compta!$B$2:$B$675,"6411",Compta!$C$2:$C$675,A23)</f>
        <v/>
      </c>
      <c r="Y23">
        <f>SUMIFS(Compta!$F$2:$F$675,Compta!$A$2:$A$675,B23,Compta!$B$2:$B$675,"604",Compta!$C$2:$C$675,A23)+SUMIFS(Compta!$F$2:$F$675,Compta!$A$2:$A$675,B23,Compta!$B$2:$B$675,"6063",Compta!$C$2:$C$675,A23)</f>
        <v/>
      </c>
      <c r="Z23">
        <f>SUMIFS(Compta!$F$2:$F$675,Compta!$A$2:$A$675,B23,Compta!$B$2:$B$675,"6231",Compta!$C$2:$C$675,A23)</f>
        <v/>
      </c>
      <c r="AA23">
        <f>SUMIFS(Compta!$F$2:$F$675,Compta!$A$2:$A$675,B23,Compta!$B$2:$B$675,"6413",Compta!$C$2:$C$675,A23)+SUMIFS(Compta!$F$2:$F$675,Compta!$A$2:$A$675,B23,Compta!$B$2:$B$675,"645",Compta!$C$2:$C$675,A23)+SUMIFS(Compta!$F$2:$F$675,Compta!$A$2:$A$675,B23,Compta!$B$2:$B$675,"613",Compta!$C$2:$C$675,A23)+SUMIFS(Compta!$F$2:$F$675,Compta!$A$2:$A$675,B23,Compta!$B$2:$B$675,"615",Compta!$C$2:$C$675,A23)+SUMIFS(Compta!$F$2:$F$675,Compta!$A$2:$A$675,B23,Compta!$B$2:$B$675,"616",Compta!$C$2:$C$675,A23)+SUMIFS(Compta!$F$2:$F$675,Compta!$A$2:$A$675,B23,Compta!$B$2:$B$675,"625",Compta!$C$2:$C$675,A23)+SUMIFS(Compta!$F$2:$F$675,Compta!$A$2:$A$675,B23,Compta!$B$2:$B$675,"63511",Compta!$C$2:$C$675,A23)</f>
        <v/>
      </c>
      <c r="AB23">
        <f>SUMIFS(Compta!$F$2:$F$675,Compta!$A$2:$A$675,"GRP",Compta!$B$2:$B$675,"6414",Compta!$C$2:$C$675,A23)+SUMIFS(Compta!$F$2:$F$675,Compta!$A$2:$A$675,"GRP",Compta!$B$2:$B$675,"6226",Compta!$C$2:$C$675,A23)+SUMIFS(Compta!$F$2:$F$675,Compta!$A$2:$A$675,"GRP",Compta!$B$2:$B$675,"6236",Compta!$C$2:$C$675,A23)+SUMIFS(Compta!$F$2:$F$675,Compta!$A$2:$A$675,"GRP",Compta!$B$2:$B$675,"626",Compta!$C$2:$C$675,A23)+SUMIFS(Compta!$F$2:$F$675,Compta!$A$2:$A$675,"GRP",Compta!$B$2:$B$675,"6281",Compta!$C$2:$C$675,A23)+SUMIFS(Compta!$F$2:$F$675,Compta!$A$2:$A$675,"GRP",Compta!$B$2:$B$675,"6331",Compta!$C$2:$C$675,A23)+SUMIFS(Compta!$F$2:$F$675,Compta!$A$2:$A$675,"GRP",Compta!$B$2:$B$675,"6333",Compta!$C$2:$C$675,A23)</f>
        <v/>
      </c>
      <c r="AC23">
        <f>IF(Pilotage!$E$10="Chiffre d'affaires",I23,IF(Pilotage!$E$10="Effectif",G23,H23))</f>
        <v/>
      </c>
      <c r="AD23">
        <f>IF(Pilotage!$E$10="Chiffre d'affaires",N23,IF(Pilotage!$E$10="Effectif",L23,M23))</f>
        <v/>
      </c>
      <c r="AE23">
        <f>IF(Pilotage!$E$8="Chiffre d'affaires",N23,IF(Pilotage!$E$8="Effectif",L23,M23))</f>
        <v/>
      </c>
      <c r="AF23">
        <f>IF(Pilotage!$E$8="Chiffre d'affaires",S23,IF(Pilotage!$E$8="Effectif",Q23,R23))</f>
        <v/>
      </c>
      <c r="AG23">
        <f>IF(Pilotage!$E$9="Chiffre d'affaires",S23,IF(Pilotage!$E$9="Effectif",Q23,R23))</f>
        <v/>
      </c>
      <c r="AH23">
        <f>IF(Pilotage!$E$9="Chiffre d'affaires",V23,IF(Pilotage!$E$9="Effectif",T23,U23))</f>
        <v/>
      </c>
      <c r="AI23">
        <f>W23*IFERROR(K23/O23,0)</f>
        <v/>
      </c>
      <c r="AJ23">
        <f>X23*IFERROR(K23/O23,0)</f>
        <v/>
      </c>
      <c r="AK23">
        <f>Y23*IFERROR(G23/L23,0)+Z23*IFERROR(J23/P23,0)</f>
        <v/>
      </c>
      <c r="AL23">
        <f>AA23*IFERROR(AC23/AD23,0)</f>
        <v/>
      </c>
      <c r="AM23">
        <f>AB23*IFERROR(AG23/AH23,0)*IFERROR(AE23/AF23,0)*IFERROR(AC23/AD23,0)</f>
        <v/>
      </c>
      <c r="AN23">
        <f>I23-(AI23+AJ23+AK23+AL23+AM23)</f>
        <v/>
      </c>
    </row>
    <row r="24">
      <c r="A24">
        <f>Allocation!C24</f>
        <v/>
      </c>
      <c r="B24">
        <f>Allocation!D24</f>
        <v/>
      </c>
      <c r="C24">
        <f>Allocation!E24</f>
        <v/>
      </c>
      <c r="D24">
        <f>Allocation!F24</f>
        <v/>
      </c>
      <c r="E24">
        <f>Allocation!G24</f>
        <v/>
      </c>
      <c r="F24">
        <f>Allocation!H24</f>
        <v/>
      </c>
      <c r="G24">
        <f>Allocation!I24</f>
        <v/>
      </c>
      <c r="H24">
        <f>Allocation!J24</f>
        <v/>
      </c>
      <c r="I24">
        <f>Allocation!K24</f>
        <v/>
      </c>
      <c r="J24">
        <f>SUMIFS(Socle!$K$2:$K$175,Socle!$C$2:$C$175,B24,Socle!$D$2:$D$175,D24,Socle!$E$2:$E$175,E24,Socle!$F$2:$F$175,F24,Socle!$G$2:$G$175,A24)</f>
        <v/>
      </c>
      <c r="K24">
        <f>H24*IF(AND(LEFT(D24,3)="BAC",F24="INIT"),600,IF(LEFT(D24,3)="BAC",480,IF(AND(LEFT(D24,3)="MAS",F24="INIT"),520,IF(LEFT(D24,3)="MAS",420,IF(F24="INIT",1000,700)))))</f>
        <v/>
      </c>
      <c r="L24">
        <f>SUMIFS(Allocation!$I$2:$I$175,Allocation!$C$2:$C$175,A24,Allocation!$D$2:$D$175,B24)</f>
        <v/>
      </c>
      <c r="M24">
        <f>SUMIFS(Allocation!$J$2:$J$175,Allocation!$C$2:$C$175,A24,Allocation!$D$2:$D$175,B24)</f>
        <v/>
      </c>
      <c r="N24">
        <f>SUMIFS(Allocation!$K$2:$K$175,Allocation!$C$2:$C$175,A24,Allocation!$D$2:$D$175,B24)</f>
        <v/>
      </c>
      <c r="O24">
        <f>SUMIFS($K$2:$K$175,$A$2:$A$175,A24,$B$2:$B$175,B24)</f>
        <v/>
      </c>
      <c r="P24">
        <f>SUMIFS($J$2:$J$175,$A$2:$A$175,A24,$B$2:$B$175,B24)</f>
        <v/>
      </c>
      <c r="Q24">
        <f>SUMIFS(Allocation!$I$2:$I$175,Allocation!$C$2:$C$175,A24,Allocation!$E$2:$E$175,C24)</f>
        <v/>
      </c>
      <c r="R24">
        <f>SUMIFS(Allocation!$J$2:$J$175,Allocation!$C$2:$C$175,A24,Allocation!$E$2:$E$175,C24)</f>
        <v/>
      </c>
      <c r="S24">
        <f>SUMIFS(Allocation!$K$2:$K$175,Allocation!$C$2:$C$175,A24,Allocation!$E$2:$E$175,C24)</f>
        <v/>
      </c>
      <c r="T24">
        <f>SUMIFS(Allocation!$I$2:$I$175,Allocation!$C$2:$C$175,A24)</f>
        <v/>
      </c>
      <c r="U24">
        <f>SUMIFS(Allocation!$J$2:$J$175,Allocation!$C$2:$C$175,A24)</f>
        <v/>
      </c>
      <c r="V24">
        <f>SUMIFS(Allocation!$K$2:$K$175,Allocation!$C$2:$C$175,A24)</f>
        <v/>
      </c>
      <c r="W24">
        <f>SUMIFS(Compta!$F$2:$F$675,Compta!$A$2:$A$675,B24,Compta!$B$2:$B$675,"621",Compta!$C$2:$C$675,A24)</f>
        <v/>
      </c>
      <c r="X24">
        <f>SUMIFS(Compta!$F$2:$F$675,Compta!$A$2:$A$675,B24,Compta!$B$2:$B$675,"6411",Compta!$C$2:$C$675,A24)</f>
        <v/>
      </c>
      <c r="Y24">
        <f>SUMIFS(Compta!$F$2:$F$675,Compta!$A$2:$A$675,B24,Compta!$B$2:$B$675,"604",Compta!$C$2:$C$675,A24)+SUMIFS(Compta!$F$2:$F$675,Compta!$A$2:$A$675,B24,Compta!$B$2:$B$675,"6063",Compta!$C$2:$C$675,A24)</f>
        <v/>
      </c>
      <c r="Z24">
        <f>SUMIFS(Compta!$F$2:$F$675,Compta!$A$2:$A$675,B24,Compta!$B$2:$B$675,"6231",Compta!$C$2:$C$675,A24)</f>
        <v/>
      </c>
      <c r="AA24">
        <f>SUMIFS(Compta!$F$2:$F$675,Compta!$A$2:$A$675,B24,Compta!$B$2:$B$675,"6413",Compta!$C$2:$C$675,A24)+SUMIFS(Compta!$F$2:$F$675,Compta!$A$2:$A$675,B24,Compta!$B$2:$B$675,"645",Compta!$C$2:$C$675,A24)+SUMIFS(Compta!$F$2:$F$675,Compta!$A$2:$A$675,B24,Compta!$B$2:$B$675,"613",Compta!$C$2:$C$675,A24)+SUMIFS(Compta!$F$2:$F$675,Compta!$A$2:$A$675,B24,Compta!$B$2:$B$675,"615",Compta!$C$2:$C$675,A24)+SUMIFS(Compta!$F$2:$F$675,Compta!$A$2:$A$675,B24,Compta!$B$2:$B$675,"616",Compta!$C$2:$C$675,A24)+SUMIFS(Compta!$F$2:$F$675,Compta!$A$2:$A$675,B24,Compta!$B$2:$B$675,"625",Compta!$C$2:$C$675,A24)+SUMIFS(Compta!$F$2:$F$675,Compta!$A$2:$A$675,B24,Compta!$B$2:$B$675,"63511",Compta!$C$2:$C$675,A24)</f>
        <v/>
      </c>
      <c r="AB24">
        <f>SUMIFS(Compta!$F$2:$F$675,Compta!$A$2:$A$675,"GRP",Compta!$B$2:$B$675,"6414",Compta!$C$2:$C$675,A24)+SUMIFS(Compta!$F$2:$F$675,Compta!$A$2:$A$675,"GRP",Compta!$B$2:$B$675,"6226",Compta!$C$2:$C$675,A24)+SUMIFS(Compta!$F$2:$F$675,Compta!$A$2:$A$675,"GRP",Compta!$B$2:$B$675,"6236",Compta!$C$2:$C$675,A24)+SUMIFS(Compta!$F$2:$F$675,Compta!$A$2:$A$675,"GRP",Compta!$B$2:$B$675,"626",Compta!$C$2:$C$675,A24)+SUMIFS(Compta!$F$2:$F$675,Compta!$A$2:$A$675,"GRP",Compta!$B$2:$B$675,"6281",Compta!$C$2:$C$675,A24)+SUMIFS(Compta!$F$2:$F$675,Compta!$A$2:$A$675,"GRP",Compta!$B$2:$B$675,"6331",Compta!$C$2:$C$675,A24)+SUMIFS(Compta!$F$2:$F$675,Compta!$A$2:$A$675,"GRP",Compta!$B$2:$B$675,"6333",Compta!$C$2:$C$675,A24)</f>
        <v/>
      </c>
      <c r="AC24">
        <f>IF(Pilotage!$E$10="Chiffre d'affaires",I24,IF(Pilotage!$E$10="Effectif",G24,H24))</f>
        <v/>
      </c>
      <c r="AD24">
        <f>IF(Pilotage!$E$10="Chiffre d'affaires",N24,IF(Pilotage!$E$10="Effectif",L24,M24))</f>
        <v/>
      </c>
      <c r="AE24">
        <f>IF(Pilotage!$E$8="Chiffre d'affaires",N24,IF(Pilotage!$E$8="Effectif",L24,M24))</f>
        <v/>
      </c>
      <c r="AF24">
        <f>IF(Pilotage!$E$8="Chiffre d'affaires",S24,IF(Pilotage!$E$8="Effectif",Q24,R24))</f>
        <v/>
      </c>
      <c r="AG24">
        <f>IF(Pilotage!$E$9="Chiffre d'affaires",S24,IF(Pilotage!$E$9="Effectif",Q24,R24))</f>
        <v/>
      </c>
      <c r="AH24">
        <f>IF(Pilotage!$E$9="Chiffre d'affaires",V24,IF(Pilotage!$E$9="Effectif",T24,U24))</f>
        <v/>
      </c>
      <c r="AI24">
        <f>W24*IFERROR(K24/O24,0)</f>
        <v/>
      </c>
      <c r="AJ24">
        <f>X24*IFERROR(K24/O24,0)</f>
        <v/>
      </c>
      <c r="AK24">
        <f>Y24*IFERROR(G24/L24,0)+Z24*IFERROR(J24/P24,0)</f>
        <v/>
      </c>
      <c r="AL24">
        <f>AA24*IFERROR(AC24/AD24,0)</f>
        <v/>
      </c>
      <c r="AM24">
        <f>AB24*IFERROR(AG24/AH24,0)*IFERROR(AE24/AF24,0)*IFERROR(AC24/AD24,0)</f>
        <v/>
      </c>
      <c r="AN24">
        <f>I24-(AI24+AJ24+AK24+AL24+AM24)</f>
        <v/>
      </c>
    </row>
    <row r="25">
      <c r="A25">
        <f>Allocation!C25</f>
        <v/>
      </c>
      <c r="B25">
        <f>Allocation!D25</f>
        <v/>
      </c>
      <c r="C25">
        <f>Allocation!E25</f>
        <v/>
      </c>
      <c r="D25">
        <f>Allocation!F25</f>
        <v/>
      </c>
      <c r="E25">
        <f>Allocation!G25</f>
        <v/>
      </c>
      <c r="F25">
        <f>Allocation!H25</f>
        <v/>
      </c>
      <c r="G25">
        <f>Allocation!I25</f>
        <v/>
      </c>
      <c r="H25">
        <f>Allocation!J25</f>
        <v/>
      </c>
      <c r="I25">
        <f>Allocation!K25</f>
        <v/>
      </c>
      <c r="J25">
        <f>SUMIFS(Socle!$K$2:$K$175,Socle!$C$2:$C$175,B25,Socle!$D$2:$D$175,D25,Socle!$E$2:$E$175,E25,Socle!$F$2:$F$175,F25,Socle!$G$2:$G$175,A25)</f>
        <v/>
      </c>
      <c r="K25">
        <f>H25*IF(AND(LEFT(D25,3)="BAC",F25="INIT"),600,IF(LEFT(D25,3)="BAC",480,IF(AND(LEFT(D25,3)="MAS",F25="INIT"),520,IF(LEFT(D25,3)="MAS",420,IF(F25="INIT",1000,700)))))</f>
        <v/>
      </c>
      <c r="L25">
        <f>SUMIFS(Allocation!$I$2:$I$175,Allocation!$C$2:$C$175,A25,Allocation!$D$2:$D$175,B25)</f>
        <v/>
      </c>
      <c r="M25">
        <f>SUMIFS(Allocation!$J$2:$J$175,Allocation!$C$2:$C$175,A25,Allocation!$D$2:$D$175,B25)</f>
        <v/>
      </c>
      <c r="N25">
        <f>SUMIFS(Allocation!$K$2:$K$175,Allocation!$C$2:$C$175,A25,Allocation!$D$2:$D$175,B25)</f>
        <v/>
      </c>
      <c r="O25">
        <f>SUMIFS($K$2:$K$175,$A$2:$A$175,A25,$B$2:$B$175,B25)</f>
        <v/>
      </c>
      <c r="P25">
        <f>SUMIFS($J$2:$J$175,$A$2:$A$175,A25,$B$2:$B$175,B25)</f>
        <v/>
      </c>
      <c r="Q25">
        <f>SUMIFS(Allocation!$I$2:$I$175,Allocation!$C$2:$C$175,A25,Allocation!$E$2:$E$175,C25)</f>
        <v/>
      </c>
      <c r="R25">
        <f>SUMIFS(Allocation!$J$2:$J$175,Allocation!$C$2:$C$175,A25,Allocation!$E$2:$E$175,C25)</f>
        <v/>
      </c>
      <c r="S25">
        <f>SUMIFS(Allocation!$K$2:$K$175,Allocation!$C$2:$C$175,A25,Allocation!$E$2:$E$175,C25)</f>
        <v/>
      </c>
      <c r="T25">
        <f>SUMIFS(Allocation!$I$2:$I$175,Allocation!$C$2:$C$175,A25)</f>
        <v/>
      </c>
      <c r="U25">
        <f>SUMIFS(Allocation!$J$2:$J$175,Allocation!$C$2:$C$175,A25)</f>
        <v/>
      </c>
      <c r="V25">
        <f>SUMIFS(Allocation!$K$2:$K$175,Allocation!$C$2:$C$175,A25)</f>
        <v/>
      </c>
      <c r="W25">
        <f>SUMIFS(Compta!$F$2:$F$675,Compta!$A$2:$A$675,B25,Compta!$B$2:$B$675,"621",Compta!$C$2:$C$675,A25)</f>
        <v/>
      </c>
      <c r="X25">
        <f>SUMIFS(Compta!$F$2:$F$675,Compta!$A$2:$A$675,B25,Compta!$B$2:$B$675,"6411",Compta!$C$2:$C$675,A25)</f>
        <v/>
      </c>
      <c r="Y25">
        <f>SUMIFS(Compta!$F$2:$F$675,Compta!$A$2:$A$675,B25,Compta!$B$2:$B$675,"604",Compta!$C$2:$C$675,A25)+SUMIFS(Compta!$F$2:$F$675,Compta!$A$2:$A$675,B25,Compta!$B$2:$B$675,"6063",Compta!$C$2:$C$675,A25)</f>
        <v/>
      </c>
      <c r="Z25">
        <f>SUMIFS(Compta!$F$2:$F$675,Compta!$A$2:$A$675,B25,Compta!$B$2:$B$675,"6231",Compta!$C$2:$C$675,A25)</f>
        <v/>
      </c>
      <c r="AA25">
        <f>SUMIFS(Compta!$F$2:$F$675,Compta!$A$2:$A$675,B25,Compta!$B$2:$B$675,"6413",Compta!$C$2:$C$675,A25)+SUMIFS(Compta!$F$2:$F$675,Compta!$A$2:$A$675,B25,Compta!$B$2:$B$675,"645",Compta!$C$2:$C$675,A25)+SUMIFS(Compta!$F$2:$F$675,Compta!$A$2:$A$675,B25,Compta!$B$2:$B$675,"613",Compta!$C$2:$C$675,A25)+SUMIFS(Compta!$F$2:$F$675,Compta!$A$2:$A$675,B25,Compta!$B$2:$B$675,"615",Compta!$C$2:$C$675,A25)+SUMIFS(Compta!$F$2:$F$675,Compta!$A$2:$A$675,B25,Compta!$B$2:$B$675,"616",Compta!$C$2:$C$675,A25)+SUMIFS(Compta!$F$2:$F$675,Compta!$A$2:$A$675,B25,Compta!$B$2:$B$675,"625",Compta!$C$2:$C$675,A25)+SUMIFS(Compta!$F$2:$F$675,Compta!$A$2:$A$675,B25,Compta!$B$2:$B$675,"63511",Compta!$C$2:$C$675,A25)</f>
        <v/>
      </c>
      <c r="AB25">
        <f>SUMIFS(Compta!$F$2:$F$675,Compta!$A$2:$A$675,"GRP",Compta!$B$2:$B$675,"6414",Compta!$C$2:$C$675,A25)+SUMIFS(Compta!$F$2:$F$675,Compta!$A$2:$A$675,"GRP",Compta!$B$2:$B$675,"6226",Compta!$C$2:$C$675,A25)+SUMIFS(Compta!$F$2:$F$675,Compta!$A$2:$A$675,"GRP",Compta!$B$2:$B$675,"6236",Compta!$C$2:$C$675,A25)+SUMIFS(Compta!$F$2:$F$675,Compta!$A$2:$A$675,"GRP",Compta!$B$2:$B$675,"626",Compta!$C$2:$C$675,A25)+SUMIFS(Compta!$F$2:$F$675,Compta!$A$2:$A$675,"GRP",Compta!$B$2:$B$675,"6281",Compta!$C$2:$C$675,A25)+SUMIFS(Compta!$F$2:$F$675,Compta!$A$2:$A$675,"GRP",Compta!$B$2:$B$675,"6331",Compta!$C$2:$C$675,A25)+SUMIFS(Compta!$F$2:$F$675,Compta!$A$2:$A$675,"GRP",Compta!$B$2:$B$675,"6333",Compta!$C$2:$C$675,A25)</f>
        <v/>
      </c>
      <c r="AC25">
        <f>IF(Pilotage!$E$10="Chiffre d'affaires",I25,IF(Pilotage!$E$10="Effectif",G25,H25))</f>
        <v/>
      </c>
      <c r="AD25">
        <f>IF(Pilotage!$E$10="Chiffre d'affaires",N25,IF(Pilotage!$E$10="Effectif",L25,M25))</f>
        <v/>
      </c>
      <c r="AE25">
        <f>IF(Pilotage!$E$8="Chiffre d'affaires",N25,IF(Pilotage!$E$8="Effectif",L25,M25))</f>
        <v/>
      </c>
      <c r="AF25">
        <f>IF(Pilotage!$E$8="Chiffre d'affaires",S25,IF(Pilotage!$E$8="Effectif",Q25,R25))</f>
        <v/>
      </c>
      <c r="AG25">
        <f>IF(Pilotage!$E$9="Chiffre d'affaires",S25,IF(Pilotage!$E$9="Effectif",Q25,R25))</f>
        <v/>
      </c>
      <c r="AH25">
        <f>IF(Pilotage!$E$9="Chiffre d'affaires",V25,IF(Pilotage!$E$9="Effectif",T25,U25))</f>
        <v/>
      </c>
      <c r="AI25">
        <f>W25*IFERROR(K25/O25,0)</f>
        <v/>
      </c>
      <c r="AJ25">
        <f>X25*IFERROR(K25/O25,0)</f>
        <v/>
      </c>
      <c r="AK25">
        <f>Y25*IFERROR(G25/L25,0)+Z25*IFERROR(J25/P25,0)</f>
        <v/>
      </c>
      <c r="AL25">
        <f>AA25*IFERROR(AC25/AD25,0)</f>
        <v/>
      </c>
      <c r="AM25">
        <f>AB25*IFERROR(AG25/AH25,0)*IFERROR(AE25/AF25,0)*IFERROR(AC25/AD25,0)</f>
        <v/>
      </c>
      <c r="AN25">
        <f>I25-(AI25+AJ25+AK25+AL25+AM25)</f>
        <v/>
      </c>
    </row>
    <row r="26">
      <c r="A26">
        <f>Allocation!C26</f>
        <v/>
      </c>
      <c r="B26">
        <f>Allocation!D26</f>
        <v/>
      </c>
      <c r="C26">
        <f>Allocation!E26</f>
        <v/>
      </c>
      <c r="D26">
        <f>Allocation!F26</f>
        <v/>
      </c>
      <c r="E26">
        <f>Allocation!G26</f>
        <v/>
      </c>
      <c r="F26">
        <f>Allocation!H26</f>
        <v/>
      </c>
      <c r="G26">
        <f>Allocation!I26</f>
        <v/>
      </c>
      <c r="H26">
        <f>Allocation!J26</f>
        <v/>
      </c>
      <c r="I26">
        <f>Allocation!K26</f>
        <v/>
      </c>
      <c r="J26">
        <f>SUMIFS(Socle!$K$2:$K$175,Socle!$C$2:$C$175,B26,Socle!$D$2:$D$175,D26,Socle!$E$2:$E$175,E26,Socle!$F$2:$F$175,F26,Socle!$G$2:$G$175,A26)</f>
        <v/>
      </c>
      <c r="K26">
        <f>H26*IF(AND(LEFT(D26,3)="BAC",F26="INIT"),600,IF(LEFT(D26,3)="BAC",480,IF(AND(LEFT(D26,3)="MAS",F26="INIT"),520,IF(LEFT(D26,3)="MAS",420,IF(F26="INIT",1000,700)))))</f>
        <v/>
      </c>
      <c r="L26">
        <f>SUMIFS(Allocation!$I$2:$I$175,Allocation!$C$2:$C$175,A26,Allocation!$D$2:$D$175,B26)</f>
        <v/>
      </c>
      <c r="M26">
        <f>SUMIFS(Allocation!$J$2:$J$175,Allocation!$C$2:$C$175,A26,Allocation!$D$2:$D$175,B26)</f>
        <v/>
      </c>
      <c r="N26">
        <f>SUMIFS(Allocation!$K$2:$K$175,Allocation!$C$2:$C$175,A26,Allocation!$D$2:$D$175,B26)</f>
        <v/>
      </c>
      <c r="O26">
        <f>SUMIFS($K$2:$K$175,$A$2:$A$175,A26,$B$2:$B$175,B26)</f>
        <v/>
      </c>
      <c r="P26">
        <f>SUMIFS($J$2:$J$175,$A$2:$A$175,A26,$B$2:$B$175,B26)</f>
        <v/>
      </c>
      <c r="Q26">
        <f>SUMIFS(Allocation!$I$2:$I$175,Allocation!$C$2:$C$175,A26,Allocation!$E$2:$E$175,C26)</f>
        <v/>
      </c>
      <c r="R26">
        <f>SUMIFS(Allocation!$J$2:$J$175,Allocation!$C$2:$C$175,A26,Allocation!$E$2:$E$175,C26)</f>
        <v/>
      </c>
      <c r="S26">
        <f>SUMIFS(Allocation!$K$2:$K$175,Allocation!$C$2:$C$175,A26,Allocation!$E$2:$E$175,C26)</f>
        <v/>
      </c>
      <c r="T26">
        <f>SUMIFS(Allocation!$I$2:$I$175,Allocation!$C$2:$C$175,A26)</f>
        <v/>
      </c>
      <c r="U26">
        <f>SUMIFS(Allocation!$J$2:$J$175,Allocation!$C$2:$C$175,A26)</f>
        <v/>
      </c>
      <c r="V26">
        <f>SUMIFS(Allocation!$K$2:$K$175,Allocation!$C$2:$C$175,A26)</f>
        <v/>
      </c>
      <c r="W26">
        <f>SUMIFS(Compta!$F$2:$F$675,Compta!$A$2:$A$675,B26,Compta!$B$2:$B$675,"621",Compta!$C$2:$C$675,A26)</f>
        <v/>
      </c>
      <c r="X26">
        <f>SUMIFS(Compta!$F$2:$F$675,Compta!$A$2:$A$675,B26,Compta!$B$2:$B$675,"6411",Compta!$C$2:$C$675,A26)</f>
        <v/>
      </c>
      <c r="Y26">
        <f>SUMIFS(Compta!$F$2:$F$675,Compta!$A$2:$A$675,B26,Compta!$B$2:$B$675,"604",Compta!$C$2:$C$675,A26)+SUMIFS(Compta!$F$2:$F$675,Compta!$A$2:$A$675,B26,Compta!$B$2:$B$675,"6063",Compta!$C$2:$C$675,A26)</f>
        <v/>
      </c>
      <c r="Z26">
        <f>SUMIFS(Compta!$F$2:$F$675,Compta!$A$2:$A$675,B26,Compta!$B$2:$B$675,"6231",Compta!$C$2:$C$675,A26)</f>
        <v/>
      </c>
      <c r="AA26">
        <f>SUMIFS(Compta!$F$2:$F$675,Compta!$A$2:$A$675,B26,Compta!$B$2:$B$675,"6413",Compta!$C$2:$C$675,A26)+SUMIFS(Compta!$F$2:$F$675,Compta!$A$2:$A$675,B26,Compta!$B$2:$B$675,"645",Compta!$C$2:$C$675,A26)+SUMIFS(Compta!$F$2:$F$675,Compta!$A$2:$A$675,B26,Compta!$B$2:$B$675,"613",Compta!$C$2:$C$675,A26)+SUMIFS(Compta!$F$2:$F$675,Compta!$A$2:$A$675,B26,Compta!$B$2:$B$675,"615",Compta!$C$2:$C$675,A26)+SUMIFS(Compta!$F$2:$F$675,Compta!$A$2:$A$675,B26,Compta!$B$2:$B$675,"616",Compta!$C$2:$C$675,A26)+SUMIFS(Compta!$F$2:$F$675,Compta!$A$2:$A$675,B26,Compta!$B$2:$B$675,"625",Compta!$C$2:$C$675,A26)+SUMIFS(Compta!$F$2:$F$675,Compta!$A$2:$A$675,B26,Compta!$B$2:$B$675,"63511",Compta!$C$2:$C$675,A26)</f>
        <v/>
      </c>
      <c r="AB26">
        <f>SUMIFS(Compta!$F$2:$F$675,Compta!$A$2:$A$675,"GRP",Compta!$B$2:$B$675,"6414",Compta!$C$2:$C$675,A26)+SUMIFS(Compta!$F$2:$F$675,Compta!$A$2:$A$675,"GRP",Compta!$B$2:$B$675,"6226",Compta!$C$2:$C$675,A26)+SUMIFS(Compta!$F$2:$F$675,Compta!$A$2:$A$675,"GRP",Compta!$B$2:$B$675,"6236",Compta!$C$2:$C$675,A26)+SUMIFS(Compta!$F$2:$F$675,Compta!$A$2:$A$675,"GRP",Compta!$B$2:$B$675,"626",Compta!$C$2:$C$675,A26)+SUMIFS(Compta!$F$2:$F$675,Compta!$A$2:$A$675,"GRP",Compta!$B$2:$B$675,"6281",Compta!$C$2:$C$675,A26)+SUMIFS(Compta!$F$2:$F$675,Compta!$A$2:$A$675,"GRP",Compta!$B$2:$B$675,"6331",Compta!$C$2:$C$675,A26)+SUMIFS(Compta!$F$2:$F$675,Compta!$A$2:$A$675,"GRP",Compta!$B$2:$B$675,"6333",Compta!$C$2:$C$675,A26)</f>
        <v/>
      </c>
      <c r="AC26">
        <f>IF(Pilotage!$E$10="Chiffre d'affaires",I26,IF(Pilotage!$E$10="Effectif",G26,H26))</f>
        <v/>
      </c>
      <c r="AD26">
        <f>IF(Pilotage!$E$10="Chiffre d'affaires",N26,IF(Pilotage!$E$10="Effectif",L26,M26))</f>
        <v/>
      </c>
      <c r="AE26">
        <f>IF(Pilotage!$E$8="Chiffre d'affaires",N26,IF(Pilotage!$E$8="Effectif",L26,M26))</f>
        <v/>
      </c>
      <c r="AF26">
        <f>IF(Pilotage!$E$8="Chiffre d'affaires",S26,IF(Pilotage!$E$8="Effectif",Q26,R26))</f>
        <v/>
      </c>
      <c r="AG26">
        <f>IF(Pilotage!$E$9="Chiffre d'affaires",S26,IF(Pilotage!$E$9="Effectif",Q26,R26))</f>
        <v/>
      </c>
      <c r="AH26">
        <f>IF(Pilotage!$E$9="Chiffre d'affaires",V26,IF(Pilotage!$E$9="Effectif",T26,U26))</f>
        <v/>
      </c>
      <c r="AI26">
        <f>W26*IFERROR(K26/O26,0)</f>
        <v/>
      </c>
      <c r="AJ26">
        <f>X26*IFERROR(K26/O26,0)</f>
        <v/>
      </c>
      <c r="AK26">
        <f>Y26*IFERROR(G26/L26,0)+Z26*IFERROR(J26/P26,0)</f>
        <v/>
      </c>
      <c r="AL26">
        <f>AA26*IFERROR(AC26/AD26,0)</f>
        <v/>
      </c>
      <c r="AM26">
        <f>AB26*IFERROR(AG26/AH26,0)*IFERROR(AE26/AF26,0)*IFERROR(AC26/AD26,0)</f>
        <v/>
      </c>
      <c r="AN26">
        <f>I26-(AI26+AJ26+AK26+AL26+AM26)</f>
        <v/>
      </c>
    </row>
    <row r="27">
      <c r="A27">
        <f>Allocation!C27</f>
        <v/>
      </c>
      <c r="B27">
        <f>Allocation!D27</f>
        <v/>
      </c>
      <c r="C27">
        <f>Allocation!E27</f>
        <v/>
      </c>
      <c r="D27">
        <f>Allocation!F27</f>
        <v/>
      </c>
      <c r="E27">
        <f>Allocation!G27</f>
        <v/>
      </c>
      <c r="F27">
        <f>Allocation!H27</f>
        <v/>
      </c>
      <c r="G27">
        <f>Allocation!I27</f>
        <v/>
      </c>
      <c r="H27">
        <f>Allocation!J27</f>
        <v/>
      </c>
      <c r="I27">
        <f>Allocation!K27</f>
        <v/>
      </c>
      <c r="J27">
        <f>SUMIFS(Socle!$K$2:$K$175,Socle!$C$2:$C$175,B27,Socle!$D$2:$D$175,D27,Socle!$E$2:$E$175,E27,Socle!$F$2:$F$175,F27,Socle!$G$2:$G$175,A27)</f>
        <v/>
      </c>
      <c r="K27">
        <f>H27*IF(AND(LEFT(D27,3)="BAC",F27="INIT"),600,IF(LEFT(D27,3)="BAC",480,IF(AND(LEFT(D27,3)="MAS",F27="INIT"),520,IF(LEFT(D27,3)="MAS",420,IF(F27="INIT",1000,700)))))</f>
        <v/>
      </c>
      <c r="L27">
        <f>SUMIFS(Allocation!$I$2:$I$175,Allocation!$C$2:$C$175,A27,Allocation!$D$2:$D$175,B27)</f>
        <v/>
      </c>
      <c r="M27">
        <f>SUMIFS(Allocation!$J$2:$J$175,Allocation!$C$2:$C$175,A27,Allocation!$D$2:$D$175,B27)</f>
        <v/>
      </c>
      <c r="N27">
        <f>SUMIFS(Allocation!$K$2:$K$175,Allocation!$C$2:$C$175,A27,Allocation!$D$2:$D$175,B27)</f>
        <v/>
      </c>
      <c r="O27">
        <f>SUMIFS($K$2:$K$175,$A$2:$A$175,A27,$B$2:$B$175,B27)</f>
        <v/>
      </c>
      <c r="P27">
        <f>SUMIFS($J$2:$J$175,$A$2:$A$175,A27,$B$2:$B$175,B27)</f>
        <v/>
      </c>
      <c r="Q27">
        <f>SUMIFS(Allocation!$I$2:$I$175,Allocation!$C$2:$C$175,A27,Allocation!$E$2:$E$175,C27)</f>
        <v/>
      </c>
      <c r="R27">
        <f>SUMIFS(Allocation!$J$2:$J$175,Allocation!$C$2:$C$175,A27,Allocation!$E$2:$E$175,C27)</f>
        <v/>
      </c>
      <c r="S27">
        <f>SUMIFS(Allocation!$K$2:$K$175,Allocation!$C$2:$C$175,A27,Allocation!$E$2:$E$175,C27)</f>
        <v/>
      </c>
      <c r="T27">
        <f>SUMIFS(Allocation!$I$2:$I$175,Allocation!$C$2:$C$175,A27)</f>
        <v/>
      </c>
      <c r="U27">
        <f>SUMIFS(Allocation!$J$2:$J$175,Allocation!$C$2:$C$175,A27)</f>
        <v/>
      </c>
      <c r="V27">
        <f>SUMIFS(Allocation!$K$2:$K$175,Allocation!$C$2:$C$175,A27)</f>
        <v/>
      </c>
      <c r="W27">
        <f>SUMIFS(Compta!$F$2:$F$675,Compta!$A$2:$A$675,B27,Compta!$B$2:$B$675,"621",Compta!$C$2:$C$675,A27)</f>
        <v/>
      </c>
      <c r="X27">
        <f>SUMIFS(Compta!$F$2:$F$675,Compta!$A$2:$A$675,B27,Compta!$B$2:$B$675,"6411",Compta!$C$2:$C$675,A27)</f>
        <v/>
      </c>
      <c r="Y27">
        <f>SUMIFS(Compta!$F$2:$F$675,Compta!$A$2:$A$675,B27,Compta!$B$2:$B$675,"604",Compta!$C$2:$C$675,A27)+SUMIFS(Compta!$F$2:$F$675,Compta!$A$2:$A$675,B27,Compta!$B$2:$B$675,"6063",Compta!$C$2:$C$675,A27)</f>
        <v/>
      </c>
      <c r="Z27">
        <f>SUMIFS(Compta!$F$2:$F$675,Compta!$A$2:$A$675,B27,Compta!$B$2:$B$675,"6231",Compta!$C$2:$C$675,A27)</f>
        <v/>
      </c>
      <c r="AA27">
        <f>SUMIFS(Compta!$F$2:$F$675,Compta!$A$2:$A$675,B27,Compta!$B$2:$B$675,"6413",Compta!$C$2:$C$675,A27)+SUMIFS(Compta!$F$2:$F$675,Compta!$A$2:$A$675,B27,Compta!$B$2:$B$675,"645",Compta!$C$2:$C$675,A27)+SUMIFS(Compta!$F$2:$F$675,Compta!$A$2:$A$675,B27,Compta!$B$2:$B$675,"613",Compta!$C$2:$C$675,A27)+SUMIFS(Compta!$F$2:$F$675,Compta!$A$2:$A$675,B27,Compta!$B$2:$B$675,"615",Compta!$C$2:$C$675,A27)+SUMIFS(Compta!$F$2:$F$675,Compta!$A$2:$A$675,B27,Compta!$B$2:$B$675,"616",Compta!$C$2:$C$675,A27)+SUMIFS(Compta!$F$2:$F$675,Compta!$A$2:$A$675,B27,Compta!$B$2:$B$675,"625",Compta!$C$2:$C$675,A27)+SUMIFS(Compta!$F$2:$F$675,Compta!$A$2:$A$675,B27,Compta!$B$2:$B$675,"63511",Compta!$C$2:$C$675,A27)</f>
        <v/>
      </c>
      <c r="AB27">
        <f>SUMIFS(Compta!$F$2:$F$675,Compta!$A$2:$A$675,"GRP",Compta!$B$2:$B$675,"6414",Compta!$C$2:$C$675,A27)+SUMIFS(Compta!$F$2:$F$675,Compta!$A$2:$A$675,"GRP",Compta!$B$2:$B$675,"6226",Compta!$C$2:$C$675,A27)+SUMIFS(Compta!$F$2:$F$675,Compta!$A$2:$A$675,"GRP",Compta!$B$2:$B$675,"6236",Compta!$C$2:$C$675,A27)+SUMIFS(Compta!$F$2:$F$675,Compta!$A$2:$A$675,"GRP",Compta!$B$2:$B$675,"626",Compta!$C$2:$C$675,A27)+SUMIFS(Compta!$F$2:$F$675,Compta!$A$2:$A$675,"GRP",Compta!$B$2:$B$675,"6281",Compta!$C$2:$C$675,A27)+SUMIFS(Compta!$F$2:$F$675,Compta!$A$2:$A$675,"GRP",Compta!$B$2:$B$675,"6331",Compta!$C$2:$C$675,A27)+SUMIFS(Compta!$F$2:$F$675,Compta!$A$2:$A$675,"GRP",Compta!$B$2:$B$675,"6333",Compta!$C$2:$C$675,A27)</f>
        <v/>
      </c>
      <c r="AC27">
        <f>IF(Pilotage!$E$10="Chiffre d'affaires",I27,IF(Pilotage!$E$10="Effectif",G27,H27))</f>
        <v/>
      </c>
      <c r="AD27">
        <f>IF(Pilotage!$E$10="Chiffre d'affaires",N27,IF(Pilotage!$E$10="Effectif",L27,M27))</f>
        <v/>
      </c>
      <c r="AE27">
        <f>IF(Pilotage!$E$8="Chiffre d'affaires",N27,IF(Pilotage!$E$8="Effectif",L27,M27))</f>
        <v/>
      </c>
      <c r="AF27">
        <f>IF(Pilotage!$E$8="Chiffre d'affaires",S27,IF(Pilotage!$E$8="Effectif",Q27,R27))</f>
        <v/>
      </c>
      <c r="AG27">
        <f>IF(Pilotage!$E$9="Chiffre d'affaires",S27,IF(Pilotage!$E$9="Effectif",Q27,R27))</f>
        <v/>
      </c>
      <c r="AH27">
        <f>IF(Pilotage!$E$9="Chiffre d'affaires",V27,IF(Pilotage!$E$9="Effectif",T27,U27))</f>
        <v/>
      </c>
      <c r="AI27">
        <f>W27*IFERROR(K27/O27,0)</f>
        <v/>
      </c>
      <c r="AJ27">
        <f>X27*IFERROR(K27/O27,0)</f>
        <v/>
      </c>
      <c r="AK27">
        <f>Y27*IFERROR(G27/L27,0)+Z27*IFERROR(J27/P27,0)</f>
        <v/>
      </c>
      <c r="AL27">
        <f>AA27*IFERROR(AC27/AD27,0)</f>
        <v/>
      </c>
      <c r="AM27">
        <f>AB27*IFERROR(AG27/AH27,0)*IFERROR(AE27/AF27,0)*IFERROR(AC27/AD27,0)</f>
        <v/>
      </c>
      <c r="AN27">
        <f>I27-(AI27+AJ27+AK27+AL27+AM27)</f>
        <v/>
      </c>
    </row>
    <row r="28">
      <c r="A28">
        <f>Allocation!C28</f>
        <v/>
      </c>
      <c r="B28">
        <f>Allocation!D28</f>
        <v/>
      </c>
      <c r="C28">
        <f>Allocation!E28</f>
        <v/>
      </c>
      <c r="D28">
        <f>Allocation!F28</f>
        <v/>
      </c>
      <c r="E28">
        <f>Allocation!G28</f>
        <v/>
      </c>
      <c r="F28">
        <f>Allocation!H28</f>
        <v/>
      </c>
      <c r="G28">
        <f>Allocation!I28</f>
        <v/>
      </c>
      <c r="H28">
        <f>Allocation!J28</f>
        <v/>
      </c>
      <c r="I28">
        <f>Allocation!K28</f>
        <v/>
      </c>
      <c r="J28">
        <f>SUMIFS(Socle!$K$2:$K$175,Socle!$C$2:$C$175,B28,Socle!$D$2:$D$175,D28,Socle!$E$2:$E$175,E28,Socle!$F$2:$F$175,F28,Socle!$G$2:$G$175,A28)</f>
        <v/>
      </c>
      <c r="K28">
        <f>H28*IF(AND(LEFT(D28,3)="BAC",F28="INIT"),600,IF(LEFT(D28,3)="BAC",480,IF(AND(LEFT(D28,3)="MAS",F28="INIT"),520,IF(LEFT(D28,3)="MAS",420,IF(F28="INIT",1000,700)))))</f>
        <v/>
      </c>
      <c r="L28">
        <f>SUMIFS(Allocation!$I$2:$I$175,Allocation!$C$2:$C$175,A28,Allocation!$D$2:$D$175,B28)</f>
        <v/>
      </c>
      <c r="M28">
        <f>SUMIFS(Allocation!$J$2:$J$175,Allocation!$C$2:$C$175,A28,Allocation!$D$2:$D$175,B28)</f>
        <v/>
      </c>
      <c r="N28">
        <f>SUMIFS(Allocation!$K$2:$K$175,Allocation!$C$2:$C$175,A28,Allocation!$D$2:$D$175,B28)</f>
        <v/>
      </c>
      <c r="O28">
        <f>SUMIFS($K$2:$K$175,$A$2:$A$175,A28,$B$2:$B$175,B28)</f>
        <v/>
      </c>
      <c r="P28">
        <f>SUMIFS($J$2:$J$175,$A$2:$A$175,A28,$B$2:$B$175,B28)</f>
        <v/>
      </c>
      <c r="Q28">
        <f>SUMIFS(Allocation!$I$2:$I$175,Allocation!$C$2:$C$175,A28,Allocation!$E$2:$E$175,C28)</f>
        <v/>
      </c>
      <c r="R28">
        <f>SUMIFS(Allocation!$J$2:$J$175,Allocation!$C$2:$C$175,A28,Allocation!$E$2:$E$175,C28)</f>
        <v/>
      </c>
      <c r="S28">
        <f>SUMIFS(Allocation!$K$2:$K$175,Allocation!$C$2:$C$175,A28,Allocation!$E$2:$E$175,C28)</f>
        <v/>
      </c>
      <c r="T28">
        <f>SUMIFS(Allocation!$I$2:$I$175,Allocation!$C$2:$C$175,A28)</f>
        <v/>
      </c>
      <c r="U28">
        <f>SUMIFS(Allocation!$J$2:$J$175,Allocation!$C$2:$C$175,A28)</f>
        <v/>
      </c>
      <c r="V28">
        <f>SUMIFS(Allocation!$K$2:$K$175,Allocation!$C$2:$C$175,A28)</f>
        <v/>
      </c>
      <c r="W28">
        <f>SUMIFS(Compta!$F$2:$F$675,Compta!$A$2:$A$675,B28,Compta!$B$2:$B$675,"621",Compta!$C$2:$C$675,A28)</f>
        <v/>
      </c>
      <c r="X28">
        <f>SUMIFS(Compta!$F$2:$F$675,Compta!$A$2:$A$675,B28,Compta!$B$2:$B$675,"6411",Compta!$C$2:$C$675,A28)</f>
        <v/>
      </c>
      <c r="Y28">
        <f>SUMIFS(Compta!$F$2:$F$675,Compta!$A$2:$A$675,B28,Compta!$B$2:$B$675,"604",Compta!$C$2:$C$675,A28)+SUMIFS(Compta!$F$2:$F$675,Compta!$A$2:$A$675,B28,Compta!$B$2:$B$675,"6063",Compta!$C$2:$C$675,A28)</f>
        <v/>
      </c>
      <c r="Z28">
        <f>SUMIFS(Compta!$F$2:$F$675,Compta!$A$2:$A$675,B28,Compta!$B$2:$B$675,"6231",Compta!$C$2:$C$675,A28)</f>
        <v/>
      </c>
      <c r="AA28">
        <f>SUMIFS(Compta!$F$2:$F$675,Compta!$A$2:$A$675,B28,Compta!$B$2:$B$675,"6413",Compta!$C$2:$C$675,A28)+SUMIFS(Compta!$F$2:$F$675,Compta!$A$2:$A$675,B28,Compta!$B$2:$B$675,"645",Compta!$C$2:$C$675,A28)+SUMIFS(Compta!$F$2:$F$675,Compta!$A$2:$A$675,B28,Compta!$B$2:$B$675,"613",Compta!$C$2:$C$675,A28)+SUMIFS(Compta!$F$2:$F$675,Compta!$A$2:$A$675,B28,Compta!$B$2:$B$675,"615",Compta!$C$2:$C$675,A28)+SUMIFS(Compta!$F$2:$F$675,Compta!$A$2:$A$675,B28,Compta!$B$2:$B$675,"616",Compta!$C$2:$C$675,A28)+SUMIFS(Compta!$F$2:$F$675,Compta!$A$2:$A$675,B28,Compta!$B$2:$B$675,"625",Compta!$C$2:$C$675,A28)+SUMIFS(Compta!$F$2:$F$675,Compta!$A$2:$A$675,B28,Compta!$B$2:$B$675,"63511",Compta!$C$2:$C$675,A28)</f>
        <v/>
      </c>
      <c r="AB28">
        <f>SUMIFS(Compta!$F$2:$F$675,Compta!$A$2:$A$675,"GRP",Compta!$B$2:$B$675,"6414",Compta!$C$2:$C$675,A28)+SUMIFS(Compta!$F$2:$F$675,Compta!$A$2:$A$675,"GRP",Compta!$B$2:$B$675,"6226",Compta!$C$2:$C$675,A28)+SUMIFS(Compta!$F$2:$F$675,Compta!$A$2:$A$675,"GRP",Compta!$B$2:$B$675,"6236",Compta!$C$2:$C$675,A28)+SUMIFS(Compta!$F$2:$F$675,Compta!$A$2:$A$675,"GRP",Compta!$B$2:$B$675,"626",Compta!$C$2:$C$675,A28)+SUMIFS(Compta!$F$2:$F$675,Compta!$A$2:$A$675,"GRP",Compta!$B$2:$B$675,"6281",Compta!$C$2:$C$675,A28)+SUMIFS(Compta!$F$2:$F$675,Compta!$A$2:$A$675,"GRP",Compta!$B$2:$B$675,"6331",Compta!$C$2:$C$675,A28)+SUMIFS(Compta!$F$2:$F$675,Compta!$A$2:$A$675,"GRP",Compta!$B$2:$B$675,"6333",Compta!$C$2:$C$675,A28)</f>
        <v/>
      </c>
      <c r="AC28">
        <f>IF(Pilotage!$E$10="Chiffre d'affaires",I28,IF(Pilotage!$E$10="Effectif",G28,H28))</f>
        <v/>
      </c>
      <c r="AD28">
        <f>IF(Pilotage!$E$10="Chiffre d'affaires",N28,IF(Pilotage!$E$10="Effectif",L28,M28))</f>
        <v/>
      </c>
      <c r="AE28">
        <f>IF(Pilotage!$E$8="Chiffre d'affaires",N28,IF(Pilotage!$E$8="Effectif",L28,M28))</f>
        <v/>
      </c>
      <c r="AF28">
        <f>IF(Pilotage!$E$8="Chiffre d'affaires",S28,IF(Pilotage!$E$8="Effectif",Q28,R28))</f>
        <v/>
      </c>
      <c r="AG28">
        <f>IF(Pilotage!$E$9="Chiffre d'affaires",S28,IF(Pilotage!$E$9="Effectif",Q28,R28))</f>
        <v/>
      </c>
      <c r="AH28">
        <f>IF(Pilotage!$E$9="Chiffre d'affaires",V28,IF(Pilotage!$E$9="Effectif",T28,U28))</f>
        <v/>
      </c>
      <c r="AI28">
        <f>W28*IFERROR(K28/O28,0)</f>
        <v/>
      </c>
      <c r="AJ28">
        <f>X28*IFERROR(K28/O28,0)</f>
        <v/>
      </c>
      <c r="AK28">
        <f>Y28*IFERROR(G28/L28,0)+Z28*IFERROR(J28/P28,0)</f>
        <v/>
      </c>
      <c r="AL28">
        <f>AA28*IFERROR(AC28/AD28,0)</f>
        <v/>
      </c>
      <c r="AM28">
        <f>AB28*IFERROR(AG28/AH28,0)*IFERROR(AE28/AF28,0)*IFERROR(AC28/AD28,0)</f>
        <v/>
      </c>
      <c r="AN28">
        <f>I28-(AI28+AJ28+AK28+AL28+AM28)</f>
        <v/>
      </c>
    </row>
    <row r="29">
      <c r="A29">
        <f>Allocation!C29</f>
        <v/>
      </c>
      <c r="B29">
        <f>Allocation!D29</f>
        <v/>
      </c>
      <c r="C29">
        <f>Allocation!E29</f>
        <v/>
      </c>
      <c r="D29">
        <f>Allocation!F29</f>
        <v/>
      </c>
      <c r="E29">
        <f>Allocation!G29</f>
        <v/>
      </c>
      <c r="F29">
        <f>Allocation!H29</f>
        <v/>
      </c>
      <c r="G29">
        <f>Allocation!I29</f>
        <v/>
      </c>
      <c r="H29">
        <f>Allocation!J29</f>
        <v/>
      </c>
      <c r="I29">
        <f>Allocation!K29</f>
        <v/>
      </c>
      <c r="J29">
        <f>SUMIFS(Socle!$K$2:$K$175,Socle!$C$2:$C$175,B29,Socle!$D$2:$D$175,D29,Socle!$E$2:$E$175,E29,Socle!$F$2:$F$175,F29,Socle!$G$2:$G$175,A29)</f>
        <v/>
      </c>
      <c r="K29">
        <f>H29*IF(AND(LEFT(D29,3)="BAC",F29="INIT"),600,IF(LEFT(D29,3)="BAC",480,IF(AND(LEFT(D29,3)="MAS",F29="INIT"),520,IF(LEFT(D29,3)="MAS",420,IF(F29="INIT",1000,700)))))</f>
        <v/>
      </c>
      <c r="L29">
        <f>SUMIFS(Allocation!$I$2:$I$175,Allocation!$C$2:$C$175,A29,Allocation!$D$2:$D$175,B29)</f>
        <v/>
      </c>
      <c r="M29">
        <f>SUMIFS(Allocation!$J$2:$J$175,Allocation!$C$2:$C$175,A29,Allocation!$D$2:$D$175,B29)</f>
        <v/>
      </c>
      <c r="N29">
        <f>SUMIFS(Allocation!$K$2:$K$175,Allocation!$C$2:$C$175,A29,Allocation!$D$2:$D$175,B29)</f>
        <v/>
      </c>
      <c r="O29">
        <f>SUMIFS($K$2:$K$175,$A$2:$A$175,A29,$B$2:$B$175,B29)</f>
        <v/>
      </c>
      <c r="P29">
        <f>SUMIFS($J$2:$J$175,$A$2:$A$175,A29,$B$2:$B$175,B29)</f>
        <v/>
      </c>
      <c r="Q29">
        <f>SUMIFS(Allocation!$I$2:$I$175,Allocation!$C$2:$C$175,A29,Allocation!$E$2:$E$175,C29)</f>
        <v/>
      </c>
      <c r="R29">
        <f>SUMIFS(Allocation!$J$2:$J$175,Allocation!$C$2:$C$175,A29,Allocation!$E$2:$E$175,C29)</f>
        <v/>
      </c>
      <c r="S29">
        <f>SUMIFS(Allocation!$K$2:$K$175,Allocation!$C$2:$C$175,A29,Allocation!$E$2:$E$175,C29)</f>
        <v/>
      </c>
      <c r="T29">
        <f>SUMIFS(Allocation!$I$2:$I$175,Allocation!$C$2:$C$175,A29)</f>
        <v/>
      </c>
      <c r="U29">
        <f>SUMIFS(Allocation!$J$2:$J$175,Allocation!$C$2:$C$175,A29)</f>
        <v/>
      </c>
      <c r="V29">
        <f>SUMIFS(Allocation!$K$2:$K$175,Allocation!$C$2:$C$175,A29)</f>
        <v/>
      </c>
      <c r="W29">
        <f>SUMIFS(Compta!$F$2:$F$675,Compta!$A$2:$A$675,B29,Compta!$B$2:$B$675,"621",Compta!$C$2:$C$675,A29)</f>
        <v/>
      </c>
      <c r="X29">
        <f>SUMIFS(Compta!$F$2:$F$675,Compta!$A$2:$A$675,B29,Compta!$B$2:$B$675,"6411",Compta!$C$2:$C$675,A29)</f>
        <v/>
      </c>
      <c r="Y29">
        <f>SUMIFS(Compta!$F$2:$F$675,Compta!$A$2:$A$675,B29,Compta!$B$2:$B$675,"604",Compta!$C$2:$C$675,A29)+SUMIFS(Compta!$F$2:$F$675,Compta!$A$2:$A$675,B29,Compta!$B$2:$B$675,"6063",Compta!$C$2:$C$675,A29)</f>
        <v/>
      </c>
      <c r="Z29">
        <f>SUMIFS(Compta!$F$2:$F$675,Compta!$A$2:$A$675,B29,Compta!$B$2:$B$675,"6231",Compta!$C$2:$C$675,A29)</f>
        <v/>
      </c>
      <c r="AA29">
        <f>SUMIFS(Compta!$F$2:$F$675,Compta!$A$2:$A$675,B29,Compta!$B$2:$B$675,"6413",Compta!$C$2:$C$675,A29)+SUMIFS(Compta!$F$2:$F$675,Compta!$A$2:$A$675,B29,Compta!$B$2:$B$675,"645",Compta!$C$2:$C$675,A29)+SUMIFS(Compta!$F$2:$F$675,Compta!$A$2:$A$675,B29,Compta!$B$2:$B$675,"613",Compta!$C$2:$C$675,A29)+SUMIFS(Compta!$F$2:$F$675,Compta!$A$2:$A$675,B29,Compta!$B$2:$B$675,"615",Compta!$C$2:$C$675,A29)+SUMIFS(Compta!$F$2:$F$675,Compta!$A$2:$A$675,B29,Compta!$B$2:$B$675,"616",Compta!$C$2:$C$675,A29)+SUMIFS(Compta!$F$2:$F$675,Compta!$A$2:$A$675,B29,Compta!$B$2:$B$675,"625",Compta!$C$2:$C$675,A29)+SUMIFS(Compta!$F$2:$F$675,Compta!$A$2:$A$675,B29,Compta!$B$2:$B$675,"63511",Compta!$C$2:$C$675,A29)</f>
        <v/>
      </c>
      <c r="AB29">
        <f>SUMIFS(Compta!$F$2:$F$675,Compta!$A$2:$A$675,"GRP",Compta!$B$2:$B$675,"6414",Compta!$C$2:$C$675,A29)+SUMIFS(Compta!$F$2:$F$675,Compta!$A$2:$A$675,"GRP",Compta!$B$2:$B$675,"6226",Compta!$C$2:$C$675,A29)+SUMIFS(Compta!$F$2:$F$675,Compta!$A$2:$A$675,"GRP",Compta!$B$2:$B$675,"6236",Compta!$C$2:$C$675,A29)+SUMIFS(Compta!$F$2:$F$675,Compta!$A$2:$A$675,"GRP",Compta!$B$2:$B$675,"626",Compta!$C$2:$C$675,A29)+SUMIFS(Compta!$F$2:$F$675,Compta!$A$2:$A$675,"GRP",Compta!$B$2:$B$675,"6281",Compta!$C$2:$C$675,A29)+SUMIFS(Compta!$F$2:$F$675,Compta!$A$2:$A$675,"GRP",Compta!$B$2:$B$675,"6331",Compta!$C$2:$C$675,A29)+SUMIFS(Compta!$F$2:$F$675,Compta!$A$2:$A$675,"GRP",Compta!$B$2:$B$675,"6333",Compta!$C$2:$C$675,A29)</f>
        <v/>
      </c>
      <c r="AC29">
        <f>IF(Pilotage!$E$10="Chiffre d'affaires",I29,IF(Pilotage!$E$10="Effectif",G29,H29))</f>
        <v/>
      </c>
      <c r="AD29">
        <f>IF(Pilotage!$E$10="Chiffre d'affaires",N29,IF(Pilotage!$E$10="Effectif",L29,M29))</f>
        <v/>
      </c>
      <c r="AE29">
        <f>IF(Pilotage!$E$8="Chiffre d'affaires",N29,IF(Pilotage!$E$8="Effectif",L29,M29))</f>
        <v/>
      </c>
      <c r="AF29">
        <f>IF(Pilotage!$E$8="Chiffre d'affaires",S29,IF(Pilotage!$E$8="Effectif",Q29,R29))</f>
        <v/>
      </c>
      <c r="AG29">
        <f>IF(Pilotage!$E$9="Chiffre d'affaires",S29,IF(Pilotage!$E$9="Effectif",Q29,R29))</f>
        <v/>
      </c>
      <c r="AH29">
        <f>IF(Pilotage!$E$9="Chiffre d'affaires",V29,IF(Pilotage!$E$9="Effectif",T29,U29))</f>
        <v/>
      </c>
      <c r="AI29">
        <f>W29*IFERROR(K29/O29,0)</f>
        <v/>
      </c>
      <c r="AJ29">
        <f>X29*IFERROR(K29/O29,0)</f>
        <v/>
      </c>
      <c r="AK29">
        <f>Y29*IFERROR(G29/L29,0)+Z29*IFERROR(J29/P29,0)</f>
        <v/>
      </c>
      <c r="AL29">
        <f>AA29*IFERROR(AC29/AD29,0)</f>
        <v/>
      </c>
      <c r="AM29">
        <f>AB29*IFERROR(AG29/AH29,0)*IFERROR(AE29/AF29,0)*IFERROR(AC29/AD29,0)</f>
        <v/>
      </c>
      <c r="AN29">
        <f>I29-(AI29+AJ29+AK29+AL29+AM29)</f>
        <v/>
      </c>
    </row>
    <row r="30">
      <c r="A30">
        <f>Allocation!C30</f>
        <v/>
      </c>
      <c r="B30">
        <f>Allocation!D30</f>
        <v/>
      </c>
      <c r="C30">
        <f>Allocation!E30</f>
        <v/>
      </c>
      <c r="D30">
        <f>Allocation!F30</f>
        <v/>
      </c>
      <c r="E30">
        <f>Allocation!G30</f>
        <v/>
      </c>
      <c r="F30">
        <f>Allocation!H30</f>
        <v/>
      </c>
      <c r="G30">
        <f>Allocation!I30</f>
        <v/>
      </c>
      <c r="H30">
        <f>Allocation!J30</f>
        <v/>
      </c>
      <c r="I30">
        <f>Allocation!K30</f>
        <v/>
      </c>
      <c r="J30">
        <f>SUMIFS(Socle!$K$2:$K$175,Socle!$C$2:$C$175,B30,Socle!$D$2:$D$175,D30,Socle!$E$2:$E$175,E30,Socle!$F$2:$F$175,F30,Socle!$G$2:$G$175,A30)</f>
        <v/>
      </c>
      <c r="K30">
        <f>H30*IF(AND(LEFT(D30,3)="BAC",F30="INIT"),600,IF(LEFT(D30,3)="BAC",480,IF(AND(LEFT(D30,3)="MAS",F30="INIT"),520,IF(LEFT(D30,3)="MAS",420,IF(F30="INIT",1000,700)))))</f>
        <v/>
      </c>
      <c r="L30">
        <f>SUMIFS(Allocation!$I$2:$I$175,Allocation!$C$2:$C$175,A30,Allocation!$D$2:$D$175,B30)</f>
        <v/>
      </c>
      <c r="M30">
        <f>SUMIFS(Allocation!$J$2:$J$175,Allocation!$C$2:$C$175,A30,Allocation!$D$2:$D$175,B30)</f>
        <v/>
      </c>
      <c r="N30">
        <f>SUMIFS(Allocation!$K$2:$K$175,Allocation!$C$2:$C$175,A30,Allocation!$D$2:$D$175,B30)</f>
        <v/>
      </c>
      <c r="O30">
        <f>SUMIFS($K$2:$K$175,$A$2:$A$175,A30,$B$2:$B$175,B30)</f>
        <v/>
      </c>
      <c r="P30">
        <f>SUMIFS($J$2:$J$175,$A$2:$A$175,A30,$B$2:$B$175,B30)</f>
        <v/>
      </c>
      <c r="Q30">
        <f>SUMIFS(Allocation!$I$2:$I$175,Allocation!$C$2:$C$175,A30,Allocation!$E$2:$E$175,C30)</f>
        <v/>
      </c>
      <c r="R30">
        <f>SUMIFS(Allocation!$J$2:$J$175,Allocation!$C$2:$C$175,A30,Allocation!$E$2:$E$175,C30)</f>
        <v/>
      </c>
      <c r="S30">
        <f>SUMIFS(Allocation!$K$2:$K$175,Allocation!$C$2:$C$175,A30,Allocation!$E$2:$E$175,C30)</f>
        <v/>
      </c>
      <c r="T30">
        <f>SUMIFS(Allocation!$I$2:$I$175,Allocation!$C$2:$C$175,A30)</f>
        <v/>
      </c>
      <c r="U30">
        <f>SUMIFS(Allocation!$J$2:$J$175,Allocation!$C$2:$C$175,A30)</f>
        <v/>
      </c>
      <c r="V30">
        <f>SUMIFS(Allocation!$K$2:$K$175,Allocation!$C$2:$C$175,A30)</f>
        <v/>
      </c>
      <c r="W30">
        <f>SUMIFS(Compta!$F$2:$F$675,Compta!$A$2:$A$675,B30,Compta!$B$2:$B$675,"621",Compta!$C$2:$C$675,A30)</f>
        <v/>
      </c>
      <c r="X30">
        <f>SUMIFS(Compta!$F$2:$F$675,Compta!$A$2:$A$675,B30,Compta!$B$2:$B$675,"6411",Compta!$C$2:$C$675,A30)</f>
        <v/>
      </c>
      <c r="Y30">
        <f>SUMIFS(Compta!$F$2:$F$675,Compta!$A$2:$A$675,B30,Compta!$B$2:$B$675,"604",Compta!$C$2:$C$675,A30)+SUMIFS(Compta!$F$2:$F$675,Compta!$A$2:$A$675,B30,Compta!$B$2:$B$675,"6063",Compta!$C$2:$C$675,A30)</f>
        <v/>
      </c>
      <c r="Z30">
        <f>SUMIFS(Compta!$F$2:$F$675,Compta!$A$2:$A$675,B30,Compta!$B$2:$B$675,"6231",Compta!$C$2:$C$675,A30)</f>
        <v/>
      </c>
      <c r="AA30">
        <f>SUMIFS(Compta!$F$2:$F$675,Compta!$A$2:$A$675,B30,Compta!$B$2:$B$675,"6413",Compta!$C$2:$C$675,A30)+SUMIFS(Compta!$F$2:$F$675,Compta!$A$2:$A$675,B30,Compta!$B$2:$B$675,"645",Compta!$C$2:$C$675,A30)+SUMIFS(Compta!$F$2:$F$675,Compta!$A$2:$A$675,B30,Compta!$B$2:$B$675,"613",Compta!$C$2:$C$675,A30)+SUMIFS(Compta!$F$2:$F$675,Compta!$A$2:$A$675,B30,Compta!$B$2:$B$675,"615",Compta!$C$2:$C$675,A30)+SUMIFS(Compta!$F$2:$F$675,Compta!$A$2:$A$675,B30,Compta!$B$2:$B$675,"616",Compta!$C$2:$C$675,A30)+SUMIFS(Compta!$F$2:$F$675,Compta!$A$2:$A$675,B30,Compta!$B$2:$B$675,"625",Compta!$C$2:$C$675,A30)+SUMIFS(Compta!$F$2:$F$675,Compta!$A$2:$A$675,B30,Compta!$B$2:$B$675,"63511",Compta!$C$2:$C$675,A30)</f>
        <v/>
      </c>
      <c r="AB30">
        <f>SUMIFS(Compta!$F$2:$F$675,Compta!$A$2:$A$675,"GRP",Compta!$B$2:$B$675,"6414",Compta!$C$2:$C$675,A30)+SUMIFS(Compta!$F$2:$F$675,Compta!$A$2:$A$675,"GRP",Compta!$B$2:$B$675,"6226",Compta!$C$2:$C$675,A30)+SUMIFS(Compta!$F$2:$F$675,Compta!$A$2:$A$675,"GRP",Compta!$B$2:$B$675,"6236",Compta!$C$2:$C$675,A30)+SUMIFS(Compta!$F$2:$F$675,Compta!$A$2:$A$675,"GRP",Compta!$B$2:$B$675,"626",Compta!$C$2:$C$675,A30)+SUMIFS(Compta!$F$2:$F$675,Compta!$A$2:$A$675,"GRP",Compta!$B$2:$B$675,"6281",Compta!$C$2:$C$675,A30)+SUMIFS(Compta!$F$2:$F$675,Compta!$A$2:$A$675,"GRP",Compta!$B$2:$B$675,"6331",Compta!$C$2:$C$675,A30)+SUMIFS(Compta!$F$2:$F$675,Compta!$A$2:$A$675,"GRP",Compta!$B$2:$B$675,"6333",Compta!$C$2:$C$675,A30)</f>
        <v/>
      </c>
      <c r="AC30">
        <f>IF(Pilotage!$E$10="Chiffre d'affaires",I30,IF(Pilotage!$E$10="Effectif",G30,H30))</f>
        <v/>
      </c>
      <c r="AD30">
        <f>IF(Pilotage!$E$10="Chiffre d'affaires",N30,IF(Pilotage!$E$10="Effectif",L30,M30))</f>
        <v/>
      </c>
      <c r="AE30">
        <f>IF(Pilotage!$E$8="Chiffre d'affaires",N30,IF(Pilotage!$E$8="Effectif",L30,M30))</f>
        <v/>
      </c>
      <c r="AF30">
        <f>IF(Pilotage!$E$8="Chiffre d'affaires",S30,IF(Pilotage!$E$8="Effectif",Q30,R30))</f>
        <v/>
      </c>
      <c r="AG30">
        <f>IF(Pilotage!$E$9="Chiffre d'affaires",S30,IF(Pilotage!$E$9="Effectif",Q30,R30))</f>
        <v/>
      </c>
      <c r="AH30">
        <f>IF(Pilotage!$E$9="Chiffre d'affaires",V30,IF(Pilotage!$E$9="Effectif",T30,U30))</f>
        <v/>
      </c>
      <c r="AI30">
        <f>W30*IFERROR(K30/O30,0)</f>
        <v/>
      </c>
      <c r="AJ30">
        <f>X30*IFERROR(K30/O30,0)</f>
        <v/>
      </c>
      <c r="AK30">
        <f>Y30*IFERROR(G30/L30,0)+Z30*IFERROR(J30/P30,0)</f>
        <v/>
      </c>
      <c r="AL30">
        <f>AA30*IFERROR(AC30/AD30,0)</f>
        <v/>
      </c>
      <c r="AM30">
        <f>AB30*IFERROR(AG30/AH30,0)*IFERROR(AE30/AF30,0)*IFERROR(AC30/AD30,0)</f>
        <v/>
      </c>
      <c r="AN30">
        <f>I30-(AI30+AJ30+AK30+AL30+AM30)</f>
        <v/>
      </c>
    </row>
    <row r="31">
      <c r="A31">
        <f>Allocation!C31</f>
        <v/>
      </c>
      <c r="B31">
        <f>Allocation!D31</f>
        <v/>
      </c>
      <c r="C31">
        <f>Allocation!E31</f>
        <v/>
      </c>
      <c r="D31">
        <f>Allocation!F31</f>
        <v/>
      </c>
      <c r="E31">
        <f>Allocation!G31</f>
        <v/>
      </c>
      <c r="F31">
        <f>Allocation!H31</f>
        <v/>
      </c>
      <c r="G31">
        <f>Allocation!I31</f>
        <v/>
      </c>
      <c r="H31">
        <f>Allocation!J31</f>
        <v/>
      </c>
      <c r="I31">
        <f>Allocation!K31</f>
        <v/>
      </c>
      <c r="J31">
        <f>SUMIFS(Socle!$K$2:$K$175,Socle!$C$2:$C$175,B31,Socle!$D$2:$D$175,D31,Socle!$E$2:$E$175,E31,Socle!$F$2:$F$175,F31,Socle!$G$2:$G$175,A31)</f>
        <v/>
      </c>
      <c r="K31">
        <f>H31*IF(AND(LEFT(D31,3)="BAC",F31="INIT"),600,IF(LEFT(D31,3)="BAC",480,IF(AND(LEFT(D31,3)="MAS",F31="INIT"),520,IF(LEFT(D31,3)="MAS",420,IF(F31="INIT",1000,700)))))</f>
        <v/>
      </c>
      <c r="L31">
        <f>SUMIFS(Allocation!$I$2:$I$175,Allocation!$C$2:$C$175,A31,Allocation!$D$2:$D$175,B31)</f>
        <v/>
      </c>
      <c r="M31">
        <f>SUMIFS(Allocation!$J$2:$J$175,Allocation!$C$2:$C$175,A31,Allocation!$D$2:$D$175,B31)</f>
        <v/>
      </c>
      <c r="N31">
        <f>SUMIFS(Allocation!$K$2:$K$175,Allocation!$C$2:$C$175,A31,Allocation!$D$2:$D$175,B31)</f>
        <v/>
      </c>
      <c r="O31">
        <f>SUMIFS($K$2:$K$175,$A$2:$A$175,A31,$B$2:$B$175,B31)</f>
        <v/>
      </c>
      <c r="P31">
        <f>SUMIFS($J$2:$J$175,$A$2:$A$175,A31,$B$2:$B$175,B31)</f>
        <v/>
      </c>
      <c r="Q31">
        <f>SUMIFS(Allocation!$I$2:$I$175,Allocation!$C$2:$C$175,A31,Allocation!$E$2:$E$175,C31)</f>
        <v/>
      </c>
      <c r="R31">
        <f>SUMIFS(Allocation!$J$2:$J$175,Allocation!$C$2:$C$175,A31,Allocation!$E$2:$E$175,C31)</f>
        <v/>
      </c>
      <c r="S31">
        <f>SUMIFS(Allocation!$K$2:$K$175,Allocation!$C$2:$C$175,A31,Allocation!$E$2:$E$175,C31)</f>
        <v/>
      </c>
      <c r="T31">
        <f>SUMIFS(Allocation!$I$2:$I$175,Allocation!$C$2:$C$175,A31)</f>
        <v/>
      </c>
      <c r="U31">
        <f>SUMIFS(Allocation!$J$2:$J$175,Allocation!$C$2:$C$175,A31)</f>
        <v/>
      </c>
      <c r="V31">
        <f>SUMIFS(Allocation!$K$2:$K$175,Allocation!$C$2:$C$175,A31)</f>
        <v/>
      </c>
      <c r="W31">
        <f>SUMIFS(Compta!$F$2:$F$675,Compta!$A$2:$A$675,B31,Compta!$B$2:$B$675,"621",Compta!$C$2:$C$675,A31)</f>
        <v/>
      </c>
      <c r="X31">
        <f>SUMIFS(Compta!$F$2:$F$675,Compta!$A$2:$A$675,B31,Compta!$B$2:$B$675,"6411",Compta!$C$2:$C$675,A31)</f>
        <v/>
      </c>
      <c r="Y31">
        <f>SUMIFS(Compta!$F$2:$F$675,Compta!$A$2:$A$675,B31,Compta!$B$2:$B$675,"604",Compta!$C$2:$C$675,A31)+SUMIFS(Compta!$F$2:$F$675,Compta!$A$2:$A$675,B31,Compta!$B$2:$B$675,"6063",Compta!$C$2:$C$675,A31)</f>
        <v/>
      </c>
      <c r="Z31">
        <f>SUMIFS(Compta!$F$2:$F$675,Compta!$A$2:$A$675,B31,Compta!$B$2:$B$675,"6231",Compta!$C$2:$C$675,A31)</f>
        <v/>
      </c>
      <c r="AA31">
        <f>SUMIFS(Compta!$F$2:$F$675,Compta!$A$2:$A$675,B31,Compta!$B$2:$B$675,"6413",Compta!$C$2:$C$675,A31)+SUMIFS(Compta!$F$2:$F$675,Compta!$A$2:$A$675,B31,Compta!$B$2:$B$675,"645",Compta!$C$2:$C$675,A31)+SUMIFS(Compta!$F$2:$F$675,Compta!$A$2:$A$675,B31,Compta!$B$2:$B$675,"613",Compta!$C$2:$C$675,A31)+SUMIFS(Compta!$F$2:$F$675,Compta!$A$2:$A$675,B31,Compta!$B$2:$B$675,"615",Compta!$C$2:$C$675,A31)+SUMIFS(Compta!$F$2:$F$675,Compta!$A$2:$A$675,B31,Compta!$B$2:$B$675,"616",Compta!$C$2:$C$675,A31)+SUMIFS(Compta!$F$2:$F$675,Compta!$A$2:$A$675,B31,Compta!$B$2:$B$675,"625",Compta!$C$2:$C$675,A31)+SUMIFS(Compta!$F$2:$F$675,Compta!$A$2:$A$675,B31,Compta!$B$2:$B$675,"63511",Compta!$C$2:$C$675,A31)</f>
        <v/>
      </c>
      <c r="AB31">
        <f>SUMIFS(Compta!$F$2:$F$675,Compta!$A$2:$A$675,"GRP",Compta!$B$2:$B$675,"6414",Compta!$C$2:$C$675,A31)+SUMIFS(Compta!$F$2:$F$675,Compta!$A$2:$A$675,"GRP",Compta!$B$2:$B$675,"6226",Compta!$C$2:$C$675,A31)+SUMIFS(Compta!$F$2:$F$675,Compta!$A$2:$A$675,"GRP",Compta!$B$2:$B$675,"6236",Compta!$C$2:$C$675,A31)+SUMIFS(Compta!$F$2:$F$675,Compta!$A$2:$A$675,"GRP",Compta!$B$2:$B$675,"626",Compta!$C$2:$C$675,A31)+SUMIFS(Compta!$F$2:$F$675,Compta!$A$2:$A$675,"GRP",Compta!$B$2:$B$675,"6281",Compta!$C$2:$C$675,A31)+SUMIFS(Compta!$F$2:$F$675,Compta!$A$2:$A$675,"GRP",Compta!$B$2:$B$675,"6331",Compta!$C$2:$C$675,A31)+SUMIFS(Compta!$F$2:$F$675,Compta!$A$2:$A$675,"GRP",Compta!$B$2:$B$675,"6333",Compta!$C$2:$C$675,A31)</f>
        <v/>
      </c>
      <c r="AC31">
        <f>IF(Pilotage!$E$10="Chiffre d'affaires",I31,IF(Pilotage!$E$10="Effectif",G31,H31))</f>
        <v/>
      </c>
      <c r="AD31">
        <f>IF(Pilotage!$E$10="Chiffre d'affaires",N31,IF(Pilotage!$E$10="Effectif",L31,M31))</f>
        <v/>
      </c>
      <c r="AE31">
        <f>IF(Pilotage!$E$8="Chiffre d'affaires",N31,IF(Pilotage!$E$8="Effectif",L31,M31))</f>
        <v/>
      </c>
      <c r="AF31">
        <f>IF(Pilotage!$E$8="Chiffre d'affaires",S31,IF(Pilotage!$E$8="Effectif",Q31,R31))</f>
        <v/>
      </c>
      <c r="AG31">
        <f>IF(Pilotage!$E$9="Chiffre d'affaires",S31,IF(Pilotage!$E$9="Effectif",Q31,R31))</f>
        <v/>
      </c>
      <c r="AH31">
        <f>IF(Pilotage!$E$9="Chiffre d'affaires",V31,IF(Pilotage!$E$9="Effectif",T31,U31))</f>
        <v/>
      </c>
      <c r="AI31">
        <f>W31*IFERROR(K31/O31,0)</f>
        <v/>
      </c>
      <c r="AJ31">
        <f>X31*IFERROR(K31/O31,0)</f>
        <v/>
      </c>
      <c r="AK31">
        <f>Y31*IFERROR(G31/L31,0)+Z31*IFERROR(J31/P31,0)</f>
        <v/>
      </c>
      <c r="AL31">
        <f>AA31*IFERROR(AC31/AD31,0)</f>
        <v/>
      </c>
      <c r="AM31">
        <f>AB31*IFERROR(AG31/AH31,0)*IFERROR(AE31/AF31,0)*IFERROR(AC31/AD31,0)</f>
        <v/>
      </c>
      <c r="AN31">
        <f>I31-(AI31+AJ31+AK31+AL31+AM31)</f>
        <v/>
      </c>
    </row>
    <row r="32">
      <c r="A32">
        <f>Allocation!C32</f>
        <v/>
      </c>
      <c r="B32">
        <f>Allocation!D32</f>
        <v/>
      </c>
      <c r="C32">
        <f>Allocation!E32</f>
        <v/>
      </c>
      <c r="D32">
        <f>Allocation!F32</f>
        <v/>
      </c>
      <c r="E32">
        <f>Allocation!G32</f>
        <v/>
      </c>
      <c r="F32">
        <f>Allocation!H32</f>
        <v/>
      </c>
      <c r="G32">
        <f>Allocation!I32</f>
        <v/>
      </c>
      <c r="H32">
        <f>Allocation!J32</f>
        <v/>
      </c>
      <c r="I32">
        <f>Allocation!K32</f>
        <v/>
      </c>
      <c r="J32">
        <f>SUMIFS(Socle!$K$2:$K$175,Socle!$C$2:$C$175,B32,Socle!$D$2:$D$175,D32,Socle!$E$2:$E$175,E32,Socle!$F$2:$F$175,F32,Socle!$G$2:$G$175,A32)</f>
        <v/>
      </c>
      <c r="K32">
        <f>H32*IF(AND(LEFT(D32,3)="BAC",F32="INIT"),600,IF(LEFT(D32,3)="BAC",480,IF(AND(LEFT(D32,3)="MAS",F32="INIT"),520,IF(LEFT(D32,3)="MAS",420,IF(F32="INIT",1000,700)))))</f>
        <v/>
      </c>
      <c r="L32">
        <f>SUMIFS(Allocation!$I$2:$I$175,Allocation!$C$2:$C$175,A32,Allocation!$D$2:$D$175,B32)</f>
        <v/>
      </c>
      <c r="M32">
        <f>SUMIFS(Allocation!$J$2:$J$175,Allocation!$C$2:$C$175,A32,Allocation!$D$2:$D$175,B32)</f>
        <v/>
      </c>
      <c r="N32">
        <f>SUMIFS(Allocation!$K$2:$K$175,Allocation!$C$2:$C$175,A32,Allocation!$D$2:$D$175,B32)</f>
        <v/>
      </c>
      <c r="O32">
        <f>SUMIFS($K$2:$K$175,$A$2:$A$175,A32,$B$2:$B$175,B32)</f>
        <v/>
      </c>
      <c r="P32">
        <f>SUMIFS($J$2:$J$175,$A$2:$A$175,A32,$B$2:$B$175,B32)</f>
        <v/>
      </c>
      <c r="Q32">
        <f>SUMIFS(Allocation!$I$2:$I$175,Allocation!$C$2:$C$175,A32,Allocation!$E$2:$E$175,C32)</f>
        <v/>
      </c>
      <c r="R32">
        <f>SUMIFS(Allocation!$J$2:$J$175,Allocation!$C$2:$C$175,A32,Allocation!$E$2:$E$175,C32)</f>
        <v/>
      </c>
      <c r="S32">
        <f>SUMIFS(Allocation!$K$2:$K$175,Allocation!$C$2:$C$175,A32,Allocation!$E$2:$E$175,C32)</f>
        <v/>
      </c>
      <c r="T32">
        <f>SUMIFS(Allocation!$I$2:$I$175,Allocation!$C$2:$C$175,A32)</f>
        <v/>
      </c>
      <c r="U32">
        <f>SUMIFS(Allocation!$J$2:$J$175,Allocation!$C$2:$C$175,A32)</f>
        <v/>
      </c>
      <c r="V32">
        <f>SUMIFS(Allocation!$K$2:$K$175,Allocation!$C$2:$C$175,A32)</f>
        <v/>
      </c>
      <c r="W32">
        <f>SUMIFS(Compta!$F$2:$F$675,Compta!$A$2:$A$675,B32,Compta!$B$2:$B$675,"621",Compta!$C$2:$C$675,A32)</f>
        <v/>
      </c>
      <c r="X32">
        <f>SUMIFS(Compta!$F$2:$F$675,Compta!$A$2:$A$675,B32,Compta!$B$2:$B$675,"6411",Compta!$C$2:$C$675,A32)</f>
        <v/>
      </c>
      <c r="Y32">
        <f>SUMIFS(Compta!$F$2:$F$675,Compta!$A$2:$A$675,B32,Compta!$B$2:$B$675,"604",Compta!$C$2:$C$675,A32)+SUMIFS(Compta!$F$2:$F$675,Compta!$A$2:$A$675,B32,Compta!$B$2:$B$675,"6063",Compta!$C$2:$C$675,A32)</f>
        <v/>
      </c>
      <c r="Z32">
        <f>SUMIFS(Compta!$F$2:$F$675,Compta!$A$2:$A$675,B32,Compta!$B$2:$B$675,"6231",Compta!$C$2:$C$675,A32)</f>
        <v/>
      </c>
      <c r="AA32">
        <f>SUMIFS(Compta!$F$2:$F$675,Compta!$A$2:$A$675,B32,Compta!$B$2:$B$675,"6413",Compta!$C$2:$C$675,A32)+SUMIFS(Compta!$F$2:$F$675,Compta!$A$2:$A$675,B32,Compta!$B$2:$B$675,"645",Compta!$C$2:$C$675,A32)+SUMIFS(Compta!$F$2:$F$675,Compta!$A$2:$A$675,B32,Compta!$B$2:$B$675,"613",Compta!$C$2:$C$675,A32)+SUMIFS(Compta!$F$2:$F$675,Compta!$A$2:$A$675,B32,Compta!$B$2:$B$675,"615",Compta!$C$2:$C$675,A32)+SUMIFS(Compta!$F$2:$F$675,Compta!$A$2:$A$675,B32,Compta!$B$2:$B$675,"616",Compta!$C$2:$C$675,A32)+SUMIFS(Compta!$F$2:$F$675,Compta!$A$2:$A$675,B32,Compta!$B$2:$B$675,"625",Compta!$C$2:$C$675,A32)+SUMIFS(Compta!$F$2:$F$675,Compta!$A$2:$A$675,B32,Compta!$B$2:$B$675,"63511",Compta!$C$2:$C$675,A32)</f>
        <v/>
      </c>
      <c r="AB32">
        <f>SUMIFS(Compta!$F$2:$F$675,Compta!$A$2:$A$675,"GRP",Compta!$B$2:$B$675,"6414",Compta!$C$2:$C$675,A32)+SUMIFS(Compta!$F$2:$F$675,Compta!$A$2:$A$675,"GRP",Compta!$B$2:$B$675,"6226",Compta!$C$2:$C$675,A32)+SUMIFS(Compta!$F$2:$F$675,Compta!$A$2:$A$675,"GRP",Compta!$B$2:$B$675,"6236",Compta!$C$2:$C$675,A32)+SUMIFS(Compta!$F$2:$F$675,Compta!$A$2:$A$675,"GRP",Compta!$B$2:$B$675,"626",Compta!$C$2:$C$675,A32)+SUMIFS(Compta!$F$2:$F$675,Compta!$A$2:$A$675,"GRP",Compta!$B$2:$B$675,"6281",Compta!$C$2:$C$675,A32)+SUMIFS(Compta!$F$2:$F$675,Compta!$A$2:$A$675,"GRP",Compta!$B$2:$B$675,"6331",Compta!$C$2:$C$675,A32)+SUMIFS(Compta!$F$2:$F$675,Compta!$A$2:$A$675,"GRP",Compta!$B$2:$B$675,"6333",Compta!$C$2:$C$675,A32)</f>
        <v/>
      </c>
      <c r="AC32">
        <f>IF(Pilotage!$E$10="Chiffre d'affaires",I32,IF(Pilotage!$E$10="Effectif",G32,H32))</f>
        <v/>
      </c>
      <c r="AD32">
        <f>IF(Pilotage!$E$10="Chiffre d'affaires",N32,IF(Pilotage!$E$10="Effectif",L32,M32))</f>
        <v/>
      </c>
      <c r="AE32">
        <f>IF(Pilotage!$E$8="Chiffre d'affaires",N32,IF(Pilotage!$E$8="Effectif",L32,M32))</f>
        <v/>
      </c>
      <c r="AF32">
        <f>IF(Pilotage!$E$8="Chiffre d'affaires",S32,IF(Pilotage!$E$8="Effectif",Q32,R32))</f>
        <v/>
      </c>
      <c r="AG32">
        <f>IF(Pilotage!$E$9="Chiffre d'affaires",S32,IF(Pilotage!$E$9="Effectif",Q32,R32))</f>
        <v/>
      </c>
      <c r="AH32">
        <f>IF(Pilotage!$E$9="Chiffre d'affaires",V32,IF(Pilotage!$E$9="Effectif",T32,U32))</f>
        <v/>
      </c>
      <c r="AI32">
        <f>W32*IFERROR(K32/O32,0)</f>
        <v/>
      </c>
      <c r="AJ32">
        <f>X32*IFERROR(K32/O32,0)</f>
        <v/>
      </c>
      <c r="AK32">
        <f>Y32*IFERROR(G32/L32,0)+Z32*IFERROR(J32/P32,0)</f>
        <v/>
      </c>
      <c r="AL32">
        <f>AA32*IFERROR(AC32/AD32,0)</f>
        <v/>
      </c>
      <c r="AM32">
        <f>AB32*IFERROR(AG32/AH32,0)*IFERROR(AE32/AF32,0)*IFERROR(AC32/AD32,0)</f>
        <v/>
      </c>
      <c r="AN32">
        <f>I32-(AI32+AJ32+AK32+AL32+AM32)</f>
        <v/>
      </c>
    </row>
    <row r="33">
      <c r="A33">
        <f>Allocation!C33</f>
        <v/>
      </c>
      <c r="B33">
        <f>Allocation!D33</f>
        <v/>
      </c>
      <c r="C33">
        <f>Allocation!E33</f>
        <v/>
      </c>
      <c r="D33">
        <f>Allocation!F33</f>
        <v/>
      </c>
      <c r="E33">
        <f>Allocation!G33</f>
        <v/>
      </c>
      <c r="F33">
        <f>Allocation!H33</f>
        <v/>
      </c>
      <c r="G33">
        <f>Allocation!I33</f>
        <v/>
      </c>
      <c r="H33">
        <f>Allocation!J33</f>
        <v/>
      </c>
      <c r="I33">
        <f>Allocation!K33</f>
        <v/>
      </c>
      <c r="J33">
        <f>SUMIFS(Socle!$K$2:$K$175,Socle!$C$2:$C$175,B33,Socle!$D$2:$D$175,D33,Socle!$E$2:$E$175,E33,Socle!$F$2:$F$175,F33,Socle!$G$2:$G$175,A33)</f>
        <v/>
      </c>
      <c r="K33">
        <f>H33*IF(AND(LEFT(D33,3)="BAC",F33="INIT"),600,IF(LEFT(D33,3)="BAC",480,IF(AND(LEFT(D33,3)="MAS",F33="INIT"),520,IF(LEFT(D33,3)="MAS",420,IF(F33="INIT",1000,700)))))</f>
        <v/>
      </c>
      <c r="L33">
        <f>SUMIFS(Allocation!$I$2:$I$175,Allocation!$C$2:$C$175,A33,Allocation!$D$2:$D$175,B33)</f>
        <v/>
      </c>
      <c r="M33">
        <f>SUMIFS(Allocation!$J$2:$J$175,Allocation!$C$2:$C$175,A33,Allocation!$D$2:$D$175,B33)</f>
        <v/>
      </c>
      <c r="N33">
        <f>SUMIFS(Allocation!$K$2:$K$175,Allocation!$C$2:$C$175,A33,Allocation!$D$2:$D$175,B33)</f>
        <v/>
      </c>
      <c r="O33">
        <f>SUMIFS($K$2:$K$175,$A$2:$A$175,A33,$B$2:$B$175,B33)</f>
        <v/>
      </c>
      <c r="P33">
        <f>SUMIFS($J$2:$J$175,$A$2:$A$175,A33,$B$2:$B$175,B33)</f>
        <v/>
      </c>
      <c r="Q33">
        <f>SUMIFS(Allocation!$I$2:$I$175,Allocation!$C$2:$C$175,A33,Allocation!$E$2:$E$175,C33)</f>
        <v/>
      </c>
      <c r="R33">
        <f>SUMIFS(Allocation!$J$2:$J$175,Allocation!$C$2:$C$175,A33,Allocation!$E$2:$E$175,C33)</f>
        <v/>
      </c>
      <c r="S33">
        <f>SUMIFS(Allocation!$K$2:$K$175,Allocation!$C$2:$C$175,A33,Allocation!$E$2:$E$175,C33)</f>
        <v/>
      </c>
      <c r="T33">
        <f>SUMIFS(Allocation!$I$2:$I$175,Allocation!$C$2:$C$175,A33)</f>
        <v/>
      </c>
      <c r="U33">
        <f>SUMIFS(Allocation!$J$2:$J$175,Allocation!$C$2:$C$175,A33)</f>
        <v/>
      </c>
      <c r="V33">
        <f>SUMIFS(Allocation!$K$2:$K$175,Allocation!$C$2:$C$175,A33)</f>
        <v/>
      </c>
      <c r="W33">
        <f>SUMIFS(Compta!$F$2:$F$675,Compta!$A$2:$A$675,B33,Compta!$B$2:$B$675,"621",Compta!$C$2:$C$675,A33)</f>
        <v/>
      </c>
      <c r="X33">
        <f>SUMIFS(Compta!$F$2:$F$675,Compta!$A$2:$A$675,B33,Compta!$B$2:$B$675,"6411",Compta!$C$2:$C$675,A33)</f>
        <v/>
      </c>
      <c r="Y33">
        <f>SUMIFS(Compta!$F$2:$F$675,Compta!$A$2:$A$675,B33,Compta!$B$2:$B$675,"604",Compta!$C$2:$C$675,A33)+SUMIFS(Compta!$F$2:$F$675,Compta!$A$2:$A$675,B33,Compta!$B$2:$B$675,"6063",Compta!$C$2:$C$675,A33)</f>
        <v/>
      </c>
      <c r="Z33">
        <f>SUMIFS(Compta!$F$2:$F$675,Compta!$A$2:$A$675,B33,Compta!$B$2:$B$675,"6231",Compta!$C$2:$C$675,A33)</f>
        <v/>
      </c>
      <c r="AA33">
        <f>SUMIFS(Compta!$F$2:$F$675,Compta!$A$2:$A$675,B33,Compta!$B$2:$B$675,"6413",Compta!$C$2:$C$675,A33)+SUMIFS(Compta!$F$2:$F$675,Compta!$A$2:$A$675,B33,Compta!$B$2:$B$675,"645",Compta!$C$2:$C$675,A33)+SUMIFS(Compta!$F$2:$F$675,Compta!$A$2:$A$675,B33,Compta!$B$2:$B$675,"613",Compta!$C$2:$C$675,A33)+SUMIFS(Compta!$F$2:$F$675,Compta!$A$2:$A$675,B33,Compta!$B$2:$B$675,"615",Compta!$C$2:$C$675,A33)+SUMIFS(Compta!$F$2:$F$675,Compta!$A$2:$A$675,B33,Compta!$B$2:$B$675,"616",Compta!$C$2:$C$675,A33)+SUMIFS(Compta!$F$2:$F$675,Compta!$A$2:$A$675,B33,Compta!$B$2:$B$675,"625",Compta!$C$2:$C$675,A33)+SUMIFS(Compta!$F$2:$F$675,Compta!$A$2:$A$675,B33,Compta!$B$2:$B$675,"63511",Compta!$C$2:$C$675,A33)</f>
        <v/>
      </c>
      <c r="AB33">
        <f>SUMIFS(Compta!$F$2:$F$675,Compta!$A$2:$A$675,"GRP",Compta!$B$2:$B$675,"6414",Compta!$C$2:$C$675,A33)+SUMIFS(Compta!$F$2:$F$675,Compta!$A$2:$A$675,"GRP",Compta!$B$2:$B$675,"6226",Compta!$C$2:$C$675,A33)+SUMIFS(Compta!$F$2:$F$675,Compta!$A$2:$A$675,"GRP",Compta!$B$2:$B$675,"6236",Compta!$C$2:$C$675,A33)+SUMIFS(Compta!$F$2:$F$675,Compta!$A$2:$A$675,"GRP",Compta!$B$2:$B$675,"626",Compta!$C$2:$C$675,A33)+SUMIFS(Compta!$F$2:$F$675,Compta!$A$2:$A$675,"GRP",Compta!$B$2:$B$675,"6281",Compta!$C$2:$C$675,A33)+SUMIFS(Compta!$F$2:$F$675,Compta!$A$2:$A$675,"GRP",Compta!$B$2:$B$675,"6331",Compta!$C$2:$C$675,A33)+SUMIFS(Compta!$F$2:$F$675,Compta!$A$2:$A$675,"GRP",Compta!$B$2:$B$675,"6333",Compta!$C$2:$C$675,A33)</f>
        <v/>
      </c>
      <c r="AC33">
        <f>IF(Pilotage!$E$10="Chiffre d'affaires",I33,IF(Pilotage!$E$10="Effectif",G33,H33))</f>
        <v/>
      </c>
      <c r="AD33">
        <f>IF(Pilotage!$E$10="Chiffre d'affaires",N33,IF(Pilotage!$E$10="Effectif",L33,M33))</f>
        <v/>
      </c>
      <c r="AE33">
        <f>IF(Pilotage!$E$8="Chiffre d'affaires",N33,IF(Pilotage!$E$8="Effectif",L33,M33))</f>
        <v/>
      </c>
      <c r="AF33">
        <f>IF(Pilotage!$E$8="Chiffre d'affaires",S33,IF(Pilotage!$E$8="Effectif",Q33,R33))</f>
        <v/>
      </c>
      <c r="AG33">
        <f>IF(Pilotage!$E$9="Chiffre d'affaires",S33,IF(Pilotage!$E$9="Effectif",Q33,R33))</f>
        <v/>
      </c>
      <c r="AH33">
        <f>IF(Pilotage!$E$9="Chiffre d'affaires",V33,IF(Pilotage!$E$9="Effectif",T33,U33))</f>
        <v/>
      </c>
      <c r="AI33">
        <f>W33*IFERROR(K33/O33,0)</f>
        <v/>
      </c>
      <c r="AJ33">
        <f>X33*IFERROR(K33/O33,0)</f>
        <v/>
      </c>
      <c r="AK33">
        <f>Y33*IFERROR(G33/L33,0)+Z33*IFERROR(J33/P33,0)</f>
        <v/>
      </c>
      <c r="AL33">
        <f>AA33*IFERROR(AC33/AD33,0)</f>
        <v/>
      </c>
      <c r="AM33">
        <f>AB33*IFERROR(AG33/AH33,0)*IFERROR(AE33/AF33,0)*IFERROR(AC33/AD33,0)</f>
        <v/>
      </c>
      <c r="AN33">
        <f>I33-(AI33+AJ33+AK33+AL33+AM33)</f>
        <v/>
      </c>
    </row>
    <row r="34">
      <c r="A34">
        <f>Allocation!C34</f>
        <v/>
      </c>
      <c r="B34">
        <f>Allocation!D34</f>
        <v/>
      </c>
      <c r="C34">
        <f>Allocation!E34</f>
        <v/>
      </c>
      <c r="D34">
        <f>Allocation!F34</f>
        <v/>
      </c>
      <c r="E34">
        <f>Allocation!G34</f>
        <v/>
      </c>
      <c r="F34">
        <f>Allocation!H34</f>
        <v/>
      </c>
      <c r="G34">
        <f>Allocation!I34</f>
        <v/>
      </c>
      <c r="H34">
        <f>Allocation!J34</f>
        <v/>
      </c>
      <c r="I34">
        <f>Allocation!K34</f>
        <v/>
      </c>
      <c r="J34">
        <f>SUMIFS(Socle!$K$2:$K$175,Socle!$C$2:$C$175,B34,Socle!$D$2:$D$175,D34,Socle!$E$2:$E$175,E34,Socle!$F$2:$F$175,F34,Socle!$G$2:$G$175,A34)</f>
        <v/>
      </c>
      <c r="K34">
        <f>H34*IF(AND(LEFT(D34,3)="BAC",F34="INIT"),600,IF(LEFT(D34,3)="BAC",480,IF(AND(LEFT(D34,3)="MAS",F34="INIT"),520,IF(LEFT(D34,3)="MAS",420,IF(F34="INIT",1000,700)))))</f>
        <v/>
      </c>
      <c r="L34">
        <f>SUMIFS(Allocation!$I$2:$I$175,Allocation!$C$2:$C$175,A34,Allocation!$D$2:$D$175,B34)</f>
        <v/>
      </c>
      <c r="M34">
        <f>SUMIFS(Allocation!$J$2:$J$175,Allocation!$C$2:$C$175,A34,Allocation!$D$2:$D$175,B34)</f>
        <v/>
      </c>
      <c r="N34">
        <f>SUMIFS(Allocation!$K$2:$K$175,Allocation!$C$2:$C$175,A34,Allocation!$D$2:$D$175,B34)</f>
        <v/>
      </c>
      <c r="O34">
        <f>SUMIFS($K$2:$K$175,$A$2:$A$175,A34,$B$2:$B$175,B34)</f>
        <v/>
      </c>
      <c r="P34">
        <f>SUMIFS($J$2:$J$175,$A$2:$A$175,A34,$B$2:$B$175,B34)</f>
        <v/>
      </c>
      <c r="Q34">
        <f>SUMIFS(Allocation!$I$2:$I$175,Allocation!$C$2:$C$175,A34,Allocation!$E$2:$E$175,C34)</f>
        <v/>
      </c>
      <c r="R34">
        <f>SUMIFS(Allocation!$J$2:$J$175,Allocation!$C$2:$C$175,A34,Allocation!$E$2:$E$175,C34)</f>
        <v/>
      </c>
      <c r="S34">
        <f>SUMIFS(Allocation!$K$2:$K$175,Allocation!$C$2:$C$175,A34,Allocation!$E$2:$E$175,C34)</f>
        <v/>
      </c>
      <c r="T34">
        <f>SUMIFS(Allocation!$I$2:$I$175,Allocation!$C$2:$C$175,A34)</f>
        <v/>
      </c>
      <c r="U34">
        <f>SUMIFS(Allocation!$J$2:$J$175,Allocation!$C$2:$C$175,A34)</f>
        <v/>
      </c>
      <c r="V34">
        <f>SUMIFS(Allocation!$K$2:$K$175,Allocation!$C$2:$C$175,A34)</f>
        <v/>
      </c>
      <c r="W34">
        <f>SUMIFS(Compta!$F$2:$F$675,Compta!$A$2:$A$675,B34,Compta!$B$2:$B$675,"621",Compta!$C$2:$C$675,A34)</f>
        <v/>
      </c>
      <c r="X34">
        <f>SUMIFS(Compta!$F$2:$F$675,Compta!$A$2:$A$675,B34,Compta!$B$2:$B$675,"6411",Compta!$C$2:$C$675,A34)</f>
        <v/>
      </c>
      <c r="Y34">
        <f>SUMIFS(Compta!$F$2:$F$675,Compta!$A$2:$A$675,B34,Compta!$B$2:$B$675,"604",Compta!$C$2:$C$675,A34)+SUMIFS(Compta!$F$2:$F$675,Compta!$A$2:$A$675,B34,Compta!$B$2:$B$675,"6063",Compta!$C$2:$C$675,A34)</f>
        <v/>
      </c>
      <c r="Z34">
        <f>SUMIFS(Compta!$F$2:$F$675,Compta!$A$2:$A$675,B34,Compta!$B$2:$B$675,"6231",Compta!$C$2:$C$675,A34)</f>
        <v/>
      </c>
      <c r="AA34">
        <f>SUMIFS(Compta!$F$2:$F$675,Compta!$A$2:$A$675,B34,Compta!$B$2:$B$675,"6413",Compta!$C$2:$C$675,A34)+SUMIFS(Compta!$F$2:$F$675,Compta!$A$2:$A$675,B34,Compta!$B$2:$B$675,"645",Compta!$C$2:$C$675,A34)+SUMIFS(Compta!$F$2:$F$675,Compta!$A$2:$A$675,B34,Compta!$B$2:$B$675,"613",Compta!$C$2:$C$675,A34)+SUMIFS(Compta!$F$2:$F$675,Compta!$A$2:$A$675,B34,Compta!$B$2:$B$675,"615",Compta!$C$2:$C$675,A34)+SUMIFS(Compta!$F$2:$F$675,Compta!$A$2:$A$675,B34,Compta!$B$2:$B$675,"616",Compta!$C$2:$C$675,A34)+SUMIFS(Compta!$F$2:$F$675,Compta!$A$2:$A$675,B34,Compta!$B$2:$B$675,"625",Compta!$C$2:$C$675,A34)+SUMIFS(Compta!$F$2:$F$675,Compta!$A$2:$A$675,B34,Compta!$B$2:$B$675,"63511",Compta!$C$2:$C$675,A34)</f>
        <v/>
      </c>
      <c r="AB34">
        <f>SUMIFS(Compta!$F$2:$F$675,Compta!$A$2:$A$675,"GRP",Compta!$B$2:$B$675,"6414",Compta!$C$2:$C$675,A34)+SUMIFS(Compta!$F$2:$F$675,Compta!$A$2:$A$675,"GRP",Compta!$B$2:$B$675,"6226",Compta!$C$2:$C$675,A34)+SUMIFS(Compta!$F$2:$F$675,Compta!$A$2:$A$675,"GRP",Compta!$B$2:$B$675,"6236",Compta!$C$2:$C$675,A34)+SUMIFS(Compta!$F$2:$F$675,Compta!$A$2:$A$675,"GRP",Compta!$B$2:$B$675,"626",Compta!$C$2:$C$675,A34)+SUMIFS(Compta!$F$2:$F$675,Compta!$A$2:$A$675,"GRP",Compta!$B$2:$B$675,"6281",Compta!$C$2:$C$675,A34)+SUMIFS(Compta!$F$2:$F$675,Compta!$A$2:$A$675,"GRP",Compta!$B$2:$B$675,"6331",Compta!$C$2:$C$675,A34)+SUMIFS(Compta!$F$2:$F$675,Compta!$A$2:$A$675,"GRP",Compta!$B$2:$B$675,"6333",Compta!$C$2:$C$675,A34)</f>
        <v/>
      </c>
      <c r="AC34">
        <f>IF(Pilotage!$E$10="Chiffre d'affaires",I34,IF(Pilotage!$E$10="Effectif",G34,H34))</f>
        <v/>
      </c>
      <c r="AD34">
        <f>IF(Pilotage!$E$10="Chiffre d'affaires",N34,IF(Pilotage!$E$10="Effectif",L34,M34))</f>
        <v/>
      </c>
      <c r="AE34">
        <f>IF(Pilotage!$E$8="Chiffre d'affaires",N34,IF(Pilotage!$E$8="Effectif",L34,M34))</f>
        <v/>
      </c>
      <c r="AF34">
        <f>IF(Pilotage!$E$8="Chiffre d'affaires",S34,IF(Pilotage!$E$8="Effectif",Q34,R34))</f>
        <v/>
      </c>
      <c r="AG34">
        <f>IF(Pilotage!$E$9="Chiffre d'affaires",S34,IF(Pilotage!$E$9="Effectif",Q34,R34))</f>
        <v/>
      </c>
      <c r="AH34">
        <f>IF(Pilotage!$E$9="Chiffre d'affaires",V34,IF(Pilotage!$E$9="Effectif",T34,U34))</f>
        <v/>
      </c>
      <c r="AI34">
        <f>W34*IFERROR(K34/O34,0)</f>
        <v/>
      </c>
      <c r="AJ34">
        <f>X34*IFERROR(K34/O34,0)</f>
        <v/>
      </c>
      <c r="AK34">
        <f>Y34*IFERROR(G34/L34,0)+Z34*IFERROR(J34/P34,0)</f>
        <v/>
      </c>
      <c r="AL34">
        <f>AA34*IFERROR(AC34/AD34,0)</f>
        <v/>
      </c>
      <c r="AM34">
        <f>AB34*IFERROR(AG34/AH34,0)*IFERROR(AE34/AF34,0)*IFERROR(AC34/AD34,0)</f>
        <v/>
      </c>
      <c r="AN34">
        <f>I34-(AI34+AJ34+AK34+AL34+AM34)</f>
        <v/>
      </c>
    </row>
    <row r="35">
      <c r="A35">
        <f>Allocation!C35</f>
        <v/>
      </c>
      <c r="B35">
        <f>Allocation!D35</f>
        <v/>
      </c>
      <c r="C35">
        <f>Allocation!E35</f>
        <v/>
      </c>
      <c r="D35">
        <f>Allocation!F35</f>
        <v/>
      </c>
      <c r="E35">
        <f>Allocation!G35</f>
        <v/>
      </c>
      <c r="F35">
        <f>Allocation!H35</f>
        <v/>
      </c>
      <c r="G35">
        <f>Allocation!I35</f>
        <v/>
      </c>
      <c r="H35">
        <f>Allocation!J35</f>
        <v/>
      </c>
      <c r="I35">
        <f>Allocation!K35</f>
        <v/>
      </c>
      <c r="J35">
        <f>SUMIFS(Socle!$K$2:$K$175,Socle!$C$2:$C$175,B35,Socle!$D$2:$D$175,D35,Socle!$E$2:$E$175,E35,Socle!$F$2:$F$175,F35,Socle!$G$2:$G$175,A35)</f>
        <v/>
      </c>
      <c r="K35">
        <f>H35*IF(AND(LEFT(D35,3)="BAC",F35="INIT"),600,IF(LEFT(D35,3)="BAC",480,IF(AND(LEFT(D35,3)="MAS",F35="INIT"),520,IF(LEFT(D35,3)="MAS",420,IF(F35="INIT",1000,700)))))</f>
        <v/>
      </c>
      <c r="L35">
        <f>SUMIFS(Allocation!$I$2:$I$175,Allocation!$C$2:$C$175,A35,Allocation!$D$2:$D$175,B35)</f>
        <v/>
      </c>
      <c r="M35">
        <f>SUMIFS(Allocation!$J$2:$J$175,Allocation!$C$2:$C$175,A35,Allocation!$D$2:$D$175,B35)</f>
        <v/>
      </c>
      <c r="N35">
        <f>SUMIFS(Allocation!$K$2:$K$175,Allocation!$C$2:$C$175,A35,Allocation!$D$2:$D$175,B35)</f>
        <v/>
      </c>
      <c r="O35">
        <f>SUMIFS($K$2:$K$175,$A$2:$A$175,A35,$B$2:$B$175,B35)</f>
        <v/>
      </c>
      <c r="P35">
        <f>SUMIFS($J$2:$J$175,$A$2:$A$175,A35,$B$2:$B$175,B35)</f>
        <v/>
      </c>
      <c r="Q35">
        <f>SUMIFS(Allocation!$I$2:$I$175,Allocation!$C$2:$C$175,A35,Allocation!$E$2:$E$175,C35)</f>
        <v/>
      </c>
      <c r="R35">
        <f>SUMIFS(Allocation!$J$2:$J$175,Allocation!$C$2:$C$175,A35,Allocation!$E$2:$E$175,C35)</f>
        <v/>
      </c>
      <c r="S35">
        <f>SUMIFS(Allocation!$K$2:$K$175,Allocation!$C$2:$C$175,A35,Allocation!$E$2:$E$175,C35)</f>
        <v/>
      </c>
      <c r="T35">
        <f>SUMIFS(Allocation!$I$2:$I$175,Allocation!$C$2:$C$175,A35)</f>
        <v/>
      </c>
      <c r="U35">
        <f>SUMIFS(Allocation!$J$2:$J$175,Allocation!$C$2:$C$175,A35)</f>
        <v/>
      </c>
      <c r="V35">
        <f>SUMIFS(Allocation!$K$2:$K$175,Allocation!$C$2:$C$175,A35)</f>
        <v/>
      </c>
      <c r="W35">
        <f>SUMIFS(Compta!$F$2:$F$675,Compta!$A$2:$A$675,B35,Compta!$B$2:$B$675,"621",Compta!$C$2:$C$675,A35)</f>
        <v/>
      </c>
      <c r="X35">
        <f>SUMIFS(Compta!$F$2:$F$675,Compta!$A$2:$A$675,B35,Compta!$B$2:$B$675,"6411",Compta!$C$2:$C$675,A35)</f>
        <v/>
      </c>
      <c r="Y35">
        <f>SUMIFS(Compta!$F$2:$F$675,Compta!$A$2:$A$675,B35,Compta!$B$2:$B$675,"604",Compta!$C$2:$C$675,A35)+SUMIFS(Compta!$F$2:$F$675,Compta!$A$2:$A$675,B35,Compta!$B$2:$B$675,"6063",Compta!$C$2:$C$675,A35)</f>
        <v/>
      </c>
      <c r="Z35">
        <f>SUMIFS(Compta!$F$2:$F$675,Compta!$A$2:$A$675,B35,Compta!$B$2:$B$675,"6231",Compta!$C$2:$C$675,A35)</f>
        <v/>
      </c>
      <c r="AA35">
        <f>SUMIFS(Compta!$F$2:$F$675,Compta!$A$2:$A$675,B35,Compta!$B$2:$B$675,"6413",Compta!$C$2:$C$675,A35)+SUMIFS(Compta!$F$2:$F$675,Compta!$A$2:$A$675,B35,Compta!$B$2:$B$675,"645",Compta!$C$2:$C$675,A35)+SUMIFS(Compta!$F$2:$F$675,Compta!$A$2:$A$675,B35,Compta!$B$2:$B$675,"613",Compta!$C$2:$C$675,A35)+SUMIFS(Compta!$F$2:$F$675,Compta!$A$2:$A$675,B35,Compta!$B$2:$B$675,"615",Compta!$C$2:$C$675,A35)+SUMIFS(Compta!$F$2:$F$675,Compta!$A$2:$A$675,B35,Compta!$B$2:$B$675,"616",Compta!$C$2:$C$675,A35)+SUMIFS(Compta!$F$2:$F$675,Compta!$A$2:$A$675,B35,Compta!$B$2:$B$675,"625",Compta!$C$2:$C$675,A35)+SUMIFS(Compta!$F$2:$F$675,Compta!$A$2:$A$675,B35,Compta!$B$2:$B$675,"63511",Compta!$C$2:$C$675,A35)</f>
        <v/>
      </c>
      <c r="AB35">
        <f>SUMIFS(Compta!$F$2:$F$675,Compta!$A$2:$A$675,"GRP",Compta!$B$2:$B$675,"6414",Compta!$C$2:$C$675,A35)+SUMIFS(Compta!$F$2:$F$675,Compta!$A$2:$A$675,"GRP",Compta!$B$2:$B$675,"6226",Compta!$C$2:$C$675,A35)+SUMIFS(Compta!$F$2:$F$675,Compta!$A$2:$A$675,"GRP",Compta!$B$2:$B$675,"6236",Compta!$C$2:$C$675,A35)+SUMIFS(Compta!$F$2:$F$675,Compta!$A$2:$A$675,"GRP",Compta!$B$2:$B$675,"626",Compta!$C$2:$C$675,A35)+SUMIFS(Compta!$F$2:$F$675,Compta!$A$2:$A$675,"GRP",Compta!$B$2:$B$675,"6281",Compta!$C$2:$C$675,A35)+SUMIFS(Compta!$F$2:$F$675,Compta!$A$2:$A$675,"GRP",Compta!$B$2:$B$675,"6331",Compta!$C$2:$C$675,A35)+SUMIFS(Compta!$F$2:$F$675,Compta!$A$2:$A$675,"GRP",Compta!$B$2:$B$675,"6333",Compta!$C$2:$C$675,A35)</f>
        <v/>
      </c>
      <c r="AC35">
        <f>IF(Pilotage!$E$10="Chiffre d'affaires",I35,IF(Pilotage!$E$10="Effectif",G35,H35))</f>
        <v/>
      </c>
      <c r="AD35">
        <f>IF(Pilotage!$E$10="Chiffre d'affaires",N35,IF(Pilotage!$E$10="Effectif",L35,M35))</f>
        <v/>
      </c>
      <c r="AE35">
        <f>IF(Pilotage!$E$8="Chiffre d'affaires",N35,IF(Pilotage!$E$8="Effectif",L35,M35))</f>
        <v/>
      </c>
      <c r="AF35">
        <f>IF(Pilotage!$E$8="Chiffre d'affaires",S35,IF(Pilotage!$E$8="Effectif",Q35,R35))</f>
        <v/>
      </c>
      <c r="AG35">
        <f>IF(Pilotage!$E$9="Chiffre d'affaires",S35,IF(Pilotage!$E$9="Effectif",Q35,R35))</f>
        <v/>
      </c>
      <c r="AH35">
        <f>IF(Pilotage!$E$9="Chiffre d'affaires",V35,IF(Pilotage!$E$9="Effectif",T35,U35))</f>
        <v/>
      </c>
      <c r="AI35">
        <f>W35*IFERROR(K35/O35,0)</f>
        <v/>
      </c>
      <c r="AJ35">
        <f>X35*IFERROR(K35/O35,0)</f>
        <v/>
      </c>
      <c r="AK35">
        <f>Y35*IFERROR(G35/L35,0)+Z35*IFERROR(J35/P35,0)</f>
        <v/>
      </c>
      <c r="AL35">
        <f>AA35*IFERROR(AC35/AD35,0)</f>
        <v/>
      </c>
      <c r="AM35">
        <f>AB35*IFERROR(AG35/AH35,0)*IFERROR(AE35/AF35,0)*IFERROR(AC35/AD35,0)</f>
        <v/>
      </c>
      <c r="AN35">
        <f>I35-(AI35+AJ35+AK35+AL35+AM35)</f>
        <v/>
      </c>
    </row>
    <row r="36">
      <c r="A36">
        <f>Allocation!C36</f>
        <v/>
      </c>
      <c r="B36">
        <f>Allocation!D36</f>
        <v/>
      </c>
      <c r="C36">
        <f>Allocation!E36</f>
        <v/>
      </c>
      <c r="D36">
        <f>Allocation!F36</f>
        <v/>
      </c>
      <c r="E36">
        <f>Allocation!G36</f>
        <v/>
      </c>
      <c r="F36">
        <f>Allocation!H36</f>
        <v/>
      </c>
      <c r="G36">
        <f>Allocation!I36</f>
        <v/>
      </c>
      <c r="H36">
        <f>Allocation!J36</f>
        <v/>
      </c>
      <c r="I36">
        <f>Allocation!K36</f>
        <v/>
      </c>
      <c r="J36">
        <f>SUMIFS(Socle!$K$2:$K$175,Socle!$C$2:$C$175,B36,Socle!$D$2:$D$175,D36,Socle!$E$2:$E$175,E36,Socle!$F$2:$F$175,F36,Socle!$G$2:$G$175,A36)</f>
        <v/>
      </c>
      <c r="K36">
        <f>H36*IF(AND(LEFT(D36,3)="BAC",F36="INIT"),600,IF(LEFT(D36,3)="BAC",480,IF(AND(LEFT(D36,3)="MAS",F36="INIT"),520,IF(LEFT(D36,3)="MAS",420,IF(F36="INIT",1000,700)))))</f>
        <v/>
      </c>
      <c r="L36">
        <f>SUMIFS(Allocation!$I$2:$I$175,Allocation!$C$2:$C$175,A36,Allocation!$D$2:$D$175,B36)</f>
        <v/>
      </c>
      <c r="M36">
        <f>SUMIFS(Allocation!$J$2:$J$175,Allocation!$C$2:$C$175,A36,Allocation!$D$2:$D$175,B36)</f>
        <v/>
      </c>
      <c r="N36">
        <f>SUMIFS(Allocation!$K$2:$K$175,Allocation!$C$2:$C$175,A36,Allocation!$D$2:$D$175,B36)</f>
        <v/>
      </c>
      <c r="O36">
        <f>SUMIFS($K$2:$K$175,$A$2:$A$175,A36,$B$2:$B$175,B36)</f>
        <v/>
      </c>
      <c r="P36">
        <f>SUMIFS($J$2:$J$175,$A$2:$A$175,A36,$B$2:$B$175,B36)</f>
        <v/>
      </c>
      <c r="Q36">
        <f>SUMIFS(Allocation!$I$2:$I$175,Allocation!$C$2:$C$175,A36,Allocation!$E$2:$E$175,C36)</f>
        <v/>
      </c>
      <c r="R36">
        <f>SUMIFS(Allocation!$J$2:$J$175,Allocation!$C$2:$C$175,A36,Allocation!$E$2:$E$175,C36)</f>
        <v/>
      </c>
      <c r="S36">
        <f>SUMIFS(Allocation!$K$2:$K$175,Allocation!$C$2:$C$175,A36,Allocation!$E$2:$E$175,C36)</f>
        <v/>
      </c>
      <c r="T36">
        <f>SUMIFS(Allocation!$I$2:$I$175,Allocation!$C$2:$C$175,A36)</f>
        <v/>
      </c>
      <c r="U36">
        <f>SUMIFS(Allocation!$J$2:$J$175,Allocation!$C$2:$C$175,A36)</f>
        <v/>
      </c>
      <c r="V36">
        <f>SUMIFS(Allocation!$K$2:$K$175,Allocation!$C$2:$C$175,A36)</f>
        <v/>
      </c>
      <c r="W36">
        <f>SUMIFS(Compta!$F$2:$F$675,Compta!$A$2:$A$675,B36,Compta!$B$2:$B$675,"621",Compta!$C$2:$C$675,A36)</f>
        <v/>
      </c>
      <c r="X36">
        <f>SUMIFS(Compta!$F$2:$F$675,Compta!$A$2:$A$675,B36,Compta!$B$2:$B$675,"6411",Compta!$C$2:$C$675,A36)</f>
        <v/>
      </c>
      <c r="Y36">
        <f>SUMIFS(Compta!$F$2:$F$675,Compta!$A$2:$A$675,B36,Compta!$B$2:$B$675,"604",Compta!$C$2:$C$675,A36)+SUMIFS(Compta!$F$2:$F$675,Compta!$A$2:$A$675,B36,Compta!$B$2:$B$675,"6063",Compta!$C$2:$C$675,A36)</f>
        <v/>
      </c>
      <c r="Z36">
        <f>SUMIFS(Compta!$F$2:$F$675,Compta!$A$2:$A$675,B36,Compta!$B$2:$B$675,"6231",Compta!$C$2:$C$675,A36)</f>
        <v/>
      </c>
      <c r="AA36">
        <f>SUMIFS(Compta!$F$2:$F$675,Compta!$A$2:$A$675,B36,Compta!$B$2:$B$675,"6413",Compta!$C$2:$C$675,A36)+SUMIFS(Compta!$F$2:$F$675,Compta!$A$2:$A$675,B36,Compta!$B$2:$B$675,"645",Compta!$C$2:$C$675,A36)+SUMIFS(Compta!$F$2:$F$675,Compta!$A$2:$A$675,B36,Compta!$B$2:$B$675,"613",Compta!$C$2:$C$675,A36)+SUMIFS(Compta!$F$2:$F$675,Compta!$A$2:$A$675,B36,Compta!$B$2:$B$675,"615",Compta!$C$2:$C$675,A36)+SUMIFS(Compta!$F$2:$F$675,Compta!$A$2:$A$675,B36,Compta!$B$2:$B$675,"616",Compta!$C$2:$C$675,A36)+SUMIFS(Compta!$F$2:$F$675,Compta!$A$2:$A$675,B36,Compta!$B$2:$B$675,"625",Compta!$C$2:$C$675,A36)+SUMIFS(Compta!$F$2:$F$675,Compta!$A$2:$A$675,B36,Compta!$B$2:$B$675,"63511",Compta!$C$2:$C$675,A36)</f>
        <v/>
      </c>
      <c r="AB36">
        <f>SUMIFS(Compta!$F$2:$F$675,Compta!$A$2:$A$675,"GRP",Compta!$B$2:$B$675,"6414",Compta!$C$2:$C$675,A36)+SUMIFS(Compta!$F$2:$F$675,Compta!$A$2:$A$675,"GRP",Compta!$B$2:$B$675,"6226",Compta!$C$2:$C$675,A36)+SUMIFS(Compta!$F$2:$F$675,Compta!$A$2:$A$675,"GRP",Compta!$B$2:$B$675,"6236",Compta!$C$2:$C$675,A36)+SUMIFS(Compta!$F$2:$F$675,Compta!$A$2:$A$675,"GRP",Compta!$B$2:$B$675,"626",Compta!$C$2:$C$675,A36)+SUMIFS(Compta!$F$2:$F$675,Compta!$A$2:$A$675,"GRP",Compta!$B$2:$B$675,"6281",Compta!$C$2:$C$675,A36)+SUMIFS(Compta!$F$2:$F$675,Compta!$A$2:$A$675,"GRP",Compta!$B$2:$B$675,"6331",Compta!$C$2:$C$675,A36)+SUMIFS(Compta!$F$2:$F$675,Compta!$A$2:$A$675,"GRP",Compta!$B$2:$B$675,"6333",Compta!$C$2:$C$675,A36)</f>
        <v/>
      </c>
      <c r="AC36">
        <f>IF(Pilotage!$E$10="Chiffre d'affaires",I36,IF(Pilotage!$E$10="Effectif",G36,H36))</f>
        <v/>
      </c>
      <c r="AD36">
        <f>IF(Pilotage!$E$10="Chiffre d'affaires",N36,IF(Pilotage!$E$10="Effectif",L36,M36))</f>
        <v/>
      </c>
      <c r="AE36">
        <f>IF(Pilotage!$E$8="Chiffre d'affaires",N36,IF(Pilotage!$E$8="Effectif",L36,M36))</f>
        <v/>
      </c>
      <c r="AF36">
        <f>IF(Pilotage!$E$8="Chiffre d'affaires",S36,IF(Pilotage!$E$8="Effectif",Q36,R36))</f>
        <v/>
      </c>
      <c r="AG36">
        <f>IF(Pilotage!$E$9="Chiffre d'affaires",S36,IF(Pilotage!$E$9="Effectif",Q36,R36))</f>
        <v/>
      </c>
      <c r="AH36">
        <f>IF(Pilotage!$E$9="Chiffre d'affaires",V36,IF(Pilotage!$E$9="Effectif",T36,U36))</f>
        <v/>
      </c>
      <c r="AI36">
        <f>W36*IFERROR(K36/O36,0)</f>
        <v/>
      </c>
      <c r="AJ36">
        <f>X36*IFERROR(K36/O36,0)</f>
        <v/>
      </c>
      <c r="AK36">
        <f>Y36*IFERROR(G36/L36,0)+Z36*IFERROR(J36/P36,0)</f>
        <v/>
      </c>
      <c r="AL36">
        <f>AA36*IFERROR(AC36/AD36,0)</f>
        <v/>
      </c>
      <c r="AM36">
        <f>AB36*IFERROR(AG36/AH36,0)*IFERROR(AE36/AF36,0)*IFERROR(AC36/AD36,0)</f>
        <v/>
      </c>
      <c r="AN36">
        <f>I36-(AI36+AJ36+AK36+AL36+AM36)</f>
        <v/>
      </c>
    </row>
    <row r="37">
      <c r="A37">
        <f>Allocation!C37</f>
        <v/>
      </c>
      <c r="B37">
        <f>Allocation!D37</f>
        <v/>
      </c>
      <c r="C37">
        <f>Allocation!E37</f>
        <v/>
      </c>
      <c r="D37">
        <f>Allocation!F37</f>
        <v/>
      </c>
      <c r="E37">
        <f>Allocation!G37</f>
        <v/>
      </c>
      <c r="F37">
        <f>Allocation!H37</f>
        <v/>
      </c>
      <c r="G37">
        <f>Allocation!I37</f>
        <v/>
      </c>
      <c r="H37">
        <f>Allocation!J37</f>
        <v/>
      </c>
      <c r="I37">
        <f>Allocation!K37</f>
        <v/>
      </c>
      <c r="J37">
        <f>SUMIFS(Socle!$K$2:$K$175,Socle!$C$2:$C$175,B37,Socle!$D$2:$D$175,D37,Socle!$E$2:$E$175,E37,Socle!$F$2:$F$175,F37,Socle!$G$2:$G$175,A37)</f>
        <v/>
      </c>
      <c r="K37">
        <f>H37*IF(AND(LEFT(D37,3)="BAC",F37="INIT"),600,IF(LEFT(D37,3)="BAC",480,IF(AND(LEFT(D37,3)="MAS",F37="INIT"),520,IF(LEFT(D37,3)="MAS",420,IF(F37="INIT",1000,700)))))</f>
        <v/>
      </c>
      <c r="L37">
        <f>SUMIFS(Allocation!$I$2:$I$175,Allocation!$C$2:$C$175,A37,Allocation!$D$2:$D$175,B37)</f>
        <v/>
      </c>
      <c r="M37">
        <f>SUMIFS(Allocation!$J$2:$J$175,Allocation!$C$2:$C$175,A37,Allocation!$D$2:$D$175,B37)</f>
        <v/>
      </c>
      <c r="N37">
        <f>SUMIFS(Allocation!$K$2:$K$175,Allocation!$C$2:$C$175,A37,Allocation!$D$2:$D$175,B37)</f>
        <v/>
      </c>
      <c r="O37">
        <f>SUMIFS($K$2:$K$175,$A$2:$A$175,A37,$B$2:$B$175,B37)</f>
        <v/>
      </c>
      <c r="P37">
        <f>SUMIFS($J$2:$J$175,$A$2:$A$175,A37,$B$2:$B$175,B37)</f>
        <v/>
      </c>
      <c r="Q37">
        <f>SUMIFS(Allocation!$I$2:$I$175,Allocation!$C$2:$C$175,A37,Allocation!$E$2:$E$175,C37)</f>
        <v/>
      </c>
      <c r="R37">
        <f>SUMIFS(Allocation!$J$2:$J$175,Allocation!$C$2:$C$175,A37,Allocation!$E$2:$E$175,C37)</f>
        <v/>
      </c>
      <c r="S37">
        <f>SUMIFS(Allocation!$K$2:$K$175,Allocation!$C$2:$C$175,A37,Allocation!$E$2:$E$175,C37)</f>
        <v/>
      </c>
      <c r="T37">
        <f>SUMIFS(Allocation!$I$2:$I$175,Allocation!$C$2:$C$175,A37)</f>
        <v/>
      </c>
      <c r="U37">
        <f>SUMIFS(Allocation!$J$2:$J$175,Allocation!$C$2:$C$175,A37)</f>
        <v/>
      </c>
      <c r="V37">
        <f>SUMIFS(Allocation!$K$2:$K$175,Allocation!$C$2:$C$175,A37)</f>
        <v/>
      </c>
      <c r="W37">
        <f>SUMIFS(Compta!$F$2:$F$675,Compta!$A$2:$A$675,B37,Compta!$B$2:$B$675,"621",Compta!$C$2:$C$675,A37)</f>
        <v/>
      </c>
      <c r="X37">
        <f>SUMIFS(Compta!$F$2:$F$675,Compta!$A$2:$A$675,B37,Compta!$B$2:$B$675,"6411",Compta!$C$2:$C$675,A37)</f>
        <v/>
      </c>
      <c r="Y37">
        <f>SUMIFS(Compta!$F$2:$F$675,Compta!$A$2:$A$675,B37,Compta!$B$2:$B$675,"604",Compta!$C$2:$C$675,A37)+SUMIFS(Compta!$F$2:$F$675,Compta!$A$2:$A$675,B37,Compta!$B$2:$B$675,"6063",Compta!$C$2:$C$675,A37)</f>
        <v/>
      </c>
      <c r="Z37">
        <f>SUMIFS(Compta!$F$2:$F$675,Compta!$A$2:$A$675,B37,Compta!$B$2:$B$675,"6231",Compta!$C$2:$C$675,A37)</f>
        <v/>
      </c>
      <c r="AA37">
        <f>SUMIFS(Compta!$F$2:$F$675,Compta!$A$2:$A$675,B37,Compta!$B$2:$B$675,"6413",Compta!$C$2:$C$675,A37)+SUMIFS(Compta!$F$2:$F$675,Compta!$A$2:$A$675,B37,Compta!$B$2:$B$675,"645",Compta!$C$2:$C$675,A37)+SUMIFS(Compta!$F$2:$F$675,Compta!$A$2:$A$675,B37,Compta!$B$2:$B$675,"613",Compta!$C$2:$C$675,A37)+SUMIFS(Compta!$F$2:$F$675,Compta!$A$2:$A$675,B37,Compta!$B$2:$B$675,"615",Compta!$C$2:$C$675,A37)+SUMIFS(Compta!$F$2:$F$675,Compta!$A$2:$A$675,B37,Compta!$B$2:$B$675,"616",Compta!$C$2:$C$675,A37)+SUMIFS(Compta!$F$2:$F$675,Compta!$A$2:$A$675,B37,Compta!$B$2:$B$675,"625",Compta!$C$2:$C$675,A37)+SUMIFS(Compta!$F$2:$F$675,Compta!$A$2:$A$675,B37,Compta!$B$2:$B$675,"63511",Compta!$C$2:$C$675,A37)</f>
        <v/>
      </c>
      <c r="AB37">
        <f>SUMIFS(Compta!$F$2:$F$675,Compta!$A$2:$A$675,"GRP",Compta!$B$2:$B$675,"6414",Compta!$C$2:$C$675,A37)+SUMIFS(Compta!$F$2:$F$675,Compta!$A$2:$A$675,"GRP",Compta!$B$2:$B$675,"6226",Compta!$C$2:$C$675,A37)+SUMIFS(Compta!$F$2:$F$675,Compta!$A$2:$A$675,"GRP",Compta!$B$2:$B$675,"6236",Compta!$C$2:$C$675,A37)+SUMIFS(Compta!$F$2:$F$675,Compta!$A$2:$A$675,"GRP",Compta!$B$2:$B$675,"626",Compta!$C$2:$C$675,A37)+SUMIFS(Compta!$F$2:$F$675,Compta!$A$2:$A$675,"GRP",Compta!$B$2:$B$675,"6281",Compta!$C$2:$C$675,A37)+SUMIFS(Compta!$F$2:$F$675,Compta!$A$2:$A$675,"GRP",Compta!$B$2:$B$675,"6331",Compta!$C$2:$C$675,A37)+SUMIFS(Compta!$F$2:$F$675,Compta!$A$2:$A$675,"GRP",Compta!$B$2:$B$675,"6333",Compta!$C$2:$C$675,A37)</f>
        <v/>
      </c>
      <c r="AC37">
        <f>IF(Pilotage!$E$10="Chiffre d'affaires",I37,IF(Pilotage!$E$10="Effectif",G37,H37))</f>
        <v/>
      </c>
      <c r="AD37">
        <f>IF(Pilotage!$E$10="Chiffre d'affaires",N37,IF(Pilotage!$E$10="Effectif",L37,M37))</f>
        <v/>
      </c>
      <c r="AE37">
        <f>IF(Pilotage!$E$8="Chiffre d'affaires",N37,IF(Pilotage!$E$8="Effectif",L37,M37))</f>
        <v/>
      </c>
      <c r="AF37">
        <f>IF(Pilotage!$E$8="Chiffre d'affaires",S37,IF(Pilotage!$E$8="Effectif",Q37,R37))</f>
        <v/>
      </c>
      <c r="AG37">
        <f>IF(Pilotage!$E$9="Chiffre d'affaires",S37,IF(Pilotage!$E$9="Effectif",Q37,R37))</f>
        <v/>
      </c>
      <c r="AH37">
        <f>IF(Pilotage!$E$9="Chiffre d'affaires",V37,IF(Pilotage!$E$9="Effectif",T37,U37))</f>
        <v/>
      </c>
      <c r="AI37">
        <f>W37*IFERROR(K37/O37,0)</f>
        <v/>
      </c>
      <c r="AJ37">
        <f>X37*IFERROR(K37/O37,0)</f>
        <v/>
      </c>
      <c r="AK37">
        <f>Y37*IFERROR(G37/L37,0)+Z37*IFERROR(J37/P37,0)</f>
        <v/>
      </c>
      <c r="AL37">
        <f>AA37*IFERROR(AC37/AD37,0)</f>
        <v/>
      </c>
      <c r="AM37">
        <f>AB37*IFERROR(AG37/AH37,0)*IFERROR(AE37/AF37,0)*IFERROR(AC37/AD37,0)</f>
        <v/>
      </c>
      <c r="AN37">
        <f>I37-(AI37+AJ37+AK37+AL37+AM37)</f>
        <v/>
      </c>
    </row>
    <row r="38">
      <c r="A38">
        <f>Allocation!C38</f>
        <v/>
      </c>
      <c r="B38">
        <f>Allocation!D38</f>
        <v/>
      </c>
      <c r="C38">
        <f>Allocation!E38</f>
        <v/>
      </c>
      <c r="D38">
        <f>Allocation!F38</f>
        <v/>
      </c>
      <c r="E38">
        <f>Allocation!G38</f>
        <v/>
      </c>
      <c r="F38">
        <f>Allocation!H38</f>
        <v/>
      </c>
      <c r="G38">
        <f>Allocation!I38</f>
        <v/>
      </c>
      <c r="H38">
        <f>Allocation!J38</f>
        <v/>
      </c>
      <c r="I38">
        <f>Allocation!K38</f>
        <v/>
      </c>
      <c r="J38">
        <f>SUMIFS(Socle!$K$2:$K$175,Socle!$C$2:$C$175,B38,Socle!$D$2:$D$175,D38,Socle!$E$2:$E$175,E38,Socle!$F$2:$F$175,F38,Socle!$G$2:$G$175,A38)</f>
        <v/>
      </c>
      <c r="K38">
        <f>H38*IF(AND(LEFT(D38,3)="BAC",F38="INIT"),600,IF(LEFT(D38,3)="BAC",480,IF(AND(LEFT(D38,3)="MAS",F38="INIT"),520,IF(LEFT(D38,3)="MAS",420,IF(F38="INIT",1000,700)))))</f>
        <v/>
      </c>
      <c r="L38">
        <f>SUMIFS(Allocation!$I$2:$I$175,Allocation!$C$2:$C$175,A38,Allocation!$D$2:$D$175,B38)</f>
        <v/>
      </c>
      <c r="M38">
        <f>SUMIFS(Allocation!$J$2:$J$175,Allocation!$C$2:$C$175,A38,Allocation!$D$2:$D$175,B38)</f>
        <v/>
      </c>
      <c r="N38">
        <f>SUMIFS(Allocation!$K$2:$K$175,Allocation!$C$2:$C$175,A38,Allocation!$D$2:$D$175,B38)</f>
        <v/>
      </c>
      <c r="O38">
        <f>SUMIFS($K$2:$K$175,$A$2:$A$175,A38,$B$2:$B$175,B38)</f>
        <v/>
      </c>
      <c r="P38">
        <f>SUMIFS($J$2:$J$175,$A$2:$A$175,A38,$B$2:$B$175,B38)</f>
        <v/>
      </c>
      <c r="Q38">
        <f>SUMIFS(Allocation!$I$2:$I$175,Allocation!$C$2:$C$175,A38,Allocation!$E$2:$E$175,C38)</f>
        <v/>
      </c>
      <c r="R38">
        <f>SUMIFS(Allocation!$J$2:$J$175,Allocation!$C$2:$C$175,A38,Allocation!$E$2:$E$175,C38)</f>
        <v/>
      </c>
      <c r="S38">
        <f>SUMIFS(Allocation!$K$2:$K$175,Allocation!$C$2:$C$175,A38,Allocation!$E$2:$E$175,C38)</f>
        <v/>
      </c>
      <c r="T38">
        <f>SUMIFS(Allocation!$I$2:$I$175,Allocation!$C$2:$C$175,A38)</f>
        <v/>
      </c>
      <c r="U38">
        <f>SUMIFS(Allocation!$J$2:$J$175,Allocation!$C$2:$C$175,A38)</f>
        <v/>
      </c>
      <c r="V38">
        <f>SUMIFS(Allocation!$K$2:$K$175,Allocation!$C$2:$C$175,A38)</f>
        <v/>
      </c>
      <c r="W38">
        <f>SUMIFS(Compta!$F$2:$F$675,Compta!$A$2:$A$675,B38,Compta!$B$2:$B$675,"621",Compta!$C$2:$C$675,A38)</f>
        <v/>
      </c>
      <c r="X38">
        <f>SUMIFS(Compta!$F$2:$F$675,Compta!$A$2:$A$675,B38,Compta!$B$2:$B$675,"6411",Compta!$C$2:$C$675,A38)</f>
        <v/>
      </c>
      <c r="Y38">
        <f>SUMIFS(Compta!$F$2:$F$675,Compta!$A$2:$A$675,B38,Compta!$B$2:$B$675,"604",Compta!$C$2:$C$675,A38)+SUMIFS(Compta!$F$2:$F$675,Compta!$A$2:$A$675,B38,Compta!$B$2:$B$675,"6063",Compta!$C$2:$C$675,A38)</f>
        <v/>
      </c>
      <c r="Z38">
        <f>SUMIFS(Compta!$F$2:$F$675,Compta!$A$2:$A$675,B38,Compta!$B$2:$B$675,"6231",Compta!$C$2:$C$675,A38)</f>
        <v/>
      </c>
      <c r="AA38">
        <f>SUMIFS(Compta!$F$2:$F$675,Compta!$A$2:$A$675,B38,Compta!$B$2:$B$675,"6413",Compta!$C$2:$C$675,A38)+SUMIFS(Compta!$F$2:$F$675,Compta!$A$2:$A$675,B38,Compta!$B$2:$B$675,"645",Compta!$C$2:$C$675,A38)+SUMIFS(Compta!$F$2:$F$675,Compta!$A$2:$A$675,B38,Compta!$B$2:$B$675,"613",Compta!$C$2:$C$675,A38)+SUMIFS(Compta!$F$2:$F$675,Compta!$A$2:$A$675,B38,Compta!$B$2:$B$675,"615",Compta!$C$2:$C$675,A38)+SUMIFS(Compta!$F$2:$F$675,Compta!$A$2:$A$675,B38,Compta!$B$2:$B$675,"616",Compta!$C$2:$C$675,A38)+SUMIFS(Compta!$F$2:$F$675,Compta!$A$2:$A$675,B38,Compta!$B$2:$B$675,"625",Compta!$C$2:$C$675,A38)+SUMIFS(Compta!$F$2:$F$675,Compta!$A$2:$A$675,B38,Compta!$B$2:$B$675,"63511",Compta!$C$2:$C$675,A38)</f>
        <v/>
      </c>
      <c r="AB38">
        <f>SUMIFS(Compta!$F$2:$F$675,Compta!$A$2:$A$675,"GRP",Compta!$B$2:$B$675,"6414",Compta!$C$2:$C$675,A38)+SUMIFS(Compta!$F$2:$F$675,Compta!$A$2:$A$675,"GRP",Compta!$B$2:$B$675,"6226",Compta!$C$2:$C$675,A38)+SUMIFS(Compta!$F$2:$F$675,Compta!$A$2:$A$675,"GRP",Compta!$B$2:$B$675,"6236",Compta!$C$2:$C$675,A38)+SUMIFS(Compta!$F$2:$F$675,Compta!$A$2:$A$675,"GRP",Compta!$B$2:$B$675,"626",Compta!$C$2:$C$675,A38)+SUMIFS(Compta!$F$2:$F$675,Compta!$A$2:$A$675,"GRP",Compta!$B$2:$B$675,"6281",Compta!$C$2:$C$675,A38)+SUMIFS(Compta!$F$2:$F$675,Compta!$A$2:$A$675,"GRP",Compta!$B$2:$B$675,"6331",Compta!$C$2:$C$675,A38)+SUMIFS(Compta!$F$2:$F$675,Compta!$A$2:$A$675,"GRP",Compta!$B$2:$B$675,"6333",Compta!$C$2:$C$675,A38)</f>
        <v/>
      </c>
      <c r="AC38">
        <f>IF(Pilotage!$E$10="Chiffre d'affaires",I38,IF(Pilotage!$E$10="Effectif",G38,H38))</f>
        <v/>
      </c>
      <c r="AD38">
        <f>IF(Pilotage!$E$10="Chiffre d'affaires",N38,IF(Pilotage!$E$10="Effectif",L38,M38))</f>
        <v/>
      </c>
      <c r="AE38">
        <f>IF(Pilotage!$E$8="Chiffre d'affaires",N38,IF(Pilotage!$E$8="Effectif",L38,M38))</f>
        <v/>
      </c>
      <c r="AF38">
        <f>IF(Pilotage!$E$8="Chiffre d'affaires",S38,IF(Pilotage!$E$8="Effectif",Q38,R38))</f>
        <v/>
      </c>
      <c r="AG38">
        <f>IF(Pilotage!$E$9="Chiffre d'affaires",S38,IF(Pilotage!$E$9="Effectif",Q38,R38))</f>
        <v/>
      </c>
      <c r="AH38">
        <f>IF(Pilotage!$E$9="Chiffre d'affaires",V38,IF(Pilotage!$E$9="Effectif",T38,U38))</f>
        <v/>
      </c>
      <c r="AI38">
        <f>W38*IFERROR(K38/O38,0)</f>
        <v/>
      </c>
      <c r="AJ38">
        <f>X38*IFERROR(K38/O38,0)</f>
        <v/>
      </c>
      <c r="AK38">
        <f>Y38*IFERROR(G38/L38,0)+Z38*IFERROR(J38/P38,0)</f>
        <v/>
      </c>
      <c r="AL38">
        <f>AA38*IFERROR(AC38/AD38,0)</f>
        <v/>
      </c>
      <c r="AM38">
        <f>AB38*IFERROR(AG38/AH38,0)*IFERROR(AE38/AF38,0)*IFERROR(AC38/AD38,0)</f>
        <v/>
      </c>
      <c r="AN38">
        <f>I38-(AI38+AJ38+AK38+AL38+AM38)</f>
        <v/>
      </c>
    </row>
    <row r="39">
      <c r="A39">
        <f>Allocation!C39</f>
        <v/>
      </c>
      <c r="B39">
        <f>Allocation!D39</f>
        <v/>
      </c>
      <c r="C39">
        <f>Allocation!E39</f>
        <v/>
      </c>
      <c r="D39">
        <f>Allocation!F39</f>
        <v/>
      </c>
      <c r="E39">
        <f>Allocation!G39</f>
        <v/>
      </c>
      <c r="F39">
        <f>Allocation!H39</f>
        <v/>
      </c>
      <c r="G39">
        <f>Allocation!I39</f>
        <v/>
      </c>
      <c r="H39">
        <f>Allocation!J39</f>
        <v/>
      </c>
      <c r="I39">
        <f>Allocation!K39</f>
        <v/>
      </c>
      <c r="J39">
        <f>SUMIFS(Socle!$K$2:$K$175,Socle!$C$2:$C$175,B39,Socle!$D$2:$D$175,D39,Socle!$E$2:$E$175,E39,Socle!$F$2:$F$175,F39,Socle!$G$2:$G$175,A39)</f>
        <v/>
      </c>
      <c r="K39">
        <f>H39*IF(AND(LEFT(D39,3)="BAC",F39="INIT"),600,IF(LEFT(D39,3)="BAC",480,IF(AND(LEFT(D39,3)="MAS",F39="INIT"),520,IF(LEFT(D39,3)="MAS",420,IF(F39="INIT",1000,700)))))</f>
        <v/>
      </c>
      <c r="L39">
        <f>SUMIFS(Allocation!$I$2:$I$175,Allocation!$C$2:$C$175,A39,Allocation!$D$2:$D$175,B39)</f>
        <v/>
      </c>
      <c r="M39">
        <f>SUMIFS(Allocation!$J$2:$J$175,Allocation!$C$2:$C$175,A39,Allocation!$D$2:$D$175,B39)</f>
        <v/>
      </c>
      <c r="N39">
        <f>SUMIFS(Allocation!$K$2:$K$175,Allocation!$C$2:$C$175,A39,Allocation!$D$2:$D$175,B39)</f>
        <v/>
      </c>
      <c r="O39">
        <f>SUMIFS($K$2:$K$175,$A$2:$A$175,A39,$B$2:$B$175,B39)</f>
        <v/>
      </c>
      <c r="P39">
        <f>SUMIFS($J$2:$J$175,$A$2:$A$175,A39,$B$2:$B$175,B39)</f>
        <v/>
      </c>
      <c r="Q39">
        <f>SUMIFS(Allocation!$I$2:$I$175,Allocation!$C$2:$C$175,A39,Allocation!$E$2:$E$175,C39)</f>
        <v/>
      </c>
      <c r="R39">
        <f>SUMIFS(Allocation!$J$2:$J$175,Allocation!$C$2:$C$175,A39,Allocation!$E$2:$E$175,C39)</f>
        <v/>
      </c>
      <c r="S39">
        <f>SUMIFS(Allocation!$K$2:$K$175,Allocation!$C$2:$C$175,A39,Allocation!$E$2:$E$175,C39)</f>
        <v/>
      </c>
      <c r="T39">
        <f>SUMIFS(Allocation!$I$2:$I$175,Allocation!$C$2:$C$175,A39)</f>
        <v/>
      </c>
      <c r="U39">
        <f>SUMIFS(Allocation!$J$2:$J$175,Allocation!$C$2:$C$175,A39)</f>
        <v/>
      </c>
      <c r="V39">
        <f>SUMIFS(Allocation!$K$2:$K$175,Allocation!$C$2:$C$175,A39)</f>
        <v/>
      </c>
      <c r="W39">
        <f>SUMIFS(Compta!$F$2:$F$675,Compta!$A$2:$A$675,B39,Compta!$B$2:$B$675,"621",Compta!$C$2:$C$675,A39)</f>
        <v/>
      </c>
      <c r="X39">
        <f>SUMIFS(Compta!$F$2:$F$675,Compta!$A$2:$A$675,B39,Compta!$B$2:$B$675,"6411",Compta!$C$2:$C$675,A39)</f>
        <v/>
      </c>
      <c r="Y39">
        <f>SUMIFS(Compta!$F$2:$F$675,Compta!$A$2:$A$675,B39,Compta!$B$2:$B$675,"604",Compta!$C$2:$C$675,A39)+SUMIFS(Compta!$F$2:$F$675,Compta!$A$2:$A$675,B39,Compta!$B$2:$B$675,"6063",Compta!$C$2:$C$675,A39)</f>
        <v/>
      </c>
      <c r="Z39">
        <f>SUMIFS(Compta!$F$2:$F$675,Compta!$A$2:$A$675,B39,Compta!$B$2:$B$675,"6231",Compta!$C$2:$C$675,A39)</f>
        <v/>
      </c>
      <c r="AA39">
        <f>SUMIFS(Compta!$F$2:$F$675,Compta!$A$2:$A$675,B39,Compta!$B$2:$B$675,"6413",Compta!$C$2:$C$675,A39)+SUMIFS(Compta!$F$2:$F$675,Compta!$A$2:$A$675,B39,Compta!$B$2:$B$675,"645",Compta!$C$2:$C$675,A39)+SUMIFS(Compta!$F$2:$F$675,Compta!$A$2:$A$675,B39,Compta!$B$2:$B$675,"613",Compta!$C$2:$C$675,A39)+SUMIFS(Compta!$F$2:$F$675,Compta!$A$2:$A$675,B39,Compta!$B$2:$B$675,"615",Compta!$C$2:$C$675,A39)+SUMIFS(Compta!$F$2:$F$675,Compta!$A$2:$A$675,B39,Compta!$B$2:$B$675,"616",Compta!$C$2:$C$675,A39)+SUMIFS(Compta!$F$2:$F$675,Compta!$A$2:$A$675,B39,Compta!$B$2:$B$675,"625",Compta!$C$2:$C$675,A39)+SUMIFS(Compta!$F$2:$F$675,Compta!$A$2:$A$675,B39,Compta!$B$2:$B$675,"63511",Compta!$C$2:$C$675,A39)</f>
        <v/>
      </c>
      <c r="AB39">
        <f>SUMIFS(Compta!$F$2:$F$675,Compta!$A$2:$A$675,"GRP",Compta!$B$2:$B$675,"6414",Compta!$C$2:$C$675,A39)+SUMIFS(Compta!$F$2:$F$675,Compta!$A$2:$A$675,"GRP",Compta!$B$2:$B$675,"6226",Compta!$C$2:$C$675,A39)+SUMIFS(Compta!$F$2:$F$675,Compta!$A$2:$A$675,"GRP",Compta!$B$2:$B$675,"6236",Compta!$C$2:$C$675,A39)+SUMIFS(Compta!$F$2:$F$675,Compta!$A$2:$A$675,"GRP",Compta!$B$2:$B$675,"626",Compta!$C$2:$C$675,A39)+SUMIFS(Compta!$F$2:$F$675,Compta!$A$2:$A$675,"GRP",Compta!$B$2:$B$675,"6281",Compta!$C$2:$C$675,A39)+SUMIFS(Compta!$F$2:$F$675,Compta!$A$2:$A$675,"GRP",Compta!$B$2:$B$675,"6331",Compta!$C$2:$C$675,A39)+SUMIFS(Compta!$F$2:$F$675,Compta!$A$2:$A$675,"GRP",Compta!$B$2:$B$675,"6333",Compta!$C$2:$C$675,A39)</f>
        <v/>
      </c>
      <c r="AC39">
        <f>IF(Pilotage!$E$10="Chiffre d'affaires",I39,IF(Pilotage!$E$10="Effectif",G39,H39))</f>
        <v/>
      </c>
      <c r="AD39">
        <f>IF(Pilotage!$E$10="Chiffre d'affaires",N39,IF(Pilotage!$E$10="Effectif",L39,M39))</f>
        <v/>
      </c>
      <c r="AE39">
        <f>IF(Pilotage!$E$8="Chiffre d'affaires",N39,IF(Pilotage!$E$8="Effectif",L39,M39))</f>
        <v/>
      </c>
      <c r="AF39">
        <f>IF(Pilotage!$E$8="Chiffre d'affaires",S39,IF(Pilotage!$E$8="Effectif",Q39,R39))</f>
        <v/>
      </c>
      <c r="AG39">
        <f>IF(Pilotage!$E$9="Chiffre d'affaires",S39,IF(Pilotage!$E$9="Effectif",Q39,R39))</f>
        <v/>
      </c>
      <c r="AH39">
        <f>IF(Pilotage!$E$9="Chiffre d'affaires",V39,IF(Pilotage!$E$9="Effectif",T39,U39))</f>
        <v/>
      </c>
      <c r="AI39">
        <f>W39*IFERROR(K39/O39,0)</f>
        <v/>
      </c>
      <c r="AJ39">
        <f>X39*IFERROR(K39/O39,0)</f>
        <v/>
      </c>
      <c r="AK39">
        <f>Y39*IFERROR(G39/L39,0)+Z39*IFERROR(J39/P39,0)</f>
        <v/>
      </c>
      <c r="AL39">
        <f>AA39*IFERROR(AC39/AD39,0)</f>
        <v/>
      </c>
      <c r="AM39">
        <f>AB39*IFERROR(AG39/AH39,0)*IFERROR(AE39/AF39,0)*IFERROR(AC39/AD39,0)</f>
        <v/>
      </c>
      <c r="AN39">
        <f>I39-(AI39+AJ39+AK39+AL39+AM39)</f>
        <v/>
      </c>
    </row>
    <row r="40">
      <c r="A40">
        <f>Allocation!C40</f>
        <v/>
      </c>
      <c r="B40">
        <f>Allocation!D40</f>
        <v/>
      </c>
      <c r="C40">
        <f>Allocation!E40</f>
        <v/>
      </c>
      <c r="D40">
        <f>Allocation!F40</f>
        <v/>
      </c>
      <c r="E40">
        <f>Allocation!G40</f>
        <v/>
      </c>
      <c r="F40">
        <f>Allocation!H40</f>
        <v/>
      </c>
      <c r="G40">
        <f>Allocation!I40</f>
        <v/>
      </c>
      <c r="H40">
        <f>Allocation!J40</f>
        <v/>
      </c>
      <c r="I40">
        <f>Allocation!K40</f>
        <v/>
      </c>
      <c r="J40">
        <f>SUMIFS(Socle!$K$2:$K$175,Socle!$C$2:$C$175,B40,Socle!$D$2:$D$175,D40,Socle!$E$2:$E$175,E40,Socle!$F$2:$F$175,F40,Socle!$G$2:$G$175,A40)</f>
        <v/>
      </c>
      <c r="K40">
        <f>H40*IF(AND(LEFT(D40,3)="BAC",F40="INIT"),600,IF(LEFT(D40,3)="BAC",480,IF(AND(LEFT(D40,3)="MAS",F40="INIT"),520,IF(LEFT(D40,3)="MAS",420,IF(F40="INIT",1000,700)))))</f>
        <v/>
      </c>
      <c r="L40">
        <f>SUMIFS(Allocation!$I$2:$I$175,Allocation!$C$2:$C$175,A40,Allocation!$D$2:$D$175,B40)</f>
        <v/>
      </c>
      <c r="M40">
        <f>SUMIFS(Allocation!$J$2:$J$175,Allocation!$C$2:$C$175,A40,Allocation!$D$2:$D$175,B40)</f>
        <v/>
      </c>
      <c r="N40">
        <f>SUMIFS(Allocation!$K$2:$K$175,Allocation!$C$2:$C$175,A40,Allocation!$D$2:$D$175,B40)</f>
        <v/>
      </c>
      <c r="O40">
        <f>SUMIFS($K$2:$K$175,$A$2:$A$175,A40,$B$2:$B$175,B40)</f>
        <v/>
      </c>
      <c r="P40">
        <f>SUMIFS($J$2:$J$175,$A$2:$A$175,A40,$B$2:$B$175,B40)</f>
        <v/>
      </c>
      <c r="Q40">
        <f>SUMIFS(Allocation!$I$2:$I$175,Allocation!$C$2:$C$175,A40,Allocation!$E$2:$E$175,C40)</f>
        <v/>
      </c>
      <c r="R40">
        <f>SUMIFS(Allocation!$J$2:$J$175,Allocation!$C$2:$C$175,A40,Allocation!$E$2:$E$175,C40)</f>
        <v/>
      </c>
      <c r="S40">
        <f>SUMIFS(Allocation!$K$2:$K$175,Allocation!$C$2:$C$175,A40,Allocation!$E$2:$E$175,C40)</f>
        <v/>
      </c>
      <c r="T40">
        <f>SUMIFS(Allocation!$I$2:$I$175,Allocation!$C$2:$C$175,A40)</f>
        <v/>
      </c>
      <c r="U40">
        <f>SUMIFS(Allocation!$J$2:$J$175,Allocation!$C$2:$C$175,A40)</f>
        <v/>
      </c>
      <c r="V40">
        <f>SUMIFS(Allocation!$K$2:$K$175,Allocation!$C$2:$C$175,A40)</f>
        <v/>
      </c>
      <c r="W40">
        <f>SUMIFS(Compta!$F$2:$F$675,Compta!$A$2:$A$675,B40,Compta!$B$2:$B$675,"621",Compta!$C$2:$C$675,A40)</f>
        <v/>
      </c>
      <c r="X40">
        <f>SUMIFS(Compta!$F$2:$F$675,Compta!$A$2:$A$675,B40,Compta!$B$2:$B$675,"6411",Compta!$C$2:$C$675,A40)</f>
        <v/>
      </c>
      <c r="Y40">
        <f>SUMIFS(Compta!$F$2:$F$675,Compta!$A$2:$A$675,B40,Compta!$B$2:$B$675,"604",Compta!$C$2:$C$675,A40)+SUMIFS(Compta!$F$2:$F$675,Compta!$A$2:$A$675,B40,Compta!$B$2:$B$675,"6063",Compta!$C$2:$C$675,A40)</f>
        <v/>
      </c>
      <c r="Z40">
        <f>SUMIFS(Compta!$F$2:$F$675,Compta!$A$2:$A$675,B40,Compta!$B$2:$B$675,"6231",Compta!$C$2:$C$675,A40)</f>
        <v/>
      </c>
      <c r="AA40">
        <f>SUMIFS(Compta!$F$2:$F$675,Compta!$A$2:$A$675,B40,Compta!$B$2:$B$675,"6413",Compta!$C$2:$C$675,A40)+SUMIFS(Compta!$F$2:$F$675,Compta!$A$2:$A$675,B40,Compta!$B$2:$B$675,"645",Compta!$C$2:$C$675,A40)+SUMIFS(Compta!$F$2:$F$675,Compta!$A$2:$A$675,B40,Compta!$B$2:$B$675,"613",Compta!$C$2:$C$675,A40)+SUMIFS(Compta!$F$2:$F$675,Compta!$A$2:$A$675,B40,Compta!$B$2:$B$675,"615",Compta!$C$2:$C$675,A40)+SUMIFS(Compta!$F$2:$F$675,Compta!$A$2:$A$675,B40,Compta!$B$2:$B$675,"616",Compta!$C$2:$C$675,A40)+SUMIFS(Compta!$F$2:$F$675,Compta!$A$2:$A$675,B40,Compta!$B$2:$B$675,"625",Compta!$C$2:$C$675,A40)+SUMIFS(Compta!$F$2:$F$675,Compta!$A$2:$A$675,B40,Compta!$B$2:$B$675,"63511",Compta!$C$2:$C$675,A40)</f>
        <v/>
      </c>
      <c r="AB40">
        <f>SUMIFS(Compta!$F$2:$F$675,Compta!$A$2:$A$675,"GRP",Compta!$B$2:$B$675,"6414",Compta!$C$2:$C$675,A40)+SUMIFS(Compta!$F$2:$F$675,Compta!$A$2:$A$675,"GRP",Compta!$B$2:$B$675,"6226",Compta!$C$2:$C$675,A40)+SUMIFS(Compta!$F$2:$F$675,Compta!$A$2:$A$675,"GRP",Compta!$B$2:$B$675,"6236",Compta!$C$2:$C$675,A40)+SUMIFS(Compta!$F$2:$F$675,Compta!$A$2:$A$675,"GRP",Compta!$B$2:$B$675,"626",Compta!$C$2:$C$675,A40)+SUMIFS(Compta!$F$2:$F$675,Compta!$A$2:$A$675,"GRP",Compta!$B$2:$B$675,"6281",Compta!$C$2:$C$675,A40)+SUMIFS(Compta!$F$2:$F$675,Compta!$A$2:$A$675,"GRP",Compta!$B$2:$B$675,"6331",Compta!$C$2:$C$675,A40)+SUMIFS(Compta!$F$2:$F$675,Compta!$A$2:$A$675,"GRP",Compta!$B$2:$B$675,"6333",Compta!$C$2:$C$675,A40)</f>
        <v/>
      </c>
      <c r="AC40">
        <f>IF(Pilotage!$E$10="Chiffre d'affaires",I40,IF(Pilotage!$E$10="Effectif",G40,H40))</f>
        <v/>
      </c>
      <c r="AD40">
        <f>IF(Pilotage!$E$10="Chiffre d'affaires",N40,IF(Pilotage!$E$10="Effectif",L40,M40))</f>
        <v/>
      </c>
      <c r="AE40">
        <f>IF(Pilotage!$E$8="Chiffre d'affaires",N40,IF(Pilotage!$E$8="Effectif",L40,M40))</f>
        <v/>
      </c>
      <c r="AF40">
        <f>IF(Pilotage!$E$8="Chiffre d'affaires",S40,IF(Pilotage!$E$8="Effectif",Q40,R40))</f>
        <v/>
      </c>
      <c r="AG40">
        <f>IF(Pilotage!$E$9="Chiffre d'affaires",S40,IF(Pilotage!$E$9="Effectif",Q40,R40))</f>
        <v/>
      </c>
      <c r="AH40">
        <f>IF(Pilotage!$E$9="Chiffre d'affaires",V40,IF(Pilotage!$E$9="Effectif",T40,U40))</f>
        <v/>
      </c>
      <c r="AI40">
        <f>W40*IFERROR(K40/O40,0)</f>
        <v/>
      </c>
      <c r="AJ40">
        <f>X40*IFERROR(K40/O40,0)</f>
        <v/>
      </c>
      <c r="AK40">
        <f>Y40*IFERROR(G40/L40,0)+Z40*IFERROR(J40/P40,0)</f>
        <v/>
      </c>
      <c r="AL40">
        <f>AA40*IFERROR(AC40/AD40,0)</f>
        <v/>
      </c>
      <c r="AM40">
        <f>AB40*IFERROR(AG40/AH40,0)*IFERROR(AE40/AF40,0)*IFERROR(AC40/AD40,0)</f>
        <v/>
      </c>
      <c r="AN40">
        <f>I40-(AI40+AJ40+AK40+AL40+AM40)</f>
        <v/>
      </c>
    </row>
    <row r="41">
      <c r="A41">
        <f>Allocation!C41</f>
        <v/>
      </c>
      <c r="B41">
        <f>Allocation!D41</f>
        <v/>
      </c>
      <c r="C41">
        <f>Allocation!E41</f>
        <v/>
      </c>
      <c r="D41">
        <f>Allocation!F41</f>
        <v/>
      </c>
      <c r="E41">
        <f>Allocation!G41</f>
        <v/>
      </c>
      <c r="F41">
        <f>Allocation!H41</f>
        <v/>
      </c>
      <c r="G41">
        <f>Allocation!I41</f>
        <v/>
      </c>
      <c r="H41">
        <f>Allocation!J41</f>
        <v/>
      </c>
      <c r="I41">
        <f>Allocation!K41</f>
        <v/>
      </c>
      <c r="J41">
        <f>SUMIFS(Socle!$K$2:$K$175,Socle!$C$2:$C$175,B41,Socle!$D$2:$D$175,D41,Socle!$E$2:$E$175,E41,Socle!$F$2:$F$175,F41,Socle!$G$2:$G$175,A41)</f>
        <v/>
      </c>
      <c r="K41">
        <f>H41*IF(AND(LEFT(D41,3)="BAC",F41="INIT"),600,IF(LEFT(D41,3)="BAC",480,IF(AND(LEFT(D41,3)="MAS",F41="INIT"),520,IF(LEFT(D41,3)="MAS",420,IF(F41="INIT",1000,700)))))</f>
        <v/>
      </c>
      <c r="L41">
        <f>SUMIFS(Allocation!$I$2:$I$175,Allocation!$C$2:$C$175,A41,Allocation!$D$2:$D$175,B41)</f>
        <v/>
      </c>
      <c r="M41">
        <f>SUMIFS(Allocation!$J$2:$J$175,Allocation!$C$2:$C$175,A41,Allocation!$D$2:$D$175,B41)</f>
        <v/>
      </c>
      <c r="N41">
        <f>SUMIFS(Allocation!$K$2:$K$175,Allocation!$C$2:$C$175,A41,Allocation!$D$2:$D$175,B41)</f>
        <v/>
      </c>
      <c r="O41">
        <f>SUMIFS($K$2:$K$175,$A$2:$A$175,A41,$B$2:$B$175,B41)</f>
        <v/>
      </c>
      <c r="P41">
        <f>SUMIFS($J$2:$J$175,$A$2:$A$175,A41,$B$2:$B$175,B41)</f>
        <v/>
      </c>
      <c r="Q41">
        <f>SUMIFS(Allocation!$I$2:$I$175,Allocation!$C$2:$C$175,A41,Allocation!$E$2:$E$175,C41)</f>
        <v/>
      </c>
      <c r="R41">
        <f>SUMIFS(Allocation!$J$2:$J$175,Allocation!$C$2:$C$175,A41,Allocation!$E$2:$E$175,C41)</f>
        <v/>
      </c>
      <c r="S41">
        <f>SUMIFS(Allocation!$K$2:$K$175,Allocation!$C$2:$C$175,A41,Allocation!$E$2:$E$175,C41)</f>
        <v/>
      </c>
      <c r="T41">
        <f>SUMIFS(Allocation!$I$2:$I$175,Allocation!$C$2:$C$175,A41)</f>
        <v/>
      </c>
      <c r="U41">
        <f>SUMIFS(Allocation!$J$2:$J$175,Allocation!$C$2:$C$175,A41)</f>
        <v/>
      </c>
      <c r="V41">
        <f>SUMIFS(Allocation!$K$2:$K$175,Allocation!$C$2:$C$175,A41)</f>
        <v/>
      </c>
      <c r="W41">
        <f>SUMIFS(Compta!$F$2:$F$675,Compta!$A$2:$A$675,B41,Compta!$B$2:$B$675,"621",Compta!$C$2:$C$675,A41)</f>
        <v/>
      </c>
      <c r="X41">
        <f>SUMIFS(Compta!$F$2:$F$675,Compta!$A$2:$A$675,B41,Compta!$B$2:$B$675,"6411",Compta!$C$2:$C$675,A41)</f>
        <v/>
      </c>
      <c r="Y41">
        <f>SUMIFS(Compta!$F$2:$F$675,Compta!$A$2:$A$675,B41,Compta!$B$2:$B$675,"604",Compta!$C$2:$C$675,A41)+SUMIFS(Compta!$F$2:$F$675,Compta!$A$2:$A$675,B41,Compta!$B$2:$B$675,"6063",Compta!$C$2:$C$675,A41)</f>
        <v/>
      </c>
      <c r="Z41">
        <f>SUMIFS(Compta!$F$2:$F$675,Compta!$A$2:$A$675,B41,Compta!$B$2:$B$675,"6231",Compta!$C$2:$C$675,A41)</f>
        <v/>
      </c>
      <c r="AA41">
        <f>SUMIFS(Compta!$F$2:$F$675,Compta!$A$2:$A$675,B41,Compta!$B$2:$B$675,"6413",Compta!$C$2:$C$675,A41)+SUMIFS(Compta!$F$2:$F$675,Compta!$A$2:$A$675,B41,Compta!$B$2:$B$675,"645",Compta!$C$2:$C$675,A41)+SUMIFS(Compta!$F$2:$F$675,Compta!$A$2:$A$675,B41,Compta!$B$2:$B$675,"613",Compta!$C$2:$C$675,A41)+SUMIFS(Compta!$F$2:$F$675,Compta!$A$2:$A$675,B41,Compta!$B$2:$B$675,"615",Compta!$C$2:$C$675,A41)+SUMIFS(Compta!$F$2:$F$675,Compta!$A$2:$A$675,B41,Compta!$B$2:$B$675,"616",Compta!$C$2:$C$675,A41)+SUMIFS(Compta!$F$2:$F$675,Compta!$A$2:$A$675,B41,Compta!$B$2:$B$675,"625",Compta!$C$2:$C$675,A41)+SUMIFS(Compta!$F$2:$F$675,Compta!$A$2:$A$675,B41,Compta!$B$2:$B$675,"63511",Compta!$C$2:$C$675,A41)</f>
        <v/>
      </c>
      <c r="AB41">
        <f>SUMIFS(Compta!$F$2:$F$675,Compta!$A$2:$A$675,"GRP",Compta!$B$2:$B$675,"6414",Compta!$C$2:$C$675,A41)+SUMIFS(Compta!$F$2:$F$675,Compta!$A$2:$A$675,"GRP",Compta!$B$2:$B$675,"6226",Compta!$C$2:$C$675,A41)+SUMIFS(Compta!$F$2:$F$675,Compta!$A$2:$A$675,"GRP",Compta!$B$2:$B$675,"6236",Compta!$C$2:$C$675,A41)+SUMIFS(Compta!$F$2:$F$675,Compta!$A$2:$A$675,"GRP",Compta!$B$2:$B$675,"626",Compta!$C$2:$C$675,A41)+SUMIFS(Compta!$F$2:$F$675,Compta!$A$2:$A$675,"GRP",Compta!$B$2:$B$675,"6281",Compta!$C$2:$C$675,A41)+SUMIFS(Compta!$F$2:$F$675,Compta!$A$2:$A$675,"GRP",Compta!$B$2:$B$675,"6331",Compta!$C$2:$C$675,A41)+SUMIFS(Compta!$F$2:$F$675,Compta!$A$2:$A$675,"GRP",Compta!$B$2:$B$675,"6333",Compta!$C$2:$C$675,A41)</f>
        <v/>
      </c>
      <c r="AC41">
        <f>IF(Pilotage!$E$10="Chiffre d'affaires",I41,IF(Pilotage!$E$10="Effectif",G41,H41))</f>
        <v/>
      </c>
      <c r="AD41">
        <f>IF(Pilotage!$E$10="Chiffre d'affaires",N41,IF(Pilotage!$E$10="Effectif",L41,M41))</f>
        <v/>
      </c>
      <c r="AE41">
        <f>IF(Pilotage!$E$8="Chiffre d'affaires",N41,IF(Pilotage!$E$8="Effectif",L41,M41))</f>
        <v/>
      </c>
      <c r="AF41">
        <f>IF(Pilotage!$E$8="Chiffre d'affaires",S41,IF(Pilotage!$E$8="Effectif",Q41,R41))</f>
        <v/>
      </c>
      <c r="AG41">
        <f>IF(Pilotage!$E$9="Chiffre d'affaires",S41,IF(Pilotage!$E$9="Effectif",Q41,R41))</f>
        <v/>
      </c>
      <c r="AH41">
        <f>IF(Pilotage!$E$9="Chiffre d'affaires",V41,IF(Pilotage!$E$9="Effectif",T41,U41))</f>
        <v/>
      </c>
      <c r="AI41">
        <f>W41*IFERROR(K41/O41,0)</f>
        <v/>
      </c>
      <c r="AJ41">
        <f>X41*IFERROR(K41/O41,0)</f>
        <v/>
      </c>
      <c r="AK41">
        <f>Y41*IFERROR(G41/L41,0)+Z41*IFERROR(J41/P41,0)</f>
        <v/>
      </c>
      <c r="AL41">
        <f>AA41*IFERROR(AC41/AD41,0)</f>
        <v/>
      </c>
      <c r="AM41">
        <f>AB41*IFERROR(AG41/AH41,0)*IFERROR(AE41/AF41,0)*IFERROR(AC41/AD41,0)</f>
        <v/>
      </c>
      <c r="AN41">
        <f>I41-(AI41+AJ41+AK41+AL41+AM41)</f>
        <v/>
      </c>
    </row>
    <row r="42">
      <c r="A42">
        <f>Allocation!C42</f>
        <v/>
      </c>
      <c r="B42">
        <f>Allocation!D42</f>
        <v/>
      </c>
      <c r="C42">
        <f>Allocation!E42</f>
        <v/>
      </c>
      <c r="D42">
        <f>Allocation!F42</f>
        <v/>
      </c>
      <c r="E42">
        <f>Allocation!G42</f>
        <v/>
      </c>
      <c r="F42">
        <f>Allocation!H42</f>
        <v/>
      </c>
      <c r="G42">
        <f>Allocation!I42</f>
        <v/>
      </c>
      <c r="H42">
        <f>Allocation!J42</f>
        <v/>
      </c>
      <c r="I42">
        <f>Allocation!K42</f>
        <v/>
      </c>
      <c r="J42">
        <f>SUMIFS(Socle!$K$2:$K$175,Socle!$C$2:$C$175,B42,Socle!$D$2:$D$175,D42,Socle!$E$2:$E$175,E42,Socle!$F$2:$F$175,F42,Socle!$G$2:$G$175,A42)</f>
        <v/>
      </c>
      <c r="K42">
        <f>H42*IF(AND(LEFT(D42,3)="BAC",F42="INIT"),600,IF(LEFT(D42,3)="BAC",480,IF(AND(LEFT(D42,3)="MAS",F42="INIT"),520,IF(LEFT(D42,3)="MAS",420,IF(F42="INIT",1000,700)))))</f>
        <v/>
      </c>
      <c r="L42">
        <f>SUMIFS(Allocation!$I$2:$I$175,Allocation!$C$2:$C$175,A42,Allocation!$D$2:$D$175,B42)</f>
        <v/>
      </c>
      <c r="M42">
        <f>SUMIFS(Allocation!$J$2:$J$175,Allocation!$C$2:$C$175,A42,Allocation!$D$2:$D$175,B42)</f>
        <v/>
      </c>
      <c r="N42">
        <f>SUMIFS(Allocation!$K$2:$K$175,Allocation!$C$2:$C$175,A42,Allocation!$D$2:$D$175,B42)</f>
        <v/>
      </c>
      <c r="O42">
        <f>SUMIFS($K$2:$K$175,$A$2:$A$175,A42,$B$2:$B$175,B42)</f>
        <v/>
      </c>
      <c r="P42">
        <f>SUMIFS($J$2:$J$175,$A$2:$A$175,A42,$B$2:$B$175,B42)</f>
        <v/>
      </c>
      <c r="Q42">
        <f>SUMIFS(Allocation!$I$2:$I$175,Allocation!$C$2:$C$175,A42,Allocation!$E$2:$E$175,C42)</f>
        <v/>
      </c>
      <c r="R42">
        <f>SUMIFS(Allocation!$J$2:$J$175,Allocation!$C$2:$C$175,A42,Allocation!$E$2:$E$175,C42)</f>
        <v/>
      </c>
      <c r="S42">
        <f>SUMIFS(Allocation!$K$2:$K$175,Allocation!$C$2:$C$175,A42,Allocation!$E$2:$E$175,C42)</f>
        <v/>
      </c>
      <c r="T42">
        <f>SUMIFS(Allocation!$I$2:$I$175,Allocation!$C$2:$C$175,A42)</f>
        <v/>
      </c>
      <c r="U42">
        <f>SUMIFS(Allocation!$J$2:$J$175,Allocation!$C$2:$C$175,A42)</f>
        <v/>
      </c>
      <c r="V42">
        <f>SUMIFS(Allocation!$K$2:$K$175,Allocation!$C$2:$C$175,A42)</f>
        <v/>
      </c>
      <c r="W42">
        <f>SUMIFS(Compta!$F$2:$F$675,Compta!$A$2:$A$675,B42,Compta!$B$2:$B$675,"621",Compta!$C$2:$C$675,A42)</f>
        <v/>
      </c>
      <c r="X42">
        <f>SUMIFS(Compta!$F$2:$F$675,Compta!$A$2:$A$675,B42,Compta!$B$2:$B$675,"6411",Compta!$C$2:$C$675,A42)</f>
        <v/>
      </c>
      <c r="Y42">
        <f>SUMIFS(Compta!$F$2:$F$675,Compta!$A$2:$A$675,B42,Compta!$B$2:$B$675,"604",Compta!$C$2:$C$675,A42)+SUMIFS(Compta!$F$2:$F$675,Compta!$A$2:$A$675,B42,Compta!$B$2:$B$675,"6063",Compta!$C$2:$C$675,A42)</f>
        <v/>
      </c>
      <c r="Z42">
        <f>SUMIFS(Compta!$F$2:$F$675,Compta!$A$2:$A$675,B42,Compta!$B$2:$B$675,"6231",Compta!$C$2:$C$675,A42)</f>
        <v/>
      </c>
      <c r="AA42">
        <f>SUMIFS(Compta!$F$2:$F$675,Compta!$A$2:$A$675,B42,Compta!$B$2:$B$675,"6413",Compta!$C$2:$C$675,A42)+SUMIFS(Compta!$F$2:$F$675,Compta!$A$2:$A$675,B42,Compta!$B$2:$B$675,"645",Compta!$C$2:$C$675,A42)+SUMIFS(Compta!$F$2:$F$675,Compta!$A$2:$A$675,B42,Compta!$B$2:$B$675,"613",Compta!$C$2:$C$675,A42)+SUMIFS(Compta!$F$2:$F$675,Compta!$A$2:$A$675,B42,Compta!$B$2:$B$675,"615",Compta!$C$2:$C$675,A42)+SUMIFS(Compta!$F$2:$F$675,Compta!$A$2:$A$675,B42,Compta!$B$2:$B$675,"616",Compta!$C$2:$C$675,A42)+SUMIFS(Compta!$F$2:$F$675,Compta!$A$2:$A$675,B42,Compta!$B$2:$B$675,"625",Compta!$C$2:$C$675,A42)+SUMIFS(Compta!$F$2:$F$675,Compta!$A$2:$A$675,B42,Compta!$B$2:$B$675,"63511",Compta!$C$2:$C$675,A42)</f>
        <v/>
      </c>
      <c r="AB42">
        <f>SUMIFS(Compta!$F$2:$F$675,Compta!$A$2:$A$675,"GRP",Compta!$B$2:$B$675,"6414",Compta!$C$2:$C$675,A42)+SUMIFS(Compta!$F$2:$F$675,Compta!$A$2:$A$675,"GRP",Compta!$B$2:$B$675,"6226",Compta!$C$2:$C$675,A42)+SUMIFS(Compta!$F$2:$F$675,Compta!$A$2:$A$675,"GRP",Compta!$B$2:$B$675,"6236",Compta!$C$2:$C$675,A42)+SUMIFS(Compta!$F$2:$F$675,Compta!$A$2:$A$675,"GRP",Compta!$B$2:$B$675,"626",Compta!$C$2:$C$675,A42)+SUMIFS(Compta!$F$2:$F$675,Compta!$A$2:$A$675,"GRP",Compta!$B$2:$B$675,"6281",Compta!$C$2:$C$675,A42)+SUMIFS(Compta!$F$2:$F$675,Compta!$A$2:$A$675,"GRP",Compta!$B$2:$B$675,"6331",Compta!$C$2:$C$675,A42)+SUMIFS(Compta!$F$2:$F$675,Compta!$A$2:$A$675,"GRP",Compta!$B$2:$B$675,"6333",Compta!$C$2:$C$675,A42)</f>
        <v/>
      </c>
      <c r="AC42">
        <f>IF(Pilotage!$E$10="Chiffre d'affaires",I42,IF(Pilotage!$E$10="Effectif",G42,H42))</f>
        <v/>
      </c>
      <c r="AD42">
        <f>IF(Pilotage!$E$10="Chiffre d'affaires",N42,IF(Pilotage!$E$10="Effectif",L42,M42))</f>
        <v/>
      </c>
      <c r="AE42">
        <f>IF(Pilotage!$E$8="Chiffre d'affaires",N42,IF(Pilotage!$E$8="Effectif",L42,M42))</f>
        <v/>
      </c>
      <c r="AF42">
        <f>IF(Pilotage!$E$8="Chiffre d'affaires",S42,IF(Pilotage!$E$8="Effectif",Q42,R42))</f>
        <v/>
      </c>
      <c r="AG42">
        <f>IF(Pilotage!$E$9="Chiffre d'affaires",S42,IF(Pilotage!$E$9="Effectif",Q42,R42))</f>
        <v/>
      </c>
      <c r="AH42">
        <f>IF(Pilotage!$E$9="Chiffre d'affaires",V42,IF(Pilotage!$E$9="Effectif",T42,U42))</f>
        <v/>
      </c>
      <c r="AI42">
        <f>W42*IFERROR(K42/O42,0)</f>
        <v/>
      </c>
      <c r="AJ42">
        <f>X42*IFERROR(K42/O42,0)</f>
        <v/>
      </c>
      <c r="AK42">
        <f>Y42*IFERROR(G42/L42,0)+Z42*IFERROR(J42/P42,0)</f>
        <v/>
      </c>
      <c r="AL42">
        <f>AA42*IFERROR(AC42/AD42,0)</f>
        <v/>
      </c>
      <c r="AM42">
        <f>AB42*IFERROR(AG42/AH42,0)*IFERROR(AE42/AF42,0)*IFERROR(AC42/AD42,0)</f>
        <v/>
      </c>
      <c r="AN42">
        <f>I42-(AI42+AJ42+AK42+AL42+AM42)</f>
        <v/>
      </c>
    </row>
    <row r="43">
      <c r="A43">
        <f>Allocation!C43</f>
        <v/>
      </c>
      <c r="B43">
        <f>Allocation!D43</f>
        <v/>
      </c>
      <c r="C43">
        <f>Allocation!E43</f>
        <v/>
      </c>
      <c r="D43">
        <f>Allocation!F43</f>
        <v/>
      </c>
      <c r="E43">
        <f>Allocation!G43</f>
        <v/>
      </c>
      <c r="F43">
        <f>Allocation!H43</f>
        <v/>
      </c>
      <c r="G43">
        <f>Allocation!I43</f>
        <v/>
      </c>
      <c r="H43">
        <f>Allocation!J43</f>
        <v/>
      </c>
      <c r="I43">
        <f>Allocation!K43</f>
        <v/>
      </c>
      <c r="J43">
        <f>SUMIFS(Socle!$K$2:$K$175,Socle!$C$2:$C$175,B43,Socle!$D$2:$D$175,D43,Socle!$E$2:$E$175,E43,Socle!$F$2:$F$175,F43,Socle!$G$2:$G$175,A43)</f>
        <v/>
      </c>
      <c r="K43">
        <f>H43*IF(AND(LEFT(D43,3)="BAC",F43="INIT"),600,IF(LEFT(D43,3)="BAC",480,IF(AND(LEFT(D43,3)="MAS",F43="INIT"),520,IF(LEFT(D43,3)="MAS",420,IF(F43="INIT",1000,700)))))</f>
        <v/>
      </c>
      <c r="L43">
        <f>SUMIFS(Allocation!$I$2:$I$175,Allocation!$C$2:$C$175,A43,Allocation!$D$2:$D$175,B43)</f>
        <v/>
      </c>
      <c r="M43">
        <f>SUMIFS(Allocation!$J$2:$J$175,Allocation!$C$2:$C$175,A43,Allocation!$D$2:$D$175,B43)</f>
        <v/>
      </c>
      <c r="N43">
        <f>SUMIFS(Allocation!$K$2:$K$175,Allocation!$C$2:$C$175,A43,Allocation!$D$2:$D$175,B43)</f>
        <v/>
      </c>
      <c r="O43">
        <f>SUMIFS($K$2:$K$175,$A$2:$A$175,A43,$B$2:$B$175,B43)</f>
        <v/>
      </c>
      <c r="P43">
        <f>SUMIFS($J$2:$J$175,$A$2:$A$175,A43,$B$2:$B$175,B43)</f>
        <v/>
      </c>
      <c r="Q43">
        <f>SUMIFS(Allocation!$I$2:$I$175,Allocation!$C$2:$C$175,A43,Allocation!$E$2:$E$175,C43)</f>
        <v/>
      </c>
      <c r="R43">
        <f>SUMIFS(Allocation!$J$2:$J$175,Allocation!$C$2:$C$175,A43,Allocation!$E$2:$E$175,C43)</f>
        <v/>
      </c>
      <c r="S43">
        <f>SUMIFS(Allocation!$K$2:$K$175,Allocation!$C$2:$C$175,A43,Allocation!$E$2:$E$175,C43)</f>
        <v/>
      </c>
      <c r="T43">
        <f>SUMIFS(Allocation!$I$2:$I$175,Allocation!$C$2:$C$175,A43)</f>
        <v/>
      </c>
      <c r="U43">
        <f>SUMIFS(Allocation!$J$2:$J$175,Allocation!$C$2:$C$175,A43)</f>
        <v/>
      </c>
      <c r="V43">
        <f>SUMIFS(Allocation!$K$2:$K$175,Allocation!$C$2:$C$175,A43)</f>
        <v/>
      </c>
      <c r="W43">
        <f>SUMIFS(Compta!$F$2:$F$675,Compta!$A$2:$A$675,B43,Compta!$B$2:$B$675,"621",Compta!$C$2:$C$675,A43)</f>
        <v/>
      </c>
      <c r="X43">
        <f>SUMIFS(Compta!$F$2:$F$675,Compta!$A$2:$A$675,B43,Compta!$B$2:$B$675,"6411",Compta!$C$2:$C$675,A43)</f>
        <v/>
      </c>
      <c r="Y43">
        <f>SUMIFS(Compta!$F$2:$F$675,Compta!$A$2:$A$675,B43,Compta!$B$2:$B$675,"604",Compta!$C$2:$C$675,A43)+SUMIFS(Compta!$F$2:$F$675,Compta!$A$2:$A$675,B43,Compta!$B$2:$B$675,"6063",Compta!$C$2:$C$675,A43)</f>
        <v/>
      </c>
      <c r="Z43">
        <f>SUMIFS(Compta!$F$2:$F$675,Compta!$A$2:$A$675,B43,Compta!$B$2:$B$675,"6231",Compta!$C$2:$C$675,A43)</f>
        <v/>
      </c>
      <c r="AA43">
        <f>SUMIFS(Compta!$F$2:$F$675,Compta!$A$2:$A$675,B43,Compta!$B$2:$B$675,"6413",Compta!$C$2:$C$675,A43)+SUMIFS(Compta!$F$2:$F$675,Compta!$A$2:$A$675,B43,Compta!$B$2:$B$675,"645",Compta!$C$2:$C$675,A43)+SUMIFS(Compta!$F$2:$F$675,Compta!$A$2:$A$675,B43,Compta!$B$2:$B$675,"613",Compta!$C$2:$C$675,A43)+SUMIFS(Compta!$F$2:$F$675,Compta!$A$2:$A$675,B43,Compta!$B$2:$B$675,"615",Compta!$C$2:$C$675,A43)+SUMIFS(Compta!$F$2:$F$675,Compta!$A$2:$A$675,B43,Compta!$B$2:$B$675,"616",Compta!$C$2:$C$675,A43)+SUMIFS(Compta!$F$2:$F$675,Compta!$A$2:$A$675,B43,Compta!$B$2:$B$675,"625",Compta!$C$2:$C$675,A43)+SUMIFS(Compta!$F$2:$F$675,Compta!$A$2:$A$675,B43,Compta!$B$2:$B$675,"63511",Compta!$C$2:$C$675,A43)</f>
        <v/>
      </c>
      <c r="AB43">
        <f>SUMIFS(Compta!$F$2:$F$675,Compta!$A$2:$A$675,"GRP",Compta!$B$2:$B$675,"6414",Compta!$C$2:$C$675,A43)+SUMIFS(Compta!$F$2:$F$675,Compta!$A$2:$A$675,"GRP",Compta!$B$2:$B$675,"6226",Compta!$C$2:$C$675,A43)+SUMIFS(Compta!$F$2:$F$675,Compta!$A$2:$A$675,"GRP",Compta!$B$2:$B$675,"6236",Compta!$C$2:$C$675,A43)+SUMIFS(Compta!$F$2:$F$675,Compta!$A$2:$A$675,"GRP",Compta!$B$2:$B$675,"626",Compta!$C$2:$C$675,A43)+SUMIFS(Compta!$F$2:$F$675,Compta!$A$2:$A$675,"GRP",Compta!$B$2:$B$675,"6281",Compta!$C$2:$C$675,A43)+SUMIFS(Compta!$F$2:$F$675,Compta!$A$2:$A$675,"GRP",Compta!$B$2:$B$675,"6331",Compta!$C$2:$C$675,A43)+SUMIFS(Compta!$F$2:$F$675,Compta!$A$2:$A$675,"GRP",Compta!$B$2:$B$675,"6333",Compta!$C$2:$C$675,A43)</f>
        <v/>
      </c>
      <c r="AC43">
        <f>IF(Pilotage!$E$10="Chiffre d'affaires",I43,IF(Pilotage!$E$10="Effectif",G43,H43))</f>
        <v/>
      </c>
      <c r="AD43">
        <f>IF(Pilotage!$E$10="Chiffre d'affaires",N43,IF(Pilotage!$E$10="Effectif",L43,M43))</f>
        <v/>
      </c>
      <c r="AE43">
        <f>IF(Pilotage!$E$8="Chiffre d'affaires",N43,IF(Pilotage!$E$8="Effectif",L43,M43))</f>
        <v/>
      </c>
      <c r="AF43">
        <f>IF(Pilotage!$E$8="Chiffre d'affaires",S43,IF(Pilotage!$E$8="Effectif",Q43,R43))</f>
        <v/>
      </c>
      <c r="AG43">
        <f>IF(Pilotage!$E$9="Chiffre d'affaires",S43,IF(Pilotage!$E$9="Effectif",Q43,R43))</f>
        <v/>
      </c>
      <c r="AH43">
        <f>IF(Pilotage!$E$9="Chiffre d'affaires",V43,IF(Pilotage!$E$9="Effectif",T43,U43))</f>
        <v/>
      </c>
      <c r="AI43">
        <f>W43*IFERROR(K43/O43,0)</f>
        <v/>
      </c>
      <c r="AJ43">
        <f>X43*IFERROR(K43/O43,0)</f>
        <v/>
      </c>
      <c r="AK43">
        <f>Y43*IFERROR(G43/L43,0)+Z43*IFERROR(J43/P43,0)</f>
        <v/>
      </c>
      <c r="AL43">
        <f>AA43*IFERROR(AC43/AD43,0)</f>
        <v/>
      </c>
      <c r="AM43">
        <f>AB43*IFERROR(AG43/AH43,0)*IFERROR(AE43/AF43,0)*IFERROR(AC43/AD43,0)</f>
        <v/>
      </c>
      <c r="AN43">
        <f>I43-(AI43+AJ43+AK43+AL43+AM43)</f>
        <v/>
      </c>
    </row>
    <row r="44">
      <c r="A44">
        <f>Allocation!C44</f>
        <v/>
      </c>
      <c r="B44">
        <f>Allocation!D44</f>
        <v/>
      </c>
      <c r="C44">
        <f>Allocation!E44</f>
        <v/>
      </c>
      <c r="D44">
        <f>Allocation!F44</f>
        <v/>
      </c>
      <c r="E44">
        <f>Allocation!G44</f>
        <v/>
      </c>
      <c r="F44">
        <f>Allocation!H44</f>
        <v/>
      </c>
      <c r="G44">
        <f>Allocation!I44</f>
        <v/>
      </c>
      <c r="H44">
        <f>Allocation!J44</f>
        <v/>
      </c>
      <c r="I44">
        <f>Allocation!K44</f>
        <v/>
      </c>
      <c r="J44">
        <f>SUMIFS(Socle!$K$2:$K$175,Socle!$C$2:$C$175,B44,Socle!$D$2:$D$175,D44,Socle!$E$2:$E$175,E44,Socle!$F$2:$F$175,F44,Socle!$G$2:$G$175,A44)</f>
        <v/>
      </c>
      <c r="K44">
        <f>H44*IF(AND(LEFT(D44,3)="BAC",F44="INIT"),600,IF(LEFT(D44,3)="BAC",480,IF(AND(LEFT(D44,3)="MAS",F44="INIT"),520,IF(LEFT(D44,3)="MAS",420,IF(F44="INIT",1000,700)))))</f>
        <v/>
      </c>
      <c r="L44">
        <f>SUMIFS(Allocation!$I$2:$I$175,Allocation!$C$2:$C$175,A44,Allocation!$D$2:$D$175,B44)</f>
        <v/>
      </c>
      <c r="M44">
        <f>SUMIFS(Allocation!$J$2:$J$175,Allocation!$C$2:$C$175,A44,Allocation!$D$2:$D$175,B44)</f>
        <v/>
      </c>
      <c r="N44">
        <f>SUMIFS(Allocation!$K$2:$K$175,Allocation!$C$2:$C$175,A44,Allocation!$D$2:$D$175,B44)</f>
        <v/>
      </c>
      <c r="O44">
        <f>SUMIFS($K$2:$K$175,$A$2:$A$175,A44,$B$2:$B$175,B44)</f>
        <v/>
      </c>
      <c r="P44">
        <f>SUMIFS($J$2:$J$175,$A$2:$A$175,A44,$B$2:$B$175,B44)</f>
        <v/>
      </c>
      <c r="Q44">
        <f>SUMIFS(Allocation!$I$2:$I$175,Allocation!$C$2:$C$175,A44,Allocation!$E$2:$E$175,C44)</f>
        <v/>
      </c>
      <c r="R44">
        <f>SUMIFS(Allocation!$J$2:$J$175,Allocation!$C$2:$C$175,A44,Allocation!$E$2:$E$175,C44)</f>
        <v/>
      </c>
      <c r="S44">
        <f>SUMIFS(Allocation!$K$2:$K$175,Allocation!$C$2:$C$175,A44,Allocation!$E$2:$E$175,C44)</f>
        <v/>
      </c>
      <c r="T44">
        <f>SUMIFS(Allocation!$I$2:$I$175,Allocation!$C$2:$C$175,A44)</f>
        <v/>
      </c>
      <c r="U44">
        <f>SUMIFS(Allocation!$J$2:$J$175,Allocation!$C$2:$C$175,A44)</f>
        <v/>
      </c>
      <c r="V44">
        <f>SUMIFS(Allocation!$K$2:$K$175,Allocation!$C$2:$C$175,A44)</f>
        <v/>
      </c>
      <c r="W44">
        <f>SUMIFS(Compta!$F$2:$F$675,Compta!$A$2:$A$675,B44,Compta!$B$2:$B$675,"621",Compta!$C$2:$C$675,A44)</f>
        <v/>
      </c>
      <c r="X44">
        <f>SUMIFS(Compta!$F$2:$F$675,Compta!$A$2:$A$675,B44,Compta!$B$2:$B$675,"6411",Compta!$C$2:$C$675,A44)</f>
        <v/>
      </c>
      <c r="Y44">
        <f>SUMIFS(Compta!$F$2:$F$675,Compta!$A$2:$A$675,B44,Compta!$B$2:$B$675,"604",Compta!$C$2:$C$675,A44)+SUMIFS(Compta!$F$2:$F$675,Compta!$A$2:$A$675,B44,Compta!$B$2:$B$675,"6063",Compta!$C$2:$C$675,A44)</f>
        <v/>
      </c>
      <c r="Z44">
        <f>SUMIFS(Compta!$F$2:$F$675,Compta!$A$2:$A$675,B44,Compta!$B$2:$B$675,"6231",Compta!$C$2:$C$675,A44)</f>
        <v/>
      </c>
      <c r="AA44">
        <f>SUMIFS(Compta!$F$2:$F$675,Compta!$A$2:$A$675,B44,Compta!$B$2:$B$675,"6413",Compta!$C$2:$C$675,A44)+SUMIFS(Compta!$F$2:$F$675,Compta!$A$2:$A$675,B44,Compta!$B$2:$B$675,"645",Compta!$C$2:$C$675,A44)+SUMIFS(Compta!$F$2:$F$675,Compta!$A$2:$A$675,B44,Compta!$B$2:$B$675,"613",Compta!$C$2:$C$675,A44)+SUMIFS(Compta!$F$2:$F$675,Compta!$A$2:$A$675,B44,Compta!$B$2:$B$675,"615",Compta!$C$2:$C$675,A44)+SUMIFS(Compta!$F$2:$F$675,Compta!$A$2:$A$675,B44,Compta!$B$2:$B$675,"616",Compta!$C$2:$C$675,A44)+SUMIFS(Compta!$F$2:$F$675,Compta!$A$2:$A$675,B44,Compta!$B$2:$B$675,"625",Compta!$C$2:$C$675,A44)+SUMIFS(Compta!$F$2:$F$675,Compta!$A$2:$A$675,B44,Compta!$B$2:$B$675,"63511",Compta!$C$2:$C$675,A44)</f>
        <v/>
      </c>
      <c r="AB44">
        <f>SUMIFS(Compta!$F$2:$F$675,Compta!$A$2:$A$675,"GRP",Compta!$B$2:$B$675,"6414",Compta!$C$2:$C$675,A44)+SUMIFS(Compta!$F$2:$F$675,Compta!$A$2:$A$675,"GRP",Compta!$B$2:$B$675,"6226",Compta!$C$2:$C$675,A44)+SUMIFS(Compta!$F$2:$F$675,Compta!$A$2:$A$675,"GRP",Compta!$B$2:$B$675,"6236",Compta!$C$2:$C$675,A44)+SUMIFS(Compta!$F$2:$F$675,Compta!$A$2:$A$675,"GRP",Compta!$B$2:$B$675,"626",Compta!$C$2:$C$675,A44)+SUMIFS(Compta!$F$2:$F$675,Compta!$A$2:$A$675,"GRP",Compta!$B$2:$B$675,"6281",Compta!$C$2:$C$675,A44)+SUMIFS(Compta!$F$2:$F$675,Compta!$A$2:$A$675,"GRP",Compta!$B$2:$B$675,"6331",Compta!$C$2:$C$675,A44)+SUMIFS(Compta!$F$2:$F$675,Compta!$A$2:$A$675,"GRP",Compta!$B$2:$B$675,"6333",Compta!$C$2:$C$675,A44)</f>
        <v/>
      </c>
      <c r="AC44">
        <f>IF(Pilotage!$E$10="Chiffre d'affaires",I44,IF(Pilotage!$E$10="Effectif",G44,H44))</f>
        <v/>
      </c>
      <c r="AD44">
        <f>IF(Pilotage!$E$10="Chiffre d'affaires",N44,IF(Pilotage!$E$10="Effectif",L44,M44))</f>
        <v/>
      </c>
      <c r="AE44">
        <f>IF(Pilotage!$E$8="Chiffre d'affaires",N44,IF(Pilotage!$E$8="Effectif",L44,M44))</f>
        <v/>
      </c>
      <c r="AF44">
        <f>IF(Pilotage!$E$8="Chiffre d'affaires",S44,IF(Pilotage!$E$8="Effectif",Q44,R44))</f>
        <v/>
      </c>
      <c r="AG44">
        <f>IF(Pilotage!$E$9="Chiffre d'affaires",S44,IF(Pilotage!$E$9="Effectif",Q44,R44))</f>
        <v/>
      </c>
      <c r="AH44">
        <f>IF(Pilotage!$E$9="Chiffre d'affaires",V44,IF(Pilotage!$E$9="Effectif",T44,U44))</f>
        <v/>
      </c>
      <c r="AI44">
        <f>W44*IFERROR(K44/O44,0)</f>
        <v/>
      </c>
      <c r="AJ44">
        <f>X44*IFERROR(K44/O44,0)</f>
        <v/>
      </c>
      <c r="AK44">
        <f>Y44*IFERROR(G44/L44,0)+Z44*IFERROR(J44/P44,0)</f>
        <v/>
      </c>
      <c r="AL44">
        <f>AA44*IFERROR(AC44/AD44,0)</f>
        <v/>
      </c>
      <c r="AM44">
        <f>AB44*IFERROR(AG44/AH44,0)*IFERROR(AE44/AF44,0)*IFERROR(AC44/AD44,0)</f>
        <v/>
      </c>
      <c r="AN44">
        <f>I44-(AI44+AJ44+AK44+AL44+AM44)</f>
        <v/>
      </c>
    </row>
    <row r="45">
      <c r="A45">
        <f>Allocation!C45</f>
        <v/>
      </c>
      <c r="B45">
        <f>Allocation!D45</f>
        <v/>
      </c>
      <c r="C45">
        <f>Allocation!E45</f>
        <v/>
      </c>
      <c r="D45">
        <f>Allocation!F45</f>
        <v/>
      </c>
      <c r="E45">
        <f>Allocation!G45</f>
        <v/>
      </c>
      <c r="F45">
        <f>Allocation!H45</f>
        <v/>
      </c>
      <c r="G45">
        <f>Allocation!I45</f>
        <v/>
      </c>
      <c r="H45">
        <f>Allocation!J45</f>
        <v/>
      </c>
      <c r="I45">
        <f>Allocation!K45</f>
        <v/>
      </c>
      <c r="J45">
        <f>SUMIFS(Socle!$K$2:$K$175,Socle!$C$2:$C$175,B45,Socle!$D$2:$D$175,D45,Socle!$E$2:$E$175,E45,Socle!$F$2:$F$175,F45,Socle!$G$2:$G$175,A45)</f>
        <v/>
      </c>
      <c r="K45">
        <f>H45*IF(AND(LEFT(D45,3)="BAC",F45="INIT"),600,IF(LEFT(D45,3)="BAC",480,IF(AND(LEFT(D45,3)="MAS",F45="INIT"),520,IF(LEFT(D45,3)="MAS",420,IF(F45="INIT",1000,700)))))</f>
        <v/>
      </c>
      <c r="L45">
        <f>SUMIFS(Allocation!$I$2:$I$175,Allocation!$C$2:$C$175,A45,Allocation!$D$2:$D$175,B45)</f>
        <v/>
      </c>
      <c r="M45">
        <f>SUMIFS(Allocation!$J$2:$J$175,Allocation!$C$2:$C$175,A45,Allocation!$D$2:$D$175,B45)</f>
        <v/>
      </c>
      <c r="N45">
        <f>SUMIFS(Allocation!$K$2:$K$175,Allocation!$C$2:$C$175,A45,Allocation!$D$2:$D$175,B45)</f>
        <v/>
      </c>
      <c r="O45">
        <f>SUMIFS($K$2:$K$175,$A$2:$A$175,A45,$B$2:$B$175,B45)</f>
        <v/>
      </c>
      <c r="P45">
        <f>SUMIFS($J$2:$J$175,$A$2:$A$175,A45,$B$2:$B$175,B45)</f>
        <v/>
      </c>
      <c r="Q45">
        <f>SUMIFS(Allocation!$I$2:$I$175,Allocation!$C$2:$C$175,A45,Allocation!$E$2:$E$175,C45)</f>
        <v/>
      </c>
      <c r="R45">
        <f>SUMIFS(Allocation!$J$2:$J$175,Allocation!$C$2:$C$175,A45,Allocation!$E$2:$E$175,C45)</f>
        <v/>
      </c>
      <c r="S45">
        <f>SUMIFS(Allocation!$K$2:$K$175,Allocation!$C$2:$C$175,A45,Allocation!$E$2:$E$175,C45)</f>
        <v/>
      </c>
      <c r="T45">
        <f>SUMIFS(Allocation!$I$2:$I$175,Allocation!$C$2:$C$175,A45)</f>
        <v/>
      </c>
      <c r="U45">
        <f>SUMIFS(Allocation!$J$2:$J$175,Allocation!$C$2:$C$175,A45)</f>
        <v/>
      </c>
      <c r="V45">
        <f>SUMIFS(Allocation!$K$2:$K$175,Allocation!$C$2:$C$175,A45)</f>
        <v/>
      </c>
      <c r="W45">
        <f>SUMIFS(Compta!$F$2:$F$675,Compta!$A$2:$A$675,B45,Compta!$B$2:$B$675,"621",Compta!$C$2:$C$675,A45)</f>
        <v/>
      </c>
      <c r="X45">
        <f>SUMIFS(Compta!$F$2:$F$675,Compta!$A$2:$A$675,B45,Compta!$B$2:$B$675,"6411",Compta!$C$2:$C$675,A45)</f>
        <v/>
      </c>
      <c r="Y45">
        <f>SUMIFS(Compta!$F$2:$F$675,Compta!$A$2:$A$675,B45,Compta!$B$2:$B$675,"604",Compta!$C$2:$C$675,A45)+SUMIFS(Compta!$F$2:$F$675,Compta!$A$2:$A$675,B45,Compta!$B$2:$B$675,"6063",Compta!$C$2:$C$675,A45)</f>
        <v/>
      </c>
      <c r="Z45">
        <f>SUMIFS(Compta!$F$2:$F$675,Compta!$A$2:$A$675,B45,Compta!$B$2:$B$675,"6231",Compta!$C$2:$C$675,A45)</f>
        <v/>
      </c>
      <c r="AA45">
        <f>SUMIFS(Compta!$F$2:$F$675,Compta!$A$2:$A$675,B45,Compta!$B$2:$B$675,"6413",Compta!$C$2:$C$675,A45)+SUMIFS(Compta!$F$2:$F$675,Compta!$A$2:$A$675,B45,Compta!$B$2:$B$675,"645",Compta!$C$2:$C$675,A45)+SUMIFS(Compta!$F$2:$F$675,Compta!$A$2:$A$675,B45,Compta!$B$2:$B$675,"613",Compta!$C$2:$C$675,A45)+SUMIFS(Compta!$F$2:$F$675,Compta!$A$2:$A$675,B45,Compta!$B$2:$B$675,"615",Compta!$C$2:$C$675,A45)+SUMIFS(Compta!$F$2:$F$675,Compta!$A$2:$A$675,B45,Compta!$B$2:$B$675,"616",Compta!$C$2:$C$675,A45)+SUMIFS(Compta!$F$2:$F$675,Compta!$A$2:$A$675,B45,Compta!$B$2:$B$675,"625",Compta!$C$2:$C$675,A45)+SUMIFS(Compta!$F$2:$F$675,Compta!$A$2:$A$675,B45,Compta!$B$2:$B$675,"63511",Compta!$C$2:$C$675,A45)</f>
        <v/>
      </c>
      <c r="AB45">
        <f>SUMIFS(Compta!$F$2:$F$675,Compta!$A$2:$A$675,"GRP",Compta!$B$2:$B$675,"6414",Compta!$C$2:$C$675,A45)+SUMIFS(Compta!$F$2:$F$675,Compta!$A$2:$A$675,"GRP",Compta!$B$2:$B$675,"6226",Compta!$C$2:$C$675,A45)+SUMIFS(Compta!$F$2:$F$675,Compta!$A$2:$A$675,"GRP",Compta!$B$2:$B$675,"6236",Compta!$C$2:$C$675,A45)+SUMIFS(Compta!$F$2:$F$675,Compta!$A$2:$A$675,"GRP",Compta!$B$2:$B$675,"626",Compta!$C$2:$C$675,A45)+SUMIFS(Compta!$F$2:$F$675,Compta!$A$2:$A$675,"GRP",Compta!$B$2:$B$675,"6281",Compta!$C$2:$C$675,A45)+SUMIFS(Compta!$F$2:$F$675,Compta!$A$2:$A$675,"GRP",Compta!$B$2:$B$675,"6331",Compta!$C$2:$C$675,A45)+SUMIFS(Compta!$F$2:$F$675,Compta!$A$2:$A$675,"GRP",Compta!$B$2:$B$675,"6333",Compta!$C$2:$C$675,A45)</f>
        <v/>
      </c>
      <c r="AC45">
        <f>IF(Pilotage!$E$10="Chiffre d'affaires",I45,IF(Pilotage!$E$10="Effectif",G45,H45))</f>
        <v/>
      </c>
      <c r="AD45">
        <f>IF(Pilotage!$E$10="Chiffre d'affaires",N45,IF(Pilotage!$E$10="Effectif",L45,M45))</f>
        <v/>
      </c>
      <c r="AE45">
        <f>IF(Pilotage!$E$8="Chiffre d'affaires",N45,IF(Pilotage!$E$8="Effectif",L45,M45))</f>
        <v/>
      </c>
      <c r="AF45">
        <f>IF(Pilotage!$E$8="Chiffre d'affaires",S45,IF(Pilotage!$E$8="Effectif",Q45,R45))</f>
        <v/>
      </c>
      <c r="AG45">
        <f>IF(Pilotage!$E$9="Chiffre d'affaires",S45,IF(Pilotage!$E$9="Effectif",Q45,R45))</f>
        <v/>
      </c>
      <c r="AH45">
        <f>IF(Pilotage!$E$9="Chiffre d'affaires",V45,IF(Pilotage!$E$9="Effectif",T45,U45))</f>
        <v/>
      </c>
      <c r="AI45">
        <f>W45*IFERROR(K45/O45,0)</f>
        <v/>
      </c>
      <c r="AJ45">
        <f>X45*IFERROR(K45/O45,0)</f>
        <v/>
      </c>
      <c r="AK45">
        <f>Y45*IFERROR(G45/L45,0)+Z45*IFERROR(J45/P45,0)</f>
        <v/>
      </c>
      <c r="AL45">
        <f>AA45*IFERROR(AC45/AD45,0)</f>
        <v/>
      </c>
      <c r="AM45">
        <f>AB45*IFERROR(AG45/AH45,0)*IFERROR(AE45/AF45,0)*IFERROR(AC45/AD45,0)</f>
        <v/>
      </c>
      <c r="AN45">
        <f>I45-(AI45+AJ45+AK45+AL45+AM45)</f>
        <v/>
      </c>
    </row>
    <row r="46">
      <c r="A46">
        <f>Allocation!C46</f>
        <v/>
      </c>
      <c r="B46">
        <f>Allocation!D46</f>
        <v/>
      </c>
      <c r="C46">
        <f>Allocation!E46</f>
        <v/>
      </c>
      <c r="D46">
        <f>Allocation!F46</f>
        <v/>
      </c>
      <c r="E46">
        <f>Allocation!G46</f>
        <v/>
      </c>
      <c r="F46">
        <f>Allocation!H46</f>
        <v/>
      </c>
      <c r="G46">
        <f>Allocation!I46</f>
        <v/>
      </c>
      <c r="H46">
        <f>Allocation!J46</f>
        <v/>
      </c>
      <c r="I46">
        <f>Allocation!K46</f>
        <v/>
      </c>
      <c r="J46">
        <f>SUMIFS(Socle!$K$2:$K$175,Socle!$C$2:$C$175,B46,Socle!$D$2:$D$175,D46,Socle!$E$2:$E$175,E46,Socle!$F$2:$F$175,F46,Socle!$G$2:$G$175,A46)</f>
        <v/>
      </c>
      <c r="K46">
        <f>H46*IF(AND(LEFT(D46,3)="BAC",F46="INIT"),600,IF(LEFT(D46,3)="BAC",480,IF(AND(LEFT(D46,3)="MAS",F46="INIT"),520,IF(LEFT(D46,3)="MAS",420,IF(F46="INIT",1000,700)))))</f>
        <v/>
      </c>
      <c r="L46">
        <f>SUMIFS(Allocation!$I$2:$I$175,Allocation!$C$2:$C$175,A46,Allocation!$D$2:$D$175,B46)</f>
        <v/>
      </c>
      <c r="M46">
        <f>SUMIFS(Allocation!$J$2:$J$175,Allocation!$C$2:$C$175,A46,Allocation!$D$2:$D$175,B46)</f>
        <v/>
      </c>
      <c r="N46">
        <f>SUMIFS(Allocation!$K$2:$K$175,Allocation!$C$2:$C$175,A46,Allocation!$D$2:$D$175,B46)</f>
        <v/>
      </c>
      <c r="O46">
        <f>SUMIFS($K$2:$K$175,$A$2:$A$175,A46,$B$2:$B$175,B46)</f>
        <v/>
      </c>
      <c r="P46">
        <f>SUMIFS($J$2:$J$175,$A$2:$A$175,A46,$B$2:$B$175,B46)</f>
        <v/>
      </c>
      <c r="Q46">
        <f>SUMIFS(Allocation!$I$2:$I$175,Allocation!$C$2:$C$175,A46,Allocation!$E$2:$E$175,C46)</f>
        <v/>
      </c>
      <c r="R46">
        <f>SUMIFS(Allocation!$J$2:$J$175,Allocation!$C$2:$C$175,A46,Allocation!$E$2:$E$175,C46)</f>
        <v/>
      </c>
      <c r="S46">
        <f>SUMIFS(Allocation!$K$2:$K$175,Allocation!$C$2:$C$175,A46,Allocation!$E$2:$E$175,C46)</f>
        <v/>
      </c>
      <c r="T46">
        <f>SUMIFS(Allocation!$I$2:$I$175,Allocation!$C$2:$C$175,A46)</f>
        <v/>
      </c>
      <c r="U46">
        <f>SUMIFS(Allocation!$J$2:$J$175,Allocation!$C$2:$C$175,A46)</f>
        <v/>
      </c>
      <c r="V46">
        <f>SUMIFS(Allocation!$K$2:$K$175,Allocation!$C$2:$C$175,A46)</f>
        <v/>
      </c>
      <c r="W46">
        <f>SUMIFS(Compta!$F$2:$F$675,Compta!$A$2:$A$675,B46,Compta!$B$2:$B$675,"621",Compta!$C$2:$C$675,A46)</f>
        <v/>
      </c>
      <c r="X46">
        <f>SUMIFS(Compta!$F$2:$F$675,Compta!$A$2:$A$675,B46,Compta!$B$2:$B$675,"6411",Compta!$C$2:$C$675,A46)</f>
        <v/>
      </c>
      <c r="Y46">
        <f>SUMIFS(Compta!$F$2:$F$675,Compta!$A$2:$A$675,B46,Compta!$B$2:$B$675,"604",Compta!$C$2:$C$675,A46)+SUMIFS(Compta!$F$2:$F$675,Compta!$A$2:$A$675,B46,Compta!$B$2:$B$675,"6063",Compta!$C$2:$C$675,A46)</f>
        <v/>
      </c>
      <c r="Z46">
        <f>SUMIFS(Compta!$F$2:$F$675,Compta!$A$2:$A$675,B46,Compta!$B$2:$B$675,"6231",Compta!$C$2:$C$675,A46)</f>
        <v/>
      </c>
      <c r="AA46">
        <f>SUMIFS(Compta!$F$2:$F$675,Compta!$A$2:$A$675,B46,Compta!$B$2:$B$675,"6413",Compta!$C$2:$C$675,A46)+SUMIFS(Compta!$F$2:$F$675,Compta!$A$2:$A$675,B46,Compta!$B$2:$B$675,"645",Compta!$C$2:$C$675,A46)+SUMIFS(Compta!$F$2:$F$675,Compta!$A$2:$A$675,B46,Compta!$B$2:$B$675,"613",Compta!$C$2:$C$675,A46)+SUMIFS(Compta!$F$2:$F$675,Compta!$A$2:$A$675,B46,Compta!$B$2:$B$675,"615",Compta!$C$2:$C$675,A46)+SUMIFS(Compta!$F$2:$F$675,Compta!$A$2:$A$675,B46,Compta!$B$2:$B$675,"616",Compta!$C$2:$C$675,A46)+SUMIFS(Compta!$F$2:$F$675,Compta!$A$2:$A$675,B46,Compta!$B$2:$B$675,"625",Compta!$C$2:$C$675,A46)+SUMIFS(Compta!$F$2:$F$675,Compta!$A$2:$A$675,B46,Compta!$B$2:$B$675,"63511",Compta!$C$2:$C$675,A46)</f>
        <v/>
      </c>
      <c r="AB46">
        <f>SUMIFS(Compta!$F$2:$F$675,Compta!$A$2:$A$675,"GRP",Compta!$B$2:$B$675,"6414",Compta!$C$2:$C$675,A46)+SUMIFS(Compta!$F$2:$F$675,Compta!$A$2:$A$675,"GRP",Compta!$B$2:$B$675,"6226",Compta!$C$2:$C$675,A46)+SUMIFS(Compta!$F$2:$F$675,Compta!$A$2:$A$675,"GRP",Compta!$B$2:$B$675,"6236",Compta!$C$2:$C$675,A46)+SUMIFS(Compta!$F$2:$F$675,Compta!$A$2:$A$675,"GRP",Compta!$B$2:$B$675,"626",Compta!$C$2:$C$675,A46)+SUMIFS(Compta!$F$2:$F$675,Compta!$A$2:$A$675,"GRP",Compta!$B$2:$B$675,"6281",Compta!$C$2:$C$675,A46)+SUMIFS(Compta!$F$2:$F$675,Compta!$A$2:$A$675,"GRP",Compta!$B$2:$B$675,"6331",Compta!$C$2:$C$675,A46)+SUMIFS(Compta!$F$2:$F$675,Compta!$A$2:$A$675,"GRP",Compta!$B$2:$B$675,"6333",Compta!$C$2:$C$675,A46)</f>
        <v/>
      </c>
      <c r="AC46">
        <f>IF(Pilotage!$E$10="Chiffre d'affaires",I46,IF(Pilotage!$E$10="Effectif",G46,H46))</f>
        <v/>
      </c>
      <c r="AD46">
        <f>IF(Pilotage!$E$10="Chiffre d'affaires",N46,IF(Pilotage!$E$10="Effectif",L46,M46))</f>
        <v/>
      </c>
      <c r="AE46">
        <f>IF(Pilotage!$E$8="Chiffre d'affaires",N46,IF(Pilotage!$E$8="Effectif",L46,M46))</f>
        <v/>
      </c>
      <c r="AF46">
        <f>IF(Pilotage!$E$8="Chiffre d'affaires",S46,IF(Pilotage!$E$8="Effectif",Q46,R46))</f>
        <v/>
      </c>
      <c r="AG46">
        <f>IF(Pilotage!$E$9="Chiffre d'affaires",S46,IF(Pilotage!$E$9="Effectif",Q46,R46))</f>
        <v/>
      </c>
      <c r="AH46">
        <f>IF(Pilotage!$E$9="Chiffre d'affaires",V46,IF(Pilotage!$E$9="Effectif",T46,U46))</f>
        <v/>
      </c>
      <c r="AI46">
        <f>W46*IFERROR(K46/O46,0)</f>
        <v/>
      </c>
      <c r="AJ46">
        <f>X46*IFERROR(K46/O46,0)</f>
        <v/>
      </c>
      <c r="AK46">
        <f>Y46*IFERROR(G46/L46,0)+Z46*IFERROR(J46/P46,0)</f>
        <v/>
      </c>
      <c r="AL46">
        <f>AA46*IFERROR(AC46/AD46,0)</f>
        <v/>
      </c>
      <c r="AM46">
        <f>AB46*IFERROR(AG46/AH46,0)*IFERROR(AE46/AF46,0)*IFERROR(AC46/AD46,0)</f>
        <v/>
      </c>
      <c r="AN46">
        <f>I46-(AI46+AJ46+AK46+AL46+AM46)</f>
        <v/>
      </c>
    </row>
    <row r="47">
      <c r="A47">
        <f>Allocation!C47</f>
        <v/>
      </c>
      <c r="B47">
        <f>Allocation!D47</f>
        <v/>
      </c>
      <c r="C47">
        <f>Allocation!E47</f>
        <v/>
      </c>
      <c r="D47">
        <f>Allocation!F47</f>
        <v/>
      </c>
      <c r="E47">
        <f>Allocation!G47</f>
        <v/>
      </c>
      <c r="F47">
        <f>Allocation!H47</f>
        <v/>
      </c>
      <c r="G47">
        <f>Allocation!I47</f>
        <v/>
      </c>
      <c r="H47">
        <f>Allocation!J47</f>
        <v/>
      </c>
      <c r="I47">
        <f>Allocation!K47</f>
        <v/>
      </c>
      <c r="J47">
        <f>SUMIFS(Socle!$K$2:$K$175,Socle!$C$2:$C$175,B47,Socle!$D$2:$D$175,D47,Socle!$E$2:$E$175,E47,Socle!$F$2:$F$175,F47,Socle!$G$2:$G$175,A47)</f>
        <v/>
      </c>
      <c r="K47">
        <f>H47*IF(AND(LEFT(D47,3)="BAC",F47="INIT"),600,IF(LEFT(D47,3)="BAC",480,IF(AND(LEFT(D47,3)="MAS",F47="INIT"),520,IF(LEFT(D47,3)="MAS",420,IF(F47="INIT",1000,700)))))</f>
        <v/>
      </c>
      <c r="L47">
        <f>SUMIFS(Allocation!$I$2:$I$175,Allocation!$C$2:$C$175,A47,Allocation!$D$2:$D$175,B47)</f>
        <v/>
      </c>
      <c r="M47">
        <f>SUMIFS(Allocation!$J$2:$J$175,Allocation!$C$2:$C$175,A47,Allocation!$D$2:$D$175,B47)</f>
        <v/>
      </c>
      <c r="N47">
        <f>SUMIFS(Allocation!$K$2:$K$175,Allocation!$C$2:$C$175,A47,Allocation!$D$2:$D$175,B47)</f>
        <v/>
      </c>
      <c r="O47">
        <f>SUMIFS($K$2:$K$175,$A$2:$A$175,A47,$B$2:$B$175,B47)</f>
        <v/>
      </c>
      <c r="P47">
        <f>SUMIFS($J$2:$J$175,$A$2:$A$175,A47,$B$2:$B$175,B47)</f>
        <v/>
      </c>
      <c r="Q47">
        <f>SUMIFS(Allocation!$I$2:$I$175,Allocation!$C$2:$C$175,A47,Allocation!$E$2:$E$175,C47)</f>
        <v/>
      </c>
      <c r="R47">
        <f>SUMIFS(Allocation!$J$2:$J$175,Allocation!$C$2:$C$175,A47,Allocation!$E$2:$E$175,C47)</f>
        <v/>
      </c>
      <c r="S47">
        <f>SUMIFS(Allocation!$K$2:$K$175,Allocation!$C$2:$C$175,A47,Allocation!$E$2:$E$175,C47)</f>
        <v/>
      </c>
      <c r="T47">
        <f>SUMIFS(Allocation!$I$2:$I$175,Allocation!$C$2:$C$175,A47)</f>
        <v/>
      </c>
      <c r="U47">
        <f>SUMIFS(Allocation!$J$2:$J$175,Allocation!$C$2:$C$175,A47)</f>
        <v/>
      </c>
      <c r="V47">
        <f>SUMIFS(Allocation!$K$2:$K$175,Allocation!$C$2:$C$175,A47)</f>
        <v/>
      </c>
      <c r="W47">
        <f>SUMIFS(Compta!$F$2:$F$675,Compta!$A$2:$A$675,B47,Compta!$B$2:$B$675,"621",Compta!$C$2:$C$675,A47)</f>
        <v/>
      </c>
      <c r="X47">
        <f>SUMIFS(Compta!$F$2:$F$675,Compta!$A$2:$A$675,B47,Compta!$B$2:$B$675,"6411",Compta!$C$2:$C$675,A47)</f>
        <v/>
      </c>
      <c r="Y47">
        <f>SUMIFS(Compta!$F$2:$F$675,Compta!$A$2:$A$675,B47,Compta!$B$2:$B$675,"604",Compta!$C$2:$C$675,A47)+SUMIFS(Compta!$F$2:$F$675,Compta!$A$2:$A$675,B47,Compta!$B$2:$B$675,"6063",Compta!$C$2:$C$675,A47)</f>
        <v/>
      </c>
      <c r="Z47">
        <f>SUMIFS(Compta!$F$2:$F$675,Compta!$A$2:$A$675,B47,Compta!$B$2:$B$675,"6231",Compta!$C$2:$C$675,A47)</f>
        <v/>
      </c>
      <c r="AA47">
        <f>SUMIFS(Compta!$F$2:$F$675,Compta!$A$2:$A$675,B47,Compta!$B$2:$B$675,"6413",Compta!$C$2:$C$675,A47)+SUMIFS(Compta!$F$2:$F$675,Compta!$A$2:$A$675,B47,Compta!$B$2:$B$675,"645",Compta!$C$2:$C$675,A47)+SUMIFS(Compta!$F$2:$F$675,Compta!$A$2:$A$675,B47,Compta!$B$2:$B$675,"613",Compta!$C$2:$C$675,A47)+SUMIFS(Compta!$F$2:$F$675,Compta!$A$2:$A$675,B47,Compta!$B$2:$B$675,"615",Compta!$C$2:$C$675,A47)+SUMIFS(Compta!$F$2:$F$675,Compta!$A$2:$A$675,B47,Compta!$B$2:$B$675,"616",Compta!$C$2:$C$675,A47)+SUMIFS(Compta!$F$2:$F$675,Compta!$A$2:$A$675,B47,Compta!$B$2:$B$675,"625",Compta!$C$2:$C$675,A47)+SUMIFS(Compta!$F$2:$F$675,Compta!$A$2:$A$675,B47,Compta!$B$2:$B$675,"63511",Compta!$C$2:$C$675,A47)</f>
        <v/>
      </c>
      <c r="AB47">
        <f>SUMIFS(Compta!$F$2:$F$675,Compta!$A$2:$A$675,"GRP",Compta!$B$2:$B$675,"6414",Compta!$C$2:$C$675,A47)+SUMIFS(Compta!$F$2:$F$675,Compta!$A$2:$A$675,"GRP",Compta!$B$2:$B$675,"6226",Compta!$C$2:$C$675,A47)+SUMIFS(Compta!$F$2:$F$675,Compta!$A$2:$A$675,"GRP",Compta!$B$2:$B$675,"6236",Compta!$C$2:$C$675,A47)+SUMIFS(Compta!$F$2:$F$675,Compta!$A$2:$A$675,"GRP",Compta!$B$2:$B$675,"626",Compta!$C$2:$C$675,A47)+SUMIFS(Compta!$F$2:$F$675,Compta!$A$2:$A$675,"GRP",Compta!$B$2:$B$675,"6281",Compta!$C$2:$C$675,A47)+SUMIFS(Compta!$F$2:$F$675,Compta!$A$2:$A$675,"GRP",Compta!$B$2:$B$675,"6331",Compta!$C$2:$C$675,A47)+SUMIFS(Compta!$F$2:$F$675,Compta!$A$2:$A$675,"GRP",Compta!$B$2:$B$675,"6333",Compta!$C$2:$C$675,A47)</f>
        <v/>
      </c>
      <c r="AC47">
        <f>IF(Pilotage!$E$10="Chiffre d'affaires",I47,IF(Pilotage!$E$10="Effectif",G47,H47))</f>
        <v/>
      </c>
      <c r="AD47">
        <f>IF(Pilotage!$E$10="Chiffre d'affaires",N47,IF(Pilotage!$E$10="Effectif",L47,M47))</f>
        <v/>
      </c>
      <c r="AE47">
        <f>IF(Pilotage!$E$8="Chiffre d'affaires",N47,IF(Pilotage!$E$8="Effectif",L47,M47))</f>
        <v/>
      </c>
      <c r="AF47">
        <f>IF(Pilotage!$E$8="Chiffre d'affaires",S47,IF(Pilotage!$E$8="Effectif",Q47,R47))</f>
        <v/>
      </c>
      <c r="AG47">
        <f>IF(Pilotage!$E$9="Chiffre d'affaires",S47,IF(Pilotage!$E$9="Effectif",Q47,R47))</f>
        <v/>
      </c>
      <c r="AH47">
        <f>IF(Pilotage!$E$9="Chiffre d'affaires",V47,IF(Pilotage!$E$9="Effectif",T47,U47))</f>
        <v/>
      </c>
      <c r="AI47">
        <f>W47*IFERROR(K47/O47,0)</f>
        <v/>
      </c>
      <c r="AJ47">
        <f>X47*IFERROR(K47/O47,0)</f>
        <v/>
      </c>
      <c r="AK47">
        <f>Y47*IFERROR(G47/L47,0)+Z47*IFERROR(J47/P47,0)</f>
        <v/>
      </c>
      <c r="AL47">
        <f>AA47*IFERROR(AC47/AD47,0)</f>
        <v/>
      </c>
      <c r="AM47">
        <f>AB47*IFERROR(AG47/AH47,0)*IFERROR(AE47/AF47,0)*IFERROR(AC47/AD47,0)</f>
        <v/>
      </c>
      <c r="AN47">
        <f>I47-(AI47+AJ47+AK47+AL47+AM47)</f>
        <v/>
      </c>
    </row>
    <row r="48">
      <c r="A48">
        <f>Allocation!C48</f>
        <v/>
      </c>
      <c r="B48">
        <f>Allocation!D48</f>
        <v/>
      </c>
      <c r="C48">
        <f>Allocation!E48</f>
        <v/>
      </c>
      <c r="D48">
        <f>Allocation!F48</f>
        <v/>
      </c>
      <c r="E48">
        <f>Allocation!G48</f>
        <v/>
      </c>
      <c r="F48">
        <f>Allocation!H48</f>
        <v/>
      </c>
      <c r="G48">
        <f>Allocation!I48</f>
        <v/>
      </c>
      <c r="H48">
        <f>Allocation!J48</f>
        <v/>
      </c>
      <c r="I48">
        <f>Allocation!K48</f>
        <v/>
      </c>
      <c r="J48">
        <f>SUMIFS(Socle!$K$2:$K$175,Socle!$C$2:$C$175,B48,Socle!$D$2:$D$175,D48,Socle!$E$2:$E$175,E48,Socle!$F$2:$F$175,F48,Socle!$G$2:$G$175,A48)</f>
        <v/>
      </c>
      <c r="K48">
        <f>H48*IF(AND(LEFT(D48,3)="BAC",F48="INIT"),600,IF(LEFT(D48,3)="BAC",480,IF(AND(LEFT(D48,3)="MAS",F48="INIT"),520,IF(LEFT(D48,3)="MAS",420,IF(F48="INIT",1000,700)))))</f>
        <v/>
      </c>
      <c r="L48">
        <f>SUMIFS(Allocation!$I$2:$I$175,Allocation!$C$2:$C$175,A48,Allocation!$D$2:$D$175,B48)</f>
        <v/>
      </c>
      <c r="M48">
        <f>SUMIFS(Allocation!$J$2:$J$175,Allocation!$C$2:$C$175,A48,Allocation!$D$2:$D$175,B48)</f>
        <v/>
      </c>
      <c r="N48">
        <f>SUMIFS(Allocation!$K$2:$K$175,Allocation!$C$2:$C$175,A48,Allocation!$D$2:$D$175,B48)</f>
        <v/>
      </c>
      <c r="O48">
        <f>SUMIFS($K$2:$K$175,$A$2:$A$175,A48,$B$2:$B$175,B48)</f>
        <v/>
      </c>
      <c r="P48">
        <f>SUMIFS($J$2:$J$175,$A$2:$A$175,A48,$B$2:$B$175,B48)</f>
        <v/>
      </c>
      <c r="Q48">
        <f>SUMIFS(Allocation!$I$2:$I$175,Allocation!$C$2:$C$175,A48,Allocation!$E$2:$E$175,C48)</f>
        <v/>
      </c>
      <c r="R48">
        <f>SUMIFS(Allocation!$J$2:$J$175,Allocation!$C$2:$C$175,A48,Allocation!$E$2:$E$175,C48)</f>
        <v/>
      </c>
      <c r="S48">
        <f>SUMIFS(Allocation!$K$2:$K$175,Allocation!$C$2:$C$175,A48,Allocation!$E$2:$E$175,C48)</f>
        <v/>
      </c>
      <c r="T48">
        <f>SUMIFS(Allocation!$I$2:$I$175,Allocation!$C$2:$C$175,A48)</f>
        <v/>
      </c>
      <c r="U48">
        <f>SUMIFS(Allocation!$J$2:$J$175,Allocation!$C$2:$C$175,A48)</f>
        <v/>
      </c>
      <c r="V48">
        <f>SUMIFS(Allocation!$K$2:$K$175,Allocation!$C$2:$C$175,A48)</f>
        <v/>
      </c>
      <c r="W48">
        <f>SUMIFS(Compta!$F$2:$F$675,Compta!$A$2:$A$675,B48,Compta!$B$2:$B$675,"621",Compta!$C$2:$C$675,A48)</f>
        <v/>
      </c>
      <c r="X48">
        <f>SUMIFS(Compta!$F$2:$F$675,Compta!$A$2:$A$675,B48,Compta!$B$2:$B$675,"6411",Compta!$C$2:$C$675,A48)</f>
        <v/>
      </c>
      <c r="Y48">
        <f>SUMIFS(Compta!$F$2:$F$675,Compta!$A$2:$A$675,B48,Compta!$B$2:$B$675,"604",Compta!$C$2:$C$675,A48)+SUMIFS(Compta!$F$2:$F$675,Compta!$A$2:$A$675,B48,Compta!$B$2:$B$675,"6063",Compta!$C$2:$C$675,A48)</f>
        <v/>
      </c>
      <c r="Z48">
        <f>SUMIFS(Compta!$F$2:$F$675,Compta!$A$2:$A$675,B48,Compta!$B$2:$B$675,"6231",Compta!$C$2:$C$675,A48)</f>
        <v/>
      </c>
      <c r="AA48">
        <f>SUMIFS(Compta!$F$2:$F$675,Compta!$A$2:$A$675,B48,Compta!$B$2:$B$675,"6413",Compta!$C$2:$C$675,A48)+SUMIFS(Compta!$F$2:$F$675,Compta!$A$2:$A$675,B48,Compta!$B$2:$B$675,"645",Compta!$C$2:$C$675,A48)+SUMIFS(Compta!$F$2:$F$675,Compta!$A$2:$A$675,B48,Compta!$B$2:$B$675,"613",Compta!$C$2:$C$675,A48)+SUMIFS(Compta!$F$2:$F$675,Compta!$A$2:$A$675,B48,Compta!$B$2:$B$675,"615",Compta!$C$2:$C$675,A48)+SUMIFS(Compta!$F$2:$F$675,Compta!$A$2:$A$675,B48,Compta!$B$2:$B$675,"616",Compta!$C$2:$C$675,A48)+SUMIFS(Compta!$F$2:$F$675,Compta!$A$2:$A$675,B48,Compta!$B$2:$B$675,"625",Compta!$C$2:$C$675,A48)+SUMIFS(Compta!$F$2:$F$675,Compta!$A$2:$A$675,B48,Compta!$B$2:$B$675,"63511",Compta!$C$2:$C$675,A48)</f>
        <v/>
      </c>
      <c r="AB48">
        <f>SUMIFS(Compta!$F$2:$F$675,Compta!$A$2:$A$675,"GRP",Compta!$B$2:$B$675,"6414",Compta!$C$2:$C$675,A48)+SUMIFS(Compta!$F$2:$F$675,Compta!$A$2:$A$675,"GRP",Compta!$B$2:$B$675,"6226",Compta!$C$2:$C$675,A48)+SUMIFS(Compta!$F$2:$F$675,Compta!$A$2:$A$675,"GRP",Compta!$B$2:$B$675,"6236",Compta!$C$2:$C$675,A48)+SUMIFS(Compta!$F$2:$F$675,Compta!$A$2:$A$675,"GRP",Compta!$B$2:$B$675,"626",Compta!$C$2:$C$675,A48)+SUMIFS(Compta!$F$2:$F$675,Compta!$A$2:$A$675,"GRP",Compta!$B$2:$B$675,"6281",Compta!$C$2:$C$675,A48)+SUMIFS(Compta!$F$2:$F$675,Compta!$A$2:$A$675,"GRP",Compta!$B$2:$B$675,"6331",Compta!$C$2:$C$675,A48)+SUMIFS(Compta!$F$2:$F$675,Compta!$A$2:$A$675,"GRP",Compta!$B$2:$B$675,"6333",Compta!$C$2:$C$675,A48)</f>
        <v/>
      </c>
      <c r="AC48">
        <f>IF(Pilotage!$E$10="Chiffre d'affaires",I48,IF(Pilotage!$E$10="Effectif",G48,H48))</f>
        <v/>
      </c>
      <c r="AD48">
        <f>IF(Pilotage!$E$10="Chiffre d'affaires",N48,IF(Pilotage!$E$10="Effectif",L48,M48))</f>
        <v/>
      </c>
      <c r="AE48">
        <f>IF(Pilotage!$E$8="Chiffre d'affaires",N48,IF(Pilotage!$E$8="Effectif",L48,M48))</f>
        <v/>
      </c>
      <c r="AF48">
        <f>IF(Pilotage!$E$8="Chiffre d'affaires",S48,IF(Pilotage!$E$8="Effectif",Q48,R48))</f>
        <v/>
      </c>
      <c r="AG48">
        <f>IF(Pilotage!$E$9="Chiffre d'affaires",S48,IF(Pilotage!$E$9="Effectif",Q48,R48))</f>
        <v/>
      </c>
      <c r="AH48">
        <f>IF(Pilotage!$E$9="Chiffre d'affaires",V48,IF(Pilotage!$E$9="Effectif",T48,U48))</f>
        <v/>
      </c>
      <c r="AI48">
        <f>W48*IFERROR(K48/O48,0)</f>
        <v/>
      </c>
      <c r="AJ48">
        <f>X48*IFERROR(K48/O48,0)</f>
        <v/>
      </c>
      <c r="AK48">
        <f>Y48*IFERROR(G48/L48,0)+Z48*IFERROR(J48/P48,0)</f>
        <v/>
      </c>
      <c r="AL48">
        <f>AA48*IFERROR(AC48/AD48,0)</f>
        <v/>
      </c>
      <c r="AM48">
        <f>AB48*IFERROR(AG48/AH48,0)*IFERROR(AE48/AF48,0)*IFERROR(AC48/AD48,0)</f>
        <v/>
      </c>
      <c r="AN48">
        <f>I48-(AI48+AJ48+AK48+AL48+AM48)</f>
        <v/>
      </c>
    </row>
    <row r="49">
      <c r="A49">
        <f>Allocation!C49</f>
        <v/>
      </c>
      <c r="B49">
        <f>Allocation!D49</f>
        <v/>
      </c>
      <c r="C49">
        <f>Allocation!E49</f>
        <v/>
      </c>
      <c r="D49">
        <f>Allocation!F49</f>
        <v/>
      </c>
      <c r="E49">
        <f>Allocation!G49</f>
        <v/>
      </c>
      <c r="F49">
        <f>Allocation!H49</f>
        <v/>
      </c>
      <c r="G49">
        <f>Allocation!I49</f>
        <v/>
      </c>
      <c r="H49">
        <f>Allocation!J49</f>
        <v/>
      </c>
      <c r="I49">
        <f>Allocation!K49</f>
        <v/>
      </c>
      <c r="J49">
        <f>SUMIFS(Socle!$K$2:$K$175,Socle!$C$2:$C$175,B49,Socle!$D$2:$D$175,D49,Socle!$E$2:$E$175,E49,Socle!$F$2:$F$175,F49,Socle!$G$2:$G$175,A49)</f>
        <v/>
      </c>
      <c r="K49">
        <f>H49*IF(AND(LEFT(D49,3)="BAC",F49="INIT"),600,IF(LEFT(D49,3)="BAC",480,IF(AND(LEFT(D49,3)="MAS",F49="INIT"),520,IF(LEFT(D49,3)="MAS",420,IF(F49="INIT",1000,700)))))</f>
        <v/>
      </c>
      <c r="L49">
        <f>SUMIFS(Allocation!$I$2:$I$175,Allocation!$C$2:$C$175,A49,Allocation!$D$2:$D$175,B49)</f>
        <v/>
      </c>
      <c r="M49">
        <f>SUMIFS(Allocation!$J$2:$J$175,Allocation!$C$2:$C$175,A49,Allocation!$D$2:$D$175,B49)</f>
        <v/>
      </c>
      <c r="N49">
        <f>SUMIFS(Allocation!$K$2:$K$175,Allocation!$C$2:$C$175,A49,Allocation!$D$2:$D$175,B49)</f>
        <v/>
      </c>
      <c r="O49">
        <f>SUMIFS($K$2:$K$175,$A$2:$A$175,A49,$B$2:$B$175,B49)</f>
        <v/>
      </c>
      <c r="P49">
        <f>SUMIFS($J$2:$J$175,$A$2:$A$175,A49,$B$2:$B$175,B49)</f>
        <v/>
      </c>
      <c r="Q49">
        <f>SUMIFS(Allocation!$I$2:$I$175,Allocation!$C$2:$C$175,A49,Allocation!$E$2:$E$175,C49)</f>
        <v/>
      </c>
      <c r="R49">
        <f>SUMIFS(Allocation!$J$2:$J$175,Allocation!$C$2:$C$175,A49,Allocation!$E$2:$E$175,C49)</f>
        <v/>
      </c>
      <c r="S49">
        <f>SUMIFS(Allocation!$K$2:$K$175,Allocation!$C$2:$C$175,A49,Allocation!$E$2:$E$175,C49)</f>
        <v/>
      </c>
      <c r="T49">
        <f>SUMIFS(Allocation!$I$2:$I$175,Allocation!$C$2:$C$175,A49)</f>
        <v/>
      </c>
      <c r="U49">
        <f>SUMIFS(Allocation!$J$2:$J$175,Allocation!$C$2:$C$175,A49)</f>
        <v/>
      </c>
      <c r="V49">
        <f>SUMIFS(Allocation!$K$2:$K$175,Allocation!$C$2:$C$175,A49)</f>
        <v/>
      </c>
      <c r="W49">
        <f>SUMIFS(Compta!$F$2:$F$675,Compta!$A$2:$A$675,B49,Compta!$B$2:$B$675,"621",Compta!$C$2:$C$675,A49)</f>
        <v/>
      </c>
      <c r="X49">
        <f>SUMIFS(Compta!$F$2:$F$675,Compta!$A$2:$A$675,B49,Compta!$B$2:$B$675,"6411",Compta!$C$2:$C$675,A49)</f>
        <v/>
      </c>
      <c r="Y49">
        <f>SUMIFS(Compta!$F$2:$F$675,Compta!$A$2:$A$675,B49,Compta!$B$2:$B$675,"604",Compta!$C$2:$C$675,A49)+SUMIFS(Compta!$F$2:$F$675,Compta!$A$2:$A$675,B49,Compta!$B$2:$B$675,"6063",Compta!$C$2:$C$675,A49)</f>
        <v/>
      </c>
      <c r="Z49">
        <f>SUMIFS(Compta!$F$2:$F$675,Compta!$A$2:$A$675,B49,Compta!$B$2:$B$675,"6231",Compta!$C$2:$C$675,A49)</f>
        <v/>
      </c>
      <c r="AA49">
        <f>SUMIFS(Compta!$F$2:$F$675,Compta!$A$2:$A$675,B49,Compta!$B$2:$B$675,"6413",Compta!$C$2:$C$675,A49)+SUMIFS(Compta!$F$2:$F$675,Compta!$A$2:$A$675,B49,Compta!$B$2:$B$675,"645",Compta!$C$2:$C$675,A49)+SUMIFS(Compta!$F$2:$F$675,Compta!$A$2:$A$675,B49,Compta!$B$2:$B$675,"613",Compta!$C$2:$C$675,A49)+SUMIFS(Compta!$F$2:$F$675,Compta!$A$2:$A$675,B49,Compta!$B$2:$B$675,"615",Compta!$C$2:$C$675,A49)+SUMIFS(Compta!$F$2:$F$675,Compta!$A$2:$A$675,B49,Compta!$B$2:$B$675,"616",Compta!$C$2:$C$675,A49)+SUMIFS(Compta!$F$2:$F$675,Compta!$A$2:$A$675,B49,Compta!$B$2:$B$675,"625",Compta!$C$2:$C$675,A49)+SUMIFS(Compta!$F$2:$F$675,Compta!$A$2:$A$675,B49,Compta!$B$2:$B$675,"63511",Compta!$C$2:$C$675,A49)</f>
        <v/>
      </c>
      <c r="AB49">
        <f>SUMIFS(Compta!$F$2:$F$675,Compta!$A$2:$A$675,"GRP",Compta!$B$2:$B$675,"6414",Compta!$C$2:$C$675,A49)+SUMIFS(Compta!$F$2:$F$675,Compta!$A$2:$A$675,"GRP",Compta!$B$2:$B$675,"6226",Compta!$C$2:$C$675,A49)+SUMIFS(Compta!$F$2:$F$675,Compta!$A$2:$A$675,"GRP",Compta!$B$2:$B$675,"6236",Compta!$C$2:$C$675,A49)+SUMIFS(Compta!$F$2:$F$675,Compta!$A$2:$A$675,"GRP",Compta!$B$2:$B$675,"626",Compta!$C$2:$C$675,A49)+SUMIFS(Compta!$F$2:$F$675,Compta!$A$2:$A$675,"GRP",Compta!$B$2:$B$675,"6281",Compta!$C$2:$C$675,A49)+SUMIFS(Compta!$F$2:$F$675,Compta!$A$2:$A$675,"GRP",Compta!$B$2:$B$675,"6331",Compta!$C$2:$C$675,A49)+SUMIFS(Compta!$F$2:$F$675,Compta!$A$2:$A$675,"GRP",Compta!$B$2:$B$675,"6333",Compta!$C$2:$C$675,A49)</f>
        <v/>
      </c>
      <c r="AC49">
        <f>IF(Pilotage!$E$10="Chiffre d'affaires",I49,IF(Pilotage!$E$10="Effectif",G49,H49))</f>
        <v/>
      </c>
      <c r="AD49">
        <f>IF(Pilotage!$E$10="Chiffre d'affaires",N49,IF(Pilotage!$E$10="Effectif",L49,M49))</f>
        <v/>
      </c>
      <c r="AE49">
        <f>IF(Pilotage!$E$8="Chiffre d'affaires",N49,IF(Pilotage!$E$8="Effectif",L49,M49))</f>
        <v/>
      </c>
      <c r="AF49">
        <f>IF(Pilotage!$E$8="Chiffre d'affaires",S49,IF(Pilotage!$E$8="Effectif",Q49,R49))</f>
        <v/>
      </c>
      <c r="AG49">
        <f>IF(Pilotage!$E$9="Chiffre d'affaires",S49,IF(Pilotage!$E$9="Effectif",Q49,R49))</f>
        <v/>
      </c>
      <c r="AH49">
        <f>IF(Pilotage!$E$9="Chiffre d'affaires",V49,IF(Pilotage!$E$9="Effectif",T49,U49))</f>
        <v/>
      </c>
      <c r="AI49">
        <f>W49*IFERROR(K49/O49,0)</f>
        <v/>
      </c>
      <c r="AJ49">
        <f>X49*IFERROR(K49/O49,0)</f>
        <v/>
      </c>
      <c r="AK49">
        <f>Y49*IFERROR(G49/L49,0)+Z49*IFERROR(J49/P49,0)</f>
        <v/>
      </c>
      <c r="AL49">
        <f>AA49*IFERROR(AC49/AD49,0)</f>
        <v/>
      </c>
      <c r="AM49">
        <f>AB49*IFERROR(AG49/AH49,0)*IFERROR(AE49/AF49,0)*IFERROR(AC49/AD49,0)</f>
        <v/>
      </c>
      <c r="AN49">
        <f>I49-(AI49+AJ49+AK49+AL49+AM49)</f>
        <v/>
      </c>
    </row>
    <row r="50">
      <c r="A50">
        <f>Allocation!C50</f>
        <v/>
      </c>
      <c r="B50">
        <f>Allocation!D50</f>
        <v/>
      </c>
      <c r="C50">
        <f>Allocation!E50</f>
        <v/>
      </c>
      <c r="D50">
        <f>Allocation!F50</f>
        <v/>
      </c>
      <c r="E50">
        <f>Allocation!G50</f>
        <v/>
      </c>
      <c r="F50">
        <f>Allocation!H50</f>
        <v/>
      </c>
      <c r="G50">
        <f>Allocation!I50</f>
        <v/>
      </c>
      <c r="H50">
        <f>Allocation!J50</f>
        <v/>
      </c>
      <c r="I50">
        <f>Allocation!K50</f>
        <v/>
      </c>
      <c r="J50">
        <f>SUMIFS(Socle!$K$2:$K$175,Socle!$C$2:$C$175,B50,Socle!$D$2:$D$175,D50,Socle!$E$2:$E$175,E50,Socle!$F$2:$F$175,F50,Socle!$G$2:$G$175,A50)</f>
        <v/>
      </c>
      <c r="K50">
        <f>H50*IF(AND(LEFT(D50,3)="BAC",F50="INIT"),600,IF(LEFT(D50,3)="BAC",480,IF(AND(LEFT(D50,3)="MAS",F50="INIT"),520,IF(LEFT(D50,3)="MAS",420,IF(F50="INIT",1000,700)))))</f>
        <v/>
      </c>
      <c r="L50">
        <f>SUMIFS(Allocation!$I$2:$I$175,Allocation!$C$2:$C$175,A50,Allocation!$D$2:$D$175,B50)</f>
        <v/>
      </c>
      <c r="M50">
        <f>SUMIFS(Allocation!$J$2:$J$175,Allocation!$C$2:$C$175,A50,Allocation!$D$2:$D$175,B50)</f>
        <v/>
      </c>
      <c r="N50">
        <f>SUMIFS(Allocation!$K$2:$K$175,Allocation!$C$2:$C$175,A50,Allocation!$D$2:$D$175,B50)</f>
        <v/>
      </c>
      <c r="O50">
        <f>SUMIFS($K$2:$K$175,$A$2:$A$175,A50,$B$2:$B$175,B50)</f>
        <v/>
      </c>
      <c r="P50">
        <f>SUMIFS($J$2:$J$175,$A$2:$A$175,A50,$B$2:$B$175,B50)</f>
        <v/>
      </c>
      <c r="Q50">
        <f>SUMIFS(Allocation!$I$2:$I$175,Allocation!$C$2:$C$175,A50,Allocation!$E$2:$E$175,C50)</f>
        <v/>
      </c>
      <c r="R50">
        <f>SUMIFS(Allocation!$J$2:$J$175,Allocation!$C$2:$C$175,A50,Allocation!$E$2:$E$175,C50)</f>
        <v/>
      </c>
      <c r="S50">
        <f>SUMIFS(Allocation!$K$2:$K$175,Allocation!$C$2:$C$175,A50,Allocation!$E$2:$E$175,C50)</f>
        <v/>
      </c>
      <c r="T50">
        <f>SUMIFS(Allocation!$I$2:$I$175,Allocation!$C$2:$C$175,A50)</f>
        <v/>
      </c>
      <c r="U50">
        <f>SUMIFS(Allocation!$J$2:$J$175,Allocation!$C$2:$C$175,A50)</f>
        <v/>
      </c>
      <c r="V50">
        <f>SUMIFS(Allocation!$K$2:$K$175,Allocation!$C$2:$C$175,A50)</f>
        <v/>
      </c>
      <c r="W50">
        <f>SUMIFS(Compta!$F$2:$F$675,Compta!$A$2:$A$675,B50,Compta!$B$2:$B$675,"621",Compta!$C$2:$C$675,A50)</f>
        <v/>
      </c>
      <c r="X50">
        <f>SUMIFS(Compta!$F$2:$F$675,Compta!$A$2:$A$675,B50,Compta!$B$2:$B$675,"6411",Compta!$C$2:$C$675,A50)</f>
        <v/>
      </c>
      <c r="Y50">
        <f>SUMIFS(Compta!$F$2:$F$675,Compta!$A$2:$A$675,B50,Compta!$B$2:$B$675,"604",Compta!$C$2:$C$675,A50)+SUMIFS(Compta!$F$2:$F$675,Compta!$A$2:$A$675,B50,Compta!$B$2:$B$675,"6063",Compta!$C$2:$C$675,A50)</f>
        <v/>
      </c>
      <c r="Z50">
        <f>SUMIFS(Compta!$F$2:$F$675,Compta!$A$2:$A$675,B50,Compta!$B$2:$B$675,"6231",Compta!$C$2:$C$675,A50)</f>
        <v/>
      </c>
      <c r="AA50">
        <f>SUMIFS(Compta!$F$2:$F$675,Compta!$A$2:$A$675,B50,Compta!$B$2:$B$675,"6413",Compta!$C$2:$C$675,A50)+SUMIFS(Compta!$F$2:$F$675,Compta!$A$2:$A$675,B50,Compta!$B$2:$B$675,"645",Compta!$C$2:$C$675,A50)+SUMIFS(Compta!$F$2:$F$675,Compta!$A$2:$A$675,B50,Compta!$B$2:$B$675,"613",Compta!$C$2:$C$675,A50)+SUMIFS(Compta!$F$2:$F$675,Compta!$A$2:$A$675,B50,Compta!$B$2:$B$675,"615",Compta!$C$2:$C$675,A50)+SUMIFS(Compta!$F$2:$F$675,Compta!$A$2:$A$675,B50,Compta!$B$2:$B$675,"616",Compta!$C$2:$C$675,A50)+SUMIFS(Compta!$F$2:$F$675,Compta!$A$2:$A$675,B50,Compta!$B$2:$B$675,"625",Compta!$C$2:$C$675,A50)+SUMIFS(Compta!$F$2:$F$675,Compta!$A$2:$A$675,B50,Compta!$B$2:$B$675,"63511",Compta!$C$2:$C$675,A50)</f>
        <v/>
      </c>
      <c r="AB50">
        <f>SUMIFS(Compta!$F$2:$F$675,Compta!$A$2:$A$675,"GRP",Compta!$B$2:$B$675,"6414",Compta!$C$2:$C$675,A50)+SUMIFS(Compta!$F$2:$F$675,Compta!$A$2:$A$675,"GRP",Compta!$B$2:$B$675,"6226",Compta!$C$2:$C$675,A50)+SUMIFS(Compta!$F$2:$F$675,Compta!$A$2:$A$675,"GRP",Compta!$B$2:$B$675,"6236",Compta!$C$2:$C$675,A50)+SUMIFS(Compta!$F$2:$F$675,Compta!$A$2:$A$675,"GRP",Compta!$B$2:$B$675,"626",Compta!$C$2:$C$675,A50)+SUMIFS(Compta!$F$2:$F$675,Compta!$A$2:$A$675,"GRP",Compta!$B$2:$B$675,"6281",Compta!$C$2:$C$675,A50)+SUMIFS(Compta!$F$2:$F$675,Compta!$A$2:$A$675,"GRP",Compta!$B$2:$B$675,"6331",Compta!$C$2:$C$675,A50)+SUMIFS(Compta!$F$2:$F$675,Compta!$A$2:$A$675,"GRP",Compta!$B$2:$B$675,"6333",Compta!$C$2:$C$675,A50)</f>
        <v/>
      </c>
      <c r="AC50">
        <f>IF(Pilotage!$E$10="Chiffre d'affaires",I50,IF(Pilotage!$E$10="Effectif",G50,H50))</f>
        <v/>
      </c>
      <c r="AD50">
        <f>IF(Pilotage!$E$10="Chiffre d'affaires",N50,IF(Pilotage!$E$10="Effectif",L50,M50))</f>
        <v/>
      </c>
      <c r="AE50">
        <f>IF(Pilotage!$E$8="Chiffre d'affaires",N50,IF(Pilotage!$E$8="Effectif",L50,M50))</f>
        <v/>
      </c>
      <c r="AF50">
        <f>IF(Pilotage!$E$8="Chiffre d'affaires",S50,IF(Pilotage!$E$8="Effectif",Q50,R50))</f>
        <v/>
      </c>
      <c r="AG50">
        <f>IF(Pilotage!$E$9="Chiffre d'affaires",S50,IF(Pilotage!$E$9="Effectif",Q50,R50))</f>
        <v/>
      </c>
      <c r="AH50">
        <f>IF(Pilotage!$E$9="Chiffre d'affaires",V50,IF(Pilotage!$E$9="Effectif",T50,U50))</f>
        <v/>
      </c>
      <c r="AI50">
        <f>W50*IFERROR(K50/O50,0)</f>
        <v/>
      </c>
      <c r="AJ50">
        <f>X50*IFERROR(K50/O50,0)</f>
        <v/>
      </c>
      <c r="AK50">
        <f>Y50*IFERROR(G50/L50,0)+Z50*IFERROR(J50/P50,0)</f>
        <v/>
      </c>
      <c r="AL50">
        <f>AA50*IFERROR(AC50/AD50,0)</f>
        <v/>
      </c>
      <c r="AM50">
        <f>AB50*IFERROR(AG50/AH50,0)*IFERROR(AE50/AF50,0)*IFERROR(AC50/AD50,0)</f>
        <v/>
      </c>
      <c r="AN50">
        <f>I50-(AI50+AJ50+AK50+AL50+AM50)</f>
        <v/>
      </c>
    </row>
    <row r="51">
      <c r="A51">
        <f>Allocation!C51</f>
        <v/>
      </c>
      <c r="B51">
        <f>Allocation!D51</f>
        <v/>
      </c>
      <c r="C51">
        <f>Allocation!E51</f>
        <v/>
      </c>
      <c r="D51">
        <f>Allocation!F51</f>
        <v/>
      </c>
      <c r="E51">
        <f>Allocation!G51</f>
        <v/>
      </c>
      <c r="F51">
        <f>Allocation!H51</f>
        <v/>
      </c>
      <c r="G51">
        <f>Allocation!I51</f>
        <v/>
      </c>
      <c r="H51">
        <f>Allocation!J51</f>
        <v/>
      </c>
      <c r="I51">
        <f>Allocation!K51</f>
        <v/>
      </c>
      <c r="J51">
        <f>SUMIFS(Socle!$K$2:$K$175,Socle!$C$2:$C$175,B51,Socle!$D$2:$D$175,D51,Socle!$E$2:$E$175,E51,Socle!$F$2:$F$175,F51,Socle!$G$2:$G$175,A51)</f>
        <v/>
      </c>
      <c r="K51">
        <f>H51*IF(AND(LEFT(D51,3)="BAC",F51="INIT"),600,IF(LEFT(D51,3)="BAC",480,IF(AND(LEFT(D51,3)="MAS",F51="INIT"),520,IF(LEFT(D51,3)="MAS",420,IF(F51="INIT",1000,700)))))</f>
        <v/>
      </c>
      <c r="L51">
        <f>SUMIFS(Allocation!$I$2:$I$175,Allocation!$C$2:$C$175,A51,Allocation!$D$2:$D$175,B51)</f>
        <v/>
      </c>
      <c r="M51">
        <f>SUMIFS(Allocation!$J$2:$J$175,Allocation!$C$2:$C$175,A51,Allocation!$D$2:$D$175,B51)</f>
        <v/>
      </c>
      <c r="N51">
        <f>SUMIFS(Allocation!$K$2:$K$175,Allocation!$C$2:$C$175,A51,Allocation!$D$2:$D$175,B51)</f>
        <v/>
      </c>
      <c r="O51">
        <f>SUMIFS($K$2:$K$175,$A$2:$A$175,A51,$B$2:$B$175,B51)</f>
        <v/>
      </c>
      <c r="P51">
        <f>SUMIFS($J$2:$J$175,$A$2:$A$175,A51,$B$2:$B$175,B51)</f>
        <v/>
      </c>
      <c r="Q51">
        <f>SUMIFS(Allocation!$I$2:$I$175,Allocation!$C$2:$C$175,A51,Allocation!$E$2:$E$175,C51)</f>
        <v/>
      </c>
      <c r="R51">
        <f>SUMIFS(Allocation!$J$2:$J$175,Allocation!$C$2:$C$175,A51,Allocation!$E$2:$E$175,C51)</f>
        <v/>
      </c>
      <c r="S51">
        <f>SUMIFS(Allocation!$K$2:$K$175,Allocation!$C$2:$C$175,A51,Allocation!$E$2:$E$175,C51)</f>
        <v/>
      </c>
      <c r="T51">
        <f>SUMIFS(Allocation!$I$2:$I$175,Allocation!$C$2:$C$175,A51)</f>
        <v/>
      </c>
      <c r="U51">
        <f>SUMIFS(Allocation!$J$2:$J$175,Allocation!$C$2:$C$175,A51)</f>
        <v/>
      </c>
      <c r="V51">
        <f>SUMIFS(Allocation!$K$2:$K$175,Allocation!$C$2:$C$175,A51)</f>
        <v/>
      </c>
      <c r="W51">
        <f>SUMIFS(Compta!$F$2:$F$675,Compta!$A$2:$A$675,B51,Compta!$B$2:$B$675,"621",Compta!$C$2:$C$675,A51)</f>
        <v/>
      </c>
      <c r="X51">
        <f>SUMIFS(Compta!$F$2:$F$675,Compta!$A$2:$A$675,B51,Compta!$B$2:$B$675,"6411",Compta!$C$2:$C$675,A51)</f>
        <v/>
      </c>
      <c r="Y51">
        <f>SUMIFS(Compta!$F$2:$F$675,Compta!$A$2:$A$675,B51,Compta!$B$2:$B$675,"604",Compta!$C$2:$C$675,A51)+SUMIFS(Compta!$F$2:$F$675,Compta!$A$2:$A$675,B51,Compta!$B$2:$B$675,"6063",Compta!$C$2:$C$675,A51)</f>
        <v/>
      </c>
      <c r="Z51">
        <f>SUMIFS(Compta!$F$2:$F$675,Compta!$A$2:$A$675,B51,Compta!$B$2:$B$675,"6231",Compta!$C$2:$C$675,A51)</f>
        <v/>
      </c>
      <c r="AA51">
        <f>SUMIFS(Compta!$F$2:$F$675,Compta!$A$2:$A$675,B51,Compta!$B$2:$B$675,"6413",Compta!$C$2:$C$675,A51)+SUMIFS(Compta!$F$2:$F$675,Compta!$A$2:$A$675,B51,Compta!$B$2:$B$675,"645",Compta!$C$2:$C$675,A51)+SUMIFS(Compta!$F$2:$F$675,Compta!$A$2:$A$675,B51,Compta!$B$2:$B$675,"613",Compta!$C$2:$C$675,A51)+SUMIFS(Compta!$F$2:$F$675,Compta!$A$2:$A$675,B51,Compta!$B$2:$B$675,"615",Compta!$C$2:$C$675,A51)+SUMIFS(Compta!$F$2:$F$675,Compta!$A$2:$A$675,B51,Compta!$B$2:$B$675,"616",Compta!$C$2:$C$675,A51)+SUMIFS(Compta!$F$2:$F$675,Compta!$A$2:$A$675,B51,Compta!$B$2:$B$675,"625",Compta!$C$2:$C$675,A51)+SUMIFS(Compta!$F$2:$F$675,Compta!$A$2:$A$675,B51,Compta!$B$2:$B$675,"63511",Compta!$C$2:$C$675,A51)</f>
        <v/>
      </c>
      <c r="AB51">
        <f>SUMIFS(Compta!$F$2:$F$675,Compta!$A$2:$A$675,"GRP",Compta!$B$2:$B$675,"6414",Compta!$C$2:$C$675,A51)+SUMIFS(Compta!$F$2:$F$675,Compta!$A$2:$A$675,"GRP",Compta!$B$2:$B$675,"6226",Compta!$C$2:$C$675,A51)+SUMIFS(Compta!$F$2:$F$675,Compta!$A$2:$A$675,"GRP",Compta!$B$2:$B$675,"6236",Compta!$C$2:$C$675,A51)+SUMIFS(Compta!$F$2:$F$675,Compta!$A$2:$A$675,"GRP",Compta!$B$2:$B$675,"626",Compta!$C$2:$C$675,A51)+SUMIFS(Compta!$F$2:$F$675,Compta!$A$2:$A$675,"GRP",Compta!$B$2:$B$675,"6281",Compta!$C$2:$C$675,A51)+SUMIFS(Compta!$F$2:$F$675,Compta!$A$2:$A$675,"GRP",Compta!$B$2:$B$675,"6331",Compta!$C$2:$C$675,A51)+SUMIFS(Compta!$F$2:$F$675,Compta!$A$2:$A$675,"GRP",Compta!$B$2:$B$675,"6333",Compta!$C$2:$C$675,A51)</f>
        <v/>
      </c>
      <c r="AC51">
        <f>IF(Pilotage!$E$10="Chiffre d'affaires",I51,IF(Pilotage!$E$10="Effectif",G51,H51))</f>
        <v/>
      </c>
      <c r="AD51">
        <f>IF(Pilotage!$E$10="Chiffre d'affaires",N51,IF(Pilotage!$E$10="Effectif",L51,M51))</f>
        <v/>
      </c>
      <c r="AE51">
        <f>IF(Pilotage!$E$8="Chiffre d'affaires",N51,IF(Pilotage!$E$8="Effectif",L51,M51))</f>
        <v/>
      </c>
      <c r="AF51">
        <f>IF(Pilotage!$E$8="Chiffre d'affaires",S51,IF(Pilotage!$E$8="Effectif",Q51,R51))</f>
        <v/>
      </c>
      <c r="AG51">
        <f>IF(Pilotage!$E$9="Chiffre d'affaires",S51,IF(Pilotage!$E$9="Effectif",Q51,R51))</f>
        <v/>
      </c>
      <c r="AH51">
        <f>IF(Pilotage!$E$9="Chiffre d'affaires",V51,IF(Pilotage!$E$9="Effectif",T51,U51))</f>
        <v/>
      </c>
      <c r="AI51">
        <f>W51*IFERROR(K51/O51,0)</f>
        <v/>
      </c>
      <c r="AJ51">
        <f>X51*IFERROR(K51/O51,0)</f>
        <v/>
      </c>
      <c r="AK51">
        <f>Y51*IFERROR(G51/L51,0)+Z51*IFERROR(J51/P51,0)</f>
        <v/>
      </c>
      <c r="AL51">
        <f>AA51*IFERROR(AC51/AD51,0)</f>
        <v/>
      </c>
      <c r="AM51">
        <f>AB51*IFERROR(AG51/AH51,0)*IFERROR(AE51/AF51,0)*IFERROR(AC51/AD51,0)</f>
        <v/>
      </c>
      <c r="AN51">
        <f>I51-(AI51+AJ51+AK51+AL51+AM51)</f>
        <v/>
      </c>
    </row>
    <row r="52">
      <c r="A52">
        <f>Allocation!C52</f>
        <v/>
      </c>
      <c r="B52">
        <f>Allocation!D52</f>
        <v/>
      </c>
      <c r="C52">
        <f>Allocation!E52</f>
        <v/>
      </c>
      <c r="D52">
        <f>Allocation!F52</f>
        <v/>
      </c>
      <c r="E52">
        <f>Allocation!G52</f>
        <v/>
      </c>
      <c r="F52">
        <f>Allocation!H52</f>
        <v/>
      </c>
      <c r="G52">
        <f>Allocation!I52</f>
        <v/>
      </c>
      <c r="H52">
        <f>Allocation!J52</f>
        <v/>
      </c>
      <c r="I52">
        <f>Allocation!K52</f>
        <v/>
      </c>
      <c r="J52">
        <f>SUMIFS(Socle!$K$2:$K$175,Socle!$C$2:$C$175,B52,Socle!$D$2:$D$175,D52,Socle!$E$2:$E$175,E52,Socle!$F$2:$F$175,F52,Socle!$G$2:$G$175,A52)</f>
        <v/>
      </c>
      <c r="K52">
        <f>H52*IF(AND(LEFT(D52,3)="BAC",F52="INIT"),600,IF(LEFT(D52,3)="BAC",480,IF(AND(LEFT(D52,3)="MAS",F52="INIT"),520,IF(LEFT(D52,3)="MAS",420,IF(F52="INIT",1000,700)))))</f>
        <v/>
      </c>
      <c r="L52">
        <f>SUMIFS(Allocation!$I$2:$I$175,Allocation!$C$2:$C$175,A52,Allocation!$D$2:$D$175,B52)</f>
        <v/>
      </c>
      <c r="M52">
        <f>SUMIFS(Allocation!$J$2:$J$175,Allocation!$C$2:$C$175,A52,Allocation!$D$2:$D$175,B52)</f>
        <v/>
      </c>
      <c r="N52">
        <f>SUMIFS(Allocation!$K$2:$K$175,Allocation!$C$2:$C$175,A52,Allocation!$D$2:$D$175,B52)</f>
        <v/>
      </c>
      <c r="O52">
        <f>SUMIFS($K$2:$K$175,$A$2:$A$175,A52,$B$2:$B$175,B52)</f>
        <v/>
      </c>
      <c r="P52">
        <f>SUMIFS($J$2:$J$175,$A$2:$A$175,A52,$B$2:$B$175,B52)</f>
        <v/>
      </c>
      <c r="Q52">
        <f>SUMIFS(Allocation!$I$2:$I$175,Allocation!$C$2:$C$175,A52,Allocation!$E$2:$E$175,C52)</f>
        <v/>
      </c>
      <c r="R52">
        <f>SUMIFS(Allocation!$J$2:$J$175,Allocation!$C$2:$C$175,A52,Allocation!$E$2:$E$175,C52)</f>
        <v/>
      </c>
      <c r="S52">
        <f>SUMIFS(Allocation!$K$2:$K$175,Allocation!$C$2:$C$175,A52,Allocation!$E$2:$E$175,C52)</f>
        <v/>
      </c>
      <c r="T52">
        <f>SUMIFS(Allocation!$I$2:$I$175,Allocation!$C$2:$C$175,A52)</f>
        <v/>
      </c>
      <c r="U52">
        <f>SUMIFS(Allocation!$J$2:$J$175,Allocation!$C$2:$C$175,A52)</f>
        <v/>
      </c>
      <c r="V52">
        <f>SUMIFS(Allocation!$K$2:$K$175,Allocation!$C$2:$C$175,A52)</f>
        <v/>
      </c>
      <c r="W52">
        <f>SUMIFS(Compta!$F$2:$F$675,Compta!$A$2:$A$675,B52,Compta!$B$2:$B$675,"621",Compta!$C$2:$C$675,A52)</f>
        <v/>
      </c>
      <c r="X52">
        <f>SUMIFS(Compta!$F$2:$F$675,Compta!$A$2:$A$675,B52,Compta!$B$2:$B$675,"6411",Compta!$C$2:$C$675,A52)</f>
        <v/>
      </c>
      <c r="Y52">
        <f>SUMIFS(Compta!$F$2:$F$675,Compta!$A$2:$A$675,B52,Compta!$B$2:$B$675,"604",Compta!$C$2:$C$675,A52)+SUMIFS(Compta!$F$2:$F$675,Compta!$A$2:$A$675,B52,Compta!$B$2:$B$675,"6063",Compta!$C$2:$C$675,A52)</f>
        <v/>
      </c>
      <c r="Z52">
        <f>SUMIFS(Compta!$F$2:$F$675,Compta!$A$2:$A$675,B52,Compta!$B$2:$B$675,"6231",Compta!$C$2:$C$675,A52)</f>
        <v/>
      </c>
      <c r="AA52">
        <f>SUMIFS(Compta!$F$2:$F$675,Compta!$A$2:$A$675,B52,Compta!$B$2:$B$675,"6413",Compta!$C$2:$C$675,A52)+SUMIFS(Compta!$F$2:$F$675,Compta!$A$2:$A$675,B52,Compta!$B$2:$B$675,"645",Compta!$C$2:$C$675,A52)+SUMIFS(Compta!$F$2:$F$675,Compta!$A$2:$A$675,B52,Compta!$B$2:$B$675,"613",Compta!$C$2:$C$675,A52)+SUMIFS(Compta!$F$2:$F$675,Compta!$A$2:$A$675,B52,Compta!$B$2:$B$675,"615",Compta!$C$2:$C$675,A52)+SUMIFS(Compta!$F$2:$F$675,Compta!$A$2:$A$675,B52,Compta!$B$2:$B$675,"616",Compta!$C$2:$C$675,A52)+SUMIFS(Compta!$F$2:$F$675,Compta!$A$2:$A$675,B52,Compta!$B$2:$B$675,"625",Compta!$C$2:$C$675,A52)+SUMIFS(Compta!$F$2:$F$675,Compta!$A$2:$A$675,B52,Compta!$B$2:$B$675,"63511",Compta!$C$2:$C$675,A52)</f>
        <v/>
      </c>
      <c r="AB52">
        <f>SUMIFS(Compta!$F$2:$F$675,Compta!$A$2:$A$675,"GRP",Compta!$B$2:$B$675,"6414",Compta!$C$2:$C$675,A52)+SUMIFS(Compta!$F$2:$F$675,Compta!$A$2:$A$675,"GRP",Compta!$B$2:$B$675,"6226",Compta!$C$2:$C$675,A52)+SUMIFS(Compta!$F$2:$F$675,Compta!$A$2:$A$675,"GRP",Compta!$B$2:$B$675,"6236",Compta!$C$2:$C$675,A52)+SUMIFS(Compta!$F$2:$F$675,Compta!$A$2:$A$675,"GRP",Compta!$B$2:$B$675,"626",Compta!$C$2:$C$675,A52)+SUMIFS(Compta!$F$2:$F$675,Compta!$A$2:$A$675,"GRP",Compta!$B$2:$B$675,"6281",Compta!$C$2:$C$675,A52)+SUMIFS(Compta!$F$2:$F$675,Compta!$A$2:$A$675,"GRP",Compta!$B$2:$B$675,"6331",Compta!$C$2:$C$675,A52)+SUMIFS(Compta!$F$2:$F$675,Compta!$A$2:$A$675,"GRP",Compta!$B$2:$B$675,"6333",Compta!$C$2:$C$675,A52)</f>
        <v/>
      </c>
      <c r="AC52">
        <f>IF(Pilotage!$E$10="Chiffre d'affaires",I52,IF(Pilotage!$E$10="Effectif",G52,H52))</f>
        <v/>
      </c>
      <c r="AD52">
        <f>IF(Pilotage!$E$10="Chiffre d'affaires",N52,IF(Pilotage!$E$10="Effectif",L52,M52))</f>
        <v/>
      </c>
      <c r="AE52">
        <f>IF(Pilotage!$E$8="Chiffre d'affaires",N52,IF(Pilotage!$E$8="Effectif",L52,M52))</f>
        <v/>
      </c>
      <c r="AF52">
        <f>IF(Pilotage!$E$8="Chiffre d'affaires",S52,IF(Pilotage!$E$8="Effectif",Q52,R52))</f>
        <v/>
      </c>
      <c r="AG52">
        <f>IF(Pilotage!$E$9="Chiffre d'affaires",S52,IF(Pilotage!$E$9="Effectif",Q52,R52))</f>
        <v/>
      </c>
      <c r="AH52">
        <f>IF(Pilotage!$E$9="Chiffre d'affaires",V52,IF(Pilotage!$E$9="Effectif",T52,U52))</f>
        <v/>
      </c>
      <c r="AI52">
        <f>W52*IFERROR(K52/O52,0)</f>
        <v/>
      </c>
      <c r="AJ52">
        <f>X52*IFERROR(K52/O52,0)</f>
        <v/>
      </c>
      <c r="AK52">
        <f>Y52*IFERROR(G52/L52,0)+Z52*IFERROR(J52/P52,0)</f>
        <v/>
      </c>
      <c r="AL52">
        <f>AA52*IFERROR(AC52/AD52,0)</f>
        <v/>
      </c>
      <c r="AM52">
        <f>AB52*IFERROR(AG52/AH52,0)*IFERROR(AE52/AF52,0)*IFERROR(AC52/AD52,0)</f>
        <v/>
      </c>
      <c r="AN52">
        <f>I52-(AI52+AJ52+AK52+AL52+AM52)</f>
        <v/>
      </c>
    </row>
    <row r="53">
      <c r="A53">
        <f>Allocation!C53</f>
        <v/>
      </c>
      <c r="B53">
        <f>Allocation!D53</f>
        <v/>
      </c>
      <c r="C53">
        <f>Allocation!E53</f>
        <v/>
      </c>
      <c r="D53">
        <f>Allocation!F53</f>
        <v/>
      </c>
      <c r="E53">
        <f>Allocation!G53</f>
        <v/>
      </c>
      <c r="F53">
        <f>Allocation!H53</f>
        <v/>
      </c>
      <c r="G53">
        <f>Allocation!I53</f>
        <v/>
      </c>
      <c r="H53">
        <f>Allocation!J53</f>
        <v/>
      </c>
      <c r="I53">
        <f>Allocation!K53</f>
        <v/>
      </c>
      <c r="J53">
        <f>SUMIFS(Socle!$K$2:$K$175,Socle!$C$2:$C$175,B53,Socle!$D$2:$D$175,D53,Socle!$E$2:$E$175,E53,Socle!$F$2:$F$175,F53,Socle!$G$2:$G$175,A53)</f>
        <v/>
      </c>
      <c r="K53">
        <f>H53*IF(AND(LEFT(D53,3)="BAC",F53="INIT"),600,IF(LEFT(D53,3)="BAC",480,IF(AND(LEFT(D53,3)="MAS",F53="INIT"),520,IF(LEFT(D53,3)="MAS",420,IF(F53="INIT",1000,700)))))</f>
        <v/>
      </c>
      <c r="L53">
        <f>SUMIFS(Allocation!$I$2:$I$175,Allocation!$C$2:$C$175,A53,Allocation!$D$2:$D$175,B53)</f>
        <v/>
      </c>
      <c r="M53">
        <f>SUMIFS(Allocation!$J$2:$J$175,Allocation!$C$2:$C$175,A53,Allocation!$D$2:$D$175,B53)</f>
        <v/>
      </c>
      <c r="N53">
        <f>SUMIFS(Allocation!$K$2:$K$175,Allocation!$C$2:$C$175,A53,Allocation!$D$2:$D$175,B53)</f>
        <v/>
      </c>
      <c r="O53">
        <f>SUMIFS($K$2:$K$175,$A$2:$A$175,A53,$B$2:$B$175,B53)</f>
        <v/>
      </c>
      <c r="P53">
        <f>SUMIFS($J$2:$J$175,$A$2:$A$175,A53,$B$2:$B$175,B53)</f>
        <v/>
      </c>
      <c r="Q53">
        <f>SUMIFS(Allocation!$I$2:$I$175,Allocation!$C$2:$C$175,A53,Allocation!$E$2:$E$175,C53)</f>
        <v/>
      </c>
      <c r="R53">
        <f>SUMIFS(Allocation!$J$2:$J$175,Allocation!$C$2:$C$175,A53,Allocation!$E$2:$E$175,C53)</f>
        <v/>
      </c>
      <c r="S53">
        <f>SUMIFS(Allocation!$K$2:$K$175,Allocation!$C$2:$C$175,A53,Allocation!$E$2:$E$175,C53)</f>
        <v/>
      </c>
      <c r="T53">
        <f>SUMIFS(Allocation!$I$2:$I$175,Allocation!$C$2:$C$175,A53)</f>
        <v/>
      </c>
      <c r="U53">
        <f>SUMIFS(Allocation!$J$2:$J$175,Allocation!$C$2:$C$175,A53)</f>
        <v/>
      </c>
      <c r="V53">
        <f>SUMIFS(Allocation!$K$2:$K$175,Allocation!$C$2:$C$175,A53)</f>
        <v/>
      </c>
      <c r="W53">
        <f>SUMIFS(Compta!$F$2:$F$675,Compta!$A$2:$A$675,B53,Compta!$B$2:$B$675,"621",Compta!$C$2:$C$675,A53)</f>
        <v/>
      </c>
      <c r="X53">
        <f>SUMIFS(Compta!$F$2:$F$675,Compta!$A$2:$A$675,B53,Compta!$B$2:$B$675,"6411",Compta!$C$2:$C$675,A53)</f>
        <v/>
      </c>
      <c r="Y53">
        <f>SUMIFS(Compta!$F$2:$F$675,Compta!$A$2:$A$675,B53,Compta!$B$2:$B$675,"604",Compta!$C$2:$C$675,A53)+SUMIFS(Compta!$F$2:$F$675,Compta!$A$2:$A$675,B53,Compta!$B$2:$B$675,"6063",Compta!$C$2:$C$675,A53)</f>
        <v/>
      </c>
      <c r="Z53">
        <f>SUMIFS(Compta!$F$2:$F$675,Compta!$A$2:$A$675,B53,Compta!$B$2:$B$675,"6231",Compta!$C$2:$C$675,A53)</f>
        <v/>
      </c>
      <c r="AA53">
        <f>SUMIFS(Compta!$F$2:$F$675,Compta!$A$2:$A$675,B53,Compta!$B$2:$B$675,"6413",Compta!$C$2:$C$675,A53)+SUMIFS(Compta!$F$2:$F$675,Compta!$A$2:$A$675,B53,Compta!$B$2:$B$675,"645",Compta!$C$2:$C$675,A53)+SUMIFS(Compta!$F$2:$F$675,Compta!$A$2:$A$675,B53,Compta!$B$2:$B$675,"613",Compta!$C$2:$C$675,A53)+SUMIFS(Compta!$F$2:$F$675,Compta!$A$2:$A$675,B53,Compta!$B$2:$B$675,"615",Compta!$C$2:$C$675,A53)+SUMIFS(Compta!$F$2:$F$675,Compta!$A$2:$A$675,B53,Compta!$B$2:$B$675,"616",Compta!$C$2:$C$675,A53)+SUMIFS(Compta!$F$2:$F$675,Compta!$A$2:$A$675,B53,Compta!$B$2:$B$675,"625",Compta!$C$2:$C$675,A53)+SUMIFS(Compta!$F$2:$F$675,Compta!$A$2:$A$675,B53,Compta!$B$2:$B$675,"63511",Compta!$C$2:$C$675,A53)</f>
        <v/>
      </c>
      <c r="AB53">
        <f>SUMIFS(Compta!$F$2:$F$675,Compta!$A$2:$A$675,"GRP",Compta!$B$2:$B$675,"6414",Compta!$C$2:$C$675,A53)+SUMIFS(Compta!$F$2:$F$675,Compta!$A$2:$A$675,"GRP",Compta!$B$2:$B$675,"6226",Compta!$C$2:$C$675,A53)+SUMIFS(Compta!$F$2:$F$675,Compta!$A$2:$A$675,"GRP",Compta!$B$2:$B$675,"6236",Compta!$C$2:$C$675,A53)+SUMIFS(Compta!$F$2:$F$675,Compta!$A$2:$A$675,"GRP",Compta!$B$2:$B$675,"626",Compta!$C$2:$C$675,A53)+SUMIFS(Compta!$F$2:$F$675,Compta!$A$2:$A$675,"GRP",Compta!$B$2:$B$675,"6281",Compta!$C$2:$C$675,A53)+SUMIFS(Compta!$F$2:$F$675,Compta!$A$2:$A$675,"GRP",Compta!$B$2:$B$675,"6331",Compta!$C$2:$C$675,A53)+SUMIFS(Compta!$F$2:$F$675,Compta!$A$2:$A$675,"GRP",Compta!$B$2:$B$675,"6333",Compta!$C$2:$C$675,A53)</f>
        <v/>
      </c>
      <c r="AC53">
        <f>IF(Pilotage!$E$10="Chiffre d'affaires",I53,IF(Pilotage!$E$10="Effectif",G53,H53))</f>
        <v/>
      </c>
      <c r="AD53">
        <f>IF(Pilotage!$E$10="Chiffre d'affaires",N53,IF(Pilotage!$E$10="Effectif",L53,M53))</f>
        <v/>
      </c>
      <c r="AE53">
        <f>IF(Pilotage!$E$8="Chiffre d'affaires",N53,IF(Pilotage!$E$8="Effectif",L53,M53))</f>
        <v/>
      </c>
      <c r="AF53">
        <f>IF(Pilotage!$E$8="Chiffre d'affaires",S53,IF(Pilotage!$E$8="Effectif",Q53,R53))</f>
        <v/>
      </c>
      <c r="AG53">
        <f>IF(Pilotage!$E$9="Chiffre d'affaires",S53,IF(Pilotage!$E$9="Effectif",Q53,R53))</f>
        <v/>
      </c>
      <c r="AH53">
        <f>IF(Pilotage!$E$9="Chiffre d'affaires",V53,IF(Pilotage!$E$9="Effectif",T53,U53))</f>
        <v/>
      </c>
      <c r="AI53">
        <f>W53*IFERROR(K53/O53,0)</f>
        <v/>
      </c>
      <c r="AJ53">
        <f>X53*IFERROR(K53/O53,0)</f>
        <v/>
      </c>
      <c r="AK53">
        <f>Y53*IFERROR(G53/L53,0)+Z53*IFERROR(J53/P53,0)</f>
        <v/>
      </c>
      <c r="AL53">
        <f>AA53*IFERROR(AC53/AD53,0)</f>
        <v/>
      </c>
      <c r="AM53">
        <f>AB53*IFERROR(AG53/AH53,0)*IFERROR(AE53/AF53,0)*IFERROR(AC53/AD53,0)</f>
        <v/>
      </c>
      <c r="AN53">
        <f>I53-(AI53+AJ53+AK53+AL53+AM53)</f>
        <v/>
      </c>
    </row>
    <row r="54">
      <c r="A54">
        <f>Allocation!C54</f>
        <v/>
      </c>
      <c r="B54">
        <f>Allocation!D54</f>
        <v/>
      </c>
      <c r="C54">
        <f>Allocation!E54</f>
        <v/>
      </c>
      <c r="D54">
        <f>Allocation!F54</f>
        <v/>
      </c>
      <c r="E54">
        <f>Allocation!G54</f>
        <v/>
      </c>
      <c r="F54">
        <f>Allocation!H54</f>
        <v/>
      </c>
      <c r="G54">
        <f>Allocation!I54</f>
        <v/>
      </c>
      <c r="H54">
        <f>Allocation!J54</f>
        <v/>
      </c>
      <c r="I54">
        <f>Allocation!K54</f>
        <v/>
      </c>
      <c r="J54">
        <f>SUMIFS(Socle!$K$2:$K$175,Socle!$C$2:$C$175,B54,Socle!$D$2:$D$175,D54,Socle!$E$2:$E$175,E54,Socle!$F$2:$F$175,F54,Socle!$G$2:$G$175,A54)</f>
        <v/>
      </c>
      <c r="K54">
        <f>H54*IF(AND(LEFT(D54,3)="BAC",F54="INIT"),600,IF(LEFT(D54,3)="BAC",480,IF(AND(LEFT(D54,3)="MAS",F54="INIT"),520,IF(LEFT(D54,3)="MAS",420,IF(F54="INIT",1000,700)))))</f>
        <v/>
      </c>
      <c r="L54">
        <f>SUMIFS(Allocation!$I$2:$I$175,Allocation!$C$2:$C$175,A54,Allocation!$D$2:$D$175,B54)</f>
        <v/>
      </c>
      <c r="M54">
        <f>SUMIFS(Allocation!$J$2:$J$175,Allocation!$C$2:$C$175,A54,Allocation!$D$2:$D$175,B54)</f>
        <v/>
      </c>
      <c r="N54">
        <f>SUMIFS(Allocation!$K$2:$K$175,Allocation!$C$2:$C$175,A54,Allocation!$D$2:$D$175,B54)</f>
        <v/>
      </c>
      <c r="O54">
        <f>SUMIFS($K$2:$K$175,$A$2:$A$175,A54,$B$2:$B$175,B54)</f>
        <v/>
      </c>
      <c r="P54">
        <f>SUMIFS($J$2:$J$175,$A$2:$A$175,A54,$B$2:$B$175,B54)</f>
        <v/>
      </c>
      <c r="Q54">
        <f>SUMIFS(Allocation!$I$2:$I$175,Allocation!$C$2:$C$175,A54,Allocation!$E$2:$E$175,C54)</f>
        <v/>
      </c>
      <c r="R54">
        <f>SUMIFS(Allocation!$J$2:$J$175,Allocation!$C$2:$C$175,A54,Allocation!$E$2:$E$175,C54)</f>
        <v/>
      </c>
      <c r="S54">
        <f>SUMIFS(Allocation!$K$2:$K$175,Allocation!$C$2:$C$175,A54,Allocation!$E$2:$E$175,C54)</f>
        <v/>
      </c>
      <c r="T54">
        <f>SUMIFS(Allocation!$I$2:$I$175,Allocation!$C$2:$C$175,A54)</f>
        <v/>
      </c>
      <c r="U54">
        <f>SUMIFS(Allocation!$J$2:$J$175,Allocation!$C$2:$C$175,A54)</f>
        <v/>
      </c>
      <c r="V54">
        <f>SUMIFS(Allocation!$K$2:$K$175,Allocation!$C$2:$C$175,A54)</f>
        <v/>
      </c>
      <c r="W54">
        <f>SUMIFS(Compta!$F$2:$F$675,Compta!$A$2:$A$675,B54,Compta!$B$2:$B$675,"621",Compta!$C$2:$C$675,A54)</f>
        <v/>
      </c>
      <c r="X54">
        <f>SUMIFS(Compta!$F$2:$F$675,Compta!$A$2:$A$675,B54,Compta!$B$2:$B$675,"6411",Compta!$C$2:$C$675,A54)</f>
        <v/>
      </c>
      <c r="Y54">
        <f>SUMIFS(Compta!$F$2:$F$675,Compta!$A$2:$A$675,B54,Compta!$B$2:$B$675,"604",Compta!$C$2:$C$675,A54)+SUMIFS(Compta!$F$2:$F$675,Compta!$A$2:$A$675,B54,Compta!$B$2:$B$675,"6063",Compta!$C$2:$C$675,A54)</f>
        <v/>
      </c>
      <c r="Z54">
        <f>SUMIFS(Compta!$F$2:$F$675,Compta!$A$2:$A$675,B54,Compta!$B$2:$B$675,"6231",Compta!$C$2:$C$675,A54)</f>
        <v/>
      </c>
      <c r="AA54">
        <f>SUMIFS(Compta!$F$2:$F$675,Compta!$A$2:$A$675,B54,Compta!$B$2:$B$675,"6413",Compta!$C$2:$C$675,A54)+SUMIFS(Compta!$F$2:$F$675,Compta!$A$2:$A$675,B54,Compta!$B$2:$B$675,"645",Compta!$C$2:$C$675,A54)+SUMIFS(Compta!$F$2:$F$675,Compta!$A$2:$A$675,B54,Compta!$B$2:$B$675,"613",Compta!$C$2:$C$675,A54)+SUMIFS(Compta!$F$2:$F$675,Compta!$A$2:$A$675,B54,Compta!$B$2:$B$675,"615",Compta!$C$2:$C$675,A54)+SUMIFS(Compta!$F$2:$F$675,Compta!$A$2:$A$675,B54,Compta!$B$2:$B$675,"616",Compta!$C$2:$C$675,A54)+SUMIFS(Compta!$F$2:$F$675,Compta!$A$2:$A$675,B54,Compta!$B$2:$B$675,"625",Compta!$C$2:$C$675,A54)+SUMIFS(Compta!$F$2:$F$675,Compta!$A$2:$A$675,B54,Compta!$B$2:$B$675,"63511",Compta!$C$2:$C$675,A54)</f>
        <v/>
      </c>
      <c r="AB54">
        <f>SUMIFS(Compta!$F$2:$F$675,Compta!$A$2:$A$675,"GRP",Compta!$B$2:$B$675,"6414",Compta!$C$2:$C$675,A54)+SUMIFS(Compta!$F$2:$F$675,Compta!$A$2:$A$675,"GRP",Compta!$B$2:$B$675,"6226",Compta!$C$2:$C$675,A54)+SUMIFS(Compta!$F$2:$F$675,Compta!$A$2:$A$675,"GRP",Compta!$B$2:$B$675,"6236",Compta!$C$2:$C$675,A54)+SUMIFS(Compta!$F$2:$F$675,Compta!$A$2:$A$675,"GRP",Compta!$B$2:$B$675,"626",Compta!$C$2:$C$675,A54)+SUMIFS(Compta!$F$2:$F$675,Compta!$A$2:$A$675,"GRP",Compta!$B$2:$B$675,"6281",Compta!$C$2:$C$675,A54)+SUMIFS(Compta!$F$2:$F$675,Compta!$A$2:$A$675,"GRP",Compta!$B$2:$B$675,"6331",Compta!$C$2:$C$675,A54)+SUMIFS(Compta!$F$2:$F$675,Compta!$A$2:$A$675,"GRP",Compta!$B$2:$B$675,"6333",Compta!$C$2:$C$675,A54)</f>
        <v/>
      </c>
      <c r="AC54">
        <f>IF(Pilotage!$E$10="Chiffre d'affaires",I54,IF(Pilotage!$E$10="Effectif",G54,H54))</f>
        <v/>
      </c>
      <c r="AD54">
        <f>IF(Pilotage!$E$10="Chiffre d'affaires",N54,IF(Pilotage!$E$10="Effectif",L54,M54))</f>
        <v/>
      </c>
      <c r="AE54">
        <f>IF(Pilotage!$E$8="Chiffre d'affaires",N54,IF(Pilotage!$E$8="Effectif",L54,M54))</f>
        <v/>
      </c>
      <c r="AF54">
        <f>IF(Pilotage!$E$8="Chiffre d'affaires",S54,IF(Pilotage!$E$8="Effectif",Q54,R54))</f>
        <v/>
      </c>
      <c r="AG54">
        <f>IF(Pilotage!$E$9="Chiffre d'affaires",S54,IF(Pilotage!$E$9="Effectif",Q54,R54))</f>
        <v/>
      </c>
      <c r="AH54">
        <f>IF(Pilotage!$E$9="Chiffre d'affaires",V54,IF(Pilotage!$E$9="Effectif",T54,U54))</f>
        <v/>
      </c>
      <c r="AI54">
        <f>W54*IFERROR(K54/O54,0)</f>
        <v/>
      </c>
      <c r="AJ54">
        <f>X54*IFERROR(K54/O54,0)</f>
        <v/>
      </c>
      <c r="AK54">
        <f>Y54*IFERROR(G54/L54,0)+Z54*IFERROR(J54/P54,0)</f>
        <v/>
      </c>
      <c r="AL54">
        <f>AA54*IFERROR(AC54/AD54,0)</f>
        <v/>
      </c>
      <c r="AM54">
        <f>AB54*IFERROR(AG54/AH54,0)*IFERROR(AE54/AF54,0)*IFERROR(AC54/AD54,0)</f>
        <v/>
      </c>
      <c r="AN54">
        <f>I54-(AI54+AJ54+AK54+AL54+AM54)</f>
        <v/>
      </c>
    </row>
    <row r="55">
      <c r="A55">
        <f>Allocation!C55</f>
        <v/>
      </c>
      <c r="B55">
        <f>Allocation!D55</f>
        <v/>
      </c>
      <c r="C55">
        <f>Allocation!E55</f>
        <v/>
      </c>
      <c r="D55">
        <f>Allocation!F55</f>
        <v/>
      </c>
      <c r="E55">
        <f>Allocation!G55</f>
        <v/>
      </c>
      <c r="F55">
        <f>Allocation!H55</f>
        <v/>
      </c>
      <c r="G55">
        <f>Allocation!I55</f>
        <v/>
      </c>
      <c r="H55">
        <f>Allocation!J55</f>
        <v/>
      </c>
      <c r="I55">
        <f>Allocation!K55</f>
        <v/>
      </c>
      <c r="J55">
        <f>SUMIFS(Socle!$K$2:$K$175,Socle!$C$2:$C$175,B55,Socle!$D$2:$D$175,D55,Socle!$E$2:$E$175,E55,Socle!$F$2:$F$175,F55,Socle!$G$2:$G$175,A55)</f>
        <v/>
      </c>
      <c r="K55">
        <f>H55*IF(AND(LEFT(D55,3)="BAC",F55="INIT"),600,IF(LEFT(D55,3)="BAC",480,IF(AND(LEFT(D55,3)="MAS",F55="INIT"),520,IF(LEFT(D55,3)="MAS",420,IF(F55="INIT",1000,700)))))</f>
        <v/>
      </c>
      <c r="L55">
        <f>SUMIFS(Allocation!$I$2:$I$175,Allocation!$C$2:$C$175,A55,Allocation!$D$2:$D$175,B55)</f>
        <v/>
      </c>
      <c r="M55">
        <f>SUMIFS(Allocation!$J$2:$J$175,Allocation!$C$2:$C$175,A55,Allocation!$D$2:$D$175,B55)</f>
        <v/>
      </c>
      <c r="N55">
        <f>SUMIFS(Allocation!$K$2:$K$175,Allocation!$C$2:$C$175,A55,Allocation!$D$2:$D$175,B55)</f>
        <v/>
      </c>
      <c r="O55">
        <f>SUMIFS($K$2:$K$175,$A$2:$A$175,A55,$B$2:$B$175,B55)</f>
        <v/>
      </c>
      <c r="P55">
        <f>SUMIFS($J$2:$J$175,$A$2:$A$175,A55,$B$2:$B$175,B55)</f>
        <v/>
      </c>
      <c r="Q55">
        <f>SUMIFS(Allocation!$I$2:$I$175,Allocation!$C$2:$C$175,A55,Allocation!$E$2:$E$175,C55)</f>
        <v/>
      </c>
      <c r="R55">
        <f>SUMIFS(Allocation!$J$2:$J$175,Allocation!$C$2:$C$175,A55,Allocation!$E$2:$E$175,C55)</f>
        <v/>
      </c>
      <c r="S55">
        <f>SUMIFS(Allocation!$K$2:$K$175,Allocation!$C$2:$C$175,A55,Allocation!$E$2:$E$175,C55)</f>
        <v/>
      </c>
      <c r="T55">
        <f>SUMIFS(Allocation!$I$2:$I$175,Allocation!$C$2:$C$175,A55)</f>
        <v/>
      </c>
      <c r="U55">
        <f>SUMIFS(Allocation!$J$2:$J$175,Allocation!$C$2:$C$175,A55)</f>
        <v/>
      </c>
      <c r="V55">
        <f>SUMIFS(Allocation!$K$2:$K$175,Allocation!$C$2:$C$175,A55)</f>
        <v/>
      </c>
      <c r="W55">
        <f>SUMIFS(Compta!$F$2:$F$675,Compta!$A$2:$A$675,B55,Compta!$B$2:$B$675,"621",Compta!$C$2:$C$675,A55)</f>
        <v/>
      </c>
      <c r="X55">
        <f>SUMIFS(Compta!$F$2:$F$675,Compta!$A$2:$A$675,B55,Compta!$B$2:$B$675,"6411",Compta!$C$2:$C$675,A55)</f>
        <v/>
      </c>
      <c r="Y55">
        <f>SUMIFS(Compta!$F$2:$F$675,Compta!$A$2:$A$675,B55,Compta!$B$2:$B$675,"604",Compta!$C$2:$C$675,A55)+SUMIFS(Compta!$F$2:$F$675,Compta!$A$2:$A$675,B55,Compta!$B$2:$B$675,"6063",Compta!$C$2:$C$675,A55)</f>
        <v/>
      </c>
      <c r="Z55">
        <f>SUMIFS(Compta!$F$2:$F$675,Compta!$A$2:$A$675,B55,Compta!$B$2:$B$675,"6231",Compta!$C$2:$C$675,A55)</f>
        <v/>
      </c>
      <c r="AA55">
        <f>SUMIFS(Compta!$F$2:$F$675,Compta!$A$2:$A$675,B55,Compta!$B$2:$B$675,"6413",Compta!$C$2:$C$675,A55)+SUMIFS(Compta!$F$2:$F$675,Compta!$A$2:$A$675,B55,Compta!$B$2:$B$675,"645",Compta!$C$2:$C$675,A55)+SUMIFS(Compta!$F$2:$F$675,Compta!$A$2:$A$675,B55,Compta!$B$2:$B$675,"613",Compta!$C$2:$C$675,A55)+SUMIFS(Compta!$F$2:$F$675,Compta!$A$2:$A$675,B55,Compta!$B$2:$B$675,"615",Compta!$C$2:$C$675,A55)+SUMIFS(Compta!$F$2:$F$675,Compta!$A$2:$A$675,B55,Compta!$B$2:$B$675,"616",Compta!$C$2:$C$675,A55)+SUMIFS(Compta!$F$2:$F$675,Compta!$A$2:$A$675,B55,Compta!$B$2:$B$675,"625",Compta!$C$2:$C$675,A55)+SUMIFS(Compta!$F$2:$F$675,Compta!$A$2:$A$675,B55,Compta!$B$2:$B$675,"63511",Compta!$C$2:$C$675,A55)</f>
        <v/>
      </c>
      <c r="AB55">
        <f>SUMIFS(Compta!$F$2:$F$675,Compta!$A$2:$A$675,"GRP",Compta!$B$2:$B$675,"6414",Compta!$C$2:$C$675,A55)+SUMIFS(Compta!$F$2:$F$675,Compta!$A$2:$A$675,"GRP",Compta!$B$2:$B$675,"6226",Compta!$C$2:$C$675,A55)+SUMIFS(Compta!$F$2:$F$675,Compta!$A$2:$A$675,"GRP",Compta!$B$2:$B$675,"6236",Compta!$C$2:$C$675,A55)+SUMIFS(Compta!$F$2:$F$675,Compta!$A$2:$A$675,"GRP",Compta!$B$2:$B$675,"626",Compta!$C$2:$C$675,A55)+SUMIFS(Compta!$F$2:$F$675,Compta!$A$2:$A$675,"GRP",Compta!$B$2:$B$675,"6281",Compta!$C$2:$C$675,A55)+SUMIFS(Compta!$F$2:$F$675,Compta!$A$2:$A$675,"GRP",Compta!$B$2:$B$675,"6331",Compta!$C$2:$C$675,A55)+SUMIFS(Compta!$F$2:$F$675,Compta!$A$2:$A$675,"GRP",Compta!$B$2:$B$675,"6333",Compta!$C$2:$C$675,A55)</f>
        <v/>
      </c>
      <c r="AC55">
        <f>IF(Pilotage!$E$10="Chiffre d'affaires",I55,IF(Pilotage!$E$10="Effectif",G55,H55))</f>
        <v/>
      </c>
      <c r="AD55">
        <f>IF(Pilotage!$E$10="Chiffre d'affaires",N55,IF(Pilotage!$E$10="Effectif",L55,M55))</f>
        <v/>
      </c>
      <c r="AE55">
        <f>IF(Pilotage!$E$8="Chiffre d'affaires",N55,IF(Pilotage!$E$8="Effectif",L55,M55))</f>
        <v/>
      </c>
      <c r="AF55">
        <f>IF(Pilotage!$E$8="Chiffre d'affaires",S55,IF(Pilotage!$E$8="Effectif",Q55,R55))</f>
        <v/>
      </c>
      <c r="AG55">
        <f>IF(Pilotage!$E$9="Chiffre d'affaires",S55,IF(Pilotage!$E$9="Effectif",Q55,R55))</f>
        <v/>
      </c>
      <c r="AH55">
        <f>IF(Pilotage!$E$9="Chiffre d'affaires",V55,IF(Pilotage!$E$9="Effectif",T55,U55))</f>
        <v/>
      </c>
      <c r="AI55">
        <f>W55*IFERROR(K55/O55,0)</f>
        <v/>
      </c>
      <c r="AJ55">
        <f>X55*IFERROR(K55/O55,0)</f>
        <v/>
      </c>
      <c r="AK55">
        <f>Y55*IFERROR(G55/L55,0)+Z55*IFERROR(J55/P55,0)</f>
        <v/>
      </c>
      <c r="AL55">
        <f>AA55*IFERROR(AC55/AD55,0)</f>
        <v/>
      </c>
      <c r="AM55">
        <f>AB55*IFERROR(AG55/AH55,0)*IFERROR(AE55/AF55,0)*IFERROR(AC55/AD55,0)</f>
        <v/>
      </c>
      <c r="AN55">
        <f>I55-(AI55+AJ55+AK55+AL55+AM55)</f>
        <v/>
      </c>
    </row>
    <row r="56">
      <c r="A56">
        <f>Allocation!C56</f>
        <v/>
      </c>
      <c r="B56">
        <f>Allocation!D56</f>
        <v/>
      </c>
      <c r="C56">
        <f>Allocation!E56</f>
        <v/>
      </c>
      <c r="D56">
        <f>Allocation!F56</f>
        <v/>
      </c>
      <c r="E56">
        <f>Allocation!G56</f>
        <v/>
      </c>
      <c r="F56">
        <f>Allocation!H56</f>
        <v/>
      </c>
      <c r="G56">
        <f>Allocation!I56</f>
        <v/>
      </c>
      <c r="H56">
        <f>Allocation!J56</f>
        <v/>
      </c>
      <c r="I56">
        <f>Allocation!K56</f>
        <v/>
      </c>
      <c r="J56">
        <f>SUMIFS(Socle!$K$2:$K$175,Socle!$C$2:$C$175,B56,Socle!$D$2:$D$175,D56,Socle!$E$2:$E$175,E56,Socle!$F$2:$F$175,F56,Socle!$G$2:$G$175,A56)</f>
        <v/>
      </c>
      <c r="K56">
        <f>H56*IF(AND(LEFT(D56,3)="BAC",F56="INIT"),600,IF(LEFT(D56,3)="BAC",480,IF(AND(LEFT(D56,3)="MAS",F56="INIT"),520,IF(LEFT(D56,3)="MAS",420,IF(F56="INIT",1000,700)))))</f>
        <v/>
      </c>
      <c r="L56">
        <f>SUMIFS(Allocation!$I$2:$I$175,Allocation!$C$2:$C$175,A56,Allocation!$D$2:$D$175,B56)</f>
        <v/>
      </c>
      <c r="M56">
        <f>SUMIFS(Allocation!$J$2:$J$175,Allocation!$C$2:$C$175,A56,Allocation!$D$2:$D$175,B56)</f>
        <v/>
      </c>
      <c r="N56">
        <f>SUMIFS(Allocation!$K$2:$K$175,Allocation!$C$2:$C$175,A56,Allocation!$D$2:$D$175,B56)</f>
        <v/>
      </c>
      <c r="O56">
        <f>SUMIFS($K$2:$K$175,$A$2:$A$175,A56,$B$2:$B$175,B56)</f>
        <v/>
      </c>
      <c r="P56">
        <f>SUMIFS($J$2:$J$175,$A$2:$A$175,A56,$B$2:$B$175,B56)</f>
        <v/>
      </c>
      <c r="Q56">
        <f>SUMIFS(Allocation!$I$2:$I$175,Allocation!$C$2:$C$175,A56,Allocation!$E$2:$E$175,C56)</f>
        <v/>
      </c>
      <c r="R56">
        <f>SUMIFS(Allocation!$J$2:$J$175,Allocation!$C$2:$C$175,A56,Allocation!$E$2:$E$175,C56)</f>
        <v/>
      </c>
      <c r="S56">
        <f>SUMIFS(Allocation!$K$2:$K$175,Allocation!$C$2:$C$175,A56,Allocation!$E$2:$E$175,C56)</f>
        <v/>
      </c>
      <c r="T56">
        <f>SUMIFS(Allocation!$I$2:$I$175,Allocation!$C$2:$C$175,A56)</f>
        <v/>
      </c>
      <c r="U56">
        <f>SUMIFS(Allocation!$J$2:$J$175,Allocation!$C$2:$C$175,A56)</f>
        <v/>
      </c>
      <c r="V56">
        <f>SUMIFS(Allocation!$K$2:$K$175,Allocation!$C$2:$C$175,A56)</f>
        <v/>
      </c>
      <c r="W56">
        <f>SUMIFS(Compta!$F$2:$F$675,Compta!$A$2:$A$675,B56,Compta!$B$2:$B$675,"621",Compta!$C$2:$C$675,A56)</f>
        <v/>
      </c>
      <c r="X56">
        <f>SUMIFS(Compta!$F$2:$F$675,Compta!$A$2:$A$675,B56,Compta!$B$2:$B$675,"6411",Compta!$C$2:$C$675,A56)</f>
        <v/>
      </c>
      <c r="Y56">
        <f>SUMIFS(Compta!$F$2:$F$675,Compta!$A$2:$A$675,B56,Compta!$B$2:$B$675,"604",Compta!$C$2:$C$675,A56)+SUMIFS(Compta!$F$2:$F$675,Compta!$A$2:$A$675,B56,Compta!$B$2:$B$675,"6063",Compta!$C$2:$C$675,A56)</f>
        <v/>
      </c>
      <c r="Z56">
        <f>SUMIFS(Compta!$F$2:$F$675,Compta!$A$2:$A$675,B56,Compta!$B$2:$B$675,"6231",Compta!$C$2:$C$675,A56)</f>
        <v/>
      </c>
      <c r="AA56">
        <f>SUMIFS(Compta!$F$2:$F$675,Compta!$A$2:$A$675,B56,Compta!$B$2:$B$675,"6413",Compta!$C$2:$C$675,A56)+SUMIFS(Compta!$F$2:$F$675,Compta!$A$2:$A$675,B56,Compta!$B$2:$B$675,"645",Compta!$C$2:$C$675,A56)+SUMIFS(Compta!$F$2:$F$675,Compta!$A$2:$A$675,B56,Compta!$B$2:$B$675,"613",Compta!$C$2:$C$675,A56)+SUMIFS(Compta!$F$2:$F$675,Compta!$A$2:$A$675,B56,Compta!$B$2:$B$675,"615",Compta!$C$2:$C$675,A56)+SUMIFS(Compta!$F$2:$F$675,Compta!$A$2:$A$675,B56,Compta!$B$2:$B$675,"616",Compta!$C$2:$C$675,A56)+SUMIFS(Compta!$F$2:$F$675,Compta!$A$2:$A$675,B56,Compta!$B$2:$B$675,"625",Compta!$C$2:$C$675,A56)+SUMIFS(Compta!$F$2:$F$675,Compta!$A$2:$A$675,B56,Compta!$B$2:$B$675,"63511",Compta!$C$2:$C$675,A56)</f>
        <v/>
      </c>
      <c r="AB56">
        <f>SUMIFS(Compta!$F$2:$F$675,Compta!$A$2:$A$675,"GRP",Compta!$B$2:$B$675,"6414",Compta!$C$2:$C$675,A56)+SUMIFS(Compta!$F$2:$F$675,Compta!$A$2:$A$675,"GRP",Compta!$B$2:$B$675,"6226",Compta!$C$2:$C$675,A56)+SUMIFS(Compta!$F$2:$F$675,Compta!$A$2:$A$675,"GRP",Compta!$B$2:$B$675,"6236",Compta!$C$2:$C$675,A56)+SUMIFS(Compta!$F$2:$F$675,Compta!$A$2:$A$675,"GRP",Compta!$B$2:$B$675,"626",Compta!$C$2:$C$675,A56)+SUMIFS(Compta!$F$2:$F$675,Compta!$A$2:$A$675,"GRP",Compta!$B$2:$B$675,"6281",Compta!$C$2:$C$675,A56)+SUMIFS(Compta!$F$2:$F$675,Compta!$A$2:$A$675,"GRP",Compta!$B$2:$B$675,"6331",Compta!$C$2:$C$675,A56)+SUMIFS(Compta!$F$2:$F$675,Compta!$A$2:$A$675,"GRP",Compta!$B$2:$B$675,"6333",Compta!$C$2:$C$675,A56)</f>
        <v/>
      </c>
      <c r="AC56">
        <f>IF(Pilotage!$E$10="Chiffre d'affaires",I56,IF(Pilotage!$E$10="Effectif",G56,H56))</f>
        <v/>
      </c>
      <c r="AD56">
        <f>IF(Pilotage!$E$10="Chiffre d'affaires",N56,IF(Pilotage!$E$10="Effectif",L56,M56))</f>
        <v/>
      </c>
      <c r="AE56">
        <f>IF(Pilotage!$E$8="Chiffre d'affaires",N56,IF(Pilotage!$E$8="Effectif",L56,M56))</f>
        <v/>
      </c>
      <c r="AF56">
        <f>IF(Pilotage!$E$8="Chiffre d'affaires",S56,IF(Pilotage!$E$8="Effectif",Q56,R56))</f>
        <v/>
      </c>
      <c r="AG56">
        <f>IF(Pilotage!$E$9="Chiffre d'affaires",S56,IF(Pilotage!$E$9="Effectif",Q56,R56))</f>
        <v/>
      </c>
      <c r="AH56">
        <f>IF(Pilotage!$E$9="Chiffre d'affaires",V56,IF(Pilotage!$E$9="Effectif",T56,U56))</f>
        <v/>
      </c>
      <c r="AI56">
        <f>W56*IFERROR(K56/O56,0)</f>
        <v/>
      </c>
      <c r="AJ56">
        <f>X56*IFERROR(K56/O56,0)</f>
        <v/>
      </c>
      <c r="AK56">
        <f>Y56*IFERROR(G56/L56,0)+Z56*IFERROR(J56/P56,0)</f>
        <v/>
      </c>
      <c r="AL56">
        <f>AA56*IFERROR(AC56/AD56,0)</f>
        <v/>
      </c>
      <c r="AM56">
        <f>AB56*IFERROR(AG56/AH56,0)*IFERROR(AE56/AF56,0)*IFERROR(AC56/AD56,0)</f>
        <v/>
      </c>
      <c r="AN56">
        <f>I56-(AI56+AJ56+AK56+AL56+AM56)</f>
        <v/>
      </c>
    </row>
    <row r="57">
      <c r="A57">
        <f>Allocation!C57</f>
        <v/>
      </c>
      <c r="B57">
        <f>Allocation!D57</f>
        <v/>
      </c>
      <c r="C57">
        <f>Allocation!E57</f>
        <v/>
      </c>
      <c r="D57">
        <f>Allocation!F57</f>
        <v/>
      </c>
      <c r="E57">
        <f>Allocation!G57</f>
        <v/>
      </c>
      <c r="F57">
        <f>Allocation!H57</f>
        <v/>
      </c>
      <c r="G57">
        <f>Allocation!I57</f>
        <v/>
      </c>
      <c r="H57">
        <f>Allocation!J57</f>
        <v/>
      </c>
      <c r="I57">
        <f>Allocation!K57</f>
        <v/>
      </c>
      <c r="J57">
        <f>SUMIFS(Socle!$K$2:$K$175,Socle!$C$2:$C$175,B57,Socle!$D$2:$D$175,D57,Socle!$E$2:$E$175,E57,Socle!$F$2:$F$175,F57,Socle!$G$2:$G$175,A57)</f>
        <v/>
      </c>
      <c r="K57">
        <f>H57*IF(AND(LEFT(D57,3)="BAC",F57="INIT"),600,IF(LEFT(D57,3)="BAC",480,IF(AND(LEFT(D57,3)="MAS",F57="INIT"),520,IF(LEFT(D57,3)="MAS",420,IF(F57="INIT",1000,700)))))</f>
        <v/>
      </c>
      <c r="L57">
        <f>SUMIFS(Allocation!$I$2:$I$175,Allocation!$C$2:$C$175,A57,Allocation!$D$2:$D$175,B57)</f>
        <v/>
      </c>
      <c r="M57">
        <f>SUMIFS(Allocation!$J$2:$J$175,Allocation!$C$2:$C$175,A57,Allocation!$D$2:$D$175,B57)</f>
        <v/>
      </c>
      <c r="N57">
        <f>SUMIFS(Allocation!$K$2:$K$175,Allocation!$C$2:$C$175,A57,Allocation!$D$2:$D$175,B57)</f>
        <v/>
      </c>
      <c r="O57">
        <f>SUMIFS($K$2:$K$175,$A$2:$A$175,A57,$B$2:$B$175,B57)</f>
        <v/>
      </c>
      <c r="P57">
        <f>SUMIFS($J$2:$J$175,$A$2:$A$175,A57,$B$2:$B$175,B57)</f>
        <v/>
      </c>
      <c r="Q57">
        <f>SUMIFS(Allocation!$I$2:$I$175,Allocation!$C$2:$C$175,A57,Allocation!$E$2:$E$175,C57)</f>
        <v/>
      </c>
      <c r="R57">
        <f>SUMIFS(Allocation!$J$2:$J$175,Allocation!$C$2:$C$175,A57,Allocation!$E$2:$E$175,C57)</f>
        <v/>
      </c>
      <c r="S57">
        <f>SUMIFS(Allocation!$K$2:$K$175,Allocation!$C$2:$C$175,A57,Allocation!$E$2:$E$175,C57)</f>
        <v/>
      </c>
      <c r="T57">
        <f>SUMIFS(Allocation!$I$2:$I$175,Allocation!$C$2:$C$175,A57)</f>
        <v/>
      </c>
      <c r="U57">
        <f>SUMIFS(Allocation!$J$2:$J$175,Allocation!$C$2:$C$175,A57)</f>
        <v/>
      </c>
      <c r="V57">
        <f>SUMIFS(Allocation!$K$2:$K$175,Allocation!$C$2:$C$175,A57)</f>
        <v/>
      </c>
      <c r="W57">
        <f>SUMIFS(Compta!$F$2:$F$675,Compta!$A$2:$A$675,B57,Compta!$B$2:$B$675,"621",Compta!$C$2:$C$675,A57)</f>
        <v/>
      </c>
      <c r="X57">
        <f>SUMIFS(Compta!$F$2:$F$675,Compta!$A$2:$A$675,B57,Compta!$B$2:$B$675,"6411",Compta!$C$2:$C$675,A57)</f>
        <v/>
      </c>
      <c r="Y57">
        <f>SUMIFS(Compta!$F$2:$F$675,Compta!$A$2:$A$675,B57,Compta!$B$2:$B$675,"604",Compta!$C$2:$C$675,A57)+SUMIFS(Compta!$F$2:$F$675,Compta!$A$2:$A$675,B57,Compta!$B$2:$B$675,"6063",Compta!$C$2:$C$675,A57)</f>
        <v/>
      </c>
      <c r="Z57">
        <f>SUMIFS(Compta!$F$2:$F$675,Compta!$A$2:$A$675,B57,Compta!$B$2:$B$675,"6231",Compta!$C$2:$C$675,A57)</f>
        <v/>
      </c>
      <c r="AA57">
        <f>SUMIFS(Compta!$F$2:$F$675,Compta!$A$2:$A$675,B57,Compta!$B$2:$B$675,"6413",Compta!$C$2:$C$675,A57)+SUMIFS(Compta!$F$2:$F$675,Compta!$A$2:$A$675,B57,Compta!$B$2:$B$675,"645",Compta!$C$2:$C$675,A57)+SUMIFS(Compta!$F$2:$F$675,Compta!$A$2:$A$675,B57,Compta!$B$2:$B$675,"613",Compta!$C$2:$C$675,A57)+SUMIFS(Compta!$F$2:$F$675,Compta!$A$2:$A$675,B57,Compta!$B$2:$B$675,"615",Compta!$C$2:$C$675,A57)+SUMIFS(Compta!$F$2:$F$675,Compta!$A$2:$A$675,B57,Compta!$B$2:$B$675,"616",Compta!$C$2:$C$675,A57)+SUMIFS(Compta!$F$2:$F$675,Compta!$A$2:$A$675,B57,Compta!$B$2:$B$675,"625",Compta!$C$2:$C$675,A57)+SUMIFS(Compta!$F$2:$F$675,Compta!$A$2:$A$675,B57,Compta!$B$2:$B$675,"63511",Compta!$C$2:$C$675,A57)</f>
        <v/>
      </c>
      <c r="AB57">
        <f>SUMIFS(Compta!$F$2:$F$675,Compta!$A$2:$A$675,"GRP",Compta!$B$2:$B$675,"6414",Compta!$C$2:$C$675,A57)+SUMIFS(Compta!$F$2:$F$675,Compta!$A$2:$A$675,"GRP",Compta!$B$2:$B$675,"6226",Compta!$C$2:$C$675,A57)+SUMIFS(Compta!$F$2:$F$675,Compta!$A$2:$A$675,"GRP",Compta!$B$2:$B$675,"6236",Compta!$C$2:$C$675,A57)+SUMIFS(Compta!$F$2:$F$675,Compta!$A$2:$A$675,"GRP",Compta!$B$2:$B$675,"626",Compta!$C$2:$C$675,A57)+SUMIFS(Compta!$F$2:$F$675,Compta!$A$2:$A$675,"GRP",Compta!$B$2:$B$675,"6281",Compta!$C$2:$C$675,A57)+SUMIFS(Compta!$F$2:$F$675,Compta!$A$2:$A$675,"GRP",Compta!$B$2:$B$675,"6331",Compta!$C$2:$C$675,A57)+SUMIFS(Compta!$F$2:$F$675,Compta!$A$2:$A$675,"GRP",Compta!$B$2:$B$675,"6333",Compta!$C$2:$C$675,A57)</f>
        <v/>
      </c>
      <c r="AC57">
        <f>IF(Pilotage!$E$10="Chiffre d'affaires",I57,IF(Pilotage!$E$10="Effectif",G57,H57))</f>
        <v/>
      </c>
      <c r="AD57">
        <f>IF(Pilotage!$E$10="Chiffre d'affaires",N57,IF(Pilotage!$E$10="Effectif",L57,M57))</f>
        <v/>
      </c>
      <c r="AE57">
        <f>IF(Pilotage!$E$8="Chiffre d'affaires",N57,IF(Pilotage!$E$8="Effectif",L57,M57))</f>
        <v/>
      </c>
      <c r="AF57">
        <f>IF(Pilotage!$E$8="Chiffre d'affaires",S57,IF(Pilotage!$E$8="Effectif",Q57,R57))</f>
        <v/>
      </c>
      <c r="AG57">
        <f>IF(Pilotage!$E$9="Chiffre d'affaires",S57,IF(Pilotage!$E$9="Effectif",Q57,R57))</f>
        <v/>
      </c>
      <c r="AH57">
        <f>IF(Pilotage!$E$9="Chiffre d'affaires",V57,IF(Pilotage!$E$9="Effectif",T57,U57))</f>
        <v/>
      </c>
      <c r="AI57">
        <f>W57*IFERROR(K57/O57,0)</f>
        <v/>
      </c>
      <c r="AJ57">
        <f>X57*IFERROR(K57/O57,0)</f>
        <v/>
      </c>
      <c r="AK57">
        <f>Y57*IFERROR(G57/L57,0)+Z57*IFERROR(J57/P57,0)</f>
        <v/>
      </c>
      <c r="AL57">
        <f>AA57*IFERROR(AC57/AD57,0)</f>
        <v/>
      </c>
      <c r="AM57">
        <f>AB57*IFERROR(AG57/AH57,0)*IFERROR(AE57/AF57,0)*IFERROR(AC57/AD57,0)</f>
        <v/>
      </c>
      <c r="AN57">
        <f>I57-(AI57+AJ57+AK57+AL57+AM57)</f>
        <v/>
      </c>
    </row>
    <row r="58">
      <c r="A58">
        <f>Allocation!C58</f>
        <v/>
      </c>
      <c r="B58">
        <f>Allocation!D58</f>
        <v/>
      </c>
      <c r="C58">
        <f>Allocation!E58</f>
        <v/>
      </c>
      <c r="D58">
        <f>Allocation!F58</f>
        <v/>
      </c>
      <c r="E58">
        <f>Allocation!G58</f>
        <v/>
      </c>
      <c r="F58">
        <f>Allocation!H58</f>
        <v/>
      </c>
      <c r="G58">
        <f>Allocation!I58</f>
        <v/>
      </c>
      <c r="H58">
        <f>Allocation!J58</f>
        <v/>
      </c>
      <c r="I58">
        <f>Allocation!K58</f>
        <v/>
      </c>
      <c r="J58">
        <f>SUMIFS(Socle!$K$2:$K$175,Socle!$C$2:$C$175,B58,Socle!$D$2:$D$175,D58,Socle!$E$2:$E$175,E58,Socle!$F$2:$F$175,F58,Socle!$G$2:$G$175,A58)</f>
        <v/>
      </c>
      <c r="K58">
        <f>H58*IF(AND(LEFT(D58,3)="BAC",F58="INIT"),600,IF(LEFT(D58,3)="BAC",480,IF(AND(LEFT(D58,3)="MAS",F58="INIT"),520,IF(LEFT(D58,3)="MAS",420,IF(F58="INIT",1000,700)))))</f>
        <v/>
      </c>
      <c r="L58">
        <f>SUMIFS(Allocation!$I$2:$I$175,Allocation!$C$2:$C$175,A58,Allocation!$D$2:$D$175,B58)</f>
        <v/>
      </c>
      <c r="M58">
        <f>SUMIFS(Allocation!$J$2:$J$175,Allocation!$C$2:$C$175,A58,Allocation!$D$2:$D$175,B58)</f>
        <v/>
      </c>
      <c r="N58">
        <f>SUMIFS(Allocation!$K$2:$K$175,Allocation!$C$2:$C$175,A58,Allocation!$D$2:$D$175,B58)</f>
        <v/>
      </c>
      <c r="O58">
        <f>SUMIFS($K$2:$K$175,$A$2:$A$175,A58,$B$2:$B$175,B58)</f>
        <v/>
      </c>
      <c r="P58">
        <f>SUMIFS($J$2:$J$175,$A$2:$A$175,A58,$B$2:$B$175,B58)</f>
        <v/>
      </c>
      <c r="Q58">
        <f>SUMIFS(Allocation!$I$2:$I$175,Allocation!$C$2:$C$175,A58,Allocation!$E$2:$E$175,C58)</f>
        <v/>
      </c>
      <c r="R58">
        <f>SUMIFS(Allocation!$J$2:$J$175,Allocation!$C$2:$C$175,A58,Allocation!$E$2:$E$175,C58)</f>
        <v/>
      </c>
      <c r="S58">
        <f>SUMIFS(Allocation!$K$2:$K$175,Allocation!$C$2:$C$175,A58,Allocation!$E$2:$E$175,C58)</f>
        <v/>
      </c>
      <c r="T58">
        <f>SUMIFS(Allocation!$I$2:$I$175,Allocation!$C$2:$C$175,A58)</f>
        <v/>
      </c>
      <c r="U58">
        <f>SUMIFS(Allocation!$J$2:$J$175,Allocation!$C$2:$C$175,A58)</f>
        <v/>
      </c>
      <c r="V58">
        <f>SUMIFS(Allocation!$K$2:$K$175,Allocation!$C$2:$C$175,A58)</f>
        <v/>
      </c>
      <c r="W58">
        <f>SUMIFS(Compta!$F$2:$F$675,Compta!$A$2:$A$675,B58,Compta!$B$2:$B$675,"621",Compta!$C$2:$C$675,A58)</f>
        <v/>
      </c>
      <c r="X58">
        <f>SUMIFS(Compta!$F$2:$F$675,Compta!$A$2:$A$675,B58,Compta!$B$2:$B$675,"6411",Compta!$C$2:$C$675,A58)</f>
        <v/>
      </c>
      <c r="Y58">
        <f>SUMIFS(Compta!$F$2:$F$675,Compta!$A$2:$A$675,B58,Compta!$B$2:$B$675,"604",Compta!$C$2:$C$675,A58)+SUMIFS(Compta!$F$2:$F$675,Compta!$A$2:$A$675,B58,Compta!$B$2:$B$675,"6063",Compta!$C$2:$C$675,A58)</f>
        <v/>
      </c>
      <c r="Z58">
        <f>SUMIFS(Compta!$F$2:$F$675,Compta!$A$2:$A$675,B58,Compta!$B$2:$B$675,"6231",Compta!$C$2:$C$675,A58)</f>
        <v/>
      </c>
      <c r="AA58">
        <f>SUMIFS(Compta!$F$2:$F$675,Compta!$A$2:$A$675,B58,Compta!$B$2:$B$675,"6413",Compta!$C$2:$C$675,A58)+SUMIFS(Compta!$F$2:$F$675,Compta!$A$2:$A$675,B58,Compta!$B$2:$B$675,"645",Compta!$C$2:$C$675,A58)+SUMIFS(Compta!$F$2:$F$675,Compta!$A$2:$A$675,B58,Compta!$B$2:$B$675,"613",Compta!$C$2:$C$675,A58)+SUMIFS(Compta!$F$2:$F$675,Compta!$A$2:$A$675,B58,Compta!$B$2:$B$675,"615",Compta!$C$2:$C$675,A58)+SUMIFS(Compta!$F$2:$F$675,Compta!$A$2:$A$675,B58,Compta!$B$2:$B$675,"616",Compta!$C$2:$C$675,A58)+SUMIFS(Compta!$F$2:$F$675,Compta!$A$2:$A$675,B58,Compta!$B$2:$B$675,"625",Compta!$C$2:$C$675,A58)+SUMIFS(Compta!$F$2:$F$675,Compta!$A$2:$A$675,B58,Compta!$B$2:$B$675,"63511",Compta!$C$2:$C$675,A58)</f>
        <v/>
      </c>
      <c r="AB58">
        <f>SUMIFS(Compta!$F$2:$F$675,Compta!$A$2:$A$675,"GRP",Compta!$B$2:$B$675,"6414",Compta!$C$2:$C$675,A58)+SUMIFS(Compta!$F$2:$F$675,Compta!$A$2:$A$675,"GRP",Compta!$B$2:$B$675,"6226",Compta!$C$2:$C$675,A58)+SUMIFS(Compta!$F$2:$F$675,Compta!$A$2:$A$675,"GRP",Compta!$B$2:$B$675,"6236",Compta!$C$2:$C$675,A58)+SUMIFS(Compta!$F$2:$F$675,Compta!$A$2:$A$675,"GRP",Compta!$B$2:$B$675,"626",Compta!$C$2:$C$675,A58)+SUMIFS(Compta!$F$2:$F$675,Compta!$A$2:$A$675,"GRP",Compta!$B$2:$B$675,"6281",Compta!$C$2:$C$675,A58)+SUMIFS(Compta!$F$2:$F$675,Compta!$A$2:$A$675,"GRP",Compta!$B$2:$B$675,"6331",Compta!$C$2:$C$675,A58)+SUMIFS(Compta!$F$2:$F$675,Compta!$A$2:$A$675,"GRP",Compta!$B$2:$B$675,"6333",Compta!$C$2:$C$675,A58)</f>
        <v/>
      </c>
      <c r="AC58">
        <f>IF(Pilotage!$E$10="Chiffre d'affaires",I58,IF(Pilotage!$E$10="Effectif",G58,H58))</f>
        <v/>
      </c>
      <c r="AD58">
        <f>IF(Pilotage!$E$10="Chiffre d'affaires",N58,IF(Pilotage!$E$10="Effectif",L58,M58))</f>
        <v/>
      </c>
      <c r="AE58">
        <f>IF(Pilotage!$E$8="Chiffre d'affaires",N58,IF(Pilotage!$E$8="Effectif",L58,M58))</f>
        <v/>
      </c>
      <c r="AF58">
        <f>IF(Pilotage!$E$8="Chiffre d'affaires",S58,IF(Pilotage!$E$8="Effectif",Q58,R58))</f>
        <v/>
      </c>
      <c r="AG58">
        <f>IF(Pilotage!$E$9="Chiffre d'affaires",S58,IF(Pilotage!$E$9="Effectif",Q58,R58))</f>
        <v/>
      </c>
      <c r="AH58">
        <f>IF(Pilotage!$E$9="Chiffre d'affaires",V58,IF(Pilotage!$E$9="Effectif",T58,U58))</f>
        <v/>
      </c>
      <c r="AI58">
        <f>W58*IFERROR(K58/O58,0)</f>
        <v/>
      </c>
      <c r="AJ58">
        <f>X58*IFERROR(K58/O58,0)</f>
        <v/>
      </c>
      <c r="AK58">
        <f>Y58*IFERROR(G58/L58,0)+Z58*IFERROR(J58/P58,0)</f>
        <v/>
      </c>
      <c r="AL58">
        <f>AA58*IFERROR(AC58/AD58,0)</f>
        <v/>
      </c>
      <c r="AM58">
        <f>AB58*IFERROR(AG58/AH58,0)*IFERROR(AE58/AF58,0)*IFERROR(AC58/AD58,0)</f>
        <v/>
      </c>
      <c r="AN58">
        <f>I58-(AI58+AJ58+AK58+AL58+AM58)</f>
        <v/>
      </c>
    </row>
    <row r="59">
      <c r="A59">
        <f>Allocation!C59</f>
        <v/>
      </c>
      <c r="B59">
        <f>Allocation!D59</f>
        <v/>
      </c>
      <c r="C59">
        <f>Allocation!E59</f>
        <v/>
      </c>
      <c r="D59">
        <f>Allocation!F59</f>
        <v/>
      </c>
      <c r="E59">
        <f>Allocation!G59</f>
        <v/>
      </c>
      <c r="F59">
        <f>Allocation!H59</f>
        <v/>
      </c>
      <c r="G59">
        <f>Allocation!I59</f>
        <v/>
      </c>
      <c r="H59">
        <f>Allocation!J59</f>
        <v/>
      </c>
      <c r="I59">
        <f>Allocation!K59</f>
        <v/>
      </c>
      <c r="J59">
        <f>SUMIFS(Socle!$K$2:$K$175,Socle!$C$2:$C$175,B59,Socle!$D$2:$D$175,D59,Socle!$E$2:$E$175,E59,Socle!$F$2:$F$175,F59,Socle!$G$2:$G$175,A59)</f>
        <v/>
      </c>
      <c r="K59">
        <f>H59*IF(AND(LEFT(D59,3)="BAC",F59="INIT"),600,IF(LEFT(D59,3)="BAC",480,IF(AND(LEFT(D59,3)="MAS",F59="INIT"),520,IF(LEFT(D59,3)="MAS",420,IF(F59="INIT",1000,700)))))</f>
        <v/>
      </c>
      <c r="L59">
        <f>SUMIFS(Allocation!$I$2:$I$175,Allocation!$C$2:$C$175,A59,Allocation!$D$2:$D$175,B59)</f>
        <v/>
      </c>
      <c r="M59">
        <f>SUMIFS(Allocation!$J$2:$J$175,Allocation!$C$2:$C$175,A59,Allocation!$D$2:$D$175,B59)</f>
        <v/>
      </c>
      <c r="N59">
        <f>SUMIFS(Allocation!$K$2:$K$175,Allocation!$C$2:$C$175,A59,Allocation!$D$2:$D$175,B59)</f>
        <v/>
      </c>
      <c r="O59">
        <f>SUMIFS($K$2:$K$175,$A$2:$A$175,A59,$B$2:$B$175,B59)</f>
        <v/>
      </c>
      <c r="P59">
        <f>SUMIFS($J$2:$J$175,$A$2:$A$175,A59,$B$2:$B$175,B59)</f>
        <v/>
      </c>
      <c r="Q59">
        <f>SUMIFS(Allocation!$I$2:$I$175,Allocation!$C$2:$C$175,A59,Allocation!$E$2:$E$175,C59)</f>
        <v/>
      </c>
      <c r="R59">
        <f>SUMIFS(Allocation!$J$2:$J$175,Allocation!$C$2:$C$175,A59,Allocation!$E$2:$E$175,C59)</f>
        <v/>
      </c>
      <c r="S59">
        <f>SUMIFS(Allocation!$K$2:$K$175,Allocation!$C$2:$C$175,A59,Allocation!$E$2:$E$175,C59)</f>
        <v/>
      </c>
      <c r="T59">
        <f>SUMIFS(Allocation!$I$2:$I$175,Allocation!$C$2:$C$175,A59)</f>
        <v/>
      </c>
      <c r="U59">
        <f>SUMIFS(Allocation!$J$2:$J$175,Allocation!$C$2:$C$175,A59)</f>
        <v/>
      </c>
      <c r="V59">
        <f>SUMIFS(Allocation!$K$2:$K$175,Allocation!$C$2:$C$175,A59)</f>
        <v/>
      </c>
      <c r="W59">
        <f>SUMIFS(Compta!$F$2:$F$675,Compta!$A$2:$A$675,B59,Compta!$B$2:$B$675,"621",Compta!$C$2:$C$675,A59)</f>
        <v/>
      </c>
      <c r="X59">
        <f>SUMIFS(Compta!$F$2:$F$675,Compta!$A$2:$A$675,B59,Compta!$B$2:$B$675,"6411",Compta!$C$2:$C$675,A59)</f>
        <v/>
      </c>
      <c r="Y59">
        <f>SUMIFS(Compta!$F$2:$F$675,Compta!$A$2:$A$675,B59,Compta!$B$2:$B$675,"604",Compta!$C$2:$C$675,A59)+SUMIFS(Compta!$F$2:$F$675,Compta!$A$2:$A$675,B59,Compta!$B$2:$B$675,"6063",Compta!$C$2:$C$675,A59)</f>
        <v/>
      </c>
      <c r="Z59">
        <f>SUMIFS(Compta!$F$2:$F$675,Compta!$A$2:$A$675,B59,Compta!$B$2:$B$675,"6231",Compta!$C$2:$C$675,A59)</f>
        <v/>
      </c>
      <c r="AA59">
        <f>SUMIFS(Compta!$F$2:$F$675,Compta!$A$2:$A$675,B59,Compta!$B$2:$B$675,"6413",Compta!$C$2:$C$675,A59)+SUMIFS(Compta!$F$2:$F$675,Compta!$A$2:$A$675,B59,Compta!$B$2:$B$675,"645",Compta!$C$2:$C$675,A59)+SUMIFS(Compta!$F$2:$F$675,Compta!$A$2:$A$675,B59,Compta!$B$2:$B$675,"613",Compta!$C$2:$C$675,A59)+SUMIFS(Compta!$F$2:$F$675,Compta!$A$2:$A$675,B59,Compta!$B$2:$B$675,"615",Compta!$C$2:$C$675,A59)+SUMIFS(Compta!$F$2:$F$675,Compta!$A$2:$A$675,B59,Compta!$B$2:$B$675,"616",Compta!$C$2:$C$675,A59)+SUMIFS(Compta!$F$2:$F$675,Compta!$A$2:$A$675,B59,Compta!$B$2:$B$675,"625",Compta!$C$2:$C$675,A59)+SUMIFS(Compta!$F$2:$F$675,Compta!$A$2:$A$675,B59,Compta!$B$2:$B$675,"63511",Compta!$C$2:$C$675,A59)</f>
        <v/>
      </c>
      <c r="AB59">
        <f>SUMIFS(Compta!$F$2:$F$675,Compta!$A$2:$A$675,"GRP",Compta!$B$2:$B$675,"6414",Compta!$C$2:$C$675,A59)+SUMIFS(Compta!$F$2:$F$675,Compta!$A$2:$A$675,"GRP",Compta!$B$2:$B$675,"6226",Compta!$C$2:$C$675,A59)+SUMIFS(Compta!$F$2:$F$675,Compta!$A$2:$A$675,"GRP",Compta!$B$2:$B$675,"6236",Compta!$C$2:$C$675,A59)+SUMIFS(Compta!$F$2:$F$675,Compta!$A$2:$A$675,"GRP",Compta!$B$2:$B$675,"626",Compta!$C$2:$C$675,A59)+SUMIFS(Compta!$F$2:$F$675,Compta!$A$2:$A$675,"GRP",Compta!$B$2:$B$675,"6281",Compta!$C$2:$C$675,A59)+SUMIFS(Compta!$F$2:$F$675,Compta!$A$2:$A$675,"GRP",Compta!$B$2:$B$675,"6331",Compta!$C$2:$C$675,A59)+SUMIFS(Compta!$F$2:$F$675,Compta!$A$2:$A$675,"GRP",Compta!$B$2:$B$675,"6333",Compta!$C$2:$C$675,A59)</f>
        <v/>
      </c>
      <c r="AC59">
        <f>IF(Pilotage!$E$10="Chiffre d'affaires",I59,IF(Pilotage!$E$10="Effectif",G59,H59))</f>
        <v/>
      </c>
      <c r="AD59">
        <f>IF(Pilotage!$E$10="Chiffre d'affaires",N59,IF(Pilotage!$E$10="Effectif",L59,M59))</f>
        <v/>
      </c>
      <c r="AE59">
        <f>IF(Pilotage!$E$8="Chiffre d'affaires",N59,IF(Pilotage!$E$8="Effectif",L59,M59))</f>
        <v/>
      </c>
      <c r="AF59">
        <f>IF(Pilotage!$E$8="Chiffre d'affaires",S59,IF(Pilotage!$E$8="Effectif",Q59,R59))</f>
        <v/>
      </c>
      <c r="AG59">
        <f>IF(Pilotage!$E$9="Chiffre d'affaires",S59,IF(Pilotage!$E$9="Effectif",Q59,R59))</f>
        <v/>
      </c>
      <c r="AH59">
        <f>IF(Pilotage!$E$9="Chiffre d'affaires",V59,IF(Pilotage!$E$9="Effectif",T59,U59))</f>
        <v/>
      </c>
      <c r="AI59">
        <f>W59*IFERROR(K59/O59,0)</f>
        <v/>
      </c>
      <c r="AJ59">
        <f>X59*IFERROR(K59/O59,0)</f>
        <v/>
      </c>
      <c r="AK59">
        <f>Y59*IFERROR(G59/L59,0)+Z59*IFERROR(J59/P59,0)</f>
        <v/>
      </c>
      <c r="AL59">
        <f>AA59*IFERROR(AC59/AD59,0)</f>
        <v/>
      </c>
      <c r="AM59">
        <f>AB59*IFERROR(AG59/AH59,0)*IFERROR(AE59/AF59,0)*IFERROR(AC59/AD59,0)</f>
        <v/>
      </c>
      <c r="AN59">
        <f>I59-(AI59+AJ59+AK59+AL59+AM59)</f>
        <v/>
      </c>
    </row>
    <row r="60">
      <c r="A60">
        <f>Allocation!C60</f>
        <v/>
      </c>
      <c r="B60">
        <f>Allocation!D60</f>
        <v/>
      </c>
      <c r="C60">
        <f>Allocation!E60</f>
        <v/>
      </c>
      <c r="D60">
        <f>Allocation!F60</f>
        <v/>
      </c>
      <c r="E60">
        <f>Allocation!G60</f>
        <v/>
      </c>
      <c r="F60">
        <f>Allocation!H60</f>
        <v/>
      </c>
      <c r="G60">
        <f>Allocation!I60</f>
        <v/>
      </c>
      <c r="H60">
        <f>Allocation!J60</f>
        <v/>
      </c>
      <c r="I60">
        <f>Allocation!K60</f>
        <v/>
      </c>
      <c r="J60">
        <f>SUMIFS(Socle!$K$2:$K$175,Socle!$C$2:$C$175,B60,Socle!$D$2:$D$175,D60,Socle!$E$2:$E$175,E60,Socle!$F$2:$F$175,F60,Socle!$G$2:$G$175,A60)</f>
        <v/>
      </c>
      <c r="K60">
        <f>H60*IF(AND(LEFT(D60,3)="BAC",F60="INIT"),600,IF(LEFT(D60,3)="BAC",480,IF(AND(LEFT(D60,3)="MAS",F60="INIT"),520,IF(LEFT(D60,3)="MAS",420,IF(F60="INIT",1000,700)))))</f>
        <v/>
      </c>
      <c r="L60">
        <f>SUMIFS(Allocation!$I$2:$I$175,Allocation!$C$2:$C$175,A60,Allocation!$D$2:$D$175,B60)</f>
        <v/>
      </c>
      <c r="M60">
        <f>SUMIFS(Allocation!$J$2:$J$175,Allocation!$C$2:$C$175,A60,Allocation!$D$2:$D$175,B60)</f>
        <v/>
      </c>
      <c r="N60">
        <f>SUMIFS(Allocation!$K$2:$K$175,Allocation!$C$2:$C$175,A60,Allocation!$D$2:$D$175,B60)</f>
        <v/>
      </c>
      <c r="O60">
        <f>SUMIFS($K$2:$K$175,$A$2:$A$175,A60,$B$2:$B$175,B60)</f>
        <v/>
      </c>
      <c r="P60">
        <f>SUMIFS($J$2:$J$175,$A$2:$A$175,A60,$B$2:$B$175,B60)</f>
        <v/>
      </c>
      <c r="Q60">
        <f>SUMIFS(Allocation!$I$2:$I$175,Allocation!$C$2:$C$175,A60,Allocation!$E$2:$E$175,C60)</f>
        <v/>
      </c>
      <c r="R60">
        <f>SUMIFS(Allocation!$J$2:$J$175,Allocation!$C$2:$C$175,A60,Allocation!$E$2:$E$175,C60)</f>
        <v/>
      </c>
      <c r="S60">
        <f>SUMIFS(Allocation!$K$2:$K$175,Allocation!$C$2:$C$175,A60,Allocation!$E$2:$E$175,C60)</f>
        <v/>
      </c>
      <c r="T60">
        <f>SUMIFS(Allocation!$I$2:$I$175,Allocation!$C$2:$C$175,A60)</f>
        <v/>
      </c>
      <c r="U60">
        <f>SUMIFS(Allocation!$J$2:$J$175,Allocation!$C$2:$C$175,A60)</f>
        <v/>
      </c>
      <c r="V60">
        <f>SUMIFS(Allocation!$K$2:$K$175,Allocation!$C$2:$C$175,A60)</f>
        <v/>
      </c>
      <c r="W60">
        <f>SUMIFS(Compta!$F$2:$F$675,Compta!$A$2:$A$675,B60,Compta!$B$2:$B$675,"621",Compta!$C$2:$C$675,A60)</f>
        <v/>
      </c>
      <c r="X60">
        <f>SUMIFS(Compta!$F$2:$F$675,Compta!$A$2:$A$675,B60,Compta!$B$2:$B$675,"6411",Compta!$C$2:$C$675,A60)</f>
        <v/>
      </c>
      <c r="Y60">
        <f>SUMIFS(Compta!$F$2:$F$675,Compta!$A$2:$A$675,B60,Compta!$B$2:$B$675,"604",Compta!$C$2:$C$675,A60)+SUMIFS(Compta!$F$2:$F$675,Compta!$A$2:$A$675,B60,Compta!$B$2:$B$675,"6063",Compta!$C$2:$C$675,A60)</f>
        <v/>
      </c>
      <c r="Z60">
        <f>SUMIFS(Compta!$F$2:$F$675,Compta!$A$2:$A$675,B60,Compta!$B$2:$B$675,"6231",Compta!$C$2:$C$675,A60)</f>
        <v/>
      </c>
      <c r="AA60">
        <f>SUMIFS(Compta!$F$2:$F$675,Compta!$A$2:$A$675,B60,Compta!$B$2:$B$675,"6413",Compta!$C$2:$C$675,A60)+SUMIFS(Compta!$F$2:$F$675,Compta!$A$2:$A$675,B60,Compta!$B$2:$B$675,"645",Compta!$C$2:$C$675,A60)+SUMIFS(Compta!$F$2:$F$675,Compta!$A$2:$A$675,B60,Compta!$B$2:$B$675,"613",Compta!$C$2:$C$675,A60)+SUMIFS(Compta!$F$2:$F$675,Compta!$A$2:$A$675,B60,Compta!$B$2:$B$675,"615",Compta!$C$2:$C$675,A60)+SUMIFS(Compta!$F$2:$F$675,Compta!$A$2:$A$675,B60,Compta!$B$2:$B$675,"616",Compta!$C$2:$C$675,A60)+SUMIFS(Compta!$F$2:$F$675,Compta!$A$2:$A$675,B60,Compta!$B$2:$B$675,"625",Compta!$C$2:$C$675,A60)+SUMIFS(Compta!$F$2:$F$675,Compta!$A$2:$A$675,B60,Compta!$B$2:$B$675,"63511",Compta!$C$2:$C$675,A60)</f>
        <v/>
      </c>
      <c r="AB60">
        <f>SUMIFS(Compta!$F$2:$F$675,Compta!$A$2:$A$675,"GRP",Compta!$B$2:$B$675,"6414",Compta!$C$2:$C$675,A60)+SUMIFS(Compta!$F$2:$F$675,Compta!$A$2:$A$675,"GRP",Compta!$B$2:$B$675,"6226",Compta!$C$2:$C$675,A60)+SUMIFS(Compta!$F$2:$F$675,Compta!$A$2:$A$675,"GRP",Compta!$B$2:$B$675,"6236",Compta!$C$2:$C$675,A60)+SUMIFS(Compta!$F$2:$F$675,Compta!$A$2:$A$675,"GRP",Compta!$B$2:$B$675,"626",Compta!$C$2:$C$675,A60)+SUMIFS(Compta!$F$2:$F$675,Compta!$A$2:$A$675,"GRP",Compta!$B$2:$B$675,"6281",Compta!$C$2:$C$675,A60)+SUMIFS(Compta!$F$2:$F$675,Compta!$A$2:$A$675,"GRP",Compta!$B$2:$B$675,"6331",Compta!$C$2:$C$675,A60)+SUMIFS(Compta!$F$2:$F$675,Compta!$A$2:$A$675,"GRP",Compta!$B$2:$B$675,"6333",Compta!$C$2:$C$675,A60)</f>
        <v/>
      </c>
      <c r="AC60">
        <f>IF(Pilotage!$E$10="Chiffre d'affaires",I60,IF(Pilotage!$E$10="Effectif",G60,H60))</f>
        <v/>
      </c>
      <c r="AD60">
        <f>IF(Pilotage!$E$10="Chiffre d'affaires",N60,IF(Pilotage!$E$10="Effectif",L60,M60))</f>
        <v/>
      </c>
      <c r="AE60">
        <f>IF(Pilotage!$E$8="Chiffre d'affaires",N60,IF(Pilotage!$E$8="Effectif",L60,M60))</f>
        <v/>
      </c>
      <c r="AF60">
        <f>IF(Pilotage!$E$8="Chiffre d'affaires",S60,IF(Pilotage!$E$8="Effectif",Q60,R60))</f>
        <v/>
      </c>
      <c r="AG60">
        <f>IF(Pilotage!$E$9="Chiffre d'affaires",S60,IF(Pilotage!$E$9="Effectif",Q60,R60))</f>
        <v/>
      </c>
      <c r="AH60">
        <f>IF(Pilotage!$E$9="Chiffre d'affaires",V60,IF(Pilotage!$E$9="Effectif",T60,U60))</f>
        <v/>
      </c>
      <c r="AI60">
        <f>W60*IFERROR(K60/O60,0)</f>
        <v/>
      </c>
      <c r="AJ60">
        <f>X60*IFERROR(K60/O60,0)</f>
        <v/>
      </c>
      <c r="AK60">
        <f>Y60*IFERROR(G60/L60,0)+Z60*IFERROR(J60/P60,0)</f>
        <v/>
      </c>
      <c r="AL60">
        <f>AA60*IFERROR(AC60/AD60,0)</f>
        <v/>
      </c>
      <c r="AM60">
        <f>AB60*IFERROR(AG60/AH60,0)*IFERROR(AE60/AF60,0)*IFERROR(AC60/AD60,0)</f>
        <v/>
      </c>
      <c r="AN60">
        <f>I60-(AI60+AJ60+AK60+AL60+AM60)</f>
        <v/>
      </c>
    </row>
    <row r="61">
      <c r="A61">
        <f>Allocation!C61</f>
        <v/>
      </c>
      <c r="B61">
        <f>Allocation!D61</f>
        <v/>
      </c>
      <c r="C61">
        <f>Allocation!E61</f>
        <v/>
      </c>
      <c r="D61">
        <f>Allocation!F61</f>
        <v/>
      </c>
      <c r="E61">
        <f>Allocation!G61</f>
        <v/>
      </c>
      <c r="F61">
        <f>Allocation!H61</f>
        <v/>
      </c>
      <c r="G61">
        <f>Allocation!I61</f>
        <v/>
      </c>
      <c r="H61">
        <f>Allocation!J61</f>
        <v/>
      </c>
      <c r="I61">
        <f>Allocation!K61</f>
        <v/>
      </c>
      <c r="J61">
        <f>SUMIFS(Socle!$K$2:$K$175,Socle!$C$2:$C$175,B61,Socle!$D$2:$D$175,D61,Socle!$E$2:$E$175,E61,Socle!$F$2:$F$175,F61,Socle!$G$2:$G$175,A61)</f>
        <v/>
      </c>
      <c r="K61">
        <f>H61*IF(AND(LEFT(D61,3)="BAC",F61="INIT"),600,IF(LEFT(D61,3)="BAC",480,IF(AND(LEFT(D61,3)="MAS",F61="INIT"),520,IF(LEFT(D61,3)="MAS",420,IF(F61="INIT",1000,700)))))</f>
        <v/>
      </c>
      <c r="L61">
        <f>SUMIFS(Allocation!$I$2:$I$175,Allocation!$C$2:$C$175,A61,Allocation!$D$2:$D$175,B61)</f>
        <v/>
      </c>
      <c r="M61">
        <f>SUMIFS(Allocation!$J$2:$J$175,Allocation!$C$2:$C$175,A61,Allocation!$D$2:$D$175,B61)</f>
        <v/>
      </c>
      <c r="N61">
        <f>SUMIFS(Allocation!$K$2:$K$175,Allocation!$C$2:$C$175,A61,Allocation!$D$2:$D$175,B61)</f>
        <v/>
      </c>
      <c r="O61">
        <f>SUMIFS($K$2:$K$175,$A$2:$A$175,A61,$B$2:$B$175,B61)</f>
        <v/>
      </c>
      <c r="P61">
        <f>SUMIFS($J$2:$J$175,$A$2:$A$175,A61,$B$2:$B$175,B61)</f>
        <v/>
      </c>
      <c r="Q61">
        <f>SUMIFS(Allocation!$I$2:$I$175,Allocation!$C$2:$C$175,A61,Allocation!$E$2:$E$175,C61)</f>
        <v/>
      </c>
      <c r="R61">
        <f>SUMIFS(Allocation!$J$2:$J$175,Allocation!$C$2:$C$175,A61,Allocation!$E$2:$E$175,C61)</f>
        <v/>
      </c>
      <c r="S61">
        <f>SUMIFS(Allocation!$K$2:$K$175,Allocation!$C$2:$C$175,A61,Allocation!$E$2:$E$175,C61)</f>
        <v/>
      </c>
      <c r="T61">
        <f>SUMIFS(Allocation!$I$2:$I$175,Allocation!$C$2:$C$175,A61)</f>
        <v/>
      </c>
      <c r="U61">
        <f>SUMIFS(Allocation!$J$2:$J$175,Allocation!$C$2:$C$175,A61)</f>
        <v/>
      </c>
      <c r="V61">
        <f>SUMIFS(Allocation!$K$2:$K$175,Allocation!$C$2:$C$175,A61)</f>
        <v/>
      </c>
      <c r="W61">
        <f>SUMIFS(Compta!$F$2:$F$675,Compta!$A$2:$A$675,B61,Compta!$B$2:$B$675,"621",Compta!$C$2:$C$675,A61)</f>
        <v/>
      </c>
      <c r="X61">
        <f>SUMIFS(Compta!$F$2:$F$675,Compta!$A$2:$A$675,B61,Compta!$B$2:$B$675,"6411",Compta!$C$2:$C$675,A61)</f>
        <v/>
      </c>
      <c r="Y61">
        <f>SUMIFS(Compta!$F$2:$F$675,Compta!$A$2:$A$675,B61,Compta!$B$2:$B$675,"604",Compta!$C$2:$C$675,A61)+SUMIFS(Compta!$F$2:$F$675,Compta!$A$2:$A$675,B61,Compta!$B$2:$B$675,"6063",Compta!$C$2:$C$675,A61)</f>
        <v/>
      </c>
      <c r="Z61">
        <f>SUMIFS(Compta!$F$2:$F$675,Compta!$A$2:$A$675,B61,Compta!$B$2:$B$675,"6231",Compta!$C$2:$C$675,A61)</f>
        <v/>
      </c>
      <c r="AA61">
        <f>SUMIFS(Compta!$F$2:$F$675,Compta!$A$2:$A$675,B61,Compta!$B$2:$B$675,"6413",Compta!$C$2:$C$675,A61)+SUMIFS(Compta!$F$2:$F$675,Compta!$A$2:$A$675,B61,Compta!$B$2:$B$675,"645",Compta!$C$2:$C$675,A61)+SUMIFS(Compta!$F$2:$F$675,Compta!$A$2:$A$675,B61,Compta!$B$2:$B$675,"613",Compta!$C$2:$C$675,A61)+SUMIFS(Compta!$F$2:$F$675,Compta!$A$2:$A$675,B61,Compta!$B$2:$B$675,"615",Compta!$C$2:$C$675,A61)+SUMIFS(Compta!$F$2:$F$675,Compta!$A$2:$A$675,B61,Compta!$B$2:$B$675,"616",Compta!$C$2:$C$675,A61)+SUMIFS(Compta!$F$2:$F$675,Compta!$A$2:$A$675,B61,Compta!$B$2:$B$675,"625",Compta!$C$2:$C$675,A61)+SUMIFS(Compta!$F$2:$F$675,Compta!$A$2:$A$675,B61,Compta!$B$2:$B$675,"63511",Compta!$C$2:$C$675,A61)</f>
        <v/>
      </c>
      <c r="AB61">
        <f>SUMIFS(Compta!$F$2:$F$675,Compta!$A$2:$A$675,"GRP",Compta!$B$2:$B$675,"6414",Compta!$C$2:$C$675,A61)+SUMIFS(Compta!$F$2:$F$675,Compta!$A$2:$A$675,"GRP",Compta!$B$2:$B$675,"6226",Compta!$C$2:$C$675,A61)+SUMIFS(Compta!$F$2:$F$675,Compta!$A$2:$A$675,"GRP",Compta!$B$2:$B$675,"6236",Compta!$C$2:$C$675,A61)+SUMIFS(Compta!$F$2:$F$675,Compta!$A$2:$A$675,"GRP",Compta!$B$2:$B$675,"626",Compta!$C$2:$C$675,A61)+SUMIFS(Compta!$F$2:$F$675,Compta!$A$2:$A$675,"GRP",Compta!$B$2:$B$675,"6281",Compta!$C$2:$C$675,A61)+SUMIFS(Compta!$F$2:$F$675,Compta!$A$2:$A$675,"GRP",Compta!$B$2:$B$675,"6331",Compta!$C$2:$C$675,A61)+SUMIFS(Compta!$F$2:$F$675,Compta!$A$2:$A$675,"GRP",Compta!$B$2:$B$675,"6333",Compta!$C$2:$C$675,A61)</f>
        <v/>
      </c>
      <c r="AC61">
        <f>IF(Pilotage!$E$10="Chiffre d'affaires",I61,IF(Pilotage!$E$10="Effectif",G61,H61))</f>
        <v/>
      </c>
      <c r="AD61">
        <f>IF(Pilotage!$E$10="Chiffre d'affaires",N61,IF(Pilotage!$E$10="Effectif",L61,M61))</f>
        <v/>
      </c>
      <c r="AE61">
        <f>IF(Pilotage!$E$8="Chiffre d'affaires",N61,IF(Pilotage!$E$8="Effectif",L61,M61))</f>
        <v/>
      </c>
      <c r="AF61">
        <f>IF(Pilotage!$E$8="Chiffre d'affaires",S61,IF(Pilotage!$E$8="Effectif",Q61,R61))</f>
        <v/>
      </c>
      <c r="AG61">
        <f>IF(Pilotage!$E$9="Chiffre d'affaires",S61,IF(Pilotage!$E$9="Effectif",Q61,R61))</f>
        <v/>
      </c>
      <c r="AH61">
        <f>IF(Pilotage!$E$9="Chiffre d'affaires",V61,IF(Pilotage!$E$9="Effectif",T61,U61))</f>
        <v/>
      </c>
      <c r="AI61">
        <f>W61*IFERROR(K61/O61,0)</f>
        <v/>
      </c>
      <c r="AJ61">
        <f>X61*IFERROR(K61/O61,0)</f>
        <v/>
      </c>
      <c r="AK61">
        <f>Y61*IFERROR(G61/L61,0)+Z61*IFERROR(J61/P61,0)</f>
        <v/>
      </c>
      <c r="AL61">
        <f>AA61*IFERROR(AC61/AD61,0)</f>
        <v/>
      </c>
      <c r="AM61">
        <f>AB61*IFERROR(AG61/AH61,0)*IFERROR(AE61/AF61,0)*IFERROR(AC61/AD61,0)</f>
        <v/>
      </c>
      <c r="AN61">
        <f>I61-(AI61+AJ61+AK61+AL61+AM61)</f>
        <v/>
      </c>
    </row>
    <row r="62">
      <c r="A62">
        <f>Allocation!C62</f>
        <v/>
      </c>
      <c r="B62">
        <f>Allocation!D62</f>
        <v/>
      </c>
      <c r="C62">
        <f>Allocation!E62</f>
        <v/>
      </c>
      <c r="D62">
        <f>Allocation!F62</f>
        <v/>
      </c>
      <c r="E62">
        <f>Allocation!G62</f>
        <v/>
      </c>
      <c r="F62">
        <f>Allocation!H62</f>
        <v/>
      </c>
      <c r="G62">
        <f>Allocation!I62</f>
        <v/>
      </c>
      <c r="H62">
        <f>Allocation!J62</f>
        <v/>
      </c>
      <c r="I62">
        <f>Allocation!K62</f>
        <v/>
      </c>
      <c r="J62">
        <f>SUMIFS(Socle!$K$2:$K$175,Socle!$C$2:$C$175,B62,Socle!$D$2:$D$175,D62,Socle!$E$2:$E$175,E62,Socle!$F$2:$F$175,F62,Socle!$G$2:$G$175,A62)</f>
        <v/>
      </c>
      <c r="K62">
        <f>H62*IF(AND(LEFT(D62,3)="BAC",F62="INIT"),600,IF(LEFT(D62,3)="BAC",480,IF(AND(LEFT(D62,3)="MAS",F62="INIT"),520,IF(LEFT(D62,3)="MAS",420,IF(F62="INIT",1000,700)))))</f>
        <v/>
      </c>
      <c r="L62">
        <f>SUMIFS(Allocation!$I$2:$I$175,Allocation!$C$2:$C$175,A62,Allocation!$D$2:$D$175,B62)</f>
        <v/>
      </c>
      <c r="M62">
        <f>SUMIFS(Allocation!$J$2:$J$175,Allocation!$C$2:$C$175,A62,Allocation!$D$2:$D$175,B62)</f>
        <v/>
      </c>
      <c r="N62">
        <f>SUMIFS(Allocation!$K$2:$K$175,Allocation!$C$2:$C$175,A62,Allocation!$D$2:$D$175,B62)</f>
        <v/>
      </c>
      <c r="O62">
        <f>SUMIFS($K$2:$K$175,$A$2:$A$175,A62,$B$2:$B$175,B62)</f>
        <v/>
      </c>
      <c r="P62">
        <f>SUMIFS($J$2:$J$175,$A$2:$A$175,A62,$B$2:$B$175,B62)</f>
        <v/>
      </c>
      <c r="Q62">
        <f>SUMIFS(Allocation!$I$2:$I$175,Allocation!$C$2:$C$175,A62,Allocation!$E$2:$E$175,C62)</f>
        <v/>
      </c>
      <c r="R62">
        <f>SUMIFS(Allocation!$J$2:$J$175,Allocation!$C$2:$C$175,A62,Allocation!$E$2:$E$175,C62)</f>
        <v/>
      </c>
      <c r="S62">
        <f>SUMIFS(Allocation!$K$2:$K$175,Allocation!$C$2:$C$175,A62,Allocation!$E$2:$E$175,C62)</f>
        <v/>
      </c>
      <c r="T62">
        <f>SUMIFS(Allocation!$I$2:$I$175,Allocation!$C$2:$C$175,A62)</f>
        <v/>
      </c>
      <c r="U62">
        <f>SUMIFS(Allocation!$J$2:$J$175,Allocation!$C$2:$C$175,A62)</f>
        <v/>
      </c>
      <c r="V62">
        <f>SUMIFS(Allocation!$K$2:$K$175,Allocation!$C$2:$C$175,A62)</f>
        <v/>
      </c>
      <c r="W62">
        <f>SUMIFS(Compta!$F$2:$F$675,Compta!$A$2:$A$675,B62,Compta!$B$2:$B$675,"621",Compta!$C$2:$C$675,A62)</f>
        <v/>
      </c>
      <c r="X62">
        <f>SUMIFS(Compta!$F$2:$F$675,Compta!$A$2:$A$675,B62,Compta!$B$2:$B$675,"6411",Compta!$C$2:$C$675,A62)</f>
        <v/>
      </c>
      <c r="Y62">
        <f>SUMIFS(Compta!$F$2:$F$675,Compta!$A$2:$A$675,B62,Compta!$B$2:$B$675,"604",Compta!$C$2:$C$675,A62)+SUMIFS(Compta!$F$2:$F$675,Compta!$A$2:$A$675,B62,Compta!$B$2:$B$675,"6063",Compta!$C$2:$C$675,A62)</f>
        <v/>
      </c>
      <c r="Z62">
        <f>SUMIFS(Compta!$F$2:$F$675,Compta!$A$2:$A$675,B62,Compta!$B$2:$B$675,"6231",Compta!$C$2:$C$675,A62)</f>
        <v/>
      </c>
      <c r="AA62">
        <f>SUMIFS(Compta!$F$2:$F$675,Compta!$A$2:$A$675,B62,Compta!$B$2:$B$675,"6413",Compta!$C$2:$C$675,A62)+SUMIFS(Compta!$F$2:$F$675,Compta!$A$2:$A$675,B62,Compta!$B$2:$B$675,"645",Compta!$C$2:$C$675,A62)+SUMIFS(Compta!$F$2:$F$675,Compta!$A$2:$A$675,B62,Compta!$B$2:$B$675,"613",Compta!$C$2:$C$675,A62)+SUMIFS(Compta!$F$2:$F$675,Compta!$A$2:$A$675,B62,Compta!$B$2:$B$675,"615",Compta!$C$2:$C$675,A62)+SUMIFS(Compta!$F$2:$F$675,Compta!$A$2:$A$675,B62,Compta!$B$2:$B$675,"616",Compta!$C$2:$C$675,A62)+SUMIFS(Compta!$F$2:$F$675,Compta!$A$2:$A$675,B62,Compta!$B$2:$B$675,"625",Compta!$C$2:$C$675,A62)+SUMIFS(Compta!$F$2:$F$675,Compta!$A$2:$A$675,B62,Compta!$B$2:$B$675,"63511",Compta!$C$2:$C$675,A62)</f>
        <v/>
      </c>
      <c r="AB62">
        <f>SUMIFS(Compta!$F$2:$F$675,Compta!$A$2:$A$675,"GRP",Compta!$B$2:$B$675,"6414",Compta!$C$2:$C$675,A62)+SUMIFS(Compta!$F$2:$F$675,Compta!$A$2:$A$675,"GRP",Compta!$B$2:$B$675,"6226",Compta!$C$2:$C$675,A62)+SUMIFS(Compta!$F$2:$F$675,Compta!$A$2:$A$675,"GRP",Compta!$B$2:$B$675,"6236",Compta!$C$2:$C$675,A62)+SUMIFS(Compta!$F$2:$F$675,Compta!$A$2:$A$675,"GRP",Compta!$B$2:$B$675,"626",Compta!$C$2:$C$675,A62)+SUMIFS(Compta!$F$2:$F$675,Compta!$A$2:$A$675,"GRP",Compta!$B$2:$B$675,"6281",Compta!$C$2:$C$675,A62)+SUMIFS(Compta!$F$2:$F$675,Compta!$A$2:$A$675,"GRP",Compta!$B$2:$B$675,"6331",Compta!$C$2:$C$675,A62)+SUMIFS(Compta!$F$2:$F$675,Compta!$A$2:$A$675,"GRP",Compta!$B$2:$B$675,"6333",Compta!$C$2:$C$675,A62)</f>
        <v/>
      </c>
      <c r="AC62">
        <f>IF(Pilotage!$E$10="Chiffre d'affaires",I62,IF(Pilotage!$E$10="Effectif",G62,H62))</f>
        <v/>
      </c>
      <c r="AD62">
        <f>IF(Pilotage!$E$10="Chiffre d'affaires",N62,IF(Pilotage!$E$10="Effectif",L62,M62))</f>
        <v/>
      </c>
      <c r="AE62">
        <f>IF(Pilotage!$E$8="Chiffre d'affaires",N62,IF(Pilotage!$E$8="Effectif",L62,M62))</f>
        <v/>
      </c>
      <c r="AF62">
        <f>IF(Pilotage!$E$8="Chiffre d'affaires",S62,IF(Pilotage!$E$8="Effectif",Q62,R62))</f>
        <v/>
      </c>
      <c r="AG62">
        <f>IF(Pilotage!$E$9="Chiffre d'affaires",S62,IF(Pilotage!$E$9="Effectif",Q62,R62))</f>
        <v/>
      </c>
      <c r="AH62">
        <f>IF(Pilotage!$E$9="Chiffre d'affaires",V62,IF(Pilotage!$E$9="Effectif",T62,U62))</f>
        <v/>
      </c>
      <c r="AI62">
        <f>W62*IFERROR(K62/O62,0)</f>
        <v/>
      </c>
      <c r="AJ62">
        <f>X62*IFERROR(K62/O62,0)</f>
        <v/>
      </c>
      <c r="AK62">
        <f>Y62*IFERROR(G62/L62,0)+Z62*IFERROR(J62/P62,0)</f>
        <v/>
      </c>
      <c r="AL62">
        <f>AA62*IFERROR(AC62/AD62,0)</f>
        <v/>
      </c>
      <c r="AM62">
        <f>AB62*IFERROR(AG62/AH62,0)*IFERROR(AE62/AF62,0)*IFERROR(AC62/AD62,0)</f>
        <v/>
      </c>
      <c r="AN62">
        <f>I62-(AI62+AJ62+AK62+AL62+AM62)</f>
        <v/>
      </c>
    </row>
    <row r="63">
      <c r="A63">
        <f>Allocation!C63</f>
        <v/>
      </c>
      <c r="B63">
        <f>Allocation!D63</f>
        <v/>
      </c>
      <c r="C63">
        <f>Allocation!E63</f>
        <v/>
      </c>
      <c r="D63">
        <f>Allocation!F63</f>
        <v/>
      </c>
      <c r="E63">
        <f>Allocation!G63</f>
        <v/>
      </c>
      <c r="F63">
        <f>Allocation!H63</f>
        <v/>
      </c>
      <c r="G63">
        <f>Allocation!I63</f>
        <v/>
      </c>
      <c r="H63">
        <f>Allocation!J63</f>
        <v/>
      </c>
      <c r="I63">
        <f>Allocation!K63</f>
        <v/>
      </c>
      <c r="J63">
        <f>SUMIFS(Socle!$K$2:$K$175,Socle!$C$2:$C$175,B63,Socle!$D$2:$D$175,D63,Socle!$E$2:$E$175,E63,Socle!$F$2:$F$175,F63,Socle!$G$2:$G$175,A63)</f>
        <v/>
      </c>
      <c r="K63">
        <f>H63*IF(AND(LEFT(D63,3)="BAC",F63="INIT"),600,IF(LEFT(D63,3)="BAC",480,IF(AND(LEFT(D63,3)="MAS",F63="INIT"),520,IF(LEFT(D63,3)="MAS",420,IF(F63="INIT",1000,700)))))</f>
        <v/>
      </c>
      <c r="L63">
        <f>SUMIFS(Allocation!$I$2:$I$175,Allocation!$C$2:$C$175,A63,Allocation!$D$2:$D$175,B63)</f>
        <v/>
      </c>
      <c r="M63">
        <f>SUMIFS(Allocation!$J$2:$J$175,Allocation!$C$2:$C$175,A63,Allocation!$D$2:$D$175,B63)</f>
        <v/>
      </c>
      <c r="N63">
        <f>SUMIFS(Allocation!$K$2:$K$175,Allocation!$C$2:$C$175,A63,Allocation!$D$2:$D$175,B63)</f>
        <v/>
      </c>
      <c r="O63">
        <f>SUMIFS($K$2:$K$175,$A$2:$A$175,A63,$B$2:$B$175,B63)</f>
        <v/>
      </c>
      <c r="P63">
        <f>SUMIFS($J$2:$J$175,$A$2:$A$175,A63,$B$2:$B$175,B63)</f>
        <v/>
      </c>
      <c r="Q63">
        <f>SUMIFS(Allocation!$I$2:$I$175,Allocation!$C$2:$C$175,A63,Allocation!$E$2:$E$175,C63)</f>
        <v/>
      </c>
      <c r="R63">
        <f>SUMIFS(Allocation!$J$2:$J$175,Allocation!$C$2:$C$175,A63,Allocation!$E$2:$E$175,C63)</f>
        <v/>
      </c>
      <c r="S63">
        <f>SUMIFS(Allocation!$K$2:$K$175,Allocation!$C$2:$C$175,A63,Allocation!$E$2:$E$175,C63)</f>
        <v/>
      </c>
      <c r="T63">
        <f>SUMIFS(Allocation!$I$2:$I$175,Allocation!$C$2:$C$175,A63)</f>
        <v/>
      </c>
      <c r="U63">
        <f>SUMIFS(Allocation!$J$2:$J$175,Allocation!$C$2:$C$175,A63)</f>
        <v/>
      </c>
      <c r="V63">
        <f>SUMIFS(Allocation!$K$2:$K$175,Allocation!$C$2:$C$175,A63)</f>
        <v/>
      </c>
      <c r="W63">
        <f>SUMIFS(Compta!$F$2:$F$675,Compta!$A$2:$A$675,B63,Compta!$B$2:$B$675,"621",Compta!$C$2:$C$675,A63)</f>
        <v/>
      </c>
      <c r="X63">
        <f>SUMIFS(Compta!$F$2:$F$675,Compta!$A$2:$A$675,B63,Compta!$B$2:$B$675,"6411",Compta!$C$2:$C$675,A63)</f>
        <v/>
      </c>
      <c r="Y63">
        <f>SUMIFS(Compta!$F$2:$F$675,Compta!$A$2:$A$675,B63,Compta!$B$2:$B$675,"604",Compta!$C$2:$C$675,A63)+SUMIFS(Compta!$F$2:$F$675,Compta!$A$2:$A$675,B63,Compta!$B$2:$B$675,"6063",Compta!$C$2:$C$675,A63)</f>
        <v/>
      </c>
      <c r="Z63">
        <f>SUMIFS(Compta!$F$2:$F$675,Compta!$A$2:$A$675,B63,Compta!$B$2:$B$675,"6231",Compta!$C$2:$C$675,A63)</f>
        <v/>
      </c>
      <c r="AA63">
        <f>SUMIFS(Compta!$F$2:$F$675,Compta!$A$2:$A$675,B63,Compta!$B$2:$B$675,"6413",Compta!$C$2:$C$675,A63)+SUMIFS(Compta!$F$2:$F$675,Compta!$A$2:$A$675,B63,Compta!$B$2:$B$675,"645",Compta!$C$2:$C$675,A63)+SUMIFS(Compta!$F$2:$F$675,Compta!$A$2:$A$675,B63,Compta!$B$2:$B$675,"613",Compta!$C$2:$C$675,A63)+SUMIFS(Compta!$F$2:$F$675,Compta!$A$2:$A$675,B63,Compta!$B$2:$B$675,"615",Compta!$C$2:$C$675,A63)+SUMIFS(Compta!$F$2:$F$675,Compta!$A$2:$A$675,B63,Compta!$B$2:$B$675,"616",Compta!$C$2:$C$675,A63)+SUMIFS(Compta!$F$2:$F$675,Compta!$A$2:$A$675,B63,Compta!$B$2:$B$675,"625",Compta!$C$2:$C$675,A63)+SUMIFS(Compta!$F$2:$F$675,Compta!$A$2:$A$675,B63,Compta!$B$2:$B$675,"63511",Compta!$C$2:$C$675,A63)</f>
        <v/>
      </c>
      <c r="AB63">
        <f>SUMIFS(Compta!$F$2:$F$675,Compta!$A$2:$A$675,"GRP",Compta!$B$2:$B$675,"6414",Compta!$C$2:$C$675,A63)+SUMIFS(Compta!$F$2:$F$675,Compta!$A$2:$A$675,"GRP",Compta!$B$2:$B$675,"6226",Compta!$C$2:$C$675,A63)+SUMIFS(Compta!$F$2:$F$675,Compta!$A$2:$A$675,"GRP",Compta!$B$2:$B$675,"6236",Compta!$C$2:$C$675,A63)+SUMIFS(Compta!$F$2:$F$675,Compta!$A$2:$A$675,"GRP",Compta!$B$2:$B$675,"626",Compta!$C$2:$C$675,A63)+SUMIFS(Compta!$F$2:$F$675,Compta!$A$2:$A$675,"GRP",Compta!$B$2:$B$675,"6281",Compta!$C$2:$C$675,A63)+SUMIFS(Compta!$F$2:$F$675,Compta!$A$2:$A$675,"GRP",Compta!$B$2:$B$675,"6331",Compta!$C$2:$C$675,A63)+SUMIFS(Compta!$F$2:$F$675,Compta!$A$2:$A$675,"GRP",Compta!$B$2:$B$675,"6333",Compta!$C$2:$C$675,A63)</f>
        <v/>
      </c>
      <c r="AC63">
        <f>IF(Pilotage!$E$10="Chiffre d'affaires",I63,IF(Pilotage!$E$10="Effectif",G63,H63))</f>
        <v/>
      </c>
      <c r="AD63">
        <f>IF(Pilotage!$E$10="Chiffre d'affaires",N63,IF(Pilotage!$E$10="Effectif",L63,M63))</f>
        <v/>
      </c>
      <c r="AE63">
        <f>IF(Pilotage!$E$8="Chiffre d'affaires",N63,IF(Pilotage!$E$8="Effectif",L63,M63))</f>
        <v/>
      </c>
      <c r="AF63">
        <f>IF(Pilotage!$E$8="Chiffre d'affaires",S63,IF(Pilotage!$E$8="Effectif",Q63,R63))</f>
        <v/>
      </c>
      <c r="AG63">
        <f>IF(Pilotage!$E$9="Chiffre d'affaires",S63,IF(Pilotage!$E$9="Effectif",Q63,R63))</f>
        <v/>
      </c>
      <c r="AH63">
        <f>IF(Pilotage!$E$9="Chiffre d'affaires",V63,IF(Pilotage!$E$9="Effectif",T63,U63))</f>
        <v/>
      </c>
      <c r="AI63">
        <f>W63*IFERROR(K63/O63,0)</f>
        <v/>
      </c>
      <c r="AJ63">
        <f>X63*IFERROR(K63/O63,0)</f>
        <v/>
      </c>
      <c r="AK63">
        <f>Y63*IFERROR(G63/L63,0)+Z63*IFERROR(J63/P63,0)</f>
        <v/>
      </c>
      <c r="AL63">
        <f>AA63*IFERROR(AC63/AD63,0)</f>
        <v/>
      </c>
      <c r="AM63">
        <f>AB63*IFERROR(AG63/AH63,0)*IFERROR(AE63/AF63,0)*IFERROR(AC63/AD63,0)</f>
        <v/>
      </c>
      <c r="AN63">
        <f>I63-(AI63+AJ63+AK63+AL63+AM63)</f>
        <v/>
      </c>
    </row>
    <row r="64">
      <c r="A64">
        <f>Allocation!C64</f>
        <v/>
      </c>
      <c r="B64">
        <f>Allocation!D64</f>
        <v/>
      </c>
      <c r="C64">
        <f>Allocation!E64</f>
        <v/>
      </c>
      <c r="D64">
        <f>Allocation!F64</f>
        <v/>
      </c>
      <c r="E64">
        <f>Allocation!G64</f>
        <v/>
      </c>
      <c r="F64">
        <f>Allocation!H64</f>
        <v/>
      </c>
      <c r="G64">
        <f>Allocation!I64</f>
        <v/>
      </c>
      <c r="H64">
        <f>Allocation!J64</f>
        <v/>
      </c>
      <c r="I64">
        <f>Allocation!K64</f>
        <v/>
      </c>
      <c r="J64">
        <f>SUMIFS(Socle!$K$2:$K$175,Socle!$C$2:$C$175,B64,Socle!$D$2:$D$175,D64,Socle!$E$2:$E$175,E64,Socle!$F$2:$F$175,F64,Socle!$G$2:$G$175,A64)</f>
        <v/>
      </c>
      <c r="K64">
        <f>H64*IF(AND(LEFT(D64,3)="BAC",F64="INIT"),600,IF(LEFT(D64,3)="BAC",480,IF(AND(LEFT(D64,3)="MAS",F64="INIT"),520,IF(LEFT(D64,3)="MAS",420,IF(F64="INIT",1000,700)))))</f>
        <v/>
      </c>
      <c r="L64">
        <f>SUMIFS(Allocation!$I$2:$I$175,Allocation!$C$2:$C$175,A64,Allocation!$D$2:$D$175,B64)</f>
        <v/>
      </c>
      <c r="M64">
        <f>SUMIFS(Allocation!$J$2:$J$175,Allocation!$C$2:$C$175,A64,Allocation!$D$2:$D$175,B64)</f>
        <v/>
      </c>
      <c r="N64">
        <f>SUMIFS(Allocation!$K$2:$K$175,Allocation!$C$2:$C$175,A64,Allocation!$D$2:$D$175,B64)</f>
        <v/>
      </c>
      <c r="O64">
        <f>SUMIFS($K$2:$K$175,$A$2:$A$175,A64,$B$2:$B$175,B64)</f>
        <v/>
      </c>
      <c r="P64">
        <f>SUMIFS($J$2:$J$175,$A$2:$A$175,A64,$B$2:$B$175,B64)</f>
        <v/>
      </c>
      <c r="Q64">
        <f>SUMIFS(Allocation!$I$2:$I$175,Allocation!$C$2:$C$175,A64,Allocation!$E$2:$E$175,C64)</f>
        <v/>
      </c>
      <c r="R64">
        <f>SUMIFS(Allocation!$J$2:$J$175,Allocation!$C$2:$C$175,A64,Allocation!$E$2:$E$175,C64)</f>
        <v/>
      </c>
      <c r="S64">
        <f>SUMIFS(Allocation!$K$2:$K$175,Allocation!$C$2:$C$175,A64,Allocation!$E$2:$E$175,C64)</f>
        <v/>
      </c>
      <c r="T64">
        <f>SUMIFS(Allocation!$I$2:$I$175,Allocation!$C$2:$C$175,A64)</f>
        <v/>
      </c>
      <c r="U64">
        <f>SUMIFS(Allocation!$J$2:$J$175,Allocation!$C$2:$C$175,A64)</f>
        <v/>
      </c>
      <c r="V64">
        <f>SUMIFS(Allocation!$K$2:$K$175,Allocation!$C$2:$C$175,A64)</f>
        <v/>
      </c>
      <c r="W64">
        <f>SUMIFS(Compta!$F$2:$F$675,Compta!$A$2:$A$675,B64,Compta!$B$2:$B$675,"621",Compta!$C$2:$C$675,A64)</f>
        <v/>
      </c>
      <c r="X64">
        <f>SUMIFS(Compta!$F$2:$F$675,Compta!$A$2:$A$675,B64,Compta!$B$2:$B$675,"6411",Compta!$C$2:$C$675,A64)</f>
        <v/>
      </c>
      <c r="Y64">
        <f>SUMIFS(Compta!$F$2:$F$675,Compta!$A$2:$A$675,B64,Compta!$B$2:$B$675,"604",Compta!$C$2:$C$675,A64)+SUMIFS(Compta!$F$2:$F$675,Compta!$A$2:$A$675,B64,Compta!$B$2:$B$675,"6063",Compta!$C$2:$C$675,A64)</f>
        <v/>
      </c>
      <c r="Z64">
        <f>SUMIFS(Compta!$F$2:$F$675,Compta!$A$2:$A$675,B64,Compta!$B$2:$B$675,"6231",Compta!$C$2:$C$675,A64)</f>
        <v/>
      </c>
      <c r="AA64">
        <f>SUMIFS(Compta!$F$2:$F$675,Compta!$A$2:$A$675,B64,Compta!$B$2:$B$675,"6413",Compta!$C$2:$C$675,A64)+SUMIFS(Compta!$F$2:$F$675,Compta!$A$2:$A$675,B64,Compta!$B$2:$B$675,"645",Compta!$C$2:$C$675,A64)+SUMIFS(Compta!$F$2:$F$675,Compta!$A$2:$A$675,B64,Compta!$B$2:$B$675,"613",Compta!$C$2:$C$675,A64)+SUMIFS(Compta!$F$2:$F$675,Compta!$A$2:$A$675,B64,Compta!$B$2:$B$675,"615",Compta!$C$2:$C$675,A64)+SUMIFS(Compta!$F$2:$F$675,Compta!$A$2:$A$675,B64,Compta!$B$2:$B$675,"616",Compta!$C$2:$C$675,A64)+SUMIFS(Compta!$F$2:$F$675,Compta!$A$2:$A$675,B64,Compta!$B$2:$B$675,"625",Compta!$C$2:$C$675,A64)+SUMIFS(Compta!$F$2:$F$675,Compta!$A$2:$A$675,B64,Compta!$B$2:$B$675,"63511",Compta!$C$2:$C$675,A64)</f>
        <v/>
      </c>
      <c r="AB64">
        <f>SUMIFS(Compta!$F$2:$F$675,Compta!$A$2:$A$675,"GRP",Compta!$B$2:$B$675,"6414",Compta!$C$2:$C$675,A64)+SUMIFS(Compta!$F$2:$F$675,Compta!$A$2:$A$675,"GRP",Compta!$B$2:$B$675,"6226",Compta!$C$2:$C$675,A64)+SUMIFS(Compta!$F$2:$F$675,Compta!$A$2:$A$675,"GRP",Compta!$B$2:$B$675,"6236",Compta!$C$2:$C$675,A64)+SUMIFS(Compta!$F$2:$F$675,Compta!$A$2:$A$675,"GRP",Compta!$B$2:$B$675,"626",Compta!$C$2:$C$675,A64)+SUMIFS(Compta!$F$2:$F$675,Compta!$A$2:$A$675,"GRP",Compta!$B$2:$B$675,"6281",Compta!$C$2:$C$675,A64)+SUMIFS(Compta!$F$2:$F$675,Compta!$A$2:$A$675,"GRP",Compta!$B$2:$B$675,"6331",Compta!$C$2:$C$675,A64)+SUMIFS(Compta!$F$2:$F$675,Compta!$A$2:$A$675,"GRP",Compta!$B$2:$B$675,"6333",Compta!$C$2:$C$675,A64)</f>
        <v/>
      </c>
      <c r="AC64">
        <f>IF(Pilotage!$E$10="Chiffre d'affaires",I64,IF(Pilotage!$E$10="Effectif",G64,H64))</f>
        <v/>
      </c>
      <c r="AD64">
        <f>IF(Pilotage!$E$10="Chiffre d'affaires",N64,IF(Pilotage!$E$10="Effectif",L64,M64))</f>
        <v/>
      </c>
      <c r="AE64">
        <f>IF(Pilotage!$E$8="Chiffre d'affaires",N64,IF(Pilotage!$E$8="Effectif",L64,M64))</f>
        <v/>
      </c>
      <c r="AF64">
        <f>IF(Pilotage!$E$8="Chiffre d'affaires",S64,IF(Pilotage!$E$8="Effectif",Q64,R64))</f>
        <v/>
      </c>
      <c r="AG64">
        <f>IF(Pilotage!$E$9="Chiffre d'affaires",S64,IF(Pilotage!$E$9="Effectif",Q64,R64))</f>
        <v/>
      </c>
      <c r="AH64">
        <f>IF(Pilotage!$E$9="Chiffre d'affaires",V64,IF(Pilotage!$E$9="Effectif",T64,U64))</f>
        <v/>
      </c>
      <c r="AI64">
        <f>W64*IFERROR(K64/O64,0)</f>
        <v/>
      </c>
      <c r="AJ64">
        <f>X64*IFERROR(K64/O64,0)</f>
        <v/>
      </c>
      <c r="AK64">
        <f>Y64*IFERROR(G64/L64,0)+Z64*IFERROR(J64/P64,0)</f>
        <v/>
      </c>
      <c r="AL64">
        <f>AA64*IFERROR(AC64/AD64,0)</f>
        <v/>
      </c>
      <c r="AM64">
        <f>AB64*IFERROR(AG64/AH64,0)*IFERROR(AE64/AF64,0)*IFERROR(AC64/AD64,0)</f>
        <v/>
      </c>
      <c r="AN64">
        <f>I64-(AI64+AJ64+AK64+AL64+AM64)</f>
        <v/>
      </c>
    </row>
    <row r="65">
      <c r="A65">
        <f>Allocation!C65</f>
        <v/>
      </c>
      <c r="B65">
        <f>Allocation!D65</f>
        <v/>
      </c>
      <c r="C65">
        <f>Allocation!E65</f>
        <v/>
      </c>
      <c r="D65">
        <f>Allocation!F65</f>
        <v/>
      </c>
      <c r="E65">
        <f>Allocation!G65</f>
        <v/>
      </c>
      <c r="F65">
        <f>Allocation!H65</f>
        <v/>
      </c>
      <c r="G65">
        <f>Allocation!I65</f>
        <v/>
      </c>
      <c r="H65">
        <f>Allocation!J65</f>
        <v/>
      </c>
      <c r="I65">
        <f>Allocation!K65</f>
        <v/>
      </c>
      <c r="J65">
        <f>SUMIFS(Socle!$K$2:$K$175,Socle!$C$2:$C$175,B65,Socle!$D$2:$D$175,D65,Socle!$E$2:$E$175,E65,Socle!$F$2:$F$175,F65,Socle!$G$2:$G$175,A65)</f>
        <v/>
      </c>
      <c r="K65">
        <f>H65*IF(AND(LEFT(D65,3)="BAC",F65="INIT"),600,IF(LEFT(D65,3)="BAC",480,IF(AND(LEFT(D65,3)="MAS",F65="INIT"),520,IF(LEFT(D65,3)="MAS",420,IF(F65="INIT",1000,700)))))</f>
        <v/>
      </c>
      <c r="L65">
        <f>SUMIFS(Allocation!$I$2:$I$175,Allocation!$C$2:$C$175,A65,Allocation!$D$2:$D$175,B65)</f>
        <v/>
      </c>
      <c r="M65">
        <f>SUMIFS(Allocation!$J$2:$J$175,Allocation!$C$2:$C$175,A65,Allocation!$D$2:$D$175,B65)</f>
        <v/>
      </c>
      <c r="N65">
        <f>SUMIFS(Allocation!$K$2:$K$175,Allocation!$C$2:$C$175,A65,Allocation!$D$2:$D$175,B65)</f>
        <v/>
      </c>
      <c r="O65">
        <f>SUMIFS($K$2:$K$175,$A$2:$A$175,A65,$B$2:$B$175,B65)</f>
        <v/>
      </c>
      <c r="P65">
        <f>SUMIFS($J$2:$J$175,$A$2:$A$175,A65,$B$2:$B$175,B65)</f>
        <v/>
      </c>
      <c r="Q65">
        <f>SUMIFS(Allocation!$I$2:$I$175,Allocation!$C$2:$C$175,A65,Allocation!$E$2:$E$175,C65)</f>
        <v/>
      </c>
      <c r="R65">
        <f>SUMIFS(Allocation!$J$2:$J$175,Allocation!$C$2:$C$175,A65,Allocation!$E$2:$E$175,C65)</f>
        <v/>
      </c>
      <c r="S65">
        <f>SUMIFS(Allocation!$K$2:$K$175,Allocation!$C$2:$C$175,A65,Allocation!$E$2:$E$175,C65)</f>
        <v/>
      </c>
      <c r="T65">
        <f>SUMIFS(Allocation!$I$2:$I$175,Allocation!$C$2:$C$175,A65)</f>
        <v/>
      </c>
      <c r="U65">
        <f>SUMIFS(Allocation!$J$2:$J$175,Allocation!$C$2:$C$175,A65)</f>
        <v/>
      </c>
      <c r="V65">
        <f>SUMIFS(Allocation!$K$2:$K$175,Allocation!$C$2:$C$175,A65)</f>
        <v/>
      </c>
      <c r="W65">
        <f>SUMIFS(Compta!$F$2:$F$675,Compta!$A$2:$A$675,B65,Compta!$B$2:$B$675,"621",Compta!$C$2:$C$675,A65)</f>
        <v/>
      </c>
      <c r="X65">
        <f>SUMIFS(Compta!$F$2:$F$675,Compta!$A$2:$A$675,B65,Compta!$B$2:$B$675,"6411",Compta!$C$2:$C$675,A65)</f>
        <v/>
      </c>
      <c r="Y65">
        <f>SUMIFS(Compta!$F$2:$F$675,Compta!$A$2:$A$675,B65,Compta!$B$2:$B$675,"604",Compta!$C$2:$C$675,A65)+SUMIFS(Compta!$F$2:$F$675,Compta!$A$2:$A$675,B65,Compta!$B$2:$B$675,"6063",Compta!$C$2:$C$675,A65)</f>
        <v/>
      </c>
      <c r="Z65">
        <f>SUMIFS(Compta!$F$2:$F$675,Compta!$A$2:$A$675,B65,Compta!$B$2:$B$675,"6231",Compta!$C$2:$C$675,A65)</f>
        <v/>
      </c>
      <c r="AA65">
        <f>SUMIFS(Compta!$F$2:$F$675,Compta!$A$2:$A$675,B65,Compta!$B$2:$B$675,"6413",Compta!$C$2:$C$675,A65)+SUMIFS(Compta!$F$2:$F$675,Compta!$A$2:$A$675,B65,Compta!$B$2:$B$675,"645",Compta!$C$2:$C$675,A65)+SUMIFS(Compta!$F$2:$F$675,Compta!$A$2:$A$675,B65,Compta!$B$2:$B$675,"613",Compta!$C$2:$C$675,A65)+SUMIFS(Compta!$F$2:$F$675,Compta!$A$2:$A$675,B65,Compta!$B$2:$B$675,"615",Compta!$C$2:$C$675,A65)+SUMIFS(Compta!$F$2:$F$675,Compta!$A$2:$A$675,B65,Compta!$B$2:$B$675,"616",Compta!$C$2:$C$675,A65)+SUMIFS(Compta!$F$2:$F$675,Compta!$A$2:$A$675,B65,Compta!$B$2:$B$675,"625",Compta!$C$2:$C$675,A65)+SUMIFS(Compta!$F$2:$F$675,Compta!$A$2:$A$675,B65,Compta!$B$2:$B$675,"63511",Compta!$C$2:$C$675,A65)</f>
        <v/>
      </c>
      <c r="AB65">
        <f>SUMIFS(Compta!$F$2:$F$675,Compta!$A$2:$A$675,"GRP",Compta!$B$2:$B$675,"6414",Compta!$C$2:$C$675,A65)+SUMIFS(Compta!$F$2:$F$675,Compta!$A$2:$A$675,"GRP",Compta!$B$2:$B$675,"6226",Compta!$C$2:$C$675,A65)+SUMIFS(Compta!$F$2:$F$675,Compta!$A$2:$A$675,"GRP",Compta!$B$2:$B$675,"6236",Compta!$C$2:$C$675,A65)+SUMIFS(Compta!$F$2:$F$675,Compta!$A$2:$A$675,"GRP",Compta!$B$2:$B$675,"626",Compta!$C$2:$C$675,A65)+SUMIFS(Compta!$F$2:$F$675,Compta!$A$2:$A$675,"GRP",Compta!$B$2:$B$675,"6281",Compta!$C$2:$C$675,A65)+SUMIFS(Compta!$F$2:$F$675,Compta!$A$2:$A$675,"GRP",Compta!$B$2:$B$675,"6331",Compta!$C$2:$C$675,A65)+SUMIFS(Compta!$F$2:$F$675,Compta!$A$2:$A$675,"GRP",Compta!$B$2:$B$675,"6333",Compta!$C$2:$C$675,A65)</f>
        <v/>
      </c>
      <c r="AC65">
        <f>IF(Pilotage!$E$10="Chiffre d'affaires",I65,IF(Pilotage!$E$10="Effectif",G65,H65))</f>
        <v/>
      </c>
      <c r="AD65">
        <f>IF(Pilotage!$E$10="Chiffre d'affaires",N65,IF(Pilotage!$E$10="Effectif",L65,M65))</f>
        <v/>
      </c>
      <c r="AE65">
        <f>IF(Pilotage!$E$8="Chiffre d'affaires",N65,IF(Pilotage!$E$8="Effectif",L65,M65))</f>
        <v/>
      </c>
      <c r="AF65">
        <f>IF(Pilotage!$E$8="Chiffre d'affaires",S65,IF(Pilotage!$E$8="Effectif",Q65,R65))</f>
        <v/>
      </c>
      <c r="AG65">
        <f>IF(Pilotage!$E$9="Chiffre d'affaires",S65,IF(Pilotage!$E$9="Effectif",Q65,R65))</f>
        <v/>
      </c>
      <c r="AH65">
        <f>IF(Pilotage!$E$9="Chiffre d'affaires",V65,IF(Pilotage!$E$9="Effectif",T65,U65))</f>
        <v/>
      </c>
      <c r="AI65">
        <f>W65*IFERROR(K65/O65,0)</f>
        <v/>
      </c>
      <c r="AJ65">
        <f>X65*IFERROR(K65/O65,0)</f>
        <v/>
      </c>
      <c r="AK65">
        <f>Y65*IFERROR(G65/L65,0)+Z65*IFERROR(J65/P65,0)</f>
        <v/>
      </c>
      <c r="AL65">
        <f>AA65*IFERROR(AC65/AD65,0)</f>
        <v/>
      </c>
      <c r="AM65">
        <f>AB65*IFERROR(AG65/AH65,0)*IFERROR(AE65/AF65,0)*IFERROR(AC65/AD65,0)</f>
        <v/>
      </c>
      <c r="AN65">
        <f>I65-(AI65+AJ65+AK65+AL65+AM65)</f>
        <v/>
      </c>
    </row>
    <row r="66">
      <c r="A66">
        <f>Allocation!C66</f>
        <v/>
      </c>
      <c r="B66">
        <f>Allocation!D66</f>
        <v/>
      </c>
      <c r="C66">
        <f>Allocation!E66</f>
        <v/>
      </c>
      <c r="D66">
        <f>Allocation!F66</f>
        <v/>
      </c>
      <c r="E66">
        <f>Allocation!G66</f>
        <v/>
      </c>
      <c r="F66">
        <f>Allocation!H66</f>
        <v/>
      </c>
      <c r="G66">
        <f>Allocation!I66</f>
        <v/>
      </c>
      <c r="H66">
        <f>Allocation!J66</f>
        <v/>
      </c>
      <c r="I66">
        <f>Allocation!K66</f>
        <v/>
      </c>
      <c r="J66">
        <f>SUMIFS(Socle!$K$2:$K$175,Socle!$C$2:$C$175,B66,Socle!$D$2:$D$175,D66,Socle!$E$2:$E$175,E66,Socle!$F$2:$F$175,F66,Socle!$G$2:$G$175,A66)</f>
        <v/>
      </c>
      <c r="K66">
        <f>H66*IF(AND(LEFT(D66,3)="BAC",F66="INIT"),600,IF(LEFT(D66,3)="BAC",480,IF(AND(LEFT(D66,3)="MAS",F66="INIT"),520,IF(LEFT(D66,3)="MAS",420,IF(F66="INIT",1000,700)))))</f>
        <v/>
      </c>
      <c r="L66">
        <f>SUMIFS(Allocation!$I$2:$I$175,Allocation!$C$2:$C$175,A66,Allocation!$D$2:$D$175,B66)</f>
        <v/>
      </c>
      <c r="M66">
        <f>SUMIFS(Allocation!$J$2:$J$175,Allocation!$C$2:$C$175,A66,Allocation!$D$2:$D$175,B66)</f>
        <v/>
      </c>
      <c r="N66">
        <f>SUMIFS(Allocation!$K$2:$K$175,Allocation!$C$2:$C$175,A66,Allocation!$D$2:$D$175,B66)</f>
        <v/>
      </c>
      <c r="O66">
        <f>SUMIFS($K$2:$K$175,$A$2:$A$175,A66,$B$2:$B$175,B66)</f>
        <v/>
      </c>
      <c r="P66">
        <f>SUMIFS($J$2:$J$175,$A$2:$A$175,A66,$B$2:$B$175,B66)</f>
        <v/>
      </c>
      <c r="Q66">
        <f>SUMIFS(Allocation!$I$2:$I$175,Allocation!$C$2:$C$175,A66,Allocation!$E$2:$E$175,C66)</f>
        <v/>
      </c>
      <c r="R66">
        <f>SUMIFS(Allocation!$J$2:$J$175,Allocation!$C$2:$C$175,A66,Allocation!$E$2:$E$175,C66)</f>
        <v/>
      </c>
      <c r="S66">
        <f>SUMIFS(Allocation!$K$2:$K$175,Allocation!$C$2:$C$175,A66,Allocation!$E$2:$E$175,C66)</f>
        <v/>
      </c>
      <c r="T66">
        <f>SUMIFS(Allocation!$I$2:$I$175,Allocation!$C$2:$C$175,A66)</f>
        <v/>
      </c>
      <c r="U66">
        <f>SUMIFS(Allocation!$J$2:$J$175,Allocation!$C$2:$C$175,A66)</f>
        <v/>
      </c>
      <c r="V66">
        <f>SUMIFS(Allocation!$K$2:$K$175,Allocation!$C$2:$C$175,A66)</f>
        <v/>
      </c>
      <c r="W66">
        <f>SUMIFS(Compta!$F$2:$F$675,Compta!$A$2:$A$675,B66,Compta!$B$2:$B$675,"621",Compta!$C$2:$C$675,A66)</f>
        <v/>
      </c>
      <c r="X66">
        <f>SUMIFS(Compta!$F$2:$F$675,Compta!$A$2:$A$675,B66,Compta!$B$2:$B$675,"6411",Compta!$C$2:$C$675,A66)</f>
        <v/>
      </c>
      <c r="Y66">
        <f>SUMIFS(Compta!$F$2:$F$675,Compta!$A$2:$A$675,B66,Compta!$B$2:$B$675,"604",Compta!$C$2:$C$675,A66)+SUMIFS(Compta!$F$2:$F$675,Compta!$A$2:$A$675,B66,Compta!$B$2:$B$675,"6063",Compta!$C$2:$C$675,A66)</f>
        <v/>
      </c>
      <c r="Z66">
        <f>SUMIFS(Compta!$F$2:$F$675,Compta!$A$2:$A$675,B66,Compta!$B$2:$B$675,"6231",Compta!$C$2:$C$675,A66)</f>
        <v/>
      </c>
      <c r="AA66">
        <f>SUMIFS(Compta!$F$2:$F$675,Compta!$A$2:$A$675,B66,Compta!$B$2:$B$675,"6413",Compta!$C$2:$C$675,A66)+SUMIFS(Compta!$F$2:$F$675,Compta!$A$2:$A$675,B66,Compta!$B$2:$B$675,"645",Compta!$C$2:$C$675,A66)+SUMIFS(Compta!$F$2:$F$675,Compta!$A$2:$A$675,B66,Compta!$B$2:$B$675,"613",Compta!$C$2:$C$675,A66)+SUMIFS(Compta!$F$2:$F$675,Compta!$A$2:$A$675,B66,Compta!$B$2:$B$675,"615",Compta!$C$2:$C$675,A66)+SUMIFS(Compta!$F$2:$F$675,Compta!$A$2:$A$675,B66,Compta!$B$2:$B$675,"616",Compta!$C$2:$C$675,A66)+SUMIFS(Compta!$F$2:$F$675,Compta!$A$2:$A$675,B66,Compta!$B$2:$B$675,"625",Compta!$C$2:$C$675,A66)+SUMIFS(Compta!$F$2:$F$675,Compta!$A$2:$A$675,B66,Compta!$B$2:$B$675,"63511",Compta!$C$2:$C$675,A66)</f>
        <v/>
      </c>
      <c r="AB66">
        <f>SUMIFS(Compta!$F$2:$F$675,Compta!$A$2:$A$675,"GRP",Compta!$B$2:$B$675,"6414",Compta!$C$2:$C$675,A66)+SUMIFS(Compta!$F$2:$F$675,Compta!$A$2:$A$675,"GRP",Compta!$B$2:$B$675,"6226",Compta!$C$2:$C$675,A66)+SUMIFS(Compta!$F$2:$F$675,Compta!$A$2:$A$675,"GRP",Compta!$B$2:$B$675,"6236",Compta!$C$2:$C$675,A66)+SUMIFS(Compta!$F$2:$F$675,Compta!$A$2:$A$675,"GRP",Compta!$B$2:$B$675,"626",Compta!$C$2:$C$675,A66)+SUMIFS(Compta!$F$2:$F$675,Compta!$A$2:$A$675,"GRP",Compta!$B$2:$B$675,"6281",Compta!$C$2:$C$675,A66)+SUMIFS(Compta!$F$2:$F$675,Compta!$A$2:$A$675,"GRP",Compta!$B$2:$B$675,"6331",Compta!$C$2:$C$675,A66)+SUMIFS(Compta!$F$2:$F$675,Compta!$A$2:$A$675,"GRP",Compta!$B$2:$B$675,"6333",Compta!$C$2:$C$675,A66)</f>
        <v/>
      </c>
      <c r="AC66">
        <f>IF(Pilotage!$E$10="Chiffre d'affaires",I66,IF(Pilotage!$E$10="Effectif",G66,H66))</f>
        <v/>
      </c>
      <c r="AD66">
        <f>IF(Pilotage!$E$10="Chiffre d'affaires",N66,IF(Pilotage!$E$10="Effectif",L66,M66))</f>
        <v/>
      </c>
      <c r="AE66">
        <f>IF(Pilotage!$E$8="Chiffre d'affaires",N66,IF(Pilotage!$E$8="Effectif",L66,M66))</f>
        <v/>
      </c>
      <c r="AF66">
        <f>IF(Pilotage!$E$8="Chiffre d'affaires",S66,IF(Pilotage!$E$8="Effectif",Q66,R66))</f>
        <v/>
      </c>
      <c r="AG66">
        <f>IF(Pilotage!$E$9="Chiffre d'affaires",S66,IF(Pilotage!$E$9="Effectif",Q66,R66))</f>
        <v/>
      </c>
      <c r="AH66">
        <f>IF(Pilotage!$E$9="Chiffre d'affaires",V66,IF(Pilotage!$E$9="Effectif",T66,U66))</f>
        <v/>
      </c>
      <c r="AI66">
        <f>W66*IFERROR(K66/O66,0)</f>
        <v/>
      </c>
      <c r="AJ66">
        <f>X66*IFERROR(K66/O66,0)</f>
        <v/>
      </c>
      <c r="AK66">
        <f>Y66*IFERROR(G66/L66,0)+Z66*IFERROR(J66/P66,0)</f>
        <v/>
      </c>
      <c r="AL66">
        <f>AA66*IFERROR(AC66/AD66,0)</f>
        <v/>
      </c>
      <c r="AM66">
        <f>AB66*IFERROR(AG66/AH66,0)*IFERROR(AE66/AF66,0)*IFERROR(AC66/AD66,0)</f>
        <v/>
      </c>
      <c r="AN66">
        <f>I66-(AI66+AJ66+AK66+AL66+AM66)</f>
        <v/>
      </c>
    </row>
    <row r="67">
      <c r="A67">
        <f>Allocation!C67</f>
        <v/>
      </c>
      <c r="B67">
        <f>Allocation!D67</f>
        <v/>
      </c>
      <c r="C67">
        <f>Allocation!E67</f>
        <v/>
      </c>
      <c r="D67">
        <f>Allocation!F67</f>
        <v/>
      </c>
      <c r="E67">
        <f>Allocation!G67</f>
        <v/>
      </c>
      <c r="F67">
        <f>Allocation!H67</f>
        <v/>
      </c>
      <c r="G67">
        <f>Allocation!I67</f>
        <v/>
      </c>
      <c r="H67">
        <f>Allocation!J67</f>
        <v/>
      </c>
      <c r="I67">
        <f>Allocation!K67</f>
        <v/>
      </c>
      <c r="J67">
        <f>SUMIFS(Socle!$K$2:$K$175,Socle!$C$2:$C$175,B67,Socle!$D$2:$D$175,D67,Socle!$E$2:$E$175,E67,Socle!$F$2:$F$175,F67,Socle!$G$2:$G$175,A67)</f>
        <v/>
      </c>
      <c r="K67">
        <f>H67*IF(AND(LEFT(D67,3)="BAC",F67="INIT"),600,IF(LEFT(D67,3)="BAC",480,IF(AND(LEFT(D67,3)="MAS",F67="INIT"),520,IF(LEFT(D67,3)="MAS",420,IF(F67="INIT",1000,700)))))</f>
        <v/>
      </c>
      <c r="L67">
        <f>SUMIFS(Allocation!$I$2:$I$175,Allocation!$C$2:$C$175,A67,Allocation!$D$2:$D$175,B67)</f>
        <v/>
      </c>
      <c r="M67">
        <f>SUMIFS(Allocation!$J$2:$J$175,Allocation!$C$2:$C$175,A67,Allocation!$D$2:$D$175,B67)</f>
        <v/>
      </c>
      <c r="N67">
        <f>SUMIFS(Allocation!$K$2:$K$175,Allocation!$C$2:$C$175,A67,Allocation!$D$2:$D$175,B67)</f>
        <v/>
      </c>
      <c r="O67">
        <f>SUMIFS($K$2:$K$175,$A$2:$A$175,A67,$B$2:$B$175,B67)</f>
        <v/>
      </c>
      <c r="P67">
        <f>SUMIFS($J$2:$J$175,$A$2:$A$175,A67,$B$2:$B$175,B67)</f>
        <v/>
      </c>
      <c r="Q67">
        <f>SUMIFS(Allocation!$I$2:$I$175,Allocation!$C$2:$C$175,A67,Allocation!$E$2:$E$175,C67)</f>
        <v/>
      </c>
      <c r="R67">
        <f>SUMIFS(Allocation!$J$2:$J$175,Allocation!$C$2:$C$175,A67,Allocation!$E$2:$E$175,C67)</f>
        <v/>
      </c>
      <c r="S67">
        <f>SUMIFS(Allocation!$K$2:$K$175,Allocation!$C$2:$C$175,A67,Allocation!$E$2:$E$175,C67)</f>
        <v/>
      </c>
      <c r="T67">
        <f>SUMIFS(Allocation!$I$2:$I$175,Allocation!$C$2:$C$175,A67)</f>
        <v/>
      </c>
      <c r="U67">
        <f>SUMIFS(Allocation!$J$2:$J$175,Allocation!$C$2:$C$175,A67)</f>
        <v/>
      </c>
      <c r="V67">
        <f>SUMIFS(Allocation!$K$2:$K$175,Allocation!$C$2:$C$175,A67)</f>
        <v/>
      </c>
      <c r="W67">
        <f>SUMIFS(Compta!$F$2:$F$675,Compta!$A$2:$A$675,B67,Compta!$B$2:$B$675,"621",Compta!$C$2:$C$675,A67)</f>
        <v/>
      </c>
      <c r="X67">
        <f>SUMIFS(Compta!$F$2:$F$675,Compta!$A$2:$A$675,B67,Compta!$B$2:$B$675,"6411",Compta!$C$2:$C$675,A67)</f>
        <v/>
      </c>
      <c r="Y67">
        <f>SUMIFS(Compta!$F$2:$F$675,Compta!$A$2:$A$675,B67,Compta!$B$2:$B$675,"604",Compta!$C$2:$C$675,A67)+SUMIFS(Compta!$F$2:$F$675,Compta!$A$2:$A$675,B67,Compta!$B$2:$B$675,"6063",Compta!$C$2:$C$675,A67)</f>
        <v/>
      </c>
      <c r="Z67">
        <f>SUMIFS(Compta!$F$2:$F$675,Compta!$A$2:$A$675,B67,Compta!$B$2:$B$675,"6231",Compta!$C$2:$C$675,A67)</f>
        <v/>
      </c>
      <c r="AA67">
        <f>SUMIFS(Compta!$F$2:$F$675,Compta!$A$2:$A$675,B67,Compta!$B$2:$B$675,"6413",Compta!$C$2:$C$675,A67)+SUMIFS(Compta!$F$2:$F$675,Compta!$A$2:$A$675,B67,Compta!$B$2:$B$675,"645",Compta!$C$2:$C$675,A67)+SUMIFS(Compta!$F$2:$F$675,Compta!$A$2:$A$675,B67,Compta!$B$2:$B$675,"613",Compta!$C$2:$C$675,A67)+SUMIFS(Compta!$F$2:$F$675,Compta!$A$2:$A$675,B67,Compta!$B$2:$B$675,"615",Compta!$C$2:$C$675,A67)+SUMIFS(Compta!$F$2:$F$675,Compta!$A$2:$A$675,B67,Compta!$B$2:$B$675,"616",Compta!$C$2:$C$675,A67)+SUMIFS(Compta!$F$2:$F$675,Compta!$A$2:$A$675,B67,Compta!$B$2:$B$675,"625",Compta!$C$2:$C$675,A67)+SUMIFS(Compta!$F$2:$F$675,Compta!$A$2:$A$675,B67,Compta!$B$2:$B$675,"63511",Compta!$C$2:$C$675,A67)</f>
        <v/>
      </c>
      <c r="AB67">
        <f>SUMIFS(Compta!$F$2:$F$675,Compta!$A$2:$A$675,"GRP",Compta!$B$2:$B$675,"6414",Compta!$C$2:$C$675,A67)+SUMIFS(Compta!$F$2:$F$675,Compta!$A$2:$A$675,"GRP",Compta!$B$2:$B$675,"6226",Compta!$C$2:$C$675,A67)+SUMIFS(Compta!$F$2:$F$675,Compta!$A$2:$A$675,"GRP",Compta!$B$2:$B$675,"6236",Compta!$C$2:$C$675,A67)+SUMIFS(Compta!$F$2:$F$675,Compta!$A$2:$A$675,"GRP",Compta!$B$2:$B$675,"626",Compta!$C$2:$C$675,A67)+SUMIFS(Compta!$F$2:$F$675,Compta!$A$2:$A$675,"GRP",Compta!$B$2:$B$675,"6281",Compta!$C$2:$C$675,A67)+SUMIFS(Compta!$F$2:$F$675,Compta!$A$2:$A$675,"GRP",Compta!$B$2:$B$675,"6331",Compta!$C$2:$C$675,A67)+SUMIFS(Compta!$F$2:$F$675,Compta!$A$2:$A$675,"GRP",Compta!$B$2:$B$675,"6333",Compta!$C$2:$C$675,A67)</f>
        <v/>
      </c>
      <c r="AC67">
        <f>IF(Pilotage!$E$10="Chiffre d'affaires",I67,IF(Pilotage!$E$10="Effectif",G67,H67))</f>
        <v/>
      </c>
      <c r="AD67">
        <f>IF(Pilotage!$E$10="Chiffre d'affaires",N67,IF(Pilotage!$E$10="Effectif",L67,M67))</f>
        <v/>
      </c>
      <c r="AE67">
        <f>IF(Pilotage!$E$8="Chiffre d'affaires",N67,IF(Pilotage!$E$8="Effectif",L67,M67))</f>
        <v/>
      </c>
      <c r="AF67">
        <f>IF(Pilotage!$E$8="Chiffre d'affaires",S67,IF(Pilotage!$E$8="Effectif",Q67,R67))</f>
        <v/>
      </c>
      <c r="AG67">
        <f>IF(Pilotage!$E$9="Chiffre d'affaires",S67,IF(Pilotage!$E$9="Effectif",Q67,R67))</f>
        <v/>
      </c>
      <c r="AH67">
        <f>IF(Pilotage!$E$9="Chiffre d'affaires",V67,IF(Pilotage!$E$9="Effectif",T67,U67))</f>
        <v/>
      </c>
      <c r="AI67">
        <f>W67*IFERROR(K67/O67,0)</f>
        <v/>
      </c>
      <c r="AJ67">
        <f>X67*IFERROR(K67/O67,0)</f>
        <v/>
      </c>
      <c r="AK67">
        <f>Y67*IFERROR(G67/L67,0)+Z67*IFERROR(J67/P67,0)</f>
        <v/>
      </c>
      <c r="AL67">
        <f>AA67*IFERROR(AC67/AD67,0)</f>
        <v/>
      </c>
      <c r="AM67">
        <f>AB67*IFERROR(AG67/AH67,0)*IFERROR(AE67/AF67,0)*IFERROR(AC67/AD67,0)</f>
        <v/>
      </c>
      <c r="AN67">
        <f>I67-(AI67+AJ67+AK67+AL67+AM67)</f>
        <v/>
      </c>
    </row>
    <row r="68">
      <c r="A68">
        <f>Allocation!C68</f>
        <v/>
      </c>
      <c r="B68">
        <f>Allocation!D68</f>
        <v/>
      </c>
      <c r="C68">
        <f>Allocation!E68</f>
        <v/>
      </c>
      <c r="D68">
        <f>Allocation!F68</f>
        <v/>
      </c>
      <c r="E68">
        <f>Allocation!G68</f>
        <v/>
      </c>
      <c r="F68">
        <f>Allocation!H68</f>
        <v/>
      </c>
      <c r="G68">
        <f>Allocation!I68</f>
        <v/>
      </c>
      <c r="H68">
        <f>Allocation!J68</f>
        <v/>
      </c>
      <c r="I68">
        <f>Allocation!K68</f>
        <v/>
      </c>
      <c r="J68">
        <f>SUMIFS(Socle!$K$2:$K$175,Socle!$C$2:$C$175,B68,Socle!$D$2:$D$175,D68,Socle!$E$2:$E$175,E68,Socle!$F$2:$F$175,F68,Socle!$G$2:$G$175,A68)</f>
        <v/>
      </c>
      <c r="K68">
        <f>H68*IF(AND(LEFT(D68,3)="BAC",F68="INIT"),600,IF(LEFT(D68,3)="BAC",480,IF(AND(LEFT(D68,3)="MAS",F68="INIT"),520,IF(LEFT(D68,3)="MAS",420,IF(F68="INIT",1000,700)))))</f>
        <v/>
      </c>
      <c r="L68">
        <f>SUMIFS(Allocation!$I$2:$I$175,Allocation!$C$2:$C$175,A68,Allocation!$D$2:$D$175,B68)</f>
        <v/>
      </c>
      <c r="M68">
        <f>SUMIFS(Allocation!$J$2:$J$175,Allocation!$C$2:$C$175,A68,Allocation!$D$2:$D$175,B68)</f>
        <v/>
      </c>
      <c r="N68">
        <f>SUMIFS(Allocation!$K$2:$K$175,Allocation!$C$2:$C$175,A68,Allocation!$D$2:$D$175,B68)</f>
        <v/>
      </c>
      <c r="O68">
        <f>SUMIFS($K$2:$K$175,$A$2:$A$175,A68,$B$2:$B$175,B68)</f>
        <v/>
      </c>
      <c r="P68">
        <f>SUMIFS($J$2:$J$175,$A$2:$A$175,A68,$B$2:$B$175,B68)</f>
        <v/>
      </c>
      <c r="Q68">
        <f>SUMIFS(Allocation!$I$2:$I$175,Allocation!$C$2:$C$175,A68,Allocation!$E$2:$E$175,C68)</f>
        <v/>
      </c>
      <c r="R68">
        <f>SUMIFS(Allocation!$J$2:$J$175,Allocation!$C$2:$C$175,A68,Allocation!$E$2:$E$175,C68)</f>
        <v/>
      </c>
      <c r="S68">
        <f>SUMIFS(Allocation!$K$2:$K$175,Allocation!$C$2:$C$175,A68,Allocation!$E$2:$E$175,C68)</f>
        <v/>
      </c>
      <c r="T68">
        <f>SUMIFS(Allocation!$I$2:$I$175,Allocation!$C$2:$C$175,A68)</f>
        <v/>
      </c>
      <c r="U68">
        <f>SUMIFS(Allocation!$J$2:$J$175,Allocation!$C$2:$C$175,A68)</f>
        <v/>
      </c>
      <c r="V68">
        <f>SUMIFS(Allocation!$K$2:$K$175,Allocation!$C$2:$C$175,A68)</f>
        <v/>
      </c>
      <c r="W68">
        <f>SUMIFS(Compta!$F$2:$F$675,Compta!$A$2:$A$675,B68,Compta!$B$2:$B$675,"621",Compta!$C$2:$C$675,A68)</f>
        <v/>
      </c>
      <c r="X68">
        <f>SUMIFS(Compta!$F$2:$F$675,Compta!$A$2:$A$675,B68,Compta!$B$2:$B$675,"6411",Compta!$C$2:$C$675,A68)</f>
        <v/>
      </c>
      <c r="Y68">
        <f>SUMIFS(Compta!$F$2:$F$675,Compta!$A$2:$A$675,B68,Compta!$B$2:$B$675,"604",Compta!$C$2:$C$675,A68)+SUMIFS(Compta!$F$2:$F$675,Compta!$A$2:$A$675,B68,Compta!$B$2:$B$675,"6063",Compta!$C$2:$C$675,A68)</f>
        <v/>
      </c>
      <c r="Z68">
        <f>SUMIFS(Compta!$F$2:$F$675,Compta!$A$2:$A$675,B68,Compta!$B$2:$B$675,"6231",Compta!$C$2:$C$675,A68)</f>
        <v/>
      </c>
      <c r="AA68">
        <f>SUMIFS(Compta!$F$2:$F$675,Compta!$A$2:$A$675,B68,Compta!$B$2:$B$675,"6413",Compta!$C$2:$C$675,A68)+SUMIFS(Compta!$F$2:$F$675,Compta!$A$2:$A$675,B68,Compta!$B$2:$B$675,"645",Compta!$C$2:$C$675,A68)+SUMIFS(Compta!$F$2:$F$675,Compta!$A$2:$A$675,B68,Compta!$B$2:$B$675,"613",Compta!$C$2:$C$675,A68)+SUMIFS(Compta!$F$2:$F$675,Compta!$A$2:$A$675,B68,Compta!$B$2:$B$675,"615",Compta!$C$2:$C$675,A68)+SUMIFS(Compta!$F$2:$F$675,Compta!$A$2:$A$675,B68,Compta!$B$2:$B$675,"616",Compta!$C$2:$C$675,A68)+SUMIFS(Compta!$F$2:$F$675,Compta!$A$2:$A$675,B68,Compta!$B$2:$B$675,"625",Compta!$C$2:$C$675,A68)+SUMIFS(Compta!$F$2:$F$675,Compta!$A$2:$A$675,B68,Compta!$B$2:$B$675,"63511",Compta!$C$2:$C$675,A68)</f>
        <v/>
      </c>
      <c r="AB68">
        <f>SUMIFS(Compta!$F$2:$F$675,Compta!$A$2:$A$675,"GRP",Compta!$B$2:$B$675,"6414",Compta!$C$2:$C$675,A68)+SUMIFS(Compta!$F$2:$F$675,Compta!$A$2:$A$675,"GRP",Compta!$B$2:$B$675,"6226",Compta!$C$2:$C$675,A68)+SUMIFS(Compta!$F$2:$F$675,Compta!$A$2:$A$675,"GRP",Compta!$B$2:$B$675,"6236",Compta!$C$2:$C$675,A68)+SUMIFS(Compta!$F$2:$F$675,Compta!$A$2:$A$675,"GRP",Compta!$B$2:$B$675,"626",Compta!$C$2:$C$675,A68)+SUMIFS(Compta!$F$2:$F$675,Compta!$A$2:$A$675,"GRP",Compta!$B$2:$B$675,"6281",Compta!$C$2:$C$675,A68)+SUMIFS(Compta!$F$2:$F$675,Compta!$A$2:$A$675,"GRP",Compta!$B$2:$B$675,"6331",Compta!$C$2:$C$675,A68)+SUMIFS(Compta!$F$2:$F$675,Compta!$A$2:$A$675,"GRP",Compta!$B$2:$B$675,"6333",Compta!$C$2:$C$675,A68)</f>
        <v/>
      </c>
      <c r="AC68">
        <f>IF(Pilotage!$E$10="Chiffre d'affaires",I68,IF(Pilotage!$E$10="Effectif",G68,H68))</f>
        <v/>
      </c>
      <c r="AD68">
        <f>IF(Pilotage!$E$10="Chiffre d'affaires",N68,IF(Pilotage!$E$10="Effectif",L68,M68))</f>
        <v/>
      </c>
      <c r="AE68">
        <f>IF(Pilotage!$E$8="Chiffre d'affaires",N68,IF(Pilotage!$E$8="Effectif",L68,M68))</f>
        <v/>
      </c>
      <c r="AF68">
        <f>IF(Pilotage!$E$8="Chiffre d'affaires",S68,IF(Pilotage!$E$8="Effectif",Q68,R68))</f>
        <v/>
      </c>
      <c r="AG68">
        <f>IF(Pilotage!$E$9="Chiffre d'affaires",S68,IF(Pilotage!$E$9="Effectif",Q68,R68))</f>
        <v/>
      </c>
      <c r="AH68">
        <f>IF(Pilotage!$E$9="Chiffre d'affaires",V68,IF(Pilotage!$E$9="Effectif",T68,U68))</f>
        <v/>
      </c>
      <c r="AI68">
        <f>W68*IFERROR(K68/O68,0)</f>
        <v/>
      </c>
      <c r="AJ68">
        <f>X68*IFERROR(K68/O68,0)</f>
        <v/>
      </c>
      <c r="AK68">
        <f>Y68*IFERROR(G68/L68,0)+Z68*IFERROR(J68/P68,0)</f>
        <v/>
      </c>
      <c r="AL68">
        <f>AA68*IFERROR(AC68/AD68,0)</f>
        <v/>
      </c>
      <c r="AM68">
        <f>AB68*IFERROR(AG68/AH68,0)*IFERROR(AE68/AF68,0)*IFERROR(AC68/AD68,0)</f>
        <v/>
      </c>
      <c r="AN68">
        <f>I68-(AI68+AJ68+AK68+AL68+AM68)</f>
        <v/>
      </c>
    </row>
    <row r="69">
      <c r="A69">
        <f>Allocation!C69</f>
        <v/>
      </c>
      <c r="B69">
        <f>Allocation!D69</f>
        <v/>
      </c>
      <c r="C69">
        <f>Allocation!E69</f>
        <v/>
      </c>
      <c r="D69">
        <f>Allocation!F69</f>
        <v/>
      </c>
      <c r="E69">
        <f>Allocation!G69</f>
        <v/>
      </c>
      <c r="F69">
        <f>Allocation!H69</f>
        <v/>
      </c>
      <c r="G69">
        <f>Allocation!I69</f>
        <v/>
      </c>
      <c r="H69">
        <f>Allocation!J69</f>
        <v/>
      </c>
      <c r="I69">
        <f>Allocation!K69</f>
        <v/>
      </c>
      <c r="J69">
        <f>SUMIFS(Socle!$K$2:$K$175,Socle!$C$2:$C$175,B69,Socle!$D$2:$D$175,D69,Socle!$E$2:$E$175,E69,Socle!$F$2:$F$175,F69,Socle!$G$2:$G$175,A69)</f>
        <v/>
      </c>
      <c r="K69">
        <f>H69*IF(AND(LEFT(D69,3)="BAC",F69="INIT"),600,IF(LEFT(D69,3)="BAC",480,IF(AND(LEFT(D69,3)="MAS",F69="INIT"),520,IF(LEFT(D69,3)="MAS",420,IF(F69="INIT",1000,700)))))</f>
        <v/>
      </c>
      <c r="L69">
        <f>SUMIFS(Allocation!$I$2:$I$175,Allocation!$C$2:$C$175,A69,Allocation!$D$2:$D$175,B69)</f>
        <v/>
      </c>
      <c r="M69">
        <f>SUMIFS(Allocation!$J$2:$J$175,Allocation!$C$2:$C$175,A69,Allocation!$D$2:$D$175,B69)</f>
        <v/>
      </c>
      <c r="N69">
        <f>SUMIFS(Allocation!$K$2:$K$175,Allocation!$C$2:$C$175,A69,Allocation!$D$2:$D$175,B69)</f>
        <v/>
      </c>
      <c r="O69">
        <f>SUMIFS($K$2:$K$175,$A$2:$A$175,A69,$B$2:$B$175,B69)</f>
        <v/>
      </c>
      <c r="P69">
        <f>SUMIFS($J$2:$J$175,$A$2:$A$175,A69,$B$2:$B$175,B69)</f>
        <v/>
      </c>
      <c r="Q69">
        <f>SUMIFS(Allocation!$I$2:$I$175,Allocation!$C$2:$C$175,A69,Allocation!$E$2:$E$175,C69)</f>
        <v/>
      </c>
      <c r="R69">
        <f>SUMIFS(Allocation!$J$2:$J$175,Allocation!$C$2:$C$175,A69,Allocation!$E$2:$E$175,C69)</f>
        <v/>
      </c>
      <c r="S69">
        <f>SUMIFS(Allocation!$K$2:$K$175,Allocation!$C$2:$C$175,A69,Allocation!$E$2:$E$175,C69)</f>
        <v/>
      </c>
      <c r="T69">
        <f>SUMIFS(Allocation!$I$2:$I$175,Allocation!$C$2:$C$175,A69)</f>
        <v/>
      </c>
      <c r="U69">
        <f>SUMIFS(Allocation!$J$2:$J$175,Allocation!$C$2:$C$175,A69)</f>
        <v/>
      </c>
      <c r="V69">
        <f>SUMIFS(Allocation!$K$2:$K$175,Allocation!$C$2:$C$175,A69)</f>
        <v/>
      </c>
      <c r="W69">
        <f>SUMIFS(Compta!$F$2:$F$675,Compta!$A$2:$A$675,B69,Compta!$B$2:$B$675,"621",Compta!$C$2:$C$675,A69)</f>
        <v/>
      </c>
      <c r="X69">
        <f>SUMIFS(Compta!$F$2:$F$675,Compta!$A$2:$A$675,B69,Compta!$B$2:$B$675,"6411",Compta!$C$2:$C$675,A69)</f>
        <v/>
      </c>
      <c r="Y69">
        <f>SUMIFS(Compta!$F$2:$F$675,Compta!$A$2:$A$675,B69,Compta!$B$2:$B$675,"604",Compta!$C$2:$C$675,A69)+SUMIFS(Compta!$F$2:$F$675,Compta!$A$2:$A$675,B69,Compta!$B$2:$B$675,"6063",Compta!$C$2:$C$675,A69)</f>
        <v/>
      </c>
      <c r="Z69">
        <f>SUMIFS(Compta!$F$2:$F$675,Compta!$A$2:$A$675,B69,Compta!$B$2:$B$675,"6231",Compta!$C$2:$C$675,A69)</f>
        <v/>
      </c>
      <c r="AA69">
        <f>SUMIFS(Compta!$F$2:$F$675,Compta!$A$2:$A$675,B69,Compta!$B$2:$B$675,"6413",Compta!$C$2:$C$675,A69)+SUMIFS(Compta!$F$2:$F$675,Compta!$A$2:$A$675,B69,Compta!$B$2:$B$675,"645",Compta!$C$2:$C$675,A69)+SUMIFS(Compta!$F$2:$F$675,Compta!$A$2:$A$675,B69,Compta!$B$2:$B$675,"613",Compta!$C$2:$C$675,A69)+SUMIFS(Compta!$F$2:$F$675,Compta!$A$2:$A$675,B69,Compta!$B$2:$B$675,"615",Compta!$C$2:$C$675,A69)+SUMIFS(Compta!$F$2:$F$675,Compta!$A$2:$A$675,B69,Compta!$B$2:$B$675,"616",Compta!$C$2:$C$675,A69)+SUMIFS(Compta!$F$2:$F$675,Compta!$A$2:$A$675,B69,Compta!$B$2:$B$675,"625",Compta!$C$2:$C$675,A69)+SUMIFS(Compta!$F$2:$F$675,Compta!$A$2:$A$675,B69,Compta!$B$2:$B$675,"63511",Compta!$C$2:$C$675,A69)</f>
        <v/>
      </c>
      <c r="AB69">
        <f>SUMIFS(Compta!$F$2:$F$675,Compta!$A$2:$A$675,"GRP",Compta!$B$2:$B$675,"6414",Compta!$C$2:$C$675,A69)+SUMIFS(Compta!$F$2:$F$675,Compta!$A$2:$A$675,"GRP",Compta!$B$2:$B$675,"6226",Compta!$C$2:$C$675,A69)+SUMIFS(Compta!$F$2:$F$675,Compta!$A$2:$A$675,"GRP",Compta!$B$2:$B$675,"6236",Compta!$C$2:$C$675,A69)+SUMIFS(Compta!$F$2:$F$675,Compta!$A$2:$A$675,"GRP",Compta!$B$2:$B$675,"626",Compta!$C$2:$C$675,A69)+SUMIFS(Compta!$F$2:$F$675,Compta!$A$2:$A$675,"GRP",Compta!$B$2:$B$675,"6281",Compta!$C$2:$C$675,A69)+SUMIFS(Compta!$F$2:$F$675,Compta!$A$2:$A$675,"GRP",Compta!$B$2:$B$675,"6331",Compta!$C$2:$C$675,A69)+SUMIFS(Compta!$F$2:$F$675,Compta!$A$2:$A$675,"GRP",Compta!$B$2:$B$675,"6333",Compta!$C$2:$C$675,A69)</f>
        <v/>
      </c>
      <c r="AC69">
        <f>IF(Pilotage!$E$10="Chiffre d'affaires",I69,IF(Pilotage!$E$10="Effectif",G69,H69))</f>
        <v/>
      </c>
      <c r="AD69">
        <f>IF(Pilotage!$E$10="Chiffre d'affaires",N69,IF(Pilotage!$E$10="Effectif",L69,M69))</f>
        <v/>
      </c>
      <c r="AE69">
        <f>IF(Pilotage!$E$8="Chiffre d'affaires",N69,IF(Pilotage!$E$8="Effectif",L69,M69))</f>
        <v/>
      </c>
      <c r="AF69">
        <f>IF(Pilotage!$E$8="Chiffre d'affaires",S69,IF(Pilotage!$E$8="Effectif",Q69,R69))</f>
        <v/>
      </c>
      <c r="AG69">
        <f>IF(Pilotage!$E$9="Chiffre d'affaires",S69,IF(Pilotage!$E$9="Effectif",Q69,R69))</f>
        <v/>
      </c>
      <c r="AH69">
        <f>IF(Pilotage!$E$9="Chiffre d'affaires",V69,IF(Pilotage!$E$9="Effectif",T69,U69))</f>
        <v/>
      </c>
      <c r="AI69">
        <f>W69*IFERROR(K69/O69,0)</f>
        <v/>
      </c>
      <c r="AJ69">
        <f>X69*IFERROR(K69/O69,0)</f>
        <v/>
      </c>
      <c r="AK69">
        <f>Y69*IFERROR(G69/L69,0)+Z69*IFERROR(J69/P69,0)</f>
        <v/>
      </c>
      <c r="AL69">
        <f>AA69*IFERROR(AC69/AD69,0)</f>
        <v/>
      </c>
      <c r="AM69">
        <f>AB69*IFERROR(AG69/AH69,0)*IFERROR(AE69/AF69,0)*IFERROR(AC69/AD69,0)</f>
        <v/>
      </c>
      <c r="AN69">
        <f>I69-(AI69+AJ69+AK69+AL69+AM69)</f>
        <v/>
      </c>
    </row>
    <row r="70">
      <c r="A70">
        <f>Allocation!C70</f>
        <v/>
      </c>
      <c r="B70">
        <f>Allocation!D70</f>
        <v/>
      </c>
      <c r="C70">
        <f>Allocation!E70</f>
        <v/>
      </c>
      <c r="D70">
        <f>Allocation!F70</f>
        <v/>
      </c>
      <c r="E70">
        <f>Allocation!G70</f>
        <v/>
      </c>
      <c r="F70">
        <f>Allocation!H70</f>
        <v/>
      </c>
      <c r="G70">
        <f>Allocation!I70</f>
        <v/>
      </c>
      <c r="H70">
        <f>Allocation!J70</f>
        <v/>
      </c>
      <c r="I70">
        <f>Allocation!K70</f>
        <v/>
      </c>
      <c r="J70">
        <f>SUMIFS(Socle!$K$2:$K$175,Socle!$C$2:$C$175,B70,Socle!$D$2:$D$175,D70,Socle!$E$2:$E$175,E70,Socle!$F$2:$F$175,F70,Socle!$G$2:$G$175,A70)</f>
        <v/>
      </c>
      <c r="K70">
        <f>H70*IF(AND(LEFT(D70,3)="BAC",F70="INIT"),600,IF(LEFT(D70,3)="BAC",480,IF(AND(LEFT(D70,3)="MAS",F70="INIT"),520,IF(LEFT(D70,3)="MAS",420,IF(F70="INIT",1000,700)))))</f>
        <v/>
      </c>
      <c r="L70">
        <f>SUMIFS(Allocation!$I$2:$I$175,Allocation!$C$2:$C$175,A70,Allocation!$D$2:$D$175,B70)</f>
        <v/>
      </c>
      <c r="M70">
        <f>SUMIFS(Allocation!$J$2:$J$175,Allocation!$C$2:$C$175,A70,Allocation!$D$2:$D$175,B70)</f>
        <v/>
      </c>
      <c r="N70">
        <f>SUMIFS(Allocation!$K$2:$K$175,Allocation!$C$2:$C$175,A70,Allocation!$D$2:$D$175,B70)</f>
        <v/>
      </c>
      <c r="O70">
        <f>SUMIFS($K$2:$K$175,$A$2:$A$175,A70,$B$2:$B$175,B70)</f>
        <v/>
      </c>
      <c r="P70">
        <f>SUMIFS($J$2:$J$175,$A$2:$A$175,A70,$B$2:$B$175,B70)</f>
        <v/>
      </c>
      <c r="Q70">
        <f>SUMIFS(Allocation!$I$2:$I$175,Allocation!$C$2:$C$175,A70,Allocation!$E$2:$E$175,C70)</f>
        <v/>
      </c>
      <c r="R70">
        <f>SUMIFS(Allocation!$J$2:$J$175,Allocation!$C$2:$C$175,A70,Allocation!$E$2:$E$175,C70)</f>
        <v/>
      </c>
      <c r="S70">
        <f>SUMIFS(Allocation!$K$2:$K$175,Allocation!$C$2:$C$175,A70,Allocation!$E$2:$E$175,C70)</f>
        <v/>
      </c>
      <c r="T70">
        <f>SUMIFS(Allocation!$I$2:$I$175,Allocation!$C$2:$C$175,A70)</f>
        <v/>
      </c>
      <c r="U70">
        <f>SUMIFS(Allocation!$J$2:$J$175,Allocation!$C$2:$C$175,A70)</f>
        <v/>
      </c>
      <c r="V70">
        <f>SUMIFS(Allocation!$K$2:$K$175,Allocation!$C$2:$C$175,A70)</f>
        <v/>
      </c>
      <c r="W70">
        <f>SUMIFS(Compta!$F$2:$F$675,Compta!$A$2:$A$675,B70,Compta!$B$2:$B$675,"621",Compta!$C$2:$C$675,A70)</f>
        <v/>
      </c>
      <c r="X70">
        <f>SUMIFS(Compta!$F$2:$F$675,Compta!$A$2:$A$675,B70,Compta!$B$2:$B$675,"6411",Compta!$C$2:$C$675,A70)</f>
        <v/>
      </c>
      <c r="Y70">
        <f>SUMIFS(Compta!$F$2:$F$675,Compta!$A$2:$A$675,B70,Compta!$B$2:$B$675,"604",Compta!$C$2:$C$675,A70)+SUMIFS(Compta!$F$2:$F$675,Compta!$A$2:$A$675,B70,Compta!$B$2:$B$675,"6063",Compta!$C$2:$C$675,A70)</f>
        <v/>
      </c>
      <c r="Z70">
        <f>SUMIFS(Compta!$F$2:$F$675,Compta!$A$2:$A$675,B70,Compta!$B$2:$B$675,"6231",Compta!$C$2:$C$675,A70)</f>
        <v/>
      </c>
      <c r="AA70">
        <f>SUMIFS(Compta!$F$2:$F$675,Compta!$A$2:$A$675,B70,Compta!$B$2:$B$675,"6413",Compta!$C$2:$C$675,A70)+SUMIFS(Compta!$F$2:$F$675,Compta!$A$2:$A$675,B70,Compta!$B$2:$B$675,"645",Compta!$C$2:$C$675,A70)+SUMIFS(Compta!$F$2:$F$675,Compta!$A$2:$A$675,B70,Compta!$B$2:$B$675,"613",Compta!$C$2:$C$675,A70)+SUMIFS(Compta!$F$2:$F$675,Compta!$A$2:$A$675,B70,Compta!$B$2:$B$675,"615",Compta!$C$2:$C$675,A70)+SUMIFS(Compta!$F$2:$F$675,Compta!$A$2:$A$675,B70,Compta!$B$2:$B$675,"616",Compta!$C$2:$C$675,A70)+SUMIFS(Compta!$F$2:$F$675,Compta!$A$2:$A$675,B70,Compta!$B$2:$B$675,"625",Compta!$C$2:$C$675,A70)+SUMIFS(Compta!$F$2:$F$675,Compta!$A$2:$A$675,B70,Compta!$B$2:$B$675,"63511",Compta!$C$2:$C$675,A70)</f>
        <v/>
      </c>
      <c r="AB70">
        <f>SUMIFS(Compta!$F$2:$F$675,Compta!$A$2:$A$675,"GRP",Compta!$B$2:$B$675,"6414",Compta!$C$2:$C$675,A70)+SUMIFS(Compta!$F$2:$F$675,Compta!$A$2:$A$675,"GRP",Compta!$B$2:$B$675,"6226",Compta!$C$2:$C$675,A70)+SUMIFS(Compta!$F$2:$F$675,Compta!$A$2:$A$675,"GRP",Compta!$B$2:$B$675,"6236",Compta!$C$2:$C$675,A70)+SUMIFS(Compta!$F$2:$F$675,Compta!$A$2:$A$675,"GRP",Compta!$B$2:$B$675,"626",Compta!$C$2:$C$675,A70)+SUMIFS(Compta!$F$2:$F$675,Compta!$A$2:$A$675,"GRP",Compta!$B$2:$B$675,"6281",Compta!$C$2:$C$675,A70)+SUMIFS(Compta!$F$2:$F$675,Compta!$A$2:$A$675,"GRP",Compta!$B$2:$B$675,"6331",Compta!$C$2:$C$675,A70)+SUMIFS(Compta!$F$2:$F$675,Compta!$A$2:$A$675,"GRP",Compta!$B$2:$B$675,"6333",Compta!$C$2:$C$675,A70)</f>
        <v/>
      </c>
      <c r="AC70">
        <f>IF(Pilotage!$E$10="Chiffre d'affaires",I70,IF(Pilotage!$E$10="Effectif",G70,H70))</f>
        <v/>
      </c>
      <c r="AD70">
        <f>IF(Pilotage!$E$10="Chiffre d'affaires",N70,IF(Pilotage!$E$10="Effectif",L70,M70))</f>
        <v/>
      </c>
      <c r="AE70">
        <f>IF(Pilotage!$E$8="Chiffre d'affaires",N70,IF(Pilotage!$E$8="Effectif",L70,M70))</f>
        <v/>
      </c>
      <c r="AF70">
        <f>IF(Pilotage!$E$8="Chiffre d'affaires",S70,IF(Pilotage!$E$8="Effectif",Q70,R70))</f>
        <v/>
      </c>
      <c r="AG70">
        <f>IF(Pilotage!$E$9="Chiffre d'affaires",S70,IF(Pilotage!$E$9="Effectif",Q70,R70))</f>
        <v/>
      </c>
      <c r="AH70">
        <f>IF(Pilotage!$E$9="Chiffre d'affaires",V70,IF(Pilotage!$E$9="Effectif",T70,U70))</f>
        <v/>
      </c>
      <c r="AI70">
        <f>W70*IFERROR(K70/O70,0)</f>
        <v/>
      </c>
      <c r="AJ70">
        <f>X70*IFERROR(K70/O70,0)</f>
        <v/>
      </c>
      <c r="AK70">
        <f>Y70*IFERROR(G70/L70,0)+Z70*IFERROR(J70/P70,0)</f>
        <v/>
      </c>
      <c r="AL70">
        <f>AA70*IFERROR(AC70/AD70,0)</f>
        <v/>
      </c>
      <c r="AM70">
        <f>AB70*IFERROR(AG70/AH70,0)*IFERROR(AE70/AF70,0)*IFERROR(AC70/AD70,0)</f>
        <v/>
      </c>
      <c r="AN70">
        <f>I70-(AI70+AJ70+AK70+AL70+AM70)</f>
        <v/>
      </c>
    </row>
    <row r="71">
      <c r="A71">
        <f>Allocation!C71</f>
        <v/>
      </c>
      <c r="B71">
        <f>Allocation!D71</f>
        <v/>
      </c>
      <c r="C71">
        <f>Allocation!E71</f>
        <v/>
      </c>
      <c r="D71">
        <f>Allocation!F71</f>
        <v/>
      </c>
      <c r="E71">
        <f>Allocation!G71</f>
        <v/>
      </c>
      <c r="F71">
        <f>Allocation!H71</f>
        <v/>
      </c>
      <c r="G71">
        <f>Allocation!I71</f>
        <v/>
      </c>
      <c r="H71">
        <f>Allocation!J71</f>
        <v/>
      </c>
      <c r="I71">
        <f>Allocation!K71</f>
        <v/>
      </c>
      <c r="J71">
        <f>SUMIFS(Socle!$K$2:$K$175,Socle!$C$2:$C$175,B71,Socle!$D$2:$D$175,D71,Socle!$E$2:$E$175,E71,Socle!$F$2:$F$175,F71,Socle!$G$2:$G$175,A71)</f>
        <v/>
      </c>
      <c r="K71">
        <f>H71*IF(AND(LEFT(D71,3)="BAC",F71="INIT"),600,IF(LEFT(D71,3)="BAC",480,IF(AND(LEFT(D71,3)="MAS",F71="INIT"),520,IF(LEFT(D71,3)="MAS",420,IF(F71="INIT",1000,700)))))</f>
        <v/>
      </c>
      <c r="L71">
        <f>SUMIFS(Allocation!$I$2:$I$175,Allocation!$C$2:$C$175,A71,Allocation!$D$2:$D$175,B71)</f>
        <v/>
      </c>
      <c r="M71">
        <f>SUMIFS(Allocation!$J$2:$J$175,Allocation!$C$2:$C$175,A71,Allocation!$D$2:$D$175,B71)</f>
        <v/>
      </c>
      <c r="N71">
        <f>SUMIFS(Allocation!$K$2:$K$175,Allocation!$C$2:$C$175,A71,Allocation!$D$2:$D$175,B71)</f>
        <v/>
      </c>
      <c r="O71">
        <f>SUMIFS($K$2:$K$175,$A$2:$A$175,A71,$B$2:$B$175,B71)</f>
        <v/>
      </c>
      <c r="P71">
        <f>SUMIFS($J$2:$J$175,$A$2:$A$175,A71,$B$2:$B$175,B71)</f>
        <v/>
      </c>
      <c r="Q71">
        <f>SUMIFS(Allocation!$I$2:$I$175,Allocation!$C$2:$C$175,A71,Allocation!$E$2:$E$175,C71)</f>
        <v/>
      </c>
      <c r="R71">
        <f>SUMIFS(Allocation!$J$2:$J$175,Allocation!$C$2:$C$175,A71,Allocation!$E$2:$E$175,C71)</f>
        <v/>
      </c>
      <c r="S71">
        <f>SUMIFS(Allocation!$K$2:$K$175,Allocation!$C$2:$C$175,A71,Allocation!$E$2:$E$175,C71)</f>
        <v/>
      </c>
      <c r="T71">
        <f>SUMIFS(Allocation!$I$2:$I$175,Allocation!$C$2:$C$175,A71)</f>
        <v/>
      </c>
      <c r="U71">
        <f>SUMIFS(Allocation!$J$2:$J$175,Allocation!$C$2:$C$175,A71)</f>
        <v/>
      </c>
      <c r="V71">
        <f>SUMIFS(Allocation!$K$2:$K$175,Allocation!$C$2:$C$175,A71)</f>
        <v/>
      </c>
      <c r="W71">
        <f>SUMIFS(Compta!$F$2:$F$675,Compta!$A$2:$A$675,B71,Compta!$B$2:$B$675,"621",Compta!$C$2:$C$675,A71)</f>
        <v/>
      </c>
      <c r="X71">
        <f>SUMIFS(Compta!$F$2:$F$675,Compta!$A$2:$A$675,B71,Compta!$B$2:$B$675,"6411",Compta!$C$2:$C$675,A71)</f>
        <v/>
      </c>
      <c r="Y71">
        <f>SUMIFS(Compta!$F$2:$F$675,Compta!$A$2:$A$675,B71,Compta!$B$2:$B$675,"604",Compta!$C$2:$C$675,A71)+SUMIFS(Compta!$F$2:$F$675,Compta!$A$2:$A$675,B71,Compta!$B$2:$B$675,"6063",Compta!$C$2:$C$675,A71)</f>
        <v/>
      </c>
      <c r="Z71">
        <f>SUMIFS(Compta!$F$2:$F$675,Compta!$A$2:$A$675,B71,Compta!$B$2:$B$675,"6231",Compta!$C$2:$C$675,A71)</f>
        <v/>
      </c>
      <c r="AA71">
        <f>SUMIFS(Compta!$F$2:$F$675,Compta!$A$2:$A$675,B71,Compta!$B$2:$B$675,"6413",Compta!$C$2:$C$675,A71)+SUMIFS(Compta!$F$2:$F$675,Compta!$A$2:$A$675,B71,Compta!$B$2:$B$675,"645",Compta!$C$2:$C$675,A71)+SUMIFS(Compta!$F$2:$F$675,Compta!$A$2:$A$675,B71,Compta!$B$2:$B$675,"613",Compta!$C$2:$C$675,A71)+SUMIFS(Compta!$F$2:$F$675,Compta!$A$2:$A$675,B71,Compta!$B$2:$B$675,"615",Compta!$C$2:$C$675,A71)+SUMIFS(Compta!$F$2:$F$675,Compta!$A$2:$A$675,B71,Compta!$B$2:$B$675,"616",Compta!$C$2:$C$675,A71)+SUMIFS(Compta!$F$2:$F$675,Compta!$A$2:$A$675,B71,Compta!$B$2:$B$675,"625",Compta!$C$2:$C$675,A71)+SUMIFS(Compta!$F$2:$F$675,Compta!$A$2:$A$675,B71,Compta!$B$2:$B$675,"63511",Compta!$C$2:$C$675,A71)</f>
        <v/>
      </c>
      <c r="AB71">
        <f>SUMIFS(Compta!$F$2:$F$675,Compta!$A$2:$A$675,"GRP",Compta!$B$2:$B$675,"6414",Compta!$C$2:$C$675,A71)+SUMIFS(Compta!$F$2:$F$675,Compta!$A$2:$A$675,"GRP",Compta!$B$2:$B$675,"6226",Compta!$C$2:$C$675,A71)+SUMIFS(Compta!$F$2:$F$675,Compta!$A$2:$A$675,"GRP",Compta!$B$2:$B$675,"6236",Compta!$C$2:$C$675,A71)+SUMIFS(Compta!$F$2:$F$675,Compta!$A$2:$A$675,"GRP",Compta!$B$2:$B$675,"626",Compta!$C$2:$C$675,A71)+SUMIFS(Compta!$F$2:$F$675,Compta!$A$2:$A$675,"GRP",Compta!$B$2:$B$675,"6281",Compta!$C$2:$C$675,A71)+SUMIFS(Compta!$F$2:$F$675,Compta!$A$2:$A$675,"GRP",Compta!$B$2:$B$675,"6331",Compta!$C$2:$C$675,A71)+SUMIFS(Compta!$F$2:$F$675,Compta!$A$2:$A$675,"GRP",Compta!$B$2:$B$675,"6333",Compta!$C$2:$C$675,A71)</f>
        <v/>
      </c>
      <c r="AC71">
        <f>IF(Pilotage!$E$10="Chiffre d'affaires",I71,IF(Pilotage!$E$10="Effectif",G71,H71))</f>
        <v/>
      </c>
      <c r="AD71">
        <f>IF(Pilotage!$E$10="Chiffre d'affaires",N71,IF(Pilotage!$E$10="Effectif",L71,M71))</f>
        <v/>
      </c>
      <c r="AE71">
        <f>IF(Pilotage!$E$8="Chiffre d'affaires",N71,IF(Pilotage!$E$8="Effectif",L71,M71))</f>
        <v/>
      </c>
      <c r="AF71">
        <f>IF(Pilotage!$E$8="Chiffre d'affaires",S71,IF(Pilotage!$E$8="Effectif",Q71,R71))</f>
        <v/>
      </c>
      <c r="AG71">
        <f>IF(Pilotage!$E$9="Chiffre d'affaires",S71,IF(Pilotage!$E$9="Effectif",Q71,R71))</f>
        <v/>
      </c>
      <c r="AH71">
        <f>IF(Pilotage!$E$9="Chiffre d'affaires",V71,IF(Pilotage!$E$9="Effectif",T71,U71))</f>
        <v/>
      </c>
      <c r="AI71">
        <f>W71*IFERROR(K71/O71,0)</f>
        <v/>
      </c>
      <c r="AJ71">
        <f>X71*IFERROR(K71/O71,0)</f>
        <v/>
      </c>
      <c r="AK71">
        <f>Y71*IFERROR(G71/L71,0)+Z71*IFERROR(J71/P71,0)</f>
        <v/>
      </c>
      <c r="AL71">
        <f>AA71*IFERROR(AC71/AD71,0)</f>
        <v/>
      </c>
      <c r="AM71">
        <f>AB71*IFERROR(AG71/AH71,0)*IFERROR(AE71/AF71,0)*IFERROR(AC71/AD71,0)</f>
        <v/>
      </c>
      <c r="AN71">
        <f>I71-(AI71+AJ71+AK71+AL71+AM71)</f>
        <v/>
      </c>
    </row>
    <row r="72">
      <c r="A72">
        <f>Allocation!C72</f>
        <v/>
      </c>
      <c r="B72">
        <f>Allocation!D72</f>
        <v/>
      </c>
      <c r="C72">
        <f>Allocation!E72</f>
        <v/>
      </c>
      <c r="D72">
        <f>Allocation!F72</f>
        <v/>
      </c>
      <c r="E72">
        <f>Allocation!G72</f>
        <v/>
      </c>
      <c r="F72">
        <f>Allocation!H72</f>
        <v/>
      </c>
      <c r="G72">
        <f>Allocation!I72</f>
        <v/>
      </c>
      <c r="H72">
        <f>Allocation!J72</f>
        <v/>
      </c>
      <c r="I72">
        <f>Allocation!K72</f>
        <v/>
      </c>
      <c r="J72">
        <f>SUMIFS(Socle!$K$2:$K$175,Socle!$C$2:$C$175,B72,Socle!$D$2:$D$175,D72,Socle!$E$2:$E$175,E72,Socle!$F$2:$F$175,F72,Socle!$G$2:$G$175,A72)</f>
        <v/>
      </c>
      <c r="K72">
        <f>H72*IF(AND(LEFT(D72,3)="BAC",F72="INIT"),600,IF(LEFT(D72,3)="BAC",480,IF(AND(LEFT(D72,3)="MAS",F72="INIT"),520,IF(LEFT(D72,3)="MAS",420,IF(F72="INIT",1000,700)))))</f>
        <v/>
      </c>
      <c r="L72">
        <f>SUMIFS(Allocation!$I$2:$I$175,Allocation!$C$2:$C$175,A72,Allocation!$D$2:$D$175,B72)</f>
        <v/>
      </c>
      <c r="M72">
        <f>SUMIFS(Allocation!$J$2:$J$175,Allocation!$C$2:$C$175,A72,Allocation!$D$2:$D$175,B72)</f>
        <v/>
      </c>
      <c r="N72">
        <f>SUMIFS(Allocation!$K$2:$K$175,Allocation!$C$2:$C$175,A72,Allocation!$D$2:$D$175,B72)</f>
        <v/>
      </c>
      <c r="O72">
        <f>SUMIFS($K$2:$K$175,$A$2:$A$175,A72,$B$2:$B$175,B72)</f>
        <v/>
      </c>
      <c r="P72">
        <f>SUMIFS($J$2:$J$175,$A$2:$A$175,A72,$B$2:$B$175,B72)</f>
        <v/>
      </c>
      <c r="Q72">
        <f>SUMIFS(Allocation!$I$2:$I$175,Allocation!$C$2:$C$175,A72,Allocation!$E$2:$E$175,C72)</f>
        <v/>
      </c>
      <c r="R72">
        <f>SUMIFS(Allocation!$J$2:$J$175,Allocation!$C$2:$C$175,A72,Allocation!$E$2:$E$175,C72)</f>
        <v/>
      </c>
      <c r="S72">
        <f>SUMIFS(Allocation!$K$2:$K$175,Allocation!$C$2:$C$175,A72,Allocation!$E$2:$E$175,C72)</f>
        <v/>
      </c>
      <c r="T72">
        <f>SUMIFS(Allocation!$I$2:$I$175,Allocation!$C$2:$C$175,A72)</f>
        <v/>
      </c>
      <c r="U72">
        <f>SUMIFS(Allocation!$J$2:$J$175,Allocation!$C$2:$C$175,A72)</f>
        <v/>
      </c>
      <c r="V72">
        <f>SUMIFS(Allocation!$K$2:$K$175,Allocation!$C$2:$C$175,A72)</f>
        <v/>
      </c>
      <c r="W72">
        <f>SUMIFS(Compta!$F$2:$F$675,Compta!$A$2:$A$675,B72,Compta!$B$2:$B$675,"621",Compta!$C$2:$C$675,A72)</f>
        <v/>
      </c>
      <c r="X72">
        <f>SUMIFS(Compta!$F$2:$F$675,Compta!$A$2:$A$675,B72,Compta!$B$2:$B$675,"6411",Compta!$C$2:$C$675,A72)</f>
        <v/>
      </c>
      <c r="Y72">
        <f>SUMIFS(Compta!$F$2:$F$675,Compta!$A$2:$A$675,B72,Compta!$B$2:$B$675,"604",Compta!$C$2:$C$675,A72)+SUMIFS(Compta!$F$2:$F$675,Compta!$A$2:$A$675,B72,Compta!$B$2:$B$675,"6063",Compta!$C$2:$C$675,A72)</f>
        <v/>
      </c>
      <c r="Z72">
        <f>SUMIFS(Compta!$F$2:$F$675,Compta!$A$2:$A$675,B72,Compta!$B$2:$B$675,"6231",Compta!$C$2:$C$675,A72)</f>
        <v/>
      </c>
      <c r="AA72">
        <f>SUMIFS(Compta!$F$2:$F$675,Compta!$A$2:$A$675,B72,Compta!$B$2:$B$675,"6413",Compta!$C$2:$C$675,A72)+SUMIFS(Compta!$F$2:$F$675,Compta!$A$2:$A$675,B72,Compta!$B$2:$B$675,"645",Compta!$C$2:$C$675,A72)+SUMIFS(Compta!$F$2:$F$675,Compta!$A$2:$A$675,B72,Compta!$B$2:$B$675,"613",Compta!$C$2:$C$675,A72)+SUMIFS(Compta!$F$2:$F$675,Compta!$A$2:$A$675,B72,Compta!$B$2:$B$675,"615",Compta!$C$2:$C$675,A72)+SUMIFS(Compta!$F$2:$F$675,Compta!$A$2:$A$675,B72,Compta!$B$2:$B$675,"616",Compta!$C$2:$C$675,A72)+SUMIFS(Compta!$F$2:$F$675,Compta!$A$2:$A$675,B72,Compta!$B$2:$B$675,"625",Compta!$C$2:$C$675,A72)+SUMIFS(Compta!$F$2:$F$675,Compta!$A$2:$A$675,B72,Compta!$B$2:$B$675,"63511",Compta!$C$2:$C$675,A72)</f>
        <v/>
      </c>
      <c r="AB72">
        <f>SUMIFS(Compta!$F$2:$F$675,Compta!$A$2:$A$675,"GRP",Compta!$B$2:$B$675,"6414",Compta!$C$2:$C$675,A72)+SUMIFS(Compta!$F$2:$F$675,Compta!$A$2:$A$675,"GRP",Compta!$B$2:$B$675,"6226",Compta!$C$2:$C$675,A72)+SUMIFS(Compta!$F$2:$F$675,Compta!$A$2:$A$675,"GRP",Compta!$B$2:$B$675,"6236",Compta!$C$2:$C$675,A72)+SUMIFS(Compta!$F$2:$F$675,Compta!$A$2:$A$675,"GRP",Compta!$B$2:$B$675,"626",Compta!$C$2:$C$675,A72)+SUMIFS(Compta!$F$2:$F$675,Compta!$A$2:$A$675,"GRP",Compta!$B$2:$B$675,"6281",Compta!$C$2:$C$675,A72)+SUMIFS(Compta!$F$2:$F$675,Compta!$A$2:$A$675,"GRP",Compta!$B$2:$B$675,"6331",Compta!$C$2:$C$675,A72)+SUMIFS(Compta!$F$2:$F$675,Compta!$A$2:$A$675,"GRP",Compta!$B$2:$B$675,"6333",Compta!$C$2:$C$675,A72)</f>
        <v/>
      </c>
      <c r="AC72">
        <f>IF(Pilotage!$E$10="Chiffre d'affaires",I72,IF(Pilotage!$E$10="Effectif",G72,H72))</f>
        <v/>
      </c>
      <c r="AD72">
        <f>IF(Pilotage!$E$10="Chiffre d'affaires",N72,IF(Pilotage!$E$10="Effectif",L72,M72))</f>
        <v/>
      </c>
      <c r="AE72">
        <f>IF(Pilotage!$E$8="Chiffre d'affaires",N72,IF(Pilotage!$E$8="Effectif",L72,M72))</f>
        <v/>
      </c>
      <c r="AF72">
        <f>IF(Pilotage!$E$8="Chiffre d'affaires",S72,IF(Pilotage!$E$8="Effectif",Q72,R72))</f>
        <v/>
      </c>
      <c r="AG72">
        <f>IF(Pilotage!$E$9="Chiffre d'affaires",S72,IF(Pilotage!$E$9="Effectif",Q72,R72))</f>
        <v/>
      </c>
      <c r="AH72">
        <f>IF(Pilotage!$E$9="Chiffre d'affaires",V72,IF(Pilotage!$E$9="Effectif",T72,U72))</f>
        <v/>
      </c>
      <c r="AI72">
        <f>W72*IFERROR(K72/O72,0)</f>
        <v/>
      </c>
      <c r="AJ72">
        <f>X72*IFERROR(K72/O72,0)</f>
        <v/>
      </c>
      <c r="AK72">
        <f>Y72*IFERROR(G72/L72,0)+Z72*IFERROR(J72/P72,0)</f>
        <v/>
      </c>
      <c r="AL72">
        <f>AA72*IFERROR(AC72/AD72,0)</f>
        <v/>
      </c>
      <c r="AM72">
        <f>AB72*IFERROR(AG72/AH72,0)*IFERROR(AE72/AF72,0)*IFERROR(AC72/AD72,0)</f>
        <v/>
      </c>
      <c r="AN72">
        <f>I72-(AI72+AJ72+AK72+AL72+AM72)</f>
        <v/>
      </c>
    </row>
    <row r="73">
      <c r="A73">
        <f>Allocation!C73</f>
        <v/>
      </c>
      <c r="B73">
        <f>Allocation!D73</f>
        <v/>
      </c>
      <c r="C73">
        <f>Allocation!E73</f>
        <v/>
      </c>
      <c r="D73">
        <f>Allocation!F73</f>
        <v/>
      </c>
      <c r="E73">
        <f>Allocation!G73</f>
        <v/>
      </c>
      <c r="F73">
        <f>Allocation!H73</f>
        <v/>
      </c>
      <c r="G73">
        <f>Allocation!I73</f>
        <v/>
      </c>
      <c r="H73">
        <f>Allocation!J73</f>
        <v/>
      </c>
      <c r="I73">
        <f>Allocation!K73</f>
        <v/>
      </c>
      <c r="J73">
        <f>SUMIFS(Socle!$K$2:$K$175,Socle!$C$2:$C$175,B73,Socle!$D$2:$D$175,D73,Socle!$E$2:$E$175,E73,Socle!$F$2:$F$175,F73,Socle!$G$2:$G$175,A73)</f>
        <v/>
      </c>
      <c r="K73">
        <f>H73*IF(AND(LEFT(D73,3)="BAC",F73="INIT"),600,IF(LEFT(D73,3)="BAC",480,IF(AND(LEFT(D73,3)="MAS",F73="INIT"),520,IF(LEFT(D73,3)="MAS",420,IF(F73="INIT",1000,700)))))</f>
        <v/>
      </c>
      <c r="L73">
        <f>SUMIFS(Allocation!$I$2:$I$175,Allocation!$C$2:$C$175,A73,Allocation!$D$2:$D$175,B73)</f>
        <v/>
      </c>
      <c r="M73">
        <f>SUMIFS(Allocation!$J$2:$J$175,Allocation!$C$2:$C$175,A73,Allocation!$D$2:$D$175,B73)</f>
        <v/>
      </c>
      <c r="N73">
        <f>SUMIFS(Allocation!$K$2:$K$175,Allocation!$C$2:$C$175,A73,Allocation!$D$2:$D$175,B73)</f>
        <v/>
      </c>
      <c r="O73">
        <f>SUMIFS($K$2:$K$175,$A$2:$A$175,A73,$B$2:$B$175,B73)</f>
        <v/>
      </c>
      <c r="P73">
        <f>SUMIFS($J$2:$J$175,$A$2:$A$175,A73,$B$2:$B$175,B73)</f>
        <v/>
      </c>
      <c r="Q73">
        <f>SUMIFS(Allocation!$I$2:$I$175,Allocation!$C$2:$C$175,A73,Allocation!$E$2:$E$175,C73)</f>
        <v/>
      </c>
      <c r="R73">
        <f>SUMIFS(Allocation!$J$2:$J$175,Allocation!$C$2:$C$175,A73,Allocation!$E$2:$E$175,C73)</f>
        <v/>
      </c>
      <c r="S73">
        <f>SUMIFS(Allocation!$K$2:$K$175,Allocation!$C$2:$C$175,A73,Allocation!$E$2:$E$175,C73)</f>
        <v/>
      </c>
      <c r="T73">
        <f>SUMIFS(Allocation!$I$2:$I$175,Allocation!$C$2:$C$175,A73)</f>
        <v/>
      </c>
      <c r="U73">
        <f>SUMIFS(Allocation!$J$2:$J$175,Allocation!$C$2:$C$175,A73)</f>
        <v/>
      </c>
      <c r="V73">
        <f>SUMIFS(Allocation!$K$2:$K$175,Allocation!$C$2:$C$175,A73)</f>
        <v/>
      </c>
      <c r="W73">
        <f>SUMIFS(Compta!$F$2:$F$675,Compta!$A$2:$A$675,B73,Compta!$B$2:$B$675,"621",Compta!$C$2:$C$675,A73)</f>
        <v/>
      </c>
      <c r="X73">
        <f>SUMIFS(Compta!$F$2:$F$675,Compta!$A$2:$A$675,B73,Compta!$B$2:$B$675,"6411",Compta!$C$2:$C$675,A73)</f>
        <v/>
      </c>
      <c r="Y73">
        <f>SUMIFS(Compta!$F$2:$F$675,Compta!$A$2:$A$675,B73,Compta!$B$2:$B$675,"604",Compta!$C$2:$C$675,A73)+SUMIFS(Compta!$F$2:$F$675,Compta!$A$2:$A$675,B73,Compta!$B$2:$B$675,"6063",Compta!$C$2:$C$675,A73)</f>
        <v/>
      </c>
      <c r="Z73">
        <f>SUMIFS(Compta!$F$2:$F$675,Compta!$A$2:$A$675,B73,Compta!$B$2:$B$675,"6231",Compta!$C$2:$C$675,A73)</f>
        <v/>
      </c>
      <c r="AA73">
        <f>SUMIFS(Compta!$F$2:$F$675,Compta!$A$2:$A$675,B73,Compta!$B$2:$B$675,"6413",Compta!$C$2:$C$675,A73)+SUMIFS(Compta!$F$2:$F$675,Compta!$A$2:$A$675,B73,Compta!$B$2:$B$675,"645",Compta!$C$2:$C$675,A73)+SUMIFS(Compta!$F$2:$F$675,Compta!$A$2:$A$675,B73,Compta!$B$2:$B$675,"613",Compta!$C$2:$C$675,A73)+SUMIFS(Compta!$F$2:$F$675,Compta!$A$2:$A$675,B73,Compta!$B$2:$B$675,"615",Compta!$C$2:$C$675,A73)+SUMIFS(Compta!$F$2:$F$675,Compta!$A$2:$A$675,B73,Compta!$B$2:$B$675,"616",Compta!$C$2:$C$675,A73)+SUMIFS(Compta!$F$2:$F$675,Compta!$A$2:$A$675,B73,Compta!$B$2:$B$675,"625",Compta!$C$2:$C$675,A73)+SUMIFS(Compta!$F$2:$F$675,Compta!$A$2:$A$675,B73,Compta!$B$2:$B$675,"63511",Compta!$C$2:$C$675,A73)</f>
        <v/>
      </c>
      <c r="AB73">
        <f>SUMIFS(Compta!$F$2:$F$675,Compta!$A$2:$A$675,"GRP",Compta!$B$2:$B$675,"6414",Compta!$C$2:$C$675,A73)+SUMIFS(Compta!$F$2:$F$675,Compta!$A$2:$A$675,"GRP",Compta!$B$2:$B$675,"6226",Compta!$C$2:$C$675,A73)+SUMIFS(Compta!$F$2:$F$675,Compta!$A$2:$A$675,"GRP",Compta!$B$2:$B$675,"6236",Compta!$C$2:$C$675,A73)+SUMIFS(Compta!$F$2:$F$675,Compta!$A$2:$A$675,"GRP",Compta!$B$2:$B$675,"626",Compta!$C$2:$C$675,A73)+SUMIFS(Compta!$F$2:$F$675,Compta!$A$2:$A$675,"GRP",Compta!$B$2:$B$675,"6281",Compta!$C$2:$C$675,A73)+SUMIFS(Compta!$F$2:$F$675,Compta!$A$2:$A$675,"GRP",Compta!$B$2:$B$675,"6331",Compta!$C$2:$C$675,A73)+SUMIFS(Compta!$F$2:$F$675,Compta!$A$2:$A$675,"GRP",Compta!$B$2:$B$675,"6333",Compta!$C$2:$C$675,A73)</f>
        <v/>
      </c>
      <c r="AC73">
        <f>IF(Pilotage!$E$10="Chiffre d'affaires",I73,IF(Pilotage!$E$10="Effectif",G73,H73))</f>
        <v/>
      </c>
      <c r="AD73">
        <f>IF(Pilotage!$E$10="Chiffre d'affaires",N73,IF(Pilotage!$E$10="Effectif",L73,M73))</f>
        <v/>
      </c>
      <c r="AE73">
        <f>IF(Pilotage!$E$8="Chiffre d'affaires",N73,IF(Pilotage!$E$8="Effectif",L73,M73))</f>
        <v/>
      </c>
      <c r="AF73">
        <f>IF(Pilotage!$E$8="Chiffre d'affaires",S73,IF(Pilotage!$E$8="Effectif",Q73,R73))</f>
        <v/>
      </c>
      <c r="AG73">
        <f>IF(Pilotage!$E$9="Chiffre d'affaires",S73,IF(Pilotage!$E$9="Effectif",Q73,R73))</f>
        <v/>
      </c>
      <c r="AH73">
        <f>IF(Pilotage!$E$9="Chiffre d'affaires",V73,IF(Pilotage!$E$9="Effectif",T73,U73))</f>
        <v/>
      </c>
      <c r="AI73">
        <f>W73*IFERROR(K73/O73,0)</f>
        <v/>
      </c>
      <c r="AJ73">
        <f>X73*IFERROR(K73/O73,0)</f>
        <v/>
      </c>
      <c r="AK73">
        <f>Y73*IFERROR(G73/L73,0)+Z73*IFERROR(J73/P73,0)</f>
        <v/>
      </c>
      <c r="AL73">
        <f>AA73*IFERROR(AC73/AD73,0)</f>
        <v/>
      </c>
      <c r="AM73">
        <f>AB73*IFERROR(AG73/AH73,0)*IFERROR(AE73/AF73,0)*IFERROR(AC73/AD73,0)</f>
        <v/>
      </c>
      <c r="AN73">
        <f>I73-(AI73+AJ73+AK73+AL73+AM73)</f>
        <v/>
      </c>
    </row>
    <row r="74">
      <c r="A74">
        <f>Allocation!C74</f>
        <v/>
      </c>
      <c r="B74">
        <f>Allocation!D74</f>
        <v/>
      </c>
      <c r="C74">
        <f>Allocation!E74</f>
        <v/>
      </c>
      <c r="D74">
        <f>Allocation!F74</f>
        <v/>
      </c>
      <c r="E74">
        <f>Allocation!G74</f>
        <v/>
      </c>
      <c r="F74">
        <f>Allocation!H74</f>
        <v/>
      </c>
      <c r="G74">
        <f>Allocation!I74</f>
        <v/>
      </c>
      <c r="H74">
        <f>Allocation!J74</f>
        <v/>
      </c>
      <c r="I74">
        <f>Allocation!K74</f>
        <v/>
      </c>
      <c r="J74">
        <f>SUMIFS(Socle!$K$2:$K$175,Socle!$C$2:$C$175,B74,Socle!$D$2:$D$175,D74,Socle!$E$2:$E$175,E74,Socle!$F$2:$F$175,F74,Socle!$G$2:$G$175,A74)</f>
        <v/>
      </c>
      <c r="K74">
        <f>H74*IF(AND(LEFT(D74,3)="BAC",F74="INIT"),600,IF(LEFT(D74,3)="BAC",480,IF(AND(LEFT(D74,3)="MAS",F74="INIT"),520,IF(LEFT(D74,3)="MAS",420,IF(F74="INIT",1000,700)))))</f>
        <v/>
      </c>
      <c r="L74">
        <f>SUMIFS(Allocation!$I$2:$I$175,Allocation!$C$2:$C$175,A74,Allocation!$D$2:$D$175,B74)</f>
        <v/>
      </c>
      <c r="M74">
        <f>SUMIFS(Allocation!$J$2:$J$175,Allocation!$C$2:$C$175,A74,Allocation!$D$2:$D$175,B74)</f>
        <v/>
      </c>
      <c r="N74">
        <f>SUMIFS(Allocation!$K$2:$K$175,Allocation!$C$2:$C$175,A74,Allocation!$D$2:$D$175,B74)</f>
        <v/>
      </c>
      <c r="O74">
        <f>SUMIFS($K$2:$K$175,$A$2:$A$175,A74,$B$2:$B$175,B74)</f>
        <v/>
      </c>
      <c r="P74">
        <f>SUMIFS($J$2:$J$175,$A$2:$A$175,A74,$B$2:$B$175,B74)</f>
        <v/>
      </c>
      <c r="Q74">
        <f>SUMIFS(Allocation!$I$2:$I$175,Allocation!$C$2:$C$175,A74,Allocation!$E$2:$E$175,C74)</f>
        <v/>
      </c>
      <c r="R74">
        <f>SUMIFS(Allocation!$J$2:$J$175,Allocation!$C$2:$C$175,A74,Allocation!$E$2:$E$175,C74)</f>
        <v/>
      </c>
      <c r="S74">
        <f>SUMIFS(Allocation!$K$2:$K$175,Allocation!$C$2:$C$175,A74,Allocation!$E$2:$E$175,C74)</f>
        <v/>
      </c>
      <c r="T74">
        <f>SUMIFS(Allocation!$I$2:$I$175,Allocation!$C$2:$C$175,A74)</f>
        <v/>
      </c>
      <c r="U74">
        <f>SUMIFS(Allocation!$J$2:$J$175,Allocation!$C$2:$C$175,A74)</f>
        <v/>
      </c>
      <c r="V74">
        <f>SUMIFS(Allocation!$K$2:$K$175,Allocation!$C$2:$C$175,A74)</f>
        <v/>
      </c>
      <c r="W74">
        <f>SUMIFS(Compta!$F$2:$F$675,Compta!$A$2:$A$675,B74,Compta!$B$2:$B$675,"621",Compta!$C$2:$C$675,A74)</f>
        <v/>
      </c>
      <c r="X74">
        <f>SUMIFS(Compta!$F$2:$F$675,Compta!$A$2:$A$675,B74,Compta!$B$2:$B$675,"6411",Compta!$C$2:$C$675,A74)</f>
        <v/>
      </c>
      <c r="Y74">
        <f>SUMIFS(Compta!$F$2:$F$675,Compta!$A$2:$A$675,B74,Compta!$B$2:$B$675,"604",Compta!$C$2:$C$675,A74)+SUMIFS(Compta!$F$2:$F$675,Compta!$A$2:$A$675,B74,Compta!$B$2:$B$675,"6063",Compta!$C$2:$C$675,A74)</f>
        <v/>
      </c>
      <c r="Z74">
        <f>SUMIFS(Compta!$F$2:$F$675,Compta!$A$2:$A$675,B74,Compta!$B$2:$B$675,"6231",Compta!$C$2:$C$675,A74)</f>
        <v/>
      </c>
      <c r="AA74">
        <f>SUMIFS(Compta!$F$2:$F$675,Compta!$A$2:$A$675,B74,Compta!$B$2:$B$675,"6413",Compta!$C$2:$C$675,A74)+SUMIFS(Compta!$F$2:$F$675,Compta!$A$2:$A$675,B74,Compta!$B$2:$B$675,"645",Compta!$C$2:$C$675,A74)+SUMIFS(Compta!$F$2:$F$675,Compta!$A$2:$A$675,B74,Compta!$B$2:$B$675,"613",Compta!$C$2:$C$675,A74)+SUMIFS(Compta!$F$2:$F$675,Compta!$A$2:$A$675,B74,Compta!$B$2:$B$675,"615",Compta!$C$2:$C$675,A74)+SUMIFS(Compta!$F$2:$F$675,Compta!$A$2:$A$675,B74,Compta!$B$2:$B$675,"616",Compta!$C$2:$C$675,A74)+SUMIFS(Compta!$F$2:$F$675,Compta!$A$2:$A$675,B74,Compta!$B$2:$B$675,"625",Compta!$C$2:$C$675,A74)+SUMIFS(Compta!$F$2:$F$675,Compta!$A$2:$A$675,B74,Compta!$B$2:$B$675,"63511",Compta!$C$2:$C$675,A74)</f>
        <v/>
      </c>
      <c r="AB74">
        <f>SUMIFS(Compta!$F$2:$F$675,Compta!$A$2:$A$675,"GRP",Compta!$B$2:$B$675,"6414",Compta!$C$2:$C$675,A74)+SUMIFS(Compta!$F$2:$F$675,Compta!$A$2:$A$675,"GRP",Compta!$B$2:$B$675,"6226",Compta!$C$2:$C$675,A74)+SUMIFS(Compta!$F$2:$F$675,Compta!$A$2:$A$675,"GRP",Compta!$B$2:$B$675,"6236",Compta!$C$2:$C$675,A74)+SUMIFS(Compta!$F$2:$F$675,Compta!$A$2:$A$675,"GRP",Compta!$B$2:$B$675,"626",Compta!$C$2:$C$675,A74)+SUMIFS(Compta!$F$2:$F$675,Compta!$A$2:$A$675,"GRP",Compta!$B$2:$B$675,"6281",Compta!$C$2:$C$675,A74)+SUMIFS(Compta!$F$2:$F$675,Compta!$A$2:$A$675,"GRP",Compta!$B$2:$B$675,"6331",Compta!$C$2:$C$675,A74)+SUMIFS(Compta!$F$2:$F$675,Compta!$A$2:$A$675,"GRP",Compta!$B$2:$B$675,"6333",Compta!$C$2:$C$675,A74)</f>
        <v/>
      </c>
      <c r="AC74">
        <f>IF(Pilotage!$E$10="Chiffre d'affaires",I74,IF(Pilotage!$E$10="Effectif",G74,H74))</f>
        <v/>
      </c>
      <c r="AD74">
        <f>IF(Pilotage!$E$10="Chiffre d'affaires",N74,IF(Pilotage!$E$10="Effectif",L74,M74))</f>
        <v/>
      </c>
      <c r="AE74">
        <f>IF(Pilotage!$E$8="Chiffre d'affaires",N74,IF(Pilotage!$E$8="Effectif",L74,M74))</f>
        <v/>
      </c>
      <c r="AF74">
        <f>IF(Pilotage!$E$8="Chiffre d'affaires",S74,IF(Pilotage!$E$8="Effectif",Q74,R74))</f>
        <v/>
      </c>
      <c r="AG74">
        <f>IF(Pilotage!$E$9="Chiffre d'affaires",S74,IF(Pilotage!$E$9="Effectif",Q74,R74))</f>
        <v/>
      </c>
      <c r="AH74">
        <f>IF(Pilotage!$E$9="Chiffre d'affaires",V74,IF(Pilotage!$E$9="Effectif",T74,U74))</f>
        <v/>
      </c>
      <c r="AI74">
        <f>W74*IFERROR(K74/O74,0)</f>
        <v/>
      </c>
      <c r="AJ74">
        <f>X74*IFERROR(K74/O74,0)</f>
        <v/>
      </c>
      <c r="AK74">
        <f>Y74*IFERROR(G74/L74,0)+Z74*IFERROR(J74/P74,0)</f>
        <v/>
      </c>
      <c r="AL74">
        <f>AA74*IFERROR(AC74/AD74,0)</f>
        <v/>
      </c>
      <c r="AM74">
        <f>AB74*IFERROR(AG74/AH74,0)*IFERROR(AE74/AF74,0)*IFERROR(AC74/AD74,0)</f>
        <v/>
      </c>
      <c r="AN74">
        <f>I74-(AI74+AJ74+AK74+AL74+AM74)</f>
        <v/>
      </c>
    </row>
    <row r="75">
      <c r="A75">
        <f>Allocation!C75</f>
        <v/>
      </c>
      <c r="B75">
        <f>Allocation!D75</f>
        <v/>
      </c>
      <c r="C75">
        <f>Allocation!E75</f>
        <v/>
      </c>
      <c r="D75">
        <f>Allocation!F75</f>
        <v/>
      </c>
      <c r="E75">
        <f>Allocation!G75</f>
        <v/>
      </c>
      <c r="F75">
        <f>Allocation!H75</f>
        <v/>
      </c>
      <c r="G75">
        <f>Allocation!I75</f>
        <v/>
      </c>
      <c r="H75">
        <f>Allocation!J75</f>
        <v/>
      </c>
      <c r="I75">
        <f>Allocation!K75</f>
        <v/>
      </c>
      <c r="J75">
        <f>SUMIFS(Socle!$K$2:$K$175,Socle!$C$2:$C$175,B75,Socle!$D$2:$D$175,D75,Socle!$E$2:$E$175,E75,Socle!$F$2:$F$175,F75,Socle!$G$2:$G$175,A75)</f>
        <v/>
      </c>
      <c r="K75">
        <f>H75*IF(AND(LEFT(D75,3)="BAC",F75="INIT"),600,IF(LEFT(D75,3)="BAC",480,IF(AND(LEFT(D75,3)="MAS",F75="INIT"),520,IF(LEFT(D75,3)="MAS",420,IF(F75="INIT",1000,700)))))</f>
        <v/>
      </c>
      <c r="L75">
        <f>SUMIFS(Allocation!$I$2:$I$175,Allocation!$C$2:$C$175,A75,Allocation!$D$2:$D$175,B75)</f>
        <v/>
      </c>
      <c r="M75">
        <f>SUMIFS(Allocation!$J$2:$J$175,Allocation!$C$2:$C$175,A75,Allocation!$D$2:$D$175,B75)</f>
        <v/>
      </c>
      <c r="N75">
        <f>SUMIFS(Allocation!$K$2:$K$175,Allocation!$C$2:$C$175,A75,Allocation!$D$2:$D$175,B75)</f>
        <v/>
      </c>
      <c r="O75">
        <f>SUMIFS($K$2:$K$175,$A$2:$A$175,A75,$B$2:$B$175,B75)</f>
        <v/>
      </c>
      <c r="P75">
        <f>SUMIFS($J$2:$J$175,$A$2:$A$175,A75,$B$2:$B$175,B75)</f>
        <v/>
      </c>
      <c r="Q75">
        <f>SUMIFS(Allocation!$I$2:$I$175,Allocation!$C$2:$C$175,A75,Allocation!$E$2:$E$175,C75)</f>
        <v/>
      </c>
      <c r="R75">
        <f>SUMIFS(Allocation!$J$2:$J$175,Allocation!$C$2:$C$175,A75,Allocation!$E$2:$E$175,C75)</f>
        <v/>
      </c>
      <c r="S75">
        <f>SUMIFS(Allocation!$K$2:$K$175,Allocation!$C$2:$C$175,A75,Allocation!$E$2:$E$175,C75)</f>
        <v/>
      </c>
      <c r="T75">
        <f>SUMIFS(Allocation!$I$2:$I$175,Allocation!$C$2:$C$175,A75)</f>
        <v/>
      </c>
      <c r="U75">
        <f>SUMIFS(Allocation!$J$2:$J$175,Allocation!$C$2:$C$175,A75)</f>
        <v/>
      </c>
      <c r="V75">
        <f>SUMIFS(Allocation!$K$2:$K$175,Allocation!$C$2:$C$175,A75)</f>
        <v/>
      </c>
      <c r="W75">
        <f>SUMIFS(Compta!$F$2:$F$675,Compta!$A$2:$A$675,B75,Compta!$B$2:$B$675,"621",Compta!$C$2:$C$675,A75)</f>
        <v/>
      </c>
      <c r="X75">
        <f>SUMIFS(Compta!$F$2:$F$675,Compta!$A$2:$A$675,B75,Compta!$B$2:$B$675,"6411",Compta!$C$2:$C$675,A75)</f>
        <v/>
      </c>
      <c r="Y75">
        <f>SUMIFS(Compta!$F$2:$F$675,Compta!$A$2:$A$675,B75,Compta!$B$2:$B$675,"604",Compta!$C$2:$C$675,A75)+SUMIFS(Compta!$F$2:$F$675,Compta!$A$2:$A$675,B75,Compta!$B$2:$B$675,"6063",Compta!$C$2:$C$675,A75)</f>
        <v/>
      </c>
      <c r="Z75">
        <f>SUMIFS(Compta!$F$2:$F$675,Compta!$A$2:$A$675,B75,Compta!$B$2:$B$675,"6231",Compta!$C$2:$C$675,A75)</f>
        <v/>
      </c>
      <c r="AA75">
        <f>SUMIFS(Compta!$F$2:$F$675,Compta!$A$2:$A$675,B75,Compta!$B$2:$B$675,"6413",Compta!$C$2:$C$675,A75)+SUMIFS(Compta!$F$2:$F$675,Compta!$A$2:$A$675,B75,Compta!$B$2:$B$675,"645",Compta!$C$2:$C$675,A75)+SUMIFS(Compta!$F$2:$F$675,Compta!$A$2:$A$675,B75,Compta!$B$2:$B$675,"613",Compta!$C$2:$C$675,A75)+SUMIFS(Compta!$F$2:$F$675,Compta!$A$2:$A$675,B75,Compta!$B$2:$B$675,"615",Compta!$C$2:$C$675,A75)+SUMIFS(Compta!$F$2:$F$675,Compta!$A$2:$A$675,B75,Compta!$B$2:$B$675,"616",Compta!$C$2:$C$675,A75)+SUMIFS(Compta!$F$2:$F$675,Compta!$A$2:$A$675,B75,Compta!$B$2:$B$675,"625",Compta!$C$2:$C$675,A75)+SUMIFS(Compta!$F$2:$F$675,Compta!$A$2:$A$675,B75,Compta!$B$2:$B$675,"63511",Compta!$C$2:$C$675,A75)</f>
        <v/>
      </c>
      <c r="AB75">
        <f>SUMIFS(Compta!$F$2:$F$675,Compta!$A$2:$A$675,"GRP",Compta!$B$2:$B$675,"6414",Compta!$C$2:$C$675,A75)+SUMIFS(Compta!$F$2:$F$675,Compta!$A$2:$A$675,"GRP",Compta!$B$2:$B$675,"6226",Compta!$C$2:$C$675,A75)+SUMIFS(Compta!$F$2:$F$675,Compta!$A$2:$A$675,"GRP",Compta!$B$2:$B$675,"6236",Compta!$C$2:$C$675,A75)+SUMIFS(Compta!$F$2:$F$675,Compta!$A$2:$A$675,"GRP",Compta!$B$2:$B$675,"626",Compta!$C$2:$C$675,A75)+SUMIFS(Compta!$F$2:$F$675,Compta!$A$2:$A$675,"GRP",Compta!$B$2:$B$675,"6281",Compta!$C$2:$C$675,A75)+SUMIFS(Compta!$F$2:$F$675,Compta!$A$2:$A$675,"GRP",Compta!$B$2:$B$675,"6331",Compta!$C$2:$C$675,A75)+SUMIFS(Compta!$F$2:$F$675,Compta!$A$2:$A$675,"GRP",Compta!$B$2:$B$675,"6333",Compta!$C$2:$C$675,A75)</f>
        <v/>
      </c>
      <c r="AC75">
        <f>IF(Pilotage!$E$10="Chiffre d'affaires",I75,IF(Pilotage!$E$10="Effectif",G75,H75))</f>
        <v/>
      </c>
      <c r="AD75">
        <f>IF(Pilotage!$E$10="Chiffre d'affaires",N75,IF(Pilotage!$E$10="Effectif",L75,M75))</f>
        <v/>
      </c>
      <c r="AE75">
        <f>IF(Pilotage!$E$8="Chiffre d'affaires",N75,IF(Pilotage!$E$8="Effectif",L75,M75))</f>
        <v/>
      </c>
      <c r="AF75">
        <f>IF(Pilotage!$E$8="Chiffre d'affaires",S75,IF(Pilotage!$E$8="Effectif",Q75,R75))</f>
        <v/>
      </c>
      <c r="AG75">
        <f>IF(Pilotage!$E$9="Chiffre d'affaires",S75,IF(Pilotage!$E$9="Effectif",Q75,R75))</f>
        <v/>
      </c>
      <c r="AH75">
        <f>IF(Pilotage!$E$9="Chiffre d'affaires",V75,IF(Pilotage!$E$9="Effectif",T75,U75))</f>
        <v/>
      </c>
      <c r="AI75">
        <f>W75*IFERROR(K75/O75,0)</f>
        <v/>
      </c>
      <c r="AJ75">
        <f>X75*IFERROR(K75/O75,0)</f>
        <v/>
      </c>
      <c r="AK75">
        <f>Y75*IFERROR(G75/L75,0)+Z75*IFERROR(J75/P75,0)</f>
        <v/>
      </c>
      <c r="AL75">
        <f>AA75*IFERROR(AC75/AD75,0)</f>
        <v/>
      </c>
      <c r="AM75">
        <f>AB75*IFERROR(AG75/AH75,0)*IFERROR(AE75/AF75,0)*IFERROR(AC75/AD75,0)</f>
        <v/>
      </c>
      <c r="AN75">
        <f>I75-(AI75+AJ75+AK75+AL75+AM75)</f>
        <v/>
      </c>
    </row>
    <row r="76">
      <c r="A76">
        <f>Allocation!C76</f>
        <v/>
      </c>
      <c r="B76">
        <f>Allocation!D76</f>
        <v/>
      </c>
      <c r="C76">
        <f>Allocation!E76</f>
        <v/>
      </c>
      <c r="D76">
        <f>Allocation!F76</f>
        <v/>
      </c>
      <c r="E76">
        <f>Allocation!G76</f>
        <v/>
      </c>
      <c r="F76">
        <f>Allocation!H76</f>
        <v/>
      </c>
      <c r="G76">
        <f>Allocation!I76</f>
        <v/>
      </c>
      <c r="H76">
        <f>Allocation!J76</f>
        <v/>
      </c>
      <c r="I76">
        <f>Allocation!K76</f>
        <v/>
      </c>
      <c r="J76">
        <f>SUMIFS(Socle!$K$2:$K$175,Socle!$C$2:$C$175,B76,Socle!$D$2:$D$175,D76,Socle!$E$2:$E$175,E76,Socle!$F$2:$F$175,F76,Socle!$G$2:$G$175,A76)</f>
        <v/>
      </c>
      <c r="K76">
        <f>H76*IF(AND(LEFT(D76,3)="BAC",F76="INIT"),600,IF(LEFT(D76,3)="BAC",480,IF(AND(LEFT(D76,3)="MAS",F76="INIT"),520,IF(LEFT(D76,3)="MAS",420,IF(F76="INIT",1000,700)))))</f>
        <v/>
      </c>
      <c r="L76">
        <f>SUMIFS(Allocation!$I$2:$I$175,Allocation!$C$2:$C$175,A76,Allocation!$D$2:$D$175,B76)</f>
        <v/>
      </c>
      <c r="M76">
        <f>SUMIFS(Allocation!$J$2:$J$175,Allocation!$C$2:$C$175,A76,Allocation!$D$2:$D$175,B76)</f>
        <v/>
      </c>
      <c r="N76">
        <f>SUMIFS(Allocation!$K$2:$K$175,Allocation!$C$2:$C$175,A76,Allocation!$D$2:$D$175,B76)</f>
        <v/>
      </c>
      <c r="O76">
        <f>SUMIFS($K$2:$K$175,$A$2:$A$175,A76,$B$2:$B$175,B76)</f>
        <v/>
      </c>
      <c r="P76">
        <f>SUMIFS($J$2:$J$175,$A$2:$A$175,A76,$B$2:$B$175,B76)</f>
        <v/>
      </c>
      <c r="Q76">
        <f>SUMIFS(Allocation!$I$2:$I$175,Allocation!$C$2:$C$175,A76,Allocation!$E$2:$E$175,C76)</f>
        <v/>
      </c>
      <c r="R76">
        <f>SUMIFS(Allocation!$J$2:$J$175,Allocation!$C$2:$C$175,A76,Allocation!$E$2:$E$175,C76)</f>
        <v/>
      </c>
      <c r="S76">
        <f>SUMIFS(Allocation!$K$2:$K$175,Allocation!$C$2:$C$175,A76,Allocation!$E$2:$E$175,C76)</f>
        <v/>
      </c>
      <c r="T76">
        <f>SUMIFS(Allocation!$I$2:$I$175,Allocation!$C$2:$C$175,A76)</f>
        <v/>
      </c>
      <c r="U76">
        <f>SUMIFS(Allocation!$J$2:$J$175,Allocation!$C$2:$C$175,A76)</f>
        <v/>
      </c>
      <c r="V76">
        <f>SUMIFS(Allocation!$K$2:$K$175,Allocation!$C$2:$C$175,A76)</f>
        <v/>
      </c>
      <c r="W76">
        <f>SUMIFS(Compta!$F$2:$F$675,Compta!$A$2:$A$675,B76,Compta!$B$2:$B$675,"621",Compta!$C$2:$C$675,A76)</f>
        <v/>
      </c>
      <c r="X76">
        <f>SUMIFS(Compta!$F$2:$F$675,Compta!$A$2:$A$675,B76,Compta!$B$2:$B$675,"6411",Compta!$C$2:$C$675,A76)</f>
        <v/>
      </c>
      <c r="Y76">
        <f>SUMIFS(Compta!$F$2:$F$675,Compta!$A$2:$A$675,B76,Compta!$B$2:$B$675,"604",Compta!$C$2:$C$675,A76)+SUMIFS(Compta!$F$2:$F$675,Compta!$A$2:$A$675,B76,Compta!$B$2:$B$675,"6063",Compta!$C$2:$C$675,A76)</f>
        <v/>
      </c>
      <c r="Z76">
        <f>SUMIFS(Compta!$F$2:$F$675,Compta!$A$2:$A$675,B76,Compta!$B$2:$B$675,"6231",Compta!$C$2:$C$675,A76)</f>
        <v/>
      </c>
      <c r="AA76">
        <f>SUMIFS(Compta!$F$2:$F$675,Compta!$A$2:$A$675,B76,Compta!$B$2:$B$675,"6413",Compta!$C$2:$C$675,A76)+SUMIFS(Compta!$F$2:$F$675,Compta!$A$2:$A$675,B76,Compta!$B$2:$B$675,"645",Compta!$C$2:$C$675,A76)+SUMIFS(Compta!$F$2:$F$675,Compta!$A$2:$A$675,B76,Compta!$B$2:$B$675,"613",Compta!$C$2:$C$675,A76)+SUMIFS(Compta!$F$2:$F$675,Compta!$A$2:$A$675,B76,Compta!$B$2:$B$675,"615",Compta!$C$2:$C$675,A76)+SUMIFS(Compta!$F$2:$F$675,Compta!$A$2:$A$675,B76,Compta!$B$2:$B$675,"616",Compta!$C$2:$C$675,A76)+SUMIFS(Compta!$F$2:$F$675,Compta!$A$2:$A$675,B76,Compta!$B$2:$B$675,"625",Compta!$C$2:$C$675,A76)+SUMIFS(Compta!$F$2:$F$675,Compta!$A$2:$A$675,B76,Compta!$B$2:$B$675,"63511",Compta!$C$2:$C$675,A76)</f>
        <v/>
      </c>
      <c r="AB76">
        <f>SUMIFS(Compta!$F$2:$F$675,Compta!$A$2:$A$675,"GRP",Compta!$B$2:$B$675,"6414",Compta!$C$2:$C$675,A76)+SUMIFS(Compta!$F$2:$F$675,Compta!$A$2:$A$675,"GRP",Compta!$B$2:$B$675,"6226",Compta!$C$2:$C$675,A76)+SUMIFS(Compta!$F$2:$F$675,Compta!$A$2:$A$675,"GRP",Compta!$B$2:$B$675,"6236",Compta!$C$2:$C$675,A76)+SUMIFS(Compta!$F$2:$F$675,Compta!$A$2:$A$675,"GRP",Compta!$B$2:$B$675,"626",Compta!$C$2:$C$675,A76)+SUMIFS(Compta!$F$2:$F$675,Compta!$A$2:$A$675,"GRP",Compta!$B$2:$B$675,"6281",Compta!$C$2:$C$675,A76)+SUMIFS(Compta!$F$2:$F$675,Compta!$A$2:$A$675,"GRP",Compta!$B$2:$B$675,"6331",Compta!$C$2:$C$675,A76)+SUMIFS(Compta!$F$2:$F$675,Compta!$A$2:$A$675,"GRP",Compta!$B$2:$B$675,"6333",Compta!$C$2:$C$675,A76)</f>
        <v/>
      </c>
      <c r="AC76">
        <f>IF(Pilotage!$E$10="Chiffre d'affaires",I76,IF(Pilotage!$E$10="Effectif",G76,H76))</f>
        <v/>
      </c>
      <c r="AD76">
        <f>IF(Pilotage!$E$10="Chiffre d'affaires",N76,IF(Pilotage!$E$10="Effectif",L76,M76))</f>
        <v/>
      </c>
      <c r="AE76">
        <f>IF(Pilotage!$E$8="Chiffre d'affaires",N76,IF(Pilotage!$E$8="Effectif",L76,M76))</f>
        <v/>
      </c>
      <c r="AF76">
        <f>IF(Pilotage!$E$8="Chiffre d'affaires",S76,IF(Pilotage!$E$8="Effectif",Q76,R76))</f>
        <v/>
      </c>
      <c r="AG76">
        <f>IF(Pilotage!$E$9="Chiffre d'affaires",S76,IF(Pilotage!$E$9="Effectif",Q76,R76))</f>
        <v/>
      </c>
      <c r="AH76">
        <f>IF(Pilotage!$E$9="Chiffre d'affaires",V76,IF(Pilotage!$E$9="Effectif",T76,U76))</f>
        <v/>
      </c>
      <c r="AI76">
        <f>W76*IFERROR(K76/O76,0)</f>
        <v/>
      </c>
      <c r="AJ76">
        <f>X76*IFERROR(K76/O76,0)</f>
        <v/>
      </c>
      <c r="AK76">
        <f>Y76*IFERROR(G76/L76,0)+Z76*IFERROR(J76/P76,0)</f>
        <v/>
      </c>
      <c r="AL76">
        <f>AA76*IFERROR(AC76/AD76,0)</f>
        <v/>
      </c>
      <c r="AM76">
        <f>AB76*IFERROR(AG76/AH76,0)*IFERROR(AE76/AF76,0)*IFERROR(AC76/AD76,0)</f>
        <v/>
      </c>
      <c r="AN76">
        <f>I76-(AI76+AJ76+AK76+AL76+AM76)</f>
        <v/>
      </c>
    </row>
    <row r="77">
      <c r="A77">
        <f>Allocation!C77</f>
        <v/>
      </c>
      <c r="B77">
        <f>Allocation!D77</f>
        <v/>
      </c>
      <c r="C77">
        <f>Allocation!E77</f>
        <v/>
      </c>
      <c r="D77">
        <f>Allocation!F77</f>
        <v/>
      </c>
      <c r="E77">
        <f>Allocation!G77</f>
        <v/>
      </c>
      <c r="F77">
        <f>Allocation!H77</f>
        <v/>
      </c>
      <c r="G77">
        <f>Allocation!I77</f>
        <v/>
      </c>
      <c r="H77">
        <f>Allocation!J77</f>
        <v/>
      </c>
      <c r="I77">
        <f>Allocation!K77</f>
        <v/>
      </c>
      <c r="J77">
        <f>SUMIFS(Socle!$K$2:$K$175,Socle!$C$2:$C$175,B77,Socle!$D$2:$D$175,D77,Socle!$E$2:$E$175,E77,Socle!$F$2:$F$175,F77,Socle!$G$2:$G$175,A77)</f>
        <v/>
      </c>
      <c r="K77">
        <f>H77*IF(AND(LEFT(D77,3)="BAC",F77="INIT"),600,IF(LEFT(D77,3)="BAC",480,IF(AND(LEFT(D77,3)="MAS",F77="INIT"),520,IF(LEFT(D77,3)="MAS",420,IF(F77="INIT",1000,700)))))</f>
        <v/>
      </c>
      <c r="L77">
        <f>SUMIFS(Allocation!$I$2:$I$175,Allocation!$C$2:$C$175,A77,Allocation!$D$2:$D$175,B77)</f>
        <v/>
      </c>
      <c r="M77">
        <f>SUMIFS(Allocation!$J$2:$J$175,Allocation!$C$2:$C$175,A77,Allocation!$D$2:$D$175,B77)</f>
        <v/>
      </c>
      <c r="N77">
        <f>SUMIFS(Allocation!$K$2:$K$175,Allocation!$C$2:$C$175,A77,Allocation!$D$2:$D$175,B77)</f>
        <v/>
      </c>
      <c r="O77">
        <f>SUMIFS($K$2:$K$175,$A$2:$A$175,A77,$B$2:$B$175,B77)</f>
        <v/>
      </c>
      <c r="P77">
        <f>SUMIFS($J$2:$J$175,$A$2:$A$175,A77,$B$2:$B$175,B77)</f>
        <v/>
      </c>
      <c r="Q77">
        <f>SUMIFS(Allocation!$I$2:$I$175,Allocation!$C$2:$C$175,A77,Allocation!$E$2:$E$175,C77)</f>
        <v/>
      </c>
      <c r="R77">
        <f>SUMIFS(Allocation!$J$2:$J$175,Allocation!$C$2:$C$175,A77,Allocation!$E$2:$E$175,C77)</f>
        <v/>
      </c>
      <c r="S77">
        <f>SUMIFS(Allocation!$K$2:$K$175,Allocation!$C$2:$C$175,A77,Allocation!$E$2:$E$175,C77)</f>
        <v/>
      </c>
      <c r="T77">
        <f>SUMIFS(Allocation!$I$2:$I$175,Allocation!$C$2:$C$175,A77)</f>
        <v/>
      </c>
      <c r="U77">
        <f>SUMIFS(Allocation!$J$2:$J$175,Allocation!$C$2:$C$175,A77)</f>
        <v/>
      </c>
      <c r="V77">
        <f>SUMIFS(Allocation!$K$2:$K$175,Allocation!$C$2:$C$175,A77)</f>
        <v/>
      </c>
      <c r="W77">
        <f>SUMIFS(Compta!$F$2:$F$675,Compta!$A$2:$A$675,B77,Compta!$B$2:$B$675,"621",Compta!$C$2:$C$675,A77)</f>
        <v/>
      </c>
      <c r="X77">
        <f>SUMIFS(Compta!$F$2:$F$675,Compta!$A$2:$A$675,B77,Compta!$B$2:$B$675,"6411",Compta!$C$2:$C$675,A77)</f>
        <v/>
      </c>
      <c r="Y77">
        <f>SUMIFS(Compta!$F$2:$F$675,Compta!$A$2:$A$675,B77,Compta!$B$2:$B$675,"604",Compta!$C$2:$C$675,A77)+SUMIFS(Compta!$F$2:$F$675,Compta!$A$2:$A$675,B77,Compta!$B$2:$B$675,"6063",Compta!$C$2:$C$675,A77)</f>
        <v/>
      </c>
      <c r="Z77">
        <f>SUMIFS(Compta!$F$2:$F$675,Compta!$A$2:$A$675,B77,Compta!$B$2:$B$675,"6231",Compta!$C$2:$C$675,A77)</f>
        <v/>
      </c>
      <c r="AA77">
        <f>SUMIFS(Compta!$F$2:$F$675,Compta!$A$2:$A$675,B77,Compta!$B$2:$B$675,"6413",Compta!$C$2:$C$675,A77)+SUMIFS(Compta!$F$2:$F$675,Compta!$A$2:$A$675,B77,Compta!$B$2:$B$675,"645",Compta!$C$2:$C$675,A77)+SUMIFS(Compta!$F$2:$F$675,Compta!$A$2:$A$675,B77,Compta!$B$2:$B$675,"613",Compta!$C$2:$C$675,A77)+SUMIFS(Compta!$F$2:$F$675,Compta!$A$2:$A$675,B77,Compta!$B$2:$B$675,"615",Compta!$C$2:$C$675,A77)+SUMIFS(Compta!$F$2:$F$675,Compta!$A$2:$A$675,B77,Compta!$B$2:$B$675,"616",Compta!$C$2:$C$675,A77)+SUMIFS(Compta!$F$2:$F$675,Compta!$A$2:$A$675,B77,Compta!$B$2:$B$675,"625",Compta!$C$2:$C$675,A77)+SUMIFS(Compta!$F$2:$F$675,Compta!$A$2:$A$675,B77,Compta!$B$2:$B$675,"63511",Compta!$C$2:$C$675,A77)</f>
        <v/>
      </c>
      <c r="AB77">
        <f>SUMIFS(Compta!$F$2:$F$675,Compta!$A$2:$A$675,"GRP",Compta!$B$2:$B$675,"6414",Compta!$C$2:$C$675,A77)+SUMIFS(Compta!$F$2:$F$675,Compta!$A$2:$A$675,"GRP",Compta!$B$2:$B$675,"6226",Compta!$C$2:$C$675,A77)+SUMIFS(Compta!$F$2:$F$675,Compta!$A$2:$A$675,"GRP",Compta!$B$2:$B$675,"6236",Compta!$C$2:$C$675,A77)+SUMIFS(Compta!$F$2:$F$675,Compta!$A$2:$A$675,"GRP",Compta!$B$2:$B$675,"626",Compta!$C$2:$C$675,A77)+SUMIFS(Compta!$F$2:$F$675,Compta!$A$2:$A$675,"GRP",Compta!$B$2:$B$675,"6281",Compta!$C$2:$C$675,A77)+SUMIFS(Compta!$F$2:$F$675,Compta!$A$2:$A$675,"GRP",Compta!$B$2:$B$675,"6331",Compta!$C$2:$C$675,A77)+SUMIFS(Compta!$F$2:$F$675,Compta!$A$2:$A$675,"GRP",Compta!$B$2:$B$675,"6333",Compta!$C$2:$C$675,A77)</f>
        <v/>
      </c>
      <c r="AC77">
        <f>IF(Pilotage!$E$10="Chiffre d'affaires",I77,IF(Pilotage!$E$10="Effectif",G77,H77))</f>
        <v/>
      </c>
      <c r="AD77">
        <f>IF(Pilotage!$E$10="Chiffre d'affaires",N77,IF(Pilotage!$E$10="Effectif",L77,M77))</f>
        <v/>
      </c>
      <c r="AE77">
        <f>IF(Pilotage!$E$8="Chiffre d'affaires",N77,IF(Pilotage!$E$8="Effectif",L77,M77))</f>
        <v/>
      </c>
      <c r="AF77">
        <f>IF(Pilotage!$E$8="Chiffre d'affaires",S77,IF(Pilotage!$E$8="Effectif",Q77,R77))</f>
        <v/>
      </c>
      <c r="AG77">
        <f>IF(Pilotage!$E$9="Chiffre d'affaires",S77,IF(Pilotage!$E$9="Effectif",Q77,R77))</f>
        <v/>
      </c>
      <c r="AH77">
        <f>IF(Pilotage!$E$9="Chiffre d'affaires",V77,IF(Pilotage!$E$9="Effectif",T77,U77))</f>
        <v/>
      </c>
      <c r="AI77">
        <f>W77*IFERROR(K77/O77,0)</f>
        <v/>
      </c>
      <c r="AJ77">
        <f>X77*IFERROR(K77/O77,0)</f>
        <v/>
      </c>
      <c r="AK77">
        <f>Y77*IFERROR(G77/L77,0)+Z77*IFERROR(J77/P77,0)</f>
        <v/>
      </c>
      <c r="AL77">
        <f>AA77*IFERROR(AC77/AD77,0)</f>
        <v/>
      </c>
      <c r="AM77">
        <f>AB77*IFERROR(AG77/AH77,0)*IFERROR(AE77/AF77,0)*IFERROR(AC77/AD77,0)</f>
        <v/>
      </c>
      <c r="AN77">
        <f>I77-(AI77+AJ77+AK77+AL77+AM77)</f>
        <v/>
      </c>
    </row>
    <row r="78">
      <c r="A78">
        <f>Allocation!C78</f>
        <v/>
      </c>
      <c r="B78">
        <f>Allocation!D78</f>
        <v/>
      </c>
      <c r="C78">
        <f>Allocation!E78</f>
        <v/>
      </c>
      <c r="D78">
        <f>Allocation!F78</f>
        <v/>
      </c>
      <c r="E78">
        <f>Allocation!G78</f>
        <v/>
      </c>
      <c r="F78">
        <f>Allocation!H78</f>
        <v/>
      </c>
      <c r="G78">
        <f>Allocation!I78</f>
        <v/>
      </c>
      <c r="H78">
        <f>Allocation!J78</f>
        <v/>
      </c>
      <c r="I78">
        <f>Allocation!K78</f>
        <v/>
      </c>
      <c r="J78">
        <f>SUMIFS(Socle!$K$2:$K$175,Socle!$C$2:$C$175,B78,Socle!$D$2:$D$175,D78,Socle!$E$2:$E$175,E78,Socle!$F$2:$F$175,F78,Socle!$G$2:$G$175,A78)</f>
        <v/>
      </c>
      <c r="K78">
        <f>H78*IF(AND(LEFT(D78,3)="BAC",F78="INIT"),600,IF(LEFT(D78,3)="BAC",480,IF(AND(LEFT(D78,3)="MAS",F78="INIT"),520,IF(LEFT(D78,3)="MAS",420,IF(F78="INIT",1000,700)))))</f>
        <v/>
      </c>
      <c r="L78">
        <f>SUMIFS(Allocation!$I$2:$I$175,Allocation!$C$2:$C$175,A78,Allocation!$D$2:$D$175,B78)</f>
        <v/>
      </c>
      <c r="M78">
        <f>SUMIFS(Allocation!$J$2:$J$175,Allocation!$C$2:$C$175,A78,Allocation!$D$2:$D$175,B78)</f>
        <v/>
      </c>
      <c r="N78">
        <f>SUMIFS(Allocation!$K$2:$K$175,Allocation!$C$2:$C$175,A78,Allocation!$D$2:$D$175,B78)</f>
        <v/>
      </c>
      <c r="O78">
        <f>SUMIFS($K$2:$K$175,$A$2:$A$175,A78,$B$2:$B$175,B78)</f>
        <v/>
      </c>
      <c r="P78">
        <f>SUMIFS($J$2:$J$175,$A$2:$A$175,A78,$B$2:$B$175,B78)</f>
        <v/>
      </c>
      <c r="Q78">
        <f>SUMIFS(Allocation!$I$2:$I$175,Allocation!$C$2:$C$175,A78,Allocation!$E$2:$E$175,C78)</f>
        <v/>
      </c>
      <c r="R78">
        <f>SUMIFS(Allocation!$J$2:$J$175,Allocation!$C$2:$C$175,A78,Allocation!$E$2:$E$175,C78)</f>
        <v/>
      </c>
      <c r="S78">
        <f>SUMIFS(Allocation!$K$2:$K$175,Allocation!$C$2:$C$175,A78,Allocation!$E$2:$E$175,C78)</f>
        <v/>
      </c>
      <c r="T78">
        <f>SUMIFS(Allocation!$I$2:$I$175,Allocation!$C$2:$C$175,A78)</f>
        <v/>
      </c>
      <c r="U78">
        <f>SUMIFS(Allocation!$J$2:$J$175,Allocation!$C$2:$C$175,A78)</f>
        <v/>
      </c>
      <c r="V78">
        <f>SUMIFS(Allocation!$K$2:$K$175,Allocation!$C$2:$C$175,A78)</f>
        <v/>
      </c>
      <c r="W78">
        <f>SUMIFS(Compta!$F$2:$F$675,Compta!$A$2:$A$675,B78,Compta!$B$2:$B$675,"621",Compta!$C$2:$C$675,A78)</f>
        <v/>
      </c>
      <c r="X78">
        <f>SUMIFS(Compta!$F$2:$F$675,Compta!$A$2:$A$675,B78,Compta!$B$2:$B$675,"6411",Compta!$C$2:$C$675,A78)</f>
        <v/>
      </c>
      <c r="Y78">
        <f>SUMIFS(Compta!$F$2:$F$675,Compta!$A$2:$A$675,B78,Compta!$B$2:$B$675,"604",Compta!$C$2:$C$675,A78)+SUMIFS(Compta!$F$2:$F$675,Compta!$A$2:$A$675,B78,Compta!$B$2:$B$675,"6063",Compta!$C$2:$C$675,A78)</f>
        <v/>
      </c>
      <c r="Z78">
        <f>SUMIFS(Compta!$F$2:$F$675,Compta!$A$2:$A$675,B78,Compta!$B$2:$B$675,"6231",Compta!$C$2:$C$675,A78)</f>
        <v/>
      </c>
      <c r="AA78">
        <f>SUMIFS(Compta!$F$2:$F$675,Compta!$A$2:$A$675,B78,Compta!$B$2:$B$675,"6413",Compta!$C$2:$C$675,A78)+SUMIFS(Compta!$F$2:$F$675,Compta!$A$2:$A$675,B78,Compta!$B$2:$B$675,"645",Compta!$C$2:$C$675,A78)+SUMIFS(Compta!$F$2:$F$675,Compta!$A$2:$A$675,B78,Compta!$B$2:$B$675,"613",Compta!$C$2:$C$675,A78)+SUMIFS(Compta!$F$2:$F$675,Compta!$A$2:$A$675,B78,Compta!$B$2:$B$675,"615",Compta!$C$2:$C$675,A78)+SUMIFS(Compta!$F$2:$F$675,Compta!$A$2:$A$675,B78,Compta!$B$2:$B$675,"616",Compta!$C$2:$C$675,A78)+SUMIFS(Compta!$F$2:$F$675,Compta!$A$2:$A$675,B78,Compta!$B$2:$B$675,"625",Compta!$C$2:$C$675,A78)+SUMIFS(Compta!$F$2:$F$675,Compta!$A$2:$A$675,B78,Compta!$B$2:$B$675,"63511",Compta!$C$2:$C$675,A78)</f>
        <v/>
      </c>
      <c r="AB78">
        <f>SUMIFS(Compta!$F$2:$F$675,Compta!$A$2:$A$675,"GRP",Compta!$B$2:$B$675,"6414",Compta!$C$2:$C$675,A78)+SUMIFS(Compta!$F$2:$F$675,Compta!$A$2:$A$675,"GRP",Compta!$B$2:$B$675,"6226",Compta!$C$2:$C$675,A78)+SUMIFS(Compta!$F$2:$F$675,Compta!$A$2:$A$675,"GRP",Compta!$B$2:$B$675,"6236",Compta!$C$2:$C$675,A78)+SUMIFS(Compta!$F$2:$F$675,Compta!$A$2:$A$675,"GRP",Compta!$B$2:$B$675,"626",Compta!$C$2:$C$675,A78)+SUMIFS(Compta!$F$2:$F$675,Compta!$A$2:$A$675,"GRP",Compta!$B$2:$B$675,"6281",Compta!$C$2:$C$675,A78)+SUMIFS(Compta!$F$2:$F$675,Compta!$A$2:$A$675,"GRP",Compta!$B$2:$B$675,"6331",Compta!$C$2:$C$675,A78)+SUMIFS(Compta!$F$2:$F$675,Compta!$A$2:$A$675,"GRP",Compta!$B$2:$B$675,"6333",Compta!$C$2:$C$675,A78)</f>
        <v/>
      </c>
      <c r="AC78">
        <f>IF(Pilotage!$E$10="Chiffre d'affaires",I78,IF(Pilotage!$E$10="Effectif",G78,H78))</f>
        <v/>
      </c>
      <c r="AD78">
        <f>IF(Pilotage!$E$10="Chiffre d'affaires",N78,IF(Pilotage!$E$10="Effectif",L78,M78))</f>
        <v/>
      </c>
      <c r="AE78">
        <f>IF(Pilotage!$E$8="Chiffre d'affaires",N78,IF(Pilotage!$E$8="Effectif",L78,M78))</f>
        <v/>
      </c>
      <c r="AF78">
        <f>IF(Pilotage!$E$8="Chiffre d'affaires",S78,IF(Pilotage!$E$8="Effectif",Q78,R78))</f>
        <v/>
      </c>
      <c r="AG78">
        <f>IF(Pilotage!$E$9="Chiffre d'affaires",S78,IF(Pilotage!$E$9="Effectif",Q78,R78))</f>
        <v/>
      </c>
      <c r="AH78">
        <f>IF(Pilotage!$E$9="Chiffre d'affaires",V78,IF(Pilotage!$E$9="Effectif",T78,U78))</f>
        <v/>
      </c>
      <c r="AI78">
        <f>W78*IFERROR(K78/O78,0)</f>
        <v/>
      </c>
      <c r="AJ78">
        <f>X78*IFERROR(K78/O78,0)</f>
        <v/>
      </c>
      <c r="AK78">
        <f>Y78*IFERROR(G78/L78,0)+Z78*IFERROR(J78/P78,0)</f>
        <v/>
      </c>
      <c r="AL78">
        <f>AA78*IFERROR(AC78/AD78,0)</f>
        <v/>
      </c>
      <c r="AM78">
        <f>AB78*IFERROR(AG78/AH78,0)*IFERROR(AE78/AF78,0)*IFERROR(AC78/AD78,0)</f>
        <v/>
      </c>
      <c r="AN78">
        <f>I78-(AI78+AJ78+AK78+AL78+AM78)</f>
        <v/>
      </c>
    </row>
    <row r="79">
      <c r="A79">
        <f>Allocation!C79</f>
        <v/>
      </c>
      <c r="B79">
        <f>Allocation!D79</f>
        <v/>
      </c>
      <c r="C79">
        <f>Allocation!E79</f>
        <v/>
      </c>
      <c r="D79">
        <f>Allocation!F79</f>
        <v/>
      </c>
      <c r="E79">
        <f>Allocation!G79</f>
        <v/>
      </c>
      <c r="F79">
        <f>Allocation!H79</f>
        <v/>
      </c>
      <c r="G79">
        <f>Allocation!I79</f>
        <v/>
      </c>
      <c r="H79">
        <f>Allocation!J79</f>
        <v/>
      </c>
      <c r="I79">
        <f>Allocation!K79</f>
        <v/>
      </c>
      <c r="J79">
        <f>SUMIFS(Socle!$K$2:$K$175,Socle!$C$2:$C$175,B79,Socle!$D$2:$D$175,D79,Socle!$E$2:$E$175,E79,Socle!$F$2:$F$175,F79,Socle!$G$2:$G$175,A79)</f>
        <v/>
      </c>
      <c r="K79">
        <f>H79*IF(AND(LEFT(D79,3)="BAC",F79="INIT"),600,IF(LEFT(D79,3)="BAC",480,IF(AND(LEFT(D79,3)="MAS",F79="INIT"),520,IF(LEFT(D79,3)="MAS",420,IF(F79="INIT",1000,700)))))</f>
        <v/>
      </c>
      <c r="L79">
        <f>SUMIFS(Allocation!$I$2:$I$175,Allocation!$C$2:$C$175,A79,Allocation!$D$2:$D$175,B79)</f>
        <v/>
      </c>
      <c r="M79">
        <f>SUMIFS(Allocation!$J$2:$J$175,Allocation!$C$2:$C$175,A79,Allocation!$D$2:$D$175,B79)</f>
        <v/>
      </c>
      <c r="N79">
        <f>SUMIFS(Allocation!$K$2:$K$175,Allocation!$C$2:$C$175,A79,Allocation!$D$2:$D$175,B79)</f>
        <v/>
      </c>
      <c r="O79">
        <f>SUMIFS($K$2:$K$175,$A$2:$A$175,A79,$B$2:$B$175,B79)</f>
        <v/>
      </c>
      <c r="P79">
        <f>SUMIFS($J$2:$J$175,$A$2:$A$175,A79,$B$2:$B$175,B79)</f>
        <v/>
      </c>
      <c r="Q79">
        <f>SUMIFS(Allocation!$I$2:$I$175,Allocation!$C$2:$C$175,A79,Allocation!$E$2:$E$175,C79)</f>
        <v/>
      </c>
      <c r="R79">
        <f>SUMIFS(Allocation!$J$2:$J$175,Allocation!$C$2:$C$175,A79,Allocation!$E$2:$E$175,C79)</f>
        <v/>
      </c>
      <c r="S79">
        <f>SUMIFS(Allocation!$K$2:$K$175,Allocation!$C$2:$C$175,A79,Allocation!$E$2:$E$175,C79)</f>
        <v/>
      </c>
      <c r="T79">
        <f>SUMIFS(Allocation!$I$2:$I$175,Allocation!$C$2:$C$175,A79)</f>
        <v/>
      </c>
      <c r="U79">
        <f>SUMIFS(Allocation!$J$2:$J$175,Allocation!$C$2:$C$175,A79)</f>
        <v/>
      </c>
      <c r="V79">
        <f>SUMIFS(Allocation!$K$2:$K$175,Allocation!$C$2:$C$175,A79)</f>
        <v/>
      </c>
      <c r="W79">
        <f>SUMIFS(Compta!$F$2:$F$675,Compta!$A$2:$A$675,B79,Compta!$B$2:$B$675,"621",Compta!$C$2:$C$675,A79)</f>
        <v/>
      </c>
      <c r="X79">
        <f>SUMIFS(Compta!$F$2:$F$675,Compta!$A$2:$A$675,B79,Compta!$B$2:$B$675,"6411",Compta!$C$2:$C$675,A79)</f>
        <v/>
      </c>
      <c r="Y79">
        <f>SUMIFS(Compta!$F$2:$F$675,Compta!$A$2:$A$675,B79,Compta!$B$2:$B$675,"604",Compta!$C$2:$C$675,A79)+SUMIFS(Compta!$F$2:$F$675,Compta!$A$2:$A$675,B79,Compta!$B$2:$B$675,"6063",Compta!$C$2:$C$675,A79)</f>
        <v/>
      </c>
      <c r="Z79">
        <f>SUMIFS(Compta!$F$2:$F$675,Compta!$A$2:$A$675,B79,Compta!$B$2:$B$675,"6231",Compta!$C$2:$C$675,A79)</f>
        <v/>
      </c>
      <c r="AA79">
        <f>SUMIFS(Compta!$F$2:$F$675,Compta!$A$2:$A$675,B79,Compta!$B$2:$B$675,"6413",Compta!$C$2:$C$675,A79)+SUMIFS(Compta!$F$2:$F$675,Compta!$A$2:$A$675,B79,Compta!$B$2:$B$675,"645",Compta!$C$2:$C$675,A79)+SUMIFS(Compta!$F$2:$F$675,Compta!$A$2:$A$675,B79,Compta!$B$2:$B$675,"613",Compta!$C$2:$C$675,A79)+SUMIFS(Compta!$F$2:$F$675,Compta!$A$2:$A$675,B79,Compta!$B$2:$B$675,"615",Compta!$C$2:$C$675,A79)+SUMIFS(Compta!$F$2:$F$675,Compta!$A$2:$A$675,B79,Compta!$B$2:$B$675,"616",Compta!$C$2:$C$675,A79)+SUMIFS(Compta!$F$2:$F$675,Compta!$A$2:$A$675,B79,Compta!$B$2:$B$675,"625",Compta!$C$2:$C$675,A79)+SUMIFS(Compta!$F$2:$F$675,Compta!$A$2:$A$675,B79,Compta!$B$2:$B$675,"63511",Compta!$C$2:$C$675,A79)</f>
        <v/>
      </c>
      <c r="AB79">
        <f>SUMIFS(Compta!$F$2:$F$675,Compta!$A$2:$A$675,"GRP",Compta!$B$2:$B$675,"6414",Compta!$C$2:$C$675,A79)+SUMIFS(Compta!$F$2:$F$675,Compta!$A$2:$A$675,"GRP",Compta!$B$2:$B$675,"6226",Compta!$C$2:$C$675,A79)+SUMIFS(Compta!$F$2:$F$675,Compta!$A$2:$A$675,"GRP",Compta!$B$2:$B$675,"6236",Compta!$C$2:$C$675,A79)+SUMIFS(Compta!$F$2:$F$675,Compta!$A$2:$A$675,"GRP",Compta!$B$2:$B$675,"626",Compta!$C$2:$C$675,A79)+SUMIFS(Compta!$F$2:$F$675,Compta!$A$2:$A$675,"GRP",Compta!$B$2:$B$675,"6281",Compta!$C$2:$C$675,A79)+SUMIFS(Compta!$F$2:$F$675,Compta!$A$2:$A$675,"GRP",Compta!$B$2:$B$675,"6331",Compta!$C$2:$C$675,A79)+SUMIFS(Compta!$F$2:$F$675,Compta!$A$2:$A$675,"GRP",Compta!$B$2:$B$675,"6333",Compta!$C$2:$C$675,A79)</f>
        <v/>
      </c>
      <c r="AC79">
        <f>IF(Pilotage!$E$10="Chiffre d'affaires",I79,IF(Pilotage!$E$10="Effectif",G79,H79))</f>
        <v/>
      </c>
      <c r="AD79">
        <f>IF(Pilotage!$E$10="Chiffre d'affaires",N79,IF(Pilotage!$E$10="Effectif",L79,M79))</f>
        <v/>
      </c>
      <c r="AE79">
        <f>IF(Pilotage!$E$8="Chiffre d'affaires",N79,IF(Pilotage!$E$8="Effectif",L79,M79))</f>
        <v/>
      </c>
      <c r="AF79">
        <f>IF(Pilotage!$E$8="Chiffre d'affaires",S79,IF(Pilotage!$E$8="Effectif",Q79,R79))</f>
        <v/>
      </c>
      <c r="AG79">
        <f>IF(Pilotage!$E$9="Chiffre d'affaires",S79,IF(Pilotage!$E$9="Effectif",Q79,R79))</f>
        <v/>
      </c>
      <c r="AH79">
        <f>IF(Pilotage!$E$9="Chiffre d'affaires",V79,IF(Pilotage!$E$9="Effectif",T79,U79))</f>
        <v/>
      </c>
      <c r="AI79">
        <f>W79*IFERROR(K79/O79,0)</f>
        <v/>
      </c>
      <c r="AJ79">
        <f>X79*IFERROR(K79/O79,0)</f>
        <v/>
      </c>
      <c r="AK79">
        <f>Y79*IFERROR(G79/L79,0)+Z79*IFERROR(J79/P79,0)</f>
        <v/>
      </c>
      <c r="AL79">
        <f>AA79*IFERROR(AC79/AD79,0)</f>
        <v/>
      </c>
      <c r="AM79">
        <f>AB79*IFERROR(AG79/AH79,0)*IFERROR(AE79/AF79,0)*IFERROR(AC79/AD79,0)</f>
        <v/>
      </c>
      <c r="AN79">
        <f>I79-(AI79+AJ79+AK79+AL79+AM79)</f>
        <v/>
      </c>
    </row>
    <row r="80">
      <c r="A80">
        <f>Allocation!C80</f>
        <v/>
      </c>
      <c r="B80">
        <f>Allocation!D80</f>
        <v/>
      </c>
      <c r="C80">
        <f>Allocation!E80</f>
        <v/>
      </c>
      <c r="D80">
        <f>Allocation!F80</f>
        <v/>
      </c>
      <c r="E80">
        <f>Allocation!G80</f>
        <v/>
      </c>
      <c r="F80">
        <f>Allocation!H80</f>
        <v/>
      </c>
      <c r="G80">
        <f>Allocation!I80</f>
        <v/>
      </c>
      <c r="H80">
        <f>Allocation!J80</f>
        <v/>
      </c>
      <c r="I80">
        <f>Allocation!K80</f>
        <v/>
      </c>
      <c r="J80">
        <f>SUMIFS(Socle!$K$2:$K$175,Socle!$C$2:$C$175,B80,Socle!$D$2:$D$175,D80,Socle!$E$2:$E$175,E80,Socle!$F$2:$F$175,F80,Socle!$G$2:$G$175,A80)</f>
        <v/>
      </c>
      <c r="K80">
        <f>H80*IF(AND(LEFT(D80,3)="BAC",F80="INIT"),600,IF(LEFT(D80,3)="BAC",480,IF(AND(LEFT(D80,3)="MAS",F80="INIT"),520,IF(LEFT(D80,3)="MAS",420,IF(F80="INIT",1000,700)))))</f>
        <v/>
      </c>
      <c r="L80">
        <f>SUMIFS(Allocation!$I$2:$I$175,Allocation!$C$2:$C$175,A80,Allocation!$D$2:$D$175,B80)</f>
        <v/>
      </c>
      <c r="M80">
        <f>SUMIFS(Allocation!$J$2:$J$175,Allocation!$C$2:$C$175,A80,Allocation!$D$2:$D$175,B80)</f>
        <v/>
      </c>
      <c r="N80">
        <f>SUMIFS(Allocation!$K$2:$K$175,Allocation!$C$2:$C$175,A80,Allocation!$D$2:$D$175,B80)</f>
        <v/>
      </c>
      <c r="O80">
        <f>SUMIFS($K$2:$K$175,$A$2:$A$175,A80,$B$2:$B$175,B80)</f>
        <v/>
      </c>
      <c r="P80">
        <f>SUMIFS($J$2:$J$175,$A$2:$A$175,A80,$B$2:$B$175,B80)</f>
        <v/>
      </c>
      <c r="Q80">
        <f>SUMIFS(Allocation!$I$2:$I$175,Allocation!$C$2:$C$175,A80,Allocation!$E$2:$E$175,C80)</f>
        <v/>
      </c>
      <c r="R80">
        <f>SUMIFS(Allocation!$J$2:$J$175,Allocation!$C$2:$C$175,A80,Allocation!$E$2:$E$175,C80)</f>
        <v/>
      </c>
      <c r="S80">
        <f>SUMIFS(Allocation!$K$2:$K$175,Allocation!$C$2:$C$175,A80,Allocation!$E$2:$E$175,C80)</f>
        <v/>
      </c>
      <c r="T80">
        <f>SUMIFS(Allocation!$I$2:$I$175,Allocation!$C$2:$C$175,A80)</f>
        <v/>
      </c>
      <c r="U80">
        <f>SUMIFS(Allocation!$J$2:$J$175,Allocation!$C$2:$C$175,A80)</f>
        <v/>
      </c>
      <c r="V80">
        <f>SUMIFS(Allocation!$K$2:$K$175,Allocation!$C$2:$C$175,A80)</f>
        <v/>
      </c>
      <c r="W80">
        <f>SUMIFS(Compta!$F$2:$F$675,Compta!$A$2:$A$675,B80,Compta!$B$2:$B$675,"621",Compta!$C$2:$C$675,A80)</f>
        <v/>
      </c>
      <c r="X80">
        <f>SUMIFS(Compta!$F$2:$F$675,Compta!$A$2:$A$675,B80,Compta!$B$2:$B$675,"6411",Compta!$C$2:$C$675,A80)</f>
        <v/>
      </c>
      <c r="Y80">
        <f>SUMIFS(Compta!$F$2:$F$675,Compta!$A$2:$A$675,B80,Compta!$B$2:$B$675,"604",Compta!$C$2:$C$675,A80)+SUMIFS(Compta!$F$2:$F$675,Compta!$A$2:$A$675,B80,Compta!$B$2:$B$675,"6063",Compta!$C$2:$C$675,A80)</f>
        <v/>
      </c>
      <c r="Z80">
        <f>SUMIFS(Compta!$F$2:$F$675,Compta!$A$2:$A$675,B80,Compta!$B$2:$B$675,"6231",Compta!$C$2:$C$675,A80)</f>
        <v/>
      </c>
      <c r="AA80">
        <f>SUMIFS(Compta!$F$2:$F$675,Compta!$A$2:$A$675,B80,Compta!$B$2:$B$675,"6413",Compta!$C$2:$C$675,A80)+SUMIFS(Compta!$F$2:$F$675,Compta!$A$2:$A$675,B80,Compta!$B$2:$B$675,"645",Compta!$C$2:$C$675,A80)+SUMIFS(Compta!$F$2:$F$675,Compta!$A$2:$A$675,B80,Compta!$B$2:$B$675,"613",Compta!$C$2:$C$675,A80)+SUMIFS(Compta!$F$2:$F$675,Compta!$A$2:$A$675,B80,Compta!$B$2:$B$675,"615",Compta!$C$2:$C$675,A80)+SUMIFS(Compta!$F$2:$F$675,Compta!$A$2:$A$675,B80,Compta!$B$2:$B$675,"616",Compta!$C$2:$C$675,A80)+SUMIFS(Compta!$F$2:$F$675,Compta!$A$2:$A$675,B80,Compta!$B$2:$B$675,"625",Compta!$C$2:$C$675,A80)+SUMIFS(Compta!$F$2:$F$675,Compta!$A$2:$A$675,B80,Compta!$B$2:$B$675,"63511",Compta!$C$2:$C$675,A80)</f>
        <v/>
      </c>
      <c r="AB80">
        <f>SUMIFS(Compta!$F$2:$F$675,Compta!$A$2:$A$675,"GRP",Compta!$B$2:$B$675,"6414",Compta!$C$2:$C$675,A80)+SUMIFS(Compta!$F$2:$F$675,Compta!$A$2:$A$675,"GRP",Compta!$B$2:$B$675,"6226",Compta!$C$2:$C$675,A80)+SUMIFS(Compta!$F$2:$F$675,Compta!$A$2:$A$675,"GRP",Compta!$B$2:$B$675,"6236",Compta!$C$2:$C$675,A80)+SUMIFS(Compta!$F$2:$F$675,Compta!$A$2:$A$675,"GRP",Compta!$B$2:$B$675,"626",Compta!$C$2:$C$675,A80)+SUMIFS(Compta!$F$2:$F$675,Compta!$A$2:$A$675,"GRP",Compta!$B$2:$B$675,"6281",Compta!$C$2:$C$675,A80)+SUMIFS(Compta!$F$2:$F$675,Compta!$A$2:$A$675,"GRP",Compta!$B$2:$B$675,"6331",Compta!$C$2:$C$675,A80)+SUMIFS(Compta!$F$2:$F$675,Compta!$A$2:$A$675,"GRP",Compta!$B$2:$B$675,"6333",Compta!$C$2:$C$675,A80)</f>
        <v/>
      </c>
      <c r="AC80">
        <f>IF(Pilotage!$E$10="Chiffre d'affaires",I80,IF(Pilotage!$E$10="Effectif",G80,H80))</f>
        <v/>
      </c>
      <c r="AD80">
        <f>IF(Pilotage!$E$10="Chiffre d'affaires",N80,IF(Pilotage!$E$10="Effectif",L80,M80))</f>
        <v/>
      </c>
      <c r="AE80">
        <f>IF(Pilotage!$E$8="Chiffre d'affaires",N80,IF(Pilotage!$E$8="Effectif",L80,M80))</f>
        <v/>
      </c>
      <c r="AF80">
        <f>IF(Pilotage!$E$8="Chiffre d'affaires",S80,IF(Pilotage!$E$8="Effectif",Q80,R80))</f>
        <v/>
      </c>
      <c r="AG80">
        <f>IF(Pilotage!$E$9="Chiffre d'affaires",S80,IF(Pilotage!$E$9="Effectif",Q80,R80))</f>
        <v/>
      </c>
      <c r="AH80">
        <f>IF(Pilotage!$E$9="Chiffre d'affaires",V80,IF(Pilotage!$E$9="Effectif",T80,U80))</f>
        <v/>
      </c>
      <c r="AI80">
        <f>W80*IFERROR(K80/O80,0)</f>
        <v/>
      </c>
      <c r="AJ80">
        <f>X80*IFERROR(K80/O80,0)</f>
        <v/>
      </c>
      <c r="AK80">
        <f>Y80*IFERROR(G80/L80,0)+Z80*IFERROR(J80/P80,0)</f>
        <v/>
      </c>
      <c r="AL80">
        <f>AA80*IFERROR(AC80/AD80,0)</f>
        <v/>
      </c>
      <c r="AM80">
        <f>AB80*IFERROR(AG80/AH80,0)*IFERROR(AE80/AF80,0)*IFERROR(AC80/AD80,0)</f>
        <v/>
      </c>
      <c r="AN80">
        <f>I80-(AI80+AJ80+AK80+AL80+AM80)</f>
        <v/>
      </c>
    </row>
    <row r="81">
      <c r="A81">
        <f>Allocation!C81</f>
        <v/>
      </c>
      <c r="B81">
        <f>Allocation!D81</f>
        <v/>
      </c>
      <c r="C81">
        <f>Allocation!E81</f>
        <v/>
      </c>
      <c r="D81">
        <f>Allocation!F81</f>
        <v/>
      </c>
      <c r="E81">
        <f>Allocation!G81</f>
        <v/>
      </c>
      <c r="F81">
        <f>Allocation!H81</f>
        <v/>
      </c>
      <c r="G81">
        <f>Allocation!I81</f>
        <v/>
      </c>
      <c r="H81">
        <f>Allocation!J81</f>
        <v/>
      </c>
      <c r="I81">
        <f>Allocation!K81</f>
        <v/>
      </c>
      <c r="J81">
        <f>SUMIFS(Socle!$K$2:$K$175,Socle!$C$2:$C$175,B81,Socle!$D$2:$D$175,D81,Socle!$E$2:$E$175,E81,Socle!$F$2:$F$175,F81,Socle!$G$2:$G$175,A81)</f>
        <v/>
      </c>
      <c r="K81">
        <f>H81*IF(AND(LEFT(D81,3)="BAC",F81="INIT"),600,IF(LEFT(D81,3)="BAC",480,IF(AND(LEFT(D81,3)="MAS",F81="INIT"),520,IF(LEFT(D81,3)="MAS",420,IF(F81="INIT",1000,700)))))</f>
        <v/>
      </c>
      <c r="L81">
        <f>SUMIFS(Allocation!$I$2:$I$175,Allocation!$C$2:$C$175,A81,Allocation!$D$2:$D$175,B81)</f>
        <v/>
      </c>
      <c r="M81">
        <f>SUMIFS(Allocation!$J$2:$J$175,Allocation!$C$2:$C$175,A81,Allocation!$D$2:$D$175,B81)</f>
        <v/>
      </c>
      <c r="N81">
        <f>SUMIFS(Allocation!$K$2:$K$175,Allocation!$C$2:$C$175,A81,Allocation!$D$2:$D$175,B81)</f>
        <v/>
      </c>
      <c r="O81">
        <f>SUMIFS($K$2:$K$175,$A$2:$A$175,A81,$B$2:$B$175,B81)</f>
        <v/>
      </c>
      <c r="P81">
        <f>SUMIFS($J$2:$J$175,$A$2:$A$175,A81,$B$2:$B$175,B81)</f>
        <v/>
      </c>
      <c r="Q81">
        <f>SUMIFS(Allocation!$I$2:$I$175,Allocation!$C$2:$C$175,A81,Allocation!$E$2:$E$175,C81)</f>
        <v/>
      </c>
      <c r="R81">
        <f>SUMIFS(Allocation!$J$2:$J$175,Allocation!$C$2:$C$175,A81,Allocation!$E$2:$E$175,C81)</f>
        <v/>
      </c>
      <c r="S81">
        <f>SUMIFS(Allocation!$K$2:$K$175,Allocation!$C$2:$C$175,A81,Allocation!$E$2:$E$175,C81)</f>
        <v/>
      </c>
      <c r="T81">
        <f>SUMIFS(Allocation!$I$2:$I$175,Allocation!$C$2:$C$175,A81)</f>
        <v/>
      </c>
      <c r="U81">
        <f>SUMIFS(Allocation!$J$2:$J$175,Allocation!$C$2:$C$175,A81)</f>
        <v/>
      </c>
      <c r="V81">
        <f>SUMIFS(Allocation!$K$2:$K$175,Allocation!$C$2:$C$175,A81)</f>
        <v/>
      </c>
      <c r="W81">
        <f>SUMIFS(Compta!$F$2:$F$675,Compta!$A$2:$A$675,B81,Compta!$B$2:$B$675,"621",Compta!$C$2:$C$675,A81)</f>
        <v/>
      </c>
      <c r="X81">
        <f>SUMIFS(Compta!$F$2:$F$675,Compta!$A$2:$A$675,B81,Compta!$B$2:$B$675,"6411",Compta!$C$2:$C$675,A81)</f>
        <v/>
      </c>
      <c r="Y81">
        <f>SUMIFS(Compta!$F$2:$F$675,Compta!$A$2:$A$675,B81,Compta!$B$2:$B$675,"604",Compta!$C$2:$C$675,A81)+SUMIFS(Compta!$F$2:$F$675,Compta!$A$2:$A$675,B81,Compta!$B$2:$B$675,"6063",Compta!$C$2:$C$675,A81)</f>
        <v/>
      </c>
      <c r="Z81">
        <f>SUMIFS(Compta!$F$2:$F$675,Compta!$A$2:$A$675,B81,Compta!$B$2:$B$675,"6231",Compta!$C$2:$C$675,A81)</f>
        <v/>
      </c>
      <c r="AA81">
        <f>SUMIFS(Compta!$F$2:$F$675,Compta!$A$2:$A$675,B81,Compta!$B$2:$B$675,"6413",Compta!$C$2:$C$675,A81)+SUMIFS(Compta!$F$2:$F$675,Compta!$A$2:$A$675,B81,Compta!$B$2:$B$675,"645",Compta!$C$2:$C$675,A81)+SUMIFS(Compta!$F$2:$F$675,Compta!$A$2:$A$675,B81,Compta!$B$2:$B$675,"613",Compta!$C$2:$C$675,A81)+SUMIFS(Compta!$F$2:$F$675,Compta!$A$2:$A$675,B81,Compta!$B$2:$B$675,"615",Compta!$C$2:$C$675,A81)+SUMIFS(Compta!$F$2:$F$675,Compta!$A$2:$A$675,B81,Compta!$B$2:$B$675,"616",Compta!$C$2:$C$675,A81)+SUMIFS(Compta!$F$2:$F$675,Compta!$A$2:$A$675,B81,Compta!$B$2:$B$675,"625",Compta!$C$2:$C$675,A81)+SUMIFS(Compta!$F$2:$F$675,Compta!$A$2:$A$675,B81,Compta!$B$2:$B$675,"63511",Compta!$C$2:$C$675,A81)</f>
        <v/>
      </c>
      <c r="AB81">
        <f>SUMIFS(Compta!$F$2:$F$675,Compta!$A$2:$A$675,"GRP",Compta!$B$2:$B$675,"6414",Compta!$C$2:$C$675,A81)+SUMIFS(Compta!$F$2:$F$675,Compta!$A$2:$A$675,"GRP",Compta!$B$2:$B$675,"6226",Compta!$C$2:$C$675,A81)+SUMIFS(Compta!$F$2:$F$675,Compta!$A$2:$A$675,"GRP",Compta!$B$2:$B$675,"6236",Compta!$C$2:$C$675,A81)+SUMIFS(Compta!$F$2:$F$675,Compta!$A$2:$A$675,"GRP",Compta!$B$2:$B$675,"626",Compta!$C$2:$C$675,A81)+SUMIFS(Compta!$F$2:$F$675,Compta!$A$2:$A$675,"GRP",Compta!$B$2:$B$675,"6281",Compta!$C$2:$C$675,A81)+SUMIFS(Compta!$F$2:$F$675,Compta!$A$2:$A$675,"GRP",Compta!$B$2:$B$675,"6331",Compta!$C$2:$C$675,A81)+SUMIFS(Compta!$F$2:$F$675,Compta!$A$2:$A$675,"GRP",Compta!$B$2:$B$675,"6333",Compta!$C$2:$C$675,A81)</f>
        <v/>
      </c>
      <c r="AC81">
        <f>IF(Pilotage!$E$10="Chiffre d'affaires",I81,IF(Pilotage!$E$10="Effectif",G81,H81))</f>
        <v/>
      </c>
      <c r="AD81">
        <f>IF(Pilotage!$E$10="Chiffre d'affaires",N81,IF(Pilotage!$E$10="Effectif",L81,M81))</f>
        <v/>
      </c>
      <c r="AE81">
        <f>IF(Pilotage!$E$8="Chiffre d'affaires",N81,IF(Pilotage!$E$8="Effectif",L81,M81))</f>
        <v/>
      </c>
      <c r="AF81">
        <f>IF(Pilotage!$E$8="Chiffre d'affaires",S81,IF(Pilotage!$E$8="Effectif",Q81,R81))</f>
        <v/>
      </c>
      <c r="AG81">
        <f>IF(Pilotage!$E$9="Chiffre d'affaires",S81,IF(Pilotage!$E$9="Effectif",Q81,R81))</f>
        <v/>
      </c>
      <c r="AH81">
        <f>IF(Pilotage!$E$9="Chiffre d'affaires",V81,IF(Pilotage!$E$9="Effectif",T81,U81))</f>
        <v/>
      </c>
      <c r="AI81">
        <f>W81*IFERROR(K81/O81,0)</f>
        <v/>
      </c>
      <c r="AJ81">
        <f>X81*IFERROR(K81/O81,0)</f>
        <v/>
      </c>
      <c r="AK81">
        <f>Y81*IFERROR(G81/L81,0)+Z81*IFERROR(J81/P81,0)</f>
        <v/>
      </c>
      <c r="AL81">
        <f>AA81*IFERROR(AC81/AD81,0)</f>
        <v/>
      </c>
      <c r="AM81">
        <f>AB81*IFERROR(AG81/AH81,0)*IFERROR(AE81/AF81,0)*IFERROR(AC81/AD81,0)</f>
        <v/>
      </c>
      <c r="AN81">
        <f>I81-(AI81+AJ81+AK81+AL81+AM81)</f>
        <v/>
      </c>
    </row>
    <row r="82">
      <c r="A82">
        <f>Allocation!C82</f>
        <v/>
      </c>
      <c r="B82">
        <f>Allocation!D82</f>
        <v/>
      </c>
      <c r="C82">
        <f>Allocation!E82</f>
        <v/>
      </c>
      <c r="D82">
        <f>Allocation!F82</f>
        <v/>
      </c>
      <c r="E82">
        <f>Allocation!G82</f>
        <v/>
      </c>
      <c r="F82">
        <f>Allocation!H82</f>
        <v/>
      </c>
      <c r="G82">
        <f>Allocation!I82</f>
        <v/>
      </c>
      <c r="H82">
        <f>Allocation!J82</f>
        <v/>
      </c>
      <c r="I82">
        <f>Allocation!K82</f>
        <v/>
      </c>
      <c r="J82">
        <f>SUMIFS(Socle!$K$2:$K$175,Socle!$C$2:$C$175,B82,Socle!$D$2:$D$175,D82,Socle!$E$2:$E$175,E82,Socle!$F$2:$F$175,F82,Socle!$G$2:$G$175,A82)</f>
        <v/>
      </c>
      <c r="K82">
        <f>H82*IF(AND(LEFT(D82,3)="BAC",F82="INIT"),600,IF(LEFT(D82,3)="BAC",480,IF(AND(LEFT(D82,3)="MAS",F82="INIT"),520,IF(LEFT(D82,3)="MAS",420,IF(F82="INIT",1000,700)))))</f>
        <v/>
      </c>
      <c r="L82">
        <f>SUMIFS(Allocation!$I$2:$I$175,Allocation!$C$2:$C$175,A82,Allocation!$D$2:$D$175,B82)</f>
        <v/>
      </c>
      <c r="M82">
        <f>SUMIFS(Allocation!$J$2:$J$175,Allocation!$C$2:$C$175,A82,Allocation!$D$2:$D$175,B82)</f>
        <v/>
      </c>
      <c r="N82">
        <f>SUMIFS(Allocation!$K$2:$K$175,Allocation!$C$2:$C$175,A82,Allocation!$D$2:$D$175,B82)</f>
        <v/>
      </c>
      <c r="O82">
        <f>SUMIFS($K$2:$K$175,$A$2:$A$175,A82,$B$2:$B$175,B82)</f>
        <v/>
      </c>
      <c r="P82">
        <f>SUMIFS($J$2:$J$175,$A$2:$A$175,A82,$B$2:$B$175,B82)</f>
        <v/>
      </c>
      <c r="Q82">
        <f>SUMIFS(Allocation!$I$2:$I$175,Allocation!$C$2:$C$175,A82,Allocation!$E$2:$E$175,C82)</f>
        <v/>
      </c>
      <c r="R82">
        <f>SUMIFS(Allocation!$J$2:$J$175,Allocation!$C$2:$C$175,A82,Allocation!$E$2:$E$175,C82)</f>
        <v/>
      </c>
      <c r="S82">
        <f>SUMIFS(Allocation!$K$2:$K$175,Allocation!$C$2:$C$175,A82,Allocation!$E$2:$E$175,C82)</f>
        <v/>
      </c>
      <c r="T82">
        <f>SUMIFS(Allocation!$I$2:$I$175,Allocation!$C$2:$C$175,A82)</f>
        <v/>
      </c>
      <c r="U82">
        <f>SUMIFS(Allocation!$J$2:$J$175,Allocation!$C$2:$C$175,A82)</f>
        <v/>
      </c>
      <c r="V82">
        <f>SUMIFS(Allocation!$K$2:$K$175,Allocation!$C$2:$C$175,A82)</f>
        <v/>
      </c>
      <c r="W82">
        <f>SUMIFS(Compta!$F$2:$F$675,Compta!$A$2:$A$675,B82,Compta!$B$2:$B$675,"621",Compta!$C$2:$C$675,A82)</f>
        <v/>
      </c>
      <c r="X82">
        <f>SUMIFS(Compta!$F$2:$F$675,Compta!$A$2:$A$675,B82,Compta!$B$2:$B$675,"6411",Compta!$C$2:$C$675,A82)</f>
        <v/>
      </c>
      <c r="Y82">
        <f>SUMIFS(Compta!$F$2:$F$675,Compta!$A$2:$A$675,B82,Compta!$B$2:$B$675,"604",Compta!$C$2:$C$675,A82)+SUMIFS(Compta!$F$2:$F$675,Compta!$A$2:$A$675,B82,Compta!$B$2:$B$675,"6063",Compta!$C$2:$C$675,A82)</f>
        <v/>
      </c>
      <c r="Z82">
        <f>SUMIFS(Compta!$F$2:$F$675,Compta!$A$2:$A$675,B82,Compta!$B$2:$B$675,"6231",Compta!$C$2:$C$675,A82)</f>
        <v/>
      </c>
      <c r="AA82">
        <f>SUMIFS(Compta!$F$2:$F$675,Compta!$A$2:$A$675,B82,Compta!$B$2:$B$675,"6413",Compta!$C$2:$C$675,A82)+SUMIFS(Compta!$F$2:$F$675,Compta!$A$2:$A$675,B82,Compta!$B$2:$B$675,"645",Compta!$C$2:$C$675,A82)+SUMIFS(Compta!$F$2:$F$675,Compta!$A$2:$A$675,B82,Compta!$B$2:$B$675,"613",Compta!$C$2:$C$675,A82)+SUMIFS(Compta!$F$2:$F$675,Compta!$A$2:$A$675,B82,Compta!$B$2:$B$675,"615",Compta!$C$2:$C$675,A82)+SUMIFS(Compta!$F$2:$F$675,Compta!$A$2:$A$675,B82,Compta!$B$2:$B$675,"616",Compta!$C$2:$C$675,A82)+SUMIFS(Compta!$F$2:$F$675,Compta!$A$2:$A$675,B82,Compta!$B$2:$B$675,"625",Compta!$C$2:$C$675,A82)+SUMIFS(Compta!$F$2:$F$675,Compta!$A$2:$A$675,B82,Compta!$B$2:$B$675,"63511",Compta!$C$2:$C$675,A82)</f>
        <v/>
      </c>
      <c r="AB82">
        <f>SUMIFS(Compta!$F$2:$F$675,Compta!$A$2:$A$675,"GRP",Compta!$B$2:$B$675,"6414",Compta!$C$2:$C$675,A82)+SUMIFS(Compta!$F$2:$F$675,Compta!$A$2:$A$675,"GRP",Compta!$B$2:$B$675,"6226",Compta!$C$2:$C$675,A82)+SUMIFS(Compta!$F$2:$F$675,Compta!$A$2:$A$675,"GRP",Compta!$B$2:$B$675,"6236",Compta!$C$2:$C$675,A82)+SUMIFS(Compta!$F$2:$F$675,Compta!$A$2:$A$675,"GRP",Compta!$B$2:$B$675,"626",Compta!$C$2:$C$675,A82)+SUMIFS(Compta!$F$2:$F$675,Compta!$A$2:$A$675,"GRP",Compta!$B$2:$B$675,"6281",Compta!$C$2:$C$675,A82)+SUMIFS(Compta!$F$2:$F$675,Compta!$A$2:$A$675,"GRP",Compta!$B$2:$B$675,"6331",Compta!$C$2:$C$675,A82)+SUMIFS(Compta!$F$2:$F$675,Compta!$A$2:$A$675,"GRP",Compta!$B$2:$B$675,"6333",Compta!$C$2:$C$675,A82)</f>
        <v/>
      </c>
      <c r="AC82">
        <f>IF(Pilotage!$E$10="Chiffre d'affaires",I82,IF(Pilotage!$E$10="Effectif",G82,H82))</f>
        <v/>
      </c>
      <c r="AD82">
        <f>IF(Pilotage!$E$10="Chiffre d'affaires",N82,IF(Pilotage!$E$10="Effectif",L82,M82))</f>
        <v/>
      </c>
      <c r="AE82">
        <f>IF(Pilotage!$E$8="Chiffre d'affaires",N82,IF(Pilotage!$E$8="Effectif",L82,M82))</f>
        <v/>
      </c>
      <c r="AF82">
        <f>IF(Pilotage!$E$8="Chiffre d'affaires",S82,IF(Pilotage!$E$8="Effectif",Q82,R82))</f>
        <v/>
      </c>
      <c r="AG82">
        <f>IF(Pilotage!$E$9="Chiffre d'affaires",S82,IF(Pilotage!$E$9="Effectif",Q82,R82))</f>
        <v/>
      </c>
      <c r="AH82">
        <f>IF(Pilotage!$E$9="Chiffre d'affaires",V82,IF(Pilotage!$E$9="Effectif",T82,U82))</f>
        <v/>
      </c>
      <c r="AI82">
        <f>W82*IFERROR(K82/O82,0)</f>
        <v/>
      </c>
      <c r="AJ82">
        <f>X82*IFERROR(K82/O82,0)</f>
        <v/>
      </c>
      <c r="AK82">
        <f>Y82*IFERROR(G82/L82,0)+Z82*IFERROR(J82/P82,0)</f>
        <v/>
      </c>
      <c r="AL82">
        <f>AA82*IFERROR(AC82/AD82,0)</f>
        <v/>
      </c>
      <c r="AM82">
        <f>AB82*IFERROR(AG82/AH82,0)*IFERROR(AE82/AF82,0)*IFERROR(AC82/AD82,0)</f>
        <v/>
      </c>
      <c r="AN82">
        <f>I82-(AI82+AJ82+AK82+AL82+AM82)</f>
        <v/>
      </c>
    </row>
    <row r="83">
      <c r="A83">
        <f>Allocation!C83</f>
        <v/>
      </c>
      <c r="B83">
        <f>Allocation!D83</f>
        <v/>
      </c>
      <c r="C83">
        <f>Allocation!E83</f>
        <v/>
      </c>
      <c r="D83">
        <f>Allocation!F83</f>
        <v/>
      </c>
      <c r="E83">
        <f>Allocation!G83</f>
        <v/>
      </c>
      <c r="F83">
        <f>Allocation!H83</f>
        <v/>
      </c>
      <c r="G83">
        <f>Allocation!I83</f>
        <v/>
      </c>
      <c r="H83">
        <f>Allocation!J83</f>
        <v/>
      </c>
      <c r="I83">
        <f>Allocation!K83</f>
        <v/>
      </c>
      <c r="J83">
        <f>SUMIFS(Socle!$K$2:$K$175,Socle!$C$2:$C$175,B83,Socle!$D$2:$D$175,D83,Socle!$E$2:$E$175,E83,Socle!$F$2:$F$175,F83,Socle!$G$2:$G$175,A83)</f>
        <v/>
      </c>
      <c r="K83">
        <f>H83*IF(AND(LEFT(D83,3)="BAC",F83="INIT"),600,IF(LEFT(D83,3)="BAC",480,IF(AND(LEFT(D83,3)="MAS",F83="INIT"),520,IF(LEFT(D83,3)="MAS",420,IF(F83="INIT",1000,700)))))</f>
        <v/>
      </c>
      <c r="L83">
        <f>SUMIFS(Allocation!$I$2:$I$175,Allocation!$C$2:$C$175,A83,Allocation!$D$2:$D$175,B83)</f>
        <v/>
      </c>
      <c r="M83">
        <f>SUMIFS(Allocation!$J$2:$J$175,Allocation!$C$2:$C$175,A83,Allocation!$D$2:$D$175,B83)</f>
        <v/>
      </c>
      <c r="N83">
        <f>SUMIFS(Allocation!$K$2:$K$175,Allocation!$C$2:$C$175,A83,Allocation!$D$2:$D$175,B83)</f>
        <v/>
      </c>
      <c r="O83">
        <f>SUMIFS($K$2:$K$175,$A$2:$A$175,A83,$B$2:$B$175,B83)</f>
        <v/>
      </c>
      <c r="P83">
        <f>SUMIFS($J$2:$J$175,$A$2:$A$175,A83,$B$2:$B$175,B83)</f>
        <v/>
      </c>
      <c r="Q83">
        <f>SUMIFS(Allocation!$I$2:$I$175,Allocation!$C$2:$C$175,A83,Allocation!$E$2:$E$175,C83)</f>
        <v/>
      </c>
      <c r="R83">
        <f>SUMIFS(Allocation!$J$2:$J$175,Allocation!$C$2:$C$175,A83,Allocation!$E$2:$E$175,C83)</f>
        <v/>
      </c>
      <c r="S83">
        <f>SUMIFS(Allocation!$K$2:$K$175,Allocation!$C$2:$C$175,A83,Allocation!$E$2:$E$175,C83)</f>
        <v/>
      </c>
      <c r="T83">
        <f>SUMIFS(Allocation!$I$2:$I$175,Allocation!$C$2:$C$175,A83)</f>
        <v/>
      </c>
      <c r="U83">
        <f>SUMIFS(Allocation!$J$2:$J$175,Allocation!$C$2:$C$175,A83)</f>
        <v/>
      </c>
      <c r="V83">
        <f>SUMIFS(Allocation!$K$2:$K$175,Allocation!$C$2:$C$175,A83)</f>
        <v/>
      </c>
      <c r="W83">
        <f>SUMIFS(Compta!$F$2:$F$675,Compta!$A$2:$A$675,B83,Compta!$B$2:$B$675,"621",Compta!$C$2:$C$675,A83)</f>
        <v/>
      </c>
      <c r="X83">
        <f>SUMIFS(Compta!$F$2:$F$675,Compta!$A$2:$A$675,B83,Compta!$B$2:$B$675,"6411",Compta!$C$2:$C$675,A83)</f>
        <v/>
      </c>
      <c r="Y83">
        <f>SUMIFS(Compta!$F$2:$F$675,Compta!$A$2:$A$675,B83,Compta!$B$2:$B$675,"604",Compta!$C$2:$C$675,A83)+SUMIFS(Compta!$F$2:$F$675,Compta!$A$2:$A$675,B83,Compta!$B$2:$B$675,"6063",Compta!$C$2:$C$675,A83)</f>
        <v/>
      </c>
      <c r="Z83">
        <f>SUMIFS(Compta!$F$2:$F$675,Compta!$A$2:$A$675,B83,Compta!$B$2:$B$675,"6231",Compta!$C$2:$C$675,A83)</f>
        <v/>
      </c>
      <c r="AA83">
        <f>SUMIFS(Compta!$F$2:$F$675,Compta!$A$2:$A$675,B83,Compta!$B$2:$B$675,"6413",Compta!$C$2:$C$675,A83)+SUMIFS(Compta!$F$2:$F$675,Compta!$A$2:$A$675,B83,Compta!$B$2:$B$675,"645",Compta!$C$2:$C$675,A83)+SUMIFS(Compta!$F$2:$F$675,Compta!$A$2:$A$675,B83,Compta!$B$2:$B$675,"613",Compta!$C$2:$C$675,A83)+SUMIFS(Compta!$F$2:$F$675,Compta!$A$2:$A$675,B83,Compta!$B$2:$B$675,"615",Compta!$C$2:$C$675,A83)+SUMIFS(Compta!$F$2:$F$675,Compta!$A$2:$A$675,B83,Compta!$B$2:$B$675,"616",Compta!$C$2:$C$675,A83)+SUMIFS(Compta!$F$2:$F$675,Compta!$A$2:$A$675,B83,Compta!$B$2:$B$675,"625",Compta!$C$2:$C$675,A83)+SUMIFS(Compta!$F$2:$F$675,Compta!$A$2:$A$675,B83,Compta!$B$2:$B$675,"63511",Compta!$C$2:$C$675,A83)</f>
        <v/>
      </c>
      <c r="AB83">
        <f>SUMIFS(Compta!$F$2:$F$675,Compta!$A$2:$A$675,"GRP",Compta!$B$2:$B$675,"6414",Compta!$C$2:$C$675,A83)+SUMIFS(Compta!$F$2:$F$675,Compta!$A$2:$A$675,"GRP",Compta!$B$2:$B$675,"6226",Compta!$C$2:$C$675,A83)+SUMIFS(Compta!$F$2:$F$675,Compta!$A$2:$A$675,"GRP",Compta!$B$2:$B$675,"6236",Compta!$C$2:$C$675,A83)+SUMIFS(Compta!$F$2:$F$675,Compta!$A$2:$A$675,"GRP",Compta!$B$2:$B$675,"626",Compta!$C$2:$C$675,A83)+SUMIFS(Compta!$F$2:$F$675,Compta!$A$2:$A$675,"GRP",Compta!$B$2:$B$675,"6281",Compta!$C$2:$C$675,A83)+SUMIFS(Compta!$F$2:$F$675,Compta!$A$2:$A$675,"GRP",Compta!$B$2:$B$675,"6331",Compta!$C$2:$C$675,A83)+SUMIFS(Compta!$F$2:$F$675,Compta!$A$2:$A$675,"GRP",Compta!$B$2:$B$675,"6333",Compta!$C$2:$C$675,A83)</f>
        <v/>
      </c>
      <c r="AC83">
        <f>IF(Pilotage!$E$10="Chiffre d'affaires",I83,IF(Pilotage!$E$10="Effectif",G83,H83))</f>
        <v/>
      </c>
      <c r="AD83">
        <f>IF(Pilotage!$E$10="Chiffre d'affaires",N83,IF(Pilotage!$E$10="Effectif",L83,M83))</f>
        <v/>
      </c>
      <c r="AE83">
        <f>IF(Pilotage!$E$8="Chiffre d'affaires",N83,IF(Pilotage!$E$8="Effectif",L83,M83))</f>
        <v/>
      </c>
      <c r="AF83">
        <f>IF(Pilotage!$E$8="Chiffre d'affaires",S83,IF(Pilotage!$E$8="Effectif",Q83,R83))</f>
        <v/>
      </c>
      <c r="AG83">
        <f>IF(Pilotage!$E$9="Chiffre d'affaires",S83,IF(Pilotage!$E$9="Effectif",Q83,R83))</f>
        <v/>
      </c>
      <c r="AH83">
        <f>IF(Pilotage!$E$9="Chiffre d'affaires",V83,IF(Pilotage!$E$9="Effectif",T83,U83))</f>
        <v/>
      </c>
      <c r="AI83">
        <f>W83*IFERROR(K83/O83,0)</f>
        <v/>
      </c>
      <c r="AJ83">
        <f>X83*IFERROR(K83/O83,0)</f>
        <v/>
      </c>
      <c r="AK83">
        <f>Y83*IFERROR(G83/L83,0)+Z83*IFERROR(J83/P83,0)</f>
        <v/>
      </c>
      <c r="AL83">
        <f>AA83*IFERROR(AC83/AD83,0)</f>
        <v/>
      </c>
      <c r="AM83">
        <f>AB83*IFERROR(AG83/AH83,0)*IFERROR(AE83/AF83,0)*IFERROR(AC83/AD83,0)</f>
        <v/>
      </c>
      <c r="AN83">
        <f>I83-(AI83+AJ83+AK83+AL83+AM83)</f>
        <v/>
      </c>
    </row>
    <row r="84">
      <c r="A84">
        <f>Allocation!C84</f>
        <v/>
      </c>
      <c r="B84">
        <f>Allocation!D84</f>
        <v/>
      </c>
      <c r="C84">
        <f>Allocation!E84</f>
        <v/>
      </c>
      <c r="D84">
        <f>Allocation!F84</f>
        <v/>
      </c>
      <c r="E84">
        <f>Allocation!G84</f>
        <v/>
      </c>
      <c r="F84">
        <f>Allocation!H84</f>
        <v/>
      </c>
      <c r="G84">
        <f>Allocation!I84</f>
        <v/>
      </c>
      <c r="H84">
        <f>Allocation!J84</f>
        <v/>
      </c>
      <c r="I84">
        <f>Allocation!K84</f>
        <v/>
      </c>
      <c r="J84">
        <f>SUMIFS(Socle!$K$2:$K$175,Socle!$C$2:$C$175,B84,Socle!$D$2:$D$175,D84,Socle!$E$2:$E$175,E84,Socle!$F$2:$F$175,F84,Socle!$G$2:$G$175,A84)</f>
        <v/>
      </c>
      <c r="K84">
        <f>H84*IF(AND(LEFT(D84,3)="BAC",F84="INIT"),600,IF(LEFT(D84,3)="BAC",480,IF(AND(LEFT(D84,3)="MAS",F84="INIT"),520,IF(LEFT(D84,3)="MAS",420,IF(F84="INIT",1000,700)))))</f>
        <v/>
      </c>
      <c r="L84">
        <f>SUMIFS(Allocation!$I$2:$I$175,Allocation!$C$2:$C$175,A84,Allocation!$D$2:$D$175,B84)</f>
        <v/>
      </c>
      <c r="M84">
        <f>SUMIFS(Allocation!$J$2:$J$175,Allocation!$C$2:$C$175,A84,Allocation!$D$2:$D$175,B84)</f>
        <v/>
      </c>
      <c r="N84">
        <f>SUMIFS(Allocation!$K$2:$K$175,Allocation!$C$2:$C$175,A84,Allocation!$D$2:$D$175,B84)</f>
        <v/>
      </c>
      <c r="O84">
        <f>SUMIFS($K$2:$K$175,$A$2:$A$175,A84,$B$2:$B$175,B84)</f>
        <v/>
      </c>
      <c r="P84">
        <f>SUMIFS($J$2:$J$175,$A$2:$A$175,A84,$B$2:$B$175,B84)</f>
        <v/>
      </c>
      <c r="Q84">
        <f>SUMIFS(Allocation!$I$2:$I$175,Allocation!$C$2:$C$175,A84,Allocation!$E$2:$E$175,C84)</f>
        <v/>
      </c>
      <c r="R84">
        <f>SUMIFS(Allocation!$J$2:$J$175,Allocation!$C$2:$C$175,A84,Allocation!$E$2:$E$175,C84)</f>
        <v/>
      </c>
      <c r="S84">
        <f>SUMIFS(Allocation!$K$2:$K$175,Allocation!$C$2:$C$175,A84,Allocation!$E$2:$E$175,C84)</f>
        <v/>
      </c>
      <c r="T84">
        <f>SUMIFS(Allocation!$I$2:$I$175,Allocation!$C$2:$C$175,A84)</f>
        <v/>
      </c>
      <c r="U84">
        <f>SUMIFS(Allocation!$J$2:$J$175,Allocation!$C$2:$C$175,A84)</f>
        <v/>
      </c>
      <c r="V84">
        <f>SUMIFS(Allocation!$K$2:$K$175,Allocation!$C$2:$C$175,A84)</f>
        <v/>
      </c>
      <c r="W84">
        <f>SUMIFS(Compta!$F$2:$F$675,Compta!$A$2:$A$675,B84,Compta!$B$2:$B$675,"621",Compta!$C$2:$C$675,A84)</f>
        <v/>
      </c>
      <c r="X84">
        <f>SUMIFS(Compta!$F$2:$F$675,Compta!$A$2:$A$675,B84,Compta!$B$2:$B$675,"6411",Compta!$C$2:$C$675,A84)</f>
        <v/>
      </c>
      <c r="Y84">
        <f>SUMIFS(Compta!$F$2:$F$675,Compta!$A$2:$A$675,B84,Compta!$B$2:$B$675,"604",Compta!$C$2:$C$675,A84)+SUMIFS(Compta!$F$2:$F$675,Compta!$A$2:$A$675,B84,Compta!$B$2:$B$675,"6063",Compta!$C$2:$C$675,A84)</f>
        <v/>
      </c>
      <c r="Z84">
        <f>SUMIFS(Compta!$F$2:$F$675,Compta!$A$2:$A$675,B84,Compta!$B$2:$B$675,"6231",Compta!$C$2:$C$675,A84)</f>
        <v/>
      </c>
      <c r="AA84">
        <f>SUMIFS(Compta!$F$2:$F$675,Compta!$A$2:$A$675,B84,Compta!$B$2:$B$675,"6413",Compta!$C$2:$C$675,A84)+SUMIFS(Compta!$F$2:$F$675,Compta!$A$2:$A$675,B84,Compta!$B$2:$B$675,"645",Compta!$C$2:$C$675,A84)+SUMIFS(Compta!$F$2:$F$675,Compta!$A$2:$A$675,B84,Compta!$B$2:$B$675,"613",Compta!$C$2:$C$675,A84)+SUMIFS(Compta!$F$2:$F$675,Compta!$A$2:$A$675,B84,Compta!$B$2:$B$675,"615",Compta!$C$2:$C$675,A84)+SUMIFS(Compta!$F$2:$F$675,Compta!$A$2:$A$675,B84,Compta!$B$2:$B$675,"616",Compta!$C$2:$C$675,A84)+SUMIFS(Compta!$F$2:$F$675,Compta!$A$2:$A$675,B84,Compta!$B$2:$B$675,"625",Compta!$C$2:$C$675,A84)+SUMIFS(Compta!$F$2:$F$675,Compta!$A$2:$A$675,B84,Compta!$B$2:$B$675,"63511",Compta!$C$2:$C$675,A84)</f>
        <v/>
      </c>
      <c r="AB84">
        <f>SUMIFS(Compta!$F$2:$F$675,Compta!$A$2:$A$675,"GRP",Compta!$B$2:$B$675,"6414",Compta!$C$2:$C$675,A84)+SUMIFS(Compta!$F$2:$F$675,Compta!$A$2:$A$675,"GRP",Compta!$B$2:$B$675,"6226",Compta!$C$2:$C$675,A84)+SUMIFS(Compta!$F$2:$F$675,Compta!$A$2:$A$675,"GRP",Compta!$B$2:$B$675,"6236",Compta!$C$2:$C$675,A84)+SUMIFS(Compta!$F$2:$F$675,Compta!$A$2:$A$675,"GRP",Compta!$B$2:$B$675,"626",Compta!$C$2:$C$675,A84)+SUMIFS(Compta!$F$2:$F$675,Compta!$A$2:$A$675,"GRP",Compta!$B$2:$B$675,"6281",Compta!$C$2:$C$675,A84)+SUMIFS(Compta!$F$2:$F$675,Compta!$A$2:$A$675,"GRP",Compta!$B$2:$B$675,"6331",Compta!$C$2:$C$675,A84)+SUMIFS(Compta!$F$2:$F$675,Compta!$A$2:$A$675,"GRP",Compta!$B$2:$B$675,"6333",Compta!$C$2:$C$675,A84)</f>
        <v/>
      </c>
      <c r="AC84">
        <f>IF(Pilotage!$E$10="Chiffre d'affaires",I84,IF(Pilotage!$E$10="Effectif",G84,H84))</f>
        <v/>
      </c>
      <c r="AD84">
        <f>IF(Pilotage!$E$10="Chiffre d'affaires",N84,IF(Pilotage!$E$10="Effectif",L84,M84))</f>
        <v/>
      </c>
      <c r="AE84">
        <f>IF(Pilotage!$E$8="Chiffre d'affaires",N84,IF(Pilotage!$E$8="Effectif",L84,M84))</f>
        <v/>
      </c>
      <c r="AF84">
        <f>IF(Pilotage!$E$8="Chiffre d'affaires",S84,IF(Pilotage!$E$8="Effectif",Q84,R84))</f>
        <v/>
      </c>
      <c r="AG84">
        <f>IF(Pilotage!$E$9="Chiffre d'affaires",S84,IF(Pilotage!$E$9="Effectif",Q84,R84))</f>
        <v/>
      </c>
      <c r="AH84">
        <f>IF(Pilotage!$E$9="Chiffre d'affaires",V84,IF(Pilotage!$E$9="Effectif",T84,U84))</f>
        <v/>
      </c>
      <c r="AI84">
        <f>W84*IFERROR(K84/O84,0)</f>
        <v/>
      </c>
      <c r="AJ84">
        <f>X84*IFERROR(K84/O84,0)</f>
        <v/>
      </c>
      <c r="AK84">
        <f>Y84*IFERROR(G84/L84,0)+Z84*IFERROR(J84/P84,0)</f>
        <v/>
      </c>
      <c r="AL84">
        <f>AA84*IFERROR(AC84/AD84,0)</f>
        <v/>
      </c>
      <c r="AM84">
        <f>AB84*IFERROR(AG84/AH84,0)*IFERROR(AE84/AF84,0)*IFERROR(AC84/AD84,0)</f>
        <v/>
      </c>
      <c r="AN84">
        <f>I84-(AI84+AJ84+AK84+AL84+AM84)</f>
        <v/>
      </c>
    </row>
    <row r="85">
      <c r="A85">
        <f>Allocation!C85</f>
        <v/>
      </c>
      <c r="B85">
        <f>Allocation!D85</f>
        <v/>
      </c>
      <c r="C85">
        <f>Allocation!E85</f>
        <v/>
      </c>
      <c r="D85">
        <f>Allocation!F85</f>
        <v/>
      </c>
      <c r="E85">
        <f>Allocation!G85</f>
        <v/>
      </c>
      <c r="F85">
        <f>Allocation!H85</f>
        <v/>
      </c>
      <c r="G85">
        <f>Allocation!I85</f>
        <v/>
      </c>
      <c r="H85">
        <f>Allocation!J85</f>
        <v/>
      </c>
      <c r="I85">
        <f>Allocation!K85</f>
        <v/>
      </c>
      <c r="J85">
        <f>SUMIFS(Socle!$K$2:$K$175,Socle!$C$2:$C$175,B85,Socle!$D$2:$D$175,D85,Socle!$E$2:$E$175,E85,Socle!$F$2:$F$175,F85,Socle!$G$2:$G$175,A85)</f>
        <v/>
      </c>
      <c r="K85">
        <f>H85*IF(AND(LEFT(D85,3)="BAC",F85="INIT"),600,IF(LEFT(D85,3)="BAC",480,IF(AND(LEFT(D85,3)="MAS",F85="INIT"),520,IF(LEFT(D85,3)="MAS",420,IF(F85="INIT",1000,700)))))</f>
        <v/>
      </c>
      <c r="L85">
        <f>SUMIFS(Allocation!$I$2:$I$175,Allocation!$C$2:$C$175,A85,Allocation!$D$2:$D$175,B85)</f>
        <v/>
      </c>
      <c r="M85">
        <f>SUMIFS(Allocation!$J$2:$J$175,Allocation!$C$2:$C$175,A85,Allocation!$D$2:$D$175,B85)</f>
        <v/>
      </c>
      <c r="N85">
        <f>SUMIFS(Allocation!$K$2:$K$175,Allocation!$C$2:$C$175,A85,Allocation!$D$2:$D$175,B85)</f>
        <v/>
      </c>
      <c r="O85">
        <f>SUMIFS($K$2:$K$175,$A$2:$A$175,A85,$B$2:$B$175,B85)</f>
        <v/>
      </c>
      <c r="P85">
        <f>SUMIFS($J$2:$J$175,$A$2:$A$175,A85,$B$2:$B$175,B85)</f>
        <v/>
      </c>
      <c r="Q85">
        <f>SUMIFS(Allocation!$I$2:$I$175,Allocation!$C$2:$C$175,A85,Allocation!$E$2:$E$175,C85)</f>
        <v/>
      </c>
      <c r="R85">
        <f>SUMIFS(Allocation!$J$2:$J$175,Allocation!$C$2:$C$175,A85,Allocation!$E$2:$E$175,C85)</f>
        <v/>
      </c>
      <c r="S85">
        <f>SUMIFS(Allocation!$K$2:$K$175,Allocation!$C$2:$C$175,A85,Allocation!$E$2:$E$175,C85)</f>
        <v/>
      </c>
      <c r="T85">
        <f>SUMIFS(Allocation!$I$2:$I$175,Allocation!$C$2:$C$175,A85)</f>
        <v/>
      </c>
      <c r="U85">
        <f>SUMIFS(Allocation!$J$2:$J$175,Allocation!$C$2:$C$175,A85)</f>
        <v/>
      </c>
      <c r="V85">
        <f>SUMIFS(Allocation!$K$2:$K$175,Allocation!$C$2:$C$175,A85)</f>
        <v/>
      </c>
      <c r="W85">
        <f>SUMIFS(Compta!$F$2:$F$675,Compta!$A$2:$A$675,B85,Compta!$B$2:$B$675,"621",Compta!$C$2:$C$675,A85)</f>
        <v/>
      </c>
      <c r="X85">
        <f>SUMIFS(Compta!$F$2:$F$675,Compta!$A$2:$A$675,B85,Compta!$B$2:$B$675,"6411",Compta!$C$2:$C$675,A85)</f>
        <v/>
      </c>
      <c r="Y85">
        <f>SUMIFS(Compta!$F$2:$F$675,Compta!$A$2:$A$675,B85,Compta!$B$2:$B$675,"604",Compta!$C$2:$C$675,A85)+SUMIFS(Compta!$F$2:$F$675,Compta!$A$2:$A$675,B85,Compta!$B$2:$B$675,"6063",Compta!$C$2:$C$675,A85)</f>
        <v/>
      </c>
      <c r="Z85">
        <f>SUMIFS(Compta!$F$2:$F$675,Compta!$A$2:$A$675,B85,Compta!$B$2:$B$675,"6231",Compta!$C$2:$C$675,A85)</f>
        <v/>
      </c>
      <c r="AA85">
        <f>SUMIFS(Compta!$F$2:$F$675,Compta!$A$2:$A$675,B85,Compta!$B$2:$B$675,"6413",Compta!$C$2:$C$675,A85)+SUMIFS(Compta!$F$2:$F$675,Compta!$A$2:$A$675,B85,Compta!$B$2:$B$675,"645",Compta!$C$2:$C$675,A85)+SUMIFS(Compta!$F$2:$F$675,Compta!$A$2:$A$675,B85,Compta!$B$2:$B$675,"613",Compta!$C$2:$C$675,A85)+SUMIFS(Compta!$F$2:$F$675,Compta!$A$2:$A$675,B85,Compta!$B$2:$B$675,"615",Compta!$C$2:$C$675,A85)+SUMIFS(Compta!$F$2:$F$675,Compta!$A$2:$A$675,B85,Compta!$B$2:$B$675,"616",Compta!$C$2:$C$675,A85)+SUMIFS(Compta!$F$2:$F$675,Compta!$A$2:$A$675,B85,Compta!$B$2:$B$675,"625",Compta!$C$2:$C$675,A85)+SUMIFS(Compta!$F$2:$F$675,Compta!$A$2:$A$675,B85,Compta!$B$2:$B$675,"63511",Compta!$C$2:$C$675,A85)</f>
        <v/>
      </c>
      <c r="AB85">
        <f>SUMIFS(Compta!$F$2:$F$675,Compta!$A$2:$A$675,"GRP",Compta!$B$2:$B$675,"6414",Compta!$C$2:$C$675,A85)+SUMIFS(Compta!$F$2:$F$675,Compta!$A$2:$A$675,"GRP",Compta!$B$2:$B$675,"6226",Compta!$C$2:$C$675,A85)+SUMIFS(Compta!$F$2:$F$675,Compta!$A$2:$A$675,"GRP",Compta!$B$2:$B$675,"6236",Compta!$C$2:$C$675,A85)+SUMIFS(Compta!$F$2:$F$675,Compta!$A$2:$A$675,"GRP",Compta!$B$2:$B$675,"626",Compta!$C$2:$C$675,A85)+SUMIFS(Compta!$F$2:$F$675,Compta!$A$2:$A$675,"GRP",Compta!$B$2:$B$675,"6281",Compta!$C$2:$C$675,A85)+SUMIFS(Compta!$F$2:$F$675,Compta!$A$2:$A$675,"GRP",Compta!$B$2:$B$675,"6331",Compta!$C$2:$C$675,A85)+SUMIFS(Compta!$F$2:$F$675,Compta!$A$2:$A$675,"GRP",Compta!$B$2:$B$675,"6333",Compta!$C$2:$C$675,A85)</f>
        <v/>
      </c>
      <c r="AC85">
        <f>IF(Pilotage!$E$10="Chiffre d'affaires",I85,IF(Pilotage!$E$10="Effectif",G85,H85))</f>
        <v/>
      </c>
      <c r="AD85">
        <f>IF(Pilotage!$E$10="Chiffre d'affaires",N85,IF(Pilotage!$E$10="Effectif",L85,M85))</f>
        <v/>
      </c>
      <c r="AE85">
        <f>IF(Pilotage!$E$8="Chiffre d'affaires",N85,IF(Pilotage!$E$8="Effectif",L85,M85))</f>
        <v/>
      </c>
      <c r="AF85">
        <f>IF(Pilotage!$E$8="Chiffre d'affaires",S85,IF(Pilotage!$E$8="Effectif",Q85,R85))</f>
        <v/>
      </c>
      <c r="AG85">
        <f>IF(Pilotage!$E$9="Chiffre d'affaires",S85,IF(Pilotage!$E$9="Effectif",Q85,R85))</f>
        <v/>
      </c>
      <c r="AH85">
        <f>IF(Pilotage!$E$9="Chiffre d'affaires",V85,IF(Pilotage!$E$9="Effectif",T85,U85))</f>
        <v/>
      </c>
      <c r="AI85">
        <f>W85*IFERROR(K85/O85,0)</f>
        <v/>
      </c>
      <c r="AJ85">
        <f>X85*IFERROR(K85/O85,0)</f>
        <v/>
      </c>
      <c r="AK85">
        <f>Y85*IFERROR(G85/L85,0)+Z85*IFERROR(J85/P85,0)</f>
        <v/>
      </c>
      <c r="AL85">
        <f>AA85*IFERROR(AC85/AD85,0)</f>
        <v/>
      </c>
      <c r="AM85">
        <f>AB85*IFERROR(AG85/AH85,0)*IFERROR(AE85/AF85,0)*IFERROR(AC85/AD85,0)</f>
        <v/>
      </c>
      <c r="AN85">
        <f>I85-(AI85+AJ85+AK85+AL85+AM85)</f>
        <v/>
      </c>
    </row>
    <row r="86">
      <c r="A86">
        <f>Allocation!C86</f>
        <v/>
      </c>
      <c r="B86">
        <f>Allocation!D86</f>
        <v/>
      </c>
      <c r="C86">
        <f>Allocation!E86</f>
        <v/>
      </c>
      <c r="D86">
        <f>Allocation!F86</f>
        <v/>
      </c>
      <c r="E86">
        <f>Allocation!G86</f>
        <v/>
      </c>
      <c r="F86">
        <f>Allocation!H86</f>
        <v/>
      </c>
      <c r="G86">
        <f>Allocation!I86</f>
        <v/>
      </c>
      <c r="H86">
        <f>Allocation!J86</f>
        <v/>
      </c>
      <c r="I86">
        <f>Allocation!K86</f>
        <v/>
      </c>
      <c r="J86">
        <f>SUMIFS(Socle!$K$2:$K$175,Socle!$C$2:$C$175,B86,Socle!$D$2:$D$175,D86,Socle!$E$2:$E$175,E86,Socle!$F$2:$F$175,F86,Socle!$G$2:$G$175,A86)</f>
        <v/>
      </c>
      <c r="K86">
        <f>H86*IF(AND(LEFT(D86,3)="BAC",F86="INIT"),600,IF(LEFT(D86,3)="BAC",480,IF(AND(LEFT(D86,3)="MAS",F86="INIT"),520,IF(LEFT(D86,3)="MAS",420,IF(F86="INIT",1000,700)))))</f>
        <v/>
      </c>
      <c r="L86">
        <f>SUMIFS(Allocation!$I$2:$I$175,Allocation!$C$2:$C$175,A86,Allocation!$D$2:$D$175,B86)</f>
        <v/>
      </c>
      <c r="M86">
        <f>SUMIFS(Allocation!$J$2:$J$175,Allocation!$C$2:$C$175,A86,Allocation!$D$2:$D$175,B86)</f>
        <v/>
      </c>
      <c r="N86">
        <f>SUMIFS(Allocation!$K$2:$K$175,Allocation!$C$2:$C$175,A86,Allocation!$D$2:$D$175,B86)</f>
        <v/>
      </c>
      <c r="O86">
        <f>SUMIFS($K$2:$K$175,$A$2:$A$175,A86,$B$2:$B$175,B86)</f>
        <v/>
      </c>
      <c r="P86">
        <f>SUMIFS($J$2:$J$175,$A$2:$A$175,A86,$B$2:$B$175,B86)</f>
        <v/>
      </c>
      <c r="Q86">
        <f>SUMIFS(Allocation!$I$2:$I$175,Allocation!$C$2:$C$175,A86,Allocation!$E$2:$E$175,C86)</f>
        <v/>
      </c>
      <c r="R86">
        <f>SUMIFS(Allocation!$J$2:$J$175,Allocation!$C$2:$C$175,A86,Allocation!$E$2:$E$175,C86)</f>
        <v/>
      </c>
      <c r="S86">
        <f>SUMIFS(Allocation!$K$2:$K$175,Allocation!$C$2:$C$175,A86,Allocation!$E$2:$E$175,C86)</f>
        <v/>
      </c>
      <c r="T86">
        <f>SUMIFS(Allocation!$I$2:$I$175,Allocation!$C$2:$C$175,A86)</f>
        <v/>
      </c>
      <c r="U86">
        <f>SUMIFS(Allocation!$J$2:$J$175,Allocation!$C$2:$C$175,A86)</f>
        <v/>
      </c>
      <c r="V86">
        <f>SUMIFS(Allocation!$K$2:$K$175,Allocation!$C$2:$C$175,A86)</f>
        <v/>
      </c>
      <c r="W86">
        <f>SUMIFS(Compta!$F$2:$F$675,Compta!$A$2:$A$675,B86,Compta!$B$2:$B$675,"621",Compta!$C$2:$C$675,A86)</f>
        <v/>
      </c>
      <c r="X86">
        <f>SUMIFS(Compta!$F$2:$F$675,Compta!$A$2:$A$675,B86,Compta!$B$2:$B$675,"6411",Compta!$C$2:$C$675,A86)</f>
        <v/>
      </c>
      <c r="Y86">
        <f>SUMIFS(Compta!$F$2:$F$675,Compta!$A$2:$A$675,B86,Compta!$B$2:$B$675,"604",Compta!$C$2:$C$675,A86)+SUMIFS(Compta!$F$2:$F$675,Compta!$A$2:$A$675,B86,Compta!$B$2:$B$675,"6063",Compta!$C$2:$C$675,A86)</f>
        <v/>
      </c>
      <c r="Z86">
        <f>SUMIFS(Compta!$F$2:$F$675,Compta!$A$2:$A$675,B86,Compta!$B$2:$B$675,"6231",Compta!$C$2:$C$675,A86)</f>
        <v/>
      </c>
      <c r="AA86">
        <f>SUMIFS(Compta!$F$2:$F$675,Compta!$A$2:$A$675,B86,Compta!$B$2:$B$675,"6413",Compta!$C$2:$C$675,A86)+SUMIFS(Compta!$F$2:$F$675,Compta!$A$2:$A$675,B86,Compta!$B$2:$B$675,"645",Compta!$C$2:$C$675,A86)+SUMIFS(Compta!$F$2:$F$675,Compta!$A$2:$A$675,B86,Compta!$B$2:$B$675,"613",Compta!$C$2:$C$675,A86)+SUMIFS(Compta!$F$2:$F$675,Compta!$A$2:$A$675,B86,Compta!$B$2:$B$675,"615",Compta!$C$2:$C$675,A86)+SUMIFS(Compta!$F$2:$F$675,Compta!$A$2:$A$675,B86,Compta!$B$2:$B$675,"616",Compta!$C$2:$C$675,A86)+SUMIFS(Compta!$F$2:$F$675,Compta!$A$2:$A$675,B86,Compta!$B$2:$B$675,"625",Compta!$C$2:$C$675,A86)+SUMIFS(Compta!$F$2:$F$675,Compta!$A$2:$A$675,B86,Compta!$B$2:$B$675,"63511",Compta!$C$2:$C$675,A86)</f>
        <v/>
      </c>
      <c r="AB86">
        <f>SUMIFS(Compta!$F$2:$F$675,Compta!$A$2:$A$675,"GRP",Compta!$B$2:$B$675,"6414",Compta!$C$2:$C$675,A86)+SUMIFS(Compta!$F$2:$F$675,Compta!$A$2:$A$675,"GRP",Compta!$B$2:$B$675,"6226",Compta!$C$2:$C$675,A86)+SUMIFS(Compta!$F$2:$F$675,Compta!$A$2:$A$675,"GRP",Compta!$B$2:$B$675,"6236",Compta!$C$2:$C$675,A86)+SUMIFS(Compta!$F$2:$F$675,Compta!$A$2:$A$675,"GRP",Compta!$B$2:$B$675,"626",Compta!$C$2:$C$675,A86)+SUMIFS(Compta!$F$2:$F$675,Compta!$A$2:$A$675,"GRP",Compta!$B$2:$B$675,"6281",Compta!$C$2:$C$675,A86)+SUMIFS(Compta!$F$2:$F$675,Compta!$A$2:$A$675,"GRP",Compta!$B$2:$B$675,"6331",Compta!$C$2:$C$675,A86)+SUMIFS(Compta!$F$2:$F$675,Compta!$A$2:$A$675,"GRP",Compta!$B$2:$B$675,"6333",Compta!$C$2:$C$675,A86)</f>
        <v/>
      </c>
      <c r="AC86">
        <f>IF(Pilotage!$E$10="Chiffre d'affaires",I86,IF(Pilotage!$E$10="Effectif",G86,H86))</f>
        <v/>
      </c>
      <c r="AD86">
        <f>IF(Pilotage!$E$10="Chiffre d'affaires",N86,IF(Pilotage!$E$10="Effectif",L86,M86))</f>
        <v/>
      </c>
      <c r="AE86">
        <f>IF(Pilotage!$E$8="Chiffre d'affaires",N86,IF(Pilotage!$E$8="Effectif",L86,M86))</f>
        <v/>
      </c>
      <c r="AF86">
        <f>IF(Pilotage!$E$8="Chiffre d'affaires",S86,IF(Pilotage!$E$8="Effectif",Q86,R86))</f>
        <v/>
      </c>
      <c r="AG86">
        <f>IF(Pilotage!$E$9="Chiffre d'affaires",S86,IF(Pilotage!$E$9="Effectif",Q86,R86))</f>
        <v/>
      </c>
      <c r="AH86">
        <f>IF(Pilotage!$E$9="Chiffre d'affaires",V86,IF(Pilotage!$E$9="Effectif",T86,U86))</f>
        <v/>
      </c>
      <c r="AI86">
        <f>W86*IFERROR(K86/O86,0)</f>
        <v/>
      </c>
      <c r="AJ86">
        <f>X86*IFERROR(K86/O86,0)</f>
        <v/>
      </c>
      <c r="AK86">
        <f>Y86*IFERROR(G86/L86,0)+Z86*IFERROR(J86/P86,0)</f>
        <v/>
      </c>
      <c r="AL86">
        <f>AA86*IFERROR(AC86/AD86,0)</f>
        <v/>
      </c>
      <c r="AM86">
        <f>AB86*IFERROR(AG86/AH86,0)*IFERROR(AE86/AF86,0)*IFERROR(AC86/AD86,0)</f>
        <v/>
      </c>
      <c r="AN86">
        <f>I86-(AI86+AJ86+AK86+AL86+AM86)</f>
        <v/>
      </c>
    </row>
    <row r="87">
      <c r="A87">
        <f>Allocation!C87</f>
        <v/>
      </c>
      <c r="B87">
        <f>Allocation!D87</f>
        <v/>
      </c>
      <c r="C87">
        <f>Allocation!E87</f>
        <v/>
      </c>
      <c r="D87">
        <f>Allocation!F87</f>
        <v/>
      </c>
      <c r="E87">
        <f>Allocation!G87</f>
        <v/>
      </c>
      <c r="F87">
        <f>Allocation!H87</f>
        <v/>
      </c>
      <c r="G87">
        <f>Allocation!I87</f>
        <v/>
      </c>
      <c r="H87">
        <f>Allocation!J87</f>
        <v/>
      </c>
      <c r="I87">
        <f>Allocation!K87</f>
        <v/>
      </c>
      <c r="J87">
        <f>SUMIFS(Socle!$K$2:$K$175,Socle!$C$2:$C$175,B87,Socle!$D$2:$D$175,D87,Socle!$E$2:$E$175,E87,Socle!$F$2:$F$175,F87,Socle!$G$2:$G$175,A87)</f>
        <v/>
      </c>
      <c r="K87">
        <f>H87*IF(AND(LEFT(D87,3)="BAC",F87="INIT"),600,IF(LEFT(D87,3)="BAC",480,IF(AND(LEFT(D87,3)="MAS",F87="INIT"),520,IF(LEFT(D87,3)="MAS",420,IF(F87="INIT",1000,700)))))</f>
        <v/>
      </c>
      <c r="L87">
        <f>SUMIFS(Allocation!$I$2:$I$175,Allocation!$C$2:$C$175,A87,Allocation!$D$2:$D$175,B87)</f>
        <v/>
      </c>
      <c r="M87">
        <f>SUMIFS(Allocation!$J$2:$J$175,Allocation!$C$2:$C$175,A87,Allocation!$D$2:$D$175,B87)</f>
        <v/>
      </c>
      <c r="N87">
        <f>SUMIFS(Allocation!$K$2:$K$175,Allocation!$C$2:$C$175,A87,Allocation!$D$2:$D$175,B87)</f>
        <v/>
      </c>
      <c r="O87">
        <f>SUMIFS($K$2:$K$175,$A$2:$A$175,A87,$B$2:$B$175,B87)</f>
        <v/>
      </c>
      <c r="P87">
        <f>SUMIFS($J$2:$J$175,$A$2:$A$175,A87,$B$2:$B$175,B87)</f>
        <v/>
      </c>
      <c r="Q87">
        <f>SUMIFS(Allocation!$I$2:$I$175,Allocation!$C$2:$C$175,A87,Allocation!$E$2:$E$175,C87)</f>
        <v/>
      </c>
      <c r="R87">
        <f>SUMIFS(Allocation!$J$2:$J$175,Allocation!$C$2:$C$175,A87,Allocation!$E$2:$E$175,C87)</f>
        <v/>
      </c>
      <c r="S87">
        <f>SUMIFS(Allocation!$K$2:$K$175,Allocation!$C$2:$C$175,A87,Allocation!$E$2:$E$175,C87)</f>
        <v/>
      </c>
      <c r="T87">
        <f>SUMIFS(Allocation!$I$2:$I$175,Allocation!$C$2:$C$175,A87)</f>
        <v/>
      </c>
      <c r="U87">
        <f>SUMIFS(Allocation!$J$2:$J$175,Allocation!$C$2:$C$175,A87)</f>
        <v/>
      </c>
      <c r="V87">
        <f>SUMIFS(Allocation!$K$2:$K$175,Allocation!$C$2:$C$175,A87)</f>
        <v/>
      </c>
      <c r="W87">
        <f>SUMIFS(Compta!$F$2:$F$675,Compta!$A$2:$A$675,B87,Compta!$B$2:$B$675,"621",Compta!$C$2:$C$675,A87)</f>
        <v/>
      </c>
      <c r="X87">
        <f>SUMIFS(Compta!$F$2:$F$675,Compta!$A$2:$A$675,B87,Compta!$B$2:$B$675,"6411",Compta!$C$2:$C$675,A87)</f>
        <v/>
      </c>
      <c r="Y87">
        <f>SUMIFS(Compta!$F$2:$F$675,Compta!$A$2:$A$675,B87,Compta!$B$2:$B$675,"604",Compta!$C$2:$C$675,A87)+SUMIFS(Compta!$F$2:$F$675,Compta!$A$2:$A$675,B87,Compta!$B$2:$B$675,"6063",Compta!$C$2:$C$675,A87)</f>
        <v/>
      </c>
      <c r="Z87">
        <f>SUMIFS(Compta!$F$2:$F$675,Compta!$A$2:$A$675,B87,Compta!$B$2:$B$675,"6231",Compta!$C$2:$C$675,A87)</f>
        <v/>
      </c>
      <c r="AA87">
        <f>SUMIFS(Compta!$F$2:$F$675,Compta!$A$2:$A$675,B87,Compta!$B$2:$B$675,"6413",Compta!$C$2:$C$675,A87)+SUMIFS(Compta!$F$2:$F$675,Compta!$A$2:$A$675,B87,Compta!$B$2:$B$675,"645",Compta!$C$2:$C$675,A87)+SUMIFS(Compta!$F$2:$F$675,Compta!$A$2:$A$675,B87,Compta!$B$2:$B$675,"613",Compta!$C$2:$C$675,A87)+SUMIFS(Compta!$F$2:$F$675,Compta!$A$2:$A$675,B87,Compta!$B$2:$B$675,"615",Compta!$C$2:$C$675,A87)+SUMIFS(Compta!$F$2:$F$675,Compta!$A$2:$A$675,B87,Compta!$B$2:$B$675,"616",Compta!$C$2:$C$675,A87)+SUMIFS(Compta!$F$2:$F$675,Compta!$A$2:$A$675,B87,Compta!$B$2:$B$675,"625",Compta!$C$2:$C$675,A87)+SUMIFS(Compta!$F$2:$F$675,Compta!$A$2:$A$675,B87,Compta!$B$2:$B$675,"63511",Compta!$C$2:$C$675,A87)</f>
        <v/>
      </c>
      <c r="AB87">
        <f>SUMIFS(Compta!$F$2:$F$675,Compta!$A$2:$A$675,"GRP",Compta!$B$2:$B$675,"6414",Compta!$C$2:$C$675,A87)+SUMIFS(Compta!$F$2:$F$675,Compta!$A$2:$A$675,"GRP",Compta!$B$2:$B$675,"6226",Compta!$C$2:$C$675,A87)+SUMIFS(Compta!$F$2:$F$675,Compta!$A$2:$A$675,"GRP",Compta!$B$2:$B$675,"6236",Compta!$C$2:$C$675,A87)+SUMIFS(Compta!$F$2:$F$675,Compta!$A$2:$A$675,"GRP",Compta!$B$2:$B$675,"626",Compta!$C$2:$C$675,A87)+SUMIFS(Compta!$F$2:$F$675,Compta!$A$2:$A$675,"GRP",Compta!$B$2:$B$675,"6281",Compta!$C$2:$C$675,A87)+SUMIFS(Compta!$F$2:$F$675,Compta!$A$2:$A$675,"GRP",Compta!$B$2:$B$675,"6331",Compta!$C$2:$C$675,A87)+SUMIFS(Compta!$F$2:$F$675,Compta!$A$2:$A$675,"GRP",Compta!$B$2:$B$675,"6333",Compta!$C$2:$C$675,A87)</f>
        <v/>
      </c>
      <c r="AC87">
        <f>IF(Pilotage!$E$10="Chiffre d'affaires",I87,IF(Pilotage!$E$10="Effectif",G87,H87))</f>
        <v/>
      </c>
      <c r="AD87">
        <f>IF(Pilotage!$E$10="Chiffre d'affaires",N87,IF(Pilotage!$E$10="Effectif",L87,M87))</f>
        <v/>
      </c>
      <c r="AE87">
        <f>IF(Pilotage!$E$8="Chiffre d'affaires",N87,IF(Pilotage!$E$8="Effectif",L87,M87))</f>
        <v/>
      </c>
      <c r="AF87">
        <f>IF(Pilotage!$E$8="Chiffre d'affaires",S87,IF(Pilotage!$E$8="Effectif",Q87,R87))</f>
        <v/>
      </c>
      <c r="AG87">
        <f>IF(Pilotage!$E$9="Chiffre d'affaires",S87,IF(Pilotage!$E$9="Effectif",Q87,R87))</f>
        <v/>
      </c>
      <c r="AH87">
        <f>IF(Pilotage!$E$9="Chiffre d'affaires",V87,IF(Pilotage!$E$9="Effectif",T87,U87))</f>
        <v/>
      </c>
      <c r="AI87">
        <f>W87*IFERROR(K87/O87,0)</f>
        <v/>
      </c>
      <c r="AJ87">
        <f>X87*IFERROR(K87/O87,0)</f>
        <v/>
      </c>
      <c r="AK87">
        <f>Y87*IFERROR(G87/L87,0)+Z87*IFERROR(J87/P87,0)</f>
        <v/>
      </c>
      <c r="AL87">
        <f>AA87*IFERROR(AC87/AD87,0)</f>
        <v/>
      </c>
      <c r="AM87">
        <f>AB87*IFERROR(AG87/AH87,0)*IFERROR(AE87/AF87,0)*IFERROR(AC87/AD87,0)</f>
        <v/>
      </c>
      <c r="AN87">
        <f>I87-(AI87+AJ87+AK87+AL87+AM87)</f>
        <v/>
      </c>
    </row>
    <row r="88">
      <c r="A88">
        <f>Allocation!C88</f>
        <v/>
      </c>
      <c r="B88">
        <f>Allocation!D88</f>
        <v/>
      </c>
      <c r="C88">
        <f>Allocation!E88</f>
        <v/>
      </c>
      <c r="D88">
        <f>Allocation!F88</f>
        <v/>
      </c>
      <c r="E88">
        <f>Allocation!G88</f>
        <v/>
      </c>
      <c r="F88">
        <f>Allocation!H88</f>
        <v/>
      </c>
      <c r="G88">
        <f>Allocation!I88</f>
        <v/>
      </c>
      <c r="H88">
        <f>Allocation!J88</f>
        <v/>
      </c>
      <c r="I88">
        <f>Allocation!K88</f>
        <v/>
      </c>
      <c r="J88">
        <f>SUMIFS(Socle!$K$2:$K$175,Socle!$C$2:$C$175,B88,Socle!$D$2:$D$175,D88,Socle!$E$2:$E$175,E88,Socle!$F$2:$F$175,F88,Socle!$G$2:$G$175,A88)</f>
        <v/>
      </c>
      <c r="K88">
        <f>H88*IF(AND(LEFT(D88,3)="BAC",F88="INIT"),600,IF(LEFT(D88,3)="BAC",480,IF(AND(LEFT(D88,3)="MAS",F88="INIT"),520,IF(LEFT(D88,3)="MAS",420,IF(F88="INIT",1000,700)))))</f>
        <v/>
      </c>
      <c r="L88">
        <f>SUMIFS(Allocation!$I$2:$I$175,Allocation!$C$2:$C$175,A88,Allocation!$D$2:$D$175,B88)</f>
        <v/>
      </c>
      <c r="M88">
        <f>SUMIFS(Allocation!$J$2:$J$175,Allocation!$C$2:$C$175,A88,Allocation!$D$2:$D$175,B88)</f>
        <v/>
      </c>
      <c r="N88">
        <f>SUMIFS(Allocation!$K$2:$K$175,Allocation!$C$2:$C$175,A88,Allocation!$D$2:$D$175,B88)</f>
        <v/>
      </c>
      <c r="O88">
        <f>SUMIFS($K$2:$K$175,$A$2:$A$175,A88,$B$2:$B$175,B88)</f>
        <v/>
      </c>
      <c r="P88">
        <f>SUMIFS($J$2:$J$175,$A$2:$A$175,A88,$B$2:$B$175,B88)</f>
        <v/>
      </c>
      <c r="Q88">
        <f>SUMIFS(Allocation!$I$2:$I$175,Allocation!$C$2:$C$175,A88,Allocation!$E$2:$E$175,C88)</f>
        <v/>
      </c>
      <c r="R88">
        <f>SUMIFS(Allocation!$J$2:$J$175,Allocation!$C$2:$C$175,A88,Allocation!$E$2:$E$175,C88)</f>
        <v/>
      </c>
      <c r="S88">
        <f>SUMIFS(Allocation!$K$2:$K$175,Allocation!$C$2:$C$175,A88,Allocation!$E$2:$E$175,C88)</f>
        <v/>
      </c>
      <c r="T88">
        <f>SUMIFS(Allocation!$I$2:$I$175,Allocation!$C$2:$C$175,A88)</f>
        <v/>
      </c>
      <c r="U88">
        <f>SUMIFS(Allocation!$J$2:$J$175,Allocation!$C$2:$C$175,A88)</f>
        <v/>
      </c>
      <c r="V88">
        <f>SUMIFS(Allocation!$K$2:$K$175,Allocation!$C$2:$C$175,A88)</f>
        <v/>
      </c>
      <c r="W88">
        <f>SUMIFS(Compta!$F$2:$F$675,Compta!$A$2:$A$675,B88,Compta!$B$2:$B$675,"621",Compta!$C$2:$C$675,A88)</f>
        <v/>
      </c>
      <c r="X88">
        <f>SUMIFS(Compta!$F$2:$F$675,Compta!$A$2:$A$675,B88,Compta!$B$2:$B$675,"6411",Compta!$C$2:$C$675,A88)</f>
        <v/>
      </c>
      <c r="Y88">
        <f>SUMIFS(Compta!$F$2:$F$675,Compta!$A$2:$A$675,B88,Compta!$B$2:$B$675,"604",Compta!$C$2:$C$675,A88)+SUMIFS(Compta!$F$2:$F$675,Compta!$A$2:$A$675,B88,Compta!$B$2:$B$675,"6063",Compta!$C$2:$C$675,A88)</f>
        <v/>
      </c>
      <c r="Z88">
        <f>SUMIFS(Compta!$F$2:$F$675,Compta!$A$2:$A$675,B88,Compta!$B$2:$B$675,"6231",Compta!$C$2:$C$675,A88)</f>
        <v/>
      </c>
      <c r="AA88">
        <f>SUMIFS(Compta!$F$2:$F$675,Compta!$A$2:$A$675,B88,Compta!$B$2:$B$675,"6413",Compta!$C$2:$C$675,A88)+SUMIFS(Compta!$F$2:$F$675,Compta!$A$2:$A$675,B88,Compta!$B$2:$B$675,"645",Compta!$C$2:$C$675,A88)+SUMIFS(Compta!$F$2:$F$675,Compta!$A$2:$A$675,B88,Compta!$B$2:$B$675,"613",Compta!$C$2:$C$675,A88)+SUMIFS(Compta!$F$2:$F$675,Compta!$A$2:$A$675,B88,Compta!$B$2:$B$675,"615",Compta!$C$2:$C$675,A88)+SUMIFS(Compta!$F$2:$F$675,Compta!$A$2:$A$675,B88,Compta!$B$2:$B$675,"616",Compta!$C$2:$C$675,A88)+SUMIFS(Compta!$F$2:$F$675,Compta!$A$2:$A$675,B88,Compta!$B$2:$B$675,"625",Compta!$C$2:$C$675,A88)+SUMIFS(Compta!$F$2:$F$675,Compta!$A$2:$A$675,B88,Compta!$B$2:$B$675,"63511",Compta!$C$2:$C$675,A88)</f>
        <v/>
      </c>
      <c r="AB88">
        <f>SUMIFS(Compta!$F$2:$F$675,Compta!$A$2:$A$675,"GRP",Compta!$B$2:$B$675,"6414",Compta!$C$2:$C$675,A88)+SUMIFS(Compta!$F$2:$F$675,Compta!$A$2:$A$675,"GRP",Compta!$B$2:$B$675,"6226",Compta!$C$2:$C$675,A88)+SUMIFS(Compta!$F$2:$F$675,Compta!$A$2:$A$675,"GRP",Compta!$B$2:$B$675,"6236",Compta!$C$2:$C$675,A88)+SUMIFS(Compta!$F$2:$F$675,Compta!$A$2:$A$675,"GRP",Compta!$B$2:$B$675,"626",Compta!$C$2:$C$675,A88)+SUMIFS(Compta!$F$2:$F$675,Compta!$A$2:$A$675,"GRP",Compta!$B$2:$B$675,"6281",Compta!$C$2:$C$675,A88)+SUMIFS(Compta!$F$2:$F$675,Compta!$A$2:$A$675,"GRP",Compta!$B$2:$B$675,"6331",Compta!$C$2:$C$675,A88)+SUMIFS(Compta!$F$2:$F$675,Compta!$A$2:$A$675,"GRP",Compta!$B$2:$B$675,"6333",Compta!$C$2:$C$675,A88)</f>
        <v/>
      </c>
      <c r="AC88">
        <f>IF(Pilotage!$E$10="Chiffre d'affaires",I88,IF(Pilotage!$E$10="Effectif",G88,H88))</f>
        <v/>
      </c>
      <c r="AD88">
        <f>IF(Pilotage!$E$10="Chiffre d'affaires",N88,IF(Pilotage!$E$10="Effectif",L88,M88))</f>
        <v/>
      </c>
      <c r="AE88">
        <f>IF(Pilotage!$E$8="Chiffre d'affaires",N88,IF(Pilotage!$E$8="Effectif",L88,M88))</f>
        <v/>
      </c>
      <c r="AF88">
        <f>IF(Pilotage!$E$8="Chiffre d'affaires",S88,IF(Pilotage!$E$8="Effectif",Q88,R88))</f>
        <v/>
      </c>
      <c r="AG88">
        <f>IF(Pilotage!$E$9="Chiffre d'affaires",S88,IF(Pilotage!$E$9="Effectif",Q88,R88))</f>
        <v/>
      </c>
      <c r="AH88">
        <f>IF(Pilotage!$E$9="Chiffre d'affaires",V88,IF(Pilotage!$E$9="Effectif",T88,U88))</f>
        <v/>
      </c>
      <c r="AI88">
        <f>W88*IFERROR(K88/O88,0)</f>
        <v/>
      </c>
      <c r="AJ88">
        <f>X88*IFERROR(K88/O88,0)</f>
        <v/>
      </c>
      <c r="AK88">
        <f>Y88*IFERROR(G88/L88,0)+Z88*IFERROR(J88/P88,0)</f>
        <v/>
      </c>
      <c r="AL88">
        <f>AA88*IFERROR(AC88/AD88,0)</f>
        <v/>
      </c>
      <c r="AM88">
        <f>AB88*IFERROR(AG88/AH88,0)*IFERROR(AE88/AF88,0)*IFERROR(AC88/AD88,0)</f>
        <v/>
      </c>
      <c r="AN88">
        <f>I88-(AI88+AJ88+AK88+AL88+AM88)</f>
        <v/>
      </c>
    </row>
    <row r="89">
      <c r="A89">
        <f>Allocation!C89</f>
        <v/>
      </c>
      <c r="B89">
        <f>Allocation!D89</f>
        <v/>
      </c>
      <c r="C89">
        <f>Allocation!E89</f>
        <v/>
      </c>
      <c r="D89">
        <f>Allocation!F89</f>
        <v/>
      </c>
      <c r="E89">
        <f>Allocation!G89</f>
        <v/>
      </c>
      <c r="F89">
        <f>Allocation!H89</f>
        <v/>
      </c>
      <c r="G89">
        <f>Allocation!I89</f>
        <v/>
      </c>
      <c r="H89">
        <f>Allocation!J89</f>
        <v/>
      </c>
      <c r="I89">
        <f>Allocation!K89</f>
        <v/>
      </c>
      <c r="J89">
        <f>SUMIFS(Socle!$K$2:$K$175,Socle!$C$2:$C$175,B89,Socle!$D$2:$D$175,D89,Socle!$E$2:$E$175,E89,Socle!$F$2:$F$175,F89,Socle!$G$2:$G$175,A89)</f>
        <v/>
      </c>
      <c r="K89">
        <f>H89*IF(AND(LEFT(D89,3)="BAC",F89="INIT"),600,IF(LEFT(D89,3)="BAC",480,IF(AND(LEFT(D89,3)="MAS",F89="INIT"),520,IF(LEFT(D89,3)="MAS",420,IF(F89="INIT",1000,700)))))</f>
        <v/>
      </c>
      <c r="L89">
        <f>SUMIFS(Allocation!$I$2:$I$175,Allocation!$C$2:$C$175,A89,Allocation!$D$2:$D$175,B89)</f>
        <v/>
      </c>
      <c r="M89">
        <f>SUMIFS(Allocation!$J$2:$J$175,Allocation!$C$2:$C$175,A89,Allocation!$D$2:$D$175,B89)</f>
        <v/>
      </c>
      <c r="N89">
        <f>SUMIFS(Allocation!$K$2:$K$175,Allocation!$C$2:$C$175,A89,Allocation!$D$2:$D$175,B89)</f>
        <v/>
      </c>
      <c r="O89">
        <f>SUMIFS($K$2:$K$175,$A$2:$A$175,A89,$B$2:$B$175,B89)</f>
        <v/>
      </c>
      <c r="P89">
        <f>SUMIFS($J$2:$J$175,$A$2:$A$175,A89,$B$2:$B$175,B89)</f>
        <v/>
      </c>
      <c r="Q89">
        <f>SUMIFS(Allocation!$I$2:$I$175,Allocation!$C$2:$C$175,A89,Allocation!$E$2:$E$175,C89)</f>
        <v/>
      </c>
      <c r="R89">
        <f>SUMIFS(Allocation!$J$2:$J$175,Allocation!$C$2:$C$175,A89,Allocation!$E$2:$E$175,C89)</f>
        <v/>
      </c>
      <c r="S89">
        <f>SUMIFS(Allocation!$K$2:$K$175,Allocation!$C$2:$C$175,A89,Allocation!$E$2:$E$175,C89)</f>
        <v/>
      </c>
      <c r="T89">
        <f>SUMIFS(Allocation!$I$2:$I$175,Allocation!$C$2:$C$175,A89)</f>
        <v/>
      </c>
      <c r="U89">
        <f>SUMIFS(Allocation!$J$2:$J$175,Allocation!$C$2:$C$175,A89)</f>
        <v/>
      </c>
      <c r="V89">
        <f>SUMIFS(Allocation!$K$2:$K$175,Allocation!$C$2:$C$175,A89)</f>
        <v/>
      </c>
      <c r="W89">
        <f>SUMIFS(Compta!$F$2:$F$675,Compta!$A$2:$A$675,B89,Compta!$B$2:$B$675,"621",Compta!$C$2:$C$675,A89)</f>
        <v/>
      </c>
      <c r="X89">
        <f>SUMIFS(Compta!$F$2:$F$675,Compta!$A$2:$A$675,B89,Compta!$B$2:$B$675,"6411",Compta!$C$2:$C$675,A89)</f>
        <v/>
      </c>
      <c r="Y89">
        <f>SUMIFS(Compta!$F$2:$F$675,Compta!$A$2:$A$675,B89,Compta!$B$2:$B$675,"604",Compta!$C$2:$C$675,A89)+SUMIFS(Compta!$F$2:$F$675,Compta!$A$2:$A$675,B89,Compta!$B$2:$B$675,"6063",Compta!$C$2:$C$675,A89)</f>
        <v/>
      </c>
      <c r="Z89">
        <f>SUMIFS(Compta!$F$2:$F$675,Compta!$A$2:$A$675,B89,Compta!$B$2:$B$675,"6231",Compta!$C$2:$C$675,A89)</f>
        <v/>
      </c>
      <c r="AA89">
        <f>SUMIFS(Compta!$F$2:$F$675,Compta!$A$2:$A$675,B89,Compta!$B$2:$B$675,"6413",Compta!$C$2:$C$675,A89)+SUMIFS(Compta!$F$2:$F$675,Compta!$A$2:$A$675,B89,Compta!$B$2:$B$675,"645",Compta!$C$2:$C$675,A89)+SUMIFS(Compta!$F$2:$F$675,Compta!$A$2:$A$675,B89,Compta!$B$2:$B$675,"613",Compta!$C$2:$C$675,A89)+SUMIFS(Compta!$F$2:$F$675,Compta!$A$2:$A$675,B89,Compta!$B$2:$B$675,"615",Compta!$C$2:$C$675,A89)+SUMIFS(Compta!$F$2:$F$675,Compta!$A$2:$A$675,B89,Compta!$B$2:$B$675,"616",Compta!$C$2:$C$675,A89)+SUMIFS(Compta!$F$2:$F$675,Compta!$A$2:$A$675,B89,Compta!$B$2:$B$675,"625",Compta!$C$2:$C$675,A89)+SUMIFS(Compta!$F$2:$F$675,Compta!$A$2:$A$675,B89,Compta!$B$2:$B$675,"63511",Compta!$C$2:$C$675,A89)</f>
        <v/>
      </c>
      <c r="AB89">
        <f>SUMIFS(Compta!$F$2:$F$675,Compta!$A$2:$A$675,"GRP",Compta!$B$2:$B$675,"6414",Compta!$C$2:$C$675,A89)+SUMIFS(Compta!$F$2:$F$675,Compta!$A$2:$A$675,"GRP",Compta!$B$2:$B$675,"6226",Compta!$C$2:$C$675,A89)+SUMIFS(Compta!$F$2:$F$675,Compta!$A$2:$A$675,"GRP",Compta!$B$2:$B$675,"6236",Compta!$C$2:$C$675,A89)+SUMIFS(Compta!$F$2:$F$675,Compta!$A$2:$A$675,"GRP",Compta!$B$2:$B$675,"626",Compta!$C$2:$C$675,A89)+SUMIFS(Compta!$F$2:$F$675,Compta!$A$2:$A$675,"GRP",Compta!$B$2:$B$675,"6281",Compta!$C$2:$C$675,A89)+SUMIFS(Compta!$F$2:$F$675,Compta!$A$2:$A$675,"GRP",Compta!$B$2:$B$675,"6331",Compta!$C$2:$C$675,A89)+SUMIFS(Compta!$F$2:$F$675,Compta!$A$2:$A$675,"GRP",Compta!$B$2:$B$675,"6333",Compta!$C$2:$C$675,A89)</f>
        <v/>
      </c>
      <c r="AC89">
        <f>IF(Pilotage!$E$10="Chiffre d'affaires",I89,IF(Pilotage!$E$10="Effectif",G89,H89))</f>
        <v/>
      </c>
      <c r="AD89">
        <f>IF(Pilotage!$E$10="Chiffre d'affaires",N89,IF(Pilotage!$E$10="Effectif",L89,M89))</f>
        <v/>
      </c>
      <c r="AE89">
        <f>IF(Pilotage!$E$8="Chiffre d'affaires",N89,IF(Pilotage!$E$8="Effectif",L89,M89))</f>
        <v/>
      </c>
      <c r="AF89">
        <f>IF(Pilotage!$E$8="Chiffre d'affaires",S89,IF(Pilotage!$E$8="Effectif",Q89,R89))</f>
        <v/>
      </c>
      <c r="AG89">
        <f>IF(Pilotage!$E$9="Chiffre d'affaires",S89,IF(Pilotage!$E$9="Effectif",Q89,R89))</f>
        <v/>
      </c>
      <c r="AH89">
        <f>IF(Pilotage!$E$9="Chiffre d'affaires",V89,IF(Pilotage!$E$9="Effectif",T89,U89))</f>
        <v/>
      </c>
      <c r="AI89">
        <f>W89*IFERROR(K89/O89,0)</f>
        <v/>
      </c>
      <c r="AJ89">
        <f>X89*IFERROR(K89/O89,0)</f>
        <v/>
      </c>
      <c r="AK89">
        <f>Y89*IFERROR(G89/L89,0)+Z89*IFERROR(J89/P89,0)</f>
        <v/>
      </c>
      <c r="AL89">
        <f>AA89*IFERROR(AC89/AD89,0)</f>
        <v/>
      </c>
      <c r="AM89">
        <f>AB89*IFERROR(AG89/AH89,0)*IFERROR(AE89/AF89,0)*IFERROR(AC89/AD89,0)</f>
        <v/>
      </c>
      <c r="AN89">
        <f>I89-(AI89+AJ89+AK89+AL89+AM89)</f>
        <v/>
      </c>
    </row>
    <row r="90">
      <c r="A90">
        <f>Allocation!C90</f>
        <v/>
      </c>
      <c r="B90">
        <f>Allocation!D90</f>
        <v/>
      </c>
      <c r="C90">
        <f>Allocation!E90</f>
        <v/>
      </c>
      <c r="D90">
        <f>Allocation!F90</f>
        <v/>
      </c>
      <c r="E90">
        <f>Allocation!G90</f>
        <v/>
      </c>
      <c r="F90">
        <f>Allocation!H90</f>
        <v/>
      </c>
      <c r="G90">
        <f>Allocation!I90</f>
        <v/>
      </c>
      <c r="H90">
        <f>Allocation!J90</f>
        <v/>
      </c>
      <c r="I90">
        <f>Allocation!K90</f>
        <v/>
      </c>
      <c r="J90">
        <f>SUMIFS(Socle!$K$2:$K$175,Socle!$C$2:$C$175,B90,Socle!$D$2:$D$175,D90,Socle!$E$2:$E$175,E90,Socle!$F$2:$F$175,F90,Socle!$G$2:$G$175,A90)</f>
        <v/>
      </c>
      <c r="K90">
        <f>H90*IF(AND(LEFT(D90,3)="BAC",F90="INIT"),600,IF(LEFT(D90,3)="BAC",480,IF(AND(LEFT(D90,3)="MAS",F90="INIT"),520,IF(LEFT(D90,3)="MAS",420,IF(F90="INIT",1000,700)))))</f>
        <v/>
      </c>
      <c r="L90">
        <f>SUMIFS(Allocation!$I$2:$I$175,Allocation!$C$2:$C$175,A90,Allocation!$D$2:$D$175,B90)</f>
        <v/>
      </c>
      <c r="M90">
        <f>SUMIFS(Allocation!$J$2:$J$175,Allocation!$C$2:$C$175,A90,Allocation!$D$2:$D$175,B90)</f>
        <v/>
      </c>
      <c r="N90">
        <f>SUMIFS(Allocation!$K$2:$K$175,Allocation!$C$2:$C$175,A90,Allocation!$D$2:$D$175,B90)</f>
        <v/>
      </c>
      <c r="O90">
        <f>SUMIFS($K$2:$K$175,$A$2:$A$175,A90,$B$2:$B$175,B90)</f>
        <v/>
      </c>
      <c r="P90">
        <f>SUMIFS($J$2:$J$175,$A$2:$A$175,A90,$B$2:$B$175,B90)</f>
        <v/>
      </c>
      <c r="Q90">
        <f>SUMIFS(Allocation!$I$2:$I$175,Allocation!$C$2:$C$175,A90,Allocation!$E$2:$E$175,C90)</f>
        <v/>
      </c>
      <c r="R90">
        <f>SUMIFS(Allocation!$J$2:$J$175,Allocation!$C$2:$C$175,A90,Allocation!$E$2:$E$175,C90)</f>
        <v/>
      </c>
      <c r="S90">
        <f>SUMIFS(Allocation!$K$2:$K$175,Allocation!$C$2:$C$175,A90,Allocation!$E$2:$E$175,C90)</f>
        <v/>
      </c>
      <c r="T90">
        <f>SUMIFS(Allocation!$I$2:$I$175,Allocation!$C$2:$C$175,A90)</f>
        <v/>
      </c>
      <c r="U90">
        <f>SUMIFS(Allocation!$J$2:$J$175,Allocation!$C$2:$C$175,A90)</f>
        <v/>
      </c>
      <c r="V90">
        <f>SUMIFS(Allocation!$K$2:$K$175,Allocation!$C$2:$C$175,A90)</f>
        <v/>
      </c>
      <c r="W90">
        <f>SUMIFS(Compta!$F$2:$F$675,Compta!$A$2:$A$675,B90,Compta!$B$2:$B$675,"621",Compta!$C$2:$C$675,A90)</f>
        <v/>
      </c>
      <c r="X90">
        <f>SUMIFS(Compta!$F$2:$F$675,Compta!$A$2:$A$675,B90,Compta!$B$2:$B$675,"6411",Compta!$C$2:$C$675,A90)</f>
        <v/>
      </c>
      <c r="Y90">
        <f>SUMIFS(Compta!$F$2:$F$675,Compta!$A$2:$A$675,B90,Compta!$B$2:$B$675,"604",Compta!$C$2:$C$675,A90)+SUMIFS(Compta!$F$2:$F$675,Compta!$A$2:$A$675,B90,Compta!$B$2:$B$675,"6063",Compta!$C$2:$C$675,A90)</f>
        <v/>
      </c>
      <c r="Z90">
        <f>SUMIFS(Compta!$F$2:$F$675,Compta!$A$2:$A$675,B90,Compta!$B$2:$B$675,"6231",Compta!$C$2:$C$675,A90)</f>
        <v/>
      </c>
      <c r="AA90">
        <f>SUMIFS(Compta!$F$2:$F$675,Compta!$A$2:$A$675,B90,Compta!$B$2:$B$675,"6413",Compta!$C$2:$C$675,A90)+SUMIFS(Compta!$F$2:$F$675,Compta!$A$2:$A$675,B90,Compta!$B$2:$B$675,"645",Compta!$C$2:$C$675,A90)+SUMIFS(Compta!$F$2:$F$675,Compta!$A$2:$A$675,B90,Compta!$B$2:$B$675,"613",Compta!$C$2:$C$675,A90)+SUMIFS(Compta!$F$2:$F$675,Compta!$A$2:$A$675,B90,Compta!$B$2:$B$675,"615",Compta!$C$2:$C$675,A90)+SUMIFS(Compta!$F$2:$F$675,Compta!$A$2:$A$675,B90,Compta!$B$2:$B$675,"616",Compta!$C$2:$C$675,A90)+SUMIFS(Compta!$F$2:$F$675,Compta!$A$2:$A$675,B90,Compta!$B$2:$B$675,"625",Compta!$C$2:$C$675,A90)+SUMIFS(Compta!$F$2:$F$675,Compta!$A$2:$A$675,B90,Compta!$B$2:$B$675,"63511",Compta!$C$2:$C$675,A90)</f>
        <v/>
      </c>
      <c r="AB90">
        <f>SUMIFS(Compta!$F$2:$F$675,Compta!$A$2:$A$675,"GRP",Compta!$B$2:$B$675,"6414",Compta!$C$2:$C$675,A90)+SUMIFS(Compta!$F$2:$F$675,Compta!$A$2:$A$675,"GRP",Compta!$B$2:$B$675,"6226",Compta!$C$2:$C$675,A90)+SUMIFS(Compta!$F$2:$F$675,Compta!$A$2:$A$675,"GRP",Compta!$B$2:$B$675,"6236",Compta!$C$2:$C$675,A90)+SUMIFS(Compta!$F$2:$F$675,Compta!$A$2:$A$675,"GRP",Compta!$B$2:$B$675,"626",Compta!$C$2:$C$675,A90)+SUMIFS(Compta!$F$2:$F$675,Compta!$A$2:$A$675,"GRP",Compta!$B$2:$B$675,"6281",Compta!$C$2:$C$675,A90)+SUMIFS(Compta!$F$2:$F$675,Compta!$A$2:$A$675,"GRP",Compta!$B$2:$B$675,"6331",Compta!$C$2:$C$675,A90)+SUMIFS(Compta!$F$2:$F$675,Compta!$A$2:$A$675,"GRP",Compta!$B$2:$B$675,"6333",Compta!$C$2:$C$675,A90)</f>
        <v/>
      </c>
      <c r="AC90">
        <f>IF(Pilotage!$E$10="Chiffre d'affaires",I90,IF(Pilotage!$E$10="Effectif",G90,H90))</f>
        <v/>
      </c>
      <c r="AD90">
        <f>IF(Pilotage!$E$10="Chiffre d'affaires",N90,IF(Pilotage!$E$10="Effectif",L90,M90))</f>
        <v/>
      </c>
      <c r="AE90">
        <f>IF(Pilotage!$E$8="Chiffre d'affaires",N90,IF(Pilotage!$E$8="Effectif",L90,M90))</f>
        <v/>
      </c>
      <c r="AF90">
        <f>IF(Pilotage!$E$8="Chiffre d'affaires",S90,IF(Pilotage!$E$8="Effectif",Q90,R90))</f>
        <v/>
      </c>
      <c r="AG90">
        <f>IF(Pilotage!$E$9="Chiffre d'affaires",S90,IF(Pilotage!$E$9="Effectif",Q90,R90))</f>
        <v/>
      </c>
      <c r="AH90">
        <f>IF(Pilotage!$E$9="Chiffre d'affaires",V90,IF(Pilotage!$E$9="Effectif",T90,U90))</f>
        <v/>
      </c>
      <c r="AI90">
        <f>W90*IFERROR(K90/O90,0)</f>
        <v/>
      </c>
      <c r="AJ90">
        <f>X90*IFERROR(K90/O90,0)</f>
        <v/>
      </c>
      <c r="AK90">
        <f>Y90*IFERROR(G90/L90,0)+Z90*IFERROR(J90/P90,0)</f>
        <v/>
      </c>
      <c r="AL90">
        <f>AA90*IFERROR(AC90/AD90,0)</f>
        <v/>
      </c>
      <c r="AM90">
        <f>AB90*IFERROR(AG90/AH90,0)*IFERROR(AE90/AF90,0)*IFERROR(AC90/AD90,0)</f>
        <v/>
      </c>
      <c r="AN90">
        <f>I90-(AI90+AJ90+AK90+AL90+AM90)</f>
        <v/>
      </c>
    </row>
    <row r="91">
      <c r="A91">
        <f>Allocation!C91</f>
        <v/>
      </c>
      <c r="B91">
        <f>Allocation!D91</f>
        <v/>
      </c>
      <c r="C91">
        <f>Allocation!E91</f>
        <v/>
      </c>
      <c r="D91">
        <f>Allocation!F91</f>
        <v/>
      </c>
      <c r="E91">
        <f>Allocation!G91</f>
        <v/>
      </c>
      <c r="F91">
        <f>Allocation!H91</f>
        <v/>
      </c>
      <c r="G91">
        <f>Allocation!I91</f>
        <v/>
      </c>
      <c r="H91">
        <f>Allocation!J91</f>
        <v/>
      </c>
      <c r="I91">
        <f>Allocation!K91</f>
        <v/>
      </c>
      <c r="J91">
        <f>SUMIFS(Socle!$K$2:$K$175,Socle!$C$2:$C$175,B91,Socle!$D$2:$D$175,D91,Socle!$E$2:$E$175,E91,Socle!$F$2:$F$175,F91,Socle!$G$2:$G$175,A91)</f>
        <v/>
      </c>
      <c r="K91">
        <f>H91*IF(AND(LEFT(D91,3)="BAC",F91="INIT"),600,IF(LEFT(D91,3)="BAC",480,IF(AND(LEFT(D91,3)="MAS",F91="INIT"),520,IF(LEFT(D91,3)="MAS",420,IF(F91="INIT",1000,700)))))</f>
        <v/>
      </c>
      <c r="L91">
        <f>SUMIFS(Allocation!$I$2:$I$175,Allocation!$C$2:$C$175,A91,Allocation!$D$2:$D$175,B91)</f>
        <v/>
      </c>
      <c r="M91">
        <f>SUMIFS(Allocation!$J$2:$J$175,Allocation!$C$2:$C$175,A91,Allocation!$D$2:$D$175,B91)</f>
        <v/>
      </c>
      <c r="N91">
        <f>SUMIFS(Allocation!$K$2:$K$175,Allocation!$C$2:$C$175,A91,Allocation!$D$2:$D$175,B91)</f>
        <v/>
      </c>
      <c r="O91">
        <f>SUMIFS($K$2:$K$175,$A$2:$A$175,A91,$B$2:$B$175,B91)</f>
        <v/>
      </c>
      <c r="P91">
        <f>SUMIFS($J$2:$J$175,$A$2:$A$175,A91,$B$2:$B$175,B91)</f>
        <v/>
      </c>
      <c r="Q91">
        <f>SUMIFS(Allocation!$I$2:$I$175,Allocation!$C$2:$C$175,A91,Allocation!$E$2:$E$175,C91)</f>
        <v/>
      </c>
      <c r="R91">
        <f>SUMIFS(Allocation!$J$2:$J$175,Allocation!$C$2:$C$175,A91,Allocation!$E$2:$E$175,C91)</f>
        <v/>
      </c>
      <c r="S91">
        <f>SUMIFS(Allocation!$K$2:$K$175,Allocation!$C$2:$C$175,A91,Allocation!$E$2:$E$175,C91)</f>
        <v/>
      </c>
      <c r="T91">
        <f>SUMIFS(Allocation!$I$2:$I$175,Allocation!$C$2:$C$175,A91)</f>
        <v/>
      </c>
      <c r="U91">
        <f>SUMIFS(Allocation!$J$2:$J$175,Allocation!$C$2:$C$175,A91)</f>
        <v/>
      </c>
      <c r="V91">
        <f>SUMIFS(Allocation!$K$2:$K$175,Allocation!$C$2:$C$175,A91)</f>
        <v/>
      </c>
      <c r="W91">
        <f>SUMIFS(Compta!$F$2:$F$675,Compta!$A$2:$A$675,B91,Compta!$B$2:$B$675,"621",Compta!$C$2:$C$675,A91)</f>
        <v/>
      </c>
      <c r="X91">
        <f>SUMIFS(Compta!$F$2:$F$675,Compta!$A$2:$A$675,B91,Compta!$B$2:$B$675,"6411",Compta!$C$2:$C$675,A91)</f>
        <v/>
      </c>
      <c r="Y91">
        <f>SUMIFS(Compta!$F$2:$F$675,Compta!$A$2:$A$675,B91,Compta!$B$2:$B$675,"604",Compta!$C$2:$C$675,A91)+SUMIFS(Compta!$F$2:$F$675,Compta!$A$2:$A$675,B91,Compta!$B$2:$B$675,"6063",Compta!$C$2:$C$675,A91)</f>
        <v/>
      </c>
      <c r="Z91">
        <f>SUMIFS(Compta!$F$2:$F$675,Compta!$A$2:$A$675,B91,Compta!$B$2:$B$675,"6231",Compta!$C$2:$C$675,A91)</f>
        <v/>
      </c>
      <c r="AA91">
        <f>SUMIFS(Compta!$F$2:$F$675,Compta!$A$2:$A$675,B91,Compta!$B$2:$B$675,"6413",Compta!$C$2:$C$675,A91)+SUMIFS(Compta!$F$2:$F$675,Compta!$A$2:$A$675,B91,Compta!$B$2:$B$675,"645",Compta!$C$2:$C$675,A91)+SUMIFS(Compta!$F$2:$F$675,Compta!$A$2:$A$675,B91,Compta!$B$2:$B$675,"613",Compta!$C$2:$C$675,A91)+SUMIFS(Compta!$F$2:$F$675,Compta!$A$2:$A$675,B91,Compta!$B$2:$B$675,"615",Compta!$C$2:$C$675,A91)+SUMIFS(Compta!$F$2:$F$675,Compta!$A$2:$A$675,B91,Compta!$B$2:$B$675,"616",Compta!$C$2:$C$675,A91)+SUMIFS(Compta!$F$2:$F$675,Compta!$A$2:$A$675,B91,Compta!$B$2:$B$675,"625",Compta!$C$2:$C$675,A91)+SUMIFS(Compta!$F$2:$F$675,Compta!$A$2:$A$675,B91,Compta!$B$2:$B$675,"63511",Compta!$C$2:$C$675,A91)</f>
        <v/>
      </c>
      <c r="AB91">
        <f>SUMIFS(Compta!$F$2:$F$675,Compta!$A$2:$A$675,"GRP",Compta!$B$2:$B$675,"6414",Compta!$C$2:$C$675,A91)+SUMIFS(Compta!$F$2:$F$675,Compta!$A$2:$A$675,"GRP",Compta!$B$2:$B$675,"6226",Compta!$C$2:$C$675,A91)+SUMIFS(Compta!$F$2:$F$675,Compta!$A$2:$A$675,"GRP",Compta!$B$2:$B$675,"6236",Compta!$C$2:$C$675,A91)+SUMIFS(Compta!$F$2:$F$675,Compta!$A$2:$A$675,"GRP",Compta!$B$2:$B$675,"626",Compta!$C$2:$C$675,A91)+SUMIFS(Compta!$F$2:$F$675,Compta!$A$2:$A$675,"GRP",Compta!$B$2:$B$675,"6281",Compta!$C$2:$C$675,A91)+SUMIFS(Compta!$F$2:$F$675,Compta!$A$2:$A$675,"GRP",Compta!$B$2:$B$675,"6331",Compta!$C$2:$C$675,A91)+SUMIFS(Compta!$F$2:$F$675,Compta!$A$2:$A$675,"GRP",Compta!$B$2:$B$675,"6333",Compta!$C$2:$C$675,A91)</f>
        <v/>
      </c>
      <c r="AC91">
        <f>IF(Pilotage!$E$10="Chiffre d'affaires",I91,IF(Pilotage!$E$10="Effectif",G91,H91))</f>
        <v/>
      </c>
      <c r="AD91">
        <f>IF(Pilotage!$E$10="Chiffre d'affaires",N91,IF(Pilotage!$E$10="Effectif",L91,M91))</f>
        <v/>
      </c>
      <c r="AE91">
        <f>IF(Pilotage!$E$8="Chiffre d'affaires",N91,IF(Pilotage!$E$8="Effectif",L91,M91))</f>
        <v/>
      </c>
      <c r="AF91">
        <f>IF(Pilotage!$E$8="Chiffre d'affaires",S91,IF(Pilotage!$E$8="Effectif",Q91,R91))</f>
        <v/>
      </c>
      <c r="AG91">
        <f>IF(Pilotage!$E$9="Chiffre d'affaires",S91,IF(Pilotage!$E$9="Effectif",Q91,R91))</f>
        <v/>
      </c>
      <c r="AH91">
        <f>IF(Pilotage!$E$9="Chiffre d'affaires",V91,IF(Pilotage!$E$9="Effectif",T91,U91))</f>
        <v/>
      </c>
      <c r="AI91">
        <f>W91*IFERROR(K91/O91,0)</f>
        <v/>
      </c>
      <c r="AJ91">
        <f>X91*IFERROR(K91/O91,0)</f>
        <v/>
      </c>
      <c r="AK91">
        <f>Y91*IFERROR(G91/L91,0)+Z91*IFERROR(J91/P91,0)</f>
        <v/>
      </c>
      <c r="AL91">
        <f>AA91*IFERROR(AC91/AD91,0)</f>
        <v/>
      </c>
      <c r="AM91">
        <f>AB91*IFERROR(AG91/AH91,0)*IFERROR(AE91/AF91,0)*IFERROR(AC91/AD91,0)</f>
        <v/>
      </c>
      <c r="AN91">
        <f>I91-(AI91+AJ91+AK91+AL91+AM91)</f>
        <v/>
      </c>
    </row>
    <row r="92">
      <c r="A92">
        <f>Allocation!C92</f>
        <v/>
      </c>
      <c r="B92">
        <f>Allocation!D92</f>
        <v/>
      </c>
      <c r="C92">
        <f>Allocation!E92</f>
        <v/>
      </c>
      <c r="D92">
        <f>Allocation!F92</f>
        <v/>
      </c>
      <c r="E92">
        <f>Allocation!G92</f>
        <v/>
      </c>
      <c r="F92">
        <f>Allocation!H92</f>
        <v/>
      </c>
      <c r="G92">
        <f>Allocation!I92</f>
        <v/>
      </c>
      <c r="H92">
        <f>Allocation!J92</f>
        <v/>
      </c>
      <c r="I92">
        <f>Allocation!K92</f>
        <v/>
      </c>
      <c r="J92">
        <f>SUMIFS(Socle!$K$2:$K$175,Socle!$C$2:$C$175,B92,Socle!$D$2:$D$175,D92,Socle!$E$2:$E$175,E92,Socle!$F$2:$F$175,F92,Socle!$G$2:$G$175,A92)</f>
        <v/>
      </c>
      <c r="K92">
        <f>H92*IF(AND(LEFT(D92,3)="BAC",F92="INIT"),600,IF(LEFT(D92,3)="BAC",480,IF(AND(LEFT(D92,3)="MAS",F92="INIT"),520,IF(LEFT(D92,3)="MAS",420,IF(F92="INIT",1000,700)))))</f>
        <v/>
      </c>
      <c r="L92">
        <f>SUMIFS(Allocation!$I$2:$I$175,Allocation!$C$2:$C$175,A92,Allocation!$D$2:$D$175,B92)</f>
        <v/>
      </c>
      <c r="M92">
        <f>SUMIFS(Allocation!$J$2:$J$175,Allocation!$C$2:$C$175,A92,Allocation!$D$2:$D$175,B92)</f>
        <v/>
      </c>
      <c r="N92">
        <f>SUMIFS(Allocation!$K$2:$K$175,Allocation!$C$2:$C$175,A92,Allocation!$D$2:$D$175,B92)</f>
        <v/>
      </c>
      <c r="O92">
        <f>SUMIFS($K$2:$K$175,$A$2:$A$175,A92,$B$2:$B$175,B92)</f>
        <v/>
      </c>
      <c r="P92">
        <f>SUMIFS($J$2:$J$175,$A$2:$A$175,A92,$B$2:$B$175,B92)</f>
        <v/>
      </c>
      <c r="Q92">
        <f>SUMIFS(Allocation!$I$2:$I$175,Allocation!$C$2:$C$175,A92,Allocation!$E$2:$E$175,C92)</f>
        <v/>
      </c>
      <c r="R92">
        <f>SUMIFS(Allocation!$J$2:$J$175,Allocation!$C$2:$C$175,A92,Allocation!$E$2:$E$175,C92)</f>
        <v/>
      </c>
      <c r="S92">
        <f>SUMIFS(Allocation!$K$2:$K$175,Allocation!$C$2:$C$175,A92,Allocation!$E$2:$E$175,C92)</f>
        <v/>
      </c>
      <c r="T92">
        <f>SUMIFS(Allocation!$I$2:$I$175,Allocation!$C$2:$C$175,A92)</f>
        <v/>
      </c>
      <c r="U92">
        <f>SUMIFS(Allocation!$J$2:$J$175,Allocation!$C$2:$C$175,A92)</f>
        <v/>
      </c>
      <c r="V92">
        <f>SUMIFS(Allocation!$K$2:$K$175,Allocation!$C$2:$C$175,A92)</f>
        <v/>
      </c>
      <c r="W92">
        <f>SUMIFS(Compta!$F$2:$F$675,Compta!$A$2:$A$675,B92,Compta!$B$2:$B$675,"621",Compta!$C$2:$C$675,A92)</f>
        <v/>
      </c>
      <c r="X92">
        <f>SUMIFS(Compta!$F$2:$F$675,Compta!$A$2:$A$675,B92,Compta!$B$2:$B$675,"6411",Compta!$C$2:$C$675,A92)</f>
        <v/>
      </c>
      <c r="Y92">
        <f>SUMIFS(Compta!$F$2:$F$675,Compta!$A$2:$A$675,B92,Compta!$B$2:$B$675,"604",Compta!$C$2:$C$675,A92)+SUMIFS(Compta!$F$2:$F$675,Compta!$A$2:$A$675,B92,Compta!$B$2:$B$675,"6063",Compta!$C$2:$C$675,A92)</f>
        <v/>
      </c>
      <c r="Z92">
        <f>SUMIFS(Compta!$F$2:$F$675,Compta!$A$2:$A$675,B92,Compta!$B$2:$B$675,"6231",Compta!$C$2:$C$675,A92)</f>
        <v/>
      </c>
      <c r="AA92">
        <f>SUMIFS(Compta!$F$2:$F$675,Compta!$A$2:$A$675,B92,Compta!$B$2:$B$675,"6413",Compta!$C$2:$C$675,A92)+SUMIFS(Compta!$F$2:$F$675,Compta!$A$2:$A$675,B92,Compta!$B$2:$B$675,"645",Compta!$C$2:$C$675,A92)+SUMIFS(Compta!$F$2:$F$675,Compta!$A$2:$A$675,B92,Compta!$B$2:$B$675,"613",Compta!$C$2:$C$675,A92)+SUMIFS(Compta!$F$2:$F$675,Compta!$A$2:$A$675,B92,Compta!$B$2:$B$675,"615",Compta!$C$2:$C$675,A92)+SUMIFS(Compta!$F$2:$F$675,Compta!$A$2:$A$675,B92,Compta!$B$2:$B$675,"616",Compta!$C$2:$C$675,A92)+SUMIFS(Compta!$F$2:$F$675,Compta!$A$2:$A$675,B92,Compta!$B$2:$B$675,"625",Compta!$C$2:$C$675,A92)+SUMIFS(Compta!$F$2:$F$675,Compta!$A$2:$A$675,B92,Compta!$B$2:$B$675,"63511",Compta!$C$2:$C$675,A92)</f>
        <v/>
      </c>
      <c r="AB92">
        <f>SUMIFS(Compta!$F$2:$F$675,Compta!$A$2:$A$675,"GRP",Compta!$B$2:$B$675,"6414",Compta!$C$2:$C$675,A92)+SUMIFS(Compta!$F$2:$F$675,Compta!$A$2:$A$675,"GRP",Compta!$B$2:$B$675,"6226",Compta!$C$2:$C$675,A92)+SUMIFS(Compta!$F$2:$F$675,Compta!$A$2:$A$675,"GRP",Compta!$B$2:$B$675,"6236",Compta!$C$2:$C$675,A92)+SUMIFS(Compta!$F$2:$F$675,Compta!$A$2:$A$675,"GRP",Compta!$B$2:$B$675,"626",Compta!$C$2:$C$675,A92)+SUMIFS(Compta!$F$2:$F$675,Compta!$A$2:$A$675,"GRP",Compta!$B$2:$B$675,"6281",Compta!$C$2:$C$675,A92)+SUMIFS(Compta!$F$2:$F$675,Compta!$A$2:$A$675,"GRP",Compta!$B$2:$B$675,"6331",Compta!$C$2:$C$675,A92)+SUMIFS(Compta!$F$2:$F$675,Compta!$A$2:$A$675,"GRP",Compta!$B$2:$B$675,"6333",Compta!$C$2:$C$675,A92)</f>
        <v/>
      </c>
      <c r="AC92">
        <f>IF(Pilotage!$E$10="Chiffre d'affaires",I92,IF(Pilotage!$E$10="Effectif",G92,H92))</f>
        <v/>
      </c>
      <c r="AD92">
        <f>IF(Pilotage!$E$10="Chiffre d'affaires",N92,IF(Pilotage!$E$10="Effectif",L92,M92))</f>
        <v/>
      </c>
      <c r="AE92">
        <f>IF(Pilotage!$E$8="Chiffre d'affaires",N92,IF(Pilotage!$E$8="Effectif",L92,M92))</f>
        <v/>
      </c>
      <c r="AF92">
        <f>IF(Pilotage!$E$8="Chiffre d'affaires",S92,IF(Pilotage!$E$8="Effectif",Q92,R92))</f>
        <v/>
      </c>
      <c r="AG92">
        <f>IF(Pilotage!$E$9="Chiffre d'affaires",S92,IF(Pilotage!$E$9="Effectif",Q92,R92))</f>
        <v/>
      </c>
      <c r="AH92">
        <f>IF(Pilotage!$E$9="Chiffre d'affaires",V92,IF(Pilotage!$E$9="Effectif",T92,U92))</f>
        <v/>
      </c>
      <c r="AI92">
        <f>W92*IFERROR(K92/O92,0)</f>
        <v/>
      </c>
      <c r="AJ92">
        <f>X92*IFERROR(K92/O92,0)</f>
        <v/>
      </c>
      <c r="AK92">
        <f>Y92*IFERROR(G92/L92,0)+Z92*IFERROR(J92/P92,0)</f>
        <v/>
      </c>
      <c r="AL92">
        <f>AA92*IFERROR(AC92/AD92,0)</f>
        <v/>
      </c>
      <c r="AM92">
        <f>AB92*IFERROR(AG92/AH92,0)*IFERROR(AE92/AF92,0)*IFERROR(AC92/AD92,0)</f>
        <v/>
      </c>
      <c r="AN92">
        <f>I92-(AI92+AJ92+AK92+AL92+AM92)</f>
        <v/>
      </c>
    </row>
    <row r="93">
      <c r="A93">
        <f>Allocation!C93</f>
        <v/>
      </c>
      <c r="B93">
        <f>Allocation!D93</f>
        <v/>
      </c>
      <c r="C93">
        <f>Allocation!E93</f>
        <v/>
      </c>
      <c r="D93">
        <f>Allocation!F93</f>
        <v/>
      </c>
      <c r="E93">
        <f>Allocation!G93</f>
        <v/>
      </c>
      <c r="F93">
        <f>Allocation!H93</f>
        <v/>
      </c>
      <c r="G93">
        <f>Allocation!I93</f>
        <v/>
      </c>
      <c r="H93">
        <f>Allocation!J93</f>
        <v/>
      </c>
      <c r="I93">
        <f>Allocation!K93</f>
        <v/>
      </c>
      <c r="J93">
        <f>SUMIFS(Socle!$K$2:$K$175,Socle!$C$2:$C$175,B93,Socle!$D$2:$D$175,D93,Socle!$E$2:$E$175,E93,Socle!$F$2:$F$175,F93,Socle!$G$2:$G$175,A93)</f>
        <v/>
      </c>
      <c r="K93">
        <f>H93*IF(AND(LEFT(D93,3)="BAC",F93="INIT"),600,IF(LEFT(D93,3)="BAC",480,IF(AND(LEFT(D93,3)="MAS",F93="INIT"),520,IF(LEFT(D93,3)="MAS",420,IF(F93="INIT",1000,700)))))</f>
        <v/>
      </c>
      <c r="L93">
        <f>SUMIFS(Allocation!$I$2:$I$175,Allocation!$C$2:$C$175,A93,Allocation!$D$2:$D$175,B93)</f>
        <v/>
      </c>
      <c r="M93">
        <f>SUMIFS(Allocation!$J$2:$J$175,Allocation!$C$2:$C$175,A93,Allocation!$D$2:$D$175,B93)</f>
        <v/>
      </c>
      <c r="N93">
        <f>SUMIFS(Allocation!$K$2:$K$175,Allocation!$C$2:$C$175,A93,Allocation!$D$2:$D$175,B93)</f>
        <v/>
      </c>
      <c r="O93">
        <f>SUMIFS($K$2:$K$175,$A$2:$A$175,A93,$B$2:$B$175,B93)</f>
        <v/>
      </c>
      <c r="P93">
        <f>SUMIFS($J$2:$J$175,$A$2:$A$175,A93,$B$2:$B$175,B93)</f>
        <v/>
      </c>
      <c r="Q93">
        <f>SUMIFS(Allocation!$I$2:$I$175,Allocation!$C$2:$C$175,A93,Allocation!$E$2:$E$175,C93)</f>
        <v/>
      </c>
      <c r="R93">
        <f>SUMIFS(Allocation!$J$2:$J$175,Allocation!$C$2:$C$175,A93,Allocation!$E$2:$E$175,C93)</f>
        <v/>
      </c>
      <c r="S93">
        <f>SUMIFS(Allocation!$K$2:$K$175,Allocation!$C$2:$C$175,A93,Allocation!$E$2:$E$175,C93)</f>
        <v/>
      </c>
      <c r="T93">
        <f>SUMIFS(Allocation!$I$2:$I$175,Allocation!$C$2:$C$175,A93)</f>
        <v/>
      </c>
      <c r="U93">
        <f>SUMIFS(Allocation!$J$2:$J$175,Allocation!$C$2:$C$175,A93)</f>
        <v/>
      </c>
      <c r="V93">
        <f>SUMIFS(Allocation!$K$2:$K$175,Allocation!$C$2:$C$175,A93)</f>
        <v/>
      </c>
      <c r="W93">
        <f>SUMIFS(Compta!$F$2:$F$675,Compta!$A$2:$A$675,B93,Compta!$B$2:$B$675,"621",Compta!$C$2:$C$675,A93)</f>
        <v/>
      </c>
      <c r="X93">
        <f>SUMIFS(Compta!$F$2:$F$675,Compta!$A$2:$A$675,B93,Compta!$B$2:$B$675,"6411",Compta!$C$2:$C$675,A93)</f>
        <v/>
      </c>
      <c r="Y93">
        <f>SUMIFS(Compta!$F$2:$F$675,Compta!$A$2:$A$675,B93,Compta!$B$2:$B$675,"604",Compta!$C$2:$C$675,A93)+SUMIFS(Compta!$F$2:$F$675,Compta!$A$2:$A$675,B93,Compta!$B$2:$B$675,"6063",Compta!$C$2:$C$675,A93)</f>
        <v/>
      </c>
      <c r="Z93">
        <f>SUMIFS(Compta!$F$2:$F$675,Compta!$A$2:$A$675,B93,Compta!$B$2:$B$675,"6231",Compta!$C$2:$C$675,A93)</f>
        <v/>
      </c>
      <c r="AA93">
        <f>SUMIFS(Compta!$F$2:$F$675,Compta!$A$2:$A$675,B93,Compta!$B$2:$B$675,"6413",Compta!$C$2:$C$675,A93)+SUMIFS(Compta!$F$2:$F$675,Compta!$A$2:$A$675,B93,Compta!$B$2:$B$675,"645",Compta!$C$2:$C$675,A93)+SUMIFS(Compta!$F$2:$F$675,Compta!$A$2:$A$675,B93,Compta!$B$2:$B$675,"613",Compta!$C$2:$C$675,A93)+SUMIFS(Compta!$F$2:$F$675,Compta!$A$2:$A$675,B93,Compta!$B$2:$B$675,"615",Compta!$C$2:$C$675,A93)+SUMIFS(Compta!$F$2:$F$675,Compta!$A$2:$A$675,B93,Compta!$B$2:$B$675,"616",Compta!$C$2:$C$675,A93)+SUMIFS(Compta!$F$2:$F$675,Compta!$A$2:$A$675,B93,Compta!$B$2:$B$675,"625",Compta!$C$2:$C$675,A93)+SUMIFS(Compta!$F$2:$F$675,Compta!$A$2:$A$675,B93,Compta!$B$2:$B$675,"63511",Compta!$C$2:$C$675,A93)</f>
        <v/>
      </c>
      <c r="AB93">
        <f>SUMIFS(Compta!$F$2:$F$675,Compta!$A$2:$A$675,"GRP",Compta!$B$2:$B$675,"6414",Compta!$C$2:$C$675,A93)+SUMIFS(Compta!$F$2:$F$675,Compta!$A$2:$A$675,"GRP",Compta!$B$2:$B$675,"6226",Compta!$C$2:$C$675,A93)+SUMIFS(Compta!$F$2:$F$675,Compta!$A$2:$A$675,"GRP",Compta!$B$2:$B$675,"6236",Compta!$C$2:$C$675,A93)+SUMIFS(Compta!$F$2:$F$675,Compta!$A$2:$A$675,"GRP",Compta!$B$2:$B$675,"626",Compta!$C$2:$C$675,A93)+SUMIFS(Compta!$F$2:$F$675,Compta!$A$2:$A$675,"GRP",Compta!$B$2:$B$675,"6281",Compta!$C$2:$C$675,A93)+SUMIFS(Compta!$F$2:$F$675,Compta!$A$2:$A$675,"GRP",Compta!$B$2:$B$675,"6331",Compta!$C$2:$C$675,A93)+SUMIFS(Compta!$F$2:$F$675,Compta!$A$2:$A$675,"GRP",Compta!$B$2:$B$675,"6333",Compta!$C$2:$C$675,A93)</f>
        <v/>
      </c>
      <c r="AC93">
        <f>IF(Pilotage!$E$10="Chiffre d'affaires",I93,IF(Pilotage!$E$10="Effectif",G93,H93))</f>
        <v/>
      </c>
      <c r="AD93">
        <f>IF(Pilotage!$E$10="Chiffre d'affaires",N93,IF(Pilotage!$E$10="Effectif",L93,M93))</f>
        <v/>
      </c>
      <c r="AE93">
        <f>IF(Pilotage!$E$8="Chiffre d'affaires",N93,IF(Pilotage!$E$8="Effectif",L93,M93))</f>
        <v/>
      </c>
      <c r="AF93">
        <f>IF(Pilotage!$E$8="Chiffre d'affaires",S93,IF(Pilotage!$E$8="Effectif",Q93,R93))</f>
        <v/>
      </c>
      <c r="AG93">
        <f>IF(Pilotage!$E$9="Chiffre d'affaires",S93,IF(Pilotage!$E$9="Effectif",Q93,R93))</f>
        <v/>
      </c>
      <c r="AH93">
        <f>IF(Pilotage!$E$9="Chiffre d'affaires",V93,IF(Pilotage!$E$9="Effectif",T93,U93))</f>
        <v/>
      </c>
      <c r="AI93">
        <f>W93*IFERROR(K93/O93,0)</f>
        <v/>
      </c>
      <c r="AJ93">
        <f>X93*IFERROR(K93/O93,0)</f>
        <v/>
      </c>
      <c r="AK93">
        <f>Y93*IFERROR(G93/L93,0)+Z93*IFERROR(J93/P93,0)</f>
        <v/>
      </c>
      <c r="AL93">
        <f>AA93*IFERROR(AC93/AD93,0)</f>
        <v/>
      </c>
      <c r="AM93">
        <f>AB93*IFERROR(AG93/AH93,0)*IFERROR(AE93/AF93,0)*IFERROR(AC93/AD93,0)</f>
        <v/>
      </c>
      <c r="AN93">
        <f>I93-(AI93+AJ93+AK93+AL93+AM93)</f>
        <v/>
      </c>
    </row>
    <row r="94">
      <c r="A94">
        <f>Allocation!C94</f>
        <v/>
      </c>
      <c r="B94">
        <f>Allocation!D94</f>
        <v/>
      </c>
      <c r="C94">
        <f>Allocation!E94</f>
        <v/>
      </c>
      <c r="D94">
        <f>Allocation!F94</f>
        <v/>
      </c>
      <c r="E94">
        <f>Allocation!G94</f>
        <v/>
      </c>
      <c r="F94">
        <f>Allocation!H94</f>
        <v/>
      </c>
      <c r="G94">
        <f>Allocation!I94</f>
        <v/>
      </c>
      <c r="H94">
        <f>Allocation!J94</f>
        <v/>
      </c>
      <c r="I94">
        <f>Allocation!K94</f>
        <v/>
      </c>
      <c r="J94">
        <f>SUMIFS(Socle!$K$2:$K$175,Socle!$C$2:$C$175,B94,Socle!$D$2:$D$175,D94,Socle!$E$2:$E$175,E94,Socle!$F$2:$F$175,F94,Socle!$G$2:$G$175,A94)</f>
        <v/>
      </c>
      <c r="K94">
        <f>H94*IF(AND(LEFT(D94,3)="BAC",F94="INIT"),600,IF(LEFT(D94,3)="BAC",480,IF(AND(LEFT(D94,3)="MAS",F94="INIT"),520,IF(LEFT(D94,3)="MAS",420,IF(F94="INIT",1000,700)))))</f>
        <v/>
      </c>
      <c r="L94">
        <f>SUMIFS(Allocation!$I$2:$I$175,Allocation!$C$2:$C$175,A94,Allocation!$D$2:$D$175,B94)</f>
        <v/>
      </c>
      <c r="M94">
        <f>SUMIFS(Allocation!$J$2:$J$175,Allocation!$C$2:$C$175,A94,Allocation!$D$2:$D$175,B94)</f>
        <v/>
      </c>
      <c r="N94">
        <f>SUMIFS(Allocation!$K$2:$K$175,Allocation!$C$2:$C$175,A94,Allocation!$D$2:$D$175,B94)</f>
        <v/>
      </c>
      <c r="O94">
        <f>SUMIFS($K$2:$K$175,$A$2:$A$175,A94,$B$2:$B$175,B94)</f>
        <v/>
      </c>
      <c r="P94">
        <f>SUMIFS($J$2:$J$175,$A$2:$A$175,A94,$B$2:$B$175,B94)</f>
        <v/>
      </c>
      <c r="Q94">
        <f>SUMIFS(Allocation!$I$2:$I$175,Allocation!$C$2:$C$175,A94,Allocation!$E$2:$E$175,C94)</f>
        <v/>
      </c>
      <c r="R94">
        <f>SUMIFS(Allocation!$J$2:$J$175,Allocation!$C$2:$C$175,A94,Allocation!$E$2:$E$175,C94)</f>
        <v/>
      </c>
      <c r="S94">
        <f>SUMIFS(Allocation!$K$2:$K$175,Allocation!$C$2:$C$175,A94,Allocation!$E$2:$E$175,C94)</f>
        <v/>
      </c>
      <c r="T94">
        <f>SUMIFS(Allocation!$I$2:$I$175,Allocation!$C$2:$C$175,A94)</f>
        <v/>
      </c>
      <c r="U94">
        <f>SUMIFS(Allocation!$J$2:$J$175,Allocation!$C$2:$C$175,A94)</f>
        <v/>
      </c>
      <c r="V94">
        <f>SUMIFS(Allocation!$K$2:$K$175,Allocation!$C$2:$C$175,A94)</f>
        <v/>
      </c>
      <c r="W94">
        <f>SUMIFS(Compta!$F$2:$F$675,Compta!$A$2:$A$675,B94,Compta!$B$2:$B$675,"621",Compta!$C$2:$C$675,A94)</f>
        <v/>
      </c>
      <c r="X94">
        <f>SUMIFS(Compta!$F$2:$F$675,Compta!$A$2:$A$675,B94,Compta!$B$2:$B$675,"6411",Compta!$C$2:$C$675,A94)</f>
        <v/>
      </c>
      <c r="Y94">
        <f>SUMIFS(Compta!$F$2:$F$675,Compta!$A$2:$A$675,B94,Compta!$B$2:$B$675,"604",Compta!$C$2:$C$675,A94)+SUMIFS(Compta!$F$2:$F$675,Compta!$A$2:$A$675,B94,Compta!$B$2:$B$675,"6063",Compta!$C$2:$C$675,A94)</f>
        <v/>
      </c>
      <c r="Z94">
        <f>SUMIFS(Compta!$F$2:$F$675,Compta!$A$2:$A$675,B94,Compta!$B$2:$B$675,"6231",Compta!$C$2:$C$675,A94)</f>
        <v/>
      </c>
      <c r="AA94">
        <f>SUMIFS(Compta!$F$2:$F$675,Compta!$A$2:$A$675,B94,Compta!$B$2:$B$675,"6413",Compta!$C$2:$C$675,A94)+SUMIFS(Compta!$F$2:$F$675,Compta!$A$2:$A$675,B94,Compta!$B$2:$B$675,"645",Compta!$C$2:$C$675,A94)+SUMIFS(Compta!$F$2:$F$675,Compta!$A$2:$A$675,B94,Compta!$B$2:$B$675,"613",Compta!$C$2:$C$675,A94)+SUMIFS(Compta!$F$2:$F$675,Compta!$A$2:$A$675,B94,Compta!$B$2:$B$675,"615",Compta!$C$2:$C$675,A94)+SUMIFS(Compta!$F$2:$F$675,Compta!$A$2:$A$675,B94,Compta!$B$2:$B$675,"616",Compta!$C$2:$C$675,A94)+SUMIFS(Compta!$F$2:$F$675,Compta!$A$2:$A$675,B94,Compta!$B$2:$B$675,"625",Compta!$C$2:$C$675,A94)+SUMIFS(Compta!$F$2:$F$675,Compta!$A$2:$A$675,B94,Compta!$B$2:$B$675,"63511",Compta!$C$2:$C$675,A94)</f>
        <v/>
      </c>
      <c r="AB94">
        <f>SUMIFS(Compta!$F$2:$F$675,Compta!$A$2:$A$675,"GRP",Compta!$B$2:$B$675,"6414",Compta!$C$2:$C$675,A94)+SUMIFS(Compta!$F$2:$F$675,Compta!$A$2:$A$675,"GRP",Compta!$B$2:$B$675,"6226",Compta!$C$2:$C$675,A94)+SUMIFS(Compta!$F$2:$F$675,Compta!$A$2:$A$675,"GRP",Compta!$B$2:$B$675,"6236",Compta!$C$2:$C$675,A94)+SUMIFS(Compta!$F$2:$F$675,Compta!$A$2:$A$675,"GRP",Compta!$B$2:$B$675,"626",Compta!$C$2:$C$675,A94)+SUMIFS(Compta!$F$2:$F$675,Compta!$A$2:$A$675,"GRP",Compta!$B$2:$B$675,"6281",Compta!$C$2:$C$675,A94)+SUMIFS(Compta!$F$2:$F$675,Compta!$A$2:$A$675,"GRP",Compta!$B$2:$B$675,"6331",Compta!$C$2:$C$675,A94)+SUMIFS(Compta!$F$2:$F$675,Compta!$A$2:$A$675,"GRP",Compta!$B$2:$B$675,"6333",Compta!$C$2:$C$675,A94)</f>
        <v/>
      </c>
      <c r="AC94">
        <f>IF(Pilotage!$E$10="Chiffre d'affaires",I94,IF(Pilotage!$E$10="Effectif",G94,H94))</f>
        <v/>
      </c>
      <c r="AD94">
        <f>IF(Pilotage!$E$10="Chiffre d'affaires",N94,IF(Pilotage!$E$10="Effectif",L94,M94))</f>
        <v/>
      </c>
      <c r="AE94">
        <f>IF(Pilotage!$E$8="Chiffre d'affaires",N94,IF(Pilotage!$E$8="Effectif",L94,M94))</f>
        <v/>
      </c>
      <c r="AF94">
        <f>IF(Pilotage!$E$8="Chiffre d'affaires",S94,IF(Pilotage!$E$8="Effectif",Q94,R94))</f>
        <v/>
      </c>
      <c r="AG94">
        <f>IF(Pilotage!$E$9="Chiffre d'affaires",S94,IF(Pilotage!$E$9="Effectif",Q94,R94))</f>
        <v/>
      </c>
      <c r="AH94">
        <f>IF(Pilotage!$E$9="Chiffre d'affaires",V94,IF(Pilotage!$E$9="Effectif",T94,U94))</f>
        <v/>
      </c>
      <c r="AI94">
        <f>W94*IFERROR(K94/O94,0)</f>
        <v/>
      </c>
      <c r="AJ94">
        <f>X94*IFERROR(K94/O94,0)</f>
        <v/>
      </c>
      <c r="AK94">
        <f>Y94*IFERROR(G94/L94,0)+Z94*IFERROR(J94/P94,0)</f>
        <v/>
      </c>
      <c r="AL94">
        <f>AA94*IFERROR(AC94/AD94,0)</f>
        <v/>
      </c>
      <c r="AM94">
        <f>AB94*IFERROR(AG94/AH94,0)*IFERROR(AE94/AF94,0)*IFERROR(AC94/AD94,0)</f>
        <v/>
      </c>
      <c r="AN94">
        <f>I94-(AI94+AJ94+AK94+AL94+AM94)</f>
        <v/>
      </c>
    </row>
    <row r="95">
      <c r="A95">
        <f>Allocation!C95</f>
        <v/>
      </c>
      <c r="B95">
        <f>Allocation!D95</f>
        <v/>
      </c>
      <c r="C95">
        <f>Allocation!E95</f>
        <v/>
      </c>
      <c r="D95">
        <f>Allocation!F95</f>
        <v/>
      </c>
      <c r="E95">
        <f>Allocation!G95</f>
        <v/>
      </c>
      <c r="F95">
        <f>Allocation!H95</f>
        <v/>
      </c>
      <c r="G95">
        <f>Allocation!I95</f>
        <v/>
      </c>
      <c r="H95">
        <f>Allocation!J95</f>
        <v/>
      </c>
      <c r="I95">
        <f>Allocation!K95</f>
        <v/>
      </c>
      <c r="J95">
        <f>SUMIFS(Socle!$K$2:$K$175,Socle!$C$2:$C$175,B95,Socle!$D$2:$D$175,D95,Socle!$E$2:$E$175,E95,Socle!$F$2:$F$175,F95,Socle!$G$2:$G$175,A95)</f>
        <v/>
      </c>
      <c r="K95">
        <f>H95*IF(AND(LEFT(D95,3)="BAC",F95="INIT"),600,IF(LEFT(D95,3)="BAC",480,IF(AND(LEFT(D95,3)="MAS",F95="INIT"),520,IF(LEFT(D95,3)="MAS",420,IF(F95="INIT",1000,700)))))</f>
        <v/>
      </c>
      <c r="L95">
        <f>SUMIFS(Allocation!$I$2:$I$175,Allocation!$C$2:$C$175,A95,Allocation!$D$2:$D$175,B95)</f>
        <v/>
      </c>
      <c r="M95">
        <f>SUMIFS(Allocation!$J$2:$J$175,Allocation!$C$2:$C$175,A95,Allocation!$D$2:$D$175,B95)</f>
        <v/>
      </c>
      <c r="N95">
        <f>SUMIFS(Allocation!$K$2:$K$175,Allocation!$C$2:$C$175,A95,Allocation!$D$2:$D$175,B95)</f>
        <v/>
      </c>
      <c r="O95">
        <f>SUMIFS($K$2:$K$175,$A$2:$A$175,A95,$B$2:$B$175,B95)</f>
        <v/>
      </c>
      <c r="P95">
        <f>SUMIFS($J$2:$J$175,$A$2:$A$175,A95,$B$2:$B$175,B95)</f>
        <v/>
      </c>
      <c r="Q95">
        <f>SUMIFS(Allocation!$I$2:$I$175,Allocation!$C$2:$C$175,A95,Allocation!$E$2:$E$175,C95)</f>
        <v/>
      </c>
      <c r="R95">
        <f>SUMIFS(Allocation!$J$2:$J$175,Allocation!$C$2:$C$175,A95,Allocation!$E$2:$E$175,C95)</f>
        <v/>
      </c>
      <c r="S95">
        <f>SUMIFS(Allocation!$K$2:$K$175,Allocation!$C$2:$C$175,A95,Allocation!$E$2:$E$175,C95)</f>
        <v/>
      </c>
      <c r="T95">
        <f>SUMIFS(Allocation!$I$2:$I$175,Allocation!$C$2:$C$175,A95)</f>
        <v/>
      </c>
      <c r="U95">
        <f>SUMIFS(Allocation!$J$2:$J$175,Allocation!$C$2:$C$175,A95)</f>
        <v/>
      </c>
      <c r="V95">
        <f>SUMIFS(Allocation!$K$2:$K$175,Allocation!$C$2:$C$175,A95)</f>
        <v/>
      </c>
      <c r="W95">
        <f>SUMIFS(Compta!$F$2:$F$675,Compta!$A$2:$A$675,B95,Compta!$B$2:$B$675,"621",Compta!$C$2:$C$675,A95)</f>
        <v/>
      </c>
      <c r="X95">
        <f>SUMIFS(Compta!$F$2:$F$675,Compta!$A$2:$A$675,B95,Compta!$B$2:$B$675,"6411",Compta!$C$2:$C$675,A95)</f>
        <v/>
      </c>
      <c r="Y95">
        <f>SUMIFS(Compta!$F$2:$F$675,Compta!$A$2:$A$675,B95,Compta!$B$2:$B$675,"604",Compta!$C$2:$C$675,A95)+SUMIFS(Compta!$F$2:$F$675,Compta!$A$2:$A$675,B95,Compta!$B$2:$B$675,"6063",Compta!$C$2:$C$675,A95)</f>
        <v/>
      </c>
      <c r="Z95">
        <f>SUMIFS(Compta!$F$2:$F$675,Compta!$A$2:$A$675,B95,Compta!$B$2:$B$675,"6231",Compta!$C$2:$C$675,A95)</f>
        <v/>
      </c>
      <c r="AA95">
        <f>SUMIFS(Compta!$F$2:$F$675,Compta!$A$2:$A$675,B95,Compta!$B$2:$B$675,"6413",Compta!$C$2:$C$675,A95)+SUMIFS(Compta!$F$2:$F$675,Compta!$A$2:$A$675,B95,Compta!$B$2:$B$675,"645",Compta!$C$2:$C$675,A95)+SUMIFS(Compta!$F$2:$F$675,Compta!$A$2:$A$675,B95,Compta!$B$2:$B$675,"613",Compta!$C$2:$C$675,A95)+SUMIFS(Compta!$F$2:$F$675,Compta!$A$2:$A$675,B95,Compta!$B$2:$B$675,"615",Compta!$C$2:$C$675,A95)+SUMIFS(Compta!$F$2:$F$675,Compta!$A$2:$A$675,B95,Compta!$B$2:$B$675,"616",Compta!$C$2:$C$675,A95)+SUMIFS(Compta!$F$2:$F$675,Compta!$A$2:$A$675,B95,Compta!$B$2:$B$675,"625",Compta!$C$2:$C$675,A95)+SUMIFS(Compta!$F$2:$F$675,Compta!$A$2:$A$675,B95,Compta!$B$2:$B$675,"63511",Compta!$C$2:$C$675,A95)</f>
        <v/>
      </c>
      <c r="AB95">
        <f>SUMIFS(Compta!$F$2:$F$675,Compta!$A$2:$A$675,"GRP",Compta!$B$2:$B$675,"6414",Compta!$C$2:$C$675,A95)+SUMIFS(Compta!$F$2:$F$675,Compta!$A$2:$A$675,"GRP",Compta!$B$2:$B$675,"6226",Compta!$C$2:$C$675,A95)+SUMIFS(Compta!$F$2:$F$675,Compta!$A$2:$A$675,"GRP",Compta!$B$2:$B$675,"6236",Compta!$C$2:$C$675,A95)+SUMIFS(Compta!$F$2:$F$675,Compta!$A$2:$A$675,"GRP",Compta!$B$2:$B$675,"626",Compta!$C$2:$C$675,A95)+SUMIFS(Compta!$F$2:$F$675,Compta!$A$2:$A$675,"GRP",Compta!$B$2:$B$675,"6281",Compta!$C$2:$C$675,A95)+SUMIFS(Compta!$F$2:$F$675,Compta!$A$2:$A$675,"GRP",Compta!$B$2:$B$675,"6331",Compta!$C$2:$C$675,A95)+SUMIFS(Compta!$F$2:$F$675,Compta!$A$2:$A$675,"GRP",Compta!$B$2:$B$675,"6333",Compta!$C$2:$C$675,A95)</f>
        <v/>
      </c>
      <c r="AC95">
        <f>IF(Pilotage!$E$10="Chiffre d'affaires",I95,IF(Pilotage!$E$10="Effectif",G95,H95))</f>
        <v/>
      </c>
      <c r="AD95">
        <f>IF(Pilotage!$E$10="Chiffre d'affaires",N95,IF(Pilotage!$E$10="Effectif",L95,M95))</f>
        <v/>
      </c>
      <c r="AE95">
        <f>IF(Pilotage!$E$8="Chiffre d'affaires",N95,IF(Pilotage!$E$8="Effectif",L95,M95))</f>
        <v/>
      </c>
      <c r="AF95">
        <f>IF(Pilotage!$E$8="Chiffre d'affaires",S95,IF(Pilotage!$E$8="Effectif",Q95,R95))</f>
        <v/>
      </c>
      <c r="AG95">
        <f>IF(Pilotage!$E$9="Chiffre d'affaires",S95,IF(Pilotage!$E$9="Effectif",Q95,R95))</f>
        <v/>
      </c>
      <c r="AH95">
        <f>IF(Pilotage!$E$9="Chiffre d'affaires",V95,IF(Pilotage!$E$9="Effectif",T95,U95))</f>
        <v/>
      </c>
      <c r="AI95">
        <f>W95*IFERROR(K95/O95,0)</f>
        <v/>
      </c>
      <c r="AJ95">
        <f>X95*IFERROR(K95/O95,0)</f>
        <v/>
      </c>
      <c r="AK95">
        <f>Y95*IFERROR(G95/L95,0)+Z95*IFERROR(J95/P95,0)</f>
        <v/>
      </c>
      <c r="AL95">
        <f>AA95*IFERROR(AC95/AD95,0)</f>
        <v/>
      </c>
      <c r="AM95">
        <f>AB95*IFERROR(AG95/AH95,0)*IFERROR(AE95/AF95,0)*IFERROR(AC95/AD95,0)</f>
        <v/>
      </c>
      <c r="AN95">
        <f>I95-(AI95+AJ95+AK95+AL95+AM95)</f>
        <v/>
      </c>
    </row>
    <row r="96">
      <c r="A96">
        <f>Allocation!C96</f>
        <v/>
      </c>
      <c r="B96">
        <f>Allocation!D96</f>
        <v/>
      </c>
      <c r="C96">
        <f>Allocation!E96</f>
        <v/>
      </c>
      <c r="D96">
        <f>Allocation!F96</f>
        <v/>
      </c>
      <c r="E96">
        <f>Allocation!G96</f>
        <v/>
      </c>
      <c r="F96">
        <f>Allocation!H96</f>
        <v/>
      </c>
      <c r="G96">
        <f>Allocation!I96</f>
        <v/>
      </c>
      <c r="H96">
        <f>Allocation!J96</f>
        <v/>
      </c>
      <c r="I96">
        <f>Allocation!K96</f>
        <v/>
      </c>
      <c r="J96">
        <f>SUMIFS(Socle!$K$2:$K$175,Socle!$C$2:$C$175,B96,Socle!$D$2:$D$175,D96,Socle!$E$2:$E$175,E96,Socle!$F$2:$F$175,F96,Socle!$G$2:$G$175,A96)</f>
        <v/>
      </c>
      <c r="K96">
        <f>H96*IF(AND(LEFT(D96,3)="BAC",F96="INIT"),600,IF(LEFT(D96,3)="BAC",480,IF(AND(LEFT(D96,3)="MAS",F96="INIT"),520,IF(LEFT(D96,3)="MAS",420,IF(F96="INIT",1000,700)))))</f>
        <v/>
      </c>
      <c r="L96">
        <f>SUMIFS(Allocation!$I$2:$I$175,Allocation!$C$2:$C$175,A96,Allocation!$D$2:$D$175,B96)</f>
        <v/>
      </c>
      <c r="M96">
        <f>SUMIFS(Allocation!$J$2:$J$175,Allocation!$C$2:$C$175,A96,Allocation!$D$2:$D$175,B96)</f>
        <v/>
      </c>
      <c r="N96">
        <f>SUMIFS(Allocation!$K$2:$K$175,Allocation!$C$2:$C$175,A96,Allocation!$D$2:$D$175,B96)</f>
        <v/>
      </c>
      <c r="O96">
        <f>SUMIFS($K$2:$K$175,$A$2:$A$175,A96,$B$2:$B$175,B96)</f>
        <v/>
      </c>
      <c r="P96">
        <f>SUMIFS($J$2:$J$175,$A$2:$A$175,A96,$B$2:$B$175,B96)</f>
        <v/>
      </c>
      <c r="Q96">
        <f>SUMIFS(Allocation!$I$2:$I$175,Allocation!$C$2:$C$175,A96,Allocation!$E$2:$E$175,C96)</f>
        <v/>
      </c>
      <c r="R96">
        <f>SUMIFS(Allocation!$J$2:$J$175,Allocation!$C$2:$C$175,A96,Allocation!$E$2:$E$175,C96)</f>
        <v/>
      </c>
      <c r="S96">
        <f>SUMIFS(Allocation!$K$2:$K$175,Allocation!$C$2:$C$175,A96,Allocation!$E$2:$E$175,C96)</f>
        <v/>
      </c>
      <c r="T96">
        <f>SUMIFS(Allocation!$I$2:$I$175,Allocation!$C$2:$C$175,A96)</f>
        <v/>
      </c>
      <c r="U96">
        <f>SUMIFS(Allocation!$J$2:$J$175,Allocation!$C$2:$C$175,A96)</f>
        <v/>
      </c>
      <c r="V96">
        <f>SUMIFS(Allocation!$K$2:$K$175,Allocation!$C$2:$C$175,A96)</f>
        <v/>
      </c>
      <c r="W96">
        <f>SUMIFS(Compta!$F$2:$F$675,Compta!$A$2:$A$675,B96,Compta!$B$2:$B$675,"621",Compta!$C$2:$C$675,A96)</f>
        <v/>
      </c>
      <c r="X96">
        <f>SUMIFS(Compta!$F$2:$F$675,Compta!$A$2:$A$675,B96,Compta!$B$2:$B$675,"6411",Compta!$C$2:$C$675,A96)</f>
        <v/>
      </c>
      <c r="Y96">
        <f>SUMIFS(Compta!$F$2:$F$675,Compta!$A$2:$A$675,B96,Compta!$B$2:$B$675,"604",Compta!$C$2:$C$675,A96)+SUMIFS(Compta!$F$2:$F$675,Compta!$A$2:$A$675,B96,Compta!$B$2:$B$675,"6063",Compta!$C$2:$C$675,A96)</f>
        <v/>
      </c>
      <c r="Z96">
        <f>SUMIFS(Compta!$F$2:$F$675,Compta!$A$2:$A$675,B96,Compta!$B$2:$B$675,"6231",Compta!$C$2:$C$675,A96)</f>
        <v/>
      </c>
      <c r="AA96">
        <f>SUMIFS(Compta!$F$2:$F$675,Compta!$A$2:$A$675,B96,Compta!$B$2:$B$675,"6413",Compta!$C$2:$C$675,A96)+SUMIFS(Compta!$F$2:$F$675,Compta!$A$2:$A$675,B96,Compta!$B$2:$B$675,"645",Compta!$C$2:$C$675,A96)+SUMIFS(Compta!$F$2:$F$675,Compta!$A$2:$A$675,B96,Compta!$B$2:$B$675,"613",Compta!$C$2:$C$675,A96)+SUMIFS(Compta!$F$2:$F$675,Compta!$A$2:$A$675,B96,Compta!$B$2:$B$675,"615",Compta!$C$2:$C$675,A96)+SUMIFS(Compta!$F$2:$F$675,Compta!$A$2:$A$675,B96,Compta!$B$2:$B$675,"616",Compta!$C$2:$C$675,A96)+SUMIFS(Compta!$F$2:$F$675,Compta!$A$2:$A$675,B96,Compta!$B$2:$B$675,"625",Compta!$C$2:$C$675,A96)+SUMIFS(Compta!$F$2:$F$675,Compta!$A$2:$A$675,B96,Compta!$B$2:$B$675,"63511",Compta!$C$2:$C$675,A96)</f>
        <v/>
      </c>
      <c r="AB96">
        <f>SUMIFS(Compta!$F$2:$F$675,Compta!$A$2:$A$675,"GRP",Compta!$B$2:$B$675,"6414",Compta!$C$2:$C$675,A96)+SUMIFS(Compta!$F$2:$F$675,Compta!$A$2:$A$675,"GRP",Compta!$B$2:$B$675,"6226",Compta!$C$2:$C$675,A96)+SUMIFS(Compta!$F$2:$F$675,Compta!$A$2:$A$675,"GRP",Compta!$B$2:$B$675,"6236",Compta!$C$2:$C$675,A96)+SUMIFS(Compta!$F$2:$F$675,Compta!$A$2:$A$675,"GRP",Compta!$B$2:$B$675,"626",Compta!$C$2:$C$675,A96)+SUMIFS(Compta!$F$2:$F$675,Compta!$A$2:$A$675,"GRP",Compta!$B$2:$B$675,"6281",Compta!$C$2:$C$675,A96)+SUMIFS(Compta!$F$2:$F$675,Compta!$A$2:$A$675,"GRP",Compta!$B$2:$B$675,"6331",Compta!$C$2:$C$675,A96)+SUMIFS(Compta!$F$2:$F$675,Compta!$A$2:$A$675,"GRP",Compta!$B$2:$B$675,"6333",Compta!$C$2:$C$675,A96)</f>
        <v/>
      </c>
      <c r="AC96">
        <f>IF(Pilotage!$E$10="Chiffre d'affaires",I96,IF(Pilotage!$E$10="Effectif",G96,H96))</f>
        <v/>
      </c>
      <c r="AD96">
        <f>IF(Pilotage!$E$10="Chiffre d'affaires",N96,IF(Pilotage!$E$10="Effectif",L96,M96))</f>
        <v/>
      </c>
      <c r="AE96">
        <f>IF(Pilotage!$E$8="Chiffre d'affaires",N96,IF(Pilotage!$E$8="Effectif",L96,M96))</f>
        <v/>
      </c>
      <c r="AF96">
        <f>IF(Pilotage!$E$8="Chiffre d'affaires",S96,IF(Pilotage!$E$8="Effectif",Q96,R96))</f>
        <v/>
      </c>
      <c r="AG96">
        <f>IF(Pilotage!$E$9="Chiffre d'affaires",S96,IF(Pilotage!$E$9="Effectif",Q96,R96))</f>
        <v/>
      </c>
      <c r="AH96">
        <f>IF(Pilotage!$E$9="Chiffre d'affaires",V96,IF(Pilotage!$E$9="Effectif",T96,U96))</f>
        <v/>
      </c>
      <c r="AI96">
        <f>W96*IFERROR(K96/O96,0)</f>
        <v/>
      </c>
      <c r="AJ96">
        <f>X96*IFERROR(K96/O96,0)</f>
        <v/>
      </c>
      <c r="AK96">
        <f>Y96*IFERROR(G96/L96,0)+Z96*IFERROR(J96/P96,0)</f>
        <v/>
      </c>
      <c r="AL96">
        <f>AA96*IFERROR(AC96/AD96,0)</f>
        <v/>
      </c>
      <c r="AM96">
        <f>AB96*IFERROR(AG96/AH96,0)*IFERROR(AE96/AF96,0)*IFERROR(AC96/AD96,0)</f>
        <v/>
      </c>
      <c r="AN96">
        <f>I96-(AI96+AJ96+AK96+AL96+AM96)</f>
        <v/>
      </c>
    </row>
    <row r="97">
      <c r="A97">
        <f>Allocation!C97</f>
        <v/>
      </c>
      <c r="B97">
        <f>Allocation!D97</f>
        <v/>
      </c>
      <c r="C97">
        <f>Allocation!E97</f>
        <v/>
      </c>
      <c r="D97">
        <f>Allocation!F97</f>
        <v/>
      </c>
      <c r="E97">
        <f>Allocation!G97</f>
        <v/>
      </c>
      <c r="F97">
        <f>Allocation!H97</f>
        <v/>
      </c>
      <c r="G97">
        <f>Allocation!I97</f>
        <v/>
      </c>
      <c r="H97">
        <f>Allocation!J97</f>
        <v/>
      </c>
      <c r="I97">
        <f>Allocation!K97</f>
        <v/>
      </c>
      <c r="J97">
        <f>SUMIFS(Socle!$K$2:$K$175,Socle!$C$2:$C$175,B97,Socle!$D$2:$D$175,D97,Socle!$E$2:$E$175,E97,Socle!$F$2:$F$175,F97,Socle!$G$2:$G$175,A97)</f>
        <v/>
      </c>
      <c r="K97">
        <f>H97*IF(AND(LEFT(D97,3)="BAC",F97="INIT"),600,IF(LEFT(D97,3)="BAC",480,IF(AND(LEFT(D97,3)="MAS",F97="INIT"),520,IF(LEFT(D97,3)="MAS",420,IF(F97="INIT",1000,700)))))</f>
        <v/>
      </c>
      <c r="L97">
        <f>SUMIFS(Allocation!$I$2:$I$175,Allocation!$C$2:$C$175,A97,Allocation!$D$2:$D$175,B97)</f>
        <v/>
      </c>
      <c r="M97">
        <f>SUMIFS(Allocation!$J$2:$J$175,Allocation!$C$2:$C$175,A97,Allocation!$D$2:$D$175,B97)</f>
        <v/>
      </c>
      <c r="N97">
        <f>SUMIFS(Allocation!$K$2:$K$175,Allocation!$C$2:$C$175,A97,Allocation!$D$2:$D$175,B97)</f>
        <v/>
      </c>
      <c r="O97">
        <f>SUMIFS($K$2:$K$175,$A$2:$A$175,A97,$B$2:$B$175,B97)</f>
        <v/>
      </c>
      <c r="P97">
        <f>SUMIFS($J$2:$J$175,$A$2:$A$175,A97,$B$2:$B$175,B97)</f>
        <v/>
      </c>
      <c r="Q97">
        <f>SUMIFS(Allocation!$I$2:$I$175,Allocation!$C$2:$C$175,A97,Allocation!$E$2:$E$175,C97)</f>
        <v/>
      </c>
      <c r="R97">
        <f>SUMIFS(Allocation!$J$2:$J$175,Allocation!$C$2:$C$175,A97,Allocation!$E$2:$E$175,C97)</f>
        <v/>
      </c>
      <c r="S97">
        <f>SUMIFS(Allocation!$K$2:$K$175,Allocation!$C$2:$C$175,A97,Allocation!$E$2:$E$175,C97)</f>
        <v/>
      </c>
      <c r="T97">
        <f>SUMIFS(Allocation!$I$2:$I$175,Allocation!$C$2:$C$175,A97)</f>
        <v/>
      </c>
      <c r="U97">
        <f>SUMIFS(Allocation!$J$2:$J$175,Allocation!$C$2:$C$175,A97)</f>
        <v/>
      </c>
      <c r="V97">
        <f>SUMIFS(Allocation!$K$2:$K$175,Allocation!$C$2:$C$175,A97)</f>
        <v/>
      </c>
      <c r="W97">
        <f>SUMIFS(Compta!$F$2:$F$675,Compta!$A$2:$A$675,B97,Compta!$B$2:$B$675,"621",Compta!$C$2:$C$675,A97)</f>
        <v/>
      </c>
      <c r="X97">
        <f>SUMIFS(Compta!$F$2:$F$675,Compta!$A$2:$A$675,B97,Compta!$B$2:$B$675,"6411",Compta!$C$2:$C$675,A97)</f>
        <v/>
      </c>
      <c r="Y97">
        <f>SUMIFS(Compta!$F$2:$F$675,Compta!$A$2:$A$675,B97,Compta!$B$2:$B$675,"604",Compta!$C$2:$C$675,A97)+SUMIFS(Compta!$F$2:$F$675,Compta!$A$2:$A$675,B97,Compta!$B$2:$B$675,"6063",Compta!$C$2:$C$675,A97)</f>
        <v/>
      </c>
      <c r="Z97">
        <f>SUMIFS(Compta!$F$2:$F$675,Compta!$A$2:$A$675,B97,Compta!$B$2:$B$675,"6231",Compta!$C$2:$C$675,A97)</f>
        <v/>
      </c>
      <c r="AA97">
        <f>SUMIFS(Compta!$F$2:$F$675,Compta!$A$2:$A$675,B97,Compta!$B$2:$B$675,"6413",Compta!$C$2:$C$675,A97)+SUMIFS(Compta!$F$2:$F$675,Compta!$A$2:$A$675,B97,Compta!$B$2:$B$675,"645",Compta!$C$2:$C$675,A97)+SUMIFS(Compta!$F$2:$F$675,Compta!$A$2:$A$675,B97,Compta!$B$2:$B$675,"613",Compta!$C$2:$C$675,A97)+SUMIFS(Compta!$F$2:$F$675,Compta!$A$2:$A$675,B97,Compta!$B$2:$B$675,"615",Compta!$C$2:$C$675,A97)+SUMIFS(Compta!$F$2:$F$675,Compta!$A$2:$A$675,B97,Compta!$B$2:$B$675,"616",Compta!$C$2:$C$675,A97)+SUMIFS(Compta!$F$2:$F$675,Compta!$A$2:$A$675,B97,Compta!$B$2:$B$675,"625",Compta!$C$2:$C$675,A97)+SUMIFS(Compta!$F$2:$F$675,Compta!$A$2:$A$675,B97,Compta!$B$2:$B$675,"63511",Compta!$C$2:$C$675,A97)</f>
        <v/>
      </c>
      <c r="AB97">
        <f>SUMIFS(Compta!$F$2:$F$675,Compta!$A$2:$A$675,"GRP",Compta!$B$2:$B$675,"6414",Compta!$C$2:$C$675,A97)+SUMIFS(Compta!$F$2:$F$675,Compta!$A$2:$A$675,"GRP",Compta!$B$2:$B$675,"6226",Compta!$C$2:$C$675,A97)+SUMIFS(Compta!$F$2:$F$675,Compta!$A$2:$A$675,"GRP",Compta!$B$2:$B$675,"6236",Compta!$C$2:$C$675,A97)+SUMIFS(Compta!$F$2:$F$675,Compta!$A$2:$A$675,"GRP",Compta!$B$2:$B$675,"626",Compta!$C$2:$C$675,A97)+SUMIFS(Compta!$F$2:$F$675,Compta!$A$2:$A$675,"GRP",Compta!$B$2:$B$675,"6281",Compta!$C$2:$C$675,A97)+SUMIFS(Compta!$F$2:$F$675,Compta!$A$2:$A$675,"GRP",Compta!$B$2:$B$675,"6331",Compta!$C$2:$C$675,A97)+SUMIFS(Compta!$F$2:$F$675,Compta!$A$2:$A$675,"GRP",Compta!$B$2:$B$675,"6333",Compta!$C$2:$C$675,A97)</f>
        <v/>
      </c>
      <c r="AC97">
        <f>IF(Pilotage!$E$10="Chiffre d'affaires",I97,IF(Pilotage!$E$10="Effectif",G97,H97))</f>
        <v/>
      </c>
      <c r="AD97">
        <f>IF(Pilotage!$E$10="Chiffre d'affaires",N97,IF(Pilotage!$E$10="Effectif",L97,M97))</f>
        <v/>
      </c>
      <c r="AE97">
        <f>IF(Pilotage!$E$8="Chiffre d'affaires",N97,IF(Pilotage!$E$8="Effectif",L97,M97))</f>
        <v/>
      </c>
      <c r="AF97">
        <f>IF(Pilotage!$E$8="Chiffre d'affaires",S97,IF(Pilotage!$E$8="Effectif",Q97,R97))</f>
        <v/>
      </c>
      <c r="AG97">
        <f>IF(Pilotage!$E$9="Chiffre d'affaires",S97,IF(Pilotage!$E$9="Effectif",Q97,R97))</f>
        <v/>
      </c>
      <c r="AH97">
        <f>IF(Pilotage!$E$9="Chiffre d'affaires",V97,IF(Pilotage!$E$9="Effectif",T97,U97))</f>
        <v/>
      </c>
      <c r="AI97">
        <f>W97*IFERROR(K97/O97,0)</f>
        <v/>
      </c>
      <c r="AJ97">
        <f>X97*IFERROR(K97/O97,0)</f>
        <v/>
      </c>
      <c r="AK97">
        <f>Y97*IFERROR(G97/L97,0)+Z97*IFERROR(J97/P97,0)</f>
        <v/>
      </c>
      <c r="AL97">
        <f>AA97*IFERROR(AC97/AD97,0)</f>
        <v/>
      </c>
      <c r="AM97">
        <f>AB97*IFERROR(AG97/AH97,0)*IFERROR(AE97/AF97,0)*IFERROR(AC97/AD97,0)</f>
        <v/>
      </c>
      <c r="AN97">
        <f>I97-(AI97+AJ97+AK97+AL97+AM97)</f>
        <v/>
      </c>
    </row>
    <row r="98">
      <c r="A98">
        <f>Allocation!C98</f>
        <v/>
      </c>
      <c r="B98">
        <f>Allocation!D98</f>
        <v/>
      </c>
      <c r="C98">
        <f>Allocation!E98</f>
        <v/>
      </c>
      <c r="D98">
        <f>Allocation!F98</f>
        <v/>
      </c>
      <c r="E98">
        <f>Allocation!G98</f>
        <v/>
      </c>
      <c r="F98">
        <f>Allocation!H98</f>
        <v/>
      </c>
      <c r="G98">
        <f>Allocation!I98</f>
        <v/>
      </c>
      <c r="H98">
        <f>Allocation!J98</f>
        <v/>
      </c>
      <c r="I98">
        <f>Allocation!K98</f>
        <v/>
      </c>
      <c r="J98">
        <f>SUMIFS(Socle!$K$2:$K$175,Socle!$C$2:$C$175,B98,Socle!$D$2:$D$175,D98,Socle!$E$2:$E$175,E98,Socle!$F$2:$F$175,F98,Socle!$G$2:$G$175,A98)</f>
        <v/>
      </c>
      <c r="K98">
        <f>H98*IF(AND(LEFT(D98,3)="BAC",F98="INIT"),600,IF(LEFT(D98,3)="BAC",480,IF(AND(LEFT(D98,3)="MAS",F98="INIT"),520,IF(LEFT(D98,3)="MAS",420,IF(F98="INIT",1000,700)))))</f>
        <v/>
      </c>
      <c r="L98">
        <f>SUMIFS(Allocation!$I$2:$I$175,Allocation!$C$2:$C$175,A98,Allocation!$D$2:$D$175,B98)</f>
        <v/>
      </c>
      <c r="M98">
        <f>SUMIFS(Allocation!$J$2:$J$175,Allocation!$C$2:$C$175,A98,Allocation!$D$2:$D$175,B98)</f>
        <v/>
      </c>
      <c r="N98">
        <f>SUMIFS(Allocation!$K$2:$K$175,Allocation!$C$2:$C$175,A98,Allocation!$D$2:$D$175,B98)</f>
        <v/>
      </c>
      <c r="O98">
        <f>SUMIFS($K$2:$K$175,$A$2:$A$175,A98,$B$2:$B$175,B98)</f>
        <v/>
      </c>
      <c r="P98">
        <f>SUMIFS($J$2:$J$175,$A$2:$A$175,A98,$B$2:$B$175,B98)</f>
        <v/>
      </c>
      <c r="Q98">
        <f>SUMIFS(Allocation!$I$2:$I$175,Allocation!$C$2:$C$175,A98,Allocation!$E$2:$E$175,C98)</f>
        <v/>
      </c>
      <c r="R98">
        <f>SUMIFS(Allocation!$J$2:$J$175,Allocation!$C$2:$C$175,A98,Allocation!$E$2:$E$175,C98)</f>
        <v/>
      </c>
      <c r="S98">
        <f>SUMIFS(Allocation!$K$2:$K$175,Allocation!$C$2:$C$175,A98,Allocation!$E$2:$E$175,C98)</f>
        <v/>
      </c>
      <c r="T98">
        <f>SUMIFS(Allocation!$I$2:$I$175,Allocation!$C$2:$C$175,A98)</f>
        <v/>
      </c>
      <c r="U98">
        <f>SUMIFS(Allocation!$J$2:$J$175,Allocation!$C$2:$C$175,A98)</f>
        <v/>
      </c>
      <c r="V98">
        <f>SUMIFS(Allocation!$K$2:$K$175,Allocation!$C$2:$C$175,A98)</f>
        <v/>
      </c>
      <c r="W98">
        <f>SUMIFS(Compta!$F$2:$F$675,Compta!$A$2:$A$675,B98,Compta!$B$2:$B$675,"621",Compta!$C$2:$C$675,A98)</f>
        <v/>
      </c>
      <c r="X98">
        <f>SUMIFS(Compta!$F$2:$F$675,Compta!$A$2:$A$675,B98,Compta!$B$2:$B$675,"6411",Compta!$C$2:$C$675,A98)</f>
        <v/>
      </c>
      <c r="Y98">
        <f>SUMIFS(Compta!$F$2:$F$675,Compta!$A$2:$A$675,B98,Compta!$B$2:$B$675,"604",Compta!$C$2:$C$675,A98)+SUMIFS(Compta!$F$2:$F$675,Compta!$A$2:$A$675,B98,Compta!$B$2:$B$675,"6063",Compta!$C$2:$C$675,A98)</f>
        <v/>
      </c>
      <c r="Z98">
        <f>SUMIFS(Compta!$F$2:$F$675,Compta!$A$2:$A$675,B98,Compta!$B$2:$B$675,"6231",Compta!$C$2:$C$675,A98)</f>
        <v/>
      </c>
      <c r="AA98">
        <f>SUMIFS(Compta!$F$2:$F$675,Compta!$A$2:$A$675,B98,Compta!$B$2:$B$675,"6413",Compta!$C$2:$C$675,A98)+SUMIFS(Compta!$F$2:$F$675,Compta!$A$2:$A$675,B98,Compta!$B$2:$B$675,"645",Compta!$C$2:$C$675,A98)+SUMIFS(Compta!$F$2:$F$675,Compta!$A$2:$A$675,B98,Compta!$B$2:$B$675,"613",Compta!$C$2:$C$675,A98)+SUMIFS(Compta!$F$2:$F$675,Compta!$A$2:$A$675,B98,Compta!$B$2:$B$675,"615",Compta!$C$2:$C$675,A98)+SUMIFS(Compta!$F$2:$F$675,Compta!$A$2:$A$675,B98,Compta!$B$2:$B$675,"616",Compta!$C$2:$C$675,A98)+SUMIFS(Compta!$F$2:$F$675,Compta!$A$2:$A$675,B98,Compta!$B$2:$B$675,"625",Compta!$C$2:$C$675,A98)+SUMIFS(Compta!$F$2:$F$675,Compta!$A$2:$A$675,B98,Compta!$B$2:$B$675,"63511",Compta!$C$2:$C$675,A98)</f>
        <v/>
      </c>
      <c r="AB98">
        <f>SUMIFS(Compta!$F$2:$F$675,Compta!$A$2:$A$675,"GRP",Compta!$B$2:$B$675,"6414",Compta!$C$2:$C$675,A98)+SUMIFS(Compta!$F$2:$F$675,Compta!$A$2:$A$675,"GRP",Compta!$B$2:$B$675,"6226",Compta!$C$2:$C$675,A98)+SUMIFS(Compta!$F$2:$F$675,Compta!$A$2:$A$675,"GRP",Compta!$B$2:$B$675,"6236",Compta!$C$2:$C$675,A98)+SUMIFS(Compta!$F$2:$F$675,Compta!$A$2:$A$675,"GRP",Compta!$B$2:$B$675,"626",Compta!$C$2:$C$675,A98)+SUMIFS(Compta!$F$2:$F$675,Compta!$A$2:$A$675,"GRP",Compta!$B$2:$B$675,"6281",Compta!$C$2:$C$675,A98)+SUMIFS(Compta!$F$2:$F$675,Compta!$A$2:$A$675,"GRP",Compta!$B$2:$B$675,"6331",Compta!$C$2:$C$675,A98)+SUMIFS(Compta!$F$2:$F$675,Compta!$A$2:$A$675,"GRP",Compta!$B$2:$B$675,"6333",Compta!$C$2:$C$675,A98)</f>
        <v/>
      </c>
      <c r="AC98">
        <f>IF(Pilotage!$E$10="Chiffre d'affaires",I98,IF(Pilotage!$E$10="Effectif",G98,H98))</f>
        <v/>
      </c>
      <c r="AD98">
        <f>IF(Pilotage!$E$10="Chiffre d'affaires",N98,IF(Pilotage!$E$10="Effectif",L98,M98))</f>
        <v/>
      </c>
      <c r="AE98">
        <f>IF(Pilotage!$E$8="Chiffre d'affaires",N98,IF(Pilotage!$E$8="Effectif",L98,M98))</f>
        <v/>
      </c>
      <c r="AF98">
        <f>IF(Pilotage!$E$8="Chiffre d'affaires",S98,IF(Pilotage!$E$8="Effectif",Q98,R98))</f>
        <v/>
      </c>
      <c r="AG98">
        <f>IF(Pilotage!$E$9="Chiffre d'affaires",S98,IF(Pilotage!$E$9="Effectif",Q98,R98))</f>
        <v/>
      </c>
      <c r="AH98">
        <f>IF(Pilotage!$E$9="Chiffre d'affaires",V98,IF(Pilotage!$E$9="Effectif",T98,U98))</f>
        <v/>
      </c>
      <c r="AI98">
        <f>W98*IFERROR(K98/O98,0)</f>
        <v/>
      </c>
      <c r="AJ98">
        <f>X98*IFERROR(K98/O98,0)</f>
        <v/>
      </c>
      <c r="AK98">
        <f>Y98*IFERROR(G98/L98,0)+Z98*IFERROR(J98/P98,0)</f>
        <v/>
      </c>
      <c r="AL98">
        <f>AA98*IFERROR(AC98/AD98,0)</f>
        <v/>
      </c>
      <c r="AM98">
        <f>AB98*IFERROR(AG98/AH98,0)*IFERROR(AE98/AF98,0)*IFERROR(AC98/AD98,0)</f>
        <v/>
      </c>
      <c r="AN98">
        <f>I98-(AI98+AJ98+AK98+AL98+AM98)</f>
        <v/>
      </c>
    </row>
    <row r="99">
      <c r="A99">
        <f>Allocation!C99</f>
        <v/>
      </c>
      <c r="B99">
        <f>Allocation!D99</f>
        <v/>
      </c>
      <c r="C99">
        <f>Allocation!E99</f>
        <v/>
      </c>
      <c r="D99">
        <f>Allocation!F99</f>
        <v/>
      </c>
      <c r="E99">
        <f>Allocation!G99</f>
        <v/>
      </c>
      <c r="F99">
        <f>Allocation!H99</f>
        <v/>
      </c>
      <c r="G99">
        <f>Allocation!I99</f>
        <v/>
      </c>
      <c r="H99">
        <f>Allocation!J99</f>
        <v/>
      </c>
      <c r="I99">
        <f>Allocation!K99</f>
        <v/>
      </c>
      <c r="J99">
        <f>SUMIFS(Socle!$K$2:$K$175,Socle!$C$2:$C$175,B99,Socle!$D$2:$D$175,D99,Socle!$E$2:$E$175,E99,Socle!$F$2:$F$175,F99,Socle!$G$2:$G$175,A99)</f>
        <v/>
      </c>
      <c r="K99">
        <f>H99*IF(AND(LEFT(D99,3)="BAC",F99="INIT"),600,IF(LEFT(D99,3)="BAC",480,IF(AND(LEFT(D99,3)="MAS",F99="INIT"),520,IF(LEFT(D99,3)="MAS",420,IF(F99="INIT",1000,700)))))</f>
        <v/>
      </c>
      <c r="L99">
        <f>SUMIFS(Allocation!$I$2:$I$175,Allocation!$C$2:$C$175,A99,Allocation!$D$2:$D$175,B99)</f>
        <v/>
      </c>
      <c r="M99">
        <f>SUMIFS(Allocation!$J$2:$J$175,Allocation!$C$2:$C$175,A99,Allocation!$D$2:$D$175,B99)</f>
        <v/>
      </c>
      <c r="N99">
        <f>SUMIFS(Allocation!$K$2:$K$175,Allocation!$C$2:$C$175,A99,Allocation!$D$2:$D$175,B99)</f>
        <v/>
      </c>
      <c r="O99">
        <f>SUMIFS($K$2:$K$175,$A$2:$A$175,A99,$B$2:$B$175,B99)</f>
        <v/>
      </c>
      <c r="P99">
        <f>SUMIFS($J$2:$J$175,$A$2:$A$175,A99,$B$2:$B$175,B99)</f>
        <v/>
      </c>
      <c r="Q99">
        <f>SUMIFS(Allocation!$I$2:$I$175,Allocation!$C$2:$C$175,A99,Allocation!$E$2:$E$175,C99)</f>
        <v/>
      </c>
      <c r="R99">
        <f>SUMIFS(Allocation!$J$2:$J$175,Allocation!$C$2:$C$175,A99,Allocation!$E$2:$E$175,C99)</f>
        <v/>
      </c>
      <c r="S99">
        <f>SUMIFS(Allocation!$K$2:$K$175,Allocation!$C$2:$C$175,A99,Allocation!$E$2:$E$175,C99)</f>
        <v/>
      </c>
      <c r="T99">
        <f>SUMIFS(Allocation!$I$2:$I$175,Allocation!$C$2:$C$175,A99)</f>
        <v/>
      </c>
      <c r="U99">
        <f>SUMIFS(Allocation!$J$2:$J$175,Allocation!$C$2:$C$175,A99)</f>
        <v/>
      </c>
      <c r="V99">
        <f>SUMIFS(Allocation!$K$2:$K$175,Allocation!$C$2:$C$175,A99)</f>
        <v/>
      </c>
      <c r="W99">
        <f>SUMIFS(Compta!$F$2:$F$675,Compta!$A$2:$A$675,B99,Compta!$B$2:$B$675,"621",Compta!$C$2:$C$675,A99)</f>
        <v/>
      </c>
      <c r="X99">
        <f>SUMIFS(Compta!$F$2:$F$675,Compta!$A$2:$A$675,B99,Compta!$B$2:$B$675,"6411",Compta!$C$2:$C$675,A99)</f>
        <v/>
      </c>
      <c r="Y99">
        <f>SUMIFS(Compta!$F$2:$F$675,Compta!$A$2:$A$675,B99,Compta!$B$2:$B$675,"604",Compta!$C$2:$C$675,A99)+SUMIFS(Compta!$F$2:$F$675,Compta!$A$2:$A$675,B99,Compta!$B$2:$B$675,"6063",Compta!$C$2:$C$675,A99)</f>
        <v/>
      </c>
      <c r="Z99">
        <f>SUMIFS(Compta!$F$2:$F$675,Compta!$A$2:$A$675,B99,Compta!$B$2:$B$675,"6231",Compta!$C$2:$C$675,A99)</f>
        <v/>
      </c>
      <c r="AA99">
        <f>SUMIFS(Compta!$F$2:$F$675,Compta!$A$2:$A$675,B99,Compta!$B$2:$B$675,"6413",Compta!$C$2:$C$675,A99)+SUMIFS(Compta!$F$2:$F$675,Compta!$A$2:$A$675,B99,Compta!$B$2:$B$675,"645",Compta!$C$2:$C$675,A99)+SUMIFS(Compta!$F$2:$F$675,Compta!$A$2:$A$675,B99,Compta!$B$2:$B$675,"613",Compta!$C$2:$C$675,A99)+SUMIFS(Compta!$F$2:$F$675,Compta!$A$2:$A$675,B99,Compta!$B$2:$B$675,"615",Compta!$C$2:$C$675,A99)+SUMIFS(Compta!$F$2:$F$675,Compta!$A$2:$A$675,B99,Compta!$B$2:$B$675,"616",Compta!$C$2:$C$675,A99)+SUMIFS(Compta!$F$2:$F$675,Compta!$A$2:$A$675,B99,Compta!$B$2:$B$675,"625",Compta!$C$2:$C$675,A99)+SUMIFS(Compta!$F$2:$F$675,Compta!$A$2:$A$675,B99,Compta!$B$2:$B$675,"63511",Compta!$C$2:$C$675,A99)</f>
        <v/>
      </c>
      <c r="AB99">
        <f>SUMIFS(Compta!$F$2:$F$675,Compta!$A$2:$A$675,"GRP",Compta!$B$2:$B$675,"6414",Compta!$C$2:$C$675,A99)+SUMIFS(Compta!$F$2:$F$675,Compta!$A$2:$A$675,"GRP",Compta!$B$2:$B$675,"6226",Compta!$C$2:$C$675,A99)+SUMIFS(Compta!$F$2:$F$675,Compta!$A$2:$A$675,"GRP",Compta!$B$2:$B$675,"6236",Compta!$C$2:$C$675,A99)+SUMIFS(Compta!$F$2:$F$675,Compta!$A$2:$A$675,"GRP",Compta!$B$2:$B$675,"626",Compta!$C$2:$C$675,A99)+SUMIFS(Compta!$F$2:$F$675,Compta!$A$2:$A$675,"GRP",Compta!$B$2:$B$675,"6281",Compta!$C$2:$C$675,A99)+SUMIFS(Compta!$F$2:$F$675,Compta!$A$2:$A$675,"GRP",Compta!$B$2:$B$675,"6331",Compta!$C$2:$C$675,A99)+SUMIFS(Compta!$F$2:$F$675,Compta!$A$2:$A$675,"GRP",Compta!$B$2:$B$675,"6333",Compta!$C$2:$C$675,A99)</f>
        <v/>
      </c>
      <c r="AC99">
        <f>IF(Pilotage!$E$10="Chiffre d'affaires",I99,IF(Pilotage!$E$10="Effectif",G99,H99))</f>
        <v/>
      </c>
      <c r="AD99">
        <f>IF(Pilotage!$E$10="Chiffre d'affaires",N99,IF(Pilotage!$E$10="Effectif",L99,M99))</f>
        <v/>
      </c>
      <c r="AE99">
        <f>IF(Pilotage!$E$8="Chiffre d'affaires",N99,IF(Pilotage!$E$8="Effectif",L99,M99))</f>
        <v/>
      </c>
      <c r="AF99">
        <f>IF(Pilotage!$E$8="Chiffre d'affaires",S99,IF(Pilotage!$E$8="Effectif",Q99,R99))</f>
        <v/>
      </c>
      <c r="AG99">
        <f>IF(Pilotage!$E$9="Chiffre d'affaires",S99,IF(Pilotage!$E$9="Effectif",Q99,R99))</f>
        <v/>
      </c>
      <c r="AH99">
        <f>IF(Pilotage!$E$9="Chiffre d'affaires",V99,IF(Pilotage!$E$9="Effectif",T99,U99))</f>
        <v/>
      </c>
      <c r="AI99">
        <f>W99*IFERROR(K99/O99,0)</f>
        <v/>
      </c>
      <c r="AJ99">
        <f>X99*IFERROR(K99/O99,0)</f>
        <v/>
      </c>
      <c r="AK99">
        <f>Y99*IFERROR(G99/L99,0)+Z99*IFERROR(J99/P99,0)</f>
        <v/>
      </c>
      <c r="AL99">
        <f>AA99*IFERROR(AC99/AD99,0)</f>
        <v/>
      </c>
      <c r="AM99">
        <f>AB99*IFERROR(AG99/AH99,0)*IFERROR(AE99/AF99,0)*IFERROR(AC99/AD99,0)</f>
        <v/>
      </c>
      <c r="AN99">
        <f>I99-(AI99+AJ99+AK99+AL99+AM99)</f>
        <v/>
      </c>
    </row>
    <row r="100">
      <c r="A100">
        <f>Allocation!C100</f>
        <v/>
      </c>
      <c r="B100">
        <f>Allocation!D100</f>
        <v/>
      </c>
      <c r="C100">
        <f>Allocation!E100</f>
        <v/>
      </c>
      <c r="D100">
        <f>Allocation!F100</f>
        <v/>
      </c>
      <c r="E100">
        <f>Allocation!G100</f>
        <v/>
      </c>
      <c r="F100">
        <f>Allocation!H100</f>
        <v/>
      </c>
      <c r="G100">
        <f>Allocation!I100</f>
        <v/>
      </c>
      <c r="H100">
        <f>Allocation!J100</f>
        <v/>
      </c>
      <c r="I100">
        <f>Allocation!K100</f>
        <v/>
      </c>
      <c r="J100">
        <f>SUMIFS(Socle!$K$2:$K$175,Socle!$C$2:$C$175,B100,Socle!$D$2:$D$175,D100,Socle!$E$2:$E$175,E100,Socle!$F$2:$F$175,F100,Socle!$G$2:$G$175,A100)</f>
        <v/>
      </c>
      <c r="K100">
        <f>H100*IF(AND(LEFT(D100,3)="BAC",F100="INIT"),600,IF(LEFT(D100,3)="BAC",480,IF(AND(LEFT(D100,3)="MAS",F100="INIT"),520,IF(LEFT(D100,3)="MAS",420,IF(F100="INIT",1000,700)))))</f>
        <v/>
      </c>
      <c r="L100">
        <f>SUMIFS(Allocation!$I$2:$I$175,Allocation!$C$2:$C$175,A100,Allocation!$D$2:$D$175,B100)</f>
        <v/>
      </c>
      <c r="M100">
        <f>SUMIFS(Allocation!$J$2:$J$175,Allocation!$C$2:$C$175,A100,Allocation!$D$2:$D$175,B100)</f>
        <v/>
      </c>
      <c r="N100">
        <f>SUMIFS(Allocation!$K$2:$K$175,Allocation!$C$2:$C$175,A100,Allocation!$D$2:$D$175,B100)</f>
        <v/>
      </c>
      <c r="O100">
        <f>SUMIFS($K$2:$K$175,$A$2:$A$175,A100,$B$2:$B$175,B100)</f>
        <v/>
      </c>
      <c r="P100">
        <f>SUMIFS($J$2:$J$175,$A$2:$A$175,A100,$B$2:$B$175,B100)</f>
        <v/>
      </c>
      <c r="Q100">
        <f>SUMIFS(Allocation!$I$2:$I$175,Allocation!$C$2:$C$175,A100,Allocation!$E$2:$E$175,C100)</f>
        <v/>
      </c>
      <c r="R100">
        <f>SUMIFS(Allocation!$J$2:$J$175,Allocation!$C$2:$C$175,A100,Allocation!$E$2:$E$175,C100)</f>
        <v/>
      </c>
      <c r="S100">
        <f>SUMIFS(Allocation!$K$2:$K$175,Allocation!$C$2:$C$175,A100,Allocation!$E$2:$E$175,C100)</f>
        <v/>
      </c>
      <c r="T100">
        <f>SUMIFS(Allocation!$I$2:$I$175,Allocation!$C$2:$C$175,A100)</f>
        <v/>
      </c>
      <c r="U100">
        <f>SUMIFS(Allocation!$J$2:$J$175,Allocation!$C$2:$C$175,A100)</f>
        <v/>
      </c>
      <c r="V100">
        <f>SUMIFS(Allocation!$K$2:$K$175,Allocation!$C$2:$C$175,A100)</f>
        <v/>
      </c>
      <c r="W100">
        <f>SUMIFS(Compta!$F$2:$F$675,Compta!$A$2:$A$675,B100,Compta!$B$2:$B$675,"621",Compta!$C$2:$C$675,A100)</f>
        <v/>
      </c>
      <c r="X100">
        <f>SUMIFS(Compta!$F$2:$F$675,Compta!$A$2:$A$675,B100,Compta!$B$2:$B$675,"6411",Compta!$C$2:$C$675,A100)</f>
        <v/>
      </c>
      <c r="Y100">
        <f>SUMIFS(Compta!$F$2:$F$675,Compta!$A$2:$A$675,B100,Compta!$B$2:$B$675,"604",Compta!$C$2:$C$675,A100)+SUMIFS(Compta!$F$2:$F$675,Compta!$A$2:$A$675,B100,Compta!$B$2:$B$675,"6063",Compta!$C$2:$C$675,A100)</f>
        <v/>
      </c>
      <c r="Z100">
        <f>SUMIFS(Compta!$F$2:$F$675,Compta!$A$2:$A$675,B100,Compta!$B$2:$B$675,"6231",Compta!$C$2:$C$675,A100)</f>
        <v/>
      </c>
      <c r="AA100">
        <f>SUMIFS(Compta!$F$2:$F$675,Compta!$A$2:$A$675,B100,Compta!$B$2:$B$675,"6413",Compta!$C$2:$C$675,A100)+SUMIFS(Compta!$F$2:$F$675,Compta!$A$2:$A$675,B100,Compta!$B$2:$B$675,"645",Compta!$C$2:$C$675,A100)+SUMIFS(Compta!$F$2:$F$675,Compta!$A$2:$A$675,B100,Compta!$B$2:$B$675,"613",Compta!$C$2:$C$675,A100)+SUMIFS(Compta!$F$2:$F$675,Compta!$A$2:$A$675,B100,Compta!$B$2:$B$675,"615",Compta!$C$2:$C$675,A100)+SUMIFS(Compta!$F$2:$F$675,Compta!$A$2:$A$675,B100,Compta!$B$2:$B$675,"616",Compta!$C$2:$C$675,A100)+SUMIFS(Compta!$F$2:$F$675,Compta!$A$2:$A$675,B100,Compta!$B$2:$B$675,"625",Compta!$C$2:$C$675,A100)+SUMIFS(Compta!$F$2:$F$675,Compta!$A$2:$A$675,B100,Compta!$B$2:$B$675,"63511",Compta!$C$2:$C$675,A100)</f>
        <v/>
      </c>
      <c r="AB100">
        <f>SUMIFS(Compta!$F$2:$F$675,Compta!$A$2:$A$675,"GRP",Compta!$B$2:$B$675,"6414",Compta!$C$2:$C$675,A100)+SUMIFS(Compta!$F$2:$F$675,Compta!$A$2:$A$675,"GRP",Compta!$B$2:$B$675,"6226",Compta!$C$2:$C$675,A100)+SUMIFS(Compta!$F$2:$F$675,Compta!$A$2:$A$675,"GRP",Compta!$B$2:$B$675,"6236",Compta!$C$2:$C$675,A100)+SUMIFS(Compta!$F$2:$F$675,Compta!$A$2:$A$675,"GRP",Compta!$B$2:$B$675,"626",Compta!$C$2:$C$675,A100)+SUMIFS(Compta!$F$2:$F$675,Compta!$A$2:$A$675,"GRP",Compta!$B$2:$B$675,"6281",Compta!$C$2:$C$675,A100)+SUMIFS(Compta!$F$2:$F$675,Compta!$A$2:$A$675,"GRP",Compta!$B$2:$B$675,"6331",Compta!$C$2:$C$675,A100)+SUMIFS(Compta!$F$2:$F$675,Compta!$A$2:$A$675,"GRP",Compta!$B$2:$B$675,"6333",Compta!$C$2:$C$675,A100)</f>
        <v/>
      </c>
      <c r="AC100">
        <f>IF(Pilotage!$E$10="Chiffre d'affaires",I100,IF(Pilotage!$E$10="Effectif",G100,H100))</f>
        <v/>
      </c>
      <c r="AD100">
        <f>IF(Pilotage!$E$10="Chiffre d'affaires",N100,IF(Pilotage!$E$10="Effectif",L100,M100))</f>
        <v/>
      </c>
      <c r="AE100">
        <f>IF(Pilotage!$E$8="Chiffre d'affaires",N100,IF(Pilotage!$E$8="Effectif",L100,M100))</f>
        <v/>
      </c>
      <c r="AF100">
        <f>IF(Pilotage!$E$8="Chiffre d'affaires",S100,IF(Pilotage!$E$8="Effectif",Q100,R100))</f>
        <v/>
      </c>
      <c r="AG100">
        <f>IF(Pilotage!$E$9="Chiffre d'affaires",S100,IF(Pilotage!$E$9="Effectif",Q100,R100))</f>
        <v/>
      </c>
      <c r="AH100">
        <f>IF(Pilotage!$E$9="Chiffre d'affaires",V100,IF(Pilotage!$E$9="Effectif",T100,U100))</f>
        <v/>
      </c>
      <c r="AI100">
        <f>W100*IFERROR(K100/O100,0)</f>
        <v/>
      </c>
      <c r="AJ100">
        <f>X100*IFERROR(K100/O100,0)</f>
        <v/>
      </c>
      <c r="AK100">
        <f>Y100*IFERROR(G100/L100,0)+Z100*IFERROR(J100/P100,0)</f>
        <v/>
      </c>
      <c r="AL100">
        <f>AA100*IFERROR(AC100/AD100,0)</f>
        <v/>
      </c>
      <c r="AM100">
        <f>AB100*IFERROR(AG100/AH100,0)*IFERROR(AE100/AF100,0)*IFERROR(AC100/AD100,0)</f>
        <v/>
      </c>
      <c r="AN100">
        <f>I100-(AI100+AJ100+AK100+AL100+AM100)</f>
        <v/>
      </c>
    </row>
    <row r="101">
      <c r="A101">
        <f>Allocation!C101</f>
        <v/>
      </c>
      <c r="B101">
        <f>Allocation!D101</f>
        <v/>
      </c>
      <c r="C101">
        <f>Allocation!E101</f>
        <v/>
      </c>
      <c r="D101">
        <f>Allocation!F101</f>
        <v/>
      </c>
      <c r="E101">
        <f>Allocation!G101</f>
        <v/>
      </c>
      <c r="F101">
        <f>Allocation!H101</f>
        <v/>
      </c>
      <c r="G101">
        <f>Allocation!I101</f>
        <v/>
      </c>
      <c r="H101">
        <f>Allocation!J101</f>
        <v/>
      </c>
      <c r="I101">
        <f>Allocation!K101</f>
        <v/>
      </c>
      <c r="J101">
        <f>SUMIFS(Socle!$K$2:$K$175,Socle!$C$2:$C$175,B101,Socle!$D$2:$D$175,D101,Socle!$E$2:$E$175,E101,Socle!$F$2:$F$175,F101,Socle!$G$2:$G$175,A101)</f>
        <v/>
      </c>
      <c r="K101">
        <f>H101*IF(AND(LEFT(D101,3)="BAC",F101="INIT"),600,IF(LEFT(D101,3)="BAC",480,IF(AND(LEFT(D101,3)="MAS",F101="INIT"),520,IF(LEFT(D101,3)="MAS",420,IF(F101="INIT",1000,700)))))</f>
        <v/>
      </c>
      <c r="L101">
        <f>SUMIFS(Allocation!$I$2:$I$175,Allocation!$C$2:$C$175,A101,Allocation!$D$2:$D$175,B101)</f>
        <v/>
      </c>
      <c r="M101">
        <f>SUMIFS(Allocation!$J$2:$J$175,Allocation!$C$2:$C$175,A101,Allocation!$D$2:$D$175,B101)</f>
        <v/>
      </c>
      <c r="N101">
        <f>SUMIFS(Allocation!$K$2:$K$175,Allocation!$C$2:$C$175,A101,Allocation!$D$2:$D$175,B101)</f>
        <v/>
      </c>
      <c r="O101">
        <f>SUMIFS($K$2:$K$175,$A$2:$A$175,A101,$B$2:$B$175,B101)</f>
        <v/>
      </c>
      <c r="P101">
        <f>SUMIFS($J$2:$J$175,$A$2:$A$175,A101,$B$2:$B$175,B101)</f>
        <v/>
      </c>
      <c r="Q101">
        <f>SUMIFS(Allocation!$I$2:$I$175,Allocation!$C$2:$C$175,A101,Allocation!$E$2:$E$175,C101)</f>
        <v/>
      </c>
      <c r="R101">
        <f>SUMIFS(Allocation!$J$2:$J$175,Allocation!$C$2:$C$175,A101,Allocation!$E$2:$E$175,C101)</f>
        <v/>
      </c>
      <c r="S101">
        <f>SUMIFS(Allocation!$K$2:$K$175,Allocation!$C$2:$C$175,A101,Allocation!$E$2:$E$175,C101)</f>
        <v/>
      </c>
      <c r="T101">
        <f>SUMIFS(Allocation!$I$2:$I$175,Allocation!$C$2:$C$175,A101)</f>
        <v/>
      </c>
      <c r="U101">
        <f>SUMIFS(Allocation!$J$2:$J$175,Allocation!$C$2:$C$175,A101)</f>
        <v/>
      </c>
      <c r="V101">
        <f>SUMIFS(Allocation!$K$2:$K$175,Allocation!$C$2:$C$175,A101)</f>
        <v/>
      </c>
      <c r="W101">
        <f>SUMIFS(Compta!$F$2:$F$675,Compta!$A$2:$A$675,B101,Compta!$B$2:$B$675,"621",Compta!$C$2:$C$675,A101)</f>
        <v/>
      </c>
      <c r="X101">
        <f>SUMIFS(Compta!$F$2:$F$675,Compta!$A$2:$A$675,B101,Compta!$B$2:$B$675,"6411",Compta!$C$2:$C$675,A101)</f>
        <v/>
      </c>
      <c r="Y101">
        <f>SUMIFS(Compta!$F$2:$F$675,Compta!$A$2:$A$675,B101,Compta!$B$2:$B$675,"604",Compta!$C$2:$C$675,A101)+SUMIFS(Compta!$F$2:$F$675,Compta!$A$2:$A$675,B101,Compta!$B$2:$B$675,"6063",Compta!$C$2:$C$675,A101)</f>
        <v/>
      </c>
      <c r="Z101">
        <f>SUMIFS(Compta!$F$2:$F$675,Compta!$A$2:$A$675,B101,Compta!$B$2:$B$675,"6231",Compta!$C$2:$C$675,A101)</f>
        <v/>
      </c>
      <c r="AA101">
        <f>SUMIFS(Compta!$F$2:$F$675,Compta!$A$2:$A$675,B101,Compta!$B$2:$B$675,"6413",Compta!$C$2:$C$675,A101)+SUMIFS(Compta!$F$2:$F$675,Compta!$A$2:$A$675,B101,Compta!$B$2:$B$675,"645",Compta!$C$2:$C$675,A101)+SUMIFS(Compta!$F$2:$F$675,Compta!$A$2:$A$675,B101,Compta!$B$2:$B$675,"613",Compta!$C$2:$C$675,A101)+SUMIFS(Compta!$F$2:$F$675,Compta!$A$2:$A$675,B101,Compta!$B$2:$B$675,"615",Compta!$C$2:$C$675,A101)+SUMIFS(Compta!$F$2:$F$675,Compta!$A$2:$A$675,B101,Compta!$B$2:$B$675,"616",Compta!$C$2:$C$675,A101)+SUMIFS(Compta!$F$2:$F$675,Compta!$A$2:$A$675,B101,Compta!$B$2:$B$675,"625",Compta!$C$2:$C$675,A101)+SUMIFS(Compta!$F$2:$F$675,Compta!$A$2:$A$675,B101,Compta!$B$2:$B$675,"63511",Compta!$C$2:$C$675,A101)</f>
        <v/>
      </c>
      <c r="AB101">
        <f>SUMIFS(Compta!$F$2:$F$675,Compta!$A$2:$A$675,"GRP",Compta!$B$2:$B$675,"6414",Compta!$C$2:$C$675,A101)+SUMIFS(Compta!$F$2:$F$675,Compta!$A$2:$A$675,"GRP",Compta!$B$2:$B$675,"6226",Compta!$C$2:$C$675,A101)+SUMIFS(Compta!$F$2:$F$675,Compta!$A$2:$A$675,"GRP",Compta!$B$2:$B$675,"6236",Compta!$C$2:$C$675,A101)+SUMIFS(Compta!$F$2:$F$675,Compta!$A$2:$A$675,"GRP",Compta!$B$2:$B$675,"626",Compta!$C$2:$C$675,A101)+SUMIFS(Compta!$F$2:$F$675,Compta!$A$2:$A$675,"GRP",Compta!$B$2:$B$675,"6281",Compta!$C$2:$C$675,A101)+SUMIFS(Compta!$F$2:$F$675,Compta!$A$2:$A$675,"GRP",Compta!$B$2:$B$675,"6331",Compta!$C$2:$C$675,A101)+SUMIFS(Compta!$F$2:$F$675,Compta!$A$2:$A$675,"GRP",Compta!$B$2:$B$675,"6333",Compta!$C$2:$C$675,A101)</f>
        <v/>
      </c>
      <c r="AC101">
        <f>IF(Pilotage!$E$10="Chiffre d'affaires",I101,IF(Pilotage!$E$10="Effectif",G101,H101))</f>
        <v/>
      </c>
      <c r="AD101">
        <f>IF(Pilotage!$E$10="Chiffre d'affaires",N101,IF(Pilotage!$E$10="Effectif",L101,M101))</f>
        <v/>
      </c>
      <c r="AE101">
        <f>IF(Pilotage!$E$8="Chiffre d'affaires",N101,IF(Pilotage!$E$8="Effectif",L101,M101))</f>
        <v/>
      </c>
      <c r="AF101">
        <f>IF(Pilotage!$E$8="Chiffre d'affaires",S101,IF(Pilotage!$E$8="Effectif",Q101,R101))</f>
        <v/>
      </c>
      <c r="AG101">
        <f>IF(Pilotage!$E$9="Chiffre d'affaires",S101,IF(Pilotage!$E$9="Effectif",Q101,R101))</f>
        <v/>
      </c>
      <c r="AH101">
        <f>IF(Pilotage!$E$9="Chiffre d'affaires",V101,IF(Pilotage!$E$9="Effectif",T101,U101))</f>
        <v/>
      </c>
      <c r="AI101">
        <f>W101*IFERROR(K101/O101,0)</f>
        <v/>
      </c>
      <c r="AJ101">
        <f>X101*IFERROR(K101/O101,0)</f>
        <v/>
      </c>
      <c r="AK101">
        <f>Y101*IFERROR(G101/L101,0)+Z101*IFERROR(J101/P101,0)</f>
        <v/>
      </c>
      <c r="AL101">
        <f>AA101*IFERROR(AC101/AD101,0)</f>
        <v/>
      </c>
      <c r="AM101">
        <f>AB101*IFERROR(AG101/AH101,0)*IFERROR(AE101/AF101,0)*IFERROR(AC101/AD101,0)</f>
        <v/>
      </c>
      <c r="AN101">
        <f>I101-(AI101+AJ101+AK101+AL101+AM101)</f>
        <v/>
      </c>
    </row>
    <row r="102">
      <c r="A102">
        <f>Allocation!C102</f>
        <v/>
      </c>
      <c r="B102">
        <f>Allocation!D102</f>
        <v/>
      </c>
      <c r="C102">
        <f>Allocation!E102</f>
        <v/>
      </c>
      <c r="D102">
        <f>Allocation!F102</f>
        <v/>
      </c>
      <c r="E102">
        <f>Allocation!G102</f>
        <v/>
      </c>
      <c r="F102">
        <f>Allocation!H102</f>
        <v/>
      </c>
      <c r="G102">
        <f>Allocation!I102</f>
        <v/>
      </c>
      <c r="H102">
        <f>Allocation!J102</f>
        <v/>
      </c>
      <c r="I102">
        <f>Allocation!K102</f>
        <v/>
      </c>
      <c r="J102">
        <f>SUMIFS(Socle!$K$2:$K$175,Socle!$C$2:$C$175,B102,Socle!$D$2:$D$175,D102,Socle!$E$2:$E$175,E102,Socle!$F$2:$F$175,F102,Socle!$G$2:$G$175,A102)</f>
        <v/>
      </c>
      <c r="K102">
        <f>H102*IF(AND(LEFT(D102,3)="BAC",F102="INIT"),600,IF(LEFT(D102,3)="BAC",480,IF(AND(LEFT(D102,3)="MAS",F102="INIT"),520,IF(LEFT(D102,3)="MAS",420,IF(F102="INIT",1000,700)))))</f>
        <v/>
      </c>
      <c r="L102">
        <f>SUMIFS(Allocation!$I$2:$I$175,Allocation!$C$2:$C$175,A102,Allocation!$D$2:$D$175,B102)</f>
        <v/>
      </c>
      <c r="M102">
        <f>SUMIFS(Allocation!$J$2:$J$175,Allocation!$C$2:$C$175,A102,Allocation!$D$2:$D$175,B102)</f>
        <v/>
      </c>
      <c r="N102">
        <f>SUMIFS(Allocation!$K$2:$K$175,Allocation!$C$2:$C$175,A102,Allocation!$D$2:$D$175,B102)</f>
        <v/>
      </c>
      <c r="O102">
        <f>SUMIFS($K$2:$K$175,$A$2:$A$175,A102,$B$2:$B$175,B102)</f>
        <v/>
      </c>
      <c r="P102">
        <f>SUMIFS($J$2:$J$175,$A$2:$A$175,A102,$B$2:$B$175,B102)</f>
        <v/>
      </c>
      <c r="Q102">
        <f>SUMIFS(Allocation!$I$2:$I$175,Allocation!$C$2:$C$175,A102,Allocation!$E$2:$E$175,C102)</f>
        <v/>
      </c>
      <c r="R102">
        <f>SUMIFS(Allocation!$J$2:$J$175,Allocation!$C$2:$C$175,A102,Allocation!$E$2:$E$175,C102)</f>
        <v/>
      </c>
      <c r="S102">
        <f>SUMIFS(Allocation!$K$2:$K$175,Allocation!$C$2:$C$175,A102,Allocation!$E$2:$E$175,C102)</f>
        <v/>
      </c>
      <c r="T102">
        <f>SUMIFS(Allocation!$I$2:$I$175,Allocation!$C$2:$C$175,A102)</f>
        <v/>
      </c>
      <c r="U102">
        <f>SUMIFS(Allocation!$J$2:$J$175,Allocation!$C$2:$C$175,A102)</f>
        <v/>
      </c>
      <c r="V102">
        <f>SUMIFS(Allocation!$K$2:$K$175,Allocation!$C$2:$C$175,A102)</f>
        <v/>
      </c>
      <c r="W102">
        <f>SUMIFS(Compta!$F$2:$F$675,Compta!$A$2:$A$675,B102,Compta!$B$2:$B$675,"621",Compta!$C$2:$C$675,A102)</f>
        <v/>
      </c>
      <c r="X102">
        <f>SUMIFS(Compta!$F$2:$F$675,Compta!$A$2:$A$675,B102,Compta!$B$2:$B$675,"6411",Compta!$C$2:$C$675,A102)</f>
        <v/>
      </c>
      <c r="Y102">
        <f>SUMIFS(Compta!$F$2:$F$675,Compta!$A$2:$A$675,B102,Compta!$B$2:$B$675,"604",Compta!$C$2:$C$675,A102)+SUMIFS(Compta!$F$2:$F$675,Compta!$A$2:$A$675,B102,Compta!$B$2:$B$675,"6063",Compta!$C$2:$C$675,A102)</f>
        <v/>
      </c>
      <c r="Z102">
        <f>SUMIFS(Compta!$F$2:$F$675,Compta!$A$2:$A$675,B102,Compta!$B$2:$B$675,"6231",Compta!$C$2:$C$675,A102)</f>
        <v/>
      </c>
      <c r="AA102">
        <f>SUMIFS(Compta!$F$2:$F$675,Compta!$A$2:$A$675,B102,Compta!$B$2:$B$675,"6413",Compta!$C$2:$C$675,A102)+SUMIFS(Compta!$F$2:$F$675,Compta!$A$2:$A$675,B102,Compta!$B$2:$B$675,"645",Compta!$C$2:$C$675,A102)+SUMIFS(Compta!$F$2:$F$675,Compta!$A$2:$A$675,B102,Compta!$B$2:$B$675,"613",Compta!$C$2:$C$675,A102)+SUMIFS(Compta!$F$2:$F$675,Compta!$A$2:$A$675,B102,Compta!$B$2:$B$675,"615",Compta!$C$2:$C$675,A102)+SUMIFS(Compta!$F$2:$F$675,Compta!$A$2:$A$675,B102,Compta!$B$2:$B$675,"616",Compta!$C$2:$C$675,A102)+SUMIFS(Compta!$F$2:$F$675,Compta!$A$2:$A$675,B102,Compta!$B$2:$B$675,"625",Compta!$C$2:$C$675,A102)+SUMIFS(Compta!$F$2:$F$675,Compta!$A$2:$A$675,B102,Compta!$B$2:$B$675,"63511",Compta!$C$2:$C$675,A102)</f>
        <v/>
      </c>
      <c r="AB102">
        <f>SUMIFS(Compta!$F$2:$F$675,Compta!$A$2:$A$675,"GRP",Compta!$B$2:$B$675,"6414",Compta!$C$2:$C$675,A102)+SUMIFS(Compta!$F$2:$F$675,Compta!$A$2:$A$675,"GRP",Compta!$B$2:$B$675,"6226",Compta!$C$2:$C$675,A102)+SUMIFS(Compta!$F$2:$F$675,Compta!$A$2:$A$675,"GRP",Compta!$B$2:$B$675,"6236",Compta!$C$2:$C$675,A102)+SUMIFS(Compta!$F$2:$F$675,Compta!$A$2:$A$675,"GRP",Compta!$B$2:$B$675,"626",Compta!$C$2:$C$675,A102)+SUMIFS(Compta!$F$2:$F$675,Compta!$A$2:$A$675,"GRP",Compta!$B$2:$B$675,"6281",Compta!$C$2:$C$675,A102)+SUMIFS(Compta!$F$2:$F$675,Compta!$A$2:$A$675,"GRP",Compta!$B$2:$B$675,"6331",Compta!$C$2:$C$675,A102)+SUMIFS(Compta!$F$2:$F$675,Compta!$A$2:$A$675,"GRP",Compta!$B$2:$B$675,"6333",Compta!$C$2:$C$675,A102)</f>
        <v/>
      </c>
      <c r="AC102">
        <f>IF(Pilotage!$E$10="Chiffre d'affaires",I102,IF(Pilotage!$E$10="Effectif",G102,H102))</f>
        <v/>
      </c>
      <c r="AD102">
        <f>IF(Pilotage!$E$10="Chiffre d'affaires",N102,IF(Pilotage!$E$10="Effectif",L102,M102))</f>
        <v/>
      </c>
      <c r="AE102">
        <f>IF(Pilotage!$E$8="Chiffre d'affaires",N102,IF(Pilotage!$E$8="Effectif",L102,M102))</f>
        <v/>
      </c>
      <c r="AF102">
        <f>IF(Pilotage!$E$8="Chiffre d'affaires",S102,IF(Pilotage!$E$8="Effectif",Q102,R102))</f>
        <v/>
      </c>
      <c r="AG102">
        <f>IF(Pilotage!$E$9="Chiffre d'affaires",S102,IF(Pilotage!$E$9="Effectif",Q102,R102))</f>
        <v/>
      </c>
      <c r="AH102">
        <f>IF(Pilotage!$E$9="Chiffre d'affaires",V102,IF(Pilotage!$E$9="Effectif",T102,U102))</f>
        <v/>
      </c>
      <c r="AI102">
        <f>W102*IFERROR(K102/O102,0)</f>
        <v/>
      </c>
      <c r="AJ102">
        <f>X102*IFERROR(K102/O102,0)</f>
        <v/>
      </c>
      <c r="AK102">
        <f>Y102*IFERROR(G102/L102,0)+Z102*IFERROR(J102/P102,0)</f>
        <v/>
      </c>
      <c r="AL102">
        <f>AA102*IFERROR(AC102/AD102,0)</f>
        <v/>
      </c>
      <c r="AM102">
        <f>AB102*IFERROR(AG102/AH102,0)*IFERROR(AE102/AF102,0)*IFERROR(AC102/AD102,0)</f>
        <v/>
      </c>
      <c r="AN102">
        <f>I102-(AI102+AJ102+AK102+AL102+AM102)</f>
        <v/>
      </c>
    </row>
    <row r="103">
      <c r="A103">
        <f>Allocation!C103</f>
        <v/>
      </c>
      <c r="B103">
        <f>Allocation!D103</f>
        <v/>
      </c>
      <c r="C103">
        <f>Allocation!E103</f>
        <v/>
      </c>
      <c r="D103">
        <f>Allocation!F103</f>
        <v/>
      </c>
      <c r="E103">
        <f>Allocation!G103</f>
        <v/>
      </c>
      <c r="F103">
        <f>Allocation!H103</f>
        <v/>
      </c>
      <c r="G103">
        <f>Allocation!I103</f>
        <v/>
      </c>
      <c r="H103">
        <f>Allocation!J103</f>
        <v/>
      </c>
      <c r="I103">
        <f>Allocation!K103</f>
        <v/>
      </c>
      <c r="J103">
        <f>SUMIFS(Socle!$K$2:$K$175,Socle!$C$2:$C$175,B103,Socle!$D$2:$D$175,D103,Socle!$E$2:$E$175,E103,Socle!$F$2:$F$175,F103,Socle!$G$2:$G$175,A103)</f>
        <v/>
      </c>
      <c r="K103">
        <f>H103*IF(AND(LEFT(D103,3)="BAC",F103="INIT"),600,IF(LEFT(D103,3)="BAC",480,IF(AND(LEFT(D103,3)="MAS",F103="INIT"),520,IF(LEFT(D103,3)="MAS",420,IF(F103="INIT",1000,700)))))</f>
        <v/>
      </c>
      <c r="L103">
        <f>SUMIFS(Allocation!$I$2:$I$175,Allocation!$C$2:$C$175,A103,Allocation!$D$2:$D$175,B103)</f>
        <v/>
      </c>
      <c r="M103">
        <f>SUMIFS(Allocation!$J$2:$J$175,Allocation!$C$2:$C$175,A103,Allocation!$D$2:$D$175,B103)</f>
        <v/>
      </c>
      <c r="N103">
        <f>SUMIFS(Allocation!$K$2:$K$175,Allocation!$C$2:$C$175,A103,Allocation!$D$2:$D$175,B103)</f>
        <v/>
      </c>
      <c r="O103">
        <f>SUMIFS($K$2:$K$175,$A$2:$A$175,A103,$B$2:$B$175,B103)</f>
        <v/>
      </c>
      <c r="P103">
        <f>SUMIFS($J$2:$J$175,$A$2:$A$175,A103,$B$2:$B$175,B103)</f>
        <v/>
      </c>
      <c r="Q103">
        <f>SUMIFS(Allocation!$I$2:$I$175,Allocation!$C$2:$C$175,A103,Allocation!$E$2:$E$175,C103)</f>
        <v/>
      </c>
      <c r="R103">
        <f>SUMIFS(Allocation!$J$2:$J$175,Allocation!$C$2:$C$175,A103,Allocation!$E$2:$E$175,C103)</f>
        <v/>
      </c>
      <c r="S103">
        <f>SUMIFS(Allocation!$K$2:$K$175,Allocation!$C$2:$C$175,A103,Allocation!$E$2:$E$175,C103)</f>
        <v/>
      </c>
      <c r="T103">
        <f>SUMIFS(Allocation!$I$2:$I$175,Allocation!$C$2:$C$175,A103)</f>
        <v/>
      </c>
      <c r="U103">
        <f>SUMIFS(Allocation!$J$2:$J$175,Allocation!$C$2:$C$175,A103)</f>
        <v/>
      </c>
      <c r="V103">
        <f>SUMIFS(Allocation!$K$2:$K$175,Allocation!$C$2:$C$175,A103)</f>
        <v/>
      </c>
      <c r="W103">
        <f>SUMIFS(Compta!$F$2:$F$675,Compta!$A$2:$A$675,B103,Compta!$B$2:$B$675,"621",Compta!$C$2:$C$675,A103)</f>
        <v/>
      </c>
      <c r="X103">
        <f>SUMIFS(Compta!$F$2:$F$675,Compta!$A$2:$A$675,B103,Compta!$B$2:$B$675,"6411",Compta!$C$2:$C$675,A103)</f>
        <v/>
      </c>
      <c r="Y103">
        <f>SUMIFS(Compta!$F$2:$F$675,Compta!$A$2:$A$675,B103,Compta!$B$2:$B$675,"604",Compta!$C$2:$C$675,A103)+SUMIFS(Compta!$F$2:$F$675,Compta!$A$2:$A$675,B103,Compta!$B$2:$B$675,"6063",Compta!$C$2:$C$675,A103)</f>
        <v/>
      </c>
      <c r="Z103">
        <f>SUMIFS(Compta!$F$2:$F$675,Compta!$A$2:$A$675,B103,Compta!$B$2:$B$675,"6231",Compta!$C$2:$C$675,A103)</f>
        <v/>
      </c>
      <c r="AA103">
        <f>SUMIFS(Compta!$F$2:$F$675,Compta!$A$2:$A$675,B103,Compta!$B$2:$B$675,"6413",Compta!$C$2:$C$675,A103)+SUMIFS(Compta!$F$2:$F$675,Compta!$A$2:$A$675,B103,Compta!$B$2:$B$675,"645",Compta!$C$2:$C$675,A103)+SUMIFS(Compta!$F$2:$F$675,Compta!$A$2:$A$675,B103,Compta!$B$2:$B$675,"613",Compta!$C$2:$C$675,A103)+SUMIFS(Compta!$F$2:$F$675,Compta!$A$2:$A$675,B103,Compta!$B$2:$B$675,"615",Compta!$C$2:$C$675,A103)+SUMIFS(Compta!$F$2:$F$675,Compta!$A$2:$A$675,B103,Compta!$B$2:$B$675,"616",Compta!$C$2:$C$675,A103)+SUMIFS(Compta!$F$2:$F$675,Compta!$A$2:$A$675,B103,Compta!$B$2:$B$675,"625",Compta!$C$2:$C$675,A103)+SUMIFS(Compta!$F$2:$F$675,Compta!$A$2:$A$675,B103,Compta!$B$2:$B$675,"63511",Compta!$C$2:$C$675,A103)</f>
        <v/>
      </c>
      <c r="AB103">
        <f>SUMIFS(Compta!$F$2:$F$675,Compta!$A$2:$A$675,"GRP",Compta!$B$2:$B$675,"6414",Compta!$C$2:$C$675,A103)+SUMIFS(Compta!$F$2:$F$675,Compta!$A$2:$A$675,"GRP",Compta!$B$2:$B$675,"6226",Compta!$C$2:$C$675,A103)+SUMIFS(Compta!$F$2:$F$675,Compta!$A$2:$A$675,"GRP",Compta!$B$2:$B$675,"6236",Compta!$C$2:$C$675,A103)+SUMIFS(Compta!$F$2:$F$675,Compta!$A$2:$A$675,"GRP",Compta!$B$2:$B$675,"626",Compta!$C$2:$C$675,A103)+SUMIFS(Compta!$F$2:$F$675,Compta!$A$2:$A$675,"GRP",Compta!$B$2:$B$675,"6281",Compta!$C$2:$C$675,A103)+SUMIFS(Compta!$F$2:$F$675,Compta!$A$2:$A$675,"GRP",Compta!$B$2:$B$675,"6331",Compta!$C$2:$C$675,A103)+SUMIFS(Compta!$F$2:$F$675,Compta!$A$2:$A$675,"GRP",Compta!$B$2:$B$675,"6333",Compta!$C$2:$C$675,A103)</f>
        <v/>
      </c>
      <c r="AC103">
        <f>IF(Pilotage!$E$10="Chiffre d'affaires",I103,IF(Pilotage!$E$10="Effectif",G103,H103))</f>
        <v/>
      </c>
      <c r="AD103">
        <f>IF(Pilotage!$E$10="Chiffre d'affaires",N103,IF(Pilotage!$E$10="Effectif",L103,M103))</f>
        <v/>
      </c>
      <c r="AE103">
        <f>IF(Pilotage!$E$8="Chiffre d'affaires",N103,IF(Pilotage!$E$8="Effectif",L103,M103))</f>
        <v/>
      </c>
      <c r="AF103">
        <f>IF(Pilotage!$E$8="Chiffre d'affaires",S103,IF(Pilotage!$E$8="Effectif",Q103,R103))</f>
        <v/>
      </c>
      <c r="AG103">
        <f>IF(Pilotage!$E$9="Chiffre d'affaires",S103,IF(Pilotage!$E$9="Effectif",Q103,R103))</f>
        <v/>
      </c>
      <c r="AH103">
        <f>IF(Pilotage!$E$9="Chiffre d'affaires",V103,IF(Pilotage!$E$9="Effectif",T103,U103))</f>
        <v/>
      </c>
      <c r="AI103">
        <f>W103*IFERROR(K103/O103,0)</f>
        <v/>
      </c>
      <c r="AJ103">
        <f>X103*IFERROR(K103/O103,0)</f>
        <v/>
      </c>
      <c r="AK103">
        <f>Y103*IFERROR(G103/L103,0)+Z103*IFERROR(J103/P103,0)</f>
        <v/>
      </c>
      <c r="AL103">
        <f>AA103*IFERROR(AC103/AD103,0)</f>
        <v/>
      </c>
      <c r="AM103">
        <f>AB103*IFERROR(AG103/AH103,0)*IFERROR(AE103/AF103,0)*IFERROR(AC103/AD103,0)</f>
        <v/>
      </c>
      <c r="AN103">
        <f>I103-(AI103+AJ103+AK103+AL103+AM103)</f>
        <v/>
      </c>
    </row>
    <row r="104">
      <c r="A104">
        <f>Allocation!C104</f>
        <v/>
      </c>
      <c r="B104">
        <f>Allocation!D104</f>
        <v/>
      </c>
      <c r="C104">
        <f>Allocation!E104</f>
        <v/>
      </c>
      <c r="D104">
        <f>Allocation!F104</f>
        <v/>
      </c>
      <c r="E104">
        <f>Allocation!G104</f>
        <v/>
      </c>
      <c r="F104">
        <f>Allocation!H104</f>
        <v/>
      </c>
      <c r="G104">
        <f>Allocation!I104</f>
        <v/>
      </c>
      <c r="H104">
        <f>Allocation!J104</f>
        <v/>
      </c>
      <c r="I104">
        <f>Allocation!K104</f>
        <v/>
      </c>
      <c r="J104">
        <f>SUMIFS(Socle!$K$2:$K$175,Socle!$C$2:$C$175,B104,Socle!$D$2:$D$175,D104,Socle!$E$2:$E$175,E104,Socle!$F$2:$F$175,F104,Socle!$G$2:$G$175,A104)</f>
        <v/>
      </c>
      <c r="K104">
        <f>H104*IF(AND(LEFT(D104,3)="BAC",F104="INIT"),600,IF(LEFT(D104,3)="BAC",480,IF(AND(LEFT(D104,3)="MAS",F104="INIT"),520,IF(LEFT(D104,3)="MAS",420,IF(F104="INIT",1000,700)))))</f>
        <v/>
      </c>
      <c r="L104">
        <f>SUMIFS(Allocation!$I$2:$I$175,Allocation!$C$2:$C$175,A104,Allocation!$D$2:$D$175,B104)</f>
        <v/>
      </c>
      <c r="M104">
        <f>SUMIFS(Allocation!$J$2:$J$175,Allocation!$C$2:$C$175,A104,Allocation!$D$2:$D$175,B104)</f>
        <v/>
      </c>
      <c r="N104">
        <f>SUMIFS(Allocation!$K$2:$K$175,Allocation!$C$2:$C$175,A104,Allocation!$D$2:$D$175,B104)</f>
        <v/>
      </c>
      <c r="O104">
        <f>SUMIFS($K$2:$K$175,$A$2:$A$175,A104,$B$2:$B$175,B104)</f>
        <v/>
      </c>
      <c r="P104">
        <f>SUMIFS($J$2:$J$175,$A$2:$A$175,A104,$B$2:$B$175,B104)</f>
        <v/>
      </c>
      <c r="Q104">
        <f>SUMIFS(Allocation!$I$2:$I$175,Allocation!$C$2:$C$175,A104,Allocation!$E$2:$E$175,C104)</f>
        <v/>
      </c>
      <c r="R104">
        <f>SUMIFS(Allocation!$J$2:$J$175,Allocation!$C$2:$C$175,A104,Allocation!$E$2:$E$175,C104)</f>
        <v/>
      </c>
      <c r="S104">
        <f>SUMIFS(Allocation!$K$2:$K$175,Allocation!$C$2:$C$175,A104,Allocation!$E$2:$E$175,C104)</f>
        <v/>
      </c>
      <c r="T104">
        <f>SUMIFS(Allocation!$I$2:$I$175,Allocation!$C$2:$C$175,A104)</f>
        <v/>
      </c>
      <c r="U104">
        <f>SUMIFS(Allocation!$J$2:$J$175,Allocation!$C$2:$C$175,A104)</f>
        <v/>
      </c>
      <c r="V104">
        <f>SUMIFS(Allocation!$K$2:$K$175,Allocation!$C$2:$C$175,A104)</f>
        <v/>
      </c>
      <c r="W104">
        <f>SUMIFS(Compta!$F$2:$F$675,Compta!$A$2:$A$675,B104,Compta!$B$2:$B$675,"621",Compta!$C$2:$C$675,A104)</f>
        <v/>
      </c>
      <c r="X104">
        <f>SUMIFS(Compta!$F$2:$F$675,Compta!$A$2:$A$675,B104,Compta!$B$2:$B$675,"6411",Compta!$C$2:$C$675,A104)</f>
        <v/>
      </c>
      <c r="Y104">
        <f>SUMIFS(Compta!$F$2:$F$675,Compta!$A$2:$A$675,B104,Compta!$B$2:$B$675,"604",Compta!$C$2:$C$675,A104)+SUMIFS(Compta!$F$2:$F$675,Compta!$A$2:$A$675,B104,Compta!$B$2:$B$675,"6063",Compta!$C$2:$C$675,A104)</f>
        <v/>
      </c>
      <c r="Z104">
        <f>SUMIFS(Compta!$F$2:$F$675,Compta!$A$2:$A$675,B104,Compta!$B$2:$B$675,"6231",Compta!$C$2:$C$675,A104)</f>
        <v/>
      </c>
      <c r="AA104">
        <f>SUMIFS(Compta!$F$2:$F$675,Compta!$A$2:$A$675,B104,Compta!$B$2:$B$675,"6413",Compta!$C$2:$C$675,A104)+SUMIFS(Compta!$F$2:$F$675,Compta!$A$2:$A$675,B104,Compta!$B$2:$B$675,"645",Compta!$C$2:$C$675,A104)+SUMIFS(Compta!$F$2:$F$675,Compta!$A$2:$A$675,B104,Compta!$B$2:$B$675,"613",Compta!$C$2:$C$675,A104)+SUMIFS(Compta!$F$2:$F$675,Compta!$A$2:$A$675,B104,Compta!$B$2:$B$675,"615",Compta!$C$2:$C$675,A104)+SUMIFS(Compta!$F$2:$F$675,Compta!$A$2:$A$675,B104,Compta!$B$2:$B$675,"616",Compta!$C$2:$C$675,A104)+SUMIFS(Compta!$F$2:$F$675,Compta!$A$2:$A$675,B104,Compta!$B$2:$B$675,"625",Compta!$C$2:$C$675,A104)+SUMIFS(Compta!$F$2:$F$675,Compta!$A$2:$A$675,B104,Compta!$B$2:$B$675,"63511",Compta!$C$2:$C$675,A104)</f>
        <v/>
      </c>
      <c r="AB104">
        <f>SUMIFS(Compta!$F$2:$F$675,Compta!$A$2:$A$675,"GRP",Compta!$B$2:$B$675,"6414",Compta!$C$2:$C$675,A104)+SUMIFS(Compta!$F$2:$F$675,Compta!$A$2:$A$675,"GRP",Compta!$B$2:$B$675,"6226",Compta!$C$2:$C$675,A104)+SUMIFS(Compta!$F$2:$F$675,Compta!$A$2:$A$675,"GRP",Compta!$B$2:$B$675,"6236",Compta!$C$2:$C$675,A104)+SUMIFS(Compta!$F$2:$F$675,Compta!$A$2:$A$675,"GRP",Compta!$B$2:$B$675,"626",Compta!$C$2:$C$675,A104)+SUMIFS(Compta!$F$2:$F$675,Compta!$A$2:$A$675,"GRP",Compta!$B$2:$B$675,"6281",Compta!$C$2:$C$675,A104)+SUMIFS(Compta!$F$2:$F$675,Compta!$A$2:$A$675,"GRP",Compta!$B$2:$B$675,"6331",Compta!$C$2:$C$675,A104)+SUMIFS(Compta!$F$2:$F$675,Compta!$A$2:$A$675,"GRP",Compta!$B$2:$B$675,"6333",Compta!$C$2:$C$675,A104)</f>
        <v/>
      </c>
      <c r="AC104">
        <f>IF(Pilotage!$E$10="Chiffre d'affaires",I104,IF(Pilotage!$E$10="Effectif",G104,H104))</f>
        <v/>
      </c>
      <c r="AD104">
        <f>IF(Pilotage!$E$10="Chiffre d'affaires",N104,IF(Pilotage!$E$10="Effectif",L104,M104))</f>
        <v/>
      </c>
      <c r="AE104">
        <f>IF(Pilotage!$E$8="Chiffre d'affaires",N104,IF(Pilotage!$E$8="Effectif",L104,M104))</f>
        <v/>
      </c>
      <c r="AF104">
        <f>IF(Pilotage!$E$8="Chiffre d'affaires",S104,IF(Pilotage!$E$8="Effectif",Q104,R104))</f>
        <v/>
      </c>
      <c r="AG104">
        <f>IF(Pilotage!$E$9="Chiffre d'affaires",S104,IF(Pilotage!$E$9="Effectif",Q104,R104))</f>
        <v/>
      </c>
      <c r="AH104">
        <f>IF(Pilotage!$E$9="Chiffre d'affaires",V104,IF(Pilotage!$E$9="Effectif",T104,U104))</f>
        <v/>
      </c>
      <c r="AI104">
        <f>W104*IFERROR(K104/O104,0)</f>
        <v/>
      </c>
      <c r="AJ104">
        <f>X104*IFERROR(K104/O104,0)</f>
        <v/>
      </c>
      <c r="AK104">
        <f>Y104*IFERROR(G104/L104,0)+Z104*IFERROR(J104/P104,0)</f>
        <v/>
      </c>
      <c r="AL104">
        <f>AA104*IFERROR(AC104/AD104,0)</f>
        <v/>
      </c>
      <c r="AM104">
        <f>AB104*IFERROR(AG104/AH104,0)*IFERROR(AE104/AF104,0)*IFERROR(AC104/AD104,0)</f>
        <v/>
      </c>
      <c r="AN104">
        <f>I104-(AI104+AJ104+AK104+AL104+AM104)</f>
        <v/>
      </c>
    </row>
    <row r="105">
      <c r="A105">
        <f>Allocation!C105</f>
        <v/>
      </c>
      <c r="B105">
        <f>Allocation!D105</f>
        <v/>
      </c>
      <c r="C105">
        <f>Allocation!E105</f>
        <v/>
      </c>
      <c r="D105">
        <f>Allocation!F105</f>
        <v/>
      </c>
      <c r="E105">
        <f>Allocation!G105</f>
        <v/>
      </c>
      <c r="F105">
        <f>Allocation!H105</f>
        <v/>
      </c>
      <c r="G105">
        <f>Allocation!I105</f>
        <v/>
      </c>
      <c r="H105">
        <f>Allocation!J105</f>
        <v/>
      </c>
      <c r="I105">
        <f>Allocation!K105</f>
        <v/>
      </c>
      <c r="J105">
        <f>SUMIFS(Socle!$K$2:$K$175,Socle!$C$2:$C$175,B105,Socle!$D$2:$D$175,D105,Socle!$E$2:$E$175,E105,Socle!$F$2:$F$175,F105,Socle!$G$2:$G$175,A105)</f>
        <v/>
      </c>
      <c r="K105">
        <f>H105*IF(AND(LEFT(D105,3)="BAC",F105="INIT"),600,IF(LEFT(D105,3)="BAC",480,IF(AND(LEFT(D105,3)="MAS",F105="INIT"),520,IF(LEFT(D105,3)="MAS",420,IF(F105="INIT",1000,700)))))</f>
        <v/>
      </c>
      <c r="L105">
        <f>SUMIFS(Allocation!$I$2:$I$175,Allocation!$C$2:$C$175,A105,Allocation!$D$2:$D$175,B105)</f>
        <v/>
      </c>
      <c r="M105">
        <f>SUMIFS(Allocation!$J$2:$J$175,Allocation!$C$2:$C$175,A105,Allocation!$D$2:$D$175,B105)</f>
        <v/>
      </c>
      <c r="N105">
        <f>SUMIFS(Allocation!$K$2:$K$175,Allocation!$C$2:$C$175,A105,Allocation!$D$2:$D$175,B105)</f>
        <v/>
      </c>
      <c r="O105">
        <f>SUMIFS($K$2:$K$175,$A$2:$A$175,A105,$B$2:$B$175,B105)</f>
        <v/>
      </c>
      <c r="P105">
        <f>SUMIFS($J$2:$J$175,$A$2:$A$175,A105,$B$2:$B$175,B105)</f>
        <v/>
      </c>
      <c r="Q105">
        <f>SUMIFS(Allocation!$I$2:$I$175,Allocation!$C$2:$C$175,A105,Allocation!$E$2:$E$175,C105)</f>
        <v/>
      </c>
      <c r="R105">
        <f>SUMIFS(Allocation!$J$2:$J$175,Allocation!$C$2:$C$175,A105,Allocation!$E$2:$E$175,C105)</f>
        <v/>
      </c>
      <c r="S105">
        <f>SUMIFS(Allocation!$K$2:$K$175,Allocation!$C$2:$C$175,A105,Allocation!$E$2:$E$175,C105)</f>
        <v/>
      </c>
      <c r="T105">
        <f>SUMIFS(Allocation!$I$2:$I$175,Allocation!$C$2:$C$175,A105)</f>
        <v/>
      </c>
      <c r="U105">
        <f>SUMIFS(Allocation!$J$2:$J$175,Allocation!$C$2:$C$175,A105)</f>
        <v/>
      </c>
      <c r="V105">
        <f>SUMIFS(Allocation!$K$2:$K$175,Allocation!$C$2:$C$175,A105)</f>
        <v/>
      </c>
      <c r="W105">
        <f>SUMIFS(Compta!$F$2:$F$675,Compta!$A$2:$A$675,B105,Compta!$B$2:$B$675,"621",Compta!$C$2:$C$675,A105)</f>
        <v/>
      </c>
      <c r="X105">
        <f>SUMIFS(Compta!$F$2:$F$675,Compta!$A$2:$A$675,B105,Compta!$B$2:$B$675,"6411",Compta!$C$2:$C$675,A105)</f>
        <v/>
      </c>
      <c r="Y105">
        <f>SUMIFS(Compta!$F$2:$F$675,Compta!$A$2:$A$675,B105,Compta!$B$2:$B$675,"604",Compta!$C$2:$C$675,A105)+SUMIFS(Compta!$F$2:$F$675,Compta!$A$2:$A$675,B105,Compta!$B$2:$B$675,"6063",Compta!$C$2:$C$675,A105)</f>
        <v/>
      </c>
      <c r="Z105">
        <f>SUMIFS(Compta!$F$2:$F$675,Compta!$A$2:$A$675,B105,Compta!$B$2:$B$675,"6231",Compta!$C$2:$C$675,A105)</f>
        <v/>
      </c>
      <c r="AA105">
        <f>SUMIFS(Compta!$F$2:$F$675,Compta!$A$2:$A$675,B105,Compta!$B$2:$B$675,"6413",Compta!$C$2:$C$675,A105)+SUMIFS(Compta!$F$2:$F$675,Compta!$A$2:$A$675,B105,Compta!$B$2:$B$675,"645",Compta!$C$2:$C$675,A105)+SUMIFS(Compta!$F$2:$F$675,Compta!$A$2:$A$675,B105,Compta!$B$2:$B$675,"613",Compta!$C$2:$C$675,A105)+SUMIFS(Compta!$F$2:$F$675,Compta!$A$2:$A$675,B105,Compta!$B$2:$B$675,"615",Compta!$C$2:$C$675,A105)+SUMIFS(Compta!$F$2:$F$675,Compta!$A$2:$A$675,B105,Compta!$B$2:$B$675,"616",Compta!$C$2:$C$675,A105)+SUMIFS(Compta!$F$2:$F$675,Compta!$A$2:$A$675,B105,Compta!$B$2:$B$675,"625",Compta!$C$2:$C$675,A105)+SUMIFS(Compta!$F$2:$F$675,Compta!$A$2:$A$675,B105,Compta!$B$2:$B$675,"63511",Compta!$C$2:$C$675,A105)</f>
        <v/>
      </c>
      <c r="AB105">
        <f>SUMIFS(Compta!$F$2:$F$675,Compta!$A$2:$A$675,"GRP",Compta!$B$2:$B$675,"6414",Compta!$C$2:$C$675,A105)+SUMIFS(Compta!$F$2:$F$675,Compta!$A$2:$A$675,"GRP",Compta!$B$2:$B$675,"6226",Compta!$C$2:$C$675,A105)+SUMIFS(Compta!$F$2:$F$675,Compta!$A$2:$A$675,"GRP",Compta!$B$2:$B$675,"6236",Compta!$C$2:$C$675,A105)+SUMIFS(Compta!$F$2:$F$675,Compta!$A$2:$A$675,"GRP",Compta!$B$2:$B$675,"626",Compta!$C$2:$C$675,A105)+SUMIFS(Compta!$F$2:$F$675,Compta!$A$2:$A$675,"GRP",Compta!$B$2:$B$675,"6281",Compta!$C$2:$C$675,A105)+SUMIFS(Compta!$F$2:$F$675,Compta!$A$2:$A$675,"GRP",Compta!$B$2:$B$675,"6331",Compta!$C$2:$C$675,A105)+SUMIFS(Compta!$F$2:$F$675,Compta!$A$2:$A$675,"GRP",Compta!$B$2:$B$675,"6333",Compta!$C$2:$C$675,A105)</f>
        <v/>
      </c>
      <c r="AC105">
        <f>IF(Pilotage!$E$10="Chiffre d'affaires",I105,IF(Pilotage!$E$10="Effectif",G105,H105))</f>
        <v/>
      </c>
      <c r="AD105">
        <f>IF(Pilotage!$E$10="Chiffre d'affaires",N105,IF(Pilotage!$E$10="Effectif",L105,M105))</f>
        <v/>
      </c>
      <c r="AE105">
        <f>IF(Pilotage!$E$8="Chiffre d'affaires",N105,IF(Pilotage!$E$8="Effectif",L105,M105))</f>
        <v/>
      </c>
      <c r="AF105">
        <f>IF(Pilotage!$E$8="Chiffre d'affaires",S105,IF(Pilotage!$E$8="Effectif",Q105,R105))</f>
        <v/>
      </c>
      <c r="AG105">
        <f>IF(Pilotage!$E$9="Chiffre d'affaires",S105,IF(Pilotage!$E$9="Effectif",Q105,R105))</f>
        <v/>
      </c>
      <c r="AH105">
        <f>IF(Pilotage!$E$9="Chiffre d'affaires",V105,IF(Pilotage!$E$9="Effectif",T105,U105))</f>
        <v/>
      </c>
      <c r="AI105">
        <f>W105*IFERROR(K105/O105,0)</f>
        <v/>
      </c>
      <c r="AJ105">
        <f>X105*IFERROR(K105/O105,0)</f>
        <v/>
      </c>
      <c r="AK105">
        <f>Y105*IFERROR(G105/L105,0)+Z105*IFERROR(J105/P105,0)</f>
        <v/>
      </c>
      <c r="AL105">
        <f>AA105*IFERROR(AC105/AD105,0)</f>
        <v/>
      </c>
      <c r="AM105">
        <f>AB105*IFERROR(AG105/AH105,0)*IFERROR(AE105/AF105,0)*IFERROR(AC105/AD105,0)</f>
        <v/>
      </c>
      <c r="AN105">
        <f>I105-(AI105+AJ105+AK105+AL105+AM105)</f>
        <v/>
      </c>
    </row>
    <row r="106">
      <c r="A106">
        <f>Allocation!C106</f>
        <v/>
      </c>
      <c r="B106">
        <f>Allocation!D106</f>
        <v/>
      </c>
      <c r="C106">
        <f>Allocation!E106</f>
        <v/>
      </c>
      <c r="D106">
        <f>Allocation!F106</f>
        <v/>
      </c>
      <c r="E106">
        <f>Allocation!G106</f>
        <v/>
      </c>
      <c r="F106">
        <f>Allocation!H106</f>
        <v/>
      </c>
      <c r="G106">
        <f>Allocation!I106</f>
        <v/>
      </c>
      <c r="H106">
        <f>Allocation!J106</f>
        <v/>
      </c>
      <c r="I106">
        <f>Allocation!K106</f>
        <v/>
      </c>
      <c r="J106">
        <f>SUMIFS(Socle!$K$2:$K$175,Socle!$C$2:$C$175,B106,Socle!$D$2:$D$175,D106,Socle!$E$2:$E$175,E106,Socle!$F$2:$F$175,F106,Socle!$G$2:$G$175,A106)</f>
        <v/>
      </c>
      <c r="K106">
        <f>H106*IF(AND(LEFT(D106,3)="BAC",F106="INIT"),600,IF(LEFT(D106,3)="BAC",480,IF(AND(LEFT(D106,3)="MAS",F106="INIT"),520,IF(LEFT(D106,3)="MAS",420,IF(F106="INIT",1000,700)))))</f>
        <v/>
      </c>
      <c r="L106">
        <f>SUMIFS(Allocation!$I$2:$I$175,Allocation!$C$2:$C$175,A106,Allocation!$D$2:$D$175,B106)</f>
        <v/>
      </c>
      <c r="M106">
        <f>SUMIFS(Allocation!$J$2:$J$175,Allocation!$C$2:$C$175,A106,Allocation!$D$2:$D$175,B106)</f>
        <v/>
      </c>
      <c r="N106">
        <f>SUMIFS(Allocation!$K$2:$K$175,Allocation!$C$2:$C$175,A106,Allocation!$D$2:$D$175,B106)</f>
        <v/>
      </c>
      <c r="O106">
        <f>SUMIFS($K$2:$K$175,$A$2:$A$175,A106,$B$2:$B$175,B106)</f>
        <v/>
      </c>
      <c r="P106">
        <f>SUMIFS($J$2:$J$175,$A$2:$A$175,A106,$B$2:$B$175,B106)</f>
        <v/>
      </c>
      <c r="Q106">
        <f>SUMIFS(Allocation!$I$2:$I$175,Allocation!$C$2:$C$175,A106,Allocation!$E$2:$E$175,C106)</f>
        <v/>
      </c>
      <c r="R106">
        <f>SUMIFS(Allocation!$J$2:$J$175,Allocation!$C$2:$C$175,A106,Allocation!$E$2:$E$175,C106)</f>
        <v/>
      </c>
      <c r="S106">
        <f>SUMIFS(Allocation!$K$2:$K$175,Allocation!$C$2:$C$175,A106,Allocation!$E$2:$E$175,C106)</f>
        <v/>
      </c>
      <c r="T106">
        <f>SUMIFS(Allocation!$I$2:$I$175,Allocation!$C$2:$C$175,A106)</f>
        <v/>
      </c>
      <c r="U106">
        <f>SUMIFS(Allocation!$J$2:$J$175,Allocation!$C$2:$C$175,A106)</f>
        <v/>
      </c>
      <c r="V106">
        <f>SUMIFS(Allocation!$K$2:$K$175,Allocation!$C$2:$C$175,A106)</f>
        <v/>
      </c>
      <c r="W106">
        <f>SUMIFS(Compta!$F$2:$F$675,Compta!$A$2:$A$675,B106,Compta!$B$2:$B$675,"621",Compta!$C$2:$C$675,A106)</f>
        <v/>
      </c>
      <c r="X106">
        <f>SUMIFS(Compta!$F$2:$F$675,Compta!$A$2:$A$675,B106,Compta!$B$2:$B$675,"6411",Compta!$C$2:$C$675,A106)</f>
        <v/>
      </c>
      <c r="Y106">
        <f>SUMIFS(Compta!$F$2:$F$675,Compta!$A$2:$A$675,B106,Compta!$B$2:$B$675,"604",Compta!$C$2:$C$675,A106)+SUMIFS(Compta!$F$2:$F$675,Compta!$A$2:$A$675,B106,Compta!$B$2:$B$675,"6063",Compta!$C$2:$C$675,A106)</f>
        <v/>
      </c>
      <c r="Z106">
        <f>SUMIFS(Compta!$F$2:$F$675,Compta!$A$2:$A$675,B106,Compta!$B$2:$B$675,"6231",Compta!$C$2:$C$675,A106)</f>
        <v/>
      </c>
      <c r="AA106">
        <f>SUMIFS(Compta!$F$2:$F$675,Compta!$A$2:$A$675,B106,Compta!$B$2:$B$675,"6413",Compta!$C$2:$C$675,A106)+SUMIFS(Compta!$F$2:$F$675,Compta!$A$2:$A$675,B106,Compta!$B$2:$B$675,"645",Compta!$C$2:$C$675,A106)+SUMIFS(Compta!$F$2:$F$675,Compta!$A$2:$A$675,B106,Compta!$B$2:$B$675,"613",Compta!$C$2:$C$675,A106)+SUMIFS(Compta!$F$2:$F$675,Compta!$A$2:$A$675,B106,Compta!$B$2:$B$675,"615",Compta!$C$2:$C$675,A106)+SUMIFS(Compta!$F$2:$F$675,Compta!$A$2:$A$675,B106,Compta!$B$2:$B$675,"616",Compta!$C$2:$C$675,A106)+SUMIFS(Compta!$F$2:$F$675,Compta!$A$2:$A$675,B106,Compta!$B$2:$B$675,"625",Compta!$C$2:$C$675,A106)+SUMIFS(Compta!$F$2:$F$675,Compta!$A$2:$A$675,B106,Compta!$B$2:$B$675,"63511",Compta!$C$2:$C$675,A106)</f>
        <v/>
      </c>
      <c r="AB106">
        <f>SUMIFS(Compta!$F$2:$F$675,Compta!$A$2:$A$675,"GRP",Compta!$B$2:$B$675,"6414",Compta!$C$2:$C$675,A106)+SUMIFS(Compta!$F$2:$F$675,Compta!$A$2:$A$675,"GRP",Compta!$B$2:$B$675,"6226",Compta!$C$2:$C$675,A106)+SUMIFS(Compta!$F$2:$F$675,Compta!$A$2:$A$675,"GRP",Compta!$B$2:$B$675,"6236",Compta!$C$2:$C$675,A106)+SUMIFS(Compta!$F$2:$F$675,Compta!$A$2:$A$675,"GRP",Compta!$B$2:$B$675,"626",Compta!$C$2:$C$675,A106)+SUMIFS(Compta!$F$2:$F$675,Compta!$A$2:$A$675,"GRP",Compta!$B$2:$B$675,"6281",Compta!$C$2:$C$675,A106)+SUMIFS(Compta!$F$2:$F$675,Compta!$A$2:$A$675,"GRP",Compta!$B$2:$B$675,"6331",Compta!$C$2:$C$675,A106)+SUMIFS(Compta!$F$2:$F$675,Compta!$A$2:$A$675,"GRP",Compta!$B$2:$B$675,"6333",Compta!$C$2:$C$675,A106)</f>
        <v/>
      </c>
      <c r="AC106">
        <f>IF(Pilotage!$E$10="Chiffre d'affaires",I106,IF(Pilotage!$E$10="Effectif",G106,H106))</f>
        <v/>
      </c>
      <c r="AD106">
        <f>IF(Pilotage!$E$10="Chiffre d'affaires",N106,IF(Pilotage!$E$10="Effectif",L106,M106))</f>
        <v/>
      </c>
      <c r="AE106">
        <f>IF(Pilotage!$E$8="Chiffre d'affaires",N106,IF(Pilotage!$E$8="Effectif",L106,M106))</f>
        <v/>
      </c>
      <c r="AF106">
        <f>IF(Pilotage!$E$8="Chiffre d'affaires",S106,IF(Pilotage!$E$8="Effectif",Q106,R106))</f>
        <v/>
      </c>
      <c r="AG106">
        <f>IF(Pilotage!$E$9="Chiffre d'affaires",S106,IF(Pilotage!$E$9="Effectif",Q106,R106))</f>
        <v/>
      </c>
      <c r="AH106">
        <f>IF(Pilotage!$E$9="Chiffre d'affaires",V106,IF(Pilotage!$E$9="Effectif",T106,U106))</f>
        <v/>
      </c>
      <c r="AI106">
        <f>W106*IFERROR(K106/O106,0)</f>
        <v/>
      </c>
      <c r="AJ106">
        <f>X106*IFERROR(K106/O106,0)</f>
        <v/>
      </c>
      <c r="AK106">
        <f>Y106*IFERROR(G106/L106,0)+Z106*IFERROR(J106/P106,0)</f>
        <v/>
      </c>
      <c r="AL106">
        <f>AA106*IFERROR(AC106/AD106,0)</f>
        <v/>
      </c>
      <c r="AM106">
        <f>AB106*IFERROR(AG106/AH106,0)*IFERROR(AE106/AF106,0)*IFERROR(AC106/AD106,0)</f>
        <v/>
      </c>
      <c r="AN106">
        <f>I106-(AI106+AJ106+AK106+AL106+AM106)</f>
        <v/>
      </c>
    </row>
    <row r="107">
      <c r="A107">
        <f>Allocation!C107</f>
        <v/>
      </c>
      <c r="B107">
        <f>Allocation!D107</f>
        <v/>
      </c>
      <c r="C107">
        <f>Allocation!E107</f>
        <v/>
      </c>
      <c r="D107">
        <f>Allocation!F107</f>
        <v/>
      </c>
      <c r="E107">
        <f>Allocation!G107</f>
        <v/>
      </c>
      <c r="F107">
        <f>Allocation!H107</f>
        <v/>
      </c>
      <c r="G107">
        <f>Allocation!I107</f>
        <v/>
      </c>
      <c r="H107">
        <f>Allocation!J107</f>
        <v/>
      </c>
      <c r="I107">
        <f>Allocation!K107</f>
        <v/>
      </c>
      <c r="J107">
        <f>SUMIFS(Socle!$K$2:$K$175,Socle!$C$2:$C$175,B107,Socle!$D$2:$D$175,D107,Socle!$E$2:$E$175,E107,Socle!$F$2:$F$175,F107,Socle!$G$2:$G$175,A107)</f>
        <v/>
      </c>
      <c r="K107">
        <f>H107*IF(AND(LEFT(D107,3)="BAC",F107="INIT"),600,IF(LEFT(D107,3)="BAC",480,IF(AND(LEFT(D107,3)="MAS",F107="INIT"),520,IF(LEFT(D107,3)="MAS",420,IF(F107="INIT",1000,700)))))</f>
        <v/>
      </c>
      <c r="L107">
        <f>SUMIFS(Allocation!$I$2:$I$175,Allocation!$C$2:$C$175,A107,Allocation!$D$2:$D$175,B107)</f>
        <v/>
      </c>
      <c r="M107">
        <f>SUMIFS(Allocation!$J$2:$J$175,Allocation!$C$2:$C$175,A107,Allocation!$D$2:$D$175,B107)</f>
        <v/>
      </c>
      <c r="N107">
        <f>SUMIFS(Allocation!$K$2:$K$175,Allocation!$C$2:$C$175,A107,Allocation!$D$2:$D$175,B107)</f>
        <v/>
      </c>
      <c r="O107">
        <f>SUMIFS($K$2:$K$175,$A$2:$A$175,A107,$B$2:$B$175,B107)</f>
        <v/>
      </c>
      <c r="P107">
        <f>SUMIFS($J$2:$J$175,$A$2:$A$175,A107,$B$2:$B$175,B107)</f>
        <v/>
      </c>
      <c r="Q107">
        <f>SUMIFS(Allocation!$I$2:$I$175,Allocation!$C$2:$C$175,A107,Allocation!$E$2:$E$175,C107)</f>
        <v/>
      </c>
      <c r="R107">
        <f>SUMIFS(Allocation!$J$2:$J$175,Allocation!$C$2:$C$175,A107,Allocation!$E$2:$E$175,C107)</f>
        <v/>
      </c>
      <c r="S107">
        <f>SUMIFS(Allocation!$K$2:$K$175,Allocation!$C$2:$C$175,A107,Allocation!$E$2:$E$175,C107)</f>
        <v/>
      </c>
      <c r="T107">
        <f>SUMIFS(Allocation!$I$2:$I$175,Allocation!$C$2:$C$175,A107)</f>
        <v/>
      </c>
      <c r="U107">
        <f>SUMIFS(Allocation!$J$2:$J$175,Allocation!$C$2:$C$175,A107)</f>
        <v/>
      </c>
      <c r="V107">
        <f>SUMIFS(Allocation!$K$2:$K$175,Allocation!$C$2:$C$175,A107)</f>
        <v/>
      </c>
      <c r="W107">
        <f>SUMIFS(Compta!$F$2:$F$675,Compta!$A$2:$A$675,B107,Compta!$B$2:$B$675,"621",Compta!$C$2:$C$675,A107)</f>
        <v/>
      </c>
      <c r="X107">
        <f>SUMIFS(Compta!$F$2:$F$675,Compta!$A$2:$A$675,B107,Compta!$B$2:$B$675,"6411",Compta!$C$2:$C$675,A107)</f>
        <v/>
      </c>
      <c r="Y107">
        <f>SUMIFS(Compta!$F$2:$F$675,Compta!$A$2:$A$675,B107,Compta!$B$2:$B$675,"604",Compta!$C$2:$C$675,A107)+SUMIFS(Compta!$F$2:$F$675,Compta!$A$2:$A$675,B107,Compta!$B$2:$B$675,"6063",Compta!$C$2:$C$675,A107)</f>
        <v/>
      </c>
      <c r="Z107">
        <f>SUMIFS(Compta!$F$2:$F$675,Compta!$A$2:$A$675,B107,Compta!$B$2:$B$675,"6231",Compta!$C$2:$C$675,A107)</f>
        <v/>
      </c>
      <c r="AA107">
        <f>SUMIFS(Compta!$F$2:$F$675,Compta!$A$2:$A$675,B107,Compta!$B$2:$B$675,"6413",Compta!$C$2:$C$675,A107)+SUMIFS(Compta!$F$2:$F$675,Compta!$A$2:$A$675,B107,Compta!$B$2:$B$675,"645",Compta!$C$2:$C$675,A107)+SUMIFS(Compta!$F$2:$F$675,Compta!$A$2:$A$675,B107,Compta!$B$2:$B$675,"613",Compta!$C$2:$C$675,A107)+SUMIFS(Compta!$F$2:$F$675,Compta!$A$2:$A$675,B107,Compta!$B$2:$B$675,"615",Compta!$C$2:$C$675,A107)+SUMIFS(Compta!$F$2:$F$675,Compta!$A$2:$A$675,B107,Compta!$B$2:$B$675,"616",Compta!$C$2:$C$675,A107)+SUMIFS(Compta!$F$2:$F$675,Compta!$A$2:$A$675,B107,Compta!$B$2:$B$675,"625",Compta!$C$2:$C$675,A107)+SUMIFS(Compta!$F$2:$F$675,Compta!$A$2:$A$675,B107,Compta!$B$2:$B$675,"63511",Compta!$C$2:$C$675,A107)</f>
        <v/>
      </c>
      <c r="AB107">
        <f>SUMIFS(Compta!$F$2:$F$675,Compta!$A$2:$A$675,"GRP",Compta!$B$2:$B$675,"6414",Compta!$C$2:$C$675,A107)+SUMIFS(Compta!$F$2:$F$675,Compta!$A$2:$A$675,"GRP",Compta!$B$2:$B$675,"6226",Compta!$C$2:$C$675,A107)+SUMIFS(Compta!$F$2:$F$675,Compta!$A$2:$A$675,"GRP",Compta!$B$2:$B$675,"6236",Compta!$C$2:$C$675,A107)+SUMIFS(Compta!$F$2:$F$675,Compta!$A$2:$A$675,"GRP",Compta!$B$2:$B$675,"626",Compta!$C$2:$C$675,A107)+SUMIFS(Compta!$F$2:$F$675,Compta!$A$2:$A$675,"GRP",Compta!$B$2:$B$675,"6281",Compta!$C$2:$C$675,A107)+SUMIFS(Compta!$F$2:$F$675,Compta!$A$2:$A$675,"GRP",Compta!$B$2:$B$675,"6331",Compta!$C$2:$C$675,A107)+SUMIFS(Compta!$F$2:$F$675,Compta!$A$2:$A$675,"GRP",Compta!$B$2:$B$675,"6333",Compta!$C$2:$C$675,A107)</f>
        <v/>
      </c>
      <c r="AC107">
        <f>IF(Pilotage!$E$10="Chiffre d'affaires",I107,IF(Pilotage!$E$10="Effectif",G107,H107))</f>
        <v/>
      </c>
      <c r="AD107">
        <f>IF(Pilotage!$E$10="Chiffre d'affaires",N107,IF(Pilotage!$E$10="Effectif",L107,M107))</f>
        <v/>
      </c>
      <c r="AE107">
        <f>IF(Pilotage!$E$8="Chiffre d'affaires",N107,IF(Pilotage!$E$8="Effectif",L107,M107))</f>
        <v/>
      </c>
      <c r="AF107">
        <f>IF(Pilotage!$E$8="Chiffre d'affaires",S107,IF(Pilotage!$E$8="Effectif",Q107,R107))</f>
        <v/>
      </c>
      <c r="AG107">
        <f>IF(Pilotage!$E$9="Chiffre d'affaires",S107,IF(Pilotage!$E$9="Effectif",Q107,R107))</f>
        <v/>
      </c>
      <c r="AH107">
        <f>IF(Pilotage!$E$9="Chiffre d'affaires",V107,IF(Pilotage!$E$9="Effectif",T107,U107))</f>
        <v/>
      </c>
      <c r="AI107">
        <f>W107*IFERROR(K107/O107,0)</f>
        <v/>
      </c>
      <c r="AJ107">
        <f>X107*IFERROR(K107/O107,0)</f>
        <v/>
      </c>
      <c r="AK107">
        <f>Y107*IFERROR(G107/L107,0)+Z107*IFERROR(J107/P107,0)</f>
        <v/>
      </c>
      <c r="AL107">
        <f>AA107*IFERROR(AC107/AD107,0)</f>
        <v/>
      </c>
      <c r="AM107">
        <f>AB107*IFERROR(AG107/AH107,0)*IFERROR(AE107/AF107,0)*IFERROR(AC107/AD107,0)</f>
        <v/>
      </c>
      <c r="AN107">
        <f>I107-(AI107+AJ107+AK107+AL107+AM107)</f>
        <v/>
      </c>
    </row>
    <row r="108">
      <c r="A108">
        <f>Allocation!C108</f>
        <v/>
      </c>
      <c r="B108">
        <f>Allocation!D108</f>
        <v/>
      </c>
      <c r="C108">
        <f>Allocation!E108</f>
        <v/>
      </c>
      <c r="D108">
        <f>Allocation!F108</f>
        <v/>
      </c>
      <c r="E108">
        <f>Allocation!G108</f>
        <v/>
      </c>
      <c r="F108">
        <f>Allocation!H108</f>
        <v/>
      </c>
      <c r="G108">
        <f>Allocation!I108</f>
        <v/>
      </c>
      <c r="H108">
        <f>Allocation!J108</f>
        <v/>
      </c>
      <c r="I108">
        <f>Allocation!K108</f>
        <v/>
      </c>
      <c r="J108">
        <f>SUMIFS(Socle!$K$2:$K$175,Socle!$C$2:$C$175,B108,Socle!$D$2:$D$175,D108,Socle!$E$2:$E$175,E108,Socle!$F$2:$F$175,F108,Socle!$G$2:$G$175,A108)</f>
        <v/>
      </c>
      <c r="K108">
        <f>H108*IF(AND(LEFT(D108,3)="BAC",F108="INIT"),600,IF(LEFT(D108,3)="BAC",480,IF(AND(LEFT(D108,3)="MAS",F108="INIT"),520,IF(LEFT(D108,3)="MAS",420,IF(F108="INIT",1000,700)))))</f>
        <v/>
      </c>
      <c r="L108">
        <f>SUMIFS(Allocation!$I$2:$I$175,Allocation!$C$2:$C$175,A108,Allocation!$D$2:$D$175,B108)</f>
        <v/>
      </c>
      <c r="M108">
        <f>SUMIFS(Allocation!$J$2:$J$175,Allocation!$C$2:$C$175,A108,Allocation!$D$2:$D$175,B108)</f>
        <v/>
      </c>
      <c r="N108">
        <f>SUMIFS(Allocation!$K$2:$K$175,Allocation!$C$2:$C$175,A108,Allocation!$D$2:$D$175,B108)</f>
        <v/>
      </c>
      <c r="O108">
        <f>SUMIFS($K$2:$K$175,$A$2:$A$175,A108,$B$2:$B$175,B108)</f>
        <v/>
      </c>
      <c r="P108">
        <f>SUMIFS($J$2:$J$175,$A$2:$A$175,A108,$B$2:$B$175,B108)</f>
        <v/>
      </c>
      <c r="Q108">
        <f>SUMIFS(Allocation!$I$2:$I$175,Allocation!$C$2:$C$175,A108,Allocation!$E$2:$E$175,C108)</f>
        <v/>
      </c>
      <c r="R108">
        <f>SUMIFS(Allocation!$J$2:$J$175,Allocation!$C$2:$C$175,A108,Allocation!$E$2:$E$175,C108)</f>
        <v/>
      </c>
      <c r="S108">
        <f>SUMIFS(Allocation!$K$2:$K$175,Allocation!$C$2:$C$175,A108,Allocation!$E$2:$E$175,C108)</f>
        <v/>
      </c>
      <c r="T108">
        <f>SUMIFS(Allocation!$I$2:$I$175,Allocation!$C$2:$C$175,A108)</f>
        <v/>
      </c>
      <c r="U108">
        <f>SUMIFS(Allocation!$J$2:$J$175,Allocation!$C$2:$C$175,A108)</f>
        <v/>
      </c>
      <c r="V108">
        <f>SUMIFS(Allocation!$K$2:$K$175,Allocation!$C$2:$C$175,A108)</f>
        <v/>
      </c>
      <c r="W108">
        <f>SUMIFS(Compta!$F$2:$F$675,Compta!$A$2:$A$675,B108,Compta!$B$2:$B$675,"621",Compta!$C$2:$C$675,A108)</f>
        <v/>
      </c>
      <c r="X108">
        <f>SUMIFS(Compta!$F$2:$F$675,Compta!$A$2:$A$675,B108,Compta!$B$2:$B$675,"6411",Compta!$C$2:$C$675,A108)</f>
        <v/>
      </c>
      <c r="Y108">
        <f>SUMIFS(Compta!$F$2:$F$675,Compta!$A$2:$A$675,B108,Compta!$B$2:$B$675,"604",Compta!$C$2:$C$675,A108)+SUMIFS(Compta!$F$2:$F$675,Compta!$A$2:$A$675,B108,Compta!$B$2:$B$675,"6063",Compta!$C$2:$C$675,A108)</f>
        <v/>
      </c>
      <c r="Z108">
        <f>SUMIFS(Compta!$F$2:$F$675,Compta!$A$2:$A$675,B108,Compta!$B$2:$B$675,"6231",Compta!$C$2:$C$675,A108)</f>
        <v/>
      </c>
      <c r="AA108">
        <f>SUMIFS(Compta!$F$2:$F$675,Compta!$A$2:$A$675,B108,Compta!$B$2:$B$675,"6413",Compta!$C$2:$C$675,A108)+SUMIFS(Compta!$F$2:$F$675,Compta!$A$2:$A$675,B108,Compta!$B$2:$B$675,"645",Compta!$C$2:$C$675,A108)+SUMIFS(Compta!$F$2:$F$675,Compta!$A$2:$A$675,B108,Compta!$B$2:$B$675,"613",Compta!$C$2:$C$675,A108)+SUMIFS(Compta!$F$2:$F$675,Compta!$A$2:$A$675,B108,Compta!$B$2:$B$675,"615",Compta!$C$2:$C$675,A108)+SUMIFS(Compta!$F$2:$F$675,Compta!$A$2:$A$675,B108,Compta!$B$2:$B$675,"616",Compta!$C$2:$C$675,A108)+SUMIFS(Compta!$F$2:$F$675,Compta!$A$2:$A$675,B108,Compta!$B$2:$B$675,"625",Compta!$C$2:$C$675,A108)+SUMIFS(Compta!$F$2:$F$675,Compta!$A$2:$A$675,B108,Compta!$B$2:$B$675,"63511",Compta!$C$2:$C$675,A108)</f>
        <v/>
      </c>
      <c r="AB108">
        <f>SUMIFS(Compta!$F$2:$F$675,Compta!$A$2:$A$675,"GRP",Compta!$B$2:$B$675,"6414",Compta!$C$2:$C$675,A108)+SUMIFS(Compta!$F$2:$F$675,Compta!$A$2:$A$675,"GRP",Compta!$B$2:$B$675,"6226",Compta!$C$2:$C$675,A108)+SUMIFS(Compta!$F$2:$F$675,Compta!$A$2:$A$675,"GRP",Compta!$B$2:$B$675,"6236",Compta!$C$2:$C$675,A108)+SUMIFS(Compta!$F$2:$F$675,Compta!$A$2:$A$675,"GRP",Compta!$B$2:$B$675,"626",Compta!$C$2:$C$675,A108)+SUMIFS(Compta!$F$2:$F$675,Compta!$A$2:$A$675,"GRP",Compta!$B$2:$B$675,"6281",Compta!$C$2:$C$675,A108)+SUMIFS(Compta!$F$2:$F$675,Compta!$A$2:$A$675,"GRP",Compta!$B$2:$B$675,"6331",Compta!$C$2:$C$675,A108)+SUMIFS(Compta!$F$2:$F$675,Compta!$A$2:$A$675,"GRP",Compta!$B$2:$B$675,"6333",Compta!$C$2:$C$675,A108)</f>
        <v/>
      </c>
      <c r="AC108">
        <f>IF(Pilotage!$E$10="Chiffre d'affaires",I108,IF(Pilotage!$E$10="Effectif",G108,H108))</f>
        <v/>
      </c>
      <c r="AD108">
        <f>IF(Pilotage!$E$10="Chiffre d'affaires",N108,IF(Pilotage!$E$10="Effectif",L108,M108))</f>
        <v/>
      </c>
      <c r="AE108">
        <f>IF(Pilotage!$E$8="Chiffre d'affaires",N108,IF(Pilotage!$E$8="Effectif",L108,M108))</f>
        <v/>
      </c>
      <c r="AF108">
        <f>IF(Pilotage!$E$8="Chiffre d'affaires",S108,IF(Pilotage!$E$8="Effectif",Q108,R108))</f>
        <v/>
      </c>
      <c r="AG108">
        <f>IF(Pilotage!$E$9="Chiffre d'affaires",S108,IF(Pilotage!$E$9="Effectif",Q108,R108))</f>
        <v/>
      </c>
      <c r="AH108">
        <f>IF(Pilotage!$E$9="Chiffre d'affaires",V108,IF(Pilotage!$E$9="Effectif",T108,U108))</f>
        <v/>
      </c>
      <c r="AI108">
        <f>W108*IFERROR(K108/O108,0)</f>
        <v/>
      </c>
      <c r="AJ108">
        <f>X108*IFERROR(K108/O108,0)</f>
        <v/>
      </c>
      <c r="AK108">
        <f>Y108*IFERROR(G108/L108,0)+Z108*IFERROR(J108/P108,0)</f>
        <v/>
      </c>
      <c r="AL108">
        <f>AA108*IFERROR(AC108/AD108,0)</f>
        <v/>
      </c>
      <c r="AM108">
        <f>AB108*IFERROR(AG108/AH108,0)*IFERROR(AE108/AF108,0)*IFERROR(AC108/AD108,0)</f>
        <v/>
      </c>
      <c r="AN108">
        <f>I108-(AI108+AJ108+AK108+AL108+AM108)</f>
        <v/>
      </c>
    </row>
    <row r="109">
      <c r="A109">
        <f>Allocation!C109</f>
        <v/>
      </c>
      <c r="B109">
        <f>Allocation!D109</f>
        <v/>
      </c>
      <c r="C109">
        <f>Allocation!E109</f>
        <v/>
      </c>
      <c r="D109">
        <f>Allocation!F109</f>
        <v/>
      </c>
      <c r="E109">
        <f>Allocation!G109</f>
        <v/>
      </c>
      <c r="F109">
        <f>Allocation!H109</f>
        <v/>
      </c>
      <c r="G109">
        <f>Allocation!I109</f>
        <v/>
      </c>
      <c r="H109">
        <f>Allocation!J109</f>
        <v/>
      </c>
      <c r="I109">
        <f>Allocation!K109</f>
        <v/>
      </c>
      <c r="J109">
        <f>SUMIFS(Socle!$K$2:$K$175,Socle!$C$2:$C$175,B109,Socle!$D$2:$D$175,D109,Socle!$E$2:$E$175,E109,Socle!$F$2:$F$175,F109,Socle!$G$2:$G$175,A109)</f>
        <v/>
      </c>
      <c r="K109">
        <f>H109*IF(AND(LEFT(D109,3)="BAC",F109="INIT"),600,IF(LEFT(D109,3)="BAC",480,IF(AND(LEFT(D109,3)="MAS",F109="INIT"),520,IF(LEFT(D109,3)="MAS",420,IF(F109="INIT",1000,700)))))</f>
        <v/>
      </c>
      <c r="L109">
        <f>SUMIFS(Allocation!$I$2:$I$175,Allocation!$C$2:$C$175,A109,Allocation!$D$2:$D$175,B109)</f>
        <v/>
      </c>
      <c r="M109">
        <f>SUMIFS(Allocation!$J$2:$J$175,Allocation!$C$2:$C$175,A109,Allocation!$D$2:$D$175,B109)</f>
        <v/>
      </c>
      <c r="N109">
        <f>SUMIFS(Allocation!$K$2:$K$175,Allocation!$C$2:$C$175,A109,Allocation!$D$2:$D$175,B109)</f>
        <v/>
      </c>
      <c r="O109">
        <f>SUMIFS($K$2:$K$175,$A$2:$A$175,A109,$B$2:$B$175,B109)</f>
        <v/>
      </c>
      <c r="P109">
        <f>SUMIFS($J$2:$J$175,$A$2:$A$175,A109,$B$2:$B$175,B109)</f>
        <v/>
      </c>
      <c r="Q109">
        <f>SUMIFS(Allocation!$I$2:$I$175,Allocation!$C$2:$C$175,A109,Allocation!$E$2:$E$175,C109)</f>
        <v/>
      </c>
      <c r="R109">
        <f>SUMIFS(Allocation!$J$2:$J$175,Allocation!$C$2:$C$175,A109,Allocation!$E$2:$E$175,C109)</f>
        <v/>
      </c>
      <c r="S109">
        <f>SUMIFS(Allocation!$K$2:$K$175,Allocation!$C$2:$C$175,A109,Allocation!$E$2:$E$175,C109)</f>
        <v/>
      </c>
      <c r="T109">
        <f>SUMIFS(Allocation!$I$2:$I$175,Allocation!$C$2:$C$175,A109)</f>
        <v/>
      </c>
      <c r="U109">
        <f>SUMIFS(Allocation!$J$2:$J$175,Allocation!$C$2:$C$175,A109)</f>
        <v/>
      </c>
      <c r="V109">
        <f>SUMIFS(Allocation!$K$2:$K$175,Allocation!$C$2:$C$175,A109)</f>
        <v/>
      </c>
      <c r="W109">
        <f>SUMIFS(Compta!$F$2:$F$675,Compta!$A$2:$A$675,B109,Compta!$B$2:$B$675,"621",Compta!$C$2:$C$675,A109)</f>
        <v/>
      </c>
      <c r="X109">
        <f>SUMIFS(Compta!$F$2:$F$675,Compta!$A$2:$A$675,B109,Compta!$B$2:$B$675,"6411",Compta!$C$2:$C$675,A109)</f>
        <v/>
      </c>
      <c r="Y109">
        <f>SUMIFS(Compta!$F$2:$F$675,Compta!$A$2:$A$675,B109,Compta!$B$2:$B$675,"604",Compta!$C$2:$C$675,A109)+SUMIFS(Compta!$F$2:$F$675,Compta!$A$2:$A$675,B109,Compta!$B$2:$B$675,"6063",Compta!$C$2:$C$675,A109)</f>
        <v/>
      </c>
      <c r="Z109">
        <f>SUMIFS(Compta!$F$2:$F$675,Compta!$A$2:$A$675,B109,Compta!$B$2:$B$675,"6231",Compta!$C$2:$C$675,A109)</f>
        <v/>
      </c>
      <c r="AA109">
        <f>SUMIFS(Compta!$F$2:$F$675,Compta!$A$2:$A$675,B109,Compta!$B$2:$B$675,"6413",Compta!$C$2:$C$675,A109)+SUMIFS(Compta!$F$2:$F$675,Compta!$A$2:$A$675,B109,Compta!$B$2:$B$675,"645",Compta!$C$2:$C$675,A109)+SUMIFS(Compta!$F$2:$F$675,Compta!$A$2:$A$675,B109,Compta!$B$2:$B$675,"613",Compta!$C$2:$C$675,A109)+SUMIFS(Compta!$F$2:$F$675,Compta!$A$2:$A$675,B109,Compta!$B$2:$B$675,"615",Compta!$C$2:$C$675,A109)+SUMIFS(Compta!$F$2:$F$675,Compta!$A$2:$A$675,B109,Compta!$B$2:$B$675,"616",Compta!$C$2:$C$675,A109)+SUMIFS(Compta!$F$2:$F$675,Compta!$A$2:$A$675,B109,Compta!$B$2:$B$675,"625",Compta!$C$2:$C$675,A109)+SUMIFS(Compta!$F$2:$F$675,Compta!$A$2:$A$675,B109,Compta!$B$2:$B$675,"63511",Compta!$C$2:$C$675,A109)</f>
        <v/>
      </c>
      <c r="AB109">
        <f>SUMIFS(Compta!$F$2:$F$675,Compta!$A$2:$A$675,"GRP",Compta!$B$2:$B$675,"6414",Compta!$C$2:$C$675,A109)+SUMIFS(Compta!$F$2:$F$675,Compta!$A$2:$A$675,"GRP",Compta!$B$2:$B$675,"6226",Compta!$C$2:$C$675,A109)+SUMIFS(Compta!$F$2:$F$675,Compta!$A$2:$A$675,"GRP",Compta!$B$2:$B$675,"6236",Compta!$C$2:$C$675,A109)+SUMIFS(Compta!$F$2:$F$675,Compta!$A$2:$A$675,"GRP",Compta!$B$2:$B$675,"626",Compta!$C$2:$C$675,A109)+SUMIFS(Compta!$F$2:$F$675,Compta!$A$2:$A$675,"GRP",Compta!$B$2:$B$675,"6281",Compta!$C$2:$C$675,A109)+SUMIFS(Compta!$F$2:$F$675,Compta!$A$2:$A$675,"GRP",Compta!$B$2:$B$675,"6331",Compta!$C$2:$C$675,A109)+SUMIFS(Compta!$F$2:$F$675,Compta!$A$2:$A$675,"GRP",Compta!$B$2:$B$675,"6333",Compta!$C$2:$C$675,A109)</f>
        <v/>
      </c>
      <c r="AC109">
        <f>IF(Pilotage!$E$10="Chiffre d'affaires",I109,IF(Pilotage!$E$10="Effectif",G109,H109))</f>
        <v/>
      </c>
      <c r="AD109">
        <f>IF(Pilotage!$E$10="Chiffre d'affaires",N109,IF(Pilotage!$E$10="Effectif",L109,M109))</f>
        <v/>
      </c>
      <c r="AE109">
        <f>IF(Pilotage!$E$8="Chiffre d'affaires",N109,IF(Pilotage!$E$8="Effectif",L109,M109))</f>
        <v/>
      </c>
      <c r="AF109">
        <f>IF(Pilotage!$E$8="Chiffre d'affaires",S109,IF(Pilotage!$E$8="Effectif",Q109,R109))</f>
        <v/>
      </c>
      <c r="AG109">
        <f>IF(Pilotage!$E$9="Chiffre d'affaires",S109,IF(Pilotage!$E$9="Effectif",Q109,R109))</f>
        <v/>
      </c>
      <c r="AH109">
        <f>IF(Pilotage!$E$9="Chiffre d'affaires",V109,IF(Pilotage!$E$9="Effectif",T109,U109))</f>
        <v/>
      </c>
      <c r="AI109">
        <f>W109*IFERROR(K109/O109,0)</f>
        <v/>
      </c>
      <c r="AJ109">
        <f>X109*IFERROR(K109/O109,0)</f>
        <v/>
      </c>
      <c r="AK109">
        <f>Y109*IFERROR(G109/L109,0)+Z109*IFERROR(J109/P109,0)</f>
        <v/>
      </c>
      <c r="AL109">
        <f>AA109*IFERROR(AC109/AD109,0)</f>
        <v/>
      </c>
      <c r="AM109">
        <f>AB109*IFERROR(AG109/AH109,0)*IFERROR(AE109/AF109,0)*IFERROR(AC109/AD109,0)</f>
        <v/>
      </c>
      <c r="AN109">
        <f>I109-(AI109+AJ109+AK109+AL109+AM109)</f>
        <v/>
      </c>
    </row>
    <row r="110">
      <c r="A110">
        <f>Allocation!C110</f>
        <v/>
      </c>
      <c r="B110">
        <f>Allocation!D110</f>
        <v/>
      </c>
      <c r="C110">
        <f>Allocation!E110</f>
        <v/>
      </c>
      <c r="D110">
        <f>Allocation!F110</f>
        <v/>
      </c>
      <c r="E110">
        <f>Allocation!G110</f>
        <v/>
      </c>
      <c r="F110">
        <f>Allocation!H110</f>
        <v/>
      </c>
      <c r="G110">
        <f>Allocation!I110</f>
        <v/>
      </c>
      <c r="H110">
        <f>Allocation!J110</f>
        <v/>
      </c>
      <c r="I110">
        <f>Allocation!K110</f>
        <v/>
      </c>
      <c r="J110">
        <f>SUMIFS(Socle!$K$2:$K$175,Socle!$C$2:$C$175,B110,Socle!$D$2:$D$175,D110,Socle!$E$2:$E$175,E110,Socle!$F$2:$F$175,F110,Socle!$G$2:$G$175,A110)</f>
        <v/>
      </c>
      <c r="K110">
        <f>H110*IF(AND(LEFT(D110,3)="BAC",F110="INIT"),600,IF(LEFT(D110,3)="BAC",480,IF(AND(LEFT(D110,3)="MAS",F110="INIT"),520,IF(LEFT(D110,3)="MAS",420,IF(F110="INIT",1000,700)))))</f>
        <v/>
      </c>
      <c r="L110">
        <f>SUMIFS(Allocation!$I$2:$I$175,Allocation!$C$2:$C$175,A110,Allocation!$D$2:$D$175,B110)</f>
        <v/>
      </c>
      <c r="M110">
        <f>SUMIFS(Allocation!$J$2:$J$175,Allocation!$C$2:$C$175,A110,Allocation!$D$2:$D$175,B110)</f>
        <v/>
      </c>
      <c r="N110">
        <f>SUMIFS(Allocation!$K$2:$K$175,Allocation!$C$2:$C$175,A110,Allocation!$D$2:$D$175,B110)</f>
        <v/>
      </c>
      <c r="O110">
        <f>SUMIFS($K$2:$K$175,$A$2:$A$175,A110,$B$2:$B$175,B110)</f>
        <v/>
      </c>
      <c r="P110">
        <f>SUMIFS($J$2:$J$175,$A$2:$A$175,A110,$B$2:$B$175,B110)</f>
        <v/>
      </c>
      <c r="Q110">
        <f>SUMIFS(Allocation!$I$2:$I$175,Allocation!$C$2:$C$175,A110,Allocation!$E$2:$E$175,C110)</f>
        <v/>
      </c>
      <c r="R110">
        <f>SUMIFS(Allocation!$J$2:$J$175,Allocation!$C$2:$C$175,A110,Allocation!$E$2:$E$175,C110)</f>
        <v/>
      </c>
      <c r="S110">
        <f>SUMIFS(Allocation!$K$2:$K$175,Allocation!$C$2:$C$175,A110,Allocation!$E$2:$E$175,C110)</f>
        <v/>
      </c>
      <c r="T110">
        <f>SUMIFS(Allocation!$I$2:$I$175,Allocation!$C$2:$C$175,A110)</f>
        <v/>
      </c>
      <c r="U110">
        <f>SUMIFS(Allocation!$J$2:$J$175,Allocation!$C$2:$C$175,A110)</f>
        <v/>
      </c>
      <c r="V110">
        <f>SUMIFS(Allocation!$K$2:$K$175,Allocation!$C$2:$C$175,A110)</f>
        <v/>
      </c>
      <c r="W110">
        <f>SUMIFS(Compta!$F$2:$F$675,Compta!$A$2:$A$675,B110,Compta!$B$2:$B$675,"621",Compta!$C$2:$C$675,A110)</f>
        <v/>
      </c>
      <c r="X110">
        <f>SUMIFS(Compta!$F$2:$F$675,Compta!$A$2:$A$675,B110,Compta!$B$2:$B$675,"6411",Compta!$C$2:$C$675,A110)</f>
        <v/>
      </c>
      <c r="Y110">
        <f>SUMIFS(Compta!$F$2:$F$675,Compta!$A$2:$A$675,B110,Compta!$B$2:$B$675,"604",Compta!$C$2:$C$675,A110)+SUMIFS(Compta!$F$2:$F$675,Compta!$A$2:$A$675,B110,Compta!$B$2:$B$675,"6063",Compta!$C$2:$C$675,A110)</f>
        <v/>
      </c>
      <c r="Z110">
        <f>SUMIFS(Compta!$F$2:$F$675,Compta!$A$2:$A$675,B110,Compta!$B$2:$B$675,"6231",Compta!$C$2:$C$675,A110)</f>
        <v/>
      </c>
      <c r="AA110">
        <f>SUMIFS(Compta!$F$2:$F$675,Compta!$A$2:$A$675,B110,Compta!$B$2:$B$675,"6413",Compta!$C$2:$C$675,A110)+SUMIFS(Compta!$F$2:$F$675,Compta!$A$2:$A$675,B110,Compta!$B$2:$B$675,"645",Compta!$C$2:$C$675,A110)+SUMIFS(Compta!$F$2:$F$675,Compta!$A$2:$A$675,B110,Compta!$B$2:$B$675,"613",Compta!$C$2:$C$675,A110)+SUMIFS(Compta!$F$2:$F$675,Compta!$A$2:$A$675,B110,Compta!$B$2:$B$675,"615",Compta!$C$2:$C$675,A110)+SUMIFS(Compta!$F$2:$F$675,Compta!$A$2:$A$675,B110,Compta!$B$2:$B$675,"616",Compta!$C$2:$C$675,A110)+SUMIFS(Compta!$F$2:$F$675,Compta!$A$2:$A$675,B110,Compta!$B$2:$B$675,"625",Compta!$C$2:$C$675,A110)+SUMIFS(Compta!$F$2:$F$675,Compta!$A$2:$A$675,B110,Compta!$B$2:$B$675,"63511",Compta!$C$2:$C$675,A110)</f>
        <v/>
      </c>
      <c r="AB110">
        <f>SUMIFS(Compta!$F$2:$F$675,Compta!$A$2:$A$675,"GRP",Compta!$B$2:$B$675,"6414",Compta!$C$2:$C$675,A110)+SUMIFS(Compta!$F$2:$F$675,Compta!$A$2:$A$675,"GRP",Compta!$B$2:$B$675,"6226",Compta!$C$2:$C$675,A110)+SUMIFS(Compta!$F$2:$F$675,Compta!$A$2:$A$675,"GRP",Compta!$B$2:$B$675,"6236",Compta!$C$2:$C$675,A110)+SUMIFS(Compta!$F$2:$F$675,Compta!$A$2:$A$675,"GRP",Compta!$B$2:$B$675,"626",Compta!$C$2:$C$675,A110)+SUMIFS(Compta!$F$2:$F$675,Compta!$A$2:$A$675,"GRP",Compta!$B$2:$B$675,"6281",Compta!$C$2:$C$675,A110)+SUMIFS(Compta!$F$2:$F$675,Compta!$A$2:$A$675,"GRP",Compta!$B$2:$B$675,"6331",Compta!$C$2:$C$675,A110)+SUMIFS(Compta!$F$2:$F$675,Compta!$A$2:$A$675,"GRP",Compta!$B$2:$B$675,"6333",Compta!$C$2:$C$675,A110)</f>
        <v/>
      </c>
      <c r="AC110">
        <f>IF(Pilotage!$E$10="Chiffre d'affaires",I110,IF(Pilotage!$E$10="Effectif",G110,H110))</f>
        <v/>
      </c>
      <c r="AD110">
        <f>IF(Pilotage!$E$10="Chiffre d'affaires",N110,IF(Pilotage!$E$10="Effectif",L110,M110))</f>
        <v/>
      </c>
      <c r="AE110">
        <f>IF(Pilotage!$E$8="Chiffre d'affaires",N110,IF(Pilotage!$E$8="Effectif",L110,M110))</f>
        <v/>
      </c>
      <c r="AF110">
        <f>IF(Pilotage!$E$8="Chiffre d'affaires",S110,IF(Pilotage!$E$8="Effectif",Q110,R110))</f>
        <v/>
      </c>
      <c r="AG110">
        <f>IF(Pilotage!$E$9="Chiffre d'affaires",S110,IF(Pilotage!$E$9="Effectif",Q110,R110))</f>
        <v/>
      </c>
      <c r="AH110">
        <f>IF(Pilotage!$E$9="Chiffre d'affaires",V110,IF(Pilotage!$E$9="Effectif",T110,U110))</f>
        <v/>
      </c>
      <c r="AI110">
        <f>W110*IFERROR(K110/O110,0)</f>
        <v/>
      </c>
      <c r="AJ110">
        <f>X110*IFERROR(K110/O110,0)</f>
        <v/>
      </c>
      <c r="AK110">
        <f>Y110*IFERROR(G110/L110,0)+Z110*IFERROR(J110/P110,0)</f>
        <v/>
      </c>
      <c r="AL110">
        <f>AA110*IFERROR(AC110/AD110,0)</f>
        <v/>
      </c>
      <c r="AM110">
        <f>AB110*IFERROR(AG110/AH110,0)*IFERROR(AE110/AF110,0)*IFERROR(AC110/AD110,0)</f>
        <v/>
      </c>
      <c r="AN110">
        <f>I110-(AI110+AJ110+AK110+AL110+AM110)</f>
        <v/>
      </c>
    </row>
    <row r="111">
      <c r="A111">
        <f>Allocation!C111</f>
        <v/>
      </c>
      <c r="B111">
        <f>Allocation!D111</f>
        <v/>
      </c>
      <c r="C111">
        <f>Allocation!E111</f>
        <v/>
      </c>
      <c r="D111">
        <f>Allocation!F111</f>
        <v/>
      </c>
      <c r="E111">
        <f>Allocation!G111</f>
        <v/>
      </c>
      <c r="F111">
        <f>Allocation!H111</f>
        <v/>
      </c>
      <c r="G111">
        <f>Allocation!I111</f>
        <v/>
      </c>
      <c r="H111">
        <f>Allocation!J111</f>
        <v/>
      </c>
      <c r="I111">
        <f>Allocation!K111</f>
        <v/>
      </c>
      <c r="J111">
        <f>SUMIFS(Socle!$K$2:$K$175,Socle!$C$2:$C$175,B111,Socle!$D$2:$D$175,D111,Socle!$E$2:$E$175,E111,Socle!$F$2:$F$175,F111,Socle!$G$2:$G$175,A111)</f>
        <v/>
      </c>
      <c r="K111">
        <f>H111*IF(AND(LEFT(D111,3)="BAC",F111="INIT"),600,IF(LEFT(D111,3)="BAC",480,IF(AND(LEFT(D111,3)="MAS",F111="INIT"),520,IF(LEFT(D111,3)="MAS",420,IF(F111="INIT",1000,700)))))</f>
        <v/>
      </c>
      <c r="L111">
        <f>SUMIFS(Allocation!$I$2:$I$175,Allocation!$C$2:$C$175,A111,Allocation!$D$2:$D$175,B111)</f>
        <v/>
      </c>
      <c r="M111">
        <f>SUMIFS(Allocation!$J$2:$J$175,Allocation!$C$2:$C$175,A111,Allocation!$D$2:$D$175,B111)</f>
        <v/>
      </c>
      <c r="N111">
        <f>SUMIFS(Allocation!$K$2:$K$175,Allocation!$C$2:$C$175,A111,Allocation!$D$2:$D$175,B111)</f>
        <v/>
      </c>
      <c r="O111">
        <f>SUMIFS($K$2:$K$175,$A$2:$A$175,A111,$B$2:$B$175,B111)</f>
        <v/>
      </c>
      <c r="P111">
        <f>SUMIFS($J$2:$J$175,$A$2:$A$175,A111,$B$2:$B$175,B111)</f>
        <v/>
      </c>
      <c r="Q111">
        <f>SUMIFS(Allocation!$I$2:$I$175,Allocation!$C$2:$C$175,A111,Allocation!$E$2:$E$175,C111)</f>
        <v/>
      </c>
      <c r="R111">
        <f>SUMIFS(Allocation!$J$2:$J$175,Allocation!$C$2:$C$175,A111,Allocation!$E$2:$E$175,C111)</f>
        <v/>
      </c>
      <c r="S111">
        <f>SUMIFS(Allocation!$K$2:$K$175,Allocation!$C$2:$C$175,A111,Allocation!$E$2:$E$175,C111)</f>
        <v/>
      </c>
      <c r="T111">
        <f>SUMIFS(Allocation!$I$2:$I$175,Allocation!$C$2:$C$175,A111)</f>
        <v/>
      </c>
      <c r="U111">
        <f>SUMIFS(Allocation!$J$2:$J$175,Allocation!$C$2:$C$175,A111)</f>
        <v/>
      </c>
      <c r="V111">
        <f>SUMIFS(Allocation!$K$2:$K$175,Allocation!$C$2:$C$175,A111)</f>
        <v/>
      </c>
      <c r="W111">
        <f>SUMIFS(Compta!$F$2:$F$675,Compta!$A$2:$A$675,B111,Compta!$B$2:$B$675,"621",Compta!$C$2:$C$675,A111)</f>
        <v/>
      </c>
      <c r="X111">
        <f>SUMIFS(Compta!$F$2:$F$675,Compta!$A$2:$A$675,B111,Compta!$B$2:$B$675,"6411",Compta!$C$2:$C$675,A111)</f>
        <v/>
      </c>
      <c r="Y111">
        <f>SUMIFS(Compta!$F$2:$F$675,Compta!$A$2:$A$675,B111,Compta!$B$2:$B$675,"604",Compta!$C$2:$C$675,A111)+SUMIFS(Compta!$F$2:$F$675,Compta!$A$2:$A$675,B111,Compta!$B$2:$B$675,"6063",Compta!$C$2:$C$675,A111)</f>
        <v/>
      </c>
      <c r="Z111">
        <f>SUMIFS(Compta!$F$2:$F$675,Compta!$A$2:$A$675,B111,Compta!$B$2:$B$675,"6231",Compta!$C$2:$C$675,A111)</f>
        <v/>
      </c>
      <c r="AA111">
        <f>SUMIFS(Compta!$F$2:$F$675,Compta!$A$2:$A$675,B111,Compta!$B$2:$B$675,"6413",Compta!$C$2:$C$675,A111)+SUMIFS(Compta!$F$2:$F$675,Compta!$A$2:$A$675,B111,Compta!$B$2:$B$675,"645",Compta!$C$2:$C$675,A111)+SUMIFS(Compta!$F$2:$F$675,Compta!$A$2:$A$675,B111,Compta!$B$2:$B$675,"613",Compta!$C$2:$C$675,A111)+SUMIFS(Compta!$F$2:$F$675,Compta!$A$2:$A$675,B111,Compta!$B$2:$B$675,"615",Compta!$C$2:$C$675,A111)+SUMIFS(Compta!$F$2:$F$675,Compta!$A$2:$A$675,B111,Compta!$B$2:$B$675,"616",Compta!$C$2:$C$675,A111)+SUMIFS(Compta!$F$2:$F$675,Compta!$A$2:$A$675,B111,Compta!$B$2:$B$675,"625",Compta!$C$2:$C$675,A111)+SUMIFS(Compta!$F$2:$F$675,Compta!$A$2:$A$675,B111,Compta!$B$2:$B$675,"63511",Compta!$C$2:$C$675,A111)</f>
        <v/>
      </c>
      <c r="AB111">
        <f>SUMIFS(Compta!$F$2:$F$675,Compta!$A$2:$A$675,"GRP",Compta!$B$2:$B$675,"6414",Compta!$C$2:$C$675,A111)+SUMIFS(Compta!$F$2:$F$675,Compta!$A$2:$A$675,"GRP",Compta!$B$2:$B$675,"6226",Compta!$C$2:$C$675,A111)+SUMIFS(Compta!$F$2:$F$675,Compta!$A$2:$A$675,"GRP",Compta!$B$2:$B$675,"6236",Compta!$C$2:$C$675,A111)+SUMIFS(Compta!$F$2:$F$675,Compta!$A$2:$A$675,"GRP",Compta!$B$2:$B$675,"626",Compta!$C$2:$C$675,A111)+SUMIFS(Compta!$F$2:$F$675,Compta!$A$2:$A$675,"GRP",Compta!$B$2:$B$675,"6281",Compta!$C$2:$C$675,A111)+SUMIFS(Compta!$F$2:$F$675,Compta!$A$2:$A$675,"GRP",Compta!$B$2:$B$675,"6331",Compta!$C$2:$C$675,A111)+SUMIFS(Compta!$F$2:$F$675,Compta!$A$2:$A$675,"GRP",Compta!$B$2:$B$675,"6333",Compta!$C$2:$C$675,A111)</f>
        <v/>
      </c>
      <c r="AC111">
        <f>IF(Pilotage!$E$10="Chiffre d'affaires",I111,IF(Pilotage!$E$10="Effectif",G111,H111))</f>
        <v/>
      </c>
      <c r="AD111">
        <f>IF(Pilotage!$E$10="Chiffre d'affaires",N111,IF(Pilotage!$E$10="Effectif",L111,M111))</f>
        <v/>
      </c>
      <c r="AE111">
        <f>IF(Pilotage!$E$8="Chiffre d'affaires",N111,IF(Pilotage!$E$8="Effectif",L111,M111))</f>
        <v/>
      </c>
      <c r="AF111">
        <f>IF(Pilotage!$E$8="Chiffre d'affaires",S111,IF(Pilotage!$E$8="Effectif",Q111,R111))</f>
        <v/>
      </c>
      <c r="AG111">
        <f>IF(Pilotage!$E$9="Chiffre d'affaires",S111,IF(Pilotage!$E$9="Effectif",Q111,R111))</f>
        <v/>
      </c>
      <c r="AH111">
        <f>IF(Pilotage!$E$9="Chiffre d'affaires",V111,IF(Pilotage!$E$9="Effectif",T111,U111))</f>
        <v/>
      </c>
      <c r="AI111">
        <f>W111*IFERROR(K111/O111,0)</f>
        <v/>
      </c>
      <c r="AJ111">
        <f>X111*IFERROR(K111/O111,0)</f>
        <v/>
      </c>
      <c r="AK111">
        <f>Y111*IFERROR(G111/L111,0)+Z111*IFERROR(J111/P111,0)</f>
        <v/>
      </c>
      <c r="AL111">
        <f>AA111*IFERROR(AC111/AD111,0)</f>
        <v/>
      </c>
      <c r="AM111">
        <f>AB111*IFERROR(AG111/AH111,0)*IFERROR(AE111/AF111,0)*IFERROR(AC111/AD111,0)</f>
        <v/>
      </c>
      <c r="AN111">
        <f>I111-(AI111+AJ111+AK111+AL111+AM111)</f>
        <v/>
      </c>
    </row>
    <row r="112">
      <c r="A112">
        <f>Allocation!C112</f>
        <v/>
      </c>
      <c r="B112">
        <f>Allocation!D112</f>
        <v/>
      </c>
      <c r="C112">
        <f>Allocation!E112</f>
        <v/>
      </c>
      <c r="D112">
        <f>Allocation!F112</f>
        <v/>
      </c>
      <c r="E112">
        <f>Allocation!G112</f>
        <v/>
      </c>
      <c r="F112">
        <f>Allocation!H112</f>
        <v/>
      </c>
      <c r="G112">
        <f>Allocation!I112</f>
        <v/>
      </c>
      <c r="H112">
        <f>Allocation!J112</f>
        <v/>
      </c>
      <c r="I112">
        <f>Allocation!K112</f>
        <v/>
      </c>
      <c r="J112">
        <f>SUMIFS(Socle!$K$2:$K$175,Socle!$C$2:$C$175,B112,Socle!$D$2:$D$175,D112,Socle!$E$2:$E$175,E112,Socle!$F$2:$F$175,F112,Socle!$G$2:$G$175,A112)</f>
        <v/>
      </c>
      <c r="K112">
        <f>H112*IF(AND(LEFT(D112,3)="BAC",F112="INIT"),600,IF(LEFT(D112,3)="BAC",480,IF(AND(LEFT(D112,3)="MAS",F112="INIT"),520,IF(LEFT(D112,3)="MAS",420,IF(F112="INIT",1000,700)))))</f>
        <v/>
      </c>
      <c r="L112">
        <f>SUMIFS(Allocation!$I$2:$I$175,Allocation!$C$2:$C$175,A112,Allocation!$D$2:$D$175,B112)</f>
        <v/>
      </c>
      <c r="M112">
        <f>SUMIFS(Allocation!$J$2:$J$175,Allocation!$C$2:$C$175,A112,Allocation!$D$2:$D$175,B112)</f>
        <v/>
      </c>
      <c r="N112">
        <f>SUMIFS(Allocation!$K$2:$K$175,Allocation!$C$2:$C$175,A112,Allocation!$D$2:$D$175,B112)</f>
        <v/>
      </c>
      <c r="O112">
        <f>SUMIFS($K$2:$K$175,$A$2:$A$175,A112,$B$2:$B$175,B112)</f>
        <v/>
      </c>
      <c r="P112">
        <f>SUMIFS($J$2:$J$175,$A$2:$A$175,A112,$B$2:$B$175,B112)</f>
        <v/>
      </c>
      <c r="Q112">
        <f>SUMIFS(Allocation!$I$2:$I$175,Allocation!$C$2:$C$175,A112,Allocation!$E$2:$E$175,C112)</f>
        <v/>
      </c>
      <c r="R112">
        <f>SUMIFS(Allocation!$J$2:$J$175,Allocation!$C$2:$C$175,A112,Allocation!$E$2:$E$175,C112)</f>
        <v/>
      </c>
      <c r="S112">
        <f>SUMIFS(Allocation!$K$2:$K$175,Allocation!$C$2:$C$175,A112,Allocation!$E$2:$E$175,C112)</f>
        <v/>
      </c>
      <c r="T112">
        <f>SUMIFS(Allocation!$I$2:$I$175,Allocation!$C$2:$C$175,A112)</f>
        <v/>
      </c>
      <c r="U112">
        <f>SUMIFS(Allocation!$J$2:$J$175,Allocation!$C$2:$C$175,A112)</f>
        <v/>
      </c>
      <c r="V112">
        <f>SUMIFS(Allocation!$K$2:$K$175,Allocation!$C$2:$C$175,A112)</f>
        <v/>
      </c>
      <c r="W112">
        <f>SUMIFS(Compta!$F$2:$F$675,Compta!$A$2:$A$675,B112,Compta!$B$2:$B$675,"621",Compta!$C$2:$C$675,A112)</f>
        <v/>
      </c>
      <c r="X112">
        <f>SUMIFS(Compta!$F$2:$F$675,Compta!$A$2:$A$675,B112,Compta!$B$2:$B$675,"6411",Compta!$C$2:$C$675,A112)</f>
        <v/>
      </c>
      <c r="Y112">
        <f>SUMIFS(Compta!$F$2:$F$675,Compta!$A$2:$A$675,B112,Compta!$B$2:$B$675,"604",Compta!$C$2:$C$675,A112)+SUMIFS(Compta!$F$2:$F$675,Compta!$A$2:$A$675,B112,Compta!$B$2:$B$675,"6063",Compta!$C$2:$C$675,A112)</f>
        <v/>
      </c>
      <c r="Z112">
        <f>SUMIFS(Compta!$F$2:$F$675,Compta!$A$2:$A$675,B112,Compta!$B$2:$B$675,"6231",Compta!$C$2:$C$675,A112)</f>
        <v/>
      </c>
      <c r="AA112">
        <f>SUMIFS(Compta!$F$2:$F$675,Compta!$A$2:$A$675,B112,Compta!$B$2:$B$675,"6413",Compta!$C$2:$C$675,A112)+SUMIFS(Compta!$F$2:$F$675,Compta!$A$2:$A$675,B112,Compta!$B$2:$B$675,"645",Compta!$C$2:$C$675,A112)+SUMIFS(Compta!$F$2:$F$675,Compta!$A$2:$A$675,B112,Compta!$B$2:$B$675,"613",Compta!$C$2:$C$675,A112)+SUMIFS(Compta!$F$2:$F$675,Compta!$A$2:$A$675,B112,Compta!$B$2:$B$675,"615",Compta!$C$2:$C$675,A112)+SUMIFS(Compta!$F$2:$F$675,Compta!$A$2:$A$675,B112,Compta!$B$2:$B$675,"616",Compta!$C$2:$C$675,A112)+SUMIFS(Compta!$F$2:$F$675,Compta!$A$2:$A$675,B112,Compta!$B$2:$B$675,"625",Compta!$C$2:$C$675,A112)+SUMIFS(Compta!$F$2:$F$675,Compta!$A$2:$A$675,B112,Compta!$B$2:$B$675,"63511",Compta!$C$2:$C$675,A112)</f>
        <v/>
      </c>
      <c r="AB112">
        <f>SUMIFS(Compta!$F$2:$F$675,Compta!$A$2:$A$675,"GRP",Compta!$B$2:$B$675,"6414",Compta!$C$2:$C$675,A112)+SUMIFS(Compta!$F$2:$F$675,Compta!$A$2:$A$675,"GRP",Compta!$B$2:$B$675,"6226",Compta!$C$2:$C$675,A112)+SUMIFS(Compta!$F$2:$F$675,Compta!$A$2:$A$675,"GRP",Compta!$B$2:$B$675,"6236",Compta!$C$2:$C$675,A112)+SUMIFS(Compta!$F$2:$F$675,Compta!$A$2:$A$675,"GRP",Compta!$B$2:$B$675,"626",Compta!$C$2:$C$675,A112)+SUMIFS(Compta!$F$2:$F$675,Compta!$A$2:$A$675,"GRP",Compta!$B$2:$B$675,"6281",Compta!$C$2:$C$675,A112)+SUMIFS(Compta!$F$2:$F$675,Compta!$A$2:$A$675,"GRP",Compta!$B$2:$B$675,"6331",Compta!$C$2:$C$675,A112)+SUMIFS(Compta!$F$2:$F$675,Compta!$A$2:$A$675,"GRP",Compta!$B$2:$B$675,"6333",Compta!$C$2:$C$675,A112)</f>
        <v/>
      </c>
      <c r="AC112">
        <f>IF(Pilotage!$E$10="Chiffre d'affaires",I112,IF(Pilotage!$E$10="Effectif",G112,H112))</f>
        <v/>
      </c>
      <c r="AD112">
        <f>IF(Pilotage!$E$10="Chiffre d'affaires",N112,IF(Pilotage!$E$10="Effectif",L112,M112))</f>
        <v/>
      </c>
      <c r="AE112">
        <f>IF(Pilotage!$E$8="Chiffre d'affaires",N112,IF(Pilotage!$E$8="Effectif",L112,M112))</f>
        <v/>
      </c>
      <c r="AF112">
        <f>IF(Pilotage!$E$8="Chiffre d'affaires",S112,IF(Pilotage!$E$8="Effectif",Q112,R112))</f>
        <v/>
      </c>
      <c r="AG112">
        <f>IF(Pilotage!$E$9="Chiffre d'affaires",S112,IF(Pilotage!$E$9="Effectif",Q112,R112))</f>
        <v/>
      </c>
      <c r="AH112">
        <f>IF(Pilotage!$E$9="Chiffre d'affaires",V112,IF(Pilotage!$E$9="Effectif",T112,U112))</f>
        <v/>
      </c>
      <c r="AI112">
        <f>W112*IFERROR(K112/O112,0)</f>
        <v/>
      </c>
      <c r="AJ112">
        <f>X112*IFERROR(K112/O112,0)</f>
        <v/>
      </c>
      <c r="AK112">
        <f>Y112*IFERROR(G112/L112,0)+Z112*IFERROR(J112/P112,0)</f>
        <v/>
      </c>
      <c r="AL112">
        <f>AA112*IFERROR(AC112/AD112,0)</f>
        <v/>
      </c>
      <c r="AM112">
        <f>AB112*IFERROR(AG112/AH112,0)*IFERROR(AE112/AF112,0)*IFERROR(AC112/AD112,0)</f>
        <v/>
      </c>
      <c r="AN112">
        <f>I112-(AI112+AJ112+AK112+AL112+AM112)</f>
        <v/>
      </c>
    </row>
    <row r="113">
      <c r="A113">
        <f>Allocation!C113</f>
        <v/>
      </c>
      <c r="B113">
        <f>Allocation!D113</f>
        <v/>
      </c>
      <c r="C113">
        <f>Allocation!E113</f>
        <v/>
      </c>
      <c r="D113">
        <f>Allocation!F113</f>
        <v/>
      </c>
      <c r="E113">
        <f>Allocation!G113</f>
        <v/>
      </c>
      <c r="F113">
        <f>Allocation!H113</f>
        <v/>
      </c>
      <c r="G113">
        <f>Allocation!I113</f>
        <v/>
      </c>
      <c r="H113">
        <f>Allocation!J113</f>
        <v/>
      </c>
      <c r="I113">
        <f>Allocation!K113</f>
        <v/>
      </c>
      <c r="J113">
        <f>SUMIFS(Socle!$K$2:$K$175,Socle!$C$2:$C$175,B113,Socle!$D$2:$D$175,D113,Socle!$E$2:$E$175,E113,Socle!$F$2:$F$175,F113,Socle!$G$2:$G$175,A113)</f>
        <v/>
      </c>
      <c r="K113">
        <f>H113*IF(AND(LEFT(D113,3)="BAC",F113="INIT"),600,IF(LEFT(D113,3)="BAC",480,IF(AND(LEFT(D113,3)="MAS",F113="INIT"),520,IF(LEFT(D113,3)="MAS",420,IF(F113="INIT",1000,700)))))</f>
        <v/>
      </c>
      <c r="L113">
        <f>SUMIFS(Allocation!$I$2:$I$175,Allocation!$C$2:$C$175,A113,Allocation!$D$2:$D$175,B113)</f>
        <v/>
      </c>
      <c r="M113">
        <f>SUMIFS(Allocation!$J$2:$J$175,Allocation!$C$2:$C$175,A113,Allocation!$D$2:$D$175,B113)</f>
        <v/>
      </c>
      <c r="N113">
        <f>SUMIFS(Allocation!$K$2:$K$175,Allocation!$C$2:$C$175,A113,Allocation!$D$2:$D$175,B113)</f>
        <v/>
      </c>
      <c r="O113">
        <f>SUMIFS($K$2:$K$175,$A$2:$A$175,A113,$B$2:$B$175,B113)</f>
        <v/>
      </c>
      <c r="P113">
        <f>SUMIFS($J$2:$J$175,$A$2:$A$175,A113,$B$2:$B$175,B113)</f>
        <v/>
      </c>
      <c r="Q113">
        <f>SUMIFS(Allocation!$I$2:$I$175,Allocation!$C$2:$C$175,A113,Allocation!$E$2:$E$175,C113)</f>
        <v/>
      </c>
      <c r="R113">
        <f>SUMIFS(Allocation!$J$2:$J$175,Allocation!$C$2:$C$175,A113,Allocation!$E$2:$E$175,C113)</f>
        <v/>
      </c>
      <c r="S113">
        <f>SUMIFS(Allocation!$K$2:$K$175,Allocation!$C$2:$C$175,A113,Allocation!$E$2:$E$175,C113)</f>
        <v/>
      </c>
      <c r="T113">
        <f>SUMIFS(Allocation!$I$2:$I$175,Allocation!$C$2:$C$175,A113)</f>
        <v/>
      </c>
      <c r="U113">
        <f>SUMIFS(Allocation!$J$2:$J$175,Allocation!$C$2:$C$175,A113)</f>
        <v/>
      </c>
      <c r="V113">
        <f>SUMIFS(Allocation!$K$2:$K$175,Allocation!$C$2:$C$175,A113)</f>
        <v/>
      </c>
      <c r="W113">
        <f>SUMIFS(Compta!$F$2:$F$675,Compta!$A$2:$A$675,B113,Compta!$B$2:$B$675,"621",Compta!$C$2:$C$675,A113)</f>
        <v/>
      </c>
      <c r="X113">
        <f>SUMIFS(Compta!$F$2:$F$675,Compta!$A$2:$A$675,B113,Compta!$B$2:$B$675,"6411",Compta!$C$2:$C$675,A113)</f>
        <v/>
      </c>
      <c r="Y113">
        <f>SUMIFS(Compta!$F$2:$F$675,Compta!$A$2:$A$675,B113,Compta!$B$2:$B$675,"604",Compta!$C$2:$C$675,A113)+SUMIFS(Compta!$F$2:$F$675,Compta!$A$2:$A$675,B113,Compta!$B$2:$B$675,"6063",Compta!$C$2:$C$675,A113)</f>
        <v/>
      </c>
      <c r="Z113">
        <f>SUMIFS(Compta!$F$2:$F$675,Compta!$A$2:$A$675,B113,Compta!$B$2:$B$675,"6231",Compta!$C$2:$C$675,A113)</f>
        <v/>
      </c>
      <c r="AA113">
        <f>SUMIFS(Compta!$F$2:$F$675,Compta!$A$2:$A$675,B113,Compta!$B$2:$B$675,"6413",Compta!$C$2:$C$675,A113)+SUMIFS(Compta!$F$2:$F$675,Compta!$A$2:$A$675,B113,Compta!$B$2:$B$675,"645",Compta!$C$2:$C$675,A113)+SUMIFS(Compta!$F$2:$F$675,Compta!$A$2:$A$675,B113,Compta!$B$2:$B$675,"613",Compta!$C$2:$C$675,A113)+SUMIFS(Compta!$F$2:$F$675,Compta!$A$2:$A$675,B113,Compta!$B$2:$B$675,"615",Compta!$C$2:$C$675,A113)+SUMIFS(Compta!$F$2:$F$675,Compta!$A$2:$A$675,B113,Compta!$B$2:$B$675,"616",Compta!$C$2:$C$675,A113)+SUMIFS(Compta!$F$2:$F$675,Compta!$A$2:$A$675,B113,Compta!$B$2:$B$675,"625",Compta!$C$2:$C$675,A113)+SUMIFS(Compta!$F$2:$F$675,Compta!$A$2:$A$675,B113,Compta!$B$2:$B$675,"63511",Compta!$C$2:$C$675,A113)</f>
        <v/>
      </c>
      <c r="AB113">
        <f>SUMIFS(Compta!$F$2:$F$675,Compta!$A$2:$A$675,"GRP",Compta!$B$2:$B$675,"6414",Compta!$C$2:$C$675,A113)+SUMIFS(Compta!$F$2:$F$675,Compta!$A$2:$A$675,"GRP",Compta!$B$2:$B$675,"6226",Compta!$C$2:$C$675,A113)+SUMIFS(Compta!$F$2:$F$675,Compta!$A$2:$A$675,"GRP",Compta!$B$2:$B$675,"6236",Compta!$C$2:$C$675,A113)+SUMIFS(Compta!$F$2:$F$675,Compta!$A$2:$A$675,"GRP",Compta!$B$2:$B$675,"626",Compta!$C$2:$C$675,A113)+SUMIFS(Compta!$F$2:$F$675,Compta!$A$2:$A$675,"GRP",Compta!$B$2:$B$675,"6281",Compta!$C$2:$C$675,A113)+SUMIFS(Compta!$F$2:$F$675,Compta!$A$2:$A$675,"GRP",Compta!$B$2:$B$675,"6331",Compta!$C$2:$C$675,A113)+SUMIFS(Compta!$F$2:$F$675,Compta!$A$2:$A$675,"GRP",Compta!$B$2:$B$675,"6333",Compta!$C$2:$C$675,A113)</f>
        <v/>
      </c>
      <c r="AC113">
        <f>IF(Pilotage!$E$10="Chiffre d'affaires",I113,IF(Pilotage!$E$10="Effectif",G113,H113))</f>
        <v/>
      </c>
      <c r="AD113">
        <f>IF(Pilotage!$E$10="Chiffre d'affaires",N113,IF(Pilotage!$E$10="Effectif",L113,M113))</f>
        <v/>
      </c>
      <c r="AE113">
        <f>IF(Pilotage!$E$8="Chiffre d'affaires",N113,IF(Pilotage!$E$8="Effectif",L113,M113))</f>
        <v/>
      </c>
      <c r="AF113">
        <f>IF(Pilotage!$E$8="Chiffre d'affaires",S113,IF(Pilotage!$E$8="Effectif",Q113,R113))</f>
        <v/>
      </c>
      <c r="AG113">
        <f>IF(Pilotage!$E$9="Chiffre d'affaires",S113,IF(Pilotage!$E$9="Effectif",Q113,R113))</f>
        <v/>
      </c>
      <c r="AH113">
        <f>IF(Pilotage!$E$9="Chiffre d'affaires",V113,IF(Pilotage!$E$9="Effectif",T113,U113))</f>
        <v/>
      </c>
      <c r="AI113">
        <f>W113*IFERROR(K113/O113,0)</f>
        <v/>
      </c>
      <c r="AJ113">
        <f>X113*IFERROR(K113/O113,0)</f>
        <v/>
      </c>
      <c r="AK113">
        <f>Y113*IFERROR(G113/L113,0)+Z113*IFERROR(J113/P113,0)</f>
        <v/>
      </c>
      <c r="AL113">
        <f>AA113*IFERROR(AC113/AD113,0)</f>
        <v/>
      </c>
      <c r="AM113">
        <f>AB113*IFERROR(AG113/AH113,0)*IFERROR(AE113/AF113,0)*IFERROR(AC113/AD113,0)</f>
        <v/>
      </c>
      <c r="AN113">
        <f>I113-(AI113+AJ113+AK113+AL113+AM113)</f>
        <v/>
      </c>
    </row>
    <row r="114">
      <c r="A114">
        <f>Allocation!C114</f>
        <v/>
      </c>
      <c r="B114">
        <f>Allocation!D114</f>
        <v/>
      </c>
      <c r="C114">
        <f>Allocation!E114</f>
        <v/>
      </c>
      <c r="D114">
        <f>Allocation!F114</f>
        <v/>
      </c>
      <c r="E114">
        <f>Allocation!G114</f>
        <v/>
      </c>
      <c r="F114">
        <f>Allocation!H114</f>
        <v/>
      </c>
      <c r="G114">
        <f>Allocation!I114</f>
        <v/>
      </c>
      <c r="H114">
        <f>Allocation!J114</f>
        <v/>
      </c>
      <c r="I114">
        <f>Allocation!K114</f>
        <v/>
      </c>
      <c r="J114">
        <f>SUMIFS(Socle!$K$2:$K$175,Socle!$C$2:$C$175,B114,Socle!$D$2:$D$175,D114,Socle!$E$2:$E$175,E114,Socle!$F$2:$F$175,F114,Socle!$G$2:$G$175,A114)</f>
        <v/>
      </c>
      <c r="K114">
        <f>H114*IF(AND(LEFT(D114,3)="BAC",F114="INIT"),600,IF(LEFT(D114,3)="BAC",480,IF(AND(LEFT(D114,3)="MAS",F114="INIT"),520,IF(LEFT(D114,3)="MAS",420,IF(F114="INIT",1000,700)))))</f>
        <v/>
      </c>
      <c r="L114">
        <f>SUMIFS(Allocation!$I$2:$I$175,Allocation!$C$2:$C$175,A114,Allocation!$D$2:$D$175,B114)</f>
        <v/>
      </c>
      <c r="M114">
        <f>SUMIFS(Allocation!$J$2:$J$175,Allocation!$C$2:$C$175,A114,Allocation!$D$2:$D$175,B114)</f>
        <v/>
      </c>
      <c r="N114">
        <f>SUMIFS(Allocation!$K$2:$K$175,Allocation!$C$2:$C$175,A114,Allocation!$D$2:$D$175,B114)</f>
        <v/>
      </c>
      <c r="O114">
        <f>SUMIFS($K$2:$K$175,$A$2:$A$175,A114,$B$2:$B$175,B114)</f>
        <v/>
      </c>
      <c r="P114">
        <f>SUMIFS($J$2:$J$175,$A$2:$A$175,A114,$B$2:$B$175,B114)</f>
        <v/>
      </c>
      <c r="Q114">
        <f>SUMIFS(Allocation!$I$2:$I$175,Allocation!$C$2:$C$175,A114,Allocation!$E$2:$E$175,C114)</f>
        <v/>
      </c>
      <c r="R114">
        <f>SUMIFS(Allocation!$J$2:$J$175,Allocation!$C$2:$C$175,A114,Allocation!$E$2:$E$175,C114)</f>
        <v/>
      </c>
      <c r="S114">
        <f>SUMIFS(Allocation!$K$2:$K$175,Allocation!$C$2:$C$175,A114,Allocation!$E$2:$E$175,C114)</f>
        <v/>
      </c>
      <c r="T114">
        <f>SUMIFS(Allocation!$I$2:$I$175,Allocation!$C$2:$C$175,A114)</f>
        <v/>
      </c>
      <c r="U114">
        <f>SUMIFS(Allocation!$J$2:$J$175,Allocation!$C$2:$C$175,A114)</f>
        <v/>
      </c>
      <c r="V114">
        <f>SUMIFS(Allocation!$K$2:$K$175,Allocation!$C$2:$C$175,A114)</f>
        <v/>
      </c>
      <c r="W114">
        <f>SUMIFS(Compta!$F$2:$F$675,Compta!$A$2:$A$675,B114,Compta!$B$2:$B$675,"621",Compta!$C$2:$C$675,A114)</f>
        <v/>
      </c>
      <c r="X114">
        <f>SUMIFS(Compta!$F$2:$F$675,Compta!$A$2:$A$675,B114,Compta!$B$2:$B$675,"6411",Compta!$C$2:$C$675,A114)</f>
        <v/>
      </c>
      <c r="Y114">
        <f>SUMIFS(Compta!$F$2:$F$675,Compta!$A$2:$A$675,B114,Compta!$B$2:$B$675,"604",Compta!$C$2:$C$675,A114)+SUMIFS(Compta!$F$2:$F$675,Compta!$A$2:$A$675,B114,Compta!$B$2:$B$675,"6063",Compta!$C$2:$C$675,A114)</f>
        <v/>
      </c>
      <c r="Z114">
        <f>SUMIFS(Compta!$F$2:$F$675,Compta!$A$2:$A$675,B114,Compta!$B$2:$B$675,"6231",Compta!$C$2:$C$675,A114)</f>
        <v/>
      </c>
      <c r="AA114">
        <f>SUMIFS(Compta!$F$2:$F$675,Compta!$A$2:$A$675,B114,Compta!$B$2:$B$675,"6413",Compta!$C$2:$C$675,A114)+SUMIFS(Compta!$F$2:$F$675,Compta!$A$2:$A$675,B114,Compta!$B$2:$B$675,"645",Compta!$C$2:$C$675,A114)+SUMIFS(Compta!$F$2:$F$675,Compta!$A$2:$A$675,B114,Compta!$B$2:$B$675,"613",Compta!$C$2:$C$675,A114)+SUMIFS(Compta!$F$2:$F$675,Compta!$A$2:$A$675,B114,Compta!$B$2:$B$675,"615",Compta!$C$2:$C$675,A114)+SUMIFS(Compta!$F$2:$F$675,Compta!$A$2:$A$675,B114,Compta!$B$2:$B$675,"616",Compta!$C$2:$C$675,A114)+SUMIFS(Compta!$F$2:$F$675,Compta!$A$2:$A$675,B114,Compta!$B$2:$B$675,"625",Compta!$C$2:$C$675,A114)+SUMIFS(Compta!$F$2:$F$675,Compta!$A$2:$A$675,B114,Compta!$B$2:$B$675,"63511",Compta!$C$2:$C$675,A114)</f>
        <v/>
      </c>
      <c r="AB114">
        <f>SUMIFS(Compta!$F$2:$F$675,Compta!$A$2:$A$675,"GRP",Compta!$B$2:$B$675,"6414",Compta!$C$2:$C$675,A114)+SUMIFS(Compta!$F$2:$F$675,Compta!$A$2:$A$675,"GRP",Compta!$B$2:$B$675,"6226",Compta!$C$2:$C$675,A114)+SUMIFS(Compta!$F$2:$F$675,Compta!$A$2:$A$675,"GRP",Compta!$B$2:$B$675,"6236",Compta!$C$2:$C$675,A114)+SUMIFS(Compta!$F$2:$F$675,Compta!$A$2:$A$675,"GRP",Compta!$B$2:$B$675,"626",Compta!$C$2:$C$675,A114)+SUMIFS(Compta!$F$2:$F$675,Compta!$A$2:$A$675,"GRP",Compta!$B$2:$B$675,"6281",Compta!$C$2:$C$675,A114)+SUMIFS(Compta!$F$2:$F$675,Compta!$A$2:$A$675,"GRP",Compta!$B$2:$B$675,"6331",Compta!$C$2:$C$675,A114)+SUMIFS(Compta!$F$2:$F$675,Compta!$A$2:$A$675,"GRP",Compta!$B$2:$B$675,"6333",Compta!$C$2:$C$675,A114)</f>
        <v/>
      </c>
      <c r="AC114">
        <f>IF(Pilotage!$E$10="Chiffre d'affaires",I114,IF(Pilotage!$E$10="Effectif",G114,H114))</f>
        <v/>
      </c>
      <c r="AD114">
        <f>IF(Pilotage!$E$10="Chiffre d'affaires",N114,IF(Pilotage!$E$10="Effectif",L114,M114))</f>
        <v/>
      </c>
      <c r="AE114">
        <f>IF(Pilotage!$E$8="Chiffre d'affaires",N114,IF(Pilotage!$E$8="Effectif",L114,M114))</f>
        <v/>
      </c>
      <c r="AF114">
        <f>IF(Pilotage!$E$8="Chiffre d'affaires",S114,IF(Pilotage!$E$8="Effectif",Q114,R114))</f>
        <v/>
      </c>
      <c r="AG114">
        <f>IF(Pilotage!$E$9="Chiffre d'affaires",S114,IF(Pilotage!$E$9="Effectif",Q114,R114))</f>
        <v/>
      </c>
      <c r="AH114">
        <f>IF(Pilotage!$E$9="Chiffre d'affaires",V114,IF(Pilotage!$E$9="Effectif",T114,U114))</f>
        <v/>
      </c>
      <c r="AI114">
        <f>W114*IFERROR(K114/O114,0)</f>
        <v/>
      </c>
      <c r="AJ114">
        <f>X114*IFERROR(K114/O114,0)</f>
        <v/>
      </c>
      <c r="AK114">
        <f>Y114*IFERROR(G114/L114,0)+Z114*IFERROR(J114/P114,0)</f>
        <v/>
      </c>
      <c r="AL114">
        <f>AA114*IFERROR(AC114/AD114,0)</f>
        <v/>
      </c>
      <c r="AM114">
        <f>AB114*IFERROR(AG114/AH114,0)*IFERROR(AE114/AF114,0)*IFERROR(AC114/AD114,0)</f>
        <v/>
      </c>
      <c r="AN114">
        <f>I114-(AI114+AJ114+AK114+AL114+AM114)</f>
        <v/>
      </c>
    </row>
    <row r="115">
      <c r="A115">
        <f>Allocation!C115</f>
        <v/>
      </c>
      <c r="B115">
        <f>Allocation!D115</f>
        <v/>
      </c>
      <c r="C115">
        <f>Allocation!E115</f>
        <v/>
      </c>
      <c r="D115">
        <f>Allocation!F115</f>
        <v/>
      </c>
      <c r="E115">
        <f>Allocation!G115</f>
        <v/>
      </c>
      <c r="F115">
        <f>Allocation!H115</f>
        <v/>
      </c>
      <c r="G115">
        <f>Allocation!I115</f>
        <v/>
      </c>
      <c r="H115">
        <f>Allocation!J115</f>
        <v/>
      </c>
      <c r="I115">
        <f>Allocation!K115</f>
        <v/>
      </c>
      <c r="J115">
        <f>SUMIFS(Socle!$K$2:$K$175,Socle!$C$2:$C$175,B115,Socle!$D$2:$D$175,D115,Socle!$E$2:$E$175,E115,Socle!$F$2:$F$175,F115,Socle!$G$2:$G$175,A115)</f>
        <v/>
      </c>
      <c r="K115">
        <f>H115*IF(AND(LEFT(D115,3)="BAC",F115="INIT"),600,IF(LEFT(D115,3)="BAC",480,IF(AND(LEFT(D115,3)="MAS",F115="INIT"),520,IF(LEFT(D115,3)="MAS",420,IF(F115="INIT",1000,700)))))</f>
        <v/>
      </c>
      <c r="L115">
        <f>SUMIFS(Allocation!$I$2:$I$175,Allocation!$C$2:$C$175,A115,Allocation!$D$2:$D$175,B115)</f>
        <v/>
      </c>
      <c r="M115">
        <f>SUMIFS(Allocation!$J$2:$J$175,Allocation!$C$2:$C$175,A115,Allocation!$D$2:$D$175,B115)</f>
        <v/>
      </c>
      <c r="N115">
        <f>SUMIFS(Allocation!$K$2:$K$175,Allocation!$C$2:$C$175,A115,Allocation!$D$2:$D$175,B115)</f>
        <v/>
      </c>
      <c r="O115">
        <f>SUMIFS($K$2:$K$175,$A$2:$A$175,A115,$B$2:$B$175,B115)</f>
        <v/>
      </c>
      <c r="P115">
        <f>SUMIFS($J$2:$J$175,$A$2:$A$175,A115,$B$2:$B$175,B115)</f>
        <v/>
      </c>
      <c r="Q115">
        <f>SUMIFS(Allocation!$I$2:$I$175,Allocation!$C$2:$C$175,A115,Allocation!$E$2:$E$175,C115)</f>
        <v/>
      </c>
      <c r="R115">
        <f>SUMIFS(Allocation!$J$2:$J$175,Allocation!$C$2:$C$175,A115,Allocation!$E$2:$E$175,C115)</f>
        <v/>
      </c>
      <c r="S115">
        <f>SUMIFS(Allocation!$K$2:$K$175,Allocation!$C$2:$C$175,A115,Allocation!$E$2:$E$175,C115)</f>
        <v/>
      </c>
      <c r="T115">
        <f>SUMIFS(Allocation!$I$2:$I$175,Allocation!$C$2:$C$175,A115)</f>
        <v/>
      </c>
      <c r="U115">
        <f>SUMIFS(Allocation!$J$2:$J$175,Allocation!$C$2:$C$175,A115)</f>
        <v/>
      </c>
      <c r="V115">
        <f>SUMIFS(Allocation!$K$2:$K$175,Allocation!$C$2:$C$175,A115)</f>
        <v/>
      </c>
      <c r="W115">
        <f>SUMIFS(Compta!$F$2:$F$675,Compta!$A$2:$A$675,B115,Compta!$B$2:$B$675,"621",Compta!$C$2:$C$675,A115)</f>
        <v/>
      </c>
      <c r="X115">
        <f>SUMIFS(Compta!$F$2:$F$675,Compta!$A$2:$A$675,B115,Compta!$B$2:$B$675,"6411",Compta!$C$2:$C$675,A115)</f>
        <v/>
      </c>
      <c r="Y115">
        <f>SUMIFS(Compta!$F$2:$F$675,Compta!$A$2:$A$675,B115,Compta!$B$2:$B$675,"604",Compta!$C$2:$C$675,A115)+SUMIFS(Compta!$F$2:$F$675,Compta!$A$2:$A$675,B115,Compta!$B$2:$B$675,"6063",Compta!$C$2:$C$675,A115)</f>
        <v/>
      </c>
      <c r="Z115">
        <f>SUMIFS(Compta!$F$2:$F$675,Compta!$A$2:$A$675,B115,Compta!$B$2:$B$675,"6231",Compta!$C$2:$C$675,A115)</f>
        <v/>
      </c>
      <c r="AA115">
        <f>SUMIFS(Compta!$F$2:$F$675,Compta!$A$2:$A$675,B115,Compta!$B$2:$B$675,"6413",Compta!$C$2:$C$675,A115)+SUMIFS(Compta!$F$2:$F$675,Compta!$A$2:$A$675,B115,Compta!$B$2:$B$675,"645",Compta!$C$2:$C$675,A115)+SUMIFS(Compta!$F$2:$F$675,Compta!$A$2:$A$675,B115,Compta!$B$2:$B$675,"613",Compta!$C$2:$C$675,A115)+SUMIFS(Compta!$F$2:$F$675,Compta!$A$2:$A$675,B115,Compta!$B$2:$B$675,"615",Compta!$C$2:$C$675,A115)+SUMIFS(Compta!$F$2:$F$675,Compta!$A$2:$A$675,B115,Compta!$B$2:$B$675,"616",Compta!$C$2:$C$675,A115)+SUMIFS(Compta!$F$2:$F$675,Compta!$A$2:$A$675,B115,Compta!$B$2:$B$675,"625",Compta!$C$2:$C$675,A115)+SUMIFS(Compta!$F$2:$F$675,Compta!$A$2:$A$675,B115,Compta!$B$2:$B$675,"63511",Compta!$C$2:$C$675,A115)</f>
        <v/>
      </c>
      <c r="AB115">
        <f>SUMIFS(Compta!$F$2:$F$675,Compta!$A$2:$A$675,"GRP",Compta!$B$2:$B$675,"6414",Compta!$C$2:$C$675,A115)+SUMIFS(Compta!$F$2:$F$675,Compta!$A$2:$A$675,"GRP",Compta!$B$2:$B$675,"6226",Compta!$C$2:$C$675,A115)+SUMIFS(Compta!$F$2:$F$675,Compta!$A$2:$A$675,"GRP",Compta!$B$2:$B$675,"6236",Compta!$C$2:$C$675,A115)+SUMIFS(Compta!$F$2:$F$675,Compta!$A$2:$A$675,"GRP",Compta!$B$2:$B$675,"626",Compta!$C$2:$C$675,A115)+SUMIFS(Compta!$F$2:$F$675,Compta!$A$2:$A$675,"GRP",Compta!$B$2:$B$675,"6281",Compta!$C$2:$C$675,A115)+SUMIFS(Compta!$F$2:$F$675,Compta!$A$2:$A$675,"GRP",Compta!$B$2:$B$675,"6331",Compta!$C$2:$C$675,A115)+SUMIFS(Compta!$F$2:$F$675,Compta!$A$2:$A$675,"GRP",Compta!$B$2:$B$675,"6333",Compta!$C$2:$C$675,A115)</f>
        <v/>
      </c>
      <c r="AC115">
        <f>IF(Pilotage!$E$10="Chiffre d'affaires",I115,IF(Pilotage!$E$10="Effectif",G115,H115))</f>
        <v/>
      </c>
      <c r="AD115">
        <f>IF(Pilotage!$E$10="Chiffre d'affaires",N115,IF(Pilotage!$E$10="Effectif",L115,M115))</f>
        <v/>
      </c>
      <c r="AE115">
        <f>IF(Pilotage!$E$8="Chiffre d'affaires",N115,IF(Pilotage!$E$8="Effectif",L115,M115))</f>
        <v/>
      </c>
      <c r="AF115">
        <f>IF(Pilotage!$E$8="Chiffre d'affaires",S115,IF(Pilotage!$E$8="Effectif",Q115,R115))</f>
        <v/>
      </c>
      <c r="AG115">
        <f>IF(Pilotage!$E$9="Chiffre d'affaires",S115,IF(Pilotage!$E$9="Effectif",Q115,R115))</f>
        <v/>
      </c>
      <c r="AH115">
        <f>IF(Pilotage!$E$9="Chiffre d'affaires",V115,IF(Pilotage!$E$9="Effectif",T115,U115))</f>
        <v/>
      </c>
      <c r="AI115">
        <f>W115*IFERROR(K115/O115,0)</f>
        <v/>
      </c>
      <c r="AJ115">
        <f>X115*IFERROR(K115/O115,0)</f>
        <v/>
      </c>
      <c r="AK115">
        <f>Y115*IFERROR(G115/L115,0)+Z115*IFERROR(J115/P115,0)</f>
        <v/>
      </c>
      <c r="AL115">
        <f>AA115*IFERROR(AC115/AD115,0)</f>
        <v/>
      </c>
      <c r="AM115">
        <f>AB115*IFERROR(AG115/AH115,0)*IFERROR(AE115/AF115,0)*IFERROR(AC115/AD115,0)</f>
        <v/>
      </c>
      <c r="AN115">
        <f>I115-(AI115+AJ115+AK115+AL115+AM115)</f>
        <v/>
      </c>
    </row>
    <row r="116">
      <c r="A116">
        <f>Allocation!C116</f>
        <v/>
      </c>
      <c r="B116">
        <f>Allocation!D116</f>
        <v/>
      </c>
      <c r="C116">
        <f>Allocation!E116</f>
        <v/>
      </c>
      <c r="D116">
        <f>Allocation!F116</f>
        <v/>
      </c>
      <c r="E116">
        <f>Allocation!G116</f>
        <v/>
      </c>
      <c r="F116">
        <f>Allocation!H116</f>
        <v/>
      </c>
      <c r="G116">
        <f>Allocation!I116</f>
        <v/>
      </c>
      <c r="H116">
        <f>Allocation!J116</f>
        <v/>
      </c>
      <c r="I116">
        <f>Allocation!K116</f>
        <v/>
      </c>
      <c r="J116">
        <f>SUMIFS(Socle!$K$2:$K$175,Socle!$C$2:$C$175,B116,Socle!$D$2:$D$175,D116,Socle!$E$2:$E$175,E116,Socle!$F$2:$F$175,F116,Socle!$G$2:$G$175,A116)</f>
        <v/>
      </c>
      <c r="K116">
        <f>H116*IF(AND(LEFT(D116,3)="BAC",F116="INIT"),600,IF(LEFT(D116,3)="BAC",480,IF(AND(LEFT(D116,3)="MAS",F116="INIT"),520,IF(LEFT(D116,3)="MAS",420,IF(F116="INIT",1000,700)))))</f>
        <v/>
      </c>
      <c r="L116">
        <f>SUMIFS(Allocation!$I$2:$I$175,Allocation!$C$2:$C$175,A116,Allocation!$D$2:$D$175,B116)</f>
        <v/>
      </c>
      <c r="M116">
        <f>SUMIFS(Allocation!$J$2:$J$175,Allocation!$C$2:$C$175,A116,Allocation!$D$2:$D$175,B116)</f>
        <v/>
      </c>
      <c r="N116">
        <f>SUMIFS(Allocation!$K$2:$K$175,Allocation!$C$2:$C$175,A116,Allocation!$D$2:$D$175,B116)</f>
        <v/>
      </c>
      <c r="O116">
        <f>SUMIFS($K$2:$K$175,$A$2:$A$175,A116,$B$2:$B$175,B116)</f>
        <v/>
      </c>
      <c r="P116">
        <f>SUMIFS($J$2:$J$175,$A$2:$A$175,A116,$B$2:$B$175,B116)</f>
        <v/>
      </c>
      <c r="Q116">
        <f>SUMIFS(Allocation!$I$2:$I$175,Allocation!$C$2:$C$175,A116,Allocation!$E$2:$E$175,C116)</f>
        <v/>
      </c>
      <c r="R116">
        <f>SUMIFS(Allocation!$J$2:$J$175,Allocation!$C$2:$C$175,A116,Allocation!$E$2:$E$175,C116)</f>
        <v/>
      </c>
      <c r="S116">
        <f>SUMIFS(Allocation!$K$2:$K$175,Allocation!$C$2:$C$175,A116,Allocation!$E$2:$E$175,C116)</f>
        <v/>
      </c>
      <c r="T116">
        <f>SUMIFS(Allocation!$I$2:$I$175,Allocation!$C$2:$C$175,A116)</f>
        <v/>
      </c>
      <c r="U116">
        <f>SUMIFS(Allocation!$J$2:$J$175,Allocation!$C$2:$C$175,A116)</f>
        <v/>
      </c>
      <c r="V116">
        <f>SUMIFS(Allocation!$K$2:$K$175,Allocation!$C$2:$C$175,A116)</f>
        <v/>
      </c>
      <c r="W116">
        <f>SUMIFS(Compta!$F$2:$F$675,Compta!$A$2:$A$675,B116,Compta!$B$2:$B$675,"621",Compta!$C$2:$C$675,A116)</f>
        <v/>
      </c>
      <c r="X116">
        <f>SUMIFS(Compta!$F$2:$F$675,Compta!$A$2:$A$675,B116,Compta!$B$2:$B$675,"6411",Compta!$C$2:$C$675,A116)</f>
        <v/>
      </c>
      <c r="Y116">
        <f>SUMIFS(Compta!$F$2:$F$675,Compta!$A$2:$A$675,B116,Compta!$B$2:$B$675,"604",Compta!$C$2:$C$675,A116)+SUMIFS(Compta!$F$2:$F$675,Compta!$A$2:$A$675,B116,Compta!$B$2:$B$675,"6063",Compta!$C$2:$C$675,A116)</f>
        <v/>
      </c>
      <c r="Z116">
        <f>SUMIFS(Compta!$F$2:$F$675,Compta!$A$2:$A$675,B116,Compta!$B$2:$B$675,"6231",Compta!$C$2:$C$675,A116)</f>
        <v/>
      </c>
      <c r="AA116">
        <f>SUMIFS(Compta!$F$2:$F$675,Compta!$A$2:$A$675,B116,Compta!$B$2:$B$675,"6413",Compta!$C$2:$C$675,A116)+SUMIFS(Compta!$F$2:$F$675,Compta!$A$2:$A$675,B116,Compta!$B$2:$B$675,"645",Compta!$C$2:$C$675,A116)+SUMIFS(Compta!$F$2:$F$675,Compta!$A$2:$A$675,B116,Compta!$B$2:$B$675,"613",Compta!$C$2:$C$675,A116)+SUMIFS(Compta!$F$2:$F$675,Compta!$A$2:$A$675,B116,Compta!$B$2:$B$675,"615",Compta!$C$2:$C$675,A116)+SUMIFS(Compta!$F$2:$F$675,Compta!$A$2:$A$675,B116,Compta!$B$2:$B$675,"616",Compta!$C$2:$C$675,A116)+SUMIFS(Compta!$F$2:$F$675,Compta!$A$2:$A$675,B116,Compta!$B$2:$B$675,"625",Compta!$C$2:$C$675,A116)+SUMIFS(Compta!$F$2:$F$675,Compta!$A$2:$A$675,B116,Compta!$B$2:$B$675,"63511",Compta!$C$2:$C$675,A116)</f>
        <v/>
      </c>
      <c r="AB116">
        <f>SUMIFS(Compta!$F$2:$F$675,Compta!$A$2:$A$675,"GRP",Compta!$B$2:$B$675,"6414",Compta!$C$2:$C$675,A116)+SUMIFS(Compta!$F$2:$F$675,Compta!$A$2:$A$675,"GRP",Compta!$B$2:$B$675,"6226",Compta!$C$2:$C$675,A116)+SUMIFS(Compta!$F$2:$F$675,Compta!$A$2:$A$675,"GRP",Compta!$B$2:$B$675,"6236",Compta!$C$2:$C$675,A116)+SUMIFS(Compta!$F$2:$F$675,Compta!$A$2:$A$675,"GRP",Compta!$B$2:$B$675,"626",Compta!$C$2:$C$675,A116)+SUMIFS(Compta!$F$2:$F$675,Compta!$A$2:$A$675,"GRP",Compta!$B$2:$B$675,"6281",Compta!$C$2:$C$675,A116)+SUMIFS(Compta!$F$2:$F$675,Compta!$A$2:$A$675,"GRP",Compta!$B$2:$B$675,"6331",Compta!$C$2:$C$675,A116)+SUMIFS(Compta!$F$2:$F$675,Compta!$A$2:$A$675,"GRP",Compta!$B$2:$B$675,"6333",Compta!$C$2:$C$675,A116)</f>
        <v/>
      </c>
      <c r="AC116">
        <f>IF(Pilotage!$E$10="Chiffre d'affaires",I116,IF(Pilotage!$E$10="Effectif",G116,H116))</f>
        <v/>
      </c>
      <c r="AD116">
        <f>IF(Pilotage!$E$10="Chiffre d'affaires",N116,IF(Pilotage!$E$10="Effectif",L116,M116))</f>
        <v/>
      </c>
      <c r="AE116">
        <f>IF(Pilotage!$E$8="Chiffre d'affaires",N116,IF(Pilotage!$E$8="Effectif",L116,M116))</f>
        <v/>
      </c>
      <c r="AF116">
        <f>IF(Pilotage!$E$8="Chiffre d'affaires",S116,IF(Pilotage!$E$8="Effectif",Q116,R116))</f>
        <v/>
      </c>
      <c r="AG116">
        <f>IF(Pilotage!$E$9="Chiffre d'affaires",S116,IF(Pilotage!$E$9="Effectif",Q116,R116))</f>
        <v/>
      </c>
      <c r="AH116">
        <f>IF(Pilotage!$E$9="Chiffre d'affaires",V116,IF(Pilotage!$E$9="Effectif",T116,U116))</f>
        <v/>
      </c>
      <c r="AI116">
        <f>W116*IFERROR(K116/O116,0)</f>
        <v/>
      </c>
      <c r="AJ116">
        <f>X116*IFERROR(K116/O116,0)</f>
        <v/>
      </c>
      <c r="AK116">
        <f>Y116*IFERROR(G116/L116,0)+Z116*IFERROR(J116/P116,0)</f>
        <v/>
      </c>
      <c r="AL116">
        <f>AA116*IFERROR(AC116/AD116,0)</f>
        <v/>
      </c>
      <c r="AM116">
        <f>AB116*IFERROR(AG116/AH116,0)*IFERROR(AE116/AF116,0)*IFERROR(AC116/AD116,0)</f>
        <v/>
      </c>
      <c r="AN116">
        <f>I116-(AI116+AJ116+AK116+AL116+AM116)</f>
        <v/>
      </c>
    </row>
    <row r="117">
      <c r="A117">
        <f>Allocation!C117</f>
        <v/>
      </c>
      <c r="B117">
        <f>Allocation!D117</f>
        <v/>
      </c>
      <c r="C117">
        <f>Allocation!E117</f>
        <v/>
      </c>
      <c r="D117">
        <f>Allocation!F117</f>
        <v/>
      </c>
      <c r="E117">
        <f>Allocation!G117</f>
        <v/>
      </c>
      <c r="F117">
        <f>Allocation!H117</f>
        <v/>
      </c>
      <c r="G117">
        <f>Allocation!I117</f>
        <v/>
      </c>
      <c r="H117">
        <f>Allocation!J117</f>
        <v/>
      </c>
      <c r="I117">
        <f>Allocation!K117</f>
        <v/>
      </c>
      <c r="J117">
        <f>SUMIFS(Socle!$K$2:$K$175,Socle!$C$2:$C$175,B117,Socle!$D$2:$D$175,D117,Socle!$E$2:$E$175,E117,Socle!$F$2:$F$175,F117,Socle!$G$2:$G$175,A117)</f>
        <v/>
      </c>
      <c r="K117">
        <f>H117*IF(AND(LEFT(D117,3)="BAC",F117="INIT"),600,IF(LEFT(D117,3)="BAC",480,IF(AND(LEFT(D117,3)="MAS",F117="INIT"),520,IF(LEFT(D117,3)="MAS",420,IF(F117="INIT",1000,700)))))</f>
        <v/>
      </c>
      <c r="L117">
        <f>SUMIFS(Allocation!$I$2:$I$175,Allocation!$C$2:$C$175,A117,Allocation!$D$2:$D$175,B117)</f>
        <v/>
      </c>
      <c r="M117">
        <f>SUMIFS(Allocation!$J$2:$J$175,Allocation!$C$2:$C$175,A117,Allocation!$D$2:$D$175,B117)</f>
        <v/>
      </c>
      <c r="N117">
        <f>SUMIFS(Allocation!$K$2:$K$175,Allocation!$C$2:$C$175,A117,Allocation!$D$2:$D$175,B117)</f>
        <v/>
      </c>
      <c r="O117">
        <f>SUMIFS($K$2:$K$175,$A$2:$A$175,A117,$B$2:$B$175,B117)</f>
        <v/>
      </c>
      <c r="P117">
        <f>SUMIFS($J$2:$J$175,$A$2:$A$175,A117,$B$2:$B$175,B117)</f>
        <v/>
      </c>
      <c r="Q117">
        <f>SUMIFS(Allocation!$I$2:$I$175,Allocation!$C$2:$C$175,A117,Allocation!$E$2:$E$175,C117)</f>
        <v/>
      </c>
      <c r="R117">
        <f>SUMIFS(Allocation!$J$2:$J$175,Allocation!$C$2:$C$175,A117,Allocation!$E$2:$E$175,C117)</f>
        <v/>
      </c>
      <c r="S117">
        <f>SUMIFS(Allocation!$K$2:$K$175,Allocation!$C$2:$C$175,A117,Allocation!$E$2:$E$175,C117)</f>
        <v/>
      </c>
      <c r="T117">
        <f>SUMIFS(Allocation!$I$2:$I$175,Allocation!$C$2:$C$175,A117)</f>
        <v/>
      </c>
      <c r="U117">
        <f>SUMIFS(Allocation!$J$2:$J$175,Allocation!$C$2:$C$175,A117)</f>
        <v/>
      </c>
      <c r="V117">
        <f>SUMIFS(Allocation!$K$2:$K$175,Allocation!$C$2:$C$175,A117)</f>
        <v/>
      </c>
      <c r="W117">
        <f>SUMIFS(Compta!$F$2:$F$675,Compta!$A$2:$A$675,B117,Compta!$B$2:$B$675,"621",Compta!$C$2:$C$675,A117)</f>
        <v/>
      </c>
      <c r="X117">
        <f>SUMIFS(Compta!$F$2:$F$675,Compta!$A$2:$A$675,B117,Compta!$B$2:$B$675,"6411",Compta!$C$2:$C$675,A117)</f>
        <v/>
      </c>
      <c r="Y117">
        <f>SUMIFS(Compta!$F$2:$F$675,Compta!$A$2:$A$675,B117,Compta!$B$2:$B$675,"604",Compta!$C$2:$C$675,A117)+SUMIFS(Compta!$F$2:$F$675,Compta!$A$2:$A$675,B117,Compta!$B$2:$B$675,"6063",Compta!$C$2:$C$675,A117)</f>
        <v/>
      </c>
      <c r="Z117">
        <f>SUMIFS(Compta!$F$2:$F$675,Compta!$A$2:$A$675,B117,Compta!$B$2:$B$675,"6231",Compta!$C$2:$C$675,A117)</f>
        <v/>
      </c>
      <c r="AA117">
        <f>SUMIFS(Compta!$F$2:$F$675,Compta!$A$2:$A$675,B117,Compta!$B$2:$B$675,"6413",Compta!$C$2:$C$675,A117)+SUMIFS(Compta!$F$2:$F$675,Compta!$A$2:$A$675,B117,Compta!$B$2:$B$675,"645",Compta!$C$2:$C$675,A117)+SUMIFS(Compta!$F$2:$F$675,Compta!$A$2:$A$675,B117,Compta!$B$2:$B$675,"613",Compta!$C$2:$C$675,A117)+SUMIFS(Compta!$F$2:$F$675,Compta!$A$2:$A$675,B117,Compta!$B$2:$B$675,"615",Compta!$C$2:$C$675,A117)+SUMIFS(Compta!$F$2:$F$675,Compta!$A$2:$A$675,B117,Compta!$B$2:$B$675,"616",Compta!$C$2:$C$675,A117)+SUMIFS(Compta!$F$2:$F$675,Compta!$A$2:$A$675,B117,Compta!$B$2:$B$675,"625",Compta!$C$2:$C$675,A117)+SUMIFS(Compta!$F$2:$F$675,Compta!$A$2:$A$675,B117,Compta!$B$2:$B$675,"63511",Compta!$C$2:$C$675,A117)</f>
        <v/>
      </c>
      <c r="AB117">
        <f>SUMIFS(Compta!$F$2:$F$675,Compta!$A$2:$A$675,"GRP",Compta!$B$2:$B$675,"6414",Compta!$C$2:$C$675,A117)+SUMIFS(Compta!$F$2:$F$675,Compta!$A$2:$A$675,"GRP",Compta!$B$2:$B$675,"6226",Compta!$C$2:$C$675,A117)+SUMIFS(Compta!$F$2:$F$675,Compta!$A$2:$A$675,"GRP",Compta!$B$2:$B$675,"6236",Compta!$C$2:$C$675,A117)+SUMIFS(Compta!$F$2:$F$675,Compta!$A$2:$A$675,"GRP",Compta!$B$2:$B$675,"626",Compta!$C$2:$C$675,A117)+SUMIFS(Compta!$F$2:$F$675,Compta!$A$2:$A$675,"GRP",Compta!$B$2:$B$675,"6281",Compta!$C$2:$C$675,A117)+SUMIFS(Compta!$F$2:$F$675,Compta!$A$2:$A$675,"GRP",Compta!$B$2:$B$675,"6331",Compta!$C$2:$C$675,A117)+SUMIFS(Compta!$F$2:$F$675,Compta!$A$2:$A$675,"GRP",Compta!$B$2:$B$675,"6333",Compta!$C$2:$C$675,A117)</f>
        <v/>
      </c>
      <c r="AC117">
        <f>IF(Pilotage!$E$10="Chiffre d'affaires",I117,IF(Pilotage!$E$10="Effectif",G117,H117))</f>
        <v/>
      </c>
      <c r="AD117">
        <f>IF(Pilotage!$E$10="Chiffre d'affaires",N117,IF(Pilotage!$E$10="Effectif",L117,M117))</f>
        <v/>
      </c>
      <c r="AE117">
        <f>IF(Pilotage!$E$8="Chiffre d'affaires",N117,IF(Pilotage!$E$8="Effectif",L117,M117))</f>
        <v/>
      </c>
      <c r="AF117">
        <f>IF(Pilotage!$E$8="Chiffre d'affaires",S117,IF(Pilotage!$E$8="Effectif",Q117,R117))</f>
        <v/>
      </c>
      <c r="AG117">
        <f>IF(Pilotage!$E$9="Chiffre d'affaires",S117,IF(Pilotage!$E$9="Effectif",Q117,R117))</f>
        <v/>
      </c>
      <c r="AH117">
        <f>IF(Pilotage!$E$9="Chiffre d'affaires",V117,IF(Pilotage!$E$9="Effectif",T117,U117))</f>
        <v/>
      </c>
      <c r="AI117">
        <f>W117*IFERROR(K117/O117,0)</f>
        <v/>
      </c>
      <c r="AJ117">
        <f>X117*IFERROR(K117/O117,0)</f>
        <v/>
      </c>
      <c r="AK117">
        <f>Y117*IFERROR(G117/L117,0)+Z117*IFERROR(J117/P117,0)</f>
        <v/>
      </c>
      <c r="AL117">
        <f>AA117*IFERROR(AC117/AD117,0)</f>
        <v/>
      </c>
      <c r="AM117">
        <f>AB117*IFERROR(AG117/AH117,0)*IFERROR(AE117/AF117,0)*IFERROR(AC117/AD117,0)</f>
        <v/>
      </c>
      <c r="AN117">
        <f>I117-(AI117+AJ117+AK117+AL117+AM117)</f>
        <v/>
      </c>
    </row>
    <row r="118">
      <c r="A118">
        <f>Allocation!C118</f>
        <v/>
      </c>
      <c r="B118">
        <f>Allocation!D118</f>
        <v/>
      </c>
      <c r="C118">
        <f>Allocation!E118</f>
        <v/>
      </c>
      <c r="D118">
        <f>Allocation!F118</f>
        <v/>
      </c>
      <c r="E118">
        <f>Allocation!G118</f>
        <v/>
      </c>
      <c r="F118">
        <f>Allocation!H118</f>
        <v/>
      </c>
      <c r="G118">
        <f>Allocation!I118</f>
        <v/>
      </c>
      <c r="H118">
        <f>Allocation!J118</f>
        <v/>
      </c>
      <c r="I118">
        <f>Allocation!K118</f>
        <v/>
      </c>
      <c r="J118">
        <f>SUMIFS(Socle!$K$2:$K$175,Socle!$C$2:$C$175,B118,Socle!$D$2:$D$175,D118,Socle!$E$2:$E$175,E118,Socle!$F$2:$F$175,F118,Socle!$G$2:$G$175,A118)</f>
        <v/>
      </c>
      <c r="K118">
        <f>H118*IF(AND(LEFT(D118,3)="BAC",F118="INIT"),600,IF(LEFT(D118,3)="BAC",480,IF(AND(LEFT(D118,3)="MAS",F118="INIT"),520,IF(LEFT(D118,3)="MAS",420,IF(F118="INIT",1000,700)))))</f>
        <v/>
      </c>
      <c r="L118">
        <f>SUMIFS(Allocation!$I$2:$I$175,Allocation!$C$2:$C$175,A118,Allocation!$D$2:$D$175,B118)</f>
        <v/>
      </c>
      <c r="M118">
        <f>SUMIFS(Allocation!$J$2:$J$175,Allocation!$C$2:$C$175,A118,Allocation!$D$2:$D$175,B118)</f>
        <v/>
      </c>
      <c r="N118">
        <f>SUMIFS(Allocation!$K$2:$K$175,Allocation!$C$2:$C$175,A118,Allocation!$D$2:$D$175,B118)</f>
        <v/>
      </c>
      <c r="O118">
        <f>SUMIFS($K$2:$K$175,$A$2:$A$175,A118,$B$2:$B$175,B118)</f>
        <v/>
      </c>
      <c r="P118">
        <f>SUMIFS($J$2:$J$175,$A$2:$A$175,A118,$B$2:$B$175,B118)</f>
        <v/>
      </c>
      <c r="Q118">
        <f>SUMIFS(Allocation!$I$2:$I$175,Allocation!$C$2:$C$175,A118,Allocation!$E$2:$E$175,C118)</f>
        <v/>
      </c>
      <c r="R118">
        <f>SUMIFS(Allocation!$J$2:$J$175,Allocation!$C$2:$C$175,A118,Allocation!$E$2:$E$175,C118)</f>
        <v/>
      </c>
      <c r="S118">
        <f>SUMIFS(Allocation!$K$2:$K$175,Allocation!$C$2:$C$175,A118,Allocation!$E$2:$E$175,C118)</f>
        <v/>
      </c>
      <c r="T118">
        <f>SUMIFS(Allocation!$I$2:$I$175,Allocation!$C$2:$C$175,A118)</f>
        <v/>
      </c>
      <c r="U118">
        <f>SUMIFS(Allocation!$J$2:$J$175,Allocation!$C$2:$C$175,A118)</f>
        <v/>
      </c>
      <c r="V118">
        <f>SUMIFS(Allocation!$K$2:$K$175,Allocation!$C$2:$C$175,A118)</f>
        <v/>
      </c>
      <c r="W118">
        <f>SUMIFS(Compta!$F$2:$F$675,Compta!$A$2:$A$675,B118,Compta!$B$2:$B$675,"621",Compta!$C$2:$C$675,A118)</f>
        <v/>
      </c>
      <c r="X118">
        <f>SUMIFS(Compta!$F$2:$F$675,Compta!$A$2:$A$675,B118,Compta!$B$2:$B$675,"6411",Compta!$C$2:$C$675,A118)</f>
        <v/>
      </c>
      <c r="Y118">
        <f>SUMIFS(Compta!$F$2:$F$675,Compta!$A$2:$A$675,B118,Compta!$B$2:$B$675,"604",Compta!$C$2:$C$675,A118)+SUMIFS(Compta!$F$2:$F$675,Compta!$A$2:$A$675,B118,Compta!$B$2:$B$675,"6063",Compta!$C$2:$C$675,A118)</f>
        <v/>
      </c>
      <c r="Z118">
        <f>SUMIFS(Compta!$F$2:$F$675,Compta!$A$2:$A$675,B118,Compta!$B$2:$B$675,"6231",Compta!$C$2:$C$675,A118)</f>
        <v/>
      </c>
      <c r="AA118">
        <f>SUMIFS(Compta!$F$2:$F$675,Compta!$A$2:$A$675,B118,Compta!$B$2:$B$675,"6413",Compta!$C$2:$C$675,A118)+SUMIFS(Compta!$F$2:$F$675,Compta!$A$2:$A$675,B118,Compta!$B$2:$B$675,"645",Compta!$C$2:$C$675,A118)+SUMIFS(Compta!$F$2:$F$675,Compta!$A$2:$A$675,B118,Compta!$B$2:$B$675,"613",Compta!$C$2:$C$675,A118)+SUMIFS(Compta!$F$2:$F$675,Compta!$A$2:$A$675,B118,Compta!$B$2:$B$675,"615",Compta!$C$2:$C$675,A118)+SUMIFS(Compta!$F$2:$F$675,Compta!$A$2:$A$675,B118,Compta!$B$2:$B$675,"616",Compta!$C$2:$C$675,A118)+SUMIFS(Compta!$F$2:$F$675,Compta!$A$2:$A$675,B118,Compta!$B$2:$B$675,"625",Compta!$C$2:$C$675,A118)+SUMIFS(Compta!$F$2:$F$675,Compta!$A$2:$A$675,B118,Compta!$B$2:$B$675,"63511",Compta!$C$2:$C$675,A118)</f>
        <v/>
      </c>
      <c r="AB118">
        <f>SUMIFS(Compta!$F$2:$F$675,Compta!$A$2:$A$675,"GRP",Compta!$B$2:$B$675,"6414",Compta!$C$2:$C$675,A118)+SUMIFS(Compta!$F$2:$F$675,Compta!$A$2:$A$675,"GRP",Compta!$B$2:$B$675,"6226",Compta!$C$2:$C$675,A118)+SUMIFS(Compta!$F$2:$F$675,Compta!$A$2:$A$675,"GRP",Compta!$B$2:$B$675,"6236",Compta!$C$2:$C$675,A118)+SUMIFS(Compta!$F$2:$F$675,Compta!$A$2:$A$675,"GRP",Compta!$B$2:$B$675,"626",Compta!$C$2:$C$675,A118)+SUMIFS(Compta!$F$2:$F$675,Compta!$A$2:$A$675,"GRP",Compta!$B$2:$B$675,"6281",Compta!$C$2:$C$675,A118)+SUMIFS(Compta!$F$2:$F$675,Compta!$A$2:$A$675,"GRP",Compta!$B$2:$B$675,"6331",Compta!$C$2:$C$675,A118)+SUMIFS(Compta!$F$2:$F$675,Compta!$A$2:$A$675,"GRP",Compta!$B$2:$B$675,"6333",Compta!$C$2:$C$675,A118)</f>
        <v/>
      </c>
      <c r="AC118">
        <f>IF(Pilotage!$E$10="Chiffre d'affaires",I118,IF(Pilotage!$E$10="Effectif",G118,H118))</f>
        <v/>
      </c>
      <c r="AD118">
        <f>IF(Pilotage!$E$10="Chiffre d'affaires",N118,IF(Pilotage!$E$10="Effectif",L118,M118))</f>
        <v/>
      </c>
      <c r="AE118">
        <f>IF(Pilotage!$E$8="Chiffre d'affaires",N118,IF(Pilotage!$E$8="Effectif",L118,M118))</f>
        <v/>
      </c>
      <c r="AF118">
        <f>IF(Pilotage!$E$8="Chiffre d'affaires",S118,IF(Pilotage!$E$8="Effectif",Q118,R118))</f>
        <v/>
      </c>
      <c r="AG118">
        <f>IF(Pilotage!$E$9="Chiffre d'affaires",S118,IF(Pilotage!$E$9="Effectif",Q118,R118))</f>
        <v/>
      </c>
      <c r="AH118">
        <f>IF(Pilotage!$E$9="Chiffre d'affaires",V118,IF(Pilotage!$E$9="Effectif",T118,U118))</f>
        <v/>
      </c>
      <c r="AI118">
        <f>W118*IFERROR(K118/O118,0)</f>
        <v/>
      </c>
      <c r="AJ118">
        <f>X118*IFERROR(K118/O118,0)</f>
        <v/>
      </c>
      <c r="AK118">
        <f>Y118*IFERROR(G118/L118,0)+Z118*IFERROR(J118/P118,0)</f>
        <v/>
      </c>
      <c r="AL118">
        <f>AA118*IFERROR(AC118/AD118,0)</f>
        <v/>
      </c>
      <c r="AM118">
        <f>AB118*IFERROR(AG118/AH118,0)*IFERROR(AE118/AF118,0)*IFERROR(AC118/AD118,0)</f>
        <v/>
      </c>
      <c r="AN118">
        <f>I118-(AI118+AJ118+AK118+AL118+AM118)</f>
        <v/>
      </c>
    </row>
    <row r="119">
      <c r="A119">
        <f>Allocation!C119</f>
        <v/>
      </c>
      <c r="B119">
        <f>Allocation!D119</f>
        <v/>
      </c>
      <c r="C119">
        <f>Allocation!E119</f>
        <v/>
      </c>
      <c r="D119">
        <f>Allocation!F119</f>
        <v/>
      </c>
      <c r="E119">
        <f>Allocation!G119</f>
        <v/>
      </c>
      <c r="F119">
        <f>Allocation!H119</f>
        <v/>
      </c>
      <c r="G119">
        <f>Allocation!I119</f>
        <v/>
      </c>
      <c r="H119">
        <f>Allocation!J119</f>
        <v/>
      </c>
      <c r="I119">
        <f>Allocation!K119</f>
        <v/>
      </c>
      <c r="J119">
        <f>SUMIFS(Socle!$K$2:$K$175,Socle!$C$2:$C$175,B119,Socle!$D$2:$D$175,D119,Socle!$E$2:$E$175,E119,Socle!$F$2:$F$175,F119,Socle!$G$2:$G$175,A119)</f>
        <v/>
      </c>
      <c r="K119">
        <f>H119*IF(AND(LEFT(D119,3)="BAC",F119="INIT"),600,IF(LEFT(D119,3)="BAC",480,IF(AND(LEFT(D119,3)="MAS",F119="INIT"),520,IF(LEFT(D119,3)="MAS",420,IF(F119="INIT",1000,700)))))</f>
        <v/>
      </c>
      <c r="L119">
        <f>SUMIFS(Allocation!$I$2:$I$175,Allocation!$C$2:$C$175,A119,Allocation!$D$2:$D$175,B119)</f>
        <v/>
      </c>
      <c r="M119">
        <f>SUMIFS(Allocation!$J$2:$J$175,Allocation!$C$2:$C$175,A119,Allocation!$D$2:$D$175,B119)</f>
        <v/>
      </c>
      <c r="N119">
        <f>SUMIFS(Allocation!$K$2:$K$175,Allocation!$C$2:$C$175,A119,Allocation!$D$2:$D$175,B119)</f>
        <v/>
      </c>
      <c r="O119">
        <f>SUMIFS($K$2:$K$175,$A$2:$A$175,A119,$B$2:$B$175,B119)</f>
        <v/>
      </c>
      <c r="P119">
        <f>SUMIFS($J$2:$J$175,$A$2:$A$175,A119,$B$2:$B$175,B119)</f>
        <v/>
      </c>
      <c r="Q119">
        <f>SUMIFS(Allocation!$I$2:$I$175,Allocation!$C$2:$C$175,A119,Allocation!$E$2:$E$175,C119)</f>
        <v/>
      </c>
      <c r="R119">
        <f>SUMIFS(Allocation!$J$2:$J$175,Allocation!$C$2:$C$175,A119,Allocation!$E$2:$E$175,C119)</f>
        <v/>
      </c>
      <c r="S119">
        <f>SUMIFS(Allocation!$K$2:$K$175,Allocation!$C$2:$C$175,A119,Allocation!$E$2:$E$175,C119)</f>
        <v/>
      </c>
      <c r="T119">
        <f>SUMIFS(Allocation!$I$2:$I$175,Allocation!$C$2:$C$175,A119)</f>
        <v/>
      </c>
      <c r="U119">
        <f>SUMIFS(Allocation!$J$2:$J$175,Allocation!$C$2:$C$175,A119)</f>
        <v/>
      </c>
      <c r="V119">
        <f>SUMIFS(Allocation!$K$2:$K$175,Allocation!$C$2:$C$175,A119)</f>
        <v/>
      </c>
      <c r="W119">
        <f>SUMIFS(Compta!$F$2:$F$675,Compta!$A$2:$A$675,B119,Compta!$B$2:$B$675,"621",Compta!$C$2:$C$675,A119)</f>
        <v/>
      </c>
      <c r="X119">
        <f>SUMIFS(Compta!$F$2:$F$675,Compta!$A$2:$A$675,B119,Compta!$B$2:$B$675,"6411",Compta!$C$2:$C$675,A119)</f>
        <v/>
      </c>
      <c r="Y119">
        <f>SUMIFS(Compta!$F$2:$F$675,Compta!$A$2:$A$675,B119,Compta!$B$2:$B$675,"604",Compta!$C$2:$C$675,A119)+SUMIFS(Compta!$F$2:$F$675,Compta!$A$2:$A$675,B119,Compta!$B$2:$B$675,"6063",Compta!$C$2:$C$675,A119)</f>
        <v/>
      </c>
      <c r="Z119">
        <f>SUMIFS(Compta!$F$2:$F$675,Compta!$A$2:$A$675,B119,Compta!$B$2:$B$675,"6231",Compta!$C$2:$C$675,A119)</f>
        <v/>
      </c>
      <c r="AA119">
        <f>SUMIFS(Compta!$F$2:$F$675,Compta!$A$2:$A$675,B119,Compta!$B$2:$B$675,"6413",Compta!$C$2:$C$675,A119)+SUMIFS(Compta!$F$2:$F$675,Compta!$A$2:$A$675,B119,Compta!$B$2:$B$675,"645",Compta!$C$2:$C$675,A119)+SUMIFS(Compta!$F$2:$F$675,Compta!$A$2:$A$675,B119,Compta!$B$2:$B$675,"613",Compta!$C$2:$C$675,A119)+SUMIFS(Compta!$F$2:$F$675,Compta!$A$2:$A$675,B119,Compta!$B$2:$B$675,"615",Compta!$C$2:$C$675,A119)+SUMIFS(Compta!$F$2:$F$675,Compta!$A$2:$A$675,B119,Compta!$B$2:$B$675,"616",Compta!$C$2:$C$675,A119)+SUMIFS(Compta!$F$2:$F$675,Compta!$A$2:$A$675,B119,Compta!$B$2:$B$675,"625",Compta!$C$2:$C$675,A119)+SUMIFS(Compta!$F$2:$F$675,Compta!$A$2:$A$675,B119,Compta!$B$2:$B$675,"63511",Compta!$C$2:$C$675,A119)</f>
        <v/>
      </c>
      <c r="AB119">
        <f>SUMIFS(Compta!$F$2:$F$675,Compta!$A$2:$A$675,"GRP",Compta!$B$2:$B$675,"6414",Compta!$C$2:$C$675,A119)+SUMIFS(Compta!$F$2:$F$675,Compta!$A$2:$A$675,"GRP",Compta!$B$2:$B$675,"6226",Compta!$C$2:$C$675,A119)+SUMIFS(Compta!$F$2:$F$675,Compta!$A$2:$A$675,"GRP",Compta!$B$2:$B$675,"6236",Compta!$C$2:$C$675,A119)+SUMIFS(Compta!$F$2:$F$675,Compta!$A$2:$A$675,"GRP",Compta!$B$2:$B$675,"626",Compta!$C$2:$C$675,A119)+SUMIFS(Compta!$F$2:$F$675,Compta!$A$2:$A$675,"GRP",Compta!$B$2:$B$675,"6281",Compta!$C$2:$C$675,A119)+SUMIFS(Compta!$F$2:$F$675,Compta!$A$2:$A$675,"GRP",Compta!$B$2:$B$675,"6331",Compta!$C$2:$C$675,A119)+SUMIFS(Compta!$F$2:$F$675,Compta!$A$2:$A$675,"GRP",Compta!$B$2:$B$675,"6333",Compta!$C$2:$C$675,A119)</f>
        <v/>
      </c>
      <c r="AC119">
        <f>IF(Pilotage!$E$10="Chiffre d'affaires",I119,IF(Pilotage!$E$10="Effectif",G119,H119))</f>
        <v/>
      </c>
      <c r="AD119">
        <f>IF(Pilotage!$E$10="Chiffre d'affaires",N119,IF(Pilotage!$E$10="Effectif",L119,M119))</f>
        <v/>
      </c>
      <c r="AE119">
        <f>IF(Pilotage!$E$8="Chiffre d'affaires",N119,IF(Pilotage!$E$8="Effectif",L119,M119))</f>
        <v/>
      </c>
      <c r="AF119">
        <f>IF(Pilotage!$E$8="Chiffre d'affaires",S119,IF(Pilotage!$E$8="Effectif",Q119,R119))</f>
        <v/>
      </c>
      <c r="AG119">
        <f>IF(Pilotage!$E$9="Chiffre d'affaires",S119,IF(Pilotage!$E$9="Effectif",Q119,R119))</f>
        <v/>
      </c>
      <c r="AH119">
        <f>IF(Pilotage!$E$9="Chiffre d'affaires",V119,IF(Pilotage!$E$9="Effectif",T119,U119))</f>
        <v/>
      </c>
      <c r="AI119">
        <f>W119*IFERROR(K119/O119,0)</f>
        <v/>
      </c>
      <c r="AJ119">
        <f>X119*IFERROR(K119/O119,0)</f>
        <v/>
      </c>
      <c r="AK119">
        <f>Y119*IFERROR(G119/L119,0)+Z119*IFERROR(J119/P119,0)</f>
        <v/>
      </c>
      <c r="AL119">
        <f>AA119*IFERROR(AC119/AD119,0)</f>
        <v/>
      </c>
      <c r="AM119">
        <f>AB119*IFERROR(AG119/AH119,0)*IFERROR(AE119/AF119,0)*IFERROR(AC119/AD119,0)</f>
        <v/>
      </c>
      <c r="AN119">
        <f>I119-(AI119+AJ119+AK119+AL119+AM119)</f>
        <v/>
      </c>
    </row>
    <row r="120">
      <c r="A120">
        <f>Allocation!C120</f>
        <v/>
      </c>
      <c r="B120">
        <f>Allocation!D120</f>
        <v/>
      </c>
      <c r="C120">
        <f>Allocation!E120</f>
        <v/>
      </c>
      <c r="D120">
        <f>Allocation!F120</f>
        <v/>
      </c>
      <c r="E120">
        <f>Allocation!G120</f>
        <v/>
      </c>
      <c r="F120">
        <f>Allocation!H120</f>
        <v/>
      </c>
      <c r="G120">
        <f>Allocation!I120</f>
        <v/>
      </c>
      <c r="H120">
        <f>Allocation!J120</f>
        <v/>
      </c>
      <c r="I120">
        <f>Allocation!K120</f>
        <v/>
      </c>
      <c r="J120">
        <f>SUMIFS(Socle!$K$2:$K$175,Socle!$C$2:$C$175,B120,Socle!$D$2:$D$175,D120,Socle!$E$2:$E$175,E120,Socle!$F$2:$F$175,F120,Socle!$G$2:$G$175,A120)</f>
        <v/>
      </c>
      <c r="K120">
        <f>H120*IF(AND(LEFT(D120,3)="BAC",F120="INIT"),600,IF(LEFT(D120,3)="BAC",480,IF(AND(LEFT(D120,3)="MAS",F120="INIT"),520,IF(LEFT(D120,3)="MAS",420,IF(F120="INIT",1000,700)))))</f>
        <v/>
      </c>
      <c r="L120">
        <f>SUMIFS(Allocation!$I$2:$I$175,Allocation!$C$2:$C$175,A120,Allocation!$D$2:$D$175,B120)</f>
        <v/>
      </c>
      <c r="M120">
        <f>SUMIFS(Allocation!$J$2:$J$175,Allocation!$C$2:$C$175,A120,Allocation!$D$2:$D$175,B120)</f>
        <v/>
      </c>
      <c r="N120">
        <f>SUMIFS(Allocation!$K$2:$K$175,Allocation!$C$2:$C$175,A120,Allocation!$D$2:$D$175,B120)</f>
        <v/>
      </c>
      <c r="O120">
        <f>SUMIFS($K$2:$K$175,$A$2:$A$175,A120,$B$2:$B$175,B120)</f>
        <v/>
      </c>
      <c r="P120">
        <f>SUMIFS($J$2:$J$175,$A$2:$A$175,A120,$B$2:$B$175,B120)</f>
        <v/>
      </c>
      <c r="Q120">
        <f>SUMIFS(Allocation!$I$2:$I$175,Allocation!$C$2:$C$175,A120,Allocation!$E$2:$E$175,C120)</f>
        <v/>
      </c>
      <c r="R120">
        <f>SUMIFS(Allocation!$J$2:$J$175,Allocation!$C$2:$C$175,A120,Allocation!$E$2:$E$175,C120)</f>
        <v/>
      </c>
      <c r="S120">
        <f>SUMIFS(Allocation!$K$2:$K$175,Allocation!$C$2:$C$175,A120,Allocation!$E$2:$E$175,C120)</f>
        <v/>
      </c>
      <c r="T120">
        <f>SUMIFS(Allocation!$I$2:$I$175,Allocation!$C$2:$C$175,A120)</f>
        <v/>
      </c>
      <c r="U120">
        <f>SUMIFS(Allocation!$J$2:$J$175,Allocation!$C$2:$C$175,A120)</f>
        <v/>
      </c>
      <c r="V120">
        <f>SUMIFS(Allocation!$K$2:$K$175,Allocation!$C$2:$C$175,A120)</f>
        <v/>
      </c>
      <c r="W120">
        <f>SUMIFS(Compta!$F$2:$F$675,Compta!$A$2:$A$675,B120,Compta!$B$2:$B$675,"621",Compta!$C$2:$C$675,A120)</f>
        <v/>
      </c>
      <c r="X120">
        <f>SUMIFS(Compta!$F$2:$F$675,Compta!$A$2:$A$675,B120,Compta!$B$2:$B$675,"6411",Compta!$C$2:$C$675,A120)</f>
        <v/>
      </c>
      <c r="Y120">
        <f>SUMIFS(Compta!$F$2:$F$675,Compta!$A$2:$A$675,B120,Compta!$B$2:$B$675,"604",Compta!$C$2:$C$675,A120)+SUMIFS(Compta!$F$2:$F$675,Compta!$A$2:$A$675,B120,Compta!$B$2:$B$675,"6063",Compta!$C$2:$C$675,A120)</f>
        <v/>
      </c>
      <c r="Z120">
        <f>SUMIFS(Compta!$F$2:$F$675,Compta!$A$2:$A$675,B120,Compta!$B$2:$B$675,"6231",Compta!$C$2:$C$675,A120)</f>
        <v/>
      </c>
      <c r="AA120">
        <f>SUMIFS(Compta!$F$2:$F$675,Compta!$A$2:$A$675,B120,Compta!$B$2:$B$675,"6413",Compta!$C$2:$C$675,A120)+SUMIFS(Compta!$F$2:$F$675,Compta!$A$2:$A$675,B120,Compta!$B$2:$B$675,"645",Compta!$C$2:$C$675,A120)+SUMIFS(Compta!$F$2:$F$675,Compta!$A$2:$A$675,B120,Compta!$B$2:$B$675,"613",Compta!$C$2:$C$675,A120)+SUMIFS(Compta!$F$2:$F$675,Compta!$A$2:$A$675,B120,Compta!$B$2:$B$675,"615",Compta!$C$2:$C$675,A120)+SUMIFS(Compta!$F$2:$F$675,Compta!$A$2:$A$675,B120,Compta!$B$2:$B$675,"616",Compta!$C$2:$C$675,A120)+SUMIFS(Compta!$F$2:$F$675,Compta!$A$2:$A$675,B120,Compta!$B$2:$B$675,"625",Compta!$C$2:$C$675,A120)+SUMIFS(Compta!$F$2:$F$675,Compta!$A$2:$A$675,B120,Compta!$B$2:$B$675,"63511",Compta!$C$2:$C$675,A120)</f>
        <v/>
      </c>
      <c r="AB120">
        <f>SUMIFS(Compta!$F$2:$F$675,Compta!$A$2:$A$675,"GRP",Compta!$B$2:$B$675,"6414",Compta!$C$2:$C$675,A120)+SUMIFS(Compta!$F$2:$F$675,Compta!$A$2:$A$675,"GRP",Compta!$B$2:$B$675,"6226",Compta!$C$2:$C$675,A120)+SUMIFS(Compta!$F$2:$F$675,Compta!$A$2:$A$675,"GRP",Compta!$B$2:$B$675,"6236",Compta!$C$2:$C$675,A120)+SUMIFS(Compta!$F$2:$F$675,Compta!$A$2:$A$675,"GRP",Compta!$B$2:$B$675,"626",Compta!$C$2:$C$675,A120)+SUMIFS(Compta!$F$2:$F$675,Compta!$A$2:$A$675,"GRP",Compta!$B$2:$B$675,"6281",Compta!$C$2:$C$675,A120)+SUMIFS(Compta!$F$2:$F$675,Compta!$A$2:$A$675,"GRP",Compta!$B$2:$B$675,"6331",Compta!$C$2:$C$675,A120)+SUMIFS(Compta!$F$2:$F$675,Compta!$A$2:$A$675,"GRP",Compta!$B$2:$B$675,"6333",Compta!$C$2:$C$675,A120)</f>
        <v/>
      </c>
      <c r="AC120">
        <f>IF(Pilotage!$E$10="Chiffre d'affaires",I120,IF(Pilotage!$E$10="Effectif",G120,H120))</f>
        <v/>
      </c>
      <c r="AD120">
        <f>IF(Pilotage!$E$10="Chiffre d'affaires",N120,IF(Pilotage!$E$10="Effectif",L120,M120))</f>
        <v/>
      </c>
      <c r="AE120">
        <f>IF(Pilotage!$E$8="Chiffre d'affaires",N120,IF(Pilotage!$E$8="Effectif",L120,M120))</f>
        <v/>
      </c>
      <c r="AF120">
        <f>IF(Pilotage!$E$8="Chiffre d'affaires",S120,IF(Pilotage!$E$8="Effectif",Q120,R120))</f>
        <v/>
      </c>
      <c r="AG120">
        <f>IF(Pilotage!$E$9="Chiffre d'affaires",S120,IF(Pilotage!$E$9="Effectif",Q120,R120))</f>
        <v/>
      </c>
      <c r="AH120">
        <f>IF(Pilotage!$E$9="Chiffre d'affaires",V120,IF(Pilotage!$E$9="Effectif",T120,U120))</f>
        <v/>
      </c>
      <c r="AI120">
        <f>W120*IFERROR(K120/O120,0)</f>
        <v/>
      </c>
      <c r="AJ120">
        <f>X120*IFERROR(K120/O120,0)</f>
        <v/>
      </c>
      <c r="AK120">
        <f>Y120*IFERROR(G120/L120,0)+Z120*IFERROR(J120/P120,0)</f>
        <v/>
      </c>
      <c r="AL120">
        <f>AA120*IFERROR(AC120/AD120,0)</f>
        <v/>
      </c>
      <c r="AM120">
        <f>AB120*IFERROR(AG120/AH120,0)*IFERROR(AE120/AF120,0)*IFERROR(AC120/AD120,0)</f>
        <v/>
      </c>
      <c r="AN120">
        <f>I120-(AI120+AJ120+AK120+AL120+AM120)</f>
        <v/>
      </c>
    </row>
    <row r="121">
      <c r="A121">
        <f>Allocation!C121</f>
        <v/>
      </c>
      <c r="B121">
        <f>Allocation!D121</f>
        <v/>
      </c>
      <c r="C121">
        <f>Allocation!E121</f>
        <v/>
      </c>
      <c r="D121">
        <f>Allocation!F121</f>
        <v/>
      </c>
      <c r="E121">
        <f>Allocation!G121</f>
        <v/>
      </c>
      <c r="F121">
        <f>Allocation!H121</f>
        <v/>
      </c>
      <c r="G121">
        <f>Allocation!I121</f>
        <v/>
      </c>
      <c r="H121">
        <f>Allocation!J121</f>
        <v/>
      </c>
      <c r="I121">
        <f>Allocation!K121</f>
        <v/>
      </c>
      <c r="J121">
        <f>SUMIFS(Socle!$K$2:$K$175,Socle!$C$2:$C$175,B121,Socle!$D$2:$D$175,D121,Socle!$E$2:$E$175,E121,Socle!$F$2:$F$175,F121,Socle!$G$2:$G$175,A121)</f>
        <v/>
      </c>
      <c r="K121">
        <f>H121*IF(AND(LEFT(D121,3)="BAC",F121="INIT"),600,IF(LEFT(D121,3)="BAC",480,IF(AND(LEFT(D121,3)="MAS",F121="INIT"),520,IF(LEFT(D121,3)="MAS",420,IF(F121="INIT",1000,700)))))</f>
        <v/>
      </c>
      <c r="L121">
        <f>SUMIFS(Allocation!$I$2:$I$175,Allocation!$C$2:$C$175,A121,Allocation!$D$2:$D$175,B121)</f>
        <v/>
      </c>
      <c r="M121">
        <f>SUMIFS(Allocation!$J$2:$J$175,Allocation!$C$2:$C$175,A121,Allocation!$D$2:$D$175,B121)</f>
        <v/>
      </c>
      <c r="N121">
        <f>SUMIFS(Allocation!$K$2:$K$175,Allocation!$C$2:$C$175,A121,Allocation!$D$2:$D$175,B121)</f>
        <v/>
      </c>
      <c r="O121">
        <f>SUMIFS($K$2:$K$175,$A$2:$A$175,A121,$B$2:$B$175,B121)</f>
        <v/>
      </c>
      <c r="P121">
        <f>SUMIFS($J$2:$J$175,$A$2:$A$175,A121,$B$2:$B$175,B121)</f>
        <v/>
      </c>
      <c r="Q121">
        <f>SUMIFS(Allocation!$I$2:$I$175,Allocation!$C$2:$C$175,A121,Allocation!$E$2:$E$175,C121)</f>
        <v/>
      </c>
      <c r="R121">
        <f>SUMIFS(Allocation!$J$2:$J$175,Allocation!$C$2:$C$175,A121,Allocation!$E$2:$E$175,C121)</f>
        <v/>
      </c>
      <c r="S121">
        <f>SUMIFS(Allocation!$K$2:$K$175,Allocation!$C$2:$C$175,A121,Allocation!$E$2:$E$175,C121)</f>
        <v/>
      </c>
      <c r="T121">
        <f>SUMIFS(Allocation!$I$2:$I$175,Allocation!$C$2:$C$175,A121)</f>
        <v/>
      </c>
      <c r="U121">
        <f>SUMIFS(Allocation!$J$2:$J$175,Allocation!$C$2:$C$175,A121)</f>
        <v/>
      </c>
      <c r="V121">
        <f>SUMIFS(Allocation!$K$2:$K$175,Allocation!$C$2:$C$175,A121)</f>
        <v/>
      </c>
      <c r="W121">
        <f>SUMIFS(Compta!$F$2:$F$675,Compta!$A$2:$A$675,B121,Compta!$B$2:$B$675,"621",Compta!$C$2:$C$675,A121)</f>
        <v/>
      </c>
      <c r="X121">
        <f>SUMIFS(Compta!$F$2:$F$675,Compta!$A$2:$A$675,B121,Compta!$B$2:$B$675,"6411",Compta!$C$2:$C$675,A121)</f>
        <v/>
      </c>
      <c r="Y121">
        <f>SUMIFS(Compta!$F$2:$F$675,Compta!$A$2:$A$675,B121,Compta!$B$2:$B$675,"604",Compta!$C$2:$C$675,A121)+SUMIFS(Compta!$F$2:$F$675,Compta!$A$2:$A$675,B121,Compta!$B$2:$B$675,"6063",Compta!$C$2:$C$675,A121)</f>
        <v/>
      </c>
      <c r="Z121">
        <f>SUMIFS(Compta!$F$2:$F$675,Compta!$A$2:$A$675,B121,Compta!$B$2:$B$675,"6231",Compta!$C$2:$C$675,A121)</f>
        <v/>
      </c>
      <c r="AA121">
        <f>SUMIFS(Compta!$F$2:$F$675,Compta!$A$2:$A$675,B121,Compta!$B$2:$B$675,"6413",Compta!$C$2:$C$675,A121)+SUMIFS(Compta!$F$2:$F$675,Compta!$A$2:$A$675,B121,Compta!$B$2:$B$675,"645",Compta!$C$2:$C$675,A121)+SUMIFS(Compta!$F$2:$F$675,Compta!$A$2:$A$675,B121,Compta!$B$2:$B$675,"613",Compta!$C$2:$C$675,A121)+SUMIFS(Compta!$F$2:$F$675,Compta!$A$2:$A$675,B121,Compta!$B$2:$B$675,"615",Compta!$C$2:$C$675,A121)+SUMIFS(Compta!$F$2:$F$675,Compta!$A$2:$A$675,B121,Compta!$B$2:$B$675,"616",Compta!$C$2:$C$675,A121)+SUMIFS(Compta!$F$2:$F$675,Compta!$A$2:$A$675,B121,Compta!$B$2:$B$675,"625",Compta!$C$2:$C$675,A121)+SUMIFS(Compta!$F$2:$F$675,Compta!$A$2:$A$675,B121,Compta!$B$2:$B$675,"63511",Compta!$C$2:$C$675,A121)</f>
        <v/>
      </c>
      <c r="AB121">
        <f>SUMIFS(Compta!$F$2:$F$675,Compta!$A$2:$A$675,"GRP",Compta!$B$2:$B$675,"6414",Compta!$C$2:$C$675,A121)+SUMIFS(Compta!$F$2:$F$675,Compta!$A$2:$A$675,"GRP",Compta!$B$2:$B$675,"6226",Compta!$C$2:$C$675,A121)+SUMIFS(Compta!$F$2:$F$675,Compta!$A$2:$A$675,"GRP",Compta!$B$2:$B$675,"6236",Compta!$C$2:$C$675,A121)+SUMIFS(Compta!$F$2:$F$675,Compta!$A$2:$A$675,"GRP",Compta!$B$2:$B$675,"626",Compta!$C$2:$C$675,A121)+SUMIFS(Compta!$F$2:$F$675,Compta!$A$2:$A$675,"GRP",Compta!$B$2:$B$675,"6281",Compta!$C$2:$C$675,A121)+SUMIFS(Compta!$F$2:$F$675,Compta!$A$2:$A$675,"GRP",Compta!$B$2:$B$675,"6331",Compta!$C$2:$C$675,A121)+SUMIFS(Compta!$F$2:$F$675,Compta!$A$2:$A$675,"GRP",Compta!$B$2:$B$675,"6333",Compta!$C$2:$C$675,A121)</f>
        <v/>
      </c>
      <c r="AC121">
        <f>IF(Pilotage!$E$10="Chiffre d'affaires",I121,IF(Pilotage!$E$10="Effectif",G121,H121))</f>
        <v/>
      </c>
      <c r="AD121">
        <f>IF(Pilotage!$E$10="Chiffre d'affaires",N121,IF(Pilotage!$E$10="Effectif",L121,M121))</f>
        <v/>
      </c>
      <c r="AE121">
        <f>IF(Pilotage!$E$8="Chiffre d'affaires",N121,IF(Pilotage!$E$8="Effectif",L121,M121))</f>
        <v/>
      </c>
      <c r="AF121">
        <f>IF(Pilotage!$E$8="Chiffre d'affaires",S121,IF(Pilotage!$E$8="Effectif",Q121,R121))</f>
        <v/>
      </c>
      <c r="AG121">
        <f>IF(Pilotage!$E$9="Chiffre d'affaires",S121,IF(Pilotage!$E$9="Effectif",Q121,R121))</f>
        <v/>
      </c>
      <c r="AH121">
        <f>IF(Pilotage!$E$9="Chiffre d'affaires",V121,IF(Pilotage!$E$9="Effectif",T121,U121))</f>
        <v/>
      </c>
      <c r="AI121">
        <f>W121*IFERROR(K121/O121,0)</f>
        <v/>
      </c>
      <c r="AJ121">
        <f>X121*IFERROR(K121/O121,0)</f>
        <v/>
      </c>
      <c r="AK121">
        <f>Y121*IFERROR(G121/L121,0)+Z121*IFERROR(J121/P121,0)</f>
        <v/>
      </c>
      <c r="AL121">
        <f>AA121*IFERROR(AC121/AD121,0)</f>
        <v/>
      </c>
      <c r="AM121">
        <f>AB121*IFERROR(AG121/AH121,0)*IFERROR(AE121/AF121,0)*IFERROR(AC121/AD121,0)</f>
        <v/>
      </c>
      <c r="AN121">
        <f>I121-(AI121+AJ121+AK121+AL121+AM121)</f>
        <v/>
      </c>
    </row>
    <row r="122">
      <c r="A122">
        <f>Allocation!C122</f>
        <v/>
      </c>
      <c r="B122">
        <f>Allocation!D122</f>
        <v/>
      </c>
      <c r="C122">
        <f>Allocation!E122</f>
        <v/>
      </c>
      <c r="D122">
        <f>Allocation!F122</f>
        <v/>
      </c>
      <c r="E122">
        <f>Allocation!G122</f>
        <v/>
      </c>
      <c r="F122">
        <f>Allocation!H122</f>
        <v/>
      </c>
      <c r="G122">
        <f>Allocation!I122</f>
        <v/>
      </c>
      <c r="H122">
        <f>Allocation!J122</f>
        <v/>
      </c>
      <c r="I122">
        <f>Allocation!K122</f>
        <v/>
      </c>
      <c r="J122">
        <f>SUMIFS(Socle!$K$2:$K$175,Socle!$C$2:$C$175,B122,Socle!$D$2:$D$175,D122,Socle!$E$2:$E$175,E122,Socle!$F$2:$F$175,F122,Socle!$G$2:$G$175,A122)</f>
        <v/>
      </c>
      <c r="K122">
        <f>H122*IF(AND(LEFT(D122,3)="BAC",F122="INIT"),600,IF(LEFT(D122,3)="BAC",480,IF(AND(LEFT(D122,3)="MAS",F122="INIT"),520,IF(LEFT(D122,3)="MAS",420,IF(F122="INIT",1000,700)))))</f>
        <v/>
      </c>
      <c r="L122">
        <f>SUMIFS(Allocation!$I$2:$I$175,Allocation!$C$2:$C$175,A122,Allocation!$D$2:$D$175,B122)</f>
        <v/>
      </c>
      <c r="M122">
        <f>SUMIFS(Allocation!$J$2:$J$175,Allocation!$C$2:$C$175,A122,Allocation!$D$2:$D$175,B122)</f>
        <v/>
      </c>
      <c r="N122">
        <f>SUMIFS(Allocation!$K$2:$K$175,Allocation!$C$2:$C$175,A122,Allocation!$D$2:$D$175,B122)</f>
        <v/>
      </c>
      <c r="O122">
        <f>SUMIFS($K$2:$K$175,$A$2:$A$175,A122,$B$2:$B$175,B122)</f>
        <v/>
      </c>
      <c r="P122">
        <f>SUMIFS($J$2:$J$175,$A$2:$A$175,A122,$B$2:$B$175,B122)</f>
        <v/>
      </c>
      <c r="Q122">
        <f>SUMIFS(Allocation!$I$2:$I$175,Allocation!$C$2:$C$175,A122,Allocation!$E$2:$E$175,C122)</f>
        <v/>
      </c>
      <c r="R122">
        <f>SUMIFS(Allocation!$J$2:$J$175,Allocation!$C$2:$C$175,A122,Allocation!$E$2:$E$175,C122)</f>
        <v/>
      </c>
      <c r="S122">
        <f>SUMIFS(Allocation!$K$2:$K$175,Allocation!$C$2:$C$175,A122,Allocation!$E$2:$E$175,C122)</f>
        <v/>
      </c>
      <c r="T122">
        <f>SUMIFS(Allocation!$I$2:$I$175,Allocation!$C$2:$C$175,A122)</f>
        <v/>
      </c>
      <c r="U122">
        <f>SUMIFS(Allocation!$J$2:$J$175,Allocation!$C$2:$C$175,A122)</f>
        <v/>
      </c>
      <c r="V122">
        <f>SUMIFS(Allocation!$K$2:$K$175,Allocation!$C$2:$C$175,A122)</f>
        <v/>
      </c>
      <c r="W122">
        <f>SUMIFS(Compta!$F$2:$F$675,Compta!$A$2:$A$675,B122,Compta!$B$2:$B$675,"621",Compta!$C$2:$C$675,A122)</f>
        <v/>
      </c>
      <c r="X122">
        <f>SUMIFS(Compta!$F$2:$F$675,Compta!$A$2:$A$675,B122,Compta!$B$2:$B$675,"6411",Compta!$C$2:$C$675,A122)</f>
        <v/>
      </c>
      <c r="Y122">
        <f>SUMIFS(Compta!$F$2:$F$675,Compta!$A$2:$A$675,B122,Compta!$B$2:$B$675,"604",Compta!$C$2:$C$675,A122)+SUMIFS(Compta!$F$2:$F$675,Compta!$A$2:$A$675,B122,Compta!$B$2:$B$675,"6063",Compta!$C$2:$C$675,A122)</f>
        <v/>
      </c>
      <c r="Z122">
        <f>SUMIFS(Compta!$F$2:$F$675,Compta!$A$2:$A$675,B122,Compta!$B$2:$B$675,"6231",Compta!$C$2:$C$675,A122)</f>
        <v/>
      </c>
      <c r="AA122">
        <f>SUMIFS(Compta!$F$2:$F$675,Compta!$A$2:$A$675,B122,Compta!$B$2:$B$675,"6413",Compta!$C$2:$C$675,A122)+SUMIFS(Compta!$F$2:$F$675,Compta!$A$2:$A$675,B122,Compta!$B$2:$B$675,"645",Compta!$C$2:$C$675,A122)+SUMIFS(Compta!$F$2:$F$675,Compta!$A$2:$A$675,B122,Compta!$B$2:$B$675,"613",Compta!$C$2:$C$675,A122)+SUMIFS(Compta!$F$2:$F$675,Compta!$A$2:$A$675,B122,Compta!$B$2:$B$675,"615",Compta!$C$2:$C$675,A122)+SUMIFS(Compta!$F$2:$F$675,Compta!$A$2:$A$675,B122,Compta!$B$2:$B$675,"616",Compta!$C$2:$C$675,A122)+SUMIFS(Compta!$F$2:$F$675,Compta!$A$2:$A$675,B122,Compta!$B$2:$B$675,"625",Compta!$C$2:$C$675,A122)+SUMIFS(Compta!$F$2:$F$675,Compta!$A$2:$A$675,B122,Compta!$B$2:$B$675,"63511",Compta!$C$2:$C$675,A122)</f>
        <v/>
      </c>
      <c r="AB122">
        <f>SUMIFS(Compta!$F$2:$F$675,Compta!$A$2:$A$675,"GRP",Compta!$B$2:$B$675,"6414",Compta!$C$2:$C$675,A122)+SUMIFS(Compta!$F$2:$F$675,Compta!$A$2:$A$675,"GRP",Compta!$B$2:$B$675,"6226",Compta!$C$2:$C$675,A122)+SUMIFS(Compta!$F$2:$F$675,Compta!$A$2:$A$675,"GRP",Compta!$B$2:$B$675,"6236",Compta!$C$2:$C$675,A122)+SUMIFS(Compta!$F$2:$F$675,Compta!$A$2:$A$675,"GRP",Compta!$B$2:$B$675,"626",Compta!$C$2:$C$675,A122)+SUMIFS(Compta!$F$2:$F$675,Compta!$A$2:$A$675,"GRP",Compta!$B$2:$B$675,"6281",Compta!$C$2:$C$675,A122)+SUMIFS(Compta!$F$2:$F$675,Compta!$A$2:$A$675,"GRP",Compta!$B$2:$B$675,"6331",Compta!$C$2:$C$675,A122)+SUMIFS(Compta!$F$2:$F$675,Compta!$A$2:$A$675,"GRP",Compta!$B$2:$B$675,"6333",Compta!$C$2:$C$675,A122)</f>
        <v/>
      </c>
      <c r="AC122">
        <f>IF(Pilotage!$E$10="Chiffre d'affaires",I122,IF(Pilotage!$E$10="Effectif",G122,H122))</f>
        <v/>
      </c>
      <c r="AD122">
        <f>IF(Pilotage!$E$10="Chiffre d'affaires",N122,IF(Pilotage!$E$10="Effectif",L122,M122))</f>
        <v/>
      </c>
      <c r="AE122">
        <f>IF(Pilotage!$E$8="Chiffre d'affaires",N122,IF(Pilotage!$E$8="Effectif",L122,M122))</f>
        <v/>
      </c>
      <c r="AF122">
        <f>IF(Pilotage!$E$8="Chiffre d'affaires",S122,IF(Pilotage!$E$8="Effectif",Q122,R122))</f>
        <v/>
      </c>
      <c r="AG122">
        <f>IF(Pilotage!$E$9="Chiffre d'affaires",S122,IF(Pilotage!$E$9="Effectif",Q122,R122))</f>
        <v/>
      </c>
      <c r="AH122">
        <f>IF(Pilotage!$E$9="Chiffre d'affaires",V122,IF(Pilotage!$E$9="Effectif",T122,U122))</f>
        <v/>
      </c>
      <c r="AI122">
        <f>W122*IFERROR(K122/O122,0)</f>
        <v/>
      </c>
      <c r="AJ122">
        <f>X122*IFERROR(K122/O122,0)</f>
        <v/>
      </c>
      <c r="AK122">
        <f>Y122*IFERROR(G122/L122,0)+Z122*IFERROR(J122/P122,0)</f>
        <v/>
      </c>
      <c r="AL122">
        <f>AA122*IFERROR(AC122/AD122,0)</f>
        <v/>
      </c>
      <c r="AM122">
        <f>AB122*IFERROR(AG122/AH122,0)*IFERROR(AE122/AF122,0)*IFERROR(AC122/AD122,0)</f>
        <v/>
      </c>
      <c r="AN122">
        <f>I122-(AI122+AJ122+AK122+AL122+AM122)</f>
        <v/>
      </c>
    </row>
    <row r="123">
      <c r="A123">
        <f>Allocation!C123</f>
        <v/>
      </c>
      <c r="B123">
        <f>Allocation!D123</f>
        <v/>
      </c>
      <c r="C123">
        <f>Allocation!E123</f>
        <v/>
      </c>
      <c r="D123">
        <f>Allocation!F123</f>
        <v/>
      </c>
      <c r="E123">
        <f>Allocation!G123</f>
        <v/>
      </c>
      <c r="F123">
        <f>Allocation!H123</f>
        <v/>
      </c>
      <c r="G123">
        <f>Allocation!I123</f>
        <v/>
      </c>
      <c r="H123">
        <f>Allocation!J123</f>
        <v/>
      </c>
      <c r="I123">
        <f>Allocation!K123</f>
        <v/>
      </c>
      <c r="J123">
        <f>SUMIFS(Socle!$K$2:$K$175,Socle!$C$2:$C$175,B123,Socle!$D$2:$D$175,D123,Socle!$E$2:$E$175,E123,Socle!$F$2:$F$175,F123,Socle!$G$2:$G$175,A123)</f>
        <v/>
      </c>
      <c r="K123">
        <f>H123*IF(AND(LEFT(D123,3)="BAC",F123="INIT"),600,IF(LEFT(D123,3)="BAC",480,IF(AND(LEFT(D123,3)="MAS",F123="INIT"),520,IF(LEFT(D123,3)="MAS",420,IF(F123="INIT",1000,700)))))</f>
        <v/>
      </c>
      <c r="L123">
        <f>SUMIFS(Allocation!$I$2:$I$175,Allocation!$C$2:$C$175,A123,Allocation!$D$2:$D$175,B123)</f>
        <v/>
      </c>
      <c r="M123">
        <f>SUMIFS(Allocation!$J$2:$J$175,Allocation!$C$2:$C$175,A123,Allocation!$D$2:$D$175,B123)</f>
        <v/>
      </c>
      <c r="N123">
        <f>SUMIFS(Allocation!$K$2:$K$175,Allocation!$C$2:$C$175,A123,Allocation!$D$2:$D$175,B123)</f>
        <v/>
      </c>
      <c r="O123">
        <f>SUMIFS($K$2:$K$175,$A$2:$A$175,A123,$B$2:$B$175,B123)</f>
        <v/>
      </c>
      <c r="P123">
        <f>SUMIFS($J$2:$J$175,$A$2:$A$175,A123,$B$2:$B$175,B123)</f>
        <v/>
      </c>
      <c r="Q123">
        <f>SUMIFS(Allocation!$I$2:$I$175,Allocation!$C$2:$C$175,A123,Allocation!$E$2:$E$175,C123)</f>
        <v/>
      </c>
      <c r="R123">
        <f>SUMIFS(Allocation!$J$2:$J$175,Allocation!$C$2:$C$175,A123,Allocation!$E$2:$E$175,C123)</f>
        <v/>
      </c>
      <c r="S123">
        <f>SUMIFS(Allocation!$K$2:$K$175,Allocation!$C$2:$C$175,A123,Allocation!$E$2:$E$175,C123)</f>
        <v/>
      </c>
      <c r="T123">
        <f>SUMIFS(Allocation!$I$2:$I$175,Allocation!$C$2:$C$175,A123)</f>
        <v/>
      </c>
      <c r="U123">
        <f>SUMIFS(Allocation!$J$2:$J$175,Allocation!$C$2:$C$175,A123)</f>
        <v/>
      </c>
      <c r="V123">
        <f>SUMIFS(Allocation!$K$2:$K$175,Allocation!$C$2:$C$175,A123)</f>
        <v/>
      </c>
      <c r="W123">
        <f>SUMIFS(Compta!$F$2:$F$675,Compta!$A$2:$A$675,B123,Compta!$B$2:$B$675,"621",Compta!$C$2:$C$675,A123)</f>
        <v/>
      </c>
      <c r="X123">
        <f>SUMIFS(Compta!$F$2:$F$675,Compta!$A$2:$A$675,B123,Compta!$B$2:$B$675,"6411",Compta!$C$2:$C$675,A123)</f>
        <v/>
      </c>
      <c r="Y123">
        <f>SUMIFS(Compta!$F$2:$F$675,Compta!$A$2:$A$675,B123,Compta!$B$2:$B$675,"604",Compta!$C$2:$C$675,A123)+SUMIFS(Compta!$F$2:$F$675,Compta!$A$2:$A$675,B123,Compta!$B$2:$B$675,"6063",Compta!$C$2:$C$675,A123)</f>
        <v/>
      </c>
      <c r="Z123">
        <f>SUMIFS(Compta!$F$2:$F$675,Compta!$A$2:$A$675,B123,Compta!$B$2:$B$675,"6231",Compta!$C$2:$C$675,A123)</f>
        <v/>
      </c>
      <c r="AA123">
        <f>SUMIFS(Compta!$F$2:$F$675,Compta!$A$2:$A$675,B123,Compta!$B$2:$B$675,"6413",Compta!$C$2:$C$675,A123)+SUMIFS(Compta!$F$2:$F$675,Compta!$A$2:$A$675,B123,Compta!$B$2:$B$675,"645",Compta!$C$2:$C$675,A123)+SUMIFS(Compta!$F$2:$F$675,Compta!$A$2:$A$675,B123,Compta!$B$2:$B$675,"613",Compta!$C$2:$C$675,A123)+SUMIFS(Compta!$F$2:$F$675,Compta!$A$2:$A$675,B123,Compta!$B$2:$B$675,"615",Compta!$C$2:$C$675,A123)+SUMIFS(Compta!$F$2:$F$675,Compta!$A$2:$A$675,B123,Compta!$B$2:$B$675,"616",Compta!$C$2:$C$675,A123)+SUMIFS(Compta!$F$2:$F$675,Compta!$A$2:$A$675,B123,Compta!$B$2:$B$675,"625",Compta!$C$2:$C$675,A123)+SUMIFS(Compta!$F$2:$F$675,Compta!$A$2:$A$675,B123,Compta!$B$2:$B$675,"63511",Compta!$C$2:$C$675,A123)</f>
        <v/>
      </c>
      <c r="AB123">
        <f>SUMIFS(Compta!$F$2:$F$675,Compta!$A$2:$A$675,"GRP",Compta!$B$2:$B$675,"6414",Compta!$C$2:$C$675,A123)+SUMIFS(Compta!$F$2:$F$675,Compta!$A$2:$A$675,"GRP",Compta!$B$2:$B$675,"6226",Compta!$C$2:$C$675,A123)+SUMIFS(Compta!$F$2:$F$675,Compta!$A$2:$A$675,"GRP",Compta!$B$2:$B$675,"6236",Compta!$C$2:$C$675,A123)+SUMIFS(Compta!$F$2:$F$675,Compta!$A$2:$A$675,"GRP",Compta!$B$2:$B$675,"626",Compta!$C$2:$C$675,A123)+SUMIFS(Compta!$F$2:$F$675,Compta!$A$2:$A$675,"GRP",Compta!$B$2:$B$675,"6281",Compta!$C$2:$C$675,A123)+SUMIFS(Compta!$F$2:$F$675,Compta!$A$2:$A$675,"GRP",Compta!$B$2:$B$675,"6331",Compta!$C$2:$C$675,A123)+SUMIFS(Compta!$F$2:$F$675,Compta!$A$2:$A$675,"GRP",Compta!$B$2:$B$675,"6333",Compta!$C$2:$C$675,A123)</f>
        <v/>
      </c>
      <c r="AC123">
        <f>IF(Pilotage!$E$10="Chiffre d'affaires",I123,IF(Pilotage!$E$10="Effectif",G123,H123))</f>
        <v/>
      </c>
      <c r="AD123">
        <f>IF(Pilotage!$E$10="Chiffre d'affaires",N123,IF(Pilotage!$E$10="Effectif",L123,M123))</f>
        <v/>
      </c>
      <c r="AE123">
        <f>IF(Pilotage!$E$8="Chiffre d'affaires",N123,IF(Pilotage!$E$8="Effectif",L123,M123))</f>
        <v/>
      </c>
      <c r="AF123">
        <f>IF(Pilotage!$E$8="Chiffre d'affaires",S123,IF(Pilotage!$E$8="Effectif",Q123,R123))</f>
        <v/>
      </c>
      <c r="AG123">
        <f>IF(Pilotage!$E$9="Chiffre d'affaires",S123,IF(Pilotage!$E$9="Effectif",Q123,R123))</f>
        <v/>
      </c>
      <c r="AH123">
        <f>IF(Pilotage!$E$9="Chiffre d'affaires",V123,IF(Pilotage!$E$9="Effectif",T123,U123))</f>
        <v/>
      </c>
      <c r="AI123">
        <f>W123*IFERROR(K123/O123,0)</f>
        <v/>
      </c>
      <c r="AJ123">
        <f>X123*IFERROR(K123/O123,0)</f>
        <v/>
      </c>
      <c r="AK123">
        <f>Y123*IFERROR(G123/L123,0)+Z123*IFERROR(J123/P123,0)</f>
        <v/>
      </c>
      <c r="AL123">
        <f>AA123*IFERROR(AC123/AD123,0)</f>
        <v/>
      </c>
      <c r="AM123">
        <f>AB123*IFERROR(AG123/AH123,0)*IFERROR(AE123/AF123,0)*IFERROR(AC123/AD123,0)</f>
        <v/>
      </c>
      <c r="AN123">
        <f>I123-(AI123+AJ123+AK123+AL123+AM123)</f>
        <v/>
      </c>
    </row>
    <row r="124">
      <c r="A124">
        <f>Allocation!C124</f>
        <v/>
      </c>
      <c r="B124">
        <f>Allocation!D124</f>
        <v/>
      </c>
      <c r="C124">
        <f>Allocation!E124</f>
        <v/>
      </c>
      <c r="D124">
        <f>Allocation!F124</f>
        <v/>
      </c>
      <c r="E124">
        <f>Allocation!G124</f>
        <v/>
      </c>
      <c r="F124">
        <f>Allocation!H124</f>
        <v/>
      </c>
      <c r="G124">
        <f>Allocation!I124</f>
        <v/>
      </c>
      <c r="H124">
        <f>Allocation!J124</f>
        <v/>
      </c>
      <c r="I124">
        <f>Allocation!K124</f>
        <v/>
      </c>
      <c r="J124">
        <f>SUMIFS(Socle!$K$2:$K$175,Socle!$C$2:$C$175,B124,Socle!$D$2:$D$175,D124,Socle!$E$2:$E$175,E124,Socle!$F$2:$F$175,F124,Socle!$G$2:$G$175,A124)</f>
        <v/>
      </c>
      <c r="K124">
        <f>H124*IF(AND(LEFT(D124,3)="BAC",F124="INIT"),600,IF(LEFT(D124,3)="BAC",480,IF(AND(LEFT(D124,3)="MAS",F124="INIT"),520,IF(LEFT(D124,3)="MAS",420,IF(F124="INIT",1000,700)))))</f>
        <v/>
      </c>
      <c r="L124">
        <f>SUMIFS(Allocation!$I$2:$I$175,Allocation!$C$2:$C$175,A124,Allocation!$D$2:$D$175,B124)</f>
        <v/>
      </c>
      <c r="M124">
        <f>SUMIFS(Allocation!$J$2:$J$175,Allocation!$C$2:$C$175,A124,Allocation!$D$2:$D$175,B124)</f>
        <v/>
      </c>
      <c r="N124">
        <f>SUMIFS(Allocation!$K$2:$K$175,Allocation!$C$2:$C$175,A124,Allocation!$D$2:$D$175,B124)</f>
        <v/>
      </c>
      <c r="O124">
        <f>SUMIFS($K$2:$K$175,$A$2:$A$175,A124,$B$2:$B$175,B124)</f>
        <v/>
      </c>
      <c r="P124">
        <f>SUMIFS($J$2:$J$175,$A$2:$A$175,A124,$B$2:$B$175,B124)</f>
        <v/>
      </c>
      <c r="Q124">
        <f>SUMIFS(Allocation!$I$2:$I$175,Allocation!$C$2:$C$175,A124,Allocation!$E$2:$E$175,C124)</f>
        <v/>
      </c>
      <c r="R124">
        <f>SUMIFS(Allocation!$J$2:$J$175,Allocation!$C$2:$C$175,A124,Allocation!$E$2:$E$175,C124)</f>
        <v/>
      </c>
      <c r="S124">
        <f>SUMIFS(Allocation!$K$2:$K$175,Allocation!$C$2:$C$175,A124,Allocation!$E$2:$E$175,C124)</f>
        <v/>
      </c>
      <c r="T124">
        <f>SUMIFS(Allocation!$I$2:$I$175,Allocation!$C$2:$C$175,A124)</f>
        <v/>
      </c>
      <c r="U124">
        <f>SUMIFS(Allocation!$J$2:$J$175,Allocation!$C$2:$C$175,A124)</f>
        <v/>
      </c>
      <c r="V124">
        <f>SUMIFS(Allocation!$K$2:$K$175,Allocation!$C$2:$C$175,A124)</f>
        <v/>
      </c>
      <c r="W124">
        <f>SUMIFS(Compta!$F$2:$F$675,Compta!$A$2:$A$675,B124,Compta!$B$2:$B$675,"621",Compta!$C$2:$C$675,A124)</f>
        <v/>
      </c>
      <c r="X124">
        <f>SUMIFS(Compta!$F$2:$F$675,Compta!$A$2:$A$675,B124,Compta!$B$2:$B$675,"6411",Compta!$C$2:$C$675,A124)</f>
        <v/>
      </c>
      <c r="Y124">
        <f>SUMIFS(Compta!$F$2:$F$675,Compta!$A$2:$A$675,B124,Compta!$B$2:$B$675,"604",Compta!$C$2:$C$675,A124)+SUMIFS(Compta!$F$2:$F$675,Compta!$A$2:$A$675,B124,Compta!$B$2:$B$675,"6063",Compta!$C$2:$C$675,A124)</f>
        <v/>
      </c>
      <c r="Z124">
        <f>SUMIFS(Compta!$F$2:$F$675,Compta!$A$2:$A$675,B124,Compta!$B$2:$B$675,"6231",Compta!$C$2:$C$675,A124)</f>
        <v/>
      </c>
      <c r="AA124">
        <f>SUMIFS(Compta!$F$2:$F$675,Compta!$A$2:$A$675,B124,Compta!$B$2:$B$675,"6413",Compta!$C$2:$C$675,A124)+SUMIFS(Compta!$F$2:$F$675,Compta!$A$2:$A$675,B124,Compta!$B$2:$B$675,"645",Compta!$C$2:$C$675,A124)+SUMIFS(Compta!$F$2:$F$675,Compta!$A$2:$A$675,B124,Compta!$B$2:$B$675,"613",Compta!$C$2:$C$675,A124)+SUMIFS(Compta!$F$2:$F$675,Compta!$A$2:$A$675,B124,Compta!$B$2:$B$675,"615",Compta!$C$2:$C$675,A124)+SUMIFS(Compta!$F$2:$F$675,Compta!$A$2:$A$675,B124,Compta!$B$2:$B$675,"616",Compta!$C$2:$C$675,A124)+SUMIFS(Compta!$F$2:$F$675,Compta!$A$2:$A$675,B124,Compta!$B$2:$B$675,"625",Compta!$C$2:$C$675,A124)+SUMIFS(Compta!$F$2:$F$675,Compta!$A$2:$A$675,B124,Compta!$B$2:$B$675,"63511",Compta!$C$2:$C$675,A124)</f>
        <v/>
      </c>
      <c r="AB124">
        <f>SUMIFS(Compta!$F$2:$F$675,Compta!$A$2:$A$675,"GRP",Compta!$B$2:$B$675,"6414",Compta!$C$2:$C$675,A124)+SUMIFS(Compta!$F$2:$F$675,Compta!$A$2:$A$675,"GRP",Compta!$B$2:$B$675,"6226",Compta!$C$2:$C$675,A124)+SUMIFS(Compta!$F$2:$F$675,Compta!$A$2:$A$675,"GRP",Compta!$B$2:$B$675,"6236",Compta!$C$2:$C$675,A124)+SUMIFS(Compta!$F$2:$F$675,Compta!$A$2:$A$675,"GRP",Compta!$B$2:$B$675,"626",Compta!$C$2:$C$675,A124)+SUMIFS(Compta!$F$2:$F$675,Compta!$A$2:$A$675,"GRP",Compta!$B$2:$B$675,"6281",Compta!$C$2:$C$675,A124)+SUMIFS(Compta!$F$2:$F$675,Compta!$A$2:$A$675,"GRP",Compta!$B$2:$B$675,"6331",Compta!$C$2:$C$675,A124)+SUMIFS(Compta!$F$2:$F$675,Compta!$A$2:$A$675,"GRP",Compta!$B$2:$B$675,"6333",Compta!$C$2:$C$675,A124)</f>
        <v/>
      </c>
      <c r="AC124">
        <f>IF(Pilotage!$E$10="Chiffre d'affaires",I124,IF(Pilotage!$E$10="Effectif",G124,H124))</f>
        <v/>
      </c>
      <c r="AD124">
        <f>IF(Pilotage!$E$10="Chiffre d'affaires",N124,IF(Pilotage!$E$10="Effectif",L124,M124))</f>
        <v/>
      </c>
      <c r="AE124">
        <f>IF(Pilotage!$E$8="Chiffre d'affaires",N124,IF(Pilotage!$E$8="Effectif",L124,M124))</f>
        <v/>
      </c>
      <c r="AF124">
        <f>IF(Pilotage!$E$8="Chiffre d'affaires",S124,IF(Pilotage!$E$8="Effectif",Q124,R124))</f>
        <v/>
      </c>
      <c r="AG124">
        <f>IF(Pilotage!$E$9="Chiffre d'affaires",S124,IF(Pilotage!$E$9="Effectif",Q124,R124))</f>
        <v/>
      </c>
      <c r="AH124">
        <f>IF(Pilotage!$E$9="Chiffre d'affaires",V124,IF(Pilotage!$E$9="Effectif",T124,U124))</f>
        <v/>
      </c>
      <c r="AI124">
        <f>W124*IFERROR(K124/O124,0)</f>
        <v/>
      </c>
      <c r="AJ124">
        <f>X124*IFERROR(K124/O124,0)</f>
        <v/>
      </c>
      <c r="AK124">
        <f>Y124*IFERROR(G124/L124,0)+Z124*IFERROR(J124/P124,0)</f>
        <v/>
      </c>
      <c r="AL124">
        <f>AA124*IFERROR(AC124/AD124,0)</f>
        <v/>
      </c>
      <c r="AM124">
        <f>AB124*IFERROR(AG124/AH124,0)*IFERROR(AE124/AF124,0)*IFERROR(AC124/AD124,0)</f>
        <v/>
      </c>
      <c r="AN124">
        <f>I124-(AI124+AJ124+AK124+AL124+AM124)</f>
        <v/>
      </c>
    </row>
    <row r="125">
      <c r="A125">
        <f>Allocation!C125</f>
        <v/>
      </c>
      <c r="B125">
        <f>Allocation!D125</f>
        <v/>
      </c>
      <c r="C125">
        <f>Allocation!E125</f>
        <v/>
      </c>
      <c r="D125">
        <f>Allocation!F125</f>
        <v/>
      </c>
      <c r="E125">
        <f>Allocation!G125</f>
        <v/>
      </c>
      <c r="F125">
        <f>Allocation!H125</f>
        <v/>
      </c>
      <c r="G125">
        <f>Allocation!I125</f>
        <v/>
      </c>
      <c r="H125">
        <f>Allocation!J125</f>
        <v/>
      </c>
      <c r="I125">
        <f>Allocation!K125</f>
        <v/>
      </c>
      <c r="J125">
        <f>SUMIFS(Socle!$K$2:$K$175,Socle!$C$2:$C$175,B125,Socle!$D$2:$D$175,D125,Socle!$E$2:$E$175,E125,Socle!$F$2:$F$175,F125,Socle!$G$2:$G$175,A125)</f>
        <v/>
      </c>
      <c r="K125">
        <f>H125*IF(AND(LEFT(D125,3)="BAC",F125="INIT"),600,IF(LEFT(D125,3)="BAC",480,IF(AND(LEFT(D125,3)="MAS",F125="INIT"),520,IF(LEFT(D125,3)="MAS",420,IF(F125="INIT",1000,700)))))</f>
        <v/>
      </c>
      <c r="L125">
        <f>SUMIFS(Allocation!$I$2:$I$175,Allocation!$C$2:$C$175,A125,Allocation!$D$2:$D$175,B125)</f>
        <v/>
      </c>
      <c r="M125">
        <f>SUMIFS(Allocation!$J$2:$J$175,Allocation!$C$2:$C$175,A125,Allocation!$D$2:$D$175,B125)</f>
        <v/>
      </c>
      <c r="N125">
        <f>SUMIFS(Allocation!$K$2:$K$175,Allocation!$C$2:$C$175,A125,Allocation!$D$2:$D$175,B125)</f>
        <v/>
      </c>
      <c r="O125">
        <f>SUMIFS($K$2:$K$175,$A$2:$A$175,A125,$B$2:$B$175,B125)</f>
        <v/>
      </c>
      <c r="P125">
        <f>SUMIFS($J$2:$J$175,$A$2:$A$175,A125,$B$2:$B$175,B125)</f>
        <v/>
      </c>
      <c r="Q125">
        <f>SUMIFS(Allocation!$I$2:$I$175,Allocation!$C$2:$C$175,A125,Allocation!$E$2:$E$175,C125)</f>
        <v/>
      </c>
      <c r="R125">
        <f>SUMIFS(Allocation!$J$2:$J$175,Allocation!$C$2:$C$175,A125,Allocation!$E$2:$E$175,C125)</f>
        <v/>
      </c>
      <c r="S125">
        <f>SUMIFS(Allocation!$K$2:$K$175,Allocation!$C$2:$C$175,A125,Allocation!$E$2:$E$175,C125)</f>
        <v/>
      </c>
      <c r="T125">
        <f>SUMIFS(Allocation!$I$2:$I$175,Allocation!$C$2:$C$175,A125)</f>
        <v/>
      </c>
      <c r="U125">
        <f>SUMIFS(Allocation!$J$2:$J$175,Allocation!$C$2:$C$175,A125)</f>
        <v/>
      </c>
      <c r="V125">
        <f>SUMIFS(Allocation!$K$2:$K$175,Allocation!$C$2:$C$175,A125)</f>
        <v/>
      </c>
      <c r="W125">
        <f>SUMIFS(Compta!$F$2:$F$675,Compta!$A$2:$A$675,B125,Compta!$B$2:$B$675,"621",Compta!$C$2:$C$675,A125)</f>
        <v/>
      </c>
      <c r="X125">
        <f>SUMIFS(Compta!$F$2:$F$675,Compta!$A$2:$A$675,B125,Compta!$B$2:$B$675,"6411",Compta!$C$2:$C$675,A125)</f>
        <v/>
      </c>
      <c r="Y125">
        <f>SUMIFS(Compta!$F$2:$F$675,Compta!$A$2:$A$675,B125,Compta!$B$2:$B$675,"604",Compta!$C$2:$C$675,A125)+SUMIFS(Compta!$F$2:$F$675,Compta!$A$2:$A$675,B125,Compta!$B$2:$B$675,"6063",Compta!$C$2:$C$675,A125)</f>
        <v/>
      </c>
      <c r="Z125">
        <f>SUMIFS(Compta!$F$2:$F$675,Compta!$A$2:$A$675,B125,Compta!$B$2:$B$675,"6231",Compta!$C$2:$C$675,A125)</f>
        <v/>
      </c>
      <c r="AA125">
        <f>SUMIFS(Compta!$F$2:$F$675,Compta!$A$2:$A$675,B125,Compta!$B$2:$B$675,"6413",Compta!$C$2:$C$675,A125)+SUMIFS(Compta!$F$2:$F$675,Compta!$A$2:$A$675,B125,Compta!$B$2:$B$675,"645",Compta!$C$2:$C$675,A125)+SUMIFS(Compta!$F$2:$F$675,Compta!$A$2:$A$675,B125,Compta!$B$2:$B$675,"613",Compta!$C$2:$C$675,A125)+SUMIFS(Compta!$F$2:$F$675,Compta!$A$2:$A$675,B125,Compta!$B$2:$B$675,"615",Compta!$C$2:$C$675,A125)+SUMIFS(Compta!$F$2:$F$675,Compta!$A$2:$A$675,B125,Compta!$B$2:$B$675,"616",Compta!$C$2:$C$675,A125)+SUMIFS(Compta!$F$2:$F$675,Compta!$A$2:$A$675,B125,Compta!$B$2:$B$675,"625",Compta!$C$2:$C$675,A125)+SUMIFS(Compta!$F$2:$F$675,Compta!$A$2:$A$675,B125,Compta!$B$2:$B$675,"63511",Compta!$C$2:$C$675,A125)</f>
        <v/>
      </c>
      <c r="AB125">
        <f>SUMIFS(Compta!$F$2:$F$675,Compta!$A$2:$A$675,"GRP",Compta!$B$2:$B$675,"6414",Compta!$C$2:$C$675,A125)+SUMIFS(Compta!$F$2:$F$675,Compta!$A$2:$A$675,"GRP",Compta!$B$2:$B$675,"6226",Compta!$C$2:$C$675,A125)+SUMIFS(Compta!$F$2:$F$675,Compta!$A$2:$A$675,"GRP",Compta!$B$2:$B$675,"6236",Compta!$C$2:$C$675,A125)+SUMIFS(Compta!$F$2:$F$675,Compta!$A$2:$A$675,"GRP",Compta!$B$2:$B$675,"626",Compta!$C$2:$C$675,A125)+SUMIFS(Compta!$F$2:$F$675,Compta!$A$2:$A$675,"GRP",Compta!$B$2:$B$675,"6281",Compta!$C$2:$C$675,A125)+SUMIFS(Compta!$F$2:$F$675,Compta!$A$2:$A$675,"GRP",Compta!$B$2:$B$675,"6331",Compta!$C$2:$C$675,A125)+SUMIFS(Compta!$F$2:$F$675,Compta!$A$2:$A$675,"GRP",Compta!$B$2:$B$675,"6333",Compta!$C$2:$C$675,A125)</f>
        <v/>
      </c>
      <c r="AC125">
        <f>IF(Pilotage!$E$10="Chiffre d'affaires",I125,IF(Pilotage!$E$10="Effectif",G125,H125))</f>
        <v/>
      </c>
      <c r="AD125">
        <f>IF(Pilotage!$E$10="Chiffre d'affaires",N125,IF(Pilotage!$E$10="Effectif",L125,M125))</f>
        <v/>
      </c>
      <c r="AE125">
        <f>IF(Pilotage!$E$8="Chiffre d'affaires",N125,IF(Pilotage!$E$8="Effectif",L125,M125))</f>
        <v/>
      </c>
      <c r="AF125">
        <f>IF(Pilotage!$E$8="Chiffre d'affaires",S125,IF(Pilotage!$E$8="Effectif",Q125,R125))</f>
        <v/>
      </c>
      <c r="AG125">
        <f>IF(Pilotage!$E$9="Chiffre d'affaires",S125,IF(Pilotage!$E$9="Effectif",Q125,R125))</f>
        <v/>
      </c>
      <c r="AH125">
        <f>IF(Pilotage!$E$9="Chiffre d'affaires",V125,IF(Pilotage!$E$9="Effectif",T125,U125))</f>
        <v/>
      </c>
      <c r="AI125">
        <f>W125*IFERROR(K125/O125,0)</f>
        <v/>
      </c>
      <c r="AJ125">
        <f>X125*IFERROR(K125/O125,0)</f>
        <v/>
      </c>
      <c r="AK125">
        <f>Y125*IFERROR(G125/L125,0)+Z125*IFERROR(J125/P125,0)</f>
        <v/>
      </c>
      <c r="AL125">
        <f>AA125*IFERROR(AC125/AD125,0)</f>
        <v/>
      </c>
      <c r="AM125">
        <f>AB125*IFERROR(AG125/AH125,0)*IFERROR(AE125/AF125,0)*IFERROR(AC125/AD125,0)</f>
        <v/>
      </c>
      <c r="AN125">
        <f>I125-(AI125+AJ125+AK125+AL125+AM125)</f>
        <v/>
      </c>
    </row>
    <row r="126">
      <c r="A126">
        <f>Allocation!C126</f>
        <v/>
      </c>
      <c r="B126">
        <f>Allocation!D126</f>
        <v/>
      </c>
      <c r="C126">
        <f>Allocation!E126</f>
        <v/>
      </c>
      <c r="D126">
        <f>Allocation!F126</f>
        <v/>
      </c>
      <c r="E126">
        <f>Allocation!G126</f>
        <v/>
      </c>
      <c r="F126">
        <f>Allocation!H126</f>
        <v/>
      </c>
      <c r="G126">
        <f>Allocation!I126</f>
        <v/>
      </c>
      <c r="H126">
        <f>Allocation!J126</f>
        <v/>
      </c>
      <c r="I126">
        <f>Allocation!K126</f>
        <v/>
      </c>
      <c r="J126">
        <f>SUMIFS(Socle!$K$2:$K$175,Socle!$C$2:$C$175,B126,Socle!$D$2:$D$175,D126,Socle!$E$2:$E$175,E126,Socle!$F$2:$F$175,F126,Socle!$G$2:$G$175,A126)</f>
        <v/>
      </c>
      <c r="K126">
        <f>H126*IF(AND(LEFT(D126,3)="BAC",F126="INIT"),600,IF(LEFT(D126,3)="BAC",480,IF(AND(LEFT(D126,3)="MAS",F126="INIT"),520,IF(LEFT(D126,3)="MAS",420,IF(F126="INIT",1000,700)))))</f>
        <v/>
      </c>
      <c r="L126">
        <f>SUMIFS(Allocation!$I$2:$I$175,Allocation!$C$2:$C$175,A126,Allocation!$D$2:$D$175,B126)</f>
        <v/>
      </c>
      <c r="M126">
        <f>SUMIFS(Allocation!$J$2:$J$175,Allocation!$C$2:$C$175,A126,Allocation!$D$2:$D$175,B126)</f>
        <v/>
      </c>
      <c r="N126">
        <f>SUMIFS(Allocation!$K$2:$K$175,Allocation!$C$2:$C$175,A126,Allocation!$D$2:$D$175,B126)</f>
        <v/>
      </c>
      <c r="O126">
        <f>SUMIFS($K$2:$K$175,$A$2:$A$175,A126,$B$2:$B$175,B126)</f>
        <v/>
      </c>
      <c r="P126">
        <f>SUMIFS($J$2:$J$175,$A$2:$A$175,A126,$B$2:$B$175,B126)</f>
        <v/>
      </c>
      <c r="Q126">
        <f>SUMIFS(Allocation!$I$2:$I$175,Allocation!$C$2:$C$175,A126,Allocation!$E$2:$E$175,C126)</f>
        <v/>
      </c>
      <c r="R126">
        <f>SUMIFS(Allocation!$J$2:$J$175,Allocation!$C$2:$C$175,A126,Allocation!$E$2:$E$175,C126)</f>
        <v/>
      </c>
      <c r="S126">
        <f>SUMIFS(Allocation!$K$2:$K$175,Allocation!$C$2:$C$175,A126,Allocation!$E$2:$E$175,C126)</f>
        <v/>
      </c>
      <c r="T126">
        <f>SUMIFS(Allocation!$I$2:$I$175,Allocation!$C$2:$C$175,A126)</f>
        <v/>
      </c>
      <c r="U126">
        <f>SUMIFS(Allocation!$J$2:$J$175,Allocation!$C$2:$C$175,A126)</f>
        <v/>
      </c>
      <c r="V126">
        <f>SUMIFS(Allocation!$K$2:$K$175,Allocation!$C$2:$C$175,A126)</f>
        <v/>
      </c>
      <c r="W126">
        <f>SUMIFS(Compta!$F$2:$F$675,Compta!$A$2:$A$675,B126,Compta!$B$2:$B$675,"621",Compta!$C$2:$C$675,A126)</f>
        <v/>
      </c>
      <c r="X126">
        <f>SUMIFS(Compta!$F$2:$F$675,Compta!$A$2:$A$675,B126,Compta!$B$2:$B$675,"6411",Compta!$C$2:$C$675,A126)</f>
        <v/>
      </c>
      <c r="Y126">
        <f>SUMIFS(Compta!$F$2:$F$675,Compta!$A$2:$A$675,B126,Compta!$B$2:$B$675,"604",Compta!$C$2:$C$675,A126)+SUMIFS(Compta!$F$2:$F$675,Compta!$A$2:$A$675,B126,Compta!$B$2:$B$675,"6063",Compta!$C$2:$C$675,A126)</f>
        <v/>
      </c>
      <c r="Z126">
        <f>SUMIFS(Compta!$F$2:$F$675,Compta!$A$2:$A$675,B126,Compta!$B$2:$B$675,"6231",Compta!$C$2:$C$675,A126)</f>
        <v/>
      </c>
      <c r="AA126">
        <f>SUMIFS(Compta!$F$2:$F$675,Compta!$A$2:$A$675,B126,Compta!$B$2:$B$675,"6413",Compta!$C$2:$C$675,A126)+SUMIFS(Compta!$F$2:$F$675,Compta!$A$2:$A$675,B126,Compta!$B$2:$B$675,"645",Compta!$C$2:$C$675,A126)+SUMIFS(Compta!$F$2:$F$675,Compta!$A$2:$A$675,B126,Compta!$B$2:$B$675,"613",Compta!$C$2:$C$675,A126)+SUMIFS(Compta!$F$2:$F$675,Compta!$A$2:$A$675,B126,Compta!$B$2:$B$675,"615",Compta!$C$2:$C$675,A126)+SUMIFS(Compta!$F$2:$F$675,Compta!$A$2:$A$675,B126,Compta!$B$2:$B$675,"616",Compta!$C$2:$C$675,A126)+SUMIFS(Compta!$F$2:$F$675,Compta!$A$2:$A$675,B126,Compta!$B$2:$B$675,"625",Compta!$C$2:$C$675,A126)+SUMIFS(Compta!$F$2:$F$675,Compta!$A$2:$A$675,B126,Compta!$B$2:$B$675,"63511",Compta!$C$2:$C$675,A126)</f>
        <v/>
      </c>
      <c r="AB126">
        <f>SUMIFS(Compta!$F$2:$F$675,Compta!$A$2:$A$675,"GRP",Compta!$B$2:$B$675,"6414",Compta!$C$2:$C$675,A126)+SUMIFS(Compta!$F$2:$F$675,Compta!$A$2:$A$675,"GRP",Compta!$B$2:$B$675,"6226",Compta!$C$2:$C$675,A126)+SUMIFS(Compta!$F$2:$F$675,Compta!$A$2:$A$675,"GRP",Compta!$B$2:$B$675,"6236",Compta!$C$2:$C$675,A126)+SUMIFS(Compta!$F$2:$F$675,Compta!$A$2:$A$675,"GRP",Compta!$B$2:$B$675,"626",Compta!$C$2:$C$675,A126)+SUMIFS(Compta!$F$2:$F$675,Compta!$A$2:$A$675,"GRP",Compta!$B$2:$B$675,"6281",Compta!$C$2:$C$675,A126)+SUMIFS(Compta!$F$2:$F$675,Compta!$A$2:$A$675,"GRP",Compta!$B$2:$B$675,"6331",Compta!$C$2:$C$675,A126)+SUMIFS(Compta!$F$2:$F$675,Compta!$A$2:$A$675,"GRP",Compta!$B$2:$B$675,"6333",Compta!$C$2:$C$675,A126)</f>
        <v/>
      </c>
      <c r="AC126">
        <f>IF(Pilotage!$E$10="Chiffre d'affaires",I126,IF(Pilotage!$E$10="Effectif",G126,H126))</f>
        <v/>
      </c>
      <c r="AD126">
        <f>IF(Pilotage!$E$10="Chiffre d'affaires",N126,IF(Pilotage!$E$10="Effectif",L126,M126))</f>
        <v/>
      </c>
      <c r="AE126">
        <f>IF(Pilotage!$E$8="Chiffre d'affaires",N126,IF(Pilotage!$E$8="Effectif",L126,M126))</f>
        <v/>
      </c>
      <c r="AF126">
        <f>IF(Pilotage!$E$8="Chiffre d'affaires",S126,IF(Pilotage!$E$8="Effectif",Q126,R126))</f>
        <v/>
      </c>
      <c r="AG126">
        <f>IF(Pilotage!$E$9="Chiffre d'affaires",S126,IF(Pilotage!$E$9="Effectif",Q126,R126))</f>
        <v/>
      </c>
      <c r="AH126">
        <f>IF(Pilotage!$E$9="Chiffre d'affaires",V126,IF(Pilotage!$E$9="Effectif",T126,U126))</f>
        <v/>
      </c>
      <c r="AI126">
        <f>W126*IFERROR(K126/O126,0)</f>
        <v/>
      </c>
      <c r="AJ126">
        <f>X126*IFERROR(K126/O126,0)</f>
        <v/>
      </c>
      <c r="AK126">
        <f>Y126*IFERROR(G126/L126,0)+Z126*IFERROR(J126/P126,0)</f>
        <v/>
      </c>
      <c r="AL126">
        <f>AA126*IFERROR(AC126/AD126,0)</f>
        <v/>
      </c>
      <c r="AM126">
        <f>AB126*IFERROR(AG126/AH126,0)*IFERROR(AE126/AF126,0)*IFERROR(AC126/AD126,0)</f>
        <v/>
      </c>
      <c r="AN126">
        <f>I126-(AI126+AJ126+AK126+AL126+AM126)</f>
        <v/>
      </c>
    </row>
    <row r="127">
      <c r="A127">
        <f>Allocation!C127</f>
        <v/>
      </c>
      <c r="B127">
        <f>Allocation!D127</f>
        <v/>
      </c>
      <c r="C127">
        <f>Allocation!E127</f>
        <v/>
      </c>
      <c r="D127">
        <f>Allocation!F127</f>
        <v/>
      </c>
      <c r="E127">
        <f>Allocation!G127</f>
        <v/>
      </c>
      <c r="F127">
        <f>Allocation!H127</f>
        <v/>
      </c>
      <c r="G127">
        <f>Allocation!I127</f>
        <v/>
      </c>
      <c r="H127">
        <f>Allocation!J127</f>
        <v/>
      </c>
      <c r="I127">
        <f>Allocation!K127</f>
        <v/>
      </c>
      <c r="J127">
        <f>SUMIFS(Socle!$K$2:$K$175,Socle!$C$2:$C$175,B127,Socle!$D$2:$D$175,D127,Socle!$E$2:$E$175,E127,Socle!$F$2:$F$175,F127,Socle!$G$2:$G$175,A127)</f>
        <v/>
      </c>
      <c r="K127">
        <f>H127*IF(AND(LEFT(D127,3)="BAC",F127="INIT"),600,IF(LEFT(D127,3)="BAC",480,IF(AND(LEFT(D127,3)="MAS",F127="INIT"),520,IF(LEFT(D127,3)="MAS",420,IF(F127="INIT",1000,700)))))</f>
        <v/>
      </c>
      <c r="L127">
        <f>SUMIFS(Allocation!$I$2:$I$175,Allocation!$C$2:$C$175,A127,Allocation!$D$2:$D$175,B127)</f>
        <v/>
      </c>
      <c r="M127">
        <f>SUMIFS(Allocation!$J$2:$J$175,Allocation!$C$2:$C$175,A127,Allocation!$D$2:$D$175,B127)</f>
        <v/>
      </c>
      <c r="N127">
        <f>SUMIFS(Allocation!$K$2:$K$175,Allocation!$C$2:$C$175,A127,Allocation!$D$2:$D$175,B127)</f>
        <v/>
      </c>
      <c r="O127">
        <f>SUMIFS($K$2:$K$175,$A$2:$A$175,A127,$B$2:$B$175,B127)</f>
        <v/>
      </c>
      <c r="P127">
        <f>SUMIFS($J$2:$J$175,$A$2:$A$175,A127,$B$2:$B$175,B127)</f>
        <v/>
      </c>
      <c r="Q127">
        <f>SUMIFS(Allocation!$I$2:$I$175,Allocation!$C$2:$C$175,A127,Allocation!$E$2:$E$175,C127)</f>
        <v/>
      </c>
      <c r="R127">
        <f>SUMIFS(Allocation!$J$2:$J$175,Allocation!$C$2:$C$175,A127,Allocation!$E$2:$E$175,C127)</f>
        <v/>
      </c>
      <c r="S127">
        <f>SUMIFS(Allocation!$K$2:$K$175,Allocation!$C$2:$C$175,A127,Allocation!$E$2:$E$175,C127)</f>
        <v/>
      </c>
      <c r="T127">
        <f>SUMIFS(Allocation!$I$2:$I$175,Allocation!$C$2:$C$175,A127)</f>
        <v/>
      </c>
      <c r="U127">
        <f>SUMIFS(Allocation!$J$2:$J$175,Allocation!$C$2:$C$175,A127)</f>
        <v/>
      </c>
      <c r="V127">
        <f>SUMIFS(Allocation!$K$2:$K$175,Allocation!$C$2:$C$175,A127)</f>
        <v/>
      </c>
      <c r="W127">
        <f>SUMIFS(Compta!$F$2:$F$675,Compta!$A$2:$A$675,B127,Compta!$B$2:$B$675,"621",Compta!$C$2:$C$675,A127)</f>
        <v/>
      </c>
      <c r="X127">
        <f>SUMIFS(Compta!$F$2:$F$675,Compta!$A$2:$A$675,B127,Compta!$B$2:$B$675,"6411",Compta!$C$2:$C$675,A127)</f>
        <v/>
      </c>
      <c r="Y127">
        <f>SUMIFS(Compta!$F$2:$F$675,Compta!$A$2:$A$675,B127,Compta!$B$2:$B$675,"604",Compta!$C$2:$C$675,A127)+SUMIFS(Compta!$F$2:$F$675,Compta!$A$2:$A$675,B127,Compta!$B$2:$B$675,"6063",Compta!$C$2:$C$675,A127)</f>
        <v/>
      </c>
      <c r="Z127">
        <f>SUMIFS(Compta!$F$2:$F$675,Compta!$A$2:$A$675,B127,Compta!$B$2:$B$675,"6231",Compta!$C$2:$C$675,A127)</f>
        <v/>
      </c>
      <c r="AA127">
        <f>SUMIFS(Compta!$F$2:$F$675,Compta!$A$2:$A$675,B127,Compta!$B$2:$B$675,"6413",Compta!$C$2:$C$675,A127)+SUMIFS(Compta!$F$2:$F$675,Compta!$A$2:$A$675,B127,Compta!$B$2:$B$675,"645",Compta!$C$2:$C$675,A127)+SUMIFS(Compta!$F$2:$F$675,Compta!$A$2:$A$675,B127,Compta!$B$2:$B$675,"613",Compta!$C$2:$C$675,A127)+SUMIFS(Compta!$F$2:$F$675,Compta!$A$2:$A$675,B127,Compta!$B$2:$B$675,"615",Compta!$C$2:$C$675,A127)+SUMIFS(Compta!$F$2:$F$675,Compta!$A$2:$A$675,B127,Compta!$B$2:$B$675,"616",Compta!$C$2:$C$675,A127)+SUMIFS(Compta!$F$2:$F$675,Compta!$A$2:$A$675,B127,Compta!$B$2:$B$675,"625",Compta!$C$2:$C$675,A127)+SUMIFS(Compta!$F$2:$F$675,Compta!$A$2:$A$675,B127,Compta!$B$2:$B$675,"63511",Compta!$C$2:$C$675,A127)</f>
        <v/>
      </c>
      <c r="AB127">
        <f>SUMIFS(Compta!$F$2:$F$675,Compta!$A$2:$A$675,"GRP",Compta!$B$2:$B$675,"6414",Compta!$C$2:$C$675,A127)+SUMIFS(Compta!$F$2:$F$675,Compta!$A$2:$A$675,"GRP",Compta!$B$2:$B$675,"6226",Compta!$C$2:$C$675,A127)+SUMIFS(Compta!$F$2:$F$675,Compta!$A$2:$A$675,"GRP",Compta!$B$2:$B$675,"6236",Compta!$C$2:$C$675,A127)+SUMIFS(Compta!$F$2:$F$675,Compta!$A$2:$A$675,"GRP",Compta!$B$2:$B$675,"626",Compta!$C$2:$C$675,A127)+SUMIFS(Compta!$F$2:$F$675,Compta!$A$2:$A$675,"GRP",Compta!$B$2:$B$675,"6281",Compta!$C$2:$C$675,A127)+SUMIFS(Compta!$F$2:$F$675,Compta!$A$2:$A$675,"GRP",Compta!$B$2:$B$675,"6331",Compta!$C$2:$C$675,A127)+SUMIFS(Compta!$F$2:$F$675,Compta!$A$2:$A$675,"GRP",Compta!$B$2:$B$675,"6333",Compta!$C$2:$C$675,A127)</f>
        <v/>
      </c>
      <c r="AC127">
        <f>IF(Pilotage!$E$10="Chiffre d'affaires",I127,IF(Pilotage!$E$10="Effectif",G127,H127))</f>
        <v/>
      </c>
      <c r="AD127">
        <f>IF(Pilotage!$E$10="Chiffre d'affaires",N127,IF(Pilotage!$E$10="Effectif",L127,M127))</f>
        <v/>
      </c>
      <c r="AE127">
        <f>IF(Pilotage!$E$8="Chiffre d'affaires",N127,IF(Pilotage!$E$8="Effectif",L127,M127))</f>
        <v/>
      </c>
      <c r="AF127">
        <f>IF(Pilotage!$E$8="Chiffre d'affaires",S127,IF(Pilotage!$E$8="Effectif",Q127,R127))</f>
        <v/>
      </c>
      <c r="AG127">
        <f>IF(Pilotage!$E$9="Chiffre d'affaires",S127,IF(Pilotage!$E$9="Effectif",Q127,R127))</f>
        <v/>
      </c>
      <c r="AH127">
        <f>IF(Pilotage!$E$9="Chiffre d'affaires",V127,IF(Pilotage!$E$9="Effectif",T127,U127))</f>
        <v/>
      </c>
      <c r="AI127">
        <f>W127*IFERROR(K127/O127,0)</f>
        <v/>
      </c>
      <c r="AJ127">
        <f>X127*IFERROR(K127/O127,0)</f>
        <v/>
      </c>
      <c r="AK127">
        <f>Y127*IFERROR(G127/L127,0)+Z127*IFERROR(J127/P127,0)</f>
        <v/>
      </c>
      <c r="AL127">
        <f>AA127*IFERROR(AC127/AD127,0)</f>
        <v/>
      </c>
      <c r="AM127">
        <f>AB127*IFERROR(AG127/AH127,0)*IFERROR(AE127/AF127,0)*IFERROR(AC127/AD127,0)</f>
        <v/>
      </c>
      <c r="AN127">
        <f>I127-(AI127+AJ127+AK127+AL127+AM127)</f>
        <v/>
      </c>
    </row>
    <row r="128">
      <c r="A128">
        <f>Allocation!C128</f>
        <v/>
      </c>
      <c r="B128">
        <f>Allocation!D128</f>
        <v/>
      </c>
      <c r="C128">
        <f>Allocation!E128</f>
        <v/>
      </c>
      <c r="D128">
        <f>Allocation!F128</f>
        <v/>
      </c>
      <c r="E128">
        <f>Allocation!G128</f>
        <v/>
      </c>
      <c r="F128">
        <f>Allocation!H128</f>
        <v/>
      </c>
      <c r="G128">
        <f>Allocation!I128</f>
        <v/>
      </c>
      <c r="H128">
        <f>Allocation!J128</f>
        <v/>
      </c>
      <c r="I128">
        <f>Allocation!K128</f>
        <v/>
      </c>
      <c r="J128">
        <f>SUMIFS(Socle!$K$2:$K$175,Socle!$C$2:$C$175,B128,Socle!$D$2:$D$175,D128,Socle!$E$2:$E$175,E128,Socle!$F$2:$F$175,F128,Socle!$G$2:$G$175,A128)</f>
        <v/>
      </c>
      <c r="K128">
        <f>H128*IF(AND(LEFT(D128,3)="BAC",F128="INIT"),600,IF(LEFT(D128,3)="BAC",480,IF(AND(LEFT(D128,3)="MAS",F128="INIT"),520,IF(LEFT(D128,3)="MAS",420,IF(F128="INIT",1000,700)))))</f>
        <v/>
      </c>
      <c r="L128">
        <f>SUMIFS(Allocation!$I$2:$I$175,Allocation!$C$2:$C$175,A128,Allocation!$D$2:$D$175,B128)</f>
        <v/>
      </c>
      <c r="M128">
        <f>SUMIFS(Allocation!$J$2:$J$175,Allocation!$C$2:$C$175,A128,Allocation!$D$2:$D$175,B128)</f>
        <v/>
      </c>
      <c r="N128">
        <f>SUMIFS(Allocation!$K$2:$K$175,Allocation!$C$2:$C$175,A128,Allocation!$D$2:$D$175,B128)</f>
        <v/>
      </c>
      <c r="O128">
        <f>SUMIFS($K$2:$K$175,$A$2:$A$175,A128,$B$2:$B$175,B128)</f>
        <v/>
      </c>
      <c r="P128">
        <f>SUMIFS($J$2:$J$175,$A$2:$A$175,A128,$B$2:$B$175,B128)</f>
        <v/>
      </c>
      <c r="Q128">
        <f>SUMIFS(Allocation!$I$2:$I$175,Allocation!$C$2:$C$175,A128,Allocation!$E$2:$E$175,C128)</f>
        <v/>
      </c>
      <c r="R128">
        <f>SUMIFS(Allocation!$J$2:$J$175,Allocation!$C$2:$C$175,A128,Allocation!$E$2:$E$175,C128)</f>
        <v/>
      </c>
      <c r="S128">
        <f>SUMIFS(Allocation!$K$2:$K$175,Allocation!$C$2:$C$175,A128,Allocation!$E$2:$E$175,C128)</f>
        <v/>
      </c>
      <c r="T128">
        <f>SUMIFS(Allocation!$I$2:$I$175,Allocation!$C$2:$C$175,A128)</f>
        <v/>
      </c>
      <c r="U128">
        <f>SUMIFS(Allocation!$J$2:$J$175,Allocation!$C$2:$C$175,A128)</f>
        <v/>
      </c>
      <c r="V128">
        <f>SUMIFS(Allocation!$K$2:$K$175,Allocation!$C$2:$C$175,A128)</f>
        <v/>
      </c>
      <c r="W128">
        <f>SUMIFS(Compta!$F$2:$F$675,Compta!$A$2:$A$675,B128,Compta!$B$2:$B$675,"621",Compta!$C$2:$C$675,A128)</f>
        <v/>
      </c>
      <c r="X128">
        <f>SUMIFS(Compta!$F$2:$F$675,Compta!$A$2:$A$675,B128,Compta!$B$2:$B$675,"6411",Compta!$C$2:$C$675,A128)</f>
        <v/>
      </c>
      <c r="Y128">
        <f>SUMIFS(Compta!$F$2:$F$675,Compta!$A$2:$A$675,B128,Compta!$B$2:$B$675,"604",Compta!$C$2:$C$675,A128)+SUMIFS(Compta!$F$2:$F$675,Compta!$A$2:$A$675,B128,Compta!$B$2:$B$675,"6063",Compta!$C$2:$C$675,A128)</f>
        <v/>
      </c>
      <c r="Z128">
        <f>SUMIFS(Compta!$F$2:$F$675,Compta!$A$2:$A$675,B128,Compta!$B$2:$B$675,"6231",Compta!$C$2:$C$675,A128)</f>
        <v/>
      </c>
      <c r="AA128">
        <f>SUMIFS(Compta!$F$2:$F$675,Compta!$A$2:$A$675,B128,Compta!$B$2:$B$675,"6413",Compta!$C$2:$C$675,A128)+SUMIFS(Compta!$F$2:$F$675,Compta!$A$2:$A$675,B128,Compta!$B$2:$B$675,"645",Compta!$C$2:$C$675,A128)+SUMIFS(Compta!$F$2:$F$675,Compta!$A$2:$A$675,B128,Compta!$B$2:$B$675,"613",Compta!$C$2:$C$675,A128)+SUMIFS(Compta!$F$2:$F$675,Compta!$A$2:$A$675,B128,Compta!$B$2:$B$675,"615",Compta!$C$2:$C$675,A128)+SUMIFS(Compta!$F$2:$F$675,Compta!$A$2:$A$675,B128,Compta!$B$2:$B$675,"616",Compta!$C$2:$C$675,A128)+SUMIFS(Compta!$F$2:$F$675,Compta!$A$2:$A$675,B128,Compta!$B$2:$B$675,"625",Compta!$C$2:$C$675,A128)+SUMIFS(Compta!$F$2:$F$675,Compta!$A$2:$A$675,B128,Compta!$B$2:$B$675,"63511",Compta!$C$2:$C$675,A128)</f>
        <v/>
      </c>
      <c r="AB128">
        <f>SUMIFS(Compta!$F$2:$F$675,Compta!$A$2:$A$675,"GRP",Compta!$B$2:$B$675,"6414",Compta!$C$2:$C$675,A128)+SUMIFS(Compta!$F$2:$F$675,Compta!$A$2:$A$675,"GRP",Compta!$B$2:$B$675,"6226",Compta!$C$2:$C$675,A128)+SUMIFS(Compta!$F$2:$F$675,Compta!$A$2:$A$675,"GRP",Compta!$B$2:$B$675,"6236",Compta!$C$2:$C$675,A128)+SUMIFS(Compta!$F$2:$F$675,Compta!$A$2:$A$675,"GRP",Compta!$B$2:$B$675,"626",Compta!$C$2:$C$675,A128)+SUMIFS(Compta!$F$2:$F$675,Compta!$A$2:$A$675,"GRP",Compta!$B$2:$B$675,"6281",Compta!$C$2:$C$675,A128)+SUMIFS(Compta!$F$2:$F$675,Compta!$A$2:$A$675,"GRP",Compta!$B$2:$B$675,"6331",Compta!$C$2:$C$675,A128)+SUMIFS(Compta!$F$2:$F$675,Compta!$A$2:$A$675,"GRP",Compta!$B$2:$B$675,"6333",Compta!$C$2:$C$675,A128)</f>
        <v/>
      </c>
      <c r="AC128">
        <f>IF(Pilotage!$E$10="Chiffre d'affaires",I128,IF(Pilotage!$E$10="Effectif",G128,H128))</f>
        <v/>
      </c>
      <c r="AD128">
        <f>IF(Pilotage!$E$10="Chiffre d'affaires",N128,IF(Pilotage!$E$10="Effectif",L128,M128))</f>
        <v/>
      </c>
      <c r="AE128">
        <f>IF(Pilotage!$E$8="Chiffre d'affaires",N128,IF(Pilotage!$E$8="Effectif",L128,M128))</f>
        <v/>
      </c>
      <c r="AF128">
        <f>IF(Pilotage!$E$8="Chiffre d'affaires",S128,IF(Pilotage!$E$8="Effectif",Q128,R128))</f>
        <v/>
      </c>
      <c r="AG128">
        <f>IF(Pilotage!$E$9="Chiffre d'affaires",S128,IF(Pilotage!$E$9="Effectif",Q128,R128))</f>
        <v/>
      </c>
      <c r="AH128">
        <f>IF(Pilotage!$E$9="Chiffre d'affaires",V128,IF(Pilotage!$E$9="Effectif",T128,U128))</f>
        <v/>
      </c>
      <c r="AI128">
        <f>W128*IFERROR(K128/O128,0)</f>
        <v/>
      </c>
      <c r="AJ128">
        <f>X128*IFERROR(K128/O128,0)</f>
        <v/>
      </c>
      <c r="AK128">
        <f>Y128*IFERROR(G128/L128,0)+Z128*IFERROR(J128/P128,0)</f>
        <v/>
      </c>
      <c r="AL128">
        <f>AA128*IFERROR(AC128/AD128,0)</f>
        <v/>
      </c>
      <c r="AM128">
        <f>AB128*IFERROR(AG128/AH128,0)*IFERROR(AE128/AF128,0)*IFERROR(AC128/AD128,0)</f>
        <v/>
      </c>
      <c r="AN128">
        <f>I128-(AI128+AJ128+AK128+AL128+AM128)</f>
        <v/>
      </c>
    </row>
    <row r="129">
      <c r="A129">
        <f>Allocation!C129</f>
        <v/>
      </c>
      <c r="B129">
        <f>Allocation!D129</f>
        <v/>
      </c>
      <c r="C129">
        <f>Allocation!E129</f>
        <v/>
      </c>
      <c r="D129">
        <f>Allocation!F129</f>
        <v/>
      </c>
      <c r="E129">
        <f>Allocation!G129</f>
        <v/>
      </c>
      <c r="F129">
        <f>Allocation!H129</f>
        <v/>
      </c>
      <c r="G129">
        <f>Allocation!I129</f>
        <v/>
      </c>
      <c r="H129">
        <f>Allocation!J129</f>
        <v/>
      </c>
      <c r="I129">
        <f>Allocation!K129</f>
        <v/>
      </c>
      <c r="J129">
        <f>SUMIFS(Socle!$K$2:$K$175,Socle!$C$2:$C$175,B129,Socle!$D$2:$D$175,D129,Socle!$E$2:$E$175,E129,Socle!$F$2:$F$175,F129,Socle!$G$2:$G$175,A129)</f>
        <v/>
      </c>
      <c r="K129">
        <f>H129*IF(AND(LEFT(D129,3)="BAC",F129="INIT"),600,IF(LEFT(D129,3)="BAC",480,IF(AND(LEFT(D129,3)="MAS",F129="INIT"),520,IF(LEFT(D129,3)="MAS",420,IF(F129="INIT",1000,700)))))</f>
        <v/>
      </c>
      <c r="L129">
        <f>SUMIFS(Allocation!$I$2:$I$175,Allocation!$C$2:$C$175,A129,Allocation!$D$2:$D$175,B129)</f>
        <v/>
      </c>
      <c r="M129">
        <f>SUMIFS(Allocation!$J$2:$J$175,Allocation!$C$2:$C$175,A129,Allocation!$D$2:$D$175,B129)</f>
        <v/>
      </c>
      <c r="N129">
        <f>SUMIFS(Allocation!$K$2:$K$175,Allocation!$C$2:$C$175,A129,Allocation!$D$2:$D$175,B129)</f>
        <v/>
      </c>
      <c r="O129">
        <f>SUMIFS($K$2:$K$175,$A$2:$A$175,A129,$B$2:$B$175,B129)</f>
        <v/>
      </c>
      <c r="P129">
        <f>SUMIFS($J$2:$J$175,$A$2:$A$175,A129,$B$2:$B$175,B129)</f>
        <v/>
      </c>
      <c r="Q129">
        <f>SUMIFS(Allocation!$I$2:$I$175,Allocation!$C$2:$C$175,A129,Allocation!$E$2:$E$175,C129)</f>
        <v/>
      </c>
      <c r="R129">
        <f>SUMIFS(Allocation!$J$2:$J$175,Allocation!$C$2:$C$175,A129,Allocation!$E$2:$E$175,C129)</f>
        <v/>
      </c>
      <c r="S129">
        <f>SUMIFS(Allocation!$K$2:$K$175,Allocation!$C$2:$C$175,A129,Allocation!$E$2:$E$175,C129)</f>
        <v/>
      </c>
      <c r="T129">
        <f>SUMIFS(Allocation!$I$2:$I$175,Allocation!$C$2:$C$175,A129)</f>
        <v/>
      </c>
      <c r="U129">
        <f>SUMIFS(Allocation!$J$2:$J$175,Allocation!$C$2:$C$175,A129)</f>
        <v/>
      </c>
      <c r="V129">
        <f>SUMIFS(Allocation!$K$2:$K$175,Allocation!$C$2:$C$175,A129)</f>
        <v/>
      </c>
      <c r="W129">
        <f>SUMIFS(Compta!$F$2:$F$675,Compta!$A$2:$A$675,B129,Compta!$B$2:$B$675,"621",Compta!$C$2:$C$675,A129)</f>
        <v/>
      </c>
      <c r="X129">
        <f>SUMIFS(Compta!$F$2:$F$675,Compta!$A$2:$A$675,B129,Compta!$B$2:$B$675,"6411",Compta!$C$2:$C$675,A129)</f>
        <v/>
      </c>
      <c r="Y129">
        <f>SUMIFS(Compta!$F$2:$F$675,Compta!$A$2:$A$675,B129,Compta!$B$2:$B$675,"604",Compta!$C$2:$C$675,A129)+SUMIFS(Compta!$F$2:$F$675,Compta!$A$2:$A$675,B129,Compta!$B$2:$B$675,"6063",Compta!$C$2:$C$675,A129)</f>
        <v/>
      </c>
      <c r="Z129">
        <f>SUMIFS(Compta!$F$2:$F$675,Compta!$A$2:$A$675,B129,Compta!$B$2:$B$675,"6231",Compta!$C$2:$C$675,A129)</f>
        <v/>
      </c>
      <c r="AA129">
        <f>SUMIFS(Compta!$F$2:$F$675,Compta!$A$2:$A$675,B129,Compta!$B$2:$B$675,"6413",Compta!$C$2:$C$675,A129)+SUMIFS(Compta!$F$2:$F$675,Compta!$A$2:$A$675,B129,Compta!$B$2:$B$675,"645",Compta!$C$2:$C$675,A129)+SUMIFS(Compta!$F$2:$F$675,Compta!$A$2:$A$675,B129,Compta!$B$2:$B$675,"613",Compta!$C$2:$C$675,A129)+SUMIFS(Compta!$F$2:$F$675,Compta!$A$2:$A$675,B129,Compta!$B$2:$B$675,"615",Compta!$C$2:$C$675,A129)+SUMIFS(Compta!$F$2:$F$675,Compta!$A$2:$A$675,B129,Compta!$B$2:$B$675,"616",Compta!$C$2:$C$675,A129)+SUMIFS(Compta!$F$2:$F$675,Compta!$A$2:$A$675,B129,Compta!$B$2:$B$675,"625",Compta!$C$2:$C$675,A129)+SUMIFS(Compta!$F$2:$F$675,Compta!$A$2:$A$675,B129,Compta!$B$2:$B$675,"63511",Compta!$C$2:$C$675,A129)</f>
        <v/>
      </c>
      <c r="AB129">
        <f>SUMIFS(Compta!$F$2:$F$675,Compta!$A$2:$A$675,"GRP",Compta!$B$2:$B$675,"6414",Compta!$C$2:$C$675,A129)+SUMIFS(Compta!$F$2:$F$675,Compta!$A$2:$A$675,"GRP",Compta!$B$2:$B$675,"6226",Compta!$C$2:$C$675,A129)+SUMIFS(Compta!$F$2:$F$675,Compta!$A$2:$A$675,"GRP",Compta!$B$2:$B$675,"6236",Compta!$C$2:$C$675,A129)+SUMIFS(Compta!$F$2:$F$675,Compta!$A$2:$A$675,"GRP",Compta!$B$2:$B$675,"626",Compta!$C$2:$C$675,A129)+SUMIFS(Compta!$F$2:$F$675,Compta!$A$2:$A$675,"GRP",Compta!$B$2:$B$675,"6281",Compta!$C$2:$C$675,A129)+SUMIFS(Compta!$F$2:$F$675,Compta!$A$2:$A$675,"GRP",Compta!$B$2:$B$675,"6331",Compta!$C$2:$C$675,A129)+SUMIFS(Compta!$F$2:$F$675,Compta!$A$2:$A$675,"GRP",Compta!$B$2:$B$675,"6333",Compta!$C$2:$C$675,A129)</f>
        <v/>
      </c>
      <c r="AC129">
        <f>IF(Pilotage!$E$10="Chiffre d'affaires",I129,IF(Pilotage!$E$10="Effectif",G129,H129))</f>
        <v/>
      </c>
      <c r="AD129">
        <f>IF(Pilotage!$E$10="Chiffre d'affaires",N129,IF(Pilotage!$E$10="Effectif",L129,M129))</f>
        <v/>
      </c>
      <c r="AE129">
        <f>IF(Pilotage!$E$8="Chiffre d'affaires",N129,IF(Pilotage!$E$8="Effectif",L129,M129))</f>
        <v/>
      </c>
      <c r="AF129">
        <f>IF(Pilotage!$E$8="Chiffre d'affaires",S129,IF(Pilotage!$E$8="Effectif",Q129,R129))</f>
        <v/>
      </c>
      <c r="AG129">
        <f>IF(Pilotage!$E$9="Chiffre d'affaires",S129,IF(Pilotage!$E$9="Effectif",Q129,R129))</f>
        <v/>
      </c>
      <c r="AH129">
        <f>IF(Pilotage!$E$9="Chiffre d'affaires",V129,IF(Pilotage!$E$9="Effectif",T129,U129))</f>
        <v/>
      </c>
      <c r="AI129">
        <f>W129*IFERROR(K129/O129,0)</f>
        <v/>
      </c>
      <c r="AJ129">
        <f>X129*IFERROR(K129/O129,0)</f>
        <v/>
      </c>
      <c r="AK129">
        <f>Y129*IFERROR(G129/L129,0)+Z129*IFERROR(J129/P129,0)</f>
        <v/>
      </c>
      <c r="AL129">
        <f>AA129*IFERROR(AC129/AD129,0)</f>
        <v/>
      </c>
      <c r="AM129">
        <f>AB129*IFERROR(AG129/AH129,0)*IFERROR(AE129/AF129,0)*IFERROR(AC129/AD129,0)</f>
        <v/>
      </c>
      <c r="AN129">
        <f>I129-(AI129+AJ129+AK129+AL129+AM129)</f>
        <v/>
      </c>
    </row>
    <row r="130">
      <c r="A130">
        <f>Allocation!C130</f>
        <v/>
      </c>
      <c r="B130">
        <f>Allocation!D130</f>
        <v/>
      </c>
      <c r="C130">
        <f>Allocation!E130</f>
        <v/>
      </c>
      <c r="D130">
        <f>Allocation!F130</f>
        <v/>
      </c>
      <c r="E130">
        <f>Allocation!G130</f>
        <v/>
      </c>
      <c r="F130">
        <f>Allocation!H130</f>
        <v/>
      </c>
      <c r="G130">
        <f>Allocation!I130</f>
        <v/>
      </c>
      <c r="H130">
        <f>Allocation!J130</f>
        <v/>
      </c>
      <c r="I130">
        <f>Allocation!K130</f>
        <v/>
      </c>
      <c r="J130">
        <f>SUMIFS(Socle!$K$2:$K$175,Socle!$C$2:$C$175,B130,Socle!$D$2:$D$175,D130,Socle!$E$2:$E$175,E130,Socle!$F$2:$F$175,F130,Socle!$G$2:$G$175,A130)</f>
        <v/>
      </c>
      <c r="K130">
        <f>H130*IF(AND(LEFT(D130,3)="BAC",F130="INIT"),600,IF(LEFT(D130,3)="BAC",480,IF(AND(LEFT(D130,3)="MAS",F130="INIT"),520,IF(LEFT(D130,3)="MAS",420,IF(F130="INIT",1000,700)))))</f>
        <v/>
      </c>
      <c r="L130">
        <f>SUMIFS(Allocation!$I$2:$I$175,Allocation!$C$2:$C$175,A130,Allocation!$D$2:$D$175,B130)</f>
        <v/>
      </c>
      <c r="M130">
        <f>SUMIFS(Allocation!$J$2:$J$175,Allocation!$C$2:$C$175,A130,Allocation!$D$2:$D$175,B130)</f>
        <v/>
      </c>
      <c r="N130">
        <f>SUMIFS(Allocation!$K$2:$K$175,Allocation!$C$2:$C$175,A130,Allocation!$D$2:$D$175,B130)</f>
        <v/>
      </c>
      <c r="O130">
        <f>SUMIFS($K$2:$K$175,$A$2:$A$175,A130,$B$2:$B$175,B130)</f>
        <v/>
      </c>
      <c r="P130">
        <f>SUMIFS($J$2:$J$175,$A$2:$A$175,A130,$B$2:$B$175,B130)</f>
        <v/>
      </c>
      <c r="Q130">
        <f>SUMIFS(Allocation!$I$2:$I$175,Allocation!$C$2:$C$175,A130,Allocation!$E$2:$E$175,C130)</f>
        <v/>
      </c>
      <c r="R130">
        <f>SUMIFS(Allocation!$J$2:$J$175,Allocation!$C$2:$C$175,A130,Allocation!$E$2:$E$175,C130)</f>
        <v/>
      </c>
      <c r="S130">
        <f>SUMIFS(Allocation!$K$2:$K$175,Allocation!$C$2:$C$175,A130,Allocation!$E$2:$E$175,C130)</f>
        <v/>
      </c>
      <c r="T130">
        <f>SUMIFS(Allocation!$I$2:$I$175,Allocation!$C$2:$C$175,A130)</f>
        <v/>
      </c>
      <c r="U130">
        <f>SUMIFS(Allocation!$J$2:$J$175,Allocation!$C$2:$C$175,A130)</f>
        <v/>
      </c>
      <c r="V130">
        <f>SUMIFS(Allocation!$K$2:$K$175,Allocation!$C$2:$C$175,A130)</f>
        <v/>
      </c>
      <c r="W130">
        <f>SUMIFS(Compta!$F$2:$F$675,Compta!$A$2:$A$675,B130,Compta!$B$2:$B$675,"621",Compta!$C$2:$C$675,A130)</f>
        <v/>
      </c>
      <c r="X130">
        <f>SUMIFS(Compta!$F$2:$F$675,Compta!$A$2:$A$675,B130,Compta!$B$2:$B$675,"6411",Compta!$C$2:$C$675,A130)</f>
        <v/>
      </c>
      <c r="Y130">
        <f>SUMIFS(Compta!$F$2:$F$675,Compta!$A$2:$A$675,B130,Compta!$B$2:$B$675,"604",Compta!$C$2:$C$675,A130)+SUMIFS(Compta!$F$2:$F$675,Compta!$A$2:$A$675,B130,Compta!$B$2:$B$675,"6063",Compta!$C$2:$C$675,A130)</f>
        <v/>
      </c>
      <c r="Z130">
        <f>SUMIFS(Compta!$F$2:$F$675,Compta!$A$2:$A$675,B130,Compta!$B$2:$B$675,"6231",Compta!$C$2:$C$675,A130)</f>
        <v/>
      </c>
      <c r="AA130">
        <f>SUMIFS(Compta!$F$2:$F$675,Compta!$A$2:$A$675,B130,Compta!$B$2:$B$675,"6413",Compta!$C$2:$C$675,A130)+SUMIFS(Compta!$F$2:$F$675,Compta!$A$2:$A$675,B130,Compta!$B$2:$B$675,"645",Compta!$C$2:$C$675,A130)+SUMIFS(Compta!$F$2:$F$675,Compta!$A$2:$A$675,B130,Compta!$B$2:$B$675,"613",Compta!$C$2:$C$675,A130)+SUMIFS(Compta!$F$2:$F$675,Compta!$A$2:$A$675,B130,Compta!$B$2:$B$675,"615",Compta!$C$2:$C$675,A130)+SUMIFS(Compta!$F$2:$F$675,Compta!$A$2:$A$675,B130,Compta!$B$2:$B$675,"616",Compta!$C$2:$C$675,A130)+SUMIFS(Compta!$F$2:$F$675,Compta!$A$2:$A$675,B130,Compta!$B$2:$B$675,"625",Compta!$C$2:$C$675,A130)+SUMIFS(Compta!$F$2:$F$675,Compta!$A$2:$A$675,B130,Compta!$B$2:$B$675,"63511",Compta!$C$2:$C$675,A130)</f>
        <v/>
      </c>
      <c r="AB130">
        <f>SUMIFS(Compta!$F$2:$F$675,Compta!$A$2:$A$675,"GRP",Compta!$B$2:$B$675,"6414",Compta!$C$2:$C$675,A130)+SUMIFS(Compta!$F$2:$F$675,Compta!$A$2:$A$675,"GRP",Compta!$B$2:$B$675,"6226",Compta!$C$2:$C$675,A130)+SUMIFS(Compta!$F$2:$F$675,Compta!$A$2:$A$675,"GRP",Compta!$B$2:$B$675,"6236",Compta!$C$2:$C$675,A130)+SUMIFS(Compta!$F$2:$F$675,Compta!$A$2:$A$675,"GRP",Compta!$B$2:$B$675,"626",Compta!$C$2:$C$675,A130)+SUMIFS(Compta!$F$2:$F$675,Compta!$A$2:$A$675,"GRP",Compta!$B$2:$B$675,"6281",Compta!$C$2:$C$675,A130)+SUMIFS(Compta!$F$2:$F$675,Compta!$A$2:$A$675,"GRP",Compta!$B$2:$B$675,"6331",Compta!$C$2:$C$675,A130)+SUMIFS(Compta!$F$2:$F$675,Compta!$A$2:$A$675,"GRP",Compta!$B$2:$B$675,"6333",Compta!$C$2:$C$675,A130)</f>
        <v/>
      </c>
      <c r="AC130">
        <f>IF(Pilotage!$E$10="Chiffre d'affaires",I130,IF(Pilotage!$E$10="Effectif",G130,H130))</f>
        <v/>
      </c>
      <c r="AD130">
        <f>IF(Pilotage!$E$10="Chiffre d'affaires",N130,IF(Pilotage!$E$10="Effectif",L130,M130))</f>
        <v/>
      </c>
      <c r="AE130">
        <f>IF(Pilotage!$E$8="Chiffre d'affaires",N130,IF(Pilotage!$E$8="Effectif",L130,M130))</f>
        <v/>
      </c>
      <c r="AF130">
        <f>IF(Pilotage!$E$8="Chiffre d'affaires",S130,IF(Pilotage!$E$8="Effectif",Q130,R130))</f>
        <v/>
      </c>
      <c r="AG130">
        <f>IF(Pilotage!$E$9="Chiffre d'affaires",S130,IF(Pilotage!$E$9="Effectif",Q130,R130))</f>
        <v/>
      </c>
      <c r="AH130">
        <f>IF(Pilotage!$E$9="Chiffre d'affaires",V130,IF(Pilotage!$E$9="Effectif",T130,U130))</f>
        <v/>
      </c>
      <c r="AI130">
        <f>W130*IFERROR(K130/O130,0)</f>
        <v/>
      </c>
      <c r="AJ130">
        <f>X130*IFERROR(K130/O130,0)</f>
        <v/>
      </c>
      <c r="AK130">
        <f>Y130*IFERROR(G130/L130,0)+Z130*IFERROR(J130/P130,0)</f>
        <v/>
      </c>
      <c r="AL130">
        <f>AA130*IFERROR(AC130/AD130,0)</f>
        <v/>
      </c>
      <c r="AM130">
        <f>AB130*IFERROR(AG130/AH130,0)*IFERROR(AE130/AF130,0)*IFERROR(AC130/AD130,0)</f>
        <v/>
      </c>
      <c r="AN130">
        <f>I130-(AI130+AJ130+AK130+AL130+AM130)</f>
        <v/>
      </c>
    </row>
    <row r="131">
      <c r="A131">
        <f>Allocation!C131</f>
        <v/>
      </c>
      <c r="B131">
        <f>Allocation!D131</f>
        <v/>
      </c>
      <c r="C131">
        <f>Allocation!E131</f>
        <v/>
      </c>
      <c r="D131">
        <f>Allocation!F131</f>
        <v/>
      </c>
      <c r="E131">
        <f>Allocation!G131</f>
        <v/>
      </c>
      <c r="F131">
        <f>Allocation!H131</f>
        <v/>
      </c>
      <c r="G131">
        <f>Allocation!I131</f>
        <v/>
      </c>
      <c r="H131">
        <f>Allocation!J131</f>
        <v/>
      </c>
      <c r="I131">
        <f>Allocation!K131</f>
        <v/>
      </c>
      <c r="J131">
        <f>SUMIFS(Socle!$K$2:$K$175,Socle!$C$2:$C$175,B131,Socle!$D$2:$D$175,D131,Socle!$E$2:$E$175,E131,Socle!$F$2:$F$175,F131,Socle!$G$2:$G$175,A131)</f>
        <v/>
      </c>
      <c r="K131">
        <f>H131*IF(AND(LEFT(D131,3)="BAC",F131="INIT"),600,IF(LEFT(D131,3)="BAC",480,IF(AND(LEFT(D131,3)="MAS",F131="INIT"),520,IF(LEFT(D131,3)="MAS",420,IF(F131="INIT",1000,700)))))</f>
        <v/>
      </c>
      <c r="L131">
        <f>SUMIFS(Allocation!$I$2:$I$175,Allocation!$C$2:$C$175,A131,Allocation!$D$2:$D$175,B131)</f>
        <v/>
      </c>
      <c r="M131">
        <f>SUMIFS(Allocation!$J$2:$J$175,Allocation!$C$2:$C$175,A131,Allocation!$D$2:$D$175,B131)</f>
        <v/>
      </c>
      <c r="N131">
        <f>SUMIFS(Allocation!$K$2:$K$175,Allocation!$C$2:$C$175,A131,Allocation!$D$2:$D$175,B131)</f>
        <v/>
      </c>
      <c r="O131">
        <f>SUMIFS($K$2:$K$175,$A$2:$A$175,A131,$B$2:$B$175,B131)</f>
        <v/>
      </c>
      <c r="P131">
        <f>SUMIFS($J$2:$J$175,$A$2:$A$175,A131,$B$2:$B$175,B131)</f>
        <v/>
      </c>
      <c r="Q131">
        <f>SUMIFS(Allocation!$I$2:$I$175,Allocation!$C$2:$C$175,A131,Allocation!$E$2:$E$175,C131)</f>
        <v/>
      </c>
      <c r="R131">
        <f>SUMIFS(Allocation!$J$2:$J$175,Allocation!$C$2:$C$175,A131,Allocation!$E$2:$E$175,C131)</f>
        <v/>
      </c>
      <c r="S131">
        <f>SUMIFS(Allocation!$K$2:$K$175,Allocation!$C$2:$C$175,A131,Allocation!$E$2:$E$175,C131)</f>
        <v/>
      </c>
      <c r="T131">
        <f>SUMIFS(Allocation!$I$2:$I$175,Allocation!$C$2:$C$175,A131)</f>
        <v/>
      </c>
      <c r="U131">
        <f>SUMIFS(Allocation!$J$2:$J$175,Allocation!$C$2:$C$175,A131)</f>
        <v/>
      </c>
      <c r="V131">
        <f>SUMIFS(Allocation!$K$2:$K$175,Allocation!$C$2:$C$175,A131)</f>
        <v/>
      </c>
      <c r="W131">
        <f>SUMIFS(Compta!$F$2:$F$675,Compta!$A$2:$A$675,B131,Compta!$B$2:$B$675,"621",Compta!$C$2:$C$675,A131)</f>
        <v/>
      </c>
      <c r="X131">
        <f>SUMIFS(Compta!$F$2:$F$675,Compta!$A$2:$A$675,B131,Compta!$B$2:$B$675,"6411",Compta!$C$2:$C$675,A131)</f>
        <v/>
      </c>
      <c r="Y131">
        <f>SUMIFS(Compta!$F$2:$F$675,Compta!$A$2:$A$675,B131,Compta!$B$2:$B$675,"604",Compta!$C$2:$C$675,A131)+SUMIFS(Compta!$F$2:$F$675,Compta!$A$2:$A$675,B131,Compta!$B$2:$B$675,"6063",Compta!$C$2:$C$675,A131)</f>
        <v/>
      </c>
      <c r="Z131">
        <f>SUMIFS(Compta!$F$2:$F$675,Compta!$A$2:$A$675,B131,Compta!$B$2:$B$675,"6231",Compta!$C$2:$C$675,A131)</f>
        <v/>
      </c>
      <c r="AA131">
        <f>SUMIFS(Compta!$F$2:$F$675,Compta!$A$2:$A$675,B131,Compta!$B$2:$B$675,"6413",Compta!$C$2:$C$675,A131)+SUMIFS(Compta!$F$2:$F$675,Compta!$A$2:$A$675,B131,Compta!$B$2:$B$675,"645",Compta!$C$2:$C$675,A131)+SUMIFS(Compta!$F$2:$F$675,Compta!$A$2:$A$675,B131,Compta!$B$2:$B$675,"613",Compta!$C$2:$C$675,A131)+SUMIFS(Compta!$F$2:$F$675,Compta!$A$2:$A$675,B131,Compta!$B$2:$B$675,"615",Compta!$C$2:$C$675,A131)+SUMIFS(Compta!$F$2:$F$675,Compta!$A$2:$A$675,B131,Compta!$B$2:$B$675,"616",Compta!$C$2:$C$675,A131)+SUMIFS(Compta!$F$2:$F$675,Compta!$A$2:$A$675,B131,Compta!$B$2:$B$675,"625",Compta!$C$2:$C$675,A131)+SUMIFS(Compta!$F$2:$F$675,Compta!$A$2:$A$675,B131,Compta!$B$2:$B$675,"63511",Compta!$C$2:$C$675,A131)</f>
        <v/>
      </c>
      <c r="AB131">
        <f>SUMIFS(Compta!$F$2:$F$675,Compta!$A$2:$A$675,"GRP",Compta!$B$2:$B$675,"6414",Compta!$C$2:$C$675,A131)+SUMIFS(Compta!$F$2:$F$675,Compta!$A$2:$A$675,"GRP",Compta!$B$2:$B$675,"6226",Compta!$C$2:$C$675,A131)+SUMIFS(Compta!$F$2:$F$675,Compta!$A$2:$A$675,"GRP",Compta!$B$2:$B$675,"6236",Compta!$C$2:$C$675,A131)+SUMIFS(Compta!$F$2:$F$675,Compta!$A$2:$A$675,"GRP",Compta!$B$2:$B$675,"626",Compta!$C$2:$C$675,A131)+SUMIFS(Compta!$F$2:$F$675,Compta!$A$2:$A$675,"GRP",Compta!$B$2:$B$675,"6281",Compta!$C$2:$C$675,A131)+SUMIFS(Compta!$F$2:$F$675,Compta!$A$2:$A$675,"GRP",Compta!$B$2:$B$675,"6331",Compta!$C$2:$C$675,A131)+SUMIFS(Compta!$F$2:$F$675,Compta!$A$2:$A$675,"GRP",Compta!$B$2:$B$675,"6333",Compta!$C$2:$C$675,A131)</f>
        <v/>
      </c>
      <c r="AC131">
        <f>IF(Pilotage!$E$10="Chiffre d'affaires",I131,IF(Pilotage!$E$10="Effectif",G131,H131))</f>
        <v/>
      </c>
      <c r="AD131">
        <f>IF(Pilotage!$E$10="Chiffre d'affaires",N131,IF(Pilotage!$E$10="Effectif",L131,M131))</f>
        <v/>
      </c>
      <c r="AE131">
        <f>IF(Pilotage!$E$8="Chiffre d'affaires",N131,IF(Pilotage!$E$8="Effectif",L131,M131))</f>
        <v/>
      </c>
      <c r="AF131">
        <f>IF(Pilotage!$E$8="Chiffre d'affaires",S131,IF(Pilotage!$E$8="Effectif",Q131,R131))</f>
        <v/>
      </c>
      <c r="AG131">
        <f>IF(Pilotage!$E$9="Chiffre d'affaires",S131,IF(Pilotage!$E$9="Effectif",Q131,R131))</f>
        <v/>
      </c>
      <c r="AH131">
        <f>IF(Pilotage!$E$9="Chiffre d'affaires",V131,IF(Pilotage!$E$9="Effectif",T131,U131))</f>
        <v/>
      </c>
      <c r="AI131">
        <f>W131*IFERROR(K131/O131,0)</f>
        <v/>
      </c>
      <c r="AJ131">
        <f>X131*IFERROR(K131/O131,0)</f>
        <v/>
      </c>
      <c r="AK131">
        <f>Y131*IFERROR(G131/L131,0)+Z131*IFERROR(J131/P131,0)</f>
        <v/>
      </c>
      <c r="AL131">
        <f>AA131*IFERROR(AC131/AD131,0)</f>
        <v/>
      </c>
      <c r="AM131">
        <f>AB131*IFERROR(AG131/AH131,0)*IFERROR(AE131/AF131,0)*IFERROR(AC131/AD131,0)</f>
        <v/>
      </c>
      <c r="AN131">
        <f>I131-(AI131+AJ131+AK131+AL131+AM131)</f>
        <v/>
      </c>
    </row>
    <row r="132">
      <c r="A132">
        <f>Allocation!C132</f>
        <v/>
      </c>
      <c r="B132">
        <f>Allocation!D132</f>
        <v/>
      </c>
      <c r="C132">
        <f>Allocation!E132</f>
        <v/>
      </c>
      <c r="D132">
        <f>Allocation!F132</f>
        <v/>
      </c>
      <c r="E132">
        <f>Allocation!G132</f>
        <v/>
      </c>
      <c r="F132">
        <f>Allocation!H132</f>
        <v/>
      </c>
      <c r="G132">
        <f>Allocation!I132</f>
        <v/>
      </c>
      <c r="H132">
        <f>Allocation!J132</f>
        <v/>
      </c>
      <c r="I132">
        <f>Allocation!K132</f>
        <v/>
      </c>
      <c r="J132">
        <f>SUMIFS(Socle!$K$2:$K$175,Socle!$C$2:$C$175,B132,Socle!$D$2:$D$175,D132,Socle!$E$2:$E$175,E132,Socle!$F$2:$F$175,F132,Socle!$G$2:$G$175,A132)</f>
        <v/>
      </c>
      <c r="K132">
        <f>H132*IF(AND(LEFT(D132,3)="BAC",F132="INIT"),600,IF(LEFT(D132,3)="BAC",480,IF(AND(LEFT(D132,3)="MAS",F132="INIT"),520,IF(LEFT(D132,3)="MAS",420,IF(F132="INIT",1000,700)))))</f>
        <v/>
      </c>
      <c r="L132">
        <f>SUMIFS(Allocation!$I$2:$I$175,Allocation!$C$2:$C$175,A132,Allocation!$D$2:$D$175,B132)</f>
        <v/>
      </c>
      <c r="M132">
        <f>SUMIFS(Allocation!$J$2:$J$175,Allocation!$C$2:$C$175,A132,Allocation!$D$2:$D$175,B132)</f>
        <v/>
      </c>
      <c r="N132">
        <f>SUMIFS(Allocation!$K$2:$K$175,Allocation!$C$2:$C$175,A132,Allocation!$D$2:$D$175,B132)</f>
        <v/>
      </c>
      <c r="O132">
        <f>SUMIFS($K$2:$K$175,$A$2:$A$175,A132,$B$2:$B$175,B132)</f>
        <v/>
      </c>
      <c r="P132">
        <f>SUMIFS($J$2:$J$175,$A$2:$A$175,A132,$B$2:$B$175,B132)</f>
        <v/>
      </c>
      <c r="Q132">
        <f>SUMIFS(Allocation!$I$2:$I$175,Allocation!$C$2:$C$175,A132,Allocation!$E$2:$E$175,C132)</f>
        <v/>
      </c>
      <c r="R132">
        <f>SUMIFS(Allocation!$J$2:$J$175,Allocation!$C$2:$C$175,A132,Allocation!$E$2:$E$175,C132)</f>
        <v/>
      </c>
      <c r="S132">
        <f>SUMIFS(Allocation!$K$2:$K$175,Allocation!$C$2:$C$175,A132,Allocation!$E$2:$E$175,C132)</f>
        <v/>
      </c>
      <c r="T132">
        <f>SUMIFS(Allocation!$I$2:$I$175,Allocation!$C$2:$C$175,A132)</f>
        <v/>
      </c>
      <c r="U132">
        <f>SUMIFS(Allocation!$J$2:$J$175,Allocation!$C$2:$C$175,A132)</f>
        <v/>
      </c>
      <c r="V132">
        <f>SUMIFS(Allocation!$K$2:$K$175,Allocation!$C$2:$C$175,A132)</f>
        <v/>
      </c>
      <c r="W132">
        <f>SUMIFS(Compta!$F$2:$F$675,Compta!$A$2:$A$675,B132,Compta!$B$2:$B$675,"621",Compta!$C$2:$C$675,A132)</f>
        <v/>
      </c>
      <c r="X132">
        <f>SUMIFS(Compta!$F$2:$F$675,Compta!$A$2:$A$675,B132,Compta!$B$2:$B$675,"6411",Compta!$C$2:$C$675,A132)</f>
        <v/>
      </c>
      <c r="Y132">
        <f>SUMIFS(Compta!$F$2:$F$675,Compta!$A$2:$A$675,B132,Compta!$B$2:$B$675,"604",Compta!$C$2:$C$675,A132)+SUMIFS(Compta!$F$2:$F$675,Compta!$A$2:$A$675,B132,Compta!$B$2:$B$675,"6063",Compta!$C$2:$C$675,A132)</f>
        <v/>
      </c>
      <c r="Z132">
        <f>SUMIFS(Compta!$F$2:$F$675,Compta!$A$2:$A$675,B132,Compta!$B$2:$B$675,"6231",Compta!$C$2:$C$675,A132)</f>
        <v/>
      </c>
      <c r="AA132">
        <f>SUMIFS(Compta!$F$2:$F$675,Compta!$A$2:$A$675,B132,Compta!$B$2:$B$675,"6413",Compta!$C$2:$C$675,A132)+SUMIFS(Compta!$F$2:$F$675,Compta!$A$2:$A$675,B132,Compta!$B$2:$B$675,"645",Compta!$C$2:$C$675,A132)+SUMIFS(Compta!$F$2:$F$675,Compta!$A$2:$A$675,B132,Compta!$B$2:$B$675,"613",Compta!$C$2:$C$675,A132)+SUMIFS(Compta!$F$2:$F$675,Compta!$A$2:$A$675,B132,Compta!$B$2:$B$675,"615",Compta!$C$2:$C$675,A132)+SUMIFS(Compta!$F$2:$F$675,Compta!$A$2:$A$675,B132,Compta!$B$2:$B$675,"616",Compta!$C$2:$C$675,A132)+SUMIFS(Compta!$F$2:$F$675,Compta!$A$2:$A$675,B132,Compta!$B$2:$B$675,"625",Compta!$C$2:$C$675,A132)+SUMIFS(Compta!$F$2:$F$675,Compta!$A$2:$A$675,B132,Compta!$B$2:$B$675,"63511",Compta!$C$2:$C$675,A132)</f>
        <v/>
      </c>
      <c r="AB132">
        <f>SUMIFS(Compta!$F$2:$F$675,Compta!$A$2:$A$675,"GRP",Compta!$B$2:$B$675,"6414",Compta!$C$2:$C$675,A132)+SUMIFS(Compta!$F$2:$F$675,Compta!$A$2:$A$675,"GRP",Compta!$B$2:$B$675,"6226",Compta!$C$2:$C$675,A132)+SUMIFS(Compta!$F$2:$F$675,Compta!$A$2:$A$675,"GRP",Compta!$B$2:$B$675,"6236",Compta!$C$2:$C$675,A132)+SUMIFS(Compta!$F$2:$F$675,Compta!$A$2:$A$675,"GRP",Compta!$B$2:$B$675,"626",Compta!$C$2:$C$675,A132)+SUMIFS(Compta!$F$2:$F$675,Compta!$A$2:$A$675,"GRP",Compta!$B$2:$B$675,"6281",Compta!$C$2:$C$675,A132)+SUMIFS(Compta!$F$2:$F$675,Compta!$A$2:$A$675,"GRP",Compta!$B$2:$B$675,"6331",Compta!$C$2:$C$675,A132)+SUMIFS(Compta!$F$2:$F$675,Compta!$A$2:$A$675,"GRP",Compta!$B$2:$B$675,"6333",Compta!$C$2:$C$675,A132)</f>
        <v/>
      </c>
      <c r="AC132">
        <f>IF(Pilotage!$E$10="Chiffre d'affaires",I132,IF(Pilotage!$E$10="Effectif",G132,H132))</f>
        <v/>
      </c>
      <c r="AD132">
        <f>IF(Pilotage!$E$10="Chiffre d'affaires",N132,IF(Pilotage!$E$10="Effectif",L132,M132))</f>
        <v/>
      </c>
      <c r="AE132">
        <f>IF(Pilotage!$E$8="Chiffre d'affaires",N132,IF(Pilotage!$E$8="Effectif",L132,M132))</f>
        <v/>
      </c>
      <c r="AF132">
        <f>IF(Pilotage!$E$8="Chiffre d'affaires",S132,IF(Pilotage!$E$8="Effectif",Q132,R132))</f>
        <v/>
      </c>
      <c r="AG132">
        <f>IF(Pilotage!$E$9="Chiffre d'affaires",S132,IF(Pilotage!$E$9="Effectif",Q132,R132))</f>
        <v/>
      </c>
      <c r="AH132">
        <f>IF(Pilotage!$E$9="Chiffre d'affaires",V132,IF(Pilotage!$E$9="Effectif",T132,U132))</f>
        <v/>
      </c>
      <c r="AI132">
        <f>W132*IFERROR(K132/O132,0)</f>
        <v/>
      </c>
      <c r="AJ132">
        <f>X132*IFERROR(K132/O132,0)</f>
        <v/>
      </c>
      <c r="AK132">
        <f>Y132*IFERROR(G132/L132,0)+Z132*IFERROR(J132/P132,0)</f>
        <v/>
      </c>
      <c r="AL132">
        <f>AA132*IFERROR(AC132/AD132,0)</f>
        <v/>
      </c>
      <c r="AM132">
        <f>AB132*IFERROR(AG132/AH132,0)*IFERROR(AE132/AF132,0)*IFERROR(AC132/AD132,0)</f>
        <v/>
      </c>
      <c r="AN132">
        <f>I132-(AI132+AJ132+AK132+AL132+AM132)</f>
        <v/>
      </c>
    </row>
    <row r="133">
      <c r="A133">
        <f>Allocation!C133</f>
        <v/>
      </c>
      <c r="B133">
        <f>Allocation!D133</f>
        <v/>
      </c>
      <c r="C133">
        <f>Allocation!E133</f>
        <v/>
      </c>
      <c r="D133">
        <f>Allocation!F133</f>
        <v/>
      </c>
      <c r="E133">
        <f>Allocation!G133</f>
        <v/>
      </c>
      <c r="F133">
        <f>Allocation!H133</f>
        <v/>
      </c>
      <c r="G133">
        <f>Allocation!I133</f>
        <v/>
      </c>
      <c r="H133">
        <f>Allocation!J133</f>
        <v/>
      </c>
      <c r="I133">
        <f>Allocation!K133</f>
        <v/>
      </c>
      <c r="J133">
        <f>SUMIFS(Socle!$K$2:$K$175,Socle!$C$2:$C$175,B133,Socle!$D$2:$D$175,D133,Socle!$E$2:$E$175,E133,Socle!$F$2:$F$175,F133,Socle!$G$2:$G$175,A133)</f>
        <v/>
      </c>
      <c r="K133">
        <f>H133*IF(AND(LEFT(D133,3)="BAC",F133="INIT"),600,IF(LEFT(D133,3)="BAC",480,IF(AND(LEFT(D133,3)="MAS",F133="INIT"),520,IF(LEFT(D133,3)="MAS",420,IF(F133="INIT",1000,700)))))</f>
        <v/>
      </c>
      <c r="L133">
        <f>SUMIFS(Allocation!$I$2:$I$175,Allocation!$C$2:$C$175,A133,Allocation!$D$2:$D$175,B133)</f>
        <v/>
      </c>
      <c r="M133">
        <f>SUMIFS(Allocation!$J$2:$J$175,Allocation!$C$2:$C$175,A133,Allocation!$D$2:$D$175,B133)</f>
        <v/>
      </c>
      <c r="N133">
        <f>SUMIFS(Allocation!$K$2:$K$175,Allocation!$C$2:$C$175,A133,Allocation!$D$2:$D$175,B133)</f>
        <v/>
      </c>
      <c r="O133">
        <f>SUMIFS($K$2:$K$175,$A$2:$A$175,A133,$B$2:$B$175,B133)</f>
        <v/>
      </c>
      <c r="P133">
        <f>SUMIFS($J$2:$J$175,$A$2:$A$175,A133,$B$2:$B$175,B133)</f>
        <v/>
      </c>
      <c r="Q133">
        <f>SUMIFS(Allocation!$I$2:$I$175,Allocation!$C$2:$C$175,A133,Allocation!$E$2:$E$175,C133)</f>
        <v/>
      </c>
      <c r="R133">
        <f>SUMIFS(Allocation!$J$2:$J$175,Allocation!$C$2:$C$175,A133,Allocation!$E$2:$E$175,C133)</f>
        <v/>
      </c>
      <c r="S133">
        <f>SUMIFS(Allocation!$K$2:$K$175,Allocation!$C$2:$C$175,A133,Allocation!$E$2:$E$175,C133)</f>
        <v/>
      </c>
      <c r="T133">
        <f>SUMIFS(Allocation!$I$2:$I$175,Allocation!$C$2:$C$175,A133)</f>
        <v/>
      </c>
      <c r="U133">
        <f>SUMIFS(Allocation!$J$2:$J$175,Allocation!$C$2:$C$175,A133)</f>
        <v/>
      </c>
      <c r="V133">
        <f>SUMIFS(Allocation!$K$2:$K$175,Allocation!$C$2:$C$175,A133)</f>
        <v/>
      </c>
      <c r="W133">
        <f>SUMIFS(Compta!$F$2:$F$675,Compta!$A$2:$A$675,B133,Compta!$B$2:$B$675,"621",Compta!$C$2:$C$675,A133)</f>
        <v/>
      </c>
      <c r="X133">
        <f>SUMIFS(Compta!$F$2:$F$675,Compta!$A$2:$A$675,B133,Compta!$B$2:$B$675,"6411",Compta!$C$2:$C$675,A133)</f>
        <v/>
      </c>
      <c r="Y133">
        <f>SUMIFS(Compta!$F$2:$F$675,Compta!$A$2:$A$675,B133,Compta!$B$2:$B$675,"604",Compta!$C$2:$C$675,A133)+SUMIFS(Compta!$F$2:$F$675,Compta!$A$2:$A$675,B133,Compta!$B$2:$B$675,"6063",Compta!$C$2:$C$675,A133)</f>
        <v/>
      </c>
      <c r="Z133">
        <f>SUMIFS(Compta!$F$2:$F$675,Compta!$A$2:$A$675,B133,Compta!$B$2:$B$675,"6231",Compta!$C$2:$C$675,A133)</f>
        <v/>
      </c>
      <c r="AA133">
        <f>SUMIFS(Compta!$F$2:$F$675,Compta!$A$2:$A$675,B133,Compta!$B$2:$B$675,"6413",Compta!$C$2:$C$675,A133)+SUMIFS(Compta!$F$2:$F$675,Compta!$A$2:$A$675,B133,Compta!$B$2:$B$675,"645",Compta!$C$2:$C$675,A133)+SUMIFS(Compta!$F$2:$F$675,Compta!$A$2:$A$675,B133,Compta!$B$2:$B$675,"613",Compta!$C$2:$C$675,A133)+SUMIFS(Compta!$F$2:$F$675,Compta!$A$2:$A$675,B133,Compta!$B$2:$B$675,"615",Compta!$C$2:$C$675,A133)+SUMIFS(Compta!$F$2:$F$675,Compta!$A$2:$A$675,B133,Compta!$B$2:$B$675,"616",Compta!$C$2:$C$675,A133)+SUMIFS(Compta!$F$2:$F$675,Compta!$A$2:$A$675,B133,Compta!$B$2:$B$675,"625",Compta!$C$2:$C$675,A133)+SUMIFS(Compta!$F$2:$F$675,Compta!$A$2:$A$675,B133,Compta!$B$2:$B$675,"63511",Compta!$C$2:$C$675,A133)</f>
        <v/>
      </c>
      <c r="AB133">
        <f>SUMIFS(Compta!$F$2:$F$675,Compta!$A$2:$A$675,"GRP",Compta!$B$2:$B$675,"6414",Compta!$C$2:$C$675,A133)+SUMIFS(Compta!$F$2:$F$675,Compta!$A$2:$A$675,"GRP",Compta!$B$2:$B$675,"6226",Compta!$C$2:$C$675,A133)+SUMIFS(Compta!$F$2:$F$675,Compta!$A$2:$A$675,"GRP",Compta!$B$2:$B$675,"6236",Compta!$C$2:$C$675,A133)+SUMIFS(Compta!$F$2:$F$675,Compta!$A$2:$A$675,"GRP",Compta!$B$2:$B$675,"626",Compta!$C$2:$C$675,A133)+SUMIFS(Compta!$F$2:$F$675,Compta!$A$2:$A$675,"GRP",Compta!$B$2:$B$675,"6281",Compta!$C$2:$C$675,A133)+SUMIFS(Compta!$F$2:$F$675,Compta!$A$2:$A$675,"GRP",Compta!$B$2:$B$675,"6331",Compta!$C$2:$C$675,A133)+SUMIFS(Compta!$F$2:$F$675,Compta!$A$2:$A$675,"GRP",Compta!$B$2:$B$675,"6333",Compta!$C$2:$C$675,A133)</f>
        <v/>
      </c>
      <c r="AC133">
        <f>IF(Pilotage!$E$10="Chiffre d'affaires",I133,IF(Pilotage!$E$10="Effectif",G133,H133))</f>
        <v/>
      </c>
      <c r="AD133">
        <f>IF(Pilotage!$E$10="Chiffre d'affaires",N133,IF(Pilotage!$E$10="Effectif",L133,M133))</f>
        <v/>
      </c>
      <c r="AE133">
        <f>IF(Pilotage!$E$8="Chiffre d'affaires",N133,IF(Pilotage!$E$8="Effectif",L133,M133))</f>
        <v/>
      </c>
      <c r="AF133">
        <f>IF(Pilotage!$E$8="Chiffre d'affaires",S133,IF(Pilotage!$E$8="Effectif",Q133,R133))</f>
        <v/>
      </c>
      <c r="AG133">
        <f>IF(Pilotage!$E$9="Chiffre d'affaires",S133,IF(Pilotage!$E$9="Effectif",Q133,R133))</f>
        <v/>
      </c>
      <c r="AH133">
        <f>IF(Pilotage!$E$9="Chiffre d'affaires",V133,IF(Pilotage!$E$9="Effectif",T133,U133))</f>
        <v/>
      </c>
      <c r="AI133">
        <f>W133*IFERROR(K133/O133,0)</f>
        <v/>
      </c>
      <c r="AJ133">
        <f>X133*IFERROR(K133/O133,0)</f>
        <v/>
      </c>
      <c r="AK133">
        <f>Y133*IFERROR(G133/L133,0)+Z133*IFERROR(J133/P133,0)</f>
        <v/>
      </c>
      <c r="AL133">
        <f>AA133*IFERROR(AC133/AD133,0)</f>
        <v/>
      </c>
      <c r="AM133">
        <f>AB133*IFERROR(AG133/AH133,0)*IFERROR(AE133/AF133,0)*IFERROR(AC133/AD133,0)</f>
        <v/>
      </c>
      <c r="AN133">
        <f>I133-(AI133+AJ133+AK133+AL133+AM133)</f>
        <v/>
      </c>
    </row>
    <row r="134">
      <c r="A134">
        <f>Allocation!C134</f>
        <v/>
      </c>
      <c r="B134">
        <f>Allocation!D134</f>
        <v/>
      </c>
      <c r="C134">
        <f>Allocation!E134</f>
        <v/>
      </c>
      <c r="D134">
        <f>Allocation!F134</f>
        <v/>
      </c>
      <c r="E134">
        <f>Allocation!G134</f>
        <v/>
      </c>
      <c r="F134">
        <f>Allocation!H134</f>
        <v/>
      </c>
      <c r="G134">
        <f>Allocation!I134</f>
        <v/>
      </c>
      <c r="H134">
        <f>Allocation!J134</f>
        <v/>
      </c>
      <c r="I134">
        <f>Allocation!K134</f>
        <v/>
      </c>
      <c r="J134">
        <f>SUMIFS(Socle!$K$2:$K$175,Socle!$C$2:$C$175,B134,Socle!$D$2:$D$175,D134,Socle!$E$2:$E$175,E134,Socle!$F$2:$F$175,F134,Socle!$G$2:$G$175,A134)</f>
        <v/>
      </c>
      <c r="K134">
        <f>H134*IF(AND(LEFT(D134,3)="BAC",F134="INIT"),600,IF(LEFT(D134,3)="BAC",480,IF(AND(LEFT(D134,3)="MAS",F134="INIT"),520,IF(LEFT(D134,3)="MAS",420,IF(F134="INIT",1000,700)))))</f>
        <v/>
      </c>
      <c r="L134">
        <f>SUMIFS(Allocation!$I$2:$I$175,Allocation!$C$2:$C$175,A134,Allocation!$D$2:$D$175,B134)</f>
        <v/>
      </c>
      <c r="M134">
        <f>SUMIFS(Allocation!$J$2:$J$175,Allocation!$C$2:$C$175,A134,Allocation!$D$2:$D$175,B134)</f>
        <v/>
      </c>
      <c r="N134">
        <f>SUMIFS(Allocation!$K$2:$K$175,Allocation!$C$2:$C$175,A134,Allocation!$D$2:$D$175,B134)</f>
        <v/>
      </c>
      <c r="O134">
        <f>SUMIFS($K$2:$K$175,$A$2:$A$175,A134,$B$2:$B$175,B134)</f>
        <v/>
      </c>
      <c r="P134">
        <f>SUMIFS($J$2:$J$175,$A$2:$A$175,A134,$B$2:$B$175,B134)</f>
        <v/>
      </c>
      <c r="Q134">
        <f>SUMIFS(Allocation!$I$2:$I$175,Allocation!$C$2:$C$175,A134,Allocation!$E$2:$E$175,C134)</f>
        <v/>
      </c>
      <c r="R134">
        <f>SUMIFS(Allocation!$J$2:$J$175,Allocation!$C$2:$C$175,A134,Allocation!$E$2:$E$175,C134)</f>
        <v/>
      </c>
      <c r="S134">
        <f>SUMIFS(Allocation!$K$2:$K$175,Allocation!$C$2:$C$175,A134,Allocation!$E$2:$E$175,C134)</f>
        <v/>
      </c>
      <c r="T134">
        <f>SUMIFS(Allocation!$I$2:$I$175,Allocation!$C$2:$C$175,A134)</f>
        <v/>
      </c>
      <c r="U134">
        <f>SUMIFS(Allocation!$J$2:$J$175,Allocation!$C$2:$C$175,A134)</f>
        <v/>
      </c>
      <c r="V134">
        <f>SUMIFS(Allocation!$K$2:$K$175,Allocation!$C$2:$C$175,A134)</f>
        <v/>
      </c>
      <c r="W134">
        <f>SUMIFS(Compta!$F$2:$F$675,Compta!$A$2:$A$675,B134,Compta!$B$2:$B$675,"621",Compta!$C$2:$C$675,A134)</f>
        <v/>
      </c>
      <c r="X134">
        <f>SUMIFS(Compta!$F$2:$F$675,Compta!$A$2:$A$675,B134,Compta!$B$2:$B$675,"6411",Compta!$C$2:$C$675,A134)</f>
        <v/>
      </c>
      <c r="Y134">
        <f>SUMIFS(Compta!$F$2:$F$675,Compta!$A$2:$A$675,B134,Compta!$B$2:$B$675,"604",Compta!$C$2:$C$675,A134)+SUMIFS(Compta!$F$2:$F$675,Compta!$A$2:$A$675,B134,Compta!$B$2:$B$675,"6063",Compta!$C$2:$C$675,A134)</f>
        <v/>
      </c>
      <c r="Z134">
        <f>SUMIFS(Compta!$F$2:$F$675,Compta!$A$2:$A$675,B134,Compta!$B$2:$B$675,"6231",Compta!$C$2:$C$675,A134)</f>
        <v/>
      </c>
      <c r="AA134">
        <f>SUMIFS(Compta!$F$2:$F$675,Compta!$A$2:$A$675,B134,Compta!$B$2:$B$675,"6413",Compta!$C$2:$C$675,A134)+SUMIFS(Compta!$F$2:$F$675,Compta!$A$2:$A$675,B134,Compta!$B$2:$B$675,"645",Compta!$C$2:$C$675,A134)+SUMIFS(Compta!$F$2:$F$675,Compta!$A$2:$A$675,B134,Compta!$B$2:$B$675,"613",Compta!$C$2:$C$675,A134)+SUMIFS(Compta!$F$2:$F$675,Compta!$A$2:$A$675,B134,Compta!$B$2:$B$675,"615",Compta!$C$2:$C$675,A134)+SUMIFS(Compta!$F$2:$F$675,Compta!$A$2:$A$675,B134,Compta!$B$2:$B$675,"616",Compta!$C$2:$C$675,A134)+SUMIFS(Compta!$F$2:$F$675,Compta!$A$2:$A$675,B134,Compta!$B$2:$B$675,"625",Compta!$C$2:$C$675,A134)+SUMIFS(Compta!$F$2:$F$675,Compta!$A$2:$A$675,B134,Compta!$B$2:$B$675,"63511",Compta!$C$2:$C$675,A134)</f>
        <v/>
      </c>
      <c r="AB134">
        <f>SUMIFS(Compta!$F$2:$F$675,Compta!$A$2:$A$675,"GRP",Compta!$B$2:$B$675,"6414",Compta!$C$2:$C$675,A134)+SUMIFS(Compta!$F$2:$F$675,Compta!$A$2:$A$675,"GRP",Compta!$B$2:$B$675,"6226",Compta!$C$2:$C$675,A134)+SUMIFS(Compta!$F$2:$F$675,Compta!$A$2:$A$675,"GRP",Compta!$B$2:$B$675,"6236",Compta!$C$2:$C$675,A134)+SUMIFS(Compta!$F$2:$F$675,Compta!$A$2:$A$675,"GRP",Compta!$B$2:$B$675,"626",Compta!$C$2:$C$675,A134)+SUMIFS(Compta!$F$2:$F$675,Compta!$A$2:$A$675,"GRP",Compta!$B$2:$B$675,"6281",Compta!$C$2:$C$675,A134)+SUMIFS(Compta!$F$2:$F$675,Compta!$A$2:$A$675,"GRP",Compta!$B$2:$B$675,"6331",Compta!$C$2:$C$675,A134)+SUMIFS(Compta!$F$2:$F$675,Compta!$A$2:$A$675,"GRP",Compta!$B$2:$B$675,"6333",Compta!$C$2:$C$675,A134)</f>
        <v/>
      </c>
      <c r="AC134">
        <f>IF(Pilotage!$E$10="Chiffre d'affaires",I134,IF(Pilotage!$E$10="Effectif",G134,H134))</f>
        <v/>
      </c>
      <c r="AD134">
        <f>IF(Pilotage!$E$10="Chiffre d'affaires",N134,IF(Pilotage!$E$10="Effectif",L134,M134))</f>
        <v/>
      </c>
      <c r="AE134">
        <f>IF(Pilotage!$E$8="Chiffre d'affaires",N134,IF(Pilotage!$E$8="Effectif",L134,M134))</f>
        <v/>
      </c>
      <c r="AF134">
        <f>IF(Pilotage!$E$8="Chiffre d'affaires",S134,IF(Pilotage!$E$8="Effectif",Q134,R134))</f>
        <v/>
      </c>
      <c r="AG134">
        <f>IF(Pilotage!$E$9="Chiffre d'affaires",S134,IF(Pilotage!$E$9="Effectif",Q134,R134))</f>
        <v/>
      </c>
      <c r="AH134">
        <f>IF(Pilotage!$E$9="Chiffre d'affaires",V134,IF(Pilotage!$E$9="Effectif",T134,U134))</f>
        <v/>
      </c>
      <c r="AI134">
        <f>W134*IFERROR(K134/O134,0)</f>
        <v/>
      </c>
      <c r="AJ134">
        <f>X134*IFERROR(K134/O134,0)</f>
        <v/>
      </c>
      <c r="AK134">
        <f>Y134*IFERROR(G134/L134,0)+Z134*IFERROR(J134/P134,0)</f>
        <v/>
      </c>
      <c r="AL134">
        <f>AA134*IFERROR(AC134/AD134,0)</f>
        <v/>
      </c>
      <c r="AM134">
        <f>AB134*IFERROR(AG134/AH134,0)*IFERROR(AE134/AF134,0)*IFERROR(AC134/AD134,0)</f>
        <v/>
      </c>
      <c r="AN134">
        <f>I134-(AI134+AJ134+AK134+AL134+AM134)</f>
        <v/>
      </c>
    </row>
    <row r="135">
      <c r="A135">
        <f>Allocation!C135</f>
        <v/>
      </c>
      <c r="B135">
        <f>Allocation!D135</f>
        <v/>
      </c>
      <c r="C135">
        <f>Allocation!E135</f>
        <v/>
      </c>
      <c r="D135">
        <f>Allocation!F135</f>
        <v/>
      </c>
      <c r="E135">
        <f>Allocation!G135</f>
        <v/>
      </c>
      <c r="F135">
        <f>Allocation!H135</f>
        <v/>
      </c>
      <c r="G135">
        <f>Allocation!I135</f>
        <v/>
      </c>
      <c r="H135">
        <f>Allocation!J135</f>
        <v/>
      </c>
      <c r="I135">
        <f>Allocation!K135</f>
        <v/>
      </c>
      <c r="J135">
        <f>SUMIFS(Socle!$K$2:$K$175,Socle!$C$2:$C$175,B135,Socle!$D$2:$D$175,D135,Socle!$E$2:$E$175,E135,Socle!$F$2:$F$175,F135,Socle!$G$2:$G$175,A135)</f>
        <v/>
      </c>
      <c r="K135">
        <f>H135*IF(AND(LEFT(D135,3)="BAC",F135="INIT"),600,IF(LEFT(D135,3)="BAC",480,IF(AND(LEFT(D135,3)="MAS",F135="INIT"),520,IF(LEFT(D135,3)="MAS",420,IF(F135="INIT",1000,700)))))</f>
        <v/>
      </c>
      <c r="L135">
        <f>SUMIFS(Allocation!$I$2:$I$175,Allocation!$C$2:$C$175,A135,Allocation!$D$2:$D$175,B135)</f>
        <v/>
      </c>
      <c r="M135">
        <f>SUMIFS(Allocation!$J$2:$J$175,Allocation!$C$2:$C$175,A135,Allocation!$D$2:$D$175,B135)</f>
        <v/>
      </c>
      <c r="N135">
        <f>SUMIFS(Allocation!$K$2:$K$175,Allocation!$C$2:$C$175,A135,Allocation!$D$2:$D$175,B135)</f>
        <v/>
      </c>
      <c r="O135">
        <f>SUMIFS($K$2:$K$175,$A$2:$A$175,A135,$B$2:$B$175,B135)</f>
        <v/>
      </c>
      <c r="P135">
        <f>SUMIFS($J$2:$J$175,$A$2:$A$175,A135,$B$2:$B$175,B135)</f>
        <v/>
      </c>
      <c r="Q135">
        <f>SUMIFS(Allocation!$I$2:$I$175,Allocation!$C$2:$C$175,A135,Allocation!$E$2:$E$175,C135)</f>
        <v/>
      </c>
      <c r="R135">
        <f>SUMIFS(Allocation!$J$2:$J$175,Allocation!$C$2:$C$175,A135,Allocation!$E$2:$E$175,C135)</f>
        <v/>
      </c>
      <c r="S135">
        <f>SUMIFS(Allocation!$K$2:$K$175,Allocation!$C$2:$C$175,A135,Allocation!$E$2:$E$175,C135)</f>
        <v/>
      </c>
      <c r="T135">
        <f>SUMIFS(Allocation!$I$2:$I$175,Allocation!$C$2:$C$175,A135)</f>
        <v/>
      </c>
      <c r="U135">
        <f>SUMIFS(Allocation!$J$2:$J$175,Allocation!$C$2:$C$175,A135)</f>
        <v/>
      </c>
      <c r="V135">
        <f>SUMIFS(Allocation!$K$2:$K$175,Allocation!$C$2:$C$175,A135)</f>
        <v/>
      </c>
      <c r="W135">
        <f>SUMIFS(Compta!$F$2:$F$675,Compta!$A$2:$A$675,B135,Compta!$B$2:$B$675,"621",Compta!$C$2:$C$675,A135)</f>
        <v/>
      </c>
      <c r="X135">
        <f>SUMIFS(Compta!$F$2:$F$675,Compta!$A$2:$A$675,B135,Compta!$B$2:$B$675,"6411",Compta!$C$2:$C$675,A135)</f>
        <v/>
      </c>
      <c r="Y135">
        <f>SUMIFS(Compta!$F$2:$F$675,Compta!$A$2:$A$675,B135,Compta!$B$2:$B$675,"604",Compta!$C$2:$C$675,A135)+SUMIFS(Compta!$F$2:$F$675,Compta!$A$2:$A$675,B135,Compta!$B$2:$B$675,"6063",Compta!$C$2:$C$675,A135)</f>
        <v/>
      </c>
      <c r="Z135">
        <f>SUMIFS(Compta!$F$2:$F$675,Compta!$A$2:$A$675,B135,Compta!$B$2:$B$675,"6231",Compta!$C$2:$C$675,A135)</f>
        <v/>
      </c>
      <c r="AA135">
        <f>SUMIFS(Compta!$F$2:$F$675,Compta!$A$2:$A$675,B135,Compta!$B$2:$B$675,"6413",Compta!$C$2:$C$675,A135)+SUMIFS(Compta!$F$2:$F$675,Compta!$A$2:$A$675,B135,Compta!$B$2:$B$675,"645",Compta!$C$2:$C$675,A135)+SUMIFS(Compta!$F$2:$F$675,Compta!$A$2:$A$675,B135,Compta!$B$2:$B$675,"613",Compta!$C$2:$C$675,A135)+SUMIFS(Compta!$F$2:$F$675,Compta!$A$2:$A$675,B135,Compta!$B$2:$B$675,"615",Compta!$C$2:$C$675,A135)+SUMIFS(Compta!$F$2:$F$675,Compta!$A$2:$A$675,B135,Compta!$B$2:$B$675,"616",Compta!$C$2:$C$675,A135)+SUMIFS(Compta!$F$2:$F$675,Compta!$A$2:$A$675,B135,Compta!$B$2:$B$675,"625",Compta!$C$2:$C$675,A135)+SUMIFS(Compta!$F$2:$F$675,Compta!$A$2:$A$675,B135,Compta!$B$2:$B$675,"63511",Compta!$C$2:$C$675,A135)</f>
        <v/>
      </c>
      <c r="AB135">
        <f>SUMIFS(Compta!$F$2:$F$675,Compta!$A$2:$A$675,"GRP",Compta!$B$2:$B$675,"6414",Compta!$C$2:$C$675,A135)+SUMIFS(Compta!$F$2:$F$675,Compta!$A$2:$A$675,"GRP",Compta!$B$2:$B$675,"6226",Compta!$C$2:$C$675,A135)+SUMIFS(Compta!$F$2:$F$675,Compta!$A$2:$A$675,"GRP",Compta!$B$2:$B$675,"6236",Compta!$C$2:$C$675,A135)+SUMIFS(Compta!$F$2:$F$675,Compta!$A$2:$A$675,"GRP",Compta!$B$2:$B$675,"626",Compta!$C$2:$C$675,A135)+SUMIFS(Compta!$F$2:$F$675,Compta!$A$2:$A$675,"GRP",Compta!$B$2:$B$675,"6281",Compta!$C$2:$C$675,A135)+SUMIFS(Compta!$F$2:$F$675,Compta!$A$2:$A$675,"GRP",Compta!$B$2:$B$675,"6331",Compta!$C$2:$C$675,A135)+SUMIFS(Compta!$F$2:$F$675,Compta!$A$2:$A$675,"GRP",Compta!$B$2:$B$675,"6333",Compta!$C$2:$C$675,A135)</f>
        <v/>
      </c>
      <c r="AC135">
        <f>IF(Pilotage!$E$10="Chiffre d'affaires",I135,IF(Pilotage!$E$10="Effectif",G135,H135))</f>
        <v/>
      </c>
      <c r="AD135">
        <f>IF(Pilotage!$E$10="Chiffre d'affaires",N135,IF(Pilotage!$E$10="Effectif",L135,M135))</f>
        <v/>
      </c>
      <c r="AE135">
        <f>IF(Pilotage!$E$8="Chiffre d'affaires",N135,IF(Pilotage!$E$8="Effectif",L135,M135))</f>
        <v/>
      </c>
      <c r="AF135">
        <f>IF(Pilotage!$E$8="Chiffre d'affaires",S135,IF(Pilotage!$E$8="Effectif",Q135,R135))</f>
        <v/>
      </c>
      <c r="AG135">
        <f>IF(Pilotage!$E$9="Chiffre d'affaires",S135,IF(Pilotage!$E$9="Effectif",Q135,R135))</f>
        <v/>
      </c>
      <c r="AH135">
        <f>IF(Pilotage!$E$9="Chiffre d'affaires",V135,IF(Pilotage!$E$9="Effectif",T135,U135))</f>
        <v/>
      </c>
      <c r="AI135">
        <f>W135*IFERROR(K135/O135,0)</f>
        <v/>
      </c>
      <c r="AJ135">
        <f>X135*IFERROR(K135/O135,0)</f>
        <v/>
      </c>
      <c r="AK135">
        <f>Y135*IFERROR(G135/L135,0)+Z135*IFERROR(J135/P135,0)</f>
        <v/>
      </c>
      <c r="AL135">
        <f>AA135*IFERROR(AC135/AD135,0)</f>
        <v/>
      </c>
      <c r="AM135">
        <f>AB135*IFERROR(AG135/AH135,0)*IFERROR(AE135/AF135,0)*IFERROR(AC135/AD135,0)</f>
        <v/>
      </c>
      <c r="AN135">
        <f>I135-(AI135+AJ135+AK135+AL135+AM135)</f>
        <v/>
      </c>
    </row>
    <row r="136">
      <c r="A136">
        <f>Allocation!C136</f>
        <v/>
      </c>
      <c r="B136">
        <f>Allocation!D136</f>
        <v/>
      </c>
      <c r="C136">
        <f>Allocation!E136</f>
        <v/>
      </c>
      <c r="D136">
        <f>Allocation!F136</f>
        <v/>
      </c>
      <c r="E136">
        <f>Allocation!G136</f>
        <v/>
      </c>
      <c r="F136">
        <f>Allocation!H136</f>
        <v/>
      </c>
      <c r="G136">
        <f>Allocation!I136</f>
        <v/>
      </c>
      <c r="H136">
        <f>Allocation!J136</f>
        <v/>
      </c>
      <c r="I136">
        <f>Allocation!K136</f>
        <v/>
      </c>
      <c r="J136">
        <f>SUMIFS(Socle!$K$2:$K$175,Socle!$C$2:$C$175,B136,Socle!$D$2:$D$175,D136,Socle!$E$2:$E$175,E136,Socle!$F$2:$F$175,F136,Socle!$G$2:$G$175,A136)</f>
        <v/>
      </c>
      <c r="K136">
        <f>H136*IF(AND(LEFT(D136,3)="BAC",F136="INIT"),600,IF(LEFT(D136,3)="BAC",480,IF(AND(LEFT(D136,3)="MAS",F136="INIT"),520,IF(LEFT(D136,3)="MAS",420,IF(F136="INIT",1000,700)))))</f>
        <v/>
      </c>
      <c r="L136">
        <f>SUMIFS(Allocation!$I$2:$I$175,Allocation!$C$2:$C$175,A136,Allocation!$D$2:$D$175,B136)</f>
        <v/>
      </c>
      <c r="M136">
        <f>SUMIFS(Allocation!$J$2:$J$175,Allocation!$C$2:$C$175,A136,Allocation!$D$2:$D$175,B136)</f>
        <v/>
      </c>
      <c r="N136">
        <f>SUMIFS(Allocation!$K$2:$K$175,Allocation!$C$2:$C$175,A136,Allocation!$D$2:$D$175,B136)</f>
        <v/>
      </c>
      <c r="O136">
        <f>SUMIFS($K$2:$K$175,$A$2:$A$175,A136,$B$2:$B$175,B136)</f>
        <v/>
      </c>
      <c r="P136">
        <f>SUMIFS($J$2:$J$175,$A$2:$A$175,A136,$B$2:$B$175,B136)</f>
        <v/>
      </c>
      <c r="Q136">
        <f>SUMIFS(Allocation!$I$2:$I$175,Allocation!$C$2:$C$175,A136,Allocation!$E$2:$E$175,C136)</f>
        <v/>
      </c>
      <c r="R136">
        <f>SUMIFS(Allocation!$J$2:$J$175,Allocation!$C$2:$C$175,A136,Allocation!$E$2:$E$175,C136)</f>
        <v/>
      </c>
      <c r="S136">
        <f>SUMIFS(Allocation!$K$2:$K$175,Allocation!$C$2:$C$175,A136,Allocation!$E$2:$E$175,C136)</f>
        <v/>
      </c>
      <c r="T136">
        <f>SUMIFS(Allocation!$I$2:$I$175,Allocation!$C$2:$C$175,A136)</f>
        <v/>
      </c>
      <c r="U136">
        <f>SUMIFS(Allocation!$J$2:$J$175,Allocation!$C$2:$C$175,A136)</f>
        <v/>
      </c>
      <c r="V136">
        <f>SUMIFS(Allocation!$K$2:$K$175,Allocation!$C$2:$C$175,A136)</f>
        <v/>
      </c>
      <c r="W136">
        <f>SUMIFS(Compta!$F$2:$F$675,Compta!$A$2:$A$675,B136,Compta!$B$2:$B$675,"621",Compta!$C$2:$C$675,A136)</f>
        <v/>
      </c>
      <c r="X136">
        <f>SUMIFS(Compta!$F$2:$F$675,Compta!$A$2:$A$675,B136,Compta!$B$2:$B$675,"6411",Compta!$C$2:$C$675,A136)</f>
        <v/>
      </c>
      <c r="Y136">
        <f>SUMIFS(Compta!$F$2:$F$675,Compta!$A$2:$A$675,B136,Compta!$B$2:$B$675,"604",Compta!$C$2:$C$675,A136)+SUMIFS(Compta!$F$2:$F$675,Compta!$A$2:$A$675,B136,Compta!$B$2:$B$675,"6063",Compta!$C$2:$C$675,A136)</f>
        <v/>
      </c>
      <c r="Z136">
        <f>SUMIFS(Compta!$F$2:$F$675,Compta!$A$2:$A$675,B136,Compta!$B$2:$B$675,"6231",Compta!$C$2:$C$675,A136)</f>
        <v/>
      </c>
      <c r="AA136">
        <f>SUMIFS(Compta!$F$2:$F$675,Compta!$A$2:$A$675,B136,Compta!$B$2:$B$675,"6413",Compta!$C$2:$C$675,A136)+SUMIFS(Compta!$F$2:$F$675,Compta!$A$2:$A$675,B136,Compta!$B$2:$B$675,"645",Compta!$C$2:$C$675,A136)+SUMIFS(Compta!$F$2:$F$675,Compta!$A$2:$A$675,B136,Compta!$B$2:$B$675,"613",Compta!$C$2:$C$675,A136)+SUMIFS(Compta!$F$2:$F$675,Compta!$A$2:$A$675,B136,Compta!$B$2:$B$675,"615",Compta!$C$2:$C$675,A136)+SUMIFS(Compta!$F$2:$F$675,Compta!$A$2:$A$675,B136,Compta!$B$2:$B$675,"616",Compta!$C$2:$C$675,A136)+SUMIFS(Compta!$F$2:$F$675,Compta!$A$2:$A$675,B136,Compta!$B$2:$B$675,"625",Compta!$C$2:$C$675,A136)+SUMIFS(Compta!$F$2:$F$675,Compta!$A$2:$A$675,B136,Compta!$B$2:$B$675,"63511",Compta!$C$2:$C$675,A136)</f>
        <v/>
      </c>
      <c r="AB136">
        <f>SUMIFS(Compta!$F$2:$F$675,Compta!$A$2:$A$675,"GRP",Compta!$B$2:$B$675,"6414",Compta!$C$2:$C$675,A136)+SUMIFS(Compta!$F$2:$F$675,Compta!$A$2:$A$675,"GRP",Compta!$B$2:$B$675,"6226",Compta!$C$2:$C$675,A136)+SUMIFS(Compta!$F$2:$F$675,Compta!$A$2:$A$675,"GRP",Compta!$B$2:$B$675,"6236",Compta!$C$2:$C$675,A136)+SUMIFS(Compta!$F$2:$F$675,Compta!$A$2:$A$675,"GRP",Compta!$B$2:$B$675,"626",Compta!$C$2:$C$675,A136)+SUMIFS(Compta!$F$2:$F$675,Compta!$A$2:$A$675,"GRP",Compta!$B$2:$B$675,"6281",Compta!$C$2:$C$675,A136)+SUMIFS(Compta!$F$2:$F$675,Compta!$A$2:$A$675,"GRP",Compta!$B$2:$B$675,"6331",Compta!$C$2:$C$675,A136)+SUMIFS(Compta!$F$2:$F$675,Compta!$A$2:$A$675,"GRP",Compta!$B$2:$B$675,"6333",Compta!$C$2:$C$675,A136)</f>
        <v/>
      </c>
      <c r="AC136">
        <f>IF(Pilotage!$E$10="Chiffre d'affaires",I136,IF(Pilotage!$E$10="Effectif",G136,H136))</f>
        <v/>
      </c>
      <c r="AD136">
        <f>IF(Pilotage!$E$10="Chiffre d'affaires",N136,IF(Pilotage!$E$10="Effectif",L136,M136))</f>
        <v/>
      </c>
      <c r="AE136">
        <f>IF(Pilotage!$E$8="Chiffre d'affaires",N136,IF(Pilotage!$E$8="Effectif",L136,M136))</f>
        <v/>
      </c>
      <c r="AF136">
        <f>IF(Pilotage!$E$8="Chiffre d'affaires",S136,IF(Pilotage!$E$8="Effectif",Q136,R136))</f>
        <v/>
      </c>
      <c r="AG136">
        <f>IF(Pilotage!$E$9="Chiffre d'affaires",S136,IF(Pilotage!$E$9="Effectif",Q136,R136))</f>
        <v/>
      </c>
      <c r="AH136">
        <f>IF(Pilotage!$E$9="Chiffre d'affaires",V136,IF(Pilotage!$E$9="Effectif",T136,U136))</f>
        <v/>
      </c>
      <c r="AI136">
        <f>W136*IFERROR(K136/O136,0)</f>
        <v/>
      </c>
      <c r="AJ136">
        <f>X136*IFERROR(K136/O136,0)</f>
        <v/>
      </c>
      <c r="AK136">
        <f>Y136*IFERROR(G136/L136,0)+Z136*IFERROR(J136/P136,0)</f>
        <v/>
      </c>
      <c r="AL136">
        <f>AA136*IFERROR(AC136/AD136,0)</f>
        <v/>
      </c>
      <c r="AM136">
        <f>AB136*IFERROR(AG136/AH136,0)*IFERROR(AE136/AF136,0)*IFERROR(AC136/AD136,0)</f>
        <v/>
      </c>
      <c r="AN136">
        <f>I136-(AI136+AJ136+AK136+AL136+AM136)</f>
        <v/>
      </c>
    </row>
    <row r="137">
      <c r="A137">
        <f>Allocation!C137</f>
        <v/>
      </c>
      <c r="B137">
        <f>Allocation!D137</f>
        <v/>
      </c>
      <c r="C137">
        <f>Allocation!E137</f>
        <v/>
      </c>
      <c r="D137">
        <f>Allocation!F137</f>
        <v/>
      </c>
      <c r="E137">
        <f>Allocation!G137</f>
        <v/>
      </c>
      <c r="F137">
        <f>Allocation!H137</f>
        <v/>
      </c>
      <c r="G137">
        <f>Allocation!I137</f>
        <v/>
      </c>
      <c r="H137">
        <f>Allocation!J137</f>
        <v/>
      </c>
      <c r="I137">
        <f>Allocation!K137</f>
        <v/>
      </c>
      <c r="J137">
        <f>SUMIFS(Socle!$K$2:$K$175,Socle!$C$2:$C$175,B137,Socle!$D$2:$D$175,D137,Socle!$E$2:$E$175,E137,Socle!$F$2:$F$175,F137,Socle!$G$2:$G$175,A137)</f>
        <v/>
      </c>
      <c r="K137">
        <f>H137*IF(AND(LEFT(D137,3)="BAC",F137="INIT"),600,IF(LEFT(D137,3)="BAC",480,IF(AND(LEFT(D137,3)="MAS",F137="INIT"),520,IF(LEFT(D137,3)="MAS",420,IF(F137="INIT",1000,700)))))</f>
        <v/>
      </c>
      <c r="L137">
        <f>SUMIFS(Allocation!$I$2:$I$175,Allocation!$C$2:$C$175,A137,Allocation!$D$2:$D$175,B137)</f>
        <v/>
      </c>
      <c r="M137">
        <f>SUMIFS(Allocation!$J$2:$J$175,Allocation!$C$2:$C$175,A137,Allocation!$D$2:$D$175,B137)</f>
        <v/>
      </c>
      <c r="N137">
        <f>SUMIFS(Allocation!$K$2:$K$175,Allocation!$C$2:$C$175,A137,Allocation!$D$2:$D$175,B137)</f>
        <v/>
      </c>
      <c r="O137">
        <f>SUMIFS($K$2:$K$175,$A$2:$A$175,A137,$B$2:$B$175,B137)</f>
        <v/>
      </c>
      <c r="P137">
        <f>SUMIFS($J$2:$J$175,$A$2:$A$175,A137,$B$2:$B$175,B137)</f>
        <v/>
      </c>
      <c r="Q137">
        <f>SUMIFS(Allocation!$I$2:$I$175,Allocation!$C$2:$C$175,A137,Allocation!$E$2:$E$175,C137)</f>
        <v/>
      </c>
      <c r="R137">
        <f>SUMIFS(Allocation!$J$2:$J$175,Allocation!$C$2:$C$175,A137,Allocation!$E$2:$E$175,C137)</f>
        <v/>
      </c>
      <c r="S137">
        <f>SUMIFS(Allocation!$K$2:$K$175,Allocation!$C$2:$C$175,A137,Allocation!$E$2:$E$175,C137)</f>
        <v/>
      </c>
      <c r="T137">
        <f>SUMIFS(Allocation!$I$2:$I$175,Allocation!$C$2:$C$175,A137)</f>
        <v/>
      </c>
      <c r="U137">
        <f>SUMIFS(Allocation!$J$2:$J$175,Allocation!$C$2:$C$175,A137)</f>
        <v/>
      </c>
      <c r="V137">
        <f>SUMIFS(Allocation!$K$2:$K$175,Allocation!$C$2:$C$175,A137)</f>
        <v/>
      </c>
      <c r="W137">
        <f>SUMIFS(Compta!$F$2:$F$675,Compta!$A$2:$A$675,B137,Compta!$B$2:$B$675,"621",Compta!$C$2:$C$675,A137)</f>
        <v/>
      </c>
      <c r="X137">
        <f>SUMIFS(Compta!$F$2:$F$675,Compta!$A$2:$A$675,B137,Compta!$B$2:$B$675,"6411",Compta!$C$2:$C$675,A137)</f>
        <v/>
      </c>
      <c r="Y137">
        <f>SUMIFS(Compta!$F$2:$F$675,Compta!$A$2:$A$675,B137,Compta!$B$2:$B$675,"604",Compta!$C$2:$C$675,A137)+SUMIFS(Compta!$F$2:$F$675,Compta!$A$2:$A$675,B137,Compta!$B$2:$B$675,"6063",Compta!$C$2:$C$675,A137)</f>
        <v/>
      </c>
      <c r="Z137">
        <f>SUMIFS(Compta!$F$2:$F$675,Compta!$A$2:$A$675,B137,Compta!$B$2:$B$675,"6231",Compta!$C$2:$C$675,A137)</f>
        <v/>
      </c>
      <c r="AA137">
        <f>SUMIFS(Compta!$F$2:$F$675,Compta!$A$2:$A$675,B137,Compta!$B$2:$B$675,"6413",Compta!$C$2:$C$675,A137)+SUMIFS(Compta!$F$2:$F$675,Compta!$A$2:$A$675,B137,Compta!$B$2:$B$675,"645",Compta!$C$2:$C$675,A137)+SUMIFS(Compta!$F$2:$F$675,Compta!$A$2:$A$675,B137,Compta!$B$2:$B$675,"613",Compta!$C$2:$C$675,A137)+SUMIFS(Compta!$F$2:$F$675,Compta!$A$2:$A$675,B137,Compta!$B$2:$B$675,"615",Compta!$C$2:$C$675,A137)+SUMIFS(Compta!$F$2:$F$675,Compta!$A$2:$A$675,B137,Compta!$B$2:$B$675,"616",Compta!$C$2:$C$675,A137)+SUMIFS(Compta!$F$2:$F$675,Compta!$A$2:$A$675,B137,Compta!$B$2:$B$675,"625",Compta!$C$2:$C$675,A137)+SUMIFS(Compta!$F$2:$F$675,Compta!$A$2:$A$675,B137,Compta!$B$2:$B$675,"63511",Compta!$C$2:$C$675,A137)</f>
        <v/>
      </c>
      <c r="AB137">
        <f>SUMIFS(Compta!$F$2:$F$675,Compta!$A$2:$A$675,"GRP",Compta!$B$2:$B$675,"6414",Compta!$C$2:$C$675,A137)+SUMIFS(Compta!$F$2:$F$675,Compta!$A$2:$A$675,"GRP",Compta!$B$2:$B$675,"6226",Compta!$C$2:$C$675,A137)+SUMIFS(Compta!$F$2:$F$675,Compta!$A$2:$A$675,"GRP",Compta!$B$2:$B$675,"6236",Compta!$C$2:$C$675,A137)+SUMIFS(Compta!$F$2:$F$675,Compta!$A$2:$A$675,"GRP",Compta!$B$2:$B$675,"626",Compta!$C$2:$C$675,A137)+SUMIFS(Compta!$F$2:$F$675,Compta!$A$2:$A$675,"GRP",Compta!$B$2:$B$675,"6281",Compta!$C$2:$C$675,A137)+SUMIFS(Compta!$F$2:$F$675,Compta!$A$2:$A$675,"GRP",Compta!$B$2:$B$675,"6331",Compta!$C$2:$C$675,A137)+SUMIFS(Compta!$F$2:$F$675,Compta!$A$2:$A$675,"GRP",Compta!$B$2:$B$675,"6333",Compta!$C$2:$C$675,A137)</f>
        <v/>
      </c>
      <c r="AC137">
        <f>IF(Pilotage!$E$10="Chiffre d'affaires",I137,IF(Pilotage!$E$10="Effectif",G137,H137))</f>
        <v/>
      </c>
      <c r="AD137">
        <f>IF(Pilotage!$E$10="Chiffre d'affaires",N137,IF(Pilotage!$E$10="Effectif",L137,M137))</f>
        <v/>
      </c>
      <c r="AE137">
        <f>IF(Pilotage!$E$8="Chiffre d'affaires",N137,IF(Pilotage!$E$8="Effectif",L137,M137))</f>
        <v/>
      </c>
      <c r="AF137">
        <f>IF(Pilotage!$E$8="Chiffre d'affaires",S137,IF(Pilotage!$E$8="Effectif",Q137,R137))</f>
        <v/>
      </c>
      <c r="AG137">
        <f>IF(Pilotage!$E$9="Chiffre d'affaires",S137,IF(Pilotage!$E$9="Effectif",Q137,R137))</f>
        <v/>
      </c>
      <c r="AH137">
        <f>IF(Pilotage!$E$9="Chiffre d'affaires",V137,IF(Pilotage!$E$9="Effectif",T137,U137))</f>
        <v/>
      </c>
      <c r="AI137">
        <f>W137*IFERROR(K137/O137,0)</f>
        <v/>
      </c>
      <c r="AJ137">
        <f>X137*IFERROR(K137/O137,0)</f>
        <v/>
      </c>
      <c r="AK137">
        <f>Y137*IFERROR(G137/L137,0)+Z137*IFERROR(J137/P137,0)</f>
        <v/>
      </c>
      <c r="AL137">
        <f>AA137*IFERROR(AC137/AD137,0)</f>
        <v/>
      </c>
      <c r="AM137">
        <f>AB137*IFERROR(AG137/AH137,0)*IFERROR(AE137/AF137,0)*IFERROR(AC137/AD137,0)</f>
        <v/>
      </c>
      <c r="AN137">
        <f>I137-(AI137+AJ137+AK137+AL137+AM137)</f>
        <v/>
      </c>
    </row>
    <row r="138">
      <c r="A138">
        <f>Allocation!C138</f>
        <v/>
      </c>
      <c r="B138">
        <f>Allocation!D138</f>
        <v/>
      </c>
      <c r="C138">
        <f>Allocation!E138</f>
        <v/>
      </c>
      <c r="D138">
        <f>Allocation!F138</f>
        <v/>
      </c>
      <c r="E138">
        <f>Allocation!G138</f>
        <v/>
      </c>
      <c r="F138">
        <f>Allocation!H138</f>
        <v/>
      </c>
      <c r="G138">
        <f>Allocation!I138</f>
        <v/>
      </c>
      <c r="H138">
        <f>Allocation!J138</f>
        <v/>
      </c>
      <c r="I138">
        <f>Allocation!K138</f>
        <v/>
      </c>
      <c r="J138">
        <f>SUMIFS(Socle!$K$2:$K$175,Socle!$C$2:$C$175,B138,Socle!$D$2:$D$175,D138,Socle!$E$2:$E$175,E138,Socle!$F$2:$F$175,F138,Socle!$G$2:$G$175,A138)</f>
        <v/>
      </c>
      <c r="K138">
        <f>H138*IF(AND(LEFT(D138,3)="BAC",F138="INIT"),600,IF(LEFT(D138,3)="BAC",480,IF(AND(LEFT(D138,3)="MAS",F138="INIT"),520,IF(LEFT(D138,3)="MAS",420,IF(F138="INIT",1000,700)))))</f>
        <v/>
      </c>
      <c r="L138">
        <f>SUMIFS(Allocation!$I$2:$I$175,Allocation!$C$2:$C$175,A138,Allocation!$D$2:$D$175,B138)</f>
        <v/>
      </c>
      <c r="M138">
        <f>SUMIFS(Allocation!$J$2:$J$175,Allocation!$C$2:$C$175,A138,Allocation!$D$2:$D$175,B138)</f>
        <v/>
      </c>
      <c r="N138">
        <f>SUMIFS(Allocation!$K$2:$K$175,Allocation!$C$2:$C$175,A138,Allocation!$D$2:$D$175,B138)</f>
        <v/>
      </c>
      <c r="O138">
        <f>SUMIFS($K$2:$K$175,$A$2:$A$175,A138,$B$2:$B$175,B138)</f>
        <v/>
      </c>
      <c r="P138">
        <f>SUMIFS($J$2:$J$175,$A$2:$A$175,A138,$B$2:$B$175,B138)</f>
        <v/>
      </c>
      <c r="Q138">
        <f>SUMIFS(Allocation!$I$2:$I$175,Allocation!$C$2:$C$175,A138,Allocation!$E$2:$E$175,C138)</f>
        <v/>
      </c>
      <c r="R138">
        <f>SUMIFS(Allocation!$J$2:$J$175,Allocation!$C$2:$C$175,A138,Allocation!$E$2:$E$175,C138)</f>
        <v/>
      </c>
      <c r="S138">
        <f>SUMIFS(Allocation!$K$2:$K$175,Allocation!$C$2:$C$175,A138,Allocation!$E$2:$E$175,C138)</f>
        <v/>
      </c>
      <c r="T138">
        <f>SUMIFS(Allocation!$I$2:$I$175,Allocation!$C$2:$C$175,A138)</f>
        <v/>
      </c>
      <c r="U138">
        <f>SUMIFS(Allocation!$J$2:$J$175,Allocation!$C$2:$C$175,A138)</f>
        <v/>
      </c>
      <c r="V138">
        <f>SUMIFS(Allocation!$K$2:$K$175,Allocation!$C$2:$C$175,A138)</f>
        <v/>
      </c>
      <c r="W138">
        <f>SUMIFS(Compta!$F$2:$F$675,Compta!$A$2:$A$675,B138,Compta!$B$2:$B$675,"621",Compta!$C$2:$C$675,A138)</f>
        <v/>
      </c>
      <c r="X138">
        <f>SUMIFS(Compta!$F$2:$F$675,Compta!$A$2:$A$675,B138,Compta!$B$2:$B$675,"6411",Compta!$C$2:$C$675,A138)</f>
        <v/>
      </c>
      <c r="Y138">
        <f>SUMIFS(Compta!$F$2:$F$675,Compta!$A$2:$A$675,B138,Compta!$B$2:$B$675,"604",Compta!$C$2:$C$675,A138)+SUMIFS(Compta!$F$2:$F$675,Compta!$A$2:$A$675,B138,Compta!$B$2:$B$675,"6063",Compta!$C$2:$C$675,A138)</f>
        <v/>
      </c>
      <c r="Z138">
        <f>SUMIFS(Compta!$F$2:$F$675,Compta!$A$2:$A$675,B138,Compta!$B$2:$B$675,"6231",Compta!$C$2:$C$675,A138)</f>
        <v/>
      </c>
      <c r="AA138">
        <f>SUMIFS(Compta!$F$2:$F$675,Compta!$A$2:$A$675,B138,Compta!$B$2:$B$675,"6413",Compta!$C$2:$C$675,A138)+SUMIFS(Compta!$F$2:$F$675,Compta!$A$2:$A$675,B138,Compta!$B$2:$B$675,"645",Compta!$C$2:$C$675,A138)+SUMIFS(Compta!$F$2:$F$675,Compta!$A$2:$A$675,B138,Compta!$B$2:$B$675,"613",Compta!$C$2:$C$675,A138)+SUMIFS(Compta!$F$2:$F$675,Compta!$A$2:$A$675,B138,Compta!$B$2:$B$675,"615",Compta!$C$2:$C$675,A138)+SUMIFS(Compta!$F$2:$F$675,Compta!$A$2:$A$675,B138,Compta!$B$2:$B$675,"616",Compta!$C$2:$C$675,A138)+SUMIFS(Compta!$F$2:$F$675,Compta!$A$2:$A$675,B138,Compta!$B$2:$B$675,"625",Compta!$C$2:$C$675,A138)+SUMIFS(Compta!$F$2:$F$675,Compta!$A$2:$A$675,B138,Compta!$B$2:$B$675,"63511",Compta!$C$2:$C$675,A138)</f>
        <v/>
      </c>
      <c r="AB138">
        <f>SUMIFS(Compta!$F$2:$F$675,Compta!$A$2:$A$675,"GRP",Compta!$B$2:$B$675,"6414",Compta!$C$2:$C$675,A138)+SUMIFS(Compta!$F$2:$F$675,Compta!$A$2:$A$675,"GRP",Compta!$B$2:$B$675,"6226",Compta!$C$2:$C$675,A138)+SUMIFS(Compta!$F$2:$F$675,Compta!$A$2:$A$675,"GRP",Compta!$B$2:$B$675,"6236",Compta!$C$2:$C$675,A138)+SUMIFS(Compta!$F$2:$F$675,Compta!$A$2:$A$675,"GRP",Compta!$B$2:$B$675,"626",Compta!$C$2:$C$675,A138)+SUMIFS(Compta!$F$2:$F$675,Compta!$A$2:$A$675,"GRP",Compta!$B$2:$B$675,"6281",Compta!$C$2:$C$675,A138)+SUMIFS(Compta!$F$2:$F$675,Compta!$A$2:$A$675,"GRP",Compta!$B$2:$B$675,"6331",Compta!$C$2:$C$675,A138)+SUMIFS(Compta!$F$2:$F$675,Compta!$A$2:$A$675,"GRP",Compta!$B$2:$B$675,"6333",Compta!$C$2:$C$675,A138)</f>
        <v/>
      </c>
      <c r="AC138">
        <f>IF(Pilotage!$E$10="Chiffre d'affaires",I138,IF(Pilotage!$E$10="Effectif",G138,H138))</f>
        <v/>
      </c>
      <c r="AD138">
        <f>IF(Pilotage!$E$10="Chiffre d'affaires",N138,IF(Pilotage!$E$10="Effectif",L138,M138))</f>
        <v/>
      </c>
      <c r="AE138">
        <f>IF(Pilotage!$E$8="Chiffre d'affaires",N138,IF(Pilotage!$E$8="Effectif",L138,M138))</f>
        <v/>
      </c>
      <c r="AF138">
        <f>IF(Pilotage!$E$8="Chiffre d'affaires",S138,IF(Pilotage!$E$8="Effectif",Q138,R138))</f>
        <v/>
      </c>
      <c r="AG138">
        <f>IF(Pilotage!$E$9="Chiffre d'affaires",S138,IF(Pilotage!$E$9="Effectif",Q138,R138))</f>
        <v/>
      </c>
      <c r="AH138">
        <f>IF(Pilotage!$E$9="Chiffre d'affaires",V138,IF(Pilotage!$E$9="Effectif",T138,U138))</f>
        <v/>
      </c>
      <c r="AI138">
        <f>W138*IFERROR(K138/O138,0)</f>
        <v/>
      </c>
      <c r="AJ138">
        <f>X138*IFERROR(K138/O138,0)</f>
        <v/>
      </c>
      <c r="AK138">
        <f>Y138*IFERROR(G138/L138,0)+Z138*IFERROR(J138/P138,0)</f>
        <v/>
      </c>
      <c r="AL138">
        <f>AA138*IFERROR(AC138/AD138,0)</f>
        <v/>
      </c>
      <c r="AM138">
        <f>AB138*IFERROR(AG138/AH138,0)*IFERROR(AE138/AF138,0)*IFERROR(AC138/AD138,0)</f>
        <v/>
      </c>
      <c r="AN138">
        <f>I138-(AI138+AJ138+AK138+AL138+AM138)</f>
        <v/>
      </c>
    </row>
    <row r="139">
      <c r="A139">
        <f>Allocation!C139</f>
        <v/>
      </c>
      <c r="B139">
        <f>Allocation!D139</f>
        <v/>
      </c>
      <c r="C139">
        <f>Allocation!E139</f>
        <v/>
      </c>
      <c r="D139">
        <f>Allocation!F139</f>
        <v/>
      </c>
      <c r="E139">
        <f>Allocation!G139</f>
        <v/>
      </c>
      <c r="F139">
        <f>Allocation!H139</f>
        <v/>
      </c>
      <c r="G139">
        <f>Allocation!I139</f>
        <v/>
      </c>
      <c r="H139">
        <f>Allocation!J139</f>
        <v/>
      </c>
      <c r="I139">
        <f>Allocation!K139</f>
        <v/>
      </c>
      <c r="J139">
        <f>SUMIFS(Socle!$K$2:$K$175,Socle!$C$2:$C$175,B139,Socle!$D$2:$D$175,D139,Socle!$E$2:$E$175,E139,Socle!$F$2:$F$175,F139,Socle!$G$2:$G$175,A139)</f>
        <v/>
      </c>
      <c r="K139">
        <f>H139*IF(AND(LEFT(D139,3)="BAC",F139="INIT"),600,IF(LEFT(D139,3)="BAC",480,IF(AND(LEFT(D139,3)="MAS",F139="INIT"),520,IF(LEFT(D139,3)="MAS",420,IF(F139="INIT",1000,700)))))</f>
        <v/>
      </c>
      <c r="L139">
        <f>SUMIFS(Allocation!$I$2:$I$175,Allocation!$C$2:$C$175,A139,Allocation!$D$2:$D$175,B139)</f>
        <v/>
      </c>
      <c r="M139">
        <f>SUMIFS(Allocation!$J$2:$J$175,Allocation!$C$2:$C$175,A139,Allocation!$D$2:$D$175,B139)</f>
        <v/>
      </c>
      <c r="N139">
        <f>SUMIFS(Allocation!$K$2:$K$175,Allocation!$C$2:$C$175,A139,Allocation!$D$2:$D$175,B139)</f>
        <v/>
      </c>
      <c r="O139">
        <f>SUMIFS($K$2:$K$175,$A$2:$A$175,A139,$B$2:$B$175,B139)</f>
        <v/>
      </c>
      <c r="P139">
        <f>SUMIFS($J$2:$J$175,$A$2:$A$175,A139,$B$2:$B$175,B139)</f>
        <v/>
      </c>
      <c r="Q139">
        <f>SUMIFS(Allocation!$I$2:$I$175,Allocation!$C$2:$C$175,A139,Allocation!$E$2:$E$175,C139)</f>
        <v/>
      </c>
      <c r="R139">
        <f>SUMIFS(Allocation!$J$2:$J$175,Allocation!$C$2:$C$175,A139,Allocation!$E$2:$E$175,C139)</f>
        <v/>
      </c>
      <c r="S139">
        <f>SUMIFS(Allocation!$K$2:$K$175,Allocation!$C$2:$C$175,A139,Allocation!$E$2:$E$175,C139)</f>
        <v/>
      </c>
      <c r="T139">
        <f>SUMIFS(Allocation!$I$2:$I$175,Allocation!$C$2:$C$175,A139)</f>
        <v/>
      </c>
      <c r="U139">
        <f>SUMIFS(Allocation!$J$2:$J$175,Allocation!$C$2:$C$175,A139)</f>
        <v/>
      </c>
      <c r="V139">
        <f>SUMIFS(Allocation!$K$2:$K$175,Allocation!$C$2:$C$175,A139)</f>
        <v/>
      </c>
      <c r="W139">
        <f>SUMIFS(Compta!$F$2:$F$675,Compta!$A$2:$A$675,B139,Compta!$B$2:$B$675,"621",Compta!$C$2:$C$675,A139)</f>
        <v/>
      </c>
      <c r="X139">
        <f>SUMIFS(Compta!$F$2:$F$675,Compta!$A$2:$A$675,B139,Compta!$B$2:$B$675,"6411",Compta!$C$2:$C$675,A139)</f>
        <v/>
      </c>
      <c r="Y139">
        <f>SUMIFS(Compta!$F$2:$F$675,Compta!$A$2:$A$675,B139,Compta!$B$2:$B$675,"604",Compta!$C$2:$C$675,A139)+SUMIFS(Compta!$F$2:$F$675,Compta!$A$2:$A$675,B139,Compta!$B$2:$B$675,"6063",Compta!$C$2:$C$675,A139)</f>
        <v/>
      </c>
      <c r="Z139">
        <f>SUMIFS(Compta!$F$2:$F$675,Compta!$A$2:$A$675,B139,Compta!$B$2:$B$675,"6231",Compta!$C$2:$C$675,A139)</f>
        <v/>
      </c>
      <c r="AA139">
        <f>SUMIFS(Compta!$F$2:$F$675,Compta!$A$2:$A$675,B139,Compta!$B$2:$B$675,"6413",Compta!$C$2:$C$675,A139)+SUMIFS(Compta!$F$2:$F$675,Compta!$A$2:$A$675,B139,Compta!$B$2:$B$675,"645",Compta!$C$2:$C$675,A139)+SUMIFS(Compta!$F$2:$F$675,Compta!$A$2:$A$675,B139,Compta!$B$2:$B$675,"613",Compta!$C$2:$C$675,A139)+SUMIFS(Compta!$F$2:$F$675,Compta!$A$2:$A$675,B139,Compta!$B$2:$B$675,"615",Compta!$C$2:$C$675,A139)+SUMIFS(Compta!$F$2:$F$675,Compta!$A$2:$A$675,B139,Compta!$B$2:$B$675,"616",Compta!$C$2:$C$675,A139)+SUMIFS(Compta!$F$2:$F$675,Compta!$A$2:$A$675,B139,Compta!$B$2:$B$675,"625",Compta!$C$2:$C$675,A139)+SUMIFS(Compta!$F$2:$F$675,Compta!$A$2:$A$675,B139,Compta!$B$2:$B$675,"63511",Compta!$C$2:$C$675,A139)</f>
        <v/>
      </c>
      <c r="AB139">
        <f>SUMIFS(Compta!$F$2:$F$675,Compta!$A$2:$A$675,"GRP",Compta!$B$2:$B$675,"6414",Compta!$C$2:$C$675,A139)+SUMIFS(Compta!$F$2:$F$675,Compta!$A$2:$A$675,"GRP",Compta!$B$2:$B$675,"6226",Compta!$C$2:$C$675,A139)+SUMIFS(Compta!$F$2:$F$675,Compta!$A$2:$A$675,"GRP",Compta!$B$2:$B$675,"6236",Compta!$C$2:$C$675,A139)+SUMIFS(Compta!$F$2:$F$675,Compta!$A$2:$A$675,"GRP",Compta!$B$2:$B$675,"626",Compta!$C$2:$C$675,A139)+SUMIFS(Compta!$F$2:$F$675,Compta!$A$2:$A$675,"GRP",Compta!$B$2:$B$675,"6281",Compta!$C$2:$C$675,A139)+SUMIFS(Compta!$F$2:$F$675,Compta!$A$2:$A$675,"GRP",Compta!$B$2:$B$675,"6331",Compta!$C$2:$C$675,A139)+SUMIFS(Compta!$F$2:$F$675,Compta!$A$2:$A$675,"GRP",Compta!$B$2:$B$675,"6333",Compta!$C$2:$C$675,A139)</f>
        <v/>
      </c>
      <c r="AC139">
        <f>IF(Pilotage!$E$10="Chiffre d'affaires",I139,IF(Pilotage!$E$10="Effectif",G139,H139))</f>
        <v/>
      </c>
      <c r="AD139">
        <f>IF(Pilotage!$E$10="Chiffre d'affaires",N139,IF(Pilotage!$E$10="Effectif",L139,M139))</f>
        <v/>
      </c>
      <c r="AE139">
        <f>IF(Pilotage!$E$8="Chiffre d'affaires",N139,IF(Pilotage!$E$8="Effectif",L139,M139))</f>
        <v/>
      </c>
      <c r="AF139">
        <f>IF(Pilotage!$E$8="Chiffre d'affaires",S139,IF(Pilotage!$E$8="Effectif",Q139,R139))</f>
        <v/>
      </c>
      <c r="AG139">
        <f>IF(Pilotage!$E$9="Chiffre d'affaires",S139,IF(Pilotage!$E$9="Effectif",Q139,R139))</f>
        <v/>
      </c>
      <c r="AH139">
        <f>IF(Pilotage!$E$9="Chiffre d'affaires",V139,IF(Pilotage!$E$9="Effectif",T139,U139))</f>
        <v/>
      </c>
      <c r="AI139">
        <f>W139*IFERROR(K139/O139,0)</f>
        <v/>
      </c>
      <c r="AJ139">
        <f>X139*IFERROR(K139/O139,0)</f>
        <v/>
      </c>
      <c r="AK139">
        <f>Y139*IFERROR(G139/L139,0)+Z139*IFERROR(J139/P139,0)</f>
        <v/>
      </c>
      <c r="AL139">
        <f>AA139*IFERROR(AC139/AD139,0)</f>
        <v/>
      </c>
      <c r="AM139">
        <f>AB139*IFERROR(AG139/AH139,0)*IFERROR(AE139/AF139,0)*IFERROR(AC139/AD139,0)</f>
        <v/>
      </c>
      <c r="AN139">
        <f>I139-(AI139+AJ139+AK139+AL139+AM139)</f>
        <v/>
      </c>
    </row>
    <row r="140">
      <c r="A140">
        <f>Allocation!C140</f>
        <v/>
      </c>
      <c r="B140">
        <f>Allocation!D140</f>
        <v/>
      </c>
      <c r="C140">
        <f>Allocation!E140</f>
        <v/>
      </c>
      <c r="D140">
        <f>Allocation!F140</f>
        <v/>
      </c>
      <c r="E140">
        <f>Allocation!G140</f>
        <v/>
      </c>
      <c r="F140">
        <f>Allocation!H140</f>
        <v/>
      </c>
      <c r="G140">
        <f>Allocation!I140</f>
        <v/>
      </c>
      <c r="H140">
        <f>Allocation!J140</f>
        <v/>
      </c>
      <c r="I140">
        <f>Allocation!K140</f>
        <v/>
      </c>
      <c r="J140">
        <f>SUMIFS(Socle!$K$2:$K$175,Socle!$C$2:$C$175,B140,Socle!$D$2:$D$175,D140,Socle!$E$2:$E$175,E140,Socle!$F$2:$F$175,F140,Socle!$G$2:$G$175,A140)</f>
        <v/>
      </c>
      <c r="K140">
        <f>H140*IF(AND(LEFT(D140,3)="BAC",F140="INIT"),600,IF(LEFT(D140,3)="BAC",480,IF(AND(LEFT(D140,3)="MAS",F140="INIT"),520,IF(LEFT(D140,3)="MAS",420,IF(F140="INIT",1000,700)))))</f>
        <v/>
      </c>
      <c r="L140">
        <f>SUMIFS(Allocation!$I$2:$I$175,Allocation!$C$2:$C$175,A140,Allocation!$D$2:$D$175,B140)</f>
        <v/>
      </c>
      <c r="M140">
        <f>SUMIFS(Allocation!$J$2:$J$175,Allocation!$C$2:$C$175,A140,Allocation!$D$2:$D$175,B140)</f>
        <v/>
      </c>
      <c r="N140">
        <f>SUMIFS(Allocation!$K$2:$K$175,Allocation!$C$2:$C$175,A140,Allocation!$D$2:$D$175,B140)</f>
        <v/>
      </c>
      <c r="O140">
        <f>SUMIFS($K$2:$K$175,$A$2:$A$175,A140,$B$2:$B$175,B140)</f>
        <v/>
      </c>
      <c r="P140">
        <f>SUMIFS($J$2:$J$175,$A$2:$A$175,A140,$B$2:$B$175,B140)</f>
        <v/>
      </c>
      <c r="Q140">
        <f>SUMIFS(Allocation!$I$2:$I$175,Allocation!$C$2:$C$175,A140,Allocation!$E$2:$E$175,C140)</f>
        <v/>
      </c>
      <c r="R140">
        <f>SUMIFS(Allocation!$J$2:$J$175,Allocation!$C$2:$C$175,A140,Allocation!$E$2:$E$175,C140)</f>
        <v/>
      </c>
      <c r="S140">
        <f>SUMIFS(Allocation!$K$2:$K$175,Allocation!$C$2:$C$175,A140,Allocation!$E$2:$E$175,C140)</f>
        <v/>
      </c>
      <c r="T140">
        <f>SUMIFS(Allocation!$I$2:$I$175,Allocation!$C$2:$C$175,A140)</f>
        <v/>
      </c>
      <c r="U140">
        <f>SUMIFS(Allocation!$J$2:$J$175,Allocation!$C$2:$C$175,A140)</f>
        <v/>
      </c>
      <c r="V140">
        <f>SUMIFS(Allocation!$K$2:$K$175,Allocation!$C$2:$C$175,A140)</f>
        <v/>
      </c>
      <c r="W140">
        <f>SUMIFS(Compta!$F$2:$F$675,Compta!$A$2:$A$675,B140,Compta!$B$2:$B$675,"621",Compta!$C$2:$C$675,A140)</f>
        <v/>
      </c>
      <c r="X140">
        <f>SUMIFS(Compta!$F$2:$F$675,Compta!$A$2:$A$675,B140,Compta!$B$2:$B$675,"6411",Compta!$C$2:$C$675,A140)</f>
        <v/>
      </c>
      <c r="Y140">
        <f>SUMIFS(Compta!$F$2:$F$675,Compta!$A$2:$A$675,B140,Compta!$B$2:$B$675,"604",Compta!$C$2:$C$675,A140)+SUMIFS(Compta!$F$2:$F$675,Compta!$A$2:$A$675,B140,Compta!$B$2:$B$675,"6063",Compta!$C$2:$C$675,A140)</f>
        <v/>
      </c>
      <c r="Z140">
        <f>SUMIFS(Compta!$F$2:$F$675,Compta!$A$2:$A$675,B140,Compta!$B$2:$B$675,"6231",Compta!$C$2:$C$675,A140)</f>
        <v/>
      </c>
      <c r="AA140">
        <f>SUMIFS(Compta!$F$2:$F$675,Compta!$A$2:$A$675,B140,Compta!$B$2:$B$675,"6413",Compta!$C$2:$C$675,A140)+SUMIFS(Compta!$F$2:$F$675,Compta!$A$2:$A$675,B140,Compta!$B$2:$B$675,"645",Compta!$C$2:$C$675,A140)+SUMIFS(Compta!$F$2:$F$675,Compta!$A$2:$A$675,B140,Compta!$B$2:$B$675,"613",Compta!$C$2:$C$675,A140)+SUMIFS(Compta!$F$2:$F$675,Compta!$A$2:$A$675,B140,Compta!$B$2:$B$675,"615",Compta!$C$2:$C$675,A140)+SUMIFS(Compta!$F$2:$F$675,Compta!$A$2:$A$675,B140,Compta!$B$2:$B$675,"616",Compta!$C$2:$C$675,A140)+SUMIFS(Compta!$F$2:$F$675,Compta!$A$2:$A$675,B140,Compta!$B$2:$B$675,"625",Compta!$C$2:$C$675,A140)+SUMIFS(Compta!$F$2:$F$675,Compta!$A$2:$A$675,B140,Compta!$B$2:$B$675,"63511",Compta!$C$2:$C$675,A140)</f>
        <v/>
      </c>
      <c r="AB140">
        <f>SUMIFS(Compta!$F$2:$F$675,Compta!$A$2:$A$675,"GRP",Compta!$B$2:$B$675,"6414",Compta!$C$2:$C$675,A140)+SUMIFS(Compta!$F$2:$F$675,Compta!$A$2:$A$675,"GRP",Compta!$B$2:$B$675,"6226",Compta!$C$2:$C$675,A140)+SUMIFS(Compta!$F$2:$F$675,Compta!$A$2:$A$675,"GRP",Compta!$B$2:$B$675,"6236",Compta!$C$2:$C$675,A140)+SUMIFS(Compta!$F$2:$F$675,Compta!$A$2:$A$675,"GRP",Compta!$B$2:$B$675,"626",Compta!$C$2:$C$675,A140)+SUMIFS(Compta!$F$2:$F$675,Compta!$A$2:$A$675,"GRP",Compta!$B$2:$B$675,"6281",Compta!$C$2:$C$675,A140)+SUMIFS(Compta!$F$2:$F$675,Compta!$A$2:$A$675,"GRP",Compta!$B$2:$B$675,"6331",Compta!$C$2:$C$675,A140)+SUMIFS(Compta!$F$2:$F$675,Compta!$A$2:$A$675,"GRP",Compta!$B$2:$B$675,"6333",Compta!$C$2:$C$675,A140)</f>
        <v/>
      </c>
      <c r="AC140">
        <f>IF(Pilotage!$E$10="Chiffre d'affaires",I140,IF(Pilotage!$E$10="Effectif",G140,H140))</f>
        <v/>
      </c>
      <c r="AD140">
        <f>IF(Pilotage!$E$10="Chiffre d'affaires",N140,IF(Pilotage!$E$10="Effectif",L140,M140))</f>
        <v/>
      </c>
      <c r="AE140">
        <f>IF(Pilotage!$E$8="Chiffre d'affaires",N140,IF(Pilotage!$E$8="Effectif",L140,M140))</f>
        <v/>
      </c>
      <c r="AF140">
        <f>IF(Pilotage!$E$8="Chiffre d'affaires",S140,IF(Pilotage!$E$8="Effectif",Q140,R140))</f>
        <v/>
      </c>
      <c r="AG140">
        <f>IF(Pilotage!$E$9="Chiffre d'affaires",S140,IF(Pilotage!$E$9="Effectif",Q140,R140))</f>
        <v/>
      </c>
      <c r="AH140">
        <f>IF(Pilotage!$E$9="Chiffre d'affaires",V140,IF(Pilotage!$E$9="Effectif",T140,U140))</f>
        <v/>
      </c>
      <c r="AI140">
        <f>W140*IFERROR(K140/O140,0)</f>
        <v/>
      </c>
      <c r="AJ140">
        <f>X140*IFERROR(K140/O140,0)</f>
        <v/>
      </c>
      <c r="AK140">
        <f>Y140*IFERROR(G140/L140,0)+Z140*IFERROR(J140/P140,0)</f>
        <v/>
      </c>
      <c r="AL140">
        <f>AA140*IFERROR(AC140/AD140,0)</f>
        <v/>
      </c>
      <c r="AM140">
        <f>AB140*IFERROR(AG140/AH140,0)*IFERROR(AE140/AF140,0)*IFERROR(AC140/AD140,0)</f>
        <v/>
      </c>
      <c r="AN140">
        <f>I140-(AI140+AJ140+AK140+AL140+AM140)</f>
        <v/>
      </c>
    </row>
    <row r="141">
      <c r="A141">
        <f>Allocation!C141</f>
        <v/>
      </c>
      <c r="B141">
        <f>Allocation!D141</f>
        <v/>
      </c>
      <c r="C141">
        <f>Allocation!E141</f>
        <v/>
      </c>
      <c r="D141">
        <f>Allocation!F141</f>
        <v/>
      </c>
      <c r="E141">
        <f>Allocation!G141</f>
        <v/>
      </c>
      <c r="F141">
        <f>Allocation!H141</f>
        <v/>
      </c>
      <c r="G141">
        <f>Allocation!I141</f>
        <v/>
      </c>
      <c r="H141">
        <f>Allocation!J141</f>
        <v/>
      </c>
      <c r="I141">
        <f>Allocation!K141</f>
        <v/>
      </c>
      <c r="J141">
        <f>SUMIFS(Socle!$K$2:$K$175,Socle!$C$2:$C$175,B141,Socle!$D$2:$D$175,D141,Socle!$E$2:$E$175,E141,Socle!$F$2:$F$175,F141,Socle!$G$2:$G$175,A141)</f>
        <v/>
      </c>
      <c r="K141">
        <f>H141*IF(AND(LEFT(D141,3)="BAC",F141="INIT"),600,IF(LEFT(D141,3)="BAC",480,IF(AND(LEFT(D141,3)="MAS",F141="INIT"),520,IF(LEFT(D141,3)="MAS",420,IF(F141="INIT",1000,700)))))</f>
        <v/>
      </c>
      <c r="L141">
        <f>SUMIFS(Allocation!$I$2:$I$175,Allocation!$C$2:$C$175,A141,Allocation!$D$2:$D$175,B141)</f>
        <v/>
      </c>
      <c r="M141">
        <f>SUMIFS(Allocation!$J$2:$J$175,Allocation!$C$2:$C$175,A141,Allocation!$D$2:$D$175,B141)</f>
        <v/>
      </c>
      <c r="N141">
        <f>SUMIFS(Allocation!$K$2:$K$175,Allocation!$C$2:$C$175,A141,Allocation!$D$2:$D$175,B141)</f>
        <v/>
      </c>
      <c r="O141">
        <f>SUMIFS($K$2:$K$175,$A$2:$A$175,A141,$B$2:$B$175,B141)</f>
        <v/>
      </c>
      <c r="P141">
        <f>SUMIFS($J$2:$J$175,$A$2:$A$175,A141,$B$2:$B$175,B141)</f>
        <v/>
      </c>
      <c r="Q141">
        <f>SUMIFS(Allocation!$I$2:$I$175,Allocation!$C$2:$C$175,A141,Allocation!$E$2:$E$175,C141)</f>
        <v/>
      </c>
      <c r="R141">
        <f>SUMIFS(Allocation!$J$2:$J$175,Allocation!$C$2:$C$175,A141,Allocation!$E$2:$E$175,C141)</f>
        <v/>
      </c>
      <c r="S141">
        <f>SUMIFS(Allocation!$K$2:$K$175,Allocation!$C$2:$C$175,A141,Allocation!$E$2:$E$175,C141)</f>
        <v/>
      </c>
      <c r="T141">
        <f>SUMIFS(Allocation!$I$2:$I$175,Allocation!$C$2:$C$175,A141)</f>
        <v/>
      </c>
      <c r="U141">
        <f>SUMIFS(Allocation!$J$2:$J$175,Allocation!$C$2:$C$175,A141)</f>
        <v/>
      </c>
      <c r="V141">
        <f>SUMIFS(Allocation!$K$2:$K$175,Allocation!$C$2:$C$175,A141)</f>
        <v/>
      </c>
      <c r="W141">
        <f>SUMIFS(Compta!$F$2:$F$675,Compta!$A$2:$A$675,B141,Compta!$B$2:$B$675,"621",Compta!$C$2:$C$675,A141)</f>
        <v/>
      </c>
      <c r="X141">
        <f>SUMIFS(Compta!$F$2:$F$675,Compta!$A$2:$A$675,B141,Compta!$B$2:$B$675,"6411",Compta!$C$2:$C$675,A141)</f>
        <v/>
      </c>
      <c r="Y141">
        <f>SUMIFS(Compta!$F$2:$F$675,Compta!$A$2:$A$675,B141,Compta!$B$2:$B$675,"604",Compta!$C$2:$C$675,A141)+SUMIFS(Compta!$F$2:$F$675,Compta!$A$2:$A$675,B141,Compta!$B$2:$B$675,"6063",Compta!$C$2:$C$675,A141)</f>
        <v/>
      </c>
      <c r="Z141">
        <f>SUMIFS(Compta!$F$2:$F$675,Compta!$A$2:$A$675,B141,Compta!$B$2:$B$675,"6231",Compta!$C$2:$C$675,A141)</f>
        <v/>
      </c>
      <c r="AA141">
        <f>SUMIFS(Compta!$F$2:$F$675,Compta!$A$2:$A$675,B141,Compta!$B$2:$B$675,"6413",Compta!$C$2:$C$675,A141)+SUMIFS(Compta!$F$2:$F$675,Compta!$A$2:$A$675,B141,Compta!$B$2:$B$675,"645",Compta!$C$2:$C$675,A141)+SUMIFS(Compta!$F$2:$F$675,Compta!$A$2:$A$675,B141,Compta!$B$2:$B$675,"613",Compta!$C$2:$C$675,A141)+SUMIFS(Compta!$F$2:$F$675,Compta!$A$2:$A$675,B141,Compta!$B$2:$B$675,"615",Compta!$C$2:$C$675,A141)+SUMIFS(Compta!$F$2:$F$675,Compta!$A$2:$A$675,B141,Compta!$B$2:$B$675,"616",Compta!$C$2:$C$675,A141)+SUMIFS(Compta!$F$2:$F$675,Compta!$A$2:$A$675,B141,Compta!$B$2:$B$675,"625",Compta!$C$2:$C$675,A141)+SUMIFS(Compta!$F$2:$F$675,Compta!$A$2:$A$675,B141,Compta!$B$2:$B$675,"63511",Compta!$C$2:$C$675,A141)</f>
        <v/>
      </c>
      <c r="AB141">
        <f>SUMIFS(Compta!$F$2:$F$675,Compta!$A$2:$A$675,"GRP",Compta!$B$2:$B$675,"6414",Compta!$C$2:$C$675,A141)+SUMIFS(Compta!$F$2:$F$675,Compta!$A$2:$A$675,"GRP",Compta!$B$2:$B$675,"6226",Compta!$C$2:$C$675,A141)+SUMIFS(Compta!$F$2:$F$675,Compta!$A$2:$A$675,"GRP",Compta!$B$2:$B$675,"6236",Compta!$C$2:$C$675,A141)+SUMIFS(Compta!$F$2:$F$675,Compta!$A$2:$A$675,"GRP",Compta!$B$2:$B$675,"626",Compta!$C$2:$C$675,A141)+SUMIFS(Compta!$F$2:$F$675,Compta!$A$2:$A$675,"GRP",Compta!$B$2:$B$675,"6281",Compta!$C$2:$C$675,A141)+SUMIFS(Compta!$F$2:$F$675,Compta!$A$2:$A$675,"GRP",Compta!$B$2:$B$675,"6331",Compta!$C$2:$C$675,A141)+SUMIFS(Compta!$F$2:$F$675,Compta!$A$2:$A$675,"GRP",Compta!$B$2:$B$675,"6333",Compta!$C$2:$C$675,A141)</f>
        <v/>
      </c>
      <c r="AC141">
        <f>IF(Pilotage!$E$10="Chiffre d'affaires",I141,IF(Pilotage!$E$10="Effectif",G141,H141))</f>
        <v/>
      </c>
      <c r="AD141">
        <f>IF(Pilotage!$E$10="Chiffre d'affaires",N141,IF(Pilotage!$E$10="Effectif",L141,M141))</f>
        <v/>
      </c>
      <c r="AE141">
        <f>IF(Pilotage!$E$8="Chiffre d'affaires",N141,IF(Pilotage!$E$8="Effectif",L141,M141))</f>
        <v/>
      </c>
      <c r="AF141">
        <f>IF(Pilotage!$E$8="Chiffre d'affaires",S141,IF(Pilotage!$E$8="Effectif",Q141,R141))</f>
        <v/>
      </c>
      <c r="AG141">
        <f>IF(Pilotage!$E$9="Chiffre d'affaires",S141,IF(Pilotage!$E$9="Effectif",Q141,R141))</f>
        <v/>
      </c>
      <c r="AH141">
        <f>IF(Pilotage!$E$9="Chiffre d'affaires",V141,IF(Pilotage!$E$9="Effectif",T141,U141))</f>
        <v/>
      </c>
      <c r="AI141">
        <f>W141*IFERROR(K141/O141,0)</f>
        <v/>
      </c>
      <c r="AJ141">
        <f>X141*IFERROR(K141/O141,0)</f>
        <v/>
      </c>
      <c r="AK141">
        <f>Y141*IFERROR(G141/L141,0)+Z141*IFERROR(J141/P141,0)</f>
        <v/>
      </c>
      <c r="AL141">
        <f>AA141*IFERROR(AC141/AD141,0)</f>
        <v/>
      </c>
      <c r="AM141">
        <f>AB141*IFERROR(AG141/AH141,0)*IFERROR(AE141/AF141,0)*IFERROR(AC141/AD141,0)</f>
        <v/>
      </c>
      <c r="AN141">
        <f>I141-(AI141+AJ141+AK141+AL141+AM141)</f>
        <v/>
      </c>
    </row>
    <row r="142">
      <c r="A142">
        <f>Allocation!C142</f>
        <v/>
      </c>
      <c r="B142">
        <f>Allocation!D142</f>
        <v/>
      </c>
      <c r="C142">
        <f>Allocation!E142</f>
        <v/>
      </c>
      <c r="D142">
        <f>Allocation!F142</f>
        <v/>
      </c>
      <c r="E142">
        <f>Allocation!G142</f>
        <v/>
      </c>
      <c r="F142">
        <f>Allocation!H142</f>
        <v/>
      </c>
      <c r="G142">
        <f>Allocation!I142</f>
        <v/>
      </c>
      <c r="H142">
        <f>Allocation!J142</f>
        <v/>
      </c>
      <c r="I142">
        <f>Allocation!K142</f>
        <v/>
      </c>
      <c r="J142">
        <f>SUMIFS(Socle!$K$2:$K$175,Socle!$C$2:$C$175,B142,Socle!$D$2:$D$175,D142,Socle!$E$2:$E$175,E142,Socle!$F$2:$F$175,F142,Socle!$G$2:$G$175,A142)</f>
        <v/>
      </c>
      <c r="K142">
        <f>H142*IF(AND(LEFT(D142,3)="BAC",F142="INIT"),600,IF(LEFT(D142,3)="BAC",480,IF(AND(LEFT(D142,3)="MAS",F142="INIT"),520,IF(LEFT(D142,3)="MAS",420,IF(F142="INIT",1000,700)))))</f>
        <v/>
      </c>
      <c r="L142">
        <f>SUMIFS(Allocation!$I$2:$I$175,Allocation!$C$2:$C$175,A142,Allocation!$D$2:$D$175,B142)</f>
        <v/>
      </c>
      <c r="M142">
        <f>SUMIFS(Allocation!$J$2:$J$175,Allocation!$C$2:$C$175,A142,Allocation!$D$2:$D$175,B142)</f>
        <v/>
      </c>
      <c r="N142">
        <f>SUMIFS(Allocation!$K$2:$K$175,Allocation!$C$2:$C$175,A142,Allocation!$D$2:$D$175,B142)</f>
        <v/>
      </c>
      <c r="O142">
        <f>SUMIFS($K$2:$K$175,$A$2:$A$175,A142,$B$2:$B$175,B142)</f>
        <v/>
      </c>
      <c r="P142">
        <f>SUMIFS($J$2:$J$175,$A$2:$A$175,A142,$B$2:$B$175,B142)</f>
        <v/>
      </c>
      <c r="Q142">
        <f>SUMIFS(Allocation!$I$2:$I$175,Allocation!$C$2:$C$175,A142,Allocation!$E$2:$E$175,C142)</f>
        <v/>
      </c>
      <c r="R142">
        <f>SUMIFS(Allocation!$J$2:$J$175,Allocation!$C$2:$C$175,A142,Allocation!$E$2:$E$175,C142)</f>
        <v/>
      </c>
      <c r="S142">
        <f>SUMIFS(Allocation!$K$2:$K$175,Allocation!$C$2:$C$175,A142,Allocation!$E$2:$E$175,C142)</f>
        <v/>
      </c>
      <c r="T142">
        <f>SUMIFS(Allocation!$I$2:$I$175,Allocation!$C$2:$C$175,A142)</f>
        <v/>
      </c>
      <c r="U142">
        <f>SUMIFS(Allocation!$J$2:$J$175,Allocation!$C$2:$C$175,A142)</f>
        <v/>
      </c>
      <c r="V142">
        <f>SUMIFS(Allocation!$K$2:$K$175,Allocation!$C$2:$C$175,A142)</f>
        <v/>
      </c>
      <c r="W142">
        <f>SUMIFS(Compta!$F$2:$F$675,Compta!$A$2:$A$675,B142,Compta!$B$2:$B$675,"621",Compta!$C$2:$C$675,A142)</f>
        <v/>
      </c>
      <c r="X142">
        <f>SUMIFS(Compta!$F$2:$F$675,Compta!$A$2:$A$675,B142,Compta!$B$2:$B$675,"6411",Compta!$C$2:$C$675,A142)</f>
        <v/>
      </c>
      <c r="Y142">
        <f>SUMIFS(Compta!$F$2:$F$675,Compta!$A$2:$A$675,B142,Compta!$B$2:$B$675,"604",Compta!$C$2:$C$675,A142)+SUMIFS(Compta!$F$2:$F$675,Compta!$A$2:$A$675,B142,Compta!$B$2:$B$675,"6063",Compta!$C$2:$C$675,A142)</f>
        <v/>
      </c>
      <c r="Z142">
        <f>SUMIFS(Compta!$F$2:$F$675,Compta!$A$2:$A$675,B142,Compta!$B$2:$B$675,"6231",Compta!$C$2:$C$675,A142)</f>
        <v/>
      </c>
      <c r="AA142">
        <f>SUMIFS(Compta!$F$2:$F$675,Compta!$A$2:$A$675,B142,Compta!$B$2:$B$675,"6413",Compta!$C$2:$C$675,A142)+SUMIFS(Compta!$F$2:$F$675,Compta!$A$2:$A$675,B142,Compta!$B$2:$B$675,"645",Compta!$C$2:$C$675,A142)+SUMIFS(Compta!$F$2:$F$675,Compta!$A$2:$A$675,B142,Compta!$B$2:$B$675,"613",Compta!$C$2:$C$675,A142)+SUMIFS(Compta!$F$2:$F$675,Compta!$A$2:$A$675,B142,Compta!$B$2:$B$675,"615",Compta!$C$2:$C$675,A142)+SUMIFS(Compta!$F$2:$F$675,Compta!$A$2:$A$675,B142,Compta!$B$2:$B$675,"616",Compta!$C$2:$C$675,A142)+SUMIFS(Compta!$F$2:$F$675,Compta!$A$2:$A$675,B142,Compta!$B$2:$B$675,"625",Compta!$C$2:$C$675,A142)+SUMIFS(Compta!$F$2:$F$675,Compta!$A$2:$A$675,B142,Compta!$B$2:$B$675,"63511",Compta!$C$2:$C$675,A142)</f>
        <v/>
      </c>
      <c r="AB142">
        <f>SUMIFS(Compta!$F$2:$F$675,Compta!$A$2:$A$675,"GRP",Compta!$B$2:$B$675,"6414",Compta!$C$2:$C$675,A142)+SUMIFS(Compta!$F$2:$F$675,Compta!$A$2:$A$675,"GRP",Compta!$B$2:$B$675,"6226",Compta!$C$2:$C$675,A142)+SUMIFS(Compta!$F$2:$F$675,Compta!$A$2:$A$675,"GRP",Compta!$B$2:$B$675,"6236",Compta!$C$2:$C$675,A142)+SUMIFS(Compta!$F$2:$F$675,Compta!$A$2:$A$675,"GRP",Compta!$B$2:$B$675,"626",Compta!$C$2:$C$675,A142)+SUMIFS(Compta!$F$2:$F$675,Compta!$A$2:$A$675,"GRP",Compta!$B$2:$B$675,"6281",Compta!$C$2:$C$675,A142)+SUMIFS(Compta!$F$2:$F$675,Compta!$A$2:$A$675,"GRP",Compta!$B$2:$B$675,"6331",Compta!$C$2:$C$675,A142)+SUMIFS(Compta!$F$2:$F$675,Compta!$A$2:$A$675,"GRP",Compta!$B$2:$B$675,"6333",Compta!$C$2:$C$675,A142)</f>
        <v/>
      </c>
      <c r="AC142">
        <f>IF(Pilotage!$E$10="Chiffre d'affaires",I142,IF(Pilotage!$E$10="Effectif",G142,H142))</f>
        <v/>
      </c>
      <c r="AD142">
        <f>IF(Pilotage!$E$10="Chiffre d'affaires",N142,IF(Pilotage!$E$10="Effectif",L142,M142))</f>
        <v/>
      </c>
      <c r="AE142">
        <f>IF(Pilotage!$E$8="Chiffre d'affaires",N142,IF(Pilotage!$E$8="Effectif",L142,M142))</f>
        <v/>
      </c>
      <c r="AF142">
        <f>IF(Pilotage!$E$8="Chiffre d'affaires",S142,IF(Pilotage!$E$8="Effectif",Q142,R142))</f>
        <v/>
      </c>
      <c r="AG142">
        <f>IF(Pilotage!$E$9="Chiffre d'affaires",S142,IF(Pilotage!$E$9="Effectif",Q142,R142))</f>
        <v/>
      </c>
      <c r="AH142">
        <f>IF(Pilotage!$E$9="Chiffre d'affaires",V142,IF(Pilotage!$E$9="Effectif",T142,U142))</f>
        <v/>
      </c>
      <c r="AI142">
        <f>W142*IFERROR(K142/O142,0)</f>
        <v/>
      </c>
      <c r="AJ142">
        <f>X142*IFERROR(K142/O142,0)</f>
        <v/>
      </c>
      <c r="AK142">
        <f>Y142*IFERROR(G142/L142,0)+Z142*IFERROR(J142/P142,0)</f>
        <v/>
      </c>
      <c r="AL142">
        <f>AA142*IFERROR(AC142/AD142,0)</f>
        <v/>
      </c>
      <c r="AM142">
        <f>AB142*IFERROR(AG142/AH142,0)*IFERROR(AE142/AF142,0)*IFERROR(AC142/AD142,0)</f>
        <v/>
      </c>
      <c r="AN142">
        <f>I142-(AI142+AJ142+AK142+AL142+AM142)</f>
        <v/>
      </c>
    </row>
    <row r="143">
      <c r="A143">
        <f>Allocation!C143</f>
        <v/>
      </c>
      <c r="B143">
        <f>Allocation!D143</f>
        <v/>
      </c>
      <c r="C143">
        <f>Allocation!E143</f>
        <v/>
      </c>
      <c r="D143">
        <f>Allocation!F143</f>
        <v/>
      </c>
      <c r="E143">
        <f>Allocation!G143</f>
        <v/>
      </c>
      <c r="F143">
        <f>Allocation!H143</f>
        <v/>
      </c>
      <c r="G143">
        <f>Allocation!I143</f>
        <v/>
      </c>
      <c r="H143">
        <f>Allocation!J143</f>
        <v/>
      </c>
      <c r="I143">
        <f>Allocation!K143</f>
        <v/>
      </c>
      <c r="J143">
        <f>SUMIFS(Socle!$K$2:$K$175,Socle!$C$2:$C$175,B143,Socle!$D$2:$D$175,D143,Socle!$E$2:$E$175,E143,Socle!$F$2:$F$175,F143,Socle!$G$2:$G$175,A143)</f>
        <v/>
      </c>
      <c r="K143">
        <f>H143*IF(AND(LEFT(D143,3)="BAC",F143="INIT"),600,IF(LEFT(D143,3)="BAC",480,IF(AND(LEFT(D143,3)="MAS",F143="INIT"),520,IF(LEFT(D143,3)="MAS",420,IF(F143="INIT",1000,700)))))</f>
        <v/>
      </c>
      <c r="L143">
        <f>SUMIFS(Allocation!$I$2:$I$175,Allocation!$C$2:$C$175,A143,Allocation!$D$2:$D$175,B143)</f>
        <v/>
      </c>
      <c r="M143">
        <f>SUMIFS(Allocation!$J$2:$J$175,Allocation!$C$2:$C$175,A143,Allocation!$D$2:$D$175,B143)</f>
        <v/>
      </c>
      <c r="N143">
        <f>SUMIFS(Allocation!$K$2:$K$175,Allocation!$C$2:$C$175,A143,Allocation!$D$2:$D$175,B143)</f>
        <v/>
      </c>
      <c r="O143">
        <f>SUMIFS($K$2:$K$175,$A$2:$A$175,A143,$B$2:$B$175,B143)</f>
        <v/>
      </c>
      <c r="P143">
        <f>SUMIFS($J$2:$J$175,$A$2:$A$175,A143,$B$2:$B$175,B143)</f>
        <v/>
      </c>
      <c r="Q143">
        <f>SUMIFS(Allocation!$I$2:$I$175,Allocation!$C$2:$C$175,A143,Allocation!$E$2:$E$175,C143)</f>
        <v/>
      </c>
      <c r="R143">
        <f>SUMIFS(Allocation!$J$2:$J$175,Allocation!$C$2:$C$175,A143,Allocation!$E$2:$E$175,C143)</f>
        <v/>
      </c>
      <c r="S143">
        <f>SUMIFS(Allocation!$K$2:$K$175,Allocation!$C$2:$C$175,A143,Allocation!$E$2:$E$175,C143)</f>
        <v/>
      </c>
      <c r="T143">
        <f>SUMIFS(Allocation!$I$2:$I$175,Allocation!$C$2:$C$175,A143)</f>
        <v/>
      </c>
      <c r="U143">
        <f>SUMIFS(Allocation!$J$2:$J$175,Allocation!$C$2:$C$175,A143)</f>
        <v/>
      </c>
      <c r="V143">
        <f>SUMIFS(Allocation!$K$2:$K$175,Allocation!$C$2:$C$175,A143)</f>
        <v/>
      </c>
      <c r="W143">
        <f>SUMIFS(Compta!$F$2:$F$675,Compta!$A$2:$A$675,B143,Compta!$B$2:$B$675,"621",Compta!$C$2:$C$675,A143)</f>
        <v/>
      </c>
      <c r="X143">
        <f>SUMIFS(Compta!$F$2:$F$675,Compta!$A$2:$A$675,B143,Compta!$B$2:$B$675,"6411",Compta!$C$2:$C$675,A143)</f>
        <v/>
      </c>
      <c r="Y143">
        <f>SUMIFS(Compta!$F$2:$F$675,Compta!$A$2:$A$675,B143,Compta!$B$2:$B$675,"604",Compta!$C$2:$C$675,A143)+SUMIFS(Compta!$F$2:$F$675,Compta!$A$2:$A$675,B143,Compta!$B$2:$B$675,"6063",Compta!$C$2:$C$675,A143)</f>
        <v/>
      </c>
      <c r="Z143">
        <f>SUMIFS(Compta!$F$2:$F$675,Compta!$A$2:$A$675,B143,Compta!$B$2:$B$675,"6231",Compta!$C$2:$C$675,A143)</f>
        <v/>
      </c>
      <c r="AA143">
        <f>SUMIFS(Compta!$F$2:$F$675,Compta!$A$2:$A$675,B143,Compta!$B$2:$B$675,"6413",Compta!$C$2:$C$675,A143)+SUMIFS(Compta!$F$2:$F$675,Compta!$A$2:$A$675,B143,Compta!$B$2:$B$675,"645",Compta!$C$2:$C$675,A143)+SUMIFS(Compta!$F$2:$F$675,Compta!$A$2:$A$675,B143,Compta!$B$2:$B$675,"613",Compta!$C$2:$C$675,A143)+SUMIFS(Compta!$F$2:$F$675,Compta!$A$2:$A$675,B143,Compta!$B$2:$B$675,"615",Compta!$C$2:$C$675,A143)+SUMIFS(Compta!$F$2:$F$675,Compta!$A$2:$A$675,B143,Compta!$B$2:$B$675,"616",Compta!$C$2:$C$675,A143)+SUMIFS(Compta!$F$2:$F$675,Compta!$A$2:$A$675,B143,Compta!$B$2:$B$675,"625",Compta!$C$2:$C$675,A143)+SUMIFS(Compta!$F$2:$F$675,Compta!$A$2:$A$675,B143,Compta!$B$2:$B$675,"63511",Compta!$C$2:$C$675,A143)</f>
        <v/>
      </c>
      <c r="AB143">
        <f>SUMIFS(Compta!$F$2:$F$675,Compta!$A$2:$A$675,"GRP",Compta!$B$2:$B$675,"6414",Compta!$C$2:$C$675,A143)+SUMIFS(Compta!$F$2:$F$675,Compta!$A$2:$A$675,"GRP",Compta!$B$2:$B$675,"6226",Compta!$C$2:$C$675,A143)+SUMIFS(Compta!$F$2:$F$675,Compta!$A$2:$A$675,"GRP",Compta!$B$2:$B$675,"6236",Compta!$C$2:$C$675,A143)+SUMIFS(Compta!$F$2:$F$675,Compta!$A$2:$A$675,"GRP",Compta!$B$2:$B$675,"626",Compta!$C$2:$C$675,A143)+SUMIFS(Compta!$F$2:$F$675,Compta!$A$2:$A$675,"GRP",Compta!$B$2:$B$675,"6281",Compta!$C$2:$C$675,A143)+SUMIFS(Compta!$F$2:$F$675,Compta!$A$2:$A$675,"GRP",Compta!$B$2:$B$675,"6331",Compta!$C$2:$C$675,A143)+SUMIFS(Compta!$F$2:$F$675,Compta!$A$2:$A$675,"GRP",Compta!$B$2:$B$675,"6333",Compta!$C$2:$C$675,A143)</f>
        <v/>
      </c>
      <c r="AC143">
        <f>IF(Pilotage!$E$10="Chiffre d'affaires",I143,IF(Pilotage!$E$10="Effectif",G143,H143))</f>
        <v/>
      </c>
      <c r="AD143">
        <f>IF(Pilotage!$E$10="Chiffre d'affaires",N143,IF(Pilotage!$E$10="Effectif",L143,M143))</f>
        <v/>
      </c>
      <c r="AE143">
        <f>IF(Pilotage!$E$8="Chiffre d'affaires",N143,IF(Pilotage!$E$8="Effectif",L143,M143))</f>
        <v/>
      </c>
      <c r="AF143">
        <f>IF(Pilotage!$E$8="Chiffre d'affaires",S143,IF(Pilotage!$E$8="Effectif",Q143,R143))</f>
        <v/>
      </c>
      <c r="AG143">
        <f>IF(Pilotage!$E$9="Chiffre d'affaires",S143,IF(Pilotage!$E$9="Effectif",Q143,R143))</f>
        <v/>
      </c>
      <c r="AH143">
        <f>IF(Pilotage!$E$9="Chiffre d'affaires",V143,IF(Pilotage!$E$9="Effectif",T143,U143))</f>
        <v/>
      </c>
      <c r="AI143">
        <f>W143*IFERROR(K143/O143,0)</f>
        <v/>
      </c>
      <c r="AJ143">
        <f>X143*IFERROR(K143/O143,0)</f>
        <v/>
      </c>
      <c r="AK143">
        <f>Y143*IFERROR(G143/L143,0)+Z143*IFERROR(J143/P143,0)</f>
        <v/>
      </c>
      <c r="AL143">
        <f>AA143*IFERROR(AC143/AD143,0)</f>
        <v/>
      </c>
      <c r="AM143">
        <f>AB143*IFERROR(AG143/AH143,0)*IFERROR(AE143/AF143,0)*IFERROR(AC143/AD143,0)</f>
        <v/>
      </c>
      <c r="AN143">
        <f>I143-(AI143+AJ143+AK143+AL143+AM143)</f>
        <v/>
      </c>
    </row>
    <row r="144">
      <c r="A144">
        <f>Allocation!C144</f>
        <v/>
      </c>
      <c r="B144">
        <f>Allocation!D144</f>
        <v/>
      </c>
      <c r="C144">
        <f>Allocation!E144</f>
        <v/>
      </c>
      <c r="D144">
        <f>Allocation!F144</f>
        <v/>
      </c>
      <c r="E144">
        <f>Allocation!G144</f>
        <v/>
      </c>
      <c r="F144">
        <f>Allocation!H144</f>
        <v/>
      </c>
      <c r="G144">
        <f>Allocation!I144</f>
        <v/>
      </c>
      <c r="H144">
        <f>Allocation!J144</f>
        <v/>
      </c>
      <c r="I144">
        <f>Allocation!K144</f>
        <v/>
      </c>
      <c r="J144">
        <f>SUMIFS(Socle!$K$2:$K$175,Socle!$C$2:$C$175,B144,Socle!$D$2:$D$175,D144,Socle!$E$2:$E$175,E144,Socle!$F$2:$F$175,F144,Socle!$G$2:$G$175,A144)</f>
        <v/>
      </c>
      <c r="K144">
        <f>H144*IF(AND(LEFT(D144,3)="BAC",F144="INIT"),600,IF(LEFT(D144,3)="BAC",480,IF(AND(LEFT(D144,3)="MAS",F144="INIT"),520,IF(LEFT(D144,3)="MAS",420,IF(F144="INIT",1000,700)))))</f>
        <v/>
      </c>
      <c r="L144">
        <f>SUMIFS(Allocation!$I$2:$I$175,Allocation!$C$2:$C$175,A144,Allocation!$D$2:$D$175,B144)</f>
        <v/>
      </c>
      <c r="M144">
        <f>SUMIFS(Allocation!$J$2:$J$175,Allocation!$C$2:$C$175,A144,Allocation!$D$2:$D$175,B144)</f>
        <v/>
      </c>
      <c r="N144">
        <f>SUMIFS(Allocation!$K$2:$K$175,Allocation!$C$2:$C$175,A144,Allocation!$D$2:$D$175,B144)</f>
        <v/>
      </c>
      <c r="O144">
        <f>SUMIFS($K$2:$K$175,$A$2:$A$175,A144,$B$2:$B$175,B144)</f>
        <v/>
      </c>
      <c r="P144">
        <f>SUMIFS($J$2:$J$175,$A$2:$A$175,A144,$B$2:$B$175,B144)</f>
        <v/>
      </c>
      <c r="Q144">
        <f>SUMIFS(Allocation!$I$2:$I$175,Allocation!$C$2:$C$175,A144,Allocation!$E$2:$E$175,C144)</f>
        <v/>
      </c>
      <c r="R144">
        <f>SUMIFS(Allocation!$J$2:$J$175,Allocation!$C$2:$C$175,A144,Allocation!$E$2:$E$175,C144)</f>
        <v/>
      </c>
      <c r="S144">
        <f>SUMIFS(Allocation!$K$2:$K$175,Allocation!$C$2:$C$175,A144,Allocation!$E$2:$E$175,C144)</f>
        <v/>
      </c>
      <c r="T144">
        <f>SUMIFS(Allocation!$I$2:$I$175,Allocation!$C$2:$C$175,A144)</f>
        <v/>
      </c>
      <c r="U144">
        <f>SUMIFS(Allocation!$J$2:$J$175,Allocation!$C$2:$C$175,A144)</f>
        <v/>
      </c>
      <c r="V144">
        <f>SUMIFS(Allocation!$K$2:$K$175,Allocation!$C$2:$C$175,A144)</f>
        <v/>
      </c>
      <c r="W144">
        <f>SUMIFS(Compta!$F$2:$F$675,Compta!$A$2:$A$675,B144,Compta!$B$2:$B$675,"621",Compta!$C$2:$C$675,A144)</f>
        <v/>
      </c>
      <c r="X144">
        <f>SUMIFS(Compta!$F$2:$F$675,Compta!$A$2:$A$675,B144,Compta!$B$2:$B$675,"6411",Compta!$C$2:$C$675,A144)</f>
        <v/>
      </c>
      <c r="Y144">
        <f>SUMIFS(Compta!$F$2:$F$675,Compta!$A$2:$A$675,B144,Compta!$B$2:$B$675,"604",Compta!$C$2:$C$675,A144)+SUMIFS(Compta!$F$2:$F$675,Compta!$A$2:$A$675,B144,Compta!$B$2:$B$675,"6063",Compta!$C$2:$C$675,A144)</f>
        <v/>
      </c>
      <c r="Z144">
        <f>SUMIFS(Compta!$F$2:$F$675,Compta!$A$2:$A$675,B144,Compta!$B$2:$B$675,"6231",Compta!$C$2:$C$675,A144)</f>
        <v/>
      </c>
      <c r="AA144">
        <f>SUMIFS(Compta!$F$2:$F$675,Compta!$A$2:$A$675,B144,Compta!$B$2:$B$675,"6413",Compta!$C$2:$C$675,A144)+SUMIFS(Compta!$F$2:$F$675,Compta!$A$2:$A$675,B144,Compta!$B$2:$B$675,"645",Compta!$C$2:$C$675,A144)+SUMIFS(Compta!$F$2:$F$675,Compta!$A$2:$A$675,B144,Compta!$B$2:$B$675,"613",Compta!$C$2:$C$675,A144)+SUMIFS(Compta!$F$2:$F$675,Compta!$A$2:$A$675,B144,Compta!$B$2:$B$675,"615",Compta!$C$2:$C$675,A144)+SUMIFS(Compta!$F$2:$F$675,Compta!$A$2:$A$675,B144,Compta!$B$2:$B$675,"616",Compta!$C$2:$C$675,A144)+SUMIFS(Compta!$F$2:$F$675,Compta!$A$2:$A$675,B144,Compta!$B$2:$B$675,"625",Compta!$C$2:$C$675,A144)+SUMIFS(Compta!$F$2:$F$675,Compta!$A$2:$A$675,B144,Compta!$B$2:$B$675,"63511",Compta!$C$2:$C$675,A144)</f>
        <v/>
      </c>
      <c r="AB144">
        <f>SUMIFS(Compta!$F$2:$F$675,Compta!$A$2:$A$675,"GRP",Compta!$B$2:$B$675,"6414",Compta!$C$2:$C$675,A144)+SUMIFS(Compta!$F$2:$F$675,Compta!$A$2:$A$675,"GRP",Compta!$B$2:$B$675,"6226",Compta!$C$2:$C$675,A144)+SUMIFS(Compta!$F$2:$F$675,Compta!$A$2:$A$675,"GRP",Compta!$B$2:$B$675,"6236",Compta!$C$2:$C$675,A144)+SUMIFS(Compta!$F$2:$F$675,Compta!$A$2:$A$675,"GRP",Compta!$B$2:$B$675,"626",Compta!$C$2:$C$675,A144)+SUMIFS(Compta!$F$2:$F$675,Compta!$A$2:$A$675,"GRP",Compta!$B$2:$B$675,"6281",Compta!$C$2:$C$675,A144)+SUMIFS(Compta!$F$2:$F$675,Compta!$A$2:$A$675,"GRP",Compta!$B$2:$B$675,"6331",Compta!$C$2:$C$675,A144)+SUMIFS(Compta!$F$2:$F$675,Compta!$A$2:$A$675,"GRP",Compta!$B$2:$B$675,"6333",Compta!$C$2:$C$675,A144)</f>
        <v/>
      </c>
      <c r="AC144">
        <f>IF(Pilotage!$E$10="Chiffre d'affaires",I144,IF(Pilotage!$E$10="Effectif",G144,H144))</f>
        <v/>
      </c>
      <c r="AD144">
        <f>IF(Pilotage!$E$10="Chiffre d'affaires",N144,IF(Pilotage!$E$10="Effectif",L144,M144))</f>
        <v/>
      </c>
      <c r="AE144">
        <f>IF(Pilotage!$E$8="Chiffre d'affaires",N144,IF(Pilotage!$E$8="Effectif",L144,M144))</f>
        <v/>
      </c>
      <c r="AF144">
        <f>IF(Pilotage!$E$8="Chiffre d'affaires",S144,IF(Pilotage!$E$8="Effectif",Q144,R144))</f>
        <v/>
      </c>
      <c r="AG144">
        <f>IF(Pilotage!$E$9="Chiffre d'affaires",S144,IF(Pilotage!$E$9="Effectif",Q144,R144))</f>
        <v/>
      </c>
      <c r="AH144">
        <f>IF(Pilotage!$E$9="Chiffre d'affaires",V144,IF(Pilotage!$E$9="Effectif",T144,U144))</f>
        <v/>
      </c>
      <c r="AI144">
        <f>W144*IFERROR(K144/O144,0)</f>
        <v/>
      </c>
      <c r="AJ144">
        <f>X144*IFERROR(K144/O144,0)</f>
        <v/>
      </c>
      <c r="AK144">
        <f>Y144*IFERROR(G144/L144,0)+Z144*IFERROR(J144/P144,0)</f>
        <v/>
      </c>
      <c r="AL144">
        <f>AA144*IFERROR(AC144/AD144,0)</f>
        <v/>
      </c>
      <c r="AM144">
        <f>AB144*IFERROR(AG144/AH144,0)*IFERROR(AE144/AF144,0)*IFERROR(AC144/AD144,0)</f>
        <v/>
      </c>
      <c r="AN144">
        <f>I144-(AI144+AJ144+AK144+AL144+AM144)</f>
        <v/>
      </c>
    </row>
    <row r="145">
      <c r="A145">
        <f>Allocation!C145</f>
        <v/>
      </c>
      <c r="B145">
        <f>Allocation!D145</f>
        <v/>
      </c>
      <c r="C145">
        <f>Allocation!E145</f>
        <v/>
      </c>
      <c r="D145">
        <f>Allocation!F145</f>
        <v/>
      </c>
      <c r="E145">
        <f>Allocation!G145</f>
        <v/>
      </c>
      <c r="F145">
        <f>Allocation!H145</f>
        <v/>
      </c>
      <c r="G145">
        <f>Allocation!I145</f>
        <v/>
      </c>
      <c r="H145">
        <f>Allocation!J145</f>
        <v/>
      </c>
      <c r="I145">
        <f>Allocation!K145</f>
        <v/>
      </c>
      <c r="J145">
        <f>SUMIFS(Socle!$K$2:$K$175,Socle!$C$2:$C$175,B145,Socle!$D$2:$D$175,D145,Socle!$E$2:$E$175,E145,Socle!$F$2:$F$175,F145,Socle!$G$2:$G$175,A145)</f>
        <v/>
      </c>
      <c r="K145">
        <f>H145*IF(AND(LEFT(D145,3)="BAC",F145="INIT"),600,IF(LEFT(D145,3)="BAC",480,IF(AND(LEFT(D145,3)="MAS",F145="INIT"),520,IF(LEFT(D145,3)="MAS",420,IF(F145="INIT",1000,700)))))</f>
        <v/>
      </c>
      <c r="L145">
        <f>SUMIFS(Allocation!$I$2:$I$175,Allocation!$C$2:$C$175,A145,Allocation!$D$2:$D$175,B145)</f>
        <v/>
      </c>
      <c r="M145">
        <f>SUMIFS(Allocation!$J$2:$J$175,Allocation!$C$2:$C$175,A145,Allocation!$D$2:$D$175,B145)</f>
        <v/>
      </c>
      <c r="N145">
        <f>SUMIFS(Allocation!$K$2:$K$175,Allocation!$C$2:$C$175,A145,Allocation!$D$2:$D$175,B145)</f>
        <v/>
      </c>
      <c r="O145">
        <f>SUMIFS($K$2:$K$175,$A$2:$A$175,A145,$B$2:$B$175,B145)</f>
        <v/>
      </c>
      <c r="P145">
        <f>SUMIFS($J$2:$J$175,$A$2:$A$175,A145,$B$2:$B$175,B145)</f>
        <v/>
      </c>
      <c r="Q145">
        <f>SUMIFS(Allocation!$I$2:$I$175,Allocation!$C$2:$C$175,A145,Allocation!$E$2:$E$175,C145)</f>
        <v/>
      </c>
      <c r="R145">
        <f>SUMIFS(Allocation!$J$2:$J$175,Allocation!$C$2:$C$175,A145,Allocation!$E$2:$E$175,C145)</f>
        <v/>
      </c>
      <c r="S145">
        <f>SUMIFS(Allocation!$K$2:$K$175,Allocation!$C$2:$C$175,A145,Allocation!$E$2:$E$175,C145)</f>
        <v/>
      </c>
      <c r="T145">
        <f>SUMIFS(Allocation!$I$2:$I$175,Allocation!$C$2:$C$175,A145)</f>
        <v/>
      </c>
      <c r="U145">
        <f>SUMIFS(Allocation!$J$2:$J$175,Allocation!$C$2:$C$175,A145)</f>
        <v/>
      </c>
      <c r="V145">
        <f>SUMIFS(Allocation!$K$2:$K$175,Allocation!$C$2:$C$175,A145)</f>
        <v/>
      </c>
      <c r="W145">
        <f>SUMIFS(Compta!$F$2:$F$675,Compta!$A$2:$A$675,B145,Compta!$B$2:$B$675,"621",Compta!$C$2:$C$675,A145)</f>
        <v/>
      </c>
      <c r="X145">
        <f>SUMIFS(Compta!$F$2:$F$675,Compta!$A$2:$A$675,B145,Compta!$B$2:$B$675,"6411",Compta!$C$2:$C$675,A145)</f>
        <v/>
      </c>
      <c r="Y145">
        <f>SUMIFS(Compta!$F$2:$F$675,Compta!$A$2:$A$675,B145,Compta!$B$2:$B$675,"604",Compta!$C$2:$C$675,A145)+SUMIFS(Compta!$F$2:$F$675,Compta!$A$2:$A$675,B145,Compta!$B$2:$B$675,"6063",Compta!$C$2:$C$675,A145)</f>
        <v/>
      </c>
      <c r="Z145">
        <f>SUMIFS(Compta!$F$2:$F$675,Compta!$A$2:$A$675,B145,Compta!$B$2:$B$675,"6231",Compta!$C$2:$C$675,A145)</f>
        <v/>
      </c>
      <c r="AA145">
        <f>SUMIFS(Compta!$F$2:$F$675,Compta!$A$2:$A$675,B145,Compta!$B$2:$B$675,"6413",Compta!$C$2:$C$675,A145)+SUMIFS(Compta!$F$2:$F$675,Compta!$A$2:$A$675,B145,Compta!$B$2:$B$675,"645",Compta!$C$2:$C$675,A145)+SUMIFS(Compta!$F$2:$F$675,Compta!$A$2:$A$675,B145,Compta!$B$2:$B$675,"613",Compta!$C$2:$C$675,A145)+SUMIFS(Compta!$F$2:$F$675,Compta!$A$2:$A$675,B145,Compta!$B$2:$B$675,"615",Compta!$C$2:$C$675,A145)+SUMIFS(Compta!$F$2:$F$675,Compta!$A$2:$A$675,B145,Compta!$B$2:$B$675,"616",Compta!$C$2:$C$675,A145)+SUMIFS(Compta!$F$2:$F$675,Compta!$A$2:$A$675,B145,Compta!$B$2:$B$675,"625",Compta!$C$2:$C$675,A145)+SUMIFS(Compta!$F$2:$F$675,Compta!$A$2:$A$675,B145,Compta!$B$2:$B$675,"63511",Compta!$C$2:$C$675,A145)</f>
        <v/>
      </c>
      <c r="AB145">
        <f>SUMIFS(Compta!$F$2:$F$675,Compta!$A$2:$A$675,"GRP",Compta!$B$2:$B$675,"6414",Compta!$C$2:$C$675,A145)+SUMIFS(Compta!$F$2:$F$675,Compta!$A$2:$A$675,"GRP",Compta!$B$2:$B$675,"6226",Compta!$C$2:$C$675,A145)+SUMIFS(Compta!$F$2:$F$675,Compta!$A$2:$A$675,"GRP",Compta!$B$2:$B$675,"6236",Compta!$C$2:$C$675,A145)+SUMIFS(Compta!$F$2:$F$675,Compta!$A$2:$A$675,"GRP",Compta!$B$2:$B$675,"626",Compta!$C$2:$C$675,A145)+SUMIFS(Compta!$F$2:$F$675,Compta!$A$2:$A$675,"GRP",Compta!$B$2:$B$675,"6281",Compta!$C$2:$C$675,A145)+SUMIFS(Compta!$F$2:$F$675,Compta!$A$2:$A$675,"GRP",Compta!$B$2:$B$675,"6331",Compta!$C$2:$C$675,A145)+SUMIFS(Compta!$F$2:$F$675,Compta!$A$2:$A$675,"GRP",Compta!$B$2:$B$675,"6333",Compta!$C$2:$C$675,A145)</f>
        <v/>
      </c>
      <c r="AC145">
        <f>IF(Pilotage!$E$10="Chiffre d'affaires",I145,IF(Pilotage!$E$10="Effectif",G145,H145))</f>
        <v/>
      </c>
      <c r="AD145">
        <f>IF(Pilotage!$E$10="Chiffre d'affaires",N145,IF(Pilotage!$E$10="Effectif",L145,M145))</f>
        <v/>
      </c>
      <c r="AE145">
        <f>IF(Pilotage!$E$8="Chiffre d'affaires",N145,IF(Pilotage!$E$8="Effectif",L145,M145))</f>
        <v/>
      </c>
      <c r="AF145">
        <f>IF(Pilotage!$E$8="Chiffre d'affaires",S145,IF(Pilotage!$E$8="Effectif",Q145,R145))</f>
        <v/>
      </c>
      <c r="AG145">
        <f>IF(Pilotage!$E$9="Chiffre d'affaires",S145,IF(Pilotage!$E$9="Effectif",Q145,R145))</f>
        <v/>
      </c>
      <c r="AH145">
        <f>IF(Pilotage!$E$9="Chiffre d'affaires",V145,IF(Pilotage!$E$9="Effectif",T145,U145))</f>
        <v/>
      </c>
      <c r="AI145">
        <f>W145*IFERROR(K145/O145,0)</f>
        <v/>
      </c>
      <c r="AJ145">
        <f>X145*IFERROR(K145/O145,0)</f>
        <v/>
      </c>
      <c r="AK145">
        <f>Y145*IFERROR(G145/L145,0)+Z145*IFERROR(J145/P145,0)</f>
        <v/>
      </c>
      <c r="AL145">
        <f>AA145*IFERROR(AC145/AD145,0)</f>
        <v/>
      </c>
      <c r="AM145">
        <f>AB145*IFERROR(AG145/AH145,0)*IFERROR(AE145/AF145,0)*IFERROR(AC145/AD145,0)</f>
        <v/>
      </c>
      <c r="AN145">
        <f>I145-(AI145+AJ145+AK145+AL145+AM145)</f>
        <v/>
      </c>
    </row>
    <row r="146">
      <c r="A146">
        <f>Allocation!C146</f>
        <v/>
      </c>
      <c r="B146">
        <f>Allocation!D146</f>
        <v/>
      </c>
      <c r="C146">
        <f>Allocation!E146</f>
        <v/>
      </c>
      <c r="D146">
        <f>Allocation!F146</f>
        <v/>
      </c>
      <c r="E146">
        <f>Allocation!G146</f>
        <v/>
      </c>
      <c r="F146">
        <f>Allocation!H146</f>
        <v/>
      </c>
      <c r="G146">
        <f>Allocation!I146</f>
        <v/>
      </c>
      <c r="H146">
        <f>Allocation!J146</f>
        <v/>
      </c>
      <c r="I146">
        <f>Allocation!K146</f>
        <v/>
      </c>
      <c r="J146">
        <f>SUMIFS(Socle!$K$2:$K$175,Socle!$C$2:$C$175,B146,Socle!$D$2:$D$175,D146,Socle!$E$2:$E$175,E146,Socle!$F$2:$F$175,F146,Socle!$G$2:$G$175,A146)</f>
        <v/>
      </c>
      <c r="K146">
        <f>H146*IF(AND(LEFT(D146,3)="BAC",F146="INIT"),600,IF(LEFT(D146,3)="BAC",480,IF(AND(LEFT(D146,3)="MAS",F146="INIT"),520,IF(LEFT(D146,3)="MAS",420,IF(F146="INIT",1000,700)))))</f>
        <v/>
      </c>
      <c r="L146">
        <f>SUMIFS(Allocation!$I$2:$I$175,Allocation!$C$2:$C$175,A146,Allocation!$D$2:$D$175,B146)</f>
        <v/>
      </c>
      <c r="M146">
        <f>SUMIFS(Allocation!$J$2:$J$175,Allocation!$C$2:$C$175,A146,Allocation!$D$2:$D$175,B146)</f>
        <v/>
      </c>
      <c r="N146">
        <f>SUMIFS(Allocation!$K$2:$K$175,Allocation!$C$2:$C$175,A146,Allocation!$D$2:$D$175,B146)</f>
        <v/>
      </c>
      <c r="O146">
        <f>SUMIFS($K$2:$K$175,$A$2:$A$175,A146,$B$2:$B$175,B146)</f>
        <v/>
      </c>
      <c r="P146">
        <f>SUMIFS($J$2:$J$175,$A$2:$A$175,A146,$B$2:$B$175,B146)</f>
        <v/>
      </c>
      <c r="Q146">
        <f>SUMIFS(Allocation!$I$2:$I$175,Allocation!$C$2:$C$175,A146,Allocation!$E$2:$E$175,C146)</f>
        <v/>
      </c>
      <c r="R146">
        <f>SUMIFS(Allocation!$J$2:$J$175,Allocation!$C$2:$C$175,A146,Allocation!$E$2:$E$175,C146)</f>
        <v/>
      </c>
      <c r="S146">
        <f>SUMIFS(Allocation!$K$2:$K$175,Allocation!$C$2:$C$175,A146,Allocation!$E$2:$E$175,C146)</f>
        <v/>
      </c>
      <c r="T146">
        <f>SUMIFS(Allocation!$I$2:$I$175,Allocation!$C$2:$C$175,A146)</f>
        <v/>
      </c>
      <c r="U146">
        <f>SUMIFS(Allocation!$J$2:$J$175,Allocation!$C$2:$C$175,A146)</f>
        <v/>
      </c>
      <c r="V146">
        <f>SUMIFS(Allocation!$K$2:$K$175,Allocation!$C$2:$C$175,A146)</f>
        <v/>
      </c>
      <c r="W146">
        <f>SUMIFS(Compta!$F$2:$F$675,Compta!$A$2:$A$675,B146,Compta!$B$2:$B$675,"621",Compta!$C$2:$C$675,A146)</f>
        <v/>
      </c>
      <c r="X146">
        <f>SUMIFS(Compta!$F$2:$F$675,Compta!$A$2:$A$675,B146,Compta!$B$2:$B$675,"6411",Compta!$C$2:$C$675,A146)</f>
        <v/>
      </c>
      <c r="Y146">
        <f>SUMIFS(Compta!$F$2:$F$675,Compta!$A$2:$A$675,B146,Compta!$B$2:$B$675,"604",Compta!$C$2:$C$675,A146)+SUMIFS(Compta!$F$2:$F$675,Compta!$A$2:$A$675,B146,Compta!$B$2:$B$675,"6063",Compta!$C$2:$C$675,A146)</f>
        <v/>
      </c>
      <c r="Z146">
        <f>SUMIFS(Compta!$F$2:$F$675,Compta!$A$2:$A$675,B146,Compta!$B$2:$B$675,"6231",Compta!$C$2:$C$675,A146)</f>
        <v/>
      </c>
      <c r="AA146">
        <f>SUMIFS(Compta!$F$2:$F$675,Compta!$A$2:$A$675,B146,Compta!$B$2:$B$675,"6413",Compta!$C$2:$C$675,A146)+SUMIFS(Compta!$F$2:$F$675,Compta!$A$2:$A$675,B146,Compta!$B$2:$B$675,"645",Compta!$C$2:$C$675,A146)+SUMIFS(Compta!$F$2:$F$675,Compta!$A$2:$A$675,B146,Compta!$B$2:$B$675,"613",Compta!$C$2:$C$675,A146)+SUMIFS(Compta!$F$2:$F$675,Compta!$A$2:$A$675,B146,Compta!$B$2:$B$675,"615",Compta!$C$2:$C$675,A146)+SUMIFS(Compta!$F$2:$F$675,Compta!$A$2:$A$675,B146,Compta!$B$2:$B$675,"616",Compta!$C$2:$C$675,A146)+SUMIFS(Compta!$F$2:$F$675,Compta!$A$2:$A$675,B146,Compta!$B$2:$B$675,"625",Compta!$C$2:$C$675,A146)+SUMIFS(Compta!$F$2:$F$675,Compta!$A$2:$A$675,B146,Compta!$B$2:$B$675,"63511",Compta!$C$2:$C$675,A146)</f>
        <v/>
      </c>
      <c r="AB146">
        <f>SUMIFS(Compta!$F$2:$F$675,Compta!$A$2:$A$675,"GRP",Compta!$B$2:$B$675,"6414",Compta!$C$2:$C$675,A146)+SUMIFS(Compta!$F$2:$F$675,Compta!$A$2:$A$675,"GRP",Compta!$B$2:$B$675,"6226",Compta!$C$2:$C$675,A146)+SUMIFS(Compta!$F$2:$F$675,Compta!$A$2:$A$675,"GRP",Compta!$B$2:$B$675,"6236",Compta!$C$2:$C$675,A146)+SUMIFS(Compta!$F$2:$F$675,Compta!$A$2:$A$675,"GRP",Compta!$B$2:$B$675,"626",Compta!$C$2:$C$675,A146)+SUMIFS(Compta!$F$2:$F$675,Compta!$A$2:$A$675,"GRP",Compta!$B$2:$B$675,"6281",Compta!$C$2:$C$675,A146)+SUMIFS(Compta!$F$2:$F$675,Compta!$A$2:$A$675,"GRP",Compta!$B$2:$B$675,"6331",Compta!$C$2:$C$675,A146)+SUMIFS(Compta!$F$2:$F$675,Compta!$A$2:$A$675,"GRP",Compta!$B$2:$B$675,"6333",Compta!$C$2:$C$675,A146)</f>
        <v/>
      </c>
      <c r="AC146">
        <f>IF(Pilotage!$E$10="Chiffre d'affaires",I146,IF(Pilotage!$E$10="Effectif",G146,H146))</f>
        <v/>
      </c>
      <c r="AD146">
        <f>IF(Pilotage!$E$10="Chiffre d'affaires",N146,IF(Pilotage!$E$10="Effectif",L146,M146))</f>
        <v/>
      </c>
      <c r="AE146">
        <f>IF(Pilotage!$E$8="Chiffre d'affaires",N146,IF(Pilotage!$E$8="Effectif",L146,M146))</f>
        <v/>
      </c>
      <c r="AF146">
        <f>IF(Pilotage!$E$8="Chiffre d'affaires",S146,IF(Pilotage!$E$8="Effectif",Q146,R146))</f>
        <v/>
      </c>
      <c r="AG146">
        <f>IF(Pilotage!$E$9="Chiffre d'affaires",S146,IF(Pilotage!$E$9="Effectif",Q146,R146))</f>
        <v/>
      </c>
      <c r="AH146">
        <f>IF(Pilotage!$E$9="Chiffre d'affaires",V146,IF(Pilotage!$E$9="Effectif",T146,U146))</f>
        <v/>
      </c>
      <c r="AI146">
        <f>W146*IFERROR(K146/O146,0)</f>
        <v/>
      </c>
      <c r="AJ146">
        <f>X146*IFERROR(K146/O146,0)</f>
        <v/>
      </c>
      <c r="AK146">
        <f>Y146*IFERROR(G146/L146,0)+Z146*IFERROR(J146/P146,0)</f>
        <v/>
      </c>
      <c r="AL146">
        <f>AA146*IFERROR(AC146/AD146,0)</f>
        <v/>
      </c>
      <c r="AM146">
        <f>AB146*IFERROR(AG146/AH146,0)*IFERROR(AE146/AF146,0)*IFERROR(AC146/AD146,0)</f>
        <v/>
      </c>
      <c r="AN146">
        <f>I146-(AI146+AJ146+AK146+AL146+AM146)</f>
        <v/>
      </c>
    </row>
    <row r="147">
      <c r="A147">
        <f>Allocation!C147</f>
        <v/>
      </c>
      <c r="B147">
        <f>Allocation!D147</f>
        <v/>
      </c>
      <c r="C147">
        <f>Allocation!E147</f>
        <v/>
      </c>
      <c r="D147">
        <f>Allocation!F147</f>
        <v/>
      </c>
      <c r="E147">
        <f>Allocation!G147</f>
        <v/>
      </c>
      <c r="F147">
        <f>Allocation!H147</f>
        <v/>
      </c>
      <c r="G147">
        <f>Allocation!I147</f>
        <v/>
      </c>
      <c r="H147">
        <f>Allocation!J147</f>
        <v/>
      </c>
      <c r="I147">
        <f>Allocation!K147</f>
        <v/>
      </c>
      <c r="J147">
        <f>SUMIFS(Socle!$K$2:$K$175,Socle!$C$2:$C$175,B147,Socle!$D$2:$D$175,D147,Socle!$E$2:$E$175,E147,Socle!$F$2:$F$175,F147,Socle!$G$2:$G$175,A147)</f>
        <v/>
      </c>
      <c r="K147">
        <f>H147*IF(AND(LEFT(D147,3)="BAC",F147="INIT"),600,IF(LEFT(D147,3)="BAC",480,IF(AND(LEFT(D147,3)="MAS",F147="INIT"),520,IF(LEFT(D147,3)="MAS",420,IF(F147="INIT",1000,700)))))</f>
        <v/>
      </c>
      <c r="L147">
        <f>SUMIFS(Allocation!$I$2:$I$175,Allocation!$C$2:$C$175,A147,Allocation!$D$2:$D$175,B147)</f>
        <v/>
      </c>
      <c r="M147">
        <f>SUMIFS(Allocation!$J$2:$J$175,Allocation!$C$2:$C$175,A147,Allocation!$D$2:$D$175,B147)</f>
        <v/>
      </c>
      <c r="N147">
        <f>SUMIFS(Allocation!$K$2:$K$175,Allocation!$C$2:$C$175,A147,Allocation!$D$2:$D$175,B147)</f>
        <v/>
      </c>
      <c r="O147">
        <f>SUMIFS($K$2:$K$175,$A$2:$A$175,A147,$B$2:$B$175,B147)</f>
        <v/>
      </c>
      <c r="P147">
        <f>SUMIFS($J$2:$J$175,$A$2:$A$175,A147,$B$2:$B$175,B147)</f>
        <v/>
      </c>
      <c r="Q147">
        <f>SUMIFS(Allocation!$I$2:$I$175,Allocation!$C$2:$C$175,A147,Allocation!$E$2:$E$175,C147)</f>
        <v/>
      </c>
      <c r="R147">
        <f>SUMIFS(Allocation!$J$2:$J$175,Allocation!$C$2:$C$175,A147,Allocation!$E$2:$E$175,C147)</f>
        <v/>
      </c>
      <c r="S147">
        <f>SUMIFS(Allocation!$K$2:$K$175,Allocation!$C$2:$C$175,A147,Allocation!$E$2:$E$175,C147)</f>
        <v/>
      </c>
      <c r="T147">
        <f>SUMIFS(Allocation!$I$2:$I$175,Allocation!$C$2:$C$175,A147)</f>
        <v/>
      </c>
      <c r="U147">
        <f>SUMIFS(Allocation!$J$2:$J$175,Allocation!$C$2:$C$175,A147)</f>
        <v/>
      </c>
      <c r="V147">
        <f>SUMIFS(Allocation!$K$2:$K$175,Allocation!$C$2:$C$175,A147)</f>
        <v/>
      </c>
      <c r="W147">
        <f>SUMIFS(Compta!$F$2:$F$675,Compta!$A$2:$A$675,B147,Compta!$B$2:$B$675,"621",Compta!$C$2:$C$675,A147)</f>
        <v/>
      </c>
      <c r="X147">
        <f>SUMIFS(Compta!$F$2:$F$675,Compta!$A$2:$A$675,B147,Compta!$B$2:$B$675,"6411",Compta!$C$2:$C$675,A147)</f>
        <v/>
      </c>
      <c r="Y147">
        <f>SUMIFS(Compta!$F$2:$F$675,Compta!$A$2:$A$675,B147,Compta!$B$2:$B$675,"604",Compta!$C$2:$C$675,A147)+SUMIFS(Compta!$F$2:$F$675,Compta!$A$2:$A$675,B147,Compta!$B$2:$B$675,"6063",Compta!$C$2:$C$675,A147)</f>
        <v/>
      </c>
      <c r="Z147">
        <f>SUMIFS(Compta!$F$2:$F$675,Compta!$A$2:$A$675,B147,Compta!$B$2:$B$675,"6231",Compta!$C$2:$C$675,A147)</f>
        <v/>
      </c>
      <c r="AA147">
        <f>SUMIFS(Compta!$F$2:$F$675,Compta!$A$2:$A$675,B147,Compta!$B$2:$B$675,"6413",Compta!$C$2:$C$675,A147)+SUMIFS(Compta!$F$2:$F$675,Compta!$A$2:$A$675,B147,Compta!$B$2:$B$675,"645",Compta!$C$2:$C$675,A147)+SUMIFS(Compta!$F$2:$F$675,Compta!$A$2:$A$675,B147,Compta!$B$2:$B$675,"613",Compta!$C$2:$C$675,A147)+SUMIFS(Compta!$F$2:$F$675,Compta!$A$2:$A$675,B147,Compta!$B$2:$B$675,"615",Compta!$C$2:$C$675,A147)+SUMIFS(Compta!$F$2:$F$675,Compta!$A$2:$A$675,B147,Compta!$B$2:$B$675,"616",Compta!$C$2:$C$675,A147)+SUMIFS(Compta!$F$2:$F$675,Compta!$A$2:$A$675,B147,Compta!$B$2:$B$675,"625",Compta!$C$2:$C$675,A147)+SUMIFS(Compta!$F$2:$F$675,Compta!$A$2:$A$675,B147,Compta!$B$2:$B$675,"63511",Compta!$C$2:$C$675,A147)</f>
        <v/>
      </c>
      <c r="AB147">
        <f>SUMIFS(Compta!$F$2:$F$675,Compta!$A$2:$A$675,"GRP",Compta!$B$2:$B$675,"6414",Compta!$C$2:$C$675,A147)+SUMIFS(Compta!$F$2:$F$675,Compta!$A$2:$A$675,"GRP",Compta!$B$2:$B$675,"6226",Compta!$C$2:$C$675,A147)+SUMIFS(Compta!$F$2:$F$675,Compta!$A$2:$A$675,"GRP",Compta!$B$2:$B$675,"6236",Compta!$C$2:$C$675,A147)+SUMIFS(Compta!$F$2:$F$675,Compta!$A$2:$A$675,"GRP",Compta!$B$2:$B$675,"626",Compta!$C$2:$C$675,A147)+SUMIFS(Compta!$F$2:$F$675,Compta!$A$2:$A$675,"GRP",Compta!$B$2:$B$675,"6281",Compta!$C$2:$C$675,A147)+SUMIFS(Compta!$F$2:$F$675,Compta!$A$2:$A$675,"GRP",Compta!$B$2:$B$675,"6331",Compta!$C$2:$C$675,A147)+SUMIFS(Compta!$F$2:$F$675,Compta!$A$2:$A$675,"GRP",Compta!$B$2:$B$675,"6333",Compta!$C$2:$C$675,A147)</f>
        <v/>
      </c>
      <c r="AC147">
        <f>IF(Pilotage!$E$10="Chiffre d'affaires",I147,IF(Pilotage!$E$10="Effectif",G147,H147))</f>
        <v/>
      </c>
      <c r="AD147">
        <f>IF(Pilotage!$E$10="Chiffre d'affaires",N147,IF(Pilotage!$E$10="Effectif",L147,M147))</f>
        <v/>
      </c>
      <c r="AE147">
        <f>IF(Pilotage!$E$8="Chiffre d'affaires",N147,IF(Pilotage!$E$8="Effectif",L147,M147))</f>
        <v/>
      </c>
      <c r="AF147">
        <f>IF(Pilotage!$E$8="Chiffre d'affaires",S147,IF(Pilotage!$E$8="Effectif",Q147,R147))</f>
        <v/>
      </c>
      <c r="AG147">
        <f>IF(Pilotage!$E$9="Chiffre d'affaires",S147,IF(Pilotage!$E$9="Effectif",Q147,R147))</f>
        <v/>
      </c>
      <c r="AH147">
        <f>IF(Pilotage!$E$9="Chiffre d'affaires",V147,IF(Pilotage!$E$9="Effectif",T147,U147))</f>
        <v/>
      </c>
      <c r="AI147">
        <f>W147*IFERROR(K147/O147,0)</f>
        <v/>
      </c>
      <c r="AJ147">
        <f>X147*IFERROR(K147/O147,0)</f>
        <v/>
      </c>
      <c r="AK147">
        <f>Y147*IFERROR(G147/L147,0)+Z147*IFERROR(J147/P147,0)</f>
        <v/>
      </c>
      <c r="AL147">
        <f>AA147*IFERROR(AC147/AD147,0)</f>
        <v/>
      </c>
      <c r="AM147">
        <f>AB147*IFERROR(AG147/AH147,0)*IFERROR(AE147/AF147,0)*IFERROR(AC147/AD147,0)</f>
        <v/>
      </c>
      <c r="AN147">
        <f>I147-(AI147+AJ147+AK147+AL147+AM147)</f>
        <v/>
      </c>
    </row>
    <row r="148">
      <c r="A148">
        <f>Allocation!C148</f>
        <v/>
      </c>
      <c r="B148">
        <f>Allocation!D148</f>
        <v/>
      </c>
      <c r="C148">
        <f>Allocation!E148</f>
        <v/>
      </c>
      <c r="D148">
        <f>Allocation!F148</f>
        <v/>
      </c>
      <c r="E148">
        <f>Allocation!G148</f>
        <v/>
      </c>
      <c r="F148">
        <f>Allocation!H148</f>
        <v/>
      </c>
      <c r="G148">
        <f>Allocation!I148</f>
        <v/>
      </c>
      <c r="H148">
        <f>Allocation!J148</f>
        <v/>
      </c>
      <c r="I148">
        <f>Allocation!K148</f>
        <v/>
      </c>
      <c r="J148">
        <f>SUMIFS(Socle!$K$2:$K$175,Socle!$C$2:$C$175,B148,Socle!$D$2:$D$175,D148,Socle!$E$2:$E$175,E148,Socle!$F$2:$F$175,F148,Socle!$G$2:$G$175,A148)</f>
        <v/>
      </c>
      <c r="K148">
        <f>H148*IF(AND(LEFT(D148,3)="BAC",F148="INIT"),600,IF(LEFT(D148,3)="BAC",480,IF(AND(LEFT(D148,3)="MAS",F148="INIT"),520,IF(LEFT(D148,3)="MAS",420,IF(F148="INIT",1000,700)))))</f>
        <v/>
      </c>
      <c r="L148">
        <f>SUMIFS(Allocation!$I$2:$I$175,Allocation!$C$2:$C$175,A148,Allocation!$D$2:$D$175,B148)</f>
        <v/>
      </c>
      <c r="M148">
        <f>SUMIFS(Allocation!$J$2:$J$175,Allocation!$C$2:$C$175,A148,Allocation!$D$2:$D$175,B148)</f>
        <v/>
      </c>
      <c r="N148">
        <f>SUMIFS(Allocation!$K$2:$K$175,Allocation!$C$2:$C$175,A148,Allocation!$D$2:$D$175,B148)</f>
        <v/>
      </c>
      <c r="O148">
        <f>SUMIFS($K$2:$K$175,$A$2:$A$175,A148,$B$2:$B$175,B148)</f>
        <v/>
      </c>
      <c r="P148">
        <f>SUMIFS($J$2:$J$175,$A$2:$A$175,A148,$B$2:$B$175,B148)</f>
        <v/>
      </c>
      <c r="Q148">
        <f>SUMIFS(Allocation!$I$2:$I$175,Allocation!$C$2:$C$175,A148,Allocation!$E$2:$E$175,C148)</f>
        <v/>
      </c>
      <c r="R148">
        <f>SUMIFS(Allocation!$J$2:$J$175,Allocation!$C$2:$C$175,A148,Allocation!$E$2:$E$175,C148)</f>
        <v/>
      </c>
      <c r="S148">
        <f>SUMIFS(Allocation!$K$2:$K$175,Allocation!$C$2:$C$175,A148,Allocation!$E$2:$E$175,C148)</f>
        <v/>
      </c>
      <c r="T148">
        <f>SUMIFS(Allocation!$I$2:$I$175,Allocation!$C$2:$C$175,A148)</f>
        <v/>
      </c>
      <c r="U148">
        <f>SUMIFS(Allocation!$J$2:$J$175,Allocation!$C$2:$C$175,A148)</f>
        <v/>
      </c>
      <c r="V148">
        <f>SUMIFS(Allocation!$K$2:$K$175,Allocation!$C$2:$C$175,A148)</f>
        <v/>
      </c>
      <c r="W148">
        <f>SUMIFS(Compta!$F$2:$F$675,Compta!$A$2:$A$675,B148,Compta!$B$2:$B$675,"621",Compta!$C$2:$C$675,A148)</f>
        <v/>
      </c>
      <c r="X148">
        <f>SUMIFS(Compta!$F$2:$F$675,Compta!$A$2:$A$675,B148,Compta!$B$2:$B$675,"6411",Compta!$C$2:$C$675,A148)</f>
        <v/>
      </c>
      <c r="Y148">
        <f>SUMIFS(Compta!$F$2:$F$675,Compta!$A$2:$A$675,B148,Compta!$B$2:$B$675,"604",Compta!$C$2:$C$675,A148)+SUMIFS(Compta!$F$2:$F$675,Compta!$A$2:$A$675,B148,Compta!$B$2:$B$675,"6063",Compta!$C$2:$C$675,A148)</f>
        <v/>
      </c>
      <c r="Z148">
        <f>SUMIFS(Compta!$F$2:$F$675,Compta!$A$2:$A$675,B148,Compta!$B$2:$B$675,"6231",Compta!$C$2:$C$675,A148)</f>
        <v/>
      </c>
      <c r="AA148">
        <f>SUMIFS(Compta!$F$2:$F$675,Compta!$A$2:$A$675,B148,Compta!$B$2:$B$675,"6413",Compta!$C$2:$C$675,A148)+SUMIFS(Compta!$F$2:$F$675,Compta!$A$2:$A$675,B148,Compta!$B$2:$B$675,"645",Compta!$C$2:$C$675,A148)+SUMIFS(Compta!$F$2:$F$675,Compta!$A$2:$A$675,B148,Compta!$B$2:$B$675,"613",Compta!$C$2:$C$675,A148)+SUMIFS(Compta!$F$2:$F$675,Compta!$A$2:$A$675,B148,Compta!$B$2:$B$675,"615",Compta!$C$2:$C$675,A148)+SUMIFS(Compta!$F$2:$F$675,Compta!$A$2:$A$675,B148,Compta!$B$2:$B$675,"616",Compta!$C$2:$C$675,A148)+SUMIFS(Compta!$F$2:$F$675,Compta!$A$2:$A$675,B148,Compta!$B$2:$B$675,"625",Compta!$C$2:$C$675,A148)+SUMIFS(Compta!$F$2:$F$675,Compta!$A$2:$A$675,B148,Compta!$B$2:$B$675,"63511",Compta!$C$2:$C$675,A148)</f>
        <v/>
      </c>
      <c r="AB148">
        <f>SUMIFS(Compta!$F$2:$F$675,Compta!$A$2:$A$675,"GRP",Compta!$B$2:$B$675,"6414",Compta!$C$2:$C$675,A148)+SUMIFS(Compta!$F$2:$F$675,Compta!$A$2:$A$675,"GRP",Compta!$B$2:$B$675,"6226",Compta!$C$2:$C$675,A148)+SUMIFS(Compta!$F$2:$F$675,Compta!$A$2:$A$675,"GRP",Compta!$B$2:$B$675,"6236",Compta!$C$2:$C$675,A148)+SUMIFS(Compta!$F$2:$F$675,Compta!$A$2:$A$675,"GRP",Compta!$B$2:$B$675,"626",Compta!$C$2:$C$675,A148)+SUMIFS(Compta!$F$2:$F$675,Compta!$A$2:$A$675,"GRP",Compta!$B$2:$B$675,"6281",Compta!$C$2:$C$675,A148)+SUMIFS(Compta!$F$2:$F$675,Compta!$A$2:$A$675,"GRP",Compta!$B$2:$B$675,"6331",Compta!$C$2:$C$675,A148)+SUMIFS(Compta!$F$2:$F$675,Compta!$A$2:$A$675,"GRP",Compta!$B$2:$B$675,"6333",Compta!$C$2:$C$675,A148)</f>
        <v/>
      </c>
      <c r="AC148">
        <f>IF(Pilotage!$E$10="Chiffre d'affaires",I148,IF(Pilotage!$E$10="Effectif",G148,H148))</f>
        <v/>
      </c>
      <c r="AD148">
        <f>IF(Pilotage!$E$10="Chiffre d'affaires",N148,IF(Pilotage!$E$10="Effectif",L148,M148))</f>
        <v/>
      </c>
      <c r="AE148">
        <f>IF(Pilotage!$E$8="Chiffre d'affaires",N148,IF(Pilotage!$E$8="Effectif",L148,M148))</f>
        <v/>
      </c>
      <c r="AF148">
        <f>IF(Pilotage!$E$8="Chiffre d'affaires",S148,IF(Pilotage!$E$8="Effectif",Q148,R148))</f>
        <v/>
      </c>
      <c r="AG148">
        <f>IF(Pilotage!$E$9="Chiffre d'affaires",S148,IF(Pilotage!$E$9="Effectif",Q148,R148))</f>
        <v/>
      </c>
      <c r="AH148">
        <f>IF(Pilotage!$E$9="Chiffre d'affaires",V148,IF(Pilotage!$E$9="Effectif",T148,U148))</f>
        <v/>
      </c>
      <c r="AI148">
        <f>W148*IFERROR(K148/O148,0)</f>
        <v/>
      </c>
      <c r="AJ148">
        <f>X148*IFERROR(K148/O148,0)</f>
        <v/>
      </c>
      <c r="AK148">
        <f>Y148*IFERROR(G148/L148,0)+Z148*IFERROR(J148/P148,0)</f>
        <v/>
      </c>
      <c r="AL148">
        <f>AA148*IFERROR(AC148/AD148,0)</f>
        <v/>
      </c>
      <c r="AM148">
        <f>AB148*IFERROR(AG148/AH148,0)*IFERROR(AE148/AF148,0)*IFERROR(AC148/AD148,0)</f>
        <v/>
      </c>
      <c r="AN148">
        <f>I148-(AI148+AJ148+AK148+AL148+AM148)</f>
        <v/>
      </c>
    </row>
    <row r="149">
      <c r="A149">
        <f>Allocation!C149</f>
        <v/>
      </c>
      <c r="B149">
        <f>Allocation!D149</f>
        <v/>
      </c>
      <c r="C149">
        <f>Allocation!E149</f>
        <v/>
      </c>
      <c r="D149">
        <f>Allocation!F149</f>
        <v/>
      </c>
      <c r="E149">
        <f>Allocation!G149</f>
        <v/>
      </c>
      <c r="F149">
        <f>Allocation!H149</f>
        <v/>
      </c>
      <c r="G149">
        <f>Allocation!I149</f>
        <v/>
      </c>
      <c r="H149">
        <f>Allocation!J149</f>
        <v/>
      </c>
      <c r="I149">
        <f>Allocation!K149</f>
        <v/>
      </c>
      <c r="J149">
        <f>SUMIFS(Socle!$K$2:$K$175,Socle!$C$2:$C$175,B149,Socle!$D$2:$D$175,D149,Socle!$E$2:$E$175,E149,Socle!$F$2:$F$175,F149,Socle!$G$2:$G$175,A149)</f>
        <v/>
      </c>
      <c r="K149">
        <f>H149*IF(AND(LEFT(D149,3)="BAC",F149="INIT"),600,IF(LEFT(D149,3)="BAC",480,IF(AND(LEFT(D149,3)="MAS",F149="INIT"),520,IF(LEFT(D149,3)="MAS",420,IF(F149="INIT",1000,700)))))</f>
        <v/>
      </c>
      <c r="L149">
        <f>SUMIFS(Allocation!$I$2:$I$175,Allocation!$C$2:$C$175,A149,Allocation!$D$2:$D$175,B149)</f>
        <v/>
      </c>
      <c r="M149">
        <f>SUMIFS(Allocation!$J$2:$J$175,Allocation!$C$2:$C$175,A149,Allocation!$D$2:$D$175,B149)</f>
        <v/>
      </c>
      <c r="N149">
        <f>SUMIFS(Allocation!$K$2:$K$175,Allocation!$C$2:$C$175,A149,Allocation!$D$2:$D$175,B149)</f>
        <v/>
      </c>
      <c r="O149">
        <f>SUMIFS($K$2:$K$175,$A$2:$A$175,A149,$B$2:$B$175,B149)</f>
        <v/>
      </c>
      <c r="P149">
        <f>SUMIFS($J$2:$J$175,$A$2:$A$175,A149,$B$2:$B$175,B149)</f>
        <v/>
      </c>
      <c r="Q149">
        <f>SUMIFS(Allocation!$I$2:$I$175,Allocation!$C$2:$C$175,A149,Allocation!$E$2:$E$175,C149)</f>
        <v/>
      </c>
      <c r="R149">
        <f>SUMIFS(Allocation!$J$2:$J$175,Allocation!$C$2:$C$175,A149,Allocation!$E$2:$E$175,C149)</f>
        <v/>
      </c>
      <c r="S149">
        <f>SUMIFS(Allocation!$K$2:$K$175,Allocation!$C$2:$C$175,A149,Allocation!$E$2:$E$175,C149)</f>
        <v/>
      </c>
      <c r="T149">
        <f>SUMIFS(Allocation!$I$2:$I$175,Allocation!$C$2:$C$175,A149)</f>
        <v/>
      </c>
      <c r="U149">
        <f>SUMIFS(Allocation!$J$2:$J$175,Allocation!$C$2:$C$175,A149)</f>
        <v/>
      </c>
      <c r="V149">
        <f>SUMIFS(Allocation!$K$2:$K$175,Allocation!$C$2:$C$175,A149)</f>
        <v/>
      </c>
      <c r="W149">
        <f>SUMIFS(Compta!$F$2:$F$675,Compta!$A$2:$A$675,B149,Compta!$B$2:$B$675,"621",Compta!$C$2:$C$675,A149)</f>
        <v/>
      </c>
      <c r="X149">
        <f>SUMIFS(Compta!$F$2:$F$675,Compta!$A$2:$A$675,B149,Compta!$B$2:$B$675,"6411",Compta!$C$2:$C$675,A149)</f>
        <v/>
      </c>
      <c r="Y149">
        <f>SUMIFS(Compta!$F$2:$F$675,Compta!$A$2:$A$675,B149,Compta!$B$2:$B$675,"604",Compta!$C$2:$C$675,A149)+SUMIFS(Compta!$F$2:$F$675,Compta!$A$2:$A$675,B149,Compta!$B$2:$B$675,"6063",Compta!$C$2:$C$675,A149)</f>
        <v/>
      </c>
      <c r="Z149">
        <f>SUMIFS(Compta!$F$2:$F$675,Compta!$A$2:$A$675,B149,Compta!$B$2:$B$675,"6231",Compta!$C$2:$C$675,A149)</f>
        <v/>
      </c>
      <c r="AA149">
        <f>SUMIFS(Compta!$F$2:$F$675,Compta!$A$2:$A$675,B149,Compta!$B$2:$B$675,"6413",Compta!$C$2:$C$675,A149)+SUMIFS(Compta!$F$2:$F$675,Compta!$A$2:$A$675,B149,Compta!$B$2:$B$675,"645",Compta!$C$2:$C$675,A149)+SUMIFS(Compta!$F$2:$F$675,Compta!$A$2:$A$675,B149,Compta!$B$2:$B$675,"613",Compta!$C$2:$C$675,A149)+SUMIFS(Compta!$F$2:$F$675,Compta!$A$2:$A$675,B149,Compta!$B$2:$B$675,"615",Compta!$C$2:$C$675,A149)+SUMIFS(Compta!$F$2:$F$675,Compta!$A$2:$A$675,B149,Compta!$B$2:$B$675,"616",Compta!$C$2:$C$675,A149)+SUMIFS(Compta!$F$2:$F$675,Compta!$A$2:$A$675,B149,Compta!$B$2:$B$675,"625",Compta!$C$2:$C$675,A149)+SUMIFS(Compta!$F$2:$F$675,Compta!$A$2:$A$675,B149,Compta!$B$2:$B$675,"63511",Compta!$C$2:$C$675,A149)</f>
        <v/>
      </c>
      <c r="AB149">
        <f>SUMIFS(Compta!$F$2:$F$675,Compta!$A$2:$A$675,"GRP",Compta!$B$2:$B$675,"6414",Compta!$C$2:$C$675,A149)+SUMIFS(Compta!$F$2:$F$675,Compta!$A$2:$A$675,"GRP",Compta!$B$2:$B$675,"6226",Compta!$C$2:$C$675,A149)+SUMIFS(Compta!$F$2:$F$675,Compta!$A$2:$A$675,"GRP",Compta!$B$2:$B$675,"6236",Compta!$C$2:$C$675,A149)+SUMIFS(Compta!$F$2:$F$675,Compta!$A$2:$A$675,"GRP",Compta!$B$2:$B$675,"626",Compta!$C$2:$C$675,A149)+SUMIFS(Compta!$F$2:$F$675,Compta!$A$2:$A$675,"GRP",Compta!$B$2:$B$675,"6281",Compta!$C$2:$C$675,A149)+SUMIFS(Compta!$F$2:$F$675,Compta!$A$2:$A$675,"GRP",Compta!$B$2:$B$675,"6331",Compta!$C$2:$C$675,A149)+SUMIFS(Compta!$F$2:$F$675,Compta!$A$2:$A$675,"GRP",Compta!$B$2:$B$675,"6333",Compta!$C$2:$C$675,A149)</f>
        <v/>
      </c>
      <c r="AC149">
        <f>IF(Pilotage!$E$10="Chiffre d'affaires",I149,IF(Pilotage!$E$10="Effectif",G149,H149))</f>
        <v/>
      </c>
      <c r="AD149">
        <f>IF(Pilotage!$E$10="Chiffre d'affaires",N149,IF(Pilotage!$E$10="Effectif",L149,M149))</f>
        <v/>
      </c>
      <c r="AE149">
        <f>IF(Pilotage!$E$8="Chiffre d'affaires",N149,IF(Pilotage!$E$8="Effectif",L149,M149))</f>
        <v/>
      </c>
      <c r="AF149">
        <f>IF(Pilotage!$E$8="Chiffre d'affaires",S149,IF(Pilotage!$E$8="Effectif",Q149,R149))</f>
        <v/>
      </c>
      <c r="AG149">
        <f>IF(Pilotage!$E$9="Chiffre d'affaires",S149,IF(Pilotage!$E$9="Effectif",Q149,R149))</f>
        <v/>
      </c>
      <c r="AH149">
        <f>IF(Pilotage!$E$9="Chiffre d'affaires",V149,IF(Pilotage!$E$9="Effectif",T149,U149))</f>
        <v/>
      </c>
      <c r="AI149">
        <f>W149*IFERROR(K149/O149,0)</f>
        <v/>
      </c>
      <c r="AJ149">
        <f>X149*IFERROR(K149/O149,0)</f>
        <v/>
      </c>
      <c r="AK149">
        <f>Y149*IFERROR(G149/L149,0)+Z149*IFERROR(J149/P149,0)</f>
        <v/>
      </c>
      <c r="AL149">
        <f>AA149*IFERROR(AC149/AD149,0)</f>
        <v/>
      </c>
      <c r="AM149">
        <f>AB149*IFERROR(AG149/AH149,0)*IFERROR(AE149/AF149,0)*IFERROR(AC149/AD149,0)</f>
        <v/>
      </c>
      <c r="AN149">
        <f>I149-(AI149+AJ149+AK149+AL149+AM149)</f>
        <v/>
      </c>
    </row>
    <row r="150">
      <c r="A150">
        <f>Allocation!C150</f>
        <v/>
      </c>
      <c r="B150">
        <f>Allocation!D150</f>
        <v/>
      </c>
      <c r="C150">
        <f>Allocation!E150</f>
        <v/>
      </c>
      <c r="D150">
        <f>Allocation!F150</f>
        <v/>
      </c>
      <c r="E150">
        <f>Allocation!G150</f>
        <v/>
      </c>
      <c r="F150">
        <f>Allocation!H150</f>
        <v/>
      </c>
      <c r="G150">
        <f>Allocation!I150</f>
        <v/>
      </c>
      <c r="H150">
        <f>Allocation!J150</f>
        <v/>
      </c>
      <c r="I150">
        <f>Allocation!K150</f>
        <v/>
      </c>
      <c r="J150">
        <f>SUMIFS(Socle!$K$2:$K$175,Socle!$C$2:$C$175,B150,Socle!$D$2:$D$175,D150,Socle!$E$2:$E$175,E150,Socle!$F$2:$F$175,F150,Socle!$G$2:$G$175,A150)</f>
        <v/>
      </c>
      <c r="K150">
        <f>H150*IF(AND(LEFT(D150,3)="BAC",F150="INIT"),600,IF(LEFT(D150,3)="BAC",480,IF(AND(LEFT(D150,3)="MAS",F150="INIT"),520,IF(LEFT(D150,3)="MAS",420,IF(F150="INIT",1000,700)))))</f>
        <v/>
      </c>
      <c r="L150">
        <f>SUMIFS(Allocation!$I$2:$I$175,Allocation!$C$2:$C$175,A150,Allocation!$D$2:$D$175,B150)</f>
        <v/>
      </c>
      <c r="M150">
        <f>SUMIFS(Allocation!$J$2:$J$175,Allocation!$C$2:$C$175,A150,Allocation!$D$2:$D$175,B150)</f>
        <v/>
      </c>
      <c r="N150">
        <f>SUMIFS(Allocation!$K$2:$K$175,Allocation!$C$2:$C$175,A150,Allocation!$D$2:$D$175,B150)</f>
        <v/>
      </c>
      <c r="O150">
        <f>SUMIFS($K$2:$K$175,$A$2:$A$175,A150,$B$2:$B$175,B150)</f>
        <v/>
      </c>
      <c r="P150">
        <f>SUMIFS($J$2:$J$175,$A$2:$A$175,A150,$B$2:$B$175,B150)</f>
        <v/>
      </c>
      <c r="Q150">
        <f>SUMIFS(Allocation!$I$2:$I$175,Allocation!$C$2:$C$175,A150,Allocation!$E$2:$E$175,C150)</f>
        <v/>
      </c>
      <c r="R150">
        <f>SUMIFS(Allocation!$J$2:$J$175,Allocation!$C$2:$C$175,A150,Allocation!$E$2:$E$175,C150)</f>
        <v/>
      </c>
      <c r="S150">
        <f>SUMIFS(Allocation!$K$2:$K$175,Allocation!$C$2:$C$175,A150,Allocation!$E$2:$E$175,C150)</f>
        <v/>
      </c>
      <c r="T150">
        <f>SUMIFS(Allocation!$I$2:$I$175,Allocation!$C$2:$C$175,A150)</f>
        <v/>
      </c>
      <c r="U150">
        <f>SUMIFS(Allocation!$J$2:$J$175,Allocation!$C$2:$C$175,A150)</f>
        <v/>
      </c>
      <c r="V150">
        <f>SUMIFS(Allocation!$K$2:$K$175,Allocation!$C$2:$C$175,A150)</f>
        <v/>
      </c>
      <c r="W150">
        <f>SUMIFS(Compta!$F$2:$F$675,Compta!$A$2:$A$675,B150,Compta!$B$2:$B$675,"621",Compta!$C$2:$C$675,A150)</f>
        <v/>
      </c>
      <c r="X150">
        <f>SUMIFS(Compta!$F$2:$F$675,Compta!$A$2:$A$675,B150,Compta!$B$2:$B$675,"6411",Compta!$C$2:$C$675,A150)</f>
        <v/>
      </c>
      <c r="Y150">
        <f>SUMIFS(Compta!$F$2:$F$675,Compta!$A$2:$A$675,B150,Compta!$B$2:$B$675,"604",Compta!$C$2:$C$675,A150)+SUMIFS(Compta!$F$2:$F$675,Compta!$A$2:$A$675,B150,Compta!$B$2:$B$675,"6063",Compta!$C$2:$C$675,A150)</f>
        <v/>
      </c>
      <c r="Z150">
        <f>SUMIFS(Compta!$F$2:$F$675,Compta!$A$2:$A$675,B150,Compta!$B$2:$B$675,"6231",Compta!$C$2:$C$675,A150)</f>
        <v/>
      </c>
      <c r="AA150">
        <f>SUMIFS(Compta!$F$2:$F$675,Compta!$A$2:$A$675,B150,Compta!$B$2:$B$675,"6413",Compta!$C$2:$C$675,A150)+SUMIFS(Compta!$F$2:$F$675,Compta!$A$2:$A$675,B150,Compta!$B$2:$B$675,"645",Compta!$C$2:$C$675,A150)+SUMIFS(Compta!$F$2:$F$675,Compta!$A$2:$A$675,B150,Compta!$B$2:$B$675,"613",Compta!$C$2:$C$675,A150)+SUMIFS(Compta!$F$2:$F$675,Compta!$A$2:$A$675,B150,Compta!$B$2:$B$675,"615",Compta!$C$2:$C$675,A150)+SUMIFS(Compta!$F$2:$F$675,Compta!$A$2:$A$675,B150,Compta!$B$2:$B$675,"616",Compta!$C$2:$C$675,A150)+SUMIFS(Compta!$F$2:$F$675,Compta!$A$2:$A$675,B150,Compta!$B$2:$B$675,"625",Compta!$C$2:$C$675,A150)+SUMIFS(Compta!$F$2:$F$675,Compta!$A$2:$A$675,B150,Compta!$B$2:$B$675,"63511",Compta!$C$2:$C$675,A150)</f>
        <v/>
      </c>
      <c r="AB150">
        <f>SUMIFS(Compta!$F$2:$F$675,Compta!$A$2:$A$675,"GRP",Compta!$B$2:$B$675,"6414",Compta!$C$2:$C$675,A150)+SUMIFS(Compta!$F$2:$F$675,Compta!$A$2:$A$675,"GRP",Compta!$B$2:$B$675,"6226",Compta!$C$2:$C$675,A150)+SUMIFS(Compta!$F$2:$F$675,Compta!$A$2:$A$675,"GRP",Compta!$B$2:$B$675,"6236",Compta!$C$2:$C$675,A150)+SUMIFS(Compta!$F$2:$F$675,Compta!$A$2:$A$675,"GRP",Compta!$B$2:$B$675,"626",Compta!$C$2:$C$675,A150)+SUMIFS(Compta!$F$2:$F$675,Compta!$A$2:$A$675,"GRP",Compta!$B$2:$B$675,"6281",Compta!$C$2:$C$675,A150)+SUMIFS(Compta!$F$2:$F$675,Compta!$A$2:$A$675,"GRP",Compta!$B$2:$B$675,"6331",Compta!$C$2:$C$675,A150)+SUMIFS(Compta!$F$2:$F$675,Compta!$A$2:$A$675,"GRP",Compta!$B$2:$B$675,"6333",Compta!$C$2:$C$675,A150)</f>
        <v/>
      </c>
      <c r="AC150">
        <f>IF(Pilotage!$E$10="Chiffre d'affaires",I150,IF(Pilotage!$E$10="Effectif",G150,H150))</f>
        <v/>
      </c>
      <c r="AD150">
        <f>IF(Pilotage!$E$10="Chiffre d'affaires",N150,IF(Pilotage!$E$10="Effectif",L150,M150))</f>
        <v/>
      </c>
      <c r="AE150">
        <f>IF(Pilotage!$E$8="Chiffre d'affaires",N150,IF(Pilotage!$E$8="Effectif",L150,M150))</f>
        <v/>
      </c>
      <c r="AF150">
        <f>IF(Pilotage!$E$8="Chiffre d'affaires",S150,IF(Pilotage!$E$8="Effectif",Q150,R150))</f>
        <v/>
      </c>
      <c r="AG150">
        <f>IF(Pilotage!$E$9="Chiffre d'affaires",S150,IF(Pilotage!$E$9="Effectif",Q150,R150))</f>
        <v/>
      </c>
      <c r="AH150">
        <f>IF(Pilotage!$E$9="Chiffre d'affaires",V150,IF(Pilotage!$E$9="Effectif",T150,U150))</f>
        <v/>
      </c>
      <c r="AI150">
        <f>W150*IFERROR(K150/O150,0)</f>
        <v/>
      </c>
      <c r="AJ150">
        <f>X150*IFERROR(K150/O150,0)</f>
        <v/>
      </c>
      <c r="AK150">
        <f>Y150*IFERROR(G150/L150,0)+Z150*IFERROR(J150/P150,0)</f>
        <v/>
      </c>
      <c r="AL150">
        <f>AA150*IFERROR(AC150/AD150,0)</f>
        <v/>
      </c>
      <c r="AM150">
        <f>AB150*IFERROR(AG150/AH150,0)*IFERROR(AE150/AF150,0)*IFERROR(AC150/AD150,0)</f>
        <v/>
      </c>
      <c r="AN150">
        <f>I150-(AI150+AJ150+AK150+AL150+AM150)</f>
        <v/>
      </c>
    </row>
    <row r="151">
      <c r="A151">
        <f>Allocation!C151</f>
        <v/>
      </c>
      <c r="B151">
        <f>Allocation!D151</f>
        <v/>
      </c>
      <c r="C151">
        <f>Allocation!E151</f>
        <v/>
      </c>
      <c r="D151">
        <f>Allocation!F151</f>
        <v/>
      </c>
      <c r="E151">
        <f>Allocation!G151</f>
        <v/>
      </c>
      <c r="F151">
        <f>Allocation!H151</f>
        <v/>
      </c>
      <c r="G151">
        <f>Allocation!I151</f>
        <v/>
      </c>
      <c r="H151">
        <f>Allocation!J151</f>
        <v/>
      </c>
      <c r="I151">
        <f>Allocation!K151</f>
        <v/>
      </c>
      <c r="J151">
        <f>SUMIFS(Socle!$K$2:$K$175,Socle!$C$2:$C$175,B151,Socle!$D$2:$D$175,D151,Socle!$E$2:$E$175,E151,Socle!$F$2:$F$175,F151,Socle!$G$2:$G$175,A151)</f>
        <v/>
      </c>
      <c r="K151">
        <f>H151*IF(AND(LEFT(D151,3)="BAC",F151="INIT"),600,IF(LEFT(D151,3)="BAC",480,IF(AND(LEFT(D151,3)="MAS",F151="INIT"),520,IF(LEFT(D151,3)="MAS",420,IF(F151="INIT",1000,700)))))</f>
        <v/>
      </c>
      <c r="L151">
        <f>SUMIFS(Allocation!$I$2:$I$175,Allocation!$C$2:$C$175,A151,Allocation!$D$2:$D$175,B151)</f>
        <v/>
      </c>
      <c r="M151">
        <f>SUMIFS(Allocation!$J$2:$J$175,Allocation!$C$2:$C$175,A151,Allocation!$D$2:$D$175,B151)</f>
        <v/>
      </c>
      <c r="N151">
        <f>SUMIFS(Allocation!$K$2:$K$175,Allocation!$C$2:$C$175,A151,Allocation!$D$2:$D$175,B151)</f>
        <v/>
      </c>
      <c r="O151">
        <f>SUMIFS($K$2:$K$175,$A$2:$A$175,A151,$B$2:$B$175,B151)</f>
        <v/>
      </c>
      <c r="P151">
        <f>SUMIFS($J$2:$J$175,$A$2:$A$175,A151,$B$2:$B$175,B151)</f>
        <v/>
      </c>
      <c r="Q151">
        <f>SUMIFS(Allocation!$I$2:$I$175,Allocation!$C$2:$C$175,A151,Allocation!$E$2:$E$175,C151)</f>
        <v/>
      </c>
      <c r="R151">
        <f>SUMIFS(Allocation!$J$2:$J$175,Allocation!$C$2:$C$175,A151,Allocation!$E$2:$E$175,C151)</f>
        <v/>
      </c>
      <c r="S151">
        <f>SUMIFS(Allocation!$K$2:$K$175,Allocation!$C$2:$C$175,A151,Allocation!$E$2:$E$175,C151)</f>
        <v/>
      </c>
      <c r="T151">
        <f>SUMIFS(Allocation!$I$2:$I$175,Allocation!$C$2:$C$175,A151)</f>
        <v/>
      </c>
      <c r="U151">
        <f>SUMIFS(Allocation!$J$2:$J$175,Allocation!$C$2:$C$175,A151)</f>
        <v/>
      </c>
      <c r="V151">
        <f>SUMIFS(Allocation!$K$2:$K$175,Allocation!$C$2:$C$175,A151)</f>
        <v/>
      </c>
      <c r="W151">
        <f>SUMIFS(Compta!$F$2:$F$675,Compta!$A$2:$A$675,B151,Compta!$B$2:$B$675,"621",Compta!$C$2:$C$675,A151)</f>
        <v/>
      </c>
      <c r="X151">
        <f>SUMIFS(Compta!$F$2:$F$675,Compta!$A$2:$A$675,B151,Compta!$B$2:$B$675,"6411",Compta!$C$2:$C$675,A151)</f>
        <v/>
      </c>
      <c r="Y151">
        <f>SUMIFS(Compta!$F$2:$F$675,Compta!$A$2:$A$675,B151,Compta!$B$2:$B$675,"604",Compta!$C$2:$C$675,A151)+SUMIFS(Compta!$F$2:$F$675,Compta!$A$2:$A$675,B151,Compta!$B$2:$B$675,"6063",Compta!$C$2:$C$675,A151)</f>
        <v/>
      </c>
      <c r="Z151">
        <f>SUMIFS(Compta!$F$2:$F$675,Compta!$A$2:$A$675,B151,Compta!$B$2:$B$675,"6231",Compta!$C$2:$C$675,A151)</f>
        <v/>
      </c>
      <c r="AA151">
        <f>SUMIFS(Compta!$F$2:$F$675,Compta!$A$2:$A$675,B151,Compta!$B$2:$B$675,"6413",Compta!$C$2:$C$675,A151)+SUMIFS(Compta!$F$2:$F$675,Compta!$A$2:$A$675,B151,Compta!$B$2:$B$675,"645",Compta!$C$2:$C$675,A151)+SUMIFS(Compta!$F$2:$F$675,Compta!$A$2:$A$675,B151,Compta!$B$2:$B$675,"613",Compta!$C$2:$C$675,A151)+SUMIFS(Compta!$F$2:$F$675,Compta!$A$2:$A$675,B151,Compta!$B$2:$B$675,"615",Compta!$C$2:$C$675,A151)+SUMIFS(Compta!$F$2:$F$675,Compta!$A$2:$A$675,B151,Compta!$B$2:$B$675,"616",Compta!$C$2:$C$675,A151)+SUMIFS(Compta!$F$2:$F$675,Compta!$A$2:$A$675,B151,Compta!$B$2:$B$675,"625",Compta!$C$2:$C$675,A151)+SUMIFS(Compta!$F$2:$F$675,Compta!$A$2:$A$675,B151,Compta!$B$2:$B$675,"63511",Compta!$C$2:$C$675,A151)</f>
        <v/>
      </c>
      <c r="AB151">
        <f>SUMIFS(Compta!$F$2:$F$675,Compta!$A$2:$A$675,"GRP",Compta!$B$2:$B$675,"6414",Compta!$C$2:$C$675,A151)+SUMIFS(Compta!$F$2:$F$675,Compta!$A$2:$A$675,"GRP",Compta!$B$2:$B$675,"6226",Compta!$C$2:$C$675,A151)+SUMIFS(Compta!$F$2:$F$675,Compta!$A$2:$A$675,"GRP",Compta!$B$2:$B$675,"6236",Compta!$C$2:$C$675,A151)+SUMIFS(Compta!$F$2:$F$675,Compta!$A$2:$A$675,"GRP",Compta!$B$2:$B$675,"626",Compta!$C$2:$C$675,A151)+SUMIFS(Compta!$F$2:$F$675,Compta!$A$2:$A$675,"GRP",Compta!$B$2:$B$675,"6281",Compta!$C$2:$C$675,A151)+SUMIFS(Compta!$F$2:$F$675,Compta!$A$2:$A$675,"GRP",Compta!$B$2:$B$675,"6331",Compta!$C$2:$C$675,A151)+SUMIFS(Compta!$F$2:$F$675,Compta!$A$2:$A$675,"GRP",Compta!$B$2:$B$675,"6333",Compta!$C$2:$C$675,A151)</f>
        <v/>
      </c>
      <c r="AC151">
        <f>IF(Pilotage!$E$10="Chiffre d'affaires",I151,IF(Pilotage!$E$10="Effectif",G151,H151))</f>
        <v/>
      </c>
      <c r="AD151">
        <f>IF(Pilotage!$E$10="Chiffre d'affaires",N151,IF(Pilotage!$E$10="Effectif",L151,M151))</f>
        <v/>
      </c>
      <c r="AE151">
        <f>IF(Pilotage!$E$8="Chiffre d'affaires",N151,IF(Pilotage!$E$8="Effectif",L151,M151))</f>
        <v/>
      </c>
      <c r="AF151">
        <f>IF(Pilotage!$E$8="Chiffre d'affaires",S151,IF(Pilotage!$E$8="Effectif",Q151,R151))</f>
        <v/>
      </c>
      <c r="AG151">
        <f>IF(Pilotage!$E$9="Chiffre d'affaires",S151,IF(Pilotage!$E$9="Effectif",Q151,R151))</f>
        <v/>
      </c>
      <c r="AH151">
        <f>IF(Pilotage!$E$9="Chiffre d'affaires",V151,IF(Pilotage!$E$9="Effectif",T151,U151))</f>
        <v/>
      </c>
      <c r="AI151">
        <f>W151*IFERROR(K151/O151,0)</f>
        <v/>
      </c>
      <c r="AJ151">
        <f>X151*IFERROR(K151/O151,0)</f>
        <v/>
      </c>
      <c r="AK151">
        <f>Y151*IFERROR(G151/L151,0)+Z151*IFERROR(J151/P151,0)</f>
        <v/>
      </c>
      <c r="AL151">
        <f>AA151*IFERROR(AC151/AD151,0)</f>
        <v/>
      </c>
      <c r="AM151">
        <f>AB151*IFERROR(AG151/AH151,0)*IFERROR(AE151/AF151,0)*IFERROR(AC151/AD151,0)</f>
        <v/>
      </c>
      <c r="AN151">
        <f>I151-(AI151+AJ151+AK151+AL151+AM151)</f>
        <v/>
      </c>
    </row>
    <row r="152">
      <c r="A152">
        <f>Allocation!C152</f>
        <v/>
      </c>
      <c r="B152">
        <f>Allocation!D152</f>
        <v/>
      </c>
      <c r="C152">
        <f>Allocation!E152</f>
        <v/>
      </c>
      <c r="D152">
        <f>Allocation!F152</f>
        <v/>
      </c>
      <c r="E152">
        <f>Allocation!G152</f>
        <v/>
      </c>
      <c r="F152">
        <f>Allocation!H152</f>
        <v/>
      </c>
      <c r="G152">
        <f>Allocation!I152</f>
        <v/>
      </c>
      <c r="H152">
        <f>Allocation!J152</f>
        <v/>
      </c>
      <c r="I152">
        <f>Allocation!K152</f>
        <v/>
      </c>
      <c r="J152">
        <f>SUMIFS(Socle!$K$2:$K$175,Socle!$C$2:$C$175,B152,Socle!$D$2:$D$175,D152,Socle!$E$2:$E$175,E152,Socle!$F$2:$F$175,F152,Socle!$G$2:$G$175,A152)</f>
        <v/>
      </c>
      <c r="K152">
        <f>H152*IF(AND(LEFT(D152,3)="BAC",F152="INIT"),600,IF(LEFT(D152,3)="BAC",480,IF(AND(LEFT(D152,3)="MAS",F152="INIT"),520,IF(LEFT(D152,3)="MAS",420,IF(F152="INIT",1000,700)))))</f>
        <v/>
      </c>
      <c r="L152">
        <f>SUMIFS(Allocation!$I$2:$I$175,Allocation!$C$2:$C$175,A152,Allocation!$D$2:$D$175,B152)</f>
        <v/>
      </c>
      <c r="M152">
        <f>SUMIFS(Allocation!$J$2:$J$175,Allocation!$C$2:$C$175,A152,Allocation!$D$2:$D$175,B152)</f>
        <v/>
      </c>
      <c r="N152">
        <f>SUMIFS(Allocation!$K$2:$K$175,Allocation!$C$2:$C$175,A152,Allocation!$D$2:$D$175,B152)</f>
        <v/>
      </c>
      <c r="O152">
        <f>SUMIFS($K$2:$K$175,$A$2:$A$175,A152,$B$2:$B$175,B152)</f>
        <v/>
      </c>
      <c r="P152">
        <f>SUMIFS($J$2:$J$175,$A$2:$A$175,A152,$B$2:$B$175,B152)</f>
        <v/>
      </c>
      <c r="Q152">
        <f>SUMIFS(Allocation!$I$2:$I$175,Allocation!$C$2:$C$175,A152,Allocation!$E$2:$E$175,C152)</f>
        <v/>
      </c>
      <c r="R152">
        <f>SUMIFS(Allocation!$J$2:$J$175,Allocation!$C$2:$C$175,A152,Allocation!$E$2:$E$175,C152)</f>
        <v/>
      </c>
      <c r="S152">
        <f>SUMIFS(Allocation!$K$2:$K$175,Allocation!$C$2:$C$175,A152,Allocation!$E$2:$E$175,C152)</f>
        <v/>
      </c>
      <c r="T152">
        <f>SUMIFS(Allocation!$I$2:$I$175,Allocation!$C$2:$C$175,A152)</f>
        <v/>
      </c>
      <c r="U152">
        <f>SUMIFS(Allocation!$J$2:$J$175,Allocation!$C$2:$C$175,A152)</f>
        <v/>
      </c>
      <c r="V152">
        <f>SUMIFS(Allocation!$K$2:$K$175,Allocation!$C$2:$C$175,A152)</f>
        <v/>
      </c>
      <c r="W152">
        <f>SUMIFS(Compta!$F$2:$F$675,Compta!$A$2:$A$675,B152,Compta!$B$2:$B$675,"621",Compta!$C$2:$C$675,A152)</f>
        <v/>
      </c>
      <c r="X152">
        <f>SUMIFS(Compta!$F$2:$F$675,Compta!$A$2:$A$675,B152,Compta!$B$2:$B$675,"6411",Compta!$C$2:$C$675,A152)</f>
        <v/>
      </c>
      <c r="Y152">
        <f>SUMIFS(Compta!$F$2:$F$675,Compta!$A$2:$A$675,B152,Compta!$B$2:$B$675,"604",Compta!$C$2:$C$675,A152)+SUMIFS(Compta!$F$2:$F$675,Compta!$A$2:$A$675,B152,Compta!$B$2:$B$675,"6063",Compta!$C$2:$C$675,A152)</f>
        <v/>
      </c>
      <c r="Z152">
        <f>SUMIFS(Compta!$F$2:$F$675,Compta!$A$2:$A$675,B152,Compta!$B$2:$B$675,"6231",Compta!$C$2:$C$675,A152)</f>
        <v/>
      </c>
      <c r="AA152">
        <f>SUMIFS(Compta!$F$2:$F$675,Compta!$A$2:$A$675,B152,Compta!$B$2:$B$675,"6413",Compta!$C$2:$C$675,A152)+SUMIFS(Compta!$F$2:$F$675,Compta!$A$2:$A$675,B152,Compta!$B$2:$B$675,"645",Compta!$C$2:$C$675,A152)+SUMIFS(Compta!$F$2:$F$675,Compta!$A$2:$A$675,B152,Compta!$B$2:$B$675,"613",Compta!$C$2:$C$675,A152)+SUMIFS(Compta!$F$2:$F$675,Compta!$A$2:$A$675,B152,Compta!$B$2:$B$675,"615",Compta!$C$2:$C$675,A152)+SUMIFS(Compta!$F$2:$F$675,Compta!$A$2:$A$675,B152,Compta!$B$2:$B$675,"616",Compta!$C$2:$C$675,A152)+SUMIFS(Compta!$F$2:$F$675,Compta!$A$2:$A$675,B152,Compta!$B$2:$B$675,"625",Compta!$C$2:$C$675,A152)+SUMIFS(Compta!$F$2:$F$675,Compta!$A$2:$A$675,B152,Compta!$B$2:$B$675,"63511",Compta!$C$2:$C$675,A152)</f>
        <v/>
      </c>
      <c r="AB152">
        <f>SUMIFS(Compta!$F$2:$F$675,Compta!$A$2:$A$675,"GRP",Compta!$B$2:$B$675,"6414",Compta!$C$2:$C$675,A152)+SUMIFS(Compta!$F$2:$F$675,Compta!$A$2:$A$675,"GRP",Compta!$B$2:$B$675,"6226",Compta!$C$2:$C$675,A152)+SUMIFS(Compta!$F$2:$F$675,Compta!$A$2:$A$675,"GRP",Compta!$B$2:$B$675,"6236",Compta!$C$2:$C$675,A152)+SUMIFS(Compta!$F$2:$F$675,Compta!$A$2:$A$675,"GRP",Compta!$B$2:$B$675,"626",Compta!$C$2:$C$675,A152)+SUMIFS(Compta!$F$2:$F$675,Compta!$A$2:$A$675,"GRP",Compta!$B$2:$B$675,"6281",Compta!$C$2:$C$675,A152)+SUMIFS(Compta!$F$2:$F$675,Compta!$A$2:$A$675,"GRP",Compta!$B$2:$B$675,"6331",Compta!$C$2:$C$675,A152)+SUMIFS(Compta!$F$2:$F$675,Compta!$A$2:$A$675,"GRP",Compta!$B$2:$B$675,"6333",Compta!$C$2:$C$675,A152)</f>
        <v/>
      </c>
      <c r="AC152">
        <f>IF(Pilotage!$E$10="Chiffre d'affaires",I152,IF(Pilotage!$E$10="Effectif",G152,H152))</f>
        <v/>
      </c>
      <c r="AD152">
        <f>IF(Pilotage!$E$10="Chiffre d'affaires",N152,IF(Pilotage!$E$10="Effectif",L152,M152))</f>
        <v/>
      </c>
      <c r="AE152">
        <f>IF(Pilotage!$E$8="Chiffre d'affaires",N152,IF(Pilotage!$E$8="Effectif",L152,M152))</f>
        <v/>
      </c>
      <c r="AF152">
        <f>IF(Pilotage!$E$8="Chiffre d'affaires",S152,IF(Pilotage!$E$8="Effectif",Q152,R152))</f>
        <v/>
      </c>
      <c r="AG152">
        <f>IF(Pilotage!$E$9="Chiffre d'affaires",S152,IF(Pilotage!$E$9="Effectif",Q152,R152))</f>
        <v/>
      </c>
      <c r="AH152">
        <f>IF(Pilotage!$E$9="Chiffre d'affaires",V152,IF(Pilotage!$E$9="Effectif",T152,U152))</f>
        <v/>
      </c>
      <c r="AI152">
        <f>W152*IFERROR(K152/O152,0)</f>
        <v/>
      </c>
      <c r="AJ152">
        <f>X152*IFERROR(K152/O152,0)</f>
        <v/>
      </c>
      <c r="AK152">
        <f>Y152*IFERROR(G152/L152,0)+Z152*IFERROR(J152/P152,0)</f>
        <v/>
      </c>
      <c r="AL152">
        <f>AA152*IFERROR(AC152/AD152,0)</f>
        <v/>
      </c>
      <c r="AM152">
        <f>AB152*IFERROR(AG152/AH152,0)*IFERROR(AE152/AF152,0)*IFERROR(AC152/AD152,0)</f>
        <v/>
      </c>
      <c r="AN152">
        <f>I152-(AI152+AJ152+AK152+AL152+AM152)</f>
        <v/>
      </c>
    </row>
    <row r="153">
      <c r="A153">
        <f>Allocation!C153</f>
        <v/>
      </c>
      <c r="B153">
        <f>Allocation!D153</f>
        <v/>
      </c>
      <c r="C153">
        <f>Allocation!E153</f>
        <v/>
      </c>
      <c r="D153">
        <f>Allocation!F153</f>
        <v/>
      </c>
      <c r="E153">
        <f>Allocation!G153</f>
        <v/>
      </c>
      <c r="F153">
        <f>Allocation!H153</f>
        <v/>
      </c>
      <c r="G153">
        <f>Allocation!I153</f>
        <v/>
      </c>
      <c r="H153">
        <f>Allocation!J153</f>
        <v/>
      </c>
      <c r="I153">
        <f>Allocation!K153</f>
        <v/>
      </c>
      <c r="J153">
        <f>SUMIFS(Socle!$K$2:$K$175,Socle!$C$2:$C$175,B153,Socle!$D$2:$D$175,D153,Socle!$E$2:$E$175,E153,Socle!$F$2:$F$175,F153,Socle!$G$2:$G$175,A153)</f>
        <v/>
      </c>
      <c r="K153">
        <f>H153*IF(AND(LEFT(D153,3)="BAC",F153="INIT"),600,IF(LEFT(D153,3)="BAC",480,IF(AND(LEFT(D153,3)="MAS",F153="INIT"),520,IF(LEFT(D153,3)="MAS",420,IF(F153="INIT",1000,700)))))</f>
        <v/>
      </c>
      <c r="L153">
        <f>SUMIFS(Allocation!$I$2:$I$175,Allocation!$C$2:$C$175,A153,Allocation!$D$2:$D$175,B153)</f>
        <v/>
      </c>
      <c r="M153">
        <f>SUMIFS(Allocation!$J$2:$J$175,Allocation!$C$2:$C$175,A153,Allocation!$D$2:$D$175,B153)</f>
        <v/>
      </c>
      <c r="N153">
        <f>SUMIFS(Allocation!$K$2:$K$175,Allocation!$C$2:$C$175,A153,Allocation!$D$2:$D$175,B153)</f>
        <v/>
      </c>
      <c r="O153">
        <f>SUMIFS($K$2:$K$175,$A$2:$A$175,A153,$B$2:$B$175,B153)</f>
        <v/>
      </c>
      <c r="P153">
        <f>SUMIFS($J$2:$J$175,$A$2:$A$175,A153,$B$2:$B$175,B153)</f>
        <v/>
      </c>
      <c r="Q153">
        <f>SUMIFS(Allocation!$I$2:$I$175,Allocation!$C$2:$C$175,A153,Allocation!$E$2:$E$175,C153)</f>
        <v/>
      </c>
      <c r="R153">
        <f>SUMIFS(Allocation!$J$2:$J$175,Allocation!$C$2:$C$175,A153,Allocation!$E$2:$E$175,C153)</f>
        <v/>
      </c>
      <c r="S153">
        <f>SUMIFS(Allocation!$K$2:$K$175,Allocation!$C$2:$C$175,A153,Allocation!$E$2:$E$175,C153)</f>
        <v/>
      </c>
      <c r="T153">
        <f>SUMIFS(Allocation!$I$2:$I$175,Allocation!$C$2:$C$175,A153)</f>
        <v/>
      </c>
      <c r="U153">
        <f>SUMIFS(Allocation!$J$2:$J$175,Allocation!$C$2:$C$175,A153)</f>
        <v/>
      </c>
      <c r="V153">
        <f>SUMIFS(Allocation!$K$2:$K$175,Allocation!$C$2:$C$175,A153)</f>
        <v/>
      </c>
      <c r="W153">
        <f>SUMIFS(Compta!$F$2:$F$675,Compta!$A$2:$A$675,B153,Compta!$B$2:$B$675,"621",Compta!$C$2:$C$675,A153)</f>
        <v/>
      </c>
      <c r="X153">
        <f>SUMIFS(Compta!$F$2:$F$675,Compta!$A$2:$A$675,B153,Compta!$B$2:$B$675,"6411",Compta!$C$2:$C$675,A153)</f>
        <v/>
      </c>
      <c r="Y153">
        <f>SUMIFS(Compta!$F$2:$F$675,Compta!$A$2:$A$675,B153,Compta!$B$2:$B$675,"604",Compta!$C$2:$C$675,A153)+SUMIFS(Compta!$F$2:$F$675,Compta!$A$2:$A$675,B153,Compta!$B$2:$B$675,"6063",Compta!$C$2:$C$675,A153)</f>
        <v/>
      </c>
      <c r="Z153">
        <f>SUMIFS(Compta!$F$2:$F$675,Compta!$A$2:$A$675,B153,Compta!$B$2:$B$675,"6231",Compta!$C$2:$C$675,A153)</f>
        <v/>
      </c>
      <c r="AA153">
        <f>SUMIFS(Compta!$F$2:$F$675,Compta!$A$2:$A$675,B153,Compta!$B$2:$B$675,"6413",Compta!$C$2:$C$675,A153)+SUMIFS(Compta!$F$2:$F$675,Compta!$A$2:$A$675,B153,Compta!$B$2:$B$675,"645",Compta!$C$2:$C$675,A153)+SUMIFS(Compta!$F$2:$F$675,Compta!$A$2:$A$675,B153,Compta!$B$2:$B$675,"613",Compta!$C$2:$C$675,A153)+SUMIFS(Compta!$F$2:$F$675,Compta!$A$2:$A$675,B153,Compta!$B$2:$B$675,"615",Compta!$C$2:$C$675,A153)+SUMIFS(Compta!$F$2:$F$675,Compta!$A$2:$A$675,B153,Compta!$B$2:$B$675,"616",Compta!$C$2:$C$675,A153)+SUMIFS(Compta!$F$2:$F$675,Compta!$A$2:$A$675,B153,Compta!$B$2:$B$675,"625",Compta!$C$2:$C$675,A153)+SUMIFS(Compta!$F$2:$F$675,Compta!$A$2:$A$675,B153,Compta!$B$2:$B$675,"63511",Compta!$C$2:$C$675,A153)</f>
        <v/>
      </c>
      <c r="AB153">
        <f>SUMIFS(Compta!$F$2:$F$675,Compta!$A$2:$A$675,"GRP",Compta!$B$2:$B$675,"6414",Compta!$C$2:$C$675,A153)+SUMIFS(Compta!$F$2:$F$675,Compta!$A$2:$A$675,"GRP",Compta!$B$2:$B$675,"6226",Compta!$C$2:$C$675,A153)+SUMIFS(Compta!$F$2:$F$675,Compta!$A$2:$A$675,"GRP",Compta!$B$2:$B$675,"6236",Compta!$C$2:$C$675,A153)+SUMIFS(Compta!$F$2:$F$675,Compta!$A$2:$A$675,"GRP",Compta!$B$2:$B$675,"626",Compta!$C$2:$C$675,A153)+SUMIFS(Compta!$F$2:$F$675,Compta!$A$2:$A$675,"GRP",Compta!$B$2:$B$675,"6281",Compta!$C$2:$C$675,A153)+SUMIFS(Compta!$F$2:$F$675,Compta!$A$2:$A$675,"GRP",Compta!$B$2:$B$675,"6331",Compta!$C$2:$C$675,A153)+SUMIFS(Compta!$F$2:$F$675,Compta!$A$2:$A$675,"GRP",Compta!$B$2:$B$675,"6333",Compta!$C$2:$C$675,A153)</f>
        <v/>
      </c>
      <c r="AC153">
        <f>IF(Pilotage!$E$10="Chiffre d'affaires",I153,IF(Pilotage!$E$10="Effectif",G153,H153))</f>
        <v/>
      </c>
      <c r="AD153">
        <f>IF(Pilotage!$E$10="Chiffre d'affaires",N153,IF(Pilotage!$E$10="Effectif",L153,M153))</f>
        <v/>
      </c>
      <c r="AE153">
        <f>IF(Pilotage!$E$8="Chiffre d'affaires",N153,IF(Pilotage!$E$8="Effectif",L153,M153))</f>
        <v/>
      </c>
      <c r="AF153">
        <f>IF(Pilotage!$E$8="Chiffre d'affaires",S153,IF(Pilotage!$E$8="Effectif",Q153,R153))</f>
        <v/>
      </c>
      <c r="AG153">
        <f>IF(Pilotage!$E$9="Chiffre d'affaires",S153,IF(Pilotage!$E$9="Effectif",Q153,R153))</f>
        <v/>
      </c>
      <c r="AH153">
        <f>IF(Pilotage!$E$9="Chiffre d'affaires",V153,IF(Pilotage!$E$9="Effectif",T153,U153))</f>
        <v/>
      </c>
      <c r="AI153">
        <f>W153*IFERROR(K153/O153,0)</f>
        <v/>
      </c>
      <c r="AJ153">
        <f>X153*IFERROR(K153/O153,0)</f>
        <v/>
      </c>
      <c r="AK153">
        <f>Y153*IFERROR(G153/L153,0)+Z153*IFERROR(J153/P153,0)</f>
        <v/>
      </c>
      <c r="AL153">
        <f>AA153*IFERROR(AC153/AD153,0)</f>
        <v/>
      </c>
      <c r="AM153">
        <f>AB153*IFERROR(AG153/AH153,0)*IFERROR(AE153/AF153,0)*IFERROR(AC153/AD153,0)</f>
        <v/>
      </c>
      <c r="AN153">
        <f>I153-(AI153+AJ153+AK153+AL153+AM153)</f>
        <v/>
      </c>
    </row>
    <row r="154">
      <c r="A154">
        <f>Allocation!C154</f>
        <v/>
      </c>
      <c r="B154">
        <f>Allocation!D154</f>
        <v/>
      </c>
      <c r="C154">
        <f>Allocation!E154</f>
        <v/>
      </c>
      <c r="D154">
        <f>Allocation!F154</f>
        <v/>
      </c>
      <c r="E154">
        <f>Allocation!G154</f>
        <v/>
      </c>
      <c r="F154">
        <f>Allocation!H154</f>
        <v/>
      </c>
      <c r="G154">
        <f>Allocation!I154</f>
        <v/>
      </c>
      <c r="H154">
        <f>Allocation!J154</f>
        <v/>
      </c>
      <c r="I154">
        <f>Allocation!K154</f>
        <v/>
      </c>
      <c r="J154">
        <f>SUMIFS(Socle!$K$2:$K$175,Socle!$C$2:$C$175,B154,Socle!$D$2:$D$175,D154,Socle!$E$2:$E$175,E154,Socle!$F$2:$F$175,F154,Socle!$G$2:$G$175,A154)</f>
        <v/>
      </c>
      <c r="K154">
        <f>H154*IF(AND(LEFT(D154,3)="BAC",F154="INIT"),600,IF(LEFT(D154,3)="BAC",480,IF(AND(LEFT(D154,3)="MAS",F154="INIT"),520,IF(LEFT(D154,3)="MAS",420,IF(F154="INIT",1000,700)))))</f>
        <v/>
      </c>
      <c r="L154">
        <f>SUMIFS(Allocation!$I$2:$I$175,Allocation!$C$2:$C$175,A154,Allocation!$D$2:$D$175,B154)</f>
        <v/>
      </c>
      <c r="M154">
        <f>SUMIFS(Allocation!$J$2:$J$175,Allocation!$C$2:$C$175,A154,Allocation!$D$2:$D$175,B154)</f>
        <v/>
      </c>
      <c r="N154">
        <f>SUMIFS(Allocation!$K$2:$K$175,Allocation!$C$2:$C$175,A154,Allocation!$D$2:$D$175,B154)</f>
        <v/>
      </c>
      <c r="O154">
        <f>SUMIFS($K$2:$K$175,$A$2:$A$175,A154,$B$2:$B$175,B154)</f>
        <v/>
      </c>
      <c r="P154">
        <f>SUMIFS($J$2:$J$175,$A$2:$A$175,A154,$B$2:$B$175,B154)</f>
        <v/>
      </c>
      <c r="Q154">
        <f>SUMIFS(Allocation!$I$2:$I$175,Allocation!$C$2:$C$175,A154,Allocation!$E$2:$E$175,C154)</f>
        <v/>
      </c>
      <c r="R154">
        <f>SUMIFS(Allocation!$J$2:$J$175,Allocation!$C$2:$C$175,A154,Allocation!$E$2:$E$175,C154)</f>
        <v/>
      </c>
      <c r="S154">
        <f>SUMIFS(Allocation!$K$2:$K$175,Allocation!$C$2:$C$175,A154,Allocation!$E$2:$E$175,C154)</f>
        <v/>
      </c>
      <c r="T154">
        <f>SUMIFS(Allocation!$I$2:$I$175,Allocation!$C$2:$C$175,A154)</f>
        <v/>
      </c>
      <c r="U154">
        <f>SUMIFS(Allocation!$J$2:$J$175,Allocation!$C$2:$C$175,A154)</f>
        <v/>
      </c>
      <c r="V154">
        <f>SUMIFS(Allocation!$K$2:$K$175,Allocation!$C$2:$C$175,A154)</f>
        <v/>
      </c>
      <c r="W154">
        <f>SUMIFS(Compta!$F$2:$F$675,Compta!$A$2:$A$675,B154,Compta!$B$2:$B$675,"621",Compta!$C$2:$C$675,A154)</f>
        <v/>
      </c>
      <c r="X154">
        <f>SUMIFS(Compta!$F$2:$F$675,Compta!$A$2:$A$675,B154,Compta!$B$2:$B$675,"6411",Compta!$C$2:$C$675,A154)</f>
        <v/>
      </c>
      <c r="Y154">
        <f>SUMIFS(Compta!$F$2:$F$675,Compta!$A$2:$A$675,B154,Compta!$B$2:$B$675,"604",Compta!$C$2:$C$675,A154)+SUMIFS(Compta!$F$2:$F$675,Compta!$A$2:$A$675,B154,Compta!$B$2:$B$675,"6063",Compta!$C$2:$C$675,A154)</f>
        <v/>
      </c>
      <c r="Z154">
        <f>SUMIFS(Compta!$F$2:$F$675,Compta!$A$2:$A$675,B154,Compta!$B$2:$B$675,"6231",Compta!$C$2:$C$675,A154)</f>
        <v/>
      </c>
      <c r="AA154">
        <f>SUMIFS(Compta!$F$2:$F$675,Compta!$A$2:$A$675,B154,Compta!$B$2:$B$675,"6413",Compta!$C$2:$C$675,A154)+SUMIFS(Compta!$F$2:$F$675,Compta!$A$2:$A$675,B154,Compta!$B$2:$B$675,"645",Compta!$C$2:$C$675,A154)+SUMIFS(Compta!$F$2:$F$675,Compta!$A$2:$A$675,B154,Compta!$B$2:$B$675,"613",Compta!$C$2:$C$675,A154)+SUMIFS(Compta!$F$2:$F$675,Compta!$A$2:$A$675,B154,Compta!$B$2:$B$675,"615",Compta!$C$2:$C$675,A154)+SUMIFS(Compta!$F$2:$F$675,Compta!$A$2:$A$675,B154,Compta!$B$2:$B$675,"616",Compta!$C$2:$C$675,A154)+SUMIFS(Compta!$F$2:$F$675,Compta!$A$2:$A$675,B154,Compta!$B$2:$B$675,"625",Compta!$C$2:$C$675,A154)+SUMIFS(Compta!$F$2:$F$675,Compta!$A$2:$A$675,B154,Compta!$B$2:$B$675,"63511",Compta!$C$2:$C$675,A154)</f>
        <v/>
      </c>
      <c r="AB154">
        <f>SUMIFS(Compta!$F$2:$F$675,Compta!$A$2:$A$675,"GRP",Compta!$B$2:$B$675,"6414",Compta!$C$2:$C$675,A154)+SUMIFS(Compta!$F$2:$F$675,Compta!$A$2:$A$675,"GRP",Compta!$B$2:$B$675,"6226",Compta!$C$2:$C$675,A154)+SUMIFS(Compta!$F$2:$F$675,Compta!$A$2:$A$675,"GRP",Compta!$B$2:$B$675,"6236",Compta!$C$2:$C$675,A154)+SUMIFS(Compta!$F$2:$F$675,Compta!$A$2:$A$675,"GRP",Compta!$B$2:$B$675,"626",Compta!$C$2:$C$675,A154)+SUMIFS(Compta!$F$2:$F$675,Compta!$A$2:$A$675,"GRP",Compta!$B$2:$B$675,"6281",Compta!$C$2:$C$675,A154)+SUMIFS(Compta!$F$2:$F$675,Compta!$A$2:$A$675,"GRP",Compta!$B$2:$B$675,"6331",Compta!$C$2:$C$675,A154)+SUMIFS(Compta!$F$2:$F$675,Compta!$A$2:$A$675,"GRP",Compta!$B$2:$B$675,"6333",Compta!$C$2:$C$675,A154)</f>
        <v/>
      </c>
      <c r="AC154">
        <f>IF(Pilotage!$E$10="Chiffre d'affaires",I154,IF(Pilotage!$E$10="Effectif",G154,H154))</f>
        <v/>
      </c>
      <c r="AD154">
        <f>IF(Pilotage!$E$10="Chiffre d'affaires",N154,IF(Pilotage!$E$10="Effectif",L154,M154))</f>
        <v/>
      </c>
      <c r="AE154">
        <f>IF(Pilotage!$E$8="Chiffre d'affaires",N154,IF(Pilotage!$E$8="Effectif",L154,M154))</f>
        <v/>
      </c>
      <c r="AF154">
        <f>IF(Pilotage!$E$8="Chiffre d'affaires",S154,IF(Pilotage!$E$8="Effectif",Q154,R154))</f>
        <v/>
      </c>
      <c r="AG154">
        <f>IF(Pilotage!$E$9="Chiffre d'affaires",S154,IF(Pilotage!$E$9="Effectif",Q154,R154))</f>
        <v/>
      </c>
      <c r="AH154">
        <f>IF(Pilotage!$E$9="Chiffre d'affaires",V154,IF(Pilotage!$E$9="Effectif",T154,U154))</f>
        <v/>
      </c>
      <c r="AI154">
        <f>W154*IFERROR(K154/O154,0)</f>
        <v/>
      </c>
      <c r="AJ154">
        <f>X154*IFERROR(K154/O154,0)</f>
        <v/>
      </c>
      <c r="AK154">
        <f>Y154*IFERROR(G154/L154,0)+Z154*IFERROR(J154/P154,0)</f>
        <v/>
      </c>
      <c r="AL154">
        <f>AA154*IFERROR(AC154/AD154,0)</f>
        <v/>
      </c>
      <c r="AM154">
        <f>AB154*IFERROR(AG154/AH154,0)*IFERROR(AE154/AF154,0)*IFERROR(AC154/AD154,0)</f>
        <v/>
      </c>
      <c r="AN154">
        <f>I154-(AI154+AJ154+AK154+AL154+AM154)</f>
        <v/>
      </c>
    </row>
    <row r="155">
      <c r="A155">
        <f>Allocation!C155</f>
        <v/>
      </c>
      <c r="B155">
        <f>Allocation!D155</f>
        <v/>
      </c>
      <c r="C155">
        <f>Allocation!E155</f>
        <v/>
      </c>
      <c r="D155">
        <f>Allocation!F155</f>
        <v/>
      </c>
      <c r="E155">
        <f>Allocation!G155</f>
        <v/>
      </c>
      <c r="F155">
        <f>Allocation!H155</f>
        <v/>
      </c>
      <c r="G155">
        <f>Allocation!I155</f>
        <v/>
      </c>
      <c r="H155">
        <f>Allocation!J155</f>
        <v/>
      </c>
      <c r="I155">
        <f>Allocation!K155</f>
        <v/>
      </c>
      <c r="J155">
        <f>SUMIFS(Socle!$K$2:$K$175,Socle!$C$2:$C$175,B155,Socle!$D$2:$D$175,D155,Socle!$E$2:$E$175,E155,Socle!$F$2:$F$175,F155,Socle!$G$2:$G$175,A155)</f>
        <v/>
      </c>
      <c r="K155">
        <f>H155*IF(AND(LEFT(D155,3)="BAC",F155="INIT"),600,IF(LEFT(D155,3)="BAC",480,IF(AND(LEFT(D155,3)="MAS",F155="INIT"),520,IF(LEFT(D155,3)="MAS",420,IF(F155="INIT",1000,700)))))</f>
        <v/>
      </c>
      <c r="L155">
        <f>SUMIFS(Allocation!$I$2:$I$175,Allocation!$C$2:$C$175,A155,Allocation!$D$2:$D$175,B155)</f>
        <v/>
      </c>
      <c r="M155">
        <f>SUMIFS(Allocation!$J$2:$J$175,Allocation!$C$2:$C$175,A155,Allocation!$D$2:$D$175,B155)</f>
        <v/>
      </c>
      <c r="N155">
        <f>SUMIFS(Allocation!$K$2:$K$175,Allocation!$C$2:$C$175,A155,Allocation!$D$2:$D$175,B155)</f>
        <v/>
      </c>
      <c r="O155">
        <f>SUMIFS($K$2:$K$175,$A$2:$A$175,A155,$B$2:$B$175,B155)</f>
        <v/>
      </c>
      <c r="P155">
        <f>SUMIFS($J$2:$J$175,$A$2:$A$175,A155,$B$2:$B$175,B155)</f>
        <v/>
      </c>
      <c r="Q155">
        <f>SUMIFS(Allocation!$I$2:$I$175,Allocation!$C$2:$C$175,A155,Allocation!$E$2:$E$175,C155)</f>
        <v/>
      </c>
      <c r="R155">
        <f>SUMIFS(Allocation!$J$2:$J$175,Allocation!$C$2:$C$175,A155,Allocation!$E$2:$E$175,C155)</f>
        <v/>
      </c>
      <c r="S155">
        <f>SUMIFS(Allocation!$K$2:$K$175,Allocation!$C$2:$C$175,A155,Allocation!$E$2:$E$175,C155)</f>
        <v/>
      </c>
      <c r="T155">
        <f>SUMIFS(Allocation!$I$2:$I$175,Allocation!$C$2:$C$175,A155)</f>
        <v/>
      </c>
      <c r="U155">
        <f>SUMIFS(Allocation!$J$2:$J$175,Allocation!$C$2:$C$175,A155)</f>
        <v/>
      </c>
      <c r="V155">
        <f>SUMIFS(Allocation!$K$2:$K$175,Allocation!$C$2:$C$175,A155)</f>
        <v/>
      </c>
      <c r="W155">
        <f>SUMIFS(Compta!$F$2:$F$675,Compta!$A$2:$A$675,B155,Compta!$B$2:$B$675,"621",Compta!$C$2:$C$675,A155)</f>
        <v/>
      </c>
      <c r="X155">
        <f>SUMIFS(Compta!$F$2:$F$675,Compta!$A$2:$A$675,B155,Compta!$B$2:$B$675,"6411",Compta!$C$2:$C$675,A155)</f>
        <v/>
      </c>
      <c r="Y155">
        <f>SUMIFS(Compta!$F$2:$F$675,Compta!$A$2:$A$675,B155,Compta!$B$2:$B$675,"604",Compta!$C$2:$C$675,A155)+SUMIFS(Compta!$F$2:$F$675,Compta!$A$2:$A$675,B155,Compta!$B$2:$B$675,"6063",Compta!$C$2:$C$675,A155)</f>
        <v/>
      </c>
      <c r="Z155">
        <f>SUMIFS(Compta!$F$2:$F$675,Compta!$A$2:$A$675,B155,Compta!$B$2:$B$675,"6231",Compta!$C$2:$C$675,A155)</f>
        <v/>
      </c>
      <c r="AA155">
        <f>SUMIFS(Compta!$F$2:$F$675,Compta!$A$2:$A$675,B155,Compta!$B$2:$B$675,"6413",Compta!$C$2:$C$675,A155)+SUMIFS(Compta!$F$2:$F$675,Compta!$A$2:$A$675,B155,Compta!$B$2:$B$675,"645",Compta!$C$2:$C$675,A155)+SUMIFS(Compta!$F$2:$F$675,Compta!$A$2:$A$675,B155,Compta!$B$2:$B$675,"613",Compta!$C$2:$C$675,A155)+SUMIFS(Compta!$F$2:$F$675,Compta!$A$2:$A$675,B155,Compta!$B$2:$B$675,"615",Compta!$C$2:$C$675,A155)+SUMIFS(Compta!$F$2:$F$675,Compta!$A$2:$A$675,B155,Compta!$B$2:$B$675,"616",Compta!$C$2:$C$675,A155)+SUMIFS(Compta!$F$2:$F$675,Compta!$A$2:$A$675,B155,Compta!$B$2:$B$675,"625",Compta!$C$2:$C$675,A155)+SUMIFS(Compta!$F$2:$F$675,Compta!$A$2:$A$675,B155,Compta!$B$2:$B$675,"63511",Compta!$C$2:$C$675,A155)</f>
        <v/>
      </c>
      <c r="AB155">
        <f>SUMIFS(Compta!$F$2:$F$675,Compta!$A$2:$A$675,"GRP",Compta!$B$2:$B$675,"6414",Compta!$C$2:$C$675,A155)+SUMIFS(Compta!$F$2:$F$675,Compta!$A$2:$A$675,"GRP",Compta!$B$2:$B$675,"6226",Compta!$C$2:$C$675,A155)+SUMIFS(Compta!$F$2:$F$675,Compta!$A$2:$A$675,"GRP",Compta!$B$2:$B$675,"6236",Compta!$C$2:$C$675,A155)+SUMIFS(Compta!$F$2:$F$675,Compta!$A$2:$A$675,"GRP",Compta!$B$2:$B$675,"626",Compta!$C$2:$C$675,A155)+SUMIFS(Compta!$F$2:$F$675,Compta!$A$2:$A$675,"GRP",Compta!$B$2:$B$675,"6281",Compta!$C$2:$C$675,A155)+SUMIFS(Compta!$F$2:$F$675,Compta!$A$2:$A$675,"GRP",Compta!$B$2:$B$675,"6331",Compta!$C$2:$C$675,A155)+SUMIFS(Compta!$F$2:$F$675,Compta!$A$2:$A$675,"GRP",Compta!$B$2:$B$675,"6333",Compta!$C$2:$C$675,A155)</f>
        <v/>
      </c>
      <c r="AC155">
        <f>IF(Pilotage!$E$10="Chiffre d'affaires",I155,IF(Pilotage!$E$10="Effectif",G155,H155))</f>
        <v/>
      </c>
      <c r="AD155">
        <f>IF(Pilotage!$E$10="Chiffre d'affaires",N155,IF(Pilotage!$E$10="Effectif",L155,M155))</f>
        <v/>
      </c>
      <c r="AE155">
        <f>IF(Pilotage!$E$8="Chiffre d'affaires",N155,IF(Pilotage!$E$8="Effectif",L155,M155))</f>
        <v/>
      </c>
      <c r="AF155">
        <f>IF(Pilotage!$E$8="Chiffre d'affaires",S155,IF(Pilotage!$E$8="Effectif",Q155,R155))</f>
        <v/>
      </c>
      <c r="AG155">
        <f>IF(Pilotage!$E$9="Chiffre d'affaires",S155,IF(Pilotage!$E$9="Effectif",Q155,R155))</f>
        <v/>
      </c>
      <c r="AH155">
        <f>IF(Pilotage!$E$9="Chiffre d'affaires",V155,IF(Pilotage!$E$9="Effectif",T155,U155))</f>
        <v/>
      </c>
      <c r="AI155">
        <f>W155*IFERROR(K155/O155,0)</f>
        <v/>
      </c>
      <c r="AJ155">
        <f>X155*IFERROR(K155/O155,0)</f>
        <v/>
      </c>
      <c r="AK155">
        <f>Y155*IFERROR(G155/L155,0)+Z155*IFERROR(J155/P155,0)</f>
        <v/>
      </c>
      <c r="AL155">
        <f>AA155*IFERROR(AC155/AD155,0)</f>
        <v/>
      </c>
      <c r="AM155">
        <f>AB155*IFERROR(AG155/AH155,0)*IFERROR(AE155/AF155,0)*IFERROR(AC155/AD155,0)</f>
        <v/>
      </c>
      <c r="AN155">
        <f>I155-(AI155+AJ155+AK155+AL155+AM155)</f>
        <v/>
      </c>
    </row>
    <row r="156">
      <c r="A156">
        <f>Allocation!C156</f>
        <v/>
      </c>
      <c r="B156">
        <f>Allocation!D156</f>
        <v/>
      </c>
      <c r="C156">
        <f>Allocation!E156</f>
        <v/>
      </c>
      <c r="D156">
        <f>Allocation!F156</f>
        <v/>
      </c>
      <c r="E156">
        <f>Allocation!G156</f>
        <v/>
      </c>
      <c r="F156">
        <f>Allocation!H156</f>
        <v/>
      </c>
      <c r="G156">
        <f>Allocation!I156</f>
        <v/>
      </c>
      <c r="H156">
        <f>Allocation!J156</f>
        <v/>
      </c>
      <c r="I156">
        <f>Allocation!K156</f>
        <v/>
      </c>
      <c r="J156">
        <f>SUMIFS(Socle!$K$2:$K$175,Socle!$C$2:$C$175,B156,Socle!$D$2:$D$175,D156,Socle!$E$2:$E$175,E156,Socle!$F$2:$F$175,F156,Socle!$G$2:$G$175,A156)</f>
        <v/>
      </c>
      <c r="K156">
        <f>H156*IF(AND(LEFT(D156,3)="BAC",F156="INIT"),600,IF(LEFT(D156,3)="BAC",480,IF(AND(LEFT(D156,3)="MAS",F156="INIT"),520,IF(LEFT(D156,3)="MAS",420,IF(F156="INIT",1000,700)))))</f>
        <v/>
      </c>
      <c r="L156">
        <f>SUMIFS(Allocation!$I$2:$I$175,Allocation!$C$2:$C$175,A156,Allocation!$D$2:$D$175,B156)</f>
        <v/>
      </c>
      <c r="M156">
        <f>SUMIFS(Allocation!$J$2:$J$175,Allocation!$C$2:$C$175,A156,Allocation!$D$2:$D$175,B156)</f>
        <v/>
      </c>
      <c r="N156">
        <f>SUMIFS(Allocation!$K$2:$K$175,Allocation!$C$2:$C$175,A156,Allocation!$D$2:$D$175,B156)</f>
        <v/>
      </c>
      <c r="O156">
        <f>SUMIFS($K$2:$K$175,$A$2:$A$175,A156,$B$2:$B$175,B156)</f>
        <v/>
      </c>
      <c r="P156">
        <f>SUMIFS($J$2:$J$175,$A$2:$A$175,A156,$B$2:$B$175,B156)</f>
        <v/>
      </c>
      <c r="Q156">
        <f>SUMIFS(Allocation!$I$2:$I$175,Allocation!$C$2:$C$175,A156,Allocation!$E$2:$E$175,C156)</f>
        <v/>
      </c>
      <c r="R156">
        <f>SUMIFS(Allocation!$J$2:$J$175,Allocation!$C$2:$C$175,A156,Allocation!$E$2:$E$175,C156)</f>
        <v/>
      </c>
      <c r="S156">
        <f>SUMIFS(Allocation!$K$2:$K$175,Allocation!$C$2:$C$175,A156,Allocation!$E$2:$E$175,C156)</f>
        <v/>
      </c>
      <c r="T156">
        <f>SUMIFS(Allocation!$I$2:$I$175,Allocation!$C$2:$C$175,A156)</f>
        <v/>
      </c>
      <c r="U156">
        <f>SUMIFS(Allocation!$J$2:$J$175,Allocation!$C$2:$C$175,A156)</f>
        <v/>
      </c>
      <c r="V156">
        <f>SUMIFS(Allocation!$K$2:$K$175,Allocation!$C$2:$C$175,A156)</f>
        <v/>
      </c>
      <c r="W156">
        <f>SUMIFS(Compta!$F$2:$F$675,Compta!$A$2:$A$675,B156,Compta!$B$2:$B$675,"621",Compta!$C$2:$C$675,A156)</f>
        <v/>
      </c>
      <c r="X156">
        <f>SUMIFS(Compta!$F$2:$F$675,Compta!$A$2:$A$675,B156,Compta!$B$2:$B$675,"6411",Compta!$C$2:$C$675,A156)</f>
        <v/>
      </c>
      <c r="Y156">
        <f>SUMIFS(Compta!$F$2:$F$675,Compta!$A$2:$A$675,B156,Compta!$B$2:$B$675,"604",Compta!$C$2:$C$675,A156)+SUMIFS(Compta!$F$2:$F$675,Compta!$A$2:$A$675,B156,Compta!$B$2:$B$675,"6063",Compta!$C$2:$C$675,A156)</f>
        <v/>
      </c>
      <c r="Z156">
        <f>SUMIFS(Compta!$F$2:$F$675,Compta!$A$2:$A$675,B156,Compta!$B$2:$B$675,"6231",Compta!$C$2:$C$675,A156)</f>
        <v/>
      </c>
      <c r="AA156">
        <f>SUMIFS(Compta!$F$2:$F$675,Compta!$A$2:$A$675,B156,Compta!$B$2:$B$675,"6413",Compta!$C$2:$C$675,A156)+SUMIFS(Compta!$F$2:$F$675,Compta!$A$2:$A$675,B156,Compta!$B$2:$B$675,"645",Compta!$C$2:$C$675,A156)+SUMIFS(Compta!$F$2:$F$675,Compta!$A$2:$A$675,B156,Compta!$B$2:$B$675,"613",Compta!$C$2:$C$675,A156)+SUMIFS(Compta!$F$2:$F$675,Compta!$A$2:$A$675,B156,Compta!$B$2:$B$675,"615",Compta!$C$2:$C$675,A156)+SUMIFS(Compta!$F$2:$F$675,Compta!$A$2:$A$675,B156,Compta!$B$2:$B$675,"616",Compta!$C$2:$C$675,A156)+SUMIFS(Compta!$F$2:$F$675,Compta!$A$2:$A$675,B156,Compta!$B$2:$B$675,"625",Compta!$C$2:$C$675,A156)+SUMIFS(Compta!$F$2:$F$675,Compta!$A$2:$A$675,B156,Compta!$B$2:$B$675,"63511",Compta!$C$2:$C$675,A156)</f>
        <v/>
      </c>
      <c r="AB156">
        <f>SUMIFS(Compta!$F$2:$F$675,Compta!$A$2:$A$675,"GRP",Compta!$B$2:$B$675,"6414",Compta!$C$2:$C$675,A156)+SUMIFS(Compta!$F$2:$F$675,Compta!$A$2:$A$675,"GRP",Compta!$B$2:$B$675,"6226",Compta!$C$2:$C$675,A156)+SUMIFS(Compta!$F$2:$F$675,Compta!$A$2:$A$675,"GRP",Compta!$B$2:$B$675,"6236",Compta!$C$2:$C$675,A156)+SUMIFS(Compta!$F$2:$F$675,Compta!$A$2:$A$675,"GRP",Compta!$B$2:$B$675,"626",Compta!$C$2:$C$675,A156)+SUMIFS(Compta!$F$2:$F$675,Compta!$A$2:$A$675,"GRP",Compta!$B$2:$B$675,"6281",Compta!$C$2:$C$675,A156)+SUMIFS(Compta!$F$2:$F$675,Compta!$A$2:$A$675,"GRP",Compta!$B$2:$B$675,"6331",Compta!$C$2:$C$675,A156)+SUMIFS(Compta!$F$2:$F$675,Compta!$A$2:$A$675,"GRP",Compta!$B$2:$B$675,"6333",Compta!$C$2:$C$675,A156)</f>
        <v/>
      </c>
      <c r="AC156">
        <f>IF(Pilotage!$E$10="Chiffre d'affaires",I156,IF(Pilotage!$E$10="Effectif",G156,H156))</f>
        <v/>
      </c>
      <c r="AD156">
        <f>IF(Pilotage!$E$10="Chiffre d'affaires",N156,IF(Pilotage!$E$10="Effectif",L156,M156))</f>
        <v/>
      </c>
      <c r="AE156">
        <f>IF(Pilotage!$E$8="Chiffre d'affaires",N156,IF(Pilotage!$E$8="Effectif",L156,M156))</f>
        <v/>
      </c>
      <c r="AF156">
        <f>IF(Pilotage!$E$8="Chiffre d'affaires",S156,IF(Pilotage!$E$8="Effectif",Q156,R156))</f>
        <v/>
      </c>
      <c r="AG156">
        <f>IF(Pilotage!$E$9="Chiffre d'affaires",S156,IF(Pilotage!$E$9="Effectif",Q156,R156))</f>
        <v/>
      </c>
      <c r="AH156">
        <f>IF(Pilotage!$E$9="Chiffre d'affaires",V156,IF(Pilotage!$E$9="Effectif",T156,U156))</f>
        <v/>
      </c>
      <c r="AI156">
        <f>W156*IFERROR(K156/O156,0)</f>
        <v/>
      </c>
      <c r="AJ156">
        <f>X156*IFERROR(K156/O156,0)</f>
        <v/>
      </c>
      <c r="AK156">
        <f>Y156*IFERROR(G156/L156,0)+Z156*IFERROR(J156/P156,0)</f>
        <v/>
      </c>
      <c r="AL156">
        <f>AA156*IFERROR(AC156/AD156,0)</f>
        <v/>
      </c>
      <c r="AM156">
        <f>AB156*IFERROR(AG156/AH156,0)*IFERROR(AE156/AF156,0)*IFERROR(AC156/AD156,0)</f>
        <v/>
      </c>
      <c r="AN156">
        <f>I156-(AI156+AJ156+AK156+AL156+AM156)</f>
        <v/>
      </c>
    </row>
    <row r="157">
      <c r="A157">
        <f>Allocation!C157</f>
        <v/>
      </c>
      <c r="B157">
        <f>Allocation!D157</f>
        <v/>
      </c>
      <c r="C157">
        <f>Allocation!E157</f>
        <v/>
      </c>
      <c r="D157">
        <f>Allocation!F157</f>
        <v/>
      </c>
      <c r="E157">
        <f>Allocation!G157</f>
        <v/>
      </c>
      <c r="F157">
        <f>Allocation!H157</f>
        <v/>
      </c>
      <c r="G157">
        <f>Allocation!I157</f>
        <v/>
      </c>
      <c r="H157">
        <f>Allocation!J157</f>
        <v/>
      </c>
      <c r="I157">
        <f>Allocation!K157</f>
        <v/>
      </c>
      <c r="J157">
        <f>SUMIFS(Socle!$K$2:$K$175,Socle!$C$2:$C$175,B157,Socle!$D$2:$D$175,D157,Socle!$E$2:$E$175,E157,Socle!$F$2:$F$175,F157,Socle!$G$2:$G$175,A157)</f>
        <v/>
      </c>
      <c r="K157">
        <f>H157*IF(AND(LEFT(D157,3)="BAC",F157="INIT"),600,IF(LEFT(D157,3)="BAC",480,IF(AND(LEFT(D157,3)="MAS",F157="INIT"),520,IF(LEFT(D157,3)="MAS",420,IF(F157="INIT",1000,700)))))</f>
        <v/>
      </c>
      <c r="L157">
        <f>SUMIFS(Allocation!$I$2:$I$175,Allocation!$C$2:$C$175,A157,Allocation!$D$2:$D$175,B157)</f>
        <v/>
      </c>
      <c r="M157">
        <f>SUMIFS(Allocation!$J$2:$J$175,Allocation!$C$2:$C$175,A157,Allocation!$D$2:$D$175,B157)</f>
        <v/>
      </c>
      <c r="N157">
        <f>SUMIFS(Allocation!$K$2:$K$175,Allocation!$C$2:$C$175,A157,Allocation!$D$2:$D$175,B157)</f>
        <v/>
      </c>
      <c r="O157">
        <f>SUMIFS($K$2:$K$175,$A$2:$A$175,A157,$B$2:$B$175,B157)</f>
        <v/>
      </c>
      <c r="P157">
        <f>SUMIFS($J$2:$J$175,$A$2:$A$175,A157,$B$2:$B$175,B157)</f>
        <v/>
      </c>
      <c r="Q157">
        <f>SUMIFS(Allocation!$I$2:$I$175,Allocation!$C$2:$C$175,A157,Allocation!$E$2:$E$175,C157)</f>
        <v/>
      </c>
      <c r="R157">
        <f>SUMIFS(Allocation!$J$2:$J$175,Allocation!$C$2:$C$175,A157,Allocation!$E$2:$E$175,C157)</f>
        <v/>
      </c>
      <c r="S157">
        <f>SUMIFS(Allocation!$K$2:$K$175,Allocation!$C$2:$C$175,A157,Allocation!$E$2:$E$175,C157)</f>
        <v/>
      </c>
      <c r="T157">
        <f>SUMIFS(Allocation!$I$2:$I$175,Allocation!$C$2:$C$175,A157)</f>
        <v/>
      </c>
      <c r="U157">
        <f>SUMIFS(Allocation!$J$2:$J$175,Allocation!$C$2:$C$175,A157)</f>
        <v/>
      </c>
      <c r="V157">
        <f>SUMIFS(Allocation!$K$2:$K$175,Allocation!$C$2:$C$175,A157)</f>
        <v/>
      </c>
      <c r="W157">
        <f>SUMIFS(Compta!$F$2:$F$675,Compta!$A$2:$A$675,B157,Compta!$B$2:$B$675,"621",Compta!$C$2:$C$675,A157)</f>
        <v/>
      </c>
      <c r="X157">
        <f>SUMIFS(Compta!$F$2:$F$675,Compta!$A$2:$A$675,B157,Compta!$B$2:$B$675,"6411",Compta!$C$2:$C$675,A157)</f>
        <v/>
      </c>
      <c r="Y157">
        <f>SUMIFS(Compta!$F$2:$F$675,Compta!$A$2:$A$675,B157,Compta!$B$2:$B$675,"604",Compta!$C$2:$C$675,A157)+SUMIFS(Compta!$F$2:$F$675,Compta!$A$2:$A$675,B157,Compta!$B$2:$B$675,"6063",Compta!$C$2:$C$675,A157)</f>
        <v/>
      </c>
      <c r="Z157">
        <f>SUMIFS(Compta!$F$2:$F$675,Compta!$A$2:$A$675,B157,Compta!$B$2:$B$675,"6231",Compta!$C$2:$C$675,A157)</f>
        <v/>
      </c>
      <c r="AA157">
        <f>SUMIFS(Compta!$F$2:$F$675,Compta!$A$2:$A$675,B157,Compta!$B$2:$B$675,"6413",Compta!$C$2:$C$675,A157)+SUMIFS(Compta!$F$2:$F$675,Compta!$A$2:$A$675,B157,Compta!$B$2:$B$675,"645",Compta!$C$2:$C$675,A157)+SUMIFS(Compta!$F$2:$F$675,Compta!$A$2:$A$675,B157,Compta!$B$2:$B$675,"613",Compta!$C$2:$C$675,A157)+SUMIFS(Compta!$F$2:$F$675,Compta!$A$2:$A$675,B157,Compta!$B$2:$B$675,"615",Compta!$C$2:$C$675,A157)+SUMIFS(Compta!$F$2:$F$675,Compta!$A$2:$A$675,B157,Compta!$B$2:$B$675,"616",Compta!$C$2:$C$675,A157)+SUMIFS(Compta!$F$2:$F$675,Compta!$A$2:$A$675,B157,Compta!$B$2:$B$675,"625",Compta!$C$2:$C$675,A157)+SUMIFS(Compta!$F$2:$F$675,Compta!$A$2:$A$675,B157,Compta!$B$2:$B$675,"63511",Compta!$C$2:$C$675,A157)</f>
        <v/>
      </c>
      <c r="AB157">
        <f>SUMIFS(Compta!$F$2:$F$675,Compta!$A$2:$A$675,"GRP",Compta!$B$2:$B$675,"6414",Compta!$C$2:$C$675,A157)+SUMIFS(Compta!$F$2:$F$675,Compta!$A$2:$A$675,"GRP",Compta!$B$2:$B$675,"6226",Compta!$C$2:$C$675,A157)+SUMIFS(Compta!$F$2:$F$675,Compta!$A$2:$A$675,"GRP",Compta!$B$2:$B$675,"6236",Compta!$C$2:$C$675,A157)+SUMIFS(Compta!$F$2:$F$675,Compta!$A$2:$A$675,"GRP",Compta!$B$2:$B$675,"626",Compta!$C$2:$C$675,A157)+SUMIFS(Compta!$F$2:$F$675,Compta!$A$2:$A$675,"GRP",Compta!$B$2:$B$675,"6281",Compta!$C$2:$C$675,A157)+SUMIFS(Compta!$F$2:$F$675,Compta!$A$2:$A$675,"GRP",Compta!$B$2:$B$675,"6331",Compta!$C$2:$C$675,A157)+SUMIFS(Compta!$F$2:$F$675,Compta!$A$2:$A$675,"GRP",Compta!$B$2:$B$675,"6333",Compta!$C$2:$C$675,A157)</f>
        <v/>
      </c>
      <c r="AC157">
        <f>IF(Pilotage!$E$10="Chiffre d'affaires",I157,IF(Pilotage!$E$10="Effectif",G157,H157))</f>
        <v/>
      </c>
      <c r="AD157">
        <f>IF(Pilotage!$E$10="Chiffre d'affaires",N157,IF(Pilotage!$E$10="Effectif",L157,M157))</f>
        <v/>
      </c>
      <c r="AE157">
        <f>IF(Pilotage!$E$8="Chiffre d'affaires",N157,IF(Pilotage!$E$8="Effectif",L157,M157))</f>
        <v/>
      </c>
      <c r="AF157">
        <f>IF(Pilotage!$E$8="Chiffre d'affaires",S157,IF(Pilotage!$E$8="Effectif",Q157,R157))</f>
        <v/>
      </c>
      <c r="AG157">
        <f>IF(Pilotage!$E$9="Chiffre d'affaires",S157,IF(Pilotage!$E$9="Effectif",Q157,R157))</f>
        <v/>
      </c>
      <c r="AH157">
        <f>IF(Pilotage!$E$9="Chiffre d'affaires",V157,IF(Pilotage!$E$9="Effectif",T157,U157))</f>
        <v/>
      </c>
      <c r="AI157">
        <f>W157*IFERROR(K157/O157,0)</f>
        <v/>
      </c>
      <c r="AJ157">
        <f>X157*IFERROR(K157/O157,0)</f>
        <v/>
      </c>
      <c r="AK157">
        <f>Y157*IFERROR(G157/L157,0)+Z157*IFERROR(J157/P157,0)</f>
        <v/>
      </c>
      <c r="AL157">
        <f>AA157*IFERROR(AC157/AD157,0)</f>
        <v/>
      </c>
      <c r="AM157">
        <f>AB157*IFERROR(AG157/AH157,0)*IFERROR(AE157/AF157,0)*IFERROR(AC157/AD157,0)</f>
        <v/>
      </c>
      <c r="AN157">
        <f>I157-(AI157+AJ157+AK157+AL157+AM157)</f>
        <v/>
      </c>
    </row>
    <row r="158">
      <c r="A158">
        <f>Allocation!C158</f>
        <v/>
      </c>
      <c r="B158">
        <f>Allocation!D158</f>
        <v/>
      </c>
      <c r="C158">
        <f>Allocation!E158</f>
        <v/>
      </c>
      <c r="D158">
        <f>Allocation!F158</f>
        <v/>
      </c>
      <c r="E158">
        <f>Allocation!G158</f>
        <v/>
      </c>
      <c r="F158">
        <f>Allocation!H158</f>
        <v/>
      </c>
      <c r="G158">
        <f>Allocation!I158</f>
        <v/>
      </c>
      <c r="H158">
        <f>Allocation!J158</f>
        <v/>
      </c>
      <c r="I158">
        <f>Allocation!K158</f>
        <v/>
      </c>
      <c r="J158">
        <f>SUMIFS(Socle!$K$2:$K$175,Socle!$C$2:$C$175,B158,Socle!$D$2:$D$175,D158,Socle!$E$2:$E$175,E158,Socle!$F$2:$F$175,F158,Socle!$G$2:$G$175,A158)</f>
        <v/>
      </c>
      <c r="K158">
        <f>H158*IF(AND(LEFT(D158,3)="BAC",F158="INIT"),600,IF(LEFT(D158,3)="BAC",480,IF(AND(LEFT(D158,3)="MAS",F158="INIT"),520,IF(LEFT(D158,3)="MAS",420,IF(F158="INIT",1000,700)))))</f>
        <v/>
      </c>
      <c r="L158">
        <f>SUMIFS(Allocation!$I$2:$I$175,Allocation!$C$2:$C$175,A158,Allocation!$D$2:$D$175,B158)</f>
        <v/>
      </c>
      <c r="M158">
        <f>SUMIFS(Allocation!$J$2:$J$175,Allocation!$C$2:$C$175,A158,Allocation!$D$2:$D$175,B158)</f>
        <v/>
      </c>
      <c r="N158">
        <f>SUMIFS(Allocation!$K$2:$K$175,Allocation!$C$2:$C$175,A158,Allocation!$D$2:$D$175,B158)</f>
        <v/>
      </c>
      <c r="O158">
        <f>SUMIFS($K$2:$K$175,$A$2:$A$175,A158,$B$2:$B$175,B158)</f>
        <v/>
      </c>
      <c r="P158">
        <f>SUMIFS($J$2:$J$175,$A$2:$A$175,A158,$B$2:$B$175,B158)</f>
        <v/>
      </c>
      <c r="Q158">
        <f>SUMIFS(Allocation!$I$2:$I$175,Allocation!$C$2:$C$175,A158,Allocation!$E$2:$E$175,C158)</f>
        <v/>
      </c>
      <c r="R158">
        <f>SUMIFS(Allocation!$J$2:$J$175,Allocation!$C$2:$C$175,A158,Allocation!$E$2:$E$175,C158)</f>
        <v/>
      </c>
      <c r="S158">
        <f>SUMIFS(Allocation!$K$2:$K$175,Allocation!$C$2:$C$175,A158,Allocation!$E$2:$E$175,C158)</f>
        <v/>
      </c>
      <c r="T158">
        <f>SUMIFS(Allocation!$I$2:$I$175,Allocation!$C$2:$C$175,A158)</f>
        <v/>
      </c>
      <c r="U158">
        <f>SUMIFS(Allocation!$J$2:$J$175,Allocation!$C$2:$C$175,A158)</f>
        <v/>
      </c>
      <c r="V158">
        <f>SUMIFS(Allocation!$K$2:$K$175,Allocation!$C$2:$C$175,A158)</f>
        <v/>
      </c>
      <c r="W158">
        <f>SUMIFS(Compta!$F$2:$F$675,Compta!$A$2:$A$675,B158,Compta!$B$2:$B$675,"621",Compta!$C$2:$C$675,A158)</f>
        <v/>
      </c>
      <c r="X158">
        <f>SUMIFS(Compta!$F$2:$F$675,Compta!$A$2:$A$675,B158,Compta!$B$2:$B$675,"6411",Compta!$C$2:$C$675,A158)</f>
        <v/>
      </c>
      <c r="Y158">
        <f>SUMIFS(Compta!$F$2:$F$675,Compta!$A$2:$A$675,B158,Compta!$B$2:$B$675,"604",Compta!$C$2:$C$675,A158)+SUMIFS(Compta!$F$2:$F$675,Compta!$A$2:$A$675,B158,Compta!$B$2:$B$675,"6063",Compta!$C$2:$C$675,A158)</f>
        <v/>
      </c>
      <c r="Z158">
        <f>SUMIFS(Compta!$F$2:$F$675,Compta!$A$2:$A$675,B158,Compta!$B$2:$B$675,"6231",Compta!$C$2:$C$675,A158)</f>
        <v/>
      </c>
      <c r="AA158">
        <f>SUMIFS(Compta!$F$2:$F$675,Compta!$A$2:$A$675,B158,Compta!$B$2:$B$675,"6413",Compta!$C$2:$C$675,A158)+SUMIFS(Compta!$F$2:$F$675,Compta!$A$2:$A$675,B158,Compta!$B$2:$B$675,"645",Compta!$C$2:$C$675,A158)+SUMIFS(Compta!$F$2:$F$675,Compta!$A$2:$A$675,B158,Compta!$B$2:$B$675,"613",Compta!$C$2:$C$675,A158)+SUMIFS(Compta!$F$2:$F$675,Compta!$A$2:$A$675,B158,Compta!$B$2:$B$675,"615",Compta!$C$2:$C$675,A158)+SUMIFS(Compta!$F$2:$F$675,Compta!$A$2:$A$675,B158,Compta!$B$2:$B$675,"616",Compta!$C$2:$C$675,A158)+SUMIFS(Compta!$F$2:$F$675,Compta!$A$2:$A$675,B158,Compta!$B$2:$B$675,"625",Compta!$C$2:$C$675,A158)+SUMIFS(Compta!$F$2:$F$675,Compta!$A$2:$A$675,B158,Compta!$B$2:$B$675,"63511",Compta!$C$2:$C$675,A158)</f>
        <v/>
      </c>
      <c r="AB158">
        <f>SUMIFS(Compta!$F$2:$F$675,Compta!$A$2:$A$675,"GRP",Compta!$B$2:$B$675,"6414",Compta!$C$2:$C$675,A158)+SUMIFS(Compta!$F$2:$F$675,Compta!$A$2:$A$675,"GRP",Compta!$B$2:$B$675,"6226",Compta!$C$2:$C$675,A158)+SUMIFS(Compta!$F$2:$F$675,Compta!$A$2:$A$675,"GRP",Compta!$B$2:$B$675,"6236",Compta!$C$2:$C$675,A158)+SUMIFS(Compta!$F$2:$F$675,Compta!$A$2:$A$675,"GRP",Compta!$B$2:$B$675,"626",Compta!$C$2:$C$675,A158)+SUMIFS(Compta!$F$2:$F$675,Compta!$A$2:$A$675,"GRP",Compta!$B$2:$B$675,"6281",Compta!$C$2:$C$675,A158)+SUMIFS(Compta!$F$2:$F$675,Compta!$A$2:$A$675,"GRP",Compta!$B$2:$B$675,"6331",Compta!$C$2:$C$675,A158)+SUMIFS(Compta!$F$2:$F$675,Compta!$A$2:$A$675,"GRP",Compta!$B$2:$B$675,"6333",Compta!$C$2:$C$675,A158)</f>
        <v/>
      </c>
      <c r="AC158">
        <f>IF(Pilotage!$E$10="Chiffre d'affaires",I158,IF(Pilotage!$E$10="Effectif",G158,H158))</f>
        <v/>
      </c>
      <c r="AD158">
        <f>IF(Pilotage!$E$10="Chiffre d'affaires",N158,IF(Pilotage!$E$10="Effectif",L158,M158))</f>
        <v/>
      </c>
      <c r="AE158">
        <f>IF(Pilotage!$E$8="Chiffre d'affaires",N158,IF(Pilotage!$E$8="Effectif",L158,M158))</f>
        <v/>
      </c>
      <c r="AF158">
        <f>IF(Pilotage!$E$8="Chiffre d'affaires",S158,IF(Pilotage!$E$8="Effectif",Q158,R158))</f>
        <v/>
      </c>
      <c r="AG158">
        <f>IF(Pilotage!$E$9="Chiffre d'affaires",S158,IF(Pilotage!$E$9="Effectif",Q158,R158))</f>
        <v/>
      </c>
      <c r="AH158">
        <f>IF(Pilotage!$E$9="Chiffre d'affaires",V158,IF(Pilotage!$E$9="Effectif",T158,U158))</f>
        <v/>
      </c>
      <c r="AI158">
        <f>W158*IFERROR(K158/O158,0)</f>
        <v/>
      </c>
      <c r="AJ158">
        <f>X158*IFERROR(K158/O158,0)</f>
        <v/>
      </c>
      <c r="AK158">
        <f>Y158*IFERROR(G158/L158,0)+Z158*IFERROR(J158/P158,0)</f>
        <v/>
      </c>
      <c r="AL158">
        <f>AA158*IFERROR(AC158/AD158,0)</f>
        <v/>
      </c>
      <c r="AM158">
        <f>AB158*IFERROR(AG158/AH158,0)*IFERROR(AE158/AF158,0)*IFERROR(AC158/AD158,0)</f>
        <v/>
      </c>
      <c r="AN158">
        <f>I158-(AI158+AJ158+AK158+AL158+AM158)</f>
        <v/>
      </c>
    </row>
    <row r="159">
      <c r="A159">
        <f>Allocation!C159</f>
        <v/>
      </c>
      <c r="B159">
        <f>Allocation!D159</f>
        <v/>
      </c>
      <c r="C159">
        <f>Allocation!E159</f>
        <v/>
      </c>
      <c r="D159">
        <f>Allocation!F159</f>
        <v/>
      </c>
      <c r="E159">
        <f>Allocation!G159</f>
        <v/>
      </c>
      <c r="F159">
        <f>Allocation!H159</f>
        <v/>
      </c>
      <c r="G159">
        <f>Allocation!I159</f>
        <v/>
      </c>
      <c r="H159">
        <f>Allocation!J159</f>
        <v/>
      </c>
      <c r="I159">
        <f>Allocation!K159</f>
        <v/>
      </c>
      <c r="J159">
        <f>SUMIFS(Socle!$K$2:$K$175,Socle!$C$2:$C$175,B159,Socle!$D$2:$D$175,D159,Socle!$E$2:$E$175,E159,Socle!$F$2:$F$175,F159,Socle!$G$2:$G$175,A159)</f>
        <v/>
      </c>
      <c r="K159">
        <f>H159*IF(AND(LEFT(D159,3)="BAC",F159="INIT"),600,IF(LEFT(D159,3)="BAC",480,IF(AND(LEFT(D159,3)="MAS",F159="INIT"),520,IF(LEFT(D159,3)="MAS",420,IF(F159="INIT",1000,700)))))</f>
        <v/>
      </c>
      <c r="L159">
        <f>SUMIFS(Allocation!$I$2:$I$175,Allocation!$C$2:$C$175,A159,Allocation!$D$2:$D$175,B159)</f>
        <v/>
      </c>
      <c r="M159">
        <f>SUMIFS(Allocation!$J$2:$J$175,Allocation!$C$2:$C$175,A159,Allocation!$D$2:$D$175,B159)</f>
        <v/>
      </c>
      <c r="N159">
        <f>SUMIFS(Allocation!$K$2:$K$175,Allocation!$C$2:$C$175,A159,Allocation!$D$2:$D$175,B159)</f>
        <v/>
      </c>
      <c r="O159">
        <f>SUMIFS($K$2:$K$175,$A$2:$A$175,A159,$B$2:$B$175,B159)</f>
        <v/>
      </c>
      <c r="P159">
        <f>SUMIFS($J$2:$J$175,$A$2:$A$175,A159,$B$2:$B$175,B159)</f>
        <v/>
      </c>
      <c r="Q159">
        <f>SUMIFS(Allocation!$I$2:$I$175,Allocation!$C$2:$C$175,A159,Allocation!$E$2:$E$175,C159)</f>
        <v/>
      </c>
      <c r="R159">
        <f>SUMIFS(Allocation!$J$2:$J$175,Allocation!$C$2:$C$175,A159,Allocation!$E$2:$E$175,C159)</f>
        <v/>
      </c>
      <c r="S159">
        <f>SUMIFS(Allocation!$K$2:$K$175,Allocation!$C$2:$C$175,A159,Allocation!$E$2:$E$175,C159)</f>
        <v/>
      </c>
      <c r="T159">
        <f>SUMIFS(Allocation!$I$2:$I$175,Allocation!$C$2:$C$175,A159)</f>
        <v/>
      </c>
      <c r="U159">
        <f>SUMIFS(Allocation!$J$2:$J$175,Allocation!$C$2:$C$175,A159)</f>
        <v/>
      </c>
      <c r="V159">
        <f>SUMIFS(Allocation!$K$2:$K$175,Allocation!$C$2:$C$175,A159)</f>
        <v/>
      </c>
      <c r="W159">
        <f>SUMIFS(Compta!$F$2:$F$675,Compta!$A$2:$A$675,B159,Compta!$B$2:$B$675,"621",Compta!$C$2:$C$675,A159)</f>
        <v/>
      </c>
      <c r="X159">
        <f>SUMIFS(Compta!$F$2:$F$675,Compta!$A$2:$A$675,B159,Compta!$B$2:$B$675,"6411",Compta!$C$2:$C$675,A159)</f>
        <v/>
      </c>
      <c r="Y159">
        <f>SUMIFS(Compta!$F$2:$F$675,Compta!$A$2:$A$675,B159,Compta!$B$2:$B$675,"604",Compta!$C$2:$C$675,A159)+SUMIFS(Compta!$F$2:$F$675,Compta!$A$2:$A$675,B159,Compta!$B$2:$B$675,"6063",Compta!$C$2:$C$675,A159)</f>
        <v/>
      </c>
      <c r="Z159">
        <f>SUMIFS(Compta!$F$2:$F$675,Compta!$A$2:$A$675,B159,Compta!$B$2:$B$675,"6231",Compta!$C$2:$C$675,A159)</f>
        <v/>
      </c>
      <c r="AA159">
        <f>SUMIFS(Compta!$F$2:$F$675,Compta!$A$2:$A$675,B159,Compta!$B$2:$B$675,"6413",Compta!$C$2:$C$675,A159)+SUMIFS(Compta!$F$2:$F$675,Compta!$A$2:$A$675,B159,Compta!$B$2:$B$675,"645",Compta!$C$2:$C$675,A159)+SUMIFS(Compta!$F$2:$F$675,Compta!$A$2:$A$675,B159,Compta!$B$2:$B$675,"613",Compta!$C$2:$C$675,A159)+SUMIFS(Compta!$F$2:$F$675,Compta!$A$2:$A$675,B159,Compta!$B$2:$B$675,"615",Compta!$C$2:$C$675,A159)+SUMIFS(Compta!$F$2:$F$675,Compta!$A$2:$A$675,B159,Compta!$B$2:$B$675,"616",Compta!$C$2:$C$675,A159)+SUMIFS(Compta!$F$2:$F$675,Compta!$A$2:$A$675,B159,Compta!$B$2:$B$675,"625",Compta!$C$2:$C$675,A159)+SUMIFS(Compta!$F$2:$F$675,Compta!$A$2:$A$675,B159,Compta!$B$2:$B$675,"63511",Compta!$C$2:$C$675,A159)</f>
        <v/>
      </c>
      <c r="AB159">
        <f>SUMIFS(Compta!$F$2:$F$675,Compta!$A$2:$A$675,"GRP",Compta!$B$2:$B$675,"6414",Compta!$C$2:$C$675,A159)+SUMIFS(Compta!$F$2:$F$675,Compta!$A$2:$A$675,"GRP",Compta!$B$2:$B$675,"6226",Compta!$C$2:$C$675,A159)+SUMIFS(Compta!$F$2:$F$675,Compta!$A$2:$A$675,"GRP",Compta!$B$2:$B$675,"6236",Compta!$C$2:$C$675,A159)+SUMIFS(Compta!$F$2:$F$675,Compta!$A$2:$A$675,"GRP",Compta!$B$2:$B$675,"626",Compta!$C$2:$C$675,A159)+SUMIFS(Compta!$F$2:$F$675,Compta!$A$2:$A$675,"GRP",Compta!$B$2:$B$675,"6281",Compta!$C$2:$C$675,A159)+SUMIFS(Compta!$F$2:$F$675,Compta!$A$2:$A$675,"GRP",Compta!$B$2:$B$675,"6331",Compta!$C$2:$C$675,A159)+SUMIFS(Compta!$F$2:$F$675,Compta!$A$2:$A$675,"GRP",Compta!$B$2:$B$675,"6333",Compta!$C$2:$C$675,A159)</f>
        <v/>
      </c>
      <c r="AC159">
        <f>IF(Pilotage!$E$10="Chiffre d'affaires",I159,IF(Pilotage!$E$10="Effectif",G159,H159))</f>
        <v/>
      </c>
      <c r="AD159">
        <f>IF(Pilotage!$E$10="Chiffre d'affaires",N159,IF(Pilotage!$E$10="Effectif",L159,M159))</f>
        <v/>
      </c>
      <c r="AE159">
        <f>IF(Pilotage!$E$8="Chiffre d'affaires",N159,IF(Pilotage!$E$8="Effectif",L159,M159))</f>
        <v/>
      </c>
      <c r="AF159">
        <f>IF(Pilotage!$E$8="Chiffre d'affaires",S159,IF(Pilotage!$E$8="Effectif",Q159,R159))</f>
        <v/>
      </c>
      <c r="AG159">
        <f>IF(Pilotage!$E$9="Chiffre d'affaires",S159,IF(Pilotage!$E$9="Effectif",Q159,R159))</f>
        <v/>
      </c>
      <c r="AH159">
        <f>IF(Pilotage!$E$9="Chiffre d'affaires",V159,IF(Pilotage!$E$9="Effectif",T159,U159))</f>
        <v/>
      </c>
      <c r="AI159">
        <f>W159*IFERROR(K159/O159,0)</f>
        <v/>
      </c>
      <c r="AJ159">
        <f>X159*IFERROR(K159/O159,0)</f>
        <v/>
      </c>
      <c r="AK159">
        <f>Y159*IFERROR(G159/L159,0)+Z159*IFERROR(J159/P159,0)</f>
        <v/>
      </c>
      <c r="AL159">
        <f>AA159*IFERROR(AC159/AD159,0)</f>
        <v/>
      </c>
      <c r="AM159">
        <f>AB159*IFERROR(AG159/AH159,0)*IFERROR(AE159/AF159,0)*IFERROR(AC159/AD159,0)</f>
        <v/>
      </c>
      <c r="AN159">
        <f>I159-(AI159+AJ159+AK159+AL159+AM159)</f>
        <v/>
      </c>
    </row>
    <row r="160">
      <c r="A160">
        <f>Allocation!C160</f>
        <v/>
      </c>
      <c r="B160">
        <f>Allocation!D160</f>
        <v/>
      </c>
      <c r="C160">
        <f>Allocation!E160</f>
        <v/>
      </c>
      <c r="D160">
        <f>Allocation!F160</f>
        <v/>
      </c>
      <c r="E160">
        <f>Allocation!G160</f>
        <v/>
      </c>
      <c r="F160">
        <f>Allocation!H160</f>
        <v/>
      </c>
      <c r="G160">
        <f>Allocation!I160</f>
        <v/>
      </c>
      <c r="H160">
        <f>Allocation!J160</f>
        <v/>
      </c>
      <c r="I160">
        <f>Allocation!K160</f>
        <v/>
      </c>
      <c r="J160">
        <f>SUMIFS(Socle!$K$2:$K$175,Socle!$C$2:$C$175,B160,Socle!$D$2:$D$175,D160,Socle!$E$2:$E$175,E160,Socle!$F$2:$F$175,F160,Socle!$G$2:$G$175,A160)</f>
        <v/>
      </c>
      <c r="K160">
        <f>H160*IF(AND(LEFT(D160,3)="BAC",F160="INIT"),600,IF(LEFT(D160,3)="BAC",480,IF(AND(LEFT(D160,3)="MAS",F160="INIT"),520,IF(LEFT(D160,3)="MAS",420,IF(F160="INIT",1000,700)))))</f>
        <v/>
      </c>
      <c r="L160">
        <f>SUMIFS(Allocation!$I$2:$I$175,Allocation!$C$2:$C$175,A160,Allocation!$D$2:$D$175,B160)</f>
        <v/>
      </c>
      <c r="M160">
        <f>SUMIFS(Allocation!$J$2:$J$175,Allocation!$C$2:$C$175,A160,Allocation!$D$2:$D$175,B160)</f>
        <v/>
      </c>
      <c r="N160">
        <f>SUMIFS(Allocation!$K$2:$K$175,Allocation!$C$2:$C$175,A160,Allocation!$D$2:$D$175,B160)</f>
        <v/>
      </c>
      <c r="O160">
        <f>SUMIFS($K$2:$K$175,$A$2:$A$175,A160,$B$2:$B$175,B160)</f>
        <v/>
      </c>
      <c r="P160">
        <f>SUMIFS($J$2:$J$175,$A$2:$A$175,A160,$B$2:$B$175,B160)</f>
        <v/>
      </c>
      <c r="Q160">
        <f>SUMIFS(Allocation!$I$2:$I$175,Allocation!$C$2:$C$175,A160,Allocation!$E$2:$E$175,C160)</f>
        <v/>
      </c>
      <c r="R160">
        <f>SUMIFS(Allocation!$J$2:$J$175,Allocation!$C$2:$C$175,A160,Allocation!$E$2:$E$175,C160)</f>
        <v/>
      </c>
      <c r="S160">
        <f>SUMIFS(Allocation!$K$2:$K$175,Allocation!$C$2:$C$175,A160,Allocation!$E$2:$E$175,C160)</f>
        <v/>
      </c>
      <c r="T160">
        <f>SUMIFS(Allocation!$I$2:$I$175,Allocation!$C$2:$C$175,A160)</f>
        <v/>
      </c>
      <c r="U160">
        <f>SUMIFS(Allocation!$J$2:$J$175,Allocation!$C$2:$C$175,A160)</f>
        <v/>
      </c>
      <c r="V160">
        <f>SUMIFS(Allocation!$K$2:$K$175,Allocation!$C$2:$C$175,A160)</f>
        <v/>
      </c>
      <c r="W160">
        <f>SUMIFS(Compta!$F$2:$F$675,Compta!$A$2:$A$675,B160,Compta!$B$2:$B$675,"621",Compta!$C$2:$C$675,A160)</f>
        <v/>
      </c>
      <c r="X160">
        <f>SUMIFS(Compta!$F$2:$F$675,Compta!$A$2:$A$675,B160,Compta!$B$2:$B$675,"6411",Compta!$C$2:$C$675,A160)</f>
        <v/>
      </c>
      <c r="Y160">
        <f>SUMIFS(Compta!$F$2:$F$675,Compta!$A$2:$A$675,B160,Compta!$B$2:$B$675,"604",Compta!$C$2:$C$675,A160)+SUMIFS(Compta!$F$2:$F$675,Compta!$A$2:$A$675,B160,Compta!$B$2:$B$675,"6063",Compta!$C$2:$C$675,A160)</f>
        <v/>
      </c>
      <c r="Z160">
        <f>SUMIFS(Compta!$F$2:$F$675,Compta!$A$2:$A$675,B160,Compta!$B$2:$B$675,"6231",Compta!$C$2:$C$675,A160)</f>
        <v/>
      </c>
      <c r="AA160">
        <f>SUMIFS(Compta!$F$2:$F$675,Compta!$A$2:$A$675,B160,Compta!$B$2:$B$675,"6413",Compta!$C$2:$C$675,A160)+SUMIFS(Compta!$F$2:$F$675,Compta!$A$2:$A$675,B160,Compta!$B$2:$B$675,"645",Compta!$C$2:$C$675,A160)+SUMIFS(Compta!$F$2:$F$675,Compta!$A$2:$A$675,B160,Compta!$B$2:$B$675,"613",Compta!$C$2:$C$675,A160)+SUMIFS(Compta!$F$2:$F$675,Compta!$A$2:$A$675,B160,Compta!$B$2:$B$675,"615",Compta!$C$2:$C$675,A160)+SUMIFS(Compta!$F$2:$F$675,Compta!$A$2:$A$675,B160,Compta!$B$2:$B$675,"616",Compta!$C$2:$C$675,A160)+SUMIFS(Compta!$F$2:$F$675,Compta!$A$2:$A$675,B160,Compta!$B$2:$B$675,"625",Compta!$C$2:$C$675,A160)+SUMIFS(Compta!$F$2:$F$675,Compta!$A$2:$A$675,B160,Compta!$B$2:$B$675,"63511",Compta!$C$2:$C$675,A160)</f>
        <v/>
      </c>
      <c r="AB160">
        <f>SUMIFS(Compta!$F$2:$F$675,Compta!$A$2:$A$675,"GRP",Compta!$B$2:$B$675,"6414",Compta!$C$2:$C$675,A160)+SUMIFS(Compta!$F$2:$F$675,Compta!$A$2:$A$675,"GRP",Compta!$B$2:$B$675,"6226",Compta!$C$2:$C$675,A160)+SUMIFS(Compta!$F$2:$F$675,Compta!$A$2:$A$675,"GRP",Compta!$B$2:$B$675,"6236",Compta!$C$2:$C$675,A160)+SUMIFS(Compta!$F$2:$F$675,Compta!$A$2:$A$675,"GRP",Compta!$B$2:$B$675,"626",Compta!$C$2:$C$675,A160)+SUMIFS(Compta!$F$2:$F$675,Compta!$A$2:$A$675,"GRP",Compta!$B$2:$B$675,"6281",Compta!$C$2:$C$675,A160)+SUMIFS(Compta!$F$2:$F$675,Compta!$A$2:$A$675,"GRP",Compta!$B$2:$B$675,"6331",Compta!$C$2:$C$675,A160)+SUMIFS(Compta!$F$2:$F$675,Compta!$A$2:$A$675,"GRP",Compta!$B$2:$B$675,"6333",Compta!$C$2:$C$675,A160)</f>
        <v/>
      </c>
      <c r="AC160">
        <f>IF(Pilotage!$E$10="Chiffre d'affaires",I160,IF(Pilotage!$E$10="Effectif",G160,H160))</f>
        <v/>
      </c>
      <c r="AD160">
        <f>IF(Pilotage!$E$10="Chiffre d'affaires",N160,IF(Pilotage!$E$10="Effectif",L160,M160))</f>
        <v/>
      </c>
      <c r="AE160">
        <f>IF(Pilotage!$E$8="Chiffre d'affaires",N160,IF(Pilotage!$E$8="Effectif",L160,M160))</f>
        <v/>
      </c>
      <c r="AF160">
        <f>IF(Pilotage!$E$8="Chiffre d'affaires",S160,IF(Pilotage!$E$8="Effectif",Q160,R160))</f>
        <v/>
      </c>
      <c r="AG160">
        <f>IF(Pilotage!$E$9="Chiffre d'affaires",S160,IF(Pilotage!$E$9="Effectif",Q160,R160))</f>
        <v/>
      </c>
      <c r="AH160">
        <f>IF(Pilotage!$E$9="Chiffre d'affaires",V160,IF(Pilotage!$E$9="Effectif",T160,U160))</f>
        <v/>
      </c>
      <c r="AI160">
        <f>W160*IFERROR(K160/O160,0)</f>
        <v/>
      </c>
      <c r="AJ160">
        <f>X160*IFERROR(K160/O160,0)</f>
        <v/>
      </c>
      <c r="AK160">
        <f>Y160*IFERROR(G160/L160,0)+Z160*IFERROR(J160/P160,0)</f>
        <v/>
      </c>
      <c r="AL160">
        <f>AA160*IFERROR(AC160/AD160,0)</f>
        <v/>
      </c>
      <c r="AM160">
        <f>AB160*IFERROR(AG160/AH160,0)*IFERROR(AE160/AF160,0)*IFERROR(AC160/AD160,0)</f>
        <v/>
      </c>
      <c r="AN160">
        <f>I160-(AI160+AJ160+AK160+AL160+AM160)</f>
        <v/>
      </c>
    </row>
    <row r="161">
      <c r="A161">
        <f>Allocation!C161</f>
        <v/>
      </c>
      <c r="B161">
        <f>Allocation!D161</f>
        <v/>
      </c>
      <c r="C161">
        <f>Allocation!E161</f>
        <v/>
      </c>
      <c r="D161">
        <f>Allocation!F161</f>
        <v/>
      </c>
      <c r="E161">
        <f>Allocation!G161</f>
        <v/>
      </c>
      <c r="F161">
        <f>Allocation!H161</f>
        <v/>
      </c>
      <c r="G161">
        <f>Allocation!I161</f>
        <v/>
      </c>
      <c r="H161">
        <f>Allocation!J161</f>
        <v/>
      </c>
      <c r="I161">
        <f>Allocation!K161</f>
        <v/>
      </c>
      <c r="J161">
        <f>SUMIFS(Socle!$K$2:$K$175,Socle!$C$2:$C$175,B161,Socle!$D$2:$D$175,D161,Socle!$E$2:$E$175,E161,Socle!$F$2:$F$175,F161,Socle!$G$2:$G$175,A161)</f>
        <v/>
      </c>
      <c r="K161">
        <f>H161*IF(AND(LEFT(D161,3)="BAC",F161="INIT"),600,IF(LEFT(D161,3)="BAC",480,IF(AND(LEFT(D161,3)="MAS",F161="INIT"),520,IF(LEFT(D161,3)="MAS",420,IF(F161="INIT",1000,700)))))</f>
        <v/>
      </c>
      <c r="L161">
        <f>SUMIFS(Allocation!$I$2:$I$175,Allocation!$C$2:$C$175,A161,Allocation!$D$2:$D$175,B161)</f>
        <v/>
      </c>
      <c r="M161">
        <f>SUMIFS(Allocation!$J$2:$J$175,Allocation!$C$2:$C$175,A161,Allocation!$D$2:$D$175,B161)</f>
        <v/>
      </c>
      <c r="N161">
        <f>SUMIFS(Allocation!$K$2:$K$175,Allocation!$C$2:$C$175,A161,Allocation!$D$2:$D$175,B161)</f>
        <v/>
      </c>
      <c r="O161">
        <f>SUMIFS($K$2:$K$175,$A$2:$A$175,A161,$B$2:$B$175,B161)</f>
        <v/>
      </c>
      <c r="P161">
        <f>SUMIFS($J$2:$J$175,$A$2:$A$175,A161,$B$2:$B$175,B161)</f>
        <v/>
      </c>
      <c r="Q161">
        <f>SUMIFS(Allocation!$I$2:$I$175,Allocation!$C$2:$C$175,A161,Allocation!$E$2:$E$175,C161)</f>
        <v/>
      </c>
      <c r="R161">
        <f>SUMIFS(Allocation!$J$2:$J$175,Allocation!$C$2:$C$175,A161,Allocation!$E$2:$E$175,C161)</f>
        <v/>
      </c>
      <c r="S161">
        <f>SUMIFS(Allocation!$K$2:$K$175,Allocation!$C$2:$C$175,A161,Allocation!$E$2:$E$175,C161)</f>
        <v/>
      </c>
      <c r="T161">
        <f>SUMIFS(Allocation!$I$2:$I$175,Allocation!$C$2:$C$175,A161)</f>
        <v/>
      </c>
      <c r="U161">
        <f>SUMIFS(Allocation!$J$2:$J$175,Allocation!$C$2:$C$175,A161)</f>
        <v/>
      </c>
      <c r="V161">
        <f>SUMIFS(Allocation!$K$2:$K$175,Allocation!$C$2:$C$175,A161)</f>
        <v/>
      </c>
      <c r="W161">
        <f>SUMIFS(Compta!$F$2:$F$675,Compta!$A$2:$A$675,B161,Compta!$B$2:$B$675,"621",Compta!$C$2:$C$675,A161)</f>
        <v/>
      </c>
      <c r="X161">
        <f>SUMIFS(Compta!$F$2:$F$675,Compta!$A$2:$A$675,B161,Compta!$B$2:$B$675,"6411",Compta!$C$2:$C$675,A161)</f>
        <v/>
      </c>
      <c r="Y161">
        <f>SUMIFS(Compta!$F$2:$F$675,Compta!$A$2:$A$675,B161,Compta!$B$2:$B$675,"604",Compta!$C$2:$C$675,A161)+SUMIFS(Compta!$F$2:$F$675,Compta!$A$2:$A$675,B161,Compta!$B$2:$B$675,"6063",Compta!$C$2:$C$675,A161)</f>
        <v/>
      </c>
      <c r="Z161">
        <f>SUMIFS(Compta!$F$2:$F$675,Compta!$A$2:$A$675,B161,Compta!$B$2:$B$675,"6231",Compta!$C$2:$C$675,A161)</f>
        <v/>
      </c>
      <c r="AA161">
        <f>SUMIFS(Compta!$F$2:$F$675,Compta!$A$2:$A$675,B161,Compta!$B$2:$B$675,"6413",Compta!$C$2:$C$675,A161)+SUMIFS(Compta!$F$2:$F$675,Compta!$A$2:$A$675,B161,Compta!$B$2:$B$675,"645",Compta!$C$2:$C$675,A161)+SUMIFS(Compta!$F$2:$F$675,Compta!$A$2:$A$675,B161,Compta!$B$2:$B$675,"613",Compta!$C$2:$C$675,A161)+SUMIFS(Compta!$F$2:$F$675,Compta!$A$2:$A$675,B161,Compta!$B$2:$B$675,"615",Compta!$C$2:$C$675,A161)+SUMIFS(Compta!$F$2:$F$675,Compta!$A$2:$A$675,B161,Compta!$B$2:$B$675,"616",Compta!$C$2:$C$675,A161)+SUMIFS(Compta!$F$2:$F$675,Compta!$A$2:$A$675,B161,Compta!$B$2:$B$675,"625",Compta!$C$2:$C$675,A161)+SUMIFS(Compta!$F$2:$F$675,Compta!$A$2:$A$675,B161,Compta!$B$2:$B$675,"63511",Compta!$C$2:$C$675,A161)</f>
        <v/>
      </c>
      <c r="AB161">
        <f>SUMIFS(Compta!$F$2:$F$675,Compta!$A$2:$A$675,"GRP",Compta!$B$2:$B$675,"6414",Compta!$C$2:$C$675,A161)+SUMIFS(Compta!$F$2:$F$675,Compta!$A$2:$A$675,"GRP",Compta!$B$2:$B$675,"6226",Compta!$C$2:$C$675,A161)+SUMIFS(Compta!$F$2:$F$675,Compta!$A$2:$A$675,"GRP",Compta!$B$2:$B$675,"6236",Compta!$C$2:$C$675,A161)+SUMIFS(Compta!$F$2:$F$675,Compta!$A$2:$A$675,"GRP",Compta!$B$2:$B$675,"626",Compta!$C$2:$C$675,A161)+SUMIFS(Compta!$F$2:$F$675,Compta!$A$2:$A$675,"GRP",Compta!$B$2:$B$675,"6281",Compta!$C$2:$C$675,A161)+SUMIFS(Compta!$F$2:$F$675,Compta!$A$2:$A$675,"GRP",Compta!$B$2:$B$675,"6331",Compta!$C$2:$C$675,A161)+SUMIFS(Compta!$F$2:$F$675,Compta!$A$2:$A$675,"GRP",Compta!$B$2:$B$675,"6333",Compta!$C$2:$C$675,A161)</f>
        <v/>
      </c>
      <c r="AC161">
        <f>IF(Pilotage!$E$10="Chiffre d'affaires",I161,IF(Pilotage!$E$10="Effectif",G161,H161))</f>
        <v/>
      </c>
      <c r="AD161">
        <f>IF(Pilotage!$E$10="Chiffre d'affaires",N161,IF(Pilotage!$E$10="Effectif",L161,M161))</f>
        <v/>
      </c>
      <c r="AE161">
        <f>IF(Pilotage!$E$8="Chiffre d'affaires",N161,IF(Pilotage!$E$8="Effectif",L161,M161))</f>
        <v/>
      </c>
      <c r="AF161">
        <f>IF(Pilotage!$E$8="Chiffre d'affaires",S161,IF(Pilotage!$E$8="Effectif",Q161,R161))</f>
        <v/>
      </c>
      <c r="AG161">
        <f>IF(Pilotage!$E$9="Chiffre d'affaires",S161,IF(Pilotage!$E$9="Effectif",Q161,R161))</f>
        <v/>
      </c>
      <c r="AH161">
        <f>IF(Pilotage!$E$9="Chiffre d'affaires",V161,IF(Pilotage!$E$9="Effectif",T161,U161))</f>
        <v/>
      </c>
      <c r="AI161">
        <f>W161*IFERROR(K161/O161,0)</f>
        <v/>
      </c>
      <c r="AJ161">
        <f>X161*IFERROR(K161/O161,0)</f>
        <v/>
      </c>
      <c r="AK161">
        <f>Y161*IFERROR(G161/L161,0)+Z161*IFERROR(J161/P161,0)</f>
        <v/>
      </c>
      <c r="AL161">
        <f>AA161*IFERROR(AC161/AD161,0)</f>
        <v/>
      </c>
      <c r="AM161">
        <f>AB161*IFERROR(AG161/AH161,0)*IFERROR(AE161/AF161,0)*IFERROR(AC161/AD161,0)</f>
        <v/>
      </c>
      <c r="AN161">
        <f>I161-(AI161+AJ161+AK161+AL161+AM161)</f>
        <v/>
      </c>
    </row>
    <row r="162">
      <c r="A162">
        <f>Allocation!C162</f>
        <v/>
      </c>
      <c r="B162">
        <f>Allocation!D162</f>
        <v/>
      </c>
      <c r="C162">
        <f>Allocation!E162</f>
        <v/>
      </c>
      <c r="D162">
        <f>Allocation!F162</f>
        <v/>
      </c>
      <c r="E162">
        <f>Allocation!G162</f>
        <v/>
      </c>
      <c r="F162">
        <f>Allocation!H162</f>
        <v/>
      </c>
      <c r="G162">
        <f>Allocation!I162</f>
        <v/>
      </c>
      <c r="H162">
        <f>Allocation!J162</f>
        <v/>
      </c>
      <c r="I162">
        <f>Allocation!K162</f>
        <v/>
      </c>
      <c r="J162">
        <f>SUMIFS(Socle!$K$2:$K$175,Socle!$C$2:$C$175,B162,Socle!$D$2:$D$175,D162,Socle!$E$2:$E$175,E162,Socle!$F$2:$F$175,F162,Socle!$G$2:$G$175,A162)</f>
        <v/>
      </c>
      <c r="K162">
        <f>H162*IF(AND(LEFT(D162,3)="BAC",F162="INIT"),600,IF(LEFT(D162,3)="BAC",480,IF(AND(LEFT(D162,3)="MAS",F162="INIT"),520,IF(LEFT(D162,3)="MAS",420,IF(F162="INIT",1000,700)))))</f>
        <v/>
      </c>
      <c r="L162">
        <f>SUMIFS(Allocation!$I$2:$I$175,Allocation!$C$2:$C$175,A162,Allocation!$D$2:$D$175,B162)</f>
        <v/>
      </c>
      <c r="M162">
        <f>SUMIFS(Allocation!$J$2:$J$175,Allocation!$C$2:$C$175,A162,Allocation!$D$2:$D$175,B162)</f>
        <v/>
      </c>
      <c r="N162">
        <f>SUMIFS(Allocation!$K$2:$K$175,Allocation!$C$2:$C$175,A162,Allocation!$D$2:$D$175,B162)</f>
        <v/>
      </c>
      <c r="O162">
        <f>SUMIFS($K$2:$K$175,$A$2:$A$175,A162,$B$2:$B$175,B162)</f>
        <v/>
      </c>
      <c r="P162">
        <f>SUMIFS($J$2:$J$175,$A$2:$A$175,A162,$B$2:$B$175,B162)</f>
        <v/>
      </c>
      <c r="Q162">
        <f>SUMIFS(Allocation!$I$2:$I$175,Allocation!$C$2:$C$175,A162,Allocation!$E$2:$E$175,C162)</f>
        <v/>
      </c>
      <c r="R162">
        <f>SUMIFS(Allocation!$J$2:$J$175,Allocation!$C$2:$C$175,A162,Allocation!$E$2:$E$175,C162)</f>
        <v/>
      </c>
      <c r="S162">
        <f>SUMIFS(Allocation!$K$2:$K$175,Allocation!$C$2:$C$175,A162,Allocation!$E$2:$E$175,C162)</f>
        <v/>
      </c>
      <c r="T162">
        <f>SUMIFS(Allocation!$I$2:$I$175,Allocation!$C$2:$C$175,A162)</f>
        <v/>
      </c>
      <c r="U162">
        <f>SUMIFS(Allocation!$J$2:$J$175,Allocation!$C$2:$C$175,A162)</f>
        <v/>
      </c>
      <c r="V162">
        <f>SUMIFS(Allocation!$K$2:$K$175,Allocation!$C$2:$C$175,A162)</f>
        <v/>
      </c>
      <c r="W162">
        <f>SUMIFS(Compta!$F$2:$F$675,Compta!$A$2:$A$675,B162,Compta!$B$2:$B$675,"621",Compta!$C$2:$C$675,A162)</f>
        <v/>
      </c>
      <c r="X162">
        <f>SUMIFS(Compta!$F$2:$F$675,Compta!$A$2:$A$675,B162,Compta!$B$2:$B$675,"6411",Compta!$C$2:$C$675,A162)</f>
        <v/>
      </c>
      <c r="Y162">
        <f>SUMIFS(Compta!$F$2:$F$675,Compta!$A$2:$A$675,B162,Compta!$B$2:$B$675,"604",Compta!$C$2:$C$675,A162)+SUMIFS(Compta!$F$2:$F$675,Compta!$A$2:$A$675,B162,Compta!$B$2:$B$675,"6063",Compta!$C$2:$C$675,A162)</f>
        <v/>
      </c>
      <c r="Z162">
        <f>SUMIFS(Compta!$F$2:$F$675,Compta!$A$2:$A$675,B162,Compta!$B$2:$B$675,"6231",Compta!$C$2:$C$675,A162)</f>
        <v/>
      </c>
      <c r="AA162">
        <f>SUMIFS(Compta!$F$2:$F$675,Compta!$A$2:$A$675,B162,Compta!$B$2:$B$675,"6413",Compta!$C$2:$C$675,A162)+SUMIFS(Compta!$F$2:$F$675,Compta!$A$2:$A$675,B162,Compta!$B$2:$B$675,"645",Compta!$C$2:$C$675,A162)+SUMIFS(Compta!$F$2:$F$675,Compta!$A$2:$A$675,B162,Compta!$B$2:$B$675,"613",Compta!$C$2:$C$675,A162)+SUMIFS(Compta!$F$2:$F$675,Compta!$A$2:$A$675,B162,Compta!$B$2:$B$675,"615",Compta!$C$2:$C$675,A162)+SUMIFS(Compta!$F$2:$F$675,Compta!$A$2:$A$675,B162,Compta!$B$2:$B$675,"616",Compta!$C$2:$C$675,A162)+SUMIFS(Compta!$F$2:$F$675,Compta!$A$2:$A$675,B162,Compta!$B$2:$B$675,"625",Compta!$C$2:$C$675,A162)+SUMIFS(Compta!$F$2:$F$675,Compta!$A$2:$A$675,B162,Compta!$B$2:$B$675,"63511",Compta!$C$2:$C$675,A162)</f>
        <v/>
      </c>
      <c r="AB162">
        <f>SUMIFS(Compta!$F$2:$F$675,Compta!$A$2:$A$675,"GRP",Compta!$B$2:$B$675,"6414",Compta!$C$2:$C$675,A162)+SUMIFS(Compta!$F$2:$F$675,Compta!$A$2:$A$675,"GRP",Compta!$B$2:$B$675,"6226",Compta!$C$2:$C$675,A162)+SUMIFS(Compta!$F$2:$F$675,Compta!$A$2:$A$675,"GRP",Compta!$B$2:$B$675,"6236",Compta!$C$2:$C$675,A162)+SUMIFS(Compta!$F$2:$F$675,Compta!$A$2:$A$675,"GRP",Compta!$B$2:$B$675,"626",Compta!$C$2:$C$675,A162)+SUMIFS(Compta!$F$2:$F$675,Compta!$A$2:$A$675,"GRP",Compta!$B$2:$B$675,"6281",Compta!$C$2:$C$675,A162)+SUMIFS(Compta!$F$2:$F$675,Compta!$A$2:$A$675,"GRP",Compta!$B$2:$B$675,"6331",Compta!$C$2:$C$675,A162)+SUMIFS(Compta!$F$2:$F$675,Compta!$A$2:$A$675,"GRP",Compta!$B$2:$B$675,"6333",Compta!$C$2:$C$675,A162)</f>
        <v/>
      </c>
      <c r="AC162">
        <f>IF(Pilotage!$E$10="Chiffre d'affaires",I162,IF(Pilotage!$E$10="Effectif",G162,H162))</f>
        <v/>
      </c>
      <c r="AD162">
        <f>IF(Pilotage!$E$10="Chiffre d'affaires",N162,IF(Pilotage!$E$10="Effectif",L162,M162))</f>
        <v/>
      </c>
      <c r="AE162">
        <f>IF(Pilotage!$E$8="Chiffre d'affaires",N162,IF(Pilotage!$E$8="Effectif",L162,M162))</f>
        <v/>
      </c>
      <c r="AF162">
        <f>IF(Pilotage!$E$8="Chiffre d'affaires",S162,IF(Pilotage!$E$8="Effectif",Q162,R162))</f>
        <v/>
      </c>
      <c r="AG162">
        <f>IF(Pilotage!$E$9="Chiffre d'affaires",S162,IF(Pilotage!$E$9="Effectif",Q162,R162))</f>
        <v/>
      </c>
      <c r="AH162">
        <f>IF(Pilotage!$E$9="Chiffre d'affaires",V162,IF(Pilotage!$E$9="Effectif",T162,U162))</f>
        <v/>
      </c>
      <c r="AI162">
        <f>W162*IFERROR(K162/O162,0)</f>
        <v/>
      </c>
      <c r="AJ162">
        <f>X162*IFERROR(K162/O162,0)</f>
        <v/>
      </c>
      <c r="AK162">
        <f>Y162*IFERROR(G162/L162,0)+Z162*IFERROR(J162/P162,0)</f>
        <v/>
      </c>
      <c r="AL162">
        <f>AA162*IFERROR(AC162/AD162,0)</f>
        <v/>
      </c>
      <c r="AM162">
        <f>AB162*IFERROR(AG162/AH162,0)*IFERROR(AE162/AF162,0)*IFERROR(AC162/AD162,0)</f>
        <v/>
      </c>
      <c r="AN162">
        <f>I162-(AI162+AJ162+AK162+AL162+AM162)</f>
        <v/>
      </c>
    </row>
    <row r="163">
      <c r="A163">
        <f>Allocation!C163</f>
        <v/>
      </c>
      <c r="B163">
        <f>Allocation!D163</f>
        <v/>
      </c>
      <c r="C163">
        <f>Allocation!E163</f>
        <v/>
      </c>
      <c r="D163">
        <f>Allocation!F163</f>
        <v/>
      </c>
      <c r="E163">
        <f>Allocation!G163</f>
        <v/>
      </c>
      <c r="F163">
        <f>Allocation!H163</f>
        <v/>
      </c>
      <c r="G163">
        <f>Allocation!I163</f>
        <v/>
      </c>
      <c r="H163">
        <f>Allocation!J163</f>
        <v/>
      </c>
      <c r="I163">
        <f>Allocation!K163</f>
        <v/>
      </c>
      <c r="J163">
        <f>SUMIFS(Socle!$K$2:$K$175,Socle!$C$2:$C$175,B163,Socle!$D$2:$D$175,D163,Socle!$E$2:$E$175,E163,Socle!$F$2:$F$175,F163,Socle!$G$2:$G$175,A163)</f>
        <v/>
      </c>
      <c r="K163">
        <f>H163*IF(AND(LEFT(D163,3)="BAC",F163="INIT"),600,IF(LEFT(D163,3)="BAC",480,IF(AND(LEFT(D163,3)="MAS",F163="INIT"),520,IF(LEFT(D163,3)="MAS",420,IF(F163="INIT",1000,700)))))</f>
        <v/>
      </c>
      <c r="L163">
        <f>SUMIFS(Allocation!$I$2:$I$175,Allocation!$C$2:$C$175,A163,Allocation!$D$2:$D$175,B163)</f>
        <v/>
      </c>
      <c r="M163">
        <f>SUMIFS(Allocation!$J$2:$J$175,Allocation!$C$2:$C$175,A163,Allocation!$D$2:$D$175,B163)</f>
        <v/>
      </c>
      <c r="N163">
        <f>SUMIFS(Allocation!$K$2:$K$175,Allocation!$C$2:$C$175,A163,Allocation!$D$2:$D$175,B163)</f>
        <v/>
      </c>
      <c r="O163">
        <f>SUMIFS($K$2:$K$175,$A$2:$A$175,A163,$B$2:$B$175,B163)</f>
        <v/>
      </c>
      <c r="P163">
        <f>SUMIFS($J$2:$J$175,$A$2:$A$175,A163,$B$2:$B$175,B163)</f>
        <v/>
      </c>
      <c r="Q163">
        <f>SUMIFS(Allocation!$I$2:$I$175,Allocation!$C$2:$C$175,A163,Allocation!$E$2:$E$175,C163)</f>
        <v/>
      </c>
      <c r="R163">
        <f>SUMIFS(Allocation!$J$2:$J$175,Allocation!$C$2:$C$175,A163,Allocation!$E$2:$E$175,C163)</f>
        <v/>
      </c>
      <c r="S163">
        <f>SUMIFS(Allocation!$K$2:$K$175,Allocation!$C$2:$C$175,A163,Allocation!$E$2:$E$175,C163)</f>
        <v/>
      </c>
      <c r="T163">
        <f>SUMIFS(Allocation!$I$2:$I$175,Allocation!$C$2:$C$175,A163)</f>
        <v/>
      </c>
      <c r="U163">
        <f>SUMIFS(Allocation!$J$2:$J$175,Allocation!$C$2:$C$175,A163)</f>
        <v/>
      </c>
      <c r="V163">
        <f>SUMIFS(Allocation!$K$2:$K$175,Allocation!$C$2:$C$175,A163)</f>
        <v/>
      </c>
      <c r="W163">
        <f>SUMIFS(Compta!$F$2:$F$675,Compta!$A$2:$A$675,B163,Compta!$B$2:$B$675,"621",Compta!$C$2:$C$675,A163)</f>
        <v/>
      </c>
      <c r="X163">
        <f>SUMIFS(Compta!$F$2:$F$675,Compta!$A$2:$A$675,B163,Compta!$B$2:$B$675,"6411",Compta!$C$2:$C$675,A163)</f>
        <v/>
      </c>
      <c r="Y163">
        <f>SUMIFS(Compta!$F$2:$F$675,Compta!$A$2:$A$675,B163,Compta!$B$2:$B$675,"604",Compta!$C$2:$C$675,A163)+SUMIFS(Compta!$F$2:$F$675,Compta!$A$2:$A$675,B163,Compta!$B$2:$B$675,"6063",Compta!$C$2:$C$675,A163)</f>
        <v/>
      </c>
      <c r="Z163">
        <f>SUMIFS(Compta!$F$2:$F$675,Compta!$A$2:$A$675,B163,Compta!$B$2:$B$675,"6231",Compta!$C$2:$C$675,A163)</f>
        <v/>
      </c>
      <c r="AA163">
        <f>SUMIFS(Compta!$F$2:$F$675,Compta!$A$2:$A$675,B163,Compta!$B$2:$B$675,"6413",Compta!$C$2:$C$675,A163)+SUMIFS(Compta!$F$2:$F$675,Compta!$A$2:$A$675,B163,Compta!$B$2:$B$675,"645",Compta!$C$2:$C$675,A163)+SUMIFS(Compta!$F$2:$F$675,Compta!$A$2:$A$675,B163,Compta!$B$2:$B$675,"613",Compta!$C$2:$C$675,A163)+SUMIFS(Compta!$F$2:$F$675,Compta!$A$2:$A$675,B163,Compta!$B$2:$B$675,"615",Compta!$C$2:$C$675,A163)+SUMIFS(Compta!$F$2:$F$675,Compta!$A$2:$A$675,B163,Compta!$B$2:$B$675,"616",Compta!$C$2:$C$675,A163)+SUMIFS(Compta!$F$2:$F$675,Compta!$A$2:$A$675,B163,Compta!$B$2:$B$675,"625",Compta!$C$2:$C$675,A163)+SUMIFS(Compta!$F$2:$F$675,Compta!$A$2:$A$675,B163,Compta!$B$2:$B$675,"63511",Compta!$C$2:$C$675,A163)</f>
        <v/>
      </c>
      <c r="AB163">
        <f>SUMIFS(Compta!$F$2:$F$675,Compta!$A$2:$A$675,"GRP",Compta!$B$2:$B$675,"6414",Compta!$C$2:$C$675,A163)+SUMIFS(Compta!$F$2:$F$675,Compta!$A$2:$A$675,"GRP",Compta!$B$2:$B$675,"6226",Compta!$C$2:$C$675,A163)+SUMIFS(Compta!$F$2:$F$675,Compta!$A$2:$A$675,"GRP",Compta!$B$2:$B$675,"6236",Compta!$C$2:$C$675,A163)+SUMIFS(Compta!$F$2:$F$675,Compta!$A$2:$A$675,"GRP",Compta!$B$2:$B$675,"626",Compta!$C$2:$C$675,A163)+SUMIFS(Compta!$F$2:$F$675,Compta!$A$2:$A$675,"GRP",Compta!$B$2:$B$675,"6281",Compta!$C$2:$C$675,A163)+SUMIFS(Compta!$F$2:$F$675,Compta!$A$2:$A$675,"GRP",Compta!$B$2:$B$675,"6331",Compta!$C$2:$C$675,A163)+SUMIFS(Compta!$F$2:$F$675,Compta!$A$2:$A$675,"GRP",Compta!$B$2:$B$675,"6333",Compta!$C$2:$C$675,A163)</f>
        <v/>
      </c>
      <c r="AC163">
        <f>IF(Pilotage!$E$10="Chiffre d'affaires",I163,IF(Pilotage!$E$10="Effectif",G163,H163))</f>
        <v/>
      </c>
      <c r="AD163">
        <f>IF(Pilotage!$E$10="Chiffre d'affaires",N163,IF(Pilotage!$E$10="Effectif",L163,M163))</f>
        <v/>
      </c>
      <c r="AE163">
        <f>IF(Pilotage!$E$8="Chiffre d'affaires",N163,IF(Pilotage!$E$8="Effectif",L163,M163))</f>
        <v/>
      </c>
      <c r="AF163">
        <f>IF(Pilotage!$E$8="Chiffre d'affaires",S163,IF(Pilotage!$E$8="Effectif",Q163,R163))</f>
        <v/>
      </c>
      <c r="AG163">
        <f>IF(Pilotage!$E$9="Chiffre d'affaires",S163,IF(Pilotage!$E$9="Effectif",Q163,R163))</f>
        <v/>
      </c>
      <c r="AH163">
        <f>IF(Pilotage!$E$9="Chiffre d'affaires",V163,IF(Pilotage!$E$9="Effectif",T163,U163))</f>
        <v/>
      </c>
      <c r="AI163">
        <f>W163*IFERROR(K163/O163,0)</f>
        <v/>
      </c>
      <c r="AJ163">
        <f>X163*IFERROR(K163/O163,0)</f>
        <v/>
      </c>
      <c r="AK163">
        <f>Y163*IFERROR(G163/L163,0)+Z163*IFERROR(J163/P163,0)</f>
        <v/>
      </c>
      <c r="AL163">
        <f>AA163*IFERROR(AC163/AD163,0)</f>
        <v/>
      </c>
      <c r="AM163">
        <f>AB163*IFERROR(AG163/AH163,0)*IFERROR(AE163/AF163,0)*IFERROR(AC163/AD163,0)</f>
        <v/>
      </c>
      <c r="AN163">
        <f>I163-(AI163+AJ163+AK163+AL163+AM163)</f>
        <v/>
      </c>
    </row>
    <row r="164">
      <c r="A164">
        <f>Allocation!C164</f>
        <v/>
      </c>
      <c r="B164">
        <f>Allocation!D164</f>
        <v/>
      </c>
      <c r="C164">
        <f>Allocation!E164</f>
        <v/>
      </c>
      <c r="D164">
        <f>Allocation!F164</f>
        <v/>
      </c>
      <c r="E164">
        <f>Allocation!G164</f>
        <v/>
      </c>
      <c r="F164">
        <f>Allocation!H164</f>
        <v/>
      </c>
      <c r="G164">
        <f>Allocation!I164</f>
        <v/>
      </c>
      <c r="H164">
        <f>Allocation!J164</f>
        <v/>
      </c>
      <c r="I164">
        <f>Allocation!K164</f>
        <v/>
      </c>
      <c r="J164">
        <f>SUMIFS(Socle!$K$2:$K$175,Socle!$C$2:$C$175,B164,Socle!$D$2:$D$175,D164,Socle!$E$2:$E$175,E164,Socle!$F$2:$F$175,F164,Socle!$G$2:$G$175,A164)</f>
        <v/>
      </c>
      <c r="K164">
        <f>H164*IF(AND(LEFT(D164,3)="BAC",F164="INIT"),600,IF(LEFT(D164,3)="BAC",480,IF(AND(LEFT(D164,3)="MAS",F164="INIT"),520,IF(LEFT(D164,3)="MAS",420,IF(F164="INIT",1000,700)))))</f>
        <v/>
      </c>
      <c r="L164">
        <f>SUMIFS(Allocation!$I$2:$I$175,Allocation!$C$2:$C$175,A164,Allocation!$D$2:$D$175,B164)</f>
        <v/>
      </c>
      <c r="M164">
        <f>SUMIFS(Allocation!$J$2:$J$175,Allocation!$C$2:$C$175,A164,Allocation!$D$2:$D$175,B164)</f>
        <v/>
      </c>
      <c r="N164">
        <f>SUMIFS(Allocation!$K$2:$K$175,Allocation!$C$2:$C$175,A164,Allocation!$D$2:$D$175,B164)</f>
        <v/>
      </c>
      <c r="O164">
        <f>SUMIFS($K$2:$K$175,$A$2:$A$175,A164,$B$2:$B$175,B164)</f>
        <v/>
      </c>
      <c r="P164">
        <f>SUMIFS($J$2:$J$175,$A$2:$A$175,A164,$B$2:$B$175,B164)</f>
        <v/>
      </c>
      <c r="Q164">
        <f>SUMIFS(Allocation!$I$2:$I$175,Allocation!$C$2:$C$175,A164,Allocation!$E$2:$E$175,C164)</f>
        <v/>
      </c>
      <c r="R164">
        <f>SUMIFS(Allocation!$J$2:$J$175,Allocation!$C$2:$C$175,A164,Allocation!$E$2:$E$175,C164)</f>
        <v/>
      </c>
      <c r="S164">
        <f>SUMIFS(Allocation!$K$2:$K$175,Allocation!$C$2:$C$175,A164,Allocation!$E$2:$E$175,C164)</f>
        <v/>
      </c>
      <c r="T164">
        <f>SUMIFS(Allocation!$I$2:$I$175,Allocation!$C$2:$C$175,A164)</f>
        <v/>
      </c>
      <c r="U164">
        <f>SUMIFS(Allocation!$J$2:$J$175,Allocation!$C$2:$C$175,A164)</f>
        <v/>
      </c>
      <c r="V164">
        <f>SUMIFS(Allocation!$K$2:$K$175,Allocation!$C$2:$C$175,A164)</f>
        <v/>
      </c>
      <c r="W164">
        <f>SUMIFS(Compta!$F$2:$F$675,Compta!$A$2:$A$675,B164,Compta!$B$2:$B$675,"621",Compta!$C$2:$C$675,A164)</f>
        <v/>
      </c>
      <c r="X164">
        <f>SUMIFS(Compta!$F$2:$F$675,Compta!$A$2:$A$675,B164,Compta!$B$2:$B$675,"6411",Compta!$C$2:$C$675,A164)</f>
        <v/>
      </c>
      <c r="Y164">
        <f>SUMIFS(Compta!$F$2:$F$675,Compta!$A$2:$A$675,B164,Compta!$B$2:$B$675,"604",Compta!$C$2:$C$675,A164)+SUMIFS(Compta!$F$2:$F$675,Compta!$A$2:$A$675,B164,Compta!$B$2:$B$675,"6063",Compta!$C$2:$C$675,A164)</f>
        <v/>
      </c>
      <c r="Z164">
        <f>SUMIFS(Compta!$F$2:$F$675,Compta!$A$2:$A$675,B164,Compta!$B$2:$B$675,"6231",Compta!$C$2:$C$675,A164)</f>
        <v/>
      </c>
      <c r="AA164">
        <f>SUMIFS(Compta!$F$2:$F$675,Compta!$A$2:$A$675,B164,Compta!$B$2:$B$675,"6413",Compta!$C$2:$C$675,A164)+SUMIFS(Compta!$F$2:$F$675,Compta!$A$2:$A$675,B164,Compta!$B$2:$B$675,"645",Compta!$C$2:$C$675,A164)+SUMIFS(Compta!$F$2:$F$675,Compta!$A$2:$A$675,B164,Compta!$B$2:$B$675,"613",Compta!$C$2:$C$675,A164)+SUMIFS(Compta!$F$2:$F$675,Compta!$A$2:$A$675,B164,Compta!$B$2:$B$675,"615",Compta!$C$2:$C$675,A164)+SUMIFS(Compta!$F$2:$F$675,Compta!$A$2:$A$675,B164,Compta!$B$2:$B$675,"616",Compta!$C$2:$C$675,A164)+SUMIFS(Compta!$F$2:$F$675,Compta!$A$2:$A$675,B164,Compta!$B$2:$B$675,"625",Compta!$C$2:$C$675,A164)+SUMIFS(Compta!$F$2:$F$675,Compta!$A$2:$A$675,B164,Compta!$B$2:$B$675,"63511",Compta!$C$2:$C$675,A164)</f>
        <v/>
      </c>
      <c r="AB164">
        <f>SUMIFS(Compta!$F$2:$F$675,Compta!$A$2:$A$675,"GRP",Compta!$B$2:$B$675,"6414",Compta!$C$2:$C$675,A164)+SUMIFS(Compta!$F$2:$F$675,Compta!$A$2:$A$675,"GRP",Compta!$B$2:$B$675,"6226",Compta!$C$2:$C$675,A164)+SUMIFS(Compta!$F$2:$F$675,Compta!$A$2:$A$675,"GRP",Compta!$B$2:$B$675,"6236",Compta!$C$2:$C$675,A164)+SUMIFS(Compta!$F$2:$F$675,Compta!$A$2:$A$675,"GRP",Compta!$B$2:$B$675,"626",Compta!$C$2:$C$675,A164)+SUMIFS(Compta!$F$2:$F$675,Compta!$A$2:$A$675,"GRP",Compta!$B$2:$B$675,"6281",Compta!$C$2:$C$675,A164)+SUMIFS(Compta!$F$2:$F$675,Compta!$A$2:$A$675,"GRP",Compta!$B$2:$B$675,"6331",Compta!$C$2:$C$675,A164)+SUMIFS(Compta!$F$2:$F$675,Compta!$A$2:$A$675,"GRP",Compta!$B$2:$B$675,"6333",Compta!$C$2:$C$675,A164)</f>
        <v/>
      </c>
      <c r="AC164">
        <f>IF(Pilotage!$E$10="Chiffre d'affaires",I164,IF(Pilotage!$E$10="Effectif",G164,H164))</f>
        <v/>
      </c>
      <c r="AD164">
        <f>IF(Pilotage!$E$10="Chiffre d'affaires",N164,IF(Pilotage!$E$10="Effectif",L164,M164))</f>
        <v/>
      </c>
      <c r="AE164">
        <f>IF(Pilotage!$E$8="Chiffre d'affaires",N164,IF(Pilotage!$E$8="Effectif",L164,M164))</f>
        <v/>
      </c>
      <c r="AF164">
        <f>IF(Pilotage!$E$8="Chiffre d'affaires",S164,IF(Pilotage!$E$8="Effectif",Q164,R164))</f>
        <v/>
      </c>
      <c r="AG164">
        <f>IF(Pilotage!$E$9="Chiffre d'affaires",S164,IF(Pilotage!$E$9="Effectif",Q164,R164))</f>
        <v/>
      </c>
      <c r="AH164">
        <f>IF(Pilotage!$E$9="Chiffre d'affaires",V164,IF(Pilotage!$E$9="Effectif",T164,U164))</f>
        <v/>
      </c>
      <c r="AI164">
        <f>W164*IFERROR(K164/O164,0)</f>
        <v/>
      </c>
      <c r="AJ164">
        <f>X164*IFERROR(K164/O164,0)</f>
        <v/>
      </c>
      <c r="AK164">
        <f>Y164*IFERROR(G164/L164,0)+Z164*IFERROR(J164/P164,0)</f>
        <v/>
      </c>
      <c r="AL164">
        <f>AA164*IFERROR(AC164/AD164,0)</f>
        <v/>
      </c>
      <c r="AM164">
        <f>AB164*IFERROR(AG164/AH164,0)*IFERROR(AE164/AF164,0)*IFERROR(AC164/AD164,0)</f>
        <v/>
      </c>
      <c r="AN164">
        <f>I164-(AI164+AJ164+AK164+AL164+AM164)</f>
        <v/>
      </c>
    </row>
    <row r="165">
      <c r="A165">
        <f>Allocation!C165</f>
        <v/>
      </c>
      <c r="B165">
        <f>Allocation!D165</f>
        <v/>
      </c>
      <c r="C165">
        <f>Allocation!E165</f>
        <v/>
      </c>
      <c r="D165">
        <f>Allocation!F165</f>
        <v/>
      </c>
      <c r="E165">
        <f>Allocation!G165</f>
        <v/>
      </c>
      <c r="F165">
        <f>Allocation!H165</f>
        <v/>
      </c>
      <c r="G165">
        <f>Allocation!I165</f>
        <v/>
      </c>
      <c r="H165">
        <f>Allocation!J165</f>
        <v/>
      </c>
      <c r="I165">
        <f>Allocation!K165</f>
        <v/>
      </c>
      <c r="J165">
        <f>SUMIFS(Socle!$K$2:$K$175,Socle!$C$2:$C$175,B165,Socle!$D$2:$D$175,D165,Socle!$E$2:$E$175,E165,Socle!$F$2:$F$175,F165,Socle!$G$2:$G$175,A165)</f>
        <v/>
      </c>
      <c r="K165">
        <f>H165*IF(AND(LEFT(D165,3)="BAC",F165="INIT"),600,IF(LEFT(D165,3)="BAC",480,IF(AND(LEFT(D165,3)="MAS",F165="INIT"),520,IF(LEFT(D165,3)="MAS",420,IF(F165="INIT",1000,700)))))</f>
        <v/>
      </c>
      <c r="L165">
        <f>SUMIFS(Allocation!$I$2:$I$175,Allocation!$C$2:$C$175,A165,Allocation!$D$2:$D$175,B165)</f>
        <v/>
      </c>
      <c r="M165">
        <f>SUMIFS(Allocation!$J$2:$J$175,Allocation!$C$2:$C$175,A165,Allocation!$D$2:$D$175,B165)</f>
        <v/>
      </c>
      <c r="N165">
        <f>SUMIFS(Allocation!$K$2:$K$175,Allocation!$C$2:$C$175,A165,Allocation!$D$2:$D$175,B165)</f>
        <v/>
      </c>
      <c r="O165">
        <f>SUMIFS($K$2:$K$175,$A$2:$A$175,A165,$B$2:$B$175,B165)</f>
        <v/>
      </c>
      <c r="P165">
        <f>SUMIFS($J$2:$J$175,$A$2:$A$175,A165,$B$2:$B$175,B165)</f>
        <v/>
      </c>
      <c r="Q165">
        <f>SUMIFS(Allocation!$I$2:$I$175,Allocation!$C$2:$C$175,A165,Allocation!$E$2:$E$175,C165)</f>
        <v/>
      </c>
      <c r="R165">
        <f>SUMIFS(Allocation!$J$2:$J$175,Allocation!$C$2:$C$175,A165,Allocation!$E$2:$E$175,C165)</f>
        <v/>
      </c>
      <c r="S165">
        <f>SUMIFS(Allocation!$K$2:$K$175,Allocation!$C$2:$C$175,A165,Allocation!$E$2:$E$175,C165)</f>
        <v/>
      </c>
      <c r="T165">
        <f>SUMIFS(Allocation!$I$2:$I$175,Allocation!$C$2:$C$175,A165)</f>
        <v/>
      </c>
      <c r="U165">
        <f>SUMIFS(Allocation!$J$2:$J$175,Allocation!$C$2:$C$175,A165)</f>
        <v/>
      </c>
      <c r="V165">
        <f>SUMIFS(Allocation!$K$2:$K$175,Allocation!$C$2:$C$175,A165)</f>
        <v/>
      </c>
      <c r="W165">
        <f>SUMIFS(Compta!$F$2:$F$675,Compta!$A$2:$A$675,B165,Compta!$B$2:$B$675,"621",Compta!$C$2:$C$675,A165)</f>
        <v/>
      </c>
      <c r="X165">
        <f>SUMIFS(Compta!$F$2:$F$675,Compta!$A$2:$A$675,B165,Compta!$B$2:$B$675,"6411",Compta!$C$2:$C$675,A165)</f>
        <v/>
      </c>
      <c r="Y165">
        <f>SUMIFS(Compta!$F$2:$F$675,Compta!$A$2:$A$675,B165,Compta!$B$2:$B$675,"604",Compta!$C$2:$C$675,A165)+SUMIFS(Compta!$F$2:$F$675,Compta!$A$2:$A$675,B165,Compta!$B$2:$B$675,"6063",Compta!$C$2:$C$675,A165)</f>
        <v/>
      </c>
      <c r="Z165">
        <f>SUMIFS(Compta!$F$2:$F$675,Compta!$A$2:$A$675,B165,Compta!$B$2:$B$675,"6231",Compta!$C$2:$C$675,A165)</f>
        <v/>
      </c>
      <c r="AA165">
        <f>SUMIFS(Compta!$F$2:$F$675,Compta!$A$2:$A$675,B165,Compta!$B$2:$B$675,"6413",Compta!$C$2:$C$675,A165)+SUMIFS(Compta!$F$2:$F$675,Compta!$A$2:$A$675,B165,Compta!$B$2:$B$675,"645",Compta!$C$2:$C$675,A165)+SUMIFS(Compta!$F$2:$F$675,Compta!$A$2:$A$675,B165,Compta!$B$2:$B$675,"613",Compta!$C$2:$C$675,A165)+SUMIFS(Compta!$F$2:$F$675,Compta!$A$2:$A$675,B165,Compta!$B$2:$B$675,"615",Compta!$C$2:$C$675,A165)+SUMIFS(Compta!$F$2:$F$675,Compta!$A$2:$A$675,B165,Compta!$B$2:$B$675,"616",Compta!$C$2:$C$675,A165)+SUMIFS(Compta!$F$2:$F$675,Compta!$A$2:$A$675,B165,Compta!$B$2:$B$675,"625",Compta!$C$2:$C$675,A165)+SUMIFS(Compta!$F$2:$F$675,Compta!$A$2:$A$675,B165,Compta!$B$2:$B$675,"63511",Compta!$C$2:$C$675,A165)</f>
        <v/>
      </c>
      <c r="AB165">
        <f>SUMIFS(Compta!$F$2:$F$675,Compta!$A$2:$A$675,"GRP",Compta!$B$2:$B$675,"6414",Compta!$C$2:$C$675,A165)+SUMIFS(Compta!$F$2:$F$675,Compta!$A$2:$A$675,"GRP",Compta!$B$2:$B$675,"6226",Compta!$C$2:$C$675,A165)+SUMIFS(Compta!$F$2:$F$675,Compta!$A$2:$A$675,"GRP",Compta!$B$2:$B$675,"6236",Compta!$C$2:$C$675,A165)+SUMIFS(Compta!$F$2:$F$675,Compta!$A$2:$A$675,"GRP",Compta!$B$2:$B$675,"626",Compta!$C$2:$C$675,A165)+SUMIFS(Compta!$F$2:$F$675,Compta!$A$2:$A$675,"GRP",Compta!$B$2:$B$675,"6281",Compta!$C$2:$C$675,A165)+SUMIFS(Compta!$F$2:$F$675,Compta!$A$2:$A$675,"GRP",Compta!$B$2:$B$675,"6331",Compta!$C$2:$C$675,A165)+SUMIFS(Compta!$F$2:$F$675,Compta!$A$2:$A$675,"GRP",Compta!$B$2:$B$675,"6333",Compta!$C$2:$C$675,A165)</f>
        <v/>
      </c>
      <c r="AC165">
        <f>IF(Pilotage!$E$10="Chiffre d'affaires",I165,IF(Pilotage!$E$10="Effectif",G165,H165))</f>
        <v/>
      </c>
      <c r="AD165">
        <f>IF(Pilotage!$E$10="Chiffre d'affaires",N165,IF(Pilotage!$E$10="Effectif",L165,M165))</f>
        <v/>
      </c>
      <c r="AE165">
        <f>IF(Pilotage!$E$8="Chiffre d'affaires",N165,IF(Pilotage!$E$8="Effectif",L165,M165))</f>
        <v/>
      </c>
      <c r="AF165">
        <f>IF(Pilotage!$E$8="Chiffre d'affaires",S165,IF(Pilotage!$E$8="Effectif",Q165,R165))</f>
        <v/>
      </c>
      <c r="AG165">
        <f>IF(Pilotage!$E$9="Chiffre d'affaires",S165,IF(Pilotage!$E$9="Effectif",Q165,R165))</f>
        <v/>
      </c>
      <c r="AH165">
        <f>IF(Pilotage!$E$9="Chiffre d'affaires",V165,IF(Pilotage!$E$9="Effectif",T165,U165))</f>
        <v/>
      </c>
      <c r="AI165">
        <f>W165*IFERROR(K165/O165,0)</f>
        <v/>
      </c>
      <c r="AJ165">
        <f>X165*IFERROR(K165/O165,0)</f>
        <v/>
      </c>
      <c r="AK165">
        <f>Y165*IFERROR(G165/L165,0)+Z165*IFERROR(J165/P165,0)</f>
        <v/>
      </c>
      <c r="AL165">
        <f>AA165*IFERROR(AC165/AD165,0)</f>
        <v/>
      </c>
      <c r="AM165">
        <f>AB165*IFERROR(AG165/AH165,0)*IFERROR(AE165/AF165,0)*IFERROR(AC165/AD165,0)</f>
        <v/>
      </c>
      <c r="AN165">
        <f>I165-(AI165+AJ165+AK165+AL165+AM165)</f>
        <v/>
      </c>
    </row>
    <row r="166">
      <c r="A166">
        <f>Allocation!C166</f>
        <v/>
      </c>
      <c r="B166">
        <f>Allocation!D166</f>
        <v/>
      </c>
      <c r="C166">
        <f>Allocation!E166</f>
        <v/>
      </c>
      <c r="D166">
        <f>Allocation!F166</f>
        <v/>
      </c>
      <c r="E166">
        <f>Allocation!G166</f>
        <v/>
      </c>
      <c r="F166">
        <f>Allocation!H166</f>
        <v/>
      </c>
      <c r="G166">
        <f>Allocation!I166</f>
        <v/>
      </c>
      <c r="H166">
        <f>Allocation!J166</f>
        <v/>
      </c>
      <c r="I166">
        <f>Allocation!K166</f>
        <v/>
      </c>
      <c r="J166">
        <f>SUMIFS(Socle!$K$2:$K$175,Socle!$C$2:$C$175,B166,Socle!$D$2:$D$175,D166,Socle!$E$2:$E$175,E166,Socle!$F$2:$F$175,F166,Socle!$G$2:$G$175,A166)</f>
        <v/>
      </c>
      <c r="K166">
        <f>H166*IF(AND(LEFT(D166,3)="BAC",F166="INIT"),600,IF(LEFT(D166,3)="BAC",480,IF(AND(LEFT(D166,3)="MAS",F166="INIT"),520,IF(LEFT(D166,3)="MAS",420,IF(F166="INIT",1000,700)))))</f>
        <v/>
      </c>
      <c r="L166">
        <f>SUMIFS(Allocation!$I$2:$I$175,Allocation!$C$2:$C$175,A166,Allocation!$D$2:$D$175,B166)</f>
        <v/>
      </c>
      <c r="M166">
        <f>SUMIFS(Allocation!$J$2:$J$175,Allocation!$C$2:$C$175,A166,Allocation!$D$2:$D$175,B166)</f>
        <v/>
      </c>
      <c r="N166">
        <f>SUMIFS(Allocation!$K$2:$K$175,Allocation!$C$2:$C$175,A166,Allocation!$D$2:$D$175,B166)</f>
        <v/>
      </c>
      <c r="O166">
        <f>SUMIFS($K$2:$K$175,$A$2:$A$175,A166,$B$2:$B$175,B166)</f>
        <v/>
      </c>
      <c r="P166">
        <f>SUMIFS($J$2:$J$175,$A$2:$A$175,A166,$B$2:$B$175,B166)</f>
        <v/>
      </c>
      <c r="Q166">
        <f>SUMIFS(Allocation!$I$2:$I$175,Allocation!$C$2:$C$175,A166,Allocation!$E$2:$E$175,C166)</f>
        <v/>
      </c>
      <c r="R166">
        <f>SUMIFS(Allocation!$J$2:$J$175,Allocation!$C$2:$C$175,A166,Allocation!$E$2:$E$175,C166)</f>
        <v/>
      </c>
      <c r="S166">
        <f>SUMIFS(Allocation!$K$2:$K$175,Allocation!$C$2:$C$175,A166,Allocation!$E$2:$E$175,C166)</f>
        <v/>
      </c>
      <c r="T166">
        <f>SUMIFS(Allocation!$I$2:$I$175,Allocation!$C$2:$C$175,A166)</f>
        <v/>
      </c>
      <c r="U166">
        <f>SUMIFS(Allocation!$J$2:$J$175,Allocation!$C$2:$C$175,A166)</f>
        <v/>
      </c>
      <c r="V166">
        <f>SUMIFS(Allocation!$K$2:$K$175,Allocation!$C$2:$C$175,A166)</f>
        <v/>
      </c>
      <c r="W166">
        <f>SUMIFS(Compta!$F$2:$F$675,Compta!$A$2:$A$675,B166,Compta!$B$2:$B$675,"621",Compta!$C$2:$C$675,A166)</f>
        <v/>
      </c>
      <c r="X166">
        <f>SUMIFS(Compta!$F$2:$F$675,Compta!$A$2:$A$675,B166,Compta!$B$2:$B$675,"6411",Compta!$C$2:$C$675,A166)</f>
        <v/>
      </c>
      <c r="Y166">
        <f>SUMIFS(Compta!$F$2:$F$675,Compta!$A$2:$A$675,B166,Compta!$B$2:$B$675,"604",Compta!$C$2:$C$675,A166)+SUMIFS(Compta!$F$2:$F$675,Compta!$A$2:$A$675,B166,Compta!$B$2:$B$675,"6063",Compta!$C$2:$C$675,A166)</f>
        <v/>
      </c>
      <c r="Z166">
        <f>SUMIFS(Compta!$F$2:$F$675,Compta!$A$2:$A$675,B166,Compta!$B$2:$B$675,"6231",Compta!$C$2:$C$675,A166)</f>
        <v/>
      </c>
      <c r="AA166">
        <f>SUMIFS(Compta!$F$2:$F$675,Compta!$A$2:$A$675,B166,Compta!$B$2:$B$675,"6413",Compta!$C$2:$C$675,A166)+SUMIFS(Compta!$F$2:$F$675,Compta!$A$2:$A$675,B166,Compta!$B$2:$B$675,"645",Compta!$C$2:$C$675,A166)+SUMIFS(Compta!$F$2:$F$675,Compta!$A$2:$A$675,B166,Compta!$B$2:$B$675,"613",Compta!$C$2:$C$675,A166)+SUMIFS(Compta!$F$2:$F$675,Compta!$A$2:$A$675,B166,Compta!$B$2:$B$675,"615",Compta!$C$2:$C$675,A166)+SUMIFS(Compta!$F$2:$F$675,Compta!$A$2:$A$675,B166,Compta!$B$2:$B$675,"616",Compta!$C$2:$C$675,A166)+SUMIFS(Compta!$F$2:$F$675,Compta!$A$2:$A$675,B166,Compta!$B$2:$B$675,"625",Compta!$C$2:$C$675,A166)+SUMIFS(Compta!$F$2:$F$675,Compta!$A$2:$A$675,B166,Compta!$B$2:$B$675,"63511",Compta!$C$2:$C$675,A166)</f>
        <v/>
      </c>
      <c r="AB166">
        <f>SUMIFS(Compta!$F$2:$F$675,Compta!$A$2:$A$675,"GRP",Compta!$B$2:$B$675,"6414",Compta!$C$2:$C$675,A166)+SUMIFS(Compta!$F$2:$F$675,Compta!$A$2:$A$675,"GRP",Compta!$B$2:$B$675,"6226",Compta!$C$2:$C$675,A166)+SUMIFS(Compta!$F$2:$F$675,Compta!$A$2:$A$675,"GRP",Compta!$B$2:$B$675,"6236",Compta!$C$2:$C$675,A166)+SUMIFS(Compta!$F$2:$F$675,Compta!$A$2:$A$675,"GRP",Compta!$B$2:$B$675,"626",Compta!$C$2:$C$675,A166)+SUMIFS(Compta!$F$2:$F$675,Compta!$A$2:$A$675,"GRP",Compta!$B$2:$B$675,"6281",Compta!$C$2:$C$675,A166)+SUMIFS(Compta!$F$2:$F$675,Compta!$A$2:$A$675,"GRP",Compta!$B$2:$B$675,"6331",Compta!$C$2:$C$675,A166)+SUMIFS(Compta!$F$2:$F$675,Compta!$A$2:$A$675,"GRP",Compta!$B$2:$B$675,"6333",Compta!$C$2:$C$675,A166)</f>
        <v/>
      </c>
      <c r="AC166">
        <f>IF(Pilotage!$E$10="Chiffre d'affaires",I166,IF(Pilotage!$E$10="Effectif",G166,H166))</f>
        <v/>
      </c>
      <c r="AD166">
        <f>IF(Pilotage!$E$10="Chiffre d'affaires",N166,IF(Pilotage!$E$10="Effectif",L166,M166))</f>
        <v/>
      </c>
      <c r="AE166">
        <f>IF(Pilotage!$E$8="Chiffre d'affaires",N166,IF(Pilotage!$E$8="Effectif",L166,M166))</f>
        <v/>
      </c>
      <c r="AF166">
        <f>IF(Pilotage!$E$8="Chiffre d'affaires",S166,IF(Pilotage!$E$8="Effectif",Q166,R166))</f>
        <v/>
      </c>
      <c r="AG166">
        <f>IF(Pilotage!$E$9="Chiffre d'affaires",S166,IF(Pilotage!$E$9="Effectif",Q166,R166))</f>
        <v/>
      </c>
      <c r="AH166">
        <f>IF(Pilotage!$E$9="Chiffre d'affaires",V166,IF(Pilotage!$E$9="Effectif",T166,U166))</f>
        <v/>
      </c>
      <c r="AI166">
        <f>W166*IFERROR(K166/O166,0)</f>
        <v/>
      </c>
      <c r="AJ166">
        <f>X166*IFERROR(K166/O166,0)</f>
        <v/>
      </c>
      <c r="AK166">
        <f>Y166*IFERROR(G166/L166,0)+Z166*IFERROR(J166/P166,0)</f>
        <v/>
      </c>
      <c r="AL166">
        <f>AA166*IFERROR(AC166/AD166,0)</f>
        <v/>
      </c>
      <c r="AM166">
        <f>AB166*IFERROR(AG166/AH166,0)*IFERROR(AE166/AF166,0)*IFERROR(AC166/AD166,0)</f>
        <v/>
      </c>
      <c r="AN166">
        <f>I166-(AI166+AJ166+AK166+AL166+AM166)</f>
        <v/>
      </c>
    </row>
    <row r="167">
      <c r="A167">
        <f>Allocation!C167</f>
        <v/>
      </c>
      <c r="B167">
        <f>Allocation!D167</f>
        <v/>
      </c>
      <c r="C167">
        <f>Allocation!E167</f>
        <v/>
      </c>
      <c r="D167">
        <f>Allocation!F167</f>
        <v/>
      </c>
      <c r="E167">
        <f>Allocation!G167</f>
        <v/>
      </c>
      <c r="F167">
        <f>Allocation!H167</f>
        <v/>
      </c>
      <c r="G167">
        <f>Allocation!I167</f>
        <v/>
      </c>
      <c r="H167">
        <f>Allocation!J167</f>
        <v/>
      </c>
      <c r="I167">
        <f>Allocation!K167</f>
        <v/>
      </c>
      <c r="J167">
        <f>SUMIFS(Socle!$K$2:$K$175,Socle!$C$2:$C$175,B167,Socle!$D$2:$D$175,D167,Socle!$E$2:$E$175,E167,Socle!$F$2:$F$175,F167,Socle!$G$2:$G$175,A167)</f>
        <v/>
      </c>
      <c r="K167">
        <f>H167*IF(AND(LEFT(D167,3)="BAC",F167="INIT"),600,IF(LEFT(D167,3)="BAC",480,IF(AND(LEFT(D167,3)="MAS",F167="INIT"),520,IF(LEFT(D167,3)="MAS",420,IF(F167="INIT",1000,700)))))</f>
        <v/>
      </c>
      <c r="L167">
        <f>SUMIFS(Allocation!$I$2:$I$175,Allocation!$C$2:$C$175,A167,Allocation!$D$2:$D$175,B167)</f>
        <v/>
      </c>
      <c r="M167">
        <f>SUMIFS(Allocation!$J$2:$J$175,Allocation!$C$2:$C$175,A167,Allocation!$D$2:$D$175,B167)</f>
        <v/>
      </c>
      <c r="N167">
        <f>SUMIFS(Allocation!$K$2:$K$175,Allocation!$C$2:$C$175,A167,Allocation!$D$2:$D$175,B167)</f>
        <v/>
      </c>
      <c r="O167">
        <f>SUMIFS($K$2:$K$175,$A$2:$A$175,A167,$B$2:$B$175,B167)</f>
        <v/>
      </c>
      <c r="P167">
        <f>SUMIFS($J$2:$J$175,$A$2:$A$175,A167,$B$2:$B$175,B167)</f>
        <v/>
      </c>
      <c r="Q167">
        <f>SUMIFS(Allocation!$I$2:$I$175,Allocation!$C$2:$C$175,A167,Allocation!$E$2:$E$175,C167)</f>
        <v/>
      </c>
      <c r="R167">
        <f>SUMIFS(Allocation!$J$2:$J$175,Allocation!$C$2:$C$175,A167,Allocation!$E$2:$E$175,C167)</f>
        <v/>
      </c>
      <c r="S167">
        <f>SUMIFS(Allocation!$K$2:$K$175,Allocation!$C$2:$C$175,A167,Allocation!$E$2:$E$175,C167)</f>
        <v/>
      </c>
      <c r="T167">
        <f>SUMIFS(Allocation!$I$2:$I$175,Allocation!$C$2:$C$175,A167)</f>
        <v/>
      </c>
      <c r="U167">
        <f>SUMIFS(Allocation!$J$2:$J$175,Allocation!$C$2:$C$175,A167)</f>
        <v/>
      </c>
      <c r="V167">
        <f>SUMIFS(Allocation!$K$2:$K$175,Allocation!$C$2:$C$175,A167)</f>
        <v/>
      </c>
      <c r="W167">
        <f>SUMIFS(Compta!$F$2:$F$675,Compta!$A$2:$A$675,B167,Compta!$B$2:$B$675,"621",Compta!$C$2:$C$675,A167)</f>
        <v/>
      </c>
      <c r="X167">
        <f>SUMIFS(Compta!$F$2:$F$675,Compta!$A$2:$A$675,B167,Compta!$B$2:$B$675,"6411",Compta!$C$2:$C$675,A167)</f>
        <v/>
      </c>
      <c r="Y167">
        <f>SUMIFS(Compta!$F$2:$F$675,Compta!$A$2:$A$675,B167,Compta!$B$2:$B$675,"604",Compta!$C$2:$C$675,A167)+SUMIFS(Compta!$F$2:$F$675,Compta!$A$2:$A$675,B167,Compta!$B$2:$B$675,"6063",Compta!$C$2:$C$675,A167)</f>
        <v/>
      </c>
      <c r="Z167">
        <f>SUMIFS(Compta!$F$2:$F$675,Compta!$A$2:$A$675,B167,Compta!$B$2:$B$675,"6231",Compta!$C$2:$C$675,A167)</f>
        <v/>
      </c>
      <c r="AA167">
        <f>SUMIFS(Compta!$F$2:$F$675,Compta!$A$2:$A$675,B167,Compta!$B$2:$B$675,"6413",Compta!$C$2:$C$675,A167)+SUMIFS(Compta!$F$2:$F$675,Compta!$A$2:$A$675,B167,Compta!$B$2:$B$675,"645",Compta!$C$2:$C$675,A167)+SUMIFS(Compta!$F$2:$F$675,Compta!$A$2:$A$675,B167,Compta!$B$2:$B$675,"613",Compta!$C$2:$C$675,A167)+SUMIFS(Compta!$F$2:$F$675,Compta!$A$2:$A$675,B167,Compta!$B$2:$B$675,"615",Compta!$C$2:$C$675,A167)+SUMIFS(Compta!$F$2:$F$675,Compta!$A$2:$A$675,B167,Compta!$B$2:$B$675,"616",Compta!$C$2:$C$675,A167)+SUMIFS(Compta!$F$2:$F$675,Compta!$A$2:$A$675,B167,Compta!$B$2:$B$675,"625",Compta!$C$2:$C$675,A167)+SUMIFS(Compta!$F$2:$F$675,Compta!$A$2:$A$675,B167,Compta!$B$2:$B$675,"63511",Compta!$C$2:$C$675,A167)</f>
        <v/>
      </c>
      <c r="AB167">
        <f>SUMIFS(Compta!$F$2:$F$675,Compta!$A$2:$A$675,"GRP",Compta!$B$2:$B$675,"6414",Compta!$C$2:$C$675,A167)+SUMIFS(Compta!$F$2:$F$675,Compta!$A$2:$A$675,"GRP",Compta!$B$2:$B$675,"6226",Compta!$C$2:$C$675,A167)+SUMIFS(Compta!$F$2:$F$675,Compta!$A$2:$A$675,"GRP",Compta!$B$2:$B$675,"6236",Compta!$C$2:$C$675,A167)+SUMIFS(Compta!$F$2:$F$675,Compta!$A$2:$A$675,"GRP",Compta!$B$2:$B$675,"626",Compta!$C$2:$C$675,A167)+SUMIFS(Compta!$F$2:$F$675,Compta!$A$2:$A$675,"GRP",Compta!$B$2:$B$675,"6281",Compta!$C$2:$C$675,A167)+SUMIFS(Compta!$F$2:$F$675,Compta!$A$2:$A$675,"GRP",Compta!$B$2:$B$675,"6331",Compta!$C$2:$C$675,A167)+SUMIFS(Compta!$F$2:$F$675,Compta!$A$2:$A$675,"GRP",Compta!$B$2:$B$675,"6333",Compta!$C$2:$C$675,A167)</f>
        <v/>
      </c>
      <c r="AC167">
        <f>IF(Pilotage!$E$10="Chiffre d'affaires",I167,IF(Pilotage!$E$10="Effectif",G167,H167))</f>
        <v/>
      </c>
      <c r="AD167">
        <f>IF(Pilotage!$E$10="Chiffre d'affaires",N167,IF(Pilotage!$E$10="Effectif",L167,M167))</f>
        <v/>
      </c>
      <c r="AE167">
        <f>IF(Pilotage!$E$8="Chiffre d'affaires",N167,IF(Pilotage!$E$8="Effectif",L167,M167))</f>
        <v/>
      </c>
      <c r="AF167">
        <f>IF(Pilotage!$E$8="Chiffre d'affaires",S167,IF(Pilotage!$E$8="Effectif",Q167,R167))</f>
        <v/>
      </c>
      <c r="AG167">
        <f>IF(Pilotage!$E$9="Chiffre d'affaires",S167,IF(Pilotage!$E$9="Effectif",Q167,R167))</f>
        <v/>
      </c>
      <c r="AH167">
        <f>IF(Pilotage!$E$9="Chiffre d'affaires",V167,IF(Pilotage!$E$9="Effectif",T167,U167))</f>
        <v/>
      </c>
      <c r="AI167">
        <f>W167*IFERROR(K167/O167,0)</f>
        <v/>
      </c>
      <c r="AJ167">
        <f>X167*IFERROR(K167/O167,0)</f>
        <v/>
      </c>
      <c r="AK167">
        <f>Y167*IFERROR(G167/L167,0)+Z167*IFERROR(J167/P167,0)</f>
        <v/>
      </c>
      <c r="AL167">
        <f>AA167*IFERROR(AC167/AD167,0)</f>
        <v/>
      </c>
      <c r="AM167">
        <f>AB167*IFERROR(AG167/AH167,0)*IFERROR(AE167/AF167,0)*IFERROR(AC167/AD167,0)</f>
        <v/>
      </c>
      <c r="AN167">
        <f>I167-(AI167+AJ167+AK167+AL167+AM167)</f>
        <v/>
      </c>
    </row>
    <row r="168">
      <c r="A168">
        <f>Allocation!C168</f>
        <v/>
      </c>
      <c r="B168">
        <f>Allocation!D168</f>
        <v/>
      </c>
      <c r="C168">
        <f>Allocation!E168</f>
        <v/>
      </c>
      <c r="D168">
        <f>Allocation!F168</f>
        <v/>
      </c>
      <c r="E168">
        <f>Allocation!G168</f>
        <v/>
      </c>
      <c r="F168">
        <f>Allocation!H168</f>
        <v/>
      </c>
      <c r="G168">
        <f>Allocation!I168</f>
        <v/>
      </c>
      <c r="H168">
        <f>Allocation!J168</f>
        <v/>
      </c>
      <c r="I168">
        <f>Allocation!K168</f>
        <v/>
      </c>
      <c r="J168">
        <f>SUMIFS(Socle!$K$2:$K$175,Socle!$C$2:$C$175,B168,Socle!$D$2:$D$175,D168,Socle!$E$2:$E$175,E168,Socle!$F$2:$F$175,F168,Socle!$G$2:$G$175,A168)</f>
        <v/>
      </c>
      <c r="K168">
        <f>H168*IF(AND(LEFT(D168,3)="BAC",F168="INIT"),600,IF(LEFT(D168,3)="BAC",480,IF(AND(LEFT(D168,3)="MAS",F168="INIT"),520,IF(LEFT(D168,3)="MAS",420,IF(F168="INIT",1000,700)))))</f>
        <v/>
      </c>
      <c r="L168">
        <f>SUMIFS(Allocation!$I$2:$I$175,Allocation!$C$2:$C$175,A168,Allocation!$D$2:$D$175,B168)</f>
        <v/>
      </c>
      <c r="M168">
        <f>SUMIFS(Allocation!$J$2:$J$175,Allocation!$C$2:$C$175,A168,Allocation!$D$2:$D$175,B168)</f>
        <v/>
      </c>
      <c r="N168">
        <f>SUMIFS(Allocation!$K$2:$K$175,Allocation!$C$2:$C$175,A168,Allocation!$D$2:$D$175,B168)</f>
        <v/>
      </c>
      <c r="O168">
        <f>SUMIFS($K$2:$K$175,$A$2:$A$175,A168,$B$2:$B$175,B168)</f>
        <v/>
      </c>
      <c r="P168">
        <f>SUMIFS($J$2:$J$175,$A$2:$A$175,A168,$B$2:$B$175,B168)</f>
        <v/>
      </c>
      <c r="Q168">
        <f>SUMIFS(Allocation!$I$2:$I$175,Allocation!$C$2:$C$175,A168,Allocation!$E$2:$E$175,C168)</f>
        <v/>
      </c>
      <c r="R168">
        <f>SUMIFS(Allocation!$J$2:$J$175,Allocation!$C$2:$C$175,A168,Allocation!$E$2:$E$175,C168)</f>
        <v/>
      </c>
      <c r="S168">
        <f>SUMIFS(Allocation!$K$2:$K$175,Allocation!$C$2:$C$175,A168,Allocation!$E$2:$E$175,C168)</f>
        <v/>
      </c>
      <c r="T168">
        <f>SUMIFS(Allocation!$I$2:$I$175,Allocation!$C$2:$C$175,A168)</f>
        <v/>
      </c>
      <c r="U168">
        <f>SUMIFS(Allocation!$J$2:$J$175,Allocation!$C$2:$C$175,A168)</f>
        <v/>
      </c>
      <c r="V168">
        <f>SUMIFS(Allocation!$K$2:$K$175,Allocation!$C$2:$C$175,A168)</f>
        <v/>
      </c>
      <c r="W168">
        <f>SUMIFS(Compta!$F$2:$F$675,Compta!$A$2:$A$675,B168,Compta!$B$2:$B$675,"621",Compta!$C$2:$C$675,A168)</f>
        <v/>
      </c>
      <c r="X168">
        <f>SUMIFS(Compta!$F$2:$F$675,Compta!$A$2:$A$675,B168,Compta!$B$2:$B$675,"6411",Compta!$C$2:$C$675,A168)</f>
        <v/>
      </c>
      <c r="Y168">
        <f>SUMIFS(Compta!$F$2:$F$675,Compta!$A$2:$A$675,B168,Compta!$B$2:$B$675,"604",Compta!$C$2:$C$675,A168)+SUMIFS(Compta!$F$2:$F$675,Compta!$A$2:$A$675,B168,Compta!$B$2:$B$675,"6063",Compta!$C$2:$C$675,A168)</f>
        <v/>
      </c>
      <c r="Z168">
        <f>SUMIFS(Compta!$F$2:$F$675,Compta!$A$2:$A$675,B168,Compta!$B$2:$B$675,"6231",Compta!$C$2:$C$675,A168)</f>
        <v/>
      </c>
      <c r="AA168">
        <f>SUMIFS(Compta!$F$2:$F$675,Compta!$A$2:$A$675,B168,Compta!$B$2:$B$675,"6413",Compta!$C$2:$C$675,A168)+SUMIFS(Compta!$F$2:$F$675,Compta!$A$2:$A$675,B168,Compta!$B$2:$B$675,"645",Compta!$C$2:$C$675,A168)+SUMIFS(Compta!$F$2:$F$675,Compta!$A$2:$A$675,B168,Compta!$B$2:$B$675,"613",Compta!$C$2:$C$675,A168)+SUMIFS(Compta!$F$2:$F$675,Compta!$A$2:$A$675,B168,Compta!$B$2:$B$675,"615",Compta!$C$2:$C$675,A168)+SUMIFS(Compta!$F$2:$F$675,Compta!$A$2:$A$675,B168,Compta!$B$2:$B$675,"616",Compta!$C$2:$C$675,A168)+SUMIFS(Compta!$F$2:$F$675,Compta!$A$2:$A$675,B168,Compta!$B$2:$B$675,"625",Compta!$C$2:$C$675,A168)+SUMIFS(Compta!$F$2:$F$675,Compta!$A$2:$A$675,B168,Compta!$B$2:$B$675,"63511",Compta!$C$2:$C$675,A168)</f>
        <v/>
      </c>
      <c r="AB168">
        <f>SUMIFS(Compta!$F$2:$F$675,Compta!$A$2:$A$675,"GRP",Compta!$B$2:$B$675,"6414",Compta!$C$2:$C$675,A168)+SUMIFS(Compta!$F$2:$F$675,Compta!$A$2:$A$675,"GRP",Compta!$B$2:$B$675,"6226",Compta!$C$2:$C$675,A168)+SUMIFS(Compta!$F$2:$F$675,Compta!$A$2:$A$675,"GRP",Compta!$B$2:$B$675,"6236",Compta!$C$2:$C$675,A168)+SUMIFS(Compta!$F$2:$F$675,Compta!$A$2:$A$675,"GRP",Compta!$B$2:$B$675,"626",Compta!$C$2:$C$675,A168)+SUMIFS(Compta!$F$2:$F$675,Compta!$A$2:$A$675,"GRP",Compta!$B$2:$B$675,"6281",Compta!$C$2:$C$675,A168)+SUMIFS(Compta!$F$2:$F$675,Compta!$A$2:$A$675,"GRP",Compta!$B$2:$B$675,"6331",Compta!$C$2:$C$675,A168)+SUMIFS(Compta!$F$2:$F$675,Compta!$A$2:$A$675,"GRP",Compta!$B$2:$B$675,"6333",Compta!$C$2:$C$675,A168)</f>
        <v/>
      </c>
      <c r="AC168">
        <f>IF(Pilotage!$E$10="Chiffre d'affaires",I168,IF(Pilotage!$E$10="Effectif",G168,H168))</f>
        <v/>
      </c>
      <c r="AD168">
        <f>IF(Pilotage!$E$10="Chiffre d'affaires",N168,IF(Pilotage!$E$10="Effectif",L168,M168))</f>
        <v/>
      </c>
      <c r="AE168">
        <f>IF(Pilotage!$E$8="Chiffre d'affaires",N168,IF(Pilotage!$E$8="Effectif",L168,M168))</f>
        <v/>
      </c>
      <c r="AF168">
        <f>IF(Pilotage!$E$8="Chiffre d'affaires",S168,IF(Pilotage!$E$8="Effectif",Q168,R168))</f>
        <v/>
      </c>
      <c r="AG168">
        <f>IF(Pilotage!$E$9="Chiffre d'affaires",S168,IF(Pilotage!$E$9="Effectif",Q168,R168))</f>
        <v/>
      </c>
      <c r="AH168">
        <f>IF(Pilotage!$E$9="Chiffre d'affaires",V168,IF(Pilotage!$E$9="Effectif",T168,U168))</f>
        <v/>
      </c>
      <c r="AI168">
        <f>W168*IFERROR(K168/O168,0)</f>
        <v/>
      </c>
      <c r="AJ168">
        <f>X168*IFERROR(K168/O168,0)</f>
        <v/>
      </c>
      <c r="AK168">
        <f>Y168*IFERROR(G168/L168,0)+Z168*IFERROR(J168/P168,0)</f>
        <v/>
      </c>
      <c r="AL168">
        <f>AA168*IFERROR(AC168/AD168,0)</f>
        <v/>
      </c>
      <c r="AM168">
        <f>AB168*IFERROR(AG168/AH168,0)*IFERROR(AE168/AF168,0)*IFERROR(AC168/AD168,0)</f>
        <v/>
      </c>
      <c r="AN168">
        <f>I168-(AI168+AJ168+AK168+AL168+AM168)</f>
        <v/>
      </c>
    </row>
    <row r="169">
      <c r="A169">
        <f>Allocation!C169</f>
        <v/>
      </c>
      <c r="B169">
        <f>Allocation!D169</f>
        <v/>
      </c>
      <c r="C169">
        <f>Allocation!E169</f>
        <v/>
      </c>
      <c r="D169">
        <f>Allocation!F169</f>
        <v/>
      </c>
      <c r="E169">
        <f>Allocation!G169</f>
        <v/>
      </c>
      <c r="F169">
        <f>Allocation!H169</f>
        <v/>
      </c>
      <c r="G169">
        <f>Allocation!I169</f>
        <v/>
      </c>
      <c r="H169">
        <f>Allocation!J169</f>
        <v/>
      </c>
      <c r="I169">
        <f>Allocation!K169</f>
        <v/>
      </c>
      <c r="J169">
        <f>SUMIFS(Socle!$K$2:$K$175,Socle!$C$2:$C$175,B169,Socle!$D$2:$D$175,D169,Socle!$E$2:$E$175,E169,Socle!$F$2:$F$175,F169,Socle!$G$2:$G$175,A169)</f>
        <v/>
      </c>
      <c r="K169">
        <f>H169*IF(AND(LEFT(D169,3)="BAC",F169="INIT"),600,IF(LEFT(D169,3)="BAC",480,IF(AND(LEFT(D169,3)="MAS",F169="INIT"),520,IF(LEFT(D169,3)="MAS",420,IF(F169="INIT",1000,700)))))</f>
        <v/>
      </c>
      <c r="L169">
        <f>SUMIFS(Allocation!$I$2:$I$175,Allocation!$C$2:$C$175,A169,Allocation!$D$2:$D$175,B169)</f>
        <v/>
      </c>
      <c r="M169">
        <f>SUMIFS(Allocation!$J$2:$J$175,Allocation!$C$2:$C$175,A169,Allocation!$D$2:$D$175,B169)</f>
        <v/>
      </c>
      <c r="N169">
        <f>SUMIFS(Allocation!$K$2:$K$175,Allocation!$C$2:$C$175,A169,Allocation!$D$2:$D$175,B169)</f>
        <v/>
      </c>
      <c r="O169">
        <f>SUMIFS($K$2:$K$175,$A$2:$A$175,A169,$B$2:$B$175,B169)</f>
        <v/>
      </c>
      <c r="P169">
        <f>SUMIFS($J$2:$J$175,$A$2:$A$175,A169,$B$2:$B$175,B169)</f>
        <v/>
      </c>
      <c r="Q169">
        <f>SUMIFS(Allocation!$I$2:$I$175,Allocation!$C$2:$C$175,A169,Allocation!$E$2:$E$175,C169)</f>
        <v/>
      </c>
      <c r="R169">
        <f>SUMIFS(Allocation!$J$2:$J$175,Allocation!$C$2:$C$175,A169,Allocation!$E$2:$E$175,C169)</f>
        <v/>
      </c>
      <c r="S169">
        <f>SUMIFS(Allocation!$K$2:$K$175,Allocation!$C$2:$C$175,A169,Allocation!$E$2:$E$175,C169)</f>
        <v/>
      </c>
      <c r="T169">
        <f>SUMIFS(Allocation!$I$2:$I$175,Allocation!$C$2:$C$175,A169)</f>
        <v/>
      </c>
      <c r="U169">
        <f>SUMIFS(Allocation!$J$2:$J$175,Allocation!$C$2:$C$175,A169)</f>
        <v/>
      </c>
      <c r="V169">
        <f>SUMIFS(Allocation!$K$2:$K$175,Allocation!$C$2:$C$175,A169)</f>
        <v/>
      </c>
      <c r="W169">
        <f>SUMIFS(Compta!$F$2:$F$675,Compta!$A$2:$A$675,B169,Compta!$B$2:$B$675,"621",Compta!$C$2:$C$675,A169)</f>
        <v/>
      </c>
      <c r="X169">
        <f>SUMIFS(Compta!$F$2:$F$675,Compta!$A$2:$A$675,B169,Compta!$B$2:$B$675,"6411",Compta!$C$2:$C$675,A169)</f>
        <v/>
      </c>
      <c r="Y169">
        <f>SUMIFS(Compta!$F$2:$F$675,Compta!$A$2:$A$675,B169,Compta!$B$2:$B$675,"604",Compta!$C$2:$C$675,A169)+SUMIFS(Compta!$F$2:$F$675,Compta!$A$2:$A$675,B169,Compta!$B$2:$B$675,"6063",Compta!$C$2:$C$675,A169)</f>
        <v/>
      </c>
      <c r="Z169">
        <f>SUMIFS(Compta!$F$2:$F$675,Compta!$A$2:$A$675,B169,Compta!$B$2:$B$675,"6231",Compta!$C$2:$C$675,A169)</f>
        <v/>
      </c>
      <c r="AA169">
        <f>SUMIFS(Compta!$F$2:$F$675,Compta!$A$2:$A$675,B169,Compta!$B$2:$B$675,"6413",Compta!$C$2:$C$675,A169)+SUMIFS(Compta!$F$2:$F$675,Compta!$A$2:$A$675,B169,Compta!$B$2:$B$675,"645",Compta!$C$2:$C$675,A169)+SUMIFS(Compta!$F$2:$F$675,Compta!$A$2:$A$675,B169,Compta!$B$2:$B$675,"613",Compta!$C$2:$C$675,A169)+SUMIFS(Compta!$F$2:$F$675,Compta!$A$2:$A$675,B169,Compta!$B$2:$B$675,"615",Compta!$C$2:$C$675,A169)+SUMIFS(Compta!$F$2:$F$675,Compta!$A$2:$A$675,B169,Compta!$B$2:$B$675,"616",Compta!$C$2:$C$675,A169)+SUMIFS(Compta!$F$2:$F$675,Compta!$A$2:$A$675,B169,Compta!$B$2:$B$675,"625",Compta!$C$2:$C$675,A169)+SUMIFS(Compta!$F$2:$F$675,Compta!$A$2:$A$675,B169,Compta!$B$2:$B$675,"63511",Compta!$C$2:$C$675,A169)</f>
        <v/>
      </c>
      <c r="AB169">
        <f>SUMIFS(Compta!$F$2:$F$675,Compta!$A$2:$A$675,"GRP",Compta!$B$2:$B$675,"6414",Compta!$C$2:$C$675,A169)+SUMIFS(Compta!$F$2:$F$675,Compta!$A$2:$A$675,"GRP",Compta!$B$2:$B$675,"6226",Compta!$C$2:$C$675,A169)+SUMIFS(Compta!$F$2:$F$675,Compta!$A$2:$A$675,"GRP",Compta!$B$2:$B$675,"6236",Compta!$C$2:$C$675,A169)+SUMIFS(Compta!$F$2:$F$675,Compta!$A$2:$A$675,"GRP",Compta!$B$2:$B$675,"626",Compta!$C$2:$C$675,A169)+SUMIFS(Compta!$F$2:$F$675,Compta!$A$2:$A$675,"GRP",Compta!$B$2:$B$675,"6281",Compta!$C$2:$C$675,A169)+SUMIFS(Compta!$F$2:$F$675,Compta!$A$2:$A$675,"GRP",Compta!$B$2:$B$675,"6331",Compta!$C$2:$C$675,A169)+SUMIFS(Compta!$F$2:$F$675,Compta!$A$2:$A$675,"GRP",Compta!$B$2:$B$675,"6333",Compta!$C$2:$C$675,A169)</f>
        <v/>
      </c>
      <c r="AC169">
        <f>IF(Pilotage!$E$10="Chiffre d'affaires",I169,IF(Pilotage!$E$10="Effectif",G169,H169))</f>
        <v/>
      </c>
      <c r="AD169">
        <f>IF(Pilotage!$E$10="Chiffre d'affaires",N169,IF(Pilotage!$E$10="Effectif",L169,M169))</f>
        <v/>
      </c>
      <c r="AE169">
        <f>IF(Pilotage!$E$8="Chiffre d'affaires",N169,IF(Pilotage!$E$8="Effectif",L169,M169))</f>
        <v/>
      </c>
      <c r="AF169">
        <f>IF(Pilotage!$E$8="Chiffre d'affaires",S169,IF(Pilotage!$E$8="Effectif",Q169,R169))</f>
        <v/>
      </c>
      <c r="AG169">
        <f>IF(Pilotage!$E$9="Chiffre d'affaires",S169,IF(Pilotage!$E$9="Effectif",Q169,R169))</f>
        <v/>
      </c>
      <c r="AH169">
        <f>IF(Pilotage!$E$9="Chiffre d'affaires",V169,IF(Pilotage!$E$9="Effectif",T169,U169))</f>
        <v/>
      </c>
      <c r="AI169">
        <f>W169*IFERROR(K169/O169,0)</f>
        <v/>
      </c>
      <c r="AJ169">
        <f>X169*IFERROR(K169/O169,0)</f>
        <v/>
      </c>
      <c r="AK169">
        <f>Y169*IFERROR(G169/L169,0)+Z169*IFERROR(J169/P169,0)</f>
        <v/>
      </c>
      <c r="AL169">
        <f>AA169*IFERROR(AC169/AD169,0)</f>
        <v/>
      </c>
      <c r="AM169">
        <f>AB169*IFERROR(AG169/AH169,0)*IFERROR(AE169/AF169,0)*IFERROR(AC169/AD169,0)</f>
        <v/>
      </c>
      <c r="AN169">
        <f>I169-(AI169+AJ169+AK169+AL169+AM169)</f>
        <v/>
      </c>
    </row>
    <row r="170">
      <c r="A170">
        <f>Allocation!C170</f>
        <v/>
      </c>
      <c r="B170">
        <f>Allocation!D170</f>
        <v/>
      </c>
      <c r="C170">
        <f>Allocation!E170</f>
        <v/>
      </c>
      <c r="D170">
        <f>Allocation!F170</f>
        <v/>
      </c>
      <c r="E170">
        <f>Allocation!G170</f>
        <v/>
      </c>
      <c r="F170">
        <f>Allocation!H170</f>
        <v/>
      </c>
      <c r="G170">
        <f>Allocation!I170</f>
        <v/>
      </c>
      <c r="H170">
        <f>Allocation!J170</f>
        <v/>
      </c>
      <c r="I170">
        <f>Allocation!K170</f>
        <v/>
      </c>
      <c r="J170">
        <f>SUMIFS(Socle!$K$2:$K$175,Socle!$C$2:$C$175,B170,Socle!$D$2:$D$175,D170,Socle!$E$2:$E$175,E170,Socle!$F$2:$F$175,F170,Socle!$G$2:$G$175,A170)</f>
        <v/>
      </c>
      <c r="K170">
        <f>H170*IF(AND(LEFT(D170,3)="BAC",F170="INIT"),600,IF(LEFT(D170,3)="BAC",480,IF(AND(LEFT(D170,3)="MAS",F170="INIT"),520,IF(LEFT(D170,3)="MAS",420,IF(F170="INIT",1000,700)))))</f>
        <v/>
      </c>
      <c r="L170">
        <f>SUMIFS(Allocation!$I$2:$I$175,Allocation!$C$2:$C$175,A170,Allocation!$D$2:$D$175,B170)</f>
        <v/>
      </c>
      <c r="M170">
        <f>SUMIFS(Allocation!$J$2:$J$175,Allocation!$C$2:$C$175,A170,Allocation!$D$2:$D$175,B170)</f>
        <v/>
      </c>
      <c r="N170">
        <f>SUMIFS(Allocation!$K$2:$K$175,Allocation!$C$2:$C$175,A170,Allocation!$D$2:$D$175,B170)</f>
        <v/>
      </c>
      <c r="O170">
        <f>SUMIFS($K$2:$K$175,$A$2:$A$175,A170,$B$2:$B$175,B170)</f>
        <v/>
      </c>
      <c r="P170">
        <f>SUMIFS($J$2:$J$175,$A$2:$A$175,A170,$B$2:$B$175,B170)</f>
        <v/>
      </c>
      <c r="Q170">
        <f>SUMIFS(Allocation!$I$2:$I$175,Allocation!$C$2:$C$175,A170,Allocation!$E$2:$E$175,C170)</f>
        <v/>
      </c>
      <c r="R170">
        <f>SUMIFS(Allocation!$J$2:$J$175,Allocation!$C$2:$C$175,A170,Allocation!$E$2:$E$175,C170)</f>
        <v/>
      </c>
      <c r="S170">
        <f>SUMIFS(Allocation!$K$2:$K$175,Allocation!$C$2:$C$175,A170,Allocation!$E$2:$E$175,C170)</f>
        <v/>
      </c>
      <c r="T170">
        <f>SUMIFS(Allocation!$I$2:$I$175,Allocation!$C$2:$C$175,A170)</f>
        <v/>
      </c>
      <c r="U170">
        <f>SUMIFS(Allocation!$J$2:$J$175,Allocation!$C$2:$C$175,A170)</f>
        <v/>
      </c>
      <c r="V170">
        <f>SUMIFS(Allocation!$K$2:$K$175,Allocation!$C$2:$C$175,A170)</f>
        <v/>
      </c>
      <c r="W170">
        <f>SUMIFS(Compta!$F$2:$F$675,Compta!$A$2:$A$675,B170,Compta!$B$2:$B$675,"621",Compta!$C$2:$C$675,A170)</f>
        <v/>
      </c>
      <c r="X170">
        <f>SUMIFS(Compta!$F$2:$F$675,Compta!$A$2:$A$675,B170,Compta!$B$2:$B$675,"6411",Compta!$C$2:$C$675,A170)</f>
        <v/>
      </c>
      <c r="Y170">
        <f>SUMIFS(Compta!$F$2:$F$675,Compta!$A$2:$A$675,B170,Compta!$B$2:$B$675,"604",Compta!$C$2:$C$675,A170)+SUMIFS(Compta!$F$2:$F$675,Compta!$A$2:$A$675,B170,Compta!$B$2:$B$675,"6063",Compta!$C$2:$C$675,A170)</f>
        <v/>
      </c>
      <c r="Z170">
        <f>SUMIFS(Compta!$F$2:$F$675,Compta!$A$2:$A$675,B170,Compta!$B$2:$B$675,"6231",Compta!$C$2:$C$675,A170)</f>
        <v/>
      </c>
      <c r="AA170">
        <f>SUMIFS(Compta!$F$2:$F$675,Compta!$A$2:$A$675,B170,Compta!$B$2:$B$675,"6413",Compta!$C$2:$C$675,A170)+SUMIFS(Compta!$F$2:$F$675,Compta!$A$2:$A$675,B170,Compta!$B$2:$B$675,"645",Compta!$C$2:$C$675,A170)+SUMIFS(Compta!$F$2:$F$675,Compta!$A$2:$A$675,B170,Compta!$B$2:$B$675,"613",Compta!$C$2:$C$675,A170)+SUMIFS(Compta!$F$2:$F$675,Compta!$A$2:$A$675,B170,Compta!$B$2:$B$675,"615",Compta!$C$2:$C$675,A170)+SUMIFS(Compta!$F$2:$F$675,Compta!$A$2:$A$675,B170,Compta!$B$2:$B$675,"616",Compta!$C$2:$C$675,A170)+SUMIFS(Compta!$F$2:$F$675,Compta!$A$2:$A$675,B170,Compta!$B$2:$B$675,"625",Compta!$C$2:$C$675,A170)+SUMIFS(Compta!$F$2:$F$675,Compta!$A$2:$A$675,B170,Compta!$B$2:$B$675,"63511",Compta!$C$2:$C$675,A170)</f>
        <v/>
      </c>
      <c r="AB170">
        <f>SUMIFS(Compta!$F$2:$F$675,Compta!$A$2:$A$675,"GRP",Compta!$B$2:$B$675,"6414",Compta!$C$2:$C$675,A170)+SUMIFS(Compta!$F$2:$F$675,Compta!$A$2:$A$675,"GRP",Compta!$B$2:$B$675,"6226",Compta!$C$2:$C$675,A170)+SUMIFS(Compta!$F$2:$F$675,Compta!$A$2:$A$675,"GRP",Compta!$B$2:$B$675,"6236",Compta!$C$2:$C$675,A170)+SUMIFS(Compta!$F$2:$F$675,Compta!$A$2:$A$675,"GRP",Compta!$B$2:$B$675,"626",Compta!$C$2:$C$675,A170)+SUMIFS(Compta!$F$2:$F$675,Compta!$A$2:$A$675,"GRP",Compta!$B$2:$B$675,"6281",Compta!$C$2:$C$675,A170)+SUMIFS(Compta!$F$2:$F$675,Compta!$A$2:$A$675,"GRP",Compta!$B$2:$B$675,"6331",Compta!$C$2:$C$675,A170)+SUMIFS(Compta!$F$2:$F$675,Compta!$A$2:$A$675,"GRP",Compta!$B$2:$B$675,"6333",Compta!$C$2:$C$675,A170)</f>
        <v/>
      </c>
      <c r="AC170">
        <f>IF(Pilotage!$E$10="Chiffre d'affaires",I170,IF(Pilotage!$E$10="Effectif",G170,H170))</f>
        <v/>
      </c>
      <c r="AD170">
        <f>IF(Pilotage!$E$10="Chiffre d'affaires",N170,IF(Pilotage!$E$10="Effectif",L170,M170))</f>
        <v/>
      </c>
      <c r="AE170">
        <f>IF(Pilotage!$E$8="Chiffre d'affaires",N170,IF(Pilotage!$E$8="Effectif",L170,M170))</f>
        <v/>
      </c>
      <c r="AF170">
        <f>IF(Pilotage!$E$8="Chiffre d'affaires",S170,IF(Pilotage!$E$8="Effectif",Q170,R170))</f>
        <v/>
      </c>
      <c r="AG170">
        <f>IF(Pilotage!$E$9="Chiffre d'affaires",S170,IF(Pilotage!$E$9="Effectif",Q170,R170))</f>
        <v/>
      </c>
      <c r="AH170">
        <f>IF(Pilotage!$E$9="Chiffre d'affaires",V170,IF(Pilotage!$E$9="Effectif",T170,U170))</f>
        <v/>
      </c>
      <c r="AI170">
        <f>W170*IFERROR(K170/O170,0)</f>
        <v/>
      </c>
      <c r="AJ170">
        <f>X170*IFERROR(K170/O170,0)</f>
        <v/>
      </c>
      <c r="AK170">
        <f>Y170*IFERROR(G170/L170,0)+Z170*IFERROR(J170/P170,0)</f>
        <v/>
      </c>
      <c r="AL170">
        <f>AA170*IFERROR(AC170/AD170,0)</f>
        <v/>
      </c>
      <c r="AM170">
        <f>AB170*IFERROR(AG170/AH170,0)*IFERROR(AE170/AF170,0)*IFERROR(AC170/AD170,0)</f>
        <v/>
      </c>
      <c r="AN170">
        <f>I170-(AI170+AJ170+AK170+AL170+AM170)</f>
        <v/>
      </c>
    </row>
    <row r="171">
      <c r="A171">
        <f>Allocation!C171</f>
        <v/>
      </c>
      <c r="B171">
        <f>Allocation!D171</f>
        <v/>
      </c>
      <c r="C171">
        <f>Allocation!E171</f>
        <v/>
      </c>
      <c r="D171">
        <f>Allocation!F171</f>
        <v/>
      </c>
      <c r="E171">
        <f>Allocation!G171</f>
        <v/>
      </c>
      <c r="F171">
        <f>Allocation!H171</f>
        <v/>
      </c>
      <c r="G171">
        <f>Allocation!I171</f>
        <v/>
      </c>
      <c r="H171">
        <f>Allocation!J171</f>
        <v/>
      </c>
      <c r="I171">
        <f>Allocation!K171</f>
        <v/>
      </c>
      <c r="J171">
        <f>SUMIFS(Socle!$K$2:$K$175,Socle!$C$2:$C$175,B171,Socle!$D$2:$D$175,D171,Socle!$E$2:$E$175,E171,Socle!$F$2:$F$175,F171,Socle!$G$2:$G$175,A171)</f>
        <v/>
      </c>
      <c r="K171">
        <f>H171*IF(AND(LEFT(D171,3)="BAC",F171="INIT"),600,IF(LEFT(D171,3)="BAC",480,IF(AND(LEFT(D171,3)="MAS",F171="INIT"),520,IF(LEFT(D171,3)="MAS",420,IF(F171="INIT",1000,700)))))</f>
        <v/>
      </c>
      <c r="L171">
        <f>SUMIFS(Allocation!$I$2:$I$175,Allocation!$C$2:$C$175,A171,Allocation!$D$2:$D$175,B171)</f>
        <v/>
      </c>
      <c r="M171">
        <f>SUMIFS(Allocation!$J$2:$J$175,Allocation!$C$2:$C$175,A171,Allocation!$D$2:$D$175,B171)</f>
        <v/>
      </c>
      <c r="N171">
        <f>SUMIFS(Allocation!$K$2:$K$175,Allocation!$C$2:$C$175,A171,Allocation!$D$2:$D$175,B171)</f>
        <v/>
      </c>
      <c r="O171">
        <f>SUMIFS($K$2:$K$175,$A$2:$A$175,A171,$B$2:$B$175,B171)</f>
        <v/>
      </c>
      <c r="P171">
        <f>SUMIFS($J$2:$J$175,$A$2:$A$175,A171,$B$2:$B$175,B171)</f>
        <v/>
      </c>
      <c r="Q171">
        <f>SUMIFS(Allocation!$I$2:$I$175,Allocation!$C$2:$C$175,A171,Allocation!$E$2:$E$175,C171)</f>
        <v/>
      </c>
      <c r="R171">
        <f>SUMIFS(Allocation!$J$2:$J$175,Allocation!$C$2:$C$175,A171,Allocation!$E$2:$E$175,C171)</f>
        <v/>
      </c>
      <c r="S171">
        <f>SUMIFS(Allocation!$K$2:$K$175,Allocation!$C$2:$C$175,A171,Allocation!$E$2:$E$175,C171)</f>
        <v/>
      </c>
      <c r="T171">
        <f>SUMIFS(Allocation!$I$2:$I$175,Allocation!$C$2:$C$175,A171)</f>
        <v/>
      </c>
      <c r="U171">
        <f>SUMIFS(Allocation!$J$2:$J$175,Allocation!$C$2:$C$175,A171)</f>
        <v/>
      </c>
      <c r="V171">
        <f>SUMIFS(Allocation!$K$2:$K$175,Allocation!$C$2:$C$175,A171)</f>
        <v/>
      </c>
      <c r="W171">
        <f>SUMIFS(Compta!$F$2:$F$675,Compta!$A$2:$A$675,B171,Compta!$B$2:$B$675,"621",Compta!$C$2:$C$675,A171)</f>
        <v/>
      </c>
      <c r="X171">
        <f>SUMIFS(Compta!$F$2:$F$675,Compta!$A$2:$A$675,B171,Compta!$B$2:$B$675,"6411",Compta!$C$2:$C$675,A171)</f>
        <v/>
      </c>
      <c r="Y171">
        <f>SUMIFS(Compta!$F$2:$F$675,Compta!$A$2:$A$675,B171,Compta!$B$2:$B$675,"604",Compta!$C$2:$C$675,A171)+SUMIFS(Compta!$F$2:$F$675,Compta!$A$2:$A$675,B171,Compta!$B$2:$B$675,"6063",Compta!$C$2:$C$675,A171)</f>
        <v/>
      </c>
      <c r="Z171">
        <f>SUMIFS(Compta!$F$2:$F$675,Compta!$A$2:$A$675,B171,Compta!$B$2:$B$675,"6231",Compta!$C$2:$C$675,A171)</f>
        <v/>
      </c>
      <c r="AA171">
        <f>SUMIFS(Compta!$F$2:$F$675,Compta!$A$2:$A$675,B171,Compta!$B$2:$B$675,"6413",Compta!$C$2:$C$675,A171)+SUMIFS(Compta!$F$2:$F$675,Compta!$A$2:$A$675,B171,Compta!$B$2:$B$675,"645",Compta!$C$2:$C$675,A171)+SUMIFS(Compta!$F$2:$F$675,Compta!$A$2:$A$675,B171,Compta!$B$2:$B$675,"613",Compta!$C$2:$C$675,A171)+SUMIFS(Compta!$F$2:$F$675,Compta!$A$2:$A$675,B171,Compta!$B$2:$B$675,"615",Compta!$C$2:$C$675,A171)+SUMIFS(Compta!$F$2:$F$675,Compta!$A$2:$A$675,B171,Compta!$B$2:$B$675,"616",Compta!$C$2:$C$675,A171)+SUMIFS(Compta!$F$2:$F$675,Compta!$A$2:$A$675,B171,Compta!$B$2:$B$675,"625",Compta!$C$2:$C$675,A171)+SUMIFS(Compta!$F$2:$F$675,Compta!$A$2:$A$675,B171,Compta!$B$2:$B$675,"63511",Compta!$C$2:$C$675,A171)</f>
        <v/>
      </c>
      <c r="AB171">
        <f>SUMIFS(Compta!$F$2:$F$675,Compta!$A$2:$A$675,"GRP",Compta!$B$2:$B$675,"6414",Compta!$C$2:$C$675,A171)+SUMIFS(Compta!$F$2:$F$675,Compta!$A$2:$A$675,"GRP",Compta!$B$2:$B$675,"6226",Compta!$C$2:$C$675,A171)+SUMIFS(Compta!$F$2:$F$675,Compta!$A$2:$A$675,"GRP",Compta!$B$2:$B$675,"6236",Compta!$C$2:$C$675,A171)+SUMIFS(Compta!$F$2:$F$675,Compta!$A$2:$A$675,"GRP",Compta!$B$2:$B$675,"626",Compta!$C$2:$C$675,A171)+SUMIFS(Compta!$F$2:$F$675,Compta!$A$2:$A$675,"GRP",Compta!$B$2:$B$675,"6281",Compta!$C$2:$C$675,A171)+SUMIFS(Compta!$F$2:$F$675,Compta!$A$2:$A$675,"GRP",Compta!$B$2:$B$675,"6331",Compta!$C$2:$C$675,A171)+SUMIFS(Compta!$F$2:$F$675,Compta!$A$2:$A$675,"GRP",Compta!$B$2:$B$675,"6333",Compta!$C$2:$C$675,A171)</f>
        <v/>
      </c>
      <c r="AC171">
        <f>IF(Pilotage!$E$10="Chiffre d'affaires",I171,IF(Pilotage!$E$10="Effectif",G171,H171))</f>
        <v/>
      </c>
      <c r="AD171">
        <f>IF(Pilotage!$E$10="Chiffre d'affaires",N171,IF(Pilotage!$E$10="Effectif",L171,M171))</f>
        <v/>
      </c>
      <c r="AE171">
        <f>IF(Pilotage!$E$8="Chiffre d'affaires",N171,IF(Pilotage!$E$8="Effectif",L171,M171))</f>
        <v/>
      </c>
      <c r="AF171">
        <f>IF(Pilotage!$E$8="Chiffre d'affaires",S171,IF(Pilotage!$E$8="Effectif",Q171,R171))</f>
        <v/>
      </c>
      <c r="AG171">
        <f>IF(Pilotage!$E$9="Chiffre d'affaires",S171,IF(Pilotage!$E$9="Effectif",Q171,R171))</f>
        <v/>
      </c>
      <c r="AH171">
        <f>IF(Pilotage!$E$9="Chiffre d'affaires",V171,IF(Pilotage!$E$9="Effectif",T171,U171))</f>
        <v/>
      </c>
      <c r="AI171">
        <f>W171*IFERROR(K171/O171,0)</f>
        <v/>
      </c>
      <c r="AJ171">
        <f>X171*IFERROR(K171/O171,0)</f>
        <v/>
      </c>
      <c r="AK171">
        <f>Y171*IFERROR(G171/L171,0)+Z171*IFERROR(J171/P171,0)</f>
        <v/>
      </c>
      <c r="AL171">
        <f>AA171*IFERROR(AC171/AD171,0)</f>
        <v/>
      </c>
      <c r="AM171">
        <f>AB171*IFERROR(AG171/AH171,0)*IFERROR(AE171/AF171,0)*IFERROR(AC171/AD171,0)</f>
        <v/>
      </c>
      <c r="AN171">
        <f>I171-(AI171+AJ171+AK171+AL171+AM171)</f>
        <v/>
      </c>
    </row>
    <row r="172">
      <c r="A172">
        <f>Allocation!C172</f>
        <v/>
      </c>
      <c r="B172">
        <f>Allocation!D172</f>
        <v/>
      </c>
      <c r="C172">
        <f>Allocation!E172</f>
        <v/>
      </c>
      <c r="D172">
        <f>Allocation!F172</f>
        <v/>
      </c>
      <c r="E172">
        <f>Allocation!G172</f>
        <v/>
      </c>
      <c r="F172">
        <f>Allocation!H172</f>
        <v/>
      </c>
      <c r="G172">
        <f>Allocation!I172</f>
        <v/>
      </c>
      <c r="H172">
        <f>Allocation!J172</f>
        <v/>
      </c>
      <c r="I172">
        <f>Allocation!K172</f>
        <v/>
      </c>
      <c r="J172">
        <f>SUMIFS(Socle!$K$2:$K$175,Socle!$C$2:$C$175,B172,Socle!$D$2:$D$175,D172,Socle!$E$2:$E$175,E172,Socle!$F$2:$F$175,F172,Socle!$G$2:$G$175,A172)</f>
        <v/>
      </c>
      <c r="K172">
        <f>H172*IF(AND(LEFT(D172,3)="BAC",F172="INIT"),600,IF(LEFT(D172,3)="BAC",480,IF(AND(LEFT(D172,3)="MAS",F172="INIT"),520,IF(LEFT(D172,3)="MAS",420,IF(F172="INIT",1000,700)))))</f>
        <v/>
      </c>
      <c r="L172">
        <f>SUMIFS(Allocation!$I$2:$I$175,Allocation!$C$2:$C$175,A172,Allocation!$D$2:$D$175,B172)</f>
        <v/>
      </c>
      <c r="M172">
        <f>SUMIFS(Allocation!$J$2:$J$175,Allocation!$C$2:$C$175,A172,Allocation!$D$2:$D$175,B172)</f>
        <v/>
      </c>
      <c r="N172">
        <f>SUMIFS(Allocation!$K$2:$K$175,Allocation!$C$2:$C$175,A172,Allocation!$D$2:$D$175,B172)</f>
        <v/>
      </c>
      <c r="O172">
        <f>SUMIFS($K$2:$K$175,$A$2:$A$175,A172,$B$2:$B$175,B172)</f>
        <v/>
      </c>
      <c r="P172">
        <f>SUMIFS($J$2:$J$175,$A$2:$A$175,A172,$B$2:$B$175,B172)</f>
        <v/>
      </c>
      <c r="Q172">
        <f>SUMIFS(Allocation!$I$2:$I$175,Allocation!$C$2:$C$175,A172,Allocation!$E$2:$E$175,C172)</f>
        <v/>
      </c>
      <c r="R172">
        <f>SUMIFS(Allocation!$J$2:$J$175,Allocation!$C$2:$C$175,A172,Allocation!$E$2:$E$175,C172)</f>
        <v/>
      </c>
      <c r="S172">
        <f>SUMIFS(Allocation!$K$2:$K$175,Allocation!$C$2:$C$175,A172,Allocation!$E$2:$E$175,C172)</f>
        <v/>
      </c>
      <c r="T172">
        <f>SUMIFS(Allocation!$I$2:$I$175,Allocation!$C$2:$C$175,A172)</f>
        <v/>
      </c>
      <c r="U172">
        <f>SUMIFS(Allocation!$J$2:$J$175,Allocation!$C$2:$C$175,A172)</f>
        <v/>
      </c>
      <c r="V172">
        <f>SUMIFS(Allocation!$K$2:$K$175,Allocation!$C$2:$C$175,A172)</f>
        <v/>
      </c>
      <c r="W172">
        <f>SUMIFS(Compta!$F$2:$F$675,Compta!$A$2:$A$675,B172,Compta!$B$2:$B$675,"621",Compta!$C$2:$C$675,A172)</f>
        <v/>
      </c>
      <c r="X172">
        <f>SUMIFS(Compta!$F$2:$F$675,Compta!$A$2:$A$675,B172,Compta!$B$2:$B$675,"6411",Compta!$C$2:$C$675,A172)</f>
        <v/>
      </c>
      <c r="Y172">
        <f>SUMIFS(Compta!$F$2:$F$675,Compta!$A$2:$A$675,B172,Compta!$B$2:$B$675,"604",Compta!$C$2:$C$675,A172)+SUMIFS(Compta!$F$2:$F$675,Compta!$A$2:$A$675,B172,Compta!$B$2:$B$675,"6063",Compta!$C$2:$C$675,A172)</f>
        <v/>
      </c>
      <c r="Z172">
        <f>SUMIFS(Compta!$F$2:$F$675,Compta!$A$2:$A$675,B172,Compta!$B$2:$B$675,"6231",Compta!$C$2:$C$675,A172)</f>
        <v/>
      </c>
      <c r="AA172">
        <f>SUMIFS(Compta!$F$2:$F$675,Compta!$A$2:$A$675,B172,Compta!$B$2:$B$675,"6413",Compta!$C$2:$C$675,A172)+SUMIFS(Compta!$F$2:$F$675,Compta!$A$2:$A$675,B172,Compta!$B$2:$B$675,"645",Compta!$C$2:$C$675,A172)+SUMIFS(Compta!$F$2:$F$675,Compta!$A$2:$A$675,B172,Compta!$B$2:$B$675,"613",Compta!$C$2:$C$675,A172)+SUMIFS(Compta!$F$2:$F$675,Compta!$A$2:$A$675,B172,Compta!$B$2:$B$675,"615",Compta!$C$2:$C$675,A172)+SUMIFS(Compta!$F$2:$F$675,Compta!$A$2:$A$675,B172,Compta!$B$2:$B$675,"616",Compta!$C$2:$C$675,A172)+SUMIFS(Compta!$F$2:$F$675,Compta!$A$2:$A$675,B172,Compta!$B$2:$B$675,"625",Compta!$C$2:$C$675,A172)+SUMIFS(Compta!$F$2:$F$675,Compta!$A$2:$A$675,B172,Compta!$B$2:$B$675,"63511",Compta!$C$2:$C$675,A172)</f>
        <v/>
      </c>
      <c r="AB172">
        <f>SUMIFS(Compta!$F$2:$F$675,Compta!$A$2:$A$675,"GRP",Compta!$B$2:$B$675,"6414",Compta!$C$2:$C$675,A172)+SUMIFS(Compta!$F$2:$F$675,Compta!$A$2:$A$675,"GRP",Compta!$B$2:$B$675,"6226",Compta!$C$2:$C$675,A172)+SUMIFS(Compta!$F$2:$F$675,Compta!$A$2:$A$675,"GRP",Compta!$B$2:$B$675,"6236",Compta!$C$2:$C$675,A172)+SUMIFS(Compta!$F$2:$F$675,Compta!$A$2:$A$675,"GRP",Compta!$B$2:$B$675,"626",Compta!$C$2:$C$675,A172)+SUMIFS(Compta!$F$2:$F$675,Compta!$A$2:$A$675,"GRP",Compta!$B$2:$B$675,"6281",Compta!$C$2:$C$675,A172)+SUMIFS(Compta!$F$2:$F$675,Compta!$A$2:$A$675,"GRP",Compta!$B$2:$B$675,"6331",Compta!$C$2:$C$675,A172)+SUMIFS(Compta!$F$2:$F$675,Compta!$A$2:$A$675,"GRP",Compta!$B$2:$B$675,"6333",Compta!$C$2:$C$675,A172)</f>
        <v/>
      </c>
      <c r="AC172">
        <f>IF(Pilotage!$E$10="Chiffre d'affaires",I172,IF(Pilotage!$E$10="Effectif",G172,H172))</f>
        <v/>
      </c>
      <c r="AD172">
        <f>IF(Pilotage!$E$10="Chiffre d'affaires",N172,IF(Pilotage!$E$10="Effectif",L172,M172))</f>
        <v/>
      </c>
      <c r="AE172">
        <f>IF(Pilotage!$E$8="Chiffre d'affaires",N172,IF(Pilotage!$E$8="Effectif",L172,M172))</f>
        <v/>
      </c>
      <c r="AF172">
        <f>IF(Pilotage!$E$8="Chiffre d'affaires",S172,IF(Pilotage!$E$8="Effectif",Q172,R172))</f>
        <v/>
      </c>
      <c r="AG172">
        <f>IF(Pilotage!$E$9="Chiffre d'affaires",S172,IF(Pilotage!$E$9="Effectif",Q172,R172))</f>
        <v/>
      </c>
      <c r="AH172">
        <f>IF(Pilotage!$E$9="Chiffre d'affaires",V172,IF(Pilotage!$E$9="Effectif",T172,U172))</f>
        <v/>
      </c>
      <c r="AI172">
        <f>W172*IFERROR(K172/O172,0)</f>
        <v/>
      </c>
      <c r="AJ172">
        <f>X172*IFERROR(K172/O172,0)</f>
        <v/>
      </c>
      <c r="AK172">
        <f>Y172*IFERROR(G172/L172,0)+Z172*IFERROR(J172/P172,0)</f>
        <v/>
      </c>
      <c r="AL172">
        <f>AA172*IFERROR(AC172/AD172,0)</f>
        <v/>
      </c>
      <c r="AM172">
        <f>AB172*IFERROR(AG172/AH172,0)*IFERROR(AE172/AF172,0)*IFERROR(AC172/AD172,0)</f>
        <v/>
      </c>
      <c r="AN172">
        <f>I172-(AI172+AJ172+AK172+AL172+AM172)</f>
        <v/>
      </c>
    </row>
    <row r="173">
      <c r="A173">
        <f>Allocation!C173</f>
        <v/>
      </c>
      <c r="B173">
        <f>Allocation!D173</f>
        <v/>
      </c>
      <c r="C173">
        <f>Allocation!E173</f>
        <v/>
      </c>
      <c r="D173">
        <f>Allocation!F173</f>
        <v/>
      </c>
      <c r="E173">
        <f>Allocation!G173</f>
        <v/>
      </c>
      <c r="F173">
        <f>Allocation!H173</f>
        <v/>
      </c>
      <c r="G173">
        <f>Allocation!I173</f>
        <v/>
      </c>
      <c r="H173">
        <f>Allocation!J173</f>
        <v/>
      </c>
      <c r="I173">
        <f>Allocation!K173</f>
        <v/>
      </c>
      <c r="J173">
        <f>SUMIFS(Socle!$K$2:$K$175,Socle!$C$2:$C$175,B173,Socle!$D$2:$D$175,D173,Socle!$E$2:$E$175,E173,Socle!$F$2:$F$175,F173,Socle!$G$2:$G$175,A173)</f>
        <v/>
      </c>
      <c r="K173">
        <f>H173*IF(AND(LEFT(D173,3)="BAC",F173="INIT"),600,IF(LEFT(D173,3)="BAC",480,IF(AND(LEFT(D173,3)="MAS",F173="INIT"),520,IF(LEFT(D173,3)="MAS",420,IF(F173="INIT",1000,700)))))</f>
        <v/>
      </c>
      <c r="L173">
        <f>SUMIFS(Allocation!$I$2:$I$175,Allocation!$C$2:$C$175,A173,Allocation!$D$2:$D$175,B173)</f>
        <v/>
      </c>
      <c r="M173">
        <f>SUMIFS(Allocation!$J$2:$J$175,Allocation!$C$2:$C$175,A173,Allocation!$D$2:$D$175,B173)</f>
        <v/>
      </c>
      <c r="N173">
        <f>SUMIFS(Allocation!$K$2:$K$175,Allocation!$C$2:$C$175,A173,Allocation!$D$2:$D$175,B173)</f>
        <v/>
      </c>
      <c r="O173">
        <f>SUMIFS($K$2:$K$175,$A$2:$A$175,A173,$B$2:$B$175,B173)</f>
        <v/>
      </c>
      <c r="P173">
        <f>SUMIFS($J$2:$J$175,$A$2:$A$175,A173,$B$2:$B$175,B173)</f>
        <v/>
      </c>
      <c r="Q173">
        <f>SUMIFS(Allocation!$I$2:$I$175,Allocation!$C$2:$C$175,A173,Allocation!$E$2:$E$175,C173)</f>
        <v/>
      </c>
      <c r="R173">
        <f>SUMIFS(Allocation!$J$2:$J$175,Allocation!$C$2:$C$175,A173,Allocation!$E$2:$E$175,C173)</f>
        <v/>
      </c>
      <c r="S173">
        <f>SUMIFS(Allocation!$K$2:$K$175,Allocation!$C$2:$C$175,A173,Allocation!$E$2:$E$175,C173)</f>
        <v/>
      </c>
      <c r="T173">
        <f>SUMIFS(Allocation!$I$2:$I$175,Allocation!$C$2:$C$175,A173)</f>
        <v/>
      </c>
      <c r="U173">
        <f>SUMIFS(Allocation!$J$2:$J$175,Allocation!$C$2:$C$175,A173)</f>
        <v/>
      </c>
      <c r="V173">
        <f>SUMIFS(Allocation!$K$2:$K$175,Allocation!$C$2:$C$175,A173)</f>
        <v/>
      </c>
      <c r="W173">
        <f>SUMIFS(Compta!$F$2:$F$675,Compta!$A$2:$A$675,B173,Compta!$B$2:$B$675,"621",Compta!$C$2:$C$675,A173)</f>
        <v/>
      </c>
      <c r="X173">
        <f>SUMIFS(Compta!$F$2:$F$675,Compta!$A$2:$A$675,B173,Compta!$B$2:$B$675,"6411",Compta!$C$2:$C$675,A173)</f>
        <v/>
      </c>
      <c r="Y173">
        <f>SUMIFS(Compta!$F$2:$F$675,Compta!$A$2:$A$675,B173,Compta!$B$2:$B$675,"604",Compta!$C$2:$C$675,A173)+SUMIFS(Compta!$F$2:$F$675,Compta!$A$2:$A$675,B173,Compta!$B$2:$B$675,"6063",Compta!$C$2:$C$675,A173)</f>
        <v/>
      </c>
      <c r="Z173">
        <f>SUMIFS(Compta!$F$2:$F$675,Compta!$A$2:$A$675,B173,Compta!$B$2:$B$675,"6231",Compta!$C$2:$C$675,A173)</f>
        <v/>
      </c>
      <c r="AA173">
        <f>SUMIFS(Compta!$F$2:$F$675,Compta!$A$2:$A$675,B173,Compta!$B$2:$B$675,"6413",Compta!$C$2:$C$675,A173)+SUMIFS(Compta!$F$2:$F$675,Compta!$A$2:$A$675,B173,Compta!$B$2:$B$675,"645",Compta!$C$2:$C$675,A173)+SUMIFS(Compta!$F$2:$F$675,Compta!$A$2:$A$675,B173,Compta!$B$2:$B$675,"613",Compta!$C$2:$C$675,A173)+SUMIFS(Compta!$F$2:$F$675,Compta!$A$2:$A$675,B173,Compta!$B$2:$B$675,"615",Compta!$C$2:$C$675,A173)+SUMIFS(Compta!$F$2:$F$675,Compta!$A$2:$A$675,B173,Compta!$B$2:$B$675,"616",Compta!$C$2:$C$675,A173)+SUMIFS(Compta!$F$2:$F$675,Compta!$A$2:$A$675,B173,Compta!$B$2:$B$675,"625",Compta!$C$2:$C$675,A173)+SUMIFS(Compta!$F$2:$F$675,Compta!$A$2:$A$675,B173,Compta!$B$2:$B$675,"63511",Compta!$C$2:$C$675,A173)</f>
        <v/>
      </c>
      <c r="AB173">
        <f>SUMIFS(Compta!$F$2:$F$675,Compta!$A$2:$A$675,"GRP",Compta!$B$2:$B$675,"6414",Compta!$C$2:$C$675,A173)+SUMIFS(Compta!$F$2:$F$675,Compta!$A$2:$A$675,"GRP",Compta!$B$2:$B$675,"6226",Compta!$C$2:$C$675,A173)+SUMIFS(Compta!$F$2:$F$675,Compta!$A$2:$A$675,"GRP",Compta!$B$2:$B$675,"6236",Compta!$C$2:$C$675,A173)+SUMIFS(Compta!$F$2:$F$675,Compta!$A$2:$A$675,"GRP",Compta!$B$2:$B$675,"626",Compta!$C$2:$C$675,A173)+SUMIFS(Compta!$F$2:$F$675,Compta!$A$2:$A$675,"GRP",Compta!$B$2:$B$675,"6281",Compta!$C$2:$C$675,A173)+SUMIFS(Compta!$F$2:$F$675,Compta!$A$2:$A$675,"GRP",Compta!$B$2:$B$675,"6331",Compta!$C$2:$C$675,A173)+SUMIFS(Compta!$F$2:$F$675,Compta!$A$2:$A$675,"GRP",Compta!$B$2:$B$675,"6333",Compta!$C$2:$C$675,A173)</f>
        <v/>
      </c>
      <c r="AC173">
        <f>IF(Pilotage!$E$10="Chiffre d'affaires",I173,IF(Pilotage!$E$10="Effectif",G173,H173))</f>
        <v/>
      </c>
      <c r="AD173">
        <f>IF(Pilotage!$E$10="Chiffre d'affaires",N173,IF(Pilotage!$E$10="Effectif",L173,M173))</f>
        <v/>
      </c>
      <c r="AE173">
        <f>IF(Pilotage!$E$8="Chiffre d'affaires",N173,IF(Pilotage!$E$8="Effectif",L173,M173))</f>
        <v/>
      </c>
      <c r="AF173">
        <f>IF(Pilotage!$E$8="Chiffre d'affaires",S173,IF(Pilotage!$E$8="Effectif",Q173,R173))</f>
        <v/>
      </c>
      <c r="AG173">
        <f>IF(Pilotage!$E$9="Chiffre d'affaires",S173,IF(Pilotage!$E$9="Effectif",Q173,R173))</f>
        <v/>
      </c>
      <c r="AH173">
        <f>IF(Pilotage!$E$9="Chiffre d'affaires",V173,IF(Pilotage!$E$9="Effectif",T173,U173))</f>
        <v/>
      </c>
      <c r="AI173">
        <f>W173*IFERROR(K173/O173,0)</f>
        <v/>
      </c>
      <c r="AJ173">
        <f>X173*IFERROR(K173/O173,0)</f>
        <v/>
      </c>
      <c r="AK173">
        <f>Y173*IFERROR(G173/L173,0)+Z173*IFERROR(J173/P173,0)</f>
        <v/>
      </c>
      <c r="AL173">
        <f>AA173*IFERROR(AC173/AD173,0)</f>
        <v/>
      </c>
      <c r="AM173">
        <f>AB173*IFERROR(AG173/AH173,0)*IFERROR(AE173/AF173,0)*IFERROR(AC173/AD173,0)</f>
        <v/>
      </c>
      <c r="AN173">
        <f>I173-(AI173+AJ173+AK173+AL173+AM173)</f>
        <v/>
      </c>
    </row>
    <row r="174">
      <c r="A174">
        <f>Allocation!C174</f>
        <v/>
      </c>
      <c r="B174">
        <f>Allocation!D174</f>
        <v/>
      </c>
      <c r="C174">
        <f>Allocation!E174</f>
        <v/>
      </c>
      <c r="D174">
        <f>Allocation!F174</f>
        <v/>
      </c>
      <c r="E174">
        <f>Allocation!G174</f>
        <v/>
      </c>
      <c r="F174">
        <f>Allocation!H174</f>
        <v/>
      </c>
      <c r="G174">
        <f>Allocation!I174</f>
        <v/>
      </c>
      <c r="H174">
        <f>Allocation!J174</f>
        <v/>
      </c>
      <c r="I174">
        <f>Allocation!K174</f>
        <v/>
      </c>
      <c r="J174">
        <f>SUMIFS(Socle!$K$2:$K$175,Socle!$C$2:$C$175,B174,Socle!$D$2:$D$175,D174,Socle!$E$2:$E$175,E174,Socle!$F$2:$F$175,F174,Socle!$G$2:$G$175,A174)</f>
        <v/>
      </c>
      <c r="K174">
        <f>H174*IF(AND(LEFT(D174,3)="BAC",F174="INIT"),600,IF(LEFT(D174,3)="BAC",480,IF(AND(LEFT(D174,3)="MAS",F174="INIT"),520,IF(LEFT(D174,3)="MAS",420,IF(F174="INIT",1000,700)))))</f>
        <v/>
      </c>
      <c r="L174">
        <f>SUMIFS(Allocation!$I$2:$I$175,Allocation!$C$2:$C$175,A174,Allocation!$D$2:$D$175,B174)</f>
        <v/>
      </c>
      <c r="M174">
        <f>SUMIFS(Allocation!$J$2:$J$175,Allocation!$C$2:$C$175,A174,Allocation!$D$2:$D$175,B174)</f>
        <v/>
      </c>
      <c r="N174">
        <f>SUMIFS(Allocation!$K$2:$K$175,Allocation!$C$2:$C$175,A174,Allocation!$D$2:$D$175,B174)</f>
        <v/>
      </c>
      <c r="O174">
        <f>SUMIFS($K$2:$K$175,$A$2:$A$175,A174,$B$2:$B$175,B174)</f>
        <v/>
      </c>
      <c r="P174">
        <f>SUMIFS($J$2:$J$175,$A$2:$A$175,A174,$B$2:$B$175,B174)</f>
        <v/>
      </c>
      <c r="Q174">
        <f>SUMIFS(Allocation!$I$2:$I$175,Allocation!$C$2:$C$175,A174,Allocation!$E$2:$E$175,C174)</f>
        <v/>
      </c>
      <c r="R174">
        <f>SUMIFS(Allocation!$J$2:$J$175,Allocation!$C$2:$C$175,A174,Allocation!$E$2:$E$175,C174)</f>
        <v/>
      </c>
      <c r="S174">
        <f>SUMIFS(Allocation!$K$2:$K$175,Allocation!$C$2:$C$175,A174,Allocation!$E$2:$E$175,C174)</f>
        <v/>
      </c>
      <c r="T174">
        <f>SUMIFS(Allocation!$I$2:$I$175,Allocation!$C$2:$C$175,A174)</f>
        <v/>
      </c>
      <c r="U174">
        <f>SUMIFS(Allocation!$J$2:$J$175,Allocation!$C$2:$C$175,A174)</f>
        <v/>
      </c>
      <c r="V174">
        <f>SUMIFS(Allocation!$K$2:$K$175,Allocation!$C$2:$C$175,A174)</f>
        <v/>
      </c>
      <c r="W174">
        <f>SUMIFS(Compta!$F$2:$F$675,Compta!$A$2:$A$675,B174,Compta!$B$2:$B$675,"621",Compta!$C$2:$C$675,A174)</f>
        <v/>
      </c>
      <c r="X174">
        <f>SUMIFS(Compta!$F$2:$F$675,Compta!$A$2:$A$675,B174,Compta!$B$2:$B$675,"6411",Compta!$C$2:$C$675,A174)</f>
        <v/>
      </c>
      <c r="Y174">
        <f>SUMIFS(Compta!$F$2:$F$675,Compta!$A$2:$A$675,B174,Compta!$B$2:$B$675,"604",Compta!$C$2:$C$675,A174)+SUMIFS(Compta!$F$2:$F$675,Compta!$A$2:$A$675,B174,Compta!$B$2:$B$675,"6063",Compta!$C$2:$C$675,A174)</f>
        <v/>
      </c>
      <c r="Z174">
        <f>SUMIFS(Compta!$F$2:$F$675,Compta!$A$2:$A$675,B174,Compta!$B$2:$B$675,"6231",Compta!$C$2:$C$675,A174)</f>
        <v/>
      </c>
      <c r="AA174">
        <f>SUMIFS(Compta!$F$2:$F$675,Compta!$A$2:$A$675,B174,Compta!$B$2:$B$675,"6413",Compta!$C$2:$C$675,A174)+SUMIFS(Compta!$F$2:$F$675,Compta!$A$2:$A$675,B174,Compta!$B$2:$B$675,"645",Compta!$C$2:$C$675,A174)+SUMIFS(Compta!$F$2:$F$675,Compta!$A$2:$A$675,B174,Compta!$B$2:$B$675,"613",Compta!$C$2:$C$675,A174)+SUMIFS(Compta!$F$2:$F$675,Compta!$A$2:$A$675,B174,Compta!$B$2:$B$675,"615",Compta!$C$2:$C$675,A174)+SUMIFS(Compta!$F$2:$F$675,Compta!$A$2:$A$675,B174,Compta!$B$2:$B$675,"616",Compta!$C$2:$C$675,A174)+SUMIFS(Compta!$F$2:$F$675,Compta!$A$2:$A$675,B174,Compta!$B$2:$B$675,"625",Compta!$C$2:$C$675,A174)+SUMIFS(Compta!$F$2:$F$675,Compta!$A$2:$A$675,B174,Compta!$B$2:$B$675,"63511",Compta!$C$2:$C$675,A174)</f>
        <v/>
      </c>
      <c r="AB174">
        <f>SUMIFS(Compta!$F$2:$F$675,Compta!$A$2:$A$675,"GRP",Compta!$B$2:$B$675,"6414",Compta!$C$2:$C$675,A174)+SUMIFS(Compta!$F$2:$F$675,Compta!$A$2:$A$675,"GRP",Compta!$B$2:$B$675,"6226",Compta!$C$2:$C$675,A174)+SUMIFS(Compta!$F$2:$F$675,Compta!$A$2:$A$675,"GRP",Compta!$B$2:$B$675,"6236",Compta!$C$2:$C$675,A174)+SUMIFS(Compta!$F$2:$F$675,Compta!$A$2:$A$675,"GRP",Compta!$B$2:$B$675,"626",Compta!$C$2:$C$675,A174)+SUMIFS(Compta!$F$2:$F$675,Compta!$A$2:$A$675,"GRP",Compta!$B$2:$B$675,"6281",Compta!$C$2:$C$675,A174)+SUMIFS(Compta!$F$2:$F$675,Compta!$A$2:$A$675,"GRP",Compta!$B$2:$B$675,"6331",Compta!$C$2:$C$675,A174)+SUMIFS(Compta!$F$2:$F$675,Compta!$A$2:$A$675,"GRP",Compta!$B$2:$B$675,"6333",Compta!$C$2:$C$675,A174)</f>
        <v/>
      </c>
      <c r="AC174">
        <f>IF(Pilotage!$E$10="Chiffre d'affaires",I174,IF(Pilotage!$E$10="Effectif",G174,H174))</f>
        <v/>
      </c>
      <c r="AD174">
        <f>IF(Pilotage!$E$10="Chiffre d'affaires",N174,IF(Pilotage!$E$10="Effectif",L174,M174))</f>
        <v/>
      </c>
      <c r="AE174">
        <f>IF(Pilotage!$E$8="Chiffre d'affaires",N174,IF(Pilotage!$E$8="Effectif",L174,M174))</f>
        <v/>
      </c>
      <c r="AF174">
        <f>IF(Pilotage!$E$8="Chiffre d'affaires",S174,IF(Pilotage!$E$8="Effectif",Q174,R174))</f>
        <v/>
      </c>
      <c r="AG174">
        <f>IF(Pilotage!$E$9="Chiffre d'affaires",S174,IF(Pilotage!$E$9="Effectif",Q174,R174))</f>
        <v/>
      </c>
      <c r="AH174">
        <f>IF(Pilotage!$E$9="Chiffre d'affaires",V174,IF(Pilotage!$E$9="Effectif",T174,U174))</f>
        <v/>
      </c>
      <c r="AI174">
        <f>W174*IFERROR(K174/O174,0)</f>
        <v/>
      </c>
      <c r="AJ174">
        <f>X174*IFERROR(K174/O174,0)</f>
        <v/>
      </c>
      <c r="AK174">
        <f>Y174*IFERROR(G174/L174,0)+Z174*IFERROR(J174/P174,0)</f>
        <v/>
      </c>
      <c r="AL174">
        <f>AA174*IFERROR(AC174/AD174,0)</f>
        <v/>
      </c>
      <c r="AM174">
        <f>AB174*IFERROR(AG174/AH174,0)*IFERROR(AE174/AF174,0)*IFERROR(AC174/AD174,0)</f>
        <v/>
      </c>
      <c r="AN174">
        <f>I174-(AI174+AJ174+AK174+AL174+AM174)</f>
        <v/>
      </c>
    </row>
    <row r="175">
      <c r="A175">
        <f>Allocation!C175</f>
        <v/>
      </c>
      <c r="B175">
        <f>Allocation!D175</f>
        <v/>
      </c>
      <c r="C175">
        <f>Allocation!E175</f>
        <v/>
      </c>
      <c r="D175">
        <f>Allocation!F175</f>
        <v/>
      </c>
      <c r="E175">
        <f>Allocation!G175</f>
        <v/>
      </c>
      <c r="F175">
        <f>Allocation!H175</f>
        <v/>
      </c>
      <c r="G175">
        <f>Allocation!I175</f>
        <v/>
      </c>
      <c r="H175">
        <f>Allocation!J175</f>
        <v/>
      </c>
      <c r="I175">
        <f>Allocation!K175</f>
        <v/>
      </c>
      <c r="J175">
        <f>SUMIFS(Socle!$K$2:$K$175,Socle!$C$2:$C$175,B175,Socle!$D$2:$D$175,D175,Socle!$E$2:$E$175,E175,Socle!$F$2:$F$175,F175,Socle!$G$2:$G$175,A175)</f>
        <v/>
      </c>
      <c r="K175">
        <f>H175*IF(AND(LEFT(D175,3)="BAC",F175="INIT"),600,IF(LEFT(D175,3)="BAC",480,IF(AND(LEFT(D175,3)="MAS",F175="INIT"),520,IF(LEFT(D175,3)="MAS",420,IF(F175="INIT",1000,700)))))</f>
        <v/>
      </c>
      <c r="L175">
        <f>SUMIFS(Allocation!$I$2:$I$175,Allocation!$C$2:$C$175,A175,Allocation!$D$2:$D$175,B175)</f>
        <v/>
      </c>
      <c r="M175">
        <f>SUMIFS(Allocation!$J$2:$J$175,Allocation!$C$2:$C$175,A175,Allocation!$D$2:$D$175,B175)</f>
        <v/>
      </c>
      <c r="N175">
        <f>SUMIFS(Allocation!$K$2:$K$175,Allocation!$C$2:$C$175,A175,Allocation!$D$2:$D$175,B175)</f>
        <v/>
      </c>
      <c r="O175">
        <f>SUMIFS($K$2:$K$175,$A$2:$A$175,A175,$B$2:$B$175,B175)</f>
        <v/>
      </c>
      <c r="P175">
        <f>SUMIFS($J$2:$J$175,$A$2:$A$175,A175,$B$2:$B$175,B175)</f>
        <v/>
      </c>
      <c r="Q175">
        <f>SUMIFS(Allocation!$I$2:$I$175,Allocation!$C$2:$C$175,A175,Allocation!$E$2:$E$175,C175)</f>
        <v/>
      </c>
      <c r="R175">
        <f>SUMIFS(Allocation!$J$2:$J$175,Allocation!$C$2:$C$175,A175,Allocation!$E$2:$E$175,C175)</f>
        <v/>
      </c>
      <c r="S175">
        <f>SUMIFS(Allocation!$K$2:$K$175,Allocation!$C$2:$C$175,A175,Allocation!$E$2:$E$175,C175)</f>
        <v/>
      </c>
      <c r="T175">
        <f>SUMIFS(Allocation!$I$2:$I$175,Allocation!$C$2:$C$175,A175)</f>
        <v/>
      </c>
      <c r="U175">
        <f>SUMIFS(Allocation!$J$2:$J$175,Allocation!$C$2:$C$175,A175)</f>
        <v/>
      </c>
      <c r="V175">
        <f>SUMIFS(Allocation!$K$2:$K$175,Allocation!$C$2:$C$175,A175)</f>
        <v/>
      </c>
      <c r="W175">
        <f>SUMIFS(Compta!$F$2:$F$675,Compta!$A$2:$A$675,B175,Compta!$B$2:$B$675,"621",Compta!$C$2:$C$675,A175)</f>
        <v/>
      </c>
      <c r="X175">
        <f>SUMIFS(Compta!$F$2:$F$675,Compta!$A$2:$A$675,B175,Compta!$B$2:$B$675,"6411",Compta!$C$2:$C$675,A175)</f>
        <v/>
      </c>
      <c r="Y175">
        <f>SUMIFS(Compta!$F$2:$F$675,Compta!$A$2:$A$675,B175,Compta!$B$2:$B$675,"604",Compta!$C$2:$C$675,A175)+SUMIFS(Compta!$F$2:$F$675,Compta!$A$2:$A$675,B175,Compta!$B$2:$B$675,"6063",Compta!$C$2:$C$675,A175)</f>
        <v/>
      </c>
      <c r="Z175">
        <f>SUMIFS(Compta!$F$2:$F$675,Compta!$A$2:$A$675,B175,Compta!$B$2:$B$675,"6231",Compta!$C$2:$C$675,A175)</f>
        <v/>
      </c>
      <c r="AA175">
        <f>SUMIFS(Compta!$F$2:$F$675,Compta!$A$2:$A$675,B175,Compta!$B$2:$B$675,"6413",Compta!$C$2:$C$675,A175)+SUMIFS(Compta!$F$2:$F$675,Compta!$A$2:$A$675,B175,Compta!$B$2:$B$675,"645",Compta!$C$2:$C$675,A175)+SUMIFS(Compta!$F$2:$F$675,Compta!$A$2:$A$675,B175,Compta!$B$2:$B$675,"613",Compta!$C$2:$C$675,A175)+SUMIFS(Compta!$F$2:$F$675,Compta!$A$2:$A$675,B175,Compta!$B$2:$B$675,"615",Compta!$C$2:$C$675,A175)+SUMIFS(Compta!$F$2:$F$675,Compta!$A$2:$A$675,B175,Compta!$B$2:$B$675,"616",Compta!$C$2:$C$675,A175)+SUMIFS(Compta!$F$2:$F$675,Compta!$A$2:$A$675,B175,Compta!$B$2:$B$675,"625",Compta!$C$2:$C$675,A175)+SUMIFS(Compta!$F$2:$F$675,Compta!$A$2:$A$675,B175,Compta!$B$2:$B$675,"63511",Compta!$C$2:$C$675,A175)</f>
        <v/>
      </c>
      <c r="AB175">
        <f>SUMIFS(Compta!$F$2:$F$675,Compta!$A$2:$A$675,"GRP",Compta!$B$2:$B$675,"6414",Compta!$C$2:$C$675,A175)+SUMIFS(Compta!$F$2:$F$675,Compta!$A$2:$A$675,"GRP",Compta!$B$2:$B$675,"6226",Compta!$C$2:$C$675,A175)+SUMIFS(Compta!$F$2:$F$675,Compta!$A$2:$A$675,"GRP",Compta!$B$2:$B$675,"6236",Compta!$C$2:$C$675,A175)+SUMIFS(Compta!$F$2:$F$675,Compta!$A$2:$A$675,"GRP",Compta!$B$2:$B$675,"626",Compta!$C$2:$C$675,A175)+SUMIFS(Compta!$F$2:$F$675,Compta!$A$2:$A$675,"GRP",Compta!$B$2:$B$675,"6281",Compta!$C$2:$C$675,A175)+SUMIFS(Compta!$F$2:$F$675,Compta!$A$2:$A$675,"GRP",Compta!$B$2:$B$675,"6331",Compta!$C$2:$C$675,A175)+SUMIFS(Compta!$F$2:$F$675,Compta!$A$2:$A$675,"GRP",Compta!$B$2:$B$675,"6333",Compta!$C$2:$C$675,A175)</f>
        <v/>
      </c>
      <c r="AC175">
        <f>IF(Pilotage!$E$10="Chiffre d'affaires",I175,IF(Pilotage!$E$10="Effectif",G175,H175))</f>
        <v/>
      </c>
      <c r="AD175">
        <f>IF(Pilotage!$E$10="Chiffre d'affaires",N175,IF(Pilotage!$E$10="Effectif",L175,M175))</f>
        <v/>
      </c>
      <c r="AE175">
        <f>IF(Pilotage!$E$8="Chiffre d'affaires",N175,IF(Pilotage!$E$8="Effectif",L175,M175))</f>
        <v/>
      </c>
      <c r="AF175">
        <f>IF(Pilotage!$E$8="Chiffre d'affaires",S175,IF(Pilotage!$E$8="Effectif",Q175,R175))</f>
        <v/>
      </c>
      <c r="AG175">
        <f>IF(Pilotage!$E$9="Chiffre d'affaires",S175,IF(Pilotage!$E$9="Effectif",Q175,R175))</f>
        <v/>
      </c>
      <c r="AH175">
        <f>IF(Pilotage!$E$9="Chiffre d'affaires",V175,IF(Pilotage!$E$9="Effectif",T175,U175))</f>
        <v/>
      </c>
      <c r="AI175">
        <f>W175*IFERROR(K175/O175,0)</f>
        <v/>
      </c>
      <c r="AJ175">
        <f>X175*IFERROR(K175/O175,0)</f>
        <v/>
      </c>
      <c r="AK175">
        <f>Y175*IFERROR(G175/L175,0)+Z175*IFERROR(J175/P175,0)</f>
        <v/>
      </c>
      <c r="AL175">
        <f>AA175*IFERROR(AC175/AD175,0)</f>
        <v/>
      </c>
      <c r="AM175">
        <f>AB175*IFERROR(AG175/AH175,0)*IFERROR(AE175/AF175,0)*IFERROR(AC175/AD175,0)</f>
        <v/>
      </c>
      <c r="AN175">
        <f>I175-(AI175+AJ175+AK175+AL175+AM175)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Saad El meziati</dc:creator>
  <dcterms:created xsi:type="dcterms:W3CDTF">2026-08-19T10:07:49Z</dcterms:created>
  <dcterms:modified xsi:type="dcterms:W3CDTF">2026-08-20T13:50:30Z</dcterms:modified>
  <cp:lastModifiedBy>Saad El meziati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TGK_DBID" fmtid="{D5CDD505-2E9C-101B-9397-08002B2CF9AE}" pid="2">
    <vt:lpwstr>TGK_HANASTD_01</vt:lpwstr>
  </property>
  <property name="TGK_VERSION" fmtid="{D5CDD505-2E9C-101B-9397-08002B2CF9AE}" pid="3">
    <vt:lpwstr>35.0.0.6.tgk.20260209140819</vt:lpwstr>
  </property>
  <property name="TGK_DOCID" fmtid="{D5CDD505-2E9C-101B-9397-08002B2CF9AE}" pid="4">
    <vt:lpwstr>b325463a-03dc-4ed6-91d5-572ea3b55b82</vt:lpwstr>
  </property>
  <property name="TGK_STATUS" fmtid="{D5CDD505-2E9C-101B-9397-08002B2CF9AE}" pid="5">
    <vt:lpwstr>DB_NAV</vt:lpwstr>
  </property>
  <property name="TGK_HIDDEN_RC" fmtid="{D5CDD505-2E9C-101B-9397-08002B2CF9AE}" pid="6">
    <vt:lpwstr>{4F1B167D-9C83-445F-9D45-877029AA0BE5}</vt:lpwstr>
  </property>
  <property name="TGK_CUSTOM_XML" fmtid="{D5CDD505-2E9C-101B-9397-08002B2CF9AE}" pid="7">
    <vt:lpwstr>{18C6C65B-B072-493B-BE9B-DA144AB8BE1F}</vt:lpwstr>
  </property>
</Properties>
</file>