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lconsultingcom-my.sharepoint.com/personal/s_elmeziati_neomind-advisory_com/Documents/Bureau/Masques EDU/"/>
    </mc:Choice>
  </mc:AlternateContent>
  <xr:revisionPtr revIDLastSave="0" documentId="8_{8ED79887-FFA4-4E42-887A-D16A4DB3569A}" xr6:coauthVersionLast="47" xr6:coauthVersionMax="47" xr10:uidLastSave="{00000000-0000-0000-0000-000000000000}"/>
  <bookViews>
    <workbookView xWindow="-98" yWindow="-98" windowWidth="21795" windowHeight="12975" tabRatio="1000" xr2:uid="{8B79C2BB-407D-4FA4-9397-53DB8E009D54}"/>
  </bookViews>
  <sheets>
    <sheet name="ALLOC" sheetId="14" r:id="rId1"/>
    <sheet name="Allocation2" sheetId="4" r:id="rId2"/>
    <sheet name="_CALC_ALLOC" sheetId="17" r:id="rId3"/>
  </sheets>
  <definedNames>
    <definedName name="ALLOC_BRAND_CAMP">ALLOC!$C$8</definedName>
    <definedName name="ALLOC_CAMP_CLASS">ALLOC!$C$9</definedName>
    <definedName name="ALLOC_GRP_BRAND">ALLOC!$C$6</definedName>
    <definedName name="ALLOC_GRP_MARQUE">ALLOC!$C$7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8" i="14" l="1"/>
  <c r="A2" i="17"/>
  <c r="B2" i="17"/>
  <c r="C2" i="17"/>
  <c r="D2" i="17"/>
  <c r="E2" i="17"/>
  <c r="F2" i="17"/>
  <c r="G2" i="17"/>
  <c r="H2" i="17"/>
  <c r="I2" i="17"/>
  <c r="J2" i="17"/>
  <c r="A3" i="17"/>
  <c r="B3" i="17"/>
  <c r="G3" i="17"/>
  <c r="A4" i="17"/>
  <c r="T138" i="17" s="1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AC83" i="17" s="1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AC122" i="17" s="1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AC138" i="17" s="1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A5" i="17"/>
  <c r="A6" i="17"/>
  <c r="W6" i="17" s="1"/>
  <c r="A7" i="17"/>
  <c r="A8" i="17"/>
  <c r="A9" i="17"/>
  <c r="A10" i="17"/>
  <c r="A11" i="17"/>
  <c r="A12" i="17"/>
  <c r="A13" i="17"/>
  <c r="AO13" i="17" s="1"/>
  <c r="A14" i="17"/>
  <c r="K14" i="17" s="1"/>
  <c r="A15" i="17"/>
  <c r="A16" i="17"/>
  <c r="A17" i="17"/>
  <c r="M148" i="17" s="1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O39" i="17" s="1"/>
  <c r="A40" i="17"/>
  <c r="A41" i="17"/>
  <c r="A42" i="17"/>
  <c r="A43" i="17"/>
  <c r="A44" i="17"/>
  <c r="A45" i="17"/>
  <c r="A46" i="17"/>
  <c r="A47" i="17"/>
  <c r="A48" i="17"/>
  <c r="A49" i="17"/>
  <c r="M49" i="17" s="1"/>
  <c r="A50" i="17"/>
  <c r="A51" i="17"/>
  <c r="A52" i="17"/>
  <c r="A53" i="17"/>
  <c r="A54" i="17"/>
  <c r="A55" i="17"/>
  <c r="A56" i="17"/>
  <c r="A57" i="17"/>
  <c r="A58" i="17"/>
  <c r="A59" i="17"/>
  <c r="A60" i="17"/>
  <c r="A61" i="17"/>
  <c r="A62" i="17"/>
  <c r="A63" i="17"/>
  <c r="K63" i="17" s="1"/>
  <c r="A64" i="17"/>
  <c r="A65" i="17"/>
  <c r="A66" i="17"/>
  <c r="A67" i="17"/>
  <c r="A68" i="17"/>
  <c r="A69" i="17"/>
  <c r="A70" i="17"/>
  <c r="A71" i="17"/>
  <c r="A72" i="17"/>
  <c r="A73" i="17"/>
  <c r="A74" i="17"/>
  <c r="A75" i="17"/>
  <c r="A76" i="17"/>
  <c r="A77" i="17"/>
  <c r="AO77" i="17" s="1"/>
  <c r="A78" i="17"/>
  <c r="A79" i="17"/>
  <c r="AB79" i="17" s="1"/>
  <c r="A80" i="17"/>
  <c r="AC80" i="17" s="1"/>
  <c r="A81" i="17"/>
  <c r="A82" i="17"/>
  <c r="A83" i="17"/>
  <c r="A84" i="17"/>
  <c r="A85" i="17"/>
  <c r="A86" i="17"/>
  <c r="A87" i="17"/>
  <c r="AB87" i="17" s="1"/>
  <c r="A88" i="17"/>
  <c r="J88" i="17" s="1"/>
  <c r="A89" i="17"/>
  <c r="A90" i="17"/>
  <c r="A91" i="17"/>
  <c r="A92" i="17"/>
  <c r="A93" i="17"/>
  <c r="A94" i="17"/>
  <c r="A95" i="17"/>
  <c r="A96" i="17"/>
  <c r="Z96" i="17" s="1"/>
  <c r="A97" i="17"/>
  <c r="AO97" i="17" s="1"/>
  <c r="A98" i="17"/>
  <c r="A99" i="17"/>
  <c r="A100" i="17"/>
  <c r="A101" i="17"/>
  <c r="A102" i="17"/>
  <c r="A103" i="17"/>
  <c r="J103" i="17" s="1"/>
  <c r="A104" i="17"/>
  <c r="A105" i="17"/>
  <c r="A106" i="17"/>
  <c r="A107" i="17"/>
  <c r="A108" i="17"/>
  <c r="AO108" i="17" s="1"/>
  <c r="A109" i="17"/>
  <c r="A110" i="17"/>
  <c r="A111" i="17"/>
  <c r="A112" i="17"/>
  <c r="AA112" i="17" s="1"/>
  <c r="A113" i="17"/>
  <c r="W113" i="17" s="1"/>
  <c r="A114" i="17"/>
  <c r="A115" i="17"/>
  <c r="A116" i="17"/>
  <c r="A117" i="17"/>
  <c r="A118" i="17"/>
  <c r="AO118" i="17" s="1"/>
  <c r="A119" i="17"/>
  <c r="K119" i="17" s="1"/>
  <c r="A120" i="17"/>
  <c r="W120" i="17" s="1"/>
  <c r="A121" i="17"/>
  <c r="A122" i="17"/>
  <c r="A123" i="17"/>
  <c r="A124" i="17"/>
  <c r="A125" i="17"/>
  <c r="A126" i="17"/>
  <c r="A127" i="17"/>
  <c r="R127" i="17" s="1"/>
  <c r="A128" i="17"/>
  <c r="A129" i="17"/>
  <c r="J129" i="17" s="1"/>
  <c r="A130" i="17"/>
  <c r="A131" i="17"/>
  <c r="A132" i="17"/>
  <c r="A133" i="17"/>
  <c r="W133" i="17" s="1"/>
  <c r="A134" i="17"/>
  <c r="A135" i="17"/>
  <c r="J135" i="17" s="1"/>
  <c r="A136" i="17"/>
  <c r="Q136" i="17" s="1"/>
  <c r="A137" i="17"/>
  <c r="Y137" i="17" s="1"/>
  <c r="A138" i="17"/>
  <c r="A139" i="17"/>
  <c r="A140" i="17"/>
  <c r="A141" i="17"/>
  <c r="A142" i="17"/>
  <c r="A143" i="17"/>
  <c r="W143" i="17" s="1"/>
  <c r="A144" i="17"/>
  <c r="Y144" i="17" s="1"/>
  <c r="A145" i="17"/>
  <c r="A146" i="17"/>
  <c r="A147" i="17"/>
  <c r="A148" i="17"/>
  <c r="A149" i="17"/>
  <c r="A150" i="17"/>
  <c r="A151" i="17"/>
  <c r="A152" i="17"/>
  <c r="A153" i="17"/>
  <c r="A154" i="17"/>
  <c r="A155" i="17"/>
  <c r="A156" i="17"/>
  <c r="A157" i="17"/>
  <c r="A158" i="17"/>
  <c r="A159" i="17"/>
  <c r="A160" i="17"/>
  <c r="AA160" i="17" s="1"/>
  <c r="A161" i="17"/>
  <c r="A162" i="17"/>
  <c r="A163" i="17"/>
  <c r="A164" i="17"/>
  <c r="A165" i="17"/>
  <c r="A166" i="17"/>
  <c r="AA166" i="17" s="1"/>
  <c r="A167" i="17"/>
  <c r="K167" i="17" s="1"/>
  <c r="A168" i="17"/>
  <c r="J168" i="17" s="1"/>
  <c r="A169" i="17"/>
  <c r="Y169" i="17" s="1"/>
  <c r="A170" i="17"/>
  <c r="A171" i="17"/>
  <c r="A172" i="17"/>
  <c r="AO172" i="17" s="1"/>
  <c r="A173" i="17"/>
  <c r="AB173" i="17" s="1"/>
  <c r="A174" i="17"/>
  <c r="AB174" i="17" s="1"/>
  <c r="A175" i="17"/>
  <c r="B4" i="17"/>
  <c r="B5" i="17"/>
  <c r="L55" i="17" s="1"/>
  <c r="B6" i="17"/>
  <c r="B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N28" i="17" s="1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43" i="17"/>
  <c r="B44" i="17"/>
  <c r="B45" i="17"/>
  <c r="B46" i="17"/>
  <c r="B47" i="17"/>
  <c r="B48" i="17"/>
  <c r="B49" i="17"/>
  <c r="B50" i="17"/>
  <c r="B51" i="17"/>
  <c r="B52" i="17"/>
  <c r="B53" i="17"/>
  <c r="B54" i="17"/>
  <c r="B55" i="17"/>
  <c r="B56" i="17"/>
  <c r="B57" i="17"/>
  <c r="B58" i="17"/>
  <c r="B59" i="17"/>
  <c r="B60" i="17"/>
  <c r="B61" i="17"/>
  <c r="B62" i="17"/>
  <c r="B63" i="17"/>
  <c r="B64" i="17"/>
  <c r="B65" i="17"/>
  <c r="B66" i="17"/>
  <c r="B67" i="17"/>
  <c r="B68" i="17"/>
  <c r="B69" i="17"/>
  <c r="B70" i="17"/>
  <c r="B71" i="17"/>
  <c r="B72" i="17"/>
  <c r="B73" i="17"/>
  <c r="B74" i="17"/>
  <c r="B75" i="17"/>
  <c r="B76" i="17"/>
  <c r="B77" i="17"/>
  <c r="B78" i="17"/>
  <c r="B79" i="17"/>
  <c r="B80" i="17"/>
  <c r="B81" i="17"/>
  <c r="B82" i="17"/>
  <c r="B83" i="17"/>
  <c r="B84" i="17"/>
  <c r="B85" i="17"/>
  <c r="B86" i="17"/>
  <c r="B87" i="17"/>
  <c r="B88" i="17"/>
  <c r="B89" i="17"/>
  <c r="B90" i="17"/>
  <c r="B91" i="17"/>
  <c r="B92" i="17"/>
  <c r="B93" i="17"/>
  <c r="B94" i="17"/>
  <c r="B95" i="17"/>
  <c r="B96" i="17"/>
  <c r="B97" i="17"/>
  <c r="B98" i="17"/>
  <c r="B99" i="17"/>
  <c r="B100" i="17"/>
  <c r="B101" i="17"/>
  <c r="N101" i="17" s="1"/>
  <c r="B102" i="17"/>
  <c r="B103" i="17"/>
  <c r="B104" i="17"/>
  <c r="B105" i="17"/>
  <c r="B106" i="17"/>
  <c r="B107" i="17"/>
  <c r="B108" i="17"/>
  <c r="B109" i="17"/>
  <c r="B110" i="17"/>
  <c r="B111" i="17"/>
  <c r="B112" i="17"/>
  <c r="B113" i="17"/>
  <c r="B114" i="17"/>
  <c r="B115" i="17"/>
  <c r="B116" i="17"/>
  <c r="B117" i="17"/>
  <c r="B118" i="17"/>
  <c r="B119" i="17"/>
  <c r="B120" i="17"/>
  <c r="B121" i="17"/>
  <c r="B122" i="17"/>
  <c r="B123" i="17"/>
  <c r="B124" i="17"/>
  <c r="B125" i="17"/>
  <c r="B126" i="17"/>
  <c r="B127" i="17"/>
  <c r="B128" i="17"/>
  <c r="B129" i="17"/>
  <c r="B130" i="17"/>
  <c r="B131" i="17"/>
  <c r="B132" i="17"/>
  <c r="B133" i="17"/>
  <c r="B134" i="17"/>
  <c r="B135" i="17"/>
  <c r="B136" i="17"/>
  <c r="B137" i="17"/>
  <c r="B138" i="17"/>
  <c r="B139" i="17"/>
  <c r="B140" i="17"/>
  <c r="B141" i="17"/>
  <c r="B142" i="17"/>
  <c r="B143" i="17"/>
  <c r="B144" i="17"/>
  <c r="B145" i="17"/>
  <c r="B146" i="17"/>
  <c r="B147" i="17"/>
  <c r="B148" i="17"/>
  <c r="B149" i="17"/>
  <c r="B150" i="17"/>
  <c r="B151" i="17"/>
  <c r="B152" i="17"/>
  <c r="B153" i="17"/>
  <c r="B154" i="17"/>
  <c r="B155" i="17"/>
  <c r="B156" i="17"/>
  <c r="N156" i="17" s="1"/>
  <c r="B157" i="17"/>
  <c r="B158" i="17"/>
  <c r="B159" i="17"/>
  <c r="B160" i="17"/>
  <c r="B161" i="17"/>
  <c r="B162" i="17"/>
  <c r="B163" i="17"/>
  <c r="B164" i="17"/>
  <c r="B165" i="17"/>
  <c r="B166" i="17"/>
  <c r="B167" i="17"/>
  <c r="B168" i="17"/>
  <c r="B169" i="17"/>
  <c r="B170" i="17"/>
  <c r="B171" i="17"/>
  <c r="B172" i="17"/>
  <c r="B173" i="17"/>
  <c r="B174" i="17"/>
  <c r="B175" i="17"/>
  <c r="H3" i="17"/>
  <c r="H4" i="17"/>
  <c r="H5" i="17"/>
  <c r="H6" i="17"/>
  <c r="I3" i="17"/>
  <c r="V28" i="17" s="1"/>
  <c r="I4" i="17"/>
  <c r="I5" i="17"/>
  <c r="I6" i="17"/>
  <c r="D3" i="17"/>
  <c r="F3" i="17"/>
  <c r="K3" i="17"/>
  <c r="D4" i="17"/>
  <c r="F4" i="17"/>
  <c r="D5" i="17"/>
  <c r="F5" i="17"/>
  <c r="D6" i="17"/>
  <c r="F6" i="17"/>
  <c r="J5" i="17"/>
  <c r="J6" i="17"/>
  <c r="C3" i="17"/>
  <c r="C4" i="17"/>
  <c r="C5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S68" i="17" s="1"/>
  <c r="C69" i="17"/>
  <c r="C70" i="17"/>
  <c r="C71" i="17"/>
  <c r="C72" i="17"/>
  <c r="C73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86" i="17"/>
  <c r="C87" i="17"/>
  <c r="C88" i="17"/>
  <c r="C89" i="17"/>
  <c r="C90" i="17"/>
  <c r="C91" i="17"/>
  <c r="C92" i="17"/>
  <c r="C93" i="17"/>
  <c r="C94" i="17"/>
  <c r="C95" i="17"/>
  <c r="C96" i="17"/>
  <c r="C97" i="17"/>
  <c r="C98" i="17"/>
  <c r="C99" i="17"/>
  <c r="C100" i="17"/>
  <c r="C101" i="17"/>
  <c r="C102" i="17"/>
  <c r="C103" i="17"/>
  <c r="C104" i="17"/>
  <c r="C105" i="17"/>
  <c r="C106" i="17"/>
  <c r="C107" i="17"/>
  <c r="C108" i="17"/>
  <c r="C109" i="17"/>
  <c r="C110" i="17"/>
  <c r="C111" i="17"/>
  <c r="C112" i="17"/>
  <c r="C113" i="17"/>
  <c r="C114" i="17"/>
  <c r="C115" i="17"/>
  <c r="C116" i="17"/>
  <c r="C117" i="17"/>
  <c r="C118" i="17"/>
  <c r="C119" i="17"/>
  <c r="C120" i="17"/>
  <c r="C121" i="17"/>
  <c r="C122" i="17"/>
  <c r="C123" i="17"/>
  <c r="C124" i="17"/>
  <c r="C125" i="17"/>
  <c r="C126" i="17"/>
  <c r="C127" i="17"/>
  <c r="C128" i="17"/>
  <c r="C129" i="17"/>
  <c r="C130" i="17"/>
  <c r="C131" i="17"/>
  <c r="C132" i="17"/>
  <c r="C133" i="17"/>
  <c r="C134" i="17"/>
  <c r="C135" i="17"/>
  <c r="C136" i="17"/>
  <c r="C137" i="17"/>
  <c r="C138" i="17"/>
  <c r="S138" i="17" s="1"/>
  <c r="C139" i="17"/>
  <c r="C140" i="17"/>
  <c r="C141" i="17"/>
  <c r="C142" i="17"/>
  <c r="C143" i="17"/>
  <c r="C144" i="17"/>
  <c r="C145" i="17"/>
  <c r="C146" i="17"/>
  <c r="C147" i="17"/>
  <c r="C148" i="17"/>
  <c r="S148" i="17" s="1"/>
  <c r="C149" i="17"/>
  <c r="C150" i="17"/>
  <c r="C151" i="17"/>
  <c r="C152" i="17"/>
  <c r="C153" i="17"/>
  <c r="C154" i="17"/>
  <c r="C155" i="17"/>
  <c r="C156" i="17"/>
  <c r="C157" i="17"/>
  <c r="C158" i="17"/>
  <c r="C159" i="17"/>
  <c r="C160" i="17"/>
  <c r="C161" i="17"/>
  <c r="C162" i="17"/>
  <c r="C163" i="17"/>
  <c r="C164" i="17"/>
  <c r="C165" i="17"/>
  <c r="C166" i="17"/>
  <c r="C167" i="17"/>
  <c r="C168" i="17"/>
  <c r="C169" i="17"/>
  <c r="C170" i="17"/>
  <c r="C171" i="17"/>
  <c r="C172" i="17"/>
  <c r="S172" i="17" s="1"/>
  <c r="C173" i="17"/>
  <c r="C174" i="17"/>
  <c r="C175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K19" i="17" s="1"/>
  <c r="H20" i="17"/>
  <c r="H21" i="17"/>
  <c r="H22" i="17"/>
  <c r="H23" i="17"/>
  <c r="H24" i="17"/>
  <c r="H25" i="17"/>
  <c r="H26" i="17"/>
  <c r="H27" i="17"/>
  <c r="H28" i="17"/>
  <c r="K28" i="17" s="1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K66" i="17" s="1"/>
  <c r="H67" i="17"/>
  <c r="K67" i="17" s="1"/>
  <c r="H68" i="17"/>
  <c r="H69" i="17"/>
  <c r="H70" i="17"/>
  <c r="H71" i="17"/>
  <c r="H72" i="17"/>
  <c r="H73" i="17"/>
  <c r="H74" i="17"/>
  <c r="H75" i="17"/>
  <c r="H76" i="17"/>
  <c r="K76" i="17" s="1"/>
  <c r="H77" i="17"/>
  <c r="H78" i="17"/>
  <c r="H79" i="17"/>
  <c r="H80" i="17"/>
  <c r="H81" i="17"/>
  <c r="H82" i="17"/>
  <c r="K82" i="17" s="1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K106" i="17" s="1"/>
  <c r="H107" i="17"/>
  <c r="K107" i="17" s="1"/>
  <c r="H108" i="17"/>
  <c r="K108" i="17" s="1"/>
  <c r="H109" i="17"/>
  <c r="H110" i="17"/>
  <c r="H111" i="17"/>
  <c r="H112" i="17"/>
  <c r="H113" i="17"/>
  <c r="H114" i="17"/>
  <c r="K114" i="17" s="1"/>
  <c r="H115" i="17"/>
  <c r="K115" i="17" s="1"/>
  <c r="H116" i="17"/>
  <c r="H117" i="17"/>
  <c r="H118" i="17"/>
  <c r="H119" i="17"/>
  <c r="H120" i="17"/>
  <c r="H121" i="17"/>
  <c r="H122" i="17"/>
  <c r="H123" i="17"/>
  <c r="K123" i="17" s="1"/>
  <c r="H124" i="17"/>
  <c r="H125" i="17"/>
  <c r="H126" i="17"/>
  <c r="H127" i="17"/>
  <c r="H128" i="17"/>
  <c r="H129" i="17"/>
  <c r="H130" i="17"/>
  <c r="H131" i="17"/>
  <c r="K131" i="17" s="1"/>
  <c r="H132" i="17"/>
  <c r="H133" i="17"/>
  <c r="H134" i="17"/>
  <c r="H135" i="17"/>
  <c r="H136" i="17"/>
  <c r="H137" i="17"/>
  <c r="H138" i="17"/>
  <c r="K138" i="17" s="1"/>
  <c r="H139" i="17"/>
  <c r="K139" i="17" s="1"/>
  <c r="H140" i="17"/>
  <c r="H141" i="17"/>
  <c r="H142" i="17"/>
  <c r="H143" i="17"/>
  <c r="H144" i="17"/>
  <c r="H145" i="17"/>
  <c r="H146" i="17"/>
  <c r="H147" i="17"/>
  <c r="K147" i="17" s="1"/>
  <c r="H148" i="17"/>
  <c r="K148" i="17" s="1"/>
  <c r="H149" i="17"/>
  <c r="H150" i="17"/>
  <c r="H151" i="17"/>
  <c r="H152" i="17"/>
  <c r="H153" i="17"/>
  <c r="H154" i="17"/>
  <c r="K154" i="17" s="1"/>
  <c r="H155" i="17"/>
  <c r="K155" i="17" s="1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I120" i="17"/>
  <c r="I121" i="17"/>
  <c r="I122" i="17"/>
  <c r="I123" i="17"/>
  <c r="I124" i="17"/>
  <c r="I125" i="17"/>
  <c r="I126" i="17"/>
  <c r="I127" i="17"/>
  <c r="I128" i="17"/>
  <c r="I129" i="17"/>
  <c r="I130" i="17"/>
  <c r="I131" i="17"/>
  <c r="I132" i="17"/>
  <c r="I133" i="17"/>
  <c r="I134" i="17"/>
  <c r="I135" i="17"/>
  <c r="I136" i="17"/>
  <c r="I137" i="17"/>
  <c r="I138" i="17"/>
  <c r="I139" i="17"/>
  <c r="I140" i="17"/>
  <c r="I141" i="17"/>
  <c r="I142" i="17"/>
  <c r="I143" i="17"/>
  <c r="I144" i="17"/>
  <c r="I145" i="17"/>
  <c r="I146" i="17"/>
  <c r="I147" i="17"/>
  <c r="I148" i="17"/>
  <c r="I149" i="17"/>
  <c r="I150" i="17"/>
  <c r="I151" i="17"/>
  <c r="I152" i="17"/>
  <c r="I153" i="17"/>
  <c r="I154" i="17"/>
  <c r="I155" i="17"/>
  <c r="I156" i="17"/>
  <c r="I157" i="17"/>
  <c r="I158" i="17"/>
  <c r="I159" i="17"/>
  <c r="I160" i="17"/>
  <c r="I161" i="17"/>
  <c r="I162" i="17"/>
  <c r="I163" i="17"/>
  <c r="I164" i="17"/>
  <c r="I165" i="17"/>
  <c r="I166" i="17"/>
  <c r="I167" i="17"/>
  <c r="I168" i="17"/>
  <c r="I169" i="17"/>
  <c r="I170" i="17"/>
  <c r="I171" i="17"/>
  <c r="I172" i="17"/>
  <c r="I173" i="17"/>
  <c r="I174" i="17"/>
  <c r="I175" i="17"/>
  <c r="W2" i="17"/>
  <c r="X2" i="17"/>
  <c r="Y2" i="17"/>
  <c r="Z2" i="17"/>
  <c r="AA2" i="17"/>
  <c r="AB2" i="17"/>
  <c r="AO2" i="17"/>
  <c r="E3" i="17"/>
  <c r="W3" i="17"/>
  <c r="X3" i="17"/>
  <c r="AB3" i="17"/>
  <c r="AO3" i="17"/>
  <c r="E4" i="17"/>
  <c r="E5" i="17"/>
  <c r="X5" i="17"/>
  <c r="Y5" i="17"/>
  <c r="Z5" i="17"/>
  <c r="AA5" i="17"/>
  <c r="AB5" i="17"/>
  <c r="AO5" i="17"/>
  <c r="E6" i="17"/>
  <c r="D7" i="17"/>
  <c r="E7" i="17"/>
  <c r="F7" i="17"/>
  <c r="D8" i="17"/>
  <c r="F8" i="17"/>
  <c r="D9" i="17"/>
  <c r="F9" i="17"/>
  <c r="D10" i="17"/>
  <c r="F10" i="17"/>
  <c r="D11" i="17"/>
  <c r="F11" i="17"/>
  <c r="J10" i="17"/>
  <c r="J11" i="17"/>
  <c r="E8" i="17"/>
  <c r="E9" i="17"/>
  <c r="E10" i="17"/>
  <c r="W10" i="17"/>
  <c r="X10" i="17"/>
  <c r="Y10" i="17"/>
  <c r="Z10" i="17"/>
  <c r="AA10" i="17"/>
  <c r="AB10" i="17"/>
  <c r="AO10" i="17"/>
  <c r="E11" i="17"/>
  <c r="W11" i="17"/>
  <c r="X11" i="17"/>
  <c r="Y11" i="17"/>
  <c r="Z11" i="17"/>
  <c r="AA11" i="17"/>
  <c r="AB11" i="17"/>
  <c r="AO11" i="17"/>
  <c r="D12" i="17"/>
  <c r="E12" i="17"/>
  <c r="F12" i="17"/>
  <c r="J12" i="17"/>
  <c r="D13" i="17"/>
  <c r="F13" i="17"/>
  <c r="D14" i="17"/>
  <c r="F14" i="17"/>
  <c r="D15" i="17"/>
  <c r="F15" i="17"/>
  <c r="D16" i="17"/>
  <c r="F16" i="17"/>
  <c r="J13" i="17"/>
  <c r="W12" i="17"/>
  <c r="X12" i="17"/>
  <c r="Y12" i="17"/>
  <c r="Z12" i="17"/>
  <c r="AA12" i="17"/>
  <c r="E13" i="17"/>
  <c r="X13" i="17"/>
  <c r="Y13" i="17"/>
  <c r="Z13" i="17"/>
  <c r="AA13" i="17"/>
  <c r="AB13" i="17"/>
  <c r="E14" i="17"/>
  <c r="AO14" i="17"/>
  <c r="E15" i="17"/>
  <c r="W15" i="17"/>
  <c r="E16" i="17"/>
  <c r="D17" i="17"/>
  <c r="E17" i="17"/>
  <c r="F17" i="17"/>
  <c r="D18" i="17"/>
  <c r="F18" i="17"/>
  <c r="D19" i="17"/>
  <c r="F19" i="17"/>
  <c r="D20" i="17"/>
  <c r="F20" i="17"/>
  <c r="D21" i="17"/>
  <c r="F21" i="17"/>
  <c r="J18" i="17"/>
  <c r="J19" i="17"/>
  <c r="J20" i="17"/>
  <c r="J21" i="17"/>
  <c r="E18" i="17"/>
  <c r="W18" i="17"/>
  <c r="X18" i="17"/>
  <c r="Y18" i="17"/>
  <c r="Z18" i="17"/>
  <c r="AA18" i="17"/>
  <c r="AB18" i="17"/>
  <c r="AO18" i="17"/>
  <c r="E19" i="17"/>
  <c r="W19" i="17"/>
  <c r="X19" i="17"/>
  <c r="Y19" i="17"/>
  <c r="Z19" i="17"/>
  <c r="AA19" i="17"/>
  <c r="AB19" i="17"/>
  <c r="AO19" i="17"/>
  <c r="E20" i="17"/>
  <c r="W20" i="17"/>
  <c r="Z20" i="17"/>
  <c r="AA20" i="17"/>
  <c r="AB20" i="17"/>
  <c r="AO20" i="17"/>
  <c r="E21" i="17"/>
  <c r="W21" i="17"/>
  <c r="AB21" i="17"/>
  <c r="AO21" i="17"/>
  <c r="D22" i="17"/>
  <c r="E22" i="17"/>
  <c r="F22" i="17"/>
  <c r="J22" i="17"/>
  <c r="D23" i="17"/>
  <c r="F23" i="17"/>
  <c r="D24" i="17"/>
  <c r="F24" i="17"/>
  <c r="D25" i="17"/>
  <c r="F25" i="17"/>
  <c r="D26" i="17"/>
  <c r="F26" i="17"/>
  <c r="J26" i="17"/>
  <c r="E23" i="17"/>
  <c r="E24" i="17"/>
  <c r="E25" i="17"/>
  <c r="E26" i="17"/>
  <c r="W26" i="17"/>
  <c r="X26" i="17"/>
  <c r="Y26" i="17"/>
  <c r="Z26" i="17"/>
  <c r="AA26" i="17"/>
  <c r="AB26" i="17"/>
  <c r="AO26" i="17"/>
  <c r="D27" i="17"/>
  <c r="E27" i="17"/>
  <c r="F27" i="17"/>
  <c r="J27" i="17"/>
  <c r="D28" i="17"/>
  <c r="F28" i="17"/>
  <c r="D29" i="17"/>
  <c r="F29" i="17"/>
  <c r="D30" i="17"/>
  <c r="F30" i="17"/>
  <c r="D31" i="17"/>
  <c r="F31" i="17"/>
  <c r="J28" i="17"/>
  <c r="J29" i="17"/>
  <c r="W27" i="17"/>
  <c r="X27" i="17"/>
  <c r="Y27" i="17"/>
  <c r="Z27" i="17"/>
  <c r="AA27" i="17"/>
  <c r="AB27" i="17"/>
  <c r="AO27" i="17"/>
  <c r="E28" i="17"/>
  <c r="Y28" i="17"/>
  <c r="Z28" i="17"/>
  <c r="AA28" i="17"/>
  <c r="AB28" i="17"/>
  <c r="AO28" i="17"/>
  <c r="E29" i="17"/>
  <c r="Y29" i="17"/>
  <c r="Z29" i="17"/>
  <c r="AA29" i="17"/>
  <c r="AB29" i="17"/>
  <c r="AO29" i="17"/>
  <c r="E30" i="17"/>
  <c r="AO30" i="17"/>
  <c r="E31" i="17"/>
  <c r="D32" i="17"/>
  <c r="E32" i="17"/>
  <c r="F32" i="17"/>
  <c r="D33" i="17"/>
  <c r="F33" i="17"/>
  <c r="D34" i="17"/>
  <c r="F34" i="17"/>
  <c r="D35" i="17"/>
  <c r="F35" i="17"/>
  <c r="K35" i="17"/>
  <c r="D36" i="17"/>
  <c r="F36" i="17"/>
  <c r="J34" i="17"/>
  <c r="J35" i="17"/>
  <c r="J36" i="17"/>
  <c r="E33" i="17"/>
  <c r="E34" i="17"/>
  <c r="W34" i="17"/>
  <c r="X34" i="17"/>
  <c r="Y34" i="17"/>
  <c r="Z34" i="17"/>
  <c r="AA34" i="17"/>
  <c r="AB34" i="17"/>
  <c r="AO34" i="17"/>
  <c r="E35" i="17"/>
  <c r="W35" i="17"/>
  <c r="X35" i="17"/>
  <c r="Y35" i="17"/>
  <c r="Z35" i="17"/>
  <c r="AA35" i="17"/>
  <c r="AB35" i="17"/>
  <c r="AO35" i="17"/>
  <c r="E36" i="17"/>
  <c r="W36" i="17"/>
  <c r="Z36" i="17"/>
  <c r="AA36" i="17"/>
  <c r="AB36" i="17"/>
  <c r="AO36" i="17"/>
  <c r="D37" i="17"/>
  <c r="E37" i="17"/>
  <c r="F37" i="17"/>
  <c r="K37" i="17"/>
  <c r="D38" i="17"/>
  <c r="F38" i="17"/>
  <c r="D39" i="17"/>
  <c r="F39" i="17"/>
  <c r="X37" i="17"/>
  <c r="Y37" i="17"/>
  <c r="Z37" i="17"/>
  <c r="AA37" i="17"/>
  <c r="AB37" i="17"/>
  <c r="AO37" i="17"/>
  <c r="E38" i="17"/>
  <c r="X38" i="17"/>
  <c r="Z38" i="17"/>
  <c r="AA38" i="17"/>
  <c r="AB38" i="17"/>
  <c r="E39" i="17"/>
  <c r="D40" i="17"/>
  <c r="E40" i="17"/>
  <c r="F40" i="17"/>
  <c r="D41" i="17"/>
  <c r="F41" i="17"/>
  <c r="D42" i="17"/>
  <c r="F42" i="17"/>
  <c r="J42" i="17"/>
  <c r="E41" i="17"/>
  <c r="E42" i="17"/>
  <c r="W42" i="17"/>
  <c r="X42" i="17"/>
  <c r="Y42" i="17"/>
  <c r="Z42" i="17"/>
  <c r="AA42" i="17"/>
  <c r="AB42" i="17"/>
  <c r="AO42" i="17"/>
  <c r="D43" i="17"/>
  <c r="E43" i="17"/>
  <c r="F43" i="17"/>
  <c r="J43" i="17"/>
  <c r="D44" i="17"/>
  <c r="F44" i="17"/>
  <c r="D45" i="17"/>
  <c r="F45" i="17"/>
  <c r="J44" i="17"/>
  <c r="J45" i="17"/>
  <c r="W43" i="17"/>
  <c r="X43" i="17"/>
  <c r="Y43" i="17"/>
  <c r="Z43" i="17"/>
  <c r="AA43" i="17"/>
  <c r="AB43" i="17"/>
  <c r="AO43" i="17"/>
  <c r="E44" i="17"/>
  <c r="W44" i="17"/>
  <c r="X44" i="17"/>
  <c r="Y44" i="17"/>
  <c r="AB44" i="17"/>
  <c r="AO44" i="17"/>
  <c r="E45" i="17"/>
  <c r="W45" i="17"/>
  <c r="X45" i="17"/>
  <c r="Y45" i="17"/>
  <c r="AB45" i="17"/>
  <c r="AO45" i="17"/>
  <c r="D46" i="17"/>
  <c r="E46" i="17"/>
  <c r="F46" i="17"/>
  <c r="D47" i="17"/>
  <c r="F47" i="17"/>
  <c r="D48" i="17"/>
  <c r="F48" i="17"/>
  <c r="D49" i="17"/>
  <c r="F49" i="17"/>
  <c r="AO46" i="17"/>
  <c r="E47" i="17"/>
  <c r="E48" i="17"/>
  <c r="E49" i="17"/>
  <c r="D50" i="17"/>
  <c r="E50" i="17"/>
  <c r="F50" i="17"/>
  <c r="J50" i="17"/>
  <c r="D51" i="17"/>
  <c r="F51" i="17"/>
  <c r="D52" i="17"/>
  <c r="F52" i="17"/>
  <c r="D53" i="17"/>
  <c r="F53" i="17"/>
  <c r="K53" i="17"/>
  <c r="J51" i="17"/>
  <c r="J52" i="17"/>
  <c r="J53" i="17"/>
  <c r="W50" i="17"/>
  <c r="X50" i="17"/>
  <c r="Y50" i="17"/>
  <c r="Z50" i="17"/>
  <c r="AA50" i="17"/>
  <c r="AB50" i="17"/>
  <c r="AO50" i="17"/>
  <c r="E51" i="17"/>
  <c r="W51" i="17"/>
  <c r="X51" i="17"/>
  <c r="Y51" i="17"/>
  <c r="Z51" i="17"/>
  <c r="AA51" i="17"/>
  <c r="AB51" i="17"/>
  <c r="AO51" i="17"/>
  <c r="E52" i="17"/>
  <c r="W52" i="17"/>
  <c r="Z52" i="17"/>
  <c r="AA52" i="17"/>
  <c r="AB52" i="17"/>
  <c r="AO52" i="17"/>
  <c r="E53" i="17"/>
  <c r="W53" i="17"/>
  <c r="Z53" i="17"/>
  <c r="AA53" i="17"/>
  <c r="AB53" i="17"/>
  <c r="AO53" i="17"/>
  <c r="D54" i="17"/>
  <c r="E54" i="17"/>
  <c r="F54" i="17"/>
  <c r="D55" i="17"/>
  <c r="F55" i="17"/>
  <c r="D56" i="17"/>
  <c r="F56" i="17"/>
  <c r="AB54" i="17"/>
  <c r="E55" i="17"/>
  <c r="E56" i="17"/>
  <c r="D57" i="17"/>
  <c r="E57" i="17"/>
  <c r="F57" i="17"/>
  <c r="D58" i="17"/>
  <c r="F58" i="17"/>
  <c r="K58" i="17"/>
  <c r="D59" i="17"/>
  <c r="F59" i="17"/>
  <c r="J58" i="17"/>
  <c r="J59" i="17"/>
  <c r="E58" i="17"/>
  <c r="W58" i="17"/>
  <c r="X58" i="17"/>
  <c r="Y58" i="17"/>
  <c r="Z58" i="17"/>
  <c r="AA58" i="17"/>
  <c r="AB58" i="17"/>
  <c r="AO58" i="17"/>
  <c r="E59" i="17"/>
  <c r="W59" i="17"/>
  <c r="X59" i="17"/>
  <c r="Y59" i="17"/>
  <c r="Z59" i="17"/>
  <c r="AA59" i="17"/>
  <c r="AB59" i="17"/>
  <c r="AO59" i="17"/>
  <c r="D60" i="17"/>
  <c r="E60" i="17"/>
  <c r="F60" i="17"/>
  <c r="J60" i="17"/>
  <c r="D61" i="17"/>
  <c r="F61" i="17"/>
  <c r="D62" i="17"/>
  <c r="F62" i="17"/>
  <c r="D63" i="17"/>
  <c r="F63" i="17"/>
  <c r="D64" i="17"/>
  <c r="F64" i="17"/>
  <c r="J61" i="17"/>
  <c r="J62" i="17"/>
  <c r="W60" i="17"/>
  <c r="X60" i="17"/>
  <c r="AA60" i="17"/>
  <c r="AB60" i="17"/>
  <c r="AO60" i="17"/>
  <c r="E61" i="17"/>
  <c r="W61" i="17"/>
  <c r="X61" i="17"/>
  <c r="AA61" i="17"/>
  <c r="AB61" i="17"/>
  <c r="AO61" i="17"/>
  <c r="E62" i="17"/>
  <c r="W62" i="17"/>
  <c r="X62" i="17"/>
  <c r="AA62" i="17"/>
  <c r="AB62" i="17"/>
  <c r="E63" i="17"/>
  <c r="E64" i="17"/>
  <c r="D65" i="17"/>
  <c r="E65" i="17"/>
  <c r="F65" i="17"/>
  <c r="D66" i="17"/>
  <c r="F66" i="17"/>
  <c r="D67" i="17"/>
  <c r="F67" i="17"/>
  <c r="D68" i="17"/>
  <c r="F68" i="17"/>
  <c r="D69" i="17"/>
  <c r="K69" i="17" s="1"/>
  <c r="F69" i="17"/>
  <c r="J66" i="17"/>
  <c r="J67" i="17"/>
  <c r="J68" i="17"/>
  <c r="E66" i="17"/>
  <c r="W66" i="17"/>
  <c r="X66" i="17"/>
  <c r="Y66" i="17"/>
  <c r="Z66" i="17"/>
  <c r="AA66" i="17"/>
  <c r="AB66" i="17"/>
  <c r="AO66" i="17"/>
  <c r="E67" i="17"/>
  <c r="W67" i="17"/>
  <c r="X67" i="17"/>
  <c r="Y67" i="17"/>
  <c r="Z67" i="17"/>
  <c r="AA67" i="17"/>
  <c r="AB67" i="17"/>
  <c r="AO67" i="17"/>
  <c r="E68" i="17"/>
  <c r="W68" i="17"/>
  <c r="X68" i="17"/>
  <c r="Y68" i="17"/>
  <c r="Z68" i="17"/>
  <c r="AA68" i="17"/>
  <c r="E69" i="17"/>
  <c r="W69" i="17"/>
  <c r="X69" i="17"/>
  <c r="Y69" i="17"/>
  <c r="Z69" i="17"/>
  <c r="AA69" i="17"/>
  <c r="D70" i="17"/>
  <c r="E70" i="17"/>
  <c r="F70" i="17"/>
  <c r="J70" i="17"/>
  <c r="D71" i="17"/>
  <c r="F71" i="17"/>
  <c r="D72" i="17"/>
  <c r="F72" i="17"/>
  <c r="D73" i="17"/>
  <c r="F73" i="17"/>
  <c r="D74" i="17"/>
  <c r="F74" i="17"/>
  <c r="J74" i="17"/>
  <c r="W70" i="17"/>
  <c r="Z70" i="17"/>
  <c r="E71" i="17"/>
  <c r="E72" i="17"/>
  <c r="E73" i="17"/>
  <c r="E74" i="17"/>
  <c r="W74" i="17"/>
  <c r="X74" i="17"/>
  <c r="Y74" i="17"/>
  <c r="Z74" i="17"/>
  <c r="AA74" i="17"/>
  <c r="AB74" i="17"/>
  <c r="AO74" i="17"/>
  <c r="D75" i="17"/>
  <c r="E75" i="17"/>
  <c r="F75" i="17"/>
  <c r="J75" i="17"/>
  <c r="D76" i="17"/>
  <c r="F76" i="17"/>
  <c r="D77" i="17"/>
  <c r="F77" i="17"/>
  <c r="D78" i="17"/>
  <c r="K78" i="17" s="1"/>
  <c r="F78" i="17"/>
  <c r="D79" i="17"/>
  <c r="F79" i="17"/>
  <c r="J76" i="17"/>
  <c r="J77" i="17"/>
  <c r="W75" i="17"/>
  <c r="X75" i="17"/>
  <c r="Y75" i="17"/>
  <c r="Z75" i="17"/>
  <c r="AA75" i="17"/>
  <c r="AB75" i="17"/>
  <c r="AO75" i="17"/>
  <c r="E76" i="17"/>
  <c r="W76" i="17"/>
  <c r="X76" i="17"/>
  <c r="Y76" i="17"/>
  <c r="Z76" i="17"/>
  <c r="AA76" i="17"/>
  <c r="AB76" i="17"/>
  <c r="E77" i="17"/>
  <c r="W77" i="17"/>
  <c r="X77" i="17"/>
  <c r="Y77" i="17"/>
  <c r="Z77" i="17"/>
  <c r="AA77" i="17"/>
  <c r="AB77" i="17"/>
  <c r="E78" i="17"/>
  <c r="X78" i="17"/>
  <c r="Y78" i="17"/>
  <c r="Z78" i="17"/>
  <c r="AA78" i="17"/>
  <c r="E79" i="17"/>
  <c r="D80" i="17"/>
  <c r="E80" i="17"/>
  <c r="F80" i="17"/>
  <c r="D81" i="17"/>
  <c r="F81" i="17"/>
  <c r="D82" i="17"/>
  <c r="F82" i="17"/>
  <c r="D83" i="17"/>
  <c r="F83" i="17"/>
  <c r="D84" i="17"/>
  <c r="F84" i="17"/>
  <c r="J82" i="17"/>
  <c r="J83" i="17"/>
  <c r="E81" i="17"/>
  <c r="E82" i="17"/>
  <c r="W82" i="17"/>
  <c r="X82" i="17"/>
  <c r="Y82" i="17"/>
  <c r="Z82" i="17"/>
  <c r="AA82" i="17"/>
  <c r="AB82" i="17"/>
  <c r="AO82" i="17"/>
  <c r="E83" i="17"/>
  <c r="W83" i="17"/>
  <c r="X83" i="17"/>
  <c r="Y83" i="17"/>
  <c r="Z83" i="17"/>
  <c r="AA83" i="17"/>
  <c r="AB83" i="17"/>
  <c r="AO83" i="17"/>
  <c r="E84" i="17"/>
  <c r="W84" i="17"/>
  <c r="Z84" i="17"/>
  <c r="AA84" i="17"/>
  <c r="AB84" i="17"/>
  <c r="AO84" i="17"/>
  <c r="D85" i="17"/>
  <c r="K85" i="17" s="1"/>
  <c r="E85" i="17"/>
  <c r="F85" i="17"/>
  <c r="D86" i="17"/>
  <c r="F86" i="17"/>
  <c r="D87" i="17"/>
  <c r="F87" i="17"/>
  <c r="D88" i="17"/>
  <c r="F88" i="17"/>
  <c r="D89" i="17"/>
  <c r="F89" i="17"/>
  <c r="J86" i="17"/>
  <c r="W85" i="17"/>
  <c r="X85" i="17"/>
  <c r="AA85" i="17"/>
  <c r="AB85" i="17"/>
  <c r="AO85" i="17"/>
  <c r="E86" i="17"/>
  <c r="AO86" i="17"/>
  <c r="E87" i="17"/>
  <c r="E88" i="17"/>
  <c r="E89" i="17"/>
  <c r="D90" i="17"/>
  <c r="E90" i="17"/>
  <c r="F90" i="17"/>
  <c r="J90" i="17"/>
  <c r="D91" i="17"/>
  <c r="F91" i="17"/>
  <c r="D92" i="17"/>
  <c r="F92" i="17"/>
  <c r="D93" i="17"/>
  <c r="F93" i="17"/>
  <c r="K93" i="17"/>
  <c r="D94" i="17"/>
  <c r="F94" i="17"/>
  <c r="J91" i="17"/>
  <c r="J92" i="17"/>
  <c r="J93" i="17"/>
  <c r="W90" i="17"/>
  <c r="X90" i="17"/>
  <c r="Y90" i="17"/>
  <c r="Z90" i="17"/>
  <c r="AA90" i="17"/>
  <c r="AB90" i="17"/>
  <c r="AO90" i="17"/>
  <c r="E91" i="17"/>
  <c r="W91" i="17"/>
  <c r="X91" i="17"/>
  <c r="Y91" i="17"/>
  <c r="Z91" i="17"/>
  <c r="AA91" i="17"/>
  <c r="AB91" i="17"/>
  <c r="AO91" i="17"/>
  <c r="E92" i="17"/>
  <c r="W92" i="17"/>
  <c r="X92" i="17"/>
  <c r="Y92" i="17"/>
  <c r="Z92" i="17"/>
  <c r="AA92" i="17"/>
  <c r="E93" i="17"/>
  <c r="W93" i="17"/>
  <c r="X93" i="17"/>
  <c r="Y93" i="17"/>
  <c r="Z93" i="17"/>
  <c r="AA93" i="17"/>
  <c r="E94" i="17"/>
  <c r="W94" i="17"/>
  <c r="X94" i="17"/>
  <c r="Y94" i="17"/>
  <c r="Z94" i="17"/>
  <c r="D95" i="17"/>
  <c r="E95" i="17"/>
  <c r="F95" i="17"/>
  <c r="D96" i="17"/>
  <c r="F96" i="17"/>
  <c r="D97" i="17"/>
  <c r="F97" i="17"/>
  <c r="E96" i="17"/>
  <c r="E97" i="17"/>
  <c r="D98" i="17"/>
  <c r="E98" i="17"/>
  <c r="F98" i="17"/>
  <c r="J98" i="17"/>
  <c r="D99" i="17"/>
  <c r="F99" i="17"/>
  <c r="D100" i="17"/>
  <c r="F100" i="17"/>
  <c r="J99" i="17"/>
  <c r="J100" i="17"/>
  <c r="W98" i="17"/>
  <c r="X98" i="17"/>
  <c r="Y98" i="17"/>
  <c r="Z98" i="17"/>
  <c r="AA98" i="17"/>
  <c r="AB98" i="17"/>
  <c r="AO98" i="17"/>
  <c r="E99" i="17"/>
  <c r="W99" i="17"/>
  <c r="X99" i="17"/>
  <c r="Y99" i="17"/>
  <c r="Z99" i="17"/>
  <c r="AA99" i="17"/>
  <c r="AB99" i="17"/>
  <c r="AO99" i="17"/>
  <c r="E100" i="17"/>
  <c r="W100" i="17"/>
  <c r="X100" i="17"/>
  <c r="AA100" i="17"/>
  <c r="AB100" i="17"/>
  <c r="AO100" i="17"/>
  <c r="D101" i="17"/>
  <c r="E101" i="17"/>
  <c r="F101" i="17"/>
  <c r="D102" i="17"/>
  <c r="F102" i="17"/>
  <c r="K102" i="17"/>
  <c r="D103" i="17"/>
  <c r="F103" i="17"/>
  <c r="W101" i="17"/>
  <c r="X101" i="17"/>
  <c r="Y101" i="17"/>
  <c r="Z101" i="17"/>
  <c r="AA101" i="17"/>
  <c r="AB101" i="17"/>
  <c r="E102" i="17"/>
  <c r="Z102" i="17"/>
  <c r="AA102" i="17"/>
  <c r="AB102" i="17"/>
  <c r="E103" i="17"/>
  <c r="D104" i="17"/>
  <c r="E104" i="17"/>
  <c r="F104" i="17"/>
  <c r="D105" i="17"/>
  <c r="F105" i="17"/>
  <c r="D106" i="17"/>
  <c r="F106" i="17"/>
  <c r="D107" i="17"/>
  <c r="F107" i="17"/>
  <c r="J106" i="17"/>
  <c r="J107" i="17"/>
  <c r="E105" i="17"/>
  <c r="E106" i="17"/>
  <c r="W106" i="17"/>
  <c r="X106" i="17"/>
  <c r="Y106" i="17"/>
  <c r="Z106" i="17"/>
  <c r="AA106" i="17"/>
  <c r="AB106" i="17"/>
  <c r="AO106" i="17"/>
  <c r="E107" i="17"/>
  <c r="W107" i="17"/>
  <c r="X107" i="17"/>
  <c r="Y107" i="17"/>
  <c r="Z107" i="17"/>
  <c r="AA107" i="17"/>
  <c r="AB107" i="17"/>
  <c r="AO107" i="17"/>
  <c r="D108" i="17"/>
  <c r="E108" i="17"/>
  <c r="F108" i="17"/>
  <c r="J108" i="17"/>
  <c r="D109" i="17"/>
  <c r="F109" i="17"/>
  <c r="K109" i="17"/>
  <c r="D110" i="17"/>
  <c r="F110" i="17"/>
  <c r="D111" i="17"/>
  <c r="F111" i="17"/>
  <c r="W108" i="17"/>
  <c r="X108" i="17"/>
  <c r="Y108" i="17"/>
  <c r="Z108" i="17"/>
  <c r="AA108" i="17"/>
  <c r="AB108" i="17"/>
  <c r="E109" i="17"/>
  <c r="W109" i="17"/>
  <c r="X109" i="17"/>
  <c r="Y109" i="17"/>
  <c r="Z109" i="17"/>
  <c r="AA109" i="17"/>
  <c r="AB109" i="17"/>
  <c r="E110" i="17"/>
  <c r="X110" i="17"/>
  <c r="Y110" i="17"/>
  <c r="Z110" i="17"/>
  <c r="AA110" i="17"/>
  <c r="E111" i="17"/>
  <c r="D112" i="17"/>
  <c r="E112" i="17"/>
  <c r="F112" i="17"/>
  <c r="D113" i="17"/>
  <c r="F113" i="17"/>
  <c r="D114" i="17"/>
  <c r="F114" i="17"/>
  <c r="J114" i="17"/>
  <c r="E113" i="17"/>
  <c r="E114" i="17"/>
  <c r="W114" i="17"/>
  <c r="X114" i="17"/>
  <c r="Y114" i="17"/>
  <c r="Z114" i="17"/>
  <c r="AA114" i="17"/>
  <c r="AB114" i="17"/>
  <c r="AO114" i="17"/>
  <c r="D115" i="17"/>
  <c r="E115" i="17"/>
  <c r="F115" i="17"/>
  <c r="J115" i="17"/>
  <c r="D116" i="17"/>
  <c r="F116" i="17"/>
  <c r="D117" i="17"/>
  <c r="F117" i="17"/>
  <c r="J116" i="17"/>
  <c r="J117" i="17"/>
  <c r="W115" i="17"/>
  <c r="X115" i="17"/>
  <c r="Y115" i="17"/>
  <c r="Z115" i="17"/>
  <c r="AA115" i="17"/>
  <c r="AB115" i="17"/>
  <c r="AO115" i="17"/>
  <c r="E116" i="17"/>
  <c r="W116" i="17"/>
  <c r="X116" i="17"/>
  <c r="Y116" i="17"/>
  <c r="Z116" i="17"/>
  <c r="AO116" i="17"/>
  <c r="E117" i="17"/>
  <c r="W117" i="17"/>
  <c r="X117" i="17"/>
  <c r="Y117" i="17"/>
  <c r="Z117" i="17"/>
  <c r="AO117" i="17"/>
  <c r="D118" i="17"/>
  <c r="E118" i="17"/>
  <c r="F118" i="17"/>
  <c r="J118" i="17"/>
  <c r="D119" i="17"/>
  <c r="F119" i="17"/>
  <c r="D120" i="17"/>
  <c r="F120" i="17"/>
  <c r="D121" i="17"/>
  <c r="F121" i="17"/>
  <c r="D122" i="17"/>
  <c r="F122" i="17"/>
  <c r="J122" i="17"/>
  <c r="Z118" i="17"/>
  <c r="AA118" i="17"/>
  <c r="AB118" i="17"/>
  <c r="E119" i="17"/>
  <c r="E120" i="17"/>
  <c r="E121" i="17"/>
  <c r="E122" i="17"/>
  <c r="W122" i="17"/>
  <c r="X122" i="17"/>
  <c r="Y122" i="17"/>
  <c r="Z122" i="17"/>
  <c r="AA122" i="17"/>
  <c r="AB122" i="17"/>
  <c r="AO122" i="17"/>
  <c r="D123" i="17"/>
  <c r="E123" i="17"/>
  <c r="F123" i="17"/>
  <c r="J123" i="17"/>
  <c r="D124" i="17"/>
  <c r="F124" i="17"/>
  <c r="D125" i="17"/>
  <c r="F125" i="17"/>
  <c r="K125" i="17" s="1"/>
  <c r="D126" i="17"/>
  <c r="F126" i="17"/>
  <c r="D127" i="17"/>
  <c r="F127" i="17"/>
  <c r="J124" i="17"/>
  <c r="J125" i="17"/>
  <c r="J126" i="17"/>
  <c r="W123" i="17"/>
  <c r="X123" i="17"/>
  <c r="Y123" i="17"/>
  <c r="Z123" i="17"/>
  <c r="AA123" i="17"/>
  <c r="AB123" i="17"/>
  <c r="AO123" i="17"/>
  <c r="E124" i="17"/>
  <c r="W124" i="17"/>
  <c r="X124" i="17"/>
  <c r="Y124" i="17"/>
  <c r="Z124" i="17"/>
  <c r="AA124" i="17"/>
  <c r="AB124" i="17"/>
  <c r="E125" i="17"/>
  <c r="W125" i="17"/>
  <c r="X125" i="17"/>
  <c r="Y125" i="17"/>
  <c r="Z125" i="17"/>
  <c r="AA125" i="17"/>
  <c r="E126" i="17"/>
  <c r="X126" i="17"/>
  <c r="Y126" i="17"/>
  <c r="Z126" i="17"/>
  <c r="AA126" i="17"/>
  <c r="E127" i="17"/>
  <c r="D128" i="17"/>
  <c r="E128" i="17"/>
  <c r="F128" i="17"/>
  <c r="D129" i="17"/>
  <c r="F129" i="17"/>
  <c r="D130" i="17"/>
  <c r="F130" i="17"/>
  <c r="D131" i="17"/>
  <c r="F131" i="17"/>
  <c r="D132" i="17"/>
  <c r="F132" i="17"/>
  <c r="J130" i="17"/>
  <c r="J131" i="17"/>
  <c r="J132" i="17"/>
  <c r="E129" i="17"/>
  <c r="E130" i="17"/>
  <c r="W130" i="17"/>
  <c r="X130" i="17"/>
  <c r="Y130" i="17"/>
  <c r="Z130" i="17"/>
  <c r="AA130" i="17"/>
  <c r="AB130" i="17"/>
  <c r="AO130" i="17"/>
  <c r="E131" i="17"/>
  <c r="W131" i="17"/>
  <c r="X131" i="17"/>
  <c r="Y131" i="17"/>
  <c r="Z131" i="17"/>
  <c r="AA131" i="17"/>
  <c r="AB131" i="17"/>
  <c r="AO131" i="17"/>
  <c r="E132" i="17"/>
  <c r="Q132" i="17"/>
  <c r="W132" i="17"/>
  <c r="X132" i="17"/>
  <c r="Y132" i="17"/>
  <c r="Z132" i="17"/>
  <c r="AA132" i="17"/>
  <c r="D133" i="17"/>
  <c r="E133" i="17"/>
  <c r="F133" i="17"/>
  <c r="J133" i="17"/>
  <c r="D134" i="17"/>
  <c r="F134" i="17"/>
  <c r="D135" i="17"/>
  <c r="F135" i="17"/>
  <c r="D136" i="17"/>
  <c r="F136" i="17"/>
  <c r="D137" i="17"/>
  <c r="F137" i="17"/>
  <c r="X133" i="17"/>
  <c r="Y133" i="17"/>
  <c r="Z133" i="17"/>
  <c r="AA133" i="17"/>
  <c r="AB133" i="17"/>
  <c r="AO133" i="17"/>
  <c r="E134" i="17"/>
  <c r="Z134" i="17"/>
  <c r="AA134" i="17"/>
  <c r="AB134" i="17"/>
  <c r="E135" i="17"/>
  <c r="E136" i="17"/>
  <c r="E137" i="17"/>
  <c r="D138" i="17"/>
  <c r="E138" i="17"/>
  <c r="F138" i="17"/>
  <c r="J138" i="17"/>
  <c r="D139" i="17"/>
  <c r="F139" i="17"/>
  <c r="D140" i="17"/>
  <c r="F140" i="17"/>
  <c r="K140" i="17"/>
  <c r="D141" i="17"/>
  <c r="K141" i="17" s="1"/>
  <c r="F141" i="17"/>
  <c r="D142" i="17"/>
  <c r="F142" i="17"/>
  <c r="J139" i="17"/>
  <c r="J140" i="17"/>
  <c r="J141" i="17"/>
  <c r="J142" i="17"/>
  <c r="W138" i="17"/>
  <c r="X138" i="17"/>
  <c r="Y138" i="17"/>
  <c r="Z138" i="17"/>
  <c r="AA138" i="17"/>
  <c r="AB138" i="17"/>
  <c r="AO138" i="17"/>
  <c r="E139" i="17"/>
  <c r="W139" i="17"/>
  <c r="X139" i="17"/>
  <c r="Y139" i="17"/>
  <c r="Z139" i="17"/>
  <c r="AA139" i="17"/>
  <c r="AB139" i="17"/>
  <c r="AO139" i="17"/>
  <c r="E140" i="17"/>
  <c r="Y140" i="17"/>
  <c r="Z140" i="17"/>
  <c r="AA140" i="17"/>
  <c r="AB140" i="17"/>
  <c r="AO140" i="17"/>
  <c r="E141" i="17"/>
  <c r="W141" i="17"/>
  <c r="X141" i="17"/>
  <c r="Y141" i="17"/>
  <c r="Z141" i="17"/>
  <c r="AA141" i="17"/>
  <c r="AB141" i="17"/>
  <c r="E142" i="17"/>
  <c r="AA142" i="17"/>
  <c r="AB142" i="17"/>
  <c r="D143" i="17"/>
  <c r="E143" i="17"/>
  <c r="F143" i="17"/>
  <c r="D144" i="17"/>
  <c r="F144" i="17"/>
  <c r="D145" i="17"/>
  <c r="F145" i="17"/>
  <c r="D146" i="17"/>
  <c r="F146" i="17"/>
  <c r="K146" i="17"/>
  <c r="D147" i="17"/>
  <c r="F147" i="17"/>
  <c r="J146" i="17"/>
  <c r="J147" i="17"/>
  <c r="Y143" i="17"/>
  <c r="E144" i="17"/>
  <c r="E145" i="17"/>
  <c r="E146" i="17"/>
  <c r="W146" i="17"/>
  <c r="X146" i="17"/>
  <c r="Y146" i="17"/>
  <c r="Z146" i="17"/>
  <c r="AA146" i="17"/>
  <c r="AB146" i="17"/>
  <c r="AO146" i="17"/>
  <c r="E147" i="17"/>
  <c r="W147" i="17"/>
  <c r="X147" i="17"/>
  <c r="Y147" i="17"/>
  <c r="Z147" i="17"/>
  <c r="AA147" i="17"/>
  <c r="AB147" i="17"/>
  <c r="AO147" i="17"/>
  <c r="D148" i="17"/>
  <c r="E148" i="17"/>
  <c r="F148" i="17"/>
  <c r="N148" i="17"/>
  <c r="D149" i="17"/>
  <c r="K149" i="17" s="1"/>
  <c r="F149" i="17"/>
  <c r="D150" i="17"/>
  <c r="F150" i="17"/>
  <c r="D151" i="17"/>
  <c r="F151" i="17"/>
  <c r="K151" i="17"/>
  <c r="D152" i="17"/>
  <c r="F152" i="17"/>
  <c r="J149" i="17"/>
  <c r="W148" i="17"/>
  <c r="X148" i="17"/>
  <c r="Y148" i="17"/>
  <c r="Z148" i="17"/>
  <c r="AO148" i="17"/>
  <c r="E149" i="17"/>
  <c r="W149" i="17"/>
  <c r="X149" i="17"/>
  <c r="Y149" i="17"/>
  <c r="Z149" i="17"/>
  <c r="AO149" i="17"/>
  <c r="E150" i="17"/>
  <c r="AO150" i="17"/>
  <c r="E151" i="17"/>
  <c r="X151" i="17"/>
  <c r="E152" i="17"/>
  <c r="D153" i="17"/>
  <c r="E153" i="17"/>
  <c r="F153" i="17"/>
  <c r="D154" i="17"/>
  <c r="F154" i="17"/>
  <c r="D155" i="17"/>
  <c r="F155" i="17"/>
  <c r="J154" i="17"/>
  <c r="J155" i="17"/>
  <c r="E154" i="17"/>
  <c r="W154" i="17"/>
  <c r="X154" i="17"/>
  <c r="Y154" i="17"/>
  <c r="Z154" i="17"/>
  <c r="AA154" i="17"/>
  <c r="AB154" i="17"/>
  <c r="AO154" i="17"/>
  <c r="E155" i="17"/>
  <c r="W155" i="17"/>
  <c r="X155" i="17"/>
  <c r="Y155" i="17"/>
  <c r="Z155" i="17"/>
  <c r="AA155" i="17"/>
  <c r="AB155" i="17"/>
  <c r="AO155" i="17"/>
  <c r="D156" i="17"/>
  <c r="E156" i="17"/>
  <c r="F156" i="17"/>
  <c r="D157" i="17"/>
  <c r="K157" i="17" s="1"/>
  <c r="F157" i="17"/>
  <c r="D158" i="17"/>
  <c r="F158" i="17"/>
  <c r="K158" i="17"/>
  <c r="W156" i="17"/>
  <c r="X156" i="17"/>
  <c r="Y156" i="17"/>
  <c r="Z156" i="17"/>
  <c r="AA156" i="17"/>
  <c r="AB156" i="17"/>
  <c r="E157" i="17"/>
  <c r="W157" i="17"/>
  <c r="X157" i="17"/>
  <c r="Y157" i="17"/>
  <c r="Z157" i="17"/>
  <c r="AA157" i="17"/>
  <c r="AB157" i="17"/>
  <c r="E158" i="17"/>
  <c r="W158" i="17"/>
  <c r="X158" i="17"/>
  <c r="Y158" i="17"/>
  <c r="D159" i="17"/>
  <c r="E159" i="17"/>
  <c r="F159" i="17"/>
  <c r="J159" i="17"/>
  <c r="D160" i="17"/>
  <c r="F160" i="17"/>
  <c r="D161" i="17"/>
  <c r="F161" i="17"/>
  <c r="Y159" i="17"/>
  <c r="E160" i="17"/>
  <c r="Y160" i="17"/>
  <c r="Z160" i="17"/>
  <c r="E161" i="17"/>
  <c r="D162" i="17"/>
  <c r="E162" i="17"/>
  <c r="F162" i="17"/>
  <c r="J162" i="17"/>
  <c r="D163" i="17"/>
  <c r="F163" i="17"/>
  <c r="D164" i="17"/>
  <c r="F164" i="17"/>
  <c r="D165" i="17"/>
  <c r="F165" i="17"/>
  <c r="K165" i="17"/>
  <c r="J163" i="17"/>
  <c r="J164" i="17"/>
  <c r="W162" i="17"/>
  <c r="X162" i="17"/>
  <c r="Y162" i="17"/>
  <c r="Z162" i="17"/>
  <c r="AA162" i="17"/>
  <c r="AB162" i="17"/>
  <c r="AO162" i="17"/>
  <c r="E163" i="17"/>
  <c r="W163" i="17"/>
  <c r="X163" i="17"/>
  <c r="Y163" i="17"/>
  <c r="Z163" i="17"/>
  <c r="AA163" i="17"/>
  <c r="AB163" i="17"/>
  <c r="AO163" i="17"/>
  <c r="E164" i="17"/>
  <c r="W164" i="17"/>
  <c r="X164" i="17"/>
  <c r="Y164" i="17"/>
  <c r="Z164" i="17"/>
  <c r="AA164" i="17"/>
  <c r="E165" i="17"/>
  <c r="W165" i="17"/>
  <c r="X165" i="17"/>
  <c r="Y165" i="17"/>
  <c r="Z165" i="17"/>
  <c r="AA165" i="17"/>
  <c r="AB165" i="17"/>
  <c r="D166" i="17"/>
  <c r="E166" i="17"/>
  <c r="F166" i="17"/>
  <c r="D167" i="17"/>
  <c r="F167" i="17"/>
  <c r="D168" i="17"/>
  <c r="F168" i="17"/>
  <c r="D169" i="17"/>
  <c r="F169" i="17"/>
  <c r="Z166" i="17"/>
  <c r="AB166" i="17"/>
  <c r="AO166" i="17"/>
  <c r="E167" i="17"/>
  <c r="E168" i="17"/>
  <c r="X168" i="17"/>
  <c r="E169" i="17"/>
  <c r="D170" i="17"/>
  <c r="E170" i="17"/>
  <c r="F170" i="17"/>
  <c r="J170" i="17"/>
  <c r="K170" i="17"/>
  <c r="D171" i="17"/>
  <c r="F171" i="17"/>
  <c r="D172" i="17"/>
  <c r="F172" i="17"/>
  <c r="J171" i="17"/>
  <c r="J172" i="17"/>
  <c r="W170" i="17"/>
  <c r="X170" i="17"/>
  <c r="Y170" i="17"/>
  <c r="Z170" i="17"/>
  <c r="AA170" i="17"/>
  <c r="AB170" i="17"/>
  <c r="AO170" i="17"/>
  <c r="E171" i="17"/>
  <c r="W171" i="17"/>
  <c r="X171" i="17"/>
  <c r="Y171" i="17"/>
  <c r="Z171" i="17"/>
  <c r="AA171" i="17"/>
  <c r="AB171" i="17"/>
  <c r="AO171" i="17"/>
  <c r="E172" i="17"/>
  <c r="W172" i="17"/>
  <c r="X172" i="17"/>
  <c r="Y172" i="17"/>
  <c r="Z172" i="17"/>
  <c r="AA172" i="17"/>
  <c r="AB172" i="17"/>
  <c r="D173" i="17"/>
  <c r="E173" i="17"/>
  <c r="F173" i="17"/>
  <c r="J173" i="17"/>
  <c r="D174" i="17"/>
  <c r="F174" i="17"/>
  <c r="D175" i="17"/>
  <c r="F175" i="17"/>
  <c r="J174" i="17"/>
  <c r="W173" i="17"/>
  <c r="X173" i="17"/>
  <c r="Y173" i="17"/>
  <c r="Z173" i="17"/>
  <c r="AA173" i="17"/>
  <c r="AO173" i="17"/>
  <c r="E174" i="17"/>
  <c r="W174" i="17"/>
  <c r="X174" i="17"/>
  <c r="Y174" i="17"/>
  <c r="Z174" i="17"/>
  <c r="E175" i="17"/>
  <c r="N1" i="14"/>
  <c r="N2" i="14"/>
  <c r="N3" i="14"/>
  <c r="N4" i="14"/>
  <c r="AC84" i="17" s="1"/>
  <c r="D18" i="14"/>
  <c r="E18" i="14"/>
  <c r="K18" i="14" s="1"/>
  <c r="F18" i="14"/>
  <c r="G18" i="14"/>
  <c r="H18" i="14"/>
  <c r="I18" i="14"/>
  <c r="J18" i="14"/>
  <c r="L18" i="14"/>
  <c r="M18" i="14" s="1"/>
  <c r="C19" i="14"/>
  <c r="D19" i="14"/>
  <c r="E19" i="14"/>
  <c r="F19" i="14"/>
  <c r="G19" i="14"/>
  <c r="H19" i="14"/>
  <c r="I19" i="14"/>
  <c r="J19" i="14"/>
  <c r="L19" i="14"/>
  <c r="M19" i="14"/>
  <c r="C20" i="14"/>
  <c r="D20" i="14"/>
  <c r="E20" i="14"/>
  <c r="F20" i="14"/>
  <c r="G20" i="14"/>
  <c r="H20" i="14"/>
  <c r="I20" i="14"/>
  <c r="J20" i="14"/>
  <c r="K20" i="14"/>
  <c r="L20" i="14"/>
  <c r="M20" i="14" s="1"/>
  <c r="C21" i="14"/>
  <c r="D21" i="14"/>
  <c r="E21" i="14"/>
  <c r="F21" i="14"/>
  <c r="G21" i="14"/>
  <c r="H21" i="14"/>
  <c r="I21" i="14"/>
  <c r="J21" i="14"/>
  <c r="L21" i="14"/>
  <c r="C22" i="14"/>
  <c r="D22" i="14"/>
  <c r="E22" i="14"/>
  <c r="F22" i="14"/>
  <c r="G22" i="14"/>
  <c r="H22" i="14"/>
  <c r="I22" i="14"/>
  <c r="J22" i="14"/>
  <c r="L22" i="14"/>
  <c r="M22" i="14" s="1"/>
  <c r="C23" i="14"/>
  <c r="D23" i="14"/>
  <c r="E23" i="14"/>
  <c r="K23" i="14" s="1"/>
  <c r="F23" i="14"/>
  <c r="G23" i="14"/>
  <c r="H23" i="14"/>
  <c r="I23" i="14"/>
  <c r="J23" i="14"/>
  <c r="L23" i="14"/>
  <c r="M23" i="14" s="1"/>
  <c r="C24" i="14"/>
  <c r="D24" i="14"/>
  <c r="E24" i="14"/>
  <c r="F24" i="14"/>
  <c r="G24" i="14"/>
  <c r="H24" i="14"/>
  <c r="I24" i="14"/>
  <c r="J24" i="14"/>
  <c r="L24" i="14"/>
  <c r="M24" i="14"/>
  <c r="C25" i="14"/>
  <c r="D25" i="14"/>
  <c r="E25" i="14"/>
  <c r="F25" i="14"/>
  <c r="G25" i="14"/>
  <c r="H25" i="14"/>
  <c r="I25" i="14"/>
  <c r="J25" i="14"/>
  <c r="L25" i="14"/>
  <c r="M25" i="14" s="1"/>
  <c r="C26" i="14"/>
  <c r="D26" i="14"/>
  <c r="E26" i="14"/>
  <c r="K26" i="14" s="1"/>
  <c r="F26" i="14"/>
  <c r="G26" i="14"/>
  <c r="H26" i="14"/>
  <c r="I26" i="14"/>
  <c r="J26" i="14"/>
  <c r="L26" i="14"/>
  <c r="M26" i="14" s="1"/>
  <c r="C27" i="14"/>
  <c r="D27" i="14"/>
  <c r="E27" i="14"/>
  <c r="F27" i="14"/>
  <c r="G27" i="14"/>
  <c r="H27" i="14"/>
  <c r="I27" i="14"/>
  <c r="J27" i="14"/>
  <c r="L27" i="14"/>
  <c r="M27" i="14"/>
  <c r="C28" i="14"/>
  <c r="D28" i="14"/>
  <c r="E28" i="14"/>
  <c r="K28" i="14" s="1"/>
  <c r="F28" i="14"/>
  <c r="G28" i="14"/>
  <c r="H28" i="14"/>
  <c r="I28" i="14"/>
  <c r="J28" i="14"/>
  <c r="L28" i="14"/>
  <c r="M28" i="14" s="1"/>
  <c r="C29" i="14"/>
  <c r="D29" i="14"/>
  <c r="E29" i="14"/>
  <c r="F29" i="14"/>
  <c r="G29" i="14"/>
  <c r="H29" i="14"/>
  <c r="I29" i="14"/>
  <c r="J29" i="14"/>
  <c r="L29" i="14"/>
  <c r="M29" i="14" s="1"/>
  <c r="C30" i="14"/>
  <c r="D30" i="14"/>
  <c r="E30" i="14"/>
  <c r="F30" i="14"/>
  <c r="G30" i="14"/>
  <c r="H30" i="14"/>
  <c r="I30" i="14"/>
  <c r="J30" i="14"/>
  <c r="L30" i="14"/>
  <c r="M30" i="14" s="1"/>
  <c r="C31" i="14"/>
  <c r="D31" i="14"/>
  <c r="E31" i="14"/>
  <c r="F31" i="14"/>
  <c r="K31" i="14" s="1"/>
  <c r="G31" i="14"/>
  <c r="H31" i="14"/>
  <c r="I31" i="14"/>
  <c r="J31" i="14"/>
  <c r="L31" i="14"/>
  <c r="M31" i="14" s="1"/>
  <c r="C32" i="14"/>
  <c r="D32" i="14"/>
  <c r="E32" i="14"/>
  <c r="F32" i="14"/>
  <c r="G32" i="14"/>
  <c r="H32" i="14"/>
  <c r="I32" i="14"/>
  <c r="J32" i="14"/>
  <c r="L32" i="14"/>
  <c r="C33" i="14"/>
  <c r="D33" i="14"/>
  <c r="E33" i="14"/>
  <c r="F33" i="14"/>
  <c r="G33" i="14"/>
  <c r="H33" i="14"/>
  <c r="I33" i="14"/>
  <c r="J33" i="14"/>
  <c r="L33" i="14"/>
  <c r="C34" i="14"/>
  <c r="D34" i="14"/>
  <c r="E34" i="14"/>
  <c r="F34" i="14"/>
  <c r="G34" i="14"/>
  <c r="H34" i="14"/>
  <c r="I34" i="14"/>
  <c r="J34" i="14"/>
  <c r="L34" i="14"/>
  <c r="C35" i="14"/>
  <c r="D35" i="14"/>
  <c r="E35" i="14"/>
  <c r="F35" i="14"/>
  <c r="G35" i="14"/>
  <c r="H35" i="14"/>
  <c r="I35" i="14"/>
  <c r="J35" i="14"/>
  <c r="L35" i="14"/>
  <c r="M35" i="14" s="1"/>
  <c r="C36" i="14"/>
  <c r="D36" i="14"/>
  <c r="E36" i="14"/>
  <c r="F36" i="14"/>
  <c r="G36" i="14"/>
  <c r="H36" i="14"/>
  <c r="I36" i="14"/>
  <c r="J36" i="14"/>
  <c r="L36" i="14"/>
  <c r="M36" i="14"/>
  <c r="C37" i="14"/>
  <c r="D37" i="14"/>
  <c r="E37" i="14"/>
  <c r="F37" i="14"/>
  <c r="G37" i="14"/>
  <c r="H37" i="14"/>
  <c r="I37" i="14"/>
  <c r="J37" i="14"/>
  <c r="L37" i="14"/>
  <c r="C38" i="14"/>
  <c r="D38" i="14"/>
  <c r="E38" i="14"/>
  <c r="F38" i="14"/>
  <c r="G38" i="14"/>
  <c r="H38" i="14"/>
  <c r="I38" i="14"/>
  <c r="J38" i="14"/>
  <c r="L38" i="14"/>
  <c r="M38" i="14"/>
  <c r="C39" i="14"/>
  <c r="D39" i="14"/>
  <c r="E39" i="14"/>
  <c r="F39" i="14"/>
  <c r="G39" i="14"/>
  <c r="H39" i="14"/>
  <c r="I39" i="14"/>
  <c r="J39" i="14"/>
  <c r="K39" i="14"/>
  <c r="L39" i="14"/>
  <c r="M39" i="14" s="1"/>
  <c r="C40" i="14"/>
  <c r="D40" i="14"/>
  <c r="E40" i="14"/>
  <c r="F40" i="14"/>
  <c r="G40" i="14"/>
  <c r="H40" i="14"/>
  <c r="I40" i="14"/>
  <c r="J40" i="14"/>
  <c r="L40" i="14"/>
  <c r="M40" i="14" s="1"/>
  <c r="C41" i="14"/>
  <c r="D41" i="14"/>
  <c r="M41" i="14" s="1"/>
  <c r="E41" i="14"/>
  <c r="F41" i="14"/>
  <c r="G41" i="14"/>
  <c r="H41" i="14"/>
  <c r="I41" i="14"/>
  <c r="J41" i="14"/>
  <c r="L41" i="14"/>
  <c r="C42" i="14"/>
  <c r="D42" i="14"/>
  <c r="E42" i="14"/>
  <c r="F42" i="14"/>
  <c r="G42" i="14"/>
  <c r="H42" i="14"/>
  <c r="I42" i="14"/>
  <c r="J42" i="14"/>
  <c r="L42" i="14"/>
  <c r="M42" i="14" s="1"/>
  <c r="C43" i="14"/>
  <c r="D43" i="14"/>
  <c r="E43" i="14"/>
  <c r="F43" i="14"/>
  <c r="G43" i="14"/>
  <c r="H43" i="14"/>
  <c r="I43" i="14"/>
  <c r="J43" i="14"/>
  <c r="L43" i="14"/>
  <c r="M43" i="14"/>
  <c r="C44" i="14"/>
  <c r="D44" i="14"/>
  <c r="E44" i="14"/>
  <c r="K44" i="14" s="1"/>
  <c r="F44" i="14"/>
  <c r="G44" i="14"/>
  <c r="H44" i="14"/>
  <c r="I44" i="14"/>
  <c r="J44" i="14"/>
  <c r="L44" i="14"/>
  <c r="M44" i="14"/>
  <c r="C45" i="14"/>
  <c r="D45" i="14"/>
  <c r="E45" i="14"/>
  <c r="F45" i="14"/>
  <c r="G45" i="14"/>
  <c r="H45" i="14"/>
  <c r="I45" i="14"/>
  <c r="J45" i="14"/>
  <c r="L45" i="14"/>
  <c r="M45" i="14" s="1"/>
  <c r="C46" i="14"/>
  <c r="D46" i="14"/>
  <c r="E46" i="14"/>
  <c r="F46" i="14"/>
  <c r="G46" i="14"/>
  <c r="H46" i="14"/>
  <c r="I46" i="14"/>
  <c r="J46" i="14"/>
  <c r="L46" i="14"/>
  <c r="M46" i="14" s="1"/>
  <c r="C47" i="14"/>
  <c r="D47" i="14"/>
  <c r="E47" i="14"/>
  <c r="F47" i="14"/>
  <c r="K47" i="14" s="1"/>
  <c r="G47" i="14"/>
  <c r="H47" i="14"/>
  <c r="I47" i="14"/>
  <c r="J47" i="14"/>
  <c r="L47" i="14"/>
  <c r="M47" i="14" s="1"/>
  <c r="C48" i="14"/>
  <c r="D48" i="14"/>
  <c r="E48" i="14"/>
  <c r="F48" i="14"/>
  <c r="K48" i="14" s="1"/>
  <c r="G48" i="14"/>
  <c r="H48" i="14"/>
  <c r="I48" i="14"/>
  <c r="J48" i="14"/>
  <c r="L48" i="14"/>
  <c r="C49" i="14"/>
  <c r="D49" i="14"/>
  <c r="M49" i="14" s="1"/>
  <c r="E49" i="14"/>
  <c r="K49" i="14" s="1"/>
  <c r="F49" i="14"/>
  <c r="G49" i="14"/>
  <c r="H49" i="14"/>
  <c r="I49" i="14"/>
  <c r="J49" i="14"/>
  <c r="L49" i="14"/>
  <c r="C50" i="14"/>
  <c r="D50" i="14"/>
  <c r="E50" i="14"/>
  <c r="F50" i="14"/>
  <c r="K50" i="14" s="1"/>
  <c r="G50" i="14"/>
  <c r="H50" i="14"/>
  <c r="I50" i="14"/>
  <c r="J50" i="14"/>
  <c r="L50" i="14"/>
  <c r="M50" i="14" s="1"/>
  <c r="C51" i="14"/>
  <c r="D51" i="14"/>
  <c r="E51" i="14"/>
  <c r="F51" i="14"/>
  <c r="G51" i="14"/>
  <c r="H51" i="14"/>
  <c r="I51" i="14"/>
  <c r="J51" i="14"/>
  <c r="L51" i="14"/>
  <c r="M51" i="14"/>
  <c r="C52" i="14"/>
  <c r="D52" i="14"/>
  <c r="E52" i="14"/>
  <c r="F52" i="14"/>
  <c r="G52" i="14"/>
  <c r="H52" i="14"/>
  <c r="I52" i="14"/>
  <c r="J52" i="14"/>
  <c r="L52" i="14"/>
  <c r="M52" i="14" s="1"/>
  <c r="C53" i="14"/>
  <c r="D53" i="14"/>
  <c r="E53" i="14"/>
  <c r="F53" i="14"/>
  <c r="G53" i="14"/>
  <c r="H53" i="14"/>
  <c r="I53" i="14"/>
  <c r="J53" i="14"/>
  <c r="L53" i="14"/>
  <c r="C54" i="14"/>
  <c r="D54" i="14"/>
  <c r="E54" i="14"/>
  <c r="F54" i="14"/>
  <c r="G54" i="14"/>
  <c r="H54" i="14"/>
  <c r="I54" i="14"/>
  <c r="J54" i="14"/>
  <c r="L54" i="14"/>
  <c r="M54" i="14"/>
  <c r="C55" i="14"/>
  <c r="D55" i="14"/>
  <c r="E55" i="14"/>
  <c r="F55" i="14"/>
  <c r="G55" i="14"/>
  <c r="H55" i="14"/>
  <c r="I55" i="14"/>
  <c r="J55" i="14"/>
  <c r="L55" i="14"/>
  <c r="M55" i="14" s="1"/>
  <c r="C56" i="14"/>
  <c r="D56" i="14"/>
  <c r="E56" i="14"/>
  <c r="F56" i="14"/>
  <c r="G56" i="14"/>
  <c r="H56" i="14"/>
  <c r="I56" i="14"/>
  <c r="J56" i="14"/>
  <c r="L56" i="14"/>
  <c r="C57" i="14"/>
  <c r="D57" i="14"/>
  <c r="E57" i="14"/>
  <c r="F57" i="14"/>
  <c r="G57" i="14"/>
  <c r="H57" i="14"/>
  <c r="I57" i="14"/>
  <c r="J57" i="14"/>
  <c r="L57" i="14"/>
  <c r="C58" i="14"/>
  <c r="D58" i="14"/>
  <c r="E58" i="14"/>
  <c r="F58" i="14"/>
  <c r="K58" i="14" s="1"/>
  <c r="G58" i="14"/>
  <c r="H58" i="14"/>
  <c r="I58" i="14"/>
  <c r="J58" i="14"/>
  <c r="L58" i="14"/>
  <c r="M58" i="14" s="1"/>
  <c r="C59" i="14"/>
  <c r="D59" i="14"/>
  <c r="E59" i="14"/>
  <c r="F59" i="14"/>
  <c r="G59" i="14"/>
  <c r="H59" i="14"/>
  <c r="I59" i="14"/>
  <c r="J59" i="14"/>
  <c r="L59" i="14"/>
  <c r="M59" i="14"/>
  <c r="C60" i="14"/>
  <c r="D60" i="14"/>
  <c r="M60" i="14" s="1"/>
  <c r="E60" i="14"/>
  <c r="F60" i="14"/>
  <c r="G60" i="14"/>
  <c r="H60" i="14"/>
  <c r="I60" i="14"/>
  <c r="J60" i="14"/>
  <c r="L60" i="14"/>
  <c r="C61" i="14"/>
  <c r="D61" i="14"/>
  <c r="E61" i="14"/>
  <c r="F61" i="14"/>
  <c r="G61" i="14"/>
  <c r="H61" i="14"/>
  <c r="I61" i="14"/>
  <c r="J61" i="14"/>
  <c r="L61" i="14"/>
  <c r="C62" i="14"/>
  <c r="D62" i="14"/>
  <c r="E62" i="14"/>
  <c r="F62" i="14"/>
  <c r="G62" i="14"/>
  <c r="H62" i="14"/>
  <c r="I62" i="14"/>
  <c r="J62" i="14"/>
  <c r="L62" i="14"/>
  <c r="M62" i="14" s="1"/>
  <c r="C63" i="14"/>
  <c r="D63" i="14"/>
  <c r="E63" i="14"/>
  <c r="F63" i="14"/>
  <c r="G63" i="14"/>
  <c r="H63" i="14"/>
  <c r="I63" i="14"/>
  <c r="J63" i="14"/>
  <c r="L63" i="14"/>
  <c r="M63" i="14" s="1"/>
  <c r="C64" i="14"/>
  <c r="D64" i="14"/>
  <c r="E64" i="14"/>
  <c r="F64" i="14"/>
  <c r="G64" i="14"/>
  <c r="H64" i="14"/>
  <c r="I64" i="14"/>
  <c r="J64" i="14"/>
  <c r="L64" i="14"/>
  <c r="C65" i="14"/>
  <c r="D65" i="14"/>
  <c r="M65" i="14" s="1"/>
  <c r="E65" i="14"/>
  <c r="F65" i="14"/>
  <c r="G65" i="14"/>
  <c r="H65" i="14"/>
  <c r="I65" i="14"/>
  <c r="J65" i="14"/>
  <c r="L65" i="14"/>
  <c r="C66" i="14"/>
  <c r="D66" i="14"/>
  <c r="E66" i="14"/>
  <c r="F66" i="14"/>
  <c r="K66" i="14" s="1"/>
  <c r="G66" i="14"/>
  <c r="H66" i="14"/>
  <c r="I66" i="14"/>
  <c r="J66" i="14"/>
  <c r="L66" i="14"/>
  <c r="M66" i="14" s="1"/>
  <c r="C67" i="14"/>
  <c r="D67" i="14"/>
  <c r="E67" i="14"/>
  <c r="F67" i="14"/>
  <c r="G67" i="14"/>
  <c r="H67" i="14"/>
  <c r="I67" i="14"/>
  <c r="J67" i="14"/>
  <c r="L67" i="14"/>
  <c r="M67" i="14" s="1"/>
  <c r="C68" i="14"/>
  <c r="D68" i="14"/>
  <c r="E68" i="14"/>
  <c r="F68" i="14"/>
  <c r="G68" i="14"/>
  <c r="H68" i="14"/>
  <c r="I68" i="14"/>
  <c r="J68" i="14"/>
  <c r="L68" i="14"/>
  <c r="M68" i="14" s="1"/>
  <c r="C69" i="14"/>
  <c r="D69" i="14"/>
  <c r="E69" i="14"/>
  <c r="F69" i="14"/>
  <c r="G69" i="14"/>
  <c r="H69" i="14"/>
  <c r="I69" i="14"/>
  <c r="J69" i="14"/>
  <c r="L69" i="14"/>
  <c r="C70" i="14"/>
  <c r="D70" i="14"/>
  <c r="M70" i="14" s="1"/>
  <c r="E70" i="14"/>
  <c r="F70" i="14"/>
  <c r="G70" i="14"/>
  <c r="H70" i="14"/>
  <c r="I70" i="14"/>
  <c r="J70" i="14"/>
  <c r="L70" i="14"/>
  <c r="C71" i="14"/>
  <c r="D71" i="14"/>
  <c r="E71" i="14"/>
  <c r="F71" i="14"/>
  <c r="G71" i="14"/>
  <c r="H71" i="14"/>
  <c r="I71" i="14"/>
  <c r="J71" i="14"/>
  <c r="K71" i="14" s="1"/>
  <c r="L71" i="14"/>
  <c r="C72" i="14"/>
  <c r="D72" i="14"/>
  <c r="E72" i="14"/>
  <c r="F72" i="14"/>
  <c r="G72" i="14"/>
  <c r="H72" i="14"/>
  <c r="I72" i="14"/>
  <c r="J72" i="14"/>
  <c r="L72" i="14"/>
  <c r="M72" i="14" s="1"/>
  <c r="C73" i="14"/>
  <c r="D73" i="14"/>
  <c r="M73" i="14" s="1"/>
  <c r="E73" i="14"/>
  <c r="F73" i="14"/>
  <c r="G73" i="14"/>
  <c r="H73" i="14"/>
  <c r="I73" i="14"/>
  <c r="J73" i="14"/>
  <c r="L73" i="14"/>
  <c r="C74" i="14"/>
  <c r="D74" i="14"/>
  <c r="E74" i="14"/>
  <c r="K74" i="14" s="1"/>
  <c r="F74" i="14"/>
  <c r="G74" i="14"/>
  <c r="H74" i="14"/>
  <c r="I74" i="14"/>
  <c r="J74" i="14"/>
  <c r="L74" i="14"/>
  <c r="M74" i="14"/>
  <c r="C75" i="14"/>
  <c r="D75" i="14"/>
  <c r="E75" i="14"/>
  <c r="F75" i="14"/>
  <c r="G75" i="14"/>
  <c r="H75" i="14"/>
  <c r="I75" i="14"/>
  <c r="J75" i="14"/>
  <c r="L75" i="14"/>
  <c r="M75" i="14" s="1"/>
  <c r="C76" i="14"/>
  <c r="D76" i="14"/>
  <c r="M76" i="14" s="1"/>
  <c r="E76" i="14"/>
  <c r="F76" i="14"/>
  <c r="G76" i="14"/>
  <c r="H76" i="14"/>
  <c r="I76" i="14"/>
  <c r="J76" i="14"/>
  <c r="L76" i="14"/>
  <c r="C77" i="14"/>
  <c r="D77" i="14"/>
  <c r="E77" i="14"/>
  <c r="F77" i="14"/>
  <c r="G77" i="14"/>
  <c r="H77" i="14"/>
  <c r="I77" i="14"/>
  <c r="J77" i="14"/>
  <c r="L77" i="14"/>
  <c r="C78" i="14"/>
  <c r="D78" i="14"/>
  <c r="M78" i="14" s="1"/>
  <c r="E78" i="14"/>
  <c r="F78" i="14"/>
  <c r="G78" i="14"/>
  <c r="H78" i="14"/>
  <c r="I78" i="14"/>
  <c r="J78" i="14"/>
  <c r="L78" i="14"/>
  <c r="C79" i="14"/>
  <c r="D79" i="14"/>
  <c r="E79" i="14"/>
  <c r="F79" i="14"/>
  <c r="G79" i="14"/>
  <c r="H79" i="14"/>
  <c r="I79" i="14"/>
  <c r="J79" i="14"/>
  <c r="L79" i="14"/>
  <c r="C80" i="14"/>
  <c r="D80" i="14"/>
  <c r="E80" i="14"/>
  <c r="F80" i="14"/>
  <c r="G80" i="14"/>
  <c r="H80" i="14"/>
  <c r="I80" i="14"/>
  <c r="J80" i="14"/>
  <c r="L80" i="14"/>
  <c r="C81" i="14"/>
  <c r="D81" i="14"/>
  <c r="E81" i="14"/>
  <c r="F81" i="14"/>
  <c r="G81" i="14"/>
  <c r="H81" i="14"/>
  <c r="I81" i="14"/>
  <c r="J81" i="14"/>
  <c r="L81" i="14"/>
  <c r="C82" i="14"/>
  <c r="D82" i="14"/>
  <c r="E82" i="14"/>
  <c r="K82" i="14" s="1"/>
  <c r="F82" i="14"/>
  <c r="G82" i="14"/>
  <c r="H82" i="14"/>
  <c r="I82" i="14"/>
  <c r="J82" i="14"/>
  <c r="L82" i="14"/>
  <c r="M82" i="14" s="1"/>
  <c r="C83" i="14"/>
  <c r="D83" i="14"/>
  <c r="M83" i="14" s="1"/>
  <c r="E83" i="14"/>
  <c r="F83" i="14"/>
  <c r="G83" i="14"/>
  <c r="H83" i="14"/>
  <c r="I83" i="14"/>
  <c r="J83" i="14"/>
  <c r="L83" i="14"/>
  <c r="C84" i="14"/>
  <c r="D84" i="14"/>
  <c r="M84" i="14" s="1"/>
  <c r="E84" i="14"/>
  <c r="F84" i="14"/>
  <c r="G84" i="14"/>
  <c r="H84" i="14"/>
  <c r="I84" i="14"/>
  <c r="J84" i="14"/>
  <c r="L84" i="14"/>
  <c r="C85" i="14"/>
  <c r="D85" i="14"/>
  <c r="E85" i="14"/>
  <c r="F85" i="14"/>
  <c r="G85" i="14"/>
  <c r="H85" i="14"/>
  <c r="I85" i="14"/>
  <c r="J85" i="14"/>
  <c r="K85" i="14"/>
  <c r="L85" i="14"/>
  <c r="M85" i="14" s="1"/>
  <c r="C86" i="14"/>
  <c r="D86" i="14"/>
  <c r="M86" i="14" s="1"/>
  <c r="E86" i="14"/>
  <c r="F86" i="14"/>
  <c r="G86" i="14"/>
  <c r="H86" i="14"/>
  <c r="I86" i="14"/>
  <c r="J86" i="14"/>
  <c r="L86" i="14"/>
  <c r="C87" i="14"/>
  <c r="D87" i="14"/>
  <c r="M87" i="14" s="1"/>
  <c r="E87" i="14"/>
  <c r="F87" i="14"/>
  <c r="G87" i="14"/>
  <c r="H87" i="14"/>
  <c r="I87" i="14"/>
  <c r="J87" i="14"/>
  <c r="L87" i="14"/>
  <c r="C88" i="14"/>
  <c r="D88" i="14"/>
  <c r="E88" i="14"/>
  <c r="F88" i="14"/>
  <c r="G88" i="14"/>
  <c r="H88" i="14"/>
  <c r="I88" i="14"/>
  <c r="J88" i="14"/>
  <c r="L88" i="14"/>
  <c r="C89" i="14"/>
  <c r="D89" i="14"/>
  <c r="M89" i="14" s="1"/>
  <c r="E89" i="14"/>
  <c r="F89" i="14"/>
  <c r="G89" i="14"/>
  <c r="H89" i="14"/>
  <c r="I89" i="14"/>
  <c r="J89" i="14"/>
  <c r="L89" i="14"/>
  <c r="C90" i="14"/>
  <c r="D90" i="14"/>
  <c r="E90" i="14"/>
  <c r="F90" i="14"/>
  <c r="G90" i="14"/>
  <c r="H90" i="14"/>
  <c r="I90" i="14"/>
  <c r="J90" i="14"/>
  <c r="K90" i="14"/>
  <c r="L90" i="14"/>
  <c r="M90" i="14" s="1"/>
  <c r="C91" i="14"/>
  <c r="D91" i="14"/>
  <c r="M91" i="14" s="1"/>
  <c r="E91" i="14"/>
  <c r="F91" i="14"/>
  <c r="G91" i="14"/>
  <c r="H91" i="14"/>
  <c r="I91" i="14"/>
  <c r="J91" i="14"/>
  <c r="L91" i="14"/>
  <c r="C92" i="14"/>
  <c r="D92" i="14"/>
  <c r="M92" i="14" s="1"/>
  <c r="E92" i="14"/>
  <c r="F92" i="14"/>
  <c r="G92" i="14"/>
  <c r="H92" i="14"/>
  <c r="I92" i="14"/>
  <c r="J92" i="14"/>
  <c r="L92" i="14"/>
  <c r="C93" i="14"/>
  <c r="D93" i="14"/>
  <c r="E93" i="14"/>
  <c r="K93" i="14" s="1"/>
  <c r="F93" i="14"/>
  <c r="G93" i="14"/>
  <c r="H93" i="14"/>
  <c r="I93" i="14"/>
  <c r="J93" i="14"/>
  <c r="L93" i="14"/>
  <c r="M93" i="14" s="1"/>
  <c r="C94" i="14"/>
  <c r="D94" i="14"/>
  <c r="M94" i="14" s="1"/>
  <c r="E94" i="14"/>
  <c r="F94" i="14"/>
  <c r="G94" i="14"/>
  <c r="H94" i="14"/>
  <c r="I94" i="14"/>
  <c r="J94" i="14"/>
  <c r="L94" i="14"/>
  <c r="C95" i="14"/>
  <c r="D95" i="14"/>
  <c r="M95" i="14" s="1"/>
  <c r="E95" i="14"/>
  <c r="F95" i="14"/>
  <c r="G95" i="14"/>
  <c r="H95" i="14"/>
  <c r="I95" i="14"/>
  <c r="J95" i="14"/>
  <c r="L95" i="14"/>
  <c r="L157" i="17" l="1"/>
  <c r="M149" i="17"/>
  <c r="M93" i="17"/>
  <c r="Q161" i="17"/>
  <c r="U153" i="17"/>
  <c r="U145" i="17"/>
  <c r="S36" i="17"/>
  <c r="K55" i="14"/>
  <c r="M34" i="14"/>
  <c r="K171" i="17"/>
  <c r="K84" i="17"/>
  <c r="K61" i="17"/>
  <c r="K59" i="17"/>
  <c r="S152" i="17"/>
  <c r="X104" i="17"/>
  <c r="AC104" i="17"/>
  <c r="AO104" i="17"/>
  <c r="M69" i="14"/>
  <c r="K68" i="14"/>
  <c r="M33" i="14"/>
  <c r="W168" i="17"/>
  <c r="S137" i="17"/>
  <c r="Q129" i="17"/>
  <c r="K11" i="17"/>
  <c r="K122" i="17"/>
  <c r="K42" i="17"/>
  <c r="P171" i="17"/>
  <c r="L163" i="17"/>
  <c r="AK163" i="17" s="1"/>
  <c r="W151" i="17"/>
  <c r="J151" i="17"/>
  <c r="T95" i="17"/>
  <c r="K84" i="14"/>
  <c r="M80" i="14"/>
  <c r="M79" i="14"/>
  <c r="M64" i="14"/>
  <c r="M53" i="14"/>
  <c r="K52" i="14"/>
  <c r="M48" i="14"/>
  <c r="K34" i="14"/>
  <c r="M32" i="14"/>
  <c r="K162" i="17"/>
  <c r="K118" i="17"/>
  <c r="O121" i="17" s="1"/>
  <c r="K91" i="17"/>
  <c r="V83" i="17"/>
  <c r="R130" i="17"/>
  <c r="Q90" i="17"/>
  <c r="AP90" i="17" s="1"/>
  <c r="K5" i="17"/>
  <c r="AO158" i="17"/>
  <c r="J158" i="17"/>
  <c r="J150" i="17"/>
  <c r="P151" i="17" s="1"/>
  <c r="AA150" i="17"/>
  <c r="K150" i="17"/>
  <c r="AB150" i="17"/>
  <c r="K142" i="17"/>
  <c r="AO142" i="17"/>
  <c r="K134" i="17"/>
  <c r="AO134" i="17"/>
  <c r="N134" i="17"/>
  <c r="AE134" i="17" s="1"/>
  <c r="AB126" i="17"/>
  <c r="AO126" i="17"/>
  <c r="AB110" i="17"/>
  <c r="J110" i="17"/>
  <c r="AO110" i="17"/>
  <c r="J102" i="17"/>
  <c r="P101" i="17" s="1"/>
  <c r="AK101" i="17" s="1"/>
  <c r="AO102" i="17"/>
  <c r="J94" i="17"/>
  <c r="P93" i="17" s="1"/>
  <c r="AB94" i="17"/>
  <c r="AO94" i="17"/>
  <c r="Y86" i="17"/>
  <c r="Z86" i="17"/>
  <c r="J78" i="17"/>
  <c r="AO78" i="17"/>
  <c r="X70" i="17"/>
  <c r="Y70" i="17"/>
  <c r="Y62" i="17"/>
  <c r="Z62" i="17"/>
  <c r="Z54" i="17"/>
  <c r="J54" i="17"/>
  <c r="AA54" i="17"/>
  <c r="AA46" i="17"/>
  <c r="AB46" i="17"/>
  <c r="J38" i="17"/>
  <c r="W38" i="17"/>
  <c r="W30" i="17"/>
  <c r="X30" i="17"/>
  <c r="K22" i="17"/>
  <c r="K92" i="14"/>
  <c r="M88" i="14"/>
  <c r="K87" i="14"/>
  <c r="K79" i="14"/>
  <c r="K41" i="14"/>
  <c r="M37" i="14"/>
  <c r="K36" i="14"/>
  <c r="AB167" i="17"/>
  <c r="Y166" i="17"/>
  <c r="AC161" i="17"/>
  <c r="Z150" i="17"/>
  <c r="J144" i="17"/>
  <c r="Z142" i="17"/>
  <c r="AO136" i="17"/>
  <c r="Y134" i="17"/>
  <c r="Z127" i="17"/>
  <c r="W126" i="17"/>
  <c r="Y118" i="17"/>
  <c r="K116" i="17"/>
  <c r="AB112" i="17"/>
  <c r="W110" i="17"/>
  <c r="Y102" i="17"/>
  <c r="K94" i="17"/>
  <c r="AB86" i="17"/>
  <c r="W78" i="17"/>
  <c r="K74" i="17"/>
  <c r="Y54" i="17"/>
  <c r="Y46" i="17"/>
  <c r="K43" i="17"/>
  <c r="AA30" i="17"/>
  <c r="K10" i="17"/>
  <c r="AO6" i="17"/>
  <c r="J165" i="17"/>
  <c r="AO165" i="17"/>
  <c r="J157" i="17"/>
  <c r="AK157" i="17" s="1"/>
  <c r="AO157" i="17"/>
  <c r="AA149" i="17"/>
  <c r="AB149" i="17"/>
  <c r="Q141" i="17"/>
  <c r="AP141" i="17" s="1"/>
  <c r="AO141" i="17"/>
  <c r="R141" i="17"/>
  <c r="AB125" i="17"/>
  <c r="AO125" i="17"/>
  <c r="AA117" i="17"/>
  <c r="K117" i="17"/>
  <c r="AI117" i="17" s="1"/>
  <c r="AB117" i="17"/>
  <c r="J109" i="17"/>
  <c r="AO109" i="17"/>
  <c r="J101" i="17"/>
  <c r="AO101" i="17"/>
  <c r="K101" i="17"/>
  <c r="O101" i="17" s="1"/>
  <c r="AI101" i="17" s="1"/>
  <c r="AB93" i="17"/>
  <c r="AO93" i="17"/>
  <c r="Y85" i="17"/>
  <c r="J85" i="17"/>
  <c r="P89" i="17" s="1"/>
  <c r="AK89" i="17" s="1"/>
  <c r="Z85" i="17"/>
  <c r="J69" i="17"/>
  <c r="AB69" i="17"/>
  <c r="AO69" i="17"/>
  <c r="Y61" i="17"/>
  <c r="Z61" i="17"/>
  <c r="X53" i="17"/>
  <c r="Y53" i="17"/>
  <c r="Z45" i="17"/>
  <c r="AA45" i="17"/>
  <c r="J37" i="17"/>
  <c r="W37" i="17"/>
  <c r="W29" i="17"/>
  <c r="X29" i="17"/>
  <c r="X21" i="17"/>
  <c r="Y21" i="17"/>
  <c r="K95" i="14"/>
  <c r="M77" i="14"/>
  <c r="K76" i="14"/>
  <c r="K63" i="14"/>
  <c r="M57" i="14"/>
  <c r="AA167" i="17"/>
  <c r="X166" i="17"/>
  <c r="AB158" i="17"/>
  <c r="Y150" i="17"/>
  <c r="J152" i="17"/>
  <c r="Y142" i="17"/>
  <c r="X134" i="17"/>
  <c r="K130" i="17"/>
  <c r="Y127" i="17"/>
  <c r="X118" i="17"/>
  <c r="N110" i="17"/>
  <c r="X102" i="17"/>
  <c r="AA86" i="17"/>
  <c r="AO70" i="17"/>
  <c r="W54" i="17"/>
  <c r="X46" i="17"/>
  <c r="K46" i="17"/>
  <c r="K38" i="17"/>
  <c r="Y30" i="17"/>
  <c r="Y6" i="17"/>
  <c r="AB164" i="17"/>
  <c r="AO164" i="17"/>
  <c r="J156" i="17"/>
  <c r="AO156" i="17"/>
  <c r="K156" i="17"/>
  <c r="AA148" i="17"/>
  <c r="J148" i="17"/>
  <c r="AB148" i="17"/>
  <c r="W140" i="17"/>
  <c r="X140" i="17"/>
  <c r="AB132" i="17"/>
  <c r="AO132" i="17"/>
  <c r="R124" i="17"/>
  <c r="AC124" i="17"/>
  <c r="S124" i="17"/>
  <c r="AO124" i="17"/>
  <c r="AA116" i="17"/>
  <c r="AB116" i="17"/>
  <c r="Y100" i="17"/>
  <c r="Z100" i="17"/>
  <c r="AB92" i="17"/>
  <c r="AO92" i="17"/>
  <c r="X84" i="17"/>
  <c r="J84" i="17"/>
  <c r="Y84" i="17"/>
  <c r="AO76" i="17"/>
  <c r="R76" i="17"/>
  <c r="AB68" i="17"/>
  <c r="AO68" i="17"/>
  <c r="Y60" i="17"/>
  <c r="Z60" i="17"/>
  <c r="K52" i="17"/>
  <c r="X52" i="17"/>
  <c r="Y52" i="17"/>
  <c r="Z44" i="17"/>
  <c r="AA44" i="17"/>
  <c r="X36" i="17"/>
  <c r="Y36" i="17"/>
  <c r="W28" i="17"/>
  <c r="X28" i="17"/>
  <c r="X20" i="17"/>
  <c r="Y20" i="17"/>
  <c r="K12" i="17"/>
  <c r="AB12" i="17"/>
  <c r="AO12" i="17"/>
  <c r="M21" i="14"/>
  <c r="AO174" i="17"/>
  <c r="K174" i="17"/>
  <c r="S167" i="17"/>
  <c r="W166" i="17"/>
  <c r="J166" i="17"/>
  <c r="M163" i="17"/>
  <c r="AO160" i="17"/>
  <c r="K160" i="17"/>
  <c r="AA158" i="17"/>
  <c r="AO151" i="17"/>
  <c r="X150" i="17"/>
  <c r="X142" i="17"/>
  <c r="W134" i="17"/>
  <c r="J134" i="17"/>
  <c r="K124" i="17"/>
  <c r="O125" i="17" s="1"/>
  <c r="AB120" i="17"/>
  <c r="W118" i="17"/>
  <c r="K110" i="17"/>
  <c r="W102" i="17"/>
  <c r="X86" i="17"/>
  <c r="AB70" i="17"/>
  <c r="K70" i="17"/>
  <c r="N49" i="17"/>
  <c r="W46" i="17"/>
  <c r="AA22" i="17"/>
  <c r="X6" i="17"/>
  <c r="M81" i="14"/>
  <c r="M71" i="14"/>
  <c r="M61" i="14"/>
  <c r="K60" i="14"/>
  <c r="M56" i="14"/>
  <c r="K42" i="14"/>
  <c r="AA174" i="17"/>
  <c r="M169" i="17"/>
  <c r="R167" i="17"/>
  <c r="S166" i="17"/>
  <c r="Z158" i="17"/>
  <c r="Y151" i="17"/>
  <c r="W150" i="17"/>
  <c r="AA144" i="17"/>
  <c r="W142" i="17"/>
  <c r="W135" i="17"/>
  <c r="K126" i="17"/>
  <c r="AC103" i="17"/>
  <c r="AA94" i="17"/>
  <c r="W86" i="17"/>
  <c r="J87" i="17"/>
  <c r="K86" i="17"/>
  <c r="AB78" i="17"/>
  <c r="K75" i="17"/>
  <c r="AA70" i="17"/>
  <c r="AO62" i="17"/>
  <c r="K62" i="17"/>
  <c r="AO38" i="17"/>
  <c r="Y22" i="17"/>
  <c r="K164" i="17"/>
  <c r="K99" i="17"/>
  <c r="K18" i="17"/>
  <c r="K163" i="17"/>
  <c r="O165" i="17" s="1"/>
  <c r="K77" i="17"/>
  <c r="K68" i="17"/>
  <c r="K50" i="17"/>
  <c r="O50" i="17" s="1"/>
  <c r="K44" i="17"/>
  <c r="K36" i="17"/>
  <c r="K30" i="17"/>
  <c r="K57" i="14"/>
  <c r="K56" i="14"/>
  <c r="N172" i="17"/>
  <c r="L156" i="17"/>
  <c r="L126" i="17"/>
  <c r="Q93" i="17"/>
  <c r="AG93" i="17" s="1"/>
  <c r="V39" i="17"/>
  <c r="K51" i="14"/>
  <c r="K45" i="14"/>
  <c r="K38" i="14"/>
  <c r="U175" i="17"/>
  <c r="V174" i="17"/>
  <c r="Q170" i="17"/>
  <c r="AP170" i="17" s="1"/>
  <c r="AP161" i="17"/>
  <c r="M157" i="17"/>
  <c r="V153" i="17"/>
  <c r="V146" i="17"/>
  <c r="M139" i="17"/>
  <c r="AC135" i="17"/>
  <c r="V133" i="17"/>
  <c r="V131" i="17"/>
  <c r="AC128" i="17"/>
  <c r="S116" i="17"/>
  <c r="AF116" i="17" s="1"/>
  <c r="R96" i="17"/>
  <c r="T84" i="17"/>
  <c r="AQ84" i="17" s="1"/>
  <c r="U78" i="17"/>
  <c r="V15" i="17"/>
  <c r="K89" i="14"/>
  <c r="K88" i="14"/>
  <c r="K19" i="14"/>
  <c r="L173" i="17"/>
  <c r="AD173" i="17" s="1"/>
  <c r="M173" i="17"/>
  <c r="N173" i="17"/>
  <c r="AE173" i="17" s="1"/>
  <c r="N149" i="17"/>
  <c r="P149" i="17"/>
  <c r="L125" i="17"/>
  <c r="M125" i="17"/>
  <c r="L85" i="17"/>
  <c r="M85" i="17"/>
  <c r="N85" i="17"/>
  <c r="M21" i="17"/>
  <c r="N21" i="17"/>
  <c r="AE21" i="17" s="1"/>
  <c r="L21" i="17"/>
  <c r="R169" i="17"/>
  <c r="Z169" i="17"/>
  <c r="AH169" i="17"/>
  <c r="AQ169" i="17"/>
  <c r="S169" i="17"/>
  <c r="AF169" i="17" s="1"/>
  <c r="AA169" i="17"/>
  <c r="L169" i="17"/>
  <c r="AK169" i="17" s="1"/>
  <c r="T169" i="17"/>
  <c r="AB169" i="17"/>
  <c r="K169" i="17"/>
  <c r="AC169" i="17"/>
  <c r="AO169" i="17"/>
  <c r="V169" i="17"/>
  <c r="Q169" i="17"/>
  <c r="AP169" i="17" s="1"/>
  <c r="U169" i="17"/>
  <c r="J169" i="17"/>
  <c r="R145" i="17"/>
  <c r="Z145" i="17"/>
  <c r="S145" i="17"/>
  <c r="AF145" i="17" s="1"/>
  <c r="AA145" i="17"/>
  <c r="L145" i="17"/>
  <c r="AD145" i="17" s="1"/>
  <c r="T145" i="17"/>
  <c r="AQ145" i="17" s="1"/>
  <c r="AB145" i="17"/>
  <c r="K145" i="17"/>
  <c r="J145" i="17"/>
  <c r="W145" i="17"/>
  <c r="M145" i="17"/>
  <c r="X145" i="17"/>
  <c r="N145" i="17"/>
  <c r="Y145" i="17"/>
  <c r="AC145" i="17"/>
  <c r="AO145" i="17"/>
  <c r="N121" i="17"/>
  <c r="V121" i="17"/>
  <c r="AD121" i="17"/>
  <c r="AL121" i="17" s="1"/>
  <c r="J121" i="17"/>
  <c r="X121" i="17"/>
  <c r="AO121" i="17"/>
  <c r="S121" i="17"/>
  <c r="AF121" i="17" s="1"/>
  <c r="AC121" i="17"/>
  <c r="K121" i="17"/>
  <c r="W121" i="17"/>
  <c r="L121" i="17"/>
  <c r="Y121" i="17"/>
  <c r="M121" i="17"/>
  <c r="Z121" i="17"/>
  <c r="AA121" i="17"/>
  <c r="AE121" i="17"/>
  <c r="Q121" i="17"/>
  <c r="AP121" i="17" s="1"/>
  <c r="R121" i="17"/>
  <c r="R105" i="17"/>
  <c r="Z105" i="17"/>
  <c r="L105" i="17"/>
  <c r="AD105" i="17" s="1"/>
  <c r="T105" i="17"/>
  <c r="AB105" i="17"/>
  <c r="M105" i="17"/>
  <c r="W105" i="17"/>
  <c r="N105" i="17"/>
  <c r="AE105" i="17" s="1"/>
  <c r="X105" i="17"/>
  <c r="Y105" i="17"/>
  <c r="AA105" i="17"/>
  <c r="AO105" i="17"/>
  <c r="AC105" i="17"/>
  <c r="K105" i="17"/>
  <c r="Q105" i="17"/>
  <c r="AG105" i="17" s="1"/>
  <c r="S105" i="17"/>
  <c r="AF105" i="17" s="1"/>
  <c r="N81" i="17"/>
  <c r="AE81" i="17" s="1"/>
  <c r="V81" i="17"/>
  <c r="K81" i="17"/>
  <c r="X81" i="17"/>
  <c r="AO81" i="17"/>
  <c r="R81" i="17"/>
  <c r="AB81" i="17"/>
  <c r="S81" i="17"/>
  <c r="AF81" i="17" s="1"/>
  <c r="AC81" i="17"/>
  <c r="J81" i="17"/>
  <c r="T81" i="17"/>
  <c r="AQ81" i="17" s="1"/>
  <c r="Y81" i="17"/>
  <c r="W81" i="17"/>
  <c r="L81" i="17"/>
  <c r="AD81" i="17" s="1"/>
  <c r="AH81" i="17"/>
  <c r="M81" i="17"/>
  <c r="Q81" i="17"/>
  <c r="AG81" i="17" s="1"/>
  <c r="U81" i="17"/>
  <c r="Z81" i="17"/>
  <c r="N57" i="17"/>
  <c r="V57" i="17"/>
  <c r="X57" i="17"/>
  <c r="J57" i="17"/>
  <c r="P59" i="17" s="1"/>
  <c r="S57" i="17"/>
  <c r="AF57" i="17" s="1"/>
  <c r="AC57" i="17"/>
  <c r="AO57" i="17"/>
  <c r="K57" i="17"/>
  <c r="O59" i="17" s="1"/>
  <c r="AJ59" i="17" s="1"/>
  <c r="T57" i="17"/>
  <c r="AH57" i="17" s="1"/>
  <c r="AE57" i="17"/>
  <c r="L57" i="17"/>
  <c r="AD57" i="17" s="1"/>
  <c r="U57" i="17"/>
  <c r="AA57" i="17"/>
  <c r="AB57" i="17"/>
  <c r="M57" i="17"/>
  <c r="R57" i="17"/>
  <c r="Q57" i="17"/>
  <c r="AP57" i="17" s="1"/>
  <c r="Z57" i="17"/>
  <c r="W57" i="17"/>
  <c r="Y57" i="17"/>
  <c r="L33" i="17"/>
  <c r="AD33" i="17" s="1"/>
  <c r="T33" i="17"/>
  <c r="AH33" i="17" s="1"/>
  <c r="AB33" i="17"/>
  <c r="U33" i="17"/>
  <c r="J33" i="17"/>
  <c r="N33" i="17"/>
  <c r="AE33" i="17" s="1"/>
  <c r="W33" i="17"/>
  <c r="M33" i="17"/>
  <c r="Y33" i="17"/>
  <c r="AA33" i="17"/>
  <c r="AQ33" i="17"/>
  <c r="K33" i="17"/>
  <c r="AC33" i="17"/>
  <c r="Q33" i="17"/>
  <c r="AP33" i="17" s="1"/>
  <c r="R33" i="17"/>
  <c r="S33" i="17"/>
  <c r="AF33" i="17" s="1"/>
  <c r="V33" i="17"/>
  <c r="X33" i="17"/>
  <c r="Z33" i="17"/>
  <c r="AO33" i="17"/>
  <c r="Q17" i="17"/>
  <c r="Y17" i="17"/>
  <c r="J17" i="17"/>
  <c r="P21" i="17" s="1"/>
  <c r="R17" i="17"/>
  <c r="Z17" i="17"/>
  <c r="AH17" i="17"/>
  <c r="AQ17" i="17"/>
  <c r="K17" i="17"/>
  <c r="S17" i="17"/>
  <c r="AF17" i="17" s="1"/>
  <c r="AA17" i="17"/>
  <c r="AL17" i="17" s="1"/>
  <c r="U17" i="17"/>
  <c r="V17" i="17"/>
  <c r="W17" i="17"/>
  <c r="N17" i="17"/>
  <c r="T17" i="17"/>
  <c r="AO17" i="17"/>
  <c r="X17" i="17"/>
  <c r="AB17" i="17"/>
  <c r="P17" i="17"/>
  <c r="AC17" i="17"/>
  <c r="L17" i="17"/>
  <c r="AD17" i="17" s="1"/>
  <c r="AE17" i="17"/>
  <c r="M17" i="17"/>
  <c r="K80" i="14"/>
  <c r="K72" i="14"/>
  <c r="K65" i="14"/>
  <c r="K35" i="14"/>
  <c r="Q167" i="17"/>
  <c r="AG167" i="17" s="1"/>
  <c r="K166" i="17"/>
  <c r="AE145" i="17"/>
  <c r="S122" i="17"/>
  <c r="M86" i="17"/>
  <c r="M70" i="17"/>
  <c r="L172" i="17"/>
  <c r="K37" i="14"/>
  <c r="K30" i="14"/>
  <c r="K22" i="14"/>
  <c r="N151" i="17"/>
  <c r="AE151" i="17" s="1"/>
  <c r="R142" i="17"/>
  <c r="M171" i="17"/>
  <c r="M99" i="17"/>
  <c r="K91" i="14"/>
  <c r="K75" i="14"/>
  <c r="K67" i="14"/>
  <c r="K59" i="14"/>
  <c r="K53" i="14"/>
  <c r="K46" i="14"/>
  <c r="K25" i="14"/>
  <c r="T175" i="17"/>
  <c r="AH175" i="17" s="1"/>
  <c r="AC174" i="17"/>
  <c r="U174" i="17"/>
  <c r="P170" i="17"/>
  <c r="X169" i="17"/>
  <c r="AC167" i="17"/>
  <c r="AO161" i="17"/>
  <c r="V154" i="17"/>
  <c r="L149" i="17"/>
  <c r="U147" i="17"/>
  <c r="M146" i="17"/>
  <c r="Q145" i="17"/>
  <c r="AG145" i="17" s="1"/>
  <c r="R144" i="17"/>
  <c r="O140" i="17"/>
  <c r="AC133" i="17"/>
  <c r="U133" i="17"/>
  <c r="K133" i="17"/>
  <c r="AB121" i="17"/>
  <c r="M111" i="17"/>
  <c r="S107" i="17"/>
  <c r="V105" i="17"/>
  <c r="J105" i="17"/>
  <c r="S84" i="17"/>
  <c r="K27" i="14"/>
  <c r="L165" i="17"/>
  <c r="AD165" i="17" s="1"/>
  <c r="P165" i="17"/>
  <c r="P141" i="17"/>
  <c r="L141" i="17"/>
  <c r="AD141" i="17" s="1"/>
  <c r="M141" i="17"/>
  <c r="N141" i="17"/>
  <c r="AE141" i="17" s="1"/>
  <c r="L117" i="17"/>
  <c r="M117" i="17"/>
  <c r="N117" i="17"/>
  <c r="O117" i="17"/>
  <c r="P117" i="17"/>
  <c r="L101" i="17"/>
  <c r="AD101" i="17" s="1"/>
  <c r="M101" i="17"/>
  <c r="L77" i="17"/>
  <c r="M77" i="17"/>
  <c r="N77" i="17"/>
  <c r="L61" i="17"/>
  <c r="M61" i="17"/>
  <c r="N61" i="17"/>
  <c r="AE61" i="17" s="1"/>
  <c r="P45" i="17"/>
  <c r="L45" i="17"/>
  <c r="AK45" i="17" s="1"/>
  <c r="N45" i="17"/>
  <c r="M45" i="17"/>
  <c r="M29" i="17"/>
  <c r="L29" i="17"/>
  <c r="N29" i="17"/>
  <c r="L5" i="17"/>
  <c r="M2" i="17"/>
  <c r="J153" i="17"/>
  <c r="R153" i="17"/>
  <c r="Z153" i="17"/>
  <c r="K153" i="17"/>
  <c r="O153" i="17" s="1"/>
  <c r="AJ153" i="17" s="1"/>
  <c r="S153" i="17"/>
  <c r="AA153" i="17"/>
  <c r="L153" i="17"/>
  <c r="AD153" i="17" s="1"/>
  <c r="T153" i="17"/>
  <c r="AH153" i="17" s="1"/>
  <c r="AB153" i="17"/>
  <c r="W153" i="17"/>
  <c r="AI153" i="17" s="1"/>
  <c r="M153" i="17"/>
  <c r="X153" i="17"/>
  <c r="N153" i="17"/>
  <c r="AE153" i="17" s="1"/>
  <c r="Y153" i="17"/>
  <c r="AC153" i="17"/>
  <c r="AO153" i="17"/>
  <c r="K137" i="17"/>
  <c r="R137" i="17"/>
  <c r="Z137" i="17"/>
  <c r="L137" i="17"/>
  <c r="AD137" i="17" s="1"/>
  <c r="T137" i="17"/>
  <c r="AH137" i="17" s="1"/>
  <c r="AB137" i="17"/>
  <c r="U137" i="17"/>
  <c r="AP137" i="17"/>
  <c r="J137" i="17"/>
  <c r="V137" i="17"/>
  <c r="AF137" i="17"/>
  <c r="M137" i="17"/>
  <c r="W137" i="17"/>
  <c r="N137" i="17"/>
  <c r="AE137" i="17" s="1"/>
  <c r="X137" i="17"/>
  <c r="AA137" i="17"/>
  <c r="AC137" i="17"/>
  <c r="N113" i="17"/>
  <c r="AE113" i="17" s="1"/>
  <c r="V113" i="17"/>
  <c r="X113" i="17"/>
  <c r="AO113" i="17"/>
  <c r="R113" i="17"/>
  <c r="AB113" i="17"/>
  <c r="S113" i="17"/>
  <c r="AF113" i="17" s="1"/>
  <c r="AC113" i="17"/>
  <c r="AP113" i="17"/>
  <c r="K113" i="17"/>
  <c r="M113" i="17"/>
  <c r="AA113" i="17"/>
  <c r="Q113" i="17"/>
  <c r="AG113" i="17"/>
  <c r="T113" i="17"/>
  <c r="AQ113" i="17" s="1"/>
  <c r="AH113" i="17"/>
  <c r="Y113" i="17"/>
  <c r="Z113" i="17"/>
  <c r="J113" i="17"/>
  <c r="K89" i="17"/>
  <c r="R89" i="17"/>
  <c r="Z89" i="17"/>
  <c r="AH89" i="17"/>
  <c r="AQ89" i="17"/>
  <c r="S89" i="17"/>
  <c r="AA89" i="17"/>
  <c r="L89" i="17"/>
  <c r="AD89" i="17" s="1"/>
  <c r="T89" i="17"/>
  <c r="AB89" i="17"/>
  <c r="M89" i="17"/>
  <c r="X89" i="17"/>
  <c r="Y89" i="17"/>
  <c r="AO89" i="17"/>
  <c r="N89" i="17"/>
  <c r="AC89" i="17"/>
  <c r="Q89" i="17"/>
  <c r="U89" i="17"/>
  <c r="V89" i="17"/>
  <c r="W89" i="17"/>
  <c r="J89" i="17"/>
  <c r="AE89" i="17"/>
  <c r="AF89" i="17"/>
  <c r="W65" i="17"/>
  <c r="N65" i="17"/>
  <c r="AE65" i="17" s="1"/>
  <c r="X65" i="17"/>
  <c r="AG65" i="17"/>
  <c r="Y65" i="17"/>
  <c r="Q65" i="17"/>
  <c r="AP65" i="17" s="1"/>
  <c r="Z65" i="17"/>
  <c r="M65" i="17"/>
  <c r="AC65" i="17"/>
  <c r="R65" i="17"/>
  <c r="S65" i="17"/>
  <c r="AF65" i="17" s="1"/>
  <c r="L65" i="17"/>
  <c r="K65" i="17"/>
  <c r="O69" i="17" s="1"/>
  <c r="V65" i="17"/>
  <c r="AA65" i="17"/>
  <c r="AB65" i="17"/>
  <c r="AO65" i="17"/>
  <c r="J65" i="17"/>
  <c r="P65" i="17" s="1"/>
  <c r="T65" i="17"/>
  <c r="AH65" i="17" s="1"/>
  <c r="U65" i="17"/>
  <c r="J41" i="17"/>
  <c r="L41" i="17"/>
  <c r="AD41" i="17" s="1"/>
  <c r="T41" i="17"/>
  <c r="AB41" i="17"/>
  <c r="K41" i="17"/>
  <c r="U41" i="17"/>
  <c r="P41" i="17"/>
  <c r="Z41" i="17"/>
  <c r="Q41" i="17"/>
  <c r="AP41" i="17" s="1"/>
  <c r="AA41" i="17"/>
  <c r="X41" i="17"/>
  <c r="AO41" i="17"/>
  <c r="M41" i="17"/>
  <c r="Y41" i="17"/>
  <c r="N41" i="17"/>
  <c r="AE41" i="17" s="1"/>
  <c r="AC41" i="17"/>
  <c r="R41" i="17"/>
  <c r="S41" i="17"/>
  <c r="V41" i="17"/>
  <c r="AF41" i="17"/>
  <c r="W41" i="17"/>
  <c r="AG41" i="17"/>
  <c r="J9" i="17"/>
  <c r="Q9" i="17"/>
  <c r="AG9" i="17" s="1"/>
  <c r="Y9" i="17"/>
  <c r="AP9" i="17"/>
  <c r="R9" i="17"/>
  <c r="Z9" i="17"/>
  <c r="AQ9" i="17"/>
  <c r="S9" i="17"/>
  <c r="AF9" i="17" s="1"/>
  <c r="AA9" i="17"/>
  <c r="V9" i="17"/>
  <c r="L9" i="17"/>
  <c r="AD9" i="17" s="1"/>
  <c r="AL9" i="17" s="1"/>
  <c r="W9" i="17"/>
  <c r="M9" i="17"/>
  <c r="X9" i="17"/>
  <c r="K9" i="17"/>
  <c r="U9" i="17"/>
  <c r="AB9" i="17"/>
  <c r="AC9" i="17"/>
  <c r="T9" i="17"/>
  <c r="AH9" i="17" s="1"/>
  <c r="N9" i="17"/>
  <c r="AE9" i="17" s="1"/>
  <c r="AO9" i="17"/>
  <c r="U39" i="17"/>
  <c r="T2" i="17"/>
  <c r="T20" i="17"/>
  <c r="L2" i="17"/>
  <c r="Q12" i="17"/>
  <c r="T3" i="17"/>
  <c r="T13" i="17"/>
  <c r="AH13" i="17" s="1"/>
  <c r="Q5" i="17"/>
  <c r="T27" i="17"/>
  <c r="AH27" i="17" s="1"/>
  <c r="T43" i="17"/>
  <c r="T51" i="17"/>
  <c r="T11" i="17"/>
  <c r="T19" i="17"/>
  <c r="Q20" i="17"/>
  <c r="T58" i="17"/>
  <c r="AH58" i="17" s="1"/>
  <c r="L3" i="17"/>
  <c r="AD3" i="17" s="1"/>
  <c r="Q2" i="17"/>
  <c r="AP2" i="17" s="1"/>
  <c r="T10" i="17"/>
  <c r="AQ10" i="17" s="1"/>
  <c r="Q11" i="17"/>
  <c r="Q13" i="17"/>
  <c r="T21" i="17"/>
  <c r="T30" i="17"/>
  <c r="Q19" i="17"/>
  <c r="AG19" i="17" s="1"/>
  <c r="T18" i="17"/>
  <c r="AQ18" i="17" s="1"/>
  <c r="T28" i="17"/>
  <c r="AQ28" i="17" s="1"/>
  <c r="T29" i="17"/>
  <c r="T26" i="17"/>
  <c r="T54" i="17"/>
  <c r="T53" i="17"/>
  <c r="Q14" i="17"/>
  <c r="T34" i="17"/>
  <c r="AQ34" i="17" s="1"/>
  <c r="T42" i="17"/>
  <c r="AH42" i="17" s="1"/>
  <c r="T46" i="17"/>
  <c r="AH46" i="17" s="1"/>
  <c r="T44" i="17"/>
  <c r="T45" i="17"/>
  <c r="T59" i="17"/>
  <c r="AH59" i="17" s="1"/>
  <c r="T52" i="17"/>
  <c r="T12" i="17"/>
  <c r="T38" i="17"/>
  <c r="T36" i="17"/>
  <c r="AQ36" i="17" s="1"/>
  <c r="T50" i="17"/>
  <c r="T5" i="17"/>
  <c r="T37" i="17"/>
  <c r="T35" i="17"/>
  <c r="U159" i="17"/>
  <c r="S142" i="17"/>
  <c r="Q130" i="17"/>
  <c r="U113" i="17"/>
  <c r="R93" i="17"/>
  <c r="L84" i="17"/>
  <c r="AD84" i="17" s="1"/>
  <c r="AL84" i="17" s="1"/>
  <c r="N60" i="17"/>
  <c r="U128" i="17"/>
  <c r="V173" i="17"/>
  <c r="O156" i="17"/>
  <c r="Q149" i="17"/>
  <c r="V145" i="17"/>
  <c r="K51" i="17"/>
  <c r="M131" i="17"/>
  <c r="U135" i="17"/>
  <c r="K94" i="14"/>
  <c r="K83" i="14"/>
  <c r="K77" i="14"/>
  <c r="K69" i="14"/>
  <c r="K61" i="14"/>
  <c r="K54" i="14"/>
  <c r="K33" i="14"/>
  <c r="K32" i="14"/>
  <c r="K24" i="14"/>
  <c r="AC11" i="17"/>
  <c r="AC19" i="17"/>
  <c r="AC2" i="17"/>
  <c r="AC20" i="17"/>
  <c r="AC12" i="17"/>
  <c r="AD2" i="17"/>
  <c r="AC52" i="17"/>
  <c r="AC3" i="17"/>
  <c r="AD29" i="17"/>
  <c r="AC10" i="17"/>
  <c r="AC29" i="17"/>
  <c r="AL29" i="17" s="1"/>
  <c r="AC34" i="17"/>
  <c r="AC35" i="17"/>
  <c r="AC18" i="17"/>
  <c r="AC21" i="17"/>
  <c r="AC27" i="17"/>
  <c r="AC28" i="17"/>
  <c r="AC54" i="17"/>
  <c r="AC60" i="17"/>
  <c r="AC66" i="17"/>
  <c r="AC43" i="17"/>
  <c r="AD45" i="17"/>
  <c r="AC53" i="17"/>
  <c r="AC61" i="17"/>
  <c r="AC69" i="17"/>
  <c r="AC26" i="17"/>
  <c r="AC30" i="17"/>
  <c r="AC46" i="17"/>
  <c r="AC68" i="17"/>
  <c r="AC76" i="17"/>
  <c r="AC42" i="17"/>
  <c r="AC67" i="17"/>
  <c r="AC70" i="17"/>
  <c r="AC45" i="17"/>
  <c r="AC59" i="17"/>
  <c r="AC90" i="17"/>
  <c r="AC94" i="17"/>
  <c r="AC98" i="17"/>
  <c r="AC77" i="17"/>
  <c r="AC74" i="17"/>
  <c r="AC85" i="17"/>
  <c r="AC86" i="17"/>
  <c r="AC92" i="17"/>
  <c r="AC106" i="17"/>
  <c r="AC108" i="17"/>
  <c r="AC117" i="17"/>
  <c r="AD85" i="17"/>
  <c r="AC93" i="17"/>
  <c r="AC62" i="17"/>
  <c r="AC102" i="17"/>
  <c r="AC107" i="17"/>
  <c r="AC115" i="17"/>
  <c r="AC118" i="17"/>
  <c r="AC130" i="17"/>
  <c r="AC142" i="17"/>
  <c r="AD149" i="17"/>
  <c r="AD157" i="17"/>
  <c r="AC38" i="17"/>
  <c r="AC44" i="17"/>
  <c r="AC50" i="17"/>
  <c r="AC58" i="17"/>
  <c r="AC101" i="17"/>
  <c r="AC125" i="17"/>
  <c r="AL125" i="17" s="1"/>
  <c r="AC134" i="17"/>
  <c r="AC141" i="17"/>
  <c r="AC150" i="17"/>
  <c r="AC158" i="17"/>
  <c r="AC164" i="17"/>
  <c r="AC170" i="17"/>
  <c r="AC99" i="17"/>
  <c r="AC110" i="17"/>
  <c r="AD125" i="17"/>
  <c r="AC140" i="17"/>
  <c r="AD77" i="17"/>
  <c r="AC78" i="17"/>
  <c r="AC82" i="17"/>
  <c r="AC109" i="17"/>
  <c r="AC123" i="17"/>
  <c r="AC131" i="17"/>
  <c r="AC171" i="17"/>
  <c r="AC114" i="17"/>
  <c r="AC148" i="17"/>
  <c r="AC172" i="17"/>
  <c r="AC146" i="17"/>
  <c r="AC175" i="17"/>
  <c r="AC36" i="17"/>
  <c r="AC37" i="17"/>
  <c r="AC51" i="17"/>
  <c r="AC75" i="17"/>
  <c r="AC100" i="17"/>
  <c r="AC126" i="17"/>
  <c r="AC139" i="17"/>
  <c r="AC149" i="17"/>
  <c r="AC156" i="17"/>
  <c r="AC162" i="17"/>
  <c r="AC165" i="17"/>
  <c r="AC91" i="17"/>
  <c r="AD126" i="17"/>
  <c r="AD156" i="17"/>
  <c r="AC157" i="17"/>
  <c r="AC163" i="17"/>
  <c r="AC116" i="17"/>
  <c r="AC154" i="17"/>
  <c r="AC173" i="17"/>
  <c r="S175" i="17"/>
  <c r="L174" i="17"/>
  <c r="W169" i="17"/>
  <c r="U166" i="17"/>
  <c r="N165" i="17"/>
  <c r="U155" i="17"/>
  <c r="M154" i="17"/>
  <c r="Q153" i="17"/>
  <c r="U152" i="17"/>
  <c r="AC151" i="17"/>
  <c r="AC147" i="17"/>
  <c r="T147" i="17"/>
  <c r="L146" i="17"/>
  <c r="AD146" i="17" s="1"/>
  <c r="Q144" i="17"/>
  <c r="AP144" i="17" s="1"/>
  <c r="V143" i="17"/>
  <c r="N140" i="17"/>
  <c r="AO137" i="17"/>
  <c r="S133" i="17"/>
  <c r="T132" i="17"/>
  <c r="AQ132" i="17" s="1"/>
  <c r="N125" i="17"/>
  <c r="AE125" i="17" s="1"/>
  <c r="U121" i="17"/>
  <c r="L111" i="17"/>
  <c r="L108" i="17"/>
  <c r="AD108" i="17" s="1"/>
  <c r="U105" i="17"/>
  <c r="S102" i="17"/>
  <c r="AF102" i="17" s="1"/>
  <c r="L92" i="17"/>
  <c r="AA81" i="17"/>
  <c r="R63" i="17"/>
  <c r="V42" i="17"/>
  <c r="N157" i="17"/>
  <c r="O157" i="17"/>
  <c r="P157" i="17"/>
  <c r="L133" i="17"/>
  <c r="M133" i="17"/>
  <c r="N133" i="17"/>
  <c r="AE133" i="17" s="1"/>
  <c r="L109" i="17"/>
  <c r="AD109" i="17" s="1"/>
  <c r="N109" i="17"/>
  <c r="M109" i="17"/>
  <c r="N93" i="17"/>
  <c r="AE93" i="17" s="1"/>
  <c r="L93" i="17"/>
  <c r="AD93" i="17" s="1"/>
  <c r="L69" i="17"/>
  <c r="AD69" i="17" s="1"/>
  <c r="M69" i="17"/>
  <c r="N69" i="17"/>
  <c r="AE69" i="17" s="1"/>
  <c r="P69" i="17"/>
  <c r="P53" i="17"/>
  <c r="M53" i="17"/>
  <c r="L53" i="17"/>
  <c r="AD53" i="17" s="1"/>
  <c r="N53" i="17"/>
  <c r="AE53" i="17" s="1"/>
  <c r="M37" i="17"/>
  <c r="N37" i="17"/>
  <c r="L37" i="17"/>
  <c r="AD37" i="17" s="1"/>
  <c r="L13" i="17"/>
  <c r="R161" i="17"/>
  <c r="Z161" i="17"/>
  <c r="J161" i="17"/>
  <c r="S161" i="17"/>
  <c r="AA161" i="17"/>
  <c r="L161" i="17"/>
  <c r="AD161" i="17" s="1"/>
  <c r="T161" i="17"/>
  <c r="AH161" i="17" s="1"/>
  <c r="AB161" i="17"/>
  <c r="K161" i="17"/>
  <c r="U161" i="17"/>
  <c r="AF161" i="17"/>
  <c r="V161" i="17"/>
  <c r="AG161" i="17"/>
  <c r="N161" i="17"/>
  <c r="AE161" i="17" s="1"/>
  <c r="Y161" i="17"/>
  <c r="W161" i="17"/>
  <c r="M161" i="17"/>
  <c r="X161" i="17"/>
  <c r="N129" i="17"/>
  <c r="AE129" i="17" s="1"/>
  <c r="V129" i="17"/>
  <c r="X129" i="17"/>
  <c r="AF129" i="17"/>
  <c r="AO129" i="17"/>
  <c r="U129" i="17"/>
  <c r="AG129" i="17"/>
  <c r="L129" i="17"/>
  <c r="AD129" i="17" s="1"/>
  <c r="W129" i="17"/>
  <c r="M129" i="17"/>
  <c r="Y129" i="17"/>
  <c r="Z129" i="17"/>
  <c r="S129" i="17"/>
  <c r="AP129" i="17"/>
  <c r="T129" i="17"/>
  <c r="AH129" i="17" s="1"/>
  <c r="AQ129" i="17"/>
  <c r="AA129" i="17"/>
  <c r="AB129" i="17"/>
  <c r="K129" i="17"/>
  <c r="AC129" i="17"/>
  <c r="R97" i="17"/>
  <c r="Z97" i="17"/>
  <c r="J97" i="17"/>
  <c r="S97" i="17"/>
  <c r="AA97" i="17"/>
  <c r="AL97" i="17" s="1"/>
  <c r="L97" i="17"/>
  <c r="AD97" i="17" s="1"/>
  <c r="T97" i="17"/>
  <c r="AH97" i="17" s="1"/>
  <c r="AB97" i="17"/>
  <c r="W97" i="17"/>
  <c r="M97" i="17"/>
  <c r="X97" i="17"/>
  <c r="Y97" i="17"/>
  <c r="K97" i="17"/>
  <c r="AC97" i="17"/>
  <c r="N97" i="17"/>
  <c r="AE97" i="17" s="1"/>
  <c r="Q97" i="17"/>
  <c r="AG97" i="17" s="1"/>
  <c r="U97" i="17"/>
  <c r="V97" i="17"/>
  <c r="AF97" i="17"/>
  <c r="S73" i="17"/>
  <c r="AF73" i="17" s="1"/>
  <c r="AA73" i="17"/>
  <c r="X73" i="17"/>
  <c r="Y73" i="17"/>
  <c r="Q73" i="17"/>
  <c r="AG73" i="17" s="1"/>
  <c r="Z73" i="17"/>
  <c r="T73" i="17"/>
  <c r="AQ73" i="17" s="1"/>
  <c r="J73" i="17"/>
  <c r="U73" i="17"/>
  <c r="V73" i="17"/>
  <c r="L73" i="17"/>
  <c r="AD73" i="17" s="1"/>
  <c r="N73" i="17"/>
  <c r="AE73" i="17" s="1"/>
  <c r="R73" i="17"/>
  <c r="W73" i="17"/>
  <c r="AB73" i="17"/>
  <c r="AC73" i="17"/>
  <c r="M73" i="17"/>
  <c r="AP73" i="17"/>
  <c r="AO73" i="17"/>
  <c r="X49" i="17"/>
  <c r="AO49" i="17"/>
  <c r="Y49" i="17"/>
  <c r="Q49" i="17"/>
  <c r="AA49" i="17"/>
  <c r="J49" i="17"/>
  <c r="R49" i="17"/>
  <c r="AB49" i="17"/>
  <c r="U49" i="17"/>
  <c r="V49" i="17"/>
  <c r="W49" i="17"/>
  <c r="Z49" i="17"/>
  <c r="AC49" i="17"/>
  <c r="T49" i="17"/>
  <c r="AH49" i="17" s="1"/>
  <c r="S49" i="17"/>
  <c r="AF49" i="17" s="1"/>
  <c r="K49" i="17"/>
  <c r="L49" i="17"/>
  <c r="AD49" i="17" s="1"/>
  <c r="AE49" i="17"/>
  <c r="J25" i="17"/>
  <c r="L25" i="17"/>
  <c r="T25" i="17"/>
  <c r="AQ25" i="17" s="1"/>
  <c r="AB25" i="17"/>
  <c r="M25" i="17"/>
  <c r="V25" i="17"/>
  <c r="AE25" i="17"/>
  <c r="AO25" i="17"/>
  <c r="X25" i="17"/>
  <c r="K25" i="17"/>
  <c r="AA25" i="17"/>
  <c r="U25" i="17"/>
  <c r="W25" i="17"/>
  <c r="Y25" i="17"/>
  <c r="AC25" i="17"/>
  <c r="AD25" i="17"/>
  <c r="N25" i="17"/>
  <c r="Z25" i="17"/>
  <c r="S25" i="17"/>
  <c r="AF25" i="17" s="1"/>
  <c r="Q25" i="17"/>
  <c r="R25" i="17"/>
  <c r="K81" i="14"/>
  <c r="K73" i="14"/>
  <c r="K64" i="14"/>
  <c r="K29" i="14"/>
  <c r="K21" i="14"/>
  <c r="M156" i="17"/>
  <c r="AF153" i="17"/>
  <c r="L148" i="17"/>
  <c r="O141" i="17"/>
  <c r="AJ141" i="17" s="1"/>
  <c r="Q137" i="17"/>
  <c r="AG137" i="17" s="1"/>
  <c r="Q124" i="17"/>
  <c r="M123" i="17"/>
  <c r="N106" i="17"/>
  <c r="AE106" i="17" s="1"/>
  <c r="S98" i="17"/>
  <c r="AF98" i="17" s="1"/>
  <c r="U83" i="17"/>
  <c r="M152" i="17"/>
  <c r="V56" i="17"/>
  <c r="K43" i="14"/>
  <c r="T159" i="17"/>
  <c r="N139" i="17"/>
  <c r="L113" i="17"/>
  <c r="AD113" i="17" s="1"/>
  <c r="K73" i="17"/>
  <c r="O115" i="17"/>
  <c r="S103" i="17"/>
  <c r="K86" i="14"/>
  <c r="K78" i="14"/>
  <c r="K70" i="14"/>
  <c r="K62" i="14"/>
  <c r="K40" i="14"/>
  <c r="AE3" i="17"/>
  <c r="AF13" i="17"/>
  <c r="AE28" i="17"/>
  <c r="AE29" i="17"/>
  <c r="AE45" i="17"/>
  <c r="AE60" i="17"/>
  <c r="AE77" i="17"/>
  <c r="AF84" i="17"/>
  <c r="AF77" i="17"/>
  <c r="AF107" i="17"/>
  <c r="AF68" i="17"/>
  <c r="AE74" i="17"/>
  <c r="AE110" i="17"/>
  <c r="AF36" i="17"/>
  <c r="AF124" i="17"/>
  <c r="AF133" i="17"/>
  <c r="AF148" i="17"/>
  <c r="AF166" i="17"/>
  <c r="AF172" i="17"/>
  <c r="AE149" i="17"/>
  <c r="AE157" i="17"/>
  <c r="AF142" i="17"/>
  <c r="AE101" i="17"/>
  <c r="AE85" i="17"/>
  <c r="AF138" i="17"/>
  <c r="AE109" i="17"/>
  <c r="AF122" i="17"/>
  <c r="AE140" i="17"/>
  <c r="AE37" i="17"/>
  <c r="AE117" i="17"/>
  <c r="AE148" i="17"/>
  <c r="AE172" i="17"/>
  <c r="AE139" i="17"/>
  <c r="AE156" i="17"/>
  <c r="AE165" i="17"/>
  <c r="Q171" i="17"/>
  <c r="AG171" i="17" s="1"/>
  <c r="N169" i="17"/>
  <c r="AE169" i="17" s="1"/>
  <c r="S168" i="17"/>
  <c r="AC166" i="17"/>
  <c r="T166" i="17"/>
  <c r="M165" i="17"/>
  <c r="O158" i="17"/>
  <c r="AI158" i="17" s="1"/>
  <c r="AC155" i="17"/>
  <c r="T155" i="17"/>
  <c r="L154" i="17"/>
  <c r="T152" i="17"/>
  <c r="M140" i="17"/>
  <c r="U138" i="17"/>
  <c r="R136" i="17"/>
  <c r="AC132" i="17"/>
  <c r="S132" i="17"/>
  <c r="AF132" i="17" s="1"/>
  <c r="R129" i="17"/>
  <c r="T121" i="17"/>
  <c r="AH121" i="17" s="1"/>
  <c r="Q119" i="17"/>
  <c r="AG119" i="17" s="1"/>
  <c r="Q115" i="17"/>
  <c r="M115" i="17"/>
  <c r="Q112" i="17"/>
  <c r="AP112" i="17" s="1"/>
  <c r="U95" i="17"/>
  <c r="S76" i="17"/>
  <c r="AF76" i="17" s="1"/>
  <c r="R55" i="17"/>
  <c r="R54" i="17"/>
  <c r="P148" i="17"/>
  <c r="L124" i="17"/>
  <c r="AD124" i="17" s="1"/>
  <c r="AL124" i="17" s="1"/>
  <c r="N124" i="17"/>
  <c r="AE124" i="17" s="1"/>
  <c r="M124" i="17"/>
  <c r="P100" i="17"/>
  <c r="N100" i="17"/>
  <c r="AE100" i="17" s="1"/>
  <c r="L100" i="17"/>
  <c r="AD100" i="17" s="1"/>
  <c r="L76" i="17"/>
  <c r="AD76" i="17" s="1"/>
  <c r="M76" i="17"/>
  <c r="N76" i="17"/>
  <c r="AE76" i="17" s="1"/>
  <c r="L52" i="17"/>
  <c r="AD52" i="17" s="1"/>
  <c r="AL52" i="17" s="1"/>
  <c r="P52" i="17"/>
  <c r="M52" i="17"/>
  <c r="N52" i="17"/>
  <c r="AE52" i="17" s="1"/>
  <c r="L28" i="17"/>
  <c r="AD28" i="17" s="1"/>
  <c r="AL28" i="17" s="1"/>
  <c r="M28" i="17"/>
  <c r="L12" i="17"/>
  <c r="AD12" i="17" s="1"/>
  <c r="AL12" i="17" s="1"/>
  <c r="M12" i="17"/>
  <c r="N12" i="17"/>
  <c r="AE12" i="17" s="1"/>
  <c r="J160" i="17"/>
  <c r="L160" i="17"/>
  <c r="AD160" i="17" s="1"/>
  <c r="T160" i="17"/>
  <c r="AB160" i="17"/>
  <c r="M160" i="17"/>
  <c r="U160" i="17"/>
  <c r="AC160" i="17"/>
  <c r="N160" i="17"/>
  <c r="V160" i="17"/>
  <c r="L136" i="17"/>
  <c r="AD136" i="17" s="1"/>
  <c r="T136" i="17"/>
  <c r="AQ136" i="17" s="1"/>
  <c r="AB136" i="17"/>
  <c r="N136" i="17"/>
  <c r="V136" i="17"/>
  <c r="J136" i="17"/>
  <c r="P133" i="17" s="1"/>
  <c r="W136" i="17"/>
  <c r="AG136" i="17"/>
  <c r="M136" i="17"/>
  <c r="X136" i="17"/>
  <c r="K136" i="17"/>
  <c r="Y136" i="17"/>
  <c r="Z136" i="17"/>
  <c r="X112" i="17"/>
  <c r="AO112" i="17"/>
  <c r="J112" i="17"/>
  <c r="R112" i="17"/>
  <c r="Z112" i="17"/>
  <c r="T112" i="17"/>
  <c r="AH112" i="17" s="1"/>
  <c r="K112" i="17"/>
  <c r="U112" i="17"/>
  <c r="S112" i="17"/>
  <c r="AF112" i="17" s="1"/>
  <c r="V112" i="17"/>
  <c r="W112" i="17"/>
  <c r="L112" i="17"/>
  <c r="AD112" i="17" s="1"/>
  <c r="Y112" i="17"/>
  <c r="L88" i="17"/>
  <c r="T88" i="17"/>
  <c r="AH88" i="17" s="1"/>
  <c r="AB88" i="17"/>
  <c r="M88" i="17"/>
  <c r="U88" i="17"/>
  <c r="AC88" i="17"/>
  <c r="N88" i="17"/>
  <c r="V88" i="17"/>
  <c r="AD88" i="17"/>
  <c r="W88" i="17"/>
  <c r="Q88" i="17"/>
  <c r="AF88" i="17"/>
  <c r="K88" i="17"/>
  <c r="R88" i="17"/>
  <c r="AG88" i="17"/>
  <c r="S88" i="17"/>
  <c r="AO88" i="17"/>
  <c r="X88" i="17"/>
  <c r="AP88" i="17"/>
  <c r="Y88" i="17"/>
  <c r="AQ88" i="17"/>
  <c r="M64" i="17"/>
  <c r="U64" i="17"/>
  <c r="AC64" i="17"/>
  <c r="Q64" i="17"/>
  <c r="AP64" i="17" s="1"/>
  <c r="Z64" i="17"/>
  <c r="R64" i="17"/>
  <c r="AA64" i="17"/>
  <c r="S64" i="17"/>
  <c r="AB64" i="17"/>
  <c r="N64" i="17"/>
  <c r="AE64" i="17" s="1"/>
  <c r="K64" i="17"/>
  <c r="AF64" i="17"/>
  <c r="L64" i="17"/>
  <c r="AD64" i="17" s="1"/>
  <c r="AL64" i="17" s="1"/>
  <c r="AO64" i="17"/>
  <c r="X64" i="17"/>
  <c r="Y64" i="17"/>
  <c r="J64" i="17"/>
  <c r="AG64" i="17"/>
  <c r="N40" i="17"/>
  <c r="V40" i="17"/>
  <c r="R40" i="17"/>
  <c r="AA40" i="17"/>
  <c r="T40" i="17"/>
  <c r="AE40" i="17"/>
  <c r="U40" i="17"/>
  <c r="Q40" i="17"/>
  <c r="AP40" i="17" s="1"/>
  <c r="S40" i="17"/>
  <c r="AF40" i="17" s="1"/>
  <c r="W40" i="17"/>
  <c r="AB40" i="17"/>
  <c r="J40" i="17"/>
  <c r="P42" i="17" s="1"/>
  <c r="AC40" i="17"/>
  <c r="K40" i="17"/>
  <c r="O40" i="17"/>
  <c r="M40" i="17"/>
  <c r="X40" i="17"/>
  <c r="L40" i="17"/>
  <c r="AD40" i="17" s="1"/>
  <c r="P40" i="17"/>
  <c r="Y40" i="17"/>
  <c r="Z40" i="17"/>
  <c r="K24" i="17"/>
  <c r="J24" i="17"/>
  <c r="N24" i="17"/>
  <c r="V24" i="17"/>
  <c r="AD24" i="17"/>
  <c r="S24" i="17"/>
  <c r="AF24" i="17" s="1"/>
  <c r="AB24" i="17"/>
  <c r="L24" i="17"/>
  <c r="U24" i="17"/>
  <c r="AE24" i="17"/>
  <c r="AO24" i="17"/>
  <c r="M24" i="17"/>
  <c r="Y24" i="17"/>
  <c r="AA24" i="17"/>
  <c r="AC24" i="17"/>
  <c r="AL24" i="17" s="1"/>
  <c r="Q24" i="17"/>
  <c r="AP24" i="17" s="1"/>
  <c r="R24" i="17"/>
  <c r="T24" i="17"/>
  <c r="AH24" i="17" s="1"/>
  <c r="W24" i="17"/>
  <c r="X24" i="17"/>
  <c r="Z24" i="17"/>
  <c r="W4" i="17"/>
  <c r="X4" i="17"/>
  <c r="AO4" i="17"/>
  <c r="K4" i="17"/>
  <c r="Q4" i="17"/>
  <c r="AG4" i="17" s="1"/>
  <c r="Y4" i="17"/>
  <c r="AP4" i="17"/>
  <c r="U4" i="17"/>
  <c r="S13" i="17"/>
  <c r="V4" i="17"/>
  <c r="V12" i="17"/>
  <c r="V2" i="17"/>
  <c r="L4" i="17"/>
  <c r="AD4" i="17" s="1"/>
  <c r="Z4" i="17"/>
  <c r="R28" i="17"/>
  <c r="R34" i="17"/>
  <c r="V36" i="17"/>
  <c r="R42" i="17"/>
  <c r="R44" i="17"/>
  <c r="V50" i="17"/>
  <c r="R52" i="17"/>
  <c r="AB4" i="17"/>
  <c r="S11" i="17"/>
  <c r="AF11" i="17" s="1"/>
  <c r="Q29" i="17"/>
  <c r="V37" i="17"/>
  <c r="M38" i="17"/>
  <c r="AC4" i="17"/>
  <c r="S19" i="17"/>
  <c r="AF19" i="17" s="1"/>
  <c r="V21" i="17"/>
  <c r="M4" i="17"/>
  <c r="S5" i="17"/>
  <c r="AF5" i="17" s="1"/>
  <c r="Q26" i="17"/>
  <c r="Q28" i="17"/>
  <c r="AG28" i="17" s="1"/>
  <c r="S29" i="17"/>
  <c r="AF29" i="17" s="1"/>
  <c r="R35" i="17"/>
  <c r="R36" i="17"/>
  <c r="V43" i="17"/>
  <c r="Q50" i="17"/>
  <c r="S51" i="17"/>
  <c r="AF51" i="17" s="1"/>
  <c r="V53" i="17"/>
  <c r="R59" i="17"/>
  <c r="R4" i="17"/>
  <c r="S10" i="17"/>
  <c r="AF10" i="17" s="1"/>
  <c r="J4" i="17"/>
  <c r="S4" i="17"/>
  <c r="AF4" i="17" s="1"/>
  <c r="V14" i="17"/>
  <c r="S18" i="17"/>
  <c r="AF18" i="17" s="1"/>
  <c r="S26" i="17"/>
  <c r="AF26" i="17" s="1"/>
  <c r="V29" i="17"/>
  <c r="Q37" i="17"/>
  <c r="AG37" i="17" s="1"/>
  <c r="N3" i="17"/>
  <c r="R22" i="17"/>
  <c r="N26" i="17"/>
  <c r="AE26" i="17" s="1"/>
  <c r="R27" i="17"/>
  <c r="V10" i="17"/>
  <c r="S22" i="17"/>
  <c r="AF22" i="17" s="1"/>
  <c r="S27" i="17"/>
  <c r="AF27" i="17" s="1"/>
  <c r="M42" i="17"/>
  <c r="V44" i="17"/>
  <c r="Q45" i="17"/>
  <c r="AP45" i="17" s="1"/>
  <c r="V3" i="17"/>
  <c r="V22" i="17"/>
  <c r="V34" i="17"/>
  <c r="V35" i="17"/>
  <c r="L38" i="17"/>
  <c r="Q43" i="17"/>
  <c r="AG43" i="17" s="1"/>
  <c r="R45" i="17"/>
  <c r="V51" i="17"/>
  <c r="Q58" i="17"/>
  <c r="AP58" i="17" s="1"/>
  <c r="S59" i="17"/>
  <c r="AF59" i="17" s="1"/>
  <c r="U60" i="17"/>
  <c r="S61" i="17"/>
  <c r="AF61" i="17" s="1"/>
  <c r="Q62" i="17"/>
  <c r="M66" i="17"/>
  <c r="U66" i="17"/>
  <c r="S67" i="17"/>
  <c r="AF67" i="17" s="1"/>
  <c r="Q68" i="17"/>
  <c r="AG68" i="17" s="1"/>
  <c r="Q70" i="17"/>
  <c r="Q74" i="17"/>
  <c r="AA4" i="17"/>
  <c r="M26" i="17"/>
  <c r="M30" i="17"/>
  <c r="S34" i="17"/>
  <c r="AF34" i="17" s="1"/>
  <c r="S42" i="17"/>
  <c r="AF42" i="17" s="1"/>
  <c r="S43" i="17"/>
  <c r="AF43" i="17" s="1"/>
  <c r="V45" i="17"/>
  <c r="R46" i="17"/>
  <c r="V52" i="17"/>
  <c r="L54" i="17"/>
  <c r="V54" i="17"/>
  <c r="P58" i="17"/>
  <c r="V59" i="17"/>
  <c r="S60" i="17"/>
  <c r="AF60" i="17" s="1"/>
  <c r="U61" i="17"/>
  <c r="M62" i="17"/>
  <c r="V62" i="17"/>
  <c r="Q66" i="17"/>
  <c r="AP66" i="17" s="1"/>
  <c r="R67" i="17"/>
  <c r="T68" i="17"/>
  <c r="U69" i="17"/>
  <c r="S70" i="17"/>
  <c r="AF70" i="17" s="1"/>
  <c r="R74" i="17"/>
  <c r="V75" i="17"/>
  <c r="T76" i="17"/>
  <c r="R77" i="17"/>
  <c r="L82" i="17"/>
  <c r="AD82" i="17" s="1"/>
  <c r="T82" i="17"/>
  <c r="AQ82" i="17" s="1"/>
  <c r="N22" i="17"/>
  <c r="AE22" i="17" s="1"/>
  <c r="Q27" i="17"/>
  <c r="R29" i="17"/>
  <c r="Q35" i="17"/>
  <c r="AG35" i="17" s="1"/>
  <c r="R37" i="17"/>
  <c r="S46" i="17"/>
  <c r="AF46" i="17" s="1"/>
  <c r="M54" i="17"/>
  <c r="R58" i="17"/>
  <c r="T60" i="17"/>
  <c r="V61" i="17"/>
  <c r="N62" i="17"/>
  <c r="AE62" i="17" s="1"/>
  <c r="R66" i="17"/>
  <c r="T67" i="17"/>
  <c r="U68" i="17"/>
  <c r="V69" i="17"/>
  <c r="T70" i="17"/>
  <c r="AH70" i="17" s="1"/>
  <c r="S74" i="17"/>
  <c r="AF74" i="17" s="1"/>
  <c r="U76" i="17"/>
  <c r="S77" i="17"/>
  <c r="Q78" i="17"/>
  <c r="AP78" i="17" s="1"/>
  <c r="S12" i="17"/>
  <c r="AF12" i="17" s="1"/>
  <c r="V26" i="17"/>
  <c r="V27" i="17"/>
  <c r="S35" i="17"/>
  <c r="AF35" i="17" s="1"/>
  <c r="S37" i="17"/>
  <c r="AF37" i="17" s="1"/>
  <c r="P50" i="17"/>
  <c r="N54" i="17"/>
  <c r="AE54" i="17" s="1"/>
  <c r="S58" i="17"/>
  <c r="AF58" i="17" s="1"/>
  <c r="V60" i="17"/>
  <c r="S66" i="17"/>
  <c r="AF66" i="17" s="1"/>
  <c r="U67" i="17"/>
  <c r="V68" i="17"/>
  <c r="U70" i="17"/>
  <c r="T74" i="17"/>
  <c r="AQ74" i="17" s="1"/>
  <c r="V76" i="17"/>
  <c r="T77" i="17"/>
  <c r="R78" i="17"/>
  <c r="N82" i="17"/>
  <c r="AE82" i="17" s="1"/>
  <c r="V82" i="17"/>
  <c r="L30" i="17"/>
  <c r="L34" i="17"/>
  <c r="AD34" i="17" s="1"/>
  <c r="AL34" i="17" s="1"/>
  <c r="S45" i="17"/>
  <c r="AF45" i="17" s="1"/>
  <c r="S54" i="17"/>
  <c r="Q59" i="17"/>
  <c r="R60" i="17"/>
  <c r="T69" i="17"/>
  <c r="M74" i="17"/>
  <c r="U75" i="17"/>
  <c r="V78" i="17"/>
  <c r="R83" i="17"/>
  <c r="R85" i="17"/>
  <c r="P86" i="17"/>
  <c r="L90" i="17"/>
  <c r="AD90" i="17" s="1"/>
  <c r="AL90" i="17" s="1"/>
  <c r="T90" i="17"/>
  <c r="AH90" i="17" s="1"/>
  <c r="R91" i="17"/>
  <c r="V93" i="17"/>
  <c r="L94" i="17"/>
  <c r="AD94" i="17" s="1"/>
  <c r="T94" i="17"/>
  <c r="AQ94" i="17" s="1"/>
  <c r="L98" i="17"/>
  <c r="AD98" i="17" s="1"/>
  <c r="T98" i="17"/>
  <c r="AQ98" i="17" s="1"/>
  <c r="R99" i="17"/>
  <c r="R101" i="17"/>
  <c r="P102" i="17"/>
  <c r="V107" i="17"/>
  <c r="T108" i="17"/>
  <c r="AQ108" i="17" s="1"/>
  <c r="R109" i="17"/>
  <c r="L114" i="17"/>
  <c r="AD114" i="17" s="1"/>
  <c r="AL114" i="17" s="1"/>
  <c r="T114" i="17"/>
  <c r="AQ114" i="17" s="1"/>
  <c r="V115" i="17"/>
  <c r="T116" i="17"/>
  <c r="R117" i="17"/>
  <c r="L118" i="17"/>
  <c r="AD118" i="17" s="1"/>
  <c r="AL118" i="17" s="1"/>
  <c r="T118" i="17"/>
  <c r="AQ118" i="17" s="1"/>
  <c r="L122" i="17"/>
  <c r="AD122" i="17" s="1"/>
  <c r="AL122" i="17" s="1"/>
  <c r="T122" i="17"/>
  <c r="V123" i="17"/>
  <c r="T124" i="17"/>
  <c r="R125" i="17"/>
  <c r="L130" i="17"/>
  <c r="T130" i="17"/>
  <c r="AH130" i="17" s="1"/>
  <c r="R131" i="17"/>
  <c r="R133" i="17"/>
  <c r="P134" i="17"/>
  <c r="L138" i="17"/>
  <c r="AD138" i="17" s="1"/>
  <c r="AL138" i="17" s="1"/>
  <c r="V6" i="17"/>
  <c r="R30" i="17"/>
  <c r="M34" i="17"/>
  <c r="M58" i="17"/>
  <c r="R62" i="17"/>
  <c r="L66" i="17"/>
  <c r="N74" i="17"/>
  <c r="L78" i="17"/>
  <c r="AD78" i="17" s="1"/>
  <c r="Q82" i="17"/>
  <c r="S83" i="17"/>
  <c r="AF83" i="17" s="1"/>
  <c r="Q84" i="17"/>
  <c r="S85" i="17"/>
  <c r="AF85" i="17" s="1"/>
  <c r="Q86" i="17"/>
  <c r="AP86" i="17" s="1"/>
  <c r="M90" i="17"/>
  <c r="U90" i="17"/>
  <c r="S91" i="17"/>
  <c r="AF91" i="17" s="1"/>
  <c r="Q92" i="17"/>
  <c r="M94" i="17"/>
  <c r="U94" i="17"/>
  <c r="M98" i="17"/>
  <c r="U98" i="17"/>
  <c r="S99" i="17"/>
  <c r="AF99" i="17" s="1"/>
  <c r="Q100" i="17"/>
  <c r="AP100" i="17" s="1"/>
  <c r="Q34" i="17"/>
  <c r="Q52" i="17"/>
  <c r="N58" i="17"/>
  <c r="AE58" i="17" s="1"/>
  <c r="S62" i="17"/>
  <c r="AF62" i="17" s="1"/>
  <c r="N66" i="17"/>
  <c r="AE66" i="17" s="1"/>
  <c r="R68" i="17"/>
  <c r="M78" i="17"/>
  <c r="R82" i="17"/>
  <c r="T83" i="17"/>
  <c r="R84" i="17"/>
  <c r="T85" i="17"/>
  <c r="R86" i="17"/>
  <c r="N90" i="17"/>
  <c r="AE90" i="17" s="1"/>
  <c r="V90" i="17"/>
  <c r="T91" i="17"/>
  <c r="R92" i="17"/>
  <c r="N94" i="17"/>
  <c r="AE94" i="17" s="1"/>
  <c r="V94" i="17"/>
  <c r="N98" i="17"/>
  <c r="AE98" i="17" s="1"/>
  <c r="V98" i="17"/>
  <c r="T99" i="17"/>
  <c r="R100" i="17"/>
  <c r="T101" i="17"/>
  <c r="R102" i="17"/>
  <c r="R106" i="17"/>
  <c r="V108" i="17"/>
  <c r="T109" i="17"/>
  <c r="AQ109" i="17" s="1"/>
  <c r="R110" i="17"/>
  <c r="N114" i="17"/>
  <c r="AE114" i="17" s="1"/>
  <c r="V114" i="17"/>
  <c r="V116" i="17"/>
  <c r="T117" i="17"/>
  <c r="N118" i="17"/>
  <c r="AE118" i="17" s="1"/>
  <c r="V118" i="17"/>
  <c r="N122" i="17"/>
  <c r="AE122" i="17" s="1"/>
  <c r="V122" i="17"/>
  <c r="V124" i="17"/>
  <c r="T125" i="17"/>
  <c r="AQ125" i="17" s="1"/>
  <c r="R126" i="17"/>
  <c r="N130" i="17"/>
  <c r="AE130" i="17" s="1"/>
  <c r="V130" i="17"/>
  <c r="T131" i="17"/>
  <c r="R132" i="17"/>
  <c r="T133" i="17"/>
  <c r="R134" i="17"/>
  <c r="N138" i="17"/>
  <c r="AE138" i="17" s="1"/>
  <c r="V138" i="17"/>
  <c r="T139" i="17"/>
  <c r="R140" i="17"/>
  <c r="N142" i="17"/>
  <c r="AE142" i="17" s="1"/>
  <c r="V142" i="17"/>
  <c r="Q38" i="17"/>
  <c r="Q42" i="17"/>
  <c r="AP42" i="17" s="1"/>
  <c r="U46" i="17"/>
  <c r="R50" i="17"/>
  <c r="S53" i="17"/>
  <c r="AF53" i="17" s="1"/>
  <c r="V67" i="17"/>
  <c r="R69" i="17"/>
  <c r="R70" i="17"/>
  <c r="V74" i="17"/>
  <c r="U77" i="17"/>
  <c r="N78" i="17"/>
  <c r="AE78" i="17" s="1"/>
  <c r="S52" i="17"/>
  <c r="AF52" i="17" s="1"/>
  <c r="R53" i="17"/>
  <c r="V66" i="17"/>
  <c r="Q67" i="17"/>
  <c r="Q69" i="17"/>
  <c r="U74" i="17"/>
  <c r="Q77" i="17"/>
  <c r="V84" i="17"/>
  <c r="U85" i="17"/>
  <c r="T86" i="17"/>
  <c r="AQ86" i="17" s="1"/>
  <c r="R43" i="17"/>
  <c r="L50" i="17"/>
  <c r="U50" i="17"/>
  <c r="P66" i="17"/>
  <c r="U82" i="17"/>
  <c r="U86" i="17"/>
  <c r="R90" i="17"/>
  <c r="V91" i="17"/>
  <c r="U92" i="17"/>
  <c r="S93" i="17"/>
  <c r="AF93" i="17" s="1"/>
  <c r="R94" i="17"/>
  <c r="L102" i="17"/>
  <c r="AK102" i="17" s="1"/>
  <c r="V102" i="17"/>
  <c r="U106" i="17"/>
  <c r="S108" i="17"/>
  <c r="AF108" i="17" s="1"/>
  <c r="L110" i="17"/>
  <c r="AD110" i="17" s="1"/>
  <c r="V110" i="17"/>
  <c r="R115" i="17"/>
  <c r="U117" i="17"/>
  <c r="Q122" i="17"/>
  <c r="AP122" i="17" s="1"/>
  <c r="L26" i="17"/>
  <c r="AD26" i="17" s="1"/>
  <c r="S28" i="17"/>
  <c r="AF28" i="17" s="1"/>
  <c r="Q36" i="17"/>
  <c r="N50" i="17"/>
  <c r="AE50" i="17" s="1"/>
  <c r="Q54" i="17"/>
  <c r="AG54" i="17" s="1"/>
  <c r="L62" i="17"/>
  <c r="AD62" i="17" s="1"/>
  <c r="T66" i="17"/>
  <c r="S69" i="17"/>
  <c r="AF69" i="17" s="1"/>
  <c r="L70" i="17"/>
  <c r="AD70" i="17" s="1"/>
  <c r="L74" i="17"/>
  <c r="AD74" i="17" s="1"/>
  <c r="Q75" i="17"/>
  <c r="Q85" i="17"/>
  <c r="AP85" i="17" s="1"/>
  <c r="V86" i="17"/>
  <c r="S90" i="17"/>
  <c r="AF90" i="17" s="1"/>
  <c r="V92" i="17"/>
  <c r="T93" i="17"/>
  <c r="AQ93" i="17" s="1"/>
  <c r="S94" i="17"/>
  <c r="AF94" i="17" s="1"/>
  <c r="P98" i="17"/>
  <c r="Q101" i="17"/>
  <c r="M102" i="17"/>
  <c r="L106" i="17"/>
  <c r="AD106" i="17" s="1"/>
  <c r="V106" i="17"/>
  <c r="Q107" i="17"/>
  <c r="AP107" i="17" s="1"/>
  <c r="U108" i="17"/>
  <c r="Q109" i="17"/>
  <c r="AP109" i="17" s="1"/>
  <c r="M110" i="17"/>
  <c r="Q114" i="17"/>
  <c r="AP114" i="17" s="1"/>
  <c r="S115" i="17"/>
  <c r="AF115" i="17" s="1"/>
  <c r="V117" i="17"/>
  <c r="M118" i="17"/>
  <c r="Q118" i="17"/>
  <c r="AP118" i="17" s="1"/>
  <c r="M46" i="17"/>
  <c r="O58" i="17"/>
  <c r="T62" i="17"/>
  <c r="AH62" i="17" s="1"/>
  <c r="N70" i="17"/>
  <c r="AE70" i="17" s="1"/>
  <c r="U84" i="17"/>
  <c r="N86" i="17"/>
  <c r="AE86" i="17" s="1"/>
  <c r="P94" i="17"/>
  <c r="V100" i="17"/>
  <c r="S101" i="17"/>
  <c r="AF101" i="17" s="1"/>
  <c r="T102" i="17"/>
  <c r="Q106" i="17"/>
  <c r="AG106" i="17" s="1"/>
  <c r="T107" i="17"/>
  <c r="AH107" i="17" s="1"/>
  <c r="Q110" i="17"/>
  <c r="AG110" i="17" s="1"/>
  <c r="T115" i="17"/>
  <c r="U116" i="17"/>
  <c r="S118" i="17"/>
  <c r="AF118" i="17" s="1"/>
  <c r="M122" i="17"/>
  <c r="Q123" i="17"/>
  <c r="AG123" i="17" s="1"/>
  <c r="S125" i="17"/>
  <c r="AF125" i="17" s="1"/>
  <c r="N126" i="17"/>
  <c r="AE126" i="17" s="1"/>
  <c r="S130" i="17"/>
  <c r="AF130" i="17" s="1"/>
  <c r="V132" i="17"/>
  <c r="T134" i="17"/>
  <c r="Q139" i="17"/>
  <c r="AG139" i="17" s="1"/>
  <c r="S140" i="17"/>
  <c r="AF140" i="17" s="1"/>
  <c r="T141" i="17"/>
  <c r="AQ141" i="17" s="1"/>
  <c r="T142" i="17"/>
  <c r="V147" i="17"/>
  <c r="V149" i="17"/>
  <c r="L150" i="17"/>
  <c r="T150" i="17"/>
  <c r="AH150" i="17" s="1"/>
  <c r="V155" i="17"/>
  <c r="V157" i="17"/>
  <c r="L158" i="17"/>
  <c r="T158" i="17"/>
  <c r="AH158" i="17" s="1"/>
  <c r="L162" i="17"/>
  <c r="AD162" i="17" s="1"/>
  <c r="P162" i="17"/>
  <c r="V163" i="17"/>
  <c r="T164" i="17"/>
  <c r="AH164" i="17" s="1"/>
  <c r="R165" i="17"/>
  <c r="L166" i="17"/>
  <c r="AD166" i="17" s="1"/>
  <c r="L170" i="17"/>
  <c r="T170" i="17"/>
  <c r="R171" i="17"/>
  <c r="R173" i="17"/>
  <c r="Q44" i="17"/>
  <c r="N46" i="17"/>
  <c r="AE46" i="17" s="1"/>
  <c r="S50" i="17"/>
  <c r="AF50" i="17" s="1"/>
  <c r="U58" i="17"/>
  <c r="Q61" i="17"/>
  <c r="U62" i="17"/>
  <c r="Q94" i="17"/>
  <c r="Q99" i="17"/>
  <c r="AG99" i="17" s="1"/>
  <c r="U101" i="17"/>
  <c r="U102" i="17"/>
  <c r="S106" i="17"/>
  <c r="AF106" i="17" s="1"/>
  <c r="U107" i="17"/>
  <c r="S110" i="17"/>
  <c r="AF110" i="17" s="1"/>
  <c r="U115" i="17"/>
  <c r="U118" i="17"/>
  <c r="R123" i="17"/>
  <c r="U125" i="17"/>
  <c r="U130" i="17"/>
  <c r="Q131" i="17"/>
  <c r="U134" i="17"/>
  <c r="P138" i="17"/>
  <c r="AK138" i="17" s="1"/>
  <c r="R139" i="17"/>
  <c r="T140" i="17"/>
  <c r="U141" i="17"/>
  <c r="L142" i="17"/>
  <c r="AD142" i="17" s="1"/>
  <c r="U142" i="17"/>
  <c r="Q146" i="17"/>
  <c r="AG146" i="17" s="1"/>
  <c r="Q148" i="17"/>
  <c r="AG148" i="17" s="1"/>
  <c r="M150" i="17"/>
  <c r="U150" i="17"/>
  <c r="Q154" i="17"/>
  <c r="AG154" i="17" s="1"/>
  <c r="Q156" i="17"/>
  <c r="M158" i="17"/>
  <c r="U158" i="17"/>
  <c r="M162" i="17"/>
  <c r="Q162" i="17"/>
  <c r="U164" i="17"/>
  <c r="S165" i="17"/>
  <c r="AF165" i="17" s="1"/>
  <c r="M166" i="17"/>
  <c r="Q166" i="17"/>
  <c r="AP166" i="17" s="1"/>
  <c r="M170" i="17"/>
  <c r="U170" i="17"/>
  <c r="S171" i="17"/>
  <c r="AF171" i="17" s="1"/>
  <c r="Q172" i="17"/>
  <c r="AP172" i="17" s="1"/>
  <c r="S173" i="17"/>
  <c r="AF173" i="17" s="1"/>
  <c r="Q174" i="17"/>
  <c r="N4" i="17"/>
  <c r="AE4" i="17" s="1"/>
  <c r="V18" i="17"/>
  <c r="R38" i="17"/>
  <c r="S44" i="17"/>
  <c r="AF44" i="17" s="1"/>
  <c r="V58" i="17"/>
  <c r="R61" i="17"/>
  <c r="S78" i="17"/>
  <c r="AF78" i="17" s="1"/>
  <c r="M82" i="17"/>
  <c r="S86" i="17"/>
  <c r="AF86" i="17" s="1"/>
  <c r="S92" i="17"/>
  <c r="AF92" i="17" s="1"/>
  <c r="U99" i="17"/>
  <c r="V101" i="17"/>
  <c r="T106" i="17"/>
  <c r="AQ106" i="17" s="1"/>
  <c r="S109" i="17"/>
  <c r="AF109" i="17" s="1"/>
  <c r="T110" i="17"/>
  <c r="AH110" i="17" s="1"/>
  <c r="S123" i="17"/>
  <c r="AF123" i="17" s="1"/>
  <c r="V125" i="17"/>
  <c r="Q126" i="17"/>
  <c r="AG126" i="17" s="1"/>
  <c r="S131" i="17"/>
  <c r="AF131" i="17" s="1"/>
  <c r="L134" i="17"/>
  <c r="AK134" i="17" s="1"/>
  <c r="V134" i="17"/>
  <c r="Q138" i="17"/>
  <c r="S139" i="17"/>
  <c r="AF139" i="17" s="1"/>
  <c r="U140" i="17"/>
  <c r="V141" i="17"/>
  <c r="M142" i="17"/>
  <c r="R146" i="17"/>
  <c r="R148" i="17"/>
  <c r="N150" i="17"/>
  <c r="AE150" i="17" s="1"/>
  <c r="V150" i="17"/>
  <c r="R154" i="17"/>
  <c r="R156" i="17"/>
  <c r="N158" i="17"/>
  <c r="AE158" i="17" s="1"/>
  <c r="V158" i="17"/>
  <c r="N162" i="17"/>
  <c r="AE162" i="17" s="1"/>
  <c r="R162" i="17"/>
  <c r="V164" i="17"/>
  <c r="T165" i="17"/>
  <c r="AQ165" i="17" s="1"/>
  <c r="N166" i="17"/>
  <c r="AE166" i="17" s="1"/>
  <c r="R166" i="17"/>
  <c r="N170" i="17"/>
  <c r="AE170" i="17" s="1"/>
  <c r="V170" i="17"/>
  <c r="T171" i="17"/>
  <c r="AH171" i="17" s="1"/>
  <c r="R172" i="17"/>
  <c r="T173" i="17"/>
  <c r="AH173" i="17" s="1"/>
  <c r="R174" i="17"/>
  <c r="T4" i="17"/>
  <c r="Q22" i="17"/>
  <c r="S38" i="17"/>
  <c r="AF38" i="17" s="1"/>
  <c r="L42" i="17"/>
  <c r="AD42" i="17" s="1"/>
  <c r="Q53" i="17"/>
  <c r="AG53" i="17" s="1"/>
  <c r="T61" i="17"/>
  <c r="V70" i="17"/>
  <c r="Q76" i="17"/>
  <c r="AG76" i="17" s="1"/>
  <c r="T78" i="17"/>
  <c r="AH78" i="17" s="1"/>
  <c r="Q83" i="17"/>
  <c r="P90" i="17"/>
  <c r="T92" i="17"/>
  <c r="AQ92" i="17" s="1"/>
  <c r="V99" i="17"/>
  <c r="U109" i="17"/>
  <c r="U110" i="17"/>
  <c r="M114" i="17"/>
  <c r="R122" i="17"/>
  <c r="T123" i="17"/>
  <c r="AH123" i="17" s="1"/>
  <c r="S126" i="17"/>
  <c r="AF126" i="17" s="1"/>
  <c r="M130" i="17"/>
  <c r="U131" i="17"/>
  <c r="Q133" i="17"/>
  <c r="AP133" i="17" s="1"/>
  <c r="M134" i="17"/>
  <c r="R138" i="17"/>
  <c r="AP12" i="17"/>
  <c r="AQ12" i="17"/>
  <c r="AP5" i="17"/>
  <c r="AQ2" i="17"/>
  <c r="AQ5" i="17"/>
  <c r="AQ26" i="17"/>
  <c r="AQ52" i="17"/>
  <c r="AQ13" i="17"/>
  <c r="AP26" i="17"/>
  <c r="AP20" i="17"/>
  <c r="AQ20" i="17"/>
  <c r="AQ27" i="17"/>
  <c r="AP37" i="17"/>
  <c r="AP29" i="17"/>
  <c r="AQ11" i="17"/>
  <c r="AP19" i="17"/>
  <c r="AQ19" i="17"/>
  <c r="AP34" i="17"/>
  <c r="AQ35" i="17"/>
  <c r="AP13" i="17"/>
  <c r="AP14" i="17"/>
  <c r="AP27" i="17"/>
  <c r="AP44" i="17"/>
  <c r="AP62" i="17"/>
  <c r="AP68" i="17"/>
  <c r="AP70" i="17"/>
  <c r="AP74" i="17"/>
  <c r="AQ37" i="17"/>
  <c r="AQ77" i="17"/>
  <c r="AQ46" i="17"/>
  <c r="AQ53" i="17"/>
  <c r="AP11" i="17"/>
  <c r="AP59" i="17"/>
  <c r="AP69" i="17"/>
  <c r="AQ78" i="17"/>
  <c r="AP52" i="17"/>
  <c r="AQ59" i="17"/>
  <c r="AQ83" i="17"/>
  <c r="AQ85" i="17"/>
  <c r="AQ91" i="17"/>
  <c r="AQ101" i="17"/>
  <c r="AQ117" i="17"/>
  <c r="AQ131" i="17"/>
  <c r="AQ133" i="17"/>
  <c r="AQ38" i="17"/>
  <c r="AP50" i="17"/>
  <c r="AP84" i="17"/>
  <c r="AP92" i="17"/>
  <c r="AP43" i="17"/>
  <c r="AQ50" i="17"/>
  <c r="AQ102" i="17"/>
  <c r="AQ110" i="17"/>
  <c r="AQ134" i="17"/>
  <c r="AQ61" i="17"/>
  <c r="AQ54" i="17"/>
  <c r="AP61" i="17"/>
  <c r="AP77" i="17"/>
  <c r="AP93" i="17"/>
  <c r="AQ45" i="17"/>
  <c r="AQ51" i="17"/>
  <c r="AQ70" i="17"/>
  <c r="AP102" i="17"/>
  <c r="AQ30" i="17"/>
  <c r="AQ76" i="17"/>
  <c r="AQ115" i="17"/>
  <c r="AQ124" i="17"/>
  <c r="AQ138" i="17"/>
  <c r="AP99" i="17"/>
  <c r="AP130" i="17"/>
  <c r="AP132" i="17"/>
  <c r="AP148" i="17"/>
  <c r="AP154" i="17"/>
  <c r="AP156" i="17"/>
  <c r="AP162" i="17"/>
  <c r="AP83" i="17"/>
  <c r="AQ130" i="17"/>
  <c r="AQ146" i="17"/>
  <c r="AQ166" i="17"/>
  <c r="AP54" i="17"/>
  <c r="R175" i="17"/>
  <c r="N171" i="17"/>
  <c r="AE171" i="17" s="1"/>
  <c r="M167" i="17"/>
  <c r="S159" i="17"/>
  <c r="AF159" i="17" s="1"/>
  <c r="U157" i="17"/>
  <c r="S155" i="17"/>
  <c r="AF155" i="17" s="1"/>
  <c r="M151" i="17"/>
  <c r="S147" i="17"/>
  <c r="AF147" i="17" s="1"/>
  <c r="U146" i="17"/>
  <c r="AO144" i="17"/>
  <c r="Z144" i="17"/>
  <c r="Q142" i="17"/>
  <c r="AG142" i="17" s="1"/>
  <c r="AE136" i="17"/>
  <c r="N131" i="17"/>
  <c r="AE131" i="17" s="1"/>
  <c r="V128" i="17"/>
  <c r="U123" i="17"/>
  <c r="L123" i="17"/>
  <c r="AD123" i="17" s="1"/>
  <c r="AA120" i="17"/>
  <c r="S117" i="17"/>
  <c r="AF117" i="17" s="1"/>
  <c r="R116" i="17"/>
  <c r="L115" i="17"/>
  <c r="AD115" i="17" s="1"/>
  <c r="AL115" i="17" s="1"/>
  <c r="N112" i="17"/>
  <c r="AE112" i="17" s="1"/>
  <c r="R107" i="17"/>
  <c r="M106" i="17"/>
  <c r="AA104" i="17"/>
  <c r="T103" i="17"/>
  <c r="Q102" i="17"/>
  <c r="AG102" i="17" s="1"/>
  <c r="R98" i="17"/>
  <c r="AO96" i="17"/>
  <c r="U91" i="17"/>
  <c r="M84" i="17"/>
  <c r="S79" i="17"/>
  <c r="AF79" i="17" s="1"/>
  <c r="AQ66" i="17"/>
  <c r="R26" i="17"/>
  <c r="R10" i="17"/>
  <c r="L139" i="17"/>
  <c r="AD139" i="17" s="1"/>
  <c r="N123" i="17"/>
  <c r="AE123" i="17" s="1"/>
  <c r="N107" i="17"/>
  <c r="AE107" i="17" s="1"/>
  <c r="L91" i="17"/>
  <c r="AD91" i="17" s="1"/>
  <c r="M91" i="17"/>
  <c r="N91" i="17"/>
  <c r="AE91" i="17" s="1"/>
  <c r="N75" i="17"/>
  <c r="AE75" i="17" s="1"/>
  <c r="L59" i="17"/>
  <c r="M59" i="17"/>
  <c r="N59" i="17"/>
  <c r="AE59" i="17" s="1"/>
  <c r="L35" i="17"/>
  <c r="AD35" i="17" s="1"/>
  <c r="N35" i="17"/>
  <c r="AE35" i="17" s="1"/>
  <c r="M35" i="17"/>
  <c r="M19" i="17"/>
  <c r="N19" i="17"/>
  <c r="AE19" i="17" s="1"/>
  <c r="L19" i="17"/>
  <c r="AD19" i="17" s="1"/>
  <c r="AL19" i="17" s="1"/>
  <c r="P19" i="17"/>
  <c r="N175" i="17"/>
  <c r="AE175" i="17" s="1"/>
  <c r="V175" i="17"/>
  <c r="W175" i="17"/>
  <c r="K175" i="17"/>
  <c r="X175" i="17"/>
  <c r="AF175" i="17"/>
  <c r="AO175" i="17"/>
  <c r="N159" i="17"/>
  <c r="AE159" i="17" s="1"/>
  <c r="V159" i="17"/>
  <c r="W159" i="17"/>
  <c r="P159" i="17"/>
  <c r="X159" i="17"/>
  <c r="AO159" i="17"/>
  <c r="X143" i="17"/>
  <c r="AF143" i="17"/>
  <c r="AO143" i="17"/>
  <c r="R143" i="17"/>
  <c r="AA143" i="17"/>
  <c r="J143" i="17"/>
  <c r="P144" i="17" s="1"/>
  <c r="S143" i="17"/>
  <c r="AB143" i="17"/>
  <c r="K143" i="17"/>
  <c r="T143" i="17"/>
  <c r="AH143" i="17" s="1"/>
  <c r="AC143" i="17"/>
  <c r="N127" i="17"/>
  <c r="AE127" i="17" s="1"/>
  <c r="V127" i="17"/>
  <c r="X127" i="17"/>
  <c r="AO127" i="17"/>
  <c r="S127" i="17"/>
  <c r="AF127" i="17" s="1"/>
  <c r="AC127" i="17"/>
  <c r="T127" i="17"/>
  <c r="AQ127" i="17" s="1"/>
  <c r="K127" i="17"/>
  <c r="O126" i="17" s="1"/>
  <c r="U127" i="17"/>
  <c r="L127" i="17"/>
  <c r="W127" i="17"/>
  <c r="N111" i="17"/>
  <c r="V111" i="17"/>
  <c r="AD111" i="17"/>
  <c r="X111" i="17"/>
  <c r="AO111" i="17"/>
  <c r="Q111" i="17"/>
  <c r="AG111" i="17" s="1"/>
  <c r="AA111" i="17"/>
  <c r="K111" i="17"/>
  <c r="O111" i="17" s="1"/>
  <c r="R111" i="17"/>
  <c r="AB111" i="17"/>
  <c r="S111" i="17"/>
  <c r="AF111" i="17" s="1"/>
  <c r="AM111" i="17" s="1"/>
  <c r="T111" i="17"/>
  <c r="AQ111" i="17" s="1"/>
  <c r="AH111" i="17"/>
  <c r="U111" i="17"/>
  <c r="J111" i="17"/>
  <c r="P111" i="17" s="1"/>
  <c r="W111" i="17"/>
  <c r="N95" i="17"/>
  <c r="AE95" i="17" s="1"/>
  <c r="V95" i="17"/>
  <c r="W95" i="17"/>
  <c r="X95" i="17"/>
  <c r="AO95" i="17"/>
  <c r="M95" i="17"/>
  <c r="Q95" i="17"/>
  <c r="AG95" i="17" s="1"/>
  <c r="AB95" i="17"/>
  <c r="AQ95" i="17"/>
  <c r="R95" i="17"/>
  <c r="AC95" i="17"/>
  <c r="AA95" i="17"/>
  <c r="J95" i="17"/>
  <c r="K95" i="17"/>
  <c r="AH95" i="17"/>
  <c r="L95" i="17"/>
  <c r="AD95" i="17" s="1"/>
  <c r="S95" i="17"/>
  <c r="AF95" i="17" s="1"/>
  <c r="N79" i="17"/>
  <c r="AE79" i="17" s="1"/>
  <c r="V79" i="17"/>
  <c r="AD79" i="17"/>
  <c r="J79" i="17"/>
  <c r="P77" i="17" s="1"/>
  <c r="W79" i="17"/>
  <c r="P79" i="17"/>
  <c r="X79" i="17"/>
  <c r="AO79" i="17"/>
  <c r="T79" i="17"/>
  <c r="AQ79" i="17" s="1"/>
  <c r="U79" i="17"/>
  <c r="Y79" i="17"/>
  <c r="AA79" i="17"/>
  <c r="Z79" i="17"/>
  <c r="AC79" i="17"/>
  <c r="AG79" i="17"/>
  <c r="AP79" i="17"/>
  <c r="K79" i="17"/>
  <c r="O76" i="17" s="1"/>
  <c r="AJ76" i="17" s="1"/>
  <c r="L79" i="17"/>
  <c r="M79" i="17"/>
  <c r="Q79" i="17"/>
  <c r="K71" i="17"/>
  <c r="O71" i="17" s="1"/>
  <c r="AJ71" i="17" s="1"/>
  <c r="W71" i="17"/>
  <c r="T71" i="17"/>
  <c r="AH71" i="17" s="1"/>
  <c r="AC71" i="17"/>
  <c r="L71" i="17"/>
  <c r="AD71" i="17" s="1"/>
  <c r="U71" i="17"/>
  <c r="AO71" i="17"/>
  <c r="J71" i="17"/>
  <c r="M71" i="17"/>
  <c r="V71" i="17"/>
  <c r="AB71" i="17"/>
  <c r="Q71" i="17"/>
  <c r="R71" i="17"/>
  <c r="Z71" i="17"/>
  <c r="AA71" i="17"/>
  <c r="N71" i="17"/>
  <c r="AE71" i="17" s="1"/>
  <c r="S71" i="17"/>
  <c r="AF71" i="17" s="1"/>
  <c r="X71" i="17"/>
  <c r="Y71" i="17"/>
  <c r="N55" i="17"/>
  <c r="V55" i="17"/>
  <c r="AD55" i="17"/>
  <c r="M55" i="17"/>
  <c r="W55" i="17"/>
  <c r="S55" i="17"/>
  <c r="AF55" i="17" s="1"/>
  <c r="AC55" i="17"/>
  <c r="AO55" i="17"/>
  <c r="T55" i="17"/>
  <c r="AE55" i="17"/>
  <c r="J55" i="17"/>
  <c r="U55" i="17"/>
  <c r="AG55" i="17"/>
  <c r="AB55" i="17"/>
  <c r="K55" i="17"/>
  <c r="Q55" i="17"/>
  <c r="AP55" i="17" s="1"/>
  <c r="Z55" i="17"/>
  <c r="AA55" i="17"/>
  <c r="Y55" i="17"/>
  <c r="L47" i="17"/>
  <c r="AD47" i="17" s="1"/>
  <c r="T47" i="17"/>
  <c r="AB47" i="17"/>
  <c r="S47" i="17"/>
  <c r="AC47" i="17"/>
  <c r="J47" i="17"/>
  <c r="V47" i="17"/>
  <c r="AF47" i="17"/>
  <c r="AQ47" i="17"/>
  <c r="K47" i="17"/>
  <c r="M47" i="17"/>
  <c r="W47" i="17"/>
  <c r="R47" i="17"/>
  <c r="AH47" i="17"/>
  <c r="U47" i="17"/>
  <c r="X47" i="17"/>
  <c r="AA47" i="17"/>
  <c r="N47" i="17"/>
  <c r="AE47" i="17"/>
  <c r="Z47" i="17"/>
  <c r="Y47" i="17"/>
  <c r="Q47" i="17"/>
  <c r="AG47" i="17" s="1"/>
  <c r="L31" i="17"/>
  <c r="T31" i="17"/>
  <c r="AH31" i="17" s="1"/>
  <c r="AB31" i="17"/>
  <c r="S31" i="17"/>
  <c r="AF31" i="17" s="1"/>
  <c r="AC31" i="17"/>
  <c r="M31" i="17"/>
  <c r="V31" i="17"/>
  <c r="AO31" i="17"/>
  <c r="J31" i="17"/>
  <c r="W31" i="17"/>
  <c r="AD31" i="17"/>
  <c r="Q31" i="17"/>
  <c r="AG31" i="17" s="1"/>
  <c r="AA31" i="17"/>
  <c r="AL31" i="17" s="1"/>
  <c r="N31" i="17"/>
  <c r="AE31" i="17" s="1"/>
  <c r="Y31" i="17"/>
  <c r="Z31" i="17"/>
  <c r="X31" i="17"/>
  <c r="K31" i="17"/>
  <c r="R31" i="17"/>
  <c r="U31" i="17"/>
  <c r="J23" i="17"/>
  <c r="P25" i="17" s="1"/>
  <c r="W23" i="17"/>
  <c r="X23" i="17"/>
  <c r="AO23" i="17"/>
  <c r="K23" i="17"/>
  <c r="N23" i="17"/>
  <c r="AE23" i="17" s="1"/>
  <c r="Z23" i="17"/>
  <c r="R23" i="17"/>
  <c r="AB23" i="17"/>
  <c r="U23" i="17"/>
  <c r="AH23" i="17"/>
  <c r="S23" i="17"/>
  <c r="AF23" i="17" s="1"/>
  <c r="T23" i="17"/>
  <c r="V23" i="17"/>
  <c r="AC23" i="17"/>
  <c r="AD23" i="17"/>
  <c r="AQ23" i="17"/>
  <c r="L23" i="17"/>
  <c r="Q23" i="17"/>
  <c r="AG23" i="17" s="1"/>
  <c r="Y23" i="17"/>
  <c r="AA23" i="17"/>
  <c r="K15" i="17"/>
  <c r="Q15" i="17"/>
  <c r="AP15" i="17" s="1"/>
  <c r="Y15" i="17"/>
  <c r="AG15" i="17"/>
  <c r="R15" i="17"/>
  <c r="Z15" i="17"/>
  <c r="S15" i="17"/>
  <c r="AF15" i="17" s="1"/>
  <c r="AA15" i="17"/>
  <c r="AL15" i="17" s="1"/>
  <c r="M15" i="17"/>
  <c r="X15" i="17"/>
  <c r="N15" i="17"/>
  <c r="AE15" i="17" s="1"/>
  <c r="AB15" i="17"/>
  <c r="AC15" i="17"/>
  <c r="AO15" i="17"/>
  <c r="L15" i="17"/>
  <c r="AD15" i="17" s="1"/>
  <c r="J15" i="17"/>
  <c r="T15" i="17"/>
  <c r="AQ15" i="17" s="1"/>
  <c r="U15" i="17"/>
  <c r="AG12" i="17"/>
  <c r="AG13" i="17"/>
  <c r="AH19" i="17"/>
  <c r="AH20" i="17"/>
  <c r="AH12" i="17"/>
  <c r="AH26" i="17"/>
  <c r="AH28" i="17"/>
  <c r="AH34" i="17"/>
  <c r="AH52" i="17"/>
  <c r="AH36" i="17"/>
  <c r="AG11" i="17"/>
  <c r="AG5" i="17"/>
  <c r="AH11" i="17"/>
  <c r="AG27" i="17"/>
  <c r="AG34" i="17"/>
  <c r="AG45" i="17"/>
  <c r="AH5" i="17"/>
  <c r="AG14" i="17"/>
  <c r="AH37" i="17"/>
  <c r="AG50" i="17"/>
  <c r="AH10" i="17"/>
  <c r="AG42" i="17"/>
  <c r="AH50" i="17"/>
  <c r="AG62" i="17"/>
  <c r="AG70" i="17"/>
  <c r="AG74" i="17"/>
  <c r="AG29" i="17"/>
  <c r="AG44" i="17"/>
  <c r="AH77" i="17"/>
  <c r="AH51" i="17"/>
  <c r="AH54" i="17"/>
  <c r="AG2" i="17"/>
  <c r="AH35" i="17"/>
  <c r="AH45" i="17"/>
  <c r="AG52" i="17"/>
  <c r="AH30" i="17"/>
  <c r="AG58" i="17"/>
  <c r="AG66" i="17"/>
  <c r="AH82" i="17"/>
  <c r="AH83" i="17"/>
  <c r="AH85" i="17"/>
  <c r="AH91" i="17"/>
  <c r="AH101" i="17"/>
  <c r="AH117" i="17"/>
  <c r="AH125" i="17"/>
  <c r="AH131" i="17"/>
  <c r="AH133" i="17"/>
  <c r="AH60" i="17"/>
  <c r="AH66" i="17"/>
  <c r="AH76" i="17"/>
  <c r="AG84" i="17"/>
  <c r="AG86" i="17"/>
  <c r="AG92" i="17"/>
  <c r="AH2" i="17"/>
  <c r="AG59" i="17"/>
  <c r="AG77" i="17"/>
  <c r="AH92" i="17"/>
  <c r="AH100" i="17"/>
  <c r="AH102" i="17"/>
  <c r="AH106" i="17"/>
  <c r="AH134" i="17"/>
  <c r="AG69" i="17"/>
  <c r="AH53" i="17"/>
  <c r="AG26" i="17"/>
  <c r="AG82" i="17"/>
  <c r="AH116" i="17"/>
  <c r="AH139" i="17"/>
  <c r="AH165" i="17"/>
  <c r="AH94" i="17"/>
  <c r="AG124" i="17"/>
  <c r="AH138" i="17"/>
  <c r="AG156" i="17"/>
  <c r="AG162" i="17"/>
  <c r="AG166" i="17"/>
  <c r="AG100" i="17"/>
  <c r="AH114" i="17"/>
  <c r="AG115" i="17"/>
  <c r="AH124" i="17"/>
  <c r="AG132" i="17"/>
  <c r="AH166" i="17"/>
  <c r="AG61" i="17"/>
  <c r="AG90" i="17"/>
  <c r="AH115" i="17"/>
  <c r="AG118" i="17"/>
  <c r="AG130" i="17"/>
  <c r="AQ175" i="17"/>
  <c r="AB175" i="17"/>
  <c r="Q175" i="17"/>
  <c r="AG175" i="17" s="1"/>
  <c r="S174" i="17"/>
  <c r="AF174" i="17" s="1"/>
  <c r="Q173" i="17"/>
  <c r="AP173" i="17" s="1"/>
  <c r="AH170" i="17"/>
  <c r="Q168" i="17"/>
  <c r="AG168" i="17" s="1"/>
  <c r="Z167" i="17"/>
  <c r="L167" i="17"/>
  <c r="AD167" i="17" s="1"/>
  <c r="V165" i="17"/>
  <c r="S164" i="17"/>
  <c r="AF164" i="17" s="1"/>
  <c r="T163" i="17"/>
  <c r="AH163" i="17" s="1"/>
  <c r="V162" i="17"/>
  <c r="AH160" i="17"/>
  <c r="W160" i="17"/>
  <c r="AC159" i="17"/>
  <c r="R159" i="17"/>
  <c r="S158" i="17"/>
  <c r="AF158" i="17" s="1"/>
  <c r="T157" i="17"/>
  <c r="V156" i="17"/>
  <c r="R155" i="17"/>
  <c r="T154" i="17"/>
  <c r="AQ154" i="17" s="1"/>
  <c r="AB152" i="17"/>
  <c r="N152" i="17"/>
  <c r="AE152" i="17" s="1"/>
  <c r="AG149" i="17"/>
  <c r="U149" i="17"/>
  <c r="R147" i="17"/>
  <c r="T146" i="17"/>
  <c r="AH146" i="17" s="1"/>
  <c r="Q143" i="17"/>
  <c r="AP143" i="17" s="1"/>
  <c r="N143" i="17"/>
  <c r="P142" i="17"/>
  <c r="AK141" i="17"/>
  <c r="AQ139" i="17"/>
  <c r="V139" i="17"/>
  <c r="AC136" i="17"/>
  <c r="O127" i="17"/>
  <c r="AJ127" i="17" s="1"/>
  <c r="V126" i="17"/>
  <c r="J127" i="17"/>
  <c r="P126" i="17" s="1"/>
  <c r="Y120" i="17"/>
  <c r="Q117" i="17"/>
  <c r="Q116" i="17"/>
  <c r="AP116" i="17" s="1"/>
  <c r="M112" i="17"/>
  <c r="AE111" i="17"/>
  <c r="AG109" i="17"/>
  <c r="AH108" i="17"/>
  <c r="M107" i="17"/>
  <c r="U100" i="17"/>
  <c r="Q98" i="17"/>
  <c r="AG98" i="17" s="1"/>
  <c r="K96" i="17"/>
  <c r="Q91" i="17"/>
  <c r="AP91" i="17" s="1"/>
  <c r="AP82" i="17"/>
  <c r="R79" i="17"/>
  <c r="V77" i="17"/>
  <c r="T75" i="17"/>
  <c r="AH75" i="17" s="1"/>
  <c r="L75" i="17"/>
  <c r="O66" i="17"/>
  <c r="V64" i="17"/>
  <c r="AQ58" i="17"/>
  <c r="R51" i="17"/>
  <c r="AP47" i="17"/>
  <c r="U37" i="17"/>
  <c r="P172" i="17"/>
  <c r="L140" i="17"/>
  <c r="AD140" i="17" s="1"/>
  <c r="L116" i="17"/>
  <c r="AK116" i="17" s="1"/>
  <c r="N116" i="17"/>
  <c r="AE116" i="17" s="1"/>
  <c r="M116" i="17"/>
  <c r="O116" i="17"/>
  <c r="AI116" i="17" s="1"/>
  <c r="P92" i="17"/>
  <c r="N92" i="17"/>
  <c r="AE92" i="17" s="1"/>
  <c r="L68" i="17"/>
  <c r="AD68" i="17" s="1"/>
  <c r="AL68" i="17" s="1"/>
  <c r="M68" i="17"/>
  <c r="O68" i="17"/>
  <c r="P68" i="17"/>
  <c r="AK68" i="17" s="1"/>
  <c r="N68" i="17"/>
  <c r="AE68" i="17" s="1"/>
  <c r="N44" i="17"/>
  <c r="AE44" i="17" s="1"/>
  <c r="L44" i="17"/>
  <c r="AD44" i="17" s="1"/>
  <c r="M44" i="17"/>
  <c r="P44" i="17"/>
  <c r="L20" i="17"/>
  <c r="M20" i="17"/>
  <c r="N20" i="17"/>
  <c r="AE20" i="17" s="1"/>
  <c r="P20" i="17"/>
  <c r="K168" i="17"/>
  <c r="L168" i="17"/>
  <c r="T168" i="17"/>
  <c r="AH168" i="17" s="1"/>
  <c r="AB168" i="17"/>
  <c r="M168" i="17"/>
  <c r="U168" i="17"/>
  <c r="AC168" i="17"/>
  <c r="N168" i="17"/>
  <c r="AE168" i="17" s="1"/>
  <c r="AM168" i="17" s="1"/>
  <c r="V168" i="17"/>
  <c r="AD168" i="17"/>
  <c r="N144" i="17"/>
  <c r="AE144" i="17" s="1"/>
  <c r="K144" i="17"/>
  <c r="O143" i="17" s="1"/>
  <c r="T144" i="17"/>
  <c r="AQ144" i="17" s="1"/>
  <c r="AB144" i="17"/>
  <c r="L144" i="17"/>
  <c r="U144" i="17"/>
  <c r="AC144" i="17"/>
  <c r="M144" i="17"/>
  <c r="V144" i="17"/>
  <c r="X128" i="17"/>
  <c r="AO128" i="17"/>
  <c r="J128" i="17"/>
  <c r="P129" i="17" s="1"/>
  <c r="R128" i="17"/>
  <c r="Z128" i="17"/>
  <c r="L128" i="17"/>
  <c r="AD128" i="17" s="1"/>
  <c r="W128" i="17"/>
  <c r="M128" i="17"/>
  <c r="Y128" i="17"/>
  <c r="N128" i="17"/>
  <c r="AE128" i="17" s="1"/>
  <c r="AA128" i="17"/>
  <c r="Q128" i="17"/>
  <c r="AB128" i="17"/>
  <c r="T104" i="17"/>
  <c r="AQ104" i="17" s="1"/>
  <c r="AB104" i="17"/>
  <c r="J104" i="17"/>
  <c r="P106" i="17" s="1"/>
  <c r="V104" i="17"/>
  <c r="Y104" i="17"/>
  <c r="K104" i="17"/>
  <c r="O107" i="17" s="1"/>
  <c r="AJ107" i="17" s="1"/>
  <c r="Z104" i="17"/>
  <c r="Q104" i="17"/>
  <c r="AG104" i="17" s="1"/>
  <c r="L104" i="17"/>
  <c r="AD104" i="17" s="1"/>
  <c r="AL104" i="17" s="1"/>
  <c r="R104" i="17"/>
  <c r="AF104" i="17"/>
  <c r="M104" i="17"/>
  <c r="S104" i="17"/>
  <c r="N104" i="17"/>
  <c r="AE104" i="17" s="1"/>
  <c r="U104" i="17"/>
  <c r="AH104" i="17"/>
  <c r="X80" i="17"/>
  <c r="AO80" i="17"/>
  <c r="J80" i="17"/>
  <c r="P80" i="17" s="1"/>
  <c r="R80" i="17"/>
  <c r="Z80" i="17"/>
  <c r="T80" i="17"/>
  <c r="AH80" i="17" s="1"/>
  <c r="U80" i="17"/>
  <c r="V80" i="17"/>
  <c r="Y80" i="17"/>
  <c r="N80" i="17"/>
  <c r="AE80" i="17" s="1"/>
  <c r="W80" i="17"/>
  <c r="K80" i="17"/>
  <c r="S80" i="17"/>
  <c r="AF80" i="17" s="1"/>
  <c r="L80" i="17"/>
  <c r="AD80" i="17" s="1"/>
  <c r="AL80" i="17" s="1"/>
  <c r="AA80" i="17"/>
  <c r="Q80" i="17"/>
  <c r="AP80" i="17" s="1"/>
  <c r="AB80" i="17"/>
  <c r="L56" i="17"/>
  <c r="AD56" i="17" s="1"/>
  <c r="T56" i="17"/>
  <c r="AQ56" i="17" s="1"/>
  <c r="AB56" i="17"/>
  <c r="Y56" i="17"/>
  <c r="K56" i="17"/>
  <c r="Q56" i="17"/>
  <c r="AA56" i="17"/>
  <c r="R56" i="17"/>
  <c r="AC56" i="17"/>
  <c r="S56" i="17"/>
  <c r="AF56" i="17" s="1"/>
  <c r="AO56" i="17"/>
  <c r="M56" i="17"/>
  <c r="AE56" i="17"/>
  <c r="N56" i="17"/>
  <c r="Z56" i="17"/>
  <c r="X56" i="17"/>
  <c r="J56" i="17"/>
  <c r="P56" i="17" s="1"/>
  <c r="N32" i="17"/>
  <c r="V32" i="17"/>
  <c r="R32" i="17"/>
  <c r="AA32" i="17"/>
  <c r="K32" i="17"/>
  <c r="O34" i="17" s="1"/>
  <c r="T32" i="17"/>
  <c r="AQ32" i="17" s="1"/>
  <c r="AC32" i="17"/>
  <c r="X32" i="17"/>
  <c r="U32" i="17"/>
  <c r="W32" i="17"/>
  <c r="J32" i="17"/>
  <c r="P33" i="17" s="1"/>
  <c r="Q32" i="17"/>
  <c r="AP32" i="17" s="1"/>
  <c r="AO32" i="17"/>
  <c r="Y32" i="17"/>
  <c r="L32" i="17"/>
  <c r="AD32" i="17" s="1"/>
  <c r="AL32" i="17" s="1"/>
  <c r="Z32" i="17"/>
  <c r="M32" i="17"/>
  <c r="AB32" i="17"/>
  <c r="S32" i="17"/>
  <c r="AF32" i="17" s="1"/>
  <c r="AE32" i="17"/>
  <c r="S8" i="17"/>
  <c r="AA8" i="17"/>
  <c r="L8" i="17"/>
  <c r="AD8" i="17" s="1"/>
  <c r="T8" i="17"/>
  <c r="AB8" i="17"/>
  <c r="M8" i="17"/>
  <c r="U8" i="17"/>
  <c r="AC8" i="17"/>
  <c r="AL8" i="17" s="1"/>
  <c r="R8" i="17"/>
  <c r="AF8" i="17"/>
  <c r="V8" i="17"/>
  <c r="K8" i="17"/>
  <c r="W8" i="17"/>
  <c r="Q8" i="17"/>
  <c r="AO8" i="17"/>
  <c r="X8" i="17"/>
  <c r="Y8" i="17"/>
  <c r="Z8" i="17"/>
  <c r="J8" i="17"/>
  <c r="N8" i="17"/>
  <c r="AE8" i="17" s="1"/>
  <c r="L86" i="17"/>
  <c r="M75" i="17"/>
  <c r="AQ71" i="17"/>
  <c r="W64" i="17"/>
  <c r="AI64" i="17" s="1"/>
  <c r="W56" i="17"/>
  <c r="L171" i="17"/>
  <c r="AK171" i="17" s="1"/>
  <c r="N163" i="17"/>
  <c r="AE163" i="17" s="1"/>
  <c r="O163" i="17"/>
  <c r="AJ163" i="17" s="1"/>
  <c r="P163" i="17"/>
  <c r="N155" i="17"/>
  <c r="AE155" i="17" s="1"/>
  <c r="O155" i="17"/>
  <c r="N147" i="17"/>
  <c r="AE147" i="17" s="1"/>
  <c r="L131" i="17"/>
  <c r="AD131" i="17" s="1"/>
  <c r="N115" i="17"/>
  <c r="AE115" i="17" s="1"/>
  <c r="P115" i="17"/>
  <c r="AK115" i="17" s="1"/>
  <c r="L99" i="17"/>
  <c r="AD99" i="17" s="1"/>
  <c r="P99" i="17"/>
  <c r="N99" i="17"/>
  <c r="AE99" i="17" s="1"/>
  <c r="L83" i="17"/>
  <c r="AD83" i="17" s="1"/>
  <c r="AL83" i="17" s="1"/>
  <c r="M83" i="17"/>
  <c r="N83" i="17"/>
  <c r="AE83" i="17" s="1"/>
  <c r="L67" i="17"/>
  <c r="AD67" i="17" s="1"/>
  <c r="M67" i="17"/>
  <c r="N67" i="17"/>
  <c r="AE67" i="17" s="1"/>
  <c r="O67" i="17"/>
  <c r="AI67" i="17" s="1"/>
  <c r="P67" i="17"/>
  <c r="L51" i="17"/>
  <c r="AD51" i="17" s="1"/>
  <c r="M51" i="17"/>
  <c r="N51" i="17"/>
  <c r="AE51" i="17" s="1"/>
  <c r="P51" i="17"/>
  <c r="L43" i="17"/>
  <c r="AD43" i="17" s="1"/>
  <c r="N43" i="17"/>
  <c r="AE43" i="17" s="1"/>
  <c r="P43" i="17"/>
  <c r="M43" i="17"/>
  <c r="L27" i="17"/>
  <c r="AD27" i="17" s="1"/>
  <c r="M27" i="17"/>
  <c r="N27" i="17"/>
  <c r="AE27" i="17" s="1"/>
  <c r="M11" i="17"/>
  <c r="N11" i="17"/>
  <c r="AE11" i="17" s="1"/>
  <c r="O11" i="17"/>
  <c r="L11" i="17"/>
  <c r="N167" i="17"/>
  <c r="AE167" i="17" s="1"/>
  <c r="V167" i="17"/>
  <c r="W167" i="17"/>
  <c r="X167" i="17"/>
  <c r="AF167" i="17"/>
  <c r="AO167" i="17"/>
  <c r="R151" i="17"/>
  <c r="Z151" i="17"/>
  <c r="S151" i="17"/>
  <c r="AA151" i="17"/>
  <c r="L151" i="17"/>
  <c r="T151" i="17"/>
  <c r="AQ151" i="17" s="1"/>
  <c r="AB151" i="17"/>
  <c r="N135" i="17"/>
  <c r="AE135" i="17" s="1"/>
  <c r="V135" i="17"/>
  <c r="K135" i="17"/>
  <c r="P135" i="17"/>
  <c r="X135" i="17"/>
  <c r="AO135" i="17"/>
  <c r="M135" i="17"/>
  <c r="Y135" i="17"/>
  <c r="Z135" i="17"/>
  <c r="Q135" i="17"/>
  <c r="AG135" i="17" s="1"/>
  <c r="AA135" i="17"/>
  <c r="R135" i="17"/>
  <c r="AB135" i="17"/>
  <c r="J119" i="17"/>
  <c r="P121" i="17" s="1"/>
  <c r="R119" i="17"/>
  <c r="Z119" i="17"/>
  <c r="L119" i="17"/>
  <c r="AD119" i="17" s="1"/>
  <c r="T119" i="17"/>
  <c r="AB119" i="17"/>
  <c r="M119" i="17"/>
  <c r="W119" i="17"/>
  <c r="N119" i="17"/>
  <c r="AE119" i="17" s="1"/>
  <c r="X119" i="17"/>
  <c r="AJ119" i="17" s="1"/>
  <c r="AI119" i="17"/>
  <c r="V119" i="17"/>
  <c r="Y119" i="17"/>
  <c r="AA119" i="17"/>
  <c r="AO119" i="17"/>
  <c r="O119" i="17"/>
  <c r="AC119" i="17"/>
  <c r="AP119" i="17"/>
  <c r="N103" i="17"/>
  <c r="AE103" i="17" s="1"/>
  <c r="V103" i="17"/>
  <c r="K103" i="17"/>
  <c r="O102" i="17" s="1"/>
  <c r="P103" i="17"/>
  <c r="X103" i="17"/>
  <c r="AF103" i="17"/>
  <c r="AO103" i="17"/>
  <c r="Q103" i="17"/>
  <c r="AG103" i="17" s="1"/>
  <c r="AA103" i="17"/>
  <c r="R103" i="17"/>
  <c r="AB103" i="17"/>
  <c r="U103" i="17"/>
  <c r="W103" i="17"/>
  <c r="Y103" i="17"/>
  <c r="L103" i="17"/>
  <c r="AD103" i="17" s="1"/>
  <c r="Z103" i="17"/>
  <c r="AQ103" i="17"/>
  <c r="N87" i="17"/>
  <c r="AE87" i="17" s="1"/>
  <c r="V87" i="17"/>
  <c r="W87" i="17"/>
  <c r="K87" i="17"/>
  <c r="O85" i="17" s="1"/>
  <c r="AJ85" i="17" s="1"/>
  <c r="X87" i="17"/>
  <c r="AF87" i="17"/>
  <c r="AO87" i="17"/>
  <c r="R87" i="17"/>
  <c r="AC87" i="17"/>
  <c r="U87" i="17"/>
  <c r="Y87" i="17"/>
  <c r="L87" i="17"/>
  <c r="AD87" i="17" s="1"/>
  <c r="M87" i="17"/>
  <c r="Q87" i="17"/>
  <c r="AP87" i="17" s="1"/>
  <c r="S87" i="17"/>
  <c r="W63" i="17"/>
  <c r="N63" i="17"/>
  <c r="AE63" i="17" s="1"/>
  <c r="AR63" i="17" s="1"/>
  <c r="X63" i="17"/>
  <c r="Y63" i="17"/>
  <c r="Q63" i="17"/>
  <c r="AG63" i="17" s="1"/>
  <c r="Z63" i="17"/>
  <c r="S63" i="17"/>
  <c r="AF63" i="17"/>
  <c r="T63" i="17"/>
  <c r="AQ63" i="17" s="1"/>
  <c r="U63" i="17"/>
  <c r="J63" i="17"/>
  <c r="P61" i="17" s="1"/>
  <c r="AA63" i="17"/>
  <c r="V63" i="17"/>
  <c r="L63" i="17"/>
  <c r="AD63" i="17" s="1"/>
  <c r="AP63" i="17"/>
  <c r="M63" i="17"/>
  <c r="AC63" i="17"/>
  <c r="AO63" i="17"/>
  <c r="L39" i="17"/>
  <c r="T39" i="17"/>
  <c r="AQ39" i="17" s="1"/>
  <c r="AB39" i="17"/>
  <c r="J39" i="17"/>
  <c r="P37" i="17" s="1"/>
  <c r="AK37" i="17" s="1"/>
  <c r="R39" i="17"/>
  <c r="AA39" i="17"/>
  <c r="M39" i="17"/>
  <c r="W39" i="17"/>
  <c r="N39" i="17"/>
  <c r="AE39" i="17" s="1"/>
  <c r="Y39" i="17"/>
  <c r="Z39" i="17"/>
  <c r="P39" i="17"/>
  <c r="Q39" i="17"/>
  <c r="AP39" i="17" s="1"/>
  <c r="AF39" i="17"/>
  <c r="S39" i="17"/>
  <c r="AG39" i="17"/>
  <c r="AC39" i="17"/>
  <c r="X39" i="17"/>
  <c r="K39" i="17"/>
  <c r="O38" i="17" s="1"/>
  <c r="AI38" i="17" s="1"/>
  <c r="M7" i="17"/>
  <c r="U7" i="17"/>
  <c r="AC7" i="17"/>
  <c r="AL7" i="17" s="1"/>
  <c r="N7" i="17"/>
  <c r="AE7" i="17" s="1"/>
  <c r="V7" i="17"/>
  <c r="W7" i="17"/>
  <c r="Q7" i="17"/>
  <c r="AG7" i="17" s="1"/>
  <c r="AB7" i="17"/>
  <c r="R7" i="17"/>
  <c r="S7" i="17"/>
  <c r="AF7" i="17" s="1"/>
  <c r="J7" i="17"/>
  <c r="K7" i="17"/>
  <c r="O9" i="17" s="1"/>
  <c r="AJ9" i="17" s="1"/>
  <c r="T7" i="17"/>
  <c r="AQ7" i="17" s="1"/>
  <c r="AO7" i="17"/>
  <c r="Z7" i="17"/>
  <c r="L7" i="17"/>
  <c r="AD7" i="17" s="1"/>
  <c r="AA7" i="17"/>
  <c r="X7" i="17"/>
  <c r="Y7" i="17"/>
  <c r="AA175" i="17"/>
  <c r="M175" i="17"/>
  <c r="V172" i="17"/>
  <c r="AG170" i="17"/>
  <c r="K172" i="17"/>
  <c r="O172" i="17" s="1"/>
  <c r="AA168" i="17"/>
  <c r="AL168" i="17" s="1"/>
  <c r="P168" i="17"/>
  <c r="Y167" i="17"/>
  <c r="J167" i="17"/>
  <c r="P169" i="17" s="1"/>
  <c r="U165" i="17"/>
  <c r="AQ164" i="17"/>
  <c r="R164" i="17"/>
  <c r="AP163" i="17"/>
  <c r="S163" i="17"/>
  <c r="AF163" i="17" s="1"/>
  <c r="U162" i="17"/>
  <c r="S160" i="17"/>
  <c r="AB159" i="17"/>
  <c r="Q159" i="17"/>
  <c r="AG159" i="17" s="1"/>
  <c r="M159" i="17"/>
  <c r="AQ158" i="17"/>
  <c r="R158" i="17"/>
  <c r="S157" i="17"/>
  <c r="AF157" i="17" s="1"/>
  <c r="U156" i="17"/>
  <c r="Q155" i="17"/>
  <c r="AG155" i="17" s="1"/>
  <c r="S154" i="17"/>
  <c r="AF154" i="17" s="1"/>
  <c r="AA152" i="17"/>
  <c r="V151" i="17"/>
  <c r="S150" i="17"/>
  <c r="AF150" i="17" s="1"/>
  <c r="T149" i="17"/>
  <c r="V148" i="17"/>
  <c r="Q147" i="17"/>
  <c r="AG147" i="17" s="1"/>
  <c r="S146" i="17"/>
  <c r="AF146" i="17" s="1"/>
  <c r="X144" i="17"/>
  <c r="AE143" i="17"/>
  <c r="M143" i="17"/>
  <c r="O142" i="17"/>
  <c r="V140" i="17"/>
  <c r="AP139" i="17"/>
  <c r="AR139" i="17" s="1"/>
  <c r="U139" i="17"/>
  <c r="AA136" i="17"/>
  <c r="T135" i="17"/>
  <c r="AP131" i="17"/>
  <c r="T128" i="17"/>
  <c r="AH128" i="17" s="1"/>
  <c r="K132" i="17"/>
  <c r="O132" i="17" s="1"/>
  <c r="M127" i="17"/>
  <c r="U126" i="17"/>
  <c r="AG122" i="17"/>
  <c r="R118" i="17"/>
  <c r="P116" i="17"/>
  <c r="U114" i="17"/>
  <c r="AC111" i="17"/>
  <c r="AL111" i="17" s="1"/>
  <c r="R108" i="17"/>
  <c r="L107" i="17"/>
  <c r="AD107" i="17" s="1"/>
  <c r="AL107" i="17" s="1"/>
  <c r="W104" i="17"/>
  <c r="N102" i="17"/>
  <c r="AE102" i="17" s="1"/>
  <c r="T100" i="17"/>
  <c r="AQ100" i="17" s="1"/>
  <c r="P91" i="17"/>
  <c r="AE88" i="17"/>
  <c r="AA87" i="17"/>
  <c r="M80" i="17"/>
  <c r="S75" i="17"/>
  <c r="AF75" i="17" s="1"/>
  <c r="T64" i="17"/>
  <c r="AQ64" i="17" s="1"/>
  <c r="AH61" i="17"/>
  <c r="AQ60" i="17"/>
  <c r="U56" i="17"/>
  <c r="Q51" i="17"/>
  <c r="AP51" i="17" s="1"/>
  <c r="AO47" i="17"/>
  <c r="M23" i="17"/>
  <c r="V20" i="17"/>
  <c r="L164" i="17"/>
  <c r="M164" i="17"/>
  <c r="N164" i="17"/>
  <c r="AE164" i="17" s="1"/>
  <c r="P156" i="17"/>
  <c r="P132" i="17"/>
  <c r="L132" i="17"/>
  <c r="AD132" i="17" s="1"/>
  <c r="M132" i="17"/>
  <c r="N132" i="17"/>
  <c r="AE132" i="17" s="1"/>
  <c r="N108" i="17"/>
  <c r="AE108" i="17" s="1"/>
  <c r="M108" i="17"/>
  <c r="N84" i="17"/>
  <c r="AE84" i="17" s="1"/>
  <c r="M60" i="17"/>
  <c r="O60" i="17"/>
  <c r="AI60" i="17" s="1"/>
  <c r="L60" i="17"/>
  <c r="AD60" i="17" s="1"/>
  <c r="AL60" i="17" s="1"/>
  <c r="N36" i="17"/>
  <c r="AE36" i="17" s="1"/>
  <c r="L36" i="17"/>
  <c r="AD36" i="17" s="1"/>
  <c r="AL36" i="17" s="1"/>
  <c r="M36" i="17"/>
  <c r="P152" i="17"/>
  <c r="X152" i="17"/>
  <c r="AF152" i="17"/>
  <c r="AO152" i="17"/>
  <c r="Q152" i="17"/>
  <c r="Y152" i="17"/>
  <c r="AG152" i="17"/>
  <c r="AP152" i="17"/>
  <c r="K152" i="17"/>
  <c r="O151" i="17" s="1"/>
  <c r="R152" i="17"/>
  <c r="Z152" i="17"/>
  <c r="K120" i="17"/>
  <c r="O122" i="17" s="1"/>
  <c r="X120" i="17"/>
  <c r="AO120" i="17"/>
  <c r="R120" i="17"/>
  <c r="Z120" i="17"/>
  <c r="AH120" i="17"/>
  <c r="AQ120" i="17"/>
  <c r="U120" i="17"/>
  <c r="L120" i="17"/>
  <c r="AD120" i="17" s="1"/>
  <c r="V120" i="17"/>
  <c r="AC120" i="17"/>
  <c r="Q120" i="17"/>
  <c r="AG120" i="17" s="1"/>
  <c r="S120" i="17"/>
  <c r="AF120" i="17" s="1"/>
  <c r="T120" i="17"/>
  <c r="J96" i="17"/>
  <c r="L96" i="17"/>
  <c r="AD96" i="17" s="1"/>
  <c r="T96" i="17"/>
  <c r="AQ96" i="17" s="1"/>
  <c r="AB96" i="17"/>
  <c r="M96" i="17"/>
  <c r="U96" i="17"/>
  <c r="AC96" i="17"/>
  <c r="N96" i="17"/>
  <c r="AE96" i="17" s="1"/>
  <c r="V96" i="17"/>
  <c r="S96" i="17"/>
  <c r="W96" i="17"/>
  <c r="AA96" i="17"/>
  <c r="AF96" i="17"/>
  <c r="Q96" i="17"/>
  <c r="AP96" i="17" s="1"/>
  <c r="M72" i="17"/>
  <c r="U72" i="17"/>
  <c r="AC72" i="17"/>
  <c r="N72" i="17"/>
  <c r="W72" i="17"/>
  <c r="AF72" i="17"/>
  <c r="AP72" i="17"/>
  <c r="O72" i="17"/>
  <c r="AI72" i="17" s="1"/>
  <c r="X72" i="17"/>
  <c r="AJ72" i="17" s="1"/>
  <c r="K72" i="17"/>
  <c r="Y72" i="17"/>
  <c r="J72" i="17"/>
  <c r="Z72" i="17"/>
  <c r="AA72" i="17"/>
  <c r="AO72" i="17"/>
  <c r="L72" i="17"/>
  <c r="AD72" i="17" s="1"/>
  <c r="AB72" i="17"/>
  <c r="T72" i="17"/>
  <c r="AQ72" i="17" s="1"/>
  <c r="S72" i="17"/>
  <c r="V72" i="17"/>
  <c r="Q72" i="17"/>
  <c r="AG72" i="17" s="1"/>
  <c r="R72" i="17"/>
  <c r="AE72" i="17"/>
  <c r="J48" i="17"/>
  <c r="R48" i="17"/>
  <c r="Z48" i="17"/>
  <c r="K48" i="17"/>
  <c r="M48" i="17"/>
  <c r="V48" i="17"/>
  <c r="AO48" i="17"/>
  <c r="S48" i="17"/>
  <c r="AC48" i="17"/>
  <c r="T48" i="17"/>
  <c r="AH48" i="17" s="1"/>
  <c r="N48" i="17"/>
  <c r="AE48" i="17" s="1"/>
  <c r="AA48" i="17"/>
  <c r="AB48" i="17"/>
  <c r="AF48" i="17"/>
  <c r="Q48" i="17"/>
  <c r="AG48" i="17" s="1"/>
  <c r="U48" i="17"/>
  <c r="W48" i="17"/>
  <c r="Y48" i="17"/>
  <c r="X48" i="17"/>
  <c r="L48" i="17"/>
  <c r="AD48" i="17" s="1"/>
  <c r="J16" i="17"/>
  <c r="W16" i="17"/>
  <c r="X16" i="17"/>
  <c r="AO16" i="17"/>
  <c r="Q16" i="17"/>
  <c r="Y16" i="17"/>
  <c r="AG16" i="17"/>
  <c r="AP16" i="17"/>
  <c r="K16" i="17"/>
  <c r="R16" i="17"/>
  <c r="AC16" i="17"/>
  <c r="S16" i="17"/>
  <c r="AF16" i="17" s="1"/>
  <c r="T16" i="17"/>
  <c r="AQ16" i="17" s="1"/>
  <c r="AH16" i="17"/>
  <c r="N16" i="17"/>
  <c r="AE16" i="17" s="1"/>
  <c r="AM16" i="17" s="1"/>
  <c r="U16" i="17"/>
  <c r="V16" i="17"/>
  <c r="L16" i="17"/>
  <c r="AD16" i="17" s="1"/>
  <c r="M16" i="17"/>
  <c r="Z16" i="17"/>
  <c r="AB16" i="17"/>
  <c r="AA16" i="17"/>
  <c r="AL16" i="17" s="1"/>
  <c r="T174" i="17"/>
  <c r="AH174" i="17" s="1"/>
  <c r="U173" i="17"/>
  <c r="K173" i="17"/>
  <c r="O174" i="17" s="1"/>
  <c r="M172" i="17"/>
  <c r="AF168" i="17"/>
  <c r="R168" i="17"/>
  <c r="AP167" i="17"/>
  <c r="U163" i="17"/>
  <c r="O162" i="17"/>
  <c r="AJ162" i="17" s="1"/>
  <c r="X160" i="17"/>
  <c r="AP155" i="17"/>
  <c r="U154" i="17"/>
  <c r="AC152" i="17"/>
  <c r="AL152" i="17" s="1"/>
  <c r="AP147" i="17"/>
  <c r="U143" i="17"/>
  <c r="M138" i="17"/>
  <c r="Q127" i="17"/>
  <c r="AG127" i="17" s="1"/>
  <c r="AP124" i="17"/>
  <c r="AP111" i="17"/>
  <c r="Z175" i="17"/>
  <c r="L175" i="17"/>
  <c r="AD175" i="17" s="1"/>
  <c r="N174" i="17"/>
  <c r="AE174" i="17" s="1"/>
  <c r="J175" i="17"/>
  <c r="P173" i="17" s="1"/>
  <c r="U172" i="17"/>
  <c r="AP171" i="17"/>
  <c r="V171" i="17"/>
  <c r="S170" i="17"/>
  <c r="AF170" i="17" s="1"/>
  <c r="AO168" i="17"/>
  <c r="Z168" i="17"/>
  <c r="U167" i="17"/>
  <c r="O166" i="17"/>
  <c r="Q165" i="17"/>
  <c r="Q164" i="17"/>
  <c r="AG164" i="17" s="1"/>
  <c r="R163" i="17"/>
  <c r="T162" i="17"/>
  <c r="AQ162" i="17" s="1"/>
  <c r="AF160" i="17"/>
  <c r="R160" i="17"/>
  <c r="AA159" i="17"/>
  <c r="L159" i="17"/>
  <c r="AD159" i="17" s="1"/>
  <c r="Q158" i="17"/>
  <c r="AG158" i="17" s="1"/>
  <c r="AL157" i="17"/>
  <c r="R157" i="17"/>
  <c r="T156" i="17"/>
  <c r="M155" i="17"/>
  <c r="O154" i="17"/>
  <c r="AI154" i="17" s="1"/>
  <c r="W152" i="17"/>
  <c r="L152" i="17"/>
  <c r="AD152" i="17" s="1"/>
  <c r="AF151" i="17"/>
  <c r="U151" i="17"/>
  <c r="AQ150" i="17"/>
  <c r="R150" i="17"/>
  <c r="AP149" i="17"/>
  <c r="S149" i="17"/>
  <c r="AF149" i="17" s="1"/>
  <c r="U148" i="17"/>
  <c r="M147" i="17"/>
  <c r="W144" i="17"/>
  <c r="L143" i="17"/>
  <c r="AD143" i="17" s="1"/>
  <c r="AH141" i="17"/>
  <c r="Q140" i="17"/>
  <c r="P139" i="17"/>
  <c r="U136" i="17"/>
  <c r="S135" i="17"/>
  <c r="AF135" i="17" s="1"/>
  <c r="S134" i="17"/>
  <c r="AF134" i="17" s="1"/>
  <c r="S128" i="17"/>
  <c r="AF128" i="17" s="1"/>
  <c r="K128" i="17"/>
  <c r="AB127" i="17"/>
  <c r="T126" i="17"/>
  <c r="AH126" i="17" s="1"/>
  <c r="Q125" i="17"/>
  <c r="AG125" i="17" s="1"/>
  <c r="AQ123" i="17"/>
  <c r="N120" i="17"/>
  <c r="AE120" i="17" s="1"/>
  <c r="U119" i="17"/>
  <c r="S114" i="17"/>
  <c r="AF114" i="17" s="1"/>
  <c r="AG112" i="17"/>
  <c r="Z111" i="17"/>
  <c r="V109" i="17"/>
  <c r="Q108" i="17"/>
  <c r="AG108" i="17" s="1"/>
  <c r="M103" i="17"/>
  <c r="S100" i="17"/>
  <c r="AF100" i="17" s="1"/>
  <c r="Y96" i="17"/>
  <c r="Z95" i="17"/>
  <c r="AA88" i="17"/>
  <c r="AL88" i="17" s="1"/>
  <c r="Z87" i="17"/>
  <c r="V85" i="17"/>
  <c r="S82" i="17"/>
  <c r="AF82" i="17" s="1"/>
  <c r="AP76" i="17"/>
  <c r="R75" i="17"/>
  <c r="AO40" i="17"/>
  <c r="AG20" i="17"/>
  <c r="Y175" i="17"/>
  <c r="M174" i="17"/>
  <c r="AG173" i="17"/>
  <c r="T172" i="17"/>
  <c r="AQ172" i="17" s="1"/>
  <c r="U171" i="17"/>
  <c r="AQ170" i="17"/>
  <c r="R170" i="17"/>
  <c r="Y168" i="17"/>
  <c r="AH167" i="17"/>
  <c r="T167" i="17"/>
  <c r="AQ167" i="17" s="1"/>
  <c r="V166" i="17"/>
  <c r="P164" i="17"/>
  <c r="Q163" i="17"/>
  <c r="AG163" i="17" s="1"/>
  <c r="S162" i="17"/>
  <c r="AF162" i="17" s="1"/>
  <c r="AQ160" i="17"/>
  <c r="AE160" i="17"/>
  <c r="Q160" i="17"/>
  <c r="AP160" i="17" s="1"/>
  <c r="Z159" i="17"/>
  <c r="K159" i="17"/>
  <c r="O161" i="17" s="1"/>
  <c r="AI161" i="17" s="1"/>
  <c r="P158" i="17"/>
  <c r="Q157" i="17"/>
  <c r="S156" i="17"/>
  <c r="AF156" i="17" s="1"/>
  <c r="L155" i="17"/>
  <c r="N154" i="17"/>
  <c r="AE154" i="17" s="1"/>
  <c r="V152" i="17"/>
  <c r="Q151" i="17"/>
  <c r="Q150" i="17"/>
  <c r="AP150" i="17" s="1"/>
  <c r="R149" i="17"/>
  <c r="T148" i="17"/>
  <c r="AH148" i="17" s="1"/>
  <c r="L147" i="17"/>
  <c r="N146" i="17"/>
  <c r="AE146" i="17" s="1"/>
  <c r="S144" i="17"/>
  <c r="AF144" i="17" s="1"/>
  <c r="AQ143" i="17"/>
  <c r="Z143" i="17"/>
  <c r="AG141" i="17"/>
  <c r="S141" i="17"/>
  <c r="AF141" i="17" s="1"/>
  <c r="P140" i="17"/>
  <c r="O139" i="17"/>
  <c r="O138" i="17"/>
  <c r="AI138" i="17" s="1"/>
  <c r="AP136" i="17"/>
  <c r="S136" i="17"/>
  <c r="AF136" i="17" s="1"/>
  <c r="L135" i="17"/>
  <c r="AD135" i="17" s="1"/>
  <c r="Q134" i="17"/>
  <c r="U132" i="17"/>
  <c r="AG131" i="17"/>
  <c r="AA127" i="17"/>
  <c r="AP126" i="17"/>
  <c r="M126" i="17"/>
  <c r="U124" i="17"/>
  <c r="AP123" i="17"/>
  <c r="U122" i="17"/>
  <c r="M120" i="17"/>
  <c r="S119" i="17"/>
  <c r="AF119" i="17" s="1"/>
  <c r="J120" i="17"/>
  <c r="AQ116" i="17"/>
  <c r="AP115" i="17"/>
  <c r="R114" i="17"/>
  <c r="AC112" i="17"/>
  <c r="Y111" i="17"/>
  <c r="AP104" i="17"/>
  <c r="AH103" i="17"/>
  <c r="M100" i="17"/>
  <c r="X96" i="17"/>
  <c r="Y95" i="17"/>
  <c r="AK94" i="17"/>
  <c r="AH93" i="17"/>
  <c r="U93" i="17"/>
  <c r="M92" i="17"/>
  <c r="Z88" i="17"/>
  <c r="T87" i="17"/>
  <c r="AQ87" i="17" s="1"/>
  <c r="AG83" i="17"/>
  <c r="AB63" i="17"/>
  <c r="Q60" i="17"/>
  <c r="AG60" i="17" s="1"/>
  <c r="X55" i="17"/>
  <c r="AL108" i="17"/>
  <c r="AK52" i="17"/>
  <c r="K90" i="17"/>
  <c r="O92" i="17" s="1"/>
  <c r="AL123" i="17"/>
  <c r="K98" i="17"/>
  <c r="O99" i="17" s="1"/>
  <c r="AI99" i="17" s="1"/>
  <c r="AR83" i="17"/>
  <c r="AJ117" i="17"/>
  <c r="K100" i="17"/>
  <c r="K92" i="17"/>
  <c r="AJ58" i="17"/>
  <c r="AK53" i="17"/>
  <c r="AJ116" i="17"/>
  <c r="K83" i="17"/>
  <c r="O84" i="17" s="1"/>
  <c r="AI58" i="17"/>
  <c r="K54" i="17"/>
  <c r="O55" i="17" s="1"/>
  <c r="AK44" i="17"/>
  <c r="AL51" i="17"/>
  <c r="U11" i="17"/>
  <c r="U19" i="17"/>
  <c r="U2" i="17"/>
  <c r="U20" i="17"/>
  <c r="R2" i="17"/>
  <c r="U12" i="17"/>
  <c r="U3" i="17"/>
  <c r="R19" i="17"/>
  <c r="U21" i="17"/>
  <c r="R5" i="17"/>
  <c r="U52" i="17"/>
  <c r="R14" i="17"/>
  <c r="M3" i="17"/>
  <c r="R12" i="17"/>
  <c r="U36" i="17"/>
  <c r="U10" i="17"/>
  <c r="R18" i="17"/>
  <c r="U34" i="17"/>
  <c r="U35" i="17"/>
  <c r="U18" i="17"/>
  <c r="U27" i="17"/>
  <c r="U28" i="17"/>
  <c r="U29" i="17"/>
  <c r="U38" i="17"/>
  <c r="U44" i="17"/>
  <c r="U26" i="17"/>
  <c r="U43" i="17"/>
  <c r="U53" i="17"/>
  <c r="R11" i="17"/>
  <c r="U42" i="17"/>
  <c r="R13" i="17"/>
  <c r="U51" i="17"/>
  <c r="U54" i="17"/>
  <c r="R20" i="17"/>
  <c r="U30" i="17"/>
  <c r="U45" i="17"/>
  <c r="U59" i="17"/>
  <c r="AI66" i="17"/>
  <c r="K60" i="17"/>
  <c r="O64" i="17" s="1"/>
  <c r="AK67" i="17"/>
  <c r="AJ66" i="17"/>
  <c r="AI59" i="17"/>
  <c r="AK51" i="17"/>
  <c r="K27" i="17"/>
  <c r="K26" i="17"/>
  <c r="AJ38" i="17"/>
  <c r="K34" i="17"/>
  <c r="O36" i="17" s="1"/>
  <c r="AI36" i="17" s="1"/>
  <c r="K20" i="17"/>
  <c r="L58" i="17"/>
  <c r="M50" i="17"/>
  <c r="N42" i="17"/>
  <c r="AE42" i="17" s="1"/>
  <c r="N34" i="17"/>
  <c r="AE34" i="17" s="1"/>
  <c r="P18" i="17"/>
  <c r="L18" i="17"/>
  <c r="M18" i="17"/>
  <c r="N18" i="17"/>
  <c r="AE18" i="17" s="1"/>
  <c r="M10" i="17"/>
  <c r="N10" i="17"/>
  <c r="AE10" i="17" s="1"/>
  <c r="L10" i="17"/>
  <c r="AD10" i="17" s="1"/>
  <c r="P54" i="17"/>
  <c r="J46" i="17"/>
  <c r="V46" i="17"/>
  <c r="AD46" i="17"/>
  <c r="AL46" i="17" s="1"/>
  <c r="N38" i="17"/>
  <c r="AE38" i="17" s="1"/>
  <c r="V38" i="17"/>
  <c r="AD38" i="17"/>
  <c r="N30" i="17"/>
  <c r="AE30" i="17" s="1"/>
  <c r="V30" i="17"/>
  <c r="AD30" i="17"/>
  <c r="L22" i="17"/>
  <c r="T22" i="17"/>
  <c r="AQ22" i="17" s="1"/>
  <c r="AB22" i="17"/>
  <c r="M22" i="17"/>
  <c r="U22" i="17"/>
  <c r="AC22" i="17"/>
  <c r="W22" i="17"/>
  <c r="AG22" i="17"/>
  <c r="AP22" i="17"/>
  <c r="X22" i="17"/>
  <c r="AH22" i="17"/>
  <c r="S14" i="17"/>
  <c r="AF14" i="17" s="1"/>
  <c r="AA14" i="17"/>
  <c r="L14" i="17"/>
  <c r="AD14" i="17" s="1"/>
  <c r="AL14" i="17" s="1"/>
  <c r="T14" i="17"/>
  <c r="AH14" i="17" s="1"/>
  <c r="AB14" i="17"/>
  <c r="M14" i="17"/>
  <c r="U14" i="17"/>
  <c r="AC14" i="17"/>
  <c r="W14" i="17"/>
  <c r="X14" i="17"/>
  <c r="N14" i="17"/>
  <c r="AE14" i="17" s="1"/>
  <c r="Y14" i="17"/>
  <c r="K6" i="17"/>
  <c r="S6" i="17"/>
  <c r="AA6" i="17"/>
  <c r="L6" i="17"/>
  <c r="AD6" i="17" s="1"/>
  <c r="T6" i="17"/>
  <c r="AQ6" i="17" s="1"/>
  <c r="AB6" i="17"/>
  <c r="M6" i="17"/>
  <c r="U6" i="17"/>
  <c r="AC6" i="17"/>
  <c r="Q6" i="17"/>
  <c r="AP6" i="17" s="1"/>
  <c r="AE6" i="17"/>
  <c r="R6" i="17"/>
  <c r="AF6" i="17"/>
  <c r="N2" i="17"/>
  <c r="AE2" i="17" s="1"/>
  <c r="AO54" i="17"/>
  <c r="AF54" i="17"/>
  <c r="X54" i="17"/>
  <c r="Z46" i="17"/>
  <c r="Q46" i="17"/>
  <c r="AP46" i="17" s="1"/>
  <c r="AR46" i="17" s="1"/>
  <c r="L46" i="17"/>
  <c r="AH38" i="17"/>
  <c r="Y38" i="17"/>
  <c r="P38" i="17"/>
  <c r="AB30" i="17"/>
  <c r="S30" i="17"/>
  <c r="AF30" i="17" s="1"/>
  <c r="AO22" i="17"/>
  <c r="AD22" i="17"/>
  <c r="P22" i="17"/>
  <c r="J14" i="17"/>
  <c r="P16" i="17" s="1"/>
  <c r="AH6" i="17"/>
  <c r="N6" i="17"/>
  <c r="K45" i="17"/>
  <c r="K29" i="17"/>
  <c r="Z30" i="17"/>
  <c r="Q30" i="17"/>
  <c r="AG30" i="17" s="1"/>
  <c r="J30" i="17"/>
  <c r="P28" i="17" s="1"/>
  <c r="AK28" i="17" s="1"/>
  <c r="Z22" i="17"/>
  <c r="Z14" i="17"/>
  <c r="Z6" i="17"/>
  <c r="AK19" i="17"/>
  <c r="Q21" i="17"/>
  <c r="AP21" i="17" s="1"/>
  <c r="K21" i="17"/>
  <c r="R21" i="17"/>
  <c r="Z21" i="17"/>
  <c r="AH21" i="17"/>
  <c r="AQ21" i="17"/>
  <c r="S21" i="17"/>
  <c r="AF21" i="17" s="1"/>
  <c r="AA21" i="17"/>
  <c r="M13" i="17"/>
  <c r="U13" i="17"/>
  <c r="AC13" i="17"/>
  <c r="AL13" i="17" s="1"/>
  <c r="N13" i="17"/>
  <c r="V13" i="17"/>
  <c r="AD13" i="17"/>
  <c r="K13" i="17"/>
  <c r="O13" i="17" s="1"/>
  <c r="W13" i="17"/>
  <c r="AE13" i="17"/>
  <c r="M5" i="17"/>
  <c r="U5" i="17"/>
  <c r="AC5" i="17"/>
  <c r="AL5" i="17" s="1"/>
  <c r="N5" i="17"/>
  <c r="AE5" i="17" s="1"/>
  <c r="V5" i="17"/>
  <c r="AD5" i="17"/>
  <c r="W5" i="17"/>
  <c r="S2" i="17"/>
  <c r="AF2" i="17" s="1"/>
  <c r="Q3" i="17"/>
  <c r="AG3" i="17" s="1"/>
  <c r="Y3" i="17"/>
  <c r="AP3" i="17"/>
  <c r="S20" i="17"/>
  <c r="AF20" i="17" s="1"/>
  <c r="R3" i="17"/>
  <c r="Z3" i="17"/>
  <c r="AH3" i="17"/>
  <c r="AQ3" i="17"/>
  <c r="V11" i="17"/>
  <c r="V19" i="17"/>
  <c r="J3" i="17"/>
  <c r="P6" i="17" s="1"/>
  <c r="S3" i="17"/>
  <c r="AF3" i="17" s="1"/>
  <c r="AA3" i="17"/>
  <c r="AL3" i="17" s="1"/>
  <c r="Q18" i="17"/>
  <c r="AP18" i="17" s="1"/>
  <c r="Q10" i="17"/>
  <c r="AP10" i="17" s="1"/>
  <c r="K2" i="17"/>
  <c r="AR73" i="17" l="1"/>
  <c r="AL175" i="17"/>
  <c r="AL132" i="17"/>
  <c r="AI165" i="17"/>
  <c r="AJ165" i="17"/>
  <c r="AR118" i="17"/>
  <c r="AJ122" i="17"/>
  <c r="AI122" i="17"/>
  <c r="AM112" i="17"/>
  <c r="AL93" i="17"/>
  <c r="AR3" i="17"/>
  <c r="AI69" i="17"/>
  <c r="AJ69" i="17"/>
  <c r="AL95" i="17"/>
  <c r="AR72" i="17"/>
  <c r="AR51" i="17"/>
  <c r="AR91" i="17"/>
  <c r="AH154" i="17"/>
  <c r="AG46" i="17"/>
  <c r="AH127" i="17"/>
  <c r="AQ75" i="17"/>
  <c r="AL49" i="17"/>
  <c r="AD134" i="17"/>
  <c r="AL134" i="17" s="1"/>
  <c r="AL38" i="17"/>
  <c r="O112" i="17"/>
  <c r="AJ112" i="17" s="1"/>
  <c r="AG33" i="17"/>
  <c r="AG57" i="17"/>
  <c r="AL105" i="17"/>
  <c r="AD169" i="17"/>
  <c r="AK173" i="17"/>
  <c r="AK175" i="17"/>
  <c r="AG87" i="17"/>
  <c r="AL103" i="17"/>
  <c r="AR32" i="17"/>
  <c r="P128" i="17"/>
  <c r="AK128" i="17" s="1"/>
  <c r="O130" i="17"/>
  <c r="AM23" i="17"/>
  <c r="AM47" i="17"/>
  <c r="P55" i="17"/>
  <c r="O75" i="17"/>
  <c r="O123" i="17"/>
  <c r="AP142" i="17"/>
  <c r="AP146" i="17"/>
  <c r="AP106" i="17"/>
  <c r="AR106" i="17" s="1"/>
  <c r="AP30" i="17"/>
  <c r="AL136" i="17"/>
  <c r="AK148" i="17"/>
  <c r="AQ49" i="17"/>
  <c r="AL73" i="17"/>
  <c r="AL149" i="17"/>
  <c r="AL131" i="17"/>
  <c r="AL141" i="17"/>
  <c r="AD163" i="17"/>
  <c r="AL163" i="17" s="1"/>
  <c r="AD116" i="17"/>
  <c r="AR116" i="17" s="1"/>
  <c r="AL2" i="17"/>
  <c r="AQ65" i="17"/>
  <c r="P88" i="17"/>
  <c r="AK88" i="17" s="1"/>
  <c r="AK172" i="17"/>
  <c r="P145" i="17"/>
  <c r="AL135" i="17"/>
  <c r="AI163" i="17"/>
  <c r="AP135" i="17"/>
  <c r="AH144" i="17"/>
  <c r="AR96" i="17"/>
  <c r="AP103" i="17"/>
  <c r="AG32" i="17"/>
  <c r="AQ128" i="17"/>
  <c r="AK20" i="17"/>
  <c r="AH74" i="17"/>
  <c r="AG18" i="17"/>
  <c r="AH15" i="17"/>
  <c r="O22" i="17"/>
  <c r="AI71" i="17"/>
  <c r="AK127" i="17"/>
  <c r="O146" i="17"/>
  <c r="AJ146" i="17" s="1"/>
  <c r="O175" i="17"/>
  <c r="P75" i="17"/>
  <c r="AP98" i="17"/>
  <c r="AQ14" i="17"/>
  <c r="AK50" i="17"/>
  <c r="P78" i="17"/>
  <c r="AM37" i="17"/>
  <c r="AR88" i="17"/>
  <c r="AM88" i="17"/>
  <c r="AH25" i="17"/>
  <c r="AM93" i="17"/>
  <c r="AK92" i="17"/>
  <c r="P150" i="17"/>
  <c r="AK150" i="17" s="1"/>
  <c r="AD20" i="17"/>
  <c r="AR20" i="17" s="1"/>
  <c r="P5" i="17"/>
  <c r="AK5" i="17" s="1"/>
  <c r="AK77" i="17"/>
  <c r="P167" i="17"/>
  <c r="AR87" i="17"/>
  <c r="AR131" i="17"/>
  <c r="O63" i="17"/>
  <c r="AJ63" i="17" s="1"/>
  <c r="AK151" i="17"/>
  <c r="P131" i="17"/>
  <c r="AK131" i="17" s="1"/>
  <c r="O8" i="17"/>
  <c r="AI8" i="17" s="1"/>
  <c r="AL56" i="17"/>
  <c r="AG80" i="17"/>
  <c r="AM80" i="17" s="1"/>
  <c r="AJ138" i="17"/>
  <c r="P30" i="17"/>
  <c r="AL47" i="17"/>
  <c r="P70" i="17"/>
  <c r="AK70" i="17" s="1"/>
  <c r="AM95" i="17"/>
  <c r="AJ111" i="17"/>
  <c r="AK143" i="17"/>
  <c r="P130" i="17"/>
  <c r="AQ126" i="17"/>
  <c r="AG40" i="17"/>
  <c r="AK100" i="17"/>
  <c r="AK129" i="17"/>
  <c r="AJ129" i="17"/>
  <c r="AL161" i="17"/>
  <c r="AL77" i="17"/>
  <c r="AL98" i="17"/>
  <c r="AL30" i="17"/>
  <c r="AD50" i="17"/>
  <c r="AL41" i="17"/>
  <c r="AQ137" i="17"/>
  <c r="AR137" i="17" s="1"/>
  <c r="AL145" i="17"/>
  <c r="O168" i="17"/>
  <c r="AJ168" i="17" s="1"/>
  <c r="P125" i="17"/>
  <c r="AI162" i="17"/>
  <c r="AP60" i="17"/>
  <c r="AL159" i="17"/>
  <c r="AP164" i="17"/>
  <c r="AR124" i="17"/>
  <c r="AP48" i="17"/>
  <c r="O103" i="17"/>
  <c r="AJ103" i="17" s="1"/>
  <c r="AL63" i="17"/>
  <c r="AH32" i="17"/>
  <c r="AL128" i="17"/>
  <c r="AM175" i="17"/>
  <c r="AM124" i="17"/>
  <c r="AM34" i="17"/>
  <c r="O73" i="17"/>
  <c r="AI73" i="17" s="1"/>
  <c r="AN73" i="17" s="1"/>
  <c r="O95" i="17"/>
  <c r="AI95" i="17" s="1"/>
  <c r="P127" i="17"/>
  <c r="P143" i="17"/>
  <c r="AQ174" i="17"/>
  <c r="AR26" i="17"/>
  <c r="AM110" i="17"/>
  <c r="AR85" i="17"/>
  <c r="AL160" i="17"/>
  <c r="P76" i="17"/>
  <c r="AK76" i="17" s="1"/>
  <c r="P124" i="17"/>
  <c r="AK124" i="17" s="1"/>
  <c r="O37" i="17"/>
  <c r="O109" i="17"/>
  <c r="AL100" i="17"/>
  <c r="AD147" i="17"/>
  <c r="AL147" i="17" s="1"/>
  <c r="AL94" i="17"/>
  <c r="O65" i="17"/>
  <c r="AJ65" i="17" s="1"/>
  <c r="AL137" i="17"/>
  <c r="O61" i="17"/>
  <c r="AL33" i="17"/>
  <c r="AQ121" i="17"/>
  <c r="AR121" i="17" s="1"/>
  <c r="AK121" i="17"/>
  <c r="AK165" i="17"/>
  <c r="AM3" i="17"/>
  <c r="AL22" i="17"/>
  <c r="AL112" i="17"/>
  <c r="O129" i="17"/>
  <c r="AP159" i="17"/>
  <c r="AK39" i="17"/>
  <c r="AH63" i="17"/>
  <c r="AM63" i="17" s="1"/>
  <c r="P147" i="17"/>
  <c r="AK147" i="17" s="1"/>
  <c r="AH172" i="17"/>
  <c r="AG107" i="17"/>
  <c r="AG116" i="17"/>
  <c r="AM42" i="17"/>
  <c r="AL55" i="17"/>
  <c r="AL79" i="17"/>
  <c r="P95" i="17"/>
  <c r="AK95" i="17" s="1"/>
  <c r="AI111" i="17"/>
  <c r="AQ171" i="17"/>
  <c r="AP108" i="17"/>
  <c r="AR108" i="17" s="1"/>
  <c r="AP53" i="17"/>
  <c r="P146" i="17"/>
  <c r="AK146" i="17" s="1"/>
  <c r="P4" i="17"/>
  <c r="O124" i="17"/>
  <c r="AL25" i="17"/>
  <c r="AH73" i="17"/>
  <c r="AL129" i="17"/>
  <c r="AI129" i="17"/>
  <c r="AL78" i="17"/>
  <c r="AL142" i="17"/>
  <c r="AL62" i="17"/>
  <c r="AI65" i="17"/>
  <c r="O131" i="17"/>
  <c r="AJ131" i="17" s="1"/>
  <c r="AK140" i="17"/>
  <c r="AK17" i="17"/>
  <c r="AP105" i="17"/>
  <c r="AI121" i="17"/>
  <c r="AG169" i="17"/>
  <c r="AM169" i="17" s="1"/>
  <c r="O164" i="17"/>
  <c r="AM103" i="17"/>
  <c r="AK56" i="17"/>
  <c r="AG51" i="17"/>
  <c r="AM51" i="17" s="1"/>
  <c r="AL120" i="17"/>
  <c r="AR52" i="17"/>
  <c r="P166" i="17"/>
  <c r="AM62" i="17"/>
  <c r="O74" i="17"/>
  <c r="AJ74" i="17" s="1"/>
  <c r="AL116" i="17"/>
  <c r="AL50" i="17"/>
  <c r="AR113" i="17"/>
  <c r="AK99" i="17"/>
  <c r="AM81" i="17"/>
  <c r="P83" i="17"/>
  <c r="AK83" i="17" s="1"/>
  <c r="O160" i="17"/>
  <c r="AJ160" i="17" s="1"/>
  <c r="AR6" i="17"/>
  <c r="AR82" i="17"/>
  <c r="AP120" i="17"/>
  <c r="AR120" i="17" s="1"/>
  <c r="AR16" i="17"/>
  <c r="AL72" i="17"/>
  <c r="AK132" i="17"/>
  <c r="AR47" i="17"/>
  <c r="AH87" i="17"/>
  <c r="AK43" i="17"/>
  <c r="O83" i="17"/>
  <c r="AI83" i="17" s="1"/>
  <c r="AH162" i="17"/>
  <c r="AP127" i="17"/>
  <c r="AK159" i="17"/>
  <c r="P175" i="17"/>
  <c r="AQ148" i="17"/>
  <c r="AR148" i="17" s="1"/>
  <c r="AK42" i="17"/>
  <c r="P97" i="17"/>
  <c r="AK97" i="17" s="1"/>
  <c r="AQ97" i="17"/>
  <c r="AL44" i="17"/>
  <c r="AL85" i="17"/>
  <c r="AR34" i="17"/>
  <c r="AM19" i="17"/>
  <c r="AL89" i="17"/>
  <c r="P29" i="17"/>
  <c r="AK149" i="17"/>
  <c r="O18" i="17"/>
  <c r="AQ57" i="17"/>
  <c r="AP81" i="17"/>
  <c r="AR81" i="17" s="1"/>
  <c r="AL169" i="17"/>
  <c r="AJ151" i="17"/>
  <c r="AI151" i="17"/>
  <c r="AM39" i="17"/>
  <c r="AJ18" i="17"/>
  <c r="AI18" i="17"/>
  <c r="AI55" i="17"/>
  <c r="AJ55" i="17"/>
  <c r="AR39" i="17"/>
  <c r="AI102" i="17"/>
  <c r="AJ102" i="17"/>
  <c r="AG157" i="17"/>
  <c r="AP157" i="17"/>
  <c r="AI84" i="17"/>
  <c r="AJ84" i="17"/>
  <c r="AM115" i="17"/>
  <c r="O47" i="17"/>
  <c r="AJ47" i="17" s="1"/>
  <c r="O49" i="17"/>
  <c r="AI49" i="17" s="1"/>
  <c r="O48" i="17"/>
  <c r="AI48" i="17" s="1"/>
  <c r="AR79" i="17"/>
  <c r="AR145" i="17"/>
  <c r="AR115" i="17"/>
  <c r="AR10" i="17"/>
  <c r="AG165" i="17"/>
  <c r="AM165" i="17" s="1"/>
  <c r="AP165" i="17"/>
  <c r="AR165" i="17" s="1"/>
  <c r="AD11" i="17"/>
  <c r="AL11" i="17" s="1"/>
  <c r="AQ69" i="17"/>
  <c r="AH69" i="17"/>
  <c r="AM69" i="17" s="1"/>
  <c r="AK25" i="17"/>
  <c r="AK58" i="17"/>
  <c r="AD58" i="17"/>
  <c r="AL58" i="17" s="1"/>
  <c r="AM108" i="17"/>
  <c r="AH7" i="17"/>
  <c r="AM7" i="17" s="1"/>
  <c r="AJ11" i="17"/>
  <c r="AI11" i="17"/>
  <c r="AD59" i="17"/>
  <c r="AM59" i="17" s="1"/>
  <c r="AK59" i="17"/>
  <c r="AG101" i="17"/>
  <c r="AM101" i="17" s="1"/>
  <c r="AP101" i="17"/>
  <c r="AR101" i="17" s="1"/>
  <c r="AH159" i="17"/>
  <c r="AM159" i="17" s="1"/>
  <c r="AQ159" i="17"/>
  <c r="AR159" i="17" s="1"/>
  <c r="AM145" i="17"/>
  <c r="AM5" i="17"/>
  <c r="P12" i="17"/>
  <c r="AK12" i="17" s="1"/>
  <c r="P15" i="17"/>
  <c r="AK15" i="17" s="1"/>
  <c r="P13" i="17"/>
  <c r="AK13" i="17" s="1"/>
  <c r="P14" i="17"/>
  <c r="AK14" i="17" s="1"/>
  <c r="AQ156" i="17"/>
  <c r="AR156" i="17" s="1"/>
  <c r="AH156" i="17"/>
  <c r="AM156" i="17" s="1"/>
  <c r="AP7" i="17"/>
  <c r="AP8" i="17"/>
  <c r="AR8" i="17" s="1"/>
  <c r="AG8" i="17"/>
  <c r="AM8" i="17" s="1"/>
  <c r="AD158" i="17"/>
  <c r="AM158" i="17" s="1"/>
  <c r="AK158" i="17"/>
  <c r="AH67" i="17"/>
  <c r="AQ67" i="17"/>
  <c r="O41" i="17"/>
  <c r="AI41" i="17" s="1"/>
  <c r="O42" i="17"/>
  <c r="P113" i="17"/>
  <c r="AK113" i="17" s="1"/>
  <c r="P112" i="17"/>
  <c r="AK112" i="17" s="1"/>
  <c r="AL158" i="17"/>
  <c r="AD18" i="17"/>
  <c r="AL18" i="17" s="1"/>
  <c r="AK18" i="17"/>
  <c r="AK90" i="17"/>
  <c r="AP151" i="17"/>
  <c r="AG151" i="17"/>
  <c r="AM173" i="17"/>
  <c r="AM125" i="17"/>
  <c r="AR103" i="17"/>
  <c r="O133" i="17"/>
  <c r="O136" i="17"/>
  <c r="AJ136" i="17" s="1"/>
  <c r="AM32" i="17"/>
  <c r="AG91" i="17"/>
  <c r="AM91" i="17" s="1"/>
  <c r="AR14" i="17"/>
  <c r="AQ62" i="17"/>
  <c r="AR62" i="17" s="1"/>
  <c r="AR74" i="17"/>
  <c r="O46" i="17"/>
  <c r="AQ122" i="17"/>
  <c r="AH122" i="17"/>
  <c r="AM122" i="17" s="1"/>
  <c r="AR78" i="17"/>
  <c r="AL4" i="17"/>
  <c r="AR64" i="17"/>
  <c r="AL153" i="17"/>
  <c r="AL167" i="17"/>
  <c r="AL81" i="17"/>
  <c r="P46" i="17"/>
  <c r="AK46" i="17" s="1"/>
  <c r="P47" i="17"/>
  <c r="AI107" i="17"/>
  <c r="AG144" i="17"/>
  <c r="AM167" i="17"/>
  <c r="AK16" i="17"/>
  <c r="P120" i="17"/>
  <c r="AK120" i="17" s="1"/>
  <c r="AK164" i="17"/>
  <c r="AD164" i="17"/>
  <c r="AL164" i="17" s="1"/>
  <c r="AK103" i="17"/>
  <c r="O135" i="17"/>
  <c r="AJ135" i="17" s="1"/>
  <c r="AI167" i="17"/>
  <c r="P32" i="17"/>
  <c r="AK32" i="17" s="1"/>
  <c r="O35" i="17"/>
  <c r="AK80" i="17"/>
  <c r="P82" i="17"/>
  <c r="P104" i="17"/>
  <c r="AG172" i="17"/>
  <c r="AG114" i="17"/>
  <c r="AM114" i="17" s="1"/>
  <c r="AG85" i="17"/>
  <c r="AM85" i="17" s="1"/>
  <c r="AM2" i="17"/>
  <c r="AP31" i="17"/>
  <c r="AR31" i="17" s="1"/>
  <c r="AD127" i="17"/>
  <c r="AL127" i="17" s="1"/>
  <c r="AR122" i="17"/>
  <c r="AR5" i="17"/>
  <c r="AI74" i="17"/>
  <c r="AK66" i="17"/>
  <c r="AD66" i="17"/>
  <c r="AL66" i="17" s="1"/>
  <c r="AK40" i="17"/>
  <c r="AH40" i="17"/>
  <c r="AM40" i="17" s="1"/>
  <c r="AQ40" i="17"/>
  <c r="AR40" i="17" s="1"/>
  <c r="O114" i="17"/>
  <c r="O113" i="17"/>
  <c r="AI113" i="17" s="1"/>
  <c r="AM129" i="17"/>
  <c r="AJ37" i="17"/>
  <c r="AI37" i="17"/>
  <c r="AD148" i="17"/>
  <c r="AL148" i="17" s="1"/>
  <c r="AL42" i="17"/>
  <c r="AL69" i="17"/>
  <c r="AI9" i="17"/>
  <c r="AK65" i="17"/>
  <c r="AD65" i="17"/>
  <c r="AL65" i="17" s="1"/>
  <c r="AG89" i="17"/>
  <c r="AM89" i="17" s="1"/>
  <c r="AP89" i="17"/>
  <c r="AR89" i="17" s="1"/>
  <c r="AL113" i="17"/>
  <c r="AM137" i="17"/>
  <c r="AK117" i="17"/>
  <c r="AN117" i="17" s="1"/>
  <c r="AD117" i="17"/>
  <c r="AQ105" i="17"/>
  <c r="AR105" i="17" s="1"/>
  <c r="AH105" i="17"/>
  <c r="AM105" i="17" s="1"/>
  <c r="O120" i="17"/>
  <c r="AJ120" i="17" s="1"/>
  <c r="AJ121" i="17"/>
  <c r="AH68" i="17"/>
  <c r="AQ68" i="17"/>
  <c r="AR68" i="17" s="1"/>
  <c r="P153" i="17"/>
  <c r="AK153" i="17" s="1"/>
  <c r="P154" i="17"/>
  <c r="AK154" i="17" s="1"/>
  <c r="AR18" i="17"/>
  <c r="AH119" i="17"/>
  <c r="AM119" i="17" s="1"/>
  <c r="AQ119" i="17"/>
  <c r="P107" i="17"/>
  <c r="AK107" i="17" s="1"/>
  <c r="AG36" i="17"/>
  <c r="AM36" i="17" s="1"/>
  <c r="AP36" i="17"/>
  <c r="AR36" i="17" s="1"/>
  <c r="AG17" i="17"/>
  <c r="AM17" i="17" s="1"/>
  <c r="AP17" i="17"/>
  <c r="AR17" i="17" s="1"/>
  <c r="AR57" i="17"/>
  <c r="P84" i="17"/>
  <c r="AK84" i="17" s="1"/>
  <c r="P81" i="17"/>
  <c r="AK81" i="17" s="1"/>
  <c r="AM14" i="17"/>
  <c r="AJ36" i="17"/>
  <c r="AQ135" i="17"/>
  <c r="AR135" i="17" s="1"/>
  <c r="AH135" i="17"/>
  <c r="AM135" i="17" s="1"/>
  <c r="P110" i="17"/>
  <c r="AK110" i="17" s="1"/>
  <c r="P109" i="17"/>
  <c r="AK109" i="17" s="1"/>
  <c r="P108" i="17"/>
  <c r="AK108" i="17" s="1"/>
  <c r="AM106" i="17"/>
  <c r="AJ73" i="17"/>
  <c r="AL140" i="17"/>
  <c r="AL86" i="17"/>
  <c r="P11" i="17"/>
  <c r="AK11" i="17" s="1"/>
  <c r="AK144" i="17"/>
  <c r="AD144" i="17"/>
  <c r="AL144" i="17" s="1"/>
  <c r="AK166" i="17"/>
  <c r="P60" i="17"/>
  <c r="P63" i="17"/>
  <c r="AK63" i="17" s="1"/>
  <c r="P64" i="17"/>
  <c r="AK64" i="17" s="1"/>
  <c r="P62" i="17"/>
  <c r="AK62" i="17" s="1"/>
  <c r="AJ99" i="17"/>
  <c r="AK41" i="17"/>
  <c r="P57" i="17"/>
  <c r="AK57" i="17" s="1"/>
  <c r="O54" i="17"/>
  <c r="AJ54" i="17" s="1"/>
  <c r="O56" i="17"/>
  <c r="AI56" i="17" s="1"/>
  <c r="AI85" i="17"/>
  <c r="AR104" i="17"/>
  <c r="AJ139" i="17"/>
  <c r="AI139" i="17"/>
  <c r="AK168" i="17"/>
  <c r="P48" i="17"/>
  <c r="AK48" i="17" s="1"/>
  <c r="AH72" i="17"/>
  <c r="AL96" i="17"/>
  <c r="O148" i="17"/>
  <c r="AJ174" i="17"/>
  <c r="AI174" i="17"/>
  <c r="AI103" i="17"/>
  <c r="P119" i="17"/>
  <c r="AK119" i="17" s="1"/>
  <c r="P118" i="17"/>
  <c r="AK118" i="17" s="1"/>
  <c r="AH151" i="17"/>
  <c r="AM151" i="17" s="1"/>
  <c r="O167" i="17"/>
  <c r="AJ167" i="17" s="1"/>
  <c r="P10" i="17"/>
  <c r="AK10" i="17" s="1"/>
  <c r="AQ8" i="17"/>
  <c r="AH8" i="17"/>
  <c r="O106" i="17"/>
  <c r="O105" i="17"/>
  <c r="AI105" i="17" s="1"/>
  <c r="O104" i="17"/>
  <c r="AJ104" i="17" s="1"/>
  <c r="AM166" i="17"/>
  <c r="AM66" i="17"/>
  <c r="AG78" i="17"/>
  <c r="AM78" i="17" s="1"/>
  <c r="AM13" i="17"/>
  <c r="AK79" i="17"/>
  <c r="AK139" i="17"/>
  <c r="AP95" i="17"/>
  <c r="AR95" i="17" s="1"/>
  <c r="AR144" i="17"/>
  <c r="AP110" i="17"/>
  <c r="AR110" i="17" s="1"/>
  <c r="AR93" i="17"/>
  <c r="AQ140" i="17"/>
  <c r="AH140" i="17"/>
  <c r="AQ99" i="17"/>
  <c r="AR99" i="17" s="1"/>
  <c r="AH99" i="17"/>
  <c r="AM99" i="17" s="1"/>
  <c r="AJ40" i="17"/>
  <c r="AJ64" i="17"/>
  <c r="AL166" i="17"/>
  <c r="P49" i="17"/>
  <c r="AM97" i="17"/>
  <c r="AJ161" i="17"/>
  <c r="AQ161" i="17"/>
  <c r="AR161" i="17" s="1"/>
  <c r="AD174" i="17"/>
  <c r="AL174" i="17" s="1"/>
  <c r="AL117" i="17"/>
  <c r="AL10" i="17"/>
  <c r="AH44" i="17"/>
  <c r="AQ44" i="17"/>
  <c r="AQ29" i="17"/>
  <c r="AH29" i="17"/>
  <c r="AM29" i="17" s="1"/>
  <c r="AH43" i="17"/>
  <c r="AM43" i="17" s="1"/>
  <c r="AQ43" i="17"/>
  <c r="AR43" i="17" s="1"/>
  <c r="AM113" i="17"/>
  <c r="AI141" i="17"/>
  <c r="O32" i="17"/>
  <c r="AI32" i="17" s="1"/>
  <c r="AM57" i="17"/>
  <c r="AK21" i="17"/>
  <c r="AD21" i="17"/>
  <c r="AR21" i="17" s="1"/>
  <c r="AK125" i="17"/>
  <c r="AK86" i="17"/>
  <c r="AD86" i="17"/>
  <c r="AR86" i="17" s="1"/>
  <c r="AJ32" i="17"/>
  <c r="AD170" i="17"/>
  <c r="AL170" i="17" s="1"/>
  <c r="AK170" i="17"/>
  <c r="AP75" i="17"/>
  <c r="AG75" i="17"/>
  <c r="AG49" i="17"/>
  <c r="AM49" i="17" s="1"/>
  <c r="AP49" i="17"/>
  <c r="AR49" i="17" s="1"/>
  <c r="AR9" i="17"/>
  <c r="AL87" i="17"/>
  <c r="P36" i="17"/>
  <c r="AK36" i="17" s="1"/>
  <c r="P35" i="17"/>
  <c r="P34" i="17"/>
  <c r="AK34" i="17" s="1"/>
  <c r="O24" i="17"/>
  <c r="AI24" i="17" s="1"/>
  <c r="O25" i="17"/>
  <c r="AJ25" i="17" s="1"/>
  <c r="O26" i="17"/>
  <c r="AI26" i="17" s="1"/>
  <c r="AJ126" i="17"/>
  <c r="AI126" i="17"/>
  <c r="AR162" i="17"/>
  <c r="AQ173" i="17"/>
  <c r="AR173" i="17" s="1"/>
  <c r="AR30" i="17"/>
  <c r="AR69" i="17"/>
  <c r="AR37" i="17"/>
  <c r="AM53" i="17"/>
  <c r="AK49" i="17"/>
  <c r="O21" i="17"/>
  <c r="AI21" i="17" s="1"/>
  <c r="O17" i="17"/>
  <c r="AI17" i="17" s="1"/>
  <c r="O19" i="17"/>
  <c r="AR33" i="17"/>
  <c r="AM33" i="17"/>
  <c r="AI50" i="17"/>
  <c r="AJ50" i="17"/>
  <c r="AK38" i="17"/>
  <c r="AK6" i="17"/>
  <c r="AI76" i="17"/>
  <c r="AK152" i="17"/>
  <c r="AI155" i="17"/>
  <c r="AJ155" i="17"/>
  <c r="AD75" i="17"/>
  <c r="AL75" i="17" s="1"/>
  <c r="AK75" i="17"/>
  <c r="AK47" i="17"/>
  <c r="AJ143" i="17"/>
  <c r="AR141" i="17"/>
  <c r="AR109" i="17"/>
  <c r="AM35" i="17"/>
  <c r="O30" i="17"/>
  <c r="O28" i="17"/>
  <c r="AI34" i="17"/>
  <c r="O98" i="17"/>
  <c r="AK111" i="17"/>
  <c r="AN111" i="17" s="1"/>
  <c r="AR160" i="17"/>
  <c r="AR76" i="17"/>
  <c r="AM48" i="17"/>
  <c r="AM72" i="17"/>
  <c r="AH96" i="17"/>
  <c r="AM120" i="17"/>
  <c r="AJ34" i="17"/>
  <c r="AK135" i="17"/>
  <c r="O82" i="17"/>
  <c r="O80" i="17"/>
  <c r="AJ80" i="17" s="1"/>
  <c r="O81" i="17"/>
  <c r="AI81" i="17" s="1"/>
  <c r="AI80" i="17"/>
  <c r="AK104" i="17"/>
  <c r="AP128" i="17"/>
  <c r="AR128" i="17" s="1"/>
  <c r="AG128" i="17"/>
  <c r="AM128" i="17" s="1"/>
  <c r="O20" i="17"/>
  <c r="AG117" i="17"/>
  <c r="AM117" i="17" s="1"/>
  <c r="AP117" i="17"/>
  <c r="AR117" i="17" s="1"/>
  <c r="AG150" i="17"/>
  <c r="AH157" i="17"/>
  <c r="AQ157" i="17"/>
  <c r="AM118" i="17"/>
  <c r="AM162" i="17"/>
  <c r="AM60" i="17"/>
  <c r="AM45" i="17"/>
  <c r="O23" i="17"/>
  <c r="AI23" i="17" s="1"/>
  <c r="AK55" i="17"/>
  <c r="O79" i="17"/>
  <c r="AJ79" i="17" s="1"/>
  <c r="O77" i="17"/>
  <c r="AI79" i="17"/>
  <c r="O78" i="17"/>
  <c r="O96" i="17"/>
  <c r="AI96" i="17" s="1"/>
  <c r="O97" i="17"/>
  <c r="AI97" i="17" s="1"/>
  <c r="AJ95" i="17"/>
  <c r="AR77" i="17"/>
  <c r="AH4" i="17"/>
  <c r="AM4" i="17" s="1"/>
  <c r="AQ4" i="17"/>
  <c r="AR4" i="17" s="1"/>
  <c r="P122" i="17"/>
  <c r="AK122" i="17" s="1"/>
  <c r="AN122" i="17" s="1"/>
  <c r="AG174" i="17"/>
  <c r="AP174" i="17"/>
  <c r="AP94" i="17"/>
  <c r="AR94" i="17" s="1"/>
  <c r="AG94" i="17"/>
  <c r="AM94" i="17" s="1"/>
  <c r="AP38" i="17"/>
  <c r="AR38" i="17" s="1"/>
  <c r="AG38" i="17"/>
  <c r="AM38" i="17" s="1"/>
  <c r="AK30" i="17"/>
  <c r="AM68" i="17"/>
  <c r="AI40" i="17"/>
  <c r="AL40" i="17"/>
  <c r="P161" i="17"/>
  <c r="AK161" i="17" s="1"/>
  <c r="AN161" i="17" s="1"/>
  <c r="P160" i="17"/>
  <c r="AK160" i="17" s="1"/>
  <c r="AQ152" i="17"/>
  <c r="AR152" i="17" s="1"/>
  <c r="AH152" i="17"/>
  <c r="AM152" i="17" s="1"/>
  <c r="AR129" i="17"/>
  <c r="AL173" i="17"/>
  <c r="AL76" i="17"/>
  <c r="AL53" i="17"/>
  <c r="AL27" i="17"/>
  <c r="AR2" i="17"/>
  <c r="AM9" i="17"/>
  <c r="AJ41" i="17"/>
  <c r="AH41" i="17"/>
  <c r="AM41" i="17" s="1"/>
  <c r="AQ41" i="17"/>
  <c r="AR41" i="17" s="1"/>
  <c r="O137" i="17"/>
  <c r="AJ137" i="17" s="1"/>
  <c r="AI140" i="17"/>
  <c r="AJ140" i="17"/>
  <c r="AD151" i="17"/>
  <c r="AL57" i="17"/>
  <c r="AI145" i="17"/>
  <c r="AH145" i="17"/>
  <c r="AR169" i="17"/>
  <c r="AG140" i="17"/>
  <c r="AP140" i="17"/>
  <c r="AR140" i="17" s="1"/>
  <c r="O150" i="17"/>
  <c r="O152" i="17"/>
  <c r="AJ152" i="17" s="1"/>
  <c r="O149" i="17"/>
  <c r="AR7" i="17"/>
  <c r="AP67" i="17"/>
  <c r="AG67" i="17"/>
  <c r="AK82" i="17"/>
  <c r="AR24" i="17"/>
  <c r="AK33" i="17"/>
  <c r="P105" i="17"/>
  <c r="AK105" i="17" s="1"/>
  <c r="AP56" i="17"/>
  <c r="AR56" i="17" s="1"/>
  <c r="AG56" i="17"/>
  <c r="AQ80" i="17"/>
  <c r="AR80" i="17" s="1"/>
  <c r="AG143" i="17"/>
  <c r="AM15" i="17"/>
  <c r="AL23" i="17"/>
  <c r="AQ55" i="17"/>
  <c r="AR55" i="17" s="1"/>
  <c r="AH55" i="17"/>
  <c r="AM55" i="17" s="1"/>
  <c r="AR143" i="17"/>
  <c r="AQ90" i="17"/>
  <c r="AR90" i="17" s="1"/>
  <c r="AR114" i="17"/>
  <c r="AK4" i="17"/>
  <c r="AP25" i="17"/>
  <c r="AR25" i="17" s="1"/>
  <c r="AG25" i="17"/>
  <c r="AM25" i="17" s="1"/>
  <c r="AR136" i="17"/>
  <c r="P155" i="17"/>
  <c r="AK155" i="17" s="1"/>
  <c r="AG24" i="17"/>
  <c r="AM24" i="17" s="1"/>
  <c r="AK167" i="17"/>
  <c r="AG133" i="17"/>
  <c r="AM46" i="17"/>
  <c r="AM44" i="17"/>
  <c r="AM50" i="17"/>
  <c r="AG71" i="17"/>
  <c r="AM71" i="17" s="1"/>
  <c r="AP71" i="17"/>
  <c r="AR71" i="17" s="1"/>
  <c r="AI143" i="17"/>
  <c r="O144" i="17"/>
  <c r="AI144" i="17" s="1"/>
  <c r="O147" i="17"/>
  <c r="O145" i="17"/>
  <c r="AJ145" i="17" s="1"/>
  <c r="AH142" i="17"/>
  <c r="AM142" i="17" s="1"/>
  <c r="AQ142" i="17"/>
  <c r="AR142" i="17" s="1"/>
  <c r="AM73" i="17"/>
  <c r="O2" i="17"/>
  <c r="AI2" i="17" s="1"/>
  <c r="O3" i="17"/>
  <c r="O6" i="17"/>
  <c r="O4" i="17"/>
  <c r="AI4" i="17" s="1"/>
  <c r="O5" i="17"/>
  <c r="AJ5" i="17" s="1"/>
  <c r="AJ13" i="17"/>
  <c r="O16" i="17"/>
  <c r="AI16" i="17" s="1"/>
  <c r="O12" i="17"/>
  <c r="O15" i="17"/>
  <c r="AI15" i="17" s="1"/>
  <c r="AR123" i="17"/>
  <c r="AP134" i="17"/>
  <c r="AR134" i="17" s="1"/>
  <c r="AG134" i="17"/>
  <c r="AM134" i="17" s="1"/>
  <c r="AR164" i="17"/>
  <c r="AL48" i="17"/>
  <c r="AM96" i="17"/>
  <c r="AJ142" i="17"/>
  <c r="AI142" i="17"/>
  <c r="AH149" i="17"/>
  <c r="AM149" i="17" s="1"/>
  <c r="AQ149" i="17"/>
  <c r="AH39" i="17"/>
  <c r="AL119" i="17"/>
  <c r="AM12" i="17"/>
  <c r="AR15" i="17"/>
  <c r="P26" i="17"/>
  <c r="AK26" i="17" s="1"/>
  <c r="P23" i="17"/>
  <c r="AK23" i="17" s="1"/>
  <c r="P24" i="17"/>
  <c r="AK24" i="17" s="1"/>
  <c r="AM31" i="17"/>
  <c r="AL71" i="17"/>
  <c r="P74" i="17"/>
  <c r="AK74" i="17" s="1"/>
  <c r="P72" i="17"/>
  <c r="AK72" i="17" s="1"/>
  <c r="AN72" i="17" s="1"/>
  <c r="P73" i="17"/>
  <c r="AK73" i="17" s="1"/>
  <c r="P71" i="17"/>
  <c r="AK71" i="17" s="1"/>
  <c r="AI127" i="17"/>
  <c r="AL143" i="17"/>
  <c r="AJ175" i="17"/>
  <c r="AR98" i="17"/>
  <c r="AQ107" i="17"/>
  <c r="AR107" i="17" s="1"/>
  <c r="AR102" i="17"/>
  <c r="AR53" i="17"/>
  <c r="AR13" i="17"/>
  <c r="AM76" i="17"/>
  <c r="AG138" i="17"/>
  <c r="AM138" i="17" s="1"/>
  <c r="AN138" i="17" s="1"/>
  <c r="AP138" i="17"/>
  <c r="AR138" i="17" s="1"/>
  <c r="AM54" i="17"/>
  <c r="P114" i="17"/>
  <c r="AK114" i="17" s="1"/>
  <c r="O14" i="17"/>
  <c r="AJ14" i="17" s="1"/>
  <c r="AR45" i="17"/>
  <c r="AI112" i="17"/>
  <c r="AD154" i="17"/>
  <c r="AR154" i="17" s="1"/>
  <c r="AM161" i="17"/>
  <c r="AG153" i="17"/>
  <c r="AM153" i="17" s="1"/>
  <c r="AP153" i="17"/>
  <c r="O51" i="17"/>
  <c r="AI51" i="17" s="1"/>
  <c r="O53" i="17"/>
  <c r="O52" i="17"/>
  <c r="O29" i="17"/>
  <c r="AJ29" i="17" s="1"/>
  <c r="AI125" i="17"/>
  <c r="AJ125" i="17"/>
  <c r="AI164" i="17"/>
  <c r="AJ164" i="17"/>
  <c r="AQ155" i="17"/>
  <c r="AR155" i="17" s="1"/>
  <c r="AH155" i="17"/>
  <c r="AL139" i="17"/>
  <c r="AL26" i="17"/>
  <c r="AR119" i="17"/>
  <c r="AK54" i="17"/>
  <c r="P137" i="17"/>
  <c r="AK137" i="17" s="1"/>
  <c r="AJ22" i="17"/>
  <c r="AM22" i="17"/>
  <c r="AQ48" i="17"/>
  <c r="AR48" i="17" s="1"/>
  <c r="AK60" i="17"/>
  <c r="AM98" i="17"/>
  <c r="AQ163" i="17"/>
  <c r="AR163" i="17" s="1"/>
  <c r="AM126" i="17"/>
  <c r="AM116" i="17"/>
  <c r="AH86" i="17"/>
  <c r="AM86" i="17" s="1"/>
  <c r="AH109" i="17"/>
  <c r="AM109" i="17" s="1"/>
  <c r="AM70" i="17"/>
  <c r="AM27" i="17"/>
  <c r="AQ31" i="17"/>
  <c r="P123" i="17"/>
  <c r="AK123" i="17" s="1"/>
  <c r="AR146" i="17"/>
  <c r="AR27" i="17"/>
  <c r="AQ42" i="17"/>
  <c r="AR42" i="17" s="1"/>
  <c r="P174" i="17"/>
  <c r="AK174" i="17" s="1"/>
  <c r="AK130" i="17"/>
  <c r="O62" i="17"/>
  <c r="AQ112" i="17"/>
  <c r="AR112" i="17" s="1"/>
  <c r="AH136" i="17"/>
  <c r="AM136" i="17" s="1"/>
  <c r="AJ157" i="17"/>
  <c r="AI157" i="17"/>
  <c r="AD172" i="17"/>
  <c r="AR172" i="17" s="1"/>
  <c r="AD171" i="17"/>
  <c r="AR171" i="17" s="1"/>
  <c r="AL106" i="17"/>
  <c r="O134" i="17"/>
  <c r="O173" i="17"/>
  <c r="AI173" i="17" s="1"/>
  <c r="O33" i="17"/>
  <c r="AJ33" i="17" s="1"/>
  <c r="AG121" i="17"/>
  <c r="AM121" i="17" s="1"/>
  <c r="P85" i="17"/>
  <c r="AK85" i="17" s="1"/>
  <c r="AK126" i="17"/>
  <c r="AK133" i="17"/>
  <c r="AL6" i="17"/>
  <c r="AR126" i="17"/>
  <c r="AR60" i="17"/>
  <c r="AM107" i="17"/>
  <c r="AM143" i="17"/>
  <c r="AM28" i="17"/>
  <c r="AK61" i="17"/>
  <c r="AJ92" i="17"/>
  <c r="AP168" i="17"/>
  <c r="O43" i="17"/>
  <c r="AG6" i="17"/>
  <c r="O10" i="17"/>
  <c r="AJ27" i="17"/>
  <c r="AJ67" i="17"/>
  <c r="AK98" i="17"/>
  <c r="AK69" i="17"/>
  <c r="AN69" i="17" s="1"/>
  <c r="AM83" i="17"/>
  <c r="O110" i="17"/>
  <c r="AH118" i="17"/>
  <c r="P96" i="17"/>
  <c r="AK96" i="17" s="1"/>
  <c r="AI132" i="17"/>
  <c r="AJ132" i="17"/>
  <c r="AI172" i="17"/>
  <c r="AJ172" i="17"/>
  <c r="O171" i="17"/>
  <c r="O7" i="17"/>
  <c r="AJ7" i="17" s="1"/>
  <c r="P7" i="17"/>
  <c r="AK7" i="17" s="1"/>
  <c r="O39" i="17"/>
  <c r="AJ39" i="17" s="1"/>
  <c r="AL151" i="17"/>
  <c r="P8" i="17"/>
  <c r="AK8" i="17" s="1"/>
  <c r="AH56" i="17"/>
  <c r="O44" i="17"/>
  <c r="AQ168" i="17"/>
  <c r="AM90" i="17"/>
  <c r="AM100" i="17"/>
  <c r="AH132" i="17"/>
  <c r="AM132" i="17" s="1"/>
  <c r="AH84" i="17"/>
  <c r="AM84" i="17" s="1"/>
  <c r="AG21" i="17"/>
  <c r="O31" i="17"/>
  <c r="P31" i="17"/>
  <c r="AK31" i="17" s="1"/>
  <c r="AH79" i="17"/>
  <c r="AM79" i="17" s="1"/>
  <c r="O128" i="17"/>
  <c r="AJ128" i="17" s="1"/>
  <c r="AR132" i="17"/>
  <c r="AP35" i="17"/>
  <c r="AR35" i="17" s="1"/>
  <c r="O170" i="17"/>
  <c r="AM139" i="17"/>
  <c r="O70" i="17"/>
  <c r="AQ24" i="17"/>
  <c r="AI131" i="17"/>
  <c r="AK35" i="17"/>
  <c r="AK93" i="17"/>
  <c r="AL165" i="17"/>
  <c r="AN165" i="17" s="1"/>
  <c r="AL109" i="17"/>
  <c r="AL99" i="17"/>
  <c r="AD92" i="17"/>
  <c r="AM92" i="17" s="1"/>
  <c r="AD102" i="17"/>
  <c r="AM102" i="17" s="1"/>
  <c r="AL70" i="17"/>
  <c r="AD61" i="17"/>
  <c r="AR61" i="17" s="1"/>
  <c r="AQ153" i="17"/>
  <c r="O45" i="17"/>
  <c r="AI45" i="17" s="1"/>
  <c r="AJ101" i="17"/>
  <c r="AN101" i="17" s="1"/>
  <c r="AJ158" i="17"/>
  <c r="AI166" i="17"/>
  <c r="AJ166" i="17"/>
  <c r="AK91" i="17"/>
  <c r="O89" i="17"/>
  <c r="AI89" i="17" s="1"/>
  <c r="AL146" i="17"/>
  <c r="AL43" i="17"/>
  <c r="AK145" i="17"/>
  <c r="AD39" i="17"/>
  <c r="AL39" i="17" s="1"/>
  <c r="O87" i="17"/>
  <c r="AJ87" i="17" s="1"/>
  <c r="AR167" i="17"/>
  <c r="AM104" i="17"/>
  <c r="AJ68" i="17"/>
  <c r="AI68" i="17"/>
  <c r="AM82" i="17"/>
  <c r="AM74" i="17"/>
  <c r="AG10" i="17"/>
  <c r="AM10" i="17" s="1"/>
  <c r="AR44" i="17"/>
  <c r="AR19" i="17"/>
  <c r="AM123" i="17"/>
  <c r="AL126" i="17"/>
  <c r="O118" i="17"/>
  <c r="AG96" i="17"/>
  <c r="AP175" i="17"/>
  <c r="AR175" i="17" s="1"/>
  <c r="O27" i="17"/>
  <c r="AI27" i="17" s="1"/>
  <c r="P3" i="17"/>
  <c r="AK3" i="17" s="1"/>
  <c r="AM6" i="17"/>
  <c r="AM141" i="17"/>
  <c r="O91" i="17"/>
  <c r="AR149" i="17"/>
  <c r="O159" i="17"/>
  <c r="AI159" i="17" s="1"/>
  <c r="AG160" i="17"/>
  <c r="AM160" i="17" s="1"/>
  <c r="AM170" i="17"/>
  <c r="P87" i="17"/>
  <c r="AK87" i="17" s="1"/>
  <c r="P27" i="17"/>
  <c r="AK27" i="17" s="1"/>
  <c r="AI168" i="17"/>
  <c r="AM146" i="17"/>
  <c r="AH98" i="17"/>
  <c r="AM26" i="17"/>
  <c r="AM77" i="17"/>
  <c r="AM52" i="17"/>
  <c r="AP125" i="17"/>
  <c r="AR125" i="17" s="1"/>
  <c r="AR84" i="17"/>
  <c r="AR29" i="17"/>
  <c r="AR12" i="17"/>
  <c r="AK142" i="17"/>
  <c r="AH64" i="17"/>
  <c r="AM64" i="17" s="1"/>
  <c r="O100" i="17"/>
  <c r="AJ100" i="17" s="1"/>
  <c r="O88" i="17"/>
  <c r="AJ88" i="17" s="1"/>
  <c r="AL162" i="17"/>
  <c r="AD150" i="17"/>
  <c r="AR150" i="17" s="1"/>
  <c r="AL101" i="17"/>
  <c r="AD155" i="17"/>
  <c r="AL155" i="17" s="1"/>
  <c r="AL92" i="17"/>
  <c r="AL74" i="17"/>
  <c r="AL45" i="17"/>
  <c r="AL35" i="17"/>
  <c r="P9" i="17"/>
  <c r="AK9" i="17" s="1"/>
  <c r="AK29" i="17"/>
  <c r="AP145" i="17"/>
  <c r="AK156" i="17"/>
  <c r="AJ115" i="17"/>
  <c r="AI115" i="17"/>
  <c r="AI5" i="17"/>
  <c r="AN5" i="17" s="1"/>
  <c r="O86" i="17"/>
  <c r="AQ147" i="17"/>
  <c r="AR147" i="17" s="1"/>
  <c r="AH147" i="17"/>
  <c r="AM147" i="17" s="1"/>
  <c r="AL91" i="17"/>
  <c r="AL110" i="17"/>
  <c r="AD54" i="17"/>
  <c r="AL54" i="17" s="1"/>
  <c r="AR22" i="17"/>
  <c r="AR54" i="17"/>
  <c r="AP158" i="17"/>
  <c r="AM30" i="17"/>
  <c r="AK22" i="17"/>
  <c r="AI13" i="17"/>
  <c r="AN13" i="17" s="1"/>
  <c r="P2" i="17"/>
  <c r="AK2" i="17" s="1"/>
  <c r="AI22" i="17"/>
  <c r="AN22" i="17" s="1"/>
  <c r="AJ60" i="17"/>
  <c r="O94" i="17"/>
  <c r="AM131" i="17"/>
  <c r="AI92" i="17"/>
  <c r="AM164" i="17"/>
  <c r="O108" i="17"/>
  <c r="AH18" i="17"/>
  <c r="AM18" i="17" s="1"/>
  <c r="AP23" i="17"/>
  <c r="AR23" i="17" s="1"/>
  <c r="AR111" i="17"/>
  <c r="AI175" i="17"/>
  <c r="AR166" i="17"/>
  <c r="AR50" i="17"/>
  <c r="AR70" i="17"/>
  <c r="AP28" i="17"/>
  <c r="AR28" i="17" s="1"/>
  <c r="AK162" i="17"/>
  <c r="AN162" i="17" s="1"/>
  <c r="AK106" i="17"/>
  <c r="O90" i="17"/>
  <c r="AI90" i="17" s="1"/>
  <c r="AR100" i="17"/>
  <c r="AK78" i="17"/>
  <c r="P136" i="17"/>
  <c r="AK136" i="17" s="1"/>
  <c r="AP97" i="17"/>
  <c r="AR97" i="17" s="1"/>
  <c r="O93" i="17"/>
  <c r="AL156" i="17"/>
  <c r="AL37" i="17"/>
  <c r="AL82" i="17"/>
  <c r="AD130" i="17"/>
  <c r="AR130" i="17" s="1"/>
  <c r="AL67" i="17"/>
  <c r="AI156" i="17"/>
  <c r="AJ156" i="17"/>
  <c r="O57" i="17"/>
  <c r="AJ57" i="17" s="1"/>
  <c r="O169" i="17"/>
  <c r="AJ169" i="17" s="1"/>
  <c r="AD133" i="17"/>
  <c r="AR133" i="17" s="1"/>
  <c r="AJ154" i="17"/>
  <c r="AI146" i="17" l="1"/>
  <c r="AI124" i="17"/>
  <c r="AJ124" i="17"/>
  <c r="AL21" i="17"/>
  <c r="AN131" i="17"/>
  <c r="AR168" i="17"/>
  <c r="AM133" i="17"/>
  <c r="AI33" i="17"/>
  <c r="AN33" i="17" s="1"/>
  <c r="AJ81" i="17"/>
  <c r="AN81" i="17" s="1"/>
  <c r="AM172" i="17"/>
  <c r="AN172" i="17" s="1"/>
  <c r="AL130" i="17"/>
  <c r="AI109" i="17"/>
  <c r="AJ109" i="17"/>
  <c r="AN109" i="17" s="1"/>
  <c r="AM58" i="17"/>
  <c r="AN58" i="17" s="1"/>
  <c r="AM171" i="17"/>
  <c r="AN34" i="17"/>
  <c r="AN119" i="17"/>
  <c r="AI169" i="17"/>
  <c r="AI128" i="17"/>
  <c r="AL172" i="17"/>
  <c r="AL171" i="17"/>
  <c r="AL20" i="17"/>
  <c r="AN121" i="17"/>
  <c r="AI25" i="17"/>
  <c r="AN25" i="17" s="1"/>
  <c r="AJ83" i="17"/>
  <c r="AN83" i="17" s="1"/>
  <c r="AN123" i="17"/>
  <c r="AR174" i="17"/>
  <c r="AJ159" i="17"/>
  <c r="AJ45" i="17"/>
  <c r="AR92" i="17"/>
  <c r="AN116" i="17"/>
  <c r="AL154" i="17"/>
  <c r="AN71" i="17"/>
  <c r="AR58" i="17"/>
  <c r="AM174" i="17"/>
  <c r="AN38" i="17"/>
  <c r="AL150" i="17"/>
  <c r="AI123" i="17"/>
  <c r="AJ123" i="17"/>
  <c r="AN60" i="17"/>
  <c r="AI152" i="17"/>
  <c r="AN152" i="17" s="1"/>
  <c r="AL133" i="17"/>
  <c r="AN168" i="17"/>
  <c r="AM20" i="17"/>
  <c r="AM21" i="17"/>
  <c r="AM56" i="17"/>
  <c r="AN129" i="17"/>
  <c r="AJ96" i="17"/>
  <c r="AN96" i="17" s="1"/>
  <c r="AI160" i="17"/>
  <c r="AJ75" i="17"/>
  <c r="AI75" i="17"/>
  <c r="AM87" i="17"/>
  <c r="AJ8" i="17"/>
  <c r="AJ21" i="17"/>
  <c r="AN21" i="17" s="1"/>
  <c r="AI47" i="17"/>
  <c r="AN47" i="17" s="1"/>
  <c r="AN85" i="17"/>
  <c r="AM163" i="17"/>
  <c r="AN163" i="17" s="1"/>
  <c r="AJ61" i="17"/>
  <c r="AI61" i="17"/>
  <c r="AN99" i="17"/>
  <c r="AI135" i="17"/>
  <c r="AR170" i="17"/>
  <c r="AN36" i="17"/>
  <c r="AJ2" i="17"/>
  <c r="AN2" i="17" s="1"/>
  <c r="AI63" i="17"/>
  <c r="AN63" i="17" s="1"/>
  <c r="AI130" i="17"/>
  <c r="AJ130" i="17"/>
  <c r="AN4" i="17"/>
  <c r="AN23" i="17"/>
  <c r="AN158" i="17"/>
  <c r="AN160" i="17"/>
  <c r="AJ26" i="17"/>
  <c r="AN26" i="17" s="1"/>
  <c r="AM155" i="17"/>
  <c r="AN155" i="17"/>
  <c r="AN50" i="17"/>
  <c r="AJ23" i="17"/>
  <c r="AI120" i="17"/>
  <c r="AN120" i="17" s="1"/>
  <c r="AN146" i="17"/>
  <c r="AR67" i="17"/>
  <c r="AJ173" i="17"/>
  <c r="AN173" i="17" s="1"/>
  <c r="AI133" i="17"/>
  <c r="AJ133" i="17"/>
  <c r="AJ113" i="17"/>
  <c r="AN113" i="17" s="1"/>
  <c r="AL102" i="17"/>
  <c r="AN102" i="17" s="1"/>
  <c r="AN92" i="17"/>
  <c r="AN115" i="17"/>
  <c r="AR11" i="17"/>
  <c r="AI171" i="17"/>
  <c r="AJ171" i="17"/>
  <c r="AI43" i="17"/>
  <c r="AJ43" i="17"/>
  <c r="AJ90" i="17"/>
  <c r="AN90" i="17" s="1"/>
  <c r="AJ51" i="17"/>
  <c r="AJ12" i="17"/>
  <c r="AI12" i="17"/>
  <c r="AN12" i="17" s="1"/>
  <c r="AJ16" i="17"/>
  <c r="AN16" i="17" s="1"/>
  <c r="AJ78" i="17"/>
  <c r="AI78" i="17"/>
  <c r="AN78" i="17" s="1"/>
  <c r="AM150" i="17"/>
  <c r="AJ30" i="17"/>
  <c r="AI30" i="17"/>
  <c r="AN30" i="17" s="1"/>
  <c r="AM75" i="17"/>
  <c r="AN75" i="17" s="1"/>
  <c r="AN141" i="17"/>
  <c r="AM130" i="17"/>
  <c r="AN130" i="17" s="1"/>
  <c r="AI87" i="17"/>
  <c r="AN87" i="17" s="1"/>
  <c r="AN56" i="17"/>
  <c r="AM148" i="17"/>
  <c r="AN37" i="17"/>
  <c r="AJ15" i="17"/>
  <c r="AR151" i="17"/>
  <c r="AI136" i="17"/>
  <c r="AN136" i="17" s="1"/>
  <c r="AN151" i="17"/>
  <c r="AN156" i="17"/>
  <c r="AI91" i="17"/>
  <c r="AJ91" i="17"/>
  <c r="AI147" i="17"/>
  <c r="AJ147" i="17"/>
  <c r="AN145" i="17"/>
  <c r="AI148" i="17"/>
  <c r="AJ148" i="17"/>
  <c r="AI86" i="17"/>
  <c r="AJ86" i="17"/>
  <c r="AJ114" i="17"/>
  <c r="AI114" i="17"/>
  <c r="AN114" i="17" s="1"/>
  <c r="AN167" i="17"/>
  <c r="AJ108" i="17"/>
  <c r="AI108" i="17"/>
  <c r="AN108" i="17" s="1"/>
  <c r="AI134" i="17"/>
  <c r="AJ134" i="17"/>
  <c r="AI150" i="17"/>
  <c r="AJ150" i="17"/>
  <c r="AI106" i="17"/>
  <c r="AJ106" i="17"/>
  <c r="AJ17" i="17"/>
  <c r="AN17" i="17" s="1"/>
  <c r="AN15" i="17"/>
  <c r="AJ28" i="17"/>
  <c r="AI28" i="17"/>
  <c r="AN28" i="17" s="1"/>
  <c r="AN175" i="17"/>
  <c r="AJ70" i="17"/>
  <c r="AI70" i="17"/>
  <c r="AN70" i="17" s="1"/>
  <c r="AI44" i="17"/>
  <c r="AJ44" i="17"/>
  <c r="AN164" i="17"/>
  <c r="AJ53" i="17"/>
  <c r="AI53" i="17"/>
  <c r="AN53" i="17" s="1"/>
  <c r="AN112" i="17"/>
  <c r="AI39" i="17"/>
  <c r="AN39" i="17" s="1"/>
  <c r="AM140" i="17"/>
  <c r="AN140" i="17" s="1"/>
  <c r="AN79" i="17"/>
  <c r="AJ98" i="17"/>
  <c r="AI98" i="17"/>
  <c r="AI29" i="17"/>
  <c r="AN29" i="17" s="1"/>
  <c r="AN126" i="17"/>
  <c r="AR75" i="17"/>
  <c r="AJ4" i="17"/>
  <c r="AM154" i="17"/>
  <c r="AR127" i="17"/>
  <c r="AR65" i="17"/>
  <c r="AM11" i="17"/>
  <c r="AN11" i="17" s="1"/>
  <c r="AI7" i="17"/>
  <c r="AN7" i="17" s="1"/>
  <c r="AM144" i="17"/>
  <c r="AI42" i="17"/>
  <c r="AJ42" i="17"/>
  <c r="AI104" i="17"/>
  <c r="AN104" i="17" s="1"/>
  <c r="AN84" i="17"/>
  <c r="AJ24" i="17"/>
  <c r="AN24" i="17" s="1"/>
  <c r="AI93" i="17"/>
  <c r="AJ93" i="17"/>
  <c r="AJ46" i="17"/>
  <c r="AI46" i="17"/>
  <c r="AN46" i="17" s="1"/>
  <c r="AN125" i="17"/>
  <c r="AJ6" i="17"/>
  <c r="AI6" i="17"/>
  <c r="AN6" i="17" s="1"/>
  <c r="AI14" i="17"/>
  <c r="AN14" i="17" s="1"/>
  <c r="AN8" i="17"/>
  <c r="AN18" i="17"/>
  <c r="AI118" i="17"/>
  <c r="AJ118" i="17"/>
  <c r="AL59" i="17"/>
  <c r="AN169" i="17"/>
  <c r="AN95" i="17"/>
  <c r="AN128" i="17"/>
  <c r="AJ110" i="17"/>
  <c r="AI110" i="17"/>
  <c r="AN27" i="17"/>
  <c r="AN64" i="17"/>
  <c r="AN103" i="17"/>
  <c r="AJ97" i="17"/>
  <c r="AN97" i="17" s="1"/>
  <c r="AN74" i="17"/>
  <c r="AJ94" i="17"/>
  <c r="AI94" i="17"/>
  <c r="AN94" i="17" s="1"/>
  <c r="AN45" i="17"/>
  <c r="AI31" i="17"/>
  <c r="AJ31" i="17"/>
  <c r="AN51" i="17"/>
  <c r="AI88" i="17"/>
  <c r="AN88" i="17" s="1"/>
  <c r="AJ77" i="17"/>
  <c r="AI77" i="17"/>
  <c r="AN77" i="17" s="1"/>
  <c r="AI82" i="17"/>
  <c r="AJ82" i="17"/>
  <c r="AI100" i="17"/>
  <c r="AN100" i="17" s="1"/>
  <c r="AN76" i="17"/>
  <c r="AR66" i="17"/>
  <c r="AN66" i="17" s="1"/>
  <c r="AI137" i="17"/>
  <c r="AN137" i="17" s="1"/>
  <c r="AN174" i="17"/>
  <c r="AI54" i="17"/>
  <c r="AN54" i="17" s="1"/>
  <c r="AN9" i="17"/>
  <c r="AR59" i="17"/>
  <c r="AJ35" i="17"/>
  <c r="AI35" i="17"/>
  <c r="AN35" i="17" s="1"/>
  <c r="AN107" i="17"/>
  <c r="AN41" i="17"/>
  <c r="AR157" i="17"/>
  <c r="AN55" i="17"/>
  <c r="AI57" i="17"/>
  <c r="AN57" i="17" s="1"/>
  <c r="AJ56" i="17"/>
  <c r="AJ170" i="17"/>
  <c r="AI170" i="17"/>
  <c r="AN170" i="17" s="1"/>
  <c r="AN132" i="17"/>
  <c r="AN135" i="17"/>
  <c r="AN159" i="17"/>
  <c r="AI10" i="17"/>
  <c r="AJ10" i="17"/>
  <c r="AN40" i="17"/>
  <c r="AM61" i="17"/>
  <c r="AJ144" i="17"/>
  <c r="AN144" i="17" s="1"/>
  <c r="AJ3" i="17"/>
  <c r="AI3" i="17"/>
  <c r="AN3" i="17" s="1"/>
  <c r="AN143" i="17"/>
  <c r="AM67" i="17"/>
  <c r="AN32" i="17"/>
  <c r="AN166" i="17"/>
  <c r="AI52" i="17"/>
  <c r="AJ52" i="17"/>
  <c r="AJ48" i="17"/>
  <c r="AN48" i="17" s="1"/>
  <c r="AN80" i="17"/>
  <c r="AL61" i="17"/>
  <c r="AN61" i="17" s="1"/>
  <c r="AR158" i="17"/>
  <c r="AM127" i="17"/>
  <c r="AN68" i="17"/>
  <c r="AJ62" i="17"/>
  <c r="AI62" i="17"/>
  <c r="AJ105" i="17"/>
  <c r="AN105" i="17" s="1"/>
  <c r="AR153" i="17"/>
  <c r="AN153" i="17" s="1"/>
  <c r="AN142" i="17"/>
  <c r="AI149" i="17"/>
  <c r="AJ149" i="17"/>
  <c r="AM65" i="17"/>
  <c r="AN65" i="17" s="1"/>
  <c r="AI20" i="17"/>
  <c r="AJ20" i="17"/>
  <c r="AI19" i="17"/>
  <c r="AJ19" i="17"/>
  <c r="AJ89" i="17"/>
  <c r="AN89" i="17" s="1"/>
  <c r="AN139" i="17"/>
  <c r="AJ49" i="17"/>
  <c r="AN49" i="17" s="1"/>
  <c r="AM157" i="17"/>
  <c r="AN157" i="17" s="1"/>
  <c r="AN86" i="17" l="1"/>
  <c r="AN127" i="17"/>
  <c r="AN67" i="17"/>
  <c r="AN10" i="17"/>
  <c r="AN110" i="17"/>
  <c r="AN154" i="17"/>
  <c r="AN124" i="17"/>
  <c r="AN118" i="17"/>
  <c r="AN62" i="17"/>
  <c r="AN19" i="17"/>
  <c r="AN43" i="17"/>
  <c r="AN20" i="17"/>
  <c r="AN171" i="17"/>
  <c r="AN150" i="17"/>
  <c r="AN147" i="17"/>
  <c r="AN44" i="17"/>
  <c r="AN148" i="17"/>
  <c r="AN149" i="17"/>
  <c r="AN59" i="17"/>
  <c r="AN93" i="17"/>
  <c r="AN42" i="17"/>
  <c r="AN106" i="17"/>
  <c r="AN133" i="17"/>
  <c r="AN52" i="17"/>
  <c r="AN82" i="17"/>
  <c r="AN31" i="17"/>
  <c r="AN98" i="17"/>
  <c r="AN134" i="17"/>
  <c r="AN91" i="17"/>
</calcChain>
</file>

<file path=xl/sharedStrings.xml><?xml version="1.0" encoding="utf-8"?>
<sst xmlns="http://schemas.openxmlformats.org/spreadsheetml/2006/main" count="3309" uniqueCount="164">
  <si>
    <t>MBway</t>
  </si>
  <si>
    <t>ISCOM</t>
  </si>
  <si>
    <t>Pigier</t>
  </si>
  <si>
    <t>Tunon</t>
  </si>
  <si>
    <t>Chiffre d'affaires</t>
  </si>
  <si>
    <t>Effectif</t>
  </si>
  <si>
    <t>SCENARIO</t>
  </si>
  <si>
    <t>PERIODE</t>
  </si>
  <si>
    <t>ENTITY</t>
  </si>
  <si>
    <t>PROGRAMME</t>
  </si>
  <si>
    <t>AN_ETUDE</t>
  </si>
  <si>
    <t>MODALITE</t>
  </si>
  <si>
    <t>EXERCICE</t>
  </si>
  <si>
    <t>VOL_NEW</t>
  </si>
  <si>
    <t>VOL_EFF</t>
  </si>
  <si>
    <t>VOL_CLASS</t>
  </si>
  <si>
    <t>CA</t>
  </si>
  <si>
    <t>VERSION</t>
  </si>
  <si>
    <t>MARQUE</t>
  </si>
  <si>
    <t>COST_VAC</t>
  </si>
  <si>
    <t>COST_PERM</t>
  </si>
  <si>
    <t>COST_ODIR</t>
  </si>
  <si>
    <t>COST_STRUCT</t>
  </si>
  <si>
    <t>COST_SIEGE</t>
  </si>
  <si>
    <t>COST_VARIABLE</t>
  </si>
  <si>
    <t>COST_STRUCTURE</t>
  </si>
  <si>
    <t>COST_COMPLET</t>
  </si>
  <si>
    <t>MARGE_COMPLETE</t>
  </si>
  <si>
    <t>Ipac</t>
  </si>
  <si>
    <t>Maille fine — deplie campus/classe avec les [+]</t>
  </si>
  <si>
    <t>Marque ▸ Campus ▸ Classe</t>
  </si>
  <si>
    <t>VAC</t>
  </si>
  <si>
    <t>PERM</t>
  </si>
  <si>
    <t>ODIR</t>
  </si>
  <si>
    <t>STRUCT</t>
  </si>
  <si>
    <t>Frais marque</t>
  </si>
  <si>
    <t>Holding</t>
  </si>
  <si>
    <t>Cout complet</t>
  </si>
  <si>
    <t>Marge complete</t>
  </si>
  <si>
    <t>Marge %</t>
  </si>
  <si>
    <t xml:space="preserve">   Paris  (MBWAY_PAR)</t>
  </si>
  <si>
    <t xml:space="preserve">      BAC_MGT B1 INIT</t>
  </si>
  <si>
    <t xml:space="preserve">      BAC_MGT B2 ALT</t>
  </si>
  <si>
    <t xml:space="preserve">      BAC_MGT B3 ALT</t>
  </si>
  <si>
    <t xml:space="preserve">      MAS_MGT M1 ALT</t>
  </si>
  <si>
    <t xml:space="preserve">      MAS_MGT M2 ALT</t>
  </si>
  <si>
    <t xml:space="preserve">   Lyon  (MBWAY_LYO)</t>
  </si>
  <si>
    <t xml:space="preserve">   Nantes  (MBWAY_NAN)</t>
  </si>
  <si>
    <t xml:space="preserve">   Bordeaux  (MBWAY_BOR)</t>
  </si>
  <si>
    <t xml:space="preserve">   Paris  (ISCOM_PAR)</t>
  </si>
  <si>
    <t xml:space="preserve">      BAC_COM B1 INIT</t>
  </si>
  <si>
    <t xml:space="preserve">      BAC_COM B2 ALT</t>
  </si>
  <si>
    <t xml:space="preserve">      BAC_COM B3 ALT</t>
  </si>
  <si>
    <t xml:space="preserve">      MAS_COM M1 ALT</t>
  </si>
  <si>
    <t xml:space="preserve">      MAS_COM M2 ALT</t>
  </si>
  <si>
    <t xml:space="preserve">   Lille  (ISCOM_LIL)</t>
  </si>
  <si>
    <t xml:space="preserve">   Toulouse  (ISCOM_TLS)</t>
  </si>
  <si>
    <t xml:space="preserve">   Nantes  (IPAC_NAN)</t>
  </si>
  <si>
    <t xml:space="preserve">      BAC_CCE B1 ALT</t>
  </si>
  <si>
    <t xml:space="preserve">      BAC_CCE B2 ALT</t>
  </si>
  <si>
    <t xml:space="preserve">      BAC_CCE B3 ALT</t>
  </si>
  <si>
    <t xml:space="preserve">   Rennes  (IPAC_REN)</t>
  </si>
  <si>
    <t xml:space="preserve">   Montpellier  (IPAC_MTP)</t>
  </si>
  <si>
    <t xml:space="preserve">   Lyon  (PIGIER_LYO)</t>
  </si>
  <si>
    <t xml:space="preserve">      BTS_GES BTS1 ALT</t>
  </si>
  <si>
    <t xml:space="preserve">      BTS_GES BTS2 ALT</t>
  </si>
  <si>
    <t xml:space="preserve">      BAC_RH B1 ALT</t>
  </si>
  <si>
    <t xml:space="preserve">      BAC_RH B3 ALT</t>
  </si>
  <si>
    <t xml:space="preserve">   Bordeaux  (PIGIER_BOR)</t>
  </si>
  <si>
    <t xml:space="preserve">   Paris  (TUNON_PAR)</t>
  </si>
  <si>
    <t xml:space="preserve">      BAC_TOU B1 ALT</t>
  </si>
  <si>
    <t xml:space="preserve">      BAC_TOU B2 ALT</t>
  </si>
  <si>
    <t xml:space="preserve">      BAC_TOU B3 ALT</t>
  </si>
  <si>
    <t xml:space="preserve">   Lyon  (TUNON_LYO)</t>
  </si>
  <si>
    <t>GROUPE</t>
  </si>
  <si>
    <t>■ VIOLET = colonne branchee sur une saisie (cad / Pilotage / 3_Allocation) -&gt; a recabler cote Tagetik</t>
  </si>
  <si>
    <t>PROG</t>
  </si>
  <si>
    <t>AN</t>
  </si>
  <si>
    <t>MOD</t>
  </si>
  <si>
    <t>HRS</t>
  </si>
  <si>
    <t>E_EFF</t>
  </si>
  <si>
    <t>E_CLS</t>
  </si>
  <si>
    <t>E_CA</t>
  </si>
  <si>
    <t>E_HRS</t>
  </si>
  <si>
    <t>E_NEW</t>
  </si>
  <si>
    <t>M_EFF</t>
  </si>
  <si>
    <t>M_CLS</t>
  </si>
  <si>
    <t>M_CA</t>
  </si>
  <si>
    <t>G_EFF</t>
  </si>
  <si>
    <t>G_CLS</t>
  </si>
  <si>
    <t>G_CA</t>
  </si>
  <si>
    <t>MKT</t>
  </si>
  <si>
    <t>STRUCT_CAMP</t>
  </si>
  <si>
    <t>SIEGE</t>
  </si>
  <si>
    <t>D3C</t>
  </si>
  <si>
    <t>D3E</t>
  </si>
  <si>
    <t>D2E</t>
  </si>
  <si>
    <t>D2M</t>
  </si>
  <si>
    <t>D1M</t>
  </si>
  <si>
    <t>D1G</t>
  </si>
  <si>
    <t>MARGE</t>
  </si>
  <si>
    <t>FRAIS_MARQUE_TOT</t>
  </si>
  <si>
    <t>D1M_K4</t>
  </si>
  <si>
    <t>D1G_K4</t>
  </si>
  <si>
    <t>COST_MARQUE</t>
  </si>
  <si>
    <t>Cles d'Allocation222 (saisie)</t>
  </si>
  <si>
    <t>COST_HOLDING</t>
  </si>
  <si>
    <t>POOL_VAC</t>
  </si>
  <si>
    <t>POOL_PERM</t>
  </si>
  <si>
    <t>POOL_ODIR</t>
  </si>
  <si>
    <t>POOL_MKT</t>
  </si>
  <si>
    <t>POOL_STRUCT</t>
  </si>
  <si>
    <t>POOL_HOLDING</t>
  </si>
  <si>
    <t>POOL_FRAIS_MARQUE</t>
  </si>
  <si>
    <t>3 · Allocation &amp; RENTABILITE  —  cout complet du groupe a la classe</t>
  </si>
  <si>
    <t>Clé d’allocation Pub de marque → marque</t>
  </si>
  <si>
    <t>Clé d’allocation Campus → Classe</t>
  </si>
  <si>
    <t>Clé d’allocation siège administratif → marque</t>
  </si>
  <si>
    <t>Clé d’allocation Marque → Campus</t>
  </si>
  <si>
    <t>2027BUD_V1</t>
  </si>
  <si>
    <t>ACT</t>
  </si>
  <si>
    <t>12</t>
  </si>
  <si>
    <t>2026</t>
  </si>
  <si>
    <t>MBWAY_PAR</t>
  </si>
  <si>
    <t>MBWAY</t>
  </si>
  <si>
    <t>BAC_MGT</t>
  </si>
  <si>
    <t>B1</t>
  </si>
  <si>
    <t>INIT</t>
  </si>
  <si>
    <t>B2</t>
  </si>
  <si>
    <t>ALT</t>
  </si>
  <si>
    <t>B3</t>
  </si>
  <si>
    <t>MAS_MGT</t>
  </si>
  <si>
    <t>M1</t>
  </si>
  <si>
    <t>M2</t>
  </si>
  <si>
    <t>MBWAY_LYO</t>
  </si>
  <si>
    <t>MBWAY_NAN</t>
  </si>
  <si>
    <t>MBWAY_BOR</t>
  </si>
  <si>
    <t>ISCOM_PAR</t>
  </si>
  <si>
    <t>BAC_COM</t>
  </si>
  <si>
    <t>MAS_COM</t>
  </si>
  <si>
    <t>ISCOM_LIL</t>
  </si>
  <si>
    <t>ISCOM_TLS</t>
  </si>
  <si>
    <t>IPAC_NAN</t>
  </si>
  <si>
    <t>IPAC</t>
  </si>
  <si>
    <t>BAC_CCE</t>
  </si>
  <si>
    <t>IPAC_REN</t>
  </si>
  <si>
    <t>IPAC_MTP</t>
  </si>
  <si>
    <t>PIGIER_LYO</t>
  </si>
  <si>
    <t>PIGIER</t>
  </si>
  <si>
    <t>BTS_GES</t>
  </si>
  <si>
    <t>BTS1</t>
  </si>
  <si>
    <t>BTS2</t>
  </si>
  <si>
    <t>BAC_RH</t>
  </si>
  <si>
    <t>PIGIER_BOR</t>
  </si>
  <si>
    <t>TUNON_PAR</t>
  </si>
  <si>
    <t>TUNON</t>
  </si>
  <si>
    <t>BAC_TOU</t>
  </si>
  <si>
    <t>TUNON_LYO</t>
  </si>
  <si>
    <t>2025</t>
  </si>
  <si>
    <t>2024</t>
  </si>
  <si>
    <t>V01</t>
  </si>
  <si>
    <t>2027</t>
  </si>
  <si>
    <t>V02</t>
  </si>
  <si>
    <t>V03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</si>
</sst>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&quot; €&quot;;\-#,##0&quot; €&quot;;&quot;–&quot;"/>
    <numFmt numFmtId="166" formatCode="0.0%;\-0.0%;&quot;–&quot;"/>
    <numFmt numFmtId="167" formatCode="#,##0;\-#,##0;&quot;–&quot;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15406E"/>
      <name val="Aptos Narrow"/>
      <family val="2"/>
    </font>
    <font>
      <b/>
      <sz val="15"/>
      <color rgb="FFB8860B"/>
      <name val="Aptos Narrow"/>
      <family val="2"/>
    </font>
    <font>
      <b/>
      <sz val="11"/>
      <color rgb="FFB8860B"/>
      <name val="Aptos Narrow"/>
      <family val="2"/>
    </font>
    <font>
      <b/>
      <sz val="9"/>
      <color rgb="FFFFFFFF"/>
      <name val="Aptos Narrow"/>
      <family val="2"/>
    </font>
    <font>
      <b/>
      <sz val="9"/>
      <color rgb="FF333333"/>
      <name val="Aptos Narrow"/>
      <family val="2"/>
    </font>
    <font>
      <sz val="9"/>
      <color rgb="FF555555"/>
      <name val="Aptos Narrow"/>
      <family val="2"/>
    </font>
    <font>
      <b/>
      <sz val="11"/>
      <color rgb="FFFFFFFF"/>
      <name val="Aptos Narrow"/>
      <family val="2"/>
    </font>
    <font>
      <sz val="11"/>
      <color rgb="FF3B3B3B"/>
      <name val="Arial"/>
      <family val="2"/>
    </font>
    <font>
      <b/>
      <sz val="11"/>
      <color rgb="FF1B5FA6"/>
      <name val="Arial"/>
      <family val="2"/>
    </font>
    <font>
      <b/>
      <sz val="11"/>
      <color rgb="FF1F3864"/>
      <name val="Arial"/>
      <family val="2"/>
    </font>
    <font>
      <b/>
      <sz val="11"/>
      <color rgb="FF2E7D42"/>
      <name val="Arial"/>
      <family val="2"/>
    </font>
    <font>
      <sz val="11"/>
      <color rgb="FF2E7D42"/>
      <name val="Arial"/>
      <family val="2"/>
    </font>
    <font>
      <b/>
      <i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4E6FA"/>
      </patternFill>
    </fill>
    <fill>
      <patternFill patternType="solid">
        <fgColor rgb="FFDDF2E3"/>
      </patternFill>
    </fill>
    <fill>
      <patternFill patternType="solid">
        <fgColor rgb="FFFFFFFF"/>
      </patternFill>
    </fill>
    <fill>
      <patternFill patternType="solid">
        <fgColor rgb="FFFBEFD0"/>
      </patternFill>
    </fill>
    <fill>
      <patternFill patternType="solid">
        <fgColor rgb="FFFBF3DE"/>
      </patternFill>
    </fill>
    <fill>
      <patternFill patternType="solid">
        <fgColor rgb="FFB8860B"/>
      </patternFill>
    </fill>
    <fill>
      <patternFill patternType="solid">
        <fgColor rgb="FFF7F7F9"/>
      </patternFill>
    </fill>
    <fill>
      <patternFill patternType="solid">
        <fgColor rgb="FFF6E2D4"/>
      </patternFill>
    </fill>
    <fill>
      <patternFill patternType="solid">
        <fgColor rgb="FFECE0F6"/>
      </patternFill>
    </fill>
    <fill>
      <patternFill patternType="solid">
        <fgColor rgb="FFFFF2CC"/>
        <bgColor indexed="64"/>
      </patternFill>
    </fill>
  </fills>
  <borders count="4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A800"/>
      </left>
      <right style="thin">
        <color rgb="FFE0A800"/>
      </right>
      <top style="thin">
        <color rgb="FFE0A800"/>
      </top>
      <bottom style="thin">
        <color rgb="FFE0A8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quotePrefix="1" applyFont="1"/>
    <xf numFmtId="0" fontId="4" fillId="6" borderId="0" xfId="0" applyFont="1" applyFill="1"/>
    <xf numFmtId="0" fontId="5" fillId="0" borderId="0" xfId="0" applyFont="1"/>
    <xf numFmtId="0" fontId="6" fillId="7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9" fillId="7" borderId="1" xfId="0" applyFont="1" applyFill="1" applyBorder="1"/>
    <xf numFmtId="0" fontId="4" fillId="6" borderId="0" xfId="0" applyFont="1" applyFill="1" applyAlignment="1">
      <alignment horizontal="centerContinuous"/>
    </xf>
    <xf numFmtId="0" fontId="4" fillId="6" borderId="0" xfId="0" applyFont="1" applyFill="1" applyAlignment="1">
      <alignment horizontal="left"/>
    </xf>
    <xf numFmtId="165" fontId="10" fillId="0" borderId="2" xfId="0" applyNumberFormat="1" applyFont="1" applyBorder="1" applyAlignment="1">
      <alignment horizontal="right" vertical="center"/>
    </xf>
    <xf numFmtId="167" fontId="10" fillId="0" borderId="2" xfId="0" applyNumberFormat="1" applyFont="1" applyBorder="1" applyAlignment="1">
      <alignment horizontal="right" vertical="center"/>
    </xf>
    <xf numFmtId="166" fontId="10" fillId="0" borderId="2" xfId="0" applyNumberFormat="1" applyFont="1" applyBorder="1" applyAlignment="1">
      <alignment horizontal="right" vertical="center"/>
    </xf>
    <xf numFmtId="167" fontId="12" fillId="0" borderId="2" xfId="0" applyNumberFormat="1" applyFont="1" applyBorder="1" applyAlignment="1">
      <alignment horizontal="right" vertical="center"/>
    </xf>
    <xf numFmtId="165" fontId="12" fillId="0" borderId="2" xfId="0" applyNumberFormat="1" applyFont="1" applyBorder="1" applyAlignment="1">
      <alignment horizontal="right" vertical="center"/>
    </xf>
    <xf numFmtId="166" fontId="12" fillId="0" borderId="2" xfId="0" applyNumberFormat="1" applyFont="1" applyBorder="1" applyAlignment="1">
      <alignment horizontal="right" vertical="center"/>
    </xf>
    <xf numFmtId="165" fontId="13" fillId="0" borderId="2" xfId="0" applyNumberFormat="1" applyFont="1" applyBorder="1" applyAlignment="1">
      <alignment horizontal="right" vertical="center"/>
    </xf>
    <xf numFmtId="165" fontId="14" fillId="0" borderId="2" xfId="0" applyNumberFormat="1" applyFont="1" applyBorder="1" applyAlignment="1">
      <alignment horizontal="right" vertical="center"/>
    </xf>
    <xf numFmtId="0" fontId="15" fillId="0" borderId="0" xfId="0" quotePrefix="1" applyFont="1"/>
    <xf numFmtId="0" fontId="12" fillId="0" borderId="0" xfId="0" quotePrefix="1" applyFont="1" applyAlignment="1">
      <alignment horizontal="left" vertical="center"/>
    </xf>
    <xf numFmtId="0" fontId="11" fillId="11" borderId="3" xfId="0" quotePrefix="1" applyFont="1" applyFill="1" applyBorder="1" applyAlignment="1">
      <alignment horizontal="center" vertical="center" wrapText="1"/>
    </xf>
  </cellXfs>
  <cellStyles count="2">
    <cellStyle name="Milliers 2" xfId="1" xr:uid="{262149E1-252F-4FAD-A249-DB5BC9D0115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700" row="2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9E323C7-299B-44E1-8D3E-F042F0678280}">
  <we:reference id="wa200002415" version="5.0.0.0" store="fr-FR" storeType="OMEX"/>
  <we:alternateReferences>
    <we:reference id="WA200002415" version="5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_xldudf_NAS</we:customFunctionIds>
        <we:customFunctionIds>_xldudf_NASRT</we:customFunctionIds>
        <we:customFunctionIds>_xldudf_MYFOCUSTICKER</we:customFunctionIds>
      </we:customFunctionIdList>
    </a:ext>
    <a:ext xmlns:a="http://schemas.openxmlformats.org/drawingml/2006/main" uri="{0858819E-0033-43BF-8937-05EC82904868}">
      <we:backgroundApp state="1" runtimeId="NasdaqRuntime.Url"/>
    </a:ext>
  </we:extLst>
</we:webextension>
</file>

<file path=xl/webextensions/webextension2.xml><?xml version="1.0" encoding="utf-8"?>
<we:webextension xmlns:we="http://schemas.microsoft.com/office/webextensions/webextension/2010/11" id="{9C5DB361-F477-4584-A0FE-AF477B2F5A94}">
  <we:reference id="wa200005611" version="1.0.0.4" store="fr-FR" storeType="OMEX"/>
  <we:alternateReferences>
    <we:reference id="WA200005611" version="1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_xldudf_COMDATA</we:customFunctionIds>
        <we:customFunctionIds>_xldudf_CONSDATA</we:customFunctionIds>
        <we:customFunctionIds>_xldudf_CONVDATA</we:customFunctionIds>
        <we:customFunctionIds>_xldudf_CURDATA</we:customFunctionIds>
        <we:customFunctionIds>_xldudf_DATECONSO</we:customFunctionIds>
        <we:customFunctionIds>_xldudf_DATELIA</we:customFunctionIds>
        <we:customFunctionIds>_xldudf_STATCONSO</we:customFunctionIds>
        <we:customFunctionIds>_xldudf_STATLIA</we:customFunctionIds>
        <we:customFunctionIds>_xldudf_LIBELLE</we:customFunctionIds>
        <we:customFunctionIds>_xldudf_LOCDATA</we:customFunctionIds>
        <we:customFunctionIds>_xldudf_SCOPDATA</we:customFunctionIds>
        <we:customFunctionIds>_xldudf_ENTDATA</we:customFunctionIds>
        <we:customFunctionIds>_xldudf_SOCDATA</we:customFunctionIds>
        <we:customFunctionIds>_xldudf_TAXDATA</we:customFunctionIds>
        <we:customFunctionIds>_xldudf_IMPORTDATA</we:customFunctionIds>
      </we:customFunctionIdList>
    </a:ext>
    <a:ext xmlns:a="http://schemas.openxmlformats.org/drawingml/2006/main" uri="{0858819E-0033-43BF-8937-05EC82904868}">
      <we:backgroundApp state="1" runtimeId="Login.Url"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5" Type="http://schemas.openxmlformats.org/officeDocument/2006/relationships/customProperty" Target="../customProperty5.bin"/><Relationship Id="rId4" Type="http://schemas.openxmlformats.org/officeDocument/2006/relationships/customProperty" Target="../customProperty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8.bin"/><Relationship Id="rId2" Type="http://schemas.openxmlformats.org/officeDocument/2006/relationships/customProperty" Target="../customProperty7.bin"/><Relationship Id="rId1" Type="http://schemas.openxmlformats.org/officeDocument/2006/relationships/customProperty" Target="../customProperty6.bin"/><Relationship Id="rId5" Type="http://schemas.openxmlformats.org/officeDocument/2006/relationships/customProperty" Target="../customProperty10.bin"/><Relationship Id="rId4" Type="http://schemas.openxmlformats.org/officeDocument/2006/relationships/customProperty" Target="../customProperty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0E9DB-11D0-48C2-89B1-E51C22120F44}">
  <dimension ref="B1:N95"/>
  <sheetViews>
    <sheetView showGridLines="0" tabSelected="1" workbookViewId="0">
      <selection activeCell="C6" sqref="C6"/>
    </sheetView>
  </sheetViews>
  <sheetFormatPr baseColWidth="10" defaultRowHeight="14.25" outlineLevelRow="2" x14ac:dyDescent="0.45"/>
  <cols>
    <col min="1" max="1" width="3.19921875" customWidth="1"/>
    <col min="2" max="2" width="29.796875" customWidth="1"/>
    <col min="3" max="3" width="20.19921875" bestFit="1" customWidth="1"/>
    <col min="4" max="4" width="17.06640625" customWidth="1"/>
    <col min="14" max="14" width="0" hidden="1" customWidth="1"/>
  </cols>
  <sheetData>
    <row r="1" spans="2:14" x14ac:dyDescent="0.45">
      <c r="N1" t="str">
        <f>IF($C$6="Chiffre d'affaires","REV_CA",IF($C$6="Nombre de classes","VOL_CLASS","VOL_EFF"))</f>
        <v>VOL_EFF</v>
      </c>
    </row>
    <row r="2" spans="2:14" ht="19.5" x14ac:dyDescent="0.6">
      <c r="B2" s="14" t="s">
        <v>114</v>
      </c>
      <c r="C2" s="13"/>
      <c r="D2" s="13"/>
      <c r="E2" s="2"/>
      <c r="F2" s="2"/>
      <c r="G2" s="2"/>
      <c r="H2" s="2"/>
      <c r="I2" s="2"/>
      <c r="J2" s="2"/>
      <c r="K2" s="2"/>
      <c r="L2" s="2"/>
      <c r="M2" s="2"/>
      <c r="N2" t="str">
        <f>IF($C$7="Chiffre d'affaires","REV_CA",IF($C$7="Nombre de classes","VOL_CLASS","VOL_EFF"))</f>
        <v>VOL_EFF</v>
      </c>
    </row>
    <row r="3" spans="2:14" x14ac:dyDescent="0.45">
      <c r="N3" t="str">
        <f>IF($C$8="Chiffre d'affaires","REV_CA",IF($C$8="Nombre de classes","VOL_CLASS","VOL_EFF"))</f>
        <v>REV_CA</v>
      </c>
    </row>
    <row r="4" spans="2:14" x14ac:dyDescent="0.45">
      <c r="N4" t="str">
        <f>IF($C$9="Chiffre d'affaires","REV_CA",IF($C$9="Nombre de classes","VOL_CLASS","VOL_EFF"))</f>
        <v>VOL_EFF</v>
      </c>
    </row>
    <row r="5" spans="2:14" ht="14.65" thickBot="1" x14ac:dyDescent="0.5">
      <c r="B5" s="3" t="s">
        <v>105</v>
      </c>
    </row>
    <row r="6" spans="2:14" ht="14.65" thickBot="1" x14ac:dyDescent="0.5">
      <c r="B6" s="24" t="s">
        <v>117</v>
      </c>
      <c r="C6" s="25" t="s">
        <v>5</v>
      </c>
    </row>
    <row r="7" spans="2:14" ht="14.65" thickBot="1" x14ac:dyDescent="0.5">
      <c r="B7" s="24" t="s">
        <v>116</v>
      </c>
      <c r="C7" s="25" t="s">
        <v>5</v>
      </c>
    </row>
    <row r="8" spans="2:14" ht="14.65" thickBot="1" x14ac:dyDescent="0.5">
      <c r="B8" s="24" t="s">
        <v>118</v>
      </c>
      <c r="C8" s="25" t="s">
        <v>4</v>
      </c>
    </row>
    <row r="9" spans="2:14" ht="14.65" thickBot="1" x14ac:dyDescent="0.5">
      <c r="B9" s="24" t="s">
        <v>115</v>
      </c>
      <c r="C9" s="25" t="s">
        <v>5</v>
      </c>
    </row>
    <row r="14" spans="2:14" x14ac:dyDescent="0.45">
      <c r="B14" s="3" t="s">
        <v>29</v>
      </c>
    </row>
    <row r="17" spans="2:13" ht="26" customHeight="1" x14ac:dyDescent="0.45">
      <c r="B17" s="4" t="s">
        <v>30</v>
      </c>
      <c r="C17" s="4" t="s">
        <v>5</v>
      </c>
      <c r="D17" s="4" t="s">
        <v>16</v>
      </c>
      <c r="E17" s="4" t="s">
        <v>31</v>
      </c>
      <c r="F17" s="4" t="s">
        <v>32</v>
      </c>
      <c r="G17" s="4" t="s">
        <v>33</v>
      </c>
      <c r="H17" s="4" t="s">
        <v>34</v>
      </c>
      <c r="I17" s="4" t="s">
        <v>35</v>
      </c>
      <c r="J17" s="4" t="s">
        <v>36</v>
      </c>
      <c r="K17" s="4" t="s">
        <v>37</v>
      </c>
      <c r="L17" s="4" t="s">
        <v>38</v>
      </c>
      <c r="M17" s="4" t="s">
        <v>39</v>
      </c>
    </row>
    <row r="18" spans="2:13" x14ac:dyDescent="0.45">
      <c r="B18" s="5" t="s">
        <v>0</v>
      </c>
      <c r="C18" s="18">
        <f>SUMIFS(_CALC_ALLOC!$G$1:$G$175,_CALC_ALLOC!$A$1:$A$175,"2026",_CALC_ALLOC!$C$1:$C$175,"MBWAY")</f>
        <v>0</v>
      </c>
      <c r="D18" s="19">
        <f>SUMIFS(_CALC_ALLOC!$I$1:$I$175,_CALC_ALLOC!$A$1:$A$175,"2026",_CALC_ALLOC!$C$1:$C$175,"MBWAY")</f>
        <v>0</v>
      </c>
      <c r="E18" s="19">
        <f>SUMIFS(_CALC_ALLOC!$AI$1:$AI$175,_CALC_ALLOC!$A$1:$A$175,"2026",_CALC_ALLOC!$C$1:$C$175,"MBWAY")</f>
        <v>0</v>
      </c>
      <c r="F18" s="19">
        <f>SUMIFS(_CALC_ALLOC!$AJ$1:$AJ$175,_CALC_ALLOC!$A$1:$A$175,"2026",_CALC_ALLOC!$C$1:$C$175,"MBWAY")</f>
        <v>0</v>
      </c>
      <c r="G18" s="19">
        <f>SUMIFS(_CALC_ALLOC!$AK$1:$AK$175,_CALC_ALLOC!$A$1:$A$175,"2026",_CALC_ALLOC!$C$1:$C$175,"MBWAY")</f>
        <v>0</v>
      </c>
      <c r="H18" s="19">
        <f>SUMIFS(_CALC_ALLOC!$AL$1:$AL$175,_CALC_ALLOC!$A$1:$A$175,"2026",_CALC_ALLOC!$C$1:$C$175,"MBWAY")</f>
        <v>0</v>
      </c>
      <c r="I18" s="19">
        <f>SUMIFS(_CALC_ALLOC!$AR$1:$AR$175,_CALC_ALLOC!$A$1:$A$175,"2026",_CALC_ALLOC!$C$1:$C$175,"MBWAY")</f>
        <v>0</v>
      </c>
      <c r="J18" s="19">
        <f>SUMIFS(_CALC_ALLOC!$AM$1:$AM$175,_CALC_ALLOC!$A$1:$A$175,"2026",_CALC_ALLOC!$C$1:$C$175,"MBWAY")</f>
        <v>0</v>
      </c>
      <c r="K18" s="19">
        <f t="shared" ref="K18:K49" si="0">E18+F18+G18+H18+I18+J18</f>
        <v>0</v>
      </c>
      <c r="L18" s="21">
        <f>SUMIFS(_CALC_ALLOC!$AN$1:$AN$175,_CALC_ALLOC!$A$1:$A$175,"2026",_CALC_ALLOC!$C$1:$C$175,"MBWAY")</f>
        <v>0</v>
      </c>
      <c r="M18" s="20">
        <f t="shared" ref="M18:M49" si="1">IFERROR(L18/D18,0)</f>
        <v>0</v>
      </c>
    </row>
    <row r="19" spans="2:13" outlineLevel="1" collapsed="1" x14ac:dyDescent="0.45">
      <c r="B19" s="6" t="s">
        <v>40</v>
      </c>
      <c r="C19" s="18">
        <f>SUMIFS(_CALC_ALLOC!$G$1:$G$175,_CALC_ALLOC!$A$1:$A$175,"2026",_CALC_ALLOC!$B$1:$B$175,"MBWAY_PAR")</f>
        <v>0</v>
      </c>
      <c r="D19" s="19">
        <f>SUMIFS(_CALC_ALLOC!$I$1:$I$175,_CALC_ALLOC!$A$1:$A$175,"2026",_CALC_ALLOC!$B$1:$B$175,"MBWAY_PAR")</f>
        <v>0</v>
      </c>
      <c r="E19" s="19">
        <f>SUMIFS(_CALC_ALLOC!$AI$1:$AI$175,_CALC_ALLOC!$A$1:$A$175,"2026",_CALC_ALLOC!$B$1:$B$175,"MBWAY_PAR")</f>
        <v>0</v>
      </c>
      <c r="F19" s="19">
        <f>SUMIFS(_CALC_ALLOC!$AJ$1:$AJ$175,_CALC_ALLOC!$A$1:$A$175,"2026",_CALC_ALLOC!$B$1:$B$175,"MBWAY_PAR")</f>
        <v>0</v>
      </c>
      <c r="G19" s="19">
        <f>SUMIFS(_CALC_ALLOC!$AK$1:$AK$175,_CALC_ALLOC!$A$1:$A$175,"2026",_CALC_ALLOC!$B$1:$B$175,"MBWAY_PAR")</f>
        <v>0</v>
      </c>
      <c r="H19" s="19">
        <f>SUMIFS(_CALC_ALLOC!$AL$1:$AL$175,_CALC_ALLOC!$A$1:$A$175,"2026",_CALC_ALLOC!$B$1:$B$175,"MBWAY_PAR")</f>
        <v>0</v>
      </c>
      <c r="I19" s="19">
        <f>SUMIFS(_CALC_ALLOC!$AR$1:$AR$175,_CALC_ALLOC!$A$1:$A$175,"2026",_CALC_ALLOC!$B$1:$B$175,"MBWAY_PAR")</f>
        <v>0</v>
      </c>
      <c r="J19" s="19">
        <f>SUMIFS(_CALC_ALLOC!$AM$1:$AM$175,_CALC_ALLOC!$A$1:$A$175,"2026",_CALC_ALLOC!$B$1:$B$175,"MBWAY_PAR")</f>
        <v>0</v>
      </c>
      <c r="K19" s="19">
        <f t="shared" si="0"/>
        <v>0</v>
      </c>
      <c r="L19" s="21">
        <f>SUMIFS(_CALC_ALLOC!$AN$1:$AN$175,_CALC_ALLOC!$A$1:$A$175,"2026",_CALC_ALLOC!$B$1:$B$175,"MBWAY_PAR")</f>
        <v>0</v>
      </c>
      <c r="M19" s="20">
        <f t="shared" si="1"/>
        <v>0</v>
      </c>
    </row>
    <row r="20" spans="2:13" outlineLevel="2" x14ac:dyDescent="0.45">
      <c r="B20" s="7" t="s">
        <v>41</v>
      </c>
      <c r="C20" s="16">
        <f>SUMIFS(_CALC_ALLOC!$G$1:$G$175,_CALC_ALLOC!$A$1:$A$175,"2026",_CALC_ALLOC!$B$1:$B$175,"MBWAY_PAR",_CALC_ALLOC!$D$1:$D$175,"BAC_MGT",_CALC_ALLOC!$E$1:$E$175,"B1",_CALC_ALLOC!$F$1:$F$175,"INIT")</f>
        <v>0</v>
      </c>
      <c r="D20" s="15">
        <f>SUMIFS(_CALC_ALLOC!$I$1:$I$175,_CALC_ALLOC!$A$1:$A$175,"2026",_CALC_ALLOC!$B$1:$B$175,"MBWAY_PAR",_CALC_ALLOC!$D$1:$D$175,"BAC_MGT",_CALC_ALLOC!$E$1:$E$175,"B1",_CALC_ALLOC!$F$1:$F$175,"INIT")</f>
        <v>0</v>
      </c>
      <c r="E20" s="15">
        <f>SUMIFS(_CALC_ALLOC!$AI$1:$AI$175,_CALC_ALLOC!$A$1:$A$175,"2026",_CALC_ALLOC!$B$1:$B$175,"MBWAY_PAR",_CALC_ALLOC!$D$1:$D$175,"BAC_MGT",_CALC_ALLOC!$E$1:$E$175,"B1",_CALC_ALLOC!$F$1:$F$175,"INIT")</f>
        <v>0</v>
      </c>
      <c r="F20" s="15">
        <f>SUMIFS(_CALC_ALLOC!$AJ$1:$AJ$175,_CALC_ALLOC!$A$1:$A$175,"2026",_CALC_ALLOC!$B$1:$B$175,"MBWAY_PAR",_CALC_ALLOC!$D$1:$D$175,"BAC_MGT",_CALC_ALLOC!$E$1:$E$175,"B1",_CALC_ALLOC!$F$1:$F$175,"INIT")</f>
        <v>0</v>
      </c>
      <c r="G20" s="15">
        <f>SUMIFS(_CALC_ALLOC!$AK$1:$AK$175,_CALC_ALLOC!$A$1:$A$175,"2026",_CALC_ALLOC!$B$1:$B$175,"MBWAY_PAR",_CALC_ALLOC!$D$1:$D$175,"BAC_MGT",_CALC_ALLOC!$E$1:$E$175,"B1",_CALC_ALLOC!$F$1:$F$175,"INIT")</f>
        <v>0</v>
      </c>
      <c r="H20" s="15">
        <f>SUMIFS(_CALC_ALLOC!$AL$1:$AL$175,_CALC_ALLOC!$A$1:$A$175,"2026",_CALC_ALLOC!$B$1:$B$175,"MBWAY_PAR",_CALC_ALLOC!$D$1:$D$175,"BAC_MGT",_CALC_ALLOC!$E$1:$E$175,"B1",_CALC_ALLOC!$F$1:$F$175,"INIT")</f>
        <v>0</v>
      </c>
      <c r="I20" s="15">
        <f>SUMIFS(_CALC_ALLOC!$AR$1:$AR$175,_CALC_ALLOC!$A$1:$A$175,"2026",_CALC_ALLOC!$B$1:$B$175,"MBWAY_PAR",_CALC_ALLOC!$D$1:$D$175,"BAC_MGT",_CALC_ALLOC!$E$1:$E$175,"B1",_CALC_ALLOC!$F$1:$F$175,"INIT")</f>
        <v>0</v>
      </c>
      <c r="J20" s="15">
        <f>SUMIFS(_CALC_ALLOC!$AM$1:$AM$175,_CALC_ALLOC!$A$1:$A$175,"2026",_CALC_ALLOC!$B$1:$B$175,"MBWAY_PAR",_CALC_ALLOC!$D$1:$D$175,"BAC_MGT",_CALC_ALLOC!$E$1:$E$175,"B1",_CALC_ALLOC!$F$1:$F$175,"INIT")</f>
        <v>0</v>
      </c>
      <c r="K20" s="19">
        <f t="shared" si="0"/>
        <v>0</v>
      </c>
      <c r="L20" s="22">
        <f>SUMIFS(_CALC_ALLOC!$AN$1:$AN$175,_CALC_ALLOC!$A$1:$A$175,"2026",_CALC_ALLOC!$B$1:$B$175,"MBWAY_PAR",_CALC_ALLOC!$D$1:$D$175,"BAC_MGT",_CALC_ALLOC!$E$1:$E$175,"B1",_CALC_ALLOC!$F$1:$F$175,"INIT")</f>
        <v>0</v>
      </c>
      <c r="M20" s="17">
        <f t="shared" si="1"/>
        <v>0</v>
      </c>
    </row>
    <row r="21" spans="2:13" outlineLevel="2" x14ac:dyDescent="0.45">
      <c r="B21" s="7" t="s">
        <v>42</v>
      </c>
      <c r="C21" s="16">
        <f>SUMIFS(_CALC_ALLOC!$G$1:$G$175,_CALC_ALLOC!$A$1:$A$175,"2026",_CALC_ALLOC!$B$1:$B$175,"MBWAY_PAR",_CALC_ALLOC!$D$1:$D$175,"BAC_MGT",_CALC_ALLOC!$E$1:$E$175,"B2",_CALC_ALLOC!$F$1:$F$175,"ALT")</f>
        <v>0</v>
      </c>
      <c r="D21" s="15">
        <f>SUMIFS(_CALC_ALLOC!$I$1:$I$175,_CALC_ALLOC!$A$1:$A$175,"2026",_CALC_ALLOC!$B$1:$B$175,"MBWAY_PAR",_CALC_ALLOC!$D$1:$D$175,"BAC_MGT",_CALC_ALLOC!$E$1:$E$175,"B2",_CALC_ALLOC!$F$1:$F$175,"ALT")</f>
        <v>0</v>
      </c>
      <c r="E21" s="15">
        <f>SUMIFS(_CALC_ALLOC!$AI$1:$AI$175,_CALC_ALLOC!$A$1:$A$175,"2026",_CALC_ALLOC!$B$1:$B$175,"MBWAY_PAR",_CALC_ALLOC!$D$1:$D$175,"BAC_MGT",_CALC_ALLOC!$E$1:$E$175,"B2",_CALC_ALLOC!$F$1:$F$175,"ALT")</f>
        <v>0</v>
      </c>
      <c r="F21" s="15">
        <f>SUMIFS(_CALC_ALLOC!$AJ$1:$AJ$175,_CALC_ALLOC!$A$1:$A$175,"2026",_CALC_ALLOC!$B$1:$B$175,"MBWAY_PAR",_CALC_ALLOC!$D$1:$D$175,"BAC_MGT",_CALC_ALLOC!$E$1:$E$175,"B2",_CALC_ALLOC!$F$1:$F$175,"ALT")</f>
        <v>0</v>
      </c>
      <c r="G21" s="15">
        <f>SUMIFS(_CALC_ALLOC!$AK$1:$AK$175,_CALC_ALLOC!$A$1:$A$175,"2026",_CALC_ALLOC!$B$1:$B$175,"MBWAY_PAR",_CALC_ALLOC!$D$1:$D$175,"BAC_MGT",_CALC_ALLOC!$E$1:$E$175,"B2",_CALC_ALLOC!$F$1:$F$175,"ALT")</f>
        <v>0</v>
      </c>
      <c r="H21" s="15">
        <f>SUMIFS(_CALC_ALLOC!$AL$1:$AL$175,_CALC_ALLOC!$A$1:$A$175,"2026",_CALC_ALLOC!$B$1:$B$175,"MBWAY_PAR",_CALC_ALLOC!$D$1:$D$175,"BAC_MGT",_CALC_ALLOC!$E$1:$E$175,"B2",_CALC_ALLOC!$F$1:$F$175,"ALT")</f>
        <v>0</v>
      </c>
      <c r="I21" s="15">
        <f>SUMIFS(_CALC_ALLOC!$AR$1:$AR$175,_CALC_ALLOC!$A$1:$A$175,"2026",_CALC_ALLOC!$B$1:$B$175,"MBWAY_PAR",_CALC_ALLOC!$D$1:$D$175,"BAC_MGT",_CALC_ALLOC!$E$1:$E$175,"B2",_CALC_ALLOC!$F$1:$F$175,"ALT")</f>
        <v>0</v>
      </c>
      <c r="J21" s="15">
        <f>SUMIFS(_CALC_ALLOC!$AM$1:$AM$175,_CALC_ALLOC!$A$1:$A$175,"2026",_CALC_ALLOC!$B$1:$B$175,"MBWAY_PAR",_CALC_ALLOC!$D$1:$D$175,"BAC_MGT",_CALC_ALLOC!$E$1:$E$175,"B2",_CALC_ALLOC!$F$1:$F$175,"ALT")</f>
        <v>0</v>
      </c>
      <c r="K21" s="19">
        <f t="shared" si="0"/>
        <v>0</v>
      </c>
      <c r="L21" s="22">
        <f>SUMIFS(_CALC_ALLOC!$AN$1:$AN$175,_CALC_ALLOC!$A$1:$A$175,"2026",_CALC_ALLOC!$B$1:$B$175,"MBWAY_PAR",_CALC_ALLOC!$D$1:$D$175,"BAC_MGT",_CALC_ALLOC!$E$1:$E$175,"B2",_CALC_ALLOC!$F$1:$F$175,"ALT")</f>
        <v>0</v>
      </c>
      <c r="M21" s="17">
        <f t="shared" si="1"/>
        <v>0</v>
      </c>
    </row>
    <row r="22" spans="2:13" outlineLevel="2" x14ac:dyDescent="0.45">
      <c r="B22" s="7" t="s">
        <v>43</v>
      </c>
      <c r="C22" s="16">
        <f>SUMIFS(_CALC_ALLOC!$G$1:$G$175,_CALC_ALLOC!$A$1:$A$175,"2026",_CALC_ALLOC!$B$1:$B$175,"MBWAY_PAR",_CALC_ALLOC!$D$1:$D$175,"BAC_MGT",_CALC_ALLOC!$E$1:$E$175,"B3",_CALC_ALLOC!$F$1:$F$175,"ALT")</f>
        <v>0</v>
      </c>
      <c r="D22" s="15">
        <f>SUMIFS(_CALC_ALLOC!$I$1:$I$175,_CALC_ALLOC!$A$1:$A$175,"2026",_CALC_ALLOC!$B$1:$B$175,"MBWAY_PAR",_CALC_ALLOC!$D$1:$D$175,"BAC_MGT",_CALC_ALLOC!$E$1:$E$175,"B3",_CALC_ALLOC!$F$1:$F$175,"ALT")</f>
        <v>0</v>
      </c>
      <c r="E22" s="15">
        <f>SUMIFS(_CALC_ALLOC!$AI$1:$AI$175,_CALC_ALLOC!$A$1:$A$175,"2026",_CALC_ALLOC!$B$1:$B$175,"MBWAY_PAR",_CALC_ALLOC!$D$1:$D$175,"BAC_MGT",_CALC_ALLOC!$E$1:$E$175,"B3",_CALC_ALLOC!$F$1:$F$175,"ALT")</f>
        <v>0</v>
      </c>
      <c r="F22" s="15">
        <f>SUMIFS(_CALC_ALLOC!$AJ$1:$AJ$175,_CALC_ALLOC!$A$1:$A$175,"2026",_CALC_ALLOC!$B$1:$B$175,"MBWAY_PAR",_CALC_ALLOC!$D$1:$D$175,"BAC_MGT",_CALC_ALLOC!$E$1:$E$175,"B3",_CALC_ALLOC!$F$1:$F$175,"ALT")</f>
        <v>0</v>
      </c>
      <c r="G22" s="15">
        <f>SUMIFS(_CALC_ALLOC!$AK$1:$AK$175,_CALC_ALLOC!$A$1:$A$175,"2026",_CALC_ALLOC!$B$1:$B$175,"MBWAY_PAR",_CALC_ALLOC!$D$1:$D$175,"BAC_MGT",_CALC_ALLOC!$E$1:$E$175,"B3",_CALC_ALLOC!$F$1:$F$175,"ALT")</f>
        <v>0</v>
      </c>
      <c r="H22" s="15">
        <f>SUMIFS(_CALC_ALLOC!$AL$1:$AL$175,_CALC_ALLOC!$A$1:$A$175,"2026",_CALC_ALLOC!$B$1:$B$175,"MBWAY_PAR",_CALC_ALLOC!$D$1:$D$175,"BAC_MGT",_CALC_ALLOC!$E$1:$E$175,"B3",_CALC_ALLOC!$F$1:$F$175,"ALT")</f>
        <v>0</v>
      </c>
      <c r="I22" s="15">
        <f>SUMIFS(_CALC_ALLOC!$AR$1:$AR$175,_CALC_ALLOC!$A$1:$A$175,"2026",_CALC_ALLOC!$B$1:$B$175,"MBWAY_PAR",_CALC_ALLOC!$D$1:$D$175,"BAC_MGT",_CALC_ALLOC!$E$1:$E$175,"B3",_CALC_ALLOC!$F$1:$F$175,"ALT")</f>
        <v>0</v>
      </c>
      <c r="J22" s="15">
        <f>SUMIFS(_CALC_ALLOC!$AM$1:$AM$175,_CALC_ALLOC!$A$1:$A$175,"2026",_CALC_ALLOC!$B$1:$B$175,"MBWAY_PAR",_CALC_ALLOC!$D$1:$D$175,"BAC_MGT",_CALC_ALLOC!$E$1:$E$175,"B3",_CALC_ALLOC!$F$1:$F$175,"ALT")</f>
        <v>0</v>
      </c>
      <c r="K22" s="19">
        <f t="shared" si="0"/>
        <v>0</v>
      </c>
      <c r="L22" s="22">
        <f>SUMIFS(_CALC_ALLOC!$AN$1:$AN$175,_CALC_ALLOC!$A$1:$A$175,"2026",_CALC_ALLOC!$B$1:$B$175,"MBWAY_PAR",_CALC_ALLOC!$D$1:$D$175,"BAC_MGT",_CALC_ALLOC!$E$1:$E$175,"B3",_CALC_ALLOC!$F$1:$F$175,"ALT")</f>
        <v>0</v>
      </c>
      <c r="M22" s="17">
        <f t="shared" si="1"/>
        <v>0</v>
      </c>
    </row>
    <row r="23" spans="2:13" outlineLevel="2" x14ac:dyDescent="0.45">
      <c r="B23" s="7" t="s">
        <v>44</v>
      </c>
      <c r="C23" s="16">
        <f>SUMIFS(_CALC_ALLOC!$G$1:$G$175,_CALC_ALLOC!$A$1:$A$175,"2026",_CALC_ALLOC!$B$1:$B$175,"MBWAY_PAR",_CALC_ALLOC!$D$1:$D$175,"MAS_MGT",_CALC_ALLOC!$E$1:$E$175,"M1",_CALC_ALLOC!$F$1:$F$175,"ALT")</f>
        <v>0</v>
      </c>
      <c r="D23" s="15">
        <f>SUMIFS(_CALC_ALLOC!$I$1:$I$175,_CALC_ALLOC!$A$1:$A$175,"2026",_CALC_ALLOC!$B$1:$B$175,"MBWAY_PAR",_CALC_ALLOC!$D$1:$D$175,"MAS_MGT",_CALC_ALLOC!$E$1:$E$175,"M1",_CALC_ALLOC!$F$1:$F$175,"ALT")</f>
        <v>0</v>
      </c>
      <c r="E23" s="15">
        <f>SUMIFS(_CALC_ALLOC!$AI$1:$AI$175,_CALC_ALLOC!$A$1:$A$175,"2026",_CALC_ALLOC!$B$1:$B$175,"MBWAY_PAR",_CALC_ALLOC!$D$1:$D$175,"MAS_MGT",_CALC_ALLOC!$E$1:$E$175,"M1",_CALC_ALLOC!$F$1:$F$175,"ALT")</f>
        <v>0</v>
      </c>
      <c r="F23" s="15">
        <f>SUMIFS(_CALC_ALLOC!$AJ$1:$AJ$175,_CALC_ALLOC!$A$1:$A$175,"2026",_CALC_ALLOC!$B$1:$B$175,"MBWAY_PAR",_CALC_ALLOC!$D$1:$D$175,"MAS_MGT",_CALC_ALLOC!$E$1:$E$175,"M1",_CALC_ALLOC!$F$1:$F$175,"ALT")</f>
        <v>0</v>
      </c>
      <c r="G23" s="15">
        <f>SUMIFS(_CALC_ALLOC!$AK$1:$AK$175,_CALC_ALLOC!$A$1:$A$175,"2026",_CALC_ALLOC!$B$1:$B$175,"MBWAY_PAR",_CALC_ALLOC!$D$1:$D$175,"MAS_MGT",_CALC_ALLOC!$E$1:$E$175,"M1",_CALC_ALLOC!$F$1:$F$175,"ALT")</f>
        <v>0</v>
      </c>
      <c r="H23" s="15">
        <f>SUMIFS(_CALC_ALLOC!$AL$1:$AL$175,_CALC_ALLOC!$A$1:$A$175,"2026",_CALC_ALLOC!$B$1:$B$175,"MBWAY_PAR",_CALC_ALLOC!$D$1:$D$175,"MAS_MGT",_CALC_ALLOC!$E$1:$E$175,"M1",_CALC_ALLOC!$F$1:$F$175,"ALT")</f>
        <v>0</v>
      </c>
      <c r="I23" s="15">
        <f>SUMIFS(_CALC_ALLOC!$AR$1:$AR$175,_CALC_ALLOC!$A$1:$A$175,"2026",_CALC_ALLOC!$B$1:$B$175,"MBWAY_PAR",_CALC_ALLOC!$D$1:$D$175,"MAS_MGT",_CALC_ALLOC!$E$1:$E$175,"M1",_CALC_ALLOC!$F$1:$F$175,"ALT")</f>
        <v>0</v>
      </c>
      <c r="J23" s="15">
        <f>SUMIFS(_CALC_ALLOC!$AM$1:$AM$175,_CALC_ALLOC!$A$1:$A$175,"2026",_CALC_ALLOC!$B$1:$B$175,"MBWAY_PAR",_CALC_ALLOC!$D$1:$D$175,"MAS_MGT",_CALC_ALLOC!$E$1:$E$175,"M1",_CALC_ALLOC!$F$1:$F$175,"ALT")</f>
        <v>0</v>
      </c>
      <c r="K23" s="19">
        <f t="shared" si="0"/>
        <v>0</v>
      </c>
      <c r="L23" s="22">
        <f>SUMIFS(_CALC_ALLOC!$AN$1:$AN$175,_CALC_ALLOC!$A$1:$A$175,"2026",_CALC_ALLOC!$B$1:$B$175,"MBWAY_PAR",_CALC_ALLOC!$D$1:$D$175,"MAS_MGT",_CALC_ALLOC!$E$1:$E$175,"M1",_CALC_ALLOC!$F$1:$F$175,"ALT")</f>
        <v>0</v>
      </c>
      <c r="M23" s="17">
        <f t="shared" si="1"/>
        <v>0</v>
      </c>
    </row>
    <row r="24" spans="2:13" outlineLevel="2" x14ac:dyDescent="0.45">
      <c r="B24" s="7" t="s">
        <v>45</v>
      </c>
      <c r="C24" s="16">
        <f>SUMIFS(_CALC_ALLOC!$G$1:$G$175,_CALC_ALLOC!$A$1:$A$175,"2026",_CALC_ALLOC!$B$1:$B$175,"MBWAY_PAR",_CALC_ALLOC!$D$1:$D$175,"MAS_MGT",_CALC_ALLOC!$E$1:$E$175,"M2",_CALC_ALLOC!$F$1:$F$175,"ALT")</f>
        <v>0</v>
      </c>
      <c r="D24" s="15">
        <f>SUMIFS(_CALC_ALLOC!$I$1:$I$175,_CALC_ALLOC!$A$1:$A$175,"2026",_CALC_ALLOC!$B$1:$B$175,"MBWAY_PAR",_CALC_ALLOC!$D$1:$D$175,"MAS_MGT",_CALC_ALLOC!$E$1:$E$175,"M2",_CALC_ALLOC!$F$1:$F$175,"ALT")</f>
        <v>0</v>
      </c>
      <c r="E24" s="15">
        <f>SUMIFS(_CALC_ALLOC!$AI$1:$AI$175,_CALC_ALLOC!$A$1:$A$175,"2026",_CALC_ALLOC!$B$1:$B$175,"MBWAY_PAR",_CALC_ALLOC!$D$1:$D$175,"MAS_MGT",_CALC_ALLOC!$E$1:$E$175,"M2",_CALC_ALLOC!$F$1:$F$175,"ALT")</f>
        <v>0</v>
      </c>
      <c r="F24" s="15">
        <f>SUMIFS(_CALC_ALLOC!$AJ$1:$AJ$175,_CALC_ALLOC!$A$1:$A$175,"2026",_CALC_ALLOC!$B$1:$B$175,"MBWAY_PAR",_CALC_ALLOC!$D$1:$D$175,"MAS_MGT",_CALC_ALLOC!$E$1:$E$175,"M2",_CALC_ALLOC!$F$1:$F$175,"ALT")</f>
        <v>0</v>
      </c>
      <c r="G24" s="15">
        <f>SUMIFS(_CALC_ALLOC!$AK$1:$AK$175,_CALC_ALLOC!$A$1:$A$175,"2026",_CALC_ALLOC!$B$1:$B$175,"MBWAY_PAR",_CALC_ALLOC!$D$1:$D$175,"MAS_MGT",_CALC_ALLOC!$E$1:$E$175,"M2",_CALC_ALLOC!$F$1:$F$175,"ALT")</f>
        <v>0</v>
      </c>
      <c r="H24" s="15">
        <f>SUMIFS(_CALC_ALLOC!$AL$1:$AL$175,_CALC_ALLOC!$A$1:$A$175,"2026",_CALC_ALLOC!$B$1:$B$175,"MBWAY_PAR",_CALC_ALLOC!$D$1:$D$175,"MAS_MGT",_CALC_ALLOC!$E$1:$E$175,"M2",_CALC_ALLOC!$F$1:$F$175,"ALT")</f>
        <v>0</v>
      </c>
      <c r="I24" s="15">
        <f>SUMIFS(_CALC_ALLOC!$AR$1:$AR$175,_CALC_ALLOC!$A$1:$A$175,"2026",_CALC_ALLOC!$B$1:$B$175,"MBWAY_PAR",_CALC_ALLOC!$D$1:$D$175,"MAS_MGT",_CALC_ALLOC!$E$1:$E$175,"M2",_CALC_ALLOC!$F$1:$F$175,"ALT")</f>
        <v>0</v>
      </c>
      <c r="J24" s="15">
        <f>SUMIFS(_CALC_ALLOC!$AM$1:$AM$175,_CALC_ALLOC!$A$1:$A$175,"2026",_CALC_ALLOC!$B$1:$B$175,"MBWAY_PAR",_CALC_ALLOC!$D$1:$D$175,"MAS_MGT",_CALC_ALLOC!$E$1:$E$175,"M2",_CALC_ALLOC!$F$1:$F$175,"ALT")</f>
        <v>0</v>
      </c>
      <c r="K24" s="19">
        <f t="shared" si="0"/>
        <v>0</v>
      </c>
      <c r="L24" s="22">
        <f>SUMIFS(_CALC_ALLOC!$AN$1:$AN$175,_CALC_ALLOC!$A$1:$A$175,"2026",_CALC_ALLOC!$B$1:$B$175,"MBWAY_PAR",_CALC_ALLOC!$D$1:$D$175,"MAS_MGT",_CALC_ALLOC!$E$1:$E$175,"M2",_CALC_ALLOC!$F$1:$F$175,"ALT")</f>
        <v>0</v>
      </c>
      <c r="M24" s="17">
        <f t="shared" si="1"/>
        <v>0</v>
      </c>
    </row>
    <row r="25" spans="2:13" outlineLevel="1" x14ac:dyDescent="0.45">
      <c r="B25" s="6" t="s">
        <v>46</v>
      </c>
      <c r="C25" s="18">
        <f>SUMIFS(_CALC_ALLOC!$G$1:$G$175,_CALC_ALLOC!$A$1:$A$175,"2026",_CALC_ALLOC!$B$1:$B$175,"MBWAY_LYO")</f>
        <v>0</v>
      </c>
      <c r="D25" s="19">
        <f>SUMIFS(_CALC_ALLOC!$I$1:$I$175,_CALC_ALLOC!$A$1:$A$175,"2026",_CALC_ALLOC!$B$1:$B$175,"MBWAY_LYO")</f>
        <v>0</v>
      </c>
      <c r="E25" s="19">
        <f>SUMIFS(_CALC_ALLOC!$AI$1:$AI$175,_CALC_ALLOC!$A$1:$A$175,"2026",_CALC_ALLOC!$B$1:$B$175,"MBWAY_LYO")</f>
        <v>0</v>
      </c>
      <c r="F25" s="19">
        <f>SUMIFS(_CALC_ALLOC!$AJ$1:$AJ$175,_CALC_ALLOC!$A$1:$A$175,"2026",_CALC_ALLOC!$B$1:$B$175,"MBWAY_LYO")</f>
        <v>0</v>
      </c>
      <c r="G25" s="19">
        <f>SUMIFS(_CALC_ALLOC!$AK$1:$AK$175,_CALC_ALLOC!$A$1:$A$175,"2026",_CALC_ALLOC!$B$1:$B$175,"MBWAY_LYO")</f>
        <v>0</v>
      </c>
      <c r="H25" s="19">
        <f>SUMIFS(_CALC_ALLOC!$AL$1:$AL$175,_CALC_ALLOC!$A$1:$A$175,"2026",_CALC_ALLOC!$B$1:$B$175,"MBWAY_LYO")</f>
        <v>0</v>
      </c>
      <c r="I25" s="19">
        <f>SUMIFS(_CALC_ALLOC!$AR$1:$AR$175,_CALC_ALLOC!$A$1:$A$175,"2026",_CALC_ALLOC!$B$1:$B$175,"MBWAY_LYO")</f>
        <v>0</v>
      </c>
      <c r="J25" s="19">
        <f>SUMIFS(_CALC_ALLOC!$AM$1:$AM$175,_CALC_ALLOC!$A$1:$A$175,"2026",_CALC_ALLOC!$B$1:$B$175,"MBWAY_LYO")</f>
        <v>0</v>
      </c>
      <c r="K25" s="19">
        <f t="shared" si="0"/>
        <v>0</v>
      </c>
      <c r="L25" s="21">
        <f>SUMIFS(_CALC_ALLOC!$AN$1:$AN$175,_CALC_ALLOC!$A$1:$A$175,"2026",_CALC_ALLOC!$B$1:$B$175,"MBWAY_LYO")</f>
        <v>0</v>
      </c>
      <c r="M25" s="20">
        <f t="shared" si="1"/>
        <v>0</v>
      </c>
    </row>
    <row r="26" spans="2:13" outlineLevel="2" x14ac:dyDescent="0.45">
      <c r="B26" s="7" t="s">
        <v>41</v>
      </c>
      <c r="C26" s="16">
        <f>SUMIFS(_CALC_ALLOC!$G$1:$G$175,_CALC_ALLOC!$A$1:$A$175,"2026",_CALC_ALLOC!$B$1:$B$175,"MBWAY_LYO",_CALC_ALLOC!$D$1:$D$175,"BAC_MGT",_CALC_ALLOC!$E$1:$E$175,"B1",_CALC_ALLOC!$F$1:$F$175,"INIT")</f>
        <v>0</v>
      </c>
      <c r="D26" s="15">
        <f>SUMIFS(_CALC_ALLOC!$I$1:$I$175,_CALC_ALLOC!$A$1:$A$175,"2026",_CALC_ALLOC!$B$1:$B$175,"MBWAY_LYO",_CALC_ALLOC!$D$1:$D$175,"BAC_MGT",_CALC_ALLOC!$E$1:$E$175,"B1",_CALC_ALLOC!$F$1:$F$175,"INIT")</f>
        <v>0</v>
      </c>
      <c r="E26" s="15">
        <f>SUMIFS(_CALC_ALLOC!$AI$1:$AI$175,_CALC_ALLOC!$A$1:$A$175,"2026",_CALC_ALLOC!$B$1:$B$175,"MBWAY_LYO",_CALC_ALLOC!$D$1:$D$175,"BAC_MGT",_CALC_ALLOC!$E$1:$E$175,"B1",_CALC_ALLOC!$F$1:$F$175,"INIT")</f>
        <v>0</v>
      </c>
      <c r="F26" s="15">
        <f>SUMIFS(_CALC_ALLOC!$AJ$1:$AJ$175,_CALC_ALLOC!$A$1:$A$175,"2026",_CALC_ALLOC!$B$1:$B$175,"MBWAY_LYO",_CALC_ALLOC!$D$1:$D$175,"BAC_MGT",_CALC_ALLOC!$E$1:$E$175,"B1",_CALC_ALLOC!$F$1:$F$175,"INIT")</f>
        <v>0</v>
      </c>
      <c r="G26" s="15">
        <f>SUMIFS(_CALC_ALLOC!$AK$1:$AK$175,_CALC_ALLOC!$A$1:$A$175,"2026",_CALC_ALLOC!$B$1:$B$175,"MBWAY_LYO",_CALC_ALLOC!$D$1:$D$175,"BAC_MGT",_CALC_ALLOC!$E$1:$E$175,"B1",_CALC_ALLOC!$F$1:$F$175,"INIT")</f>
        <v>0</v>
      </c>
      <c r="H26" s="15">
        <f>SUMIFS(_CALC_ALLOC!$AL$1:$AL$175,_CALC_ALLOC!$A$1:$A$175,"2026",_CALC_ALLOC!$B$1:$B$175,"MBWAY_LYO",_CALC_ALLOC!$D$1:$D$175,"BAC_MGT",_CALC_ALLOC!$E$1:$E$175,"B1",_CALC_ALLOC!$F$1:$F$175,"INIT")</f>
        <v>0</v>
      </c>
      <c r="I26" s="15">
        <f>SUMIFS(_CALC_ALLOC!$AR$1:$AR$175,_CALC_ALLOC!$A$1:$A$175,"2026",_CALC_ALLOC!$B$1:$B$175,"MBWAY_LYO",_CALC_ALLOC!$D$1:$D$175,"BAC_MGT",_CALC_ALLOC!$E$1:$E$175,"B1",_CALC_ALLOC!$F$1:$F$175,"INIT")</f>
        <v>0</v>
      </c>
      <c r="J26" s="15">
        <f>SUMIFS(_CALC_ALLOC!$AM$1:$AM$175,_CALC_ALLOC!$A$1:$A$175,"2026",_CALC_ALLOC!$B$1:$B$175,"MBWAY_LYO",_CALC_ALLOC!$D$1:$D$175,"BAC_MGT",_CALC_ALLOC!$E$1:$E$175,"B1",_CALC_ALLOC!$F$1:$F$175,"INIT")</f>
        <v>0</v>
      </c>
      <c r="K26" s="19">
        <f t="shared" si="0"/>
        <v>0</v>
      </c>
      <c r="L26" s="22">
        <f>SUMIFS(_CALC_ALLOC!$AN$1:$AN$175,_CALC_ALLOC!$A$1:$A$175,"2026",_CALC_ALLOC!$B$1:$B$175,"MBWAY_LYO",_CALC_ALLOC!$D$1:$D$175,"BAC_MGT",_CALC_ALLOC!$E$1:$E$175,"B1",_CALC_ALLOC!$F$1:$F$175,"INIT")</f>
        <v>0</v>
      </c>
      <c r="M26" s="17">
        <f t="shared" si="1"/>
        <v>0</v>
      </c>
    </row>
    <row r="27" spans="2:13" outlineLevel="2" x14ac:dyDescent="0.45">
      <c r="B27" s="7" t="s">
        <v>42</v>
      </c>
      <c r="C27" s="16">
        <f>SUMIFS(_CALC_ALLOC!$G$1:$G$175,_CALC_ALLOC!$A$1:$A$175,"2026",_CALC_ALLOC!$B$1:$B$175,"MBWAY_LYO",_CALC_ALLOC!$D$1:$D$175,"BAC_MGT",_CALC_ALLOC!$E$1:$E$175,"B2",_CALC_ALLOC!$F$1:$F$175,"ALT")</f>
        <v>0</v>
      </c>
      <c r="D27" s="15">
        <f>SUMIFS(_CALC_ALLOC!$I$1:$I$175,_CALC_ALLOC!$A$1:$A$175,"2026",_CALC_ALLOC!$B$1:$B$175,"MBWAY_LYO",_CALC_ALLOC!$D$1:$D$175,"BAC_MGT",_CALC_ALLOC!$E$1:$E$175,"B2",_CALC_ALLOC!$F$1:$F$175,"ALT")</f>
        <v>0</v>
      </c>
      <c r="E27" s="15">
        <f>SUMIFS(_CALC_ALLOC!$AI$1:$AI$175,_CALC_ALLOC!$A$1:$A$175,"2026",_CALC_ALLOC!$B$1:$B$175,"MBWAY_LYO",_CALC_ALLOC!$D$1:$D$175,"BAC_MGT",_CALC_ALLOC!$E$1:$E$175,"B2",_CALC_ALLOC!$F$1:$F$175,"ALT")</f>
        <v>0</v>
      </c>
      <c r="F27" s="15">
        <f>SUMIFS(_CALC_ALLOC!$AJ$1:$AJ$175,_CALC_ALLOC!$A$1:$A$175,"2026",_CALC_ALLOC!$B$1:$B$175,"MBWAY_LYO",_CALC_ALLOC!$D$1:$D$175,"BAC_MGT",_CALC_ALLOC!$E$1:$E$175,"B2",_CALC_ALLOC!$F$1:$F$175,"ALT")</f>
        <v>0</v>
      </c>
      <c r="G27" s="15">
        <f>SUMIFS(_CALC_ALLOC!$AK$1:$AK$175,_CALC_ALLOC!$A$1:$A$175,"2026",_CALC_ALLOC!$B$1:$B$175,"MBWAY_LYO",_CALC_ALLOC!$D$1:$D$175,"BAC_MGT",_CALC_ALLOC!$E$1:$E$175,"B2",_CALC_ALLOC!$F$1:$F$175,"ALT")</f>
        <v>0</v>
      </c>
      <c r="H27" s="15">
        <f>SUMIFS(_CALC_ALLOC!$AL$1:$AL$175,_CALC_ALLOC!$A$1:$A$175,"2026",_CALC_ALLOC!$B$1:$B$175,"MBWAY_LYO",_CALC_ALLOC!$D$1:$D$175,"BAC_MGT",_CALC_ALLOC!$E$1:$E$175,"B2",_CALC_ALLOC!$F$1:$F$175,"ALT")</f>
        <v>0</v>
      </c>
      <c r="I27" s="15">
        <f>SUMIFS(_CALC_ALLOC!$AR$1:$AR$175,_CALC_ALLOC!$A$1:$A$175,"2026",_CALC_ALLOC!$B$1:$B$175,"MBWAY_LYO",_CALC_ALLOC!$D$1:$D$175,"BAC_MGT",_CALC_ALLOC!$E$1:$E$175,"B2",_CALC_ALLOC!$F$1:$F$175,"ALT")</f>
        <v>0</v>
      </c>
      <c r="J27" s="15">
        <f>SUMIFS(_CALC_ALLOC!$AM$1:$AM$175,_CALC_ALLOC!$A$1:$A$175,"2026",_CALC_ALLOC!$B$1:$B$175,"MBWAY_LYO",_CALC_ALLOC!$D$1:$D$175,"BAC_MGT",_CALC_ALLOC!$E$1:$E$175,"B2",_CALC_ALLOC!$F$1:$F$175,"ALT")</f>
        <v>0</v>
      </c>
      <c r="K27" s="19">
        <f t="shared" si="0"/>
        <v>0</v>
      </c>
      <c r="L27" s="22">
        <f>SUMIFS(_CALC_ALLOC!$AN$1:$AN$175,_CALC_ALLOC!$A$1:$A$175,"2026",_CALC_ALLOC!$B$1:$B$175,"MBWAY_LYO",_CALC_ALLOC!$D$1:$D$175,"BAC_MGT",_CALC_ALLOC!$E$1:$E$175,"B2",_CALC_ALLOC!$F$1:$F$175,"ALT")</f>
        <v>0</v>
      </c>
      <c r="M27" s="17">
        <f t="shared" si="1"/>
        <v>0</v>
      </c>
    </row>
    <row r="28" spans="2:13" outlineLevel="2" x14ac:dyDescent="0.45">
      <c r="B28" s="7" t="s">
        <v>43</v>
      </c>
      <c r="C28" s="16">
        <f>SUMIFS(_CALC_ALLOC!$G$1:$G$175,_CALC_ALLOC!$A$1:$A$175,"2026",_CALC_ALLOC!$B$1:$B$175,"MBWAY_LYO",_CALC_ALLOC!$D$1:$D$175,"BAC_MGT",_CALC_ALLOC!$E$1:$E$175,"B3",_CALC_ALLOC!$F$1:$F$175,"ALT")</f>
        <v>0</v>
      </c>
      <c r="D28" s="15">
        <f>SUMIFS(_CALC_ALLOC!$I$1:$I$175,_CALC_ALLOC!$A$1:$A$175,"2026",_CALC_ALLOC!$B$1:$B$175,"MBWAY_LYO",_CALC_ALLOC!$D$1:$D$175,"BAC_MGT",_CALC_ALLOC!$E$1:$E$175,"B3",_CALC_ALLOC!$F$1:$F$175,"ALT")</f>
        <v>0</v>
      </c>
      <c r="E28" s="15">
        <f>SUMIFS(_CALC_ALLOC!$AI$1:$AI$175,_CALC_ALLOC!$A$1:$A$175,"2026",_CALC_ALLOC!$B$1:$B$175,"MBWAY_LYO",_CALC_ALLOC!$D$1:$D$175,"BAC_MGT",_CALC_ALLOC!$E$1:$E$175,"B3",_CALC_ALLOC!$F$1:$F$175,"ALT")</f>
        <v>0</v>
      </c>
      <c r="F28" s="15">
        <f>SUMIFS(_CALC_ALLOC!$AJ$1:$AJ$175,_CALC_ALLOC!$A$1:$A$175,"2026",_CALC_ALLOC!$B$1:$B$175,"MBWAY_LYO",_CALC_ALLOC!$D$1:$D$175,"BAC_MGT",_CALC_ALLOC!$E$1:$E$175,"B3",_CALC_ALLOC!$F$1:$F$175,"ALT")</f>
        <v>0</v>
      </c>
      <c r="G28" s="15">
        <f>SUMIFS(_CALC_ALLOC!$AK$1:$AK$175,_CALC_ALLOC!$A$1:$A$175,"2026",_CALC_ALLOC!$B$1:$B$175,"MBWAY_LYO",_CALC_ALLOC!$D$1:$D$175,"BAC_MGT",_CALC_ALLOC!$E$1:$E$175,"B3",_CALC_ALLOC!$F$1:$F$175,"ALT")</f>
        <v>0</v>
      </c>
      <c r="H28" s="15">
        <f>SUMIFS(_CALC_ALLOC!$AL$1:$AL$175,_CALC_ALLOC!$A$1:$A$175,"2026",_CALC_ALLOC!$B$1:$B$175,"MBWAY_LYO",_CALC_ALLOC!$D$1:$D$175,"BAC_MGT",_CALC_ALLOC!$E$1:$E$175,"B3",_CALC_ALLOC!$F$1:$F$175,"ALT")</f>
        <v>0</v>
      </c>
      <c r="I28" s="15">
        <f>SUMIFS(_CALC_ALLOC!$AR$1:$AR$175,_CALC_ALLOC!$A$1:$A$175,"2026",_CALC_ALLOC!$B$1:$B$175,"MBWAY_LYO",_CALC_ALLOC!$D$1:$D$175,"BAC_MGT",_CALC_ALLOC!$E$1:$E$175,"B3",_CALC_ALLOC!$F$1:$F$175,"ALT")</f>
        <v>0</v>
      </c>
      <c r="J28" s="15">
        <f>SUMIFS(_CALC_ALLOC!$AM$1:$AM$175,_CALC_ALLOC!$A$1:$A$175,"2026",_CALC_ALLOC!$B$1:$B$175,"MBWAY_LYO",_CALC_ALLOC!$D$1:$D$175,"BAC_MGT",_CALC_ALLOC!$E$1:$E$175,"B3",_CALC_ALLOC!$F$1:$F$175,"ALT")</f>
        <v>0</v>
      </c>
      <c r="K28" s="19">
        <f t="shared" si="0"/>
        <v>0</v>
      </c>
      <c r="L28" s="22">
        <f>SUMIFS(_CALC_ALLOC!$AN$1:$AN$175,_CALC_ALLOC!$A$1:$A$175,"2026",_CALC_ALLOC!$B$1:$B$175,"MBWAY_LYO",_CALC_ALLOC!$D$1:$D$175,"BAC_MGT",_CALC_ALLOC!$E$1:$E$175,"B3",_CALC_ALLOC!$F$1:$F$175,"ALT")</f>
        <v>0</v>
      </c>
      <c r="M28" s="17">
        <f t="shared" si="1"/>
        <v>0</v>
      </c>
    </row>
    <row r="29" spans="2:13" outlineLevel="2" x14ac:dyDescent="0.45">
      <c r="B29" s="7" t="s">
        <v>44</v>
      </c>
      <c r="C29" s="16">
        <f>SUMIFS(_CALC_ALLOC!$G$1:$G$175,_CALC_ALLOC!$A$1:$A$175,"2026",_CALC_ALLOC!$B$1:$B$175,"MBWAY_LYO",_CALC_ALLOC!$D$1:$D$175,"MAS_MGT",_CALC_ALLOC!$E$1:$E$175,"M1",_CALC_ALLOC!$F$1:$F$175,"ALT")</f>
        <v>0</v>
      </c>
      <c r="D29" s="15">
        <f>SUMIFS(_CALC_ALLOC!$I$1:$I$175,_CALC_ALLOC!$A$1:$A$175,"2026",_CALC_ALLOC!$B$1:$B$175,"MBWAY_LYO",_CALC_ALLOC!$D$1:$D$175,"MAS_MGT",_CALC_ALLOC!$E$1:$E$175,"M1",_CALC_ALLOC!$F$1:$F$175,"ALT")</f>
        <v>0</v>
      </c>
      <c r="E29" s="15">
        <f>SUMIFS(_CALC_ALLOC!$AI$1:$AI$175,_CALC_ALLOC!$A$1:$A$175,"2026",_CALC_ALLOC!$B$1:$B$175,"MBWAY_LYO",_CALC_ALLOC!$D$1:$D$175,"MAS_MGT",_CALC_ALLOC!$E$1:$E$175,"M1",_CALC_ALLOC!$F$1:$F$175,"ALT")</f>
        <v>0</v>
      </c>
      <c r="F29" s="15">
        <f>SUMIFS(_CALC_ALLOC!$AJ$1:$AJ$175,_CALC_ALLOC!$A$1:$A$175,"2026",_CALC_ALLOC!$B$1:$B$175,"MBWAY_LYO",_CALC_ALLOC!$D$1:$D$175,"MAS_MGT",_CALC_ALLOC!$E$1:$E$175,"M1",_CALC_ALLOC!$F$1:$F$175,"ALT")</f>
        <v>0</v>
      </c>
      <c r="G29" s="15">
        <f>SUMIFS(_CALC_ALLOC!$AK$1:$AK$175,_CALC_ALLOC!$A$1:$A$175,"2026",_CALC_ALLOC!$B$1:$B$175,"MBWAY_LYO",_CALC_ALLOC!$D$1:$D$175,"MAS_MGT",_CALC_ALLOC!$E$1:$E$175,"M1",_CALC_ALLOC!$F$1:$F$175,"ALT")</f>
        <v>0</v>
      </c>
      <c r="H29" s="15">
        <f>SUMIFS(_CALC_ALLOC!$AL$1:$AL$175,_CALC_ALLOC!$A$1:$A$175,"2026",_CALC_ALLOC!$B$1:$B$175,"MBWAY_LYO",_CALC_ALLOC!$D$1:$D$175,"MAS_MGT",_CALC_ALLOC!$E$1:$E$175,"M1",_CALC_ALLOC!$F$1:$F$175,"ALT")</f>
        <v>0</v>
      </c>
      <c r="I29" s="15">
        <f>SUMIFS(_CALC_ALLOC!$AR$1:$AR$175,_CALC_ALLOC!$A$1:$A$175,"2026",_CALC_ALLOC!$B$1:$B$175,"MBWAY_LYO",_CALC_ALLOC!$D$1:$D$175,"MAS_MGT",_CALC_ALLOC!$E$1:$E$175,"M1",_CALC_ALLOC!$F$1:$F$175,"ALT")</f>
        <v>0</v>
      </c>
      <c r="J29" s="15">
        <f>SUMIFS(_CALC_ALLOC!$AM$1:$AM$175,_CALC_ALLOC!$A$1:$A$175,"2026",_CALC_ALLOC!$B$1:$B$175,"MBWAY_LYO",_CALC_ALLOC!$D$1:$D$175,"MAS_MGT",_CALC_ALLOC!$E$1:$E$175,"M1",_CALC_ALLOC!$F$1:$F$175,"ALT")</f>
        <v>0</v>
      </c>
      <c r="K29" s="19">
        <f t="shared" si="0"/>
        <v>0</v>
      </c>
      <c r="L29" s="22">
        <f>SUMIFS(_CALC_ALLOC!$AN$1:$AN$175,_CALC_ALLOC!$A$1:$A$175,"2026",_CALC_ALLOC!$B$1:$B$175,"MBWAY_LYO",_CALC_ALLOC!$D$1:$D$175,"MAS_MGT",_CALC_ALLOC!$E$1:$E$175,"M1",_CALC_ALLOC!$F$1:$F$175,"ALT")</f>
        <v>0</v>
      </c>
      <c r="M29" s="17">
        <f t="shared" si="1"/>
        <v>0</v>
      </c>
    </row>
    <row r="30" spans="2:13" outlineLevel="2" x14ac:dyDescent="0.45">
      <c r="B30" s="7" t="s">
        <v>45</v>
      </c>
      <c r="C30" s="16">
        <f>SUMIFS(_CALC_ALLOC!$G$1:$G$175,_CALC_ALLOC!$A$1:$A$175,"2026",_CALC_ALLOC!$B$1:$B$175,"MBWAY_LYO",_CALC_ALLOC!$D$1:$D$175,"MAS_MGT",_CALC_ALLOC!$E$1:$E$175,"M2",_CALC_ALLOC!$F$1:$F$175,"ALT")</f>
        <v>0</v>
      </c>
      <c r="D30" s="15">
        <f>SUMIFS(_CALC_ALLOC!$I$1:$I$175,_CALC_ALLOC!$A$1:$A$175,"2026",_CALC_ALLOC!$B$1:$B$175,"MBWAY_LYO",_CALC_ALLOC!$D$1:$D$175,"MAS_MGT",_CALC_ALLOC!$E$1:$E$175,"M2",_CALC_ALLOC!$F$1:$F$175,"ALT")</f>
        <v>0</v>
      </c>
      <c r="E30" s="15">
        <f>SUMIFS(_CALC_ALLOC!$AI$1:$AI$175,_CALC_ALLOC!$A$1:$A$175,"2026",_CALC_ALLOC!$B$1:$B$175,"MBWAY_LYO",_CALC_ALLOC!$D$1:$D$175,"MAS_MGT",_CALC_ALLOC!$E$1:$E$175,"M2",_CALC_ALLOC!$F$1:$F$175,"ALT")</f>
        <v>0</v>
      </c>
      <c r="F30" s="15">
        <f>SUMIFS(_CALC_ALLOC!$AJ$1:$AJ$175,_CALC_ALLOC!$A$1:$A$175,"2026",_CALC_ALLOC!$B$1:$B$175,"MBWAY_LYO",_CALC_ALLOC!$D$1:$D$175,"MAS_MGT",_CALC_ALLOC!$E$1:$E$175,"M2",_CALC_ALLOC!$F$1:$F$175,"ALT")</f>
        <v>0</v>
      </c>
      <c r="G30" s="15">
        <f>SUMIFS(_CALC_ALLOC!$AK$1:$AK$175,_CALC_ALLOC!$A$1:$A$175,"2026",_CALC_ALLOC!$B$1:$B$175,"MBWAY_LYO",_CALC_ALLOC!$D$1:$D$175,"MAS_MGT",_CALC_ALLOC!$E$1:$E$175,"M2",_CALC_ALLOC!$F$1:$F$175,"ALT")</f>
        <v>0</v>
      </c>
      <c r="H30" s="15">
        <f>SUMIFS(_CALC_ALLOC!$AL$1:$AL$175,_CALC_ALLOC!$A$1:$A$175,"2026",_CALC_ALLOC!$B$1:$B$175,"MBWAY_LYO",_CALC_ALLOC!$D$1:$D$175,"MAS_MGT",_CALC_ALLOC!$E$1:$E$175,"M2",_CALC_ALLOC!$F$1:$F$175,"ALT")</f>
        <v>0</v>
      </c>
      <c r="I30" s="15">
        <f>SUMIFS(_CALC_ALLOC!$AR$1:$AR$175,_CALC_ALLOC!$A$1:$A$175,"2026",_CALC_ALLOC!$B$1:$B$175,"MBWAY_LYO",_CALC_ALLOC!$D$1:$D$175,"MAS_MGT",_CALC_ALLOC!$E$1:$E$175,"M2",_CALC_ALLOC!$F$1:$F$175,"ALT")</f>
        <v>0</v>
      </c>
      <c r="J30" s="15">
        <f>SUMIFS(_CALC_ALLOC!$AM$1:$AM$175,_CALC_ALLOC!$A$1:$A$175,"2026",_CALC_ALLOC!$B$1:$B$175,"MBWAY_LYO",_CALC_ALLOC!$D$1:$D$175,"MAS_MGT",_CALC_ALLOC!$E$1:$E$175,"M2",_CALC_ALLOC!$F$1:$F$175,"ALT")</f>
        <v>0</v>
      </c>
      <c r="K30" s="19">
        <f t="shared" si="0"/>
        <v>0</v>
      </c>
      <c r="L30" s="22">
        <f>SUMIFS(_CALC_ALLOC!$AN$1:$AN$175,_CALC_ALLOC!$A$1:$A$175,"2026",_CALC_ALLOC!$B$1:$B$175,"MBWAY_LYO",_CALC_ALLOC!$D$1:$D$175,"MAS_MGT",_CALC_ALLOC!$E$1:$E$175,"M2",_CALC_ALLOC!$F$1:$F$175,"ALT")</f>
        <v>0</v>
      </c>
      <c r="M30" s="17">
        <f t="shared" si="1"/>
        <v>0</v>
      </c>
    </row>
    <row r="31" spans="2:13" outlineLevel="1" x14ac:dyDescent="0.45">
      <c r="B31" s="6" t="s">
        <v>47</v>
      </c>
      <c r="C31" s="18">
        <f>SUMIFS(_CALC_ALLOC!$G$1:$G$175,_CALC_ALLOC!$A$1:$A$175,"2026",_CALC_ALLOC!$B$1:$B$175,"MBWAY_NAN")</f>
        <v>0</v>
      </c>
      <c r="D31" s="19">
        <f>SUMIFS(_CALC_ALLOC!$I$1:$I$175,_CALC_ALLOC!$A$1:$A$175,"2026",_CALC_ALLOC!$B$1:$B$175,"MBWAY_NAN")</f>
        <v>0</v>
      </c>
      <c r="E31" s="19">
        <f>SUMIFS(_CALC_ALLOC!$AI$1:$AI$175,_CALC_ALLOC!$A$1:$A$175,"2026",_CALC_ALLOC!$B$1:$B$175,"MBWAY_NAN")</f>
        <v>0</v>
      </c>
      <c r="F31" s="19">
        <f>SUMIFS(_CALC_ALLOC!$AJ$1:$AJ$175,_CALC_ALLOC!$A$1:$A$175,"2026",_CALC_ALLOC!$B$1:$B$175,"MBWAY_NAN")</f>
        <v>0</v>
      </c>
      <c r="G31" s="19">
        <f>SUMIFS(_CALC_ALLOC!$AK$1:$AK$175,_CALC_ALLOC!$A$1:$A$175,"2026",_CALC_ALLOC!$B$1:$B$175,"MBWAY_NAN")</f>
        <v>0</v>
      </c>
      <c r="H31" s="19">
        <f>SUMIFS(_CALC_ALLOC!$AL$1:$AL$175,_CALC_ALLOC!$A$1:$A$175,"2026",_CALC_ALLOC!$B$1:$B$175,"MBWAY_NAN")</f>
        <v>0</v>
      </c>
      <c r="I31" s="19">
        <f>SUMIFS(_CALC_ALLOC!$AR$1:$AR$175,_CALC_ALLOC!$A$1:$A$175,"2026",_CALC_ALLOC!$B$1:$B$175,"MBWAY_NAN")</f>
        <v>0</v>
      </c>
      <c r="J31" s="19">
        <f>SUMIFS(_CALC_ALLOC!$AM$1:$AM$175,_CALC_ALLOC!$A$1:$A$175,"2026",_CALC_ALLOC!$B$1:$B$175,"MBWAY_NAN")</f>
        <v>0</v>
      </c>
      <c r="K31" s="19">
        <f t="shared" si="0"/>
        <v>0</v>
      </c>
      <c r="L31" s="21">
        <f>SUMIFS(_CALC_ALLOC!$AN$1:$AN$175,_CALC_ALLOC!$A$1:$A$175,"2026",_CALC_ALLOC!$B$1:$B$175,"MBWAY_NAN")</f>
        <v>0</v>
      </c>
      <c r="M31" s="20">
        <f t="shared" si="1"/>
        <v>0</v>
      </c>
    </row>
    <row r="32" spans="2:13" outlineLevel="2" x14ac:dyDescent="0.45">
      <c r="B32" s="7" t="s">
        <v>41</v>
      </c>
      <c r="C32" s="16">
        <f>SUMIFS(_CALC_ALLOC!$G$1:$G$175,_CALC_ALLOC!$A$1:$A$175,"2026",_CALC_ALLOC!$B$1:$B$175,"MBWAY_NAN",_CALC_ALLOC!$D$1:$D$175,"BAC_MGT",_CALC_ALLOC!$E$1:$E$175,"B1",_CALC_ALLOC!$F$1:$F$175,"INIT")</f>
        <v>0</v>
      </c>
      <c r="D32" s="15">
        <f>SUMIFS(_CALC_ALLOC!$I$1:$I$175,_CALC_ALLOC!$A$1:$A$175,"2026",_CALC_ALLOC!$B$1:$B$175,"MBWAY_NAN",_CALC_ALLOC!$D$1:$D$175,"BAC_MGT",_CALC_ALLOC!$E$1:$E$175,"B1",_CALC_ALLOC!$F$1:$F$175,"INIT")</f>
        <v>0</v>
      </c>
      <c r="E32" s="15">
        <f>SUMIFS(_CALC_ALLOC!$AI$1:$AI$175,_CALC_ALLOC!$A$1:$A$175,"2026",_CALC_ALLOC!$B$1:$B$175,"MBWAY_NAN",_CALC_ALLOC!$D$1:$D$175,"BAC_MGT",_CALC_ALLOC!$E$1:$E$175,"B1",_CALC_ALLOC!$F$1:$F$175,"INIT")</f>
        <v>0</v>
      </c>
      <c r="F32" s="15">
        <f>SUMIFS(_CALC_ALLOC!$AJ$1:$AJ$175,_CALC_ALLOC!$A$1:$A$175,"2026",_CALC_ALLOC!$B$1:$B$175,"MBWAY_NAN",_CALC_ALLOC!$D$1:$D$175,"BAC_MGT",_CALC_ALLOC!$E$1:$E$175,"B1",_CALC_ALLOC!$F$1:$F$175,"INIT")</f>
        <v>0</v>
      </c>
      <c r="G32" s="15">
        <f>SUMIFS(_CALC_ALLOC!$AK$1:$AK$175,_CALC_ALLOC!$A$1:$A$175,"2026",_CALC_ALLOC!$B$1:$B$175,"MBWAY_NAN",_CALC_ALLOC!$D$1:$D$175,"BAC_MGT",_CALC_ALLOC!$E$1:$E$175,"B1",_CALC_ALLOC!$F$1:$F$175,"INIT")</f>
        <v>0</v>
      </c>
      <c r="H32" s="15">
        <f>SUMIFS(_CALC_ALLOC!$AL$1:$AL$175,_CALC_ALLOC!$A$1:$A$175,"2026",_CALC_ALLOC!$B$1:$B$175,"MBWAY_NAN",_CALC_ALLOC!$D$1:$D$175,"BAC_MGT",_CALC_ALLOC!$E$1:$E$175,"B1",_CALC_ALLOC!$F$1:$F$175,"INIT")</f>
        <v>0</v>
      </c>
      <c r="I32" s="15">
        <f>SUMIFS(_CALC_ALLOC!$AR$1:$AR$175,_CALC_ALLOC!$A$1:$A$175,"2026",_CALC_ALLOC!$B$1:$B$175,"MBWAY_NAN",_CALC_ALLOC!$D$1:$D$175,"BAC_MGT",_CALC_ALLOC!$E$1:$E$175,"B1",_CALC_ALLOC!$F$1:$F$175,"INIT")</f>
        <v>0</v>
      </c>
      <c r="J32" s="15">
        <f>SUMIFS(_CALC_ALLOC!$AM$1:$AM$175,_CALC_ALLOC!$A$1:$A$175,"2026",_CALC_ALLOC!$B$1:$B$175,"MBWAY_NAN",_CALC_ALLOC!$D$1:$D$175,"BAC_MGT",_CALC_ALLOC!$E$1:$E$175,"B1",_CALC_ALLOC!$F$1:$F$175,"INIT")</f>
        <v>0</v>
      </c>
      <c r="K32" s="19">
        <f t="shared" si="0"/>
        <v>0</v>
      </c>
      <c r="L32" s="22">
        <f>SUMIFS(_CALC_ALLOC!$AN$1:$AN$175,_CALC_ALLOC!$A$1:$A$175,"2026",_CALC_ALLOC!$B$1:$B$175,"MBWAY_NAN",_CALC_ALLOC!$D$1:$D$175,"BAC_MGT",_CALC_ALLOC!$E$1:$E$175,"B1",_CALC_ALLOC!$F$1:$F$175,"INIT")</f>
        <v>0</v>
      </c>
      <c r="M32" s="17">
        <f t="shared" si="1"/>
        <v>0</v>
      </c>
    </row>
    <row r="33" spans="2:13" outlineLevel="2" x14ac:dyDescent="0.45">
      <c r="B33" s="7" t="s">
        <v>42</v>
      </c>
      <c r="C33" s="16">
        <f>SUMIFS(_CALC_ALLOC!$G$1:$G$175,_CALC_ALLOC!$A$1:$A$175,"2026",_CALC_ALLOC!$B$1:$B$175,"MBWAY_NAN",_CALC_ALLOC!$D$1:$D$175,"BAC_MGT",_CALC_ALLOC!$E$1:$E$175,"B2",_CALC_ALLOC!$F$1:$F$175,"ALT")</f>
        <v>0</v>
      </c>
      <c r="D33" s="15">
        <f>SUMIFS(_CALC_ALLOC!$I$1:$I$175,_CALC_ALLOC!$A$1:$A$175,"2026",_CALC_ALLOC!$B$1:$B$175,"MBWAY_NAN",_CALC_ALLOC!$D$1:$D$175,"BAC_MGT",_CALC_ALLOC!$E$1:$E$175,"B2",_CALC_ALLOC!$F$1:$F$175,"ALT")</f>
        <v>0</v>
      </c>
      <c r="E33" s="15">
        <f>SUMIFS(_CALC_ALLOC!$AI$1:$AI$175,_CALC_ALLOC!$A$1:$A$175,"2026",_CALC_ALLOC!$B$1:$B$175,"MBWAY_NAN",_CALC_ALLOC!$D$1:$D$175,"BAC_MGT",_CALC_ALLOC!$E$1:$E$175,"B2",_CALC_ALLOC!$F$1:$F$175,"ALT")</f>
        <v>0</v>
      </c>
      <c r="F33" s="15">
        <f>SUMIFS(_CALC_ALLOC!$AJ$1:$AJ$175,_CALC_ALLOC!$A$1:$A$175,"2026",_CALC_ALLOC!$B$1:$B$175,"MBWAY_NAN",_CALC_ALLOC!$D$1:$D$175,"BAC_MGT",_CALC_ALLOC!$E$1:$E$175,"B2",_CALC_ALLOC!$F$1:$F$175,"ALT")</f>
        <v>0</v>
      </c>
      <c r="G33" s="15">
        <f>SUMIFS(_CALC_ALLOC!$AK$1:$AK$175,_CALC_ALLOC!$A$1:$A$175,"2026",_CALC_ALLOC!$B$1:$B$175,"MBWAY_NAN",_CALC_ALLOC!$D$1:$D$175,"BAC_MGT",_CALC_ALLOC!$E$1:$E$175,"B2",_CALC_ALLOC!$F$1:$F$175,"ALT")</f>
        <v>0</v>
      </c>
      <c r="H33" s="15">
        <f>SUMIFS(_CALC_ALLOC!$AL$1:$AL$175,_CALC_ALLOC!$A$1:$A$175,"2026",_CALC_ALLOC!$B$1:$B$175,"MBWAY_NAN",_CALC_ALLOC!$D$1:$D$175,"BAC_MGT",_CALC_ALLOC!$E$1:$E$175,"B2",_CALC_ALLOC!$F$1:$F$175,"ALT")</f>
        <v>0</v>
      </c>
      <c r="I33" s="15">
        <f>SUMIFS(_CALC_ALLOC!$AR$1:$AR$175,_CALC_ALLOC!$A$1:$A$175,"2026",_CALC_ALLOC!$B$1:$B$175,"MBWAY_NAN",_CALC_ALLOC!$D$1:$D$175,"BAC_MGT",_CALC_ALLOC!$E$1:$E$175,"B2",_CALC_ALLOC!$F$1:$F$175,"ALT")</f>
        <v>0</v>
      </c>
      <c r="J33" s="15">
        <f>SUMIFS(_CALC_ALLOC!$AM$1:$AM$175,_CALC_ALLOC!$A$1:$A$175,"2026",_CALC_ALLOC!$B$1:$B$175,"MBWAY_NAN",_CALC_ALLOC!$D$1:$D$175,"BAC_MGT",_CALC_ALLOC!$E$1:$E$175,"B2",_CALC_ALLOC!$F$1:$F$175,"ALT")</f>
        <v>0</v>
      </c>
      <c r="K33" s="19">
        <f t="shared" si="0"/>
        <v>0</v>
      </c>
      <c r="L33" s="22">
        <f>SUMIFS(_CALC_ALLOC!$AN$1:$AN$175,_CALC_ALLOC!$A$1:$A$175,"2026",_CALC_ALLOC!$B$1:$B$175,"MBWAY_NAN",_CALC_ALLOC!$D$1:$D$175,"BAC_MGT",_CALC_ALLOC!$E$1:$E$175,"B2",_CALC_ALLOC!$F$1:$F$175,"ALT")</f>
        <v>0</v>
      </c>
      <c r="M33" s="17">
        <f t="shared" si="1"/>
        <v>0</v>
      </c>
    </row>
    <row r="34" spans="2:13" outlineLevel="2" x14ac:dyDescent="0.45">
      <c r="B34" s="7" t="s">
        <v>43</v>
      </c>
      <c r="C34" s="16">
        <f>SUMIFS(_CALC_ALLOC!$G$1:$G$175,_CALC_ALLOC!$A$1:$A$175,"2026",_CALC_ALLOC!$B$1:$B$175,"MBWAY_NAN",_CALC_ALLOC!$D$1:$D$175,"BAC_MGT",_CALC_ALLOC!$E$1:$E$175,"B3",_CALC_ALLOC!$F$1:$F$175,"ALT")</f>
        <v>0</v>
      </c>
      <c r="D34" s="15">
        <f>SUMIFS(_CALC_ALLOC!$I$1:$I$175,_CALC_ALLOC!$A$1:$A$175,"2026",_CALC_ALLOC!$B$1:$B$175,"MBWAY_NAN",_CALC_ALLOC!$D$1:$D$175,"BAC_MGT",_CALC_ALLOC!$E$1:$E$175,"B3",_CALC_ALLOC!$F$1:$F$175,"ALT")</f>
        <v>0</v>
      </c>
      <c r="E34" s="15">
        <f>SUMIFS(_CALC_ALLOC!$AI$1:$AI$175,_CALC_ALLOC!$A$1:$A$175,"2026",_CALC_ALLOC!$B$1:$B$175,"MBWAY_NAN",_CALC_ALLOC!$D$1:$D$175,"BAC_MGT",_CALC_ALLOC!$E$1:$E$175,"B3",_CALC_ALLOC!$F$1:$F$175,"ALT")</f>
        <v>0</v>
      </c>
      <c r="F34" s="15">
        <f>SUMIFS(_CALC_ALLOC!$AJ$1:$AJ$175,_CALC_ALLOC!$A$1:$A$175,"2026",_CALC_ALLOC!$B$1:$B$175,"MBWAY_NAN",_CALC_ALLOC!$D$1:$D$175,"BAC_MGT",_CALC_ALLOC!$E$1:$E$175,"B3",_CALC_ALLOC!$F$1:$F$175,"ALT")</f>
        <v>0</v>
      </c>
      <c r="G34" s="15">
        <f>SUMIFS(_CALC_ALLOC!$AK$1:$AK$175,_CALC_ALLOC!$A$1:$A$175,"2026",_CALC_ALLOC!$B$1:$B$175,"MBWAY_NAN",_CALC_ALLOC!$D$1:$D$175,"BAC_MGT",_CALC_ALLOC!$E$1:$E$175,"B3",_CALC_ALLOC!$F$1:$F$175,"ALT")</f>
        <v>0</v>
      </c>
      <c r="H34" s="15">
        <f>SUMIFS(_CALC_ALLOC!$AL$1:$AL$175,_CALC_ALLOC!$A$1:$A$175,"2026",_CALC_ALLOC!$B$1:$B$175,"MBWAY_NAN",_CALC_ALLOC!$D$1:$D$175,"BAC_MGT",_CALC_ALLOC!$E$1:$E$175,"B3",_CALC_ALLOC!$F$1:$F$175,"ALT")</f>
        <v>0</v>
      </c>
      <c r="I34" s="15">
        <f>SUMIFS(_CALC_ALLOC!$AR$1:$AR$175,_CALC_ALLOC!$A$1:$A$175,"2026",_CALC_ALLOC!$B$1:$B$175,"MBWAY_NAN",_CALC_ALLOC!$D$1:$D$175,"BAC_MGT",_CALC_ALLOC!$E$1:$E$175,"B3",_CALC_ALLOC!$F$1:$F$175,"ALT")</f>
        <v>0</v>
      </c>
      <c r="J34" s="15">
        <f>SUMIFS(_CALC_ALLOC!$AM$1:$AM$175,_CALC_ALLOC!$A$1:$A$175,"2026",_CALC_ALLOC!$B$1:$B$175,"MBWAY_NAN",_CALC_ALLOC!$D$1:$D$175,"BAC_MGT",_CALC_ALLOC!$E$1:$E$175,"B3",_CALC_ALLOC!$F$1:$F$175,"ALT")</f>
        <v>0</v>
      </c>
      <c r="K34" s="19">
        <f t="shared" si="0"/>
        <v>0</v>
      </c>
      <c r="L34" s="22">
        <f>SUMIFS(_CALC_ALLOC!$AN$1:$AN$175,_CALC_ALLOC!$A$1:$A$175,"2026",_CALC_ALLOC!$B$1:$B$175,"MBWAY_NAN",_CALC_ALLOC!$D$1:$D$175,"BAC_MGT",_CALC_ALLOC!$E$1:$E$175,"B3",_CALC_ALLOC!$F$1:$F$175,"ALT")</f>
        <v>0</v>
      </c>
      <c r="M34" s="17">
        <f t="shared" si="1"/>
        <v>0</v>
      </c>
    </row>
    <row r="35" spans="2:13" outlineLevel="2" x14ac:dyDescent="0.45">
      <c r="B35" s="7" t="s">
        <v>44</v>
      </c>
      <c r="C35" s="16">
        <f>SUMIFS(_CALC_ALLOC!$G$1:$G$175,_CALC_ALLOC!$A$1:$A$175,"2026",_CALC_ALLOC!$B$1:$B$175,"MBWAY_NAN",_CALC_ALLOC!$D$1:$D$175,"MAS_MGT",_CALC_ALLOC!$E$1:$E$175,"M1",_CALC_ALLOC!$F$1:$F$175,"ALT")</f>
        <v>0</v>
      </c>
      <c r="D35" s="15">
        <f>SUMIFS(_CALC_ALLOC!$I$1:$I$175,_CALC_ALLOC!$A$1:$A$175,"2026",_CALC_ALLOC!$B$1:$B$175,"MBWAY_NAN",_CALC_ALLOC!$D$1:$D$175,"MAS_MGT",_CALC_ALLOC!$E$1:$E$175,"M1",_CALC_ALLOC!$F$1:$F$175,"ALT")</f>
        <v>0</v>
      </c>
      <c r="E35" s="15">
        <f>SUMIFS(_CALC_ALLOC!$AI$1:$AI$175,_CALC_ALLOC!$A$1:$A$175,"2026",_CALC_ALLOC!$B$1:$B$175,"MBWAY_NAN",_CALC_ALLOC!$D$1:$D$175,"MAS_MGT",_CALC_ALLOC!$E$1:$E$175,"M1",_CALC_ALLOC!$F$1:$F$175,"ALT")</f>
        <v>0</v>
      </c>
      <c r="F35" s="15">
        <f>SUMIFS(_CALC_ALLOC!$AJ$1:$AJ$175,_CALC_ALLOC!$A$1:$A$175,"2026",_CALC_ALLOC!$B$1:$B$175,"MBWAY_NAN",_CALC_ALLOC!$D$1:$D$175,"MAS_MGT",_CALC_ALLOC!$E$1:$E$175,"M1",_CALC_ALLOC!$F$1:$F$175,"ALT")</f>
        <v>0</v>
      </c>
      <c r="G35" s="15">
        <f>SUMIFS(_CALC_ALLOC!$AK$1:$AK$175,_CALC_ALLOC!$A$1:$A$175,"2026",_CALC_ALLOC!$B$1:$B$175,"MBWAY_NAN",_CALC_ALLOC!$D$1:$D$175,"MAS_MGT",_CALC_ALLOC!$E$1:$E$175,"M1",_CALC_ALLOC!$F$1:$F$175,"ALT")</f>
        <v>0</v>
      </c>
      <c r="H35" s="15">
        <f>SUMIFS(_CALC_ALLOC!$AL$1:$AL$175,_CALC_ALLOC!$A$1:$A$175,"2026",_CALC_ALLOC!$B$1:$B$175,"MBWAY_NAN",_CALC_ALLOC!$D$1:$D$175,"MAS_MGT",_CALC_ALLOC!$E$1:$E$175,"M1",_CALC_ALLOC!$F$1:$F$175,"ALT")</f>
        <v>0</v>
      </c>
      <c r="I35" s="15">
        <f>SUMIFS(_CALC_ALLOC!$AR$1:$AR$175,_CALC_ALLOC!$A$1:$A$175,"2026",_CALC_ALLOC!$B$1:$B$175,"MBWAY_NAN",_CALC_ALLOC!$D$1:$D$175,"MAS_MGT",_CALC_ALLOC!$E$1:$E$175,"M1",_CALC_ALLOC!$F$1:$F$175,"ALT")</f>
        <v>0</v>
      </c>
      <c r="J35" s="15">
        <f>SUMIFS(_CALC_ALLOC!$AM$1:$AM$175,_CALC_ALLOC!$A$1:$A$175,"2026",_CALC_ALLOC!$B$1:$B$175,"MBWAY_NAN",_CALC_ALLOC!$D$1:$D$175,"MAS_MGT",_CALC_ALLOC!$E$1:$E$175,"M1",_CALC_ALLOC!$F$1:$F$175,"ALT")</f>
        <v>0</v>
      </c>
      <c r="K35" s="19">
        <f t="shared" si="0"/>
        <v>0</v>
      </c>
      <c r="L35" s="22">
        <f>SUMIFS(_CALC_ALLOC!$AN$1:$AN$175,_CALC_ALLOC!$A$1:$A$175,"2026",_CALC_ALLOC!$B$1:$B$175,"MBWAY_NAN",_CALC_ALLOC!$D$1:$D$175,"MAS_MGT",_CALC_ALLOC!$E$1:$E$175,"M1",_CALC_ALLOC!$F$1:$F$175,"ALT")</f>
        <v>0</v>
      </c>
      <c r="M35" s="17">
        <f t="shared" si="1"/>
        <v>0</v>
      </c>
    </row>
    <row r="36" spans="2:13" outlineLevel="2" x14ac:dyDescent="0.45">
      <c r="B36" s="7" t="s">
        <v>45</v>
      </c>
      <c r="C36" s="16">
        <f>SUMIFS(_CALC_ALLOC!$G$1:$G$175,_CALC_ALLOC!$A$1:$A$175,"2026",_CALC_ALLOC!$B$1:$B$175,"MBWAY_NAN",_CALC_ALLOC!$D$1:$D$175,"MAS_MGT",_CALC_ALLOC!$E$1:$E$175,"M2",_CALC_ALLOC!$F$1:$F$175,"ALT")</f>
        <v>0</v>
      </c>
      <c r="D36" s="15">
        <f>SUMIFS(_CALC_ALLOC!$I$1:$I$175,_CALC_ALLOC!$A$1:$A$175,"2026",_CALC_ALLOC!$B$1:$B$175,"MBWAY_NAN",_CALC_ALLOC!$D$1:$D$175,"MAS_MGT",_CALC_ALLOC!$E$1:$E$175,"M2",_CALC_ALLOC!$F$1:$F$175,"ALT")</f>
        <v>0</v>
      </c>
      <c r="E36" s="15">
        <f>SUMIFS(_CALC_ALLOC!$AI$1:$AI$175,_CALC_ALLOC!$A$1:$A$175,"2026",_CALC_ALLOC!$B$1:$B$175,"MBWAY_NAN",_CALC_ALLOC!$D$1:$D$175,"MAS_MGT",_CALC_ALLOC!$E$1:$E$175,"M2",_CALC_ALLOC!$F$1:$F$175,"ALT")</f>
        <v>0</v>
      </c>
      <c r="F36" s="15">
        <f>SUMIFS(_CALC_ALLOC!$AJ$1:$AJ$175,_CALC_ALLOC!$A$1:$A$175,"2026",_CALC_ALLOC!$B$1:$B$175,"MBWAY_NAN",_CALC_ALLOC!$D$1:$D$175,"MAS_MGT",_CALC_ALLOC!$E$1:$E$175,"M2",_CALC_ALLOC!$F$1:$F$175,"ALT")</f>
        <v>0</v>
      </c>
      <c r="G36" s="15">
        <f>SUMIFS(_CALC_ALLOC!$AK$1:$AK$175,_CALC_ALLOC!$A$1:$A$175,"2026",_CALC_ALLOC!$B$1:$B$175,"MBWAY_NAN",_CALC_ALLOC!$D$1:$D$175,"MAS_MGT",_CALC_ALLOC!$E$1:$E$175,"M2",_CALC_ALLOC!$F$1:$F$175,"ALT")</f>
        <v>0</v>
      </c>
      <c r="H36" s="15">
        <f>SUMIFS(_CALC_ALLOC!$AL$1:$AL$175,_CALC_ALLOC!$A$1:$A$175,"2026",_CALC_ALLOC!$B$1:$B$175,"MBWAY_NAN",_CALC_ALLOC!$D$1:$D$175,"MAS_MGT",_CALC_ALLOC!$E$1:$E$175,"M2",_CALC_ALLOC!$F$1:$F$175,"ALT")</f>
        <v>0</v>
      </c>
      <c r="I36" s="15">
        <f>SUMIFS(_CALC_ALLOC!$AR$1:$AR$175,_CALC_ALLOC!$A$1:$A$175,"2026",_CALC_ALLOC!$B$1:$B$175,"MBWAY_NAN",_CALC_ALLOC!$D$1:$D$175,"MAS_MGT",_CALC_ALLOC!$E$1:$E$175,"M2",_CALC_ALLOC!$F$1:$F$175,"ALT")</f>
        <v>0</v>
      </c>
      <c r="J36" s="15">
        <f>SUMIFS(_CALC_ALLOC!$AM$1:$AM$175,_CALC_ALLOC!$A$1:$A$175,"2026",_CALC_ALLOC!$B$1:$B$175,"MBWAY_NAN",_CALC_ALLOC!$D$1:$D$175,"MAS_MGT",_CALC_ALLOC!$E$1:$E$175,"M2",_CALC_ALLOC!$F$1:$F$175,"ALT")</f>
        <v>0</v>
      </c>
      <c r="K36" s="19">
        <f t="shared" si="0"/>
        <v>0</v>
      </c>
      <c r="L36" s="22">
        <f>SUMIFS(_CALC_ALLOC!$AN$1:$AN$175,_CALC_ALLOC!$A$1:$A$175,"2026",_CALC_ALLOC!$B$1:$B$175,"MBWAY_NAN",_CALC_ALLOC!$D$1:$D$175,"MAS_MGT",_CALC_ALLOC!$E$1:$E$175,"M2",_CALC_ALLOC!$F$1:$F$175,"ALT")</f>
        <v>0</v>
      </c>
      <c r="M36" s="17">
        <f t="shared" si="1"/>
        <v>0</v>
      </c>
    </row>
    <row r="37" spans="2:13" outlineLevel="1" x14ac:dyDescent="0.45">
      <c r="B37" s="6" t="s">
        <v>48</v>
      </c>
      <c r="C37" s="18">
        <f>SUMIFS(_CALC_ALLOC!$G$1:$G$175,_CALC_ALLOC!$A$1:$A$175,"2026",_CALC_ALLOC!$B$1:$B$175,"MBWAY_BOR")</f>
        <v>0</v>
      </c>
      <c r="D37" s="19">
        <f>SUMIFS(_CALC_ALLOC!$I$1:$I$175,_CALC_ALLOC!$A$1:$A$175,"2026",_CALC_ALLOC!$B$1:$B$175,"MBWAY_BOR")</f>
        <v>0</v>
      </c>
      <c r="E37" s="19">
        <f>SUMIFS(_CALC_ALLOC!$AI$1:$AI$175,_CALC_ALLOC!$A$1:$A$175,"2026",_CALC_ALLOC!$B$1:$B$175,"MBWAY_BOR")</f>
        <v>0</v>
      </c>
      <c r="F37" s="19">
        <f>SUMIFS(_CALC_ALLOC!$AJ$1:$AJ$175,_CALC_ALLOC!$A$1:$A$175,"2026",_CALC_ALLOC!$B$1:$B$175,"MBWAY_BOR")</f>
        <v>0</v>
      </c>
      <c r="G37" s="19">
        <f>SUMIFS(_CALC_ALLOC!$AK$1:$AK$175,_CALC_ALLOC!$A$1:$A$175,"2026",_CALC_ALLOC!$B$1:$B$175,"MBWAY_BOR")</f>
        <v>0</v>
      </c>
      <c r="H37" s="19">
        <f>SUMIFS(_CALC_ALLOC!$AL$1:$AL$175,_CALC_ALLOC!$A$1:$A$175,"2026",_CALC_ALLOC!$B$1:$B$175,"MBWAY_BOR")</f>
        <v>0</v>
      </c>
      <c r="I37" s="19">
        <f>SUMIFS(_CALC_ALLOC!$AR$1:$AR$175,_CALC_ALLOC!$A$1:$A$175,"2026",_CALC_ALLOC!$B$1:$B$175,"MBWAY_BOR")</f>
        <v>0</v>
      </c>
      <c r="J37" s="19">
        <f>SUMIFS(_CALC_ALLOC!$AM$1:$AM$175,_CALC_ALLOC!$A$1:$A$175,"2026",_CALC_ALLOC!$B$1:$B$175,"MBWAY_BOR")</f>
        <v>0</v>
      </c>
      <c r="K37" s="19">
        <f t="shared" si="0"/>
        <v>0</v>
      </c>
      <c r="L37" s="21">
        <f>SUMIFS(_CALC_ALLOC!$AN$1:$AN$175,_CALC_ALLOC!$A$1:$A$175,"2026",_CALC_ALLOC!$B$1:$B$175,"MBWAY_BOR")</f>
        <v>0</v>
      </c>
      <c r="M37" s="20">
        <f t="shared" si="1"/>
        <v>0</v>
      </c>
    </row>
    <row r="38" spans="2:13" outlineLevel="2" x14ac:dyDescent="0.45">
      <c r="B38" s="7" t="s">
        <v>41</v>
      </c>
      <c r="C38" s="16">
        <f>SUMIFS(_CALC_ALLOC!$G$1:$G$175,_CALC_ALLOC!$A$1:$A$175,"2026",_CALC_ALLOC!$B$1:$B$175,"MBWAY_BOR",_CALC_ALLOC!$D$1:$D$175,"BAC_MGT",_CALC_ALLOC!$E$1:$E$175,"B1",_CALC_ALLOC!$F$1:$F$175,"INIT")</f>
        <v>0</v>
      </c>
      <c r="D38" s="15">
        <f>SUMIFS(_CALC_ALLOC!$I$1:$I$175,_CALC_ALLOC!$A$1:$A$175,"2026",_CALC_ALLOC!$B$1:$B$175,"MBWAY_BOR",_CALC_ALLOC!$D$1:$D$175,"BAC_MGT",_CALC_ALLOC!$E$1:$E$175,"B1",_CALC_ALLOC!$F$1:$F$175,"INIT")</f>
        <v>0</v>
      </c>
      <c r="E38" s="15">
        <f>SUMIFS(_CALC_ALLOC!$AI$1:$AI$175,_CALC_ALLOC!$A$1:$A$175,"2026",_CALC_ALLOC!$B$1:$B$175,"MBWAY_BOR",_CALC_ALLOC!$D$1:$D$175,"BAC_MGT",_CALC_ALLOC!$E$1:$E$175,"B1",_CALC_ALLOC!$F$1:$F$175,"INIT")</f>
        <v>0</v>
      </c>
      <c r="F38" s="15">
        <f>SUMIFS(_CALC_ALLOC!$AJ$1:$AJ$175,_CALC_ALLOC!$A$1:$A$175,"2026",_CALC_ALLOC!$B$1:$B$175,"MBWAY_BOR",_CALC_ALLOC!$D$1:$D$175,"BAC_MGT",_CALC_ALLOC!$E$1:$E$175,"B1",_CALC_ALLOC!$F$1:$F$175,"INIT")</f>
        <v>0</v>
      </c>
      <c r="G38" s="15">
        <f>SUMIFS(_CALC_ALLOC!$AK$1:$AK$175,_CALC_ALLOC!$A$1:$A$175,"2026",_CALC_ALLOC!$B$1:$B$175,"MBWAY_BOR",_CALC_ALLOC!$D$1:$D$175,"BAC_MGT",_CALC_ALLOC!$E$1:$E$175,"B1",_CALC_ALLOC!$F$1:$F$175,"INIT")</f>
        <v>0</v>
      </c>
      <c r="H38" s="15">
        <f>SUMIFS(_CALC_ALLOC!$AL$1:$AL$175,_CALC_ALLOC!$A$1:$A$175,"2026",_CALC_ALLOC!$B$1:$B$175,"MBWAY_BOR",_CALC_ALLOC!$D$1:$D$175,"BAC_MGT",_CALC_ALLOC!$E$1:$E$175,"B1",_CALC_ALLOC!$F$1:$F$175,"INIT")</f>
        <v>0</v>
      </c>
      <c r="I38" s="15">
        <f>SUMIFS(_CALC_ALLOC!$AR$1:$AR$175,_CALC_ALLOC!$A$1:$A$175,"2026",_CALC_ALLOC!$B$1:$B$175,"MBWAY_BOR",_CALC_ALLOC!$D$1:$D$175,"BAC_MGT",_CALC_ALLOC!$E$1:$E$175,"B1",_CALC_ALLOC!$F$1:$F$175,"INIT")</f>
        <v>0</v>
      </c>
      <c r="J38" s="15">
        <f>SUMIFS(_CALC_ALLOC!$AM$1:$AM$175,_CALC_ALLOC!$A$1:$A$175,"2026",_CALC_ALLOC!$B$1:$B$175,"MBWAY_BOR",_CALC_ALLOC!$D$1:$D$175,"BAC_MGT",_CALC_ALLOC!$E$1:$E$175,"B1",_CALC_ALLOC!$F$1:$F$175,"INIT")</f>
        <v>0</v>
      </c>
      <c r="K38" s="19">
        <f t="shared" si="0"/>
        <v>0</v>
      </c>
      <c r="L38" s="22">
        <f>SUMIFS(_CALC_ALLOC!$AN$1:$AN$175,_CALC_ALLOC!$A$1:$A$175,"2026",_CALC_ALLOC!$B$1:$B$175,"MBWAY_BOR",_CALC_ALLOC!$D$1:$D$175,"BAC_MGT",_CALC_ALLOC!$E$1:$E$175,"B1",_CALC_ALLOC!$F$1:$F$175,"INIT")</f>
        <v>0</v>
      </c>
      <c r="M38" s="17">
        <f t="shared" si="1"/>
        <v>0</v>
      </c>
    </row>
    <row r="39" spans="2:13" outlineLevel="2" x14ac:dyDescent="0.45">
      <c r="B39" s="7" t="s">
        <v>42</v>
      </c>
      <c r="C39" s="16">
        <f>SUMIFS(_CALC_ALLOC!$G$1:$G$175,_CALC_ALLOC!$A$1:$A$175,"2026",_CALC_ALLOC!$B$1:$B$175,"MBWAY_BOR",_CALC_ALLOC!$D$1:$D$175,"BAC_MGT",_CALC_ALLOC!$E$1:$E$175,"B2",_CALC_ALLOC!$F$1:$F$175,"ALT")</f>
        <v>0</v>
      </c>
      <c r="D39" s="15">
        <f>SUMIFS(_CALC_ALLOC!$I$1:$I$175,_CALC_ALLOC!$A$1:$A$175,"2026",_CALC_ALLOC!$B$1:$B$175,"MBWAY_BOR",_CALC_ALLOC!$D$1:$D$175,"BAC_MGT",_CALC_ALLOC!$E$1:$E$175,"B2",_CALC_ALLOC!$F$1:$F$175,"ALT")</f>
        <v>0</v>
      </c>
      <c r="E39" s="15">
        <f>SUMIFS(_CALC_ALLOC!$AI$1:$AI$175,_CALC_ALLOC!$A$1:$A$175,"2026",_CALC_ALLOC!$B$1:$B$175,"MBWAY_BOR",_CALC_ALLOC!$D$1:$D$175,"BAC_MGT",_CALC_ALLOC!$E$1:$E$175,"B2",_CALC_ALLOC!$F$1:$F$175,"ALT")</f>
        <v>0</v>
      </c>
      <c r="F39" s="15">
        <f>SUMIFS(_CALC_ALLOC!$AJ$1:$AJ$175,_CALC_ALLOC!$A$1:$A$175,"2026",_CALC_ALLOC!$B$1:$B$175,"MBWAY_BOR",_CALC_ALLOC!$D$1:$D$175,"BAC_MGT",_CALC_ALLOC!$E$1:$E$175,"B2",_CALC_ALLOC!$F$1:$F$175,"ALT")</f>
        <v>0</v>
      </c>
      <c r="G39" s="15">
        <f>SUMIFS(_CALC_ALLOC!$AK$1:$AK$175,_CALC_ALLOC!$A$1:$A$175,"2026",_CALC_ALLOC!$B$1:$B$175,"MBWAY_BOR",_CALC_ALLOC!$D$1:$D$175,"BAC_MGT",_CALC_ALLOC!$E$1:$E$175,"B2",_CALC_ALLOC!$F$1:$F$175,"ALT")</f>
        <v>0</v>
      </c>
      <c r="H39" s="15">
        <f>SUMIFS(_CALC_ALLOC!$AL$1:$AL$175,_CALC_ALLOC!$A$1:$A$175,"2026",_CALC_ALLOC!$B$1:$B$175,"MBWAY_BOR",_CALC_ALLOC!$D$1:$D$175,"BAC_MGT",_CALC_ALLOC!$E$1:$E$175,"B2",_CALC_ALLOC!$F$1:$F$175,"ALT")</f>
        <v>0</v>
      </c>
      <c r="I39" s="15">
        <f>SUMIFS(_CALC_ALLOC!$AR$1:$AR$175,_CALC_ALLOC!$A$1:$A$175,"2026",_CALC_ALLOC!$B$1:$B$175,"MBWAY_BOR",_CALC_ALLOC!$D$1:$D$175,"BAC_MGT",_CALC_ALLOC!$E$1:$E$175,"B2",_CALC_ALLOC!$F$1:$F$175,"ALT")</f>
        <v>0</v>
      </c>
      <c r="J39" s="15">
        <f>SUMIFS(_CALC_ALLOC!$AM$1:$AM$175,_CALC_ALLOC!$A$1:$A$175,"2026",_CALC_ALLOC!$B$1:$B$175,"MBWAY_BOR",_CALC_ALLOC!$D$1:$D$175,"BAC_MGT",_CALC_ALLOC!$E$1:$E$175,"B2",_CALC_ALLOC!$F$1:$F$175,"ALT")</f>
        <v>0</v>
      </c>
      <c r="K39" s="19">
        <f t="shared" si="0"/>
        <v>0</v>
      </c>
      <c r="L39" s="22">
        <f>SUMIFS(_CALC_ALLOC!$AN$1:$AN$175,_CALC_ALLOC!$A$1:$A$175,"2026",_CALC_ALLOC!$B$1:$B$175,"MBWAY_BOR",_CALC_ALLOC!$D$1:$D$175,"BAC_MGT",_CALC_ALLOC!$E$1:$E$175,"B2",_CALC_ALLOC!$F$1:$F$175,"ALT")</f>
        <v>0</v>
      </c>
      <c r="M39" s="17">
        <f t="shared" si="1"/>
        <v>0</v>
      </c>
    </row>
    <row r="40" spans="2:13" outlineLevel="2" x14ac:dyDescent="0.45">
      <c r="B40" s="7" t="s">
        <v>43</v>
      </c>
      <c r="C40" s="16">
        <f>SUMIFS(_CALC_ALLOC!$G$1:$G$175,_CALC_ALLOC!$A$1:$A$175,"2026",_CALC_ALLOC!$B$1:$B$175,"MBWAY_BOR",_CALC_ALLOC!$D$1:$D$175,"BAC_MGT",_CALC_ALLOC!$E$1:$E$175,"B3",_CALC_ALLOC!$F$1:$F$175,"ALT")</f>
        <v>0</v>
      </c>
      <c r="D40" s="15">
        <f>SUMIFS(_CALC_ALLOC!$I$1:$I$175,_CALC_ALLOC!$A$1:$A$175,"2026",_CALC_ALLOC!$B$1:$B$175,"MBWAY_BOR",_CALC_ALLOC!$D$1:$D$175,"BAC_MGT",_CALC_ALLOC!$E$1:$E$175,"B3",_CALC_ALLOC!$F$1:$F$175,"ALT")</f>
        <v>0</v>
      </c>
      <c r="E40" s="15">
        <f>SUMIFS(_CALC_ALLOC!$AI$1:$AI$175,_CALC_ALLOC!$A$1:$A$175,"2026",_CALC_ALLOC!$B$1:$B$175,"MBWAY_BOR",_CALC_ALLOC!$D$1:$D$175,"BAC_MGT",_CALC_ALLOC!$E$1:$E$175,"B3",_CALC_ALLOC!$F$1:$F$175,"ALT")</f>
        <v>0</v>
      </c>
      <c r="F40" s="15">
        <f>SUMIFS(_CALC_ALLOC!$AJ$1:$AJ$175,_CALC_ALLOC!$A$1:$A$175,"2026",_CALC_ALLOC!$B$1:$B$175,"MBWAY_BOR",_CALC_ALLOC!$D$1:$D$175,"BAC_MGT",_CALC_ALLOC!$E$1:$E$175,"B3",_CALC_ALLOC!$F$1:$F$175,"ALT")</f>
        <v>0</v>
      </c>
      <c r="G40" s="15">
        <f>SUMIFS(_CALC_ALLOC!$AK$1:$AK$175,_CALC_ALLOC!$A$1:$A$175,"2026",_CALC_ALLOC!$B$1:$B$175,"MBWAY_BOR",_CALC_ALLOC!$D$1:$D$175,"BAC_MGT",_CALC_ALLOC!$E$1:$E$175,"B3",_CALC_ALLOC!$F$1:$F$175,"ALT")</f>
        <v>0</v>
      </c>
      <c r="H40" s="15">
        <f>SUMIFS(_CALC_ALLOC!$AL$1:$AL$175,_CALC_ALLOC!$A$1:$A$175,"2026",_CALC_ALLOC!$B$1:$B$175,"MBWAY_BOR",_CALC_ALLOC!$D$1:$D$175,"BAC_MGT",_CALC_ALLOC!$E$1:$E$175,"B3",_CALC_ALLOC!$F$1:$F$175,"ALT")</f>
        <v>0</v>
      </c>
      <c r="I40" s="15">
        <f>SUMIFS(_CALC_ALLOC!$AR$1:$AR$175,_CALC_ALLOC!$A$1:$A$175,"2026",_CALC_ALLOC!$B$1:$B$175,"MBWAY_BOR",_CALC_ALLOC!$D$1:$D$175,"BAC_MGT",_CALC_ALLOC!$E$1:$E$175,"B3",_CALC_ALLOC!$F$1:$F$175,"ALT")</f>
        <v>0</v>
      </c>
      <c r="J40" s="15">
        <f>SUMIFS(_CALC_ALLOC!$AM$1:$AM$175,_CALC_ALLOC!$A$1:$A$175,"2026",_CALC_ALLOC!$B$1:$B$175,"MBWAY_BOR",_CALC_ALLOC!$D$1:$D$175,"BAC_MGT",_CALC_ALLOC!$E$1:$E$175,"B3",_CALC_ALLOC!$F$1:$F$175,"ALT")</f>
        <v>0</v>
      </c>
      <c r="K40" s="19">
        <f t="shared" si="0"/>
        <v>0</v>
      </c>
      <c r="L40" s="22">
        <f>SUMIFS(_CALC_ALLOC!$AN$1:$AN$175,_CALC_ALLOC!$A$1:$A$175,"2026",_CALC_ALLOC!$B$1:$B$175,"MBWAY_BOR",_CALC_ALLOC!$D$1:$D$175,"BAC_MGT",_CALC_ALLOC!$E$1:$E$175,"B3",_CALC_ALLOC!$F$1:$F$175,"ALT")</f>
        <v>0</v>
      </c>
      <c r="M40" s="17">
        <f t="shared" si="1"/>
        <v>0</v>
      </c>
    </row>
    <row r="41" spans="2:13" outlineLevel="2" x14ac:dyDescent="0.45">
      <c r="B41" s="7" t="s">
        <v>44</v>
      </c>
      <c r="C41" s="16">
        <f>SUMIFS(_CALC_ALLOC!$G$1:$G$175,_CALC_ALLOC!$A$1:$A$175,"2026",_CALC_ALLOC!$B$1:$B$175,"MBWAY_BOR",_CALC_ALLOC!$D$1:$D$175,"MAS_MGT",_CALC_ALLOC!$E$1:$E$175,"M1",_CALC_ALLOC!$F$1:$F$175,"ALT")</f>
        <v>0</v>
      </c>
      <c r="D41" s="15">
        <f>SUMIFS(_CALC_ALLOC!$I$1:$I$175,_CALC_ALLOC!$A$1:$A$175,"2026",_CALC_ALLOC!$B$1:$B$175,"MBWAY_BOR",_CALC_ALLOC!$D$1:$D$175,"MAS_MGT",_CALC_ALLOC!$E$1:$E$175,"M1",_CALC_ALLOC!$F$1:$F$175,"ALT")</f>
        <v>0</v>
      </c>
      <c r="E41" s="15">
        <f>SUMIFS(_CALC_ALLOC!$AI$1:$AI$175,_CALC_ALLOC!$A$1:$A$175,"2026",_CALC_ALLOC!$B$1:$B$175,"MBWAY_BOR",_CALC_ALLOC!$D$1:$D$175,"MAS_MGT",_CALC_ALLOC!$E$1:$E$175,"M1",_CALC_ALLOC!$F$1:$F$175,"ALT")</f>
        <v>0</v>
      </c>
      <c r="F41" s="15">
        <f>SUMIFS(_CALC_ALLOC!$AJ$1:$AJ$175,_CALC_ALLOC!$A$1:$A$175,"2026",_CALC_ALLOC!$B$1:$B$175,"MBWAY_BOR",_CALC_ALLOC!$D$1:$D$175,"MAS_MGT",_CALC_ALLOC!$E$1:$E$175,"M1",_CALC_ALLOC!$F$1:$F$175,"ALT")</f>
        <v>0</v>
      </c>
      <c r="G41" s="15">
        <f>SUMIFS(_CALC_ALLOC!$AK$1:$AK$175,_CALC_ALLOC!$A$1:$A$175,"2026",_CALC_ALLOC!$B$1:$B$175,"MBWAY_BOR",_CALC_ALLOC!$D$1:$D$175,"MAS_MGT",_CALC_ALLOC!$E$1:$E$175,"M1",_CALC_ALLOC!$F$1:$F$175,"ALT")</f>
        <v>0</v>
      </c>
      <c r="H41" s="15">
        <f>SUMIFS(_CALC_ALLOC!$AL$1:$AL$175,_CALC_ALLOC!$A$1:$A$175,"2026",_CALC_ALLOC!$B$1:$B$175,"MBWAY_BOR",_CALC_ALLOC!$D$1:$D$175,"MAS_MGT",_CALC_ALLOC!$E$1:$E$175,"M1",_CALC_ALLOC!$F$1:$F$175,"ALT")</f>
        <v>0</v>
      </c>
      <c r="I41" s="15">
        <f>SUMIFS(_CALC_ALLOC!$AR$1:$AR$175,_CALC_ALLOC!$A$1:$A$175,"2026",_CALC_ALLOC!$B$1:$B$175,"MBWAY_BOR",_CALC_ALLOC!$D$1:$D$175,"MAS_MGT",_CALC_ALLOC!$E$1:$E$175,"M1",_CALC_ALLOC!$F$1:$F$175,"ALT")</f>
        <v>0</v>
      </c>
      <c r="J41" s="15">
        <f>SUMIFS(_CALC_ALLOC!$AM$1:$AM$175,_CALC_ALLOC!$A$1:$A$175,"2026",_CALC_ALLOC!$B$1:$B$175,"MBWAY_BOR",_CALC_ALLOC!$D$1:$D$175,"MAS_MGT",_CALC_ALLOC!$E$1:$E$175,"M1",_CALC_ALLOC!$F$1:$F$175,"ALT")</f>
        <v>0</v>
      </c>
      <c r="K41" s="19">
        <f t="shared" si="0"/>
        <v>0</v>
      </c>
      <c r="L41" s="22">
        <f>SUMIFS(_CALC_ALLOC!$AN$1:$AN$175,_CALC_ALLOC!$A$1:$A$175,"2026",_CALC_ALLOC!$B$1:$B$175,"MBWAY_BOR",_CALC_ALLOC!$D$1:$D$175,"MAS_MGT",_CALC_ALLOC!$E$1:$E$175,"M1",_CALC_ALLOC!$F$1:$F$175,"ALT")</f>
        <v>0</v>
      </c>
      <c r="M41" s="17">
        <f t="shared" si="1"/>
        <v>0</v>
      </c>
    </row>
    <row r="42" spans="2:13" outlineLevel="2" x14ac:dyDescent="0.45">
      <c r="B42" s="7" t="s">
        <v>45</v>
      </c>
      <c r="C42" s="16">
        <f>SUMIFS(_CALC_ALLOC!$G$1:$G$175,_CALC_ALLOC!$A$1:$A$175,"2026",_CALC_ALLOC!$B$1:$B$175,"MBWAY_BOR",_CALC_ALLOC!$D$1:$D$175,"MAS_MGT",_CALC_ALLOC!$E$1:$E$175,"M2",_CALC_ALLOC!$F$1:$F$175,"ALT")</f>
        <v>0</v>
      </c>
      <c r="D42" s="15">
        <f>SUMIFS(_CALC_ALLOC!$I$1:$I$175,_CALC_ALLOC!$A$1:$A$175,"2026",_CALC_ALLOC!$B$1:$B$175,"MBWAY_BOR",_CALC_ALLOC!$D$1:$D$175,"MAS_MGT",_CALC_ALLOC!$E$1:$E$175,"M2",_CALC_ALLOC!$F$1:$F$175,"ALT")</f>
        <v>0</v>
      </c>
      <c r="E42" s="15">
        <f>SUMIFS(_CALC_ALLOC!$AI$1:$AI$175,_CALC_ALLOC!$A$1:$A$175,"2026",_CALC_ALLOC!$B$1:$B$175,"MBWAY_BOR",_CALC_ALLOC!$D$1:$D$175,"MAS_MGT",_CALC_ALLOC!$E$1:$E$175,"M2",_CALC_ALLOC!$F$1:$F$175,"ALT")</f>
        <v>0</v>
      </c>
      <c r="F42" s="15">
        <f>SUMIFS(_CALC_ALLOC!$AJ$1:$AJ$175,_CALC_ALLOC!$A$1:$A$175,"2026",_CALC_ALLOC!$B$1:$B$175,"MBWAY_BOR",_CALC_ALLOC!$D$1:$D$175,"MAS_MGT",_CALC_ALLOC!$E$1:$E$175,"M2",_CALC_ALLOC!$F$1:$F$175,"ALT")</f>
        <v>0</v>
      </c>
      <c r="G42" s="15">
        <f>SUMIFS(_CALC_ALLOC!$AK$1:$AK$175,_CALC_ALLOC!$A$1:$A$175,"2026",_CALC_ALLOC!$B$1:$B$175,"MBWAY_BOR",_CALC_ALLOC!$D$1:$D$175,"MAS_MGT",_CALC_ALLOC!$E$1:$E$175,"M2",_CALC_ALLOC!$F$1:$F$175,"ALT")</f>
        <v>0</v>
      </c>
      <c r="H42" s="15">
        <f>SUMIFS(_CALC_ALLOC!$AL$1:$AL$175,_CALC_ALLOC!$A$1:$A$175,"2026",_CALC_ALLOC!$B$1:$B$175,"MBWAY_BOR",_CALC_ALLOC!$D$1:$D$175,"MAS_MGT",_CALC_ALLOC!$E$1:$E$175,"M2",_CALC_ALLOC!$F$1:$F$175,"ALT")</f>
        <v>0</v>
      </c>
      <c r="I42" s="15">
        <f>SUMIFS(_CALC_ALLOC!$AR$1:$AR$175,_CALC_ALLOC!$A$1:$A$175,"2026",_CALC_ALLOC!$B$1:$B$175,"MBWAY_BOR",_CALC_ALLOC!$D$1:$D$175,"MAS_MGT",_CALC_ALLOC!$E$1:$E$175,"M2",_CALC_ALLOC!$F$1:$F$175,"ALT")</f>
        <v>0</v>
      </c>
      <c r="J42" s="15">
        <f>SUMIFS(_CALC_ALLOC!$AM$1:$AM$175,_CALC_ALLOC!$A$1:$A$175,"2026",_CALC_ALLOC!$B$1:$B$175,"MBWAY_BOR",_CALC_ALLOC!$D$1:$D$175,"MAS_MGT",_CALC_ALLOC!$E$1:$E$175,"M2",_CALC_ALLOC!$F$1:$F$175,"ALT")</f>
        <v>0</v>
      </c>
      <c r="K42" s="19">
        <f t="shared" si="0"/>
        <v>0</v>
      </c>
      <c r="L42" s="22">
        <f>SUMIFS(_CALC_ALLOC!$AN$1:$AN$175,_CALC_ALLOC!$A$1:$A$175,"2026",_CALC_ALLOC!$B$1:$B$175,"MBWAY_BOR",_CALC_ALLOC!$D$1:$D$175,"MAS_MGT",_CALC_ALLOC!$E$1:$E$175,"M2",_CALC_ALLOC!$F$1:$F$175,"ALT")</f>
        <v>0</v>
      </c>
      <c r="M42" s="17">
        <f t="shared" si="1"/>
        <v>0</v>
      </c>
    </row>
    <row r="43" spans="2:13" x14ac:dyDescent="0.45">
      <c r="B43" s="8" t="s">
        <v>1</v>
      </c>
      <c r="C43" s="18">
        <f>SUMIFS(_CALC_ALLOC!$G$1:$G$175,_CALC_ALLOC!$A$1:$A$175,"2026",_CALC_ALLOC!$C$1:$C$175,"ISCOM")</f>
        <v>0</v>
      </c>
      <c r="D43" s="19">
        <f>SUMIFS(_CALC_ALLOC!$I$1:$I$175,_CALC_ALLOC!$A$1:$A$175,"2026",_CALC_ALLOC!$C$1:$C$175,"ISCOM")</f>
        <v>0</v>
      </c>
      <c r="E43" s="19">
        <f>SUMIFS(_CALC_ALLOC!$AI$1:$AI$175,_CALC_ALLOC!$A$1:$A$175,"2026",_CALC_ALLOC!$C$1:$C$175,"ISCOM")</f>
        <v>0</v>
      </c>
      <c r="F43" s="19">
        <f>SUMIFS(_CALC_ALLOC!$AJ$1:$AJ$175,_CALC_ALLOC!$A$1:$A$175,"2026",_CALC_ALLOC!$C$1:$C$175,"ISCOM")</f>
        <v>0</v>
      </c>
      <c r="G43" s="19">
        <f>SUMIFS(_CALC_ALLOC!$AK$1:$AK$175,_CALC_ALLOC!$A$1:$A$175,"2026",_CALC_ALLOC!$C$1:$C$175,"ISCOM")</f>
        <v>0</v>
      </c>
      <c r="H43" s="19">
        <f>SUMIFS(_CALC_ALLOC!$AL$1:$AL$175,_CALC_ALLOC!$A$1:$A$175,"2026",_CALC_ALLOC!$C$1:$C$175,"ISCOM")</f>
        <v>0</v>
      </c>
      <c r="I43" s="19">
        <f>SUMIFS(_CALC_ALLOC!$AR$1:$AR$175,_CALC_ALLOC!$A$1:$A$175,"2026",_CALC_ALLOC!$C$1:$C$175,"ISCOM")</f>
        <v>0</v>
      </c>
      <c r="J43" s="19">
        <f>SUMIFS(_CALC_ALLOC!$AM$1:$AM$175,_CALC_ALLOC!$A$1:$A$175,"2026",_CALC_ALLOC!$C$1:$C$175,"ISCOM")</f>
        <v>0</v>
      </c>
      <c r="K43" s="19">
        <f t="shared" si="0"/>
        <v>0</v>
      </c>
      <c r="L43" s="21">
        <f>SUMIFS(_CALC_ALLOC!$AN$1:$AN$175,_CALC_ALLOC!$A$1:$A$175,"2026",_CALC_ALLOC!$C$1:$C$175,"ISCOM")</f>
        <v>0</v>
      </c>
      <c r="M43" s="20">
        <f t="shared" si="1"/>
        <v>0</v>
      </c>
    </row>
    <row r="44" spans="2:13" outlineLevel="1" collapsed="1" x14ac:dyDescent="0.45">
      <c r="B44" s="6" t="s">
        <v>49</v>
      </c>
      <c r="C44" s="18">
        <f>SUMIFS(_CALC_ALLOC!$G$1:$G$175,_CALC_ALLOC!$A$1:$A$175,"2026",_CALC_ALLOC!$B$1:$B$175,"ISCOM_PAR")</f>
        <v>0</v>
      </c>
      <c r="D44" s="19">
        <f>SUMIFS(_CALC_ALLOC!$I$1:$I$175,_CALC_ALLOC!$A$1:$A$175,"2026",_CALC_ALLOC!$B$1:$B$175,"ISCOM_PAR")</f>
        <v>0</v>
      </c>
      <c r="E44" s="19">
        <f>SUMIFS(_CALC_ALLOC!$AI$1:$AI$175,_CALC_ALLOC!$A$1:$A$175,"2026",_CALC_ALLOC!$B$1:$B$175,"ISCOM_PAR")</f>
        <v>0</v>
      </c>
      <c r="F44" s="19">
        <f>SUMIFS(_CALC_ALLOC!$AJ$1:$AJ$175,_CALC_ALLOC!$A$1:$A$175,"2026",_CALC_ALLOC!$B$1:$B$175,"ISCOM_PAR")</f>
        <v>0</v>
      </c>
      <c r="G44" s="19">
        <f>SUMIFS(_CALC_ALLOC!$AK$1:$AK$175,_CALC_ALLOC!$A$1:$A$175,"2026",_CALC_ALLOC!$B$1:$B$175,"ISCOM_PAR")</f>
        <v>0</v>
      </c>
      <c r="H44" s="19">
        <f>SUMIFS(_CALC_ALLOC!$AL$1:$AL$175,_CALC_ALLOC!$A$1:$A$175,"2026",_CALC_ALLOC!$B$1:$B$175,"ISCOM_PAR")</f>
        <v>0</v>
      </c>
      <c r="I44" s="19">
        <f>SUMIFS(_CALC_ALLOC!$AR$1:$AR$175,_CALC_ALLOC!$A$1:$A$175,"2026",_CALC_ALLOC!$B$1:$B$175,"ISCOM_PAR")</f>
        <v>0</v>
      </c>
      <c r="J44" s="19">
        <f>SUMIFS(_CALC_ALLOC!$AM$1:$AM$175,_CALC_ALLOC!$A$1:$A$175,"2026",_CALC_ALLOC!$B$1:$B$175,"ISCOM_PAR")</f>
        <v>0</v>
      </c>
      <c r="K44" s="19">
        <f t="shared" si="0"/>
        <v>0</v>
      </c>
      <c r="L44" s="21">
        <f>SUMIFS(_CALC_ALLOC!$AN$1:$AN$175,_CALC_ALLOC!$A$1:$A$175,"2026",_CALC_ALLOC!$B$1:$B$175,"ISCOM_PAR")</f>
        <v>0</v>
      </c>
      <c r="M44" s="20">
        <f t="shared" si="1"/>
        <v>0</v>
      </c>
    </row>
    <row r="45" spans="2:13" outlineLevel="2" x14ac:dyDescent="0.45">
      <c r="B45" s="7" t="s">
        <v>50</v>
      </c>
      <c r="C45" s="16">
        <f>SUMIFS(_CALC_ALLOC!$G$1:$G$175,_CALC_ALLOC!$A$1:$A$175,"2026",_CALC_ALLOC!$B$1:$B$175,"ISCOM_PAR",_CALC_ALLOC!$D$1:$D$175,"BAC_COM",_CALC_ALLOC!$E$1:$E$175,"B1",_CALC_ALLOC!$F$1:$F$175,"INIT")</f>
        <v>0</v>
      </c>
      <c r="D45" s="15">
        <f>SUMIFS(_CALC_ALLOC!$I$1:$I$175,_CALC_ALLOC!$A$1:$A$175,"2026",_CALC_ALLOC!$B$1:$B$175,"ISCOM_PAR",_CALC_ALLOC!$D$1:$D$175,"BAC_COM",_CALC_ALLOC!$E$1:$E$175,"B1",_CALC_ALLOC!$F$1:$F$175,"INIT")</f>
        <v>0</v>
      </c>
      <c r="E45" s="15">
        <f>SUMIFS(_CALC_ALLOC!$AI$1:$AI$175,_CALC_ALLOC!$A$1:$A$175,"2026",_CALC_ALLOC!$B$1:$B$175,"ISCOM_PAR",_CALC_ALLOC!$D$1:$D$175,"BAC_COM",_CALC_ALLOC!$E$1:$E$175,"B1",_CALC_ALLOC!$F$1:$F$175,"INIT")</f>
        <v>0</v>
      </c>
      <c r="F45" s="15">
        <f>SUMIFS(_CALC_ALLOC!$AJ$1:$AJ$175,_CALC_ALLOC!$A$1:$A$175,"2026",_CALC_ALLOC!$B$1:$B$175,"ISCOM_PAR",_CALC_ALLOC!$D$1:$D$175,"BAC_COM",_CALC_ALLOC!$E$1:$E$175,"B1",_CALC_ALLOC!$F$1:$F$175,"INIT")</f>
        <v>0</v>
      </c>
      <c r="G45" s="15">
        <f>SUMIFS(_CALC_ALLOC!$AK$1:$AK$175,_CALC_ALLOC!$A$1:$A$175,"2026",_CALC_ALLOC!$B$1:$B$175,"ISCOM_PAR",_CALC_ALLOC!$D$1:$D$175,"BAC_COM",_CALC_ALLOC!$E$1:$E$175,"B1",_CALC_ALLOC!$F$1:$F$175,"INIT")</f>
        <v>0</v>
      </c>
      <c r="H45" s="15">
        <f>SUMIFS(_CALC_ALLOC!$AL$1:$AL$175,_CALC_ALLOC!$A$1:$A$175,"2026",_CALC_ALLOC!$B$1:$B$175,"ISCOM_PAR",_CALC_ALLOC!$D$1:$D$175,"BAC_COM",_CALC_ALLOC!$E$1:$E$175,"B1",_CALC_ALLOC!$F$1:$F$175,"INIT")</f>
        <v>0</v>
      </c>
      <c r="I45" s="15">
        <f>SUMIFS(_CALC_ALLOC!$AR$1:$AR$175,_CALC_ALLOC!$A$1:$A$175,"2026",_CALC_ALLOC!$B$1:$B$175,"ISCOM_PAR",_CALC_ALLOC!$D$1:$D$175,"BAC_COM",_CALC_ALLOC!$E$1:$E$175,"B1",_CALC_ALLOC!$F$1:$F$175,"INIT")</f>
        <v>0</v>
      </c>
      <c r="J45" s="15">
        <f>SUMIFS(_CALC_ALLOC!$AM$1:$AM$175,_CALC_ALLOC!$A$1:$A$175,"2026",_CALC_ALLOC!$B$1:$B$175,"ISCOM_PAR",_CALC_ALLOC!$D$1:$D$175,"BAC_COM",_CALC_ALLOC!$E$1:$E$175,"B1",_CALC_ALLOC!$F$1:$F$175,"INIT")</f>
        <v>0</v>
      </c>
      <c r="K45" s="19">
        <f t="shared" si="0"/>
        <v>0</v>
      </c>
      <c r="L45" s="22">
        <f>SUMIFS(_CALC_ALLOC!$AN$1:$AN$175,_CALC_ALLOC!$A$1:$A$175,"2026",_CALC_ALLOC!$B$1:$B$175,"ISCOM_PAR",_CALC_ALLOC!$D$1:$D$175,"BAC_COM",_CALC_ALLOC!$E$1:$E$175,"B1",_CALC_ALLOC!$F$1:$F$175,"INIT")</f>
        <v>0</v>
      </c>
      <c r="M45" s="17">
        <f t="shared" si="1"/>
        <v>0</v>
      </c>
    </row>
    <row r="46" spans="2:13" outlineLevel="2" x14ac:dyDescent="0.45">
      <c r="B46" s="7" t="s">
        <v>51</v>
      </c>
      <c r="C46" s="16">
        <f>SUMIFS(_CALC_ALLOC!$G$1:$G$175,_CALC_ALLOC!$A$1:$A$175,"2026",_CALC_ALLOC!$B$1:$B$175,"ISCOM_PAR",_CALC_ALLOC!$D$1:$D$175,"BAC_COM",_CALC_ALLOC!$E$1:$E$175,"B2",_CALC_ALLOC!$F$1:$F$175,"ALT")</f>
        <v>0</v>
      </c>
      <c r="D46" s="15">
        <f>SUMIFS(_CALC_ALLOC!$I$1:$I$175,_CALC_ALLOC!$A$1:$A$175,"2026",_CALC_ALLOC!$B$1:$B$175,"ISCOM_PAR",_CALC_ALLOC!$D$1:$D$175,"BAC_COM",_CALC_ALLOC!$E$1:$E$175,"B2",_CALC_ALLOC!$F$1:$F$175,"ALT")</f>
        <v>0</v>
      </c>
      <c r="E46" s="15">
        <f>SUMIFS(_CALC_ALLOC!$AI$1:$AI$175,_CALC_ALLOC!$A$1:$A$175,"2026",_CALC_ALLOC!$B$1:$B$175,"ISCOM_PAR",_CALC_ALLOC!$D$1:$D$175,"BAC_COM",_CALC_ALLOC!$E$1:$E$175,"B2",_CALC_ALLOC!$F$1:$F$175,"ALT")</f>
        <v>0</v>
      </c>
      <c r="F46" s="15">
        <f>SUMIFS(_CALC_ALLOC!$AJ$1:$AJ$175,_CALC_ALLOC!$A$1:$A$175,"2026",_CALC_ALLOC!$B$1:$B$175,"ISCOM_PAR",_CALC_ALLOC!$D$1:$D$175,"BAC_COM",_CALC_ALLOC!$E$1:$E$175,"B2",_CALC_ALLOC!$F$1:$F$175,"ALT")</f>
        <v>0</v>
      </c>
      <c r="G46" s="15">
        <f>SUMIFS(_CALC_ALLOC!$AK$1:$AK$175,_CALC_ALLOC!$A$1:$A$175,"2026",_CALC_ALLOC!$B$1:$B$175,"ISCOM_PAR",_CALC_ALLOC!$D$1:$D$175,"BAC_COM",_CALC_ALLOC!$E$1:$E$175,"B2",_CALC_ALLOC!$F$1:$F$175,"ALT")</f>
        <v>0</v>
      </c>
      <c r="H46" s="15">
        <f>SUMIFS(_CALC_ALLOC!$AL$1:$AL$175,_CALC_ALLOC!$A$1:$A$175,"2026",_CALC_ALLOC!$B$1:$B$175,"ISCOM_PAR",_CALC_ALLOC!$D$1:$D$175,"BAC_COM",_CALC_ALLOC!$E$1:$E$175,"B2",_CALC_ALLOC!$F$1:$F$175,"ALT")</f>
        <v>0</v>
      </c>
      <c r="I46" s="15">
        <f>SUMIFS(_CALC_ALLOC!$AR$1:$AR$175,_CALC_ALLOC!$A$1:$A$175,"2026",_CALC_ALLOC!$B$1:$B$175,"ISCOM_PAR",_CALC_ALLOC!$D$1:$D$175,"BAC_COM",_CALC_ALLOC!$E$1:$E$175,"B2",_CALC_ALLOC!$F$1:$F$175,"ALT")</f>
        <v>0</v>
      </c>
      <c r="J46" s="15">
        <f>SUMIFS(_CALC_ALLOC!$AM$1:$AM$175,_CALC_ALLOC!$A$1:$A$175,"2026",_CALC_ALLOC!$B$1:$B$175,"ISCOM_PAR",_CALC_ALLOC!$D$1:$D$175,"BAC_COM",_CALC_ALLOC!$E$1:$E$175,"B2",_CALC_ALLOC!$F$1:$F$175,"ALT")</f>
        <v>0</v>
      </c>
      <c r="K46" s="19">
        <f t="shared" si="0"/>
        <v>0</v>
      </c>
      <c r="L46" s="22">
        <f>SUMIFS(_CALC_ALLOC!$AN$1:$AN$175,_CALC_ALLOC!$A$1:$A$175,"2026",_CALC_ALLOC!$B$1:$B$175,"ISCOM_PAR",_CALC_ALLOC!$D$1:$D$175,"BAC_COM",_CALC_ALLOC!$E$1:$E$175,"B2",_CALC_ALLOC!$F$1:$F$175,"ALT")</f>
        <v>0</v>
      </c>
      <c r="M46" s="17">
        <f t="shared" si="1"/>
        <v>0</v>
      </c>
    </row>
    <row r="47" spans="2:13" outlineLevel="2" x14ac:dyDescent="0.45">
      <c r="B47" s="7" t="s">
        <v>52</v>
      </c>
      <c r="C47" s="16">
        <f>SUMIFS(_CALC_ALLOC!$G$1:$G$175,_CALC_ALLOC!$A$1:$A$175,"2026",_CALC_ALLOC!$B$1:$B$175,"ISCOM_PAR",_CALC_ALLOC!$D$1:$D$175,"BAC_COM",_CALC_ALLOC!$E$1:$E$175,"B3",_CALC_ALLOC!$F$1:$F$175,"ALT")</f>
        <v>0</v>
      </c>
      <c r="D47" s="15">
        <f>SUMIFS(_CALC_ALLOC!$I$1:$I$175,_CALC_ALLOC!$A$1:$A$175,"2026",_CALC_ALLOC!$B$1:$B$175,"ISCOM_PAR",_CALC_ALLOC!$D$1:$D$175,"BAC_COM",_CALC_ALLOC!$E$1:$E$175,"B3",_CALC_ALLOC!$F$1:$F$175,"ALT")</f>
        <v>0</v>
      </c>
      <c r="E47" s="15">
        <f>SUMIFS(_CALC_ALLOC!$AI$1:$AI$175,_CALC_ALLOC!$A$1:$A$175,"2026",_CALC_ALLOC!$B$1:$B$175,"ISCOM_PAR",_CALC_ALLOC!$D$1:$D$175,"BAC_COM",_CALC_ALLOC!$E$1:$E$175,"B3",_CALC_ALLOC!$F$1:$F$175,"ALT")</f>
        <v>0</v>
      </c>
      <c r="F47" s="15">
        <f>SUMIFS(_CALC_ALLOC!$AJ$1:$AJ$175,_CALC_ALLOC!$A$1:$A$175,"2026",_CALC_ALLOC!$B$1:$B$175,"ISCOM_PAR",_CALC_ALLOC!$D$1:$D$175,"BAC_COM",_CALC_ALLOC!$E$1:$E$175,"B3",_CALC_ALLOC!$F$1:$F$175,"ALT")</f>
        <v>0</v>
      </c>
      <c r="G47" s="15">
        <f>SUMIFS(_CALC_ALLOC!$AK$1:$AK$175,_CALC_ALLOC!$A$1:$A$175,"2026",_CALC_ALLOC!$B$1:$B$175,"ISCOM_PAR",_CALC_ALLOC!$D$1:$D$175,"BAC_COM",_CALC_ALLOC!$E$1:$E$175,"B3",_CALC_ALLOC!$F$1:$F$175,"ALT")</f>
        <v>0</v>
      </c>
      <c r="H47" s="15">
        <f>SUMIFS(_CALC_ALLOC!$AL$1:$AL$175,_CALC_ALLOC!$A$1:$A$175,"2026",_CALC_ALLOC!$B$1:$B$175,"ISCOM_PAR",_CALC_ALLOC!$D$1:$D$175,"BAC_COM",_CALC_ALLOC!$E$1:$E$175,"B3",_CALC_ALLOC!$F$1:$F$175,"ALT")</f>
        <v>0</v>
      </c>
      <c r="I47" s="15">
        <f>SUMIFS(_CALC_ALLOC!$AR$1:$AR$175,_CALC_ALLOC!$A$1:$A$175,"2026",_CALC_ALLOC!$B$1:$B$175,"ISCOM_PAR",_CALC_ALLOC!$D$1:$D$175,"BAC_COM",_CALC_ALLOC!$E$1:$E$175,"B3",_CALC_ALLOC!$F$1:$F$175,"ALT")</f>
        <v>0</v>
      </c>
      <c r="J47" s="15">
        <f>SUMIFS(_CALC_ALLOC!$AM$1:$AM$175,_CALC_ALLOC!$A$1:$A$175,"2026",_CALC_ALLOC!$B$1:$B$175,"ISCOM_PAR",_CALC_ALLOC!$D$1:$D$175,"BAC_COM",_CALC_ALLOC!$E$1:$E$175,"B3",_CALC_ALLOC!$F$1:$F$175,"ALT")</f>
        <v>0</v>
      </c>
      <c r="K47" s="19">
        <f t="shared" si="0"/>
        <v>0</v>
      </c>
      <c r="L47" s="22">
        <f>SUMIFS(_CALC_ALLOC!$AN$1:$AN$175,_CALC_ALLOC!$A$1:$A$175,"2026",_CALC_ALLOC!$B$1:$B$175,"ISCOM_PAR",_CALC_ALLOC!$D$1:$D$175,"BAC_COM",_CALC_ALLOC!$E$1:$E$175,"B3",_CALC_ALLOC!$F$1:$F$175,"ALT")</f>
        <v>0</v>
      </c>
      <c r="M47" s="17">
        <f t="shared" si="1"/>
        <v>0</v>
      </c>
    </row>
    <row r="48" spans="2:13" outlineLevel="2" x14ac:dyDescent="0.45">
      <c r="B48" s="7" t="s">
        <v>53</v>
      </c>
      <c r="C48" s="16">
        <f>SUMIFS(_CALC_ALLOC!$G$1:$G$175,_CALC_ALLOC!$A$1:$A$175,"2026",_CALC_ALLOC!$B$1:$B$175,"ISCOM_PAR",_CALC_ALLOC!$D$1:$D$175,"MAS_COM",_CALC_ALLOC!$E$1:$E$175,"M1",_CALC_ALLOC!$F$1:$F$175,"ALT")</f>
        <v>0</v>
      </c>
      <c r="D48" s="15">
        <f>SUMIFS(_CALC_ALLOC!$I$1:$I$175,_CALC_ALLOC!$A$1:$A$175,"2026",_CALC_ALLOC!$B$1:$B$175,"ISCOM_PAR",_CALC_ALLOC!$D$1:$D$175,"MAS_COM",_CALC_ALLOC!$E$1:$E$175,"M1",_CALC_ALLOC!$F$1:$F$175,"ALT")</f>
        <v>0</v>
      </c>
      <c r="E48" s="15">
        <f>SUMIFS(_CALC_ALLOC!$AI$1:$AI$175,_CALC_ALLOC!$A$1:$A$175,"2026",_CALC_ALLOC!$B$1:$B$175,"ISCOM_PAR",_CALC_ALLOC!$D$1:$D$175,"MAS_COM",_CALC_ALLOC!$E$1:$E$175,"M1",_CALC_ALLOC!$F$1:$F$175,"ALT")</f>
        <v>0</v>
      </c>
      <c r="F48" s="15">
        <f>SUMIFS(_CALC_ALLOC!$AJ$1:$AJ$175,_CALC_ALLOC!$A$1:$A$175,"2026",_CALC_ALLOC!$B$1:$B$175,"ISCOM_PAR",_CALC_ALLOC!$D$1:$D$175,"MAS_COM",_CALC_ALLOC!$E$1:$E$175,"M1",_CALC_ALLOC!$F$1:$F$175,"ALT")</f>
        <v>0</v>
      </c>
      <c r="G48" s="15">
        <f>SUMIFS(_CALC_ALLOC!$AK$1:$AK$175,_CALC_ALLOC!$A$1:$A$175,"2026",_CALC_ALLOC!$B$1:$B$175,"ISCOM_PAR",_CALC_ALLOC!$D$1:$D$175,"MAS_COM",_CALC_ALLOC!$E$1:$E$175,"M1",_CALC_ALLOC!$F$1:$F$175,"ALT")</f>
        <v>0</v>
      </c>
      <c r="H48" s="15">
        <f>SUMIFS(_CALC_ALLOC!$AL$1:$AL$175,_CALC_ALLOC!$A$1:$A$175,"2026",_CALC_ALLOC!$B$1:$B$175,"ISCOM_PAR",_CALC_ALLOC!$D$1:$D$175,"MAS_COM",_CALC_ALLOC!$E$1:$E$175,"M1",_CALC_ALLOC!$F$1:$F$175,"ALT")</f>
        <v>0</v>
      </c>
      <c r="I48" s="15">
        <f>SUMIFS(_CALC_ALLOC!$AR$1:$AR$175,_CALC_ALLOC!$A$1:$A$175,"2026",_CALC_ALLOC!$B$1:$B$175,"ISCOM_PAR",_CALC_ALLOC!$D$1:$D$175,"MAS_COM",_CALC_ALLOC!$E$1:$E$175,"M1",_CALC_ALLOC!$F$1:$F$175,"ALT")</f>
        <v>0</v>
      </c>
      <c r="J48" s="15">
        <f>SUMIFS(_CALC_ALLOC!$AM$1:$AM$175,_CALC_ALLOC!$A$1:$A$175,"2026",_CALC_ALLOC!$B$1:$B$175,"ISCOM_PAR",_CALC_ALLOC!$D$1:$D$175,"MAS_COM",_CALC_ALLOC!$E$1:$E$175,"M1",_CALC_ALLOC!$F$1:$F$175,"ALT")</f>
        <v>0</v>
      </c>
      <c r="K48" s="19">
        <f t="shared" si="0"/>
        <v>0</v>
      </c>
      <c r="L48" s="22">
        <f>SUMIFS(_CALC_ALLOC!$AN$1:$AN$175,_CALC_ALLOC!$A$1:$A$175,"2026",_CALC_ALLOC!$B$1:$B$175,"ISCOM_PAR",_CALC_ALLOC!$D$1:$D$175,"MAS_COM",_CALC_ALLOC!$E$1:$E$175,"M1",_CALC_ALLOC!$F$1:$F$175,"ALT")</f>
        <v>0</v>
      </c>
      <c r="M48" s="17">
        <f t="shared" si="1"/>
        <v>0</v>
      </c>
    </row>
    <row r="49" spans="2:13" outlineLevel="2" x14ac:dyDescent="0.45">
      <c r="B49" s="7" t="s">
        <v>54</v>
      </c>
      <c r="C49" s="16">
        <f>SUMIFS(_CALC_ALLOC!$G$1:$G$175,_CALC_ALLOC!$A$1:$A$175,"2026",_CALC_ALLOC!$B$1:$B$175,"ISCOM_PAR",_CALC_ALLOC!$D$1:$D$175,"MAS_COM",_CALC_ALLOC!$E$1:$E$175,"M2",_CALC_ALLOC!$F$1:$F$175,"ALT")</f>
        <v>0</v>
      </c>
      <c r="D49" s="15">
        <f>SUMIFS(_CALC_ALLOC!$I$1:$I$175,_CALC_ALLOC!$A$1:$A$175,"2026",_CALC_ALLOC!$B$1:$B$175,"ISCOM_PAR",_CALC_ALLOC!$D$1:$D$175,"MAS_COM",_CALC_ALLOC!$E$1:$E$175,"M2",_CALC_ALLOC!$F$1:$F$175,"ALT")</f>
        <v>0</v>
      </c>
      <c r="E49" s="15">
        <f>SUMIFS(_CALC_ALLOC!$AI$1:$AI$175,_CALC_ALLOC!$A$1:$A$175,"2026",_CALC_ALLOC!$B$1:$B$175,"ISCOM_PAR",_CALC_ALLOC!$D$1:$D$175,"MAS_COM",_CALC_ALLOC!$E$1:$E$175,"M2",_CALC_ALLOC!$F$1:$F$175,"ALT")</f>
        <v>0</v>
      </c>
      <c r="F49" s="15">
        <f>SUMIFS(_CALC_ALLOC!$AJ$1:$AJ$175,_CALC_ALLOC!$A$1:$A$175,"2026",_CALC_ALLOC!$B$1:$B$175,"ISCOM_PAR",_CALC_ALLOC!$D$1:$D$175,"MAS_COM",_CALC_ALLOC!$E$1:$E$175,"M2",_CALC_ALLOC!$F$1:$F$175,"ALT")</f>
        <v>0</v>
      </c>
      <c r="G49" s="15">
        <f>SUMIFS(_CALC_ALLOC!$AK$1:$AK$175,_CALC_ALLOC!$A$1:$A$175,"2026",_CALC_ALLOC!$B$1:$B$175,"ISCOM_PAR",_CALC_ALLOC!$D$1:$D$175,"MAS_COM",_CALC_ALLOC!$E$1:$E$175,"M2",_CALC_ALLOC!$F$1:$F$175,"ALT")</f>
        <v>0</v>
      </c>
      <c r="H49" s="15">
        <f>SUMIFS(_CALC_ALLOC!$AL$1:$AL$175,_CALC_ALLOC!$A$1:$A$175,"2026",_CALC_ALLOC!$B$1:$B$175,"ISCOM_PAR",_CALC_ALLOC!$D$1:$D$175,"MAS_COM",_CALC_ALLOC!$E$1:$E$175,"M2",_CALC_ALLOC!$F$1:$F$175,"ALT")</f>
        <v>0</v>
      </c>
      <c r="I49" s="15">
        <f>SUMIFS(_CALC_ALLOC!$AR$1:$AR$175,_CALC_ALLOC!$A$1:$A$175,"2026",_CALC_ALLOC!$B$1:$B$175,"ISCOM_PAR",_CALC_ALLOC!$D$1:$D$175,"MAS_COM",_CALC_ALLOC!$E$1:$E$175,"M2",_CALC_ALLOC!$F$1:$F$175,"ALT")</f>
        <v>0</v>
      </c>
      <c r="J49" s="15">
        <f>SUMIFS(_CALC_ALLOC!$AM$1:$AM$175,_CALC_ALLOC!$A$1:$A$175,"2026",_CALC_ALLOC!$B$1:$B$175,"ISCOM_PAR",_CALC_ALLOC!$D$1:$D$175,"MAS_COM",_CALC_ALLOC!$E$1:$E$175,"M2",_CALC_ALLOC!$F$1:$F$175,"ALT")</f>
        <v>0</v>
      </c>
      <c r="K49" s="19">
        <f t="shared" si="0"/>
        <v>0</v>
      </c>
      <c r="L49" s="22">
        <f>SUMIFS(_CALC_ALLOC!$AN$1:$AN$175,_CALC_ALLOC!$A$1:$A$175,"2026",_CALC_ALLOC!$B$1:$B$175,"ISCOM_PAR",_CALC_ALLOC!$D$1:$D$175,"MAS_COM",_CALC_ALLOC!$E$1:$E$175,"M2",_CALC_ALLOC!$F$1:$F$175,"ALT")</f>
        <v>0</v>
      </c>
      <c r="M49" s="17">
        <f t="shared" si="1"/>
        <v>0</v>
      </c>
    </row>
    <row r="50" spans="2:13" outlineLevel="1" x14ac:dyDescent="0.45">
      <c r="B50" s="6" t="s">
        <v>55</v>
      </c>
      <c r="C50" s="18">
        <f>SUMIFS(_CALC_ALLOC!$G$1:$G$175,_CALC_ALLOC!$A$1:$A$175,"2026",_CALC_ALLOC!$B$1:$B$175,"ISCOM_LIL")</f>
        <v>0</v>
      </c>
      <c r="D50" s="19">
        <f>SUMIFS(_CALC_ALLOC!$I$1:$I$175,_CALC_ALLOC!$A$1:$A$175,"2026",_CALC_ALLOC!$B$1:$B$175,"ISCOM_LIL")</f>
        <v>0</v>
      </c>
      <c r="E50" s="19">
        <f>SUMIFS(_CALC_ALLOC!$AI$1:$AI$175,_CALC_ALLOC!$A$1:$A$175,"2026",_CALC_ALLOC!$B$1:$B$175,"ISCOM_LIL")</f>
        <v>0</v>
      </c>
      <c r="F50" s="19">
        <f>SUMIFS(_CALC_ALLOC!$AJ$1:$AJ$175,_CALC_ALLOC!$A$1:$A$175,"2026",_CALC_ALLOC!$B$1:$B$175,"ISCOM_LIL")</f>
        <v>0</v>
      </c>
      <c r="G50" s="19">
        <f>SUMIFS(_CALC_ALLOC!$AK$1:$AK$175,_CALC_ALLOC!$A$1:$A$175,"2026",_CALC_ALLOC!$B$1:$B$175,"ISCOM_LIL")</f>
        <v>0</v>
      </c>
      <c r="H50" s="19">
        <f>SUMIFS(_CALC_ALLOC!$AL$1:$AL$175,_CALC_ALLOC!$A$1:$A$175,"2026",_CALC_ALLOC!$B$1:$B$175,"ISCOM_LIL")</f>
        <v>0</v>
      </c>
      <c r="I50" s="19">
        <f>SUMIFS(_CALC_ALLOC!$AR$1:$AR$175,_CALC_ALLOC!$A$1:$A$175,"2026",_CALC_ALLOC!$B$1:$B$175,"ISCOM_LIL")</f>
        <v>0</v>
      </c>
      <c r="J50" s="19">
        <f>SUMIFS(_CALC_ALLOC!$AM$1:$AM$175,_CALC_ALLOC!$A$1:$A$175,"2026",_CALC_ALLOC!$B$1:$B$175,"ISCOM_LIL")</f>
        <v>0</v>
      </c>
      <c r="K50" s="19">
        <f t="shared" ref="K50:K81" si="2">E50+F50+G50+H50+I50+J50</f>
        <v>0</v>
      </c>
      <c r="L50" s="21">
        <f>SUMIFS(_CALC_ALLOC!$AN$1:$AN$175,_CALC_ALLOC!$A$1:$A$175,"2026",_CALC_ALLOC!$B$1:$B$175,"ISCOM_LIL")</f>
        <v>0</v>
      </c>
      <c r="M50" s="20">
        <f t="shared" ref="M50:M81" si="3">IFERROR(L50/D50,0)</f>
        <v>0</v>
      </c>
    </row>
    <row r="51" spans="2:13" outlineLevel="2" x14ac:dyDescent="0.45">
      <c r="B51" s="7" t="s">
        <v>50</v>
      </c>
      <c r="C51" s="16">
        <f>SUMIFS(_CALC_ALLOC!$G$1:$G$175,_CALC_ALLOC!$A$1:$A$175,"2026",_CALC_ALLOC!$B$1:$B$175,"ISCOM_LIL",_CALC_ALLOC!$D$1:$D$175,"BAC_COM",_CALC_ALLOC!$E$1:$E$175,"B1",_CALC_ALLOC!$F$1:$F$175,"INIT")</f>
        <v>0</v>
      </c>
      <c r="D51" s="15">
        <f>SUMIFS(_CALC_ALLOC!$I$1:$I$175,_CALC_ALLOC!$A$1:$A$175,"2026",_CALC_ALLOC!$B$1:$B$175,"ISCOM_LIL",_CALC_ALLOC!$D$1:$D$175,"BAC_COM",_CALC_ALLOC!$E$1:$E$175,"B1",_CALC_ALLOC!$F$1:$F$175,"INIT")</f>
        <v>0</v>
      </c>
      <c r="E51" s="15">
        <f>SUMIFS(_CALC_ALLOC!$AI$1:$AI$175,_CALC_ALLOC!$A$1:$A$175,"2026",_CALC_ALLOC!$B$1:$B$175,"ISCOM_LIL",_CALC_ALLOC!$D$1:$D$175,"BAC_COM",_CALC_ALLOC!$E$1:$E$175,"B1",_CALC_ALLOC!$F$1:$F$175,"INIT")</f>
        <v>0</v>
      </c>
      <c r="F51" s="15">
        <f>SUMIFS(_CALC_ALLOC!$AJ$1:$AJ$175,_CALC_ALLOC!$A$1:$A$175,"2026",_CALC_ALLOC!$B$1:$B$175,"ISCOM_LIL",_CALC_ALLOC!$D$1:$D$175,"BAC_COM",_CALC_ALLOC!$E$1:$E$175,"B1",_CALC_ALLOC!$F$1:$F$175,"INIT")</f>
        <v>0</v>
      </c>
      <c r="G51" s="15">
        <f>SUMIFS(_CALC_ALLOC!$AK$1:$AK$175,_CALC_ALLOC!$A$1:$A$175,"2026",_CALC_ALLOC!$B$1:$B$175,"ISCOM_LIL",_CALC_ALLOC!$D$1:$D$175,"BAC_COM",_CALC_ALLOC!$E$1:$E$175,"B1",_CALC_ALLOC!$F$1:$F$175,"INIT")</f>
        <v>0</v>
      </c>
      <c r="H51" s="15">
        <f>SUMIFS(_CALC_ALLOC!$AL$1:$AL$175,_CALC_ALLOC!$A$1:$A$175,"2026",_CALC_ALLOC!$B$1:$B$175,"ISCOM_LIL",_CALC_ALLOC!$D$1:$D$175,"BAC_COM",_CALC_ALLOC!$E$1:$E$175,"B1",_CALC_ALLOC!$F$1:$F$175,"INIT")</f>
        <v>0</v>
      </c>
      <c r="I51" s="15">
        <f>SUMIFS(_CALC_ALLOC!$AR$1:$AR$175,_CALC_ALLOC!$A$1:$A$175,"2026",_CALC_ALLOC!$B$1:$B$175,"ISCOM_LIL",_CALC_ALLOC!$D$1:$D$175,"BAC_COM",_CALC_ALLOC!$E$1:$E$175,"B1",_CALC_ALLOC!$F$1:$F$175,"INIT")</f>
        <v>0</v>
      </c>
      <c r="J51" s="15">
        <f>SUMIFS(_CALC_ALLOC!$AM$1:$AM$175,_CALC_ALLOC!$A$1:$A$175,"2026",_CALC_ALLOC!$B$1:$B$175,"ISCOM_LIL",_CALC_ALLOC!$D$1:$D$175,"BAC_COM",_CALC_ALLOC!$E$1:$E$175,"B1",_CALC_ALLOC!$F$1:$F$175,"INIT")</f>
        <v>0</v>
      </c>
      <c r="K51" s="19">
        <f t="shared" si="2"/>
        <v>0</v>
      </c>
      <c r="L51" s="22">
        <f>SUMIFS(_CALC_ALLOC!$AN$1:$AN$175,_CALC_ALLOC!$A$1:$A$175,"2026",_CALC_ALLOC!$B$1:$B$175,"ISCOM_LIL",_CALC_ALLOC!$D$1:$D$175,"BAC_COM",_CALC_ALLOC!$E$1:$E$175,"B1",_CALC_ALLOC!$F$1:$F$175,"INIT")</f>
        <v>0</v>
      </c>
      <c r="M51" s="17">
        <f t="shared" si="3"/>
        <v>0</v>
      </c>
    </row>
    <row r="52" spans="2:13" outlineLevel="2" x14ac:dyDescent="0.45">
      <c r="B52" s="7" t="s">
        <v>51</v>
      </c>
      <c r="C52" s="16">
        <f>SUMIFS(_CALC_ALLOC!$G$1:$G$175,_CALC_ALLOC!$A$1:$A$175,"2026",_CALC_ALLOC!$B$1:$B$175,"ISCOM_LIL",_CALC_ALLOC!$D$1:$D$175,"BAC_COM",_CALC_ALLOC!$E$1:$E$175,"B2",_CALC_ALLOC!$F$1:$F$175,"ALT")</f>
        <v>0</v>
      </c>
      <c r="D52" s="15">
        <f>SUMIFS(_CALC_ALLOC!$I$1:$I$175,_CALC_ALLOC!$A$1:$A$175,"2026",_CALC_ALLOC!$B$1:$B$175,"ISCOM_LIL",_CALC_ALLOC!$D$1:$D$175,"BAC_COM",_CALC_ALLOC!$E$1:$E$175,"B2",_CALC_ALLOC!$F$1:$F$175,"ALT")</f>
        <v>0</v>
      </c>
      <c r="E52" s="15">
        <f>SUMIFS(_CALC_ALLOC!$AI$1:$AI$175,_CALC_ALLOC!$A$1:$A$175,"2026",_CALC_ALLOC!$B$1:$B$175,"ISCOM_LIL",_CALC_ALLOC!$D$1:$D$175,"BAC_COM",_CALC_ALLOC!$E$1:$E$175,"B2",_CALC_ALLOC!$F$1:$F$175,"ALT")</f>
        <v>0</v>
      </c>
      <c r="F52" s="15">
        <f>SUMIFS(_CALC_ALLOC!$AJ$1:$AJ$175,_CALC_ALLOC!$A$1:$A$175,"2026",_CALC_ALLOC!$B$1:$B$175,"ISCOM_LIL",_CALC_ALLOC!$D$1:$D$175,"BAC_COM",_CALC_ALLOC!$E$1:$E$175,"B2",_CALC_ALLOC!$F$1:$F$175,"ALT")</f>
        <v>0</v>
      </c>
      <c r="G52" s="15">
        <f>SUMIFS(_CALC_ALLOC!$AK$1:$AK$175,_CALC_ALLOC!$A$1:$A$175,"2026",_CALC_ALLOC!$B$1:$B$175,"ISCOM_LIL",_CALC_ALLOC!$D$1:$D$175,"BAC_COM",_CALC_ALLOC!$E$1:$E$175,"B2",_CALC_ALLOC!$F$1:$F$175,"ALT")</f>
        <v>0</v>
      </c>
      <c r="H52" s="15">
        <f>SUMIFS(_CALC_ALLOC!$AL$1:$AL$175,_CALC_ALLOC!$A$1:$A$175,"2026",_CALC_ALLOC!$B$1:$B$175,"ISCOM_LIL",_CALC_ALLOC!$D$1:$D$175,"BAC_COM",_CALC_ALLOC!$E$1:$E$175,"B2",_CALC_ALLOC!$F$1:$F$175,"ALT")</f>
        <v>0</v>
      </c>
      <c r="I52" s="15">
        <f>SUMIFS(_CALC_ALLOC!$AR$1:$AR$175,_CALC_ALLOC!$A$1:$A$175,"2026",_CALC_ALLOC!$B$1:$B$175,"ISCOM_LIL",_CALC_ALLOC!$D$1:$D$175,"BAC_COM",_CALC_ALLOC!$E$1:$E$175,"B2",_CALC_ALLOC!$F$1:$F$175,"ALT")</f>
        <v>0</v>
      </c>
      <c r="J52" s="15">
        <f>SUMIFS(_CALC_ALLOC!$AM$1:$AM$175,_CALC_ALLOC!$A$1:$A$175,"2026",_CALC_ALLOC!$B$1:$B$175,"ISCOM_LIL",_CALC_ALLOC!$D$1:$D$175,"BAC_COM",_CALC_ALLOC!$E$1:$E$175,"B2",_CALC_ALLOC!$F$1:$F$175,"ALT")</f>
        <v>0</v>
      </c>
      <c r="K52" s="19">
        <f t="shared" si="2"/>
        <v>0</v>
      </c>
      <c r="L52" s="22">
        <f>SUMIFS(_CALC_ALLOC!$AN$1:$AN$175,_CALC_ALLOC!$A$1:$A$175,"2026",_CALC_ALLOC!$B$1:$B$175,"ISCOM_LIL",_CALC_ALLOC!$D$1:$D$175,"BAC_COM",_CALC_ALLOC!$E$1:$E$175,"B2",_CALC_ALLOC!$F$1:$F$175,"ALT")</f>
        <v>0</v>
      </c>
      <c r="M52" s="17">
        <f t="shared" si="3"/>
        <v>0</v>
      </c>
    </row>
    <row r="53" spans="2:13" outlineLevel="2" x14ac:dyDescent="0.45">
      <c r="B53" s="7" t="s">
        <v>52</v>
      </c>
      <c r="C53" s="16">
        <f>SUMIFS(_CALC_ALLOC!$G$1:$G$175,_CALC_ALLOC!$A$1:$A$175,"2026",_CALC_ALLOC!$B$1:$B$175,"ISCOM_LIL",_CALC_ALLOC!$D$1:$D$175,"BAC_COM",_CALC_ALLOC!$E$1:$E$175,"B3",_CALC_ALLOC!$F$1:$F$175,"ALT")</f>
        <v>0</v>
      </c>
      <c r="D53" s="15">
        <f>SUMIFS(_CALC_ALLOC!$I$1:$I$175,_CALC_ALLOC!$A$1:$A$175,"2026",_CALC_ALLOC!$B$1:$B$175,"ISCOM_LIL",_CALC_ALLOC!$D$1:$D$175,"BAC_COM",_CALC_ALLOC!$E$1:$E$175,"B3",_CALC_ALLOC!$F$1:$F$175,"ALT")</f>
        <v>0</v>
      </c>
      <c r="E53" s="15">
        <f>SUMIFS(_CALC_ALLOC!$AI$1:$AI$175,_CALC_ALLOC!$A$1:$A$175,"2026",_CALC_ALLOC!$B$1:$B$175,"ISCOM_LIL",_CALC_ALLOC!$D$1:$D$175,"BAC_COM",_CALC_ALLOC!$E$1:$E$175,"B3",_CALC_ALLOC!$F$1:$F$175,"ALT")</f>
        <v>0</v>
      </c>
      <c r="F53" s="15">
        <f>SUMIFS(_CALC_ALLOC!$AJ$1:$AJ$175,_CALC_ALLOC!$A$1:$A$175,"2026",_CALC_ALLOC!$B$1:$B$175,"ISCOM_LIL",_CALC_ALLOC!$D$1:$D$175,"BAC_COM",_CALC_ALLOC!$E$1:$E$175,"B3",_CALC_ALLOC!$F$1:$F$175,"ALT")</f>
        <v>0</v>
      </c>
      <c r="G53" s="15">
        <f>SUMIFS(_CALC_ALLOC!$AK$1:$AK$175,_CALC_ALLOC!$A$1:$A$175,"2026",_CALC_ALLOC!$B$1:$B$175,"ISCOM_LIL",_CALC_ALLOC!$D$1:$D$175,"BAC_COM",_CALC_ALLOC!$E$1:$E$175,"B3",_CALC_ALLOC!$F$1:$F$175,"ALT")</f>
        <v>0</v>
      </c>
      <c r="H53" s="15">
        <f>SUMIFS(_CALC_ALLOC!$AL$1:$AL$175,_CALC_ALLOC!$A$1:$A$175,"2026",_CALC_ALLOC!$B$1:$B$175,"ISCOM_LIL",_CALC_ALLOC!$D$1:$D$175,"BAC_COM",_CALC_ALLOC!$E$1:$E$175,"B3",_CALC_ALLOC!$F$1:$F$175,"ALT")</f>
        <v>0</v>
      </c>
      <c r="I53" s="15">
        <f>SUMIFS(_CALC_ALLOC!$AR$1:$AR$175,_CALC_ALLOC!$A$1:$A$175,"2026",_CALC_ALLOC!$B$1:$B$175,"ISCOM_LIL",_CALC_ALLOC!$D$1:$D$175,"BAC_COM",_CALC_ALLOC!$E$1:$E$175,"B3",_CALC_ALLOC!$F$1:$F$175,"ALT")</f>
        <v>0</v>
      </c>
      <c r="J53" s="15">
        <f>SUMIFS(_CALC_ALLOC!$AM$1:$AM$175,_CALC_ALLOC!$A$1:$A$175,"2026",_CALC_ALLOC!$B$1:$B$175,"ISCOM_LIL",_CALC_ALLOC!$D$1:$D$175,"BAC_COM",_CALC_ALLOC!$E$1:$E$175,"B3",_CALC_ALLOC!$F$1:$F$175,"ALT")</f>
        <v>0</v>
      </c>
      <c r="K53" s="19">
        <f t="shared" si="2"/>
        <v>0</v>
      </c>
      <c r="L53" s="22">
        <f>SUMIFS(_CALC_ALLOC!$AN$1:$AN$175,_CALC_ALLOC!$A$1:$A$175,"2026",_CALC_ALLOC!$B$1:$B$175,"ISCOM_LIL",_CALC_ALLOC!$D$1:$D$175,"BAC_COM",_CALC_ALLOC!$E$1:$E$175,"B3",_CALC_ALLOC!$F$1:$F$175,"ALT")</f>
        <v>0</v>
      </c>
      <c r="M53" s="17">
        <f t="shared" si="3"/>
        <v>0</v>
      </c>
    </row>
    <row r="54" spans="2:13" outlineLevel="2" x14ac:dyDescent="0.45">
      <c r="B54" s="7" t="s">
        <v>53</v>
      </c>
      <c r="C54" s="16">
        <f>SUMIFS(_CALC_ALLOC!$G$1:$G$175,_CALC_ALLOC!$A$1:$A$175,"2026",_CALC_ALLOC!$B$1:$B$175,"ISCOM_LIL",_CALC_ALLOC!$D$1:$D$175,"MAS_COM",_CALC_ALLOC!$E$1:$E$175,"M1",_CALC_ALLOC!$F$1:$F$175,"ALT")</f>
        <v>0</v>
      </c>
      <c r="D54" s="15">
        <f>SUMIFS(_CALC_ALLOC!$I$1:$I$175,_CALC_ALLOC!$A$1:$A$175,"2026",_CALC_ALLOC!$B$1:$B$175,"ISCOM_LIL",_CALC_ALLOC!$D$1:$D$175,"MAS_COM",_CALC_ALLOC!$E$1:$E$175,"M1",_CALC_ALLOC!$F$1:$F$175,"ALT")</f>
        <v>0</v>
      </c>
      <c r="E54" s="15">
        <f>SUMIFS(_CALC_ALLOC!$AI$1:$AI$175,_CALC_ALLOC!$A$1:$A$175,"2026",_CALC_ALLOC!$B$1:$B$175,"ISCOM_LIL",_CALC_ALLOC!$D$1:$D$175,"MAS_COM",_CALC_ALLOC!$E$1:$E$175,"M1",_CALC_ALLOC!$F$1:$F$175,"ALT")</f>
        <v>0</v>
      </c>
      <c r="F54" s="15">
        <f>SUMIFS(_CALC_ALLOC!$AJ$1:$AJ$175,_CALC_ALLOC!$A$1:$A$175,"2026",_CALC_ALLOC!$B$1:$B$175,"ISCOM_LIL",_CALC_ALLOC!$D$1:$D$175,"MAS_COM",_CALC_ALLOC!$E$1:$E$175,"M1",_CALC_ALLOC!$F$1:$F$175,"ALT")</f>
        <v>0</v>
      </c>
      <c r="G54" s="15">
        <f>SUMIFS(_CALC_ALLOC!$AK$1:$AK$175,_CALC_ALLOC!$A$1:$A$175,"2026",_CALC_ALLOC!$B$1:$B$175,"ISCOM_LIL",_CALC_ALLOC!$D$1:$D$175,"MAS_COM",_CALC_ALLOC!$E$1:$E$175,"M1",_CALC_ALLOC!$F$1:$F$175,"ALT")</f>
        <v>0</v>
      </c>
      <c r="H54" s="15">
        <f>SUMIFS(_CALC_ALLOC!$AL$1:$AL$175,_CALC_ALLOC!$A$1:$A$175,"2026",_CALC_ALLOC!$B$1:$B$175,"ISCOM_LIL",_CALC_ALLOC!$D$1:$D$175,"MAS_COM",_CALC_ALLOC!$E$1:$E$175,"M1",_CALC_ALLOC!$F$1:$F$175,"ALT")</f>
        <v>0</v>
      </c>
      <c r="I54" s="15">
        <f>SUMIFS(_CALC_ALLOC!$AR$1:$AR$175,_CALC_ALLOC!$A$1:$A$175,"2026",_CALC_ALLOC!$B$1:$B$175,"ISCOM_LIL",_CALC_ALLOC!$D$1:$D$175,"MAS_COM",_CALC_ALLOC!$E$1:$E$175,"M1",_CALC_ALLOC!$F$1:$F$175,"ALT")</f>
        <v>0</v>
      </c>
      <c r="J54" s="15">
        <f>SUMIFS(_CALC_ALLOC!$AM$1:$AM$175,_CALC_ALLOC!$A$1:$A$175,"2026",_CALC_ALLOC!$B$1:$B$175,"ISCOM_LIL",_CALC_ALLOC!$D$1:$D$175,"MAS_COM",_CALC_ALLOC!$E$1:$E$175,"M1",_CALC_ALLOC!$F$1:$F$175,"ALT")</f>
        <v>0</v>
      </c>
      <c r="K54" s="19">
        <f t="shared" si="2"/>
        <v>0</v>
      </c>
      <c r="L54" s="22">
        <f>SUMIFS(_CALC_ALLOC!$AN$1:$AN$175,_CALC_ALLOC!$A$1:$A$175,"2026",_CALC_ALLOC!$B$1:$B$175,"ISCOM_LIL",_CALC_ALLOC!$D$1:$D$175,"MAS_COM",_CALC_ALLOC!$E$1:$E$175,"M1",_CALC_ALLOC!$F$1:$F$175,"ALT")</f>
        <v>0</v>
      </c>
      <c r="M54" s="17">
        <f t="shared" si="3"/>
        <v>0</v>
      </c>
    </row>
    <row r="55" spans="2:13" outlineLevel="2" x14ac:dyDescent="0.45">
      <c r="B55" s="7" t="s">
        <v>54</v>
      </c>
      <c r="C55" s="16">
        <f>SUMIFS(_CALC_ALLOC!$G$1:$G$175,_CALC_ALLOC!$A$1:$A$175,"2026",_CALC_ALLOC!$B$1:$B$175,"ISCOM_LIL",_CALC_ALLOC!$D$1:$D$175,"MAS_COM",_CALC_ALLOC!$E$1:$E$175,"M2",_CALC_ALLOC!$F$1:$F$175,"ALT")</f>
        <v>0</v>
      </c>
      <c r="D55" s="15">
        <f>SUMIFS(_CALC_ALLOC!$I$1:$I$175,_CALC_ALLOC!$A$1:$A$175,"2026",_CALC_ALLOC!$B$1:$B$175,"ISCOM_LIL",_CALC_ALLOC!$D$1:$D$175,"MAS_COM",_CALC_ALLOC!$E$1:$E$175,"M2",_CALC_ALLOC!$F$1:$F$175,"ALT")</f>
        <v>0</v>
      </c>
      <c r="E55" s="15">
        <f>SUMIFS(_CALC_ALLOC!$AI$1:$AI$175,_CALC_ALLOC!$A$1:$A$175,"2026",_CALC_ALLOC!$B$1:$B$175,"ISCOM_LIL",_CALC_ALLOC!$D$1:$D$175,"MAS_COM",_CALC_ALLOC!$E$1:$E$175,"M2",_CALC_ALLOC!$F$1:$F$175,"ALT")</f>
        <v>0</v>
      </c>
      <c r="F55" s="15">
        <f>SUMIFS(_CALC_ALLOC!$AJ$1:$AJ$175,_CALC_ALLOC!$A$1:$A$175,"2026",_CALC_ALLOC!$B$1:$B$175,"ISCOM_LIL",_CALC_ALLOC!$D$1:$D$175,"MAS_COM",_CALC_ALLOC!$E$1:$E$175,"M2",_CALC_ALLOC!$F$1:$F$175,"ALT")</f>
        <v>0</v>
      </c>
      <c r="G55" s="15">
        <f>SUMIFS(_CALC_ALLOC!$AK$1:$AK$175,_CALC_ALLOC!$A$1:$A$175,"2026",_CALC_ALLOC!$B$1:$B$175,"ISCOM_LIL",_CALC_ALLOC!$D$1:$D$175,"MAS_COM",_CALC_ALLOC!$E$1:$E$175,"M2",_CALC_ALLOC!$F$1:$F$175,"ALT")</f>
        <v>0</v>
      </c>
      <c r="H55" s="15">
        <f>SUMIFS(_CALC_ALLOC!$AL$1:$AL$175,_CALC_ALLOC!$A$1:$A$175,"2026",_CALC_ALLOC!$B$1:$B$175,"ISCOM_LIL",_CALC_ALLOC!$D$1:$D$175,"MAS_COM",_CALC_ALLOC!$E$1:$E$175,"M2",_CALC_ALLOC!$F$1:$F$175,"ALT")</f>
        <v>0</v>
      </c>
      <c r="I55" s="15">
        <f>SUMIFS(_CALC_ALLOC!$AR$1:$AR$175,_CALC_ALLOC!$A$1:$A$175,"2026",_CALC_ALLOC!$B$1:$B$175,"ISCOM_LIL",_CALC_ALLOC!$D$1:$D$175,"MAS_COM",_CALC_ALLOC!$E$1:$E$175,"M2",_CALC_ALLOC!$F$1:$F$175,"ALT")</f>
        <v>0</v>
      </c>
      <c r="J55" s="15">
        <f>SUMIFS(_CALC_ALLOC!$AM$1:$AM$175,_CALC_ALLOC!$A$1:$A$175,"2026",_CALC_ALLOC!$B$1:$B$175,"ISCOM_LIL",_CALC_ALLOC!$D$1:$D$175,"MAS_COM",_CALC_ALLOC!$E$1:$E$175,"M2",_CALC_ALLOC!$F$1:$F$175,"ALT")</f>
        <v>0</v>
      </c>
      <c r="K55" s="19">
        <f t="shared" si="2"/>
        <v>0</v>
      </c>
      <c r="L55" s="22">
        <f>SUMIFS(_CALC_ALLOC!$AN$1:$AN$175,_CALC_ALLOC!$A$1:$A$175,"2026",_CALC_ALLOC!$B$1:$B$175,"ISCOM_LIL",_CALC_ALLOC!$D$1:$D$175,"MAS_COM",_CALC_ALLOC!$E$1:$E$175,"M2",_CALC_ALLOC!$F$1:$F$175,"ALT")</f>
        <v>0</v>
      </c>
      <c r="M55" s="17">
        <f t="shared" si="3"/>
        <v>0</v>
      </c>
    </row>
    <row r="56" spans="2:13" outlineLevel="1" x14ac:dyDescent="0.45">
      <c r="B56" s="6" t="s">
        <v>56</v>
      </c>
      <c r="C56" s="18">
        <f>SUMIFS(_CALC_ALLOC!$G$1:$G$175,_CALC_ALLOC!$A$1:$A$175,"2026",_CALC_ALLOC!$B$1:$B$175,"ISCOM_TLS")</f>
        <v>0</v>
      </c>
      <c r="D56" s="19">
        <f>SUMIFS(_CALC_ALLOC!$I$1:$I$175,_CALC_ALLOC!$A$1:$A$175,"2026",_CALC_ALLOC!$B$1:$B$175,"ISCOM_TLS")</f>
        <v>0</v>
      </c>
      <c r="E56" s="19">
        <f>SUMIFS(_CALC_ALLOC!$AI$1:$AI$175,_CALC_ALLOC!$A$1:$A$175,"2026",_CALC_ALLOC!$B$1:$B$175,"ISCOM_TLS")</f>
        <v>0</v>
      </c>
      <c r="F56" s="19">
        <f>SUMIFS(_CALC_ALLOC!$AJ$1:$AJ$175,_CALC_ALLOC!$A$1:$A$175,"2026",_CALC_ALLOC!$B$1:$B$175,"ISCOM_TLS")</f>
        <v>0</v>
      </c>
      <c r="G56" s="19">
        <f>SUMIFS(_CALC_ALLOC!$AK$1:$AK$175,_CALC_ALLOC!$A$1:$A$175,"2026",_CALC_ALLOC!$B$1:$B$175,"ISCOM_TLS")</f>
        <v>0</v>
      </c>
      <c r="H56" s="19">
        <f>SUMIFS(_CALC_ALLOC!$AL$1:$AL$175,_CALC_ALLOC!$A$1:$A$175,"2026",_CALC_ALLOC!$B$1:$B$175,"ISCOM_TLS")</f>
        <v>0</v>
      </c>
      <c r="I56" s="19">
        <f>SUMIFS(_CALC_ALLOC!$AR$1:$AR$175,_CALC_ALLOC!$A$1:$A$175,"2026",_CALC_ALLOC!$B$1:$B$175,"ISCOM_TLS")</f>
        <v>0</v>
      </c>
      <c r="J56" s="19">
        <f>SUMIFS(_CALC_ALLOC!$AM$1:$AM$175,_CALC_ALLOC!$A$1:$A$175,"2026",_CALC_ALLOC!$B$1:$B$175,"ISCOM_TLS")</f>
        <v>0</v>
      </c>
      <c r="K56" s="19">
        <f t="shared" si="2"/>
        <v>0</v>
      </c>
      <c r="L56" s="21">
        <f>SUMIFS(_CALC_ALLOC!$AN$1:$AN$175,_CALC_ALLOC!$A$1:$A$175,"2026",_CALC_ALLOC!$B$1:$B$175,"ISCOM_TLS")</f>
        <v>0</v>
      </c>
      <c r="M56" s="20">
        <f t="shared" si="3"/>
        <v>0</v>
      </c>
    </row>
    <row r="57" spans="2:13" outlineLevel="2" x14ac:dyDescent="0.45">
      <c r="B57" s="7" t="s">
        <v>50</v>
      </c>
      <c r="C57" s="16">
        <f>SUMIFS(_CALC_ALLOC!$G$1:$G$175,_CALC_ALLOC!$A$1:$A$175,"2026",_CALC_ALLOC!$B$1:$B$175,"ISCOM_TLS",_CALC_ALLOC!$D$1:$D$175,"BAC_COM",_CALC_ALLOC!$E$1:$E$175,"B1",_CALC_ALLOC!$F$1:$F$175,"INIT")</f>
        <v>0</v>
      </c>
      <c r="D57" s="15">
        <f>SUMIFS(_CALC_ALLOC!$I$1:$I$175,_CALC_ALLOC!$A$1:$A$175,"2026",_CALC_ALLOC!$B$1:$B$175,"ISCOM_TLS",_CALC_ALLOC!$D$1:$D$175,"BAC_COM",_CALC_ALLOC!$E$1:$E$175,"B1",_CALC_ALLOC!$F$1:$F$175,"INIT")</f>
        <v>0</v>
      </c>
      <c r="E57" s="15">
        <f>SUMIFS(_CALC_ALLOC!$AI$1:$AI$175,_CALC_ALLOC!$A$1:$A$175,"2026",_CALC_ALLOC!$B$1:$B$175,"ISCOM_TLS",_CALC_ALLOC!$D$1:$D$175,"BAC_COM",_CALC_ALLOC!$E$1:$E$175,"B1",_CALC_ALLOC!$F$1:$F$175,"INIT")</f>
        <v>0</v>
      </c>
      <c r="F57" s="15">
        <f>SUMIFS(_CALC_ALLOC!$AJ$1:$AJ$175,_CALC_ALLOC!$A$1:$A$175,"2026",_CALC_ALLOC!$B$1:$B$175,"ISCOM_TLS",_CALC_ALLOC!$D$1:$D$175,"BAC_COM",_CALC_ALLOC!$E$1:$E$175,"B1",_CALC_ALLOC!$F$1:$F$175,"INIT")</f>
        <v>0</v>
      </c>
      <c r="G57" s="15">
        <f>SUMIFS(_CALC_ALLOC!$AK$1:$AK$175,_CALC_ALLOC!$A$1:$A$175,"2026",_CALC_ALLOC!$B$1:$B$175,"ISCOM_TLS",_CALC_ALLOC!$D$1:$D$175,"BAC_COM",_CALC_ALLOC!$E$1:$E$175,"B1",_CALC_ALLOC!$F$1:$F$175,"INIT")</f>
        <v>0</v>
      </c>
      <c r="H57" s="15">
        <f>SUMIFS(_CALC_ALLOC!$AL$1:$AL$175,_CALC_ALLOC!$A$1:$A$175,"2026",_CALC_ALLOC!$B$1:$B$175,"ISCOM_TLS",_CALC_ALLOC!$D$1:$D$175,"BAC_COM",_CALC_ALLOC!$E$1:$E$175,"B1",_CALC_ALLOC!$F$1:$F$175,"INIT")</f>
        <v>0</v>
      </c>
      <c r="I57" s="15">
        <f>SUMIFS(_CALC_ALLOC!$AR$1:$AR$175,_CALC_ALLOC!$A$1:$A$175,"2026",_CALC_ALLOC!$B$1:$B$175,"ISCOM_TLS",_CALC_ALLOC!$D$1:$D$175,"BAC_COM",_CALC_ALLOC!$E$1:$E$175,"B1",_CALC_ALLOC!$F$1:$F$175,"INIT")</f>
        <v>0</v>
      </c>
      <c r="J57" s="15">
        <f>SUMIFS(_CALC_ALLOC!$AM$1:$AM$175,_CALC_ALLOC!$A$1:$A$175,"2026",_CALC_ALLOC!$B$1:$B$175,"ISCOM_TLS",_CALC_ALLOC!$D$1:$D$175,"BAC_COM",_CALC_ALLOC!$E$1:$E$175,"B1",_CALC_ALLOC!$F$1:$F$175,"INIT")</f>
        <v>0</v>
      </c>
      <c r="K57" s="19">
        <f t="shared" si="2"/>
        <v>0</v>
      </c>
      <c r="L57" s="22">
        <f>SUMIFS(_CALC_ALLOC!$AN$1:$AN$175,_CALC_ALLOC!$A$1:$A$175,"2026",_CALC_ALLOC!$B$1:$B$175,"ISCOM_TLS",_CALC_ALLOC!$D$1:$D$175,"BAC_COM",_CALC_ALLOC!$E$1:$E$175,"B1",_CALC_ALLOC!$F$1:$F$175,"INIT")</f>
        <v>0</v>
      </c>
      <c r="M57" s="17">
        <f t="shared" si="3"/>
        <v>0</v>
      </c>
    </row>
    <row r="58" spans="2:13" outlineLevel="2" x14ac:dyDescent="0.45">
      <c r="B58" s="7" t="s">
        <v>51</v>
      </c>
      <c r="C58" s="16">
        <f>SUMIFS(_CALC_ALLOC!$G$1:$G$175,_CALC_ALLOC!$A$1:$A$175,"2026",_CALC_ALLOC!$B$1:$B$175,"ISCOM_TLS",_CALC_ALLOC!$D$1:$D$175,"BAC_COM",_CALC_ALLOC!$E$1:$E$175,"B2",_CALC_ALLOC!$F$1:$F$175,"ALT")</f>
        <v>0</v>
      </c>
      <c r="D58" s="15">
        <f>SUMIFS(_CALC_ALLOC!$I$1:$I$175,_CALC_ALLOC!$A$1:$A$175,"2026",_CALC_ALLOC!$B$1:$B$175,"ISCOM_TLS",_CALC_ALLOC!$D$1:$D$175,"BAC_COM",_CALC_ALLOC!$E$1:$E$175,"B2",_CALC_ALLOC!$F$1:$F$175,"ALT")</f>
        <v>0</v>
      </c>
      <c r="E58" s="15">
        <f>SUMIFS(_CALC_ALLOC!$AI$1:$AI$175,_CALC_ALLOC!$A$1:$A$175,"2026",_CALC_ALLOC!$B$1:$B$175,"ISCOM_TLS",_CALC_ALLOC!$D$1:$D$175,"BAC_COM",_CALC_ALLOC!$E$1:$E$175,"B2",_CALC_ALLOC!$F$1:$F$175,"ALT")</f>
        <v>0</v>
      </c>
      <c r="F58" s="15">
        <f>SUMIFS(_CALC_ALLOC!$AJ$1:$AJ$175,_CALC_ALLOC!$A$1:$A$175,"2026",_CALC_ALLOC!$B$1:$B$175,"ISCOM_TLS",_CALC_ALLOC!$D$1:$D$175,"BAC_COM",_CALC_ALLOC!$E$1:$E$175,"B2",_CALC_ALLOC!$F$1:$F$175,"ALT")</f>
        <v>0</v>
      </c>
      <c r="G58" s="15">
        <f>SUMIFS(_CALC_ALLOC!$AK$1:$AK$175,_CALC_ALLOC!$A$1:$A$175,"2026",_CALC_ALLOC!$B$1:$B$175,"ISCOM_TLS",_CALC_ALLOC!$D$1:$D$175,"BAC_COM",_CALC_ALLOC!$E$1:$E$175,"B2",_CALC_ALLOC!$F$1:$F$175,"ALT")</f>
        <v>0</v>
      </c>
      <c r="H58" s="15">
        <f>SUMIFS(_CALC_ALLOC!$AL$1:$AL$175,_CALC_ALLOC!$A$1:$A$175,"2026",_CALC_ALLOC!$B$1:$B$175,"ISCOM_TLS",_CALC_ALLOC!$D$1:$D$175,"BAC_COM",_CALC_ALLOC!$E$1:$E$175,"B2",_CALC_ALLOC!$F$1:$F$175,"ALT")</f>
        <v>0</v>
      </c>
      <c r="I58" s="15">
        <f>SUMIFS(_CALC_ALLOC!$AR$1:$AR$175,_CALC_ALLOC!$A$1:$A$175,"2026",_CALC_ALLOC!$B$1:$B$175,"ISCOM_TLS",_CALC_ALLOC!$D$1:$D$175,"BAC_COM",_CALC_ALLOC!$E$1:$E$175,"B2",_CALC_ALLOC!$F$1:$F$175,"ALT")</f>
        <v>0</v>
      </c>
      <c r="J58" s="15">
        <f>SUMIFS(_CALC_ALLOC!$AM$1:$AM$175,_CALC_ALLOC!$A$1:$A$175,"2026",_CALC_ALLOC!$B$1:$B$175,"ISCOM_TLS",_CALC_ALLOC!$D$1:$D$175,"BAC_COM",_CALC_ALLOC!$E$1:$E$175,"B2",_CALC_ALLOC!$F$1:$F$175,"ALT")</f>
        <v>0</v>
      </c>
      <c r="K58" s="19">
        <f t="shared" si="2"/>
        <v>0</v>
      </c>
      <c r="L58" s="22">
        <f>SUMIFS(_CALC_ALLOC!$AN$1:$AN$175,_CALC_ALLOC!$A$1:$A$175,"2026",_CALC_ALLOC!$B$1:$B$175,"ISCOM_TLS",_CALC_ALLOC!$D$1:$D$175,"BAC_COM",_CALC_ALLOC!$E$1:$E$175,"B2",_CALC_ALLOC!$F$1:$F$175,"ALT")</f>
        <v>0</v>
      </c>
      <c r="M58" s="17">
        <f t="shared" si="3"/>
        <v>0</v>
      </c>
    </row>
    <row r="59" spans="2:13" outlineLevel="2" x14ac:dyDescent="0.45">
      <c r="B59" s="7" t="s">
        <v>52</v>
      </c>
      <c r="C59" s="16">
        <f>SUMIFS(_CALC_ALLOC!$G$1:$G$175,_CALC_ALLOC!$A$1:$A$175,"2026",_CALC_ALLOC!$B$1:$B$175,"ISCOM_TLS",_CALC_ALLOC!$D$1:$D$175,"BAC_COM",_CALC_ALLOC!$E$1:$E$175,"B3",_CALC_ALLOC!$F$1:$F$175,"ALT")</f>
        <v>0</v>
      </c>
      <c r="D59" s="15">
        <f>SUMIFS(_CALC_ALLOC!$I$1:$I$175,_CALC_ALLOC!$A$1:$A$175,"2026",_CALC_ALLOC!$B$1:$B$175,"ISCOM_TLS",_CALC_ALLOC!$D$1:$D$175,"BAC_COM",_CALC_ALLOC!$E$1:$E$175,"B3",_CALC_ALLOC!$F$1:$F$175,"ALT")</f>
        <v>0</v>
      </c>
      <c r="E59" s="15">
        <f>SUMIFS(_CALC_ALLOC!$AI$1:$AI$175,_CALC_ALLOC!$A$1:$A$175,"2026",_CALC_ALLOC!$B$1:$B$175,"ISCOM_TLS",_CALC_ALLOC!$D$1:$D$175,"BAC_COM",_CALC_ALLOC!$E$1:$E$175,"B3",_CALC_ALLOC!$F$1:$F$175,"ALT")</f>
        <v>0</v>
      </c>
      <c r="F59" s="15">
        <f>SUMIFS(_CALC_ALLOC!$AJ$1:$AJ$175,_CALC_ALLOC!$A$1:$A$175,"2026",_CALC_ALLOC!$B$1:$B$175,"ISCOM_TLS",_CALC_ALLOC!$D$1:$D$175,"BAC_COM",_CALC_ALLOC!$E$1:$E$175,"B3",_CALC_ALLOC!$F$1:$F$175,"ALT")</f>
        <v>0</v>
      </c>
      <c r="G59" s="15">
        <f>SUMIFS(_CALC_ALLOC!$AK$1:$AK$175,_CALC_ALLOC!$A$1:$A$175,"2026",_CALC_ALLOC!$B$1:$B$175,"ISCOM_TLS",_CALC_ALLOC!$D$1:$D$175,"BAC_COM",_CALC_ALLOC!$E$1:$E$175,"B3",_CALC_ALLOC!$F$1:$F$175,"ALT")</f>
        <v>0</v>
      </c>
      <c r="H59" s="15">
        <f>SUMIFS(_CALC_ALLOC!$AL$1:$AL$175,_CALC_ALLOC!$A$1:$A$175,"2026",_CALC_ALLOC!$B$1:$B$175,"ISCOM_TLS",_CALC_ALLOC!$D$1:$D$175,"BAC_COM",_CALC_ALLOC!$E$1:$E$175,"B3",_CALC_ALLOC!$F$1:$F$175,"ALT")</f>
        <v>0</v>
      </c>
      <c r="I59" s="15">
        <f>SUMIFS(_CALC_ALLOC!$AR$1:$AR$175,_CALC_ALLOC!$A$1:$A$175,"2026",_CALC_ALLOC!$B$1:$B$175,"ISCOM_TLS",_CALC_ALLOC!$D$1:$D$175,"BAC_COM",_CALC_ALLOC!$E$1:$E$175,"B3",_CALC_ALLOC!$F$1:$F$175,"ALT")</f>
        <v>0</v>
      </c>
      <c r="J59" s="15">
        <f>SUMIFS(_CALC_ALLOC!$AM$1:$AM$175,_CALC_ALLOC!$A$1:$A$175,"2026",_CALC_ALLOC!$B$1:$B$175,"ISCOM_TLS",_CALC_ALLOC!$D$1:$D$175,"BAC_COM",_CALC_ALLOC!$E$1:$E$175,"B3",_CALC_ALLOC!$F$1:$F$175,"ALT")</f>
        <v>0</v>
      </c>
      <c r="K59" s="19">
        <f t="shared" si="2"/>
        <v>0</v>
      </c>
      <c r="L59" s="22">
        <f>SUMIFS(_CALC_ALLOC!$AN$1:$AN$175,_CALC_ALLOC!$A$1:$A$175,"2026",_CALC_ALLOC!$B$1:$B$175,"ISCOM_TLS",_CALC_ALLOC!$D$1:$D$175,"BAC_COM",_CALC_ALLOC!$E$1:$E$175,"B3",_CALC_ALLOC!$F$1:$F$175,"ALT")</f>
        <v>0</v>
      </c>
      <c r="M59" s="17">
        <f t="shared" si="3"/>
        <v>0</v>
      </c>
    </row>
    <row r="60" spans="2:13" outlineLevel="2" x14ac:dyDescent="0.45">
      <c r="B60" s="7" t="s">
        <v>53</v>
      </c>
      <c r="C60" s="16">
        <f>SUMIFS(_CALC_ALLOC!$G$1:$G$175,_CALC_ALLOC!$A$1:$A$175,"2026",_CALC_ALLOC!$B$1:$B$175,"ISCOM_TLS",_CALC_ALLOC!$D$1:$D$175,"MAS_COM",_CALC_ALLOC!$E$1:$E$175,"M1",_CALC_ALLOC!$F$1:$F$175,"ALT")</f>
        <v>0</v>
      </c>
      <c r="D60" s="15">
        <f>SUMIFS(_CALC_ALLOC!$I$1:$I$175,_CALC_ALLOC!$A$1:$A$175,"2026",_CALC_ALLOC!$B$1:$B$175,"ISCOM_TLS",_CALC_ALLOC!$D$1:$D$175,"MAS_COM",_CALC_ALLOC!$E$1:$E$175,"M1",_CALC_ALLOC!$F$1:$F$175,"ALT")</f>
        <v>0</v>
      </c>
      <c r="E60" s="15">
        <f>SUMIFS(_CALC_ALLOC!$AI$1:$AI$175,_CALC_ALLOC!$A$1:$A$175,"2026",_CALC_ALLOC!$B$1:$B$175,"ISCOM_TLS",_CALC_ALLOC!$D$1:$D$175,"MAS_COM",_CALC_ALLOC!$E$1:$E$175,"M1",_CALC_ALLOC!$F$1:$F$175,"ALT")</f>
        <v>0</v>
      </c>
      <c r="F60" s="15">
        <f>SUMIFS(_CALC_ALLOC!$AJ$1:$AJ$175,_CALC_ALLOC!$A$1:$A$175,"2026",_CALC_ALLOC!$B$1:$B$175,"ISCOM_TLS",_CALC_ALLOC!$D$1:$D$175,"MAS_COM",_CALC_ALLOC!$E$1:$E$175,"M1",_CALC_ALLOC!$F$1:$F$175,"ALT")</f>
        <v>0</v>
      </c>
      <c r="G60" s="15">
        <f>SUMIFS(_CALC_ALLOC!$AK$1:$AK$175,_CALC_ALLOC!$A$1:$A$175,"2026",_CALC_ALLOC!$B$1:$B$175,"ISCOM_TLS",_CALC_ALLOC!$D$1:$D$175,"MAS_COM",_CALC_ALLOC!$E$1:$E$175,"M1",_CALC_ALLOC!$F$1:$F$175,"ALT")</f>
        <v>0</v>
      </c>
      <c r="H60" s="15">
        <f>SUMIFS(_CALC_ALLOC!$AL$1:$AL$175,_CALC_ALLOC!$A$1:$A$175,"2026",_CALC_ALLOC!$B$1:$B$175,"ISCOM_TLS",_CALC_ALLOC!$D$1:$D$175,"MAS_COM",_CALC_ALLOC!$E$1:$E$175,"M1",_CALC_ALLOC!$F$1:$F$175,"ALT")</f>
        <v>0</v>
      </c>
      <c r="I60" s="15">
        <f>SUMIFS(_CALC_ALLOC!$AR$1:$AR$175,_CALC_ALLOC!$A$1:$A$175,"2026",_CALC_ALLOC!$B$1:$B$175,"ISCOM_TLS",_CALC_ALLOC!$D$1:$D$175,"MAS_COM",_CALC_ALLOC!$E$1:$E$175,"M1",_CALC_ALLOC!$F$1:$F$175,"ALT")</f>
        <v>0</v>
      </c>
      <c r="J60" s="15">
        <f>SUMIFS(_CALC_ALLOC!$AM$1:$AM$175,_CALC_ALLOC!$A$1:$A$175,"2026",_CALC_ALLOC!$B$1:$B$175,"ISCOM_TLS",_CALC_ALLOC!$D$1:$D$175,"MAS_COM",_CALC_ALLOC!$E$1:$E$175,"M1",_CALC_ALLOC!$F$1:$F$175,"ALT")</f>
        <v>0</v>
      </c>
      <c r="K60" s="19">
        <f t="shared" si="2"/>
        <v>0</v>
      </c>
      <c r="L60" s="22">
        <f>SUMIFS(_CALC_ALLOC!$AN$1:$AN$175,_CALC_ALLOC!$A$1:$A$175,"2026",_CALC_ALLOC!$B$1:$B$175,"ISCOM_TLS",_CALC_ALLOC!$D$1:$D$175,"MAS_COM",_CALC_ALLOC!$E$1:$E$175,"M1",_CALC_ALLOC!$F$1:$F$175,"ALT")</f>
        <v>0</v>
      </c>
      <c r="M60" s="17">
        <f t="shared" si="3"/>
        <v>0</v>
      </c>
    </row>
    <row r="61" spans="2:13" outlineLevel="2" x14ac:dyDescent="0.45">
      <c r="B61" s="7" t="s">
        <v>54</v>
      </c>
      <c r="C61" s="16">
        <f>SUMIFS(_CALC_ALLOC!$G$1:$G$175,_CALC_ALLOC!$A$1:$A$175,"2026",_CALC_ALLOC!$B$1:$B$175,"ISCOM_TLS",_CALC_ALLOC!$D$1:$D$175,"MAS_COM",_CALC_ALLOC!$E$1:$E$175,"M2",_CALC_ALLOC!$F$1:$F$175,"ALT")</f>
        <v>0</v>
      </c>
      <c r="D61" s="15">
        <f>SUMIFS(_CALC_ALLOC!$I$1:$I$175,_CALC_ALLOC!$A$1:$A$175,"2026",_CALC_ALLOC!$B$1:$B$175,"ISCOM_TLS",_CALC_ALLOC!$D$1:$D$175,"MAS_COM",_CALC_ALLOC!$E$1:$E$175,"M2",_CALC_ALLOC!$F$1:$F$175,"ALT")</f>
        <v>0</v>
      </c>
      <c r="E61" s="15">
        <f>SUMIFS(_CALC_ALLOC!$AI$1:$AI$175,_CALC_ALLOC!$A$1:$A$175,"2026",_CALC_ALLOC!$B$1:$B$175,"ISCOM_TLS",_CALC_ALLOC!$D$1:$D$175,"MAS_COM",_CALC_ALLOC!$E$1:$E$175,"M2",_CALC_ALLOC!$F$1:$F$175,"ALT")</f>
        <v>0</v>
      </c>
      <c r="F61" s="15">
        <f>SUMIFS(_CALC_ALLOC!$AJ$1:$AJ$175,_CALC_ALLOC!$A$1:$A$175,"2026",_CALC_ALLOC!$B$1:$B$175,"ISCOM_TLS",_CALC_ALLOC!$D$1:$D$175,"MAS_COM",_CALC_ALLOC!$E$1:$E$175,"M2",_CALC_ALLOC!$F$1:$F$175,"ALT")</f>
        <v>0</v>
      </c>
      <c r="G61" s="15">
        <f>SUMIFS(_CALC_ALLOC!$AK$1:$AK$175,_CALC_ALLOC!$A$1:$A$175,"2026",_CALC_ALLOC!$B$1:$B$175,"ISCOM_TLS",_CALC_ALLOC!$D$1:$D$175,"MAS_COM",_CALC_ALLOC!$E$1:$E$175,"M2",_CALC_ALLOC!$F$1:$F$175,"ALT")</f>
        <v>0</v>
      </c>
      <c r="H61" s="15">
        <f>SUMIFS(_CALC_ALLOC!$AL$1:$AL$175,_CALC_ALLOC!$A$1:$A$175,"2026",_CALC_ALLOC!$B$1:$B$175,"ISCOM_TLS",_CALC_ALLOC!$D$1:$D$175,"MAS_COM",_CALC_ALLOC!$E$1:$E$175,"M2",_CALC_ALLOC!$F$1:$F$175,"ALT")</f>
        <v>0</v>
      </c>
      <c r="I61" s="15">
        <f>SUMIFS(_CALC_ALLOC!$AR$1:$AR$175,_CALC_ALLOC!$A$1:$A$175,"2026",_CALC_ALLOC!$B$1:$B$175,"ISCOM_TLS",_CALC_ALLOC!$D$1:$D$175,"MAS_COM",_CALC_ALLOC!$E$1:$E$175,"M2",_CALC_ALLOC!$F$1:$F$175,"ALT")</f>
        <v>0</v>
      </c>
      <c r="J61" s="15">
        <f>SUMIFS(_CALC_ALLOC!$AM$1:$AM$175,_CALC_ALLOC!$A$1:$A$175,"2026",_CALC_ALLOC!$B$1:$B$175,"ISCOM_TLS",_CALC_ALLOC!$D$1:$D$175,"MAS_COM",_CALC_ALLOC!$E$1:$E$175,"M2",_CALC_ALLOC!$F$1:$F$175,"ALT")</f>
        <v>0</v>
      </c>
      <c r="K61" s="19">
        <f t="shared" si="2"/>
        <v>0</v>
      </c>
      <c r="L61" s="22">
        <f>SUMIFS(_CALC_ALLOC!$AN$1:$AN$175,_CALC_ALLOC!$A$1:$A$175,"2026",_CALC_ALLOC!$B$1:$B$175,"ISCOM_TLS",_CALC_ALLOC!$D$1:$D$175,"MAS_COM",_CALC_ALLOC!$E$1:$E$175,"M2",_CALC_ALLOC!$F$1:$F$175,"ALT")</f>
        <v>0</v>
      </c>
      <c r="M61" s="17">
        <f t="shared" si="3"/>
        <v>0</v>
      </c>
    </row>
    <row r="62" spans="2:13" x14ac:dyDescent="0.45">
      <c r="B62" s="9" t="s">
        <v>28</v>
      </c>
      <c r="C62" s="18">
        <f>SUMIFS(_CALC_ALLOC!$G$1:$G$175,_CALC_ALLOC!$A$1:$A$175,"2026",_CALC_ALLOC!$C$1:$C$175,"IPAC")</f>
        <v>0</v>
      </c>
      <c r="D62" s="19">
        <f>SUMIFS(_CALC_ALLOC!$I$1:$I$175,_CALC_ALLOC!$A$1:$A$175,"2026",_CALC_ALLOC!$C$1:$C$175,"IPAC")</f>
        <v>0</v>
      </c>
      <c r="E62" s="19">
        <f>SUMIFS(_CALC_ALLOC!$AI$1:$AI$175,_CALC_ALLOC!$A$1:$A$175,"2026",_CALC_ALLOC!$C$1:$C$175,"IPAC")</f>
        <v>0</v>
      </c>
      <c r="F62" s="19">
        <f>SUMIFS(_CALC_ALLOC!$AJ$1:$AJ$175,_CALC_ALLOC!$A$1:$A$175,"2026",_CALC_ALLOC!$C$1:$C$175,"IPAC")</f>
        <v>0</v>
      </c>
      <c r="G62" s="19">
        <f>SUMIFS(_CALC_ALLOC!$AK$1:$AK$175,_CALC_ALLOC!$A$1:$A$175,"2026",_CALC_ALLOC!$C$1:$C$175,"IPAC")</f>
        <v>0</v>
      </c>
      <c r="H62" s="19">
        <f>SUMIFS(_CALC_ALLOC!$AL$1:$AL$175,_CALC_ALLOC!$A$1:$A$175,"2026",_CALC_ALLOC!$C$1:$C$175,"IPAC")</f>
        <v>0</v>
      </c>
      <c r="I62" s="19">
        <f>SUMIFS(_CALC_ALLOC!$AR$1:$AR$175,_CALC_ALLOC!$A$1:$A$175,"2026",_CALC_ALLOC!$C$1:$C$175,"IPAC")</f>
        <v>0</v>
      </c>
      <c r="J62" s="19">
        <f>SUMIFS(_CALC_ALLOC!$AM$1:$AM$175,_CALC_ALLOC!$A$1:$A$175,"2026",_CALC_ALLOC!$C$1:$C$175,"IPAC")</f>
        <v>0</v>
      </c>
      <c r="K62" s="19">
        <f t="shared" si="2"/>
        <v>0</v>
      </c>
      <c r="L62" s="21">
        <f>SUMIFS(_CALC_ALLOC!$AN$1:$AN$175,_CALC_ALLOC!$A$1:$A$175,"2026",_CALC_ALLOC!$C$1:$C$175,"IPAC")</f>
        <v>0</v>
      </c>
      <c r="M62" s="20">
        <f t="shared" si="3"/>
        <v>0</v>
      </c>
    </row>
    <row r="63" spans="2:13" outlineLevel="1" collapsed="1" x14ac:dyDescent="0.45">
      <c r="B63" s="6" t="s">
        <v>57</v>
      </c>
      <c r="C63" s="18">
        <f>SUMIFS(_CALC_ALLOC!$G$1:$G$175,_CALC_ALLOC!$A$1:$A$175,"2026",_CALC_ALLOC!$B$1:$B$175,"IPAC_NAN")</f>
        <v>0</v>
      </c>
      <c r="D63" s="19">
        <f>SUMIFS(_CALC_ALLOC!$I$1:$I$175,_CALC_ALLOC!$A$1:$A$175,"2026",_CALC_ALLOC!$B$1:$B$175,"IPAC_NAN")</f>
        <v>0</v>
      </c>
      <c r="E63" s="19">
        <f>SUMIFS(_CALC_ALLOC!$AI$1:$AI$175,_CALC_ALLOC!$A$1:$A$175,"2026",_CALC_ALLOC!$B$1:$B$175,"IPAC_NAN")</f>
        <v>0</v>
      </c>
      <c r="F63" s="19">
        <f>SUMIFS(_CALC_ALLOC!$AJ$1:$AJ$175,_CALC_ALLOC!$A$1:$A$175,"2026",_CALC_ALLOC!$B$1:$B$175,"IPAC_NAN")</f>
        <v>0</v>
      </c>
      <c r="G63" s="19">
        <f>SUMIFS(_CALC_ALLOC!$AK$1:$AK$175,_CALC_ALLOC!$A$1:$A$175,"2026",_CALC_ALLOC!$B$1:$B$175,"IPAC_NAN")</f>
        <v>0</v>
      </c>
      <c r="H63" s="19">
        <f>SUMIFS(_CALC_ALLOC!$AL$1:$AL$175,_CALC_ALLOC!$A$1:$A$175,"2026",_CALC_ALLOC!$B$1:$B$175,"IPAC_NAN")</f>
        <v>0</v>
      </c>
      <c r="I63" s="19">
        <f>SUMIFS(_CALC_ALLOC!$AR$1:$AR$175,_CALC_ALLOC!$A$1:$A$175,"2026",_CALC_ALLOC!$B$1:$B$175,"IPAC_NAN")</f>
        <v>0</v>
      </c>
      <c r="J63" s="19">
        <f>SUMIFS(_CALC_ALLOC!$AM$1:$AM$175,_CALC_ALLOC!$A$1:$A$175,"2026",_CALC_ALLOC!$B$1:$B$175,"IPAC_NAN")</f>
        <v>0</v>
      </c>
      <c r="K63" s="19">
        <f t="shared" si="2"/>
        <v>0</v>
      </c>
      <c r="L63" s="21">
        <f>SUMIFS(_CALC_ALLOC!$AN$1:$AN$175,_CALC_ALLOC!$A$1:$A$175,"2026",_CALC_ALLOC!$B$1:$B$175,"IPAC_NAN")</f>
        <v>0</v>
      </c>
      <c r="M63" s="20">
        <f t="shared" si="3"/>
        <v>0</v>
      </c>
    </row>
    <row r="64" spans="2:13" outlineLevel="2" x14ac:dyDescent="0.45">
      <c r="B64" s="7" t="s">
        <v>58</v>
      </c>
      <c r="C64" s="16">
        <f>SUMIFS(_CALC_ALLOC!$G$1:$G$175,_CALC_ALLOC!$A$1:$A$175,"2026",_CALC_ALLOC!$B$1:$B$175,"IPAC_NAN",_CALC_ALLOC!$D$1:$D$175,"BAC_CCE",_CALC_ALLOC!$E$1:$E$175,"B1",_CALC_ALLOC!$F$1:$F$175,"ALT")</f>
        <v>0</v>
      </c>
      <c r="D64" s="15">
        <f>SUMIFS(_CALC_ALLOC!$I$1:$I$175,_CALC_ALLOC!$A$1:$A$175,"2026",_CALC_ALLOC!$B$1:$B$175,"IPAC_NAN",_CALC_ALLOC!$D$1:$D$175,"BAC_CCE",_CALC_ALLOC!$E$1:$E$175,"B1",_CALC_ALLOC!$F$1:$F$175,"ALT")</f>
        <v>0</v>
      </c>
      <c r="E64" s="15">
        <f>SUMIFS(_CALC_ALLOC!$AI$1:$AI$175,_CALC_ALLOC!$A$1:$A$175,"2026",_CALC_ALLOC!$B$1:$B$175,"IPAC_NAN",_CALC_ALLOC!$D$1:$D$175,"BAC_CCE",_CALC_ALLOC!$E$1:$E$175,"B1",_CALC_ALLOC!$F$1:$F$175,"ALT")</f>
        <v>0</v>
      </c>
      <c r="F64" s="15">
        <f>SUMIFS(_CALC_ALLOC!$AJ$1:$AJ$175,_CALC_ALLOC!$A$1:$A$175,"2026",_CALC_ALLOC!$B$1:$B$175,"IPAC_NAN",_CALC_ALLOC!$D$1:$D$175,"BAC_CCE",_CALC_ALLOC!$E$1:$E$175,"B1",_CALC_ALLOC!$F$1:$F$175,"ALT")</f>
        <v>0</v>
      </c>
      <c r="G64" s="15">
        <f>SUMIFS(_CALC_ALLOC!$AK$1:$AK$175,_CALC_ALLOC!$A$1:$A$175,"2026",_CALC_ALLOC!$B$1:$B$175,"IPAC_NAN",_CALC_ALLOC!$D$1:$D$175,"BAC_CCE",_CALC_ALLOC!$E$1:$E$175,"B1",_CALC_ALLOC!$F$1:$F$175,"ALT")</f>
        <v>0</v>
      </c>
      <c r="H64" s="15">
        <f>SUMIFS(_CALC_ALLOC!$AL$1:$AL$175,_CALC_ALLOC!$A$1:$A$175,"2026",_CALC_ALLOC!$B$1:$B$175,"IPAC_NAN",_CALC_ALLOC!$D$1:$D$175,"BAC_CCE",_CALC_ALLOC!$E$1:$E$175,"B1",_CALC_ALLOC!$F$1:$F$175,"ALT")</f>
        <v>0</v>
      </c>
      <c r="I64" s="15">
        <f>SUMIFS(_CALC_ALLOC!$AR$1:$AR$175,_CALC_ALLOC!$A$1:$A$175,"2026",_CALC_ALLOC!$B$1:$B$175,"IPAC_NAN",_CALC_ALLOC!$D$1:$D$175,"BAC_CCE",_CALC_ALLOC!$E$1:$E$175,"B1",_CALC_ALLOC!$F$1:$F$175,"ALT")</f>
        <v>0</v>
      </c>
      <c r="J64" s="15">
        <f>SUMIFS(_CALC_ALLOC!$AM$1:$AM$175,_CALC_ALLOC!$A$1:$A$175,"2026",_CALC_ALLOC!$B$1:$B$175,"IPAC_NAN",_CALC_ALLOC!$D$1:$D$175,"BAC_CCE",_CALC_ALLOC!$E$1:$E$175,"B1",_CALC_ALLOC!$F$1:$F$175,"ALT")</f>
        <v>0</v>
      </c>
      <c r="K64" s="19">
        <f t="shared" si="2"/>
        <v>0</v>
      </c>
      <c r="L64" s="22">
        <f>SUMIFS(_CALC_ALLOC!$AN$1:$AN$175,_CALC_ALLOC!$A$1:$A$175,"2026",_CALC_ALLOC!$B$1:$B$175,"IPAC_NAN",_CALC_ALLOC!$D$1:$D$175,"BAC_CCE",_CALC_ALLOC!$E$1:$E$175,"B1",_CALC_ALLOC!$F$1:$F$175,"ALT")</f>
        <v>0</v>
      </c>
      <c r="M64" s="17">
        <f t="shared" si="3"/>
        <v>0</v>
      </c>
    </row>
    <row r="65" spans="2:13" outlineLevel="2" x14ac:dyDescent="0.45">
      <c r="B65" s="7" t="s">
        <v>59</v>
      </c>
      <c r="C65" s="16">
        <f>SUMIFS(_CALC_ALLOC!$G$1:$G$175,_CALC_ALLOC!$A$1:$A$175,"2026",_CALC_ALLOC!$B$1:$B$175,"IPAC_NAN",_CALC_ALLOC!$D$1:$D$175,"BAC_CCE",_CALC_ALLOC!$E$1:$E$175,"B2",_CALC_ALLOC!$F$1:$F$175,"ALT")</f>
        <v>0</v>
      </c>
      <c r="D65" s="15">
        <f>SUMIFS(_CALC_ALLOC!$I$1:$I$175,_CALC_ALLOC!$A$1:$A$175,"2026",_CALC_ALLOC!$B$1:$B$175,"IPAC_NAN",_CALC_ALLOC!$D$1:$D$175,"BAC_CCE",_CALC_ALLOC!$E$1:$E$175,"B2",_CALC_ALLOC!$F$1:$F$175,"ALT")</f>
        <v>0</v>
      </c>
      <c r="E65" s="15">
        <f>SUMIFS(_CALC_ALLOC!$AI$1:$AI$175,_CALC_ALLOC!$A$1:$A$175,"2026",_CALC_ALLOC!$B$1:$B$175,"IPAC_NAN",_CALC_ALLOC!$D$1:$D$175,"BAC_CCE",_CALC_ALLOC!$E$1:$E$175,"B2",_CALC_ALLOC!$F$1:$F$175,"ALT")</f>
        <v>0</v>
      </c>
      <c r="F65" s="15">
        <f>SUMIFS(_CALC_ALLOC!$AJ$1:$AJ$175,_CALC_ALLOC!$A$1:$A$175,"2026",_CALC_ALLOC!$B$1:$B$175,"IPAC_NAN",_CALC_ALLOC!$D$1:$D$175,"BAC_CCE",_CALC_ALLOC!$E$1:$E$175,"B2",_CALC_ALLOC!$F$1:$F$175,"ALT")</f>
        <v>0</v>
      </c>
      <c r="G65" s="15">
        <f>SUMIFS(_CALC_ALLOC!$AK$1:$AK$175,_CALC_ALLOC!$A$1:$A$175,"2026",_CALC_ALLOC!$B$1:$B$175,"IPAC_NAN",_CALC_ALLOC!$D$1:$D$175,"BAC_CCE",_CALC_ALLOC!$E$1:$E$175,"B2",_CALC_ALLOC!$F$1:$F$175,"ALT")</f>
        <v>0</v>
      </c>
      <c r="H65" s="15">
        <f>SUMIFS(_CALC_ALLOC!$AL$1:$AL$175,_CALC_ALLOC!$A$1:$A$175,"2026",_CALC_ALLOC!$B$1:$B$175,"IPAC_NAN",_CALC_ALLOC!$D$1:$D$175,"BAC_CCE",_CALC_ALLOC!$E$1:$E$175,"B2",_CALC_ALLOC!$F$1:$F$175,"ALT")</f>
        <v>0</v>
      </c>
      <c r="I65" s="15">
        <f>SUMIFS(_CALC_ALLOC!$AR$1:$AR$175,_CALC_ALLOC!$A$1:$A$175,"2026",_CALC_ALLOC!$B$1:$B$175,"IPAC_NAN",_CALC_ALLOC!$D$1:$D$175,"BAC_CCE",_CALC_ALLOC!$E$1:$E$175,"B2",_CALC_ALLOC!$F$1:$F$175,"ALT")</f>
        <v>0</v>
      </c>
      <c r="J65" s="15">
        <f>SUMIFS(_CALC_ALLOC!$AM$1:$AM$175,_CALC_ALLOC!$A$1:$A$175,"2026",_CALC_ALLOC!$B$1:$B$175,"IPAC_NAN",_CALC_ALLOC!$D$1:$D$175,"BAC_CCE",_CALC_ALLOC!$E$1:$E$175,"B2",_CALC_ALLOC!$F$1:$F$175,"ALT")</f>
        <v>0</v>
      </c>
      <c r="K65" s="19">
        <f t="shared" si="2"/>
        <v>0</v>
      </c>
      <c r="L65" s="22">
        <f>SUMIFS(_CALC_ALLOC!$AN$1:$AN$175,_CALC_ALLOC!$A$1:$A$175,"2026",_CALC_ALLOC!$B$1:$B$175,"IPAC_NAN",_CALC_ALLOC!$D$1:$D$175,"BAC_CCE",_CALC_ALLOC!$E$1:$E$175,"B2",_CALC_ALLOC!$F$1:$F$175,"ALT")</f>
        <v>0</v>
      </c>
      <c r="M65" s="17">
        <f t="shared" si="3"/>
        <v>0</v>
      </c>
    </row>
    <row r="66" spans="2:13" outlineLevel="2" x14ac:dyDescent="0.45">
      <c r="B66" s="7" t="s">
        <v>60</v>
      </c>
      <c r="C66" s="16">
        <f>SUMIFS(_CALC_ALLOC!$G$1:$G$175,_CALC_ALLOC!$A$1:$A$175,"2026",_CALC_ALLOC!$B$1:$B$175,"IPAC_NAN",_CALC_ALLOC!$D$1:$D$175,"BAC_CCE",_CALC_ALLOC!$E$1:$E$175,"B3",_CALC_ALLOC!$F$1:$F$175,"ALT")</f>
        <v>0</v>
      </c>
      <c r="D66" s="15">
        <f>SUMIFS(_CALC_ALLOC!$I$1:$I$175,_CALC_ALLOC!$A$1:$A$175,"2026",_CALC_ALLOC!$B$1:$B$175,"IPAC_NAN",_CALC_ALLOC!$D$1:$D$175,"BAC_CCE",_CALC_ALLOC!$E$1:$E$175,"B3",_CALC_ALLOC!$F$1:$F$175,"ALT")</f>
        <v>0</v>
      </c>
      <c r="E66" s="15">
        <f>SUMIFS(_CALC_ALLOC!$AI$1:$AI$175,_CALC_ALLOC!$A$1:$A$175,"2026",_CALC_ALLOC!$B$1:$B$175,"IPAC_NAN",_CALC_ALLOC!$D$1:$D$175,"BAC_CCE",_CALC_ALLOC!$E$1:$E$175,"B3",_CALC_ALLOC!$F$1:$F$175,"ALT")</f>
        <v>0</v>
      </c>
      <c r="F66" s="15">
        <f>SUMIFS(_CALC_ALLOC!$AJ$1:$AJ$175,_CALC_ALLOC!$A$1:$A$175,"2026",_CALC_ALLOC!$B$1:$B$175,"IPAC_NAN",_CALC_ALLOC!$D$1:$D$175,"BAC_CCE",_CALC_ALLOC!$E$1:$E$175,"B3",_CALC_ALLOC!$F$1:$F$175,"ALT")</f>
        <v>0</v>
      </c>
      <c r="G66" s="15">
        <f>SUMIFS(_CALC_ALLOC!$AK$1:$AK$175,_CALC_ALLOC!$A$1:$A$175,"2026",_CALC_ALLOC!$B$1:$B$175,"IPAC_NAN",_CALC_ALLOC!$D$1:$D$175,"BAC_CCE",_CALC_ALLOC!$E$1:$E$175,"B3",_CALC_ALLOC!$F$1:$F$175,"ALT")</f>
        <v>0</v>
      </c>
      <c r="H66" s="15">
        <f>SUMIFS(_CALC_ALLOC!$AL$1:$AL$175,_CALC_ALLOC!$A$1:$A$175,"2026",_CALC_ALLOC!$B$1:$B$175,"IPAC_NAN",_CALC_ALLOC!$D$1:$D$175,"BAC_CCE",_CALC_ALLOC!$E$1:$E$175,"B3",_CALC_ALLOC!$F$1:$F$175,"ALT")</f>
        <v>0</v>
      </c>
      <c r="I66" s="15">
        <f>SUMIFS(_CALC_ALLOC!$AR$1:$AR$175,_CALC_ALLOC!$A$1:$A$175,"2026",_CALC_ALLOC!$B$1:$B$175,"IPAC_NAN",_CALC_ALLOC!$D$1:$D$175,"BAC_CCE",_CALC_ALLOC!$E$1:$E$175,"B3",_CALC_ALLOC!$F$1:$F$175,"ALT")</f>
        <v>0</v>
      </c>
      <c r="J66" s="15">
        <f>SUMIFS(_CALC_ALLOC!$AM$1:$AM$175,_CALC_ALLOC!$A$1:$A$175,"2026",_CALC_ALLOC!$B$1:$B$175,"IPAC_NAN",_CALC_ALLOC!$D$1:$D$175,"BAC_CCE",_CALC_ALLOC!$E$1:$E$175,"B3",_CALC_ALLOC!$F$1:$F$175,"ALT")</f>
        <v>0</v>
      </c>
      <c r="K66" s="19">
        <f t="shared" si="2"/>
        <v>0</v>
      </c>
      <c r="L66" s="22">
        <f>SUMIFS(_CALC_ALLOC!$AN$1:$AN$175,_CALC_ALLOC!$A$1:$A$175,"2026",_CALC_ALLOC!$B$1:$B$175,"IPAC_NAN",_CALC_ALLOC!$D$1:$D$175,"BAC_CCE",_CALC_ALLOC!$E$1:$E$175,"B3",_CALC_ALLOC!$F$1:$F$175,"ALT")</f>
        <v>0</v>
      </c>
      <c r="M66" s="17">
        <f t="shared" si="3"/>
        <v>0</v>
      </c>
    </row>
    <row r="67" spans="2:13" outlineLevel="1" x14ac:dyDescent="0.45">
      <c r="B67" s="6" t="s">
        <v>61</v>
      </c>
      <c r="C67" s="18">
        <f>SUMIFS(_CALC_ALLOC!$G$1:$G$175,_CALC_ALLOC!$A$1:$A$175,"2026",_CALC_ALLOC!$B$1:$B$175,"IPAC_REN")</f>
        <v>0</v>
      </c>
      <c r="D67" s="19">
        <f>SUMIFS(_CALC_ALLOC!$I$1:$I$175,_CALC_ALLOC!$A$1:$A$175,"2026",_CALC_ALLOC!$B$1:$B$175,"IPAC_REN")</f>
        <v>0</v>
      </c>
      <c r="E67" s="19">
        <f>SUMIFS(_CALC_ALLOC!$AI$1:$AI$175,_CALC_ALLOC!$A$1:$A$175,"2026",_CALC_ALLOC!$B$1:$B$175,"IPAC_REN")</f>
        <v>0</v>
      </c>
      <c r="F67" s="19">
        <f>SUMIFS(_CALC_ALLOC!$AJ$1:$AJ$175,_CALC_ALLOC!$A$1:$A$175,"2026",_CALC_ALLOC!$B$1:$B$175,"IPAC_REN")</f>
        <v>0</v>
      </c>
      <c r="G67" s="19">
        <f>SUMIFS(_CALC_ALLOC!$AK$1:$AK$175,_CALC_ALLOC!$A$1:$A$175,"2026",_CALC_ALLOC!$B$1:$B$175,"IPAC_REN")</f>
        <v>0</v>
      </c>
      <c r="H67" s="19">
        <f>SUMIFS(_CALC_ALLOC!$AL$1:$AL$175,_CALC_ALLOC!$A$1:$A$175,"2026",_CALC_ALLOC!$B$1:$B$175,"IPAC_REN")</f>
        <v>0</v>
      </c>
      <c r="I67" s="19">
        <f>SUMIFS(_CALC_ALLOC!$AR$1:$AR$175,_CALC_ALLOC!$A$1:$A$175,"2026",_CALC_ALLOC!$B$1:$B$175,"IPAC_REN")</f>
        <v>0</v>
      </c>
      <c r="J67" s="19">
        <f>SUMIFS(_CALC_ALLOC!$AM$1:$AM$175,_CALC_ALLOC!$A$1:$A$175,"2026",_CALC_ALLOC!$B$1:$B$175,"IPAC_REN")</f>
        <v>0</v>
      </c>
      <c r="K67" s="19">
        <f t="shared" si="2"/>
        <v>0</v>
      </c>
      <c r="L67" s="21">
        <f>SUMIFS(_CALC_ALLOC!$AN$1:$AN$175,_CALC_ALLOC!$A$1:$A$175,"2026",_CALC_ALLOC!$B$1:$B$175,"IPAC_REN")</f>
        <v>0</v>
      </c>
      <c r="M67" s="20">
        <f t="shared" si="3"/>
        <v>0</v>
      </c>
    </row>
    <row r="68" spans="2:13" outlineLevel="2" x14ac:dyDescent="0.45">
      <c r="B68" s="7" t="s">
        <v>58</v>
      </c>
      <c r="C68" s="16">
        <f>SUMIFS(_CALC_ALLOC!$G$1:$G$175,_CALC_ALLOC!$A$1:$A$175,"2026",_CALC_ALLOC!$B$1:$B$175,"IPAC_REN",_CALC_ALLOC!$D$1:$D$175,"BAC_CCE",_CALC_ALLOC!$E$1:$E$175,"B1",_CALC_ALLOC!$F$1:$F$175,"ALT")</f>
        <v>0</v>
      </c>
      <c r="D68" s="15">
        <f>SUMIFS(_CALC_ALLOC!$I$1:$I$175,_CALC_ALLOC!$A$1:$A$175,"2026",_CALC_ALLOC!$B$1:$B$175,"IPAC_REN",_CALC_ALLOC!$D$1:$D$175,"BAC_CCE",_CALC_ALLOC!$E$1:$E$175,"B1",_CALC_ALLOC!$F$1:$F$175,"ALT")</f>
        <v>0</v>
      </c>
      <c r="E68" s="15">
        <f>SUMIFS(_CALC_ALLOC!$AI$1:$AI$175,_CALC_ALLOC!$A$1:$A$175,"2026",_CALC_ALLOC!$B$1:$B$175,"IPAC_REN",_CALC_ALLOC!$D$1:$D$175,"BAC_CCE",_CALC_ALLOC!$E$1:$E$175,"B1",_CALC_ALLOC!$F$1:$F$175,"ALT")</f>
        <v>0</v>
      </c>
      <c r="F68" s="15">
        <f>SUMIFS(_CALC_ALLOC!$AJ$1:$AJ$175,_CALC_ALLOC!$A$1:$A$175,"2026",_CALC_ALLOC!$B$1:$B$175,"IPAC_REN",_CALC_ALLOC!$D$1:$D$175,"BAC_CCE",_CALC_ALLOC!$E$1:$E$175,"B1",_CALC_ALLOC!$F$1:$F$175,"ALT")</f>
        <v>0</v>
      </c>
      <c r="G68" s="15">
        <f>SUMIFS(_CALC_ALLOC!$AK$1:$AK$175,_CALC_ALLOC!$A$1:$A$175,"2026",_CALC_ALLOC!$B$1:$B$175,"IPAC_REN",_CALC_ALLOC!$D$1:$D$175,"BAC_CCE",_CALC_ALLOC!$E$1:$E$175,"B1",_CALC_ALLOC!$F$1:$F$175,"ALT")</f>
        <v>0</v>
      </c>
      <c r="H68" s="15">
        <f>SUMIFS(_CALC_ALLOC!$AL$1:$AL$175,_CALC_ALLOC!$A$1:$A$175,"2026",_CALC_ALLOC!$B$1:$B$175,"IPAC_REN",_CALC_ALLOC!$D$1:$D$175,"BAC_CCE",_CALC_ALLOC!$E$1:$E$175,"B1",_CALC_ALLOC!$F$1:$F$175,"ALT")</f>
        <v>0</v>
      </c>
      <c r="I68" s="15">
        <f>SUMIFS(_CALC_ALLOC!$AR$1:$AR$175,_CALC_ALLOC!$A$1:$A$175,"2026",_CALC_ALLOC!$B$1:$B$175,"IPAC_REN",_CALC_ALLOC!$D$1:$D$175,"BAC_CCE",_CALC_ALLOC!$E$1:$E$175,"B1",_CALC_ALLOC!$F$1:$F$175,"ALT")</f>
        <v>0</v>
      </c>
      <c r="J68" s="15">
        <f>SUMIFS(_CALC_ALLOC!$AM$1:$AM$175,_CALC_ALLOC!$A$1:$A$175,"2026",_CALC_ALLOC!$B$1:$B$175,"IPAC_REN",_CALC_ALLOC!$D$1:$D$175,"BAC_CCE",_CALC_ALLOC!$E$1:$E$175,"B1",_CALC_ALLOC!$F$1:$F$175,"ALT")</f>
        <v>0</v>
      </c>
      <c r="K68" s="19">
        <f t="shared" si="2"/>
        <v>0</v>
      </c>
      <c r="L68" s="22">
        <f>SUMIFS(_CALC_ALLOC!$AN$1:$AN$175,_CALC_ALLOC!$A$1:$A$175,"2026",_CALC_ALLOC!$B$1:$B$175,"IPAC_REN",_CALC_ALLOC!$D$1:$D$175,"BAC_CCE",_CALC_ALLOC!$E$1:$E$175,"B1",_CALC_ALLOC!$F$1:$F$175,"ALT")</f>
        <v>0</v>
      </c>
      <c r="M68" s="17">
        <f t="shared" si="3"/>
        <v>0</v>
      </c>
    </row>
    <row r="69" spans="2:13" outlineLevel="2" x14ac:dyDescent="0.45">
      <c r="B69" s="7" t="s">
        <v>59</v>
      </c>
      <c r="C69" s="16">
        <f>SUMIFS(_CALC_ALLOC!$G$1:$G$175,_CALC_ALLOC!$A$1:$A$175,"2026",_CALC_ALLOC!$B$1:$B$175,"IPAC_REN",_CALC_ALLOC!$D$1:$D$175,"BAC_CCE",_CALC_ALLOC!$E$1:$E$175,"B2",_CALC_ALLOC!$F$1:$F$175,"ALT")</f>
        <v>0</v>
      </c>
      <c r="D69" s="15">
        <f>SUMIFS(_CALC_ALLOC!$I$1:$I$175,_CALC_ALLOC!$A$1:$A$175,"2026",_CALC_ALLOC!$B$1:$B$175,"IPAC_REN",_CALC_ALLOC!$D$1:$D$175,"BAC_CCE",_CALC_ALLOC!$E$1:$E$175,"B2",_CALC_ALLOC!$F$1:$F$175,"ALT")</f>
        <v>0</v>
      </c>
      <c r="E69" s="15">
        <f>SUMIFS(_CALC_ALLOC!$AI$1:$AI$175,_CALC_ALLOC!$A$1:$A$175,"2026",_CALC_ALLOC!$B$1:$B$175,"IPAC_REN",_CALC_ALLOC!$D$1:$D$175,"BAC_CCE",_CALC_ALLOC!$E$1:$E$175,"B2",_CALC_ALLOC!$F$1:$F$175,"ALT")</f>
        <v>0</v>
      </c>
      <c r="F69" s="15">
        <f>SUMIFS(_CALC_ALLOC!$AJ$1:$AJ$175,_CALC_ALLOC!$A$1:$A$175,"2026",_CALC_ALLOC!$B$1:$B$175,"IPAC_REN",_CALC_ALLOC!$D$1:$D$175,"BAC_CCE",_CALC_ALLOC!$E$1:$E$175,"B2",_CALC_ALLOC!$F$1:$F$175,"ALT")</f>
        <v>0</v>
      </c>
      <c r="G69" s="15">
        <f>SUMIFS(_CALC_ALLOC!$AK$1:$AK$175,_CALC_ALLOC!$A$1:$A$175,"2026",_CALC_ALLOC!$B$1:$B$175,"IPAC_REN",_CALC_ALLOC!$D$1:$D$175,"BAC_CCE",_CALC_ALLOC!$E$1:$E$175,"B2",_CALC_ALLOC!$F$1:$F$175,"ALT")</f>
        <v>0</v>
      </c>
      <c r="H69" s="15">
        <f>SUMIFS(_CALC_ALLOC!$AL$1:$AL$175,_CALC_ALLOC!$A$1:$A$175,"2026",_CALC_ALLOC!$B$1:$B$175,"IPAC_REN",_CALC_ALLOC!$D$1:$D$175,"BAC_CCE",_CALC_ALLOC!$E$1:$E$175,"B2",_CALC_ALLOC!$F$1:$F$175,"ALT")</f>
        <v>0</v>
      </c>
      <c r="I69" s="15">
        <f>SUMIFS(_CALC_ALLOC!$AR$1:$AR$175,_CALC_ALLOC!$A$1:$A$175,"2026",_CALC_ALLOC!$B$1:$B$175,"IPAC_REN",_CALC_ALLOC!$D$1:$D$175,"BAC_CCE",_CALC_ALLOC!$E$1:$E$175,"B2",_CALC_ALLOC!$F$1:$F$175,"ALT")</f>
        <v>0</v>
      </c>
      <c r="J69" s="15">
        <f>SUMIFS(_CALC_ALLOC!$AM$1:$AM$175,_CALC_ALLOC!$A$1:$A$175,"2026",_CALC_ALLOC!$B$1:$B$175,"IPAC_REN",_CALC_ALLOC!$D$1:$D$175,"BAC_CCE",_CALC_ALLOC!$E$1:$E$175,"B2",_CALC_ALLOC!$F$1:$F$175,"ALT")</f>
        <v>0</v>
      </c>
      <c r="K69" s="19">
        <f t="shared" si="2"/>
        <v>0</v>
      </c>
      <c r="L69" s="22">
        <f>SUMIFS(_CALC_ALLOC!$AN$1:$AN$175,_CALC_ALLOC!$A$1:$A$175,"2026",_CALC_ALLOC!$B$1:$B$175,"IPAC_REN",_CALC_ALLOC!$D$1:$D$175,"BAC_CCE",_CALC_ALLOC!$E$1:$E$175,"B2",_CALC_ALLOC!$F$1:$F$175,"ALT")</f>
        <v>0</v>
      </c>
      <c r="M69" s="17">
        <f t="shared" si="3"/>
        <v>0</v>
      </c>
    </row>
    <row r="70" spans="2:13" outlineLevel="2" x14ac:dyDescent="0.45">
      <c r="B70" s="7" t="s">
        <v>60</v>
      </c>
      <c r="C70" s="16">
        <f>SUMIFS(_CALC_ALLOC!$G$1:$G$175,_CALC_ALLOC!$A$1:$A$175,"2026",_CALC_ALLOC!$B$1:$B$175,"IPAC_REN",_CALC_ALLOC!$D$1:$D$175,"BAC_CCE",_CALC_ALLOC!$E$1:$E$175,"B3",_CALC_ALLOC!$F$1:$F$175,"ALT")</f>
        <v>0</v>
      </c>
      <c r="D70" s="15">
        <f>SUMIFS(_CALC_ALLOC!$I$1:$I$175,_CALC_ALLOC!$A$1:$A$175,"2026",_CALC_ALLOC!$B$1:$B$175,"IPAC_REN",_CALC_ALLOC!$D$1:$D$175,"BAC_CCE",_CALC_ALLOC!$E$1:$E$175,"B3",_CALC_ALLOC!$F$1:$F$175,"ALT")</f>
        <v>0</v>
      </c>
      <c r="E70" s="15">
        <f>SUMIFS(_CALC_ALLOC!$AI$1:$AI$175,_CALC_ALLOC!$A$1:$A$175,"2026",_CALC_ALLOC!$B$1:$B$175,"IPAC_REN",_CALC_ALLOC!$D$1:$D$175,"BAC_CCE",_CALC_ALLOC!$E$1:$E$175,"B3",_CALC_ALLOC!$F$1:$F$175,"ALT")</f>
        <v>0</v>
      </c>
      <c r="F70" s="15">
        <f>SUMIFS(_CALC_ALLOC!$AJ$1:$AJ$175,_CALC_ALLOC!$A$1:$A$175,"2026",_CALC_ALLOC!$B$1:$B$175,"IPAC_REN",_CALC_ALLOC!$D$1:$D$175,"BAC_CCE",_CALC_ALLOC!$E$1:$E$175,"B3",_CALC_ALLOC!$F$1:$F$175,"ALT")</f>
        <v>0</v>
      </c>
      <c r="G70" s="15">
        <f>SUMIFS(_CALC_ALLOC!$AK$1:$AK$175,_CALC_ALLOC!$A$1:$A$175,"2026",_CALC_ALLOC!$B$1:$B$175,"IPAC_REN",_CALC_ALLOC!$D$1:$D$175,"BAC_CCE",_CALC_ALLOC!$E$1:$E$175,"B3",_CALC_ALLOC!$F$1:$F$175,"ALT")</f>
        <v>0</v>
      </c>
      <c r="H70" s="15">
        <f>SUMIFS(_CALC_ALLOC!$AL$1:$AL$175,_CALC_ALLOC!$A$1:$A$175,"2026",_CALC_ALLOC!$B$1:$B$175,"IPAC_REN",_CALC_ALLOC!$D$1:$D$175,"BAC_CCE",_CALC_ALLOC!$E$1:$E$175,"B3",_CALC_ALLOC!$F$1:$F$175,"ALT")</f>
        <v>0</v>
      </c>
      <c r="I70" s="15">
        <f>SUMIFS(_CALC_ALLOC!$AR$1:$AR$175,_CALC_ALLOC!$A$1:$A$175,"2026",_CALC_ALLOC!$B$1:$B$175,"IPAC_REN",_CALC_ALLOC!$D$1:$D$175,"BAC_CCE",_CALC_ALLOC!$E$1:$E$175,"B3",_CALC_ALLOC!$F$1:$F$175,"ALT")</f>
        <v>0</v>
      </c>
      <c r="J70" s="15">
        <f>SUMIFS(_CALC_ALLOC!$AM$1:$AM$175,_CALC_ALLOC!$A$1:$A$175,"2026",_CALC_ALLOC!$B$1:$B$175,"IPAC_REN",_CALC_ALLOC!$D$1:$D$175,"BAC_CCE",_CALC_ALLOC!$E$1:$E$175,"B3",_CALC_ALLOC!$F$1:$F$175,"ALT")</f>
        <v>0</v>
      </c>
      <c r="K70" s="19">
        <f t="shared" si="2"/>
        <v>0</v>
      </c>
      <c r="L70" s="22">
        <f>SUMIFS(_CALC_ALLOC!$AN$1:$AN$175,_CALC_ALLOC!$A$1:$A$175,"2026",_CALC_ALLOC!$B$1:$B$175,"IPAC_REN",_CALC_ALLOC!$D$1:$D$175,"BAC_CCE",_CALC_ALLOC!$E$1:$E$175,"B3",_CALC_ALLOC!$F$1:$F$175,"ALT")</f>
        <v>0</v>
      </c>
      <c r="M70" s="17">
        <f t="shared" si="3"/>
        <v>0</v>
      </c>
    </row>
    <row r="71" spans="2:13" outlineLevel="1" x14ac:dyDescent="0.45">
      <c r="B71" s="6" t="s">
        <v>62</v>
      </c>
      <c r="C71" s="18">
        <f>SUMIFS(_CALC_ALLOC!$G$1:$G$175,_CALC_ALLOC!$A$1:$A$175,"2026",_CALC_ALLOC!$B$1:$B$175,"IPAC_MTP")</f>
        <v>0</v>
      </c>
      <c r="D71" s="19">
        <f>SUMIFS(_CALC_ALLOC!$I$1:$I$175,_CALC_ALLOC!$A$1:$A$175,"2026",_CALC_ALLOC!$B$1:$B$175,"IPAC_MTP")</f>
        <v>0</v>
      </c>
      <c r="E71" s="19">
        <f>SUMIFS(_CALC_ALLOC!$AI$1:$AI$175,_CALC_ALLOC!$A$1:$A$175,"2026",_CALC_ALLOC!$B$1:$B$175,"IPAC_MTP")</f>
        <v>0</v>
      </c>
      <c r="F71" s="19">
        <f>SUMIFS(_CALC_ALLOC!$AJ$1:$AJ$175,_CALC_ALLOC!$A$1:$A$175,"2026",_CALC_ALLOC!$B$1:$B$175,"IPAC_MTP")</f>
        <v>0</v>
      </c>
      <c r="G71" s="19">
        <f>SUMIFS(_CALC_ALLOC!$AK$1:$AK$175,_CALC_ALLOC!$A$1:$A$175,"2026",_CALC_ALLOC!$B$1:$B$175,"IPAC_MTP")</f>
        <v>0</v>
      </c>
      <c r="H71" s="19">
        <f>SUMIFS(_CALC_ALLOC!$AL$1:$AL$175,_CALC_ALLOC!$A$1:$A$175,"2026",_CALC_ALLOC!$B$1:$B$175,"IPAC_MTP")</f>
        <v>0</v>
      </c>
      <c r="I71" s="19">
        <f>SUMIFS(_CALC_ALLOC!$AR$1:$AR$175,_CALC_ALLOC!$A$1:$A$175,"2026",_CALC_ALLOC!$B$1:$B$175,"IPAC_MTP")</f>
        <v>0</v>
      </c>
      <c r="J71" s="19">
        <f>SUMIFS(_CALC_ALLOC!$AM$1:$AM$175,_CALC_ALLOC!$A$1:$A$175,"2026",_CALC_ALLOC!$B$1:$B$175,"IPAC_MTP")</f>
        <v>0</v>
      </c>
      <c r="K71" s="19">
        <f t="shared" si="2"/>
        <v>0</v>
      </c>
      <c r="L71" s="21">
        <f>SUMIFS(_CALC_ALLOC!$AN$1:$AN$175,_CALC_ALLOC!$A$1:$A$175,"2026",_CALC_ALLOC!$B$1:$B$175,"IPAC_MTP")</f>
        <v>0</v>
      </c>
      <c r="M71" s="20">
        <f t="shared" si="3"/>
        <v>0</v>
      </c>
    </row>
    <row r="72" spans="2:13" outlineLevel="2" x14ac:dyDescent="0.45">
      <c r="B72" s="7" t="s">
        <v>58</v>
      </c>
      <c r="C72" s="16">
        <f>SUMIFS(_CALC_ALLOC!$G$1:$G$175,_CALC_ALLOC!$A$1:$A$175,"2026",_CALC_ALLOC!$B$1:$B$175,"IPAC_MTP",_CALC_ALLOC!$D$1:$D$175,"BAC_CCE",_CALC_ALLOC!$E$1:$E$175,"B1",_CALC_ALLOC!$F$1:$F$175,"ALT")</f>
        <v>0</v>
      </c>
      <c r="D72" s="15">
        <f>SUMIFS(_CALC_ALLOC!$I$1:$I$175,_CALC_ALLOC!$A$1:$A$175,"2026",_CALC_ALLOC!$B$1:$B$175,"IPAC_MTP",_CALC_ALLOC!$D$1:$D$175,"BAC_CCE",_CALC_ALLOC!$E$1:$E$175,"B1",_CALC_ALLOC!$F$1:$F$175,"ALT")</f>
        <v>0</v>
      </c>
      <c r="E72" s="15">
        <f>SUMIFS(_CALC_ALLOC!$AI$1:$AI$175,_CALC_ALLOC!$A$1:$A$175,"2026",_CALC_ALLOC!$B$1:$B$175,"IPAC_MTP",_CALC_ALLOC!$D$1:$D$175,"BAC_CCE",_CALC_ALLOC!$E$1:$E$175,"B1",_CALC_ALLOC!$F$1:$F$175,"ALT")</f>
        <v>0</v>
      </c>
      <c r="F72" s="15">
        <f>SUMIFS(_CALC_ALLOC!$AJ$1:$AJ$175,_CALC_ALLOC!$A$1:$A$175,"2026",_CALC_ALLOC!$B$1:$B$175,"IPAC_MTP",_CALC_ALLOC!$D$1:$D$175,"BAC_CCE",_CALC_ALLOC!$E$1:$E$175,"B1",_CALC_ALLOC!$F$1:$F$175,"ALT")</f>
        <v>0</v>
      </c>
      <c r="G72" s="15">
        <f>SUMIFS(_CALC_ALLOC!$AK$1:$AK$175,_CALC_ALLOC!$A$1:$A$175,"2026",_CALC_ALLOC!$B$1:$B$175,"IPAC_MTP",_CALC_ALLOC!$D$1:$D$175,"BAC_CCE",_CALC_ALLOC!$E$1:$E$175,"B1",_CALC_ALLOC!$F$1:$F$175,"ALT")</f>
        <v>0</v>
      </c>
      <c r="H72" s="15">
        <f>SUMIFS(_CALC_ALLOC!$AL$1:$AL$175,_CALC_ALLOC!$A$1:$A$175,"2026",_CALC_ALLOC!$B$1:$B$175,"IPAC_MTP",_CALC_ALLOC!$D$1:$D$175,"BAC_CCE",_CALC_ALLOC!$E$1:$E$175,"B1",_CALC_ALLOC!$F$1:$F$175,"ALT")</f>
        <v>0</v>
      </c>
      <c r="I72" s="15">
        <f>SUMIFS(_CALC_ALLOC!$AR$1:$AR$175,_CALC_ALLOC!$A$1:$A$175,"2026",_CALC_ALLOC!$B$1:$B$175,"IPAC_MTP",_CALC_ALLOC!$D$1:$D$175,"BAC_CCE",_CALC_ALLOC!$E$1:$E$175,"B1",_CALC_ALLOC!$F$1:$F$175,"ALT")</f>
        <v>0</v>
      </c>
      <c r="J72" s="15">
        <f>SUMIFS(_CALC_ALLOC!$AM$1:$AM$175,_CALC_ALLOC!$A$1:$A$175,"2026",_CALC_ALLOC!$B$1:$B$175,"IPAC_MTP",_CALC_ALLOC!$D$1:$D$175,"BAC_CCE",_CALC_ALLOC!$E$1:$E$175,"B1",_CALC_ALLOC!$F$1:$F$175,"ALT")</f>
        <v>0</v>
      </c>
      <c r="K72" s="19">
        <f t="shared" si="2"/>
        <v>0</v>
      </c>
      <c r="L72" s="22">
        <f>SUMIFS(_CALC_ALLOC!$AN$1:$AN$175,_CALC_ALLOC!$A$1:$A$175,"2026",_CALC_ALLOC!$B$1:$B$175,"IPAC_MTP",_CALC_ALLOC!$D$1:$D$175,"BAC_CCE",_CALC_ALLOC!$E$1:$E$175,"B1",_CALC_ALLOC!$F$1:$F$175,"ALT")</f>
        <v>0</v>
      </c>
      <c r="M72" s="17">
        <f t="shared" si="3"/>
        <v>0</v>
      </c>
    </row>
    <row r="73" spans="2:13" outlineLevel="2" x14ac:dyDescent="0.45">
      <c r="B73" s="7" t="s">
        <v>59</v>
      </c>
      <c r="C73" s="16">
        <f>SUMIFS(_CALC_ALLOC!$G$1:$G$175,_CALC_ALLOC!$A$1:$A$175,"2026",_CALC_ALLOC!$B$1:$B$175,"IPAC_MTP",_CALC_ALLOC!$D$1:$D$175,"BAC_CCE",_CALC_ALLOC!$E$1:$E$175,"B2",_CALC_ALLOC!$F$1:$F$175,"ALT")</f>
        <v>0</v>
      </c>
      <c r="D73" s="15">
        <f>SUMIFS(_CALC_ALLOC!$I$1:$I$175,_CALC_ALLOC!$A$1:$A$175,"2026",_CALC_ALLOC!$B$1:$B$175,"IPAC_MTP",_CALC_ALLOC!$D$1:$D$175,"BAC_CCE",_CALC_ALLOC!$E$1:$E$175,"B2",_CALC_ALLOC!$F$1:$F$175,"ALT")</f>
        <v>0</v>
      </c>
      <c r="E73" s="15">
        <f>SUMIFS(_CALC_ALLOC!$AI$1:$AI$175,_CALC_ALLOC!$A$1:$A$175,"2026",_CALC_ALLOC!$B$1:$B$175,"IPAC_MTP",_CALC_ALLOC!$D$1:$D$175,"BAC_CCE",_CALC_ALLOC!$E$1:$E$175,"B2",_CALC_ALLOC!$F$1:$F$175,"ALT")</f>
        <v>0</v>
      </c>
      <c r="F73" s="15">
        <f>SUMIFS(_CALC_ALLOC!$AJ$1:$AJ$175,_CALC_ALLOC!$A$1:$A$175,"2026",_CALC_ALLOC!$B$1:$B$175,"IPAC_MTP",_CALC_ALLOC!$D$1:$D$175,"BAC_CCE",_CALC_ALLOC!$E$1:$E$175,"B2",_CALC_ALLOC!$F$1:$F$175,"ALT")</f>
        <v>0</v>
      </c>
      <c r="G73" s="15">
        <f>SUMIFS(_CALC_ALLOC!$AK$1:$AK$175,_CALC_ALLOC!$A$1:$A$175,"2026",_CALC_ALLOC!$B$1:$B$175,"IPAC_MTP",_CALC_ALLOC!$D$1:$D$175,"BAC_CCE",_CALC_ALLOC!$E$1:$E$175,"B2",_CALC_ALLOC!$F$1:$F$175,"ALT")</f>
        <v>0</v>
      </c>
      <c r="H73" s="15">
        <f>SUMIFS(_CALC_ALLOC!$AL$1:$AL$175,_CALC_ALLOC!$A$1:$A$175,"2026",_CALC_ALLOC!$B$1:$B$175,"IPAC_MTP",_CALC_ALLOC!$D$1:$D$175,"BAC_CCE",_CALC_ALLOC!$E$1:$E$175,"B2",_CALC_ALLOC!$F$1:$F$175,"ALT")</f>
        <v>0</v>
      </c>
      <c r="I73" s="15">
        <f>SUMIFS(_CALC_ALLOC!$AR$1:$AR$175,_CALC_ALLOC!$A$1:$A$175,"2026",_CALC_ALLOC!$B$1:$B$175,"IPAC_MTP",_CALC_ALLOC!$D$1:$D$175,"BAC_CCE",_CALC_ALLOC!$E$1:$E$175,"B2",_CALC_ALLOC!$F$1:$F$175,"ALT")</f>
        <v>0</v>
      </c>
      <c r="J73" s="15">
        <f>SUMIFS(_CALC_ALLOC!$AM$1:$AM$175,_CALC_ALLOC!$A$1:$A$175,"2026",_CALC_ALLOC!$B$1:$B$175,"IPAC_MTP",_CALC_ALLOC!$D$1:$D$175,"BAC_CCE",_CALC_ALLOC!$E$1:$E$175,"B2",_CALC_ALLOC!$F$1:$F$175,"ALT")</f>
        <v>0</v>
      </c>
      <c r="K73" s="19">
        <f t="shared" si="2"/>
        <v>0</v>
      </c>
      <c r="L73" s="22">
        <f>SUMIFS(_CALC_ALLOC!$AN$1:$AN$175,_CALC_ALLOC!$A$1:$A$175,"2026",_CALC_ALLOC!$B$1:$B$175,"IPAC_MTP",_CALC_ALLOC!$D$1:$D$175,"BAC_CCE",_CALC_ALLOC!$E$1:$E$175,"B2",_CALC_ALLOC!$F$1:$F$175,"ALT")</f>
        <v>0</v>
      </c>
      <c r="M73" s="17">
        <f t="shared" si="3"/>
        <v>0</v>
      </c>
    </row>
    <row r="74" spans="2:13" outlineLevel="2" x14ac:dyDescent="0.45">
      <c r="B74" s="7" t="s">
        <v>60</v>
      </c>
      <c r="C74" s="16">
        <f>SUMIFS(_CALC_ALLOC!$G$1:$G$175,_CALC_ALLOC!$A$1:$A$175,"2026",_CALC_ALLOC!$B$1:$B$175,"IPAC_MTP",_CALC_ALLOC!$D$1:$D$175,"BAC_CCE",_CALC_ALLOC!$E$1:$E$175,"B3",_CALC_ALLOC!$F$1:$F$175,"ALT")</f>
        <v>0</v>
      </c>
      <c r="D74" s="15">
        <f>SUMIFS(_CALC_ALLOC!$I$1:$I$175,_CALC_ALLOC!$A$1:$A$175,"2026",_CALC_ALLOC!$B$1:$B$175,"IPAC_MTP",_CALC_ALLOC!$D$1:$D$175,"BAC_CCE",_CALC_ALLOC!$E$1:$E$175,"B3",_CALC_ALLOC!$F$1:$F$175,"ALT")</f>
        <v>0</v>
      </c>
      <c r="E74" s="15">
        <f>SUMIFS(_CALC_ALLOC!$AI$1:$AI$175,_CALC_ALLOC!$A$1:$A$175,"2026",_CALC_ALLOC!$B$1:$B$175,"IPAC_MTP",_CALC_ALLOC!$D$1:$D$175,"BAC_CCE",_CALC_ALLOC!$E$1:$E$175,"B3",_CALC_ALLOC!$F$1:$F$175,"ALT")</f>
        <v>0</v>
      </c>
      <c r="F74" s="15">
        <f>SUMIFS(_CALC_ALLOC!$AJ$1:$AJ$175,_CALC_ALLOC!$A$1:$A$175,"2026",_CALC_ALLOC!$B$1:$B$175,"IPAC_MTP",_CALC_ALLOC!$D$1:$D$175,"BAC_CCE",_CALC_ALLOC!$E$1:$E$175,"B3",_CALC_ALLOC!$F$1:$F$175,"ALT")</f>
        <v>0</v>
      </c>
      <c r="G74" s="15">
        <f>SUMIFS(_CALC_ALLOC!$AK$1:$AK$175,_CALC_ALLOC!$A$1:$A$175,"2026",_CALC_ALLOC!$B$1:$B$175,"IPAC_MTP",_CALC_ALLOC!$D$1:$D$175,"BAC_CCE",_CALC_ALLOC!$E$1:$E$175,"B3",_CALC_ALLOC!$F$1:$F$175,"ALT")</f>
        <v>0</v>
      </c>
      <c r="H74" s="15">
        <f>SUMIFS(_CALC_ALLOC!$AL$1:$AL$175,_CALC_ALLOC!$A$1:$A$175,"2026",_CALC_ALLOC!$B$1:$B$175,"IPAC_MTP",_CALC_ALLOC!$D$1:$D$175,"BAC_CCE",_CALC_ALLOC!$E$1:$E$175,"B3",_CALC_ALLOC!$F$1:$F$175,"ALT")</f>
        <v>0</v>
      </c>
      <c r="I74" s="15">
        <f>SUMIFS(_CALC_ALLOC!$AR$1:$AR$175,_CALC_ALLOC!$A$1:$A$175,"2026",_CALC_ALLOC!$B$1:$B$175,"IPAC_MTP",_CALC_ALLOC!$D$1:$D$175,"BAC_CCE",_CALC_ALLOC!$E$1:$E$175,"B3",_CALC_ALLOC!$F$1:$F$175,"ALT")</f>
        <v>0</v>
      </c>
      <c r="J74" s="15">
        <f>SUMIFS(_CALC_ALLOC!$AM$1:$AM$175,_CALC_ALLOC!$A$1:$A$175,"2026",_CALC_ALLOC!$B$1:$B$175,"IPAC_MTP",_CALC_ALLOC!$D$1:$D$175,"BAC_CCE",_CALC_ALLOC!$E$1:$E$175,"B3",_CALC_ALLOC!$F$1:$F$175,"ALT")</f>
        <v>0</v>
      </c>
      <c r="K74" s="19">
        <f t="shared" si="2"/>
        <v>0</v>
      </c>
      <c r="L74" s="22">
        <f>SUMIFS(_CALC_ALLOC!$AN$1:$AN$175,_CALC_ALLOC!$A$1:$A$175,"2026",_CALC_ALLOC!$B$1:$B$175,"IPAC_MTP",_CALC_ALLOC!$D$1:$D$175,"BAC_CCE",_CALC_ALLOC!$E$1:$E$175,"B3",_CALC_ALLOC!$F$1:$F$175,"ALT")</f>
        <v>0</v>
      </c>
      <c r="M74" s="17">
        <f t="shared" si="3"/>
        <v>0</v>
      </c>
    </row>
    <row r="75" spans="2:13" x14ac:dyDescent="0.45">
      <c r="B75" s="10" t="s">
        <v>2</v>
      </c>
      <c r="C75" s="18">
        <f>SUMIFS(_CALC_ALLOC!$G$1:$G$175,_CALC_ALLOC!$A$1:$A$175,"2026",_CALC_ALLOC!$C$1:$C$175,"PIGIER")</f>
        <v>0</v>
      </c>
      <c r="D75" s="19">
        <f>SUMIFS(_CALC_ALLOC!$I$1:$I$175,_CALC_ALLOC!$A$1:$A$175,"2026",_CALC_ALLOC!$C$1:$C$175,"PIGIER")</f>
        <v>0</v>
      </c>
      <c r="E75" s="19">
        <f>SUMIFS(_CALC_ALLOC!$AI$1:$AI$175,_CALC_ALLOC!$A$1:$A$175,"2026",_CALC_ALLOC!$C$1:$C$175,"PIGIER")</f>
        <v>0</v>
      </c>
      <c r="F75" s="19">
        <f>SUMIFS(_CALC_ALLOC!$AJ$1:$AJ$175,_CALC_ALLOC!$A$1:$A$175,"2026",_CALC_ALLOC!$C$1:$C$175,"PIGIER")</f>
        <v>0</v>
      </c>
      <c r="G75" s="19">
        <f>SUMIFS(_CALC_ALLOC!$AK$1:$AK$175,_CALC_ALLOC!$A$1:$A$175,"2026",_CALC_ALLOC!$C$1:$C$175,"PIGIER")</f>
        <v>0</v>
      </c>
      <c r="H75" s="19">
        <f>SUMIFS(_CALC_ALLOC!$AL$1:$AL$175,_CALC_ALLOC!$A$1:$A$175,"2026",_CALC_ALLOC!$C$1:$C$175,"PIGIER")</f>
        <v>0</v>
      </c>
      <c r="I75" s="19">
        <f>SUMIFS(_CALC_ALLOC!$AR$1:$AR$175,_CALC_ALLOC!$A$1:$A$175,"2026",_CALC_ALLOC!$C$1:$C$175,"PIGIER")</f>
        <v>0</v>
      </c>
      <c r="J75" s="19">
        <f>SUMIFS(_CALC_ALLOC!$AM$1:$AM$175,_CALC_ALLOC!$A$1:$A$175,"2026",_CALC_ALLOC!$C$1:$C$175,"PIGIER")</f>
        <v>0</v>
      </c>
      <c r="K75" s="19">
        <f t="shared" si="2"/>
        <v>0</v>
      </c>
      <c r="L75" s="21">
        <f>SUMIFS(_CALC_ALLOC!$AN$1:$AN$175,_CALC_ALLOC!$A$1:$A$175,"2026",_CALC_ALLOC!$C$1:$C$175,"PIGIER")</f>
        <v>0</v>
      </c>
      <c r="M75" s="20">
        <f t="shared" si="3"/>
        <v>0</v>
      </c>
    </row>
    <row r="76" spans="2:13" outlineLevel="1" collapsed="1" x14ac:dyDescent="0.45">
      <c r="B76" s="6" t="s">
        <v>63</v>
      </c>
      <c r="C76" s="18">
        <f>SUMIFS(_CALC_ALLOC!$G$1:$G$175,_CALC_ALLOC!$A$1:$A$175,"2026",_CALC_ALLOC!$B$1:$B$175,"PIGIER_LYO")</f>
        <v>0</v>
      </c>
      <c r="D76" s="19">
        <f>SUMIFS(_CALC_ALLOC!$I$1:$I$175,_CALC_ALLOC!$A$1:$A$175,"2026",_CALC_ALLOC!$B$1:$B$175,"PIGIER_LYO")</f>
        <v>0</v>
      </c>
      <c r="E76" s="19">
        <f>SUMIFS(_CALC_ALLOC!$AI$1:$AI$175,_CALC_ALLOC!$A$1:$A$175,"2026",_CALC_ALLOC!$B$1:$B$175,"PIGIER_LYO")</f>
        <v>0</v>
      </c>
      <c r="F76" s="19">
        <f>SUMIFS(_CALC_ALLOC!$AJ$1:$AJ$175,_CALC_ALLOC!$A$1:$A$175,"2026",_CALC_ALLOC!$B$1:$B$175,"PIGIER_LYO")</f>
        <v>0</v>
      </c>
      <c r="G76" s="19">
        <f>SUMIFS(_CALC_ALLOC!$AK$1:$AK$175,_CALC_ALLOC!$A$1:$A$175,"2026",_CALC_ALLOC!$B$1:$B$175,"PIGIER_LYO")</f>
        <v>0</v>
      </c>
      <c r="H76" s="19">
        <f>SUMIFS(_CALC_ALLOC!$AL$1:$AL$175,_CALC_ALLOC!$A$1:$A$175,"2026",_CALC_ALLOC!$B$1:$B$175,"PIGIER_LYO")</f>
        <v>0</v>
      </c>
      <c r="I76" s="19">
        <f>SUMIFS(_CALC_ALLOC!$AR$1:$AR$175,_CALC_ALLOC!$A$1:$A$175,"2026",_CALC_ALLOC!$B$1:$B$175,"PIGIER_LYO")</f>
        <v>0</v>
      </c>
      <c r="J76" s="19">
        <f>SUMIFS(_CALC_ALLOC!$AM$1:$AM$175,_CALC_ALLOC!$A$1:$A$175,"2026",_CALC_ALLOC!$B$1:$B$175,"PIGIER_LYO")</f>
        <v>0</v>
      </c>
      <c r="K76" s="19">
        <f t="shared" si="2"/>
        <v>0</v>
      </c>
      <c r="L76" s="21">
        <f>SUMIFS(_CALC_ALLOC!$AN$1:$AN$175,_CALC_ALLOC!$A$1:$A$175,"2026",_CALC_ALLOC!$B$1:$B$175,"PIGIER_LYO")</f>
        <v>0</v>
      </c>
      <c r="M76" s="20">
        <f t="shared" si="3"/>
        <v>0</v>
      </c>
    </row>
    <row r="77" spans="2:13" outlineLevel="2" x14ac:dyDescent="0.45">
      <c r="B77" s="7" t="s">
        <v>64</v>
      </c>
      <c r="C77" s="16">
        <f>SUMIFS(_CALC_ALLOC!$G$1:$G$175,_CALC_ALLOC!$A$1:$A$175,"2026",_CALC_ALLOC!$B$1:$B$175,"PIGIER_LYO",_CALC_ALLOC!$D$1:$D$175,"BTS_GES",_CALC_ALLOC!$E$1:$E$175,"BTS1",_CALC_ALLOC!$F$1:$F$175,"ALT")</f>
        <v>0</v>
      </c>
      <c r="D77" s="15">
        <f>SUMIFS(_CALC_ALLOC!$I$1:$I$175,_CALC_ALLOC!$A$1:$A$175,"2026",_CALC_ALLOC!$B$1:$B$175,"PIGIER_LYO",_CALC_ALLOC!$D$1:$D$175,"BTS_GES",_CALC_ALLOC!$E$1:$E$175,"BTS1",_CALC_ALLOC!$F$1:$F$175,"ALT")</f>
        <v>0</v>
      </c>
      <c r="E77" s="15">
        <f>SUMIFS(_CALC_ALLOC!$AI$1:$AI$175,_CALC_ALLOC!$A$1:$A$175,"2026",_CALC_ALLOC!$B$1:$B$175,"PIGIER_LYO",_CALC_ALLOC!$D$1:$D$175,"BTS_GES",_CALC_ALLOC!$E$1:$E$175,"BTS1",_CALC_ALLOC!$F$1:$F$175,"ALT")</f>
        <v>0</v>
      </c>
      <c r="F77" s="15">
        <f>SUMIFS(_CALC_ALLOC!$AJ$1:$AJ$175,_CALC_ALLOC!$A$1:$A$175,"2026",_CALC_ALLOC!$B$1:$B$175,"PIGIER_LYO",_CALC_ALLOC!$D$1:$D$175,"BTS_GES",_CALC_ALLOC!$E$1:$E$175,"BTS1",_CALC_ALLOC!$F$1:$F$175,"ALT")</f>
        <v>0</v>
      </c>
      <c r="G77" s="15">
        <f>SUMIFS(_CALC_ALLOC!$AK$1:$AK$175,_CALC_ALLOC!$A$1:$A$175,"2026",_CALC_ALLOC!$B$1:$B$175,"PIGIER_LYO",_CALC_ALLOC!$D$1:$D$175,"BTS_GES",_CALC_ALLOC!$E$1:$E$175,"BTS1",_CALC_ALLOC!$F$1:$F$175,"ALT")</f>
        <v>0</v>
      </c>
      <c r="H77" s="15">
        <f>SUMIFS(_CALC_ALLOC!$AL$1:$AL$175,_CALC_ALLOC!$A$1:$A$175,"2026",_CALC_ALLOC!$B$1:$B$175,"PIGIER_LYO",_CALC_ALLOC!$D$1:$D$175,"BTS_GES",_CALC_ALLOC!$E$1:$E$175,"BTS1",_CALC_ALLOC!$F$1:$F$175,"ALT")</f>
        <v>0</v>
      </c>
      <c r="I77" s="15">
        <f>SUMIFS(_CALC_ALLOC!$AR$1:$AR$175,_CALC_ALLOC!$A$1:$A$175,"2026",_CALC_ALLOC!$B$1:$B$175,"PIGIER_LYO",_CALC_ALLOC!$D$1:$D$175,"BTS_GES",_CALC_ALLOC!$E$1:$E$175,"BTS1",_CALC_ALLOC!$F$1:$F$175,"ALT")</f>
        <v>0</v>
      </c>
      <c r="J77" s="15">
        <f>SUMIFS(_CALC_ALLOC!$AM$1:$AM$175,_CALC_ALLOC!$A$1:$A$175,"2026",_CALC_ALLOC!$B$1:$B$175,"PIGIER_LYO",_CALC_ALLOC!$D$1:$D$175,"BTS_GES",_CALC_ALLOC!$E$1:$E$175,"BTS1",_CALC_ALLOC!$F$1:$F$175,"ALT")</f>
        <v>0</v>
      </c>
      <c r="K77" s="19">
        <f t="shared" si="2"/>
        <v>0</v>
      </c>
      <c r="L77" s="22">
        <f>SUMIFS(_CALC_ALLOC!$AN$1:$AN$175,_CALC_ALLOC!$A$1:$A$175,"2026",_CALC_ALLOC!$B$1:$B$175,"PIGIER_LYO",_CALC_ALLOC!$D$1:$D$175,"BTS_GES",_CALC_ALLOC!$E$1:$E$175,"BTS1",_CALC_ALLOC!$F$1:$F$175,"ALT")</f>
        <v>0</v>
      </c>
      <c r="M77" s="17">
        <f t="shared" si="3"/>
        <v>0</v>
      </c>
    </row>
    <row r="78" spans="2:13" outlineLevel="2" x14ac:dyDescent="0.45">
      <c r="B78" s="7" t="s">
        <v>65</v>
      </c>
      <c r="C78" s="16">
        <f>SUMIFS(_CALC_ALLOC!$G$1:$G$175,_CALC_ALLOC!$A$1:$A$175,"2026",_CALC_ALLOC!$B$1:$B$175,"PIGIER_LYO",_CALC_ALLOC!$D$1:$D$175,"BTS_GES",_CALC_ALLOC!$E$1:$E$175,"BTS2",_CALC_ALLOC!$F$1:$F$175,"ALT")</f>
        <v>0</v>
      </c>
      <c r="D78" s="15">
        <f>SUMIFS(_CALC_ALLOC!$I$1:$I$175,_CALC_ALLOC!$A$1:$A$175,"2026",_CALC_ALLOC!$B$1:$B$175,"PIGIER_LYO",_CALC_ALLOC!$D$1:$D$175,"BTS_GES",_CALC_ALLOC!$E$1:$E$175,"BTS2",_CALC_ALLOC!$F$1:$F$175,"ALT")</f>
        <v>0</v>
      </c>
      <c r="E78" s="15">
        <f>SUMIFS(_CALC_ALLOC!$AI$1:$AI$175,_CALC_ALLOC!$A$1:$A$175,"2026",_CALC_ALLOC!$B$1:$B$175,"PIGIER_LYO",_CALC_ALLOC!$D$1:$D$175,"BTS_GES",_CALC_ALLOC!$E$1:$E$175,"BTS2",_CALC_ALLOC!$F$1:$F$175,"ALT")</f>
        <v>0</v>
      </c>
      <c r="F78" s="15">
        <f>SUMIFS(_CALC_ALLOC!$AJ$1:$AJ$175,_CALC_ALLOC!$A$1:$A$175,"2026",_CALC_ALLOC!$B$1:$B$175,"PIGIER_LYO",_CALC_ALLOC!$D$1:$D$175,"BTS_GES",_CALC_ALLOC!$E$1:$E$175,"BTS2",_CALC_ALLOC!$F$1:$F$175,"ALT")</f>
        <v>0</v>
      </c>
      <c r="G78" s="15">
        <f>SUMIFS(_CALC_ALLOC!$AK$1:$AK$175,_CALC_ALLOC!$A$1:$A$175,"2026",_CALC_ALLOC!$B$1:$B$175,"PIGIER_LYO",_CALC_ALLOC!$D$1:$D$175,"BTS_GES",_CALC_ALLOC!$E$1:$E$175,"BTS2",_CALC_ALLOC!$F$1:$F$175,"ALT")</f>
        <v>0</v>
      </c>
      <c r="H78" s="15">
        <f>SUMIFS(_CALC_ALLOC!$AL$1:$AL$175,_CALC_ALLOC!$A$1:$A$175,"2026",_CALC_ALLOC!$B$1:$B$175,"PIGIER_LYO",_CALC_ALLOC!$D$1:$D$175,"BTS_GES",_CALC_ALLOC!$E$1:$E$175,"BTS2",_CALC_ALLOC!$F$1:$F$175,"ALT")</f>
        <v>0</v>
      </c>
      <c r="I78" s="15">
        <f>SUMIFS(_CALC_ALLOC!$AR$1:$AR$175,_CALC_ALLOC!$A$1:$A$175,"2026",_CALC_ALLOC!$B$1:$B$175,"PIGIER_LYO",_CALC_ALLOC!$D$1:$D$175,"BTS_GES",_CALC_ALLOC!$E$1:$E$175,"BTS2",_CALC_ALLOC!$F$1:$F$175,"ALT")</f>
        <v>0</v>
      </c>
      <c r="J78" s="15">
        <f>SUMIFS(_CALC_ALLOC!$AM$1:$AM$175,_CALC_ALLOC!$A$1:$A$175,"2026",_CALC_ALLOC!$B$1:$B$175,"PIGIER_LYO",_CALC_ALLOC!$D$1:$D$175,"BTS_GES",_CALC_ALLOC!$E$1:$E$175,"BTS2",_CALC_ALLOC!$F$1:$F$175,"ALT")</f>
        <v>0</v>
      </c>
      <c r="K78" s="19">
        <f t="shared" si="2"/>
        <v>0</v>
      </c>
      <c r="L78" s="22">
        <f>SUMIFS(_CALC_ALLOC!$AN$1:$AN$175,_CALC_ALLOC!$A$1:$A$175,"2026",_CALC_ALLOC!$B$1:$B$175,"PIGIER_LYO",_CALC_ALLOC!$D$1:$D$175,"BTS_GES",_CALC_ALLOC!$E$1:$E$175,"BTS2",_CALC_ALLOC!$F$1:$F$175,"ALT")</f>
        <v>0</v>
      </c>
      <c r="M78" s="17">
        <f t="shared" si="3"/>
        <v>0</v>
      </c>
    </row>
    <row r="79" spans="2:13" outlineLevel="2" x14ac:dyDescent="0.45">
      <c r="B79" s="7" t="s">
        <v>66</v>
      </c>
      <c r="C79" s="16">
        <f>SUMIFS(_CALC_ALLOC!$G$1:$G$175,_CALC_ALLOC!$A$1:$A$175,"2026",_CALC_ALLOC!$B$1:$B$175,"PIGIER_LYO",_CALC_ALLOC!$D$1:$D$175,"BAC_RH",_CALC_ALLOC!$E$1:$E$175,"B1",_CALC_ALLOC!$F$1:$F$175,"ALT")</f>
        <v>0</v>
      </c>
      <c r="D79" s="15">
        <f>SUMIFS(_CALC_ALLOC!$I$1:$I$175,_CALC_ALLOC!$A$1:$A$175,"2026",_CALC_ALLOC!$B$1:$B$175,"PIGIER_LYO",_CALC_ALLOC!$D$1:$D$175,"BAC_RH",_CALC_ALLOC!$E$1:$E$175,"B1",_CALC_ALLOC!$F$1:$F$175,"ALT")</f>
        <v>0</v>
      </c>
      <c r="E79" s="15">
        <f>SUMIFS(_CALC_ALLOC!$AI$1:$AI$175,_CALC_ALLOC!$A$1:$A$175,"2026",_CALC_ALLOC!$B$1:$B$175,"PIGIER_LYO",_CALC_ALLOC!$D$1:$D$175,"BAC_RH",_CALC_ALLOC!$E$1:$E$175,"B1",_CALC_ALLOC!$F$1:$F$175,"ALT")</f>
        <v>0</v>
      </c>
      <c r="F79" s="15">
        <f>SUMIFS(_CALC_ALLOC!$AJ$1:$AJ$175,_CALC_ALLOC!$A$1:$A$175,"2026",_CALC_ALLOC!$B$1:$B$175,"PIGIER_LYO",_CALC_ALLOC!$D$1:$D$175,"BAC_RH",_CALC_ALLOC!$E$1:$E$175,"B1",_CALC_ALLOC!$F$1:$F$175,"ALT")</f>
        <v>0</v>
      </c>
      <c r="G79" s="15">
        <f>SUMIFS(_CALC_ALLOC!$AK$1:$AK$175,_CALC_ALLOC!$A$1:$A$175,"2026",_CALC_ALLOC!$B$1:$B$175,"PIGIER_LYO",_CALC_ALLOC!$D$1:$D$175,"BAC_RH",_CALC_ALLOC!$E$1:$E$175,"B1",_CALC_ALLOC!$F$1:$F$175,"ALT")</f>
        <v>0</v>
      </c>
      <c r="H79" s="15">
        <f>SUMIFS(_CALC_ALLOC!$AL$1:$AL$175,_CALC_ALLOC!$A$1:$A$175,"2026",_CALC_ALLOC!$B$1:$B$175,"PIGIER_LYO",_CALC_ALLOC!$D$1:$D$175,"BAC_RH",_CALC_ALLOC!$E$1:$E$175,"B1",_CALC_ALLOC!$F$1:$F$175,"ALT")</f>
        <v>0</v>
      </c>
      <c r="I79" s="15">
        <f>SUMIFS(_CALC_ALLOC!$AR$1:$AR$175,_CALC_ALLOC!$A$1:$A$175,"2026",_CALC_ALLOC!$B$1:$B$175,"PIGIER_LYO",_CALC_ALLOC!$D$1:$D$175,"BAC_RH",_CALC_ALLOC!$E$1:$E$175,"B1",_CALC_ALLOC!$F$1:$F$175,"ALT")</f>
        <v>0</v>
      </c>
      <c r="J79" s="15">
        <f>SUMIFS(_CALC_ALLOC!$AM$1:$AM$175,_CALC_ALLOC!$A$1:$A$175,"2026",_CALC_ALLOC!$B$1:$B$175,"PIGIER_LYO",_CALC_ALLOC!$D$1:$D$175,"BAC_RH",_CALC_ALLOC!$E$1:$E$175,"B1",_CALC_ALLOC!$F$1:$F$175,"ALT")</f>
        <v>0</v>
      </c>
      <c r="K79" s="19">
        <f t="shared" si="2"/>
        <v>0</v>
      </c>
      <c r="L79" s="22">
        <f>SUMIFS(_CALC_ALLOC!$AN$1:$AN$175,_CALC_ALLOC!$A$1:$A$175,"2026",_CALC_ALLOC!$B$1:$B$175,"PIGIER_LYO",_CALC_ALLOC!$D$1:$D$175,"BAC_RH",_CALC_ALLOC!$E$1:$E$175,"B1",_CALC_ALLOC!$F$1:$F$175,"ALT")</f>
        <v>0</v>
      </c>
      <c r="M79" s="17">
        <f t="shared" si="3"/>
        <v>0</v>
      </c>
    </row>
    <row r="80" spans="2:13" outlineLevel="2" x14ac:dyDescent="0.45">
      <c r="B80" s="7" t="s">
        <v>67</v>
      </c>
      <c r="C80" s="16">
        <f>SUMIFS(_CALC_ALLOC!$G$1:$G$175,_CALC_ALLOC!$A$1:$A$175,"2026",_CALC_ALLOC!$B$1:$B$175,"PIGIER_LYO",_CALC_ALLOC!$D$1:$D$175,"BAC_RH",_CALC_ALLOC!$E$1:$E$175,"B3",_CALC_ALLOC!$F$1:$F$175,"ALT")</f>
        <v>0</v>
      </c>
      <c r="D80" s="15">
        <f>SUMIFS(_CALC_ALLOC!$I$1:$I$175,_CALC_ALLOC!$A$1:$A$175,"2026",_CALC_ALLOC!$B$1:$B$175,"PIGIER_LYO",_CALC_ALLOC!$D$1:$D$175,"BAC_RH",_CALC_ALLOC!$E$1:$E$175,"B3",_CALC_ALLOC!$F$1:$F$175,"ALT")</f>
        <v>0</v>
      </c>
      <c r="E80" s="15">
        <f>SUMIFS(_CALC_ALLOC!$AI$1:$AI$175,_CALC_ALLOC!$A$1:$A$175,"2026",_CALC_ALLOC!$B$1:$B$175,"PIGIER_LYO",_CALC_ALLOC!$D$1:$D$175,"BAC_RH",_CALC_ALLOC!$E$1:$E$175,"B3",_CALC_ALLOC!$F$1:$F$175,"ALT")</f>
        <v>0</v>
      </c>
      <c r="F80" s="15">
        <f>SUMIFS(_CALC_ALLOC!$AJ$1:$AJ$175,_CALC_ALLOC!$A$1:$A$175,"2026",_CALC_ALLOC!$B$1:$B$175,"PIGIER_LYO",_CALC_ALLOC!$D$1:$D$175,"BAC_RH",_CALC_ALLOC!$E$1:$E$175,"B3",_CALC_ALLOC!$F$1:$F$175,"ALT")</f>
        <v>0</v>
      </c>
      <c r="G80" s="15">
        <f>SUMIFS(_CALC_ALLOC!$AK$1:$AK$175,_CALC_ALLOC!$A$1:$A$175,"2026",_CALC_ALLOC!$B$1:$B$175,"PIGIER_LYO",_CALC_ALLOC!$D$1:$D$175,"BAC_RH",_CALC_ALLOC!$E$1:$E$175,"B3",_CALC_ALLOC!$F$1:$F$175,"ALT")</f>
        <v>0</v>
      </c>
      <c r="H80" s="15">
        <f>SUMIFS(_CALC_ALLOC!$AL$1:$AL$175,_CALC_ALLOC!$A$1:$A$175,"2026",_CALC_ALLOC!$B$1:$B$175,"PIGIER_LYO",_CALC_ALLOC!$D$1:$D$175,"BAC_RH",_CALC_ALLOC!$E$1:$E$175,"B3",_CALC_ALLOC!$F$1:$F$175,"ALT")</f>
        <v>0</v>
      </c>
      <c r="I80" s="15">
        <f>SUMIFS(_CALC_ALLOC!$AR$1:$AR$175,_CALC_ALLOC!$A$1:$A$175,"2026",_CALC_ALLOC!$B$1:$B$175,"PIGIER_LYO",_CALC_ALLOC!$D$1:$D$175,"BAC_RH",_CALC_ALLOC!$E$1:$E$175,"B3",_CALC_ALLOC!$F$1:$F$175,"ALT")</f>
        <v>0</v>
      </c>
      <c r="J80" s="15">
        <f>SUMIFS(_CALC_ALLOC!$AM$1:$AM$175,_CALC_ALLOC!$A$1:$A$175,"2026",_CALC_ALLOC!$B$1:$B$175,"PIGIER_LYO",_CALC_ALLOC!$D$1:$D$175,"BAC_RH",_CALC_ALLOC!$E$1:$E$175,"B3",_CALC_ALLOC!$F$1:$F$175,"ALT")</f>
        <v>0</v>
      </c>
      <c r="K80" s="19">
        <f t="shared" si="2"/>
        <v>0</v>
      </c>
      <c r="L80" s="22">
        <f>SUMIFS(_CALC_ALLOC!$AN$1:$AN$175,_CALC_ALLOC!$A$1:$A$175,"2026",_CALC_ALLOC!$B$1:$B$175,"PIGIER_LYO",_CALC_ALLOC!$D$1:$D$175,"BAC_RH",_CALC_ALLOC!$E$1:$E$175,"B3",_CALC_ALLOC!$F$1:$F$175,"ALT")</f>
        <v>0</v>
      </c>
      <c r="M80" s="17">
        <f t="shared" si="3"/>
        <v>0</v>
      </c>
    </row>
    <row r="81" spans="2:13" outlineLevel="1" x14ac:dyDescent="0.45">
      <c r="B81" s="6" t="s">
        <v>68</v>
      </c>
      <c r="C81" s="18">
        <f>SUMIFS(_CALC_ALLOC!$G$1:$G$175,_CALC_ALLOC!$A$1:$A$175,"2026",_CALC_ALLOC!$B$1:$B$175,"PIGIER_BOR")</f>
        <v>0</v>
      </c>
      <c r="D81" s="19">
        <f>SUMIFS(_CALC_ALLOC!$I$1:$I$175,_CALC_ALLOC!$A$1:$A$175,"2026",_CALC_ALLOC!$B$1:$B$175,"PIGIER_BOR")</f>
        <v>0</v>
      </c>
      <c r="E81" s="19">
        <f>SUMIFS(_CALC_ALLOC!$AI$1:$AI$175,_CALC_ALLOC!$A$1:$A$175,"2026",_CALC_ALLOC!$B$1:$B$175,"PIGIER_BOR")</f>
        <v>0</v>
      </c>
      <c r="F81" s="19">
        <f>SUMIFS(_CALC_ALLOC!$AJ$1:$AJ$175,_CALC_ALLOC!$A$1:$A$175,"2026",_CALC_ALLOC!$B$1:$B$175,"PIGIER_BOR")</f>
        <v>0</v>
      </c>
      <c r="G81" s="19">
        <f>SUMIFS(_CALC_ALLOC!$AK$1:$AK$175,_CALC_ALLOC!$A$1:$A$175,"2026",_CALC_ALLOC!$B$1:$B$175,"PIGIER_BOR")</f>
        <v>0</v>
      </c>
      <c r="H81" s="19">
        <f>SUMIFS(_CALC_ALLOC!$AL$1:$AL$175,_CALC_ALLOC!$A$1:$A$175,"2026",_CALC_ALLOC!$B$1:$B$175,"PIGIER_BOR")</f>
        <v>0</v>
      </c>
      <c r="I81" s="19">
        <f>SUMIFS(_CALC_ALLOC!$AR$1:$AR$175,_CALC_ALLOC!$A$1:$A$175,"2026",_CALC_ALLOC!$B$1:$B$175,"PIGIER_BOR")</f>
        <v>0</v>
      </c>
      <c r="J81" s="19">
        <f>SUMIFS(_CALC_ALLOC!$AM$1:$AM$175,_CALC_ALLOC!$A$1:$A$175,"2026",_CALC_ALLOC!$B$1:$B$175,"PIGIER_BOR")</f>
        <v>0</v>
      </c>
      <c r="K81" s="19">
        <f t="shared" si="2"/>
        <v>0</v>
      </c>
      <c r="L81" s="21">
        <f>SUMIFS(_CALC_ALLOC!$AN$1:$AN$175,_CALC_ALLOC!$A$1:$A$175,"2026",_CALC_ALLOC!$B$1:$B$175,"PIGIER_BOR")</f>
        <v>0</v>
      </c>
      <c r="M81" s="20">
        <f t="shared" si="3"/>
        <v>0</v>
      </c>
    </row>
    <row r="82" spans="2:13" outlineLevel="2" x14ac:dyDescent="0.45">
      <c r="B82" s="7" t="s">
        <v>64</v>
      </c>
      <c r="C82" s="16">
        <f>SUMIFS(_CALC_ALLOC!$G$1:$G$175,_CALC_ALLOC!$A$1:$A$175,"2026",_CALC_ALLOC!$B$1:$B$175,"PIGIER_BOR",_CALC_ALLOC!$D$1:$D$175,"BTS_GES",_CALC_ALLOC!$E$1:$E$175,"BTS1",_CALC_ALLOC!$F$1:$F$175,"ALT")</f>
        <v>0</v>
      </c>
      <c r="D82" s="15">
        <f>SUMIFS(_CALC_ALLOC!$I$1:$I$175,_CALC_ALLOC!$A$1:$A$175,"2026",_CALC_ALLOC!$B$1:$B$175,"PIGIER_BOR",_CALC_ALLOC!$D$1:$D$175,"BTS_GES",_CALC_ALLOC!$E$1:$E$175,"BTS1",_CALC_ALLOC!$F$1:$F$175,"ALT")</f>
        <v>0</v>
      </c>
      <c r="E82" s="15">
        <f>SUMIFS(_CALC_ALLOC!$AI$1:$AI$175,_CALC_ALLOC!$A$1:$A$175,"2026",_CALC_ALLOC!$B$1:$B$175,"PIGIER_BOR",_CALC_ALLOC!$D$1:$D$175,"BTS_GES",_CALC_ALLOC!$E$1:$E$175,"BTS1",_CALC_ALLOC!$F$1:$F$175,"ALT")</f>
        <v>0</v>
      </c>
      <c r="F82" s="15">
        <f>SUMIFS(_CALC_ALLOC!$AJ$1:$AJ$175,_CALC_ALLOC!$A$1:$A$175,"2026",_CALC_ALLOC!$B$1:$B$175,"PIGIER_BOR",_CALC_ALLOC!$D$1:$D$175,"BTS_GES",_CALC_ALLOC!$E$1:$E$175,"BTS1",_CALC_ALLOC!$F$1:$F$175,"ALT")</f>
        <v>0</v>
      </c>
      <c r="G82" s="15">
        <f>SUMIFS(_CALC_ALLOC!$AK$1:$AK$175,_CALC_ALLOC!$A$1:$A$175,"2026",_CALC_ALLOC!$B$1:$B$175,"PIGIER_BOR",_CALC_ALLOC!$D$1:$D$175,"BTS_GES",_CALC_ALLOC!$E$1:$E$175,"BTS1",_CALC_ALLOC!$F$1:$F$175,"ALT")</f>
        <v>0</v>
      </c>
      <c r="H82" s="15">
        <f>SUMIFS(_CALC_ALLOC!$AL$1:$AL$175,_CALC_ALLOC!$A$1:$A$175,"2026",_CALC_ALLOC!$B$1:$B$175,"PIGIER_BOR",_CALC_ALLOC!$D$1:$D$175,"BTS_GES",_CALC_ALLOC!$E$1:$E$175,"BTS1",_CALC_ALLOC!$F$1:$F$175,"ALT")</f>
        <v>0</v>
      </c>
      <c r="I82" s="15">
        <f>SUMIFS(_CALC_ALLOC!$AR$1:$AR$175,_CALC_ALLOC!$A$1:$A$175,"2026",_CALC_ALLOC!$B$1:$B$175,"PIGIER_BOR",_CALC_ALLOC!$D$1:$D$175,"BTS_GES",_CALC_ALLOC!$E$1:$E$175,"BTS1",_CALC_ALLOC!$F$1:$F$175,"ALT")</f>
        <v>0</v>
      </c>
      <c r="J82" s="15">
        <f>SUMIFS(_CALC_ALLOC!$AM$1:$AM$175,_CALC_ALLOC!$A$1:$A$175,"2026",_CALC_ALLOC!$B$1:$B$175,"PIGIER_BOR",_CALC_ALLOC!$D$1:$D$175,"BTS_GES",_CALC_ALLOC!$E$1:$E$175,"BTS1",_CALC_ALLOC!$F$1:$F$175,"ALT")</f>
        <v>0</v>
      </c>
      <c r="K82" s="19">
        <f t="shared" ref="K82:K95" si="4">E82+F82+G82+H82+I82+J82</f>
        <v>0</v>
      </c>
      <c r="L82" s="22">
        <f>SUMIFS(_CALC_ALLOC!$AN$1:$AN$175,_CALC_ALLOC!$A$1:$A$175,"2026",_CALC_ALLOC!$B$1:$B$175,"PIGIER_BOR",_CALC_ALLOC!$D$1:$D$175,"BTS_GES",_CALC_ALLOC!$E$1:$E$175,"BTS1",_CALC_ALLOC!$F$1:$F$175,"ALT")</f>
        <v>0</v>
      </c>
      <c r="M82" s="17">
        <f t="shared" ref="M82:M95" si="5">IFERROR(L82/D82,0)</f>
        <v>0</v>
      </c>
    </row>
    <row r="83" spans="2:13" outlineLevel="2" x14ac:dyDescent="0.45">
      <c r="B83" s="7" t="s">
        <v>65</v>
      </c>
      <c r="C83" s="16">
        <f>SUMIFS(_CALC_ALLOC!$G$1:$G$175,_CALC_ALLOC!$A$1:$A$175,"2026",_CALC_ALLOC!$B$1:$B$175,"PIGIER_BOR",_CALC_ALLOC!$D$1:$D$175,"BTS_GES",_CALC_ALLOC!$E$1:$E$175,"BTS2",_CALC_ALLOC!$F$1:$F$175,"ALT")</f>
        <v>0</v>
      </c>
      <c r="D83" s="15">
        <f>SUMIFS(_CALC_ALLOC!$I$1:$I$175,_CALC_ALLOC!$A$1:$A$175,"2026",_CALC_ALLOC!$B$1:$B$175,"PIGIER_BOR",_CALC_ALLOC!$D$1:$D$175,"BTS_GES",_CALC_ALLOC!$E$1:$E$175,"BTS2",_CALC_ALLOC!$F$1:$F$175,"ALT")</f>
        <v>0</v>
      </c>
      <c r="E83" s="15">
        <f>SUMIFS(_CALC_ALLOC!$AI$1:$AI$175,_CALC_ALLOC!$A$1:$A$175,"2026",_CALC_ALLOC!$B$1:$B$175,"PIGIER_BOR",_CALC_ALLOC!$D$1:$D$175,"BTS_GES",_CALC_ALLOC!$E$1:$E$175,"BTS2",_CALC_ALLOC!$F$1:$F$175,"ALT")</f>
        <v>0</v>
      </c>
      <c r="F83" s="15">
        <f>SUMIFS(_CALC_ALLOC!$AJ$1:$AJ$175,_CALC_ALLOC!$A$1:$A$175,"2026",_CALC_ALLOC!$B$1:$B$175,"PIGIER_BOR",_CALC_ALLOC!$D$1:$D$175,"BTS_GES",_CALC_ALLOC!$E$1:$E$175,"BTS2",_CALC_ALLOC!$F$1:$F$175,"ALT")</f>
        <v>0</v>
      </c>
      <c r="G83" s="15">
        <f>SUMIFS(_CALC_ALLOC!$AK$1:$AK$175,_CALC_ALLOC!$A$1:$A$175,"2026",_CALC_ALLOC!$B$1:$B$175,"PIGIER_BOR",_CALC_ALLOC!$D$1:$D$175,"BTS_GES",_CALC_ALLOC!$E$1:$E$175,"BTS2",_CALC_ALLOC!$F$1:$F$175,"ALT")</f>
        <v>0</v>
      </c>
      <c r="H83" s="15">
        <f>SUMIFS(_CALC_ALLOC!$AL$1:$AL$175,_CALC_ALLOC!$A$1:$A$175,"2026",_CALC_ALLOC!$B$1:$B$175,"PIGIER_BOR",_CALC_ALLOC!$D$1:$D$175,"BTS_GES",_CALC_ALLOC!$E$1:$E$175,"BTS2",_CALC_ALLOC!$F$1:$F$175,"ALT")</f>
        <v>0</v>
      </c>
      <c r="I83" s="15">
        <f>SUMIFS(_CALC_ALLOC!$AR$1:$AR$175,_CALC_ALLOC!$A$1:$A$175,"2026",_CALC_ALLOC!$B$1:$B$175,"PIGIER_BOR",_CALC_ALLOC!$D$1:$D$175,"BTS_GES",_CALC_ALLOC!$E$1:$E$175,"BTS2",_CALC_ALLOC!$F$1:$F$175,"ALT")</f>
        <v>0</v>
      </c>
      <c r="J83" s="15">
        <f>SUMIFS(_CALC_ALLOC!$AM$1:$AM$175,_CALC_ALLOC!$A$1:$A$175,"2026",_CALC_ALLOC!$B$1:$B$175,"PIGIER_BOR",_CALC_ALLOC!$D$1:$D$175,"BTS_GES",_CALC_ALLOC!$E$1:$E$175,"BTS2",_CALC_ALLOC!$F$1:$F$175,"ALT")</f>
        <v>0</v>
      </c>
      <c r="K83" s="19">
        <f t="shared" si="4"/>
        <v>0</v>
      </c>
      <c r="L83" s="22">
        <f>SUMIFS(_CALC_ALLOC!$AN$1:$AN$175,_CALC_ALLOC!$A$1:$A$175,"2026",_CALC_ALLOC!$B$1:$B$175,"PIGIER_BOR",_CALC_ALLOC!$D$1:$D$175,"BTS_GES",_CALC_ALLOC!$E$1:$E$175,"BTS2",_CALC_ALLOC!$F$1:$F$175,"ALT")</f>
        <v>0</v>
      </c>
      <c r="M83" s="17">
        <f t="shared" si="5"/>
        <v>0</v>
      </c>
    </row>
    <row r="84" spans="2:13" outlineLevel="2" x14ac:dyDescent="0.45">
      <c r="B84" s="7" t="s">
        <v>66</v>
      </c>
      <c r="C84" s="16">
        <f>SUMIFS(_CALC_ALLOC!$G$1:$G$175,_CALC_ALLOC!$A$1:$A$175,"2026",_CALC_ALLOC!$B$1:$B$175,"PIGIER_BOR",_CALC_ALLOC!$D$1:$D$175,"BAC_RH",_CALC_ALLOC!$E$1:$E$175,"B1",_CALC_ALLOC!$F$1:$F$175,"ALT")</f>
        <v>0</v>
      </c>
      <c r="D84" s="15">
        <f>SUMIFS(_CALC_ALLOC!$I$1:$I$175,_CALC_ALLOC!$A$1:$A$175,"2026",_CALC_ALLOC!$B$1:$B$175,"PIGIER_BOR",_CALC_ALLOC!$D$1:$D$175,"BAC_RH",_CALC_ALLOC!$E$1:$E$175,"B1",_CALC_ALLOC!$F$1:$F$175,"ALT")</f>
        <v>0</v>
      </c>
      <c r="E84" s="15">
        <f>SUMIFS(_CALC_ALLOC!$AI$1:$AI$175,_CALC_ALLOC!$A$1:$A$175,"2026",_CALC_ALLOC!$B$1:$B$175,"PIGIER_BOR",_CALC_ALLOC!$D$1:$D$175,"BAC_RH",_CALC_ALLOC!$E$1:$E$175,"B1",_CALC_ALLOC!$F$1:$F$175,"ALT")</f>
        <v>0</v>
      </c>
      <c r="F84" s="15">
        <f>SUMIFS(_CALC_ALLOC!$AJ$1:$AJ$175,_CALC_ALLOC!$A$1:$A$175,"2026",_CALC_ALLOC!$B$1:$B$175,"PIGIER_BOR",_CALC_ALLOC!$D$1:$D$175,"BAC_RH",_CALC_ALLOC!$E$1:$E$175,"B1",_CALC_ALLOC!$F$1:$F$175,"ALT")</f>
        <v>0</v>
      </c>
      <c r="G84" s="15">
        <f>SUMIFS(_CALC_ALLOC!$AK$1:$AK$175,_CALC_ALLOC!$A$1:$A$175,"2026",_CALC_ALLOC!$B$1:$B$175,"PIGIER_BOR",_CALC_ALLOC!$D$1:$D$175,"BAC_RH",_CALC_ALLOC!$E$1:$E$175,"B1",_CALC_ALLOC!$F$1:$F$175,"ALT")</f>
        <v>0</v>
      </c>
      <c r="H84" s="15">
        <f>SUMIFS(_CALC_ALLOC!$AL$1:$AL$175,_CALC_ALLOC!$A$1:$A$175,"2026",_CALC_ALLOC!$B$1:$B$175,"PIGIER_BOR",_CALC_ALLOC!$D$1:$D$175,"BAC_RH",_CALC_ALLOC!$E$1:$E$175,"B1",_CALC_ALLOC!$F$1:$F$175,"ALT")</f>
        <v>0</v>
      </c>
      <c r="I84" s="15">
        <f>SUMIFS(_CALC_ALLOC!$AR$1:$AR$175,_CALC_ALLOC!$A$1:$A$175,"2026",_CALC_ALLOC!$B$1:$B$175,"PIGIER_BOR",_CALC_ALLOC!$D$1:$D$175,"BAC_RH",_CALC_ALLOC!$E$1:$E$175,"B1",_CALC_ALLOC!$F$1:$F$175,"ALT")</f>
        <v>0</v>
      </c>
      <c r="J84" s="15">
        <f>SUMIFS(_CALC_ALLOC!$AM$1:$AM$175,_CALC_ALLOC!$A$1:$A$175,"2026",_CALC_ALLOC!$B$1:$B$175,"PIGIER_BOR",_CALC_ALLOC!$D$1:$D$175,"BAC_RH",_CALC_ALLOC!$E$1:$E$175,"B1",_CALC_ALLOC!$F$1:$F$175,"ALT")</f>
        <v>0</v>
      </c>
      <c r="K84" s="19">
        <f t="shared" si="4"/>
        <v>0</v>
      </c>
      <c r="L84" s="22">
        <f>SUMIFS(_CALC_ALLOC!$AN$1:$AN$175,_CALC_ALLOC!$A$1:$A$175,"2026",_CALC_ALLOC!$B$1:$B$175,"PIGIER_BOR",_CALC_ALLOC!$D$1:$D$175,"BAC_RH",_CALC_ALLOC!$E$1:$E$175,"B1",_CALC_ALLOC!$F$1:$F$175,"ALT")</f>
        <v>0</v>
      </c>
      <c r="M84" s="17">
        <f t="shared" si="5"/>
        <v>0</v>
      </c>
    </row>
    <row r="85" spans="2:13" outlineLevel="2" x14ac:dyDescent="0.45">
      <c r="B85" s="7" t="s">
        <v>67</v>
      </c>
      <c r="C85" s="16">
        <f>SUMIFS(_CALC_ALLOC!$G$1:$G$175,_CALC_ALLOC!$A$1:$A$175,"2026",_CALC_ALLOC!$B$1:$B$175,"PIGIER_BOR",_CALC_ALLOC!$D$1:$D$175,"BAC_RH",_CALC_ALLOC!$E$1:$E$175,"B3",_CALC_ALLOC!$F$1:$F$175,"ALT")</f>
        <v>0</v>
      </c>
      <c r="D85" s="15">
        <f>SUMIFS(_CALC_ALLOC!$I$1:$I$175,_CALC_ALLOC!$A$1:$A$175,"2026",_CALC_ALLOC!$B$1:$B$175,"PIGIER_BOR",_CALC_ALLOC!$D$1:$D$175,"BAC_RH",_CALC_ALLOC!$E$1:$E$175,"B3",_CALC_ALLOC!$F$1:$F$175,"ALT")</f>
        <v>0</v>
      </c>
      <c r="E85" s="15">
        <f>SUMIFS(_CALC_ALLOC!$AI$1:$AI$175,_CALC_ALLOC!$A$1:$A$175,"2026",_CALC_ALLOC!$B$1:$B$175,"PIGIER_BOR",_CALC_ALLOC!$D$1:$D$175,"BAC_RH",_CALC_ALLOC!$E$1:$E$175,"B3",_CALC_ALLOC!$F$1:$F$175,"ALT")</f>
        <v>0</v>
      </c>
      <c r="F85" s="15">
        <f>SUMIFS(_CALC_ALLOC!$AJ$1:$AJ$175,_CALC_ALLOC!$A$1:$A$175,"2026",_CALC_ALLOC!$B$1:$B$175,"PIGIER_BOR",_CALC_ALLOC!$D$1:$D$175,"BAC_RH",_CALC_ALLOC!$E$1:$E$175,"B3",_CALC_ALLOC!$F$1:$F$175,"ALT")</f>
        <v>0</v>
      </c>
      <c r="G85" s="15">
        <f>SUMIFS(_CALC_ALLOC!$AK$1:$AK$175,_CALC_ALLOC!$A$1:$A$175,"2026",_CALC_ALLOC!$B$1:$B$175,"PIGIER_BOR",_CALC_ALLOC!$D$1:$D$175,"BAC_RH",_CALC_ALLOC!$E$1:$E$175,"B3",_CALC_ALLOC!$F$1:$F$175,"ALT")</f>
        <v>0</v>
      </c>
      <c r="H85" s="15">
        <f>SUMIFS(_CALC_ALLOC!$AL$1:$AL$175,_CALC_ALLOC!$A$1:$A$175,"2026",_CALC_ALLOC!$B$1:$B$175,"PIGIER_BOR",_CALC_ALLOC!$D$1:$D$175,"BAC_RH",_CALC_ALLOC!$E$1:$E$175,"B3",_CALC_ALLOC!$F$1:$F$175,"ALT")</f>
        <v>0</v>
      </c>
      <c r="I85" s="15">
        <f>SUMIFS(_CALC_ALLOC!$AR$1:$AR$175,_CALC_ALLOC!$A$1:$A$175,"2026",_CALC_ALLOC!$B$1:$B$175,"PIGIER_BOR",_CALC_ALLOC!$D$1:$D$175,"BAC_RH",_CALC_ALLOC!$E$1:$E$175,"B3",_CALC_ALLOC!$F$1:$F$175,"ALT")</f>
        <v>0</v>
      </c>
      <c r="J85" s="15">
        <f>SUMIFS(_CALC_ALLOC!$AM$1:$AM$175,_CALC_ALLOC!$A$1:$A$175,"2026",_CALC_ALLOC!$B$1:$B$175,"PIGIER_BOR",_CALC_ALLOC!$D$1:$D$175,"BAC_RH",_CALC_ALLOC!$E$1:$E$175,"B3",_CALC_ALLOC!$F$1:$F$175,"ALT")</f>
        <v>0</v>
      </c>
      <c r="K85" s="19">
        <f t="shared" si="4"/>
        <v>0</v>
      </c>
      <c r="L85" s="22">
        <f>SUMIFS(_CALC_ALLOC!$AN$1:$AN$175,_CALC_ALLOC!$A$1:$A$175,"2026",_CALC_ALLOC!$B$1:$B$175,"PIGIER_BOR",_CALC_ALLOC!$D$1:$D$175,"BAC_RH",_CALC_ALLOC!$E$1:$E$175,"B3",_CALC_ALLOC!$F$1:$F$175,"ALT")</f>
        <v>0</v>
      </c>
      <c r="M85" s="17">
        <f t="shared" si="5"/>
        <v>0</v>
      </c>
    </row>
    <row r="86" spans="2:13" x14ac:dyDescent="0.45">
      <c r="B86" s="11" t="s">
        <v>3</v>
      </c>
      <c r="C86" s="18">
        <f>SUMIFS(_CALC_ALLOC!$G$1:$G$175,_CALC_ALLOC!$A$1:$A$175,"2026",_CALC_ALLOC!$C$1:$C$175,"TUNON")</f>
        <v>0</v>
      </c>
      <c r="D86" s="19">
        <f>SUMIFS(_CALC_ALLOC!$I$1:$I$175,_CALC_ALLOC!$A$1:$A$175,"2026",_CALC_ALLOC!$C$1:$C$175,"TUNON")</f>
        <v>0</v>
      </c>
      <c r="E86" s="19">
        <f>SUMIFS(_CALC_ALLOC!$AI$1:$AI$175,_CALC_ALLOC!$A$1:$A$175,"2026",_CALC_ALLOC!$C$1:$C$175,"TUNON")</f>
        <v>0</v>
      </c>
      <c r="F86" s="19">
        <f>SUMIFS(_CALC_ALLOC!$AJ$1:$AJ$175,_CALC_ALLOC!$A$1:$A$175,"2026",_CALC_ALLOC!$C$1:$C$175,"TUNON")</f>
        <v>0</v>
      </c>
      <c r="G86" s="19">
        <f>SUMIFS(_CALC_ALLOC!$AK$1:$AK$175,_CALC_ALLOC!$A$1:$A$175,"2026",_CALC_ALLOC!$C$1:$C$175,"TUNON")</f>
        <v>0</v>
      </c>
      <c r="H86" s="19">
        <f>SUMIFS(_CALC_ALLOC!$AL$1:$AL$175,_CALC_ALLOC!$A$1:$A$175,"2026",_CALC_ALLOC!$C$1:$C$175,"TUNON")</f>
        <v>0</v>
      </c>
      <c r="I86" s="19">
        <f>SUMIFS(_CALC_ALLOC!$AR$1:$AR$175,_CALC_ALLOC!$A$1:$A$175,"2026",_CALC_ALLOC!$C$1:$C$175,"TUNON")</f>
        <v>0</v>
      </c>
      <c r="J86" s="19">
        <f>SUMIFS(_CALC_ALLOC!$AM$1:$AM$175,_CALC_ALLOC!$A$1:$A$175,"2026",_CALC_ALLOC!$C$1:$C$175,"TUNON")</f>
        <v>0</v>
      </c>
      <c r="K86" s="19">
        <f t="shared" si="4"/>
        <v>0</v>
      </c>
      <c r="L86" s="21">
        <f>SUMIFS(_CALC_ALLOC!$AN$1:$AN$175,_CALC_ALLOC!$A$1:$A$175,"2026",_CALC_ALLOC!$C$1:$C$175,"TUNON")</f>
        <v>0</v>
      </c>
      <c r="M86" s="20">
        <f t="shared" si="5"/>
        <v>0</v>
      </c>
    </row>
    <row r="87" spans="2:13" outlineLevel="1" collapsed="1" x14ac:dyDescent="0.45">
      <c r="B87" s="6" t="s">
        <v>69</v>
      </c>
      <c r="C87" s="18">
        <f>SUMIFS(_CALC_ALLOC!$G$1:$G$175,_CALC_ALLOC!$A$1:$A$175,"2026",_CALC_ALLOC!$B$1:$B$175,"TUNON_PAR")</f>
        <v>0</v>
      </c>
      <c r="D87" s="19">
        <f>SUMIFS(_CALC_ALLOC!$I$1:$I$175,_CALC_ALLOC!$A$1:$A$175,"2026",_CALC_ALLOC!$B$1:$B$175,"TUNON_PAR")</f>
        <v>0</v>
      </c>
      <c r="E87" s="19">
        <f>SUMIFS(_CALC_ALLOC!$AI$1:$AI$175,_CALC_ALLOC!$A$1:$A$175,"2026",_CALC_ALLOC!$B$1:$B$175,"TUNON_PAR")</f>
        <v>0</v>
      </c>
      <c r="F87" s="19">
        <f>SUMIFS(_CALC_ALLOC!$AJ$1:$AJ$175,_CALC_ALLOC!$A$1:$A$175,"2026",_CALC_ALLOC!$B$1:$B$175,"TUNON_PAR")</f>
        <v>0</v>
      </c>
      <c r="G87" s="19">
        <f>SUMIFS(_CALC_ALLOC!$AK$1:$AK$175,_CALC_ALLOC!$A$1:$A$175,"2026",_CALC_ALLOC!$B$1:$B$175,"TUNON_PAR")</f>
        <v>0</v>
      </c>
      <c r="H87" s="19">
        <f>SUMIFS(_CALC_ALLOC!$AL$1:$AL$175,_CALC_ALLOC!$A$1:$A$175,"2026",_CALC_ALLOC!$B$1:$B$175,"TUNON_PAR")</f>
        <v>0</v>
      </c>
      <c r="I87" s="19">
        <f>SUMIFS(_CALC_ALLOC!$AR$1:$AR$175,_CALC_ALLOC!$A$1:$A$175,"2026",_CALC_ALLOC!$B$1:$B$175,"TUNON_PAR")</f>
        <v>0</v>
      </c>
      <c r="J87" s="19">
        <f>SUMIFS(_CALC_ALLOC!$AM$1:$AM$175,_CALC_ALLOC!$A$1:$A$175,"2026",_CALC_ALLOC!$B$1:$B$175,"TUNON_PAR")</f>
        <v>0</v>
      </c>
      <c r="K87" s="19">
        <f t="shared" si="4"/>
        <v>0</v>
      </c>
      <c r="L87" s="21">
        <f>SUMIFS(_CALC_ALLOC!$AN$1:$AN$175,_CALC_ALLOC!$A$1:$A$175,"2026",_CALC_ALLOC!$B$1:$B$175,"TUNON_PAR")</f>
        <v>0</v>
      </c>
      <c r="M87" s="20">
        <f t="shared" si="5"/>
        <v>0</v>
      </c>
    </row>
    <row r="88" spans="2:13" outlineLevel="2" x14ac:dyDescent="0.45">
      <c r="B88" s="7" t="s">
        <v>70</v>
      </c>
      <c r="C88" s="16">
        <f>SUMIFS(_CALC_ALLOC!$G$1:$G$175,_CALC_ALLOC!$A$1:$A$175,"2026",_CALC_ALLOC!$B$1:$B$175,"TUNON_PAR",_CALC_ALLOC!$D$1:$D$175,"BAC_TOU",_CALC_ALLOC!$E$1:$E$175,"B1",_CALC_ALLOC!$F$1:$F$175,"ALT")</f>
        <v>0</v>
      </c>
      <c r="D88" s="15">
        <f>SUMIFS(_CALC_ALLOC!$I$1:$I$175,_CALC_ALLOC!$A$1:$A$175,"2026",_CALC_ALLOC!$B$1:$B$175,"TUNON_PAR",_CALC_ALLOC!$D$1:$D$175,"BAC_TOU",_CALC_ALLOC!$E$1:$E$175,"B1",_CALC_ALLOC!$F$1:$F$175,"ALT")</f>
        <v>0</v>
      </c>
      <c r="E88" s="15">
        <f>SUMIFS(_CALC_ALLOC!$AI$1:$AI$175,_CALC_ALLOC!$A$1:$A$175,"2026",_CALC_ALLOC!$B$1:$B$175,"TUNON_PAR",_CALC_ALLOC!$D$1:$D$175,"BAC_TOU",_CALC_ALLOC!$E$1:$E$175,"B1",_CALC_ALLOC!$F$1:$F$175,"ALT")</f>
        <v>0</v>
      </c>
      <c r="F88" s="15">
        <f>SUMIFS(_CALC_ALLOC!$AJ$1:$AJ$175,_CALC_ALLOC!$A$1:$A$175,"2026",_CALC_ALLOC!$B$1:$B$175,"TUNON_PAR",_CALC_ALLOC!$D$1:$D$175,"BAC_TOU",_CALC_ALLOC!$E$1:$E$175,"B1",_CALC_ALLOC!$F$1:$F$175,"ALT")</f>
        <v>0</v>
      </c>
      <c r="G88" s="15">
        <f>SUMIFS(_CALC_ALLOC!$AK$1:$AK$175,_CALC_ALLOC!$A$1:$A$175,"2026",_CALC_ALLOC!$B$1:$B$175,"TUNON_PAR",_CALC_ALLOC!$D$1:$D$175,"BAC_TOU",_CALC_ALLOC!$E$1:$E$175,"B1",_CALC_ALLOC!$F$1:$F$175,"ALT")</f>
        <v>0</v>
      </c>
      <c r="H88" s="15">
        <f>SUMIFS(_CALC_ALLOC!$AL$1:$AL$175,_CALC_ALLOC!$A$1:$A$175,"2026",_CALC_ALLOC!$B$1:$B$175,"TUNON_PAR",_CALC_ALLOC!$D$1:$D$175,"BAC_TOU",_CALC_ALLOC!$E$1:$E$175,"B1",_CALC_ALLOC!$F$1:$F$175,"ALT")</f>
        <v>0</v>
      </c>
      <c r="I88" s="15">
        <f>SUMIFS(_CALC_ALLOC!$AR$1:$AR$175,_CALC_ALLOC!$A$1:$A$175,"2026",_CALC_ALLOC!$B$1:$B$175,"TUNON_PAR",_CALC_ALLOC!$D$1:$D$175,"BAC_TOU",_CALC_ALLOC!$E$1:$E$175,"B1",_CALC_ALLOC!$F$1:$F$175,"ALT")</f>
        <v>0</v>
      </c>
      <c r="J88" s="15">
        <f>SUMIFS(_CALC_ALLOC!$AM$1:$AM$175,_CALC_ALLOC!$A$1:$A$175,"2026",_CALC_ALLOC!$B$1:$B$175,"TUNON_PAR",_CALC_ALLOC!$D$1:$D$175,"BAC_TOU",_CALC_ALLOC!$E$1:$E$175,"B1",_CALC_ALLOC!$F$1:$F$175,"ALT")</f>
        <v>0</v>
      </c>
      <c r="K88" s="19">
        <f t="shared" si="4"/>
        <v>0</v>
      </c>
      <c r="L88" s="22">
        <f>SUMIFS(_CALC_ALLOC!$AN$1:$AN$175,_CALC_ALLOC!$A$1:$A$175,"2026",_CALC_ALLOC!$B$1:$B$175,"TUNON_PAR",_CALC_ALLOC!$D$1:$D$175,"BAC_TOU",_CALC_ALLOC!$E$1:$E$175,"B1",_CALC_ALLOC!$F$1:$F$175,"ALT")</f>
        <v>0</v>
      </c>
      <c r="M88" s="17">
        <f t="shared" si="5"/>
        <v>0</v>
      </c>
    </row>
    <row r="89" spans="2:13" outlineLevel="2" x14ac:dyDescent="0.45">
      <c r="B89" s="7" t="s">
        <v>71</v>
      </c>
      <c r="C89" s="16">
        <f>SUMIFS(_CALC_ALLOC!$G$1:$G$175,_CALC_ALLOC!$A$1:$A$175,"2026",_CALC_ALLOC!$B$1:$B$175,"TUNON_PAR",_CALC_ALLOC!$D$1:$D$175,"BAC_TOU",_CALC_ALLOC!$E$1:$E$175,"B2",_CALC_ALLOC!$F$1:$F$175,"ALT")</f>
        <v>0</v>
      </c>
      <c r="D89" s="15">
        <f>SUMIFS(_CALC_ALLOC!$I$1:$I$175,_CALC_ALLOC!$A$1:$A$175,"2026",_CALC_ALLOC!$B$1:$B$175,"TUNON_PAR",_CALC_ALLOC!$D$1:$D$175,"BAC_TOU",_CALC_ALLOC!$E$1:$E$175,"B2",_CALC_ALLOC!$F$1:$F$175,"ALT")</f>
        <v>0</v>
      </c>
      <c r="E89" s="15">
        <f>SUMIFS(_CALC_ALLOC!$AI$1:$AI$175,_CALC_ALLOC!$A$1:$A$175,"2026",_CALC_ALLOC!$B$1:$B$175,"TUNON_PAR",_CALC_ALLOC!$D$1:$D$175,"BAC_TOU",_CALC_ALLOC!$E$1:$E$175,"B2",_CALC_ALLOC!$F$1:$F$175,"ALT")</f>
        <v>0</v>
      </c>
      <c r="F89" s="15">
        <f>SUMIFS(_CALC_ALLOC!$AJ$1:$AJ$175,_CALC_ALLOC!$A$1:$A$175,"2026",_CALC_ALLOC!$B$1:$B$175,"TUNON_PAR",_CALC_ALLOC!$D$1:$D$175,"BAC_TOU",_CALC_ALLOC!$E$1:$E$175,"B2",_CALC_ALLOC!$F$1:$F$175,"ALT")</f>
        <v>0</v>
      </c>
      <c r="G89" s="15">
        <f>SUMIFS(_CALC_ALLOC!$AK$1:$AK$175,_CALC_ALLOC!$A$1:$A$175,"2026",_CALC_ALLOC!$B$1:$B$175,"TUNON_PAR",_CALC_ALLOC!$D$1:$D$175,"BAC_TOU",_CALC_ALLOC!$E$1:$E$175,"B2",_CALC_ALLOC!$F$1:$F$175,"ALT")</f>
        <v>0</v>
      </c>
      <c r="H89" s="15">
        <f>SUMIFS(_CALC_ALLOC!$AL$1:$AL$175,_CALC_ALLOC!$A$1:$A$175,"2026",_CALC_ALLOC!$B$1:$B$175,"TUNON_PAR",_CALC_ALLOC!$D$1:$D$175,"BAC_TOU",_CALC_ALLOC!$E$1:$E$175,"B2",_CALC_ALLOC!$F$1:$F$175,"ALT")</f>
        <v>0</v>
      </c>
      <c r="I89" s="15">
        <f>SUMIFS(_CALC_ALLOC!$AR$1:$AR$175,_CALC_ALLOC!$A$1:$A$175,"2026",_CALC_ALLOC!$B$1:$B$175,"TUNON_PAR",_CALC_ALLOC!$D$1:$D$175,"BAC_TOU",_CALC_ALLOC!$E$1:$E$175,"B2",_CALC_ALLOC!$F$1:$F$175,"ALT")</f>
        <v>0</v>
      </c>
      <c r="J89" s="15">
        <f>SUMIFS(_CALC_ALLOC!$AM$1:$AM$175,_CALC_ALLOC!$A$1:$A$175,"2026",_CALC_ALLOC!$B$1:$B$175,"TUNON_PAR",_CALC_ALLOC!$D$1:$D$175,"BAC_TOU",_CALC_ALLOC!$E$1:$E$175,"B2",_CALC_ALLOC!$F$1:$F$175,"ALT")</f>
        <v>0</v>
      </c>
      <c r="K89" s="19">
        <f t="shared" si="4"/>
        <v>0</v>
      </c>
      <c r="L89" s="22">
        <f>SUMIFS(_CALC_ALLOC!$AN$1:$AN$175,_CALC_ALLOC!$A$1:$A$175,"2026",_CALC_ALLOC!$B$1:$B$175,"TUNON_PAR",_CALC_ALLOC!$D$1:$D$175,"BAC_TOU",_CALC_ALLOC!$E$1:$E$175,"B2",_CALC_ALLOC!$F$1:$F$175,"ALT")</f>
        <v>0</v>
      </c>
      <c r="M89" s="17">
        <f t="shared" si="5"/>
        <v>0</v>
      </c>
    </row>
    <row r="90" spans="2:13" outlineLevel="2" x14ac:dyDescent="0.45">
      <c r="B90" s="7" t="s">
        <v>72</v>
      </c>
      <c r="C90" s="16">
        <f>SUMIFS(_CALC_ALLOC!$G$1:$G$175,_CALC_ALLOC!$A$1:$A$175,"2026",_CALC_ALLOC!$B$1:$B$175,"TUNON_PAR",_CALC_ALLOC!$D$1:$D$175,"BAC_TOU",_CALC_ALLOC!$E$1:$E$175,"B3",_CALC_ALLOC!$F$1:$F$175,"ALT")</f>
        <v>0</v>
      </c>
      <c r="D90" s="15">
        <f>SUMIFS(_CALC_ALLOC!$I$1:$I$175,_CALC_ALLOC!$A$1:$A$175,"2026",_CALC_ALLOC!$B$1:$B$175,"TUNON_PAR",_CALC_ALLOC!$D$1:$D$175,"BAC_TOU",_CALC_ALLOC!$E$1:$E$175,"B3",_CALC_ALLOC!$F$1:$F$175,"ALT")</f>
        <v>0</v>
      </c>
      <c r="E90" s="15">
        <f>SUMIFS(_CALC_ALLOC!$AI$1:$AI$175,_CALC_ALLOC!$A$1:$A$175,"2026",_CALC_ALLOC!$B$1:$B$175,"TUNON_PAR",_CALC_ALLOC!$D$1:$D$175,"BAC_TOU",_CALC_ALLOC!$E$1:$E$175,"B3",_CALC_ALLOC!$F$1:$F$175,"ALT")</f>
        <v>0</v>
      </c>
      <c r="F90" s="15">
        <f>SUMIFS(_CALC_ALLOC!$AJ$1:$AJ$175,_CALC_ALLOC!$A$1:$A$175,"2026",_CALC_ALLOC!$B$1:$B$175,"TUNON_PAR",_CALC_ALLOC!$D$1:$D$175,"BAC_TOU",_CALC_ALLOC!$E$1:$E$175,"B3",_CALC_ALLOC!$F$1:$F$175,"ALT")</f>
        <v>0</v>
      </c>
      <c r="G90" s="15">
        <f>SUMIFS(_CALC_ALLOC!$AK$1:$AK$175,_CALC_ALLOC!$A$1:$A$175,"2026",_CALC_ALLOC!$B$1:$B$175,"TUNON_PAR",_CALC_ALLOC!$D$1:$D$175,"BAC_TOU",_CALC_ALLOC!$E$1:$E$175,"B3",_CALC_ALLOC!$F$1:$F$175,"ALT")</f>
        <v>0</v>
      </c>
      <c r="H90" s="15">
        <f>SUMIFS(_CALC_ALLOC!$AL$1:$AL$175,_CALC_ALLOC!$A$1:$A$175,"2026",_CALC_ALLOC!$B$1:$B$175,"TUNON_PAR",_CALC_ALLOC!$D$1:$D$175,"BAC_TOU",_CALC_ALLOC!$E$1:$E$175,"B3",_CALC_ALLOC!$F$1:$F$175,"ALT")</f>
        <v>0</v>
      </c>
      <c r="I90" s="15">
        <f>SUMIFS(_CALC_ALLOC!$AR$1:$AR$175,_CALC_ALLOC!$A$1:$A$175,"2026",_CALC_ALLOC!$B$1:$B$175,"TUNON_PAR",_CALC_ALLOC!$D$1:$D$175,"BAC_TOU",_CALC_ALLOC!$E$1:$E$175,"B3",_CALC_ALLOC!$F$1:$F$175,"ALT")</f>
        <v>0</v>
      </c>
      <c r="J90" s="15">
        <f>SUMIFS(_CALC_ALLOC!$AM$1:$AM$175,_CALC_ALLOC!$A$1:$A$175,"2026",_CALC_ALLOC!$B$1:$B$175,"TUNON_PAR",_CALC_ALLOC!$D$1:$D$175,"BAC_TOU",_CALC_ALLOC!$E$1:$E$175,"B3",_CALC_ALLOC!$F$1:$F$175,"ALT")</f>
        <v>0</v>
      </c>
      <c r="K90" s="19">
        <f t="shared" si="4"/>
        <v>0</v>
      </c>
      <c r="L90" s="22">
        <f>SUMIFS(_CALC_ALLOC!$AN$1:$AN$175,_CALC_ALLOC!$A$1:$A$175,"2026",_CALC_ALLOC!$B$1:$B$175,"TUNON_PAR",_CALC_ALLOC!$D$1:$D$175,"BAC_TOU",_CALC_ALLOC!$E$1:$E$175,"B3",_CALC_ALLOC!$F$1:$F$175,"ALT")</f>
        <v>0</v>
      </c>
      <c r="M90" s="17">
        <f t="shared" si="5"/>
        <v>0</v>
      </c>
    </row>
    <row r="91" spans="2:13" outlineLevel="1" x14ac:dyDescent="0.45">
      <c r="B91" s="6" t="s">
        <v>73</v>
      </c>
      <c r="C91" s="18">
        <f>SUMIFS(_CALC_ALLOC!$G$1:$G$175,_CALC_ALLOC!$A$1:$A$175,"2026",_CALC_ALLOC!$B$1:$B$175,"TUNON_LYO")</f>
        <v>0</v>
      </c>
      <c r="D91" s="19">
        <f>SUMIFS(_CALC_ALLOC!$I$1:$I$175,_CALC_ALLOC!$A$1:$A$175,"2026",_CALC_ALLOC!$B$1:$B$175,"TUNON_LYO")</f>
        <v>0</v>
      </c>
      <c r="E91" s="19">
        <f>SUMIFS(_CALC_ALLOC!$AI$1:$AI$175,_CALC_ALLOC!$A$1:$A$175,"2026",_CALC_ALLOC!$B$1:$B$175,"TUNON_LYO")</f>
        <v>0</v>
      </c>
      <c r="F91" s="19">
        <f>SUMIFS(_CALC_ALLOC!$AJ$1:$AJ$175,_CALC_ALLOC!$A$1:$A$175,"2026",_CALC_ALLOC!$B$1:$B$175,"TUNON_LYO")</f>
        <v>0</v>
      </c>
      <c r="G91" s="19">
        <f>SUMIFS(_CALC_ALLOC!$AK$1:$AK$175,_CALC_ALLOC!$A$1:$A$175,"2026",_CALC_ALLOC!$B$1:$B$175,"TUNON_LYO")</f>
        <v>0</v>
      </c>
      <c r="H91" s="19">
        <f>SUMIFS(_CALC_ALLOC!$AL$1:$AL$175,_CALC_ALLOC!$A$1:$A$175,"2026",_CALC_ALLOC!$B$1:$B$175,"TUNON_LYO")</f>
        <v>0</v>
      </c>
      <c r="I91" s="19">
        <f>SUMIFS(_CALC_ALLOC!$AR$1:$AR$175,_CALC_ALLOC!$A$1:$A$175,"2026",_CALC_ALLOC!$B$1:$B$175,"TUNON_LYO")</f>
        <v>0</v>
      </c>
      <c r="J91" s="19">
        <f>SUMIFS(_CALC_ALLOC!$AM$1:$AM$175,_CALC_ALLOC!$A$1:$A$175,"2026",_CALC_ALLOC!$B$1:$B$175,"TUNON_LYO")</f>
        <v>0</v>
      </c>
      <c r="K91" s="19">
        <f t="shared" si="4"/>
        <v>0</v>
      </c>
      <c r="L91" s="21">
        <f>SUMIFS(_CALC_ALLOC!$AN$1:$AN$175,_CALC_ALLOC!$A$1:$A$175,"2026",_CALC_ALLOC!$B$1:$B$175,"TUNON_LYO")</f>
        <v>0</v>
      </c>
      <c r="M91" s="20">
        <f t="shared" si="5"/>
        <v>0</v>
      </c>
    </row>
    <row r="92" spans="2:13" outlineLevel="2" x14ac:dyDescent="0.45">
      <c r="B92" s="7" t="s">
        <v>70</v>
      </c>
      <c r="C92" s="16">
        <f>SUMIFS(_CALC_ALLOC!$G$1:$G$175,_CALC_ALLOC!$A$1:$A$175,"2026",_CALC_ALLOC!$B$1:$B$175,"TUNON_LYO",_CALC_ALLOC!$D$1:$D$175,"BAC_TOU",_CALC_ALLOC!$E$1:$E$175,"B1",_CALC_ALLOC!$F$1:$F$175,"ALT")</f>
        <v>0</v>
      </c>
      <c r="D92" s="15">
        <f>SUMIFS(_CALC_ALLOC!$I$1:$I$175,_CALC_ALLOC!$A$1:$A$175,"2026",_CALC_ALLOC!$B$1:$B$175,"TUNON_LYO",_CALC_ALLOC!$D$1:$D$175,"BAC_TOU",_CALC_ALLOC!$E$1:$E$175,"B1",_CALC_ALLOC!$F$1:$F$175,"ALT")</f>
        <v>0</v>
      </c>
      <c r="E92" s="15">
        <f>SUMIFS(_CALC_ALLOC!$AI$1:$AI$175,_CALC_ALLOC!$A$1:$A$175,"2026",_CALC_ALLOC!$B$1:$B$175,"TUNON_LYO",_CALC_ALLOC!$D$1:$D$175,"BAC_TOU",_CALC_ALLOC!$E$1:$E$175,"B1",_CALC_ALLOC!$F$1:$F$175,"ALT")</f>
        <v>0</v>
      </c>
      <c r="F92" s="15">
        <f>SUMIFS(_CALC_ALLOC!$AJ$1:$AJ$175,_CALC_ALLOC!$A$1:$A$175,"2026",_CALC_ALLOC!$B$1:$B$175,"TUNON_LYO",_CALC_ALLOC!$D$1:$D$175,"BAC_TOU",_CALC_ALLOC!$E$1:$E$175,"B1",_CALC_ALLOC!$F$1:$F$175,"ALT")</f>
        <v>0</v>
      </c>
      <c r="G92" s="15">
        <f>SUMIFS(_CALC_ALLOC!$AK$1:$AK$175,_CALC_ALLOC!$A$1:$A$175,"2026",_CALC_ALLOC!$B$1:$B$175,"TUNON_LYO",_CALC_ALLOC!$D$1:$D$175,"BAC_TOU",_CALC_ALLOC!$E$1:$E$175,"B1",_CALC_ALLOC!$F$1:$F$175,"ALT")</f>
        <v>0</v>
      </c>
      <c r="H92" s="15">
        <f>SUMIFS(_CALC_ALLOC!$AL$1:$AL$175,_CALC_ALLOC!$A$1:$A$175,"2026",_CALC_ALLOC!$B$1:$B$175,"TUNON_LYO",_CALC_ALLOC!$D$1:$D$175,"BAC_TOU",_CALC_ALLOC!$E$1:$E$175,"B1",_CALC_ALLOC!$F$1:$F$175,"ALT")</f>
        <v>0</v>
      </c>
      <c r="I92" s="15">
        <f>SUMIFS(_CALC_ALLOC!$AR$1:$AR$175,_CALC_ALLOC!$A$1:$A$175,"2026",_CALC_ALLOC!$B$1:$B$175,"TUNON_LYO",_CALC_ALLOC!$D$1:$D$175,"BAC_TOU",_CALC_ALLOC!$E$1:$E$175,"B1",_CALC_ALLOC!$F$1:$F$175,"ALT")</f>
        <v>0</v>
      </c>
      <c r="J92" s="15">
        <f>SUMIFS(_CALC_ALLOC!$AM$1:$AM$175,_CALC_ALLOC!$A$1:$A$175,"2026",_CALC_ALLOC!$B$1:$B$175,"TUNON_LYO",_CALC_ALLOC!$D$1:$D$175,"BAC_TOU",_CALC_ALLOC!$E$1:$E$175,"B1",_CALC_ALLOC!$F$1:$F$175,"ALT")</f>
        <v>0</v>
      </c>
      <c r="K92" s="19">
        <f t="shared" si="4"/>
        <v>0</v>
      </c>
      <c r="L92" s="22">
        <f>SUMIFS(_CALC_ALLOC!$AN$1:$AN$175,_CALC_ALLOC!$A$1:$A$175,"2026",_CALC_ALLOC!$B$1:$B$175,"TUNON_LYO",_CALC_ALLOC!$D$1:$D$175,"BAC_TOU",_CALC_ALLOC!$E$1:$E$175,"B1",_CALC_ALLOC!$F$1:$F$175,"ALT")</f>
        <v>0</v>
      </c>
      <c r="M92" s="17">
        <f t="shared" si="5"/>
        <v>0</v>
      </c>
    </row>
    <row r="93" spans="2:13" outlineLevel="2" x14ac:dyDescent="0.45">
      <c r="B93" s="7" t="s">
        <v>71</v>
      </c>
      <c r="C93" s="16">
        <f>SUMIFS(_CALC_ALLOC!$G$1:$G$175,_CALC_ALLOC!$A$1:$A$175,"2026",_CALC_ALLOC!$B$1:$B$175,"TUNON_LYO",_CALC_ALLOC!$D$1:$D$175,"BAC_TOU",_CALC_ALLOC!$E$1:$E$175,"B2",_CALC_ALLOC!$F$1:$F$175,"ALT")</f>
        <v>0</v>
      </c>
      <c r="D93" s="15">
        <f>SUMIFS(_CALC_ALLOC!$I$1:$I$175,_CALC_ALLOC!$A$1:$A$175,"2026",_CALC_ALLOC!$B$1:$B$175,"TUNON_LYO",_CALC_ALLOC!$D$1:$D$175,"BAC_TOU",_CALC_ALLOC!$E$1:$E$175,"B2",_CALC_ALLOC!$F$1:$F$175,"ALT")</f>
        <v>0</v>
      </c>
      <c r="E93" s="15">
        <f>SUMIFS(_CALC_ALLOC!$AI$1:$AI$175,_CALC_ALLOC!$A$1:$A$175,"2026",_CALC_ALLOC!$B$1:$B$175,"TUNON_LYO",_CALC_ALLOC!$D$1:$D$175,"BAC_TOU",_CALC_ALLOC!$E$1:$E$175,"B2",_CALC_ALLOC!$F$1:$F$175,"ALT")</f>
        <v>0</v>
      </c>
      <c r="F93" s="15">
        <f>SUMIFS(_CALC_ALLOC!$AJ$1:$AJ$175,_CALC_ALLOC!$A$1:$A$175,"2026",_CALC_ALLOC!$B$1:$B$175,"TUNON_LYO",_CALC_ALLOC!$D$1:$D$175,"BAC_TOU",_CALC_ALLOC!$E$1:$E$175,"B2",_CALC_ALLOC!$F$1:$F$175,"ALT")</f>
        <v>0</v>
      </c>
      <c r="G93" s="15">
        <f>SUMIFS(_CALC_ALLOC!$AK$1:$AK$175,_CALC_ALLOC!$A$1:$A$175,"2026",_CALC_ALLOC!$B$1:$B$175,"TUNON_LYO",_CALC_ALLOC!$D$1:$D$175,"BAC_TOU",_CALC_ALLOC!$E$1:$E$175,"B2",_CALC_ALLOC!$F$1:$F$175,"ALT")</f>
        <v>0</v>
      </c>
      <c r="H93" s="15">
        <f>SUMIFS(_CALC_ALLOC!$AL$1:$AL$175,_CALC_ALLOC!$A$1:$A$175,"2026",_CALC_ALLOC!$B$1:$B$175,"TUNON_LYO",_CALC_ALLOC!$D$1:$D$175,"BAC_TOU",_CALC_ALLOC!$E$1:$E$175,"B2",_CALC_ALLOC!$F$1:$F$175,"ALT")</f>
        <v>0</v>
      </c>
      <c r="I93" s="15">
        <f>SUMIFS(_CALC_ALLOC!$AR$1:$AR$175,_CALC_ALLOC!$A$1:$A$175,"2026",_CALC_ALLOC!$B$1:$B$175,"TUNON_LYO",_CALC_ALLOC!$D$1:$D$175,"BAC_TOU",_CALC_ALLOC!$E$1:$E$175,"B2",_CALC_ALLOC!$F$1:$F$175,"ALT")</f>
        <v>0</v>
      </c>
      <c r="J93" s="15">
        <f>SUMIFS(_CALC_ALLOC!$AM$1:$AM$175,_CALC_ALLOC!$A$1:$A$175,"2026",_CALC_ALLOC!$B$1:$B$175,"TUNON_LYO",_CALC_ALLOC!$D$1:$D$175,"BAC_TOU",_CALC_ALLOC!$E$1:$E$175,"B2",_CALC_ALLOC!$F$1:$F$175,"ALT")</f>
        <v>0</v>
      </c>
      <c r="K93" s="19">
        <f t="shared" si="4"/>
        <v>0</v>
      </c>
      <c r="L93" s="22">
        <f>SUMIFS(_CALC_ALLOC!$AN$1:$AN$175,_CALC_ALLOC!$A$1:$A$175,"2026",_CALC_ALLOC!$B$1:$B$175,"TUNON_LYO",_CALC_ALLOC!$D$1:$D$175,"BAC_TOU",_CALC_ALLOC!$E$1:$E$175,"B2",_CALC_ALLOC!$F$1:$F$175,"ALT")</f>
        <v>0</v>
      </c>
      <c r="M93" s="17">
        <f t="shared" si="5"/>
        <v>0</v>
      </c>
    </row>
    <row r="94" spans="2:13" outlineLevel="2" x14ac:dyDescent="0.45">
      <c r="B94" s="7" t="s">
        <v>72</v>
      </c>
      <c r="C94" s="16">
        <f>SUMIFS(_CALC_ALLOC!$G$1:$G$175,_CALC_ALLOC!$A$1:$A$175,"2026",_CALC_ALLOC!$B$1:$B$175,"TUNON_LYO",_CALC_ALLOC!$D$1:$D$175,"BAC_TOU",_CALC_ALLOC!$E$1:$E$175,"B3",_CALC_ALLOC!$F$1:$F$175,"ALT")</f>
        <v>0</v>
      </c>
      <c r="D94" s="15">
        <f>SUMIFS(_CALC_ALLOC!$I$1:$I$175,_CALC_ALLOC!$A$1:$A$175,"2026",_CALC_ALLOC!$B$1:$B$175,"TUNON_LYO",_CALC_ALLOC!$D$1:$D$175,"BAC_TOU",_CALC_ALLOC!$E$1:$E$175,"B3",_CALC_ALLOC!$F$1:$F$175,"ALT")</f>
        <v>0</v>
      </c>
      <c r="E94" s="15">
        <f>SUMIFS(_CALC_ALLOC!$AI$1:$AI$175,_CALC_ALLOC!$A$1:$A$175,"2026",_CALC_ALLOC!$B$1:$B$175,"TUNON_LYO",_CALC_ALLOC!$D$1:$D$175,"BAC_TOU",_CALC_ALLOC!$E$1:$E$175,"B3",_CALC_ALLOC!$F$1:$F$175,"ALT")</f>
        <v>0</v>
      </c>
      <c r="F94" s="15">
        <f>SUMIFS(_CALC_ALLOC!$AJ$1:$AJ$175,_CALC_ALLOC!$A$1:$A$175,"2026",_CALC_ALLOC!$B$1:$B$175,"TUNON_LYO",_CALC_ALLOC!$D$1:$D$175,"BAC_TOU",_CALC_ALLOC!$E$1:$E$175,"B3",_CALC_ALLOC!$F$1:$F$175,"ALT")</f>
        <v>0</v>
      </c>
      <c r="G94" s="15">
        <f>SUMIFS(_CALC_ALLOC!$AK$1:$AK$175,_CALC_ALLOC!$A$1:$A$175,"2026",_CALC_ALLOC!$B$1:$B$175,"TUNON_LYO",_CALC_ALLOC!$D$1:$D$175,"BAC_TOU",_CALC_ALLOC!$E$1:$E$175,"B3",_CALC_ALLOC!$F$1:$F$175,"ALT")</f>
        <v>0</v>
      </c>
      <c r="H94" s="15">
        <f>SUMIFS(_CALC_ALLOC!$AL$1:$AL$175,_CALC_ALLOC!$A$1:$A$175,"2026",_CALC_ALLOC!$B$1:$B$175,"TUNON_LYO",_CALC_ALLOC!$D$1:$D$175,"BAC_TOU",_CALC_ALLOC!$E$1:$E$175,"B3",_CALC_ALLOC!$F$1:$F$175,"ALT")</f>
        <v>0</v>
      </c>
      <c r="I94" s="15">
        <f>SUMIFS(_CALC_ALLOC!$AR$1:$AR$175,_CALC_ALLOC!$A$1:$A$175,"2026",_CALC_ALLOC!$B$1:$B$175,"TUNON_LYO",_CALC_ALLOC!$D$1:$D$175,"BAC_TOU",_CALC_ALLOC!$E$1:$E$175,"B3",_CALC_ALLOC!$F$1:$F$175,"ALT")</f>
        <v>0</v>
      </c>
      <c r="J94" s="15">
        <f>SUMIFS(_CALC_ALLOC!$AM$1:$AM$175,_CALC_ALLOC!$A$1:$A$175,"2026",_CALC_ALLOC!$B$1:$B$175,"TUNON_LYO",_CALC_ALLOC!$D$1:$D$175,"BAC_TOU",_CALC_ALLOC!$E$1:$E$175,"B3",_CALC_ALLOC!$F$1:$F$175,"ALT")</f>
        <v>0</v>
      </c>
      <c r="K94" s="19">
        <f t="shared" si="4"/>
        <v>0</v>
      </c>
      <c r="L94" s="22">
        <f>SUMIFS(_CALC_ALLOC!$AN$1:$AN$175,_CALC_ALLOC!$A$1:$A$175,"2026",_CALC_ALLOC!$B$1:$B$175,"TUNON_LYO",_CALC_ALLOC!$D$1:$D$175,"BAC_TOU",_CALC_ALLOC!$E$1:$E$175,"B3",_CALC_ALLOC!$F$1:$F$175,"ALT")</f>
        <v>0</v>
      </c>
      <c r="M94" s="17">
        <f t="shared" si="5"/>
        <v>0</v>
      </c>
    </row>
    <row r="95" spans="2:13" x14ac:dyDescent="0.45">
      <c r="B95" s="12" t="s">
        <v>74</v>
      </c>
      <c r="C95" s="18">
        <f>SUMIFS(_CALC_ALLOC!$G$1:$G$175,_CALC_ALLOC!$A$1:$A$175,"2026")</f>
        <v>0</v>
      </c>
      <c r="D95" s="19">
        <f>SUMIFS(_CALC_ALLOC!$I$1:$I$175,_CALC_ALLOC!$A$1:$A$175,"2026")</f>
        <v>0</v>
      </c>
      <c r="E95" s="19">
        <f>SUMIFS(_CALC_ALLOC!$AI$1:$AI$175,_CALC_ALLOC!$A$1:$A$175,"2026")</f>
        <v>0</v>
      </c>
      <c r="F95" s="19">
        <f>SUMIFS(_CALC_ALLOC!$AJ$1:$AJ$175,_CALC_ALLOC!$A$1:$A$175,"2026")</f>
        <v>0</v>
      </c>
      <c r="G95" s="19">
        <f>SUMIFS(_CALC_ALLOC!$AK$1:$AK$175,_CALC_ALLOC!$A$1:$A$175,"2026")</f>
        <v>0</v>
      </c>
      <c r="H95" s="19">
        <f>SUMIFS(_CALC_ALLOC!$AL$1:$AL$175,_CALC_ALLOC!$A$1:$A$175,"2026")</f>
        <v>0</v>
      </c>
      <c r="I95" s="19">
        <f>SUMIFS(_CALC_ALLOC!$AR$1:$AR$175,_CALC_ALLOC!$A$1:$A$175,"2026")</f>
        <v>0</v>
      </c>
      <c r="J95" s="19">
        <f>SUMIFS(_CALC_ALLOC!$AM$1:$AM$175,_CALC_ALLOC!$A$1:$A$175,"2026")</f>
        <v>0</v>
      </c>
      <c r="K95" s="19">
        <f t="shared" si="4"/>
        <v>0</v>
      </c>
      <c r="L95" s="19">
        <f>SUMIFS(_CALC_ALLOC!$AN$1:$AN$175,_CALC_ALLOC!$A$1:$A$175,"2026")</f>
        <v>0</v>
      </c>
      <c r="M95" s="20">
        <f t="shared" si="5"/>
        <v>0</v>
      </c>
    </row>
  </sheetData>
  <conditionalFormatting sqref="M18:M95">
    <cfRule type="colorScale" priority="1">
      <colorScale>
        <cfvo type="min"/>
        <cfvo type="percentile" val="50"/>
        <cfvo type="max"/>
        <color rgb="FFF4A79E"/>
        <color rgb="FFFCEFC7"/>
        <color rgb="FFA9D08E"/>
      </colorScale>
    </cfRule>
  </conditionalFormatting>
  <dataValidations count="1">
    <dataValidation type="list" sqref="C6:C9" xr:uid="{643C8AEF-C9CB-41E8-8D41-FA7157143D7E}">
      <formula1>"Chiffre d'affaires,Effectif,Nombre de classes"</formula1>
    </dataValidation>
  </dataValidations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B536-F740-4EF6-A391-E873374EA301}">
  <dimension ref="A1:AE349"/>
  <sheetViews>
    <sheetView topLeftCell="W1" zoomScale="86" zoomScaleNormal="86" workbookViewId="0"/>
  </sheetViews>
  <sheetFormatPr baseColWidth="10" defaultRowHeight="14.25" x14ac:dyDescent="0.45"/>
  <cols>
    <col min="1" max="1" width="11.19921875" bestFit="1" customWidth="1"/>
    <col min="2" max="3" width="8.06640625" bestFit="1" customWidth="1"/>
    <col min="4" max="4" width="9" bestFit="1" customWidth="1"/>
    <col min="5" max="5" width="11.06640625" bestFit="1" customWidth="1"/>
    <col min="6" max="6" width="7.796875" bestFit="1" customWidth="1"/>
    <col min="7" max="7" width="11.46484375" bestFit="1" customWidth="1"/>
    <col min="8" max="8" width="9.19921875" bestFit="1" customWidth="1"/>
    <col min="9" max="9" width="9.06640625" bestFit="1" customWidth="1"/>
    <col min="10" max="10" width="11.9296875" bestFit="1" customWidth="1"/>
    <col min="11" max="11" width="10" bestFit="1" customWidth="1"/>
    <col min="12" max="15" width="11.9296875" bestFit="1" customWidth="1"/>
    <col min="16" max="16" width="12.265625" bestFit="1" customWidth="1"/>
    <col min="17" max="17" width="13" bestFit="1" customWidth="1"/>
    <col min="18" max="18" width="13.59765625" bestFit="1" customWidth="1"/>
    <col min="19" max="19" width="11.9296875" bestFit="1" customWidth="1"/>
    <col min="20" max="20" width="13.796875" bestFit="1" customWidth="1"/>
    <col min="21" max="21" width="15.59765625" bestFit="1" customWidth="1"/>
    <col min="22" max="22" width="13.59765625" bestFit="1" customWidth="1"/>
    <col min="23" max="23" width="16.19921875" bestFit="1" customWidth="1"/>
    <col min="24" max="27" width="11.9296875" bestFit="1" customWidth="1"/>
    <col min="28" max="28" width="9.3984375" bestFit="1" customWidth="1"/>
    <col min="29" max="29" width="12.33203125" bestFit="1" customWidth="1"/>
    <col min="30" max="30" width="13.6640625" bestFit="1" customWidth="1"/>
    <col min="31" max="31" width="18.6640625" bestFit="1" customWidth="1"/>
  </cols>
  <sheetData>
    <row r="1" spans="1:31" x14ac:dyDescent="0.45">
      <c r="A1" s="23" t="s">
        <v>6</v>
      </c>
      <c r="B1" s="1" t="s">
        <v>17</v>
      </c>
      <c r="C1" s="1" t="s">
        <v>7</v>
      </c>
      <c r="D1" s="1" t="s">
        <v>12</v>
      </c>
      <c r="E1" s="1" t="s">
        <v>8</v>
      </c>
      <c r="F1" s="1" t="s">
        <v>18</v>
      </c>
      <c r="G1" s="1" t="s">
        <v>9</v>
      </c>
      <c r="H1" s="1" t="s">
        <v>10</v>
      </c>
      <c r="I1" s="1" t="s">
        <v>11</v>
      </c>
      <c r="J1" s="1" t="s">
        <v>14</v>
      </c>
      <c r="K1" s="1" t="s">
        <v>15</v>
      </c>
      <c r="L1" s="1" t="s">
        <v>16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104</v>
      </c>
      <c r="R1" s="1" t="s">
        <v>106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13</v>
      </c>
      <c r="Y1" s="1" t="s">
        <v>107</v>
      </c>
      <c r="Z1" s="1" t="s">
        <v>108</v>
      </c>
      <c r="AA1" s="1" t="s">
        <v>109</v>
      </c>
      <c r="AB1" s="1" t="s">
        <v>110</v>
      </c>
      <c r="AC1" s="1" t="s">
        <v>111</v>
      </c>
      <c r="AD1" s="1" t="s">
        <v>112</v>
      </c>
      <c r="AE1" s="1" t="s">
        <v>113</v>
      </c>
    </row>
    <row r="2" spans="1:31" x14ac:dyDescent="0.45">
      <c r="A2" s="1" t="s">
        <v>119</v>
      </c>
      <c r="B2" s="1" t="s">
        <v>120</v>
      </c>
      <c r="C2" s="1" t="s">
        <v>121</v>
      </c>
      <c r="D2" s="1" t="s">
        <v>122</v>
      </c>
      <c r="E2" s="1" t="s">
        <v>123</v>
      </c>
      <c r="F2" s="1" t="s">
        <v>124</v>
      </c>
      <c r="G2" s="1" t="s">
        <v>125</v>
      </c>
      <c r="H2" s="1" t="s">
        <v>126</v>
      </c>
      <c r="I2" s="1" t="s">
        <v>127</v>
      </c>
      <c r="J2" s="1">
        <v>78</v>
      </c>
      <c r="K2" s="1">
        <v>3</v>
      </c>
      <c r="L2" s="1">
        <v>662220</v>
      </c>
      <c r="M2" s="1">
        <v>45273.5</v>
      </c>
      <c r="N2" s="1">
        <v>151300.5</v>
      </c>
      <c r="O2" s="1">
        <v>63168.850785340299</v>
      </c>
      <c r="P2" s="1">
        <v>296639.10471204098</v>
      </c>
      <c r="Q2" s="1">
        <v>18639.416070417501</v>
      </c>
      <c r="R2" s="1">
        <v>73943.232861160897</v>
      </c>
      <c r="S2" s="1">
        <v>92582.6489315785</v>
      </c>
      <c r="T2" s="1">
        <v>108442.35078533999</v>
      </c>
      <c r="U2" s="1">
        <v>540522.25364361994</v>
      </c>
      <c r="V2" s="1">
        <v>648964.60442896001</v>
      </c>
      <c r="W2" s="1">
        <v>13255.3955710392</v>
      </c>
      <c r="X2" s="1">
        <v>78</v>
      </c>
      <c r="Y2" s="1">
        <v>181094</v>
      </c>
      <c r="Z2" s="1">
        <v>605202</v>
      </c>
      <c r="AA2" s="1">
        <v>142140</v>
      </c>
      <c r="AB2" s="1">
        <v>68291</v>
      </c>
      <c r="AC2" s="1">
        <v>1452771</v>
      </c>
      <c r="AD2" s="1">
        <v>2891983</v>
      </c>
      <c r="AE2" s="1">
        <v>676344</v>
      </c>
    </row>
    <row r="3" spans="1:31" x14ac:dyDescent="0.45">
      <c r="A3" t="s">
        <v>119</v>
      </c>
      <c r="B3" t="s">
        <v>120</v>
      </c>
      <c r="C3" t="s">
        <v>121</v>
      </c>
      <c r="D3" t="s">
        <v>122</v>
      </c>
      <c r="E3" t="s">
        <v>123</v>
      </c>
      <c r="F3" t="s">
        <v>124</v>
      </c>
      <c r="G3" t="s">
        <v>125</v>
      </c>
      <c r="H3" t="s">
        <v>128</v>
      </c>
      <c r="I3" t="s">
        <v>129</v>
      </c>
      <c r="J3">
        <v>76</v>
      </c>
      <c r="K3">
        <v>3</v>
      </c>
      <c r="L3">
        <v>595840</v>
      </c>
      <c r="M3">
        <v>36218.800000000003</v>
      </c>
      <c r="N3">
        <v>121040.4</v>
      </c>
      <c r="O3">
        <v>28279.1623036649</v>
      </c>
      <c r="P3">
        <v>289032.97382198903</v>
      </c>
      <c r="Q3">
        <v>18161.4823250222</v>
      </c>
      <c r="R3">
        <v>72047.252531387596</v>
      </c>
      <c r="S3">
        <v>90208.734856409807</v>
      </c>
      <c r="T3">
        <v>64497.962303664899</v>
      </c>
      <c r="U3">
        <v>500282.108678399</v>
      </c>
      <c r="V3">
        <v>564780.070982064</v>
      </c>
      <c r="W3">
        <v>31059.929017935701</v>
      </c>
      <c r="X3">
        <v>0</v>
      </c>
      <c r="Y3">
        <v>181094</v>
      </c>
      <c r="Z3">
        <v>605202</v>
      </c>
      <c r="AA3">
        <v>142140</v>
      </c>
      <c r="AB3">
        <v>68291</v>
      </c>
      <c r="AC3">
        <v>1452771</v>
      </c>
      <c r="AD3">
        <v>2891983</v>
      </c>
      <c r="AE3">
        <v>676344</v>
      </c>
    </row>
    <row r="4" spans="1:31" x14ac:dyDescent="0.45">
      <c r="A4" t="s">
        <v>119</v>
      </c>
      <c r="B4" t="s">
        <v>120</v>
      </c>
      <c r="C4" t="s">
        <v>121</v>
      </c>
      <c r="D4" t="s">
        <v>122</v>
      </c>
      <c r="E4" t="s">
        <v>123</v>
      </c>
      <c r="F4" t="s">
        <v>124</v>
      </c>
      <c r="G4" t="s">
        <v>125</v>
      </c>
      <c r="H4" t="s">
        <v>130</v>
      </c>
      <c r="I4" t="s">
        <v>129</v>
      </c>
      <c r="J4">
        <v>74</v>
      </c>
      <c r="K4">
        <v>3</v>
      </c>
      <c r="L4">
        <v>580160</v>
      </c>
      <c r="M4">
        <v>36218.800000000003</v>
      </c>
      <c r="N4">
        <v>121040.4</v>
      </c>
      <c r="O4">
        <v>27534.973821989501</v>
      </c>
      <c r="P4">
        <v>281426.84293193702</v>
      </c>
      <c r="Q4">
        <v>17683.548579626899</v>
      </c>
      <c r="R4">
        <v>70151.272201614207</v>
      </c>
      <c r="S4">
        <v>87834.820781241098</v>
      </c>
      <c r="T4">
        <v>63753.773821989504</v>
      </c>
      <c r="U4">
        <v>490302.06371317798</v>
      </c>
      <c r="V4">
        <v>554055.837535167</v>
      </c>
      <c r="W4">
        <v>26104.162464831999</v>
      </c>
      <c r="X4">
        <v>0</v>
      </c>
      <c r="Y4">
        <v>181094</v>
      </c>
      <c r="Z4">
        <v>605202</v>
      </c>
      <c r="AA4">
        <v>142140</v>
      </c>
      <c r="AB4">
        <v>68291</v>
      </c>
      <c r="AC4">
        <v>1452771</v>
      </c>
      <c r="AD4">
        <v>2891983</v>
      </c>
      <c r="AE4">
        <v>676344</v>
      </c>
    </row>
    <row r="5" spans="1:31" x14ac:dyDescent="0.45">
      <c r="A5" t="s">
        <v>119</v>
      </c>
      <c r="B5" t="s">
        <v>120</v>
      </c>
      <c r="C5" t="s">
        <v>121</v>
      </c>
      <c r="D5" t="s">
        <v>122</v>
      </c>
      <c r="E5" t="s">
        <v>123</v>
      </c>
      <c r="F5" t="s">
        <v>124</v>
      </c>
      <c r="G5" t="s">
        <v>131</v>
      </c>
      <c r="H5" t="s">
        <v>132</v>
      </c>
      <c r="I5" t="s">
        <v>129</v>
      </c>
      <c r="J5">
        <v>78</v>
      </c>
      <c r="K5">
        <v>3</v>
      </c>
      <c r="L5">
        <v>662220</v>
      </c>
      <c r="M5">
        <v>31691.449999999899</v>
      </c>
      <c r="N5">
        <v>105910.349999999</v>
      </c>
      <c r="O5">
        <v>63168.850785340299</v>
      </c>
      <c r="P5">
        <v>296639.10471204098</v>
      </c>
      <c r="Q5">
        <v>18639.416070417501</v>
      </c>
      <c r="R5">
        <v>73943.232861160897</v>
      </c>
      <c r="S5">
        <v>92582.6489315785</v>
      </c>
      <c r="T5">
        <v>94860.300785340296</v>
      </c>
      <c r="U5">
        <v>495132.10364361998</v>
      </c>
      <c r="V5">
        <v>589992.40442896006</v>
      </c>
      <c r="W5">
        <v>72227.595571039303</v>
      </c>
      <c r="X5">
        <v>78</v>
      </c>
      <c r="Y5">
        <v>181094</v>
      </c>
      <c r="Z5">
        <v>605202</v>
      </c>
      <c r="AA5">
        <v>142140</v>
      </c>
      <c r="AB5">
        <v>68291</v>
      </c>
      <c r="AC5">
        <v>1452771</v>
      </c>
      <c r="AD5">
        <v>2891983</v>
      </c>
      <c r="AE5">
        <v>676344</v>
      </c>
    </row>
    <row r="6" spans="1:31" x14ac:dyDescent="0.45">
      <c r="A6" t="s">
        <v>119</v>
      </c>
      <c r="B6" t="s">
        <v>120</v>
      </c>
      <c r="C6" t="s">
        <v>121</v>
      </c>
      <c r="D6" t="s">
        <v>122</v>
      </c>
      <c r="E6" t="s">
        <v>123</v>
      </c>
      <c r="F6" t="s">
        <v>124</v>
      </c>
      <c r="G6" t="s">
        <v>131</v>
      </c>
      <c r="H6" t="s">
        <v>133</v>
      </c>
      <c r="I6" t="s">
        <v>129</v>
      </c>
      <c r="J6">
        <v>76</v>
      </c>
      <c r="K6">
        <v>3</v>
      </c>
      <c r="L6">
        <v>638400</v>
      </c>
      <c r="M6">
        <v>31691.449999999899</v>
      </c>
      <c r="N6">
        <v>105910.349999999</v>
      </c>
      <c r="O6">
        <v>28279.1623036649</v>
      </c>
      <c r="P6">
        <v>289032.97382198903</v>
      </c>
      <c r="Q6">
        <v>18161.4823250222</v>
      </c>
      <c r="R6">
        <v>72047.252531387596</v>
      </c>
      <c r="S6">
        <v>90208.734856409807</v>
      </c>
      <c r="T6">
        <v>59970.612303664901</v>
      </c>
      <c r="U6">
        <v>485152.05867839901</v>
      </c>
      <c r="V6">
        <v>545122.67098206398</v>
      </c>
      <c r="W6">
        <v>93277.329017935699</v>
      </c>
      <c r="X6">
        <v>0</v>
      </c>
      <c r="Y6">
        <v>181094</v>
      </c>
      <c r="Z6">
        <v>605202</v>
      </c>
      <c r="AA6">
        <v>142140</v>
      </c>
      <c r="AB6">
        <v>68291</v>
      </c>
      <c r="AC6">
        <v>1452771</v>
      </c>
      <c r="AD6">
        <v>2891983</v>
      </c>
      <c r="AE6">
        <v>676344</v>
      </c>
    </row>
    <row r="7" spans="1:31" x14ac:dyDescent="0.45">
      <c r="A7" t="s">
        <v>119</v>
      </c>
      <c r="B7" t="s">
        <v>120</v>
      </c>
      <c r="C7" t="s">
        <v>121</v>
      </c>
      <c r="D7" t="s">
        <v>122</v>
      </c>
      <c r="E7" t="s">
        <v>134</v>
      </c>
      <c r="F7" t="s">
        <v>124</v>
      </c>
      <c r="G7" t="s">
        <v>125</v>
      </c>
      <c r="H7" t="s">
        <v>126</v>
      </c>
      <c r="I7" t="s">
        <v>127</v>
      </c>
      <c r="J7">
        <v>66</v>
      </c>
      <c r="K7">
        <v>3</v>
      </c>
      <c r="L7">
        <v>525690</v>
      </c>
      <c r="M7">
        <v>45273.461538461503</v>
      </c>
      <c r="N7">
        <v>104602.788461538</v>
      </c>
      <c r="O7">
        <v>45449.814814814803</v>
      </c>
      <c r="P7">
        <v>174738.25925925901</v>
      </c>
      <c r="Q7">
        <v>14791.0171600665</v>
      </c>
      <c r="R7">
        <v>58676.496194321298</v>
      </c>
      <c r="S7">
        <v>73467.513354387804</v>
      </c>
      <c r="T7">
        <v>90723.276353276306</v>
      </c>
      <c r="U7">
        <v>352808.56107518502</v>
      </c>
      <c r="V7">
        <v>443531.837428461</v>
      </c>
      <c r="W7">
        <v>82158.162571538094</v>
      </c>
      <c r="X7">
        <v>66</v>
      </c>
      <c r="Y7">
        <v>156948</v>
      </c>
      <c r="Z7">
        <v>362623</v>
      </c>
      <c r="AA7">
        <v>120559</v>
      </c>
      <c r="AB7">
        <v>41783</v>
      </c>
      <c r="AC7">
        <v>857806</v>
      </c>
      <c r="AD7">
        <v>2891983</v>
      </c>
      <c r="AE7">
        <v>676344</v>
      </c>
    </row>
    <row r="8" spans="1:31" x14ac:dyDescent="0.45">
      <c r="A8" t="s">
        <v>119</v>
      </c>
      <c r="B8" t="s">
        <v>120</v>
      </c>
      <c r="C8" t="s">
        <v>121</v>
      </c>
      <c r="D8" t="s">
        <v>122</v>
      </c>
      <c r="E8" t="s">
        <v>134</v>
      </c>
      <c r="F8" t="s">
        <v>124</v>
      </c>
      <c r="G8" t="s">
        <v>125</v>
      </c>
      <c r="H8" t="s">
        <v>128</v>
      </c>
      <c r="I8" t="s">
        <v>129</v>
      </c>
      <c r="J8">
        <v>64</v>
      </c>
      <c r="K8">
        <v>2</v>
      </c>
      <c r="L8">
        <v>470400</v>
      </c>
      <c r="M8">
        <v>24145.846153846102</v>
      </c>
      <c r="N8">
        <v>55788.1538461538</v>
      </c>
      <c r="O8">
        <v>23814.123456790101</v>
      </c>
      <c r="P8">
        <v>169443.16049382699</v>
      </c>
      <c r="Q8">
        <v>14342.804518852299</v>
      </c>
      <c r="R8">
        <v>56898.420552069103</v>
      </c>
      <c r="S8">
        <v>71241.2250709215</v>
      </c>
      <c r="T8">
        <v>47959.969610636203</v>
      </c>
      <c r="U8">
        <v>296472.53941090201</v>
      </c>
      <c r="V8">
        <v>344432.50902153802</v>
      </c>
      <c r="W8">
        <v>125967.49097846101</v>
      </c>
      <c r="X8">
        <v>0</v>
      </c>
      <c r="Y8">
        <v>156948</v>
      </c>
      <c r="Z8">
        <v>362623</v>
      </c>
      <c r="AA8">
        <v>120559</v>
      </c>
      <c r="AB8">
        <v>41783</v>
      </c>
      <c r="AC8">
        <v>857806</v>
      </c>
      <c r="AD8">
        <v>2891983</v>
      </c>
      <c r="AE8">
        <v>676344</v>
      </c>
    </row>
    <row r="9" spans="1:31" x14ac:dyDescent="0.45">
      <c r="A9" t="s">
        <v>119</v>
      </c>
      <c r="B9" t="s">
        <v>120</v>
      </c>
      <c r="C9" t="s">
        <v>121</v>
      </c>
      <c r="D9" t="s">
        <v>122</v>
      </c>
      <c r="E9" t="s">
        <v>134</v>
      </c>
      <c r="F9" t="s">
        <v>124</v>
      </c>
      <c r="G9" t="s">
        <v>125</v>
      </c>
      <c r="H9" t="s">
        <v>130</v>
      </c>
      <c r="I9" t="s">
        <v>129</v>
      </c>
      <c r="J9">
        <v>63</v>
      </c>
      <c r="K9">
        <v>2</v>
      </c>
      <c r="L9">
        <v>463050</v>
      </c>
      <c r="M9">
        <v>24145.846153846102</v>
      </c>
      <c r="N9">
        <v>55788.1538461538</v>
      </c>
      <c r="O9">
        <v>23442.027777777701</v>
      </c>
      <c r="P9">
        <v>166795.61111111101</v>
      </c>
      <c r="Q9">
        <v>14118.6981982453</v>
      </c>
      <c r="R9">
        <v>56009.3827309431</v>
      </c>
      <c r="S9">
        <v>70128.080929188407</v>
      </c>
      <c r="T9">
        <v>47587.873931623901</v>
      </c>
      <c r="U9">
        <v>292711.845886453</v>
      </c>
      <c r="V9">
        <v>340299.71981807699</v>
      </c>
      <c r="W9">
        <v>122750.280181922</v>
      </c>
      <c r="X9">
        <v>0</v>
      </c>
      <c r="Y9">
        <v>156948</v>
      </c>
      <c r="Z9">
        <v>362623</v>
      </c>
      <c r="AA9">
        <v>120559</v>
      </c>
      <c r="AB9">
        <v>41783</v>
      </c>
      <c r="AC9">
        <v>857806</v>
      </c>
      <c r="AD9">
        <v>2891983</v>
      </c>
      <c r="AE9">
        <v>676344</v>
      </c>
    </row>
    <row r="10" spans="1:31" x14ac:dyDescent="0.45">
      <c r="A10" t="s">
        <v>119</v>
      </c>
      <c r="B10" t="s">
        <v>120</v>
      </c>
      <c r="C10" t="s">
        <v>121</v>
      </c>
      <c r="D10" t="s">
        <v>122</v>
      </c>
      <c r="E10" t="s">
        <v>134</v>
      </c>
      <c r="F10" t="s">
        <v>124</v>
      </c>
      <c r="G10" t="s">
        <v>131</v>
      </c>
      <c r="H10" t="s">
        <v>132</v>
      </c>
      <c r="I10" t="s">
        <v>129</v>
      </c>
      <c r="J10">
        <v>66</v>
      </c>
      <c r="K10">
        <v>3</v>
      </c>
      <c r="L10">
        <v>525690</v>
      </c>
      <c r="M10">
        <v>31691.423076923002</v>
      </c>
      <c r="N10">
        <v>73221.951923076893</v>
      </c>
      <c r="O10">
        <v>45449.814814814803</v>
      </c>
      <c r="P10">
        <v>174738.25925925901</v>
      </c>
      <c r="Q10">
        <v>14791.0171600665</v>
      </c>
      <c r="R10">
        <v>58676.496194321298</v>
      </c>
      <c r="S10">
        <v>73467.513354387804</v>
      </c>
      <c r="T10">
        <v>77141.237891737896</v>
      </c>
      <c r="U10">
        <v>321427.72453672398</v>
      </c>
      <c r="V10">
        <v>398568.962428461</v>
      </c>
      <c r="W10">
        <v>127121.03757153801</v>
      </c>
      <c r="X10">
        <v>66</v>
      </c>
      <c r="Y10">
        <v>156948</v>
      </c>
      <c r="Z10">
        <v>362623</v>
      </c>
      <c r="AA10">
        <v>120559</v>
      </c>
      <c r="AB10">
        <v>41783</v>
      </c>
      <c r="AC10">
        <v>857806</v>
      </c>
      <c r="AD10">
        <v>2891983</v>
      </c>
      <c r="AE10">
        <v>676344</v>
      </c>
    </row>
    <row r="11" spans="1:31" x14ac:dyDescent="0.45">
      <c r="A11" t="s">
        <v>119</v>
      </c>
      <c r="B11" t="s">
        <v>120</v>
      </c>
      <c r="C11" t="s">
        <v>121</v>
      </c>
      <c r="D11" t="s">
        <v>122</v>
      </c>
      <c r="E11" t="s">
        <v>134</v>
      </c>
      <c r="F11" t="s">
        <v>124</v>
      </c>
      <c r="G11" t="s">
        <v>131</v>
      </c>
      <c r="H11" t="s">
        <v>133</v>
      </c>
      <c r="I11" t="s">
        <v>129</v>
      </c>
      <c r="J11">
        <v>65</v>
      </c>
      <c r="K11">
        <v>3</v>
      </c>
      <c r="L11">
        <v>511875</v>
      </c>
      <c r="M11">
        <v>31691.423076923002</v>
      </c>
      <c r="N11">
        <v>73221.951923076893</v>
      </c>
      <c r="O11">
        <v>24186.219135802399</v>
      </c>
      <c r="P11">
        <v>172090.709876543</v>
      </c>
      <c r="Q11">
        <v>14566.9108394594</v>
      </c>
      <c r="R11">
        <v>57787.458373195201</v>
      </c>
      <c r="S11">
        <v>72354.369212654696</v>
      </c>
      <c r="T11">
        <v>55877.642212725499</v>
      </c>
      <c r="U11">
        <v>317667.03101227398</v>
      </c>
      <c r="V11">
        <v>373544.67322499998</v>
      </c>
      <c r="W11">
        <v>138330.326774999</v>
      </c>
      <c r="X11">
        <v>0</v>
      </c>
      <c r="Y11">
        <v>156948</v>
      </c>
      <c r="Z11">
        <v>362623</v>
      </c>
      <c r="AA11">
        <v>120559</v>
      </c>
      <c r="AB11">
        <v>41783</v>
      </c>
      <c r="AC11">
        <v>857806</v>
      </c>
      <c r="AD11">
        <v>2891983</v>
      </c>
      <c r="AE11">
        <v>676344</v>
      </c>
    </row>
    <row r="12" spans="1:31" x14ac:dyDescent="0.45">
      <c r="A12" t="s">
        <v>119</v>
      </c>
      <c r="B12" t="s">
        <v>120</v>
      </c>
      <c r="C12" t="s">
        <v>121</v>
      </c>
      <c r="D12" t="s">
        <v>122</v>
      </c>
      <c r="E12" t="s">
        <v>135</v>
      </c>
      <c r="F12" t="s">
        <v>124</v>
      </c>
      <c r="G12" t="s">
        <v>125</v>
      </c>
      <c r="H12" t="s">
        <v>126</v>
      </c>
      <c r="I12" t="s">
        <v>127</v>
      </c>
      <c r="J12">
        <v>60</v>
      </c>
      <c r="K12">
        <v>2</v>
      </c>
      <c r="L12">
        <v>455400</v>
      </c>
      <c r="M12">
        <v>30824.468085106299</v>
      </c>
      <c r="N12">
        <v>63588.297872340401</v>
      </c>
      <c r="O12">
        <v>38092.214285714203</v>
      </c>
      <c r="P12">
        <v>142624.69387755101</v>
      </c>
      <c r="Q12">
        <v>12809.955329472001</v>
      </c>
      <c r="R12">
        <v>50817.552775782897</v>
      </c>
      <c r="S12">
        <v>63627.508105255001</v>
      </c>
      <c r="T12">
        <v>68916.682370820607</v>
      </c>
      <c r="U12">
        <v>269840.49985514599</v>
      </c>
      <c r="V12">
        <v>338757.182225967</v>
      </c>
      <c r="W12">
        <v>116642.817774032</v>
      </c>
      <c r="X12">
        <v>60</v>
      </c>
      <c r="Y12">
        <v>144875</v>
      </c>
      <c r="Z12">
        <v>298865</v>
      </c>
      <c r="AA12">
        <v>109396</v>
      </c>
      <c r="AB12">
        <v>31533</v>
      </c>
      <c r="AC12">
        <v>698861</v>
      </c>
      <c r="AD12">
        <v>2891983</v>
      </c>
      <c r="AE12">
        <v>676344</v>
      </c>
    </row>
    <row r="13" spans="1:31" x14ac:dyDescent="0.45">
      <c r="A13" t="s">
        <v>119</v>
      </c>
      <c r="B13" t="s">
        <v>120</v>
      </c>
      <c r="C13" t="s">
        <v>121</v>
      </c>
      <c r="D13" t="s">
        <v>122</v>
      </c>
      <c r="E13" t="s">
        <v>135</v>
      </c>
      <c r="F13" t="s">
        <v>124</v>
      </c>
      <c r="G13" t="s">
        <v>125</v>
      </c>
      <c r="H13" t="s">
        <v>128</v>
      </c>
      <c r="I13" t="s">
        <v>129</v>
      </c>
      <c r="J13">
        <v>58</v>
      </c>
      <c r="K13">
        <v>2</v>
      </c>
      <c r="L13">
        <v>406000</v>
      </c>
      <c r="M13">
        <v>24659.574468085098</v>
      </c>
      <c r="N13">
        <v>50870.638297872298</v>
      </c>
      <c r="O13">
        <v>21581.523809523798</v>
      </c>
      <c r="P13">
        <v>137870.53741496601</v>
      </c>
      <c r="Q13">
        <v>12382.9568184896</v>
      </c>
      <c r="R13">
        <v>49123.634349923501</v>
      </c>
      <c r="S13">
        <v>61506.591168413099</v>
      </c>
      <c r="T13">
        <v>46241.0982776089</v>
      </c>
      <c r="U13">
        <v>250247.76688125101</v>
      </c>
      <c r="V13">
        <v>296488.86515885999</v>
      </c>
      <c r="W13">
        <v>109511.13484113901</v>
      </c>
      <c r="X13">
        <v>0</v>
      </c>
      <c r="Y13">
        <v>144875</v>
      </c>
      <c r="Z13">
        <v>298865</v>
      </c>
      <c r="AA13">
        <v>109396</v>
      </c>
      <c r="AB13">
        <v>31533</v>
      </c>
      <c r="AC13">
        <v>698861</v>
      </c>
      <c r="AD13">
        <v>2891983</v>
      </c>
      <c r="AE13">
        <v>676344</v>
      </c>
    </row>
    <row r="14" spans="1:31" x14ac:dyDescent="0.45">
      <c r="A14" t="s">
        <v>119</v>
      </c>
      <c r="B14" t="s">
        <v>120</v>
      </c>
      <c r="C14" t="s">
        <v>121</v>
      </c>
      <c r="D14" t="s">
        <v>122</v>
      </c>
      <c r="E14" t="s">
        <v>135</v>
      </c>
      <c r="F14" t="s">
        <v>124</v>
      </c>
      <c r="G14" t="s">
        <v>125</v>
      </c>
      <c r="H14" t="s">
        <v>130</v>
      </c>
      <c r="I14" t="s">
        <v>129</v>
      </c>
      <c r="J14">
        <v>57</v>
      </c>
      <c r="K14">
        <v>2</v>
      </c>
      <c r="L14">
        <v>399000</v>
      </c>
      <c r="M14">
        <v>24659.574468085098</v>
      </c>
      <c r="N14">
        <v>50870.638297872298</v>
      </c>
      <c r="O14">
        <v>21209.4285714285</v>
      </c>
      <c r="P14">
        <v>135493.459183673</v>
      </c>
      <c r="Q14">
        <v>12169.457562998399</v>
      </c>
      <c r="R14">
        <v>48276.675136993799</v>
      </c>
      <c r="S14">
        <v>60446.132699992202</v>
      </c>
      <c r="T14">
        <v>45869.003039513598</v>
      </c>
      <c r="U14">
        <v>246810.23018153801</v>
      </c>
      <c r="V14">
        <v>292679.23322105099</v>
      </c>
      <c r="W14">
        <v>106320.766778948</v>
      </c>
      <c r="X14">
        <v>0</v>
      </c>
      <c r="Y14">
        <v>144875</v>
      </c>
      <c r="Z14">
        <v>298865</v>
      </c>
      <c r="AA14">
        <v>109396</v>
      </c>
      <c r="AB14">
        <v>31533</v>
      </c>
      <c r="AC14">
        <v>698861</v>
      </c>
      <c r="AD14">
        <v>2891983</v>
      </c>
      <c r="AE14">
        <v>676344</v>
      </c>
    </row>
    <row r="15" spans="1:31" x14ac:dyDescent="0.45">
      <c r="A15" t="s">
        <v>119</v>
      </c>
      <c r="B15" t="s">
        <v>120</v>
      </c>
      <c r="C15" t="s">
        <v>121</v>
      </c>
      <c r="D15" t="s">
        <v>122</v>
      </c>
      <c r="E15" t="s">
        <v>135</v>
      </c>
      <c r="F15" t="s">
        <v>124</v>
      </c>
      <c r="G15" t="s">
        <v>131</v>
      </c>
      <c r="H15" t="s">
        <v>132</v>
      </c>
      <c r="I15" t="s">
        <v>129</v>
      </c>
      <c r="J15">
        <v>60</v>
      </c>
      <c r="K15">
        <v>3</v>
      </c>
      <c r="L15">
        <v>455400</v>
      </c>
      <c r="M15">
        <v>32365.691489361699</v>
      </c>
      <c r="N15">
        <v>66767.712765957403</v>
      </c>
      <c r="O15">
        <v>38092.214285714203</v>
      </c>
      <c r="P15">
        <v>142624.69387755101</v>
      </c>
      <c r="Q15">
        <v>12809.955329472001</v>
      </c>
      <c r="R15">
        <v>50817.552775782897</v>
      </c>
      <c r="S15">
        <v>63627.508105255001</v>
      </c>
      <c r="T15">
        <v>70457.905775075895</v>
      </c>
      <c r="U15">
        <v>273019.91474876303</v>
      </c>
      <c r="V15">
        <v>343477.82052383898</v>
      </c>
      <c r="W15">
        <v>111922.17947616</v>
      </c>
      <c r="X15">
        <v>60</v>
      </c>
      <c r="Y15">
        <v>144875</v>
      </c>
      <c r="Z15">
        <v>298865</v>
      </c>
      <c r="AA15">
        <v>109396</v>
      </c>
      <c r="AB15">
        <v>31533</v>
      </c>
      <c r="AC15">
        <v>698861</v>
      </c>
      <c r="AD15">
        <v>2891983</v>
      </c>
      <c r="AE15">
        <v>676344</v>
      </c>
    </row>
    <row r="16" spans="1:31" x14ac:dyDescent="0.45">
      <c r="A16" t="s">
        <v>119</v>
      </c>
      <c r="B16" t="s">
        <v>120</v>
      </c>
      <c r="C16" t="s">
        <v>121</v>
      </c>
      <c r="D16" t="s">
        <v>122</v>
      </c>
      <c r="E16" t="s">
        <v>135</v>
      </c>
      <c r="F16" t="s">
        <v>124</v>
      </c>
      <c r="G16" t="s">
        <v>131</v>
      </c>
      <c r="H16" t="s">
        <v>133</v>
      </c>
      <c r="I16" t="s">
        <v>129</v>
      </c>
      <c r="J16">
        <v>59</v>
      </c>
      <c r="K16">
        <v>3</v>
      </c>
      <c r="L16">
        <v>442500</v>
      </c>
      <c r="M16">
        <v>32365.691489361699</v>
      </c>
      <c r="N16">
        <v>66767.712765957403</v>
      </c>
      <c r="O16">
        <v>21953.619047618999</v>
      </c>
      <c r="P16">
        <v>140247.615646258</v>
      </c>
      <c r="Q16">
        <v>12596.4560739808</v>
      </c>
      <c r="R16">
        <v>49970.593562853202</v>
      </c>
      <c r="S16">
        <v>62567.049636834097</v>
      </c>
      <c r="T16">
        <v>54319.310536980702</v>
      </c>
      <c r="U16">
        <v>269582.37804904999</v>
      </c>
      <c r="V16">
        <v>323901.68858602998</v>
      </c>
      <c r="W16">
        <v>118598.311413969</v>
      </c>
      <c r="X16">
        <v>0</v>
      </c>
      <c r="Y16">
        <v>144875</v>
      </c>
      <c r="Z16">
        <v>298865</v>
      </c>
      <c r="AA16">
        <v>109396</v>
      </c>
      <c r="AB16">
        <v>31533</v>
      </c>
      <c r="AC16">
        <v>698861</v>
      </c>
      <c r="AD16">
        <v>2891983</v>
      </c>
      <c r="AE16">
        <v>676344</v>
      </c>
    </row>
    <row r="17" spans="1:31" x14ac:dyDescent="0.45">
      <c r="A17" t="s">
        <v>119</v>
      </c>
      <c r="B17" t="s">
        <v>120</v>
      </c>
      <c r="C17" t="s">
        <v>121</v>
      </c>
      <c r="D17" t="s">
        <v>122</v>
      </c>
      <c r="E17" t="s">
        <v>136</v>
      </c>
      <c r="F17" t="s">
        <v>124</v>
      </c>
      <c r="G17" t="s">
        <v>125</v>
      </c>
      <c r="H17" t="s">
        <v>126</v>
      </c>
      <c r="I17" t="s">
        <v>127</v>
      </c>
      <c r="J17">
        <v>51</v>
      </c>
      <c r="K17">
        <v>2</v>
      </c>
      <c r="L17">
        <v>375615</v>
      </c>
      <c r="M17">
        <v>30182.25</v>
      </c>
      <c r="N17">
        <v>65376.75</v>
      </c>
      <c r="O17">
        <v>31438.415662650601</v>
      </c>
      <c r="P17">
        <v>126623.98795180699</v>
      </c>
      <c r="Q17">
        <v>10564.789355241501</v>
      </c>
      <c r="R17">
        <v>41910.898735908697</v>
      </c>
      <c r="S17">
        <v>52475.688091150201</v>
      </c>
      <c r="T17">
        <v>61620.665662650601</v>
      </c>
      <c r="U17">
        <v>244476.426042957</v>
      </c>
      <c r="V17">
        <v>306097.09170560801</v>
      </c>
      <c r="W17">
        <v>69517.908294391906</v>
      </c>
      <c r="X17">
        <v>51</v>
      </c>
      <c r="Y17">
        <v>120729</v>
      </c>
      <c r="Z17">
        <v>261507</v>
      </c>
      <c r="AA17">
        <v>92652</v>
      </c>
      <c r="AB17">
        <v>24923</v>
      </c>
      <c r="AC17">
        <v>618223</v>
      </c>
      <c r="AD17">
        <v>2891983</v>
      </c>
      <c r="AE17">
        <v>676344</v>
      </c>
    </row>
    <row r="18" spans="1:31" x14ac:dyDescent="0.45">
      <c r="A18" t="s">
        <v>119</v>
      </c>
      <c r="B18" t="s">
        <v>120</v>
      </c>
      <c r="C18" t="s">
        <v>121</v>
      </c>
      <c r="D18" t="s">
        <v>122</v>
      </c>
      <c r="E18" t="s">
        <v>136</v>
      </c>
      <c r="F18" t="s">
        <v>124</v>
      </c>
      <c r="G18" t="s">
        <v>125</v>
      </c>
      <c r="H18" t="s">
        <v>128</v>
      </c>
      <c r="I18" t="s">
        <v>129</v>
      </c>
      <c r="J18">
        <v>49</v>
      </c>
      <c r="K18">
        <v>2</v>
      </c>
      <c r="L18">
        <v>332710</v>
      </c>
      <c r="M18">
        <v>24145.8</v>
      </c>
      <c r="N18">
        <v>52301.4</v>
      </c>
      <c r="O18">
        <v>18232.722891566202</v>
      </c>
      <c r="P18">
        <v>121658.341365461</v>
      </c>
      <c r="Q18">
        <v>10150.483890330101</v>
      </c>
      <c r="R18">
        <v>40267.334079598499</v>
      </c>
      <c r="S18">
        <v>50417.817969928699</v>
      </c>
      <c r="T18">
        <v>42378.522891566201</v>
      </c>
      <c r="U18">
        <v>224377.55933538999</v>
      </c>
      <c r="V18">
        <v>266756.08222695597</v>
      </c>
      <c r="W18">
        <v>65953.917773043198</v>
      </c>
      <c r="X18">
        <v>0</v>
      </c>
      <c r="Y18">
        <v>120729</v>
      </c>
      <c r="Z18">
        <v>261507</v>
      </c>
      <c r="AA18">
        <v>92652</v>
      </c>
      <c r="AB18">
        <v>24923</v>
      </c>
      <c r="AC18">
        <v>618223</v>
      </c>
      <c r="AD18">
        <v>2891983</v>
      </c>
      <c r="AE18">
        <v>676344</v>
      </c>
    </row>
    <row r="19" spans="1:31" x14ac:dyDescent="0.45">
      <c r="A19" t="s">
        <v>119</v>
      </c>
      <c r="B19" t="s">
        <v>120</v>
      </c>
      <c r="C19" t="s">
        <v>121</v>
      </c>
      <c r="D19" t="s">
        <v>122</v>
      </c>
      <c r="E19" t="s">
        <v>136</v>
      </c>
      <c r="F19" t="s">
        <v>124</v>
      </c>
      <c r="G19" t="s">
        <v>125</v>
      </c>
      <c r="H19" t="s">
        <v>130</v>
      </c>
      <c r="I19" t="s">
        <v>129</v>
      </c>
      <c r="J19">
        <v>48</v>
      </c>
      <c r="K19">
        <v>2</v>
      </c>
      <c r="L19">
        <v>325920</v>
      </c>
      <c r="M19">
        <v>24145.8</v>
      </c>
      <c r="N19">
        <v>52301.4</v>
      </c>
      <c r="O19">
        <v>17860.626506024098</v>
      </c>
      <c r="P19">
        <v>119175.51807228901</v>
      </c>
      <c r="Q19">
        <v>9943.3311578743796</v>
      </c>
      <c r="R19">
        <v>39445.551751443498</v>
      </c>
      <c r="S19">
        <v>49388.882909317901</v>
      </c>
      <c r="T19">
        <v>42006.426506024101</v>
      </c>
      <c r="U19">
        <v>220865.800981607</v>
      </c>
      <c r="V19">
        <v>262872.22748763103</v>
      </c>
      <c r="W19">
        <v>63047.7725123688</v>
      </c>
      <c r="X19">
        <v>0</v>
      </c>
      <c r="Y19">
        <v>120729</v>
      </c>
      <c r="Z19">
        <v>261507</v>
      </c>
      <c r="AA19">
        <v>92652</v>
      </c>
      <c r="AB19">
        <v>24923</v>
      </c>
      <c r="AC19">
        <v>618223</v>
      </c>
      <c r="AD19">
        <v>2891983</v>
      </c>
      <c r="AE19">
        <v>676344</v>
      </c>
    </row>
    <row r="20" spans="1:31" x14ac:dyDescent="0.45">
      <c r="A20" t="s">
        <v>119</v>
      </c>
      <c r="B20" t="s">
        <v>120</v>
      </c>
      <c r="C20" t="s">
        <v>121</v>
      </c>
      <c r="D20" t="s">
        <v>122</v>
      </c>
      <c r="E20" t="s">
        <v>136</v>
      </c>
      <c r="F20" t="s">
        <v>124</v>
      </c>
      <c r="G20" t="s">
        <v>131</v>
      </c>
      <c r="H20" t="s">
        <v>132</v>
      </c>
      <c r="I20" t="s">
        <v>129</v>
      </c>
      <c r="J20">
        <v>51</v>
      </c>
      <c r="K20">
        <v>2</v>
      </c>
      <c r="L20">
        <v>375615</v>
      </c>
      <c r="M20">
        <v>21127.575000000001</v>
      </c>
      <c r="N20">
        <v>45763.724999999999</v>
      </c>
      <c r="O20">
        <v>31438.415662650601</v>
      </c>
      <c r="P20">
        <v>126623.98795180699</v>
      </c>
      <c r="Q20">
        <v>10564.789355241501</v>
      </c>
      <c r="R20">
        <v>41910.898735908697</v>
      </c>
      <c r="S20">
        <v>52475.688091150201</v>
      </c>
      <c r="T20">
        <v>52565.990662650598</v>
      </c>
      <c r="U20">
        <v>224863.401042957</v>
      </c>
      <c r="V20">
        <v>277429.391705608</v>
      </c>
      <c r="W20">
        <v>98185.608294391801</v>
      </c>
      <c r="X20">
        <v>51</v>
      </c>
      <c r="Y20">
        <v>120729</v>
      </c>
      <c r="Z20">
        <v>261507</v>
      </c>
      <c r="AA20">
        <v>92652</v>
      </c>
      <c r="AB20">
        <v>24923</v>
      </c>
      <c r="AC20">
        <v>618223</v>
      </c>
      <c r="AD20">
        <v>2891983</v>
      </c>
      <c r="AE20">
        <v>676344</v>
      </c>
    </row>
    <row r="21" spans="1:31" x14ac:dyDescent="0.45">
      <c r="A21" t="s">
        <v>119</v>
      </c>
      <c r="B21" t="s">
        <v>120</v>
      </c>
      <c r="C21" t="s">
        <v>121</v>
      </c>
      <c r="D21" t="s">
        <v>122</v>
      </c>
      <c r="E21" t="s">
        <v>136</v>
      </c>
      <c r="F21" t="s">
        <v>124</v>
      </c>
      <c r="G21" t="s">
        <v>131</v>
      </c>
      <c r="H21" t="s">
        <v>133</v>
      </c>
      <c r="I21" t="s">
        <v>129</v>
      </c>
      <c r="J21">
        <v>50</v>
      </c>
      <c r="K21">
        <v>2</v>
      </c>
      <c r="L21">
        <v>363750</v>
      </c>
      <c r="M21">
        <v>21127.575000000001</v>
      </c>
      <c r="N21">
        <v>45763.724999999999</v>
      </c>
      <c r="O21">
        <v>18604.8192771084</v>
      </c>
      <c r="P21">
        <v>124141.16465863401</v>
      </c>
      <c r="Q21">
        <v>10357.6366227858</v>
      </c>
      <c r="R21">
        <v>41089.116407753601</v>
      </c>
      <c r="S21">
        <v>51446.753030539403</v>
      </c>
      <c r="T21">
        <v>39732.394277108397</v>
      </c>
      <c r="U21">
        <v>221351.64268917401</v>
      </c>
      <c r="V21">
        <v>261084.036966282</v>
      </c>
      <c r="W21">
        <v>102665.96303371699</v>
      </c>
      <c r="X21">
        <v>0</v>
      </c>
      <c r="Y21">
        <v>120729</v>
      </c>
      <c r="Z21">
        <v>261507</v>
      </c>
      <c r="AA21">
        <v>92652</v>
      </c>
      <c r="AB21">
        <v>24923</v>
      </c>
      <c r="AC21">
        <v>618223</v>
      </c>
      <c r="AD21">
        <v>2891983</v>
      </c>
      <c r="AE21">
        <v>676344</v>
      </c>
    </row>
    <row r="22" spans="1:31" x14ac:dyDescent="0.45">
      <c r="A22" t="s">
        <v>119</v>
      </c>
      <c r="B22" t="s">
        <v>120</v>
      </c>
      <c r="C22" t="s">
        <v>121</v>
      </c>
      <c r="D22" t="s">
        <v>122</v>
      </c>
      <c r="E22" t="s">
        <v>137</v>
      </c>
      <c r="F22" t="s">
        <v>1</v>
      </c>
      <c r="G22" t="s">
        <v>138</v>
      </c>
      <c r="H22" t="s">
        <v>126</v>
      </c>
      <c r="I22" t="s">
        <v>127</v>
      </c>
      <c r="J22">
        <v>72</v>
      </c>
      <c r="K22">
        <v>3</v>
      </c>
      <c r="L22">
        <v>611280</v>
      </c>
      <c r="M22">
        <v>45273.5</v>
      </c>
      <c r="N22">
        <v>151300.5</v>
      </c>
      <c r="O22">
        <v>57190.915254237203</v>
      </c>
      <c r="P22">
        <v>280720.27118644002</v>
      </c>
      <c r="Q22">
        <v>17363.0046428436</v>
      </c>
      <c r="R22">
        <v>72643.533496265794</v>
      </c>
      <c r="S22">
        <v>90006.5381391095</v>
      </c>
      <c r="T22">
        <v>102464.415254237</v>
      </c>
      <c r="U22">
        <v>522027.30932554998</v>
      </c>
      <c r="V22">
        <v>624491.724579787</v>
      </c>
      <c r="W22">
        <v>-13211.7245797875</v>
      </c>
      <c r="X22">
        <v>72</v>
      </c>
      <c r="Y22">
        <v>181094</v>
      </c>
      <c r="Z22">
        <v>605202</v>
      </c>
      <c r="AA22">
        <v>131722</v>
      </c>
      <c r="AB22">
        <v>60800</v>
      </c>
      <c r="AC22">
        <v>1380208</v>
      </c>
      <c r="AD22">
        <v>2891983</v>
      </c>
      <c r="AE22">
        <v>676344</v>
      </c>
    </row>
    <row r="23" spans="1:31" x14ac:dyDescent="0.45">
      <c r="A23" t="s">
        <v>119</v>
      </c>
      <c r="B23" t="s">
        <v>120</v>
      </c>
      <c r="C23" t="s">
        <v>121</v>
      </c>
      <c r="D23" t="s">
        <v>122</v>
      </c>
      <c r="E23" t="s">
        <v>137</v>
      </c>
      <c r="F23" t="s">
        <v>1</v>
      </c>
      <c r="G23" t="s">
        <v>138</v>
      </c>
      <c r="H23" t="s">
        <v>128</v>
      </c>
      <c r="I23" t="s">
        <v>129</v>
      </c>
      <c r="J23">
        <v>70</v>
      </c>
      <c r="K23">
        <v>3</v>
      </c>
      <c r="L23">
        <v>548800</v>
      </c>
      <c r="M23">
        <v>36218.800000000003</v>
      </c>
      <c r="N23">
        <v>121040.4</v>
      </c>
      <c r="O23">
        <v>26046.723163841802</v>
      </c>
      <c r="P23">
        <v>272922.48587570601</v>
      </c>
      <c r="Q23">
        <v>16880.698958320201</v>
      </c>
      <c r="R23">
        <v>70625.657565814006</v>
      </c>
      <c r="S23">
        <v>87506.3565241342</v>
      </c>
      <c r="T23">
        <v>62265.523163841797</v>
      </c>
      <c r="U23">
        <v>481469.24239983998</v>
      </c>
      <c r="V23">
        <v>543734.76556368195</v>
      </c>
      <c r="W23">
        <v>5065.2344363175798</v>
      </c>
      <c r="X23">
        <v>0</v>
      </c>
      <c r="Y23">
        <v>181094</v>
      </c>
      <c r="Z23">
        <v>605202</v>
      </c>
      <c r="AA23">
        <v>131722</v>
      </c>
      <c r="AB23">
        <v>60800</v>
      </c>
      <c r="AC23">
        <v>1380208</v>
      </c>
      <c r="AD23">
        <v>2891983</v>
      </c>
      <c r="AE23">
        <v>676344</v>
      </c>
    </row>
    <row r="24" spans="1:31" x14ac:dyDescent="0.45">
      <c r="A24" t="s">
        <v>119</v>
      </c>
      <c r="B24" t="s">
        <v>120</v>
      </c>
      <c r="C24" t="s">
        <v>121</v>
      </c>
      <c r="D24" t="s">
        <v>122</v>
      </c>
      <c r="E24" t="s">
        <v>137</v>
      </c>
      <c r="F24" t="s">
        <v>1</v>
      </c>
      <c r="G24" t="s">
        <v>138</v>
      </c>
      <c r="H24" t="s">
        <v>130</v>
      </c>
      <c r="I24" t="s">
        <v>129</v>
      </c>
      <c r="J24">
        <v>69</v>
      </c>
      <c r="K24">
        <v>3</v>
      </c>
      <c r="L24">
        <v>540960</v>
      </c>
      <c r="M24">
        <v>36218.800000000003</v>
      </c>
      <c r="N24">
        <v>121040.4</v>
      </c>
      <c r="O24">
        <v>25674.627118643999</v>
      </c>
      <c r="P24">
        <v>269023.59322033898</v>
      </c>
      <c r="Q24">
        <v>16639.5461160585</v>
      </c>
      <c r="R24">
        <v>69616.719600588098</v>
      </c>
      <c r="S24">
        <v>86256.265716646594</v>
      </c>
      <c r="T24">
        <v>61893.427118644002</v>
      </c>
      <c r="U24">
        <v>476320.25893698499</v>
      </c>
      <c r="V24">
        <v>538213.68605562905</v>
      </c>
      <c r="W24">
        <v>2746.3139443702498</v>
      </c>
      <c r="X24">
        <v>0</v>
      </c>
      <c r="Y24">
        <v>181094</v>
      </c>
      <c r="Z24">
        <v>605202</v>
      </c>
      <c r="AA24">
        <v>131722</v>
      </c>
      <c r="AB24">
        <v>60800</v>
      </c>
      <c r="AC24">
        <v>1380208</v>
      </c>
      <c r="AD24">
        <v>2891983</v>
      </c>
      <c r="AE24">
        <v>676344</v>
      </c>
    </row>
    <row r="25" spans="1:31" x14ac:dyDescent="0.45">
      <c r="A25" t="s">
        <v>119</v>
      </c>
      <c r="B25" t="s">
        <v>120</v>
      </c>
      <c r="C25" t="s">
        <v>121</v>
      </c>
      <c r="D25" t="s">
        <v>122</v>
      </c>
      <c r="E25" t="s">
        <v>137</v>
      </c>
      <c r="F25" t="s">
        <v>1</v>
      </c>
      <c r="G25" t="s">
        <v>139</v>
      </c>
      <c r="H25" t="s">
        <v>132</v>
      </c>
      <c r="I25" t="s">
        <v>129</v>
      </c>
      <c r="J25">
        <v>72</v>
      </c>
      <c r="K25">
        <v>3</v>
      </c>
      <c r="L25">
        <v>611280</v>
      </c>
      <c r="M25">
        <v>31691.449999999899</v>
      </c>
      <c r="N25">
        <v>105910.349999999</v>
      </c>
      <c r="O25">
        <v>57190.915254237203</v>
      </c>
      <c r="P25">
        <v>280720.27118644002</v>
      </c>
      <c r="Q25">
        <v>17363.0046428436</v>
      </c>
      <c r="R25">
        <v>72643.533496265794</v>
      </c>
      <c r="S25">
        <v>90006.5381391095</v>
      </c>
      <c r="T25">
        <v>88882.3652542372</v>
      </c>
      <c r="U25">
        <v>476637.15932555002</v>
      </c>
      <c r="V25">
        <v>565519.52457978704</v>
      </c>
      <c r="W25">
        <v>45760.4754202123</v>
      </c>
      <c r="X25">
        <v>72</v>
      </c>
      <c r="Y25">
        <v>181094</v>
      </c>
      <c r="Z25">
        <v>605202</v>
      </c>
      <c r="AA25">
        <v>131722</v>
      </c>
      <c r="AB25">
        <v>60800</v>
      </c>
      <c r="AC25">
        <v>1380208</v>
      </c>
      <c r="AD25">
        <v>2891983</v>
      </c>
      <c r="AE25">
        <v>676344</v>
      </c>
    </row>
    <row r="26" spans="1:31" x14ac:dyDescent="0.45">
      <c r="A26" t="s">
        <v>119</v>
      </c>
      <c r="B26" t="s">
        <v>120</v>
      </c>
      <c r="C26" t="s">
        <v>121</v>
      </c>
      <c r="D26" t="s">
        <v>122</v>
      </c>
      <c r="E26" t="s">
        <v>137</v>
      </c>
      <c r="F26" t="s">
        <v>1</v>
      </c>
      <c r="G26" t="s">
        <v>139</v>
      </c>
      <c r="H26" t="s">
        <v>133</v>
      </c>
      <c r="I26" t="s">
        <v>129</v>
      </c>
      <c r="J26">
        <v>71</v>
      </c>
      <c r="K26">
        <v>3</v>
      </c>
      <c r="L26">
        <v>596400</v>
      </c>
      <c r="M26">
        <v>31691.449999999899</v>
      </c>
      <c r="N26">
        <v>105910.349999999</v>
      </c>
      <c r="O26">
        <v>26418.819209039499</v>
      </c>
      <c r="P26">
        <v>276821.37853107299</v>
      </c>
      <c r="Q26">
        <v>17121.851800581899</v>
      </c>
      <c r="R26">
        <v>71634.5955310399</v>
      </c>
      <c r="S26">
        <v>88756.447331621894</v>
      </c>
      <c r="T26">
        <v>58110.269209039499</v>
      </c>
      <c r="U26">
        <v>471488.17586269497</v>
      </c>
      <c r="V26">
        <v>529598.44507173495</v>
      </c>
      <c r="W26">
        <v>66801.554928265003</v>
      </c>
      <c r="X26">
        <v>0</v>
      </c>
      <c r="Y26">
        <v>181094</v>
      </c>
      <c r="Z26">
        <v>605202</v>
      </c>
      <c r="AA26">
        <v>131722</v>
      </c>
      <c r="AB26">
        <v>60800</v>
      </c>
      <c r="AC26">
        <v>1380208</v>
      </c>
      <c r="AD26">
        <v>2891983</v>
      </c>
      <c r="AE26">
        <v>676344</v>
      </c>
    </row>
    <row r="27" spans="1:31" x14ac:dyDescent="0.45">
      <c r="A27" t="s">
        <v>119</v>
      </c>
      <c r="B27" t="s">
        <v>120</v>
      </c>
      <c r="C27" t="s">
        <v>121</v>
      </c>
      <c r="D27" t="s">
        <v>122</v>
      </c>
      <c r="E27" t="s">
        <v>140</v>
      </c>
      <c r="F27" t="s">
        <v>1</v>
      </c>
      <c r="G27" t="s">
        <v>138</v>
      </c>
      <c r="H27" t="s">
        <v>126</v>
      </c>
      <c r="I27" t="s">
        <v>127</v>
      </c>
      <c r="J27">
        <v>50</v>
      </c>
      <c r="K27">
        <v>2</v>
      </c>
      <c r="L27">
        <v>372000</v>
      </c>
      <c r="M27">
        <v>30182.25</v>
      </c>
      <c r="N27">
        <v>57282.5</v>
      </c>
      <c r="O27">
        <v>31214.7131147541</v>
      </c>
      <c r="P27">
        <v>109492.21311475401</v>
      </c>
      <c r="Q27">
        <v>10559.936819864</v>
      </c>
      <c r="R27">
        <v>44180.782063455699</v>
      </c>
      <c r="S27">
        <v>54740.7188833197</v>
      </c>
      <c r="T27">
        <v>61396.9631147541</v>
      </c>
      <c r="U27">
        <v>221515.43199807301</v>
      </c>
      <c r="V27">
        <v>282912.395112828</v>
      </c>
      <c r="W27">
        <v>89087.604887171998</v>
      </c>
      <c r="X27">
        <v>50</v>
      </c>
      <c r="Y27">
        <v>120729</v>
      </c>
      <c r="Z27">
        <v>229130</v>
      </c>
      <c r="AA27">
        <v>90791</v>
      </c>
      <c r="AB27">
        <v>25220</v>
      </c>
      <c r="AC27">
        <v>534322</v>
      </c>
      <c r="AD27">
        <v>2891983</v>
      </c>
      <c r="AE27">
        <v>676344</v>
      </c>
    </row>
    <row r="28" spans="1:31" x14ac:dyDescent="0.45">
      <c r="A28" t="s">
        <v>119</v>
      </c>
      <c r="B28" t="s">
        <v>120</v>
      </c>
      <c r="C28" t="s">
        <v>121</v>
      </c>
      <c r="D28" t="s">
        <v>122</v>
      </c>
      <c r="E28" t="s">
        <v>140</v>
      </c>
      <c r="F28" t="s">
        <v>1</v>
      </c>
      <c r="G28" t="s">
        <v>138</v>
      </c>
      <c r="H28" t="s">
        <v>128</v>
      </c>
      <c r="I28" t="s">
        <v>129</v>
      </c>
      <c r="J28">
        <v>48</v>
      </c>
      <c r="K28">
        <v>2</v>
      </c>
      <c r="L28">
        <v>329280</v>
      </c>
      <c r="M28">
        <v>24145.8</v>
      </c>
      <c r="N28">
        <v>45826</v>
      </c>
      <c r="O28">
        <v>17860.524590163899</v>
      </c>
      <c r="P28">
        <v>105112.524590163</v>
      </c>
      <c r="Q28">
        <v>10137.5393470694</v>
      </c>
      <c r="R28">
        <v>42413.550780917401</v>
      </c>
      <c r="S28">
        <v>52551.090127986899</v>
      </c>
      <c r="T28">
        <v>42006.324590163902</v>
      </c>
      <c r="U28">
        <v>203489.61471815</v>
      </c>
      <c r="V28">
        <v>245495.939308314</v>
      </c>
      <c r="W28">
        <v>83784.060691685096</v>
      </c>
      <c r="X28">
        <v>0</v>
      </c>
      <c r="Y28">
        <v>120729</v>
      </c>
      <c r="Z28">
        <v>229130</v>
      </c>
      <c r="AA28">
        <v>90791</v>
      </c>
      <c r="AB28">
        <v>25220</v>
      </c>
      <c r="AC28">
        <v>534322</v>
      </c>
      <c r="AD28">
        <v>2891983</v>
      </c>
      <c r="AE28">
        <v>676344</v>
      </c>
    </row>
    <row r="29" spans="1:31" x14ac:dyDescent="0.45">
      <c r="A29" t="s">
        <v>119</v>
      </c>
      <c r="B29" t="s">
        <v>120</v>
      </c>
      <c r="C29" t="s">
        <v>121</v>
      </c>
      <c r="D29" t="s">
        <v>122</v>
      </c>
      <c r="E29" t="s">
        <v>140</v>
      </c>
      <c r="F29" t="s">
        <v>1</v>
      </c>
      <c r="G29" t="s">
        <v>138</v>
      </c>
      <c r="H29" t="s">
        <v>130</v>
      </c>
      <c r="I29" t="s">
        <v>129</v>
      </c>
      <c r="J29">
        <v>47</v>
      </c>
      <c r="K29">
        <v>2</v>
      </c>
      <c r="L29">
        <v>322420</v>
      </c>
      <c r="M29">
        <v>24145.8</v>
      </c>
      <c r="N29">
        <v>45826</v>
      </c>
      <c r="O29">
        <v>17488.430327868798</v>
      </c>
      <c r="P29">
        <v>102922.680327868</v>
      </c>
      <c r="Q29">
        <v>9926.3406106721995</v>
      </c>
      <c r="R29">
        <v>41529.935139648303</v>
      </c>
      <c r="S29">
        <v>51456.275750320499</v>
      </c>
      <c r="T29">
        <v>41634.230327868798</v>
      </c>
      <c r="U29">
        <v>200204.95607818899</v>
      </c>
      <c r="V29">
        <v>241839.186406058</v>
      </c>
      <c r="W29">
        <v>80580.813593941697</v>
      </c>
      <c r="X29">
        <v>0</v>
      </c>
      <c r="Y29">
        <v>120729</v>
      </c>
      <c r="Z29">
        <v>229130</v>
      </c>
      <c r="AA29">
        <v>90791</v>
      </c>
      <c r="AB29">
        <v>25220</v>
      </c>
      <c r="AC29">
        <v>534322</v>
      </c>
      <c r="AD29">
        <v>2891983</v>
      </c>
      <c r="AE29">
        <v>676344</v>
      </c>
    </row>
    <row r="30" spans="1:31" x14ac:dyDescent="0.45">
      <c r="A30" t="s">
        <v>119</v>
      </c>
      <c r="B30" t="s">
        <v>120</v>
      </c>
      <c r="C30" t="s">
        <v>121</v>
      </c>
      <c r="D30" t="s">
        <v>122</v>
      </c>
      <c r="E30" t="s">
        <v>140</v>
      </c>
      <c r="F30" t="s">
        <v>1</v>
      </c>
      <c r="G30" t="s">
        <v>139</v>
      </c>
      <c r="H30" t="s">
        <v>132</v>
      </c>
      <c r="I30" t="s">
        <v>129</v>
      </c>
      <c r="J30">
        <v>50</v>
      </c>
      <c r="K30">
        <v>2</v>
      </c>
      <c r="L30">
        <v>372000</v>
      </c>
      <c r="M30">
        <v>21127.575000000001</v>
      </c>
      <c r="N30">
        <v>40097.75</v>
      </c>
      <c r="O30">
        <v>31214.7131147541</v>
      </c>
      <c r="P30">
        <v>109492.21311475401</v>
      </c>
      <c r="Q30">
        <v>10559.936819864</v>
      </c>
      <c r="R30">
        <v>44180.782063455699</v>
      </c>
      <c r="S30">
        <v>54740.7188833197</v>
      </c>
      <c r="T30">
        <v>52342.288114754097</v>
      </c>
      <c r="U30">
        <v>204330.68199807301</v>
      </c>
      <c r="V30">
        <v>256672.970112827</v>
      </c>
      <c r="W30">
        <v>115327.029887172</v>
      </c>
      <c r="X30">
        <v>50</v>
      </c>
      <c r="Y30">
        <v>120729</v>
      </c>
      <c r="Z30">
        <v>229130</v>
      </c>
      <c r="AA30">
        <v>90791</v>
      </c>
      <c r="AB30">
        <v>25220</v>
      </c>
      <c r="AC30">
        <v>534322</v>
      </c>
      <c r="AD30">
        <v>2891983</v>
      </c>
      <c r="AE30">
        <v>676344</v>
      </c>
    </row>
    <row r="31" spans="1:31" x14ac:dyDescent="0.45">
      <c r="A31" t="s">
        <v>119</v>
      </c>
      <c r="B31" t="s">
        <v>120</v>
      </c>
      <c r="C31" t="s">
        <v>121</v>
      </c>
      <c r="D31" t="s">
        <v>122</v>
      </c>
      <c r="E31" t="s">
        <v>140</v>
      </c>
      <c r="F31" t="s">
        <v>1</v>
      </c>
      <c r="G31" t="s">
        <v>139</v>
      </c>
      <c r="H31" t="s">
        <v>133</v>
      </c>
      <c r="I31" t="s">
        <v>129</v>
      </c>
      <c r="J31">
        <v>49</v>
      </c>
      <c r="K31">
        <v>2</v>
      </c>
      <c r="L31">
        <v>360150</v>
      </c>
      <c r="M31">
        <v>21127.575000000001</v>
      </c>
      <c r="N31">
        <v>40097.75</v>
      </c>
      <c r="O31">
        <v>18232.618852459</v>
      </c>
      <c r="P31">
        <v>107302.368852459</v>
      </c>
      <c r="Q31">
        <v>10348.7380834667</v>
      </c>
      <c r="R31">
        <v>43297.166422186499</v>
      </c>
      <c r="S31">
        <v>53645.9045056533</v>
      </c>
      <c r="T31">
        <v>39360.193852459</v>
      </c>
      <c r="U31">
        <v>201046.023358112</v>
      </c>
      <c r="V31">
        <v>240406.21721057099</v>
      </c>
      <c r="W31">
        <v>119743.78278942801</v>
      </c>
      <c r="X31">
        <v>0</v>
      </c>
      <c r="Y31">
        <v>120729</v>
      </c>
      <c r="Z31">
        <v>229130</v>
      </c>
      <c r="AA31">
        <v>90791</v>
      </c>
      <c r="AB31">
        <v>25220</v>
      </c>
      <c r="AC31">
        <v>534322</v>
      </c>
      <c r="AD31">
        <v>2891983</v>
      </c>
      <c r="AE31">
        <v>676344</v>
      </c>
    </row>
    <row r="32" spans="1:31" x14ac:dyDescent="0.45">
      <c r="A32" t="s">
        <v>119</v>
      </c>
      <c r="B32" t="s">
        <v>120</v>
      </c>
      <c r="C32" t="s">
        <v>121</v>
      </c>
      <c r="D32" t="s">
        <v>122</v>
      </c>
      <c r="E32" t="s">
        <v>141</v>
      </c>
      <c r="F32" t="s">
        <v>1</v>
      </c>
      <c r="G32" t="s">
        <v>138</v>
      </c>
      <c r="H32" t="s">
        <v>126</v>
      </c>
      <c r="I32" t="s">
        <v>127</v>
      </c>
      <c r="J32">
        <v>47</v>
      </c>
      <c r="K32">
        <v>2</v>
      </c>
      <c r="L32">
        <v>342630</v>
      </c>
      <c r="M32">
        <v>30182.25</v>
      </c>
      <c r="N32">
        <v>56037.25</v>
      </c>
      <c r="O32">
        <v>28529.9761904761</v>
      </c>
      <c r="P32">
        <v>102543.419913419</v>
      </c>
      <c r="Q32">
        <v>9721.39686644623</v>
      </c>
      <c r="R32">
        <v>40672.489204755599</v>
      </c>
      <c r="S32">
        <v>50393.886071201799</v>
      </c>
      <c r="T32">
        <v>58712.226190476198</v>
      </c>
      <c r="U32">
        <v>208974.55598462099</v>
      </c>
      <c r="V32">
        <v>267686.78217509802</v>
      </c>
      <c r="W32">
        <v>74943.217824901905</v>
      </c>
      <c r="X32">
        <v>47</v>
      </c>
      <c r="Y32">
        <v>120729</v>
      </c>
      <c r="Z32">
        <v>224149</v>
      </c>
      <c r="AA32">
        <v>85954</v>
      </c>
      <c r="AB32">
        <v>22083</v>
      </c>
      <c r="AC32">
        <v>503990</v>
      </c>
      <c r="AD32">
        <v>2891983</v>
      </c>
      <c r="AE32">
        <v>676344</v>
      </c>
    </row>
    <row r="33" spans="1:31" x14ac:dyDescent="0.45">
      <c r="A33" t="s">
        <v>119</v>
      </c>
      <c r="B33" t="s">
        <v>120</v>
      </c>
      <c r="C33" t="s">
        <v>121</v>
      </c>
      <c r="D33" t="s">
        <v>122</v>
      </c>
      <c r="E33" t="s">
        <v>141</v>
      </c>
      <c r="F33" t="s">
        <v>1</v>
      </c>
      <c r="G33" t="s">
        <v>138</v>
      </c>
      <c r="H33" t="s">
        <v>128</v>
      </c>
      <c r="I33" t="s">
        <v>129</v>
      </c>
      <c r="J33">
        <v>46</v>
      </c>
      <c r="K33">
        <v>2</v>
      </c>
      <c r="L33">
        <v>309120</v>
      </c>
      <c r="M33">
        <v>24145.8</v>
      </c>
      <c r="N33">
        <v>44829.8</v>
      </c>
      <c r="O33">
        <v>17116.3809523809</v>
      </c>
      <c r="P33">
        <v>100361.645021645</v>
      </c>
      <c r="Q33">
        <v>9514.5586352452501</v>
      </c>
      <c r="R33">
        <v>39807.117094016103</v>
      </c>
      <c r="S33">
        <v>49321.675729261398</v>
      </c>
      <c r="T33">
        <v>41262.180952380899</v>
      </c>
      <c r="U33">
        <v>194513.120750906</v>
      </c>
      <c r="V33">
        <v>235775.301703287</v>
      </c>
      <c r="W33">
        <v>73344.698296712595</v>
      </c>
      <c r="X33">
        <v>0</v>
      </c>
      <c r="Y33">
        <v>120729</v>
      </c>
      <c r="Z33">
        <v>224149</v>
      </c>
      <c r="AA33">
        <v>85954</v>
      </c>
      <c r="AB33">
        <v>22083</v>
      </c>
      <c r="AC33">
        <v>503990</v>
      </c>
      <c r="AD33">
        <v>2891983</v>
      </c>
      <c r="AE33">
        <v>676344</v>
      </c>
    </row>
    <row r="34" spans="1:31" x14ac:dyDescent="0.45">
      <c r="A34" t="s">
        <v>119</v>
      </c>
      <c r="B34" t="s">
        <v>120</v>
      </c>
      <c r="C34" t="s">
        <v>121</v>
      </c>
      <c r="D34" t="s">
        <v>122</v>
      </c>
      <c r="E34" t="s">
        <v>141</v>
      </c>
      <c r="F34" t="s">
        <v>1</v>
      </c>
      <c r="G34" t="s">
        <v>138</v>
      </c>
      <c r="H34" t="s">
        <v>130</v>
      </c>
      <c r="I34" t="s">
        <v>129</v>
      </c>
      <c r="J34">
        <v>45</v>
      </c>
      <c r="K34">
        <v>2</v>
      </c>
      <c r="L34">
        <v>302400</v>
      </c>
      <c r="M34">
        <v>24145.8</v>
      </c>
      <c r="N34">
        <v>44829.8</v>
      </c>
      <c r="O34">
        <v>16744.285714285699</v>
      </c>
      <c r="P34">
        <v>98179.870129870105</v>
      </c>
      <c r="Q34">
        <v>9307.7204040442593</v>
      </c>
      <c r="R34">
        <v>38941.7449832766</v>
      </c>
      <c r="S34">
        <v>48249.465387320903</v>
      </c>
      <c r="T34">
        <v>40890.085714285698</v>
      </c>
      <c r="U34">
        <v>191259.135517191</v>
      </c>
      <c r="V34">
        <v>232149.221231476</v>
      </c>
      <c r="W34">
        <v>70250.778768523101</v>
      </c>
      <c r="X34">
        <v>0</v>
      </c>
      <c r="Y34">
        <v>120729</v>
      </c>
      <c r="Z34">
        <v>224149</v>
      </c>
      <c r="AA34">
        <v>85954</v>
      </c>
      <c r="AB34">
        <v>22083</v>
      </c>
      <c r="AC34">
        <v>503990</v>
      </c>
      <c r="AD34">
        <v>2891983</v>
      </c>
      <c r="AE34">
        <v>676344</v>
      </c>
    </row>
    <row r="35" spans="1:31" x14ac:dyDescent="0.45">
      <c r="A35" t="s">
        <v>119</v>
      </c>
      <c r="B35" t="s">
        <v>120</v>
      </c>
      <c r="C35" t="s">
        <v>121</v>
      </c>
      <c r="D35" t="s">
        <v>122</v>
      </c>
      <c r="E35" t="s">
        <v>141</v>
      </c>
      <c r="F35" t="s">
        <v>1</v>
      </c>
      <c r="G35" t="s">
        <v>139</v>
      </c>
      <c r="H35" t="s">
        <v>132</v>
      </c>
      <c r="I35" t="s">
        <v>129</v>
      </c>
      <c r="J35">
        <v>47</v>
      </c>
      <c r="K35">
        <v>2</v>
      </c>
      <c r="L35">
        <v>342630</v>
      </c>
      <c r="M35">
        <v>21127.575000000001</v>
      </c>
      <c r="N35">
        <v>39226.074999999997</v>
      </c>
      <c r="O35">
        <v>28529.9761904761</v>
      </c>
      <c r="P35">
        <v>102543.419913419</v>
      </c>
      <c r="Q35">
        <v>9721.39686644623</v>
      </c>
      <c r="R35">
        <v>40672.489204755599</v>
      </c>
      <c r="S35">
        <v>50393.886071201799</v>
      </c>
      <c r="T35">
        <v>49657.551190476101</v>
      </c>
      <c r="U35">
        <v>192163.38098462101</v>
      </c>
      <c r="V35">
        <v>241820.93217509799</v>
      </c>
      <c r="W35">
        <v>100809.067824902</v>
      </c>
      <c r="X35">
        <v>47</v>
      </c>
      <c r="Y35">
        <v>120729</v>
      </c>
      <c r="Z35">
        <v>224149</v>
      </c>
      <c r="AA35">
        <v>85954</v>
      </c>
      <c r="AB35">
        <v>22083</v>
      </c>
      <c r="AC35">
        <v>503990</v>
      </c>
      <c r="AD35">
        <v>2891983</v>
      </c>
      <c r="AE35">
        <v>676344</v>
      </c>
    </row>
    <row r="36" spans="1:31" x14ac:dyDescent="0.45">
      <c r="A36" t="s">
        <v>119</v>
      </c>
      <c r="B36" t="s">
        <v>120</v>
      </c>
      <c r="C36" t="s">
        <v>121</v>
      </c>
      <c r="D36" t="s">
        <v>122</v>
      </c>
      <c r="E36" t="s">
        <v>141</v>
      </c>
      <c r="F36" t="s">
        <v>1</v>
      </c>
      <c r="G36" t="s">
        <v>139</v>
      </c>
      <c r="H36" t="s">
        <v>133</v>
      </c>
      <c r="I36" t="s">
        <v>129</v>
      </c>
      <c r="J36">
        <v>46</v>
      </c>
      <c r="K36">
        <v>2</v>
      </c>
      <c r="L36">
        <v>331200</v>
      </c>
      <c r="M36">
        <v>21127.575000000001</v>
      </c>
      <c r="N36">
        <v>39226.074999999997</v>
      </c>
      <c r="O36">
        <v>17116.3809523809</v>
      </c>
      <c r="P36">
        <v>100361.645021645</v>
      </c>
      <c r="Q36">
        <v>9514.5586352452501</v>
      </c>
      <c r="R36">
        <v>39807.117094016103</v>
      </c>
      <c r="S36">
        <v>49321.675729261398</v>
      </c>
      <c r="T36">
        <v>38243.9559523809</v>
      </c>
      <c r="U36">
        <v>188909.395750906</v>
      </c>
      <c r="V36">
        <v>227153.35170328699</v>
      </c>
      <c r="W36">
        <v>104046.648296712</v>
      </c>
      <c r="X36">
        <v>0</v>
      </c>
      <c r="Y36">
        <v>120729</v>
      </c>
      <c r="Z36">
        <v>224149</v>
      </c>
      <c r="AA36">
        <v>85954</v>
      </c>
      <c r="AB36">
        <v>22083</v>
      </c>
      <c r="AC36">
        <v>503990</v>
      </c>
      <c r="AD36">
        <v>2891983</v>
      </c>
      <c r="AE36">
        <v>676344</v>
      </c>
    </row>
    <row r="37" spans="1:31" x14ac:dyDescent="0.45">
      <c r="A37" t="s">
        <v>119</v>
      </c>
      <c r="B37" t="s">
        <v>120</v>
      </c>
      <c r="C37" t="s">
        <v>121</v>
      </c>
      <c r="D37" t="s">
        <v>122</v>
      </c>
      <c r="E37" t="s">
        <v>142</v>
      </c>
      <c r="F37" t="s">
        <v>143</v>
      </c>
      <c r="G37" t="s">
        <v>144</v>
      </c>
      <c r="H37" t="s">
        <v>126</v>
      </c>
      <c r="I37" t="s">
        <v>129</v>
      </c>
      <c r="J37">
        <v>50</v>
      </c>
      <c r="K37">
        <v>2</v>
      </c>
      <c r="L37">
        <v>354500</v>
      </c>
      <c r="M37">
        <v>24146</v>
      </c>
      <c r="N37">
        <v>49811</v>
      </c>
      <c r="O37">
        <v>40364.827586206899</v>
      </c>
      <c r="P37">
        <v>119390</v>
      </c>
      <c r="Q37">
        <v>11492.209616783301</v>
      </c>
      <c r="R37">
        <v>54087.312121458002</v>
      </c>
      <c r="S37">
        <v>65579.521738241398</v>
      </c>
      <c r="T37">
        <v>64510.827586206899</v>
      </c>
      <c r="U37">
        <v>234780.52173824099</v>
      </c>
      <c r="V37">
        <v>299291.34932444798</v>
      </c>
      <c r="W37">
        <v>55208.650675551602</v>
      </c>
      <c r="X37">
        <v>50</v>
      </c>
      <c r="Y37">
        <v>72438</v>
      </c>
      <c r="Z37">
        <v>149433</v>
      </c>
      <c r="AA37">
        <v>53954</v>
      </c>
      <c r="AB37">
        <v>21760</v>
      </c>
      <c r="AC37">
        <v>346231</v>
      </c>
      <c r="AD37">
        <v>2891983</v>
      </c>
      <c r="AE37">
        <v>676344</v>
      </c>
    </row>
    <row r="38" spans="1:31" x14ac:dyDescent="0.45">
      <c r="A38" t="s">
        <v>119</v>
      </c>
      <c r="B38" t="s">
        <v>120</v>
      </c>
      <c r="C38" t="s">
        <v>121</v>
      </c>
      <c r="D38" t="s">
        <v>122</v>
      </c>
      <c r="E38" t="s">
        <v>142</v>
      </c>
      <c r="F38" t="s">
        <v>143</v>
      </c>
      <c r="G38" t="s">
        <v>144</v>
      </c>
      <c r="H38" t="s">
        <v>128</v>
      </c>
      <c r="I38" t="s">
        <v>129</v>
      </c>
      <c r="J38">
        <v>48</v>
      </c>
      <c r="K38">
        <v>2</v>
      </c>
      <c r="L38">
        <v>336000</v>
      </c>
      <c r="M38">
        <v>24146</v>
      </c>
      <c r="N38">
        <v>49811</v>
      </c>
      <c r="O38">
        <v>17860.6344827586</v>
      </c>
      <c r="P38">
        <v>114614.39999999999</v>
      </c>
      <c r="Q38">
        <v>11032.521232112</v>
      </c>
      <c r="R38">
        <v>51923.819636599699</v>
      </c>
      <c r="S38">
        <v>62956.340868711799</v>
      </c>
      <c r="T38">
        <v>42006.6344827586</v>
      </c>
      <c r="U38">
        <v>227381.740868711</v>
      </c>
      <c r="V38">
        <v>269388.37535147002</v>
      </c>
      <c r="W38">
        <v>66611.624648529498</v>
      </c>
      <c r="X38">
        <v>0</v>
      </c>
      <c r="Y38">
        <v>72438</v>
      </c>
      <c r="Z38">
        <v>149433</v>
      </c>
      <c r="AA38">
        <v>53954</v>
      </c>
      <c r="AB38">
        <v>21760</v>
      </c>
      <c r="AC38">
        <v>346231</v>
      </c>
      <c r="AD38">
        <v>2891983</v>
      </c>
      <c r="AE38">
        <v>676344</v>
      </c>
    </row>
    <row r="39" spans="1:31" x14ac:dyDescent="0.45">
      <c r="A39" t="s">
        <v>119</v>
      </c>
      <c r="B39" t="s">
        <v>120</v>
      </c>
      <c r="C39" t="s">
        <v>121</v>
      </c>
      <c r="D39" t="s">
        <v>122</v>
      </c>
      <c r="E39" t="s">
        <v>142</v>
      </c>
      <c r="F39" t="s">
        <v>143</v>
      </c>
      <c r="G39" t="s">
        <v>144</v>
      </c>
      <c r="H39" t="s">
        <v>130</v>
      </c>
      <c r="I39" t="s">
        <v>129</v>
      </c>
      <c r="J39">
        <v>47</v>
      </c>
      <c r="K39">
        <v>2</v>
      </c>
      <c r="L39">
        <v>329000</v>
      </c>
      <c r="M39">
        <v>24146</v>
      </c>
      <c r="N39">
        <v>49811</v>
      </c>
      <c r="O39">
        <v>17488.5379310344</v>
      </c>
      <c r="P39">
        <v>112226.599999999</v>
      </c>
      <c r="Q39">
        <v>10802.677039776299</v>
      </c>
      <c r="R39">
        <v>50842.073394170598</v>
      </c>
      <c r="S39">
        <v>61644.750433946901</v>
      </c>
      <c r="T39">
        <v>41634.5379310344</v>
      </c>
      <c r="U39">
        <v>223682.35043394699</v>
      </c>
      <c r="V39">
        <v>265316.88836498099</v>
      </c>
      <c r="W39">
        <v>63683.111635018402</v>
      </c>
      <c r="X39">
        <v>0</v>
      </c>
      <c r="Y39">
        <v>72438</v>
      </c>
      <c r="Z39">
        <v>149433</v>
      </c>
      <c r="AA39">
        <v>53954</v>
      </c>
      <c r="AB39">
        <v>21760</v>
      </c>
      <c r="AC39">
        <v>346231</v>
      </c>
      <c r="AD39">
        <v>2891983</v>
      </c>
      <c r="AE39">
        <v>676344</v>
      </c>
    </row>
    <row r="40" spans="1:31" x14ac:dyDescent="0.45">
      <c r="A40" t="s">
        <v>119</v>
      </c>
      <c r="B40" t="s">
        <v>120</v>
      </c>
      <c r="C40" t="s">
        <v>121</v>
      </c>
      <c r="D40" t="s">
        <v>122</v>
      </c>
      <c r="E40" t="s">
        <v>145</v>
      </c>
      <c r="F40" t="s">
        <v>143</v>
      </c>
      <c r="G40" t="s">
        <v>144</v>
      </c>
      <c r="H40" t="s">
        <v>126</v>
      </c>
      <c r="I40" t="s">
        <v>129</v>
      </c>
      <c r="J40">
        <v>40</v>
      </c>
      <c r="K40">
        <v>2</v>
      </c>
      <c r="L40">
        <v>269600</v>
      </c>
      <c r="M40">
        <v>24146</v>
      </c>
      <c r="N40">
        <v>43833.666666666599</v>
      </c>
      <c r="O40">
        <v>29816.7606837606</v>
      </c>
      <c r="P40">
        <v>90689.230769230693</v>
      </c>
      <c r="Q40">
        <v>8735.7614973588807</v>
      </c>
      <c r="R40">
        <v>41114.274319903503</v>
      </c>
      <c r="S40">
        <v>49850.035817262396</v>
      </c>
      <c r="T40">
        <v>53962.7606837606</v>
      </c>
      <c r="U40">
        <v>184372.93325315899</v>
      </c>
      <c r="V40">
        <v>238335.69393692</v>
      </c>
      <c r="W40">
        <v>31264.306063079399</v>
      </c>
      <c r="X40">
        <v>40</v>
      </c>
      <c r="Y40">
        <v>72438</v>
      </c>
      <c r="Z40">
        <v>131501</v>
      </c>
      <c r="AA40">
        <v>43535</v>
      </c>
      <c r="AB40">
        <v>14933</v>
      </c>
      <c r="AC40">
        <v>265266</v>
      </c>
      <c r="AD40">
        <v>2891983</v>
      </c>
      <c r="AE40">
        <v>676344</v>
      </c>
    </row>
    <row r="41" spans="1:31" x14ac:dyDescent="0.45">
      <c r="A41" t="s">
        <v>119</v>
      </c>
      <c r="B41" t="s">
        <v>120</v>
      </c>
      <c r="C41" t="s">
        <v>121</v>
      </c>
      <c r="D41" t="s">
        <v>122</v>
      </c>
      <c r="E41" t="s">
        <v>145</v>
      </c>
      <c r="F41" t="s">
        <v>143</v>
      </c>
      <c r="G41" t="s">
        <v>144</v>
      </c>
      <c r="H41" t="s">
        <v>128</v>
      </c>
      <c r="I41" t="s">
        <v>129</v>
      </c>
      <c r="J41">
        <v>39</v>
      </c>
      <c r="K41">
        <v>2</v>
      </c>
      <c r="L41">
        <v>259350</v>
      </c>
      <c r="M41">
        <v>24146</v>
      </c>
      <c r="N41">
        <v>43833.666666666599</v>
      </c>
      <c r="O41">
        <v>14511.666666666601</v>
      </c>
      <c r="P41">
        <v>88422</v>
      </c>
      <c r="Q41">
        <v>8517.3674599249098</v>
      </c>
      <c r="R41">
        <v>40086.417461905898</v>
      </c>
      <c r="S41">
        <v>48603.784921830797</v>
      </c>
      <c r="T41">
        <v>38657.666666666599</v>
      </c>
      <c r="U41">
        <v>180859.451588497</v>
      </c>
      <c r="V41">
        <v>219517.11825516401</v>
      </c>
      <c r="W41">
        <v>39832.881744835802</v>
      </c>
      <c r="X41">
        <v>0</v>
      </c>
      <c r="Y41">
        <v>72438</v>
      </c>
      <c r="Z41">
        <v>131501</v>
      </c>
      <c r="AA41">
        <v>43535</v>
      </c>
      <c r="AB41">
        <v>14933</v>
      </c>
      <c r="AC41">
        <v>265266</v>
      </c>
      <c r="AD41">
        <v>2891983</v>
      </c>
      <c r="AE41">
        <v>676344</v>
      </c>
    </row>
    <row r="42" spans="1:31" x14ac:dyDescent="0.45">
      <c r="A42" t="s">
        <v>119</v>
      </c>
      <c r="B42" t="s">
        <v>120</v>
      </c>
      <c r="C42" t="s">
        <v>121</v>
      </c>
      <c r="D42" t="s">
        <v>122</v>
      </c>
      <c r="E42" t="s">
        <v>145</v>
      </c>
      <c r="F42" t="s">
        <v>143</v>
      </c>
      <c r="G42" t="s">
        <v>144</v>
      </c>
      <c r="H42" t="s">
        <v>130</v>
      </c>
      <c r="I42" t="s">
        <v>129</v>
      </c>
      <c r="J42">
        <v>38</v>
      </c>
      <c r="K42">
        <v>2</v>
      </c>
      <c r="L42">
        <v>252700</v>
      </c>
      <c r="M42">
        <v>24146</v>
      </c>
      <c r="N42">
        <v>43833.666666666599</v>
      </c>
      <c r="O42">
        <v>14139.572649572599</v>
      </c>
      <c r="P42">
        <v>86154.769230769205</v>
      </c>
      <c r="Q42">
        <v>8298.9734224909407</v>
      </c>
      <c r="R42">
        <v>39058.5606039083</v>
      </c>
      <c r="S42">
        <v>47357.534026399298</v>
      </c>
      <c r="T42">
        <v>38285.572649572598</v>
      </c>
      <c r="U42">
        <v>177345.96992383499</v>
      </c>
      <c r="V42">
        <v>215631.542573407</v>
      </c>
      <c r="W42">
        <v>37068.457426592096</v>
      </c>
      <c r="X42">
        <v>0</v>
      </c>
      <c r="Y42">
        <v>72438</v>
      </c>
      <c r="Z42">
        <v>131501</v>
      </c>
      <c r="AA42">
        <v>43535</v>
      </c>
      <c r="AB42">
        <v>14933</v>
      </c>
      <c r="AC42">
        <v>265266</v>
      </c>
      <c r="AD42">
        <v>2891983</v>
      </c>
      <c r="AE42">
        <v>676344</v>
      </c>
    </row>
    <row r="43" spans="1:31" x14ac:dyDescent="0.45">
      <c r="A43" t="s">
        <v>119</v>
      </c>
      <c r="B43" t="s">
        <v>120</v>
      </c>
      <c r="C43" t="s">
        <v>121</v>
      </c>
      <c r="D43" t="s">
        <v>122</v>
      </c>
      <c r="E43" t="s">
        <v>146</v>
      </c>
      <c r="F43" t="s">
        <v>143</v>
      </c>
      <c r="G43" t="s">
        <v>144</v>
      </c>
      <c r="H43" t="s">
        <v>126</v>
      </c>
      <c r="I43" t="s">
        <v>129</v>
      </c>
      <c r="J43">
        <v>40</v>
      </c>
      <c r="K43">
        <v>2</v>
      </c>
      <c r="L43">
        <v>269600</v>
      </c>
      <c r="M43">
        <v>24146</v>
      </c>
      <c r="N43">
        <v>43833.666666666599</v>
      </c>
      <c r="O43">
        <v>30061.7606837606</v>
      </c>
      <c r="P43">
        <v>90689.230769230693</v>
      </c>
      <c r="Q43">
        <v>8735.7614973588807</v>
      </c>
      <c r="R43">
        <v>41114.274319903503</v>
      </c>
      <c r="S43">
        <v>49850.035817262396</v>
      </c>
      <c r="T43">
        <v>54207.7606837606</v>
      </c>
      <c r="U43">
        <v>184372.93325315899</v>
      </c>
      <c r="V43">
        <v>238580.69393692</v>
      </c>
      <c r="W43">
        <v>31019.306063079399</v>
      </c>
      <c r="X43">
        <v>40</v>
      </c>
      <c r="Y43">
        <v>72438</v>
      </c>
      <c r="Z43">
        <v>131501</v>
      </c>
      <c r="AA43">
        <v>43535</v>
      </c>
      <c r="AB43">
        <v>15178</v>
      </c>
      <c r="AC43">
        <v>265266</v>
      </c>
      <c r="AD43">
        <v>2891983</v>
      </c>
      <c r="AE43">
        <v>676344</v>
      </c>
    </row>
    <row r="44" spans="1:31" x14ac:dyDescent="0.45">
      <c r="A44" t="s">
        <v>119</v>
      </c>
      <c r="B44" t="s">
        <v>120</v>
      </c>
      <c r="C44" t="s">
        <v>121</v>
      </c>
      <c r="D44" t="s">
        <v>122</v>
      </c>
      <c r="E44" t="s">
        <v>146</v>
      </c>
      <c r="F44" t="s">
        <v>143</v>
      </c>
      <c r="G44" t="s">
        <v>144</v>
      </c>
      <c r="H44" t="s">
        <v>128</v>
      </c>
      <c r="I44" t="s">
        <v>129</v>
      </c>
      <c r="J44">
        <v>39</v>
      </c>
      <c r="K44">
        <v>2</v>
      </c>
      <c r="L44">
        <v>259350</v>
      </c>
      <c r="M44">
        <v>24146</v>
      </c>
      <c r="N44">
        <v>43833.666666666599</v>
      </c>
      <c r="O44">
        <v>14511.666666666601</v>
      </c>
      <c r="P44">
        <v>88422</v>
      </c>
      <c r="Q44">
        <v>8517.3674599249098</v>
      </c>
      <c r="R44">
        <v>40086.417461905898</v>
      </c>
      <c r="S44">
        <v>48603.784921830797</v>
      </c>
      <c r="T44">
        <v>38657.666666666599</v>
      </c>
      <c r="U44">
        <v>180859.451588497</v>
      </c>
      <c r="V44">
        <v>219517.11825516401</v>
      </c>
      <c r="W44">
        <v>39832.881744835802</v>
      </c>
      <c r="X44">
        <v>0</v>
      </c>
      <c r="Y44">
        <v>72438</v>
      </c>
      <c r="Z44">
        <v>131501</v>
      </c>
      <c r="AA44">
        <v>43535</v>
      </c>
      <c r="AB44">
        <v>15178</v>
      </c>
      <c r="AC44">
        <v>265266</v>
      </c>
      <c r="AD44">
        <v>2891983</v>
      </c>
      <c r="AE44">
        <v>676344</v>
      </c>
    </row>
    <row r="45" spans="1:31" x14ac:dyDescent="0.45">
      <c r="A45" t="s">
        <v>119</v>
      </c>
      <c r="B45" t="s">
        <v>120</v>
      </c>
      <c r="C45" t="s">
        <v>121</v>
      </c>
      <c r="D45" t="s">
        <v>122</v>
      </c>
      <c r="E45" t="s">
        <v>146</v>
      </c>
      <c r="F45" t="s">
        <v>143</v>
      </c>
      <c r="G45" t="s">
        <v>144</v>
      </c>
      <c r="H45" t="s">
        <v>130</v>
      </c>
      <c r="I45" t="s">
        <v>129</v>
      </c>
      <c r="J45">
        <v>38</v>
      </c>
      <c r="K45">
        <v>2</v>
      </c>
      <c r="L45">
        <v>252700</v>
      </c>
      <c r="M45">
        <v>24146</v>
      </c>
      <c r="N45">
        <v>43833.666666666599</v>
      </c>
      <c r="O45">
        <v>14139.572649572599</v>
      </c>
      <c r="P45">
        <v>86154.769230769205</v>
      </c>
      <c r="Q45">
        <v>8298.9734224909407</v>
      </c>
      <c r="R45">
        <v>39058.5606039083</v>
      </c>
      <c r="S45">
        <v>47357.534026399298</v>
      </c>
      <c r="T45">
        <v>38285.572649572598</v>
      </c>
      <c r="U45">
        <v>177345.96992383499</v>
      </c>
      <c r="V45">
        <v>215631.542573407</v>
      </c>
      <c r="W45">
        <v>37068.457426592096</v>
      </c>
      <c r="X45">
        <v>0</v>
      </c>
      <c r="Y45">
        <v>72438</v>
      </c>
      <c r="Z45">
        <v>131501</v>
      </c>
      <c r="AA45">
        <v>43535</v>
      </c>
      <c r="AB45">
        <v>15178</v>
      </c>
      <c r="AC45">
        <v>265266</v>
      </c>
      <c r="AD45">
        <v>2891983</v>
      </c>
      <c r="AE45">
        <v>676344</v>
      </c>
    </row>
    <row r="46" spans="1:31" x14ac:dyDescent="0.45">
      <c r="A46" t="s">
        <v>119</v>
      </c>
      <c r="B46" t="s">
        <v>120</v>
      </c>
      <c r="C46" t="s">
        <v>121</v>
      </c>
      <c r="D46" t="s">
        <v>122</v>
      </c>
      <c r="E46" t="s">
        <v>147</v>
      </c>
      <c r="F46" t="s">
        <v>148</v>
      </c>
      <c r="G46" t="s">
        <v>149</v>
      </c>
      <c r="H46" t="s">
        <v>150</v>
      </c>
      <c r="I46" t="s">
        <v>129</v>
      </c>
      <c r="J46">
        <v>46</v>
      </c>
      <c r="K46">
        <v>2</v>
      </c>
      <c r="L46">
        <v>293940</v>
      </c>
      <c r="M46">
        <v>28647.5</v>
      </c>
      <c r="N46">
        <v>66189.449152542307</v>
      </c>
      <c r="O46">
        <v>35422.549450549399</v>
      </c>
      <c r="P46">
        <v>125548.153846153</v>
      </c>
      <c r="Q46">
        <v>10599.1258807821</v>
      </c>
      <c r="R46">
        <v>51868.487994224699</v>
      </c>
      <c r="S46">
        <v>62467.613875006798</v>
      </c>
      <c r="T46">
        <v>64070.049450549399</v>
      </c>
      <c r="U46">
        <v>254205.216873703</v>
      </c>
      <c r="V46">
        <v>318275.26632425201</v>
      </c>
      <c r="W46">
        <v>-24335.266324252399</v>
      </c>
      <c r="X46">
        <v>46</v>
      </c>
      <c r="Y46">
        <v>96583</v>
      </c>
      <c r="Z46">
        <v>223153</v>
      </c>
      <c r="AA46">
        <v>67722</v>
      </c>
      <c r="AB46">
        <v>36612</v>
      </c>
      <c r="AC46">
        <v>496734</v>
      </c>
      <c r="AD46">
        <v>2891983</v>
      </c>
      <c r="AE46">
        <v>676344</v>
      </c>
    </row>
    <row r="47" spans="1:31" x14ac:dyDescent="0.45">
      <c r="A47" t="s">
        <v>119</v>
      </c>
      <c r="B47" t="s">
        <v>120</v>
      </c>
      <c r="C47" t="s">
        <v>121</v>
      </c>
      <c r="D47" t="s">
        <v>122</v>
      </c>
      <c r="E47" t="s">
        <v>147</v>
      </c>
      <c r="F47" t="s">
        <v>148</v>
      </c>
      <c r="G47" t="s">
        <v>149</v>
      </c>
      <c r="H47" t="s">
        <v>151</v>
      </c>
      <c r="I47" t="s">
        <v>129</v>
      </c>
      <c r="J47">
        <v>45</v>
      </c>
      <c r="K47">
        <v>2</v>
      </c>
      <c r="L47">
        <v>283500</v>
      </c>
      <c r="M47">
        <v>28647.5</v>
      </c>
      <c r="N47">
        <v>66189.449152542307</v>
      </c>
      <c r="O47">
        <v>16744.450549450499</v>
      </c>
      <c r="P47">
        <v>122818.846153846</v>
      </c>
      <c r="Q47">
        <v>10368.7101007651</v>
      </c>
      <c r="R47">
        <v>50740.912168263298</v>
      </c>
      <c r="S47">
        <v>61109.622269028398</v>
      </c>
      <c r="T47">
        <v>45391.950549450499</v>
      </c>
      <c r="U47">
        <v>250117.91757541601</v>
      </c>
      <c r="V47">
        <v>295509.86812486697</v>
      </c>
      <c r="W47">
        <v>-12009.8681248674</v>
      </c>
      <c r="X47">
        <v>0</v>
      </c>
      <c r="Y47">
        <v>96583</v>
      </c>
      <c r="Z47">
        <v>223153</v>
      </c>
      <c r="AA47">
        <v>67722</v>
      </c>
      <c r="AB47">
        <v>36612</v>
      </c>
      <c r="AC47">
        <v>496734</v>
      </c>
      <c r="AD47">
        <v>2891983</v>
      </c>
      <c r="AE47">
        <v>676344</v>
      </c>
    </row>
    <row r="48" spans="1:31" x14ac:dyDescent="0.45">
      <c r="A48" t="s">
        <v>119</v>
      </c>
      <c r="B48" t="s">
        <v>120</v>
      </c>
      <c r="C48" t="s">
        <v>121</v>
      </c>
      <c r="D48" t="s">
        <v>122</v>
      </c>
      <c r="E48" t="s">
        <v>147</v>
      </c>
      <c r="F48" t="s">
        <v>148</v>
      </c>
      <c r="G48" t="s">
        <v>152</v>
      </c>
      <c r="H48" t="s">
        <v>126</v>
      </c>
      <c r="I48" t="s">
        <v>129</v>
      </c>
      <c r="J48">
        <v>46</v>
      </c>
      <c r="K48">
        <v>2</v>
      </c>
      <c r="L48">
        <v>342240</v>
      </c>
      <c r="M48">
        <v>19644</v>
      </c>
      <c r="N48">
        <v>45387.050847457598</v>
      </c>
      <c r="O48">
        <v>35422.549450549399</v>
      </c>
      <c r="P48">
        <v>125548.153846153</v>
      </c>
      <c r="Q48">
        <v>10599.1258807821</v>
      </c>
      <c r="R48">
        <v>51868.487994224699</v>
      </c>
      <c r="S48">
        <v>62467.613875006798</v>
      </c>
      <c r="T48">
        <v>55066.549450549399</v>
      </c>
      <c r="U48">
        <v>233402.81856861801</v>
      </c>
      <c r="V48">
        <v>288469.36801916698</v>
      </c>
      <c r="W48">
        <v>53770.6319808322</v>
      </c>
      <c r="X48">
        <v>46</v>
      </c>
      <c r="Y48">
        <v>96583</v>
      </c>
      <c r="Z48">
        <v>223153</v>
      </c>
      <c r="AA48">
        <v>67722</v>
      </c>
      <c r="AB48">
        <v>36612</v>
      </c>
      <c r="AC48">
        <v>496734</v>
      </c>
      <c r="AD48">
        <v>2891983</v>
      </c>
      <c r="AE48">
        <v>676344</v>
      </c>
    </row>
    <row r="49" spans="1:31" x14ac:dyDescent="0.45">
      <c r="A49" t="s">
        <v>119</v>
      </c>
      <c r="B49" t="s">
        <v>120</v>
      </c>
      <c r="C49" t="s">
        <v>121</v>
      </c>
      <c r="D49" t="s">
        <v>122</v>
      </c>
      <c r="E49" t="s">
        <v>147</v>
      </c>
      <c r="F49" t="s">
        <v>148</v>
      </c>
      <c r="G49" t="s">
        <v>152</v>
      </c>
      <c r="H49" t="s">
        <v>130</v>
      </c>
      <c r="I49" t="s">
        <v>129</v>
      </c>
      <c r="J49">
        <v>45</v>
      </c>
      <c r="K49">
        <v>2</v>
      </c>
      <c r="L49">
        <v>330750</v>
      </c>
      <c r="M49">
        <v>19644</v>
      </c>
      <c r="N49">
        <v>45387.050847457598</v>
      </c>
      <c r="O49">
        <v>16744.450549450499</v>
      </c>
      <c r="P49">
        <v>122818.846153846</v>
      </c>
      <c r="Q49">
        <v>10368.7101007651</v>
      </c>
      <c r="R49">
        <v>50740.912168263298</v>
      </c>
      <c r="S49">
        <v>61109.622269028398</v>
      </c>
      <c r="T49">
        <v>36388.450549450499</v>
      </c>
      <c r="U49">
        <v>229315.51927033201</v>
      </c>
      <c r="V49">
        <v>265703.96981978201</v>
      </c>
      <c r="W49">
        <v>65046.030180217203</v>
      </c>
      <c r="X49">
        <v>0</v>
      </c>
      <c r="Y49">
        <v>96583</v>
      </c>
      <c r="Z49">
        <v>223153</v>
      </c>
      <c r="AA49">
        <v>67722</v>
      </c>
      <c r="AB49">
        <v>36612</v>
      </c>
      <c r="AC49">
        <v>496734</v>
      </c>
      <c r="AD49">
        <v>2891983</v>
      </c>
      <c r="AE49">
        <v>676344</v>
      </c>
    </row>
    <row r="50" spans="1:31" x14ac:dyDescent="0.45">
      <c r="A50" t="s">
        <v>119</v>
      </c>
      <c r="B50" t="s">
        <v>120</v>
      </c>
      <c r="C50" t="s">
        <v>121</v>
      </c>
      <c r="D50" t="s">
        <v>122</v>
      </c>
      <c r="E50" t="s">
        <v>153</v>
      </c>
      <c r="F50" t="s">
        <v>148</v>
      </c>
      <c r="G50" t="s">
        <v>149</v>
      </c>
      <c r="H50" t="s">
        <v>150</v>
      </c>
      <c r="I50" t="s">
        <v>129</v>
      </c>
      <c r="J50">
        <v>36</v>
      </c>
      <c r="K50">
        <v>2</v>
      </c>
      <c r="L50">
        <v>212760</v>
      </c>
      <c r="M50">
        <v>28647.5</v>
      </c>
      <c r="N50">
        <v>62052.627118643999</v>
      </c>
      <c r="O50">
        <v>24379.549295774599</v>
      </c>
      <c r="P50">
        <v>101027.66197183001</v>
      </c>
      <c r="Q50">
        <v>7667.3236029654299</v>
      </c>
      <c r="R50">
        <v>37521.252858155698</v>
      </c>
      <c r="S50">
        <v>45188.576461121098</v>
      </c>
      <c r="T50">
        <v>53027.049295774603</v>
      </c>
      <c r="U50">
        <v>208268.86555159601</v>
      </c>
      <c r="V50">
        <v>261295.91484737</v>
      </c>
      <c r="W50">
        <v>-48535.914847370797</v>
      </c>
      <c r="X50">
        <v>36</v>
      </c>
      <c r="Y50">
        <v>96583</v>
      </c>
      <c r="Z50">
        <v>209206</v>
      </c>
      <c r="AA50">
        <v>52838</v>
      </c>
      <c r="AB50">
        <v>21968</v>
      </c>
      <c r="AC50">
        <v>398498</v>
      </c>
      <c r="AD50">
        <v>2891983</v>
      </c>
      <c r="AE50">
        <v>676344</v>
      </c>
    </row>
    <row r="51" spans="1:31" x14ac:dyDescent="0.45">
      <c r="A51" t="s">
        <v>119</v>
      </c>
      <c r="B51" t="s">
        <v>120</v>
      </c>
      <c r="C51" t="s">
        <v>121</v>
      </c>
      <c r="D51" t="s">
        <v>122</v>
      </c>
      <c r="E51" t="s">
        <v>153</v>
      </c>
      <c r="F51" t="s">
        <v>148</v>
      </c>
      <c r="G51" t="s">
        <v>149</v>
      </c>
      <c r="H51" t="s">
        <v>151</v>
      </c>
      <c r="I51" t="s">
        <v>129</v>
      </c>
      <c r="J51">
        <v>35</v>
      </c>
      <c r="K51">
        <v>2</v>
      </c>
      <c r="L51">
        <v>203700</v>
      </c>
      <c r="M51">
        <v>28647.5</v>
      </c>
      <c r="N51">
        <v>62052.627118643999</v>
      </c>
      <c r="O51">
        <v>13023.450704225301</v>
      </c>
      <c r="P51">
        <v>98221.338028169004</v>
      </c>
      <c r="Q51">
        <v>7454.3423917719401</v>
      </c>
      <c r="R51">
        <v>36478.995834317997</v>
      </c>
      <c r="S51">
        <v>43933.338226090003</v>
      </c>
      <c r="T51">
        <v>41670.950704225303</v>
      </c>
      <c r="U51">
        <v>204207.303372903</v>
      </c>
      <c r="V51">
        <v>245878.25407712799</v>
      </c>
      <c r="W51">
        <v>-42178.254077128397</v>
      </c>
      <c r="X51">
        <v>0</v>
      </c>
      <c r="Y51">
        <v>96583</v>
      </c>
      <c r="Z51">
        <v>209206</v>
      </c>
      <c r="AA51">
        <v>52838</v>
      </c>
      <c r="AB51">
        <v>21968</v>
      </c>
      <c r="AC51">
        <v>398498</v>
      </c>
      <c r="AD51">
        <v>2891983</v>
      </c>
      <c r="AE51">
        <v>676344</v>
      </c>
    </row>
    <row r="52" spans="1:31" x14ac:dyDescent="0.45">
      <c r="A52" t="s">
        <v>119</v>
      </c>
      <c r="B52" t="s">
        <v>120</v>
      </c>
      <c r="C52" t="s">
        <v>121</v>
      </c>
      <c r="D52" t="s">
        <v>122</v>
      </c>
      <c r="E52" t="s">
        <v>153</v>
      </c>
      <c r="F52" t="s">
        <v>148</v>
      </c>
      <c r="G52" t="s">
        <v>152</v>
      </c>
      <c r="H52" t="s">
        <v>126</v>
      </c>
      <c r="I52" t="s">
        <v>129</v>
      </c>
      <c r="J52">
        <v>36</v>
      </c>
      <c r="K52">
        <v>2</v>
      </c>
      <c r="L52">
        <v>247680</v>
      </c>
      <c r="M52">
        <v>19644</v>
      </c>
      <c r="N52">
        <v>42550.372881355899</v>
      </c>
      <c r="O52">
        <v>24379.549295774599</v>
      </c>
      <c r="P52">
        <v>101027.66197183001</v>
      </c>
      <c r="Q52">
        <v>7667.3236029654299</v>
      </c>
      <c r="R52">
        <v>37521.252858155698</v>
      </c>
      <c r="S52">
        <v>45188.576461121098</v>
      </c>
      <c r="T52">
        <v>44023.549295774603</v>
      </c>
      <c r="U52">
        <v>188766.61131430799</v>
      </c>
      <c r="V52">
        <v>232790.16061008201</v>
      </c>
      <c r="W52">
        <v>14889.839389917201</v>
      </c>
      <c r="X52">
        <v>36</v>
      </c>
      <c r="Y52">
        <v>96583</v>
      </c>
      <c r="Z52">
        <v>209206</v>
      </c>
      <c r="AA52">
        <v>52838</v>
      </c>
      <c r="AB52">
        <v>21968</v>
      </c>
      <c r="AC52">
        <v>398498</v>
      </c>
      <c r="AD52">
        <v>2891983</v>
      </c>
      <c r="AE52">
        <v>676344</v>
      </c>
    </row>
    <row r="53" spans="1:31" x14ac:dyDescent="0.45">
      <c r="A53" t="s">
        <v>119</v>
      </c>
      <c r="B53" t="s">
        <v>120</v>
      </c>
      <c r="C53" t="s">
        <v>121</v>
      </c>
      <c r="D53" t="s">
        <v>122</v>
      </c>
      <c r="E53" t="s">
        <v>153</v>
      </c>
      <c r="F53" t="s">
        <v>148</v>
      </c>
      <c r="G53" t="s">
        <v>152</v>
      </c>
      <c r="H53" t="s">
        <v>130</v>
      </c>
      <c r="I53" t="s">
        <v>129</v>
      </c>
      <c r="J53">
        <v>35</v>
      </c>
      <c r="K53">
        <v>2</v>
      </c>
      <c r="L53">
        <v>237650</v>
      </c>
      <c r="M53">
        <v>19644</v>
      </c>
      <c r="N53">
        <v>42550.372881355899</v>
      </c>
      <c r="O53">
        <v>13023.450704225301</v>
      </c>
      <c r="P53">
        <v>98221.338028169004</v>
      </c>
      <c r="Q53">
        <v>7454.3423917719401</v>
      </c>
      <c r="R53">
        <v>36478.995834317997</v>
      </c>
      <c r="S53">
        <v>43933.338226090003</v>
      </c>
      <c r="T53">
        <v>32667.450704225299</v>
      </c>
      <c r="U53">
        <v>184705.04913561401</v>
      </c>
      <c r="V53">
        <v>217372.49983983999</v>
      </c>
      <c r="W53">
        <v>20277.500160159601</v>
      </c>
      <c r="X53">
        <v>0</v>
      </c>
      <c r="Y53">
        <v>96583</v>
      </c>
      <c r="Z53">
        <v>209206</v>
      </c>
      <c r="AA53">
        <v>52838</v>
      </c>
      <c r="AB53">
        <v>21968</v>
      </c>
      <c r="AC53">
        <v>398498</v>
      </c>
      <c r="AD53">
        <v>2891983</v>
      </c>
      <c r="AE53">
        <v>676344</v>
      </c>
    </row>
    <row r="54" spans="1:31" x14ac:dyDescent="0.45">
      <c r="A54" t="s">
        <v>119</v>
      </c>
      <c r="B54" t="s">
        <v>120</v>
      </c>
      <c r="C54" t="s">
        <v>121</v>
      </c>
      <c r="D54" t="s">
        <v>122</v>
      </c>
      <c r="E54" t="s">
        <v>154</v>
      </c>
      <c r="F54" t="s">
        <v>155</v>
      </c>
      <c r="G54" t="s">
        <v>156</v>
      </c>
      <c r="H54" t="s">
        <v>126</v>
      </c>
      <c r="I54" t="s">
        <v>129</v>
      </c>
      <c r="J54">
        <v>47</v>
      </c>
      <c r="K54">
        <v>2</v>
      </c>
      <c r="L54">
        <v>372710</v>
      </c>
      <c r="M54">
        <v>24146</v>
      </c>
      <c r="N54">
        <v>80693.666666666599</v>
      </c>
      <c r="O54">
        <v>47728.4275362318</v>
      </c>
      <c r="P54">
        <v>184851</v>
      </c>
      <c r="Q54">
        <v>10778.2149690114</v>
      </c>
      <c r="R54">
        <v>50262.776184515496</v>
      </c>
      <c r="S54">
        <v>61040.991153526898</v>
      </c>
      <c r="T54">
        <v>71874.4275362318</v>
      </c>
      <c r="U54">
        <v>326585.65782019298</v>
      </c>
      <c r="V54">
        <v>398460.08535642503</v>
      </c>
      <c r="W54">
        <v>-25750.085356425399</v>
      </c>
      <c r="X54">
        <v>47</v>
      </c>
      <c r="Y54">
        <v>72438</v>
      </c>
      <c r="Z54">
        <v>242081</v>
      </c>
      <c r="AA54">
        <v>51349</v>
      </c>
      <c r="AB54">
        <v>30240</v>
      </c>
      <c r="AC54">
        <v>542754</v>
      </c>
      <c r="AD54">
        <v>2891983</v>
      </c>
      <c r="AE54">
        <v>676344</v>
      </c>
    </row>
    <row r="55" spans="1:31" x14ac:dyDescent="0.45">
      <c r="A55" t="s">
        <v>119</v>
      </c>
      <c r="B55" t="s">
        <v>120</v>
      </c>
      <c r="C55" t="s">
        <v>121</v>
      </c>
      <c r="D55" t="s">
        <v>122</v>
      </c>
      <c r="E55" t="s">
        <v>154</v>
      </c>
      <c r="F55" t="s">
        <v>155</v>
      </c>
      <c r="G55" t="s">
        <v>156</v>
      </c>
      <c r="H55" t="s">
        <v>128</v>
      </c>
      <c r="I55" t="s">
        <v>129</v>
      </c>
      <c r="J55">
        <v>46</v>
      </c>
      <c r="K55">
        <v>2</v>
      </c>
      <c r="L55">
        <v>360640</v>
      </c>
      <c r="M55">
        <v>24146</v>
      </c>
      <c r="N55">
        <v>80693.666666666599</v>
      </c>
      <c r="O55">
        <v>17116.333333333299</v>
      </c>
      <c r="P55">
        <v>180918</v>
      </c>
      <c r="Q55">
        <v>10548.891246266499</v>
      </c>
      <c r="R55">
        <v>49193.355414632097</v>
      </c>
      <c r="S55">
        <v>59742.246660898702</v>
      </c>
      <c r="T55">
        <v>41262.333333333299</v>
      </c>
      <c r="U55">
        <v>321353.91332756501</v>
      </c>
      <c r="V55">
        <v>362616.24666089797</v>
      </c>
      <c r="W55">
        <v>-1976.2466608987299</v>
      </c>
      <c r="X55">
        <v>0</v>
      </c>
      <c r="Y55">
        <v>72438</v>
      </c>
      <c r="Z55">
        <v>242081</v>
      </c>
      <c r="AA55">
        <v>51349</v>
      </c>
      <c r="AB55">
        <v>30240</v>
      </c>
      <c r="AC55">
        <v>542754</v>
      </c>
      <c r="AD55">
        <v>2891983</v>
      </c>
      <c r="AE55">
        <v>676344</v>
      </c>
    </row>
    <row r="56" spans="1:31" x14ac:dyDescent="0.45">
      <c r="A56" t="s">
        <v>119</v>
      </c>
      <c r="B56" t="s">
        <v>120</v>
      </c>
      <c r="C56" t="s">
        <v>121</v>
      </c>
      <c r="D56" t="s">
        <v>122</v>
      </c>
      <c r="E56" t="s">
        <v>154</v>
      </c>
      <c r="F56" t="s">
        <v>155</v>
      </c>
      <c r="G56" t="s">
        <v>156</v>
      </c>
      <c r="H56" t="s">
        <v>130</v>
      </c>
      <c r="I56" t="s">
        <v>129</v>
      </c>
      <c r="J56">
        <v>45</v>
      </c>
      <c r="K56">
        <v>2</v>
      </c>
      <c r="L56">
        <v>352800</v>
      </c>
      <c r="M56">
        <v>24146</v>
      </c>
      <c r="N56">
        <v>80693.666666666599</v>
      </c>
      <c r="O56">
        <v>16744.2391304347</v>
      </c>
      <c r="P56">
        <v>176985</v>
      </c>
      <c r="Q56">
        <v>10319.5675235216</v>
      </c>
      <c r="R56">
        <v>48123.934644748799</v>
      </c>
      <c r="S56">
        <v>58443.502168270403</v>
      </c>
      <c r="T56">
        <v>40890.239130434697</v>
      </c>
      <c r="U56">
        <v>316122.16883493698</v>
      </c>
      <c r="V56">
        <v>357012.40796537098</v>
      </c>
      <c r="W56">
        <v>-4212.4079653719</v>
      </c>
      <c r="X56">
        <v>0</v>
      </c>
      <c r="Y56">
        <v>72438</v>
      </c>
      <c r="Z56">
        <v>242081</v>
      </c>
      <c r="AA56">
        <v>51349</v>
      </c>
      <c r="AB56">
        <v>30240</v>
      </c>
      <c r="AC56">
        <v>542754</v>
      </c>
      <c r="AD56">
        <v>2891983</v>
      </c>
      <c r="AE56">
        <v>676344</v>
      </c>
    </row>
    <row r="57" spans="1:31" x14ac:dyDescent="0.45">
      <c r="A57" t="s">
        <v>119</v>
      </c>
      <c r="B57" t="s">
        <v>120</v>
      </c>
      <c r="C57" t="s">
        <v>121</v>
      </c>
      <c r="D57" t="s">
        <v>122</v>
      </c>
      <c r="E57" t="s">
        <v>157</v>
      </c>
      <c r="F57" t="s">
        <v>155</v>
      </c>
      <c r="G57" t="s">
        <v>156</v>
      </c>
      <c r="H57" t="s">
        <v>126</v>
      </c>
      <c r="I57" t="s">
        <v>129</v>
      </c>
      <c r="J57">
        <v>40</v>
      </c>
      <c r="K57">
        <v>2</v>
      </c>
      <c r="L57">
        <v>297600</v>
      </c>
      <c r="M57">
        <v>24146</v>
      </c>
      <c r="N57">
        <v>55788</v>
      </c>
      <c r="O57">
        <v>33733.7606837606</v>
      </c>
      <c r="P57">
        <v>115422.56410256401</v>
      </c>
      <c r="Q57">
        <v>8602.0087754923206</v>
      </c>
      <c r="R57">
        <v>40114.327192665303</v>
      </c>
      <c r="S57">
        <v>48716.335968157597</v>
      </c>
      <c r="T57">
        <v>57879.7606837606</v>
      </c>
      <c r="U57">
        <v>219926.90007072099</v>
      </c>
      <c r="V57">
        <v>277806.66075448203</v>
      </c>
      <c r="W57">
        <v>19793.339245517502</v>
      </c>
      <c r="X57">
        <v>40</v>
      </c>
      <c r="Y57">
        <v>72438</v>
      </c>
      <c r="Z57">
        <v>167364</v>
      </c>
      <c r="AA57">
        <v>43535</v>
      </c>
      <c r="AB57">
        <v>18850</v>
      </c>
      <c r="AC57">
        <v>337611</v>
      </c>
      <c r="AD57">
        <v>2891983</v>
      </c>
      <c r="AE57">
        <v>676344</v>
      </c>
    </row>
    <row r="58" spans="1:31" x14ac:dyDescent="0.45">
      <c r="A58" t="s">
        <v>119</v>
      </c>
      <c r="B58" t="s">
        <v>120</v>
      </c>
      <c r="C58" t="s">
        <v>121</v>
      </c>
      <c r="D58" t="s">
        <v>122</v>
      </c>
      <c r="E58" t="s">
        <v>157</v>
      </c>
      <c r="F58" t="s">
        <v>155</v>
      </c>
      <c r="G58" t="s">
        <v>156</v>
      </c>
      <c r="H58" t="s">
        <v>128</v>
      </c>
      <c r="I58" t="s">
        <v>129</v>
      </c>
      <c r="J58">
        <v>39</v>
      </c>
      <c r="K58">
        <v>2</v>
      </c>
      <c r="L58">
        <v>286650</v>
      </c>
      <c r="M58">
        <v>24146</v>
      </c>
      <c r="N58">
        <v>55788</v>
      </c>
      <c r="O58">
        <v>14511.666666666601</v>
      </c>
      <c r="P58">
        <v>112537</v>
      </c>
      <c r="Q58">
        <v>8386.9585561050098</v>
      </c>
      <c r="R58">
        <v>39111.469012848698</v>
      </c>
      <c r="S58">
        <v>47498.427568953703</v>
      </c>
      <c r="T58">
        <v>38657.666666666599</v>
      </c>
      <c r="U58">
        <v>215823.42756895299</v>
      </c>
      <c r="V58">
        <v>254481.09423562</v>
      </c>
      <c r="W58">
        <v>32168.9057643796</v>
      </c>
      <c r="X58">
        <v>0</v>
      </c>
      <c r="Y58">
        <v>72438</v>
      </c>
      <c r="Z58">
        <v>167364</v>
      </c>
      <c r="AA58">
        <v>43535</v>
      </c>
      <c r="AB58">
        <v>18850</v>
      </c>
      <c r="AC58">
        <v>337611</v>
      </c>
      <c r="AD58">
        <v>2891983</v>
      </c>
      <c r="AE58">
        <v>676344</v>
      </c>
    </row>
    <row r="59" spans="1:31" x14ac:dyDescent="0.45">
      <c r="A59" t="s">
        <v>119</v>
      </c>
      <c r="B59" t="s">
        <v>120</v>
      </c>
      <c r="C59" t="s">
        <v>121</v>
      </c>
      <c r="D59" t="s">
        <v>122</v>
      </c>
      <c r="E59" t="s">
        <v>157</v>
      </c>
      <c r="F59" t="s">
        <v>155</v>
      </c>
      <c r="G59" t="s">
        <v>156</v>
      </c>
      <c r="H59" t="s">
        <v>130</v>
      </c>
      <c r="I59" t="s">
        <v>129</v>
      </c>
      <c r="J59">
        <v>38</v>
      </c>
      <c r="K59">
        <v>2</v>
      </c>
      <c r="L59">
        <v>279300</v>
      </c>
      <c r="M59">
        <v>24146</v>
      </c>
      <c r="N59">
        <v>55788</v>
      </c>
      <c r="O59">
        <v>14139.572649572599</v>
      </c>
      <c r="P59">
        <v>109651.435897435</v>
      </c>
      <c r="Q59">
        <v>8171.9083367177</v>
      </c>
      <c r="R59">
        <v>38108.610833031998</v>
      </c>
      <c r="S59">
        <v>46280.519169749699</v>
      </c>
      <c r="T59">
        <v>38285.572649572598</v>
      </c>
      <c r="U59">
        <v>211719.95506718499</v>
      </c>
      <c r="V59">
        <v>250005.52771675799</v>
      </c>
      <c r="W59">
        <v>29294.472283241601</v>
      </c>
      <c r="X59">
        <v>0</v>
      </c>
      <c r="Y59">
        <v>72438</v>
      </c>
      <c r="Z59">
        <v>167364</v>
      </c>
      <c r="AA59">
        <v>43535</v>
      </c>
      <c r="AB59">
        <v>18850</v>
      </c>
      <c r="AC59">
        <v>337611</v>
      </c>
      <c r="AD59">
        <v>2891983</v>
      </c>
      <c r="AE59">
        <v>676344</v>
      </c>
    </row>
    <row r="60" spans="1:31" x14ac:dyDescent="0.45">
      <c r="A60" t="s">
        <v>119</v>
      </c>
      <c r="B60" t="s">
        <v>120</v>
      </c>
      <c r="C60" t="s">
        <v>121</v>
      </c>
      <c r="D60" t="s">
        <v>158</v>
      </c>
      <c r="E60" t="s">
        <v>123</v>
      </c>
      <c r="F60" t="s">
        <v>124</v>
      </c>
      <c r="G60" t="s">
        <v>125</v>
      </c>
      <c r="H60" t="s">
        <v>126</v>
      </c>
      <c r="I60" t="s">
        <v>127</v>
      </c>
      <c r="J60">
        <v>74</v>
      </c>
      <c r="K60">
        <v>3</v>
      </c>
      <c r="L60">
        <v>628260</v>
      </c>
      <c r="M60">
        <v>43211</v>
      </c>
      <c r="N60">
        <v>144407.5</v>
      </c>
      <c r="O60">
        <v>58773.624309392202</v>
      </c>
      <c r="P60">
        <v>283445.961325966</v>
      </c>
      <c r="Q60">
        <v>16100.870430941501</v>
      </c>
      <c r="R60">
        <v>70923.940345153504</v>
      </c>
      <c r="S60">
        <v>87024.810776095095</v>
      </c>
      <c r="T60">
        <v>101984.62430939201</v>
      </c>
      <c r="U60">
        <v>514878.27210206102</v>
      </c>
      <c r="V60">
        <v>616862.89641145396</v>
      </c>
      <c r="W60">
        <v>11397.1035885456</v>
      </c>
      <c r="X60">
        <v>74</v>
      </c>
      <c r="Y60">
        <v>172844</v>
      </c>
      <c r="Z60">
        <v>577630</v>
      </c>
      <c r="AA60">
        <v>135665</v>
      </c>
      <c r="AB60">
        <v>62082</v>
      </c>
      <c r="AC60">
        <v>1386587</v>
      </c>
      <c r="AD60">
        <v>2760232</v>
      </c>
      <c r="AE60">
        <v>580167</v>
      </c>
    </row>
    <row r="61" spans="1:31" x14ac:dyDescent="0.45">
      <c r="A61" t="s">
        <v>119</v>
      </c>
      <c r="B61" t="s">
        <v>120</v>
      </c>
      <c r="C61" t="s">
        <v>121</v>
      </c>
      <c r="D61" t="s">
        <v>158</v>
      </c>
      <c r="E61" t="s">
        <v>123</v>
      </c>
      <c r="F61" t="s">
        <v>124</v>
      </c>
      <c r="G61" t="s">
        <v>125</v>
      </c>
      <c r="H61" t="s">
        <v>128</v>
      </c>
      <c r="I61" t="s">
        <v>129</v>
      </c>
      <c r="J61">
        <v>72</v>
      </c>
      <c r="K61">
        <v>3</v>
      </c>
      <c r="L61">
        <v>564480</v>
      </c>
      <c r="M61">
        <v>34568.800000000003</v>
      </c>
      <c r="N61">
        <v>115526</v>
      </c>
      <c r="O61">
        <v>26983.0939226519</v>
      </c>
      <c r="P61">
        <v>275785.25966850802</v>
      </c>
      <c r="Q61">
        <v>15665.711770645799</v>
      </c>
      <c r="R61">
        <v>69007.077092581807</v>
      </c>
      <c r="S61">
        <v>84672.788863227601</v>
      </c>
      <c r="T61">
        <v>61551.8939226519</v>
      </c>
      <c r="U61">
        <v>475984.04853173502</v>
      </c>
      <c r="V61">
        <v>537535.94245438697</v>
      </c>
      <c r="W61">
        <v>26944.057545612101</v>
      </c>
      <c r="X61">
        <v>0</v>
      </c>
      <c r="Y61">
        <v>172844</v>
      </c>
      <c r="Z61">
        <v>577630</v>
      </c>
      <c r="AA61">
        <v>135665</v>
      </c>
      <c r="AB61">
        <v>62082</v>
      </c>
      <c r="AC61">
        <v>1386587</v>
      </c>
      <c r="AD61">
        <v>2760232</v>
      </c>
      <c r="AE61">
        <v>580167</v>
      </c>
    </row>
    <row r="62" spans="1:31" x14ac:dyDescent="0.45">
      <c r="A62" t="s">
        <v>119</v>
      </c>
      <c r="B62" t="s">
        <v>120</v>
      </c>
      <c r="C62" t="s">
        <v>121</v>
      </c>
      <c r="D62" t="s">
        <v>158</v>
      </c>
      <c r="E62" t="s">
        <v>123</v>
      </c>
      <c r="F62" t="s">
        <v>124</v>
      </c>
      <c r="G62" t="s">
        <v>125</v>
      </c>
      <c r="H62" t="s">
        <v>130</v>
      </c>
      <c r="I62" t="s">
        <v>129</v>
      </c>
      <c r="J62">
        <v>70</v>
      </c>
      <c r="K62">
        <v>3</v>
      </c>
      <c r="L62">
        <v>548800</v>
      </c>
      <c r="M62">
        <v>34568.800000000003</v>
      </c>
      <c r="N62">
        <v>115526</v>
      </c>
      <c r="O62">
        <v>26233.563535911599</v>
      </c>
      <c r="P62">
        <v>268124.558011049</v>
      </c>
      <c r="Q62">
        <v>15230.55311035</v>
      </c>
      <c r="R62">
        <v>67090.213840010096</v>
      </c>
      <c r="S62">
        <v>82320.766950360194</v>
      </c>
      <c r="T62">
        <v>60802.363535911602</v>
      </c>
      <c r="U62">
        <v>465971.32496141002</v>
      </c>
      <c r="V62">
        <v>526773.68849732098</v>
      </c>
      <c r="W62">
        <v>22026.3115026784</v>
      </c>
      <c r="X62">
        <v>0</v>
      </c>
      <c r="Y62">
        <v>172844</v>
      </c>
      <c r="Z62">
        <v>577630</v>
      </c>
      <c r="AA62">
        <v>135665</v>
      </c>
      <c r="AB62">
        <v>62082</v>
      </c>
      <c r="AC62">
        <v>1386587</v>
      </c>
      <c r="AD62">
        <v>2760232</v>
      </c>
      <c r="AE62">
        <v>580167</v>
      </c>
    </row>
    <row r="63" spans="1:31" x14ac:dyDescent="0.45">
      <c r="A63" t="s">
        <v>119</v>
      </c>
      <c r="B63" t="s">
        <v>120</v>
      </c>
      <c r="C63" t="s">
        <v>121</v>
      </c>
      <c r="D63" t="s">
        <v>158</v>
      </c>
      <c r="E63" t="s">
        <v>123</v>
      </c>
      <c r="F63" t="s">
        <v>124</v>
      </c>
      <c r="G63" t="s">
        <v>131</v>
      </c>
      <c r="H63" t="s">
        <v>132</v>
      </c>
      <c r="I63" t="s">
        <v>129</v>
      </c>
      <c r="J63">
        <v>74</v>
      </c>
      <c r="K63">
        <v>3</v>
      </c>
      <c r="L63">
        <v>628260</v>
      </c>
      <c r="M63">
        <v>30247.699999999899</v>
      </c>
      <c r="N63">
        <v>101085.25</v>
      </c>
      <c r="O63">
        <v>58773.624309392202</v>
      </c>
      <c r="P63">
        <v>283445.961325966</v>
      </c>
      <c r="Q63">
        <v>16100.870430941501</v>
      </c>
      <c r="R63">
        <v>70923.940345153504</v>
      </c>
      <c r="S63">
        <v>87024.810776095095</v>
      </c>
      <c r="T63">
        <v>89021.324309392206</v>
      </c>
      <c r="U63">
        <v>471556.02210206102</v>
      </c>
      <c r="V63">
        <v>560577.34641145403</v>
      </c>
      <c r="W63">
        <v>67682.653588545698</v>
      </c>
      <c r="X63">
        <v>74</v>
      </c>
      <c r="Y63">
        <v>172844</v>
      </c>
      <c r="Z63">
        <v>577630</v>
      </c>
      <c r="AA63">
        <v>135665</v>
      </c>
      <c r="AB63">
        <v>62082</v>
      </c>
      <c r="AC63">
        <v>1386587</v>
      </c>
      <c r="AD63">
        <v>2760232</v>
      </c>
      <c r="AE63">
        <v>580167</v>
      </c>
    </row>
    <row r="64" spans="1:31" x14ac:dyDescent="0.45">
      <c r="A64" t="s">
        <v>119</v>
      </c>
      <c r="B64" t="s">
        <v>120</v>
      </c>
      <c r="C64" t="s">
        <v>121</v>
      </c>
      <c r="D64" t="s">
        <v>158</v>
      </c>
      <c r="E64" t="s">
        <v>123</v>
      </c>
      <c r="F64" t="s">
        <v>124</v>
      </c>
      <c r="G64" t="s">
        <v>131</v>
      </c>
      <c r="H64" t="s">
        <v>133</v>
      </c>
      <c r="I64" t="s">
        <v>129</v>
      </c>
      <c r="J64">
        <v>72</v>
      </c>
      <c r="K64">
        <v>3</v>
      </c>
      <c r="L64">
        <v>604800</v>
      </c>
      <c r="M64">
        <v>30247.699999999899</v>
      </c>
      <c r="N64">
        <v>101085.25</v>
      </c>
      <c r="O64">
        <v>26983.0939226519</v>
      </c>
      <c r="P64">
        <v>275785.25966850802</v>
      </c>
      <c r="Q64">
        <v>15665.711770645799</v>
      </c>
      <c r="R64">
        <v>69007.077092581807</v>
      </c>
      <c r="S64">
        <v>84672.788863227601</v>
      </c>
      <c r="T64">
        <v>57230.793922651901</v>
      </c>
      <c r="U64">
        <v>461543.29853173502</v>
      </c>
      <c r="V64">
        <v>518774.09245438699</v>
      </c>
      <c r="W64">
        <v>86025.907545612106</v>
      </c>
      <c r="X64">
        <v>0</v>
      </c>
      <c r="Y64">
        <v>172844</v>
      </c>
      <c r="Z64">
        <v>577630</v>
      </c>
      <c r="AA64">
        <v>135665</v>
      </c>
      <c r="AB64">
        <v>62082</v>
      </c>
      <c r="AC64">
        <v>1386587</v>
      </c>
      <c r="AD64">
        <v>2760232</v>
      </c>
      <c r="AE64">
        <v>580167</v>
      </c>
    </row>
    <row r="65" spans="1:31" x14ac:dyDescent="0.45">
      <c r="A65" t="s">
        <v>119</v>
      </c>
      <c r="B65" t="s">
        <v>120</v>
      </c>
      <c r="C65" t="s">
        <v>121</v>
      </c>
      <c r="D65" t="s">
        <v>158</v>
      </c>
      <c r="E65" t="s">
        <v>134</v>
      </c>
      <c r="F65" t="s">
        <v>124</v>
      </c>
      <c r="G65" t="s">
        <v>125</v>
      </c>
      <c r="H65" t="s">
        <v>126</v>
      </c>
      <c r="I65" t="s">
        <v>127</v>
      </c>
      <c r="J65">
        <v>62</v>
      </c>
      <c r="K65">
        <v>3</v>
      </c>
      <c r="L65">
        <v>493830</v>
      </c>
      <c r="M65">
        <v>43210.961538461503</v>
      </c>
      <c r="N65">
        <v>99837.4038461538</v>
      </c>
      <c r="O65">
        <v>42460.111842105202</v>
      </c>
      <c r="P65">
        <v>166977.01315789399</v>
      </c>
      <c r="Q65">
        <v>12651.139220970699</v>
      </c>
      <c r="R65">
        <v>55727.958761909598</v>
      </c>
      <c r="S65">
        <v>68379.097982880296</v>
      </c>
      <c r="T65">
        <v>85671.073380566799</v>
      </c>
      <c r="U65">
        <v>335193.51498692902</v>
      </c>
      <c r="V65">
        <v>420864.58836749499</v>
      </c>
      <c r="W65">
        <v>72965.411632504198</v>
      </c>
      <c r="X65">
        <v>62</v>
      </c>
      <c r="Y65">
        <v>149798</v>
      </c>
      <c r="Z65">
        <v>346103</v>
      </c>
      <c r="AA65">
        <v>115067</v>
      </c>
      <c r="AB65">
        <v>37985</v>
      </c>
      <c r="AC65">
        <v>818726</v>
      </c>
      <c r="AD65">
        <v>2760232</v>
      </c>
      <c r="AE65">
        <v>580167</v>
      </c>
    </row>
    <row r="66" spans="1:31" x14ac:dyDescent="0.45">
      <c r="A66" t="s">
        <v>119</v>
      </c>
      <c r="B66" t="s">
        <v>120</v>
      </c>
      <c r="C66" t="s">
        <v>121</v>
      </c>
      <c r="D66" t="s">
        <v>158</v>
      </c>
      <c r="E66" t="s">
        <v>134</v>
      </c>
      <c r="F66" t="s">
        <v>124</v>
      </c>
      <c r="G66" t="s">
        <v>125</v>
      </c>
      <c r="H66" t="s">
        <v>128</v>
      </c>
      <c r="I66" t="s">
        <v>129</v>
      </c>
      <c r="J66">
        <v>60</v>
      </c>
      <c r="K66">
        <v>2</v>
      </c>
      <c r="L66">
        <v>441000</v>
      </c>
      <c r="M66">
        <v>23045.846153846102</v>
      </c>
      <c r="N66">
        <v>53246.615384615303</v>
      </c>
      <c r="O66">
        <v>22710.592105263098</v>
      </c>
      <c r="P66">
        <v>161590.65789473601</v>
      </c>
      <c r="Q66">
        <v>12243.0379557781</v>
      </c>
      <c r="R66">
        <v>53930.282672815702</v>
      </c>
      <c r="S66">
        <v>66173.320628593894</v>
      </c>
      <c r="T66">
        <v>45756.438259109302</v>
      </c>
      <c r="U66">
        <v>281010.59390794602</v>
      </c>
      <c r="V66">
        <v>326767.032167055</v>
      </c>
      <c r="W66">
        <v>114232.96783294401</v>
      </c>
      <c r="X66">
        <v>0</v>
      </c>
      <c r="Y66">
        <v>149798</v>
      </c>
      <c r="Z66">
        <v>346103</v>
      </c>
      <c r="AA66">
        <v>115067</v>
      </c>
      <c r="AB66">
        <v>37985</v>
      </c>
      <c r="AC66">
        <v>818726</v>
      </c>
      <c r="AD66">
        <v>2760232</v>
      </c>
      <c r="AE66">
        <v>580167</v>
      </c>
    </row>
    <row r="67" spans="1:31" x14ac:dyDescent="0.45">
      <c r="A67" t="s">
        <v>119</v>
      </c>
      <c r="B67" t="s">
        <v>120</v>
      </c>
      <c r="C67" t="s">
        <v>121</v>
      </c>
      <c r="D67" t="s">
        <v>158</v>
      </c>
      <c r="E67" t="s">
        <v>134</v>
      </c>
      <c r="F67" t="s">
        <v>124</v>
      </c>
      <c r="G67" t="s">
        <v>125</v>
      </c>
      <c r="H67" t="s">
        <v>130</v>
      </c>
      <c r="I67" t="s">
        <v>129</v>
      </c>
      <c r="J67">
        <v>59</v>
      </c>
      <c r="K67">
        <v>2</v>
      </c>
      <c r="L67">
        <v>433650</v>
      </c>
      <c r="M67">
        <v>23045.846153846102</v>
      </c>
      <c r="N67">
        <v>53246.615384615303</v>
      </c>
      <c r="O67">
        <v>22332.0822368421</v>
      </c>
      <c r="P67">
        <v>158897.48026315699</v>
      </c>
      <c r="Q67">
        <v>12038.9873231818</v>
      </c>
      <c r="R67">
        <v>53031.4446282688</v>
      </c>
      <c r="S67">
        <v>65070.431951450599</v>
      </c>
      <c r="T67">
        <v>45377.928390688197</v>
      </c>
      <c r="U67">
        <v>277214.52759922401</v>
      </c>
      <c r="V67">
        <v>322592.45598991198</v>
      </c>
      <c r="W67">
        <v>111057.544010087</v>
      </c>
      <c r="X67">
        <v>0</v>
      </c>
      <c r="Y67">
        <v>149798</v>
      </c>
      <c r="Z67">
        <v>346103</v>
      </c>
      <c r="AA67">
        <v>115067</v>
      </c>
      <c r="AB67">
        <v>37985</v>
      </c>
      <c r="AC67">
        <v>818726</v>
      </c>
      <c r="AD67">
        <v>2760232</v>
      </c>
      <c r="AE67">
        <v>580167</v>
      </c>
    </row>
    <row r="68" spans="1:31" x14ac:dyDescent="0.45">
      <c r="A68" t="s">
        <v>119</v>
      </c>
      <c r="B68" t="s">
        <v>120</v>
      </c>
      <c r="C68" t="s">
        <v>121</v>
      </c>
      <c r="D68" t="s">
        <v>158</v>
      </c>
      <c r="E68" t="s">
        <v>134</v>
      </c>
      <c r="F68" t="s">
        <v>124</v>
      </c>
      <c r="G68" t="s">
        <v>131</v>
      </c>
      <c r="H68" t="s">
        <v>132</v>
      </c>
      <c r="I68" t="s">
        <v>129</v>
      </c>
      <c r="J68">
        <v>62</v>
      </c>
      <c r="K68">
        <v>3</v>
      </c>
      <c r="L68">
        <v>493830</v>
      </c>
      <c r="M68">
        <v>30247.673076923002</v>
      </c>
      <c r="N68">
        <v>69886.182692307601</v>
      </c>
      <c r="O68">
        <v>42460.111842105202</v>
      </c>
      <c r="P68">
        <v>166977.01315789399</v>
      </c>
      <c r="Q68">
        <v>12651.139220970699</v>
      </c>
      <c r="R68">
        <v>55727.958761909598</v>
      </c>
      <c r="S68">
        <v>68379.097982880296</v>
      </c>
      <c r="T68">
        <v>72707.784919028301</v>
      </c>
      <c r="U68">
        <v>305242.29383308202</v>
      </c>
      <c r="V68">
        <v>377950.078752111</v>
      </c>
      <c r="W68">
        <v>115879.92124788801</v>
      </c>
      <c r="X68">
        <v>62</v>
      </c>
      <c r="Y68">
        <v>149798</v>
      </c>
      <c r="Z68">
        <v>346103</v>
      </c>
      <c r="AA68">
        <v>115067</v>
      </c>
      <c r="AB68">
        <v>37985</v>
      </c>
      <c r="AC68">
        <v>818726</v>
      </c>
      <c r="AD68">
        <v>2760232</v>
      </c>
      <c r="AE68">
        <v>580167</v>
      </c>
    </row>
    <row r="69" spans="1:31" x14ac:dyDescent="0.45">
      <c r="A69" t="s">
        <v>119</v>
      </c>
      <c r="B69" t="s">
        <v>120</v>
      </c>
      <c r="C69" t="s">
        <v>121</v>
      </c>
      <c r="D69" t="s">
        <v>158</v>
      </c>
      <c r="E69" t="s">
        <v>134</v>
      </c>
      <c r="F69" t="s">
        <v>124</v>
      </c>
      <c r="G69" t="s">
        <v>131</v>
      </c>
      <c r="H69" t="s">
        <v>133</v>
      </c>
      <c r="I69" t="s">
        <v>129</v>
      </c>
      <c r="J69">
        <v>61</v>
      </c>
      <c r="K69">
        <v>3</v>
      </c>
      <c r="L69">
        <v>480375</v>
      </c>
      <c r="M69">
        <v>30247.673076923002</v>
      </c>
      <c r="N69">
        <v>69886.182692307601</v>
      </c>
      <c r="O69">
        <v>23089.101973684199</v>
      </c>
      <c r="P69">
        <v>164283.835526315</v>
      </c>
      <c r="Q69">
        <v>12447.088588374399</v>
      </c>
      <c r="R69">
        <v>54829.120717362697</v>
      </c>
      <c r="S69">
        <v>67276.209305737095</v>
      </c>
      <c r="T69">
        <v>53336.775050607197</v>
      </c>
      <c r="U69">
        <v>301446.22752436</v>
      </c>
      <c r="V69">
        <v>354783.00257496699</v>
      </c>
      <c r="W69">
        <v>125591.99742503199</v>
      </c>
      <c r="X69">
        <v>0</v>
      </c>
      <c r="Y69">
        <v>149798</v>
      </c>
      <c r="Z69">
        <v>346103</v>
      </c>
      <c r="AA69">
        <v>115067</v>
      </c>
      <c r="AB69">
        <v>37985</v>
      </c>
      <c r="AC69">
        <v>818726</v>
      </c>
      <c r="AD69">
        <v>2760232</v>
      </c>
      <c r="AE69">
        <v>580167</v>
      </c>
    </row>
    <row r="70" spans="1:31" x14ac:dyDescent="0.45">
      <c r="A70" t="s">
        <v>119</v>
      </c>
      <c r="B70" t="s">
        <v>120</v>
      </c>
      <c r="C70" t="s">
        <v>121</v>
      </c>
      <c r="D70" t="s">
        <v>158</v>
      </c>
      <c r="E70" t="s">
        <v>135</v>
      </c>
      <c r="F70" t="s">
        <v>124</v>
      </c>
      <c r="G70" t="s">
        <v>125</v>
      </c>
      <c r="H70" t="s">
        <v>126</v>
      </c>
      <c r="I70" t="s">
        <v>127</v>
      </c>
      <c r="J70">
        <v>57</v>
      </c>
      <c r="K70">
        <v>2</v>
      </c>
      <c r="L70">
        <v>432630</v>
      </c>
      <c r="M70">
        <v>29420.2127659574</v>
      </c>
      <c r="N70">
        <v>60691.276595744603</v>
      </c>
      <c r="O70">
        <v>35664.483870967699</v>
      </c>
      <c r="P70">
        <v>136273.51612903201</v>
      </c>
      <c r="Q70">
        <v>11080.3471855646</v>
      </c>
      <c r="R70">
        <v>48808.658274919202</v>
      </c>
      <c r="S70">
        <v>59889.005460483801</v>
      </c>
      <c r="T70">
        <v>65084.696636925102</v>
      </c>
      <c r="U70">
        <v>256853.79818526001</v>
      </c>
      <c r="V70">
        <v>321938.49482218502</v>
      </c>
      <c r="W70">
        <v>110691.505177814</v>
      </c>
      <c r="X70">
        <v>57</v>
      </c>
      <c r="Y70">
        <v>138275</v>
      </c>
      <c r="Z70">
        <v>285249</v>
      </c>
      <c r="AA70">
        <v>104412</v>
      </c>
      <c r="AB70">
        <v>28666</v>
      </c>
      <c r="AC70">
        <v>667023</v>
      </c>
      <c r="AD70">
        <v>2760232</v>
      </c>
      <c r="AE70">
        <v>580167</v>
      </c>
    </row>
    <row r="71" spans="1:31" x14ac:dyDescent="0.45">
      <c r="A71" t="s">
        <v>119</v>
      </c>
      <c r="B71" t="s">
        <v>120</v>
      </c>
      <c r="C71" t="s">
        <v>121</v>
      </c>
      <c r="D71" t="s">
        <v>158</v>
      </c>
      <c r="E71" t="s">
        <v>135</v>
      </c>
      <c r="F71" t="s">
        <v>124</v>
      </c>
      <c r="G71" t="s">
        <v>125</v>
      </c>
      <c r="H71" t="s">
        <v>128</v>
      </c>
      <c r="I71" t="s">
        <v>129</v>
      </c>
      <c r="J71">
        <v>55</v>
      </c>
      <c r="K71">
        <v>2</v>
      </c>
      <c r="L71">
        <v>385000</v>
      </c>
      <c r="M71">
        <v>23536.170212765901</v>
      </c>
      <c r="N71">
        <v>48553.021276595697</v>
      </c>
      <c r="O71">
        <v>20583.0107526881</v>
      </c>
      <c r="P71">
        <v>131491.98924731099</v>
      </c>
      <c r="Q71">
        <v>10691.563073790399</v>
      </c>
      <c r="R71">
        <v>47096.073774044802</v>
      </c>
      <c r="S71">
        <v>57787.636847835201</v>
      </c>
      <c r="T71">
        <v>44119.180965454099</v>
      </c>
      <c r="U71">
        <v>237832.647371742</v>
      </c>
      <c r="V71">
        <v>281951.82833719603</v>
      </c>
      <c r="W71">
        <v>103048.171662803</v>
      </c>
      <c r="X71">
        <v>0</v>
      </c>
      <c r="Y71">
        <v>138275</v>
      </c>
      <c r="Z71">
        <v>285249</v>
      </c>
      <c r="AA71">
        <v>104412</v>
      </c>
      <c r="AB71">
        <v>28666</v>
      </c>
      <c r="AC71">
        <v>667023</v>
      </c>
      <c r="AD71">
        <v>2760232</v>
      </c>
      <c r="AE71">
        <v>580167</v>
      </c>
    </row>
    <row r="72" spans="1:31" x14ac:dyDescent="0.45">
      <c r="A72" t="s">
        <v>119</v>
      </c>
      <c r="B72" t="s">
        <v>120</v>
      </c>
      <c r="C72" t="s">
        <v>121</v>
      </c>
      <c r="D72" t="s">
        <v>158</v>
      </c>
      <c r="E72" t="s">
        <v>135</v>
      </c>
      <c r="F72" t="s">
        <v>124</v>
      </c>
      <c r="G72" t="s">
        <v>125</v>
      </c>
      <c r="H72" t="s">
        <v>130</v>
      </c>
      <c r="I72" t="s">
        <v>129</v>
      </c>
      <c r="J72">
        <v>54</v>
      </c>
      <c r="K72">
        <v>2</v>
      </c>
      <c r="L72">
        <v>378000</v>
      </c>
      <c r="M72">
        <v>23536.170212765901</v>
      </c>
      <c r="N72">
        <v>48553.021276595697</v>
      </c>
      <c r="O72">
        <v>20208.774193548299</v>
      </c>
      <c r="P72">
        <v>129101.225806451</v>
      </c>
      <c r="Q72">
        <v>10497.1710179033</v>
      </c>
      <c r="R72">
        <v>46239.781523607599</v>
      </c>
      <c r="S72">
        <v>56736.952541510997</v>
      </c>
      <c r="T72">
        <v>43744.944406314302</v>
      </c>
      <c r="U72">
        <v>234391.19962455801</v>
      </c>
      <c r="V72">
        <v>278136.14403087198</v>
      </c>
      <c r="W72">
        <v>99863.855969127195</v>
      </c>
      <c r="X72">
        <v>0</v>
      </c>
      <c r="Y72">
        <v>138275</v>
      </c>
      <c r="Z72">
        <v>285249</v>
      </c>
      <c r="AA72">
        <v>104412</v>
      </c>
      <c r="AB72">
        <v>28666</v>
      </c>
      <c r="AC72">
        <v>667023</v>
      </c>
      <c r="AD72">
        <v>2760232</v>
      </c>
      <c r="AE72">
        <v>580167</v>
      </c>
    </row>
    <row r="73" spans="1:31" x14ac:dyDescent="0.45">
      <c r="A73" t="s">
        <v>119</v>
      </c>
      <c r="B73" t="s">
        <v>120</v>
      </c>
      <c r="C73" t="s">
        <v>121</v>
      </c>
      <c r="D73" t="s">
        <v>158</v>
      </c>
      <c r="E73" t="s">
        <v>135</v>
      </c>
      <c r="F73" t="s">
        <v>124</v>
      </c>
      <c r="G73" t="s">
        <v>131</v>
      </c>
      <c r="H73" t="s">
        <v>132</v>
      </c>
      <c r="I73" t="s">
        <v>129</v>
      </c>
      <c r="J73">
        <v>57</v>
      </c>
      <c r="K73">
        <v>3</v>
      </c>
      <c r="L73">
        <v>432630</v>
      </c>
      <c r="M73">
        <v>30891.223404255299</v>
      </c>
      <c r="N73">
        <v>63725.840425531896</v>
      </c>
      <c r="O73">
        <v>35664.483870967699</v>
      </c>
      <c r="P73">
        <v>136273.51612903201</v>
      </c>
      <c r="Q73">
        <v>11080.3471855646</v>
      </c>
      <c r="R73">
        <v>48808.658274919202</v>
      </c>
      <c r="S73">
        <v>59889.005460483801</v>
      </c>
      <c r="T73">
        <v>66555.707275223001</v>
      </c>
      <c r="U73">
        <v>259888.36201504801</v>
      </c>
      <c r="V73">
        <v>326444.06929027103</v>
      </c>
      <c r="W73">
        <v>106185.930709728</v>
      </c>
      <c r="X73">
        <v>57</v>
      </c>
      <c r="Y73">
        <v>138275</v>
      </c>
      <c r="Z73">
        <v>285249</v>
      </c>
      <c r="AA73">
        <v>104412</v>
      </c>
      <c r="AB73">
        <v>28666</v>
      </c>
      <c r="AC73">
        <v>667023</v>
      </c>
      <c r="AD73">
        <v>2760232</v>
      </c>
      <c r="AE73">
        <v>580167</v>
      </c>
    </row>
    <row r="74" spans="1:31" x14ac:dyDescent="0.45">
      <c r="A74" t="s">
        <v>119</v>
      </c>
      <c r="B74" t="s">
        <v>120</v>
      </c>
      <c r="C74" t="s">
        <v>121</v>
      </c>
      <c r="D74" t="s">
        <v>158</v>
      </c>
      <c r="E74" t="s">
        <v>135</v>
      </c>
      <c r="F74" t="s">
        <v>124</v>
      </c>
      <c r="G74" t="s">
        <v>131</v>
      </c>
      <c r="H74" t="s">
        <v>133</v>
      </c>
      <c r="I74" t="s">
        <v>129</v>
      </c>
      <c r="J74">
        <v>56</v>
      </c>
      <c r="K74">
        <v>3</v>
      </c>
      <c r="L74">
        <v>420000</v>
      </c>
      <c r="M74">
        <v>30891.223404255299</v>
      </c>
      <c r="N74">
        <v>63725.840425531896</v>
      </c>
      <c r="O74">
        <v>20957.247311827901</v>
      </c>
      <c r="P74">
        <v>133882.75268817201</v>
      </c>
      <c r="Q74">
        <v>10885.955129677501</v>
      </c>
      <c r="R74">
        <v>47952.366024481998</v>
      </c>
      <c r="S74">
        <v>58838.321154159501</v>
      </c>
      <c r="T74">
        <v>51848.470716083197</v>
      </c>
      <c r="U74">
        <v>256446.914267863</v>
      </c>
      <c r="V74">
        <v>308295.38498394599</v>
      </c>
      <c r="W74">
        <v>111704.61501605299</v>
      </c>
      <c r="X74">
        <v>0</v>
      </c>
      <c r="Y74">
        <v>138275</v>
      </c>
      <c r="Z74">
        <v>285249</v>
      </c>
      <c r="AA74">
        <v>104412</v>
      </c>
      <c r="AB74">
        <v>28666</v>
      </c>
      <c r="AC74">
        <v>667023</v>
      </c>
      <c r="AD74">
        <v>2760232</v>
      </c>
      <c r="AE74">
        <v>580167</v>
      </c>
    </row>
    <row r="75" spans="1:31" x14ac:dyDescent="0.45">
      <c r="A75" t="s">
        <v>119</v>
      </c>
      <c r="B75" t="s">
        <v>120</v>
      </c>
      <c r="C75" t="s">
        <v>121</v>
      </c>
      <c r="D75" t="s">
        <v>158</v>
      </c>
      <c r="E75" t="s">
        <v>136</v>
      </c>
      <c r="F75" t="s">
        <v>124</v>
      </c>
      <c r="G75" t="s">
        <v>125</v>
      </c>
      <c r="H75" t="s">
        <v>126</v>
      </c>
      <c r="I75" t="s">
        <v>127</v>
      </c>
      <c r="J75">
        <v>48</v>
      </c>
      <c r="K75">
        <v>2</v>
      </c>
      <c r="L75">
        <v>353520</v>
      </c>
      <c r="M75">
        <v>28807.25</v>
      </c>
      <c r="N75">
        <v>62398.25</v>
      </c>
      <c r="O75">
        <v>29467.9871794871</v>
      </c>
      <c r="P75">
        <v>121037.538461538</v>
      </c>
      <c r="Q75">
        <v>9053.5902336194304</v>
      </c>
      <c r="R75">
        <v>39880.843485623896</v>
      </c>
      <c r="S75">
        <v>48934.433719243301</v>
      </c>
      <c r="T75">
        <v>58275.2371794871</v>
      </c>
      <c r="U75">
        <v>232370.22218078101</v>
      </c>
      <c r="V75">
        <v>290645.45936026901</v>
      </c>
      <c r="W75">
        <v>62874.540639730898</v>
      </c>
      <c r="X75">
        <v>48</v>
      </c>
      <c r="Y75">
        <v>115229</v>
      </c>
      <c r="Z75">
        <v>249593</v>
      </c>
      <c r="AA75">
        <v>88430</v>
      </c>
      <c r="AB75">
        <v>22657</v>
      </c>
      <c r="AC75">
        <v>590058</v>
      </c>
      <c r="AD75">
        <v>2760232</v>
      </c>
      <c r="AE75">
        <v>580167</v>
      </c>
    </row>
    <row r="76" spans="1:31" x14ac:dyDescent="0.45">
      <c r="A76" t="s">
        <v>119</v>
      </c>
      <c r="B76" t="s">
        <v>120</v>
      </c>
      <c r="C76" t="s">
        <v>121</v>
      </c>
      <c r="D76" t="s">
        <v>158</v>
      </c>
      <c r="E76" t="s">
        <v>136</v>
      </c>
      <c r="F76" t="s">
        <v>124</v>
      </c>
      <c r="G76" t="s">
        <v>125</v>
      </c>
      <c r="H76" t="s">
        <v>128</v>
      </c>
      <c r="I76" t="s">
        <v>129</v>
      </c>
      <c r="J76">
        <v>46</v>
      </c>
      <c r="K76">
        <v>2</v>
      </c>
      <c r="L76">
        <v>312340</v>
      </c>
      <c r="M76">
        <v>23045.8</v>
      </c>
      <c r="N76">
        <v>49918.6</v>
      </c>
      <c r="O76">
        <v>17383.6752136752</v>
      </c>
      <c r="P76">
        <v>115994.307692307</v>
      </c>
      <c r="Q76">
        <v>8676.3573072186191</v>
      </c>
      <c r="R76">
        <v>38219.141673722901</v>
      </c>
      <c r="S76">
        <v>46895.498980941498</v>
      </c>
      <c r="T76">
        <v>40429.475213675199</v>
      </c>
      <c r="U76">
        <v>212808.406673249</v>
      </c>
      <c r="V76">
        <v>253237.88188692401</v>
      </c>
      <c r="W76">
        <v>59102.118113075499</v>
      </c>
      <c r="X76">
        <v>0</v>
      </c>
      <c r="Y76">
        <v>115229</v>
      </c>
      <c r="Z76">
        <v>249593</v>
      </c>
      <c r="AA76">
        <v>88430</v>
      </c>
      <c r="AB76">
        <v>22657</v>
      </c>
      <c r="AC76">
        <v>590058</v>
      </c>
      <c r="AD76">
        <v>2760232</v>
      </c>
      <c r="AE76">
        <v>580167</v>
      </c>
    </row>
    <row r="77" spans="1:31" x14ac:dyDescent="0.45">
      <c r="A77" t="s">
        <v>119</v>
      </c>
      <c r="B77" t="s">
        <v>120</v>
      </c>
      <c r="C77" t="s">
        <v>121</v>
      </c>
      <c r="D77" t="s">
        <v>158</v>
      </c>
      <c r="E77" t="s">
        <v>136</v>
      </c>
      <c r="F77" t="s">
        <v>124</v>
      </c>
      <c r="G77" t="s">
        <v>125</v>
      </c>
      <c r="H77" t="s">
        <v>130</v>
      </c>
      <c r="I77" t="s">
        <v>129</v>
      </c>
      <c r="J77">
        <v>45</v>
      </c>
      <c r="K77">
        <v>2</v>
      </c>
      <c r="L77">
        <v>305550</v>
      </c>
      <c r="M77">
        <v>23045.8</v>
      </c>
      <c r="N77">
        <v>49918.6</v>
      </c>
      <c r="O77">
        <v>17005.769230769201</v>
      </c>
      <c r="P77">
        <v>113472.69230769201</v>
      </c>
      <c r="Q77">
        <v>8487.7408440182098</v>
      </c>
      <c r="R77">
        <v>37388.2907677724</v>
      </c>
      <c r="S77">
        <v>45876.031611790597</v>
      </c>
      <c r="T77">
        <v>40051.569230769201</v>
      </c>
      <c r="U77">
        <v>209267.32391948299</v>
      </c>
      <c r="V77">
        <v>249318.893150252</v>
      </c>
      <c r="W77">
        <v>56231.106849747703</v>
      </c>
      <c r="X77">
        <v>0</v>
      </c>
      <c r="Y77">
        <v>115229</v>
      </c>
      <c r="Z77">
        <v>249593</v>
      </c>
      <c r="AA77">
        <v>88430</v>
      </c>
      <c r="AB77">
        <v>22657</v>
      </c>
      <c r="AC77">
        <v>590058</v>
      </c>
      <c r="AD77">
        <v>2760232</v>
      </c>
      <c r="AE77">
        <v>580167</v>
      </c>
    </row>
    <row r="78" spans="1:31" x14ac:dyDescent="0.45">
      <c r="A78" t="s">
        <v>119</v>
      </c>
      <c r="B78" t="s">
        <v>120</v>
      </c>
      <c r="C78" t="s">
        <v>121</v>
      </c>
      <c r="D78" t="s">
        <v>158</v>
      </c>
      <c r="E78" t="s">
        <v>136</v>
      </c>
      <c r="F78" t="s">
        <v>124</v>
      </c>
      <c r="G78" t="s">
        <v>131</v>
      </c>
      <c r="H78" t="s">
        <v>132</v>
      </c>
      <c r="I78" t="s">
        <v>129</v>
      </c>
      <c r="J78">
        <v>48</v>
      </c>
      <c r="K78">
        <v>2</v>
      </c>
      <c r="L78">
        <v>353520</v>
      </c>
      <c r="M78">
        <v>20165.074999999899</v>
      </c>
      <c r="N78">
        <v>43678.775000000001</v>
      </c>
      <c r="O78">
        <v>29467.9871794871</v>
      </c>
      <c r="P78">
        <v>121037.538461538</v>
      </c>
      <c r="Q78">
        <v>9053.5902336194304</v>
      </c>
      <c r="R78">
        <v>39880.843485623896</v>
      </c>
      <c r="S78">
        <v>48934.433719243301</v>
      </c>
      <c r="T78">
        <v>49633.062179487097</v>
      </c>
      <c r="U78">
        <v>213650.74718078101</v>
      </c>
      <c r="V78">
        <v>263283.80936026899</v>
      </c>
      <c r="W78">
        <v>90236.190639730907</v>
      </c>
      <c r="X78">
        <v>48</v>
      </c>
      <c r="Y78">
        <v>115229</v>
      </c>
      <c r="Z78">
        <v>249593</v>
      </c>
      <c r="AA78">
        <v>88430</v>
      </c>
      <c r="AB78">
        <v>22657</v>
      </c>
      <c r="AC78">
        <v>590058</v>
      </c>
      <c r="AD78">
        <v>2760232</v>
      </c>
      <c r="AE78">
        <v>580167</v>
      </c>
    </row>
    <row r="79" spans="1:31" x14ac:dyDescent="0.45">
      <c r="A79" t="s">
        <v>119</v>
      </c>
      <c r="B79" t="s">
        <v>120</v>
      </c>
      <c r="C79" t="s">
        <v>121</v>
      </c>
      <c r="D79" t="s">
        <v>158</v>
      </c>
      <c r="E79" t="s">
        <v>136</v>
      </c>
      <c r="F79" t="s">
        <v>124</v>
      </c>
      <c r="G79" t="s">
        <v>131</v>
      </c>
      <c r="H79" t="s">
        <v>133</v>
      </c>
      <c r="I79" t="s">
        <v>129</v>
      </c>
      <c r="J79">
        <v>47</v>
      </c>
      <c r="K79">
        <v>2</v>
      </c>
      <c r="L79">
        <v>341925</v>
      </c>
      <c r="M79">
        <v>20165.074999999899</v>
      </c>
      <c r="N79">
        <v>43678.775000000001</v>
      </c>
      <c r="O79">
        <v>17761.581196581199</v>
      </c>
      <c r="P79">
        <v>118515.92307692301</v>
      </c>
      <c r="Q79">
        <v>8864.9737704190302</v>
      </c>
      <c r="R79">
        <v>39049.992579673402</v>
      </c>
      <c r="S79">
        <v>47914.9663500924</v>
      </c>
      <c r="T79">
        <v>37926.6561965812</v>
      </c>
      <c r="U79">
        <v>210109.664427015</v>
      </c>
      <c r="V79">
        <v>248036.320623596</v>
      </c>
      <c r="W79">
        <v>93888.679376403205</v>
      </c>
      <c r="X79">
        <v>0</v>
      </c>
      <c r="Y79">
        <v>115229</v>
      </c>
      <c r="Z79">
        <v>249593</v>
      </c>
      <c r="AA79">
        <v>88430</v>
      </c>
      <c r="AB79">
        <v>22657</v>
      </c>
      <c r="AC79">
        <v>590058</v>
      </c>
      <c r="AD79">
        <v>2760232</v>
      </c>
      <c r="AE79">
        <v>580167</v>
      </c>
    </row>
    <row r="80" spans="1:31" x14ac:dyDescent="0.45">
      <c r="A80" t="s">
        <v>119</v>
      </c>
      <c r="B80" t="s">
        <v>120</v>
      </c>
      <c r="C80" t="s">
        <v>121</v>
      </c>
      <c r="D80" t="s">
        <v>158</v>
      </c>
      <c r="E80" t="s">
        <v>137</v>
      </c>
      <c r="F80" t="s">
        <v>1</v>
      </c>
      <c r="G80" t="s">
        <v>138</v>
      </c>
      <c r="H80" t="s">
        <v>126</v>
      </c>
      <c r="I80" t="s">
        <v>127</v>
      </c>
      <c r="J80">
        <v>68</v>
      </c>
      <c r="K80">
        <v>3</v>
      </c>
      <c r="L80">
        <v>577320</v>
      </c>
      <c r="M80">
        <v>43211</v>
      </c>
      <c r="N80">
        <v>144407.5</v>
      </c>
      <c r="O80">
        <v>53231.688622754402</v>
      </c>
      <c r="P80">
        <v>268198.71856287401</v>
      </c>
      <c r="Q80">
        <v>14928.181233651299</v>
      </c>
      <c r="R80">
        <v>69666.627479364804</v>
      </c>
      <c r="S80">
        <v>84594.8087130161</v>
      </c>
      <c r="T80">
        <v>96442.688622754402</v>
      </c>
      <c r="U80">
        <v>497201.02727589</v>
      </c>
      <c r="V80">
        <v>593643.71589864395</v>
      </c>
      <c r="W80">
        <v>-16323.715898644799</v>
      </c>
      <c r="X80">
        <v>68</v>
      </c>
      <c r="Y80">
        <v>172844</v>
      </c>
      <c r="Z80">
        <v>577630</v>
      </c>
      <c r="AA80">
        <v>125720</v>
      </c>
      <c r="AB80">
        <v>55272</v>
      </c>
      <c r="AC80">
        <v>1317329</v>
      </c>
      <c r="AD80">
        <v>2760232</v>
      </c>
      <c r="AE80">
        <v>580167</v>
      </c>
    </row>
    <row r="81" spans="1:31" x14ac:dyDescent="0.45">
      <c r="A81" t="s">
        <v>119</v>
      </c>
      <c r="B81" t="s">
        <v>120</v>
      </c>
      <c r="C81" t="s">
        <v>121</v>
      </c>
      <c r="D81" t="s">
        <v>158</v>
      </c>
      <c r="E81" t="s">
        <v>137</v>
      </c>
      <c r="F81" t="s">
        <v>1</v>
      </c>
      <c r="G81" t="s">
        <v>138</v>
      </c>
      <c r="H81" t="s">
        <v>128</v>
      </c>
      <c r="I81" t="s">
        <v>129</v>
      </c>
      <c r="J81">
        <v>66</v>
      </c>
      <c r="K81">
        <v>3</v>
      </c>
      <c r="L81">
        <v>517440</v>
      </c>
      <c r="M81">
        <v>34568.800000000003</v>
      </c>
      <c r="N81">
        <v>115526</v>
      </c>
      <c r="O81">
        <v>24842.874251497</v>
      </c>
      <c r="P81">
        <v>260310.52095808301</v>
      </c>
      <c r="Q81">
        <v>14489.117079720399</v>
      </c>
      <c r="R81">
        <v>67617.609024089397</v>
      </c>
      <c r="S81">
        <v>82106.726103809793</v>
      </c>
      <c r="T81">
        <v>59411.674251497003</v>
      </c>
      <c r="U81">
        <v>457943.24706189299</v>
      </c>
      <c r="V81">
        <v>517354.92131339002</v>
      </c>
      <c r="W81">
        <v>85.078686609340295</v>
      </c>
      <c r="X81">
        <v>0</v>
      </c>
      <c r="Y81">
        <v>172844</v>
      </c>
      <c r="Z81">
        <v>577630</v>
      </c>
      <c r="AA81">
        <v>125720</v>
      </c>
      <c r="AB81">
        <v>55272</v>
      </c>
      <c r="AC81">
        <v>1317329</v>
      </c>
      <c r="AD81">
        <v>2760232</v>
      </c>
      <c r="AE81">
        <v>580167</v>
      </c>
    </row>
    <row r="82" spans="1:31" x14ac:dyDescent="0.45">
      <c r="A82" t="s">
        <v>119</v>
      </c>
      <c r="B82" t="s">
        <v>120</v>
      </c>
      <c r="C82" t="s">
        <v>121</v>
      </c>
      <c r="D82" t="s">
        <v>158</v>
      </c>
      <c r="E82" t="s">
        <v>137</v>
      </c>
      <c r="F82" t="s">
        <v>1</v>
      </c>
      <c r="G82" t="s">
        <v>138</v>
      </c>
      <c r="H82" t="s">
        <v>130</v>
      </c>
      <c r="I82" t="s">
        <v>129</v>
      </c>
      <c r="J82">
        <v>65</v>
      </c>
      <c r="K82">
        <v>3</v>
      </c>
      <c r="L82">
        <v>509600</v>
      </c>
      <c r="M82">
        <v>34568.800000000003</v>
      </c>
      <c r="N82">
        <v>115526</v>
      </c>
      <c r="O82">
        <v>24466.467065868201</v>
      </c>
      <c r="P82">
        <v>256366.42215568799</v>
      </c>
      <c r="Q82">
        <v>14269.5850027549</v>
      </c>
      <c r="R82">
        <v>66593.099796451701</v>
      </c>
      <c r="S82">
        <v>80862.684799206603</v>
      </c>
      <c r="T82">
        <v>59035.267065868196</v>
      </c>
      <c r="U82">
        <v>452755.10695489502</v>
      </c>
      <c r="V82">
        <v>511790.37402076297</v>
      </c>
      <c r="W82">
        <v>-2190.3740207635501</v>
      </c>
      <c r="X82">
        <v>0</v>
      </c>
      <c r="Y82">
        <v>172844</v>
      </c>
      <c r="Z82">
        <v>577630</v>
      </c>
      <c r="AA82">
        <v>125720</v>
      </c>
      <c r="AB82">
        <v>55272</v>
      </c>
      <c r="AC82">
        <v>1317329</v>
      </c>
      <c r="AD82">
        <v>2760232</v>
      </c>
      <c r="AE82">
        <v>580167</v>
      </c>
    </row>
    <row r="83" spans="1:31" x14ac:dyDescent="0.45">
      <c r="A83" t="s">
        <v>119</v>
      </c>
      <c r="B83" t="s">
        <v>120</v>
      </c>
      <c r="C83" t="s">
        <v>121</v>
      </c>
      <c r="D83" t="s">
        <v>158</v>
      </c>
      <c r="E83" t="s">
        <v>137</v>
      </c>
      <c r="F83" t="s">
        <v>1</v>
      </c>
      <c r="G83" t="s">
        <v>139</v>
      </c>
      <c r="H83" t="s">
        <v>132</v>
      </c>
      <c r="I83" t="s">
        <v>129</v>
      </c>
      <c r="J83">
        <v>68</v>
      </c>
      <c r="K83">
        <v>3</v>
      </c>
      <c r="L83">
        <v>577320</v>
      </c>
      <c r="M83">
        <v>30247.699999999899</v>
      </c>
      <c r="N83">
        <v>101085.25</v>
      </c>
      <c r="O83">
        <v>53231.688622754402</v>
      </c>
      <c r="P83">
        <v>268198.71856287401</v>
      </c>
      <c r="Q83">
        <v>14928.181233651299</v>
      </c>
      <c r="R83">
        <v>69666.627479364804</v>
      </c>
      <c r="S83">
        <v>84594.8087130161</v>
      </c>
      <c r="T83">
        <v>83479.388622754399</v>
      </c>
      <c r="U83">
        <v>453878.77727589</v>
      </c>
      <c r="V83">
        <v>537358.16589864495</v>
      </c>
      <c r="W83">
        <v>39961.834101355002</v>
      </c>
      <c r="X83">
        <v>68</v>
      </c>
      <c r="Y83">
        <v>172844</v>
      </c>
      <c r="Z83">
        <v>577630</v>
      </c>
      <c r="AA83">
        <v>125720</v>
      </c>
      <c r="AB83">
        <v>55272</v>
      </c>
      <c r="AC83">
        <v>1317329</v>
      </c>
      <c r="AD83">
        <v>2760232</v>
      </c>
      <c r="AE83">
        <v>580167</v>
      </c>
    </row>
    <row r="84" spans="1:31" x14ac:dyDescent="0.45">
      <c r="A84" t="s">
        <v>119</v>
      </c>
      <c r="B84" t="s">
        <v>120</v>
      </c>
      <c r="C84" t="s">
        <v>121</v>
      </c>
      <c r="D84" t="s">
        <v>158</v>
      </c>
      <c r="E84" t="s">
        <v>137</v>
      </c>
      <c r="F84" t="s">
        <v>1</v>
      </c>
      <c r="G84" t="s">
        <v>139</v>
      </c>
      <c r="H84" t="s">
        <v>133</v>
      </c>
      <c r="I84" t="s">
        <v>129</v>
      </c>
      <c r="J84">
        <v>67</v>
      </c>
      <c r="K84">
        <v>3</v>
      </c>
      <c r="L84">
        <v>562800</v>
      </c>
      <c r="M84">
        <v>30247.699999999899</v>
      </c>
      <c r="N84">
        <v>101085.25</v>
      </c>
      <c r="O84">
        <v>25219.281437125701</v>
      </c>
      <c r="P84">
        <v>264254.61976047902</v>
      </c>
      <c r="Q84">
        <v>14708.6491566858</v>
      </c>
      <c r="R84">
        <v>68642.118251727094</v>
      </c>
      <c r="S84">
        <v>83350.767408412998</v>
      </c>
      <c r="T84">
        <v>55466.981437125702</v>
      </c>
      <c r="U84">
        <v>448690.63716889202</v>
      </c>
      <c r="V84">
        <v>504157.61860601697</v>
      </c>
      <c r="W84">
        <v>58642.381393982199</v>
      </c>
      <c r="X84">
        <v>0</v>
      </c>
      <c r="Y84">
        <v>172844</v>
      </c>
      <c r="Z84">
        <v>577630</v>
      </c>
      <c r="AA84">
        <v>125720</v>
      </c>
      <c r="AB84">
        <v>55272</v>
      </c>
      <c r="AC84">
        <v>1317329</v>
      </c>
      <c r="AD84">
        <v>2760232</v>
      </c>
      <c r="AE84">
        <v>580167</v>
      </c>
    </row>
    <row r="85" spans="1:31" x14ac:dyDescent="0.45">
      <c r="A85" t="s">
        <v>119</v>
      </c>
      <c r="B85" t="s">
        <v>120</v>
      </c>
      <c r="C85" t="s">
        <v>121</v>
      </c>
      <c r="D85" t="s">
        <v>158</v>
      </c>
      <c r="E85" t="s">
        <v>140</v>
      </c>
      <c r="F85" t="s">
        <v>1</v>
      </c>
      <c r="G85" t="s">
        <v>138</v>
      </c>
      <c r="H85" t="s">
        <v>126</v>
      </c>
      <c r="I85" t="s">
        <v>127</v>
      </c>
      <c r="J85">
        <v>47</v>
      </c>
      <c r="K85">
        <v>2</v>
      </c>
      <c r="L85">
        <v>349680</v>
      </c>
      <c r="M85">
        <v>28807.25</v>
      </c>
      <c r="N85">
        <v>54672.75</v>
      </c>
      <c r="O85">
        <v>29248.587336244502</v>
      </c>
      <c r="P85">
        <v>104668.179039301</v>
      </c>
      <c r="Q85">
        <v>9036.5772535490796</v>
      </c>
      <c r="R85">
        <v>42171.7723919622</v>
      </c>
      <c r="S85">
        <v>51208.349645511298</v>
      </c>
      <c r="T85">
        <v>58055.837336244498</v>
      </c>
      <c r="U85">
        <v>210549.27868481199</v>
      </c>
      <c r="V85">
        <v>268605.11602105701</v>
      </c>
      <c r="W85">
        <v>81074.883978942802</v>
      </c>
      <c r="X85">
        <v>47</v>
      </c>
      <c r="Y85">
        <v>115229</v>
      </c>
      <c r="Z85">
        <v>218691</v>
      </c>
      <c r="AA85">
        <v>86655</v>
      </c>
      <c r="AB85">
        <v>22927</v>
      </c>
      <c r="AC85">
        <v>509979</v>
      </c>
      <c r="AD85">
        <v>2760232</v>
      </c>
      <c r="AE85">
        <v>580167</v>
      </c>
    </row>
    <row r="86" spans="1:31" x14ac:dyDescent="0.45">
      <c r="A86" t="s">
        <v>119</v>
      </c>
      <c r="B86" t="s">
        <v>120</v>
      </c>
      <c r="C86" t="s">
        <v>121</v>
      </c>
      <c r="D86" t="s">
        <v>158</v>
      </c>
      <c r="E86" t="s">
        <v>140</v>
      </c>
      <c r="F86" t="s">
        <v>1</v>
      </c>
      <c r="G86" t="s">
        <v>138</v>
      </c>
      <c r="H86" t="s">
        <v>128</v>
      </c>
      <c r="I86" t="s">
        <v>129</v>
      </c>
      <c r="J86">
        <v>45</v>
      </c>
      <c r="K86">
        <v>2</v>
      </c>
      <c r="L86">
        <v>308700</v>
      </c>
      <c r="M86">
        <v>23045.8</v>
      </c>
      <c r="N86">
        <v>43738.2</v>
      </c>
      <c r="O86">
        <v>17028.275109170299</v>
      </c>
      <c r="P86">
        <v>100214.21397379899</v>
      </c>
      <c r="Q86">
        <v>8652.0420512704004</v>
      </c>
      <c r="R86">
        <v>40377.228885921199</v>
      </c>
      <c r="S86">
        <v>49029.270937191599</v>
      </c>
      <c r="T86">
        <v>40074.075109170299</v>
      </c>
      <c r="U86">
        <v>192981.68491099001</v>
      </c>
      <c r="V86">
        <v>233055.76002016099</v>
      </c>
      <c r="W86">
        <v>75644.239979838894</v>
      </c>
      <c r="X86">
        <v>0</v>
      </c>
      <c r="Y86">
        <v>115229</v>
      </c>
      <c r="Z86">
        <v>218691</v>
      </c>
      <c r="AA86">
        <v>86655</v>
      </c>
      <c r="AB86">
        <v>22927</v>
      </c>
      <c r="AC86">
        <v>509979</v>
      </c>
      <c r="AD86">
        <v>2760232</v>
      </c>
      <c r="AE86">
        <v>580167</v>
      </c>
    </row>
    <row r="87" spans="1:31" x14ac:dyDescent="0.45">
      <c r="A87" t="s">
        <v>119</v>
      </c>
      <c r="B87" t="s">
        <v>120</v>
      </c>
      <c r="C87" t="s">
        <v>121</v>
      </c>
      <c r="D87" t="s">
        <v>158</v>
      </c>
      <c r="E87" t="s">
        <v>140</v>
      </c>
      <c r="F87" t="s">
        <v>1</v>
      </c>
      <c r="G87" t="s">
        <v>138</v>
      </c>
      <c r="H87" t="s">
        <v>130</v>
      </c>
      <c r="I87" t="s">
        <v>129</v>
      </c>
      <c r="J87">
        <v>44</v>
      </c>
      <c r="K87">
        <v>2</v>
      </c>
      <c r="L87">
        <v>301840</v>
      </c>
      <c r="M87">
        <v>23045.8</v>
      </c>
      <c r="N87">
        <v>43738.2</v>
      </c>
      <c r="O87">
        <v>16649.8689956331</v>
      </c>
      <c r="P87">
        <v>97987.231441048003</v>
      </c>
      <c r="Q87">
        <v>8459.7744501310608</v>
      </c>
      <c r="R87">
        <v>39479.957132900701</v>
      </c>
      <c r="S87">
        <v>47939.731583031797</v>
      </c>
      <c r="T87">
        <v>39695.668995633103</v>
      </c>
      <c r="U87">
        <v>189665.163024079</v>
      </c>
      <c r="V87">
        <v>229360.83201971301</v>
      </c>
      <c r="W87">
        <v>72479.167980286904</v>
      </c>
      <c r="X87">
        <v>0</v>
      </c>
      <c r="Y87">
        <v>115229</v>
      </c>
      <c r="Z87">
        <v>218691</v>
      </c>
      <c r="AA87">
        <v>86655</v>
      </c>
      <c r="AB87">
        <v>22927</v>
      </c>
      <c r="AC87">
        <v>509979</v>
      </c>
      <c r="AD87">
        <v>2760232</v>
      </c>
      <c r="AE87">
        <v>580167</v>
      </c>
    </row>
    <row r="88" spans="1:31" x14ac:dyDescent="0.45">
      <c r="A88" t="s">
        <v>119</v>
      </c>
      <c r="B88" t="s">
        <v>120</v>
      </c>
      <c r="C88" t="s">
        <v>121</v>
      </c>
      <c r="D88" t="s">
        <v>158</v>
      </c>
      <c r="E88" t="s">
        <v>140</v>
      </c>
      <c r="F88" t="s">
        <v>1</v>
      </c>
      <c r="G88" t="s">
        <v>139</v>
      </c>
      <c r="H88" t="s">
        <v>132</v>
      </c>
      <c r="I88" t="s">
        <v>129</v>
      </c>
      <c r="J88">
        <v>47</v>
      </c>
      <c r="K88">
        <v>2</v>
      </c>
      <c r="L88">
        <v>349680</v>
      </c>
      <c r="M88">
        <v>20165.074999999899</v>
      </c>
      <c r="N88">
        <v>38270.924999999901</v>
      </c>
      <c r="O88">
        <v>29248.587336244502</v>
      </c>
      <c r="P88">
        <v>104668.179039301</v>
      </c>
      <c r="Q88">
        <v>9036.5772535490796</v>
      </c>
      <c r="R88">
        <v>42171.7723919622</v>
      </c>
      <c r="S88">
        <v>51208.349645511298</v>
      </c>
      <c r="T88">
        <v>49413.662336244503</v>
      </c>
      <c r="U88">
        <v>194147.453684812</v>
      </c>
      <c r="V88">
        <v>243561.11602105701</v>
      </c>
      <c r="W88">
        <v>106118.883978942</v>
      </c>
      <c r="X88">
        <v>47</v>
      </c>
      <c r="Y88">
        <v>115229</v>
      </c>
      <c r="Z88">
        <v>218691</v>
      </c>
      <c r="AA88">
        <v>86655</v>
      </c>
      <c r="AB88">
        <v>22927</v>
      </c>
      <c r="AC88">
        <v>509979</v>
      </c>
      <c r="AD88">
        <v>2760232</v>
      </c>
      <c r="AE88">
        <v>580167</v>
      </c>
    </row>
    <row r="89" spans="1:31" x14ac:dyDescent="0.45">
      <c r="A89" t="s">
        <v>119</v>
      </c>
      <c r="B89" t="s">
        <v>120</v>
      </c>
      <c r="C89" t="s">
        <v>121</v>
      </c>
      <c r="D89" t="s">
        <v>158</v>
      </c>
      <c r="E89" t="s">
        <v>140</v>
      </c>
      <c r="F89" t="s">
        <v>1</v>
      </c>
      <c r="G89" t="s">
        <v>139</v>
      </c>
      <c r="H89" t="s">
        <v>133</v>
      </c>
      <c r="I89" t="s">
        <v>129</v>
      </c>
      <c r="J89">
        <v>46</v>
      </c>
      <c r="K89">
        <v>2</v>
      </c>
      <c r="L89">
        <v>338100</v>
      </c>
      <c r="M89">
        <v>20165.074999999899</v>
      </c>
      <c r="N89">
        <v>38270.924999999901</v>
      </c>
      <c r="O89">
        <v>17406.681222707401</v>
      </c>
      <c r="P89">
        <v>102441.19650655</v>
      </c>
      <c r="Q89">
        <v>8844.30965240974</v>
      </c>
      <c r="R89">
        <v>41274.500638941703</v>
      </c>
      <c r="S89">
        <v>50118.810291351401</v>
      </c>
      <c r="T89">
        <v>37571.756222707401</v>
      </c>
      <c r="U89">
        <v>190830.93179790099</v>
      </c>
      <c r="V89">
        <v>228402.688020609</v>
      </c>
      <c r="W89">
        <v>109697.31197939</v>
      </c>
      <c r="X89">
        <v>0</v>
      </c>
      <c r="Y89">
        <v>115229</v>
      </c>
      <c r="Z89">
        <v>218691</v>
      </c>
      <c r="AA89">
        <v>86655</v>
      </c>
      <c r="AB89">
        <v>22927</v>
      </c>
      <c r="AC89">
        <v>509979</v>
      </c>
      <c r="AD89">
        <v>2760232</v>
      </c>
      <c r="AE89">
        <v>580167</v>
      </c>
    </row>
    <row r="90" spans="1:31" x14ac:dyDescent="0.45">
      <c r="A90" t="s">
        <v>119</v>
      </c>
      <c r="B90" t="s">
        <v>120</v>
      </c>
      <c r="C90" t="s">
        <v>121</v>
      </c>
      <c r="D90" t="s">
        <v>158</v>
      </c>
      <c r="E90" t="s">
        <v>141</v>
      </c>
      <c r="F90" t="s">
        <v>1</v>
      </c>
      <c r="G90" t="s">
        <v>138</v>
      </c>
      <c r="H90" t="s">
        <v>126</v>
      </c>
      <c r="I90" t="s">
        <v>127</v>
      </c>
      <c r="J90">
        <v>44</v>
      </c>
      <c r="K90">
        <v>2</v>
      </c>
      <c r="L90">
        <v>320760</v>
      </c>
      <c r="M90">
        <v>28807.25</v>
      </c>
      <c r="N90">
        <v>53484.25</v>
      </c>
      <c r="O90">
        <v>26749.444444444402</v>
      </c>
      <c r="P90">
        <v>97987.388888888803</v>
      </c>
      <c r="Q90">
        <v>8284.9379707487296</v>
      </c>
      <c r="R90">
        <v>38664.032695201997</v>
      </c>
      <c r="S90">
        <v>46948.970665950699</v>
      </c>
      <c r="T90">
        <v>55556.694444444402</v>
      </c>
      <c r="U90">
        <v>198420.609554839</v>
      </c>
      <c r="V90">
        <v>253977.30399928399</v>
      </c>
      <c r="W90">
        <v>66782.696000715907</v>
      </c>
      <c r="X90">
        <v>44</v>
      </c>
      <c r="Y90">
        <v>115229</v>
      </c>
      <c r="Z90">
        <v>213937</v>
      </c>
      <c r="AA90">
        <v>82038</v>
      </c>
      <c r="AB90">
        <v>20076</v>
      </c>
      <c r="AC90">
        <v>481029</v>
      </c>
      <c r="AD90">
        <v>2760232</v>
      </c>
      <c r="AE90">
        <v>580167</v>
      </c>
    </row>
    <row r="91" spans="1:31" x14ac:dyDescent="0.45">
      <c r="A91" t="s">
        <v>119</v>
      </c>
      <c r="B91" t="s">
        <v>120</v>
      </c>
      <c r="C91" t="s">
        <v>121</v>
      </c>
      <c r="D91" t="s">
        <v>158</v>
      </c>
      <c r="E91" t="s">
        <v>141</v>
      </c>
      <c r="F91" t="s">
        <v>1</v>
      </c>
      <c r="G91" t="s">
        <v>138</v>
      </c>
      <c r="H91" t="s">
        <v>128</v>
      </c>
      <c r="I91" t="s">
        <v>129</v>
      </c>
      <c r="J91">
        <v>43</v>
      </c>
      <c r="K91">
        <v>2</v>
      </c>
      <c r="L91">
        <v>288960</v>
      </c>
      <c r="M91">
        <v>23045.8</v>
      </c>
      <c r="N91">
        <v>42787.4</v>
      </c>
      <c r="O91">
        <v>16331.6388888888</v>
      </c>
      <c r="P91">
        <v>95760.402777777694</v>
      </c>
      <c r="Q91">
        <v>8096.6439259589897</v>
      </c>
      <c r="R91">
        <v>37785.304679401903</v>
      </c>
      <c r="S91">
        <v>45881.9486053609</v>
      </c>
      <c r="T91">
        <v>39377.438888888799</v>
      </c>
      <c r="U91">
        <v>184429.75138313801</v>
      </c>
      <c r="V91">
        <v>223807.19027202699</v>
      </c>
      <c r="W91">
        <v>65152.809727972301</v>
      </c>
      <c r="X91">
        <v>0</v>
      </c>
      <c r="Y91">
        <v>115229</v>
      </c>
      <c r="Z91">
        <v>213937</v>
      </c>
      <c r="AA91">
        <v>82038</v>
      </c>
      <c r="AB91">
        <v>20076</v>
      </c>
      <c r="AC91">
        <v>481029</v>
      </c>
      <c r="AD91">
        <v>2760232</v>
      </c>
      <c r="AE91">
        <v>580167</v>
      </c>
    </row>
    <row r="92" spans="1:31" x14ac:dyDescent="0.45">
      <c r="A92" t="s">
        <v>119</v>
      </c>
      <c r="B92" t="s">
        <v>120</v>
      </c>
      <c r="C92" t="s">
        <v>121</v>
      </c>
      <c r="D92" t="s">
        <v>158</v>
      </c>
      <c r="E92" t="s">
        <v>141</v>
      </c>
      <c r="F92" t="s">
        <v>1</v>
      </c>
      <c r="G92" t="s">
        <v>138</v>
      </c>
      <c r="H92" t="s">
        <v>130</v>
      </c>
      <c r="I92" t="s">
        <v>129</v>
      </c>
      <c r="J92">
        <v>42</v>
      </c>
      <c r="K92">
        <v>2</v>
      </c>
      <c r="L92">
        <v>282240</v>
      </c>
      <c r="M92">
        <v>23045.8</v>
      </c>
      <c r="N92">
        <v>42787.4</v>
      </c>
      <c r="O92">
        <v>15951.833333333299</v>
      </c>
      <c r="P92">
        <v>93533.416666666599</v>
      </c>
      <c r="Q92">
        <v>7908.3498811692398</v>
      </c>
      <c r="R92">
        <v>36906.576663601903</v>
      </c>
      <c r="S92">
        <v>44814.9265447711</v>
      </c>
      <c r="T92">
        <v>38997.633333333302</v>
      </c>
      <c r="U92">
        <v>181135.74321143699</v>
      </c>
      <c r="V92">
        <v>220133.37654477099</v>
      </c>
      <c r="W92">
        <v>62106.623455228801</v>
      </c>
      <c r="X92">
        <v>0</v>
      </c>
      <c r="Y92">
        <v>115229</v>
      </c>
      <c r="Z92">
        <v>213937</v>
      </c>
      <c r="AA92">
        <v>82038</v>
      </c>
      <c r="AB92">
        <v>20076</v>
      </c>
      <c r="AC92">
        <v>481029</v>
      </c>
      <c r="AD92">
        <v>2760232</v>
      </c>
      <c r="AE92">
        <v>580167</v>
      </c>
    </row>
    <row r="93" spans="1:31" x14ac:dyDescent="0.45">
      <c r="A93" t="s">
        <v>119</v>
      </c>
      <c r="B93" t="s">
        <v>120</v>
      </c>
      <c r="C93" t="s">
        <v>121</v>
      </c>
      <c r="D93" t="s">
        <v>158</v>
      </c>
      <c r="E93" t="s">
        <v>141</v>
      </c>
      <c r="F93" t="s">
        <v>1</v>
      </c>
      <c r="G93" t="s">
        <v>139</v>
      </c>
      <c r="H93" t="s">
        <v>132</v>
      </c>
      <c r="I93" t="s">
        <v>129</v>
      </c>
      <c r="J93">
        <v>44</v>
      </c>
      <c r="K93">
        <v>2</v>
      </c>
      <c r="L93">
        <v>320760</v>
      </c>
      <c r="M93">
        <v>20165.074999999899</v>
      </c>
      <c r="N93">
        <v>37438.974999999999</v>
      </c>
      <c r="O93">
        <v>26749.444444444402</v>
      </c>
      <c r="P93">
        <v>97987.388888888803</v>
      </c>
      <c r="Q93">
        <v>8284.9379707487296</v>
      </c>
      <c r="R93">
        <v>38664.032695201997</v>
      </c>
      <c r="S93">
        <v>46948.970665950699</v>
      </c>
      <c r="T93">
        <v>46914.519444444399</v>
      </c>
      <c r="U93">
        <v>182375.33455483901</v>
      </c>
      <c r="V93">
        <v>229289.85399928401</v>
      </c>
      <c r="W93">
        <v>91470.146000715904</v>
      </c>
      <c r="X93">
        <v>44</v>
      </c>
      <c r="Y93">
        <v>115229</v>
      </c>
      <c r="Z93">
        <v>213937</v>
      </c>
      <c r="AA93">
        <v>82038</v>
      </c>
      <c r="AB93">
        <v>20076</v>
      </c>
      <c r="AC93">
        <v>481029</v>
      </c>
      <c r="AD93">
        <v>2760232</v>
      </c>
      <c r="AE93">
        <v>580167</v>
      </c>
    </row>
    <row r="94" spans="1:31" x14ac:dyDescent="0.45">
      <c r="A94" t="s">
        <v>119</v>
      </c>
      <c r="B94" t="s">
        <v>120</v>
      </c>
      <c r="C94" t="s">
        <v>121</v>
      </c>
      <c r="D94" t="s">
        <v>158</v>
      </c>
      <c r="E94" t="s">
        <v>141</v>
      </c>
      <c r="F94" t="s">
        <v>1</v>
      </c>
      <c r="G94" t="s">
        <v>139</v>
      </c>
      <c r="H94" t="s">
        <v>133</v>
      </c>
      <c r="I94" t="s">
        <v>129</v>
      </c>
      <c r="J94">
        <v>43</v>
      </c>
      <c r="K94">
        <v>2</v>
      </c>
      <c r="L94">
        <v>309600</v>
      </c>
      <c r="M94">
        <v>20165.074999999899</v>
      </c>
      <c r="N94">
        <v>37438.974999999999</v>
      </c>
      <c r="O94">
        <v>16331.6388888888</v>
      </c>
      <c r="P94">
        <v>95760.402777777694</v>
      </c>
      <c r="Q94">
        <v>8096.6439259589897</v>
      </c>
      <c r="R94">
        <v>37785.304679401903</v>
      </c>
      <c r="S94">
        <v>45881.9486053609</v>
      </c>
      <c r="T94">
        <v>36496.7138888888</v>
      </c>
      <c r="U94">
        <v>179081.32638313799</v>
      </c>
      <c r="V94">
        <v>215578.04027202699</v>
      </c>
      <c r="W94">
        <v>94021.959727972295</v>
      </c>
      <c r="X94">
        <v>0</v>
      </c>
      <c r="Y94">
        <v>115229</v>
      </c>
      <c r="Z94">
        <v>213937</v>
      </c>
      <c r="AA94">
        <v>82038</v>
      </c>
      <c r="AB94">
        <v>20076</v>
      </c>
      <c r="AC94">
        <v>481029</v>
      </c>
      <c r="AD94">
        <v>2760232</v>
      </c>
      <c r="AE94">
        <v>580167</v>
      </c>
    </row>
    <row r="95" spans="1:31" x14ac:dyDescent="0.45">
      <c r="A95" t="s">
        <v>119</v>
      </c>
      <c r="B95" t="s">
        <v>120</v>
      </c>
      <c r="C95" t="s">
        <v>121</v>
      </c>
      <c r="D95" t="s">
        <v>158</v>
      </c>
      <c r="E95" t="s">
        <v>142</v>
      </c>
      <c r="F95" t="s">
        <v>143</v>
      </c>
      <c r="G95" t="s">
        <v>144</v>
      </c>
      <c r="H95" t="s">
        <v>126</v>
      </c>
      <c r="I95" t="s">
        <v>129</v>
      </c>
      <c r="J95">
        <v>47</v>
      </c>
      <c r="K95">
        <v>2</v>
      </c>
      <c r="L95">
        <v>333230</v>
      </c>
      <c r="M95">
        <v>23045.666666666599</v>
      </c>
      <c r="N95">
        <v>47541.666666666599</v>
      </c>
      <c r="O95">
        <v>37578.0661764705</v>
      </c>
      <c r="P95">
        <v>114202.397058823</v>
      </c>
      <c r="Q95">
        <v>9838.1548019545098</v>
      </c>
      <c r="R95">
        <v>51379.566036011798</v>
      </c>
      <c r="S95">
        <v>61217.720837966299</v>
      </c>
      <c r="T95">
        <v>60623.732843137201</v>
      </c>
      <c r="U95">
        <v>222961.78456345599</v>
      </c>
      <c r="V95">
        <v>283585.51740659302</v>
      </c>
      <c r="W95">
        <v>49644.482593406101</v>
      </c>
      <c r="X95">
        <v>47</v>
      </c>
      <c r="Y95">
        <v>69137</v>
      </c>
      <c r="Z95">
        <v>142625</v>
      </c>
      <c r="AA95">
        <v>51495</v>
      </c>
      <c r="AB95">
        <v>19782</v>
      </c>
      <c r="AC95">
        <v>330458</v>
      </c>
      <c r="AD95">
        <v>2760232</v>
      </c>
      <c r="AE95">
        <v>580167</v>
      </c>
    </row>
    <row r="96" spans="1:31" x14ac:dyDescent="0.45">
      <c r="A96" t="s">
        <v>119</v>
      </c>
      <c r="B96" t="s">
        <v>120</v>
      </c>
      <c r="C96" t="s">
        <v>121</v>
      </c>
      <c r="D96" t="s">
        <v>158</v>
      </c>
      <c r="E96" t="s">
        <v>142</v>
      </c>
      <c r="F96" t="s">
        <v>143</v>
      </c>
      <c r="G96" t="s">
        <v>144</v>
      </c>
      <c r="H96" t="s">
        <v>128</v>
      </c>
      <c r="I96" t="s">
        <v>129</v>
      </c>
      <c r="J96">
        <v>45</v>
      </c>
      <c r="K96">
        <v>2</v>
      </c>
      <c r="L96">
        <v>315000</v>
      </c>
      <c r="M96">
        <v>23045.666666666599</v>
      </c>
      <c r="N96">
        <v>47541.666666666599</v>
      </c>
      <c r="O96">
        <v>17038.786764705801</v>
      </c>
      <c r="P96">
        <v>109342.720588235</v>
      </c>
      <c r="Q96">
        <v>9419.5099167649496</v>
      </c>
      <c r="R96">
        <v>49193.201523841097</v>
      </c>
      <c r="S96">
        <v>58612.711440606101</v>
      </c>
      <c r="T96">
        <v>40084.453431372502</v>
      </c>
      <c r="U96">
        <v>215497.098695508</v>
      </c>
      <c r="V96">
        <v>255581.55212688001</v>
      </c>
      <c r="W96">
        <v>59418.447873119301</v>
      </c>
      <c r="X96">
        <v>0</v>
      </c>
      <c r="Y96">
        <v>69137</v>
      </c>
      <c r="Z96">
        <v>142625</v>
      </c>
      <c r="AA96">
        <v>51495</v>
      </c>
      <c r="AB96">
        <v>19782</v>
      </c>
      <c r="AC96">
        <v>330458</v>
      </c>
      <c r="AD96">
        <v>2760232</v>
      </c>
      <c r="AE96">
        <v>580167</v>
      </c>
    </row>
    <row r="97" spans="1:31" x14ac:dyDescent="0.45">
      <c r="A97" t="s">
        <v>119</v>
      </c>
      <c r="B97" t="s">
        <v>120</v>
      </c>
      <c r="C97" t="s">
        <v>121</v>
      </c>
      <c r="D97" t="s">
        <v>158</v>
      </c>
      <c r="E97" t="s">
        <v>142</v>
      </c>
      <c r="F97" t="s">
        <v>143</v>
      </c>
      <c r="G97" t="s">
        <v>144</v>
      </c>
      <c r="H97" t="s">
        <v>130</v>
      </c>
      <c r="I97" t="s">
        <v>129</v>
      </c>
      <c r="J97">
        <v>44</v>
      </c>
      <c r="K97">
        <v>2</v>
      </c>
      <c r="L97">
        <v>308000</v>
      </c>
      <c r="M97">
        <v>23045.666666666599</v>
      </c>
      <c r="N97">
        <v>47541.666666666599</v>
      </c>
      <c r="O97">
        <v>16660.147058823499</v>
      </c>
      <c r="P97">
        <v>106912.882352941</v>
      </c>
      <c r="Q97">
        <v>9210.1874741701795</v>
      </c>
      <c r="R97">
        <v>48100.019267755801</v>
      </c>
      <c r="S97">
        <v>57310.206741925896</v>
      </c>
      <c r="T97">
        <v>39705.813725490101</v>
      </c>
      <c r="U97">
        <v>211764.75576153299</v>
      </c>
      <c r="V97">
        <v>251470.56948702401</v>
      </c>
      <c r="W97">
        <v>56529.430512975901</v>
      </c>
      <c r="X97">
        <v>0</v>
      </c>
      <c r="Y97">
        <v>69137</v>
      </c>
      <c r="Z97">
        <v>142625</v>
      </c>
      <c r="AA97">
        <v>51495</v>
      </c>
      <c r="AB97">
        <v>19782</v>
      </c>
      <c r="AC97">
        <v>330458</v>
      </c>
      <c r="AD97">
        <v>2760232</v>
      </c>
      <c r="AE97">
        <v>580167</v>
      </c>
    </row>
    <row r="98" spans="1:31" x14ac:dyDescent="0.45">
      <c r="A98" t="s">
        <v>119</v>
      </c>
      <c r="B98" t="s">
        <v>120</v>
      </c>
      <c r="C98" t="s">
        <v>121</v>
      </c>
      <c r="D98" t="s">
        <v>158</v>
      </c>
      <c r="E98" t="s">
        <v>145</v>
      </c>
      <c r="F98" t="s">
        <v>143</v>
      </c>
      <c r="G98" t="s">
        <v>144</v>
      </c>
      <c r="H98" t="s">
        <v>126</v>
      </c>
      <c r="I98" t="s">
        <v>129</v>
      </c>
      <c r="J98">
        <v>38</v>
      </c>
      <c r="K98">
        <v>2</v>
      </c>
      <c r="L98">
        <v>256120</v>
      </c>
      <c r="M98">
        <v>23045.666666666599</v>
      </c>
      <c r="N98">
        <v>41836.666666666599</v>
      </c>
      <c r="O98">
        <v>27800.009009009002</v>
      </c>
      <c r="P98">
        <v>86674.918918918906</v>
      </c>
      <c r="Q98">
        <v>7557.9690223599</v>
      </c>
      <c r="R98">
        <v>39471.341557394997</v>
      </c>
      <c r="S98">
        <v>47029.3105797549</v>
      </c>
      <c r="T98">
        <v>50845.6756756756</v>
      </c>
      <c r="U98">
        <v>175540.89616534</v>
      </c>
      <c r="V98">
        <v>226386.571841016</v>
      </c>
      <c r="W98">
        <v>29733.428158983701</v>
      </c>
      <c r="X98">
        <v>38</v>
      </c>
      <c r="Y98">
        <v>69137</v>
      </c>
      <c r="Z98">
        <v>125510</v>
      </c>
      <c r="AA98">
        <v>41552</v>
      </c>
      <c r="AB98">
        <v>13575</v>
      </c>
      <c r="AC98">
        <v>253182</v>
      </c>
      <c r="AD98">
        <v>2760232</v>
      </c>
      <c r="AE98">
        <v>580167</v>
      </c>
    </row>
    <row r="99" spans="1:31" x14ac:dyDescent="0.45">
      <c r="A99" t="s">
        <v>119</v>
      </c>
      <c r="B99" t="s">
        <v>120</v>
      </c>
      <c r="C99" t="s">
        <v>121</v>
      </c>
      <c r="D99" t="s">
        <v>158</v>
      </c>
      <c r="E99" t="s">
        <v>145</v>
      </c>
      <c r="F99" t="s">
        <v>143</v>
      </c>
      <c r="G99" t="s">
        <v>144</v>
      </c>
      <c r="H99" t="s">
        <v>128</v>
      </c>
      <c r="I99" t="s">
        <v>129</v>
      </c>
      <c r="J99">
        <v>37</v>
      </c>
      <c r="K99">
        <v>2</v>
      </c>
      <c r="L99">
        <v>246050</v>
      </c>
      <c r="M99">
        <v>23045.666666666599</v>
      </c>
      <c r="N99">
        <v>41836.666666666599</v>
      </c>
      <c r="O99">
        <v>13850.666666666601</v>
      </c>
      <c r="P99">
        <v>84394</v>
      </c>
      <c r="Q99">
        <v>7359.0751007188501</v>
      </c>
      <c r="R99">
        <v>38432.622042726704</v>
      </c>
      <c r="S99">
        <v>45791.697143445599</v>
      </c>
      <c r="T99">
        <v>36896.333333333299</v>
      </c>
      <c r="U99">
        <v>172022.363810112</v>
      </c>
      <c r="V99">
        <v>208918.697143445</v>
      </c>
      <c r="W99">
        <v>37131.302856554299</v>
      </c>
      <c r="X99">
        <v>0</v>
      </c>
      <c r="Y99">
        <v>69137</v>
      </c>
      <c r="Z99">
        <v>125510</v>
      </c>
      <c r="AA99">
        <v>41552</v>
      </c>
      <c r="AB99">
        <v>13575</v>
      </c>
      <c r="AC99">
        <v>253182</v>
      </c>
      <c r="AD99">
        <v>2760232</v>
      </c>
      <c r="AE99">
        <v>580167</v>
      </c>
    </row>
    <row r="100" spans="1:31" x14ac:dyDescent="0.45">
      <c r="A100" t="s">
        <v>119</v>
      </c>
      <c r="B100" t="s">
        <v>120</v>
      </c>
      <c r="C100" t="s">
        <v>121</v>
      </c>
      <c r="D100" t="s">
        <v>158</v>
      </c>
      <c r="E100" t="s">
        <v>145</v>
      </c>
      <c r="F100" t="s">
        <v>143</v>
      </c>
      <c r="G100" t="s">
        <v>144</v>
      </c>
      <c r="H100" t="s">
        <v>130</v>
      </c>
      <c r="I100" t="s">
        <v>129</v>
      </c>
      <c r="J100">
        <v>36</v>
      </c>
      <c r="K100">
        <v>2</v>
      </c>
      <c r="L100">
        <v>239400</v>
      </c>
      <c r="M100">
        <v>23045.666666666599</v>
      </c>
      <c r="N100">
        <v>41836.666666666599</v>
      </c>
      <c r="O100">
        <v>13476.3243243243</v>
      </c>
      <c r="P100">
        <v>82113.081081081007</v>
      </c>
      <c r="Q100">
        <v>7160.1811790778002</v>
      </c>
      <c r="R100">
        <v>37393.902528058403</v>
      </c>
      <c r="S100">
        <v>44554.083707136197</v>
      </c>
      <c r="T100">
        <v>36521.990990990897</v>
      </c>
      <c r="U100">
        <v>168503.831454884</v>
      </c>
      <c r="V100">
        <v>205025.822445875</v>
      </c>
      <c r="W100">
        <v>34374.177554124901</v>
      </c>
      <c r="X100">
        <v>0</v>
      </c>
      <c r="Y100">
        <v>69137</v>
      </c>
      <c r="Z100">
        <v>125510</v>
      </c>
      <c r="AA100">
        <v>41552</v>
      </c>
      <c r="AB100">
        <v>13575</v>
      </c>
      <c r="AC100">
        <v>253182</v>
      </c>
      <c r="AD100">
        <v>2760232</v>
      </c>
      <c r="AE100">
        <v>580167</v>
      </c>
    </row>
    <row r="101" spans="1:31" x14ac:dyDescent="0.45">
      <c r="A101" t="s">
        <v>119</v>
      </c>
      <c r="B101" t="s">
        <v>120</v>
      </c>
      <c r="C101" t="s">
        <v>121</v>
      </c>
      <c r="D101" t="s">
        <v>158</v>
      </c>
      <c r="E101" t="s">
        <v>146</v>
      </c>
      <c r="F101" t="s">
        <v>143</v>
      </c>
      <c r="G101" t="s">
        <v>144</v>
      </c>
      <c r="H101" t="s">
        <v>126</v>
      </c>
      <c r="I101" t="s">
        <v>129</v>
      </c>
      <c r="J101">
        <v>38</v>
      </c>
      <c r="K101">
        <v>2</v>
      </c>
      <c r="L101">
        <v>256120</v>
      </c>
      <c r="M101">
        <v>23045.666666666599</v>
      </c>
      <c r="N101">
        <v>41836.666666666599</v>
      </c>
      <c r="O101">
        <v>28023.009009009002</v>
      </c>
      <c r="P101">
        <v>86674.918918918906</v>
      </c>
      <c r="Q101">
        <v>7557.9690223599</v>
      </c>
      <c r="R101">
        <v>39471.341557394997</v>
      </c>
      <c r="S101">
        <v>47029.3105797549</v>
      </c>
      <c r="T101">
        <v>51068.6756756756</v>
      </c>
      <c r="U101">
        <v>175540.89616534</v>
      </c>
      <c r="V101">
        <v>226609.571841016</v>
      </c>
      <c r="W101">
        <v>29510.428158983701</v>
      </c>
      <c r="X101">
        <v>38</v>
      </c>
      <c r="Y101">
        <v>69137</v>
      </c>
      <c r="Z101">
        <v>125510</v>
      </c>
      <c r="AA101">
        <v>41552</v>
      </c>
      <c r="AB101">
        <v>13798</v>
      </c>
      <c r="AC101">
        <v>253182</v>
      </c>
      <c r="AD101">
        <v>2760232</v>
      </c>
      <c r="AE101">
        <v>580167</v>
      </c>
    </row>
    <row r="102" spans="1:31" x14ac:dyDescent="0.45">
      <c r="A102" t="s">
        <v>119</v>
      </c>
      <c r="B102" t="s">
        <v>120</v>
      </c>
      <c r="C102" t="s">
        <v>121</v>
      </c>
      <c r="D102" t="s">
        <v>158</v>
      </c>
      <c r="E102" t="s">
        <v>146</v>
      </c>
      <c r="F102" t="s">
        <v>143</v>
      </c>
      <c r="G102" t="s">
        <v>144</v>
      </c>
      <c r="H102" t="s">
        <v>128</v>
      </c>
      <c r="I102" t="s">
        <v>129</v>
      </c>
      <c r="J102">
        <v>37</v>
      </c>
      <c r="K102">
        <v>2</v>
      </c>
      <c r="L102">
        <v>246050</v>
      </c>
      <c r="M102">
        <v>23045.666666666599</v>
      </c>
      <c r="N102">
        <v>41836.666666666599</v>
      </c>
      <c r="O102">
        <v>13850.666666666601</v>
      </c>
      <c r="P102">
        <v>84394</v>
      </c>
      <c r="Q102">
        <v>7359.0751007188501</v>
      </c>
      <c r="R102">
        <v>38432.622042726704</v>
      </c>
      <c r="S102">
        <v>45791.697143445599</v>
      </c>
      <c r="T102">
        <v>36896.333333333299</v>
      </c>
      <c r="U102">
        <v>172022.363810112</v>
      </c>
      <c r="V102">
        <v>208918.697143445</v>
      </c>
      <c r="W102">
        <v>37131.302856554299</v>
      </c>
      <c r="X102">
        <v>0</v>
      </c>
      <c r="Y102">
        <v>69137</v>
      </c>
      <c r="Z102">
        <v>125510</v>
      </c>
      <c r="AA102">
        <v>41552</v>
      </c>
      <c r="AB102">
        <v>13798</v>
      </c>
      <c r="AC102">
        <v>253182</v>
      </c>
      <c r="AD102">
        <v>2760232</v>
      </c>
      <c r="AE102">
        <v>580167</v>
      </c>
    </row>
    <row r="103" spans="1:31" x14ac:dyDescent="0.45">
      <c r="A103" t="s">
        <v>119</v>
      </c>
      <c r="B103" t="s">
        <v>120</v>
      </c>
      <c r="C103" t="s">
        <v>121</v>
      </c>
      <c r="D103" t="s">
        <v>158</v>
      </c>
      <c r="E103" t="s">
        <v>146</v>
      </c>
      <c r="F103" t="s">
        <v>143</v>
      </c>
      <c r="G103" t="s">
        <v>144</v>
      </c>
      <c r="H103" t="s">
        <v>130</v>
      </c>
      <c r="I103" t="s">
        <v>129</v>
      </c>
      <c r="J103">
        <v>36</v>
      </c>
      <c r="K103">
        <v>2</v>
      </c>
      <c r="L103">
        <v>239400</v>
      </c>
      <c r="M103">
        <v>23045.666666666599</v>
      </c>
      <c r="N103">
        <v>41836.666666666599</v>
      </c>
      <c r="O103">
        <v>13476.3243243243</v>
      </c>
      <c r="P103">
        <v>82113.081081081007</v>
      </c>
      <c r="Q103">
        <v>7160.1811790778002</v>
      </c>
      <c r="R103">
        <v>37393.902528058403</v>
      </c>
      <c r="S103">
        <v>44554.083707136197</v>
      </c>
      <c r="T103">
        <v>36521.990990990897</v>
      </c>
      <c r="U103">
        <v>168503.831454884</v>
      </c>
      <c r="V103">
        <v>205025.822445875</v>
      </c>
      <c r="W103">
        <v>34374.177554124901</v>
      </c>
      <c r="X103">
        <v>0</v>
      </c>
      <c r="Y103">
        <v>69137</v>
      </c>
      <c r="Z103">
        <v>125510</v>
      </c>
      <c r="AA103">
        <v>41552</v>
      </c>
      <c r="AB103">
        <v>13798</v>
      </c>
      <c r="AC103">
        <v>253182</v>
      </c>
      <c r="AD103">
        <v>2760232</v>
      </c>
      <c r="AE103">
        <v>580167</v>
      </c>
    </row>
    <row r="104" spans="1:31" x14ac:dyDescent="0.45">
      <c r="A104" t="s">
        <v>119</v>
      </c>
      <c r="B104" t="s">
        <v>120</v>
      </c>
      <c r="C104" t="s">
        <v>121</v>
      </c>
      <c r="D104" t="s">
        <v>158</v>
      </c>
      <c r="E104" t="s">
        <v>147</v>
      </c>
      <c r="F104" t="s">
        <v>148</v>
      </c>
      <c r="G104" t="s">
        <v>149</v>
      </c>
      <c r="H104" t="s">
        <v>150</v>
      </c>
      <c r="I104" t="s">
        <v>129</v>
      </c>
      <c r="J104">
        <v>43</v>
      </c>
      <c r="K104">
        <v>2</v>
      </c>
      <c r="L104">
        <v>274770</v>
      </c>
      <c r="M104">
        <v>27342.415254237199</v>
      </c>
      <c r="N104">
        <v>63173.813559321999</v>
      </c>
      <c r="O104">
        <v>32991.105882352902</v>
      </c>
      <c r="P104">
        <v>119920.17058823501</v>
      </c>
      <c r="Q104">
        <v>9023.7533228437896</v>
      </c>
      <c r="R104">
        <v>49331.113140246904</v>
      </c>
      <c r="S104">
        <v>58354.866463090701</v>
      </c>
      <c r="T104">
        <v>60333.5211365902</v>
      </c>
      <c r="U104">
        <v>241448.85061064799</v>
      </c>
      <c r="V104">
        <v>301782.37174723798</v>
      </c>
      <c r="W104">
        <v>-27012.371747238201</v>
      </c>
      <c r="X104">
        <v>43</v>
      </c>
      <c r="Y104">
        <v>92183</v>
      </c>
      <c r="Z104">
        <v>212986</v>
      </c>
      <c r="AA104">
        <v>64636</v>
      </c>
      <c r="AB104">
        <v>33284</v>
      </c>
      <c r="AC104">
        <v>474103</v>
      </c>
      <c r="AD104">
        <v>2760232</v>
      </c>
      <c r="AE104">
        <v>580167</v>
      </c>
    </row>
    <row r="105" spans="1:31" x14ac:dyDescent="0.45">
      <c r="A105" t="s">
        <v>119</v>
      </c>
      <c r="B105" t="s">
        <v>120</v>
      </c>
      <c r="C105" t="s">
        <v>121</v>
      </c>
      <c r="D105" t="s">
        <v>158</v>
      </c>
      <c r="E105" t="s">
        <v>147</v>
      </c>
      <c r="F105" t="s">
        <v>148</v>
      </c>
      <c r="G105" t="s">
        <v>149</v>
      </c>
      <c r="H105" t="s">
        <v>151</v>
      </c>
      <c r="I105" t="s">
        <v>129</v>
      </c>
      <c r="J105">
        <v>42</v>
      </c>
      <c r="K105">
        <v>2</v>
      </c>
      <c r="L105">
        <v>264600</v>
      </c>
      <c r="M105">
        <v>27342.415254237199</v>
      </c>
      <c r="N105">
        <v>63173.813559321999</v>
      </c>
      <c r="O105">
        <v>15968.894117647</v>
      </c>
      <c r="P105">
        <v>117131.329411764</v>
      </c>
      <c r="Q105">
        <v>8813.8985944055603</v>
      </c>
      <c r="R105">
        <v>48183.877950938899</v>
      </c>
      <c r="S105">
        <v>56997.776545344401</v>
      </c>
      <c r="T105">
        <v>43311.309371884301</v>
      </c>
      <c r="U105">
        <v>237302.91951643099</v>
      </c>
      <c r="V105">
        <v>280614.22888831497</v>
      </c>
      <c r="W105">
        <v>-16014.2288883155</v>
      </c>
      <c r="X105">
        <v>0</v>
      </c>
      <c r="Y105">
        <v>92183</v>
      </c>
      <c r="Z105">
        <v>212986</v>
      </c>
      <c r="AA105">
        <v>64636</v>
      </c>
      <c r="AB105">
        <v>33284</v>
      </c>
      <c r="AC105">
        <v>474103</v>
      </c>
      <c r="AD105">
        <v>2760232</v>
      </c>
      <c r="AE105">
        <v>580167</v>
      </c>
    </row>
    <row r="106" spans="1:31" x14ac:dyDescent="0.45">
      <c r="A106" t="s">
        <v>119</v>
      </c>
      <c r="B106" t="s">
        <v>120</v>
      </c>
      <c r="C106" t="s">
        <v>121</v>
      </c>
      <c r="D106" t="s">
        <v>158</v>
      </c>
      <c r="E106" t="s">
        <v>147</v>
      </c>
      <c r="F106" t="s">
        <v>148</v>
      </c>
      <c r="G106" t="s">
        <v>152</v>
      </c>
      <c r="H106" t="s">
        <v>126</v>
      </c>
      <c r="I106" t="s">
        <v>129</v>
      </c>
      <c r="J106">
        <v>43</v>
      </c>
      <c r="K106">
        <v>2</v>
      </c>
      <c r="L106">
        <v>319920</v>
      </c>
      <c r="M106">
        <v>18749.084745762699</v>
      </c>
      <c r="N106">
        <v>43319.186440677899</v>
      </c>
      <c r="O106">
        <v>32991.105882352902</v>
      </c>
      <c r="P106">
        <v>119920.17058823501</v>
      </c>
      <c r="Q106">
        <v>9023.7533228437896</v>
      </c>
      <c r="R106">
        <v>49331.113140246904</v>
      </c>
      <c r="S106">
        <v>58354.866463090701</v>
      </c>
      <c r="T106">
        <v>51740.190628115597</v>
      </c>
      <c r="U106">
        <v>221594.22349200401</v>
      </c>
      <c r="V106">
        <v>273334.41412011901</v>
      </c>
      <c r="W106">
        <v>46585.585879880302</v>
      </c>
      <c r="X106">
        <v>43</v>
      </c>
      <c r="Y106">
        <v>92183</v>
      </c>
      <c r="Z106">
        <v>212986</v>
      </c>
      <c r="AA106">
        <v>64636</v>
      </c>
      <c r="AB106">
        <v>33284</v>
      </c>
      <c r="AC106">
        <v>474103</v>
      </c>
      <c r="AD106">
        <v>2760232</v>
      </c>
      <c r="AE106">
        <v>580167</v>
      </c>
    </row>
    <row r="107" spans="1:31" x14ac:dyDescent="0.45">
      <c r="A107" t="s">
        <v>119</v>
      </c>
      <c r="B107" t="s">
        <v>120</v>
      </c>
      <c r="C107" t="s">
        <v>121</v>
      </c>
      <c r="D107" t="s">
        <v>158</v>
      </c>
      <c r="E107" t="s">
        <v>147</v>
      </c>
      <c r="F107" t="s">
        <v>148</v>
      </c>
      <c r="G107" t="s">
        <v>152</v>
      </c>
      <c r="H107" t="s">
        <v>130</v>
      </c>
      <c r="I107" t="s">
        <v>129</v>
      </c>
      <c r="J107">
        <v>42</v>
      </c>
      <c r="K107">
        <v>2</v>
      </c>
      <c r="L107">
        <v>308700</v>
      </c>
      <c r="M107">
        <v>18749.084745762699</v>
      </c>
      <c r="N107">
        <v>43319.186440677899</v>
      </c>
      <c r="O107">
        <v>15968.894117647</v>
      </c>
      <c r="P107">
        <v>117131.329411764</v>
      </c>
      <c r="Q107">
        <v>8813.8985944055603</v>
      </c>
      <c r="R107">
        <v>48183.877950938899</v>
      </c>
      <c r="S107">
        <v>56997.776545344401</v>
      </c>
      <c r="T107">
        <v>34717.978863409699</v>
      </c>
      <c r="U107">
        <v>217448.29239778701</v>
      </c>
      <c r="V107">
        <v>252166.271261196</v>
      </c>
      <c r="W107">
        <v>56533.728738803002</v>
      </c>
      <c r="X107">
        <v>0</v>
      </c>
      <c r="Y107">
        <v>92183</v>
      </c>
      <c r="Z107">
        <v>212986</v>
      </c>
      <c r="AA107">
        <v>64636</v>
      </c>
      <c r="AB107">
        <v>33284</v>
      </c>
      <c r="AC107">
        <v>474103</v>
      </c>
      <c r="AD107">
        <v>2760232</v>
      </c>
      <c r="AE107">
        <v>580167</v>
      </c>
    </row>
    <row r="108" spans="1:31" x14ac:dyDescent="0.45">
      <c r="A108" t="s">
        <v>119</v>
      </c>
      <c r="B108" t="s">
        <v>120</v>
      </c>
      <c r="C108" t="s">
        <v>121</v>
      </c>
      <c r="D108" t="s">
        <v>158</v>
      </c>
      <c r="E108" t="s">
        <v>153</v>
      </c>
      <c r="F108" t="s">
        <v>148</v>
      </c>
      <c r="G108" t="s">
        <v>149</v>
      </c>
      <c r="H108" t="s">
        <v>150</v>
      </c>
      <c r="I108" t="s">
        <v>129</v>
      </c>
      <c r="J108">
        <v>34</v>
      </c>
      <c r="K108">
        <v>2</v>
      </c>
      <c r="L108">
        <v>200940</v>
      </c>
      <c r="M108">
        <v>27342.415254237199</v>
      </c>
      <c r="N108">
        <v>59225.635593220301</v>
      </c>
      <c r="O108">
        <v>22781.171641790999</v>
      </c>
      <c r="P108">
        <v>96505.194029850696</v>
      </c>
      <c r="Q108">
        <v>6595.1872642034796</v>
      </c>
      <c r="R108">
        <v>36054.612473494097</v>
      </c>
      <c r="S108">
        <v>42649.799737697598</v>
      </c>
      <c r="T108">
        <v>50123.586896028297</v>
      </c>
      <c r="U108">
        <v>198380.62936076801</v>
      </c>
      <c r="V108">
        <v>248504.21625679699</v>
      </c>
      <c r="W108">
        <v>-47564.216256797001</v>
      </c>
      <c r="X108">
        <v>34</v>
      </c>
      <c r="Y108">
        <v>92183</v>
      </c>
      <c r="Z108">
        <v>199675</v>
      </c>
      <c r="AA108">
        <v>50430</v>
      </c>
      <c r="AB108">
        <v>19971</v>
      </c>
      <c r="AC108">
        <v>380344</v>
      </c>
      <c r="AD108">
        <v>2760232</v>
      </c>
      <c r="AE108">
        <v>580167</v>
      </c>
    </row>
    <row r="109" spans="1:31" x14ac:dyDescent="0.45">
      <c r="A109" t="s">
        <v>119</v>
      </c>
      <c r="B109" t="s">
        <v>120</v>
      </c>
      <c r="C109" t="s">
        <v>121</v>
      </c>
      <c r="D109" t="s">
        <v>158</v>
      </c>
      <c r="E109" t="s">
        <v>153</v>
      </c>
      <c r="F109" t="s">
        <v>148</v>
      </c>
      <c r="G109" t="s">
        <v>149</v>
      </c>
      <c r="H109" t="s">
        <v>151</v>
      </c>
      <c r="I109" t="s">
        <v>129</v>
      </c>
      <c r="J109">
        <v>33</v>
      </c>
      <c r="K109">
        <v>2</v>
      </c>
      <c r="L109">
        <v>192060</v>
      </c>
      <c r="M109">
        <v>27342.415254237199</v>
      </c>
      <c r="N109">
        <v>59225.635593220301</v>
      </c>
      <c r="O109">
        <v>12419.328358208901</v>
      </c>
      <c r="P109">
        <v>93666.805970149202</v>
      </c>
      <c r="Q109">
        <v>6401.2111681975002</v>
      </c>
      <c r="R109">
        <v>34994.182694861898</v>
      </c>
      <c r="S109">
        <v>41395.393863059398</v>
      </c>
      <c r="T109">
        <v>39761.743612446196</v>
      </c>
      <c r="U109">
        <v>194287.835426429</v>
      </c>
      <c r="V109">
        <v>234049.579038875</v>
      </c>
      <c r="W109">
        <v>-41989.579038875199</v>
      </c>
      <c r="X109">
        <v>0</v>
      </c>
      <c r="Y109">
        <v>92183</v>
      </c>
      <c r="Z109">
        <v>199675</v>
      </c>
      <c r="AA109">
        <v>50430</v>
      </c>
      <c r="AB109">
        <v>19971</v>
      </c>
      <c r="AC109">
        <v>380344</v>
      </c>
      <c r="AD109">
        <v>2760232</v>
      </c>
      <c r="AE109">
        <v>580167</v>
      </c>
    </row>
    <row r="110" spans="1:31" x14ac:dyDescent="0.45">
      <c r="A110" t="s">
        <v>119</v>
      </c>
      <c r="B110" t="s">
        <v>120</v>
      </c>
      <c r="C110" t="s">
        <v>121</v>
      </c>
      <c r="D110" t="s">
        <v>158</v>
      </c>
      <c r="E110" t="s">
        <v>153</v>
      </c>
      <c r="F110" t="s">
        <v>148</v>
      </c>
      <c r="G110" t="s">
        <v>152</v>
      </c>
      <c r="H110" t="s">
        <v>126</v>
      </c>
      <c r="I110" t="s">
        <v>129</v>
      </c>
      <c r="J110">
        <v>34</v>
      </c>
      <c r="K110">
        <v>2</v>
      </c>
      <c r="L110">
        <v>233920</v>
      </c>
      <c r="M110">
        <v>18749.084745762699</v>
      </c>
      <c r="N110">
        <v>40611.864406779598</v>
      </c>
      <c r="O110">
        <v>22781.171641790999</v>
      </c>
      <c r="P110">
        <v>96505.194029850696</v>
      </c>
      <c r="Q110">
        <v>6595.1872642034796</v>
      </c>
      <c r="R110">
        <v>36054.612473494097</v>
      </c>
      <c r="S110">
        <v>42649.799737697598</v>
      </c>
      <c r="T110">
        <v>41530.256387553702</v>
      </c>
      <c r="U110">
        <v>179766.85817432799</v>
      </c>
      <c r="V110">
        <v>221297.114561881</v>
      </c>
      <c r="W110">
        <v>12622.885438118101</v>
      </c>
      <c r="X110">
        <v>34</v>
      </c>
      <c r="Y110">
        <v>92183</v>
      </c>
      <c r="Z110">
        <v>199675</v>
      </c>
      <c r="AA110">
        <v>50430</v>
      </c>
      <c r="AB110">
        <v>19971</v>
      </c>
      <c r="AC110">
        <v>380344</v>
      </c>
      <c r="AD110">
        <v>2760232</v>
      </c>
      <c r="AE110">
        <v>580167</v>
      </c>
    </row>
    <row r="111" spans="1:31" x14ac:dyDescent="0.45">
      <c r="A111" t="s">
        <v>119</v>
      </c>
      <c r="B111" t="s">
        <v>120</v>
      </c>
      <c r="C111" t="s">
        <v>121</v>
      </c>
      <c r="D111" t="s">
        <v>158</v>
      </c>
      <c r="E111" t="s">
        <v>153</v>
      </c>
      <c r="F111" t="s">
        <v>148</v>
      </c>
      <c r="G111" t="s">
        <v>152</v>
      </c>
      <c r="H111" t="s">
        <v>130</v>
      </c>
      <c r="I111" t="s">
        <v>129</v>
      </c>
      <c r="J111">
        <v>33</v>
      </c>
      <c r="K111">
        <v>2</v>
      </c>
      <c r="L111">
        <v>224070</v>
      </c>
      <c r="M111">
        <v>18749.084745762699</v>
      </c>
      <c r="N111">
        <v>40611.864406779598</v>
      </c>
      <c r="O111">
        <v>12419.328358208901</v>
      </c>
      <c r="P111">
        <v>93666.805970149202</v>
      </c>
      <c r="Q111">
        <v>6401.2111681975002</v>
      </c>
      <c r="R111">
        <v>34994.182694861898</v>
      </c>
      <c r="S111">
        <v>41395.393863059398</v>
      </c>
      <c r="T111">
        <v>31168.413103971601</v>
      </c>
      <c r="U111">
        <v>175674.06423998799</v>
      </c>
      <c r="V111">
        <v>206842.47734396</v>
      </c>
      <c r="W111">
        <v>17227.522656039899</v>
      </c>
      <c r="X111">
        <v>0</v>
      </c>
      <c r="Y111">
        <v>92183</v>
      </c>
      <c r="Z111">
        <v>199675</v>
      </c>
      <c r="AA111">
        <v>50430</v>
      </c>
      <c r="AB111">
        <v>19971</v>
      </c>
      <c r="AC111">
        <v>380344</v>
      </c>
      <c r="AD111">
        <v>2760232</v>
      </c>
      <c r="AE111">
        <v>580167</v>
      </c>
    </row>
    <row r="112" spans="1:31" x14ac:dyDescent="0.45">
      <c r="A112" t="s">
        <v>119</v>
      </c>
      <c r="B112" t="s">
        <v>120</v>
      </c>
      <c r="C112" t="s">
        <v>121</v>
      </c>
      <c r="D112" t="s">
        <v>158</v>
      </c>
      <c r="E112" t="s">
        <v>154</v>
      </c>
      <c r="F112" t="s">
        <v>155</v>
      </c>
      <c r="G112" t="s">
        <v>156</v>
      </c>
      <c r="H112" t="s">
        <v>126</v>
      </c>
      <c r="I112" t="s">
        <v>129</v>
      </c>
      <c r="J112">
        <v>44</v>
      </c>
      <c r="K112">
        <v>2</v>
      </c>
      <c r="L112">
        <v>348920</v>
      </c>
      <c r="M112">
        <v>23045.666666666599</v>
      </c>
      <c r="N112">
        <v>77017.333333333299</v>
      </c>
      <c r="O112">
        <v>44207.589147286802</v>
      </c>
      <c r="P112">
        <v>176691.37984496099</v>
      </c>
      <c r="Q112">
        <v>9190.2032509620494</v>
      </c>
      <c r="R112">
        <v>47729.009551602998</v>
      </c>
      <c r="S112">
        <v>56919.212802565002</v>
      </c>
      <c r="T112">
        <v>67253.255813953496</v>
      </c>
      <c r="U112">
        <v>310627.92598085903</v>
      </c>
      <c r="V112">
        <v>377881.18179481302</v>
      </c>
      <c r="W112">
        <v>-28961.181794813099</v>
      </c>
      <c r="X112">
        <v>44</v>
      </c>
      <c r="Y112">
        <v>69137</v>
      </c>
      <c r="Z112">
        <v>231052</v>
      </c>
      <c r="AA112">
        <v>49010</v>
      </c>
      <c r="AB112">
        <v>27491</v>
      </c>
      <c r="AC112">
        <v>518027</v>
      </c>
      <c r="AD112">
        <v>2760232</v>
      </c>
      <c r="AE112">
        <v>580167</v>
      </c>
    </row>
    <row r="113" spans="1:31" x14ac:dyDescent="0.45">
      <c r="A113" t="s">
        <v>119</v>
      </c>
      <c r="B113" t="s">
        <v>120</v>
      </c>
      <c r="C113" t="s">
        <v>121</v>
      </c>
      <c r="D113" t="s">
        <v>158</v>
      </c>
      <c r="E113" t="s">
        <v>154</v>
      </c>
      <c r="F113" t="s">
        <v>155</v>
      </c>
      <c r="G113" t="s">
        <v>156</v>
      </c>
      <c r="H113" t="s">
        <v>128</v>
      </c>
      <c r="I113" t="s">
        <v>129</v>
      </c>
      <c r="J113">
        <v>43</v>
      </c>
      <c r="K113">
        <v>2</v>
      </c>
      <c r="L113">
        <v>337120</v>
      </c>
      <c r="M113">
        <v>23045.666666666599</v>
      </c>
      <c r="N113">
        <v>77017.333333333299</v>
      </c>
      <c r="O113">
        <v>16336.666666666601</v>
      </c>
      <c r="P113">
        <v>172675.66666666599</v>
      </c>
      <c r="Q113">
        <v>8981.3349952583594</v>
      </c>
      <c r="R113">
        <v>46644.259334521099</v>
      </c>
      <c r="S113">
        <v>55625.5943297794</v>
      </c>
      <c r="T113">
        <v>39382.333333333299</v>
      </c>
      <c r="U113">
        <v>305318.59432977898</v>
      </c>
      <c r="V113">
        <v>344700.927663112</v>
      </c>
      <c r="W113">
        <v>-7580.9276631128096</v>
      </c>
      <c r="X113">
        <v>0</v>
      </c>
      <c r="Y113">
        <v>69137</v>
      </c>
      <c r="Z113">
        <v>231052</v>
      </c>
      <c r="AA113">
        <v>49010</v>
      </c>
      <c r="AB113">
        <v>27491</v>
      </c>
      <c r="AC113">
        <v>518027</v>
      </c>
      <c r="AD113">
        <v>2760232</v>
      </c>
      <c r="AE113">
        <v>580167</v>
      </c>
    </row>
    <row r="114" spans="1:31" x14ac:dyDescent="0.45">
      <c r="A114" t="s">
        <v>119</v>
      </c>
      <c r="B114" t="s">
        <v>120</v>
      </c>
      <c r="C114" t="s">
        <v>121</v>
      </c>
      <c r="D114" t="s">
        <v>158</v>
      </c>
      <c r="E114" t="s">
        <v>154</v>
      </c>
      <c r="F114" t="s">
        <v>155</v>
      </c>
      <c r="G114" t="s">
        <v>156</v>
      </c>
      <c r="H114" t="s">
        <v>130</v>
      </c>
      <c r="I114" t="s">
        <v>129</v>
      </c>
      <c r="J114">
        <v>42</v>
      </c>
      <c r="K114">
        <v>2</v>
      </c>
      <c r="L114">
        <v>329280</v>
      </c>
      <c r="M114">
        <v>23045.666666666599</v>
      </c>
      <c r="N114">
        <v>77017.333333333299</v>
      </c>
      <c r="O114">
        <v>15956.744186046501</v>
      </c>
      <c r="P114">
        <v>168659.953488372</v>
      </c>
      <c r="Q114">
        <v>8772.4667395546803</v>
      </c>
      <c r="R114">
        <v>45559.5091174392</v>
      </c>
      <c r="S114">
        <v>54331.9758569939</v>
      </c>
      <c r="T114">
        <v>39002.410852713103</v>
      </c>
      <c r="U114">
        <v>300009.26267869899</v>
      </c>
      <c r="V114">
        <v>339011.67353141197</v>
      </c>
      <c r="W114">
        <v>-9731.6735314124908</v>
      </c>
      <c r="X114">
        <v>0</v>
      </c>
      <c r="Y114">
        <v>69137</v>
      </c>
      <c r="Z114">
        <v>231052</v>
      </c>
      <c r="AA114">
        <v>49010</v>
      </c>
      <c r="AB114">
        <v>27491</v>
      </c>
      <c r="AC114">
        <v>518027</v>
      </c>
      <c r="AD114">
        <v>2760232</v>
      </c>
      <c r="AE114">
        <v>580167</v>
      </c>
    </row>
    <row r="115" spans="1:31" x14ac:dyDescent="0.45">
      <c r="A115" t="s">
        <v>119</v>
      </c>
      <c r="B115" t="s">
        <v>120</v>
      </c>
      <c r="C115" t="s">
        <v>121</v>
      </c>
      <c r="D115" t="s">
        <v>158</v>
      </c>
      <c r="E115" t="s">
        <v>157</v>
      </c>
      <c r="F115" t="s">
        <v>155</v>
      </c>
      <c r="G115" t="s">
        <v>156</v>
      </c>
      <c r="H115" t="s">
        <v>126</v>
      </c>
      <c r="I115" t="s">
        <v>129</v>
      </c>
      <c r="J115">
        <v>38</v>
      </c>
      <c r="K115">
        <v>2</v>
      </c>
      <c r="L115">
        <v>282720</v>
      </c>
      <c r="M115">
        <v>23045.666666666599</v>
      </c>
      <c r="N115">
        <v>53246.666666666599</v>
      </c>
      <c r="O115">
        <v>31361.009009009002</v>
      </c>
      <c r="P115">
        <v>110312.972972972</v>
      </c>
      <c r="Q115">
        <v>7442.9804641402397</v>
      </c>
      <c r="R115">
        <v>38654.8671410674</v>
      </c>
      <c r="S115">
        <v>46097.8476052076</v>
      </c>
      <c r="T115">
        <v>54406.6756756756</v>
      </c>
      <c r="U115">
        <v>209657.487244847</v>
      </c>
      <c r="V115">
        <v>264064.16292052303</v>
      </c>
      <c r="W115">
        <v>18655.8370794769</v>
      </c>
      <c r="X115">
        <v>38</v>
      </c>
      <c r="Y115">
        <v>69137</v>
      </c>
      <c r="Z115">
        <v>159740</v>
      </c>
      <c r="AA115">
        <v>41552</v>
      </c>
      <c r="AB115">
        <v>17136</v>
      </c>
      <c r="AC115">
        <v>322230</v>
      </c>
      <c r="AD115">
        <v>2760232</v>
      </c>
      <c r="AE115">
        <v>580167</v>
      </c>
    </row>
    <row r="116" spans="1:31" x14ac:dyDescent="0.45">
      <c r="A116" t="s">
        <v>119</v>
      </c>
      <c r="B116" t="s">
        <v>120</v>
      </c>
      <c r="C116" t="s">
        <v>121</v>
      </c>
      <c r="D116" t="s">
        <v>158</v>
      </c>
      <c r="E116" t="s">
        <v>157</v>
      </c>
      <c r="F116" t="s">
        <v>155</v>
      </c>
      <c r="G116" t="s">
        <v>156</v>
      </c>
      <c r="H116" t="s">
        <v>128</v>
      </c>
      <c r="I116" t="s">
        <v>129</v>
      </c>
      <c r="J116">
        <v>37</v>
      </c>
      <c r="K116">
        <v>2</v>
      </c>
      <c r="L116">
        <v>271950</v>
      </c>
      <c r="M116">
        <v>23045.666666666599</v>
      </c>
      <c r="N116">
        <v>53246.666666666599</v>
      </c>
      <c r="O116">
        <v>13850.666666666601</v>
      </c>
      <c r="P116">
        <v>107410</v>
      </c>
      <c r="Q116">
        <v>7247.1125571891798</v>
      </c>
      <c r="R116">
        <v>37637.6337952498</v>
      </c>
      <c r="S116">
        <v>44884.746352438997</v>
      </c>
      <c r="T116">
        <v>36896.333333333299</v>
      </c>
      <c r="U116">
        <v>205541.41301910501</v>
      </c>
      <c r="V116">
        <v>242437.74635243899</v>
      </c>
      <c r="W116">
        <v>29512.253647560901</v>
      </c>
      <c r="X116">
        <v>0</v>
      </c>
      <c r="Y116">
        <v>69137</v>
      </c>
      <c r="Z116">
        <v>159740</v>
      </c>
      <c r="AA116">
        <v>41552</v>
      </c>
      <c r="AB116">
        <v>17136</v>
      </c>
      <c r="AC116">
        <v>322230</v>
      </c>
      <c r="AD116">
        <v>2760232</v>
      </c>
      <c r="AE116">
        <v>580167</v>
      </c>
    </row>
    <row r="117" spans="1:31" x14ac:dyDescent="0.45">
      <c r="A117" t="s">
        <v>119</v>
      </c>
      <c r="B117" t="s">
        <v>120</v>
      </c>
      <c r="C117" t="s">
        <v>121</v>
      </c>
      <c r="D117" t="s">
        <v>158</v>
      </c>
      <c r="E117" t="s">
        <v>157</v>
      </c>
      <c r="F117" t="s">
        <v>155</v>
      </c>
      <c r="G117" t="s">
        <v>156</v>
      </c>
      <c r="H117" t="s">
        <v>130</v>
      </c>
      <c r="I117" t="s">
        <v>129</v>
      </c>
      <c r="J117">
        <v>36</v>
      </c>
      <c r="K117">
        <v>2</v>
      </c>
      <c r="L117">
        <v>264600</v>
      </c>
      <c r="M117">
        <v>23045.666666666599</v>
      </c>
      <c r="N117">
        <v>53246.666666666599</v>
      </c>
      <c r="O117">
        <v>13476.3243243243</v>
      </c>
      <c r="P117">
        <v>104507.027027027</v>
      </c>
      <c r="Q117">
        <v>7051.2446502381199</v>
      </c>
      <c r="R117">
        <v>36620.400449432302</v>
      </c>
      <c r="S117">
        <v>43671.645099670401</v>
      </c>
      <c r="T117">
        <v>36521.990990990897</v>
      </c>
      <c r="U117">
        <v>201425.338793364</v>
      </c>
      <c r="V117">
        <v>237947.32978435501</v>
      </c>
      <c r="W117">
        <v>26652.670215644801</v>
      </c>
      <c r="X117">
        <v>0</v>
      </c>
      <c r="Y117">
        <v>69137</v>
      </c>
      <c r="Z117">
        <v>159740</v>
      </c>
      <c r="AA117">
        <v>41552</v>
      </c>
      <c r="AB117">
        <v>17136</v>
      </c>
      <c r="AC117">
        <v>322230</v>
      </c>
      <c r="AD117">
        <v>2760232</v>
      </c>
      <c r="AE117">
        <v>580167</v>
      </c>
    </row>
    <row r="118" spans="1:31" x14ac:dyDescent="0.45">
      <c r="A118" t="s">
        <v>119</v>
      </c>
      <c r="B118" t="s">
        <v>120</v>
      </c>
      <c r="C118" t="s">
        <v>121</v>
      </c>
      <c r="D118" t="s">
        <v>159</v>
      </c>
      <c r="E118" t="s">
        <v>123</v>
      </c>
      <c r="F118" t="s">
        <v>124</v>
      </c>
      <c r="G118" t="s">
        <v>125</v>
      </c>
      <c r="H118" t="s">
        <v>126</v>
      </c>
      <c r="I118" t="s">
        <v>127</v>
      </c>
      <c r="J118">
        <v>69</v>
      </c>
      <c r="K118">
        <v>3</v>
      </c>
      <c r="L118">
        <v>585810</v>
      </c>
      <c r="M118">
        <v>41317.75</v>
      </c>
      <c r="N118">
        <v>138080.5</v>
      </c>
      <c r="O118">
        <v>54544.529411764699</v>
      </c>
      <c r="P118">
        <v>269066.31176470499</v>
      </c>
      <c r="Q118">
        <v>13683.701831064</v>
      </c>
      <c r="R118">
        <v>67048.015551312594</v>
      </c>
      <c r="S118">
        <v>80731.717382376606</v>
      </c>
      <c r="T118">
        <v>95862.279411764699</v>
      </c>
      <c r="U118">
        <v>487878.52914708201</v>
      </c>
      <c r="V118">
        <v>583740.80855884706</v>
      </c>
      <c r="W118">
        <v>2069.1914411528201</v>
      </c>
      <c r="X118">
        <v>69</v>
      </c>
      <c r="Y118">
        <v>165271</v>
      </c>
      <c r="Z118">
        <v>552322</v>
      </c>
      <c r="AA118">
        <v>129720</v>
      </c>
      <c r="AB118">
        <v>56438</v>
      </c>
      <c r="AC118">
        <v>1325834</v>
      </c>
      <c r="AD118">
        <v>2639292</v>
      </c>
      <c r="AE118">
        <v>499926</v>
      </c>
    </row>
    <row r="119" spans="1:31" x14ac:dyDescent="0.45">
      <c r="A119" t="s">
        <v>119</v>
      </c>
      <c r="B119" t="s">
        <v>120</v>
      </c>
      <c r="C119" t="s">
        <v>121</v>
      </c>
      <c r="D119" t="s">
        <v>159</v>
      </c>
      <c r="E119" t="s">
        <v>123</v>
      </c>
      <c r="F119" t="s">
        <v>124</v>
      </c>
      <c r="G119" t="s">
        <v>125</v>
      </c>
      <c r="H119" t="s">
        <v>128</v>
      </c>
      <c r="I119" t="s">
        <v>129</v>
      </c>
      <c r="J119">
        <v>68</v>
      </c>
      <c r="K119">
        <v>3</v>
      </c>
      <c r="L119">
        <v>533120</v>
      </c>
      <c r="M119">
        <v>33054.199999999997</v>
      </c>
      <c r="N119">
        <v>110464.4</v>
      </c>
      <c r="O119">
        <v>25944</v>
      </c>
      <c r="P119">
        <v>265166.8</v>
      </c>
      <c r="Q119">
        <v>13485.3873117732</v>
      </c>
      <c r="R119">
        <v>66076.3051810037</v>
      </c>
      <c r="S119">
        <v>79561.6924927769</v>
      </c>
      <c r="T119">
        <v>58998.2</v>
      </c>
      <c r="U119">
        <v>455192.89249277598</v>
      </c>
      <c r="V119">
        <v>514191.09249277698</v>
      </c>
      <c r="W119">
        <v>18928.907507222899</v>
      </c>
      <c r="X119">
        <v>0</v>
      </c>
      <c r="Y119">
        <v>165271</v>
      </c>
      <c r="Z119">
        <v>552322</v>
      </c>
      <c r="AA119">
        <v>129720</v>
      </c>
      <c r="AB119">
        <v>56438</v>
      </c>
      <c r="AC119">
        <v>1325834</v>
      </c>
      <c r="AD119">
        <v>2639292</v>
      </c>
      <c r="AE119">
        <v>499926</v>
      </c>
    </row>
    <row r="120" spans="1:31" x14ac:dyDescent="0.45">
      <c r="A120" t="s">
        <v>119</v>
      </c>
      <c r="B120" t="s">
        <v>120</v>
      </c>
      <c r="C120" t="s">
        <v>121</v>
      </c>
      <c r="D120" t="s">
        <v>159</v>
      </c>
      <c r="E120" t="s">
        <v>123</v>
      </c>
      <c r="F120" t="s">
        <v>124</v>
      </c>
      <c r="G120" t="s">
        <v>125</v>
      </c>
      <c r="H120" t="s">
        <v>130</v>
      </c>
      <c r="I120" t="s">
        <v>129</v>
      </c>
      <c r="J120">
        <v>66</v>
      </c>
      <c r="K120">
        <v>3</v>
      </c>
      <c r="L120">
        <v>517440</v>
      </c>
      <c r="M120">
        <v>33054.199999999997</v>
      </c>
      <c r="N120">
        <v>110464.4</v>
      </c>
      <c r="O120">
        <v>25180.9411764705</v>
      </c>
      <c r="P120">
        <v>257367.776470588</v>
      </c>
      <c r="Q120">
        <v>13088.758273191601</v>
      </c>
      <c r="R120">
        <v>64132.884440385897</v>
      </c>
      <c r="S120">
        <v>77221.642713577603</v>
      </c>
      <c r="T120">
        <v>58235.141176470497</v>
      </c>
      <c r="U120">
        <v>445053.81918416498</v>
      </c>
      <c r="V120">
        <v>503288.960360636</v>
      </c>
      <c r="W120">
        <v>14151.0396393634</v>
      </c>
      <c r="X120">
        <v>0</v>
      </c>
      <c r="Y120">
        <v>165271</v>
      </c>
      <c r="Z120">
        <v>552322</v>
      </c>
      <c r="AA120">
        <v>129720</v>
      </c>
      <c r="AB120">
        <v>56438</v>
      </c>
      <c r="AC120">
        <v>1325834</v>
      </c>
      <c r="AD120">
        <v>2639292</v>
      </c>
      <c r="AE120">
        <v>499926</v>
      </c>
    </row>
    <row r="121" spans="1:31" x14ac:dyDescent="0.45">
      <c r="A121" t="s">
        <v>119</v>
      </c>
      <c r="B121" t="s">
        <v>120</v>
      </c>
      <c r="C121" t="s">
        <v>121</v>
      </c>
      <c r="D121" t="s">
        <v>159</v>
      </c>
      <c r="E121" t="s">
        <v>123</v>
      </c>
      <c r="F121" t="s">
        <v>124</v>
      </c>
      <c r="G121" t="s">
        <v>131</v>
      </c>
      <c r="H121" t="s">
        <v>132</v>
      </c>
      <c r="I121" t="s">
        <v>129</v>
      </c>
      <c r="J121">
        <v>69</v>
      </c>
      <c r="K121">
        <v>3</v>
      </c>
      <c r="L121">
        <v>585810</v>
      </c>
      <c r="M121">
        <v>28922.424999999999</v>
      </c>
      <c r="N121">
        <v>96656.349999999904</v>
      </c>
      <c r="O121">
        <v>54544.529411764699</v>
      </c>
      <c r="P121">
        <v>269066.31176470499</v>
      </c>
      <c r="Q121">
        <v>13683.701831064</v>
      </c>
      <c r="R121">
        <v>67048.015551312594</v>
      </c>
      <c r="S121">
        <v>80731.717382376606</v>
      </c>
      <c r="T121">
        <v>83466.954411764702</v>
      </c>
      <c r="U121">
        <v>446454.37914708199</v>
      </c>
      <c r="V121">
        <v>529921.33355884696</v>
      </c>
      <c r="W121">
        <v>55888.666441152804</v>
      </c>
      <c r="X121">
        <v>69</v>
      </c>
      <c r="Y121">
        <v>165271</v>
      </c>
      <c r="Z121">
        <v>552322</v>
      </c>
      <c r="AA121">
        <v>129720</v>
      </c>
      <c r="AB121">
        <v>56438</v>
      </c>
      <c r="AC121">
        <v>1325834</v>
      </c>
      <c r="AD121">
        <v>2639292</v>
      </c>
      <c r="AE121">
        <v>499926</v>
      </c>
    </row>
    <row r="122" spans="1:31" x14ac:dyDescent="0.45">
      <c r="A122" t="s">
        <v>119</v>
      </c>
      <c r="B122" t="s">
        <v>120</v>
      </c>
      <c r="C122" t="s">
        <v>121</v>
      </c>
      <c r="D122" t="s">
        <v>159</v>
      </c>
      <c r="E122" t="s">
        <v>123</v>
      </c>
      <c r="F122" t="s">
        <v>124</v>
      </c>
      <c r="G122" t="s">
        <v>131</v>
      </c>
      <c r="H122" t="s">
        <v>133</v>
      </c>
      <c r="I122" t="s">
        <v>129</v>
      </c>
      <c r="J122">
        <v>68</v>
      </c>
      <c r="K122">
        <v>3</v>
      </c>
      <c r="L122">
        <v>571200</v>
      </c>
      <c r="M122">
        <v>28922.424999999999</v>
      </c>
      <c r="N122">
        <v>96656.349999999904</v>
      </c>
      <c r="O122">
        <v>25944</v>
      </c>
      <c r="P122">
        <v>265166.8</v>
      </c>
      <c r="Q122">
        <v>13485.3873117732</v>
      </c>
      <c r="R122">
        <v>66076.3051810037</v>
      </c>
      <c r="S122">
        <v>79561.6924927769</v>
      </c>
      <c r="T122">
        <v>54866.425000000003</v>
      </c>
      <c r="U122">
        <v>441384.84249277599</v>
      </c>
      <c r="V122">
        <v>496251.26749277598</v>
      </c>
      <c r="W122">
        <v>74948.732507223001</v>
      </c>
      <c r="X122">
        <v>0</v>
      </c>
      <c r="Y122">
        <v>165271</v>
      </c>
      <c r="Z122">
        <v>552322</v>
      </c>
      <c r="AA122">
        <v>129720</v>
      </c>
      <c r="AB122">
        <v>56438</v>
      </c>
      <c r="AC122">
        <v>1325834</v>
      </c>
      <c r="AD122">
        <v>2639292</v>
      </c>
      <c r="AE122">
        <v>499926</v>
      </c>
    </row>
    <row r="123" spans="1:31" x14ac:dyDescent="0.45">
      <c r="A123" t="s">
        <v>119</v>
      </c>
      <c r="B123" t="s">
        <v>120</v>
      </c>
      <c r="C123" t="s">
        <v>121</v>
      </c>
      <c r="D123" t="s">
        <v>159</v>
      </c>
      <c r="E123" t="s">
        <v>134</v>
      </c>
      <c r="F123" t="s">
        <v>124</v>
      </c>
      <c r="G123" t="s">
        <v>125</v>
      </c>
      <c r="H123" t="s">
        <v>126</v>
      </c>
      <c r="I123" t="s">
        <v>127</v>
      </c>
      <c r="J123">
        <v>59</v>
      </c>
      <c r="K123">
        <v>3</v>
      </c>
      <c r="L123">
        <v>469935</v>
      </c>
      <c r="M123">
        <v>41317.788461538403</v>
      </c>
      <c r="N123">
        <v>95462.884615384595</v>
      </c>
      <c r="O123">
        <v>39727.851211072601</v>
      </c>
      <c r="P123">
        <v>159821.40484428999</v>
      </c>
      <c r="Q123">
        <v>10975.1621703086</v>
      </c>
      <c r="R123">
        <v>53776.591521638999</v>
      </c>
      <c r="S123">
        <v>64751.753691947699</v>
      </c>
      <c r="T123">
        <v>81045.639672611098</v>
      </c>
      <c r="U123">
        <v>320036.043151622</v>
      </c>
      <c r="V123">
        <v>401081.68282423401</v>
      </c>
      <c r="W123">
        <v>68853.3171757659</v>
      </c>
      <c r="X123">
        <v>59</v>
      </c>
      <c r="Y123">
        <v>143235</v>
      </c>
      <c r="Z123">
        <v>330938</v>
      </c>
      <c r="AA123">
        <v>110025</v>
      </c>
      <c r="AB123">
        <v>34532</v>
      </c>
      <c r="AC123">
        <v>782854</v>
      </c>
      <c r="AD123">
        <v>2639292</v>
      </c>
      <c r="AE123">
        <v>499926</v>
      </c>
    </row>
    <row r="124" spans="1:31" x14ac:dyDescent="0.45">
      <c r="A124" t="s">
        <v>119</v>
      </c>
      <c r="B124" t="s">
        <v>120</v>
      </c>
      <c r="C124" t="s">
        <v>121</v>
      </c>
      <c r="D124" t="s">
        <v>159</v>
      </c>
      <c r="E124" t="s">
        <v>134</v>
      </c>
      <c r="F124" t="s">
        <v>124</v>
      </c>
      <c r="G124" t="s">
        <v>125</v>
      </c>
      <c r="H124" t="s">
        <v>128</v>
      </c>
      <c r="I124" t="s">
        <v>129</v>
      </c>
      <c r="J124">
        <v>57</v>
      </c>
      <c r="K124">
        <v>2</v>
      </c>
      <c r="L124">
        <v>418950</v>
      </c>
      <c r="M124">
        <v>22036.1538461538</v>
      </c>
      <c r="N124">
        <v>50913.538461538403</v>
      </c>
      <c r="O124">
        <v>21700.432525951499</v>
      </c>
      <c r="P124">
        <v>154403.73010380601</v>
      </c>
      <c r="Q124">
        <v>10603.1227747049</v>
      </c>
      <c r="R124">
        <v>51953.656215820702</v>
      </c>
      <c r="S124">
        <v>62556.778990525701</v>
      </c>
      <c r="T124">
        <v>43736.586372105397</v>
      </c>
      <c r="U124">
        <v>267874.04755587003</v>
      </c>
      <c r="V124">
        <v>311610.63392797502</v>
      </c>
      <c r="W124">
        <v>107339.366072024</v>
      </c>
      <c r="X124">
        <v>0</v>
      </c>
      <c r="Y124">
        <v>143235</v>
      </c>
      <c r="Z124">
        <v>330938</v>
      </c>
      <c r="AA124">
        <v>110025</v>
      </c>
      <c r="AB124">
        <v>34532</v>
      </c>
      <c r="AC124">
        <v>782854</v>
      </c>
      <c r="AD124">
        <v>2639292</v>
      </c>
      <c r="AE124">
        <v>499926</v>
      </c>
    </row>
    <row r="125" spans="1:31" x14ac:dyDescent="0.45">
      <c r="A125" t="s">
        <v>119</v>
      </c>
      <c r="B125" t="s">
        <v>120</v>
      </c>
      <c r="C125" t="s">
        <v>121</v>
      </c>
      <c r="D125" t="s">
        <v>159</v>
      </c>
      <c r="E125" t="s">
        <v>134</v>
      </c>
      <c r="F125" t="s">
        <v>124</v>
      </c>
      <c r="G125" t="s">
        <v>125</v>
      </c>
      <c r="H125" t="s">
        <v>130</v>
      </c>
      <c r="I125" t="s">
        <v>129</v>
      </c>
      <c r="J125">
        <v>56</v>
      </c>
      <c r="K125">
        <v>2</v>
      </c>
      <c r="L125">
        <v>411600</v>
      </c>
      <c r="M125">
        <v>22036.1538461538</v>
      </c>
      <c r="N125">
        <v>50913.538461538403</v>
      </c>
      <c r="O125">
        <v>21319.723183391001</v>
      </c>
      <c r="P125">
        <v>151694.89273356399</v>
      </c>
      <c r="Q125">
        <v>10417.1030769031</v>
      </c>
      <c r="R125">
        <v>51042.1885629116</v>
      </c>
      <c r="S125">
        <v>61459.291639814699</v>
      </c>
      <c r="T125">
        <v>43355.877029544798</v>
      </c>
      <c r="U125">
        <v>264067.72283491702</v>
      </c>
      <c r="V125">
        <v>307423.59986446198</v>
      </c>
      <c r="W125">
        <v>104176.400135537</v>
      </c>
      <c r="X125">
        <v>0</v>
      </c>
      <c r="Y125">
        <v>143235</v>
      </c>
      <c r="Z125">
        <v>330938</v>
      </c>
      <c r="AA125">
        <v>110025</v>
      </c>
      <c r="AB125">
        <v>34532</v>
      </c>
      <c r="AC125">
        <v>782854</v>
      </c>
      <c r="AD125">
        <v>2639292</v>
      </c>
      <c r="AE125">
        <v>499926</v>
      </c>
    </row>
    <row r="126" spans="1:31" x14ac:dyDescent="0.45">
      <c r="A126" t="s">
        <v>119</v>
      </c>
      <c r="B126" t="s">
        <v>120</v>
      </c>
      <c r="C126" t="s">
        <v>121</v>
      </c>
      <c r="D126" t="s">
        <v>159</v>
      </c>
      <c r="E126" t="s">
        <v>134</v>
      </c>
      <c r="F126" t="s">
        <v>124</v>
      </c>
      <c r="G126" t="s">
        <v>131</v>
      </c>
      <c r="H126" t="s">
        <v>132</v>
      </c>
      <c r="I126" t="s">
        <v>129</v>
      </c>
      <c r="J126">
        <v>59</v>
      </c>
      <c r="K126">
        <v>3</v>
      </c>
      <c r="L126">
        <v>469935</v>
      </c>
      <c r="M126">
        <v>28922.4519230769</v>
      </c>
      <c r="N126">
        <v>66824.019230769205</v>
      </c>
      <c r="O126">
        <v>39727.851211072601</v>
      </c>
      <c r="P126">
        <v>159821.40484428999</v>
      </c>
      <c r="Q126">
        <v>10975.1621703086</v>
      </c>
      <c r="R126">
        <v>53776.591521638999</v>
      </c>
      <c r="S126">
        <v>64751.753691947699</v>
      </c>
      <c r="T126">
        <v>68650.303134149493</v>
      </c>
      <c r="U126">
        <v>291397.17776700697</v>
      </c>
      <c r="V126">
        <v>360047.48090115702</v>
      </c>
      <c r="W126">
        <v>109887.51909884201</v>
      </c>
      <c r="X126">
        <v>59</v>
      </c>
      <c r="Y126">
        <v>143235</v>
      </c>
      <c r="Z126">
        <v>330938</v>
      </c>
      <c r="AA126">
        <v>110025</v>
      </c>
      <c r="AB126">
        <v>34532</v>
      </c>
      <c r="AC126">
        <v>782854</v>
      </c>
      <c r="AD126">
        <v>2639292</v>
      </c>
      <c r="AE126">
        <v>499926</v>
      </c>
    </row>
    <row r="127" spans="1:31" x14ac:dyDescent="0.45">
      <c r="A127" t="s">
        <v>119</v>
      </c>
      <c r="B127" t="s">
        <v>120</v>
      </c>
      <c r="C127" t="s">
        <v>121</v>
      </c>
      <c r="D127" t="s">
        <v>159</v>
      </c>
      <c r="E127" t="s">
        <v>134</v>
      </c>
      <c r="F127" t="s">
        <v>124</v>
      </c>
      <c r="G127" t="s">
        <v>131</v>
      </c>
      <c r="H127" t="s">
        <v>133</v>
      </c>
      <c r="I127" t="s">
        <v>129</v>
      </c>
      <c r="J127">
        <v>58</v>
      </c>
      <c r="K127">
        <v>3</v>
      </c>
      <c r="L127">
        <v>456750</v>
      </c>
      <c r="M127">
        <v>28922.4519230769</v>
      </c>
      <c r="N127">
        <v>66824.019230769205</v>
      </c>
      <c r="O127">
        <v>22081.141868512099</v>
      </c>
      <c r="P127">
        <v>157112.567474048</v>
      </c>
      <c r="Q127">
        <v>10789.142472506799</v>
      </c>
      <c r="R127">
        <v>52865.123868729897</v>
      </c>
      <c r="S127">
        <v>63654.266341236696</v>
      </c>
      <c r="T127">
        <v>51003.593791589003</v>
      </c>
      <c r="U127">
        <v>287590.85304605402</v>
      </c>
      <c r="V127">
        <v>338594.44683764299</v>
      </c>
      <c r="W127">
        <v>118155.55316235599</v>
      </c>
      <c r="X127">
        <v>0</v>
      </c>
      <c r="Y127">
        <v>143235</v>
      </c>
      <c r="Z127">
        <v>330938</v>
      </c>
      <c r="AA127">
        <v>110025</v>
      </c>
      <c r="AB127">
        <v>34532</v>
      </c>
      <c r="AC127">
        <v>782854</v>
      </c>
      <c r="AD127">
        <v>2639292</v>
      </c>
      <c r="AE127">
        <v>499926</v>
      </c>
    </row>
    <row r="128" spans="1:31" x14ac:dyDescent="0.45">
      <c r="A128" t="s">
        <v>119</v>
      </c>
      <c r="B128" t="s">
        <v>120</v>
      </c>
      <c r="C128" t="s">
        <v>121</v>
      </c>
      <c r="D128" t="s">
        <v>159</v>
      </c>
      <c r="E128" t="s">
        <v>135</v>
      </c>
      <c r="F128" t="s">
        <v>124</v>
      </c>
      <c r="G128" t="s">
        <v>125</v>
      </c>
      <c r="H128" t="s">
        <v>126</v>
      </c>
      <c r="I128" t="s">
        <v>127</v>
      </c>
      <c r="J128">
        <v>53</v>
      </c>
      <c r="K128">
        <v>2</v>
      </c>
      <c r="L128">
        <v>402270</v>
      </c>
      <c r="M128">
        <v>28131.063829787199</v>
      </c>
      <c r="N128">
        <v>58032.127659574398</v>
      </c>
      <c r="O128">
        <v>33226.034351144997</v>
      </c>
      <c r="P128">
        <v>129019.801526717</v>
      </c>
      <c r="Q128">
        <v>9390.0154179253605</v>
      </c>
      <c r="R128">
        <v>46009.618416186298</v>
      </c>
      <c r="S128">
        <v>55399.633834111599</v>
      </c>
      <c r="T128">
        <v>61357.098180932197</v>
      </c>
      <c r="U128">
        <v>242451.563020403</v>
      </c>
      <c r="V128">
        <v>303808.66120133601</v>
      </c>
      <c r="W128">
        <v>98461.338798663899</v>
      </c>
      <c r="X128">
        <v>53</v>
      </c>
      <c r="Y128">
        <v>132216</v>
      </c>
      <c r="Z128">
        <v>272751</v>
      </c>
      <c r="AA128">
        <v>99837</v>
      </c>
      <c r="AB128">
        <v>26060</v>
      </c>
      <c r="AC128">
        <v>637796</v>
      </c>
      <c r="AD128">
        <v>2639292</v>
      </c>
      <c r="AE128">
        <v>499926</v>
      </c>
    </row>
    <row r="129" spans="1:31" x14ac:dyDescent="0.45">
      <c r="A129" t="s">
        <v>119</v>
      </c>
      <c r="B129" t="s">
        <v>120</v>
      </c>
      <c r="C129" t="s">
        <v>121</v>
      </c>
      <c r="D129" t="s">
        <v>159</v>
      </c>
      <c r="E129" t="s">
        <v>135</v>
      </c>
      <c r="F129" t="s">
        <v>124</v>
      </c>
      <c r="G129" t="s">
        <v>125</v>
      </c>
      <c r="H129" t="s">
        <v>128</v>
      </c>
      <c r="I129" t="s">
        <v>129</v>
      </c>
      <c r="J129">
        <v>52</v>
      </c>
      <c r="K129">
        <v>2</v>
      </c>
      <c r="L129">
        <v>364000</v>
      </c>
      <c r="M129">
        <v>22504.851063829701</v>
      </c>
      <c r="N129">
        <v>46425.702127659497</v>
      </c>
      <c r="O129">
        <v>19814.977099236599</v>
      </c>
      <c r="P129">
        <v>126585.46564885401</v>
      </c>
      <c r="Q129">
        <v>9212.8453157003605</v>
      </c>
      <c r="R129">
        <v>45141.5124083337</v>
      </c>
      <c r="S129">
        <v>54354.357724034096</v>
      </c>
      <c r="T129">
        <v>42319.828163066399</v>
      </c>
      <c r="U129">
        <v>227365.52550054801</v>
      </c>
      <c r="V129">
        <v>269685.35366361501</v>
      </c>
      <c r="W129">
        <v>94314.646336384903</v>
      </c>
      <c r="X129">
        <v>0</v>
      </c>
      <c r="Y129">
        <v>132216</v>
      </c>
      <c r="Z129">
        <v>272751</v>
      </c>
      <c r="AA129">
        <v>99837</v>
      </c>
      <c r="AB129">
        <v>26060</v>
      </c>
      <c r="AC129">
        <v>637796</v>
      </c>
      <c r="AD129">
        <v>2639292</v>
      </c>
      <c r="AE129">
        <v>499926</v>
      </c>
    </row>
    <row r="130" spans="1:31" x14ac:dyDescent="0.45">
      <c r="A130" t="s">
        <v>119</v>
      </c>
      <c r="B130" t="s">
        <v>120</v>
      </c>
      <c r="C130" t="s">
        <v>121</v>
      </c>
      <c r="D130" t="s">
        <v>159</v>
      </c>
      <c r="E130" t="s">
        <v>135</v>
      </c>
      <c r="F130" t="s">
        <v>124</v>
      </c>
      <c r="G130" t="s">
        <v>125</v>
      </c>
      <c r="H130" t="s">
        <v>130</v>
      </c>
      <c r="I130" t="s">
        <v>129</v>
      </c>
      <c r="J130">
        <v>51</v>
      </c>
      <c r="K130">
        <v>2</v>
      </c>
      <c r="L130">
        <v>357000</v>
      </c>
      <c r="M130">
        <v>22504.851063829701</v>
      </c>
      <c r="N130">
        <v>46425.702127659497</v>
      </c>
      <c r="O130">
        <v>19433.919847328201</v>
      </c>
      <c r="P130">
        <v>124151.129770992</v>
      </c>
      <c r="Q130">
        <v>9035.6752134753497</v>
      </c>
      <c r="R130">
        <v>44273.406400481101</v>
      </c>
      <c r="S130">
        <v>53309.081613956499</v>
      </c>
      <c r="T130">
        <v>41938.770911157997</v>
      </c>
      <c r="U130">
        <v>223885.91351260801</v>
      </c>
      <c r="V130">
        <v>265824.68442376598</v>
      </c>
      <c r="W130">
        <v>91175.315576233494</v>
      </c>
      <c r="X130">
        <v>0</v>
      </c>
      <c r="Y130">
        <v>132216</v>
      </c>
      <c r="Z130">
        <v>272751</v>
      </c>
      <c r="AA130">
        <v>99837</v>
      </c>
      <c r="AB130">
        <v>26060</v>
      </c>
      <c r="AC130">
        <v>637796</v>
      </c>
      <c r="AD130">
        <v>2639292</v>
      </c>
      <c r="AE130">
        <v>499926</v>
      </c>
    </row>
    <row r="131" spans="1:31" x14ac:dyDescent="0.45">
      <c r="A131" t="s">
        <v>119</v>
      </c>
      <c r="B131" t="s">
        <v>120</v>
      </c>
      <c r="C131" t="s">
        <v>121</v>
      </c>
      <c r="D131" t="s">
        <v>159</v>
      </c>
      <c r="E131" t="s">
        <v>135</v>
      </c>
      <c r="F131" t="s">
        <v>124</v>
      </c>
      <c r="G131" t="s">
        <v>131</v>
      </c>
      <c r="H131" t="s">
        <v>132</v>
      </c>
      <c r="I131" t="s">
        <v>129</v>
      </c>
      <c r="J131">
        <v>53</v>
      </c>
      <c r="K131">
        <v>3</v>
      </c>
      <c r="L131">
        <v>402270</v>
      </c>
      <c r="M131">
        <v>29537.617021276499</v>
      </c>
      <c r="N131">
        <v>60933.7340425531</v>
      </c>
      <c r="O131">
        <v>33226.034351144997</v>
      </c>
      <c r="P131">
        <v>129019.801526717</v>
      </c>
      <c r="Q131">
        <v>9390.0154179253605</v>
      </c>
      <c r="R131">
        <v>46009.618416186298</v>
      </c>
      <c r="S131">
        <v>55399.633834111599</v>
      </c>
      <c r="T131">
        <v>62763.651372421598</v>
      </c>
      <c r="U131">
        <v>245353.16940338199</v>
      </c>
      <c r="V131">
        <v>308116.82077580399</v>
      </c>
      <c r="W131">
        <v>94153.179224195905</v>
      </c>
      <c r="X131">
        <v>53</v>
      </c>
      <c r="Y131">
        <v>132216</v>
      </c>
      <c r="Z131">
        <v>272751</v>
      </c>
      <c r="AA131">
        <v>99837</v>
      </c>
      <c r="AB131">
        <v>26060</v>
      </c>
      <c r="AC131">
        <v>637796</v>
      </c>
      <c r="AD131">
        <v>2639292</v>
      </c>
      <c r="AE131">
        <v>499926</v>
      </c>
    </row>
    <row r="132" spans="1:31" x14ac:dyDescent="0.45">
      <c r="A132" t="s">
        <v>119</v>
      </c>
      <c r="B132" t="s">
        <v>120</v>
      </c>
      <c r="C132" t="s">
        <v>121</v>
      </c>
      <c r="D132" t="s">
        <v>159</v>
      </c>
      <c r="E132" t="s">
        <v>135</v>
      </c>
      <c r="F132" t="s">
        <v>124</v>
      </c>
      <c r="G132" t="s">
        <v>131</v>
      </c>
      <c r="H132" t="s">
        <v>133</v>
      </c>
      <c r="I132" t="s">
        <v>129</v>
      </c>
      <c r="J132">
        <v>53</v>
      </c>
      <c r="K132">
        <v>3</v>
      </c>
      <c r="L132">
        <v>397500</v>
      </c>
      <c r="M132">
        <v>29537.617021276499</v>
      </c>
      <c r="N132">
        <v>60933.7340425531</v>
      </c>
      <c r="O132">
        <v>20196.034351145001</v>
      </c>
      <c r="P132">
        <v>129019.801526717</v>
      </c>
      <c r="Q132">
        <v>9390.0154179253605</v>
      </c>
      <c r="R132">
        <v>46009.618416186298</v>
      </c>
      <c r="S132">
        <v>55399.633834111599</v>
      </c>
      <c r="T132">
        <v>49733.651372421598</v>
      </c>
      <c r="U132">
        <v>245353.16940338199</v>
      </c>
      <c r="V132">
        <v>295086.82077580399</v>
      </c>
      <c r="W132">
        <v>102413.179224195</v>
      </c>
      <c r="X132">
        <v>0</v>
      </c>
      <c r="Y132">
        <v>132216</v>
      </c>
      <c r="Z132">
        <v>272751</v>
      </c>
      <c r="AA132">
        <v>99837</v>
      </c>
      <c r="AB132">
        <v>26060</v>
      </c>
      <c r="AC132">
        <v>637796</v>
      </c>
      <c r="AD132">
        <v>2639292</v>
      </c>
      <c r="AE132">
        <v>499926</v>
      </c>
    </row>
    <row r="133" spans="1:31" x14ac:dyDescent="0.45">
      <c r="A133" t="s">
        <v>119</v>
      </c>
      <c r="B133" t="s">
        <v>120</v>
      </c>
      <c r="C133" t="s">
        <v>121</v>
      </c>
      <c r="D133" t="s">
        <v>159</v>
      </c>
      <c r="E133" t="s">
        <v>136</v>
      </c>
      <c r="F133" t="s">
        <v>124</v>
      </c>
      <c r="G133" t="s">
        <v>125</v>
      </c>
      <c r="H133" t="s">
        <v>126</v>
      </c>
      <c r="I133" t="s">
        <v>127</v>
      </c>
      <c r="J133">
        <v>45</v>
      </c>
      <c r="K133">
        <v>2</v>
      </c>
      <c r="L133">
        <v>331425</v>
      </c>
      <c r="M133">
        <v>27545</v>
      </c>
      <c r="N133">
        <v>59664.25</v>
      </c>
      <c r="O133">
        <v>27515.785067873301</v>
      </c>
      <c r="P133">
        <v>114883.371040723</v>
      </c>
      <c r="Q133">
        <v>7734.6394647831403</v>
      </c>
      <c r="R133">
        <v>37898.533125100403</v>
      </c>
      <c r="S133">
        <v>45633.172589883499</v>
      </c>
      <c r="T133">
        <v>55060.785067873301</v>
      </c>
      <c r="U133">
        <v>220180.79363060699</v>
      </c>
      <c r="V133">
        <v>275241.57869847998</v>
      </c>
      <c r="W133">
        <v>56183.421301519098</v>
      </c>
      <c r="X133">
        <v>45</v>
      </c>
      <c r="Y133">
        <v>110180</v>
      </c>
      <c r="Z133">
        <v>238657</v>
      </c>
      <c r="AA133">
        <v>84556</v>
      </c>
      <c r="AB133">
        <v>20597</v>
      </c>
      <c r="AC133">
        <v>564205</v>
      </c>
      <c r="AD133">
        <v>2639292</v>
      </c>
      <c r="AE133">
        <v>499926</v>
      </c>
    </row>
    <row r="134" spans="1:31" x14ac:dyDescent="0.45">
      <c r="A134" t="s">
        <v>119</v>
      </c>
      <c r="B134" t="s">
        <v>120</v>
      </c>
      <c r="C134" t="s">
        <v>121</v>
      </c>
      <c r="D134" t="s">
        <v>159</v>
      </c>
      <c r="E134" t="s">
        <v>136</v>
      </c>
      <c r="F134" t="s">
        <v>124</v>
      </c>
      <c r="G134" t="s">
        <v>125</v>
      </c>
      <c r="H134" t="s">
        <v>128</v>
      </c>
      <c r="I134" t="s">
        <v>129</v>
      </c>
      <c r="J134">
        <v>44</v>
      </c>
      <c r="K134">
        <v>2</v>
      </c>
      <c r="L134">
        <v>298760</v>
      </c>
      <c r="M134">
        <v>22036</v>
      </c>
      <c r="N134">
        <v>47731.4</v>
      </c>
      <c r="O134">
        <v>16834.6787330316</v>
      </c>
      <c r="P134">
        <v>112330.407239819</v>
      </c>
      <c r="Q134">
        <v>7562.7585877879601</v>
      </c>
      <c r="R134">
        <v>37056.343500098097</v>
      </c>
      <c r="S134">
        <v>44619.102087886102</v>
      </c>
      <c r="T134">
        <v>38870.6787330316</v>
      </c>
      <c r="U134">
        <v>204680.90932770501</v>
      </c>
      <c r="V134">
        <v>243551.58806073599</v>
      </c>
      <c r="W134">
        <v>55208.411939263096</v>
      </c>
      <c r="X134">
        <v>0</v>
      </c>
      <c r="Y134">
        <v>110180</v>
      </c>
      <c r="Z134">
        <v>238657</v>
      </c>
      <c r="AA134">
        <v>84556</v>
      </c>
      <c r="AB134">
        <v>20597</v>
      </c>
      <c r="AC134">
        <v>564205</v>
      </c>
      <c r="AD134">
        <v>2639292</v>
      </c>
      <c r="AE134">
        <v>499926</v>
      </c>
    </row>
    <row r="135" spans="1:31" x14ac:dyDescent="0.45">
      <c r="A135" t="s">
        <v>119</v>
      </c>
      <c r="B135" t="s">
        <v>120</v>
      </c>
      <c r="C135" t="s">
        <v>121</v>
      </c>
      <c r="D135" t="s">
        <v>159</v>
      </c>
      <c r="E135" t="s">
        <v>136</v>
      </c>
      <c r="F135" t="s">
        <v>124</v>
      </c>
      <c r="G135" t="s">
        <v>125</v>
      </c>
      <c r="H135" t="s">
        <v>130</v>
      </c>
      <c r="I135" t="s">
        <v>129</v>
      </c>
      <c r="J135">
        <v>43</v>
      </c>
      <c r="K135">
        <v>2</v>
      </c>
      <c r="L135">
        <v>291970</v>
      </c>
      <c r="M135">
        <v>22036</v>
      </c>
      <c r="N135">
        <v>47731.4</v>
      </c>
      <c r="O135">
        <v>16452.072398190001</v>
      </c>
      <c r="P135">
        <v>109777.44343891399</v>
      </c>
      <c r="Q135">
        <v>7390.8777107927799</v>
      </c>
      <c r="R135">
        <v>36214.153875095901</v>
      </c>
      <c r="S135">
        <v>43605.031585888697</v>
      </c>
      <c r="T135">
        <v>38488.072398190001</v>
      </c>
      <c r="U135">
        <v>201113.87502480199</v>
      </c>
      <c r="V135">
        <v>239601.947422992</v>
      </c>
      <c r="W135">
        <v>52368.052577007104</v>
      </c>
      <c r="X135">
        <v>0</v>
      </c>
      <c r="Y135">
        <v>110180</v>
      </c>
      <c r="Z135">
        <v>238657</v>
      </c>
      <c r="AA135">
        <v>84556</v>
      </c>
      <c r="AB135">
        <v>20597</v>
      </c>
      <c r="AC135">
        <v>564205</v>
      </c>
      <c r="AD135">
        <v>2639292</v>
      </c>
      <c r="AE135">
        <v>499926</v>
      </c>
    </row>
    <row r="136" spans="1:31" x14ac:dyDescent="0.45">
      <c r="A136" t="s">
        <v>119</v>
      </c>
      <c r="B136" t="s">
        <v>120</v>
      </c>
      <c r="C136" t="s">
        <v>121</v>
      </c>
      <c r="D136" t="s">
        <v>159</v>
      </c>
      <c r="E136" t="s">
        <v>136</v>
      </c>
      <c r="F136" t="s">
        <v>124</v>
      </c>
      <c r="G136" t="s">
        <v>131</v>
      </c>
      <c r="H136" t="s">
        <v>132</v>
      </c>
      <c r="I136" t="s">
        <v>129</v>
      </c>
      <c r="J136">
        <v>45</v>
      </c>
      <c r="K136">
        <v>2</v>
      </c>
      <c r="L136">
        <v>331425</v>
      </c>
      <c r="M136">
        <v>19281.5</v>
      </c>
      <c r="N136">
        <v>41764.974999999999</v>
      </c>
      <c r="O136">
        <v>27515.785067873301</v>
      </c>
      <c r="P136">
        <v>114883.371040723</v>
      </c>
      <c r="Q136">
        <v>7734.6394647831403</v>
      </c>
      <c r="R136">
        <v>37898.533125100403</v>
      </c>
      <c r="S136">
        <v>45633.172589883499</v>
      </c>
      <c r="T136">
        <v>46797.285067873301</v>
      </c>
      <c r="U136">
        <v>202281.518630607</v>
      </c>
      <c r="V136">
        <v>249078.80369848001</v>
      </c>
      <c r="W136">
        <v>82346.1963015191</v>
      </c>
      <c r="X136">
        <v>45</v>
      </c>
      <c r="Y136">
        <v>110180</v>
      </c>
      <c r="Z136">
        <v>238657</v>
      </c>
      <c r="AA136">
        <v>84556</v>
      </c>
      <c r="AB136">
        <v>20597</v>
      </c>
      <c r="AC136">
        <v>564205</v>
      </c>
      <c r="AD136">
        <v>2639292</v>
      </c>
      <c r="AE136">
        <v>499926</v>
      </c>
    </row>
    <row r="137" spans="1:31" x14ac:dyDescent="0.45">
      <c r="A137" t="s">
        <v>119</v>
      </c>
      <c r="B137" t="s">
        <v>120</v>
      </c>
      <c r="C137" t="s">
        <v>121</v>
      </c>
      <c r="D137" t="s">
        <v>159</v>
      </c>
      <c r="E137" t="s">
        <v>136</v>
      </c>
      <c r="F137" t="s">
        <v>124</v>
      </c>
      <c r="G137" t="s">
        <v>131</v>
      </c>
      <c r="H137" t="s">
        <v>133</v>
      </c>
      <c r="I137" t="s">
        <v>129</v>
      </c>
      <c r="J137">
        <v>44</v>
      </c>
      <c r="K137">
        <v>2</v>
      </c>
      <c r="L137">
        <v>320100</v>
      </c>
      <c r="M137">
        <v>19281.5</v>
      </c>
      <c r="N137">
        <v>41764.974999999999</v>
      </c>
      <c r="O137">
        <v>16834.6787330316</v>
      </c>
      <c r="P137">
        <v>112330.407239819</v>
      </c>
      <c r="Q137">
        <v>7562.7585877879601</v>
      </c>
      <c r="R137">
        <v>37056.343500098097</v>
      </c>
      <c r="S137">
        <v>44619.102087886102</v>
      </c>
      <c r="T137">
        <v>36116.1787330316</v>
      </c>
      <c r="U137">
        <v>198714.48432770499</v>
      </c>
      <c r="V137">
        <v>234830.663060736</v>
      </c>
      <c r="W137">
        <v>85269.336939263201</v>
      </c>
      <c r="X137">
        <v>0</v>
      </c>
      <c r="Y137">
        <v>110180</v>
      </c>
      <c r="Z137">
        <v>238657</v>
      </c>
      <c r="AA137">
        <v>84556</v>
      </c>
      <c r="AB137">
        <v>20597</v>
      </c>
      <c r="AC137">
        <v>564205</v>
      </c>
      <c r="AD137">
        <v>2639292</v>
      </c>
      <c r="AE137">
        <v>499926</v>
      </c>
    </row>
    <row r="138" spans="1:31" x14ac:dyDescent="0.45">
      <c r="A138" t="s">
        <v>119</v>
      </c>
      <c r="B138" t="s">
        <v>120</v>
      </c>
      <c r="C138" t="s">
        <v>121</v>
      </c>
      <c r="D138" t="s">
        <v>159</v>
      </c>
      <c r="E138" t="s">
        <v>137</v>
      </c>
      <c r="F138" t="s">
        <v>1</v>
      </c>
      <c r="G138" t="s">
        <v>138</v>
      </c>
      <c r="H138" t="s">
        <v>126</v>
      </c>
      <c r="I138" t="s">
        <v>127</v>
      </c>
      <c r="J138">
        <v>64</v>
      </c>
      <c r="K138">
        <v>3</v>
      </c>
      <c r="L138">
        <v>543360</v>
      </c>
      <c r="M138">
        <v>41317.75</v>
      </c>
      <c r="N138">
        <v>138080.5</v>
      </c>
      <c r="O138">
        <v>49625.808917197399</v>
      </c>
      <c r="P138">
        <v>256736</v>
      </c>
      <c r="Q138">
        <v>12811.6697339288</v>
      </c>
      <c r="R138">
        <v>66301.507049308493</v>
      </c>
      <c r="S138">
        <v>79113.176783237301</v>
      </c>
      <c r="T138">
        <v>90943.558917197399</v>
      </c>
      <c r="U138">
        <v>473929.67678323702</v>
      </c>
      <c r="V138">
        <v>564873.23570043396</v>
      </c>
      <c r="W138">
        <v>-21513.2357004347</v>
      </c>
      <c r="X138">
        <v>64</v>
      </c>
      <c r="Y138">
        <v>165271</v>
      </c>
      <c r="Z138">
        <v>552322</v>
      </c>
      <c r="AA138">
        <v>120212</v>
      </c>
      <c r="AB138">
        <v>50248</v>
      </c>
      <c r="AC138">
        <v>1259611</v>
      </c>
      <c r="AD138">
        <v>2639292</v>
      </c>
      <c r="AE138">
        <v>499926</v>
      </c>
    </row>
    <row r="139" spans="1:31" x14ac:dyDescent="0.45">
      <c r="A139" t="s">
        <v>119</v>
      </c>
      <c r="B139" t="s">
        <v>120</v>
      </c>
      <c r="C139" t="s">
        <v>121</v>
      </c>
      <c r="D139" t="s">
        <v>159</v>
      </c>
      <c r="E139" t="s">
        <v>137</v>
      </c>
      <c r="F139" t="s">
        <v>1</v>
      </c>
      <c r="G139" t="s">
        <v>138</v>
      </c>
      <c r="H139" t="s">
        <v>128</v>
      </c>
      <c r="I139" t="s">
        <v>129</v>
      </c>
      <c r="J139">
        <v>62</v>
      </c>
      <c r="K139">
        <v>3</v>
      </c>
      <c r="L139">
        <v>486080</v>
      </c>
      <c r="M139">
        <v>33054.199999999997</v>
      </c>
      <c r="N139">
        <v>110464.4</v>
      </c>
      <c r="O139">
        <v>23736.127388534998</v>
      </c>
      <c r="P139">
        <v>248713</v>
      </c>
      <c r="Q139">
        <v>12411.3050547436</v>
      </c>
      <c r="R139">
        <v>64229.584954017599</v>
      </c>
      <c r="S139">
        <v>76640.890008761198</v>
      </c>
      <c r="T139">
        <v>56790.327388534999</v>
      </c>
      <c r="U139">
        <v>435818.29000876099</v>
      </c>
      <c r="V139">
        <v>492608.61739729601</v>
      </c>
      <c r="W139">
        <v>-6528.6173972962397</v>
      </c>
      <c r="X139">
        <v>0</v>
      </c>
      <c r="Y139">
        <v>165271</v>
      </c>
      <c r="Z139">
        <v>552322</v>
      </c>
      <c r="AA139">
        <v>120212</v>
      </c>
      <c r="AB139">
        <v>50248</v>
      </c>
      <c r="AC139">
        <v>1259611</v>
      </c>
      <c r="AD139">
        <v>2639292</v>
      </c>
      <c r="AE139">
        <v>499926</v>
      </c>
    </row>
    <row r="140" spans="1:31" x14ac:dyDescent="0.45">
      <c r="A140" t="s">
        <v>119</v>
      </c>
      <c r="B140" t="s">
        <v>120</v>
      </c>
      <c r="C140" t="s">
        <v>121</v>
      </c>
      <c r="D140" t="s">
        <v>159</v>
      </c>
      <c r="E140" t="s">
        <v>137</v>
      </c>
      <c r="F140" t="s">
        <v>1</v>
      </c>
      <c r="G140" t="s">
        <v>138</v>
      </c>
      <c r="H140" t="s">
        <v>130</v>
      </c>
      <c r="I140" t="s">
        <v>129</v>
      </c>
      <c r="J140">
        <v>61</v>
      </c>
      <c r="K140">
        <v>3</v>
      </c>
      <c r="L140">
        <v>478240</v>
      </c>
      <c r="M140">
        <v>33054.199999999997</v>
      </c>
      <c r="N140">
        <v>110464.4</v>
      </c>
      <c r="O140">
        <v>23353.2866242038</v>
      </c>
      <c r="P140">
        <v>244701.5</v>
      </c>
      <c r="Q140">
        <v>12211.122715150899</v>
      </c>
      <c r="R140">
        <v>63193.6239063721</v>
      </c>
      <c r="S140">
        <v>75404.746621523096</v>
      </c>
      <c r="T140">
        <v>56407.486624203797</v>
      </c>
      <c r="U140">
        <v>430570.64662152302</v>
      </c>
      <c r="V140">
        <v>486978.13324572699</v>
      </c>
      <c r="W140">
        <v>-8738.1332457269891</v>
      </c>
      <c r="X140">
        <v>0</v>
      </c>
      <c r="Y140">
        <v>165271</v>
      </c>
      <c r="Z140">
        <v>552322</v>
      </c>
      <c r="AA140">
        <v>120212</v>
      </c>
      <c r="AB140">
        <v>50248</v>
      </c>
      <c r="AC140">
        <v>1259611</v>
      </c>
      <c r="AD140">
        <v>2639292</v>
      </c>
      <c r="AE140">
        <v>499926</v>
      </c>
    </row>
    <row r="141" spans="1:31" x14ac:dyDescent="0.45">
      <c r="A141" t="s">
        <v>119</v>
      </c>
      <c r="B141" t="s">
        <v>120</v>
      </c>
      <c r="C141" t="s">
        <v>121</v>
      </c>
      <c r="D141" t="s">
        <v>159</v>
      </c>
      <c r="E141" t="s">
        <v>137</v>
      </c>
      <c r="F141" t="s">
        <v>1</v>
      </c>
      <c r="G141" t="s">
        <v>139</v>
      </c>
      <c r="H141" t="s">
        <v>132</v>
      </c>
      <c r="I141" t="s">
        <v>129</v>
      </c>
      <c r="J141">
        <v>64</v>
      </c>
      <c r="K141">
        <v>3</v>
      </c>
      <c r="L141">
        <v>543360</v>
      </c>
      <c r="M141">
        <v>28922.424999999999</v>
      </c>
      <c r="N141">
        <v>96656.349999999904</v>
      </c>
      <c r="O141">
        <v>49625.808917197399</v>
      </c>
      <c r="P141">
        <v>256736</v>
      </c>
      <c r="Q141">
        <v>12811.6697339288</v>
      </c>
      <c r="R141">
        <v>66301.507049308493</v>
      </c>
      <c r="S141">
        <v>79113.176783237301</v>
      </c>
      <c r="T141">
        <v>78548.233917197402</v>
      </c>
      <c r="U141">
        <v>432505.526783237</v>
      </c>
      <c r="V141">
        <v>511053.76070043398</v>
      </c>
      <c r="W141">
        <v>32306.239299565201</v>
      </c>
      <c r="X141">
        <v>64</v>
      </c>
      <c r="Y141">
        <v>165271</v>
      </c>
      <c r="Z141">
        <v>552322</v>
      </c>
      <c r="AA141">
        <v>120212</v>
      </c>
      <c r="AB141">
        <v>50248</v>
      </c>
      <c r="AC141">
        <v>1259611</v>
      </c>
      <c r="AD141">
        <v>2639292</v>
      </c>
      <c r="AE141">
        <v>499926</v>
      </c>
    </row>
    <row r="142" spans="1:31" x14ac:dyDescent="0.45">
      <c r="A142" t="s">
        <v>119</v>
      </c>
      <c r="B142" t="s">
        <v>120</v>
      </c>
      <c r="C142" t="s">
        <v>121</v>
      </c>
      <c r="D142" t="s">
        <v>159</v>
      </c>
      <c r="E142" t="s">
        <v>137</v>
      </c>
      <c r="F142" t="s">
        <v>1</v>
      </c>
      <c r="G142" t="s">
        <v>139</v>
      </c>
      <c r="H142" t="s">
        <v>133</v>
      </c>
      <c r="I142" t="s">
        <v>129</v>
      </c>
      <c r="J142">
        <v>63</v>
      </c>
      <c r="K142">
        <v>3</v>
      </c>
      <c r="L142">
        <v>529200</v>
      </c>
      <c r="M142">
        <v>28922.424999999999</v>
      </c>
      <c r="N142">
        <v>96656.349999999904</v>
      </c>
      <c r="O142">
        <v>24118.9681528662</v>
      </c>
      <c r="P142">
        <v>252724.5</v>
      </c>
      <c r="Q142">
        <v>12611.4873943362</v>
      </c>
      <c r="R142">
        <v>65265.546001663002</v>
      </c>
      <c r="S142">
        <v>77877.0333959993</v>
      </c>
      <c r="T142">
        <v>53041.3931528662</v>
      </c>
      <c r="U142">
        <v>427257.88339599897</v>
      </c>
      <c r="V142">
        <v>480299.27654886502</v>
      </c>
      <c r="W142">
        <v>48900.7234511344</v>
      </c>
      <c r="X142">
        <v>0</v>
      </c>
      <c r="Y142">
        <v>165271</v>
      </c>
      <c r="Z142">
        <v>552322</v>
      </c>
      <c r="AA142">
        <v>120212</v>
      </c>
      <c r="AB142">
        <v>50248</v>
      </c>
      <c r="AC142">
        <v>1259611</v>
      </c>
      <c r="AD142">
        <v>2639292</v>
      </c>
      <c r="AE142">
        <v>499926</v>
      </c>
    </row>
    <row r="143" spans="1:31" x14ac:dyDescent="0.45">
      <c r="A143" t="s">
        <v>119</v>
      </c>
      <c r="B143" t="s">
        <v>120</v>
      </c>
      <c r="C143" t="s">
        <v>121</v>
      </c>
      <c r="D143" t="s">
        <v>159</v>
      </c>
      <c r="E143" t="s">
        <v>140</v>
      </c>
      <c r="F143" t="s">
        <v>1</v>
      </c>
      <c r="G143" t="s">
        <v>138</v>
      </c>
      <c r="H143" t="s">
        <v>126</v>
      </c>
      <c r="I143" t="s">
        <v>127</v>
      </c>
      <c r="J143">
        <v>44</v>
      </c>
      <c r="K143">
        <v>2</v>
      </c>
      <c r="L143">
        <v>327360</v>
      </c>
      <c r="M143">
        <v>27545</v>
      </c>
      <c r="N143">
        <v>52277.25</v>
      </c>
      <c r="O143">
        <v>27222.200460829401</v>
      </c>
      <c r="P143">
        <v>98875.502304147405</v>
      </c>
      <c r="Q143">
        <v>7711.7395562803504</v>
      </c>
      <c r="R143">
        <v>39908.924064682004</v>
      </c>
      <c r="S143">
        <v>47620.663620962398</v>
      </c>
      <c r="T143">
        <v>54767.200460829401</v>
      </c>
      <c r="U143">
        <v>198773.415925109</v>
      </c>
      <c r="V143">
        <v>253540.61638593901</v>
      </c>
      <c r="W143">
        <v>73819.3836140606</v>
      </c>
      <c r="X143">
        <v>44</v>
      </c>
      <c r="Y143">
        <v>110180</v>
      </c>
      <c r="Z143">
        <v>209109</v>
      </c>
      <c r="AA143">
        <v>82858</v>
      </c>
      <c r="AB143">
        <v>20843</v>
      </c>
      <c r="AC143">
        <v>487636</v>
      </c>
      <c r="AD143">
        <v>2639292</v>
      </c>
      <c r="AE143">
        <v>499926</v>
      </c>
    </row>
    <row r="144" spans="1:31" x14ac:dyDescent="0.45">
      <c r="A144" t="s">
        <v>119</v>
      </c>
      <c r="B144" t="s">
        <v>120</v>
      </c>
      <c r="C144" t="s">
        <v>121</v>
      </c>
      <c r="D144" t="s">
        <v>159</v>
      </c>
      <c r="E144" t="s">
        <v>140</v>
      </c>
      <c r="F144" t="s">
        <v>1</v>
      </c>
      <c r="G144" t="s">
        <v>138</v>
      </c>
      <c r="H144" t="s">
        <v>128</v>
      </c>
      <c r="I144" t="s">
        <v>129</v>
      </c>
      <c r="J144">
        <v>43</v>
      </c>
      <c r="K144">
        <v>2</v>
      </c>
      <c r="L144">
        <v>294980</v>
      </c>
      <c r="M144">
        <v>22036</v>
      </c>
      <c r="N144">
        <v>41821.800000000003</v>
      </c>
      <c r="O144">
        <v>16418.866359447002</v>
      </c>
      <c r="P144">
        <v>96628.331797235005</v>
      </c>
      <c r="Q144">
        <v>7536.4727481830696</v>
      </c>
      <c r="R144">
        <v>39001.903063211998</v>
      </c>
      <c r="S144">
        <v>46538.375811395003</v>
      </c>
      <c r="T144">
        <v>38454.866359446998</v>
      </c>
      <c r="U144">
        <v>184988.50760863</v>
      </c>
      <c r="V144">
        <v>223443.37396807701</v>
      </c>
      <c r="W144">
        <v>71536.626031922904</v>
      </c>
      <c r="X144">
        <v>0</v>
      </c>
      <c r="Y144">
        <v>110180</v>
      </c>
      <c r="Z144">
        <v>209109</v>
      </c>
      <c r="AA144">
        <v>82858</v>
      </c>
      <c r="AB144">
        <v>20843</v>
      </c>
      <c r="AC144">
        <v>487636</v>
      </c>
      <c r="AD144">
        <v>2639292</v>
      </c>
      <c r="AE144">
        <v>499926</v>
      </c>
    </row>
    <row r="145" spans="1:31" x14ac:dyDescent="0.45">
      <c r="A145" t="s">
        <v>119</v>
      </c>
      <c r="B145" t="s">
        <v>120</v>
      </c>
      <c r="C145" t="s">
        <v>121</v>
      </c>
      <c r="D145" t="s">
        <v>159</v>
      </c>
      <c r="E145" t="s">
        <v>140</v>
      </c>
      <c r="F145" t="s">
        <v>1</v>
      </c>
      <c r="G145" t="s">
        <v>138</v>
      </c>
      <c r="H145" t="s">
        <v>130</v>
      </c>
      <c r="I145" t="s">
        <v>129</v>
      </c>
      <c r="J145">
        <v>42</v>
      </c>
      <c r="K145">
        <v>2</v>
      </c>
      <c r="L145">
        <v>288120</v>
      </c>
      <c r="M145">
        <v>22036</v>
      </c>
      <c r="N145">
        <v>41821.800000000003</v>
      </c>
      <c r="O145">
        <v>16037.032258064501</v>
      </c>
      <c r="P145">
        <v>94381.161290322503</v>
      </c>
      <c r="Q145">
        <v>7361.2059400857897</v>
      </c>
      <c r="R145">
        <v>38094.882061741897</v>
      </c>
      <c r="S145">
        <v>45456.088001827702</v>
      </c>
      <c r="T145">
        <v>38073.032258064501</v>
      </c>
      <c r="U145">
        <v>181659.04929215001</v>
      </c>
      <c r="V145">
        <v>219732.081550214</v>
      </c>
      <c r="W145">
        <v>68387.918449785095</v>
      </c>
      <c r="X145">
        <v>0</v>
      </c>
      <c r="Y145">
        <v>110180</v>
      </c>
      <c r="Z145">
        <v>209109</v>
      </c>
      <c r="AA145">
        <v>82858</v>
      </c>
      <c r="AB145">
        <v>20843</v>
      </c>
      <c r="AC145">
        <v>487636</v>
      </c>
      <c r="AD145">
        <v>2639292</v>
      </c>
      <c r="AE145">
        <v>499926</v>
      </c>
    </row>
    <row r="146" spans="1:31" x14ac:dyDescent="0.45">
      <c r="A146" t="s">
        <v>119</v>
      </c>
      <c r="B146" t="s">
        <v>120</v>
      </c>
      <c r="C146" t="s">
        <v>121</v>
      </c>
      <c r="D146" t="s">
        <v>159</v>
      </c>
      <c r="E146" t="s">
        <v>140</v>
      </c>
      <c r="F146" t="s">
        <v>1</v>
      </c>
      <c r="G146" t="s">
        <v>139</v>
      </c>
      <c r="H146" t="s">
        <v>132</v>
      </c>
      <c r="I146" t="s">
        <v>129</v>
      </c>
      <c r="J146">
        <v>44</v>
      </c>
      <c r="K146">
        <v>2</v>
      </c>
      <c r="L146">
        <v>327360</v>
      </c>
      <c r="M146">
        <v>19281.5</v>
      </c>
      <c r="N146">
        <v>36594.074999999997</v>
      </c>
      <c r="O146">
        <v>27222.200460829401</v>
      </c>
      <c r="P146">
        <v>98875.502304147405</v>
      </c>
      <c r="Q146">
        <v>7711.7395562803504</v>
      </c>
      <c r="R146">
        <v>39908.924064682004</v>
      </c>
      <c r="S146">
        <v>47620.663620962398</v>
      </c>
      <c r="T146">
        <v>46503.700460829401</v>
      </c>
      <c r="U146">
        <v>183090.24092510901</v>
      </c>
      <c r="V146">
        <v>229593.94138593899</v>
      </c>
      <c r="W146">
        <v>97766.058614060603</v>
      </c>
      <c r="X146">
        <v>44</v>
      </c>
      <c r="Y146">
        <v>110180</v>
      </c>
      <c r="Z146">
        <v>209109</v>
      </c>
      <c r="AA146">
        <v>82858</v>
      </c>
      <c r="AB146">
        <v>20843</v>
      </c>
      <c r="AC146">
        <v>487636</v>
      </c>
      <c r="AD146">
        <v>2639292</v>
      </c>
      <c r="AE146">
        <v>499926</v>
      </c>
    </row>
    <row r="147" spans="1:31" x14ac:dyDescent="0.45">
      <c r="A147" t="s">
        <v>119</v>
      </c>
      <c r="B147" t="s">
        <v>120</v>
      </c>
      <c r="C147" t="s">
        <v>121</v>
      </c>
      <c r="D147" t="s">
        <v>159</v>
      </c>
      <c r="E147" t="s">
        <v>140</v>
      </c>
      <c r="F147" t="s">
        <v>1</v>
      </c>
      <c r="G147" t="s">
        <v>139</v>
      </c>
      <c r="H147" t="s">
        <v>133</v>
      </c>
      <c r="I147" t="s">
        <v>129</v>
      </c>
      <c r="J147">
        <v>44</v>
      </c>
      <c r="K147">
        <v>2</v>
      </c>
      <c r="L147">
        <v>323400</v>
      </c>
      <c r="M147">
        <v>19281.5</v>
      </c>
      <c r="N147">
        <v>36594.074999999997</v>
      </c>
      <c r="O147">
        <v>16800.700460829401</v>
      </c>
      <c r="P147">
        <v>98875.502304147405</v>
      </c>
      <c r="Q147">
        <v>7711.7395562803504</v>
      </c>
      <c r="R147">
        <v>39908.924064682004</v>
      </c>
      <c r="S147">
        <v>47620.663620962398</v>
      </c>
      <c r="T147">
        <v>36082.200460829401</v>
      </c>
      <c r="U147">
        <v>183090.24092510901</v>
      </c>
      <c r="V147">
        <v>219172.44138593899</v>
      </c>
      <c r="W147">
        <v>104227.55861406001</v>
      </c>
      <c r="X147">
        <v>0</v>
      </c>
      <c r="Y147">
        <v>110180</v>
      </c>
      <c r="Z147">
        <v>209109</v>
      </c>
      <c r="AA147">
        <v>82858</v>
      </c>
      <c r="AB147">
        <v>20843</v>
      </c>
      <c r="AC147">
        <v>487636</v>
      </c>
      <c r="AD147">
        <v>2639292</v>
      </c>
      <c r="AE147">
        <v>499926</v>
      </c>
    </row>
    <row r="148" spans="1:31" x14ac:dyDescent="0.45">
      <c r="A148" t="s">
        <v>119</v>
      </c>
      <c r="B148" t="s">
        <v>120</v>
      </c>
      <c r="C148" t="s">
        <v>121</v>
      </c>
      <c r="D148" t="s">
        <v>159</v>
      </c>
      <c r="E148" t="s">
        <v>141</v>
      </c>
      <c r="F148" t="s">
        <v>1</v>
      </c>
      <c r="G148" t="s">
        <v>138</v>
      </c>
      <c r="H148" t="s">
        <v>126</v>
      </c>
      <c r="I148" t="s">
        <v>127</v>
      </c>
      <c r="J148">
        <v>42</v>
      </c>
      <c r="K148">
        <v>2</v>
      </c>
      <c r="L148">
        <v>306180</v>
      </c>
      <c r="M148">
        <v>27545</v>
      </c>
      <c r="N148">
        <v>51141</v>
      </c>
      <c r="O148">
        <v>25118.7330097087</v>
      </c>
      <c r="P148">
        <v>93776.621359223296</v>
      </c>
      <c r="Q148">
        <v>7211.2092529059901</v>
      </c>
      <c r="R148">
        <v>37318.6361375993</v>
      </c>
      <c r="S148">
        <v>44529.845390505303</v>
      </c>
      <c r="T148">
        <v>52663.733009708703</v>
      </c>
      <c r="U148">
        <v>189447.46674972799</v>
      </c>
      <c r="V148">
        <v>242111.199759437</v>
      </c>
      <c r="W148">
        <v>64068.800240562603</v>
      </c>
      <c r="X148">
        <v>42</v>
      </c>
      <c r="Y148">
        <v>110180</v>
      </c>
      <c r="Z148">
        <v>204564</v>
      </c>
      <c r="AA148">
        <v>78443</v>
      </c>
      <c r="AB148">
        <v>18251</v>
      </c>
      <c r="AC148">
        <v>459952</v>
      </c>
      <c r="AD148">
        <v>2639292</v>
      </c>
      <c r="AE148">
        <v>499926</v>
      </c>
    </row>
    <row r="149" spans="1:31" x14ac:dyDescent="0.45">
      <c r="A149" t="s">
        <v>119</v>
      </c>
      <c r="B149" t="s">
        <v>120</v>
      </c>
      <c r="C149" t="s">
        <v>121</v>
      </c>
      <c r="D149" t="s">
        <v>159</v>
      </c>
      <c r="E149" t="s">
        <v>141</v>
      </c>
      <c r="F149" t="s">
        <v>1</v>
      </c>
      <c r="G149" t="s">
        <v>138</v>
      </c>
      <c r="H149" t="s">
        <v>128</v>
      </c>
      <c r="I149" t="s">
        <v>129</v>
      </c>
      <c r="J149">
        <v>41</v>
      </c>
      <c r="K149">
        <v>2</v>
      </c>
      <c r="L149">
        <v>275520</v>
      </c>
      <c r="M149">
        <v>22036</v>
      </c>
      <c r="N149">
        <v>40912.800000000003</v>
      </c>
      <c r="O149">
        <v>15612.441747572801</v>
      </c>
      <c r="P149">
        <v>91543.844660194096</v>
      </c>
      <c r="Q149">
        <v>7039.5137945034703</v>
      </c>
      <c r="R149">
        <v>36430.097181942103</v>
      </c>
      <c r="S149">
        <v>43469.610976445598</v>
      </c>
      <c r="T149">
        <v>37648.441747572797</v>
      </c>
      <c r="U149">
        <v>175926.25563663899</v>
      </c>
      <c r="V149">
        <v>213574.69738421199</v>
      </c>
      <c r="W149">
        <v>61945.302615787303</v>
      </c>
      <c r="X149">
        <v>0</v>
      </c>
      <c r="Y149">
        <v>110180</v>
      </c>
      <c r="Z149">
        <v>204564</v>
      </c>
      <c r="AA149">
        <v>78443</v>
      </c>
      <c r="AB149">
        <v>18251</v>
      </c>
      <c r="AC149">
        <v>459952</v>
      </c>
      <c r="AD149">
        <v>2639292</v>
      </c>
      <c r="AE149">
        <v>499926</v>
      </c>
    </row>
    <row r="150" spans="1:31" x14ac:dyDescent="0.45">
      <c r="A150" t="s">
        <v>119</v>
      </c>
      <c r="B150" t="s">
        <v>120</v>
      </c>
      <c r="C150" t="s">
        <v>121</v>
      </c>
      <c r="D150" t="s">
        <v>159</v>
      </c>
      <c r="E150" t="s">
        <v>141</v>
      </c>
      <c r="F150" t="s">
        <v>1</v>
      </c>
      <c r="G150" t="s">
        <v>138</v>
      </c>
      <c r="H150" t="s">
        <v>130</v>
      </c>
      <c r="I150" t="s">
        <v>129</v>
      </c>
      <c r="J150">
        <v>40</v>
      </c>
      <c r="K150">
        <v>2</v>
      </c>
      <c r="L150">
        <v>268800</v>
      </c>
      <c r="M150">
        <v>22036</v>
      </c>
      <c r="N150">
        <v>40912.800000000003</v>
      </c>
      <c r="O150">
        <v>15231.650485436799</v>
      </c>
      <c r="P150">
        <v>89311.067961164998</v>
      </c>
      <c r="Q150">
        <v>6867.8183361009396</v>
      </c>
      <c r="R150">
        <v>35541.558226285</v>
      </c>
      <c r="S150">
        <v>42409.376562386002</v>
      </c>
      <c r="T150">
        <v>37267.650485436803</v>
      </c>
      <c r="U150">
        <v>172633.24452355099</v>
      </c>
      <c r="V150">
        <v>209900.89500898699</v>
      </c>
      <c r="W150">
        <v>58899.104991011998</v>
      </c>
      <c r="X150">
        <v>0</v>
      </c>
      <c r="Y150">
        <v>110180</v>
      </c>
      <c r="Z150">
        <v>204564</v>
      </c>
      <c r="AA150">
        <v>78443</v>
      </c>
      <c r="AB150">
        <v>18251</v>
      </c>
      <c r="AC150">
        <v>459952</v>
      </c>
      <c r="AD150">
        <v>2639292</v>
      </c>
      <c r="AE150">
        <v>499926</v>
      </c>
    </row>
    <row r="151" spans="1:31" x14ac:dyDescent="0.45">
      <c r="A151" t="s">
        <v>119</v>
      </c>
      <c r="B151" t="s">
        <v>120</v>
      </c>
      <c r="C151" t="s">
        <v>121</v>
      </c>
      <c r="D151" t="s">
        <v>159</v>
      </c>
      <c r="E151" t="s">
        <v>141</v>
      </c>
      <c r="F151" t="s">
        <v>1</v>
      </c>
      <c r="G151" t="s">
        <v>139</v>
      </c>
      <c r="H151" t="s">
        <v>132</v>
      </c>
      <c r="I151" t="s">
        <v>129</v>
      </c>
      <c r="J151">
        <v>42</v>
      </c>
      <c r="K151">
        <v>2</v>
      </c>
      <c r="L151">
        <v>306180</v>
      </c>
      <c r="M151">
        <v>19281.5</v>
      </c>
      <c r="N151">
        <v>35798.699999999997</v>
      </c>
      <c r="O151">
        <v>25118.7330097087</v>
      </c>
      <c r="P151">
        <v>93776.621359223296</v>
      </c>
      <c r="Q151">
        <v>7211.2092529059901</v>
      </c>
      <c r="R151">
        <v>37318.6361375993</v>
      </c>
      <c r="S151">
        <v>44529.845390505303</v>
      </c>
      <c r="T151">
        <v>44400.233009708703</v>
      </c>
      <c r="U151">
        <v>174105.166749728</v>
      </c>
      <c r="V151">
        <v>218505.39975943699</v>
      </c>
      <c r="W151">
        <v>87674.600240562606</v>
      </c>
      <c r="X151">
        <v>42</v>
      </c>
      <c r="Y151">
        <v>110180</v>
      </c>
      <c r="Z151">
        <v>204564</v>
      </c>
      <c r="AA151">
        <v>78443</v>
      </c>
      <c r="AB151">
        <v>18251</v>
      </c>
      <c r="AC151">
        <v>459952</v>
      </c>
      <c r="AD151">
        <v>2639292</v>
      </c>
      <c r="AE151">
        <v>499926</v>
      </c>
    </row>
    <row r="152" spans="1:31" x14ac:dyDescent="0.45">
      <c r="A152" t="s">
        <v>119</v>
      </c>
      <c r="B152" t="s">
        <v>120</v>
      </c>
      <c r="C152" t="s">
        <v>121</v>
      </c>
      <c r="D152" t="s">
        <v>159</v>
      </c>
      <c r="E152" t="s">
        <v>141</v>
      </c>
      <c r="F152" t="s">
        <v>1</v>
      </c>
      <c r="G152" t="s">
        <v>139</v>
      </c>
      <c r="H152" t="s">
        <v>133</v>
      </c>
      <c r="I152" t="s">
        <v>129</v>
      </c>
      <c r="J152">
        <v>41</v>
      </c>
      <c r="K152">
        <v>2</v>
      </c>
      <c r="L152">
        <v>295200</v>
      </c>
      <c r="M152">
        <v>19281.5</v>
      </c>
      <c r="N152">
        <v>35798.699999999997</v>
      </c>
      <c r="O152">
        <v>15612.441747572801</v>
      </c>
      <c r="P152">
        <v>91543.844660194096</v>
      </c>
      <c r="Q152">
        <v>7039.5137945034703</v>
      </c>
      <c r="R152">
        <v>36430.097181942103</v>
      </c>
      <c r="S152">
        <v>43469.610976445598</v>
      </c>
      <c r="T152">
        <v>34893.941747572797</v>
      </c>
      <c r="U152">
        <v>170812.15563663901</v>
      </c>
      <c r="V152">
        <v>205706.09738421199</v>
      </c>
      <c r="W152">
        <v>89493.902615787301</v>
      </c>
      <c r="X152">
        <v>0</v>
      </c>
      <c r="Y152">
        <v>110180</v>
      </c>
      <c r="Z152">
        <v>204564</v>
      </c>
      <c r="AA152">
        <v>78443</v>
      </c>
      <c r="AB152">
        <v>18251</v>
      </c>
      <c r="AC152">
        <v>459952</v>
      </c>
      <c r="AD152">
        <v>2639292</v>
      </c>
      <c r="AE152">
        <v>499926</v>
      </c>
    </row>
    <row r="153" spans="1:31" x14ac:dyDescent="0.45">
      <c r="A153" t="s">
        <v>119</v>
      </c>
      <c r="B153" t="s">
        <v>120</v>
      </c>
      <c r="C153" t="s">
        <v>121</v>
      </c>
      <c r="D153" t="s">
        <v>159</v>
      </c>
      <c r="E153" t="s">
        <v>142</v>
      </c>
      <c r="F153" t="s">
        <v>143</v>
      </c>
      <c r="G153" t="s">
        <v>144</v>
      </c>
      <c r="H153" t="s">
        <v>126</v>
      </c>
      <c r="I153" t="s">
        <v>129</v>
      </c>
      <c r="J153">
        <v>44</v>
      </c>
      <c r="K153">
        <v>2</v>
      </c>
      <c r="L153">
        <v>311960</v>
      </c>
      <c r="M153">
        <v>22036</v>
      </c>
      <c r="N153">
        <v>45458.666666666599</v>
      </c>
      <c r="O153">
        <v>34778.038759689902</v>
      </c>
      <c r="P153">
        <v>107775.78294573601</v>
      </c>
      <c r="Q153">
        <v>8393.6167461693694</v>
      </c>
      <c r="R153">
        <v>48566.751009088002</v>
      </c>
      <c r="S153">
        <v>56960.367755257401</v>
      </c>
      <c r="T153">
        <v>56814.038759689902</v>
      </c>
      <c r="U153">
        <v>210194.81736766</v>
      </c>
      <c r="V153">
        <v>267008.85612735001</v>
      </c>
      <c r="W153">
        <v>44951.143872649503</v>
      </c>
      <c r="X153">
        <v>44</v>
      </c>
      <c r="Y153">
        <v>66108</v>
      </c>
      <c r="Z153">
        <v>136376</v>
      </c>
      <c r="AA153">
        <v>49240</v>
      </c>
      <c r="AB153">
        <v>17983</v>
      </c>
      <c r="AC153">
        <v>315979</v>
      </c>
      <c r="AD153">
        <v>2639292</v>
      </c>
      <c r="AE153">
        <v>499926</v>
      </c>
    </row>
    <row r="154" spans="1:31" x14ac:dyDescent="0.45">
      <c r="A154" t="s">
        <v>119</v>
      </c>
      <c r="B154" t="s">
        <v>120</v>
      </c>
      <c r="C154" t="s">
        <v>121</v>
      </c>
      <c r="D154" t="s">
        <v>159</v>
      </c>
      <c r="E154" t="s">
        <v>142</v>
      </c>
      <c r="F154" t="s">
        <v>143</v>
      </c>
      <c r="G154" t="s">
        <v>144</v>
      </c>
      <c r="H154" t="s">
        <v>128</v>
      </c>
      <c r="I154" t="s">
        <v>129</v>
      </c>
      <c r="J154">
        <v>43</v>
      </c>
      <c r="K154">
        <v>2</v>
      </c>
      <c r="L154">
        <v>301000</v>
      </c>
      <c r="M154">
        <v>22036</v>
      </c>
      <c r="N154">
        <v>45458.666666666599</v>
      </c>
      <c r="O154">
        <v>16413.333333333299</v>
      </c>
      <c r="P154">
        <v>105326.33333333299</v>
      </c>
      <c r="Q154">
        <v>8202.8527292109793</v>
      </c>
      <c r="R154">
        <v>47462.961213426897</v>
      </c>
      <c r="S154">
        <v>55665.813942637898</v>
      </c>
      <c r="T154">
        <v>38449.333333333299</v>
      </c>
      <c r="U154">
        <v>206450.813942637</v>
      </c>
      <c r="V154">
        <v>244900.14727597099</v>
      </c>
      <c r="W154">
        <v>56099.8527240287</v>
      </c>
      <c r="X154">
        <v>0</v>
      </c>
      <c r="Y154">
        <v>66108</v>
      </c>
      <c r="Z154">
        <v>136376</v>
      </c>
      <c r="AA154">
        <v>49240</v>
      </c>
      <c r="AB154">
        <v>17983</v>
      </c>
      <c r="AC154">
        <v>315979</v>
      </c>
      <c r="AD154">
        <v>2639292</v>
      </c>
      <c r="AE154">
        <v>499926</v>
      </c>
    </row>
    <row r="155" spans="1:31" x14ac:dyDescent="0.45">
      <c r="A155" t="s">
        <v>119</v>
      </c>
      <c r="B155" t="s">
        <v>120</v>
      </c>
      <c r="C155" t="s">
        <v>121</v>
      </c>
      <c r="D155" t="s">
        <v>159</v>
      </c>
      <c r="E155" t="s">
        <v>142</v>
      </c>
      <c r="F155" t="s">
        <v>143</v>
      </c>
      <c r="G155" t="s">
        <v>144</v>
      </c>
      <c r="H155" t="s">
        <v>130</v>
      </c>
      <c r="I155" t="s">
        <v>129</v>
      </c>
      <c r="J155">
        <v>42</v>
      </c>
      <c r="K155">
        <v>2</v>
      </c>
      <c r="L155">
        <v>294000</v>
      </c>
      <c r="M155">
        <v>22036</v>
      </c>
      <c r="N155">
        <v>45458.666666666599</v>
      </c>
      <c r="O155">
        <v>16031.627906976701</v>
      </c>
      <c r="P155">
        <v>102876.88372093</v>
      </c>
      <c r="Q155">
        <v>8012.0887122525801</v>
      </c>
      <c r="R155">
        <v>46359.1714177658</v>
      </c>
      <c r="S155">
        <v>54371.260130018403</v>
      </c>
      <c r="T155">
        <v>38067.627906976697</v>
      </c>
      <c r="U155">
        <v>202706.810517615</v>
      </c>
      <c r="V155">
        <v>240774.43842459199</v>
      </c>
      <c r="W155">
        <v>53225.561575407803</v>
      </c>
      <c r="X155">
        <v>0</v>
      </c>
      <c r="Y155">
        <v>66108</v>
      </c>
      <c r="Z155">
        <v>136376</v>
      </c>
      <c r="AA155">
        <v>49240</v>
      </c>
      <c r="AB155">
        <v>17983</v>
      </c>
      <c r="AC155">
        <v>315979</v>
      </c>
      <c r="AD155">
        <v>2639292</v>
      </c>
      <c r="AE155">
        <v>499926</v>
      </c>
    </row>
    <row r="156" spans="1:31" x14ac:dyDescent="0.45">
      <c r="A156" t="s">
        <v>119</v>
      </c>
      <c r="B156" t="s">
        <v>120</v>
      </c>
      <c r="C156" t="s">
        <v>121</v>
      </c>
      <c r="D156" t="s">
        <v>159</v>
      </c>
      <c r="E156" t="s">
        <v>145</v>
      </c>
      <c r="F156" t="s">
        <v>143</v>
      </c>
      <c r="G156" t="s">
        <v>144</v>
      </c>
      <c r="H156" t="s">
        <v>126</v>
      </c>
      <c r="I156" t="s">
        <v>129</v>
      </c>
      <c r="J156">
        <v>36</v>
      </c>
      <c r="K156">
        <v>2</v>
      </c>
      <c r="L156">
        <v>242640</v>
      </c>
      <c r="M156">
        <v>22036</v>
      </c>
      <c r="N156">
        <v>40003.666666666599</v>
      </c>
      <c r="O156">
        <v>25963.057142857098</v>
      </c>
      <c r="P156">
        <v>83001.600000000006</v>
      </c>
      <c r="Q156">
        <v>6525.7844036754304</v>
      </c>
      <c r="R156">
        <v>37759.1872320041</v>
      </c>
      <c r="S156">
        <v>44284.971635679598</v>
      </c>
      <c r="T156">
        <v>47999.057142857098</v>
      </c>
      <c r="U156">
        <v>167290.238302346</v>
      </c>
      <c r="V156">
        <v>215289.295445203</v>
      </c>
      <c r="W156">
        <v>27350.704554796499</v>
      </c>
      <c r="X156">
        <v>36</v>
      </c>
      <c r="Y156">
        <v>66108</v>
      </c>
      <c r="Z156">
        <v>120011</v>
      </c>
      <c r="AA156">
        <v>39731</v>
      </c>
      <c r="AB156">
        <v>12341</v>
      </c>
      <c r="AC156">
        <v>242088</v>
      </c>
      <c r="AD156">
        <v>2639292</v>
      </c>
      <c r="AE156">
        <v>499926</v>
      </c>
    </row>
    <row r="157" spans="1:31" x14ac:dyDescent="0.45">
      <c r="A157" t="s">
        <v>119</v>
      </c>
      <c r="B157" t="s">
        <v>120</v>
      </c>
      <c r="C157" t="s">
        <v>121</v>
      </c>
      <c r="D157" t="s">
        <v>159</v>
      </c>
      <c r="E157" t="s">
        <v>145</v>
      </c>
      <c r="F157" t="s">
        <v>143</v>
      </c>
      <c r="G157" t="s">
        <v>144</v>
      </c>
      <c r="H157" t="s">
        <v>128</v>
      </c>
      <c r="I157" t="s">
        <v>129</v>
      </c>
      <c r="J157">
        <v>35</v>
      </c>
      <c r="K157">
        <v>2</v>
      </c>
      <c r="L157">
        <v>232750</v>
      </c>
      <c r="M157">
        <v>22036</v>
      </c>
      <c r="N157">
        <v>40003.666666666599</v>
      </c>
      <c r="O157">
        <v>13243.666666666601</v>
      </c>
      <c r="P157">
        <v>80696</v>
      </c>
      <c r="Q157">
        <v>6344.5126146844505</v>
      </c>
      <c r="R157">
        <v>36710.320920004</v>
      </c>
      <c r="S157">
        <v>43054.8335346885</v>
      </c>
      <c r="T157">
        <v>35279.666666666599</v>
      </c>
      <c r="U157">
        <v>163754.500201355</v>
      </c>
      <c r="V157">
        <v>199034.16686802101</v>
      </c>
      <c r="W157">
        <v>33715.833131978099</v>
      </c>
      <c r="X157">
        <v>0</v>
      </c>
      <c r="Y157">
        <v>66108</v>
      </c>
      <c r="Z157">
        <v>120011</v>
      </c>
      <c r="AA157">
        <v>39731</v>
      </c>
      <c r="AB157">
        <v>12341</v>
      </c>
      <c r="AC157">
        <v>242088</v>
      </c>
      <c r="AD157">
        <v>2639292</v>
      </c>
      <c r="AE157">
        <v>499926</v>
      </c>
    </row>
    <row r="158" spans="1:31" x14ac:dyDescent="0.45">
      <c r="A158" t="s">
        <v>119</v>
      </c>
      <c r="B158" t="s">
        <v>120</v>
      </c>
      <c r="C158" t="s">
        <v>121</v>
      </c>
      <c r="D158" t="s">
        <v>159</v>
      </c>
      <c r="E158" t="s">
        <v>145</v>
      </c>
      <c r="F158" t="s">
        <v>143</v>
      </c>
      <c r="G158" t="s">
        <v>144</v>
      </c>
      <c r="H158" t="s">
        <v>130</v>
      </c>
      <c r="I158" t="s">
        <v>129</v>
      </c>
      <c r="J158">
        <v>34</v>
      </c>
      <c r="K158">
        <v>2</v>
      </c>
      <c r="L158">
        <v>226100</v>
      </c>
      <c r="M158">
        <v>22036</v>
      </c>
      <c r="N158">
        <v>40003.666666666599</v>
      </c>
      <c r="O158">
        <v>12865.276190476099</v>
      </c>
      <c r="P158">
        <v>78390.399999999994</v>
      </c>
      <c r="Q158">
        <v>6163.2408256934596</v>
      </c>
      <c r="R158">
        <v>35661.4546080039</v>
      </c>
      <c r="S158">
        <v>41824.695433697401</v>
      </c>
      <c r="T158">
        <v>34901.276190476099</v>
      </c>
      <c r="U158">
        <v>160218.76210036399</v>
      </c>
      <c r="V158">
        <v>195120.03829083999</v>
      </c>
      <c r="W158">
        <v>30979.961709159699</v>
      </c>
      <c r="X158">
        <v>0</v>
      </c>
      <c r="Y158">
        <v>66108</v>
      </c>
      <c r="Z158">
        <v>120011</v>
      </c>
      <c r="AA158">
        <v>39731</v>
      </c>
      <c r="AB158">
        <v>12341</v>
      </c>
      <c r="AC158">
        <v>242088</v>
      </c>
      <c r="AD158">
        <v>2639292</v>
      </c>
      <c r="AE158">
        <v>499926</v>
      </c>
    </row>
    <row r="159" spans="1:31" x14ac:dyDescent="0.45">
      <c r="A159" t="s">
        <v>119</v>
      </c>
      <c r="B159" t="s">
        <v>120</v>
      </c>
      <c r="C159" t="s">
        <v>121</v>
      </c>
      <c r="D159" t="s">
        <v>159</v>
      </c>
      <c r="E159" t="s">
        <v>146</v>
      </c>
      <c r="F159" t="s">
        <v>143</v>
      </c>
      <c r="G159" t="s">
        <v>144</v>
      </c>
      <c r="H159" t="s">
        <v>126</v>
      </c>
      <c r="I159" t="s">
        <v>129</v>
      </c>
      <c r="J159">
        <v>36</v>
      </c>
      <c r="K159">
        <v>2</v>
      </c>
      <c r="L159">
        <v>242640</v>
      </c>
      <c r="M159">
        <v>22036</v>
      </c>
      <c r="N159">
        <v>40003.666666666599</v>
      </c>
      <c r="O159">
        <v>26165.057142857098</v>
      </c>
      <c r="P159">
        <v>83001.600000000006</v>
      </c>
      <c r="Q159">
        <v>6525.7844036754304</v>
      </c>
      <c r="R159">
        <v>37759.1872320041</v>
      </c>
      <c r="S159">
        <v>44284.971635679598</v>
      </c>
      <c r="T159">
        <v>48201.057142857098</v>
      </c>
      <c r="U159">
        <v>167290.238302346</v>
      </c>
      <c r="V159">
        <v>215491.295445203</v>
      </c>
      <c r="W159">
        <v>27148.704554796499</v>
      </c>
      <c r="X159">
        <v>36</v>
      </c>
      <c r="Y159">
        <v>66108</v>
      </c>
      <c r="Z159">
        <v>120011</v>
      </c>
      <c r="AA159">
        <v>39731</v>
      </c>
      <c r="AB159">
        <v>12543</v>
      </c>
      <c r="AC159">
        <v>242088</v>
      </c>
      <c r="AD159">
        <v>2639292</v>
      </c>
      <c r="AE159">
        <v>499926</v>
      </c>
    </row>
    <row r="160" spans="1:31" x14ac:dyDescent="0.45">
      <c r="A160" t="s">
        <v>119</v>
      </c>
      <c r="B160" t="s">
        <v>120</v>
      </c>
      <c r="C160" t="s">
        <v>121</v>
      </c>
      <c r="D160" t="s">
        <v>159</v>
      </c>
      <c r="E160" t="s">
        <v>146</v>
      </c>
      <c r="F160" t="s">
        <v>143</v>
      </c>
      <c r="G160" t="s">
        <v>144</v>
      </c>
      <c r="H160" t="s">
        <v>128</v>
      </c>
      <c r="I160" t="s">
        <v>129</v>
      </c>
      <c r="J160">
        <v>35</v>
      </c>
      <c r="K160">
        <v>2</v>
      </c>
      <c r="L160">
        <v>232750</v>
      </c>
      <c r="M160">
        <v>22036</v>
      </c>
      <c r="N160">
        <v>40003.666666666599</v>
      </c>
      <c r="O160">
        <v>13243.666666666601</v>
      </c>
      <c r="P160">
        <v>80696</v>
      </c>
      <c r="Q160">
        <v>6344.5126146844505</v>
      </c>
      <c r="R160">
        <v>36710.320920004</v>
      </c>
      <c r="S160">
        <v>43054.8335346885</v>
      </c>
      <c r="T160">
        <v>35279.666666666599</v>
      </c>
      <c r="U160">
        <v>163754.500201355</v>
      </c>
      <c r="V160">
        <v>199034.16686802101</v>
      </c>
      <c r="W160">
        <v>33715.833131978099</v>
      </c>
      <c r="X160">
        <v>0</v>
      </c>
      <c r="Y160">
        <v>66108</v>
      </c>
      <c r="Z160">
        <v>120011</v>
      </c>
      <c r="AA160">
        <v>39731</v>
      </c>
      <c r="AB160">
        <v>12543</v>
      </c>
      <c r="AC160">
        <v>242088</v>
      </c>
      <c r="AD160">
        <v>2639292</v>
      </c>
      <c r="AE160">
        <v>499926</v>
      </c>
    </row>
    <row r="161" spans="1:31" x14ac:dyDescent="0.45">
      <c r="A161" t="s">
        <v>119</v>
      </c>
      <c r="B161" t="s">
        <v>120</v>
      </c>
      <c r="C161" t="s">
        <v>121</v>
      </c>
      <c r="D161" t="s">
        <v>159</v>
      </c>
      <c r="E161" t="s">
        <v>146</v>
      </c>
      <c r="F161" t="s">
        <v>143</v>
      </c>
      <c r="G161" t="s">
        <v>144</v>
      </c>
      <c r="H161" t="s">
        <v>130</v>
      </c>
      <c r="I161" t="s">
        <v>129</v>
      </c>
      <c r="J161">
        <v>34</v>
      </c>
      <c r="K161">
        <v>2</v>
      </c>
      <c r="L161">
        <v>226100</v>
      </c>
      <c r="M161">
        <v>22036</v>
      </c>
      <c r="N161">
        <v>40003.666666666599</v>
      </c>
      <c r="O161">
        <v>12865.276190476099</v>
      </c>
      <c r="P161">
        <v>78390.399999999994</v>
      </c>
      <c r="Q161">
        <v>6163.2408256934596</v>
      </c>
      <c r="R161">
        <v>35661.4546080039</v>
      </c>
      <c r="S161">
        <v>41824.695433697401</v>
      </c>
      <c r="T161">
        <v>34901.276190476099</v>
      </c>
      <c r="U161">
        <v>160218.76210036399</v>
      </c>
      <c r="V161">
        <v>195120.03829083999</v>
      </c>
      <c r="W161">
        <v>30979.961709159699</v>
      </c>
      <c r="X161">
        <v>0</v>
      </c>
      <c r="Y161">
        <v>66108</v>
      </c>
      <c r="Z161">
        <v>120011</v>
      </c>
      <c r="AA161">
        <v>39731</v>
      </c>
      <c r="AB161">
        <v>12543</v>
      </c>
      <c r="AC161">
        <v>242088</v>
      </c>
      <c r="AD161">
        <v>2639292</v>
      </c>
      <c r="AE161">
        <v>499926</v>
      </c>
    </row>
    <row r="162" spans="1:31" x14ac:dyDescent="0.45">
      <c r="A162" t="s">
        <v>119</v>
      </c>
      <c r="B162" t="s">
        <v>120</v>
      </c>
      <c r="C162" t="s">
        <v>121</v>
      </c>
      <c r="D162" t="s">
        <v>159</v>
      </c>
      <c r="E162" t="s">
        <v>147</v>
      </c>
      <c r="F162" t="s">
        <v>148</v>
      </c>
      <c r="G162" t="s">
        <v>149</v>
      </c>
      <c r="H162" t="s">
        <v>150</v>
      </c>
      <c r="I162" t="s">
        <v>129</v>
      </c>
      <c r="J162">
        <v>41</v>
      </c>
      <c r="K162">
        <v>2</v>
      </c>
      <c r="L162">
        <v>261990</v>
      </c>
      <c r="M162">
        <v>26144.406779661</v>
      </c>
      <c r="N162">
        <v>60405.847457627096</v>
      </c>
      <c r="O162">
        <v>30770.7530864197</v>
      </c>
      <c r="P162">
        <v>114731.919753086</v>
      </c>
      <c r="Q162">
        <v>7839.7520027730998</v>
      </c>
      <c r="R162">
        <v>47462.097660012398</v>
      </c>
      <c r="S162">
        <v>55301.849662785498</v>
      </c>
      <c r="T162">
        <v>56915.159866080699</v>
      </c>
      <c r="U162">
        <v>230439.61687349901</v>
      </c>
      <c r="V162">
        <v>287354.77673957899</v>
      </c>
      <c r="W162">
        <v>-25364.776739579898</v>
      </c>
      <c r="X162">
        <v>41</v>
      </c>
      <c r="Y162">
        <v>88144</v>
      </c>
      <c r="Z162">
        <v>203654</v>
      </c>
      <c r="AA162">
        <v>61804</v>
      </c>
      <c r="AB162">
        <v>30258</v>
      </c>
      <c r="AC162">
        <v>453331</v>
      </c>
      <c r="AD162">
        <v>2639292</v>
      </c>
      <c r="AE162">
        <v>499926</v>
      </c>
    </row>
    <row r="163" spans="1:31" x14ac:dyDescent="0.45">
      <c r="A163" t="s">
        <v>119</v>
      </c>
      <c r="B163" t="s">
        <v>120</v>
      </c>
      <c r="C163" t="s">
        <v>121</v>
      </c>
      <c r="D163" t="s">
        <v>159</v>
      </c>
      <c r="E163" t="s">
        <v>147</v>
      </c>
      <c r="F163" t="s">
        <v>148</v>
      </c>
      <c r="G163" t="s">
        <v>149</v>
      </c>
      <c r="H163" t="s">
        <v>151</v>
      </c>
      <c r="I163" t="s">
        <v>129</v>
      </c>
      <c r="J163">
        <v>40</v>
      </c>
      <c r="K163">
        <v>2</v>
      </c>
      <c r="L163">
        <v>252000</v>
      </c>
      <c r="M163">
        <v>26144.406779661</v>
      </c>
      <c r="N163">
        <v>60405.847457627096</v>
      </c>
      <c r="O163">
        <v>15260.2469135802</v>
      </c>
      <c r="P163">
        <v>111933.580246913</v>
      </c>
      <c r="Q163">
        <v>7648.5385392908302</v>
      </c>
      <c r="R163">
        <v>46304.485521963303</v>
      </c>
      <c r="S163">
        <v>53953.024061254197</v>
      </c>
      <c r="T163">
        <v>41404.653693241198</v>
      </c>
      <c r="U163">
        <v>226292.45176579399</v>
      </c>
      <c r="V163">
        <v>267697.10545903601</v>
      </c>
      <c r="W163">
        <v>-15697.1054590361</v>
      </c>
      <c r="X163">
        <v>0</v>
      </c>
      <c r="Y163">
        <v>88144</v>
      </c>
      <c r="Z163">
        <v>203654</v>
      </c>
      <c r="AA163">
        <v>61804</v>
      </c>
      <c r="AB163">
        <v>30258</v>
      </c>
      <c r="AC163">
        <v>453331</v>
      </c>
      <c r="AD163">
        <v>2639292</v>
      </c>
      <c r="AE163">
        <v>499926</v>
      </c>
    </row>
    <row r="164" spans="1:31" x14ac:dyDescent="0.45">
      <c r="A164" t="s">
        <v>119</v>
      </c>
      <c r="B164" t="s">
        <v>120</v>
      </c>
      <c r="C164" t="s">
        <v>121</v>
      </c>
      <c r="D164" t="s">
        <v>159</v>
      </c>
      <c r="E164" t="s">
        <v>147</v>
      </c>
      <c r="F164" t="s">
        <v>148</v>
      </c>
      <c r="G164" t="s">
        <v>152</v>
      </c>
      <c r="H164" t="s">
        <v>126</v>
      </c>
      <c r="I164" t="s">
        <v>129</v>
      </c>
      <c r="J164">
        <v>41</v>
      </c>
      <c r="K164">
        <v>2</v>
      </c>
      <c r="L164">
        <v>305040</v>
      </c>
      <c r="M164">
        <v>17927.593220338898</v>
      </c>
      <c r="N164">
        <v>41421.152542372802</v>
      </c>
      <c r="O164">
        <v>30770.7530864197</v>
      </c>
      <c r="P164">
        <v>114731.919753086</v>
      </c>
      <c r="Q164">
        <v>7839.7520027730998</v>
      </c>
      <c r="R164">
        <v>47462.097660012398</v>
      </c>
      <c r="S164">
        <v>55301.849662785498</v>
      </c>
      <c r="T164">
        <v>48698.3463067587</v>
      </c>
      <c r="U164">
        <v>211454.921958244</v>
      </c>
      <c r="V164">
        <v>260153.26826500299</v>
      </c>
      <c r="W164">
        <v>44886.731734996298</v>
      </c>
      <c r="X164">
        <v>41</v>
      </c>
      <c r="Y164">
        <v>88144</v>
      </c>
      <c r="Z164">
        <v>203654</v>
      </c>
      <c r="AA164">
        <v>61804</v>
      </c>
      <c r="AB164">
        <v>30258</v>
      </c>
      <c r="AC164">
        <v>453331</v>
      </c>
      <c r="AD164">
        <v>2639292</v>
      </c>
      <c r="AE164">
        <v>499926</v>
      </c>
    </row>
    <row r="165" spans="1:31" x14ac:dyDescent="0.45">
      <c r="A165" t="s">
        <v>119</v>
      </c>
      <c r="B165" t="s">
        <v>120</v>
      </c>
      <c r="C165" t="s">
        <v>121</v>
      </c>
      <c r="D165" t="s">
        <v>159</v>
      </c>
      <c r="E165" t="s">
        <v>147</v>
      </c>
      <c r="F165" t="s">
        <v>148</v>
      </c>
      <c r="G165" t="s">
        <v>152</v>
      </c>
      <c r="H165" t="s">
        <v>130</v>
      </c>
      <c r="I165" t="s">
        <v>129</v>
      </c>
      <c r="J165">
        <v>40</v>
      </c>
      <c r="K165">
        <v>2</v>
      </c>
      <c r="L165">
        <v>294000</v>
      </c>
      <c r="M165">
        <v>17927.593220338898</v>
      </c>
      <c r="N165">
        <v>41421.152542372802</v>
      </c>
      <c r="O165">
        <v>15260.2469135802</v>
      </c>
      <c r="P165">
        <v>111933.580246913</v>
      </c>
      <c r="Q165">
        <v>7648.5385392908302</v>
      </c>
      <c r="R165">
        <v>46304.485521963303</v>
      </c>
      <c r="S165">
        <v>53953.024061254197</v>
      </c>
      <c r="T165">
        <v>33187.840133919199</v>
      </c>
      <c r="U165">
        <v>207307.75685054</v>
      </c>
      <c r="V165">
        <v>240495.596984459</v>
      </c>
      <c r="W165">
        <v>53504.403015540098</v>
      </c>
      <c r="X165">
        <v>0</v>
      </c>
      <c r="Y165">
        <v>88144</v>
      </c>
      <c r="Z165">
        <v>203654</v>
      </c>
      <c r="AA165">
        <v>61804</v>
      </c>
      <c r="AB165">
        <v>30258</v>
      </c>
      <c r="AC165">
        <v>453331</v>
      </c>
      <c r="AD165">
        <v>2639292</v>
      </c>
      <c r="AE165">
        <v>499926</v>
      </c>
    </row>
    <row r="166" spans="1:31" x14ac:dyDescent="0.45">
      <c r="A166" t="s">
        <v>119</v>
      </c>
      <c r="B166" t="s">
        <v>120</v>
      </c>
      <c r="C166" t="s">
        <v>121</v>
      </c>
      <c r="D166" t="s">
        <v>159</v>
      </c>
      <c r="E166" t="s">
        <v>153</v>
      </c>
      <c r="F166" t="s">
        <v>148</v>
      </c>
      <c r="G166" t="s">
        <v>149</v>
      </c>
      <c r="H166" t="s">
        <v>150</v>
      </c>
      <c r="I166" t="s">
        <v>129</v>
      </c>
      <c r="J166">
        <v>32</v>
      </c>
      <c r="K166">
        <v>2</v>
      </c>
      <c r="L166">
        <v>189120</v>
      </c>
      <c r="M166">
        <v>26144.406779661</v>
      </c>
      <c r="N166">
        <v>56630.593220338902</v>
      </c>
      <c r="O166">
        <v>21323.849206349201</v>
      </c>
      <c r="P166">
        <v>92362.920634920607</v>
      </c>
      <c r="Q166">
        <v>5655.8666994005998</v>
      </c>
      <c r="R166">
        <v>34240.789446402101</v>
      </c>
      <c r="S166">
        <v>39896.656145802699</v>
      </c>
      <c r="T166">
        <v>47468.255986010197</v>
      </c>
      <c r="U166">
        <v>188890.17000106201</v>
      </c>
      <c r="V166">
        <v>236358.425987072</v>
      </c>
      <c r="W166">
        <v>-47238.4259870725</v>
      </c>
      <c r="X166">
        <v>32</v>
      </c>
      <c r="Y166">
        <v>88144</v>
      </c>
      <c r="Z166">
        <v>190926</v>
      </c>
      <c r="AA166">
        <v>48220</v>
      </c>
      <c r="AB166">
        <v>18155</v>
      </c>
      <c r="AC166">
        <v>363679</v>
      </c>
      <c r="AD166">
        <v>2639292</v>
      </c>
      <c r="AE166">
        <v>499926</v>
      </c>
    </row>
    <row r="167" spans="1:31" x14ac:dyDescent="0.45">
      <c r="A167" t="s">
        <v>119</v>
      </c>
      <c r="B167" t="s">
        <v>120</v>
      </c>
      <c r="C167" t="s">
        <v>121</v>
      </c>
      <c r="D167" t="s">
        <v>159</v>
      </c>
      <c r="E167" t="s">
        <v>153</v>
      </c>
      <c r="F167" t="s">
        <v>148</v>
      </c>
      <c r="G167" t="s">
        <v>149</v>
      </c>
      <c r="H167" t="s">
        <v>151</v>
      </c>
      <c r="I167" t="s">
        <v>129</v>
      </c>
      <c r="J167">
        <v>31</v>
      </c>
      <c r="K167">
        <v>2</v>
      </c>
      <c r="L167">
        <v>180420</v>
      </c>
      <c r="M167">
        <v>26144.406779661</v>
      </c>
      <c r="N167">
        <v>56630.593220338902</v>
      </c>
      <c r="O167">
        <v>11863.650793650701</v>
      </c>
      <c r="P167">
        <v>89476.579365079306</v>
      </c>
      <c r="Q167">
        <v>5479.1208650443295</v>
      </c>
      <c r="R167">
        <v>33170.764776202101</v>
      </c>
      <c r="S167">
        <v>38649.885641246401</v>
      </c>
      <c r="T167">
        <v>38008.057573311802</v>
      </c>
      <c r="U167">
        <v>184757.058226664</v>
      </c>
      <c r="V167">
        <v>222765.11579997599</v>
      </c>
      <c r="W167">
        <v>-42345.1157999766</v>
      </c>
      <c r="X167">
        <v>0</v>
      </c>
      <c r="Y167">
        <v>88144</v>
      </c>
      <c r="Z167">
        <v>190926</v>
      </c>
      <c r="AA167">
        <v>48220</v>
      </c>
      <c r="AB167">
        <v>18155</v>
      </c>
      <c r="AC167">
        <v>363679</v>
      </c>
      <c r="AD167">
        <v>2639292</v>
      </c>
      <c r="AE167">
        <v>499926</v>
      </c>
    </row>
    <row r="168" spans="1:31" x14ac:dyDescent="0.45">
      <c r="A168" t="s">
        <v>119</v>
      </c>
      <c r="B168" t="s">
        <v>120</v>
      </c>
      <c r="C168" t="s">
        <v>121</v>
      </c>
      <c r="D168" t="s">
        <v>159</v>
      </c>
      <c r="E168" t="s">
        <v>153</v>
      </c>
      <c r="F168" t="s">
        <v>148</v>
      </c>
      <c r="G168" t="s">
        <v>152</v>
      </c>
      <c r="H168" t="s">
        <v>126</v>
      </c>
      <c r="I168" t="s">
        <v>129</v>
      </c>
      <c r="J168">
        <v>32</v>
      </c>
      <c r="K168">
        <v>2</v>
      </c>
      <c r="L168">
        <v>220160</v>
      </c>
      <c r="M168">
        <v>17927.593220338898</v>
      </c>
      <c r="N168">
        <v>38832.406779661003</v>
      </c>
      <c r="O168">
        <v>21323.849206349201</v>
      </c>
      <c r="P168">
        <v>92362.920634920607</v>
      </c>
      <c r="Q168">
        <v>5655.8666994005998</v>
      </c>
      <c r="R168">
        <v>34240.789446402101</v>
      </c>
      <c r="S168">
        <v>39896.656145802699</v>
      </c>
      <c r="T168">
        <v>39251.442426688103</v>
      </c>
      <c r="U168">
        <v>171091.98356038399</v>
      </c>
      <c r="V168">
        <v>210343.425987072</v>
      </c>
      <c r="W168">
        <v>9816.57401292742</v>
      </c>
      <c r="X168">
        <v>32</v>
      </c>
      <c r="Y168">
        <v>88144</v>
      </c>
      <c r="Z168">
        <v>190926</v>
      </c>
      <c r="AA168">
        <v>48220</v>
      </c>
      <c r="AB168">
        <v>18155</v>
      </c>
      <c r="AC168">
        <v>363679</v>
      </c>
      <c r="AD168">
        <v>2639292</v>
      </c>
      <c r="AE168">
        <v>499926</v>
      </c>
    </row>
    <row r="169" spans="1:31" x14ac:dyDescent="0.45">
      <c r="A169" t="s">
        <v>119</v>
      </c>
      <c r="B169" t="s">
        <v>120</v>
      </c>
      <c r="C169" t="s">
        <v>121</v>
      </c>
      <c r="D169" t="s">
        <v>159</v>
      </c>
      <c r="E169" t="s">
        <v>153</v>
      </c>
      <c r="F169" t="s">
        <v>148</v>
      </c>
      <c r="G169" t="s">
        <v>152</v>
      </c>
      <c r="H169" t="s">
        <v>130</v>
      </c>
      <c r="I169" t="s">
        <v>129</v>
      </c>
      <c r="J169">
        <v>31</v>
      </c>
      <c r="K169">
        <v>2</v>
      </c>
      <c r="L169">
        <v>210490</v>
      </c>
      <c r="M169">
        <v>17927.593220338898</v>
      </c>
      <c r="N169">
        <v>38832.406779661003</v>
      </c>
      <c r="O169">
        <v>11863.650793650701</v>
      </c>
      <c r="P169">
        <v>89476.579365079306</v>
      </c>
      <c r="Q169">
        <v>5479.1208650443295</v>
      </c>
      <c r="R169">
        <v>33170.764776202101</v>
      </c>
      <c r="S169">
        <v>38649.885641246401</v>
      </c>
      <c r="T169">
        <v>29791.244013989701</v>
      </c>
      <c r="U169">
        <v>166958.871785986</v>
      </c>
      <c r="V169">
        <v>196750.11579997599</v>
      </c>
      <c r="W169">
        <v>13739.8842000233</v>
      </c>
      <c r="X169">
        <v>0</v>
      </c>
      <c r="Y169">
        <v>88144</v>
      </c>
      <c r="Z169">
        <v>190926</v>
      </c>
      <c r="AA169">
        <v>48220</v>
      </c>
      <c r="AB169">
        <v>18155</v>
      </c>
      <c r="AC169">
        <v>363679</v>
      </c>
      <c r="AD169">
        <v>2639292</v>
      </c>
      <c r="AE169">
        <v>499926</v>
      </c>
    </row>
    <row r="170" spans="1:31" x14ac:dyDescent="0.45">
      <c r="A170" t="s">
        <v>119</v>
      </c>
      <c r="B170" t="s">
        <v>120</v>
      </c>
      <c r="C170" t="s">
        <v>121</v>
      </c>
      <c r="D170" t="s">
        <v>159</v>
      </c>
      <c r="E170" t="s">
        <v>154</v>
      </c>
      <c r="F170" t="s">
        <v>155</v>
      </c>
      <c r="G170" t="s">
        <v>156</v>
      </c>
      <c r="H170" t="s">
        <v>126</v>
      </c>
      <c r="I170" t="s">
        <v>129</v>
      </c>
      <c r="J170">
        <v>42</v>
      </c>
      <c r="K170">
        <v>2</v>
      </c>
      <c r="L170">
        <v>333060</v>
      </c>
      <c r="M170">
        <v>22036</v>
      </c>
      <c r="N170">
        <v>73643</v>
      </c>
      <c r="O170">
        <v>40993.658536585302</v>
      </c>
      <c r="P170">
        <v>169137.414634146</v>
      </c>
      <c r="Q170">
        <v>7994.2637288858896</v>
      </c>
      <c r="R170">
        <v>45850.278657775401</v>
      </c>
      <c r="S170">
        <v>53844.542386661298</v>
      </c>
      <c r="T170">
        <v>63029.658536585302</v>
      </c>
      <c r="U170">
        <v>296624.95702080702</v>
      </c>
      <c r="V170">
        <v>359654.615557393</v>
      </c>
      <c r="W170">
        <v>-26594.615557393001</v>
      </c>
      <c r="X170">
        <v>42</v>
      </c>
      <c r="Y170">
        <v>66108</v>
      </c>
      <c r="Z170">
        <v>220929</v>
      </c>
      <c r="AA170">
        <v>46862</v>
      </c>
      <c r="AB170">
        <v>24992</v>
      </c>
      <c r="AC170">
        <v>495331</v>
      </c>
      <c r="AD170">
        <v>2639292</v>
      </c>
      <c r="AE170">
        <v>499926</v>
      </c>
    </row>
    <row r="171" spans="1:31" x14ac:dyDescent="0.45">
      <c r="A171" t="s">
        <v>119</v>
      </c>
      <c r="B171" t="s">
        <v>120</v>
      </c>
      <c r="C171" t="s">
        <v>121</v>
      </c>
      <c r="D171" t="s">
        <v>159</v>
      </c>
      <c r="E171" t="s">
        <v>154</v>
      </c>
      <c r="F171" t="s">
        <v>155</v>
      </c>
      <c r="G171" t="s">
        <v>156</v>
      </c>
      <c r="H171" t="s">
        <v>128</v>
      </c>
      <c r="I171" t="s">
        <v>129</v>
      </c>
      <c r="J171">
        <v>41</v>
      </c>
      <c r="K171">
        <v>2</v>
      </c>
      <c r="L171">
        <v>321440</v>
      </c>
      <c r="M171">
        <v>22036</v>
      </c>
      <c r="N171">
        <v>73643</v>
      </c>
      <c r="O171">
        <v>15620.666666666601</v>
      </c>
      <c r="P171">
        <v>165110.33333333299</v>
      </c>
      <c r="Q171">
        <v>7803.9241162933704</v>
      </c>
      <c r="R171">
        <v>44758.605356399799</v>
      </c>
      <c r="S171">
        <v>52562.529472693197</v>
      </c>
      <c r="T171">
        <v>37656.666666666599</v>
      </c>
      <c r="U171">
        <v>291315.86280602601</v>
      </c>
      <c r="V171">
        <v>328972.52947269299</v>
      </c>
      <c r="W171">
        <v>-7532.5294726932098</v>
      </c>
      <c r="X171">
        <v>0</v>
      </c>
      <c r="Y171">
        <v>66108</v>
      </c>
      <c r="Z171">
        <v>220929</v>
      </c>
      <c r="AA171">
        <v>46862</v>
      </c>
      <c r="AB171">
        <v>24992</v>
      </c>
      <c r="AC171">
        <v>495331</v>
      </c>
      <c r="AD171">
        <v>2639292</v>
      </c>
      <c r="AE171">
        <v>499926</v>
      </c>
    </row>
    <row r="172" spans="1:31" x14ac:dyDescent="0.45">
      <c r="A172" t="s">
        <v>119</v>
      </c>
      <c r="B172" t="s">
        <v>120</v>
      </c>
      <c r="C172" t="s">
        <v>121</v>
      </c>
      <c r="D172" t="s">
        <v>159</v>
      </c>
      <c r="E172" t="s">
        <v>154</v>
      </c>
      <c r="F172" t="s">
        <v>155</v>
      </c>
      <c r="G172" t="s">
        <v>156</v>
      </c>
      <c r="H172" t="s">
        <v>130</v>
      </c>
      <c r="I172" t="s">
        <v>129</v>
      </c>
      <c r="J172">
        <v>40</v>
      </c>
      <c r="K172">
        <v>2</v>
      </c>
      <c r="L172">
        <v>313600</v>
      </c>
      <c r="M172">
        <v>22036</v>
      </c>
      <c r="N172">
        <v>73643</v>
      </c>
      <c r="O172">
        <v>15239.6747967479</v>
      </c>
      <c r="P172">
        <v>161083.25203251999</v>
      </c>
      <c r="Q172">
        <v>7613.5845037008503</v>
      </c>
      <c r="R172">
        <v>43666.932055024197</v>
      </c>
      <c r="S172">
        <v>51280.516558725103</v>
      </c>
      <c r="T172">
        <v>37275.674796747902</v>
      </c>
      <c r="U172">
        <v>286006.768591245</v>
      </c>
      <c r="V172">
        <v>323282.44338799297</v>
      </c>
      <c r="W172">
        <v>-9682.4433879933695</v>
      </c>
      <c r="X172">
        <v>0</v>
      </c>
      <c r="Y172">
        <v>66108</v>
      </c>
      <c r="Z172">
        <v>220929</v>
      </c>
      <c r="AA172">
        <v>46862</v>
      </c>
      <c r="AB172">
        <v>24992</v>
      </c>
      <c r="AC172">
        <v>495331</v>
      </c>
      <c r="AD172">
        <v>2639292</v>
      </c>
      <c r="AE172">
        <v>499926</v>
      </c>
    </row>
    <row r="173" spans="1:31" x14ac:dyDescent="0.45">
      <c r="A173" t="s">
        <v>119</v>
      </c>
      <c r="B173" t="s">
        <v>120</v>
      </c>
      <c r="C173" t="s">
        <v>121</v>
      </c>
      <c r="D173" t="s">
        <v>159</v>
      </c>
      <c r="E173" t="s">
        <v>157</v>
      </c>
      <c r="F173" t="s">
        <v>155</v>
      </c>
      <c r="G173" t="s">
        <v>156</v>
      </c>
      <c r="H173" t="s">
        <v>126</v>
      </c>
      <c r="I173" t="s">
        <v>129</v>
      </c>
      <c r="J173">
        <v>36</v>
      </c>
      <c r="K173">
        <v>2</v>
      </c>
      <c r="L173">
        <v>267840</v>
      </c>
      <c r="M173">
        <v>22036</v>
      </c>
      <c r="N173">
        <v>50913.666666666599</v>
      </c>
      <c r="O173">
        <v>29200.057142857098</v>
      </c>
      <c r="P173">
        <v>105638.39999999999</v>
      </c>
      <c r="Q173">
        <v>6425.7433096316299</v>
      </c>
      <c r="R173">
        <v>36854.190870058497</v>
      </c>
      <c r="S173">
        <v>43279.934179690099</v>
      </c>
      <c r="T173">
        <v>51236.057142857098</v>
      </c>
      <c r="U173">
        <v>199832.00084635601</v>
      </c>
      <c r="V173">
        <v>251068.057989213</v>
      </c>
      <c r="W173">
        <v>16771.942010785999</v>
      </c>
      <c r="X173">
        <v>36</v>
      </c>
      <c r="Y173">
        <v>66108</v>
      </c>
      <c r="Z173">
        <v>152741</v>
      </c>
      <c r="AA173">
        <v>39731</v>
      </c>
      <c r="AB173">
        <v>15578</v>
      </c>
      <c r="AC173">
        <v>308112</v>
      </c>
      <c r="AD173">
        <v>2639292</v>
      </c>
      <c r="AE173">
        <v>499926</v>
      </c>
    </row>
    <row r="174" spans="1:31" x14ac:dyDescent="0.45">
      <c r="A174" t="s">
        <v>119</v>
      </c>
      <c r="B174" t="s">
        <v>120</v>
      </c>
      <c r="C174" t="s">
        <v>121</v>
      </c>
      <c r="D174" t="s">
        <v>159</v>
      </c>
      <c r="E174" t="s">
        <v>157</v>
      </c>
      <c r="F174" t="s">
        <v>155</v>
      </c>
      <c r="G174" t="s">
        <v>156</v>
      </c>
      <c r="H174" t="s">
        <v>128</v>
      </c>
      <c r="I174" t="s">
        <v>129</v>
      </c>
      <c r="J174">
        <v>35</v>
      </c>
      <c r="K174">
        <v>2</v>
      </c>
      <c r="L174">
        <v>257250</v>
      </c>
      <c r="M174">
        <v>22036</v>
      </c>
      <c r="N174">
        <v>50913.666666666599</v>
      </c>
      <c r="O174">
        <v>13243.666666666601</v>
      </c>
      <c r="P174">
        <v>102704</v>
      </c>
      <c r="Q174">
        <v>6247.2504399196396</v>
      </c>
      <c r="R174">
        <v>35830.463345890203</v>
      </c>
      <c r="S174">
        <v>42077.713785809799</v>
      </c>
      <c r="T174">
        <v>35279.666666666599</v>
      </c>
      <c r="U174">
        <v>195695.38045247601</v>
      </c>
      <c r="V174">
        <v>230975.04711914301</v>
      </c>
      <c r="W174">
        <v>26274.952880856799</v>
      </c>
      <c r="X174">
        <v>0</v>
      </c>
      <c r="Y174">
        <v>66108</v>
      </c>
      <c r="Z174">
        <v>152741</v>
      </c>
      <c r="AA174">
        <v>39731</v>
      </c>
      <c r="AB174">
        <v>15578</v>
      </c>
      <c r="AC174">
        <v>308112</v>
      </c>
      <c r="AD174">
        <v>2639292</v>
      </c>
      <c r="AE174">
        <v>499926</v>
      </c>
    </row>
    <row r="175" spans="1:31" x14ac:dyDescent="0.45">
      <c r="A175" t="s">
        <v>119</v>
      </c>
      <c r="B175" t="s">
        <v>120</v>
      </c>
      <c r="C175" t="s">
        <v>121</v>
      </c>
      <c r="D175" t="s">
        <v>159</v>
      </c>
      <c r="E175" t="s">
        <v>157</v>
      </c>
      <c r="F175" t="s">
        <v>155</v>
      </c>
      <c r="G175" t="s">
        <v>156</v>
      </c>
      <c r="H175" t="s">
        <v>130</v>
      </c>
      <c r="I175" t="s">
        <v>129</v>
      </c>
      <c r="J175">
        <v>34</v>
      </c>
      <c r="K175">
        <v>2</v>
      </c>
      <c r="L175">
        <v>249900</v>
      </c>
      <c r="M175">
        <v>22036</v>
      </c>
      <c r="N175">
        <v>50913.666666666599</v>
      </c>
      <c r="O175">
        <v>12865.276190476099</v>
      </c>
      <c r="P175">
        <v>99769.600000000006</v>
      </c>
      <c r="Q175">
        <v>6068.7575702076501</v>
      </c>
      <c r="R175">
        <v>34806.735821721901</v>
      </c>
      <c r="S175">
        <v>40875.4933919295</v>
      </c>
      <c r="T175">
        <v>34901.276190476099</v>
      </c>
      <c r="U175">
        <v>191558.760058596</v>
      </c>
      <c r="V175">
        <v>226460.036249072</v>
      </c>
      <c r="W175">
        <v>23439.963750927502</v>
      </c>
      <c r="X175">
        <v>0</v>
      </c>
      <c r="Y175">
        <v>66108</v>
      </c>
      <c r="Z175">
        <v>152741</v>
      </c>
      <c r="AA175">
        <v>39731</v>
      </c>
      <c r="AB175">
        <v>15578</v>
      </c>
      <c r="AC175">
        <v>308112</v>
      </c>
      <c r="AD175">
        <v>2639292</v>
      </c>
      <c r="AE175">
        <v>499926</v>
      </c>
    </row>
    <row r="176" spans="1:31" x14ac:dyDescent="0.45">
      <c r="A176" t="s">
        <v>119</v>
      </c>
      <c r="B176" t="s">
        <v>160</v>
      </c>
      <c r="C176" t="s">
        <v>121</v>
      </c>
      <c r="D176" t="s">
        <v>161</v>
      </c>
      <c r="E176" t="s">
        <v>123</v>
      </c>
      <c r="F176" t="s">
        <v>124</v>
      </c>
      <c r="G176" t="s">
        <v>125</v>
      </c>
      <c r="H176" t="s">
        <v>126</v>
      </c>
      <c r="I176" t="s">
        <v>127</v>
      </c>
      <c r="J176">
        <v>84.920593921038304</v>
      </c>
      <c r="K176">
        <v>3</v>
      </c>
      <c r="L176">
        <v>738095.83412409597</v>
      </c>
      <c r="M176">
        <v>47954.491543097</v>
      </c>
      <c r="N176">
        <v>161286.33300000001</v>
      </c>
      <c r="O176">
        <v>68555.500528522505</v>
      </c>
      <c r="P176">
        <v>323085.10268851201</v>
      </c>
      <c r="Q176">
        <v>21343.881770118001</v>
      </c>
      <c r="R176">
        <v>79663.150473551199</v>
      </c>
      <c r="S176">
        <v>101007.032243669</v>
      </c>
      <c r="T176">
        <v>116509.992071619</v>
      </c>
      <c r="U176">
        <v>585378.46793218201</v>
      </c>
      <c r="V176">
        <v>701888.46000380104</v>
      </c>
      <c r="W176">
        <v>36207.374120294902</v>
      </c>
      <c r="X176">
        <v>84.920593921038304</v>
      </c>
      <c r="Y176">
        <v>191817.966172388</v>
      </c>
      <c r="Z176">
        <v>645145.33200000005</v>
      </c>
      <c r="AA176">
        <v>150557.20074515499</v>
      </c>
      <c r="AB176">
        <v>73754.28</v>
      </c>
      <c r="AC176">
        <v>1517189.9225999999</v>
      </c>
      <c r="AD176">
        <v>2990161.3072000002</v>
      </c>
      <c r="AE176">
        <v>743978.4</v>
      </c>
    </row>
    <row r="177" spans="1:31" x14ac:dyDescent="0.45">
      <c r="A177" t="s">
        <v>119</v>
      </c>
      <c r="B177" t="s">
        <v>160</v>
      </c>
      <c r="C177" t="s">
        <v>121</v>
      </c>
      <c r="D177" t="s">
        <v>161</v>
      </c>
      <c r="E177" t="s">
        <v>123</v>
      </c>
      <c r="F177" t="s">
        <v>124</v>
      </c>
      <c r="G177" t="s">
        <v>125</v>
      </c>
      <c r="H177" t="s">
        <v>128</v>
      </c>
      <c r="I177" t="s">
        <v>129</v>
      </c>
      <c r="J177">
        <v>76.39</v>
      </c>
      <c r="K177">
        <v>3</v>
      </c>
      <c r="L177">
        <v>613271.14240000001</v>
      </c>
      <c r="M177">
        <v>38363.593234477601</v>
      </c>
      <c r="N177">
        <v>129029.0664</v>
      </c>
      <c r="O177">
        <v>28840.448017294701</v>
      </c>
      <c r="P177">
        <v>290629.985670191</v>
      </c>
      <c r="Q177">
        <v>19199.808351968899</v>
      </c>
      <c r="R177">
        <v>71660.686574248699</v>
      </c>
      <c r="S177">
        <v>90860.494926217696</v>
      </c>
      <c r="T177">
        <v>67204.041251772302</v>
      </c>
      <c r="U177">
        <v>510519.54699640902</v>
      </c>
      <c r="V177">
        <v>577723.58824818104</v>
      </c>
      <c r="W177">
        <v>35547.5541518186</v>
      </c>
      <c r="X177">
        <v>0</v>
      </c>
      <c r="Y177">
        <v>191817.966172388</v>
      </c>
      <c r="Z177">
        <v>645145.33200000005</v>
      </c>
      <c r="AA177">
        <v>150557.20074515499</v>
      </c>
      <c r="AB177">
        <v>73754.28</v>
      </c>
      <c r="AC177">
        <v>1517189.9225999999</v>
      </c>
      <c r="AD177">
        <v>2990161.3072000002</v>
      </c>
      <c r="AE177">
        <v>743978.4</v>
      </c>
    </row>
    <row r="178" spans="1:31" x14ac:dyDescent="0.45">
      <c r="A178" t="s">
        <v>119</v>
      </c>
      <c r="B178" t="s">
        <v>160</v>
      </c>
      <c r="C178" t="s">
        <v>121</v>
      </c>
      <c r="D178" t="s">
        <v>161</v>
      </c>
      <c r="E178" t="s">
        <v>123</v>
      </c>
      <c r="F178" t="s">
        <v>124</v>
      </c>
      <c r="G178" t="s">
        <v>125</v>
      </c>
      <c r="H178" t="s">
        <v>130</v>
      </c>
      <c r="I178" t="s">
        <v>129</v>
      </c>
      <c r="J178">
        <v>74.38</v>
      </c>
      <c r="K178">
        <v>3</v>
      </c>
      <c r="L178">
        <v>597134.54079999996</v>
      </c>
      <c r="M178">
        <v>38363.593234477601</v>
      </c>
      <c r="N178">
        <v>129029.0664</v>
      </c>
      <c r="O178">
        <v>28081.588212153201</v>
      </c>
      <c r="P178">
        <v>282982.82935133902</v>
      </c>
      <c r="Q178">
        <v>18694.6163793618</v>
      </c>
      <c r="R178">
        <v>69775.125898581202</v>
      </c>
      <c r="S178">
        <v>88469.742277943107</v>
      </c>
      <c r="T178">
        <v>66445.181446630799</v>
      </c>
      <c r="U178">
        <v>500481.63802928198</v>
      </c>
      <c r="V178">
        <v>566926.81947591295</v>
      </c>
      <c r="W178">
        <v>30207.721324086498</v>
      </c>
      <c r="X178">
        <v>0</v>
      </c>
      <c r="Y178">
        <v>191817.966172388</v>
      </c>
      <c r="Z178">
        <v>645145.33200000005</v>
      </c>
      <c r="AA178">
        <v>150557.20074515499</v>
      </c>
      <c r="AB178">
        <v>73754.28</v>
      </c>
      <c r="AC178">
        <v>1517189.9225999999</v>
      </c>
      <c r="AD178">
        <v>2990161.3072000002</v>
      </c>
      <c r="AE178">
        <v>743978.4</v>
      </c>
    </row>
    <row r="179" spans="1:31" x14ac:dyDescent="0.45">
      <c r="A179" t="s">
        <v>119</v>
      </c>
      <c r="B179" t="s">
        <v>160</v>
      </c>
      <c r="C179" t="s">
        <v>121</v>
      </c>
      <c r="D179" t="s">
        <v>161</v>
      </c>
      <c r="E179" t="s">
        <v>123</v>
      </c>
      <c r="F179" t="s">
        <v>124</v>
      </c>
      <c r="G179" t="s">
        <v>131</v>
      </c>
      <c r="H179" t="s">
        <v>132</v>
      </c>
      <c r="I179" t="s">
        <v>129</v>
      </c>
      <c r="J179">
        <v>86.701857656191294</v>
      </c>
      <c r="K179">
        <v>3</v>
      </c>
      <c r="L179">
        <v>753577.86600455199</v>
      </c>
      <c r="M179">
        <v>33568.144080167898</v>
      </c>
      <c r="N179">
        <v>112900.43309999999</v>
      </c>
      <c r="O179">
        <v>69993.4959698905</v>
      </c>
      <c r="P179">
        <v>329862.01921976497</v>
      </c>
      <c r="Q179">
        <v>21791.583332354501</v>
      </c>
      <c r="R179">
        <v>81334.135972057207</v>
      </c>
      <c r="S179">
        <v>103125.719304411</v>
      </c>
      <c r="T179">
        <v>103561.64005005801</v>
      </c>
      <c r="U179">
        <v>545888.17162417597</v>
      </c>
      <c r="V179">
        <v>649449.81167423504</v>
      </c>
      <c r="W179">
        <v>104128.054330317</v>
      </c>
      <c r="X179">
        <v>86.701857656191294</v>
      </c>
      <c r="Y179">
        <v>191817.966172388</v>
      </c>
      <c r="Z179">
        <v>645145.33200000005</v>
      </c>
      <c r="AA179">
        <v>150557.20074515499</v>
      </c>
      <c r="AB179">
        <v>73754.28</v>
      </c>
      <c r="AC179">
        <v>1517189.9225999999</v>
      </c>
      <c r="AD179">
        <v>2990161.3072000002</v>
      </c>
      <c r="AE179">
        <v>743978.4</v>
      </c>
    </row>
    <row r="180" spans="1:31" x14ac:dyDescent="0.45">
      <c r="A180" t="s">
        <v>119</v>
      </c>
      <c r="B180" t="s">
        <v>160</v>
      </c>
      <c r="C180" t="s">
        <v>121</v>
      </c>
      <c r="D180" t="s">
        <v>161</v>
      </c>
      <c r="E180" t="s">
        <v>123</v>
      </c>
      <c r="F180" t="s">
        <v>124</v>
      </c>
      <c r="G180" t="s">
        <v>131</v>
      </c>
      <c r="H180" t="s">
        <v>133</v>
      </c>
      <c r="I180" t="s">
        <v>129</v>
      </c>
      <c r="J180">
        <v>76.39</v>
      </c>
      <c r="K180">
        <v>3</v>
      </c>
      <c r="L180">
        <v>657076.22400000005</v>
      </c>
      <c r="M180">
        <v>33568.144080167898</v>
      </c>
      <c r="N180">
        <v>112900.43309999999</v>
      </c>
      <c r="O180">
        <v>28840.448017294701</v>
      </c>
      <c r="P180">
        <v>290629.985670191</v>
      </c>
      <c r="Q180">
        <v>19199.808351968899</v>
      </c>
      <c r="R180">
        <v>71660.686574248699</v>
      </c>
      <c r="S180">
        <v>90860.494926217696</v>
      </c>
      <c r="T180">
        <v>62408.592097462599</v>
      </c>
      <c r="U180">
        <v>494390.91369640903</v>
      </c>
      <c r="V180">
        <v>556799.50579387101</v>
      </c>
      <c r="W180">
        <v>100276.718206128</v>
      </c>
      <c r="X180">
        <v>0</v>
      </c>
      <c r="Y180">
        <v>191817.966172388</v>
      </c>
      <c r="Z180">
        <v>645145.33200000005</v>
      </c>
      <c r="AA180">
        <v>150557.20074515499</v>
      </c>
      <c r="AB180">
        <v>73754.28</v>
      </c>
      <c r="AC180">
        <v>1517189.9225999999</v>
      </c>
      <c r="AD180">
        <v>2990161.3072000002</v>
      </c>
      <c r="AE180">
        <v>743978.4</v>
      </c>
    </row>
    <row r="181" spans="1:31" x14ac:dyDescent="0.45">
      <c r="A181" t="s">
        <v>119</v>
      </c>
      <c r="B181" t="s">
        <v>160</v>
      </c>
      <c r="C181" t="s">
        <v>121</v>
      </c>
      <c r="D181" t="s">
        <v>161</v>
      </c>
      <c r="E181" t="s">
        <v>134</v>
      </c>
      <c r="F181" t="s">
        <v>124</v>
      </c>
      <c r="G181" t="s">
        <v>125</v>
      </c>
      <c r="H181" t="s">
        <v>126</v>
      </c>
      <c r="I181" t="s">
        <v>127</v>
      </c>
      <c r="J181">
        <v>72.005872908655405</v>
      </c>
      <c r="K181">
        <v>3</v>
      </c>
      <c r="L181">
        <v>587135.88769717596</v>
      </c>
      <c r="M181">
        <v>47954.4508039555</v>
      </c>
      <c r="N181">
        <v>111506.57249999999</v>
      </c>
      <c r="O181">
        <v>49493.401388835198</v>
      </c>
      <c r="P181">
        <v>190521.61399424099</v>
      </c>
      <c r="Q181">
        <v>16973.014835832</v>
      </c>
      <c r="R181">
        <v>63349.481102810103</v>
      </c>
      <c r="S181">
        <v>80322.495938642198</v>
      </c>
      <c r="T181">
        <v>97447.852192790699</v>
      </c>
      <c r="U181">
        <v>382350.682432884</v>
      </c>
      <c r="V181">
        <v>479798.53462567402</v>
      </c>
      <c r="W181">
        <v>107337.353071501</v>
      </c>
      <c r="X181">
        <v>72.005872908655405</v>
      </c>
      <c r="Y181">
        <v>166242.09612037899</v>
      </c>
      <c r="Z181">
        <v>386556.11800000002</v>
      </c>
      <c r="AA181">
        <v>127698.224037113</v>
      </c>
      <c r="AB181">
        <v>45125.64</v>
      </c>
      <c r="AC181">
        <v>895638.48159999901</v>
      </c>
      <c r="AD181">
        <v>2990161.3072000002</v>
      </c>
      <c r="AE181">
        <v>743978.4</v>
      </c>
    </row>
    <row r="182" spans="1:31" x14ac:dyDescent="0.45">
      <c r="A182" t="s">
        <v>119</v>
      </c>
      <c r="B182" t="s">
        <v>160</v>
      </c>
      <c r="C182" t="s">
        <v>121</v>
      </c>
      <c r="D182" t="s">
        <v>161</v>
      </c>
      <c r="E182" t="s">
        <v>134</v>
      </c>
      <c r="F182" t="s">
        <v>124</v>
      </c>
      <c r="G182" t="s">
        <v>125</v>
      </c>
      <c r="H182" t="s">
        <v>128</v>
      </c>
      <c r="I182" t="s">
        <v>129</v>
      </c>
      <c r="J182">
        <v>64.33</v>
      </c>
      <c r="K182">
        <v>2</v>
      </c>
      <c r="L182">
        <v>484173.31199999998</v>
      </c>
      <c r="M182">
        <v>25575.7070954429</v>
      </c>
      <c r="N182">
        <v>59470.171999999999</v>
      </c>
      <c r="O182">
        <v>24268.447586967399</v>
      </c>
      <c r="P182">
        <v>170211.88596376701</v>
      </c>
      <c r="Q182">
        <v>15163.6804094326</v>
      </c>
      <c r="R182">
        <v>56596.385193656999</v>
      </c>
      <c r="S182">
        <v>71760.065603089606</v>
      </c>
      <c r="T182">
        <v>49844.154682410299</v>
      </c>
      <c r="U182">
        <v>301442.12356685603</v>
      </c>
      <c r="V182">
        <v>351286.27824926702</v>
      </c>
      <c r="W182">
        <v>132887.03375073199</v>
      </c>
      <c r="X182">
        <v>0</v>
      </c>
      <c r="Y182">
        <v>166242.09612037899</v>
      </c>
      <c r="Z182">
        <v>386556.11800000002</v>
      </c>
      <c r="AA182">
        <v>127698.224037113</v>
      </c>
      <c r="AB182">
        <v>45125.64</v>
      </c>
      <c r="AC182">
        <v>895638.48159999901</v>
      </c>
      <c r="AD182">
        <v>2990161.3072000002</v>
      </c>
      <c r="AE182">
        <v>743978.4</v>
      </c>
    </row>
    <row r="183" spans="1:31" x14ac:dyDescent="0.45">
      <c r="A183" t="s">
        <v>119</v>
      </c>
      <c r="B183" t="s">
        <v>160</v>
      </c>
      <c r="C183" t="s">
        <v>121</v>
      </c>
      <c r="D183" t="s">
        <v>161</v>
      </c>
      <c r="E183" t="s">
        <v>134</v>
      </c>
      <c r="F183" t="s">
        <v>124</v>
      </c>
      <c r="G183" t="s">
        <v>125</v>
      </c>
      <c r="H183" t="s">
        <v>130</v>
      </c>
      <c r="I183" t="s">
        <v>129</v>
      </c>
      <c r="J183">
        <v>63.32</v>
      </c>
      <c r="K183">
        <v>2</v>
      </c>
      <c r="L183">
        <v>476571.64799999999</v>
      </c>
      <c r="M183">
        <v>25575.7070954429</v>
      </c>
      <c r="N183">
        <v>59470.171999999999</v>
      </c>
      <c r="O183">
        <v>23887.425792115198</v>
      </c>
      <c r="P183">
        <v>167539.50908169901</v>
      </c>
      <c r="Q183">
        <v>14925.6061483798</v>
      </c>
      <c r="R183">
        <v>55707.805230255901</v>
      </c>
      <c r="S183">
        <v>70633.411378635705</v>
      </c>
      <c r="T183">
        <v>49463.132887558197</v>
      </c>
      <c r="U183">
        <v>297643.092460335</v>
      </c>
      <c r="V183">
        <v>347106.22534789302</v>
      </c>
      <c r="W183">
        <v>129465.422652106</v>
      </c>
      <c r="X183">
        <v>0</v>
      </c>
      <c r="Y183">
        <v>166242.09612037899</v>
      </c>
      <c r="Z183">
        <v>386556.11800000002</v>
      </c>
      <c r="AA183">
        <v>127698.224037113</v>
      </c>
      <c r="AB183">
        <v>45125.64</v>
      </c>
      <c r="AC183">
        <v>895638.48159999901</v>
      </c>
      <c r="AD183">
        <v>2990161.3072000002</v>
      </c>
      <c r="AE183">
        <v>743978.4</v>
      </c>
    </row>
    <row r="184" spans="1:31" x14ac:dyDescent="0.45">
      <c r="A184" t="s">
        <v>119</v>
      </c>
      <c r="B184" t="s">
        <v>160</v>
      </c>
      <c r="C184" t="s">
        <v>121</v>
      </c>
      <c r="D184" t="s">
        <v>161</v>
      </c>
      <c r="E184" t="s">
        <v>134</v>
      </c>
      <c r="F184" t="s">
        <v>124</v>
      </c>
      <c r="G184" t="s">
        <v>131</v>
      </c>
      <c r="H184" t="s">
        <v>132</v>
      </c>
      <c r="I184" t="s">
        <v>129</v>
      </c>
      <c r="J184">
        <v>73.512365302468794</v>
      </c>
      <c r="K184">
        <v>3</v>
      </c>
      <c r="L184">
        <v>599419.82667633099</v>
      </c>
      <c r="M184">
        <v>33568.1155627689</v>
      </c>
      <c r="N184">
        <v>78054.600749999998</v>
      </c>
      <c r="O184">
        <v>50528.892380393903</v>
      </c>
      <c r="P184">
        <v>194507.66889150601</v>
      </c>
      <c r="Q184">
        <v>17328.120839236799</v>
      </c>
      <c r="R184">
        <v>64674.866207917803</v>
      </c>
      <c r="S184">
        <v>82002.987047154602</v>
      </c>
      <c r="T184">
        <v>84097.007943162796</v>
      </c>
      <c r="U184">
        <v>354565.256688661</v>
      </c>
      <c r="V184">
        <v>438662.26463182399</v>
      </c>
      <c r="W184">
        <v>160757.56204450599</v>
      </c>
      <c r="X184">
        <v>73.512365302468794</v>
      </c>
      <c r="Y184">
        <v>166242.09612037899</v>
      </c>
      <c r="Z184">
        <v>386556.11800000002</v>
      </c>
      <c r="AA184">
        <v>127698.224037113</v>
      </c>
      <c r="AB184">
        <v>45125.64</v>
      </c>
      <c r="AC184">
        <v>895638.48159999901</v>
      </c>
      <c r="AD184">
        <v>2990161.3072000002</v>
      </c>
      <c r="AE184">
        <v>743978.4</v>
      </c>
    </row>
    <row r="185" spans="1:31" x14ac:dyDescent="0.45">
      <c r="A185" t="s">
        <v>119</v>
      </c>
      <c r="B185" t="s">
        <v>160</v>
      </c>
      <c r="C185" t="s">
        <v>121</v>
      </c>
      <c r="D185" t="s">
        <v>161</v>
      </c>
      <c r="E185" t="s">
        <v>134</v>
      </c>
      <c r="F185" t="s">
        <v>124</v>
      </c>
      <c r="G185" t="s">
        <v>131</v>
      </c>
      <c r="H185" t="s">
        <v>133</v>
      </c>
      <c r="I185" t="s">
        <v>129</v>
      </c>
      <c r="J185">
        <v>65.33</v>
      </c>
      <c r="K185">
        <v>3</v>
      </c>
      <c r="L185">
        <v>526821.12</v>
      </c>
      <c r="M185">
        <v>33568.1155627689</v>
      </c>
      <c r="N185">
        <v>78054.600749999998</v>
      </c>
      <c r="O185">
        <v>24645.6968888011</v>
      </c>
      <c r="P185">
        <v>172857.80366878401</v>
      </c>
      <c r="Q185">
        <v>15399.3974995839</v>
      </c>
      <c r="R185">
        <v>57476.167335638303</v>
      </c>
      <c r="S185">
        <v>72875.564835222205</v>
      </c>
      <c r="T185">
        <v>58213.812451570098</v>
      </c>
      <c r="U185">
        <v>323787.96925400599</v>
      </c>
      <c r="V185">
        <v>382001.78170557698</v>
      </c>
      <c r="W185">
        <v>144819.33829442301</v>
      </c>
      <c r="X185">
        <v>0</v>
      </c>
      <c r="Y185">
        <v>166242.09612037899</v>
      </c>
      <c r="Z185">
        <v>386556.11800000002</v>
      </c>
      <c r="AA185">
        <v>127698.224037113</v>
      </c>
      <c r="AB185">
        <v>45125.64</v>
      </c>
      <c r="AC185">
        <v>895638.48159999901</v>
      </c>
      <c r="AD185">
        <v>2990161.3072000002</v>
      </c>
      <c r="AE185">
        <v>743978.4</v>
      </c>
    </row>
    <row r="186" spans="1:31" x14ac:dyDescent="0.45">
      <c r="A186" t="s">
        <v>119</v>
      </c>
      <c r="B186" t="s">
        <v>160</v>
      </c>
      <c r="C186" t="s">
        <v>121</v>
      </c>
      <c r="D186" t="s">
        <v>161</v>
      </c>
      <c r="E186" t="s">
        <v>135</v>
      </c>
      <c r="F186" t="s">
        <v>124</v>
      </c>
      <c r="G186" t="s">
        <v>125</v>
      </c>
      <c r="H186" t="s">
        <v>126</v>
      </c>
      <c r="I186" t="s">
        <v>127</v>
      </c>
      <c r="J186">
        <v>65.539312166562496</v>
      </c>
      <c r="K186">
        <v>2</v>
      </c>
      <c r="L186">
        <v>509240.45553419099</v>
      </c>
      <c r="M186">
        <v>32649.821509441401</v>
      </c>
      <c r="N186">
        <v>67785.125531914906</v>
      </c>
      <c r="O186">
        <v>41560.710012522497</v>
      </c>
      <c r="P186">
        <v>155572.862005245</v>
      </c>
      <c r="Q186">
        <v>14717.8863026413</v>
      </c>
      <c r="R186">
        <v>54932.519014485202</v>
      </c>
      <c r="S186">
        <v>69650.405317126497</v>
      </c>
      <c r="T186">
        <v>74210.531521963901</v>
      </c>
      <c r="U186">
        <v>293008.392854287</v>
      </c>
      <c r="V186">
        <v>367218.924376251</v>
      </c>
      <c r="W186">
        <v>142021.53115793999</v>
      </c>
      <c r="X186">
        <v>65.539312166562496</v>
      </c>
      <c r="Y186">
        <v>153454.16109437399</v>
      </c>
      <c r="Z186">
        <v>318590.09000000003</v>
      </c>
      <c r="AA186">
        <v>115874.177098051</v>
      </c>
      <c r="AB186">
        <v>34055.64</v>
      </c>
      <c r="AC186">
        <v>729550.32739999902</v>
      </c>
      <c r="AD186">
        <v>2990161.3072000002</v>
      </c>
      <c r="AE186">
        <v>743978.4</v>
      </c>
    </row>
    <row r="187" spans="1:31" x14ac:dyDescent="0.45">
      <c r="A187" t="s">
        <v>119</v>
      </c>
      <c r="B187" t="s">
        <v>160</v>
      </c>
      <c r="C187" t="s">
        <v>121</v>
      </c>
      <c r="D187" t="s">
        <v>161</v>
      </c>
      <c r="E187" t="s">
        <v>135</v>
      </c>
      <c r="F187" t="s">
        <v>124</v>
      </c>
      <c r="G187" t="s">
        <v>125</v>
      </c>
      <c r="H187" t="s">
        <v>128</v>
      </c>
      <c r="I187" t="s">
        <v>129</v>
      </c>
      <c r="J187">
        <v>58.3</v>
      </c>
      <c r="K187">
        <v>2</v>
      </c>
      <c r="L187">
        <v>417894.39999999898</v>
      </c>
      <c r="M187">
        <v>26119.857207553101</v>
      </c>
      <c r="N187">
        <v>54228.100425531899</v>
      </c>
      <c r="O187">
        <v>21980.214341278399</v>
      </c>
      <c r="P187">
        <v>138388.66407165601</v>
      </c>
      <c r="Q187">
        <v>13092.184569519401</v>
      </c>
      <c r="R187">
        <v>48864.807283992202</v>
      </c>
      <c r="S187">
        <v>61956.991853511703</v>
      </c>
      <c r="T187">
        <v>48100.071548831598</v>
      </c>
      <c r="U187">
        <v>254573.756350699</v>
      </c>
      <c r="V187">
        <v>302673.827899531</v>
      </c>
      <c r="W187">
        <v>115220.57210046799</v>
      </c>
      <c r="X187">
        <v>0</v>
      </c>
      <c r="Y187">
        <v>153454.16109437399</v>
      </c>
      <c r="Z187">
        <v>318590.09000000003</v>
      </c>
      <c r="AA187">
        <v>115874.177098051</v>
      </c>
      <c r="AB187">
        <v>34055.64</v>
      </c>
      <c r="AC187">
        <v>729550.32739999902</v>
      </c>
      <c r="AD187">
        <v>2990161.3072000002</v>
      </c>
      <c r="AE187">
        <v>743978.4</v>
      </c>
    </row>
    <row r="188" spans="1:31" x14ac:dyDescent="0.45">
      <c r="A188" t="s">
        <v>119</v>
      </c>
      <c r="B188" t="s">
        <v>160</v>
      </c>
      <c r="C188" t="s">
        <v>121</v>
      </c>
      <c r="D188" t="s">
        <v>161</v>
      </c>
      <c r="E188" t="s">
        <v>135</v>
      </c>
      <c r="F188" t="s">
        <v>124</v>
      </c>
      <c r="G188" t="s">
        <v>125</v>
      </c>
      <c r="H188" t="s">
        <v>130</v>
      </c>
      <c r="I188" t="s">
        <v>129</v>
      </c>
      <c r="J188">
        <v>57.29</v>
      </c>
      <c r="K188">
        <v>2</v>
      </c>
      <c r="L188">
        <v>410654.71999999997</v>
      </c>
      <c r="M188">
        <v>26119.857207553101</v>
      </c>
      <c r="N188">
        <v>54228.100425531899</v>
      </c>
      <c r="O188">
        <v>21599.4250362237</v>
      </c>
      <c r="P188">
        <v>135991.193218956</v>
      </c>
      <c r="Q188">
        <v>12865.3731387267</v>
      </c>
      <c r="R188">
        <v>48018.2643104616</v>
      </c>
      <c r="S188">
        <v>60883.637449188398</v>
      </c>
      <c r="T188">
        <v>47719.282243776797</v>
      </c>
      <c r="U188">
        <v>251102.93109367701</v>
      </c>
      <c r="V188">
        <v>298822.21333745302</v>
      </c>
      <c r="W188">
        <v>111832.506662546</v>
      </c>
      <c r="X188">
        <v>0</v>
      </c>
      <c r="Y188">
        <v>153454.16109437399</v>
      </c>
      <c r="Z188">
        <v>318590.09000000003</v>
      </c>
      <c r="AA188">
        <v>115874.177098051</v>
      </c>
      <c r="AB188">
        <v>34055.64</v>
      </c>
      <c r="AC188">
        <v>729550.32739999902</v>
      </c>
      <c r="AD188">
        <v>2990161.3072000002</v>
      </c>
      <c r="AE188">
        <v>743978.4</v>
      </c>
    </row>
    <row r="189" spans="1:31" x14ac:dyDescent="0.45">
      <c r="A189" t="s">
        <v>119</v>
      </c>
      <c r="B189" t="s">
        <v>160</v>
      </c>
      <c r="C189" t="s">
        <v>121</v>
      </c>
      <c r="D189" t="s">
        <v>161</v>
      </c>
      <c r="E189" t="s">
        <v>135</v>
      </c>
      <c r="F189" t="s">
        <v>124</v>
      </c>
      <c r="G189" t="s">
        <v>131</v>
      </c>
      <c r="H189" t="s">
        <v>132</v>
      </c>
      <c r="I189" t="s">
        <v>129</v>
      </c>
      <c r="J189">
        <v>66.9136654735495</v>
      </c>
      <c r="K189">
        <v>3</v>
      </c>
      <c r="L189">
        <v>519919.18072947901</v>
      </c>
      <c r="M189">
        <v>34282.312584913503</v>
      </c>
      <c r="N189">
        <v>71174.381808510603</v>
      </c>
      <c r="O189">
        <v>42432.234252832997</v>
      </c>
      <c r="P189">
        <v>158835.21051496</v>
      </c>
      <c r="Q189">
        <v>15026.519015485201</v>
      </c>
      <c r="R189">
        <v>56084.448851295398</v>
      </c>
      <c r="S189">
        <v>71110.967866780702</v>
      </c>
      <c r="T189">
        <v>76714.5468377465</v>
      </c>
      <c r="U189">
        <v>301120.56019025203</v>
      </c>
      <c r="V189">
        <v>377835.10702799802</v>
      </c>
      <c r="W189">
        <v>142084.07370148099</v>
      </c>
      <c r="X189">
        <v>66.9136654735495</v>
      </c>
      <c r="Y189">
        <v>153454.16109437399</v>
      </c>
      <c r="Z189">
        <v>318590.09000000003</v>
      </c>
      <c r="AA189">
        <v>115874.177098051</v>
      </c>
      <c r="AB189">
        <v>34055.64</v>
      </c>
      <c r="AC189">
        <v>729550.32739999902</v>
      </c>
      <c r="AD189">
        <v>2990161.3072000002</v>
      </c>
      <c r="AE189">
        <v>743978.4</v>
      </c>
    </row>
    <row r="190" spans="1:31" x14ac:dyDescent="0.45">
      <c r="A190" t="s">
        <v>119</v>
      </c>
      <c r="B190" t="s">
        <v>160</v>
      </c>
      <c r="C190" t="s">
        <v>121</v>
      </c>
      <c r="D190" t="s">
        <v>161</v>
      </c>
      <c r="E190" t="s">
        <v>135</v>
      </c>
      <c r="F190" t="s">
        <v>124</v>
      </c>
      <c r="G190" t="s">
        <v>131</v>
      </c>
      <c r="H190" t="s">
        <v>133</v>
      </c>
      <c r="I190" t="s">
        <v>129</v>
      </c>
      <c r="J190">
        <v>59.3</v>
      </c>
      <c r="K190">
        <v>3</v>
      </c>
      <c r="L190">
        <v>455424</v>
      </c>
      <c r="M190">
        <v>34282.312584913503</v>
      </c>
      <c r="N190">
        <v>71174.381808510603</v>
      </c>
      <c r="O190">
        <v>22357.233455194</v>
      </c>
      <c r="P190">
        <v>140762.39758918001</v>
      </c>
      <c r="Q190">
        <v>13316.750342581499</v>
      </c>
      <c r="R190">
        <v>49702.968643923501</v>
      </c>
      <c r="S190">
        <v>63019.718986505002</v>
      </c>
      <c r="T190">
        <v>56639.546040107503</v>
      </c>
      <c r="U190">
        <v>274956.49838419497</v>
      </c>
      <c r="V190">
        <v>331596.04442430299</v>
      </c>
      <c r="W190">
        <v>123827.955575696</v>
      </c>
      <c r="X190">
        <v>0</v>
      </c>
      <c r="Y190">
        <v>153454.16109437399</v>
      </c>
      <c r="Z190">
        <v>318590.09000000003</v>
      </c>
      <c r="AA190">
        <v>115874.177098051</v>
      </c>
      <c r="AB190">
        <v>34055.64</v>
      </c>
      <c r="AC190">
        <v>729550.32739999902</v>
      </c>
      <c r="AD190">
        <v>2990161.3072000002</v>
      </c>
      <c r="AE190">
        <v>743978.4</v>
      </c>
    </row>
    <row r="191" spans="1:31" x14ac:dyDescent="0.45">
      <c r="A191" t="s">
        <v>119</v>
      </c>
      <c r="B191" t="s">
        <v>160</v>
      </c>
      <c r="C191" t="s">
        <v>121</v>
      </c>
      <c r="D191" t="s">
        <v>161</v>
      </c>
      <c r="E191" t="s">
        <v>136</v>
      </c>
      <c r="F191" t="s">
        <v>124</v>
      </c>
      <c r="G191" t="s">
        <v>125</v>
      </c>
      <c r="H191" t="s">
        <v>126</v>
      </c>
      <c r="I191" t="s">
        <v>127</v>
      </c>
      <c r="J191">
        <v>55.746741375111</v>
      </c>
      <c r="K191">
        <v>2</v>
      </c>
      <c r="L191">
        <v>420308.13127178699</v>
      </c>
      <c r="M191">
        <v>31969.572760591502</v>
      </c>
      <c r="N191">
        <v>69691.6155</v>
      </c>
      <c r="O191">
        <v>34328.130796774101</v>
      </c>
      <c r="P191">
        <v>138179.420883546</v>
      </c>
      <c r="Q191">
        <v>12146.822077237999</v>
      </c>
      <c r="R191">
        <v>45336.369707088998</v>
      </c>
      <c r="S191">
        <v>57483.191784326998</v>
      </c>
      <c r="T191">
        <v>66297.703557365705</v>
      </c>
      <c r="U191">
        <v>265354.22816787299</v>
      </c>
      <c r="V191">
        <v>331651.93172523897</v>
      </c>
      <c r="W191">
        <v>88656.199546548305</v>
      </c>
      <c r="X191">
        <v>55.746741375111</v>
      </c>
      <c r="Y191">
        <v>127878.29104236601</v>
      </c>
      <c r="Z191">
        <v>278766.462</v>
      </c>
      <c r="AA191">
        <v>98138.636298298705</v>
      </c>
      <c r="AB191">
        <v>26916.84</v>
      </c>
      <c r="AC191">
        <v>645482.58579999895</v>
      </c>
      <c r="AD191">
        <v>2990161.3072000002</v>
      </c>
      <c r="AE191">
        <v>743978.4</v>
      </c>
    </row>
    <row r="192" spans="1:31" x14ac:dyDescent="0.45">
      <c r="A192" t="s">
        <v>119</v>
      </c>
      <c r="B192" t="s">
        <v>160</v>
      </c>
      <c r="C192" t="s">
        <v>121</v>
      </c>
      <c r="D192" t="s">
        <v>161</v>
      </c>
      <c r="E192" t="s">
        <v>136</v>
      </c>
      <c r="F192" t="s">
        <v>124</v>
      </c>
      <c r="G192" t="s">
        <v>125</v>
      </c>
      <c r="H192" t="s">
        <v>128</v>
      </c>
      <c r="I192" t="s">
        <v>129</v>
      </c>
      <c r="J192">
        <v>49.255000000000003</v>
      </c>
      <c r="K192">
        <v>2</v>
      </c>
      <c r="L192">
        <v>342468.04479999997</v>
      </c>
      <c r="M192">
        <v>25575.6582084732</v>
      </c>
      <c r="N192">
        <v>55753.292399999998</v>
      </c>
      <c r="O192">
        <v>18562.210535329501</v>
      </c>
      <c r="P192">
        <v>122088.34467690899</v>
      </c>
      <c r="Q192">
        <v>10732.317381361299</v>
      </c>
      <c r="R192">
        <v>40056.922339135002</v>
      </c>
      <c r="S192">
        <v>50789.239720496298</v>
      </c>
      <c r="T192">
        <v>44137.868743802799</v>
      </c>
      <c r="U192">
        <v>228630.87679740501</v>
      </c>
      <c r="V192">
        <v>272768.74554120802</v>
      </c>
      <c r="W192">
        <v>69699.299258791507</v>
      </c>
      <c r="X192">
        <v>0</v>
      </c>
      <c r="Y192">
        <v>127878.29104236601</v>
      </c>
      <c r="Z192">
        <v>278766.462</v>
      </c>
      <c r="AA192">
        <v>98138.636298298705</v>
      </c>
      <c r="AB192">
        <v>26916.84</v>
      </c>
      <c r="AC192">
        <v>645482.58579999895</v>
      </c>
      <c r="AD192">
        <v>2990161.3072000002</v>
      </c>
      <c r="AE192">
        <v>743978.4</v>
      </c>
    </row>
    <row r="193" spans="1:31" x14ac:dyDescent="0.45">
      <c r="A193" t="s">
        <v>119</v>
      </c>
      <c r="B193" t="s">
        <v>160</v>
      </c>
      <c r="C193" t="s">
        <v>121</v>
      </c>
      <c r="D193" t="s">
        <v>161</v>
      </c>
      <c r="E193" t="s">
        <v>136</v>
      </c>
      <c r="F193" t="s">
        <v>124</v>
      </c>
      <c r="G193" t="s">
        <v>125</v>
      </c>
      <c r="H193" t="s">
        <v>130</v>
      </c>
      <c r="I193" t="s">
        <v>129</v>
      </c>
      <c r="J193">
        <v>48.244999999999997</v>
      </c>
      <c r="K193">
        <v>2</v>
      </c>
      <c r="L193">
        <v>335445.5552</v>
      </c>
      <c r="M193">
        <v>25575.6582084732</v>
      </c>
      <c r="N193">
        <v>55753.292399999998</v>
      </c>
      <c r="O193">
        <v>18181.582525164398</v>
      </c>
      <c r="P193">
        <v>119584.858165414</v>
      </c>
      <c r="Q193">
        <v>10512.245499213799</v>
      </c>
      <c r="R193">
        <v>39235.5338189334</v>
      </c>
      <c r="S193">
        <v>49747.779318147303</v>
      </c>
      <c r="T193">
        <v>43757.240733637598</v>
      </c>
      <c r="U193">
        <v>225085.92988356101</v>
      </c>
      <c r="V193">
        <v>268843.17061719898</v>
      </c>
      <c r="W193">
        <v>66602.3845828005</v>
      </c>
      <c r="X193">
        <v>0</v>
      </c>
      <c r="Y193">
        <v>127878.29104236601</v>
      </c>
      <c r="Z193">
        <v>278766.462</v>
      </c>
      <c r="AA193">
        <v>98138.636298298705</v>
      </c>
      <c r="AB193">
        <v>26916.84</v>
      </c>
      <c r="AC193">
        <v>645482.58579999895</v>
      </c>
      <c r="AD193">
        <v>2990161.3072000002</v>
      </c>
      <c r="AE193">
        <v>743978.4</v>
      </c>
    </row>
    <row r="194" spans="1:31" x14ac:dyDescent="0.45">
      <c r="A194" t="s">
        <v>119</v>
      </c>
      <c r="B194" t="s">
        <v>160</v>
      </c>
      <c r="C194" t="s">
        <v>121</v>
      </c>
      <c r="D194" t="s">
        <v>161</v>
      </c>
      <c r="E194" t="s">
        <v>136</v>
      </c>
      <c r="F194" t="s">
        <v>124</v>
      </c>
      <c r="G194" t="s">
        <v>131</v>
      </c>
      <c r="H194" t="s">
        <v>132</v>
      </c>
      <c r="I194" t="s">
        <v>129</v>
      </c>
      <c r="J194">
        <v>56.910051803964301</v>
      </c>
      <c r="K194">
        <v>2</v>
      </c>
      <c r="L194">
        <v>429079.02658116899</v>
      </c>
      <c r="M194">
        <v>22378.700932414002</v>
      </c>
      <c r="N194">
        <v>48784.1308499999</v>
      </c>
      <c r="O194">
        <v>35044.482489695802</v>
      </c>
      <c r="P194">
        <v>141062.91788088801</v>
      </c>
      <c r="Q194">
        <v>12400.299221396001</v>
      </c>
      <c r="R194">
        <v>46282.4388473769</v>
      </c>
      <c r="S194">
        <v>58682.738068772902</v>
      </c>
      <c r="T194">
        <v>57423.183422109898</v>
      </c>
      <c r="U194">
        <v>248529.786799661</v>
      </c>
      <c r="V194">
        <v>305952.97022177099</v>
      </c>
      <c r="W194">
        <v>123126.056359398</v>
      </c>
      <c r="X194">
        <v>56.910051803964301</v>
      </c>
      <c r="Y194">
        <v>127878.29104236601</v>
      </c>
      <c r="Z194">
        <v>278766.462</v>
      </c>
      <c r="AA194">
        <v>98138.636298298705</v>
      </c>
      <c r="AB194">
        <v>26916.84</v>
      </c>
      <c r="AC194">
        <v>645482.58579999895</v>
      </c>
      <c r="AD194">
        <v>2990161.3072000002</v>
      </c>
      <c r="AE194">
        <v>743978.4</v>
      </c>
    </row>
    <row r="195" spans="1:31" x14ac:dyDescent="0.45">
      <c r="A195" t="s">
        <v>119</v>
      </c>
      <c r="B195" t="s">
        <v>160</v>
      </c>
      <c r="C195" t="s">
        <v>121</v>
      </c>
      <c r="D195" t="s">
        <v>161</v>
      </c>
      <c r="E195" t="s">
        <v>136</v>
      </c>
      <c r="F195" t="s">
        <v>124</v>
      </c>
      <c r="G195" t="s">
        <v>131</v>
      </c>
      <c r="H195" t="s">
        <v>133</v>
      </c>
      <c r="I195" t="s">
        <v>129</v>
      </c>
      <c r="J195">
        <v>50.255000000000003</v>
      </c>
      <c r="K195">
        <v>2</v>
      </c>
      <c r="L195">
        <v>374379.64799999999</v>
      </c>
      <c r="M195">
        <v>22378.700932414002</v>
      </c>
      <c r="N195">
        <v>48784.1308499999</v>
      </c>
      <c r="O195">
        <v>18939.069951334601</v>
      </c>
      <c r="P195">
        <v>124567.04419324</v>
      </c>
      <c r="Q195">
        <v>10950.210333982601</v>
      </c>
      <c r="R195">
        <v>40870.178299730498</v>
      </c>
      <c r="S195">
        <v>51820.388633713199</v>
      </c>
      <c r="T195">
        <v>41317.770883748701</v>
      </c>
      <c r="U195">
        <v>225171.56367695401</v>
      </c>
      <c r="V195">
        <v>266489.33456070197</v>
      </c>
      <c r="W195">
        <v>107890.313439297</v>
      </c>
      <c r="X195">
        <v>0</v>
      </c>
      <c r="Y195">
        <v>127878.29104236601</v>
      </c>
      <c r="Z195">
        <v>278766.462</v>
      </c>
      <c r="AA195">
        <v>98138.636298298705</v>
      </c>
      <c r="AB195">
        <v>26916.84</v>
      </c>
      <c r="AC195">
        <v>645482.58579999895</v>
      </c>
      <c r="AD195">
        <v>2990161.3072000002</v>
      </c>
      <c r="AE195">
        <v>743978.4</v>
      </c>
    </row>
    <row r="196" spans="1:31" x14ac:dyDescent="0.45">
      <c r="A196" t="s">
        <v>119</v>
      </c>
      <c r="B196" t="s">
        <v>160</v>
      </c>
      <c r="C196" t="s">
        <v>121</v>
      </c>
      <c r="D196" t="s">
        <v>161</v>
      </c>
      <c r="E196" t="s">
        <v>137</v>
      </c>
      <c r="F196" t="s">
        <v>1</v>
      </c>
      <c r="G196" t="s">
        <v>138</v>
      </c>
      <c r="H196" t="s">
        <v>126</v>
      </c>
      <c r="I196" t="s">
        <v>127</v>
      </c>
      <c r="J196">
        <v>78.323401492650305</v>
      </c>
      <c r="K196">
        <v>3</v>
      </c>
      <c r="L196">
        <v>680097.75984098099</v>
      </c>
      <c r="M196">
        <v>47954.491543097</v>
      </c>
      <c r="N196">
        <v>161286.33300000001</v>
      </c>
      <c r="O196">
        <v>62079.2916190416</v>
      </c>
      <c r="P196">
        <v>305411.111536526</v>
      </c>
      <c r="Q196">
        <v>19866.274320776101</v>
      </c>
      <c r="R196">
        <v>78224.523563739902</v>
      </c>
      <c r="S196">
        <v>98090.797884516098</v>
      </c>
      <c r="T196">
        <v>110033.783162138</v>
      </c>
      <c r="U196">
        <v>564788.24242104206</v>
      </c>
      <c r="V196">
        <v>674822.02558318002</v>
      </c>
      <c r="W196">
        <v>5275.7342578006201</v>
      </c>
      <c r="X196">
        <v>78.323401492650305</v>
      </c>
      <c r="Y196">
        <v>191817.966172388</v>
      </c>
      <c r="Z196">
        <v>645145.33200000005</v>
      </c>
      <c r="AA196">
        <v>139522.27097617401</v>
      </c>
      <c r="AB196">
        <v>65664</v>
      </c>
      <c r="AC196">
        <v>1440237.5714</v>
      </c>
      <c r="AD196">
        <v>2990161.3072000002</v>
      </c>
      <c r="AE196">
        <v>743978.4</v>
      </c>
    </row>
    <row r="197" spans="1:31" x14ac:dyDescent="0.45">
      <c r="A197" t="s">
        <v>119</v>
      </c>
      <c r="B197" t="s">
        <v>160</v>
      </c>
      <c r="C197" t="s">
        <v>121</v>
      </c>
      <c r="D197" t="s">
        <v>161</v>
      </c>
      <c r="E197" t="s">
        <v>137</v>
      </c>
      <c r="F197" t="s">
        <v>1</v>
      </c>
      <c r="G197" t="s">
        <v>138</v>
      </c>
      <c r="H197" t="s">
        <v>128</v>
      </c>
      <c r="I197" t="s">
        <v>129</v>
      </c>
      <c r="J197">
        <v>70.36</v>
      </c>
      <c r="K197">
        <v>3</v>
      </c>
      <c r="L197">
        <v>564309.71519999998</v>
      </c>
      <c r="M197">
        <v>38363.593234477601</v>
      </c>
      <c r="N197">
        <v>129029.0664</v>
      </c>
      <c r="O197">
        <v>26578.381121798098</v>
      </c>
      <c r="P197">
        <v>274358.94506862498</v>
      </c>
      <c r="Q197">
        <v>17846.4039427727</v>
      </c>
      <c r="R197">
        <v>70271.175319948394</v>
      </c>
      <c r="S197">
        <v>88117.579262721207</v>
      </c>
      <c r="T197">
        <v>64941.974356275699</v>
      </c>
      <c r="U197">
        <v>491505.59073134599</v>
      </c>
      <c r="V197">
        <v>556447.56508762203</v>
      </c>
      <c r="W197">
        <v>7862.1501123772396</v>
      </c>
      <c r="X197">
        <v>0</v>
      </c>
      <c r="Y197">
        <v>191817.966172388</v>
      </c>
      <c r="Z197">
        <v>645145.33200000005</v>
      </c>
      <c r="AA197">
        <v>139522.27097617401</v>
      </c>
      <c r="AB197">
        <v>65664</v>
      </c>
      <c r="AC197">
        <v>1440237.5714</v>
      </c>
      <c r="AD197">
        <v>2990161.3072000002</v>
      </c>
      <c r="AE197">
        <v>743978.4</v>
      </c>
    </row>
    <row r="198" spans="1:31" x14ac:dyDescent="0.45">
      <c r="A198" t="s">
        <v>119</v>
      </c>
      <c r="B198" t="s">
        <v>160</v>
      </c>
      <c r="C198" t="s">
        <v>121</v>
      </c>
      <c r="D198" t="s">
        <v>161</v>
      </c>
      <c r="E198" t="s">
        <v>137</v>
      </c>
      <c r="F198" t="s">
        <v>1</v>
      </c>
      <c r="G198" t="s">
        <v>138</v>
      </c>
      <c r="H198" t="s">
        <v>130</v>
      </c>
      <c r="I198" t="s">
        <v>129</v>
      </c>
      <c r="J198">
        <v>69.349999999999994</v>
      </c>
      <c r="K198">
        <v>3</v>
      </c>
      <c r="L198">
        <v>556209.19199999899</v>
      </c>
      <c r="M198">
        <v>38363.593234477601</v>
      </c>
      <c r="N198">
        <v>129029.0664</v>
      </c>
      <c r="O198">
        <v>26196.8551847171</v>
      </c>
      <c r="P198">
        <v>270420.59182076697</v>
      </c>
      <c r="Q198">
        <v>17590.223329040498</v>
      </c>
      <c r="R198">
        <v>69262.450375759305</v>
      </c>
      <c r="S198">
        <v>86852.673704799803</v>
      </c>
      <c r="T198">
        <v>64560.448419194698</v>
      </c>
      <c r="U198">
        <v>486302.33192556701</v>
      </c>
      <c r="V198">
        <v>550862.78034476098</v>
      </c>
      <c r="W198">
        <v>5346.4116552380101</v>
      </c>
      <c r="X198">
        <v>0</v>
      </c>
      <c r="Y198">
        <v>191817.966172388</v>
      </c>
      <c r="Z198">
        <v>645145.33200000005</v>
      </c>
      <c r="AA198">
        <v>139522.27097617401</v>
      </c>
      <c r="AB198">
        <v>65664</v>
      </c>
      <c r="AC198">
        <v>1440237.5714</v>
      </c>
      <c r="AD198">
        <v>2990161.3072000002</v>
      </c>
      <c r="AE198">
        <v>743978.4</v>
      </c>
    </row>
    <row r="199" spans="1:31" x14ac:dyDescent="0.45">
      <c r="A199" t="s">
        <v>119</v>
      </c>
      <c r="B199" t="s">
        <v>160</v>
      </c>
      <c r="C199" t="s">
        <v>121</v>
      </c>
      <c r="D199" t="s">
        <v>161</v>
      </c>
      <c r="E199" t="s">
        <v>137</v>
      </c>
      <c r="F199" t="s">
        <v>1</v>
      </c>
      <c r="G199" t="s">
        <v>139</v>
      </c>
      <c r="H199" t="s">
        <v>132</v>
      </c>
      <c r="I199" t="s">
        <v>129</v>
      </c>
      <c r="J199">
        <v>79.958928165699007</v>
      </c>
      <c r="K199">
        <v>3</v>
      </c>
      <c r="L199">
        <v>694299.36504839803</v>
      </c>
      <c r="M199">
        <v>33568.144080167898</v>
      </c>
      <c r="N199">
        <v>112900.43309999999</v>
      </c>
      <c r="O199">
        <v>63375.613476263803</v>
      </c>
      <c r="P199">
        <v>311788.61825410998</v>
      </c>
      <c r="Q199">
        <v>20281.1161295653</v>
      </c>
      <c r="R199">
        <v>79857.985496404202</v>
      </c>
      <c r="S199">
        <v>100139.10162596899</v>
      </c>
      <c r="T199">
        <v>96943.757556431796</v>
      </c>
      <c r="U199">
        <v>524828.15298007999</v>
      </c>
      <c r="V199">
        <v>621771.91053651099</v>
      </c>
      <c r="W199">
        <v>72527.454511886201</v>
      </c>
      <c r="X199">
        <v>79.958928165699007</v>
      </c>
      <c r="Y199">
        <v>191817.966172388</v>
      </c>
      <c r="Z199">
        <v>645145.33200000005</v>
      </c>
      <c r="AA199">
        <v>139522.27097617401</v>
      </c>
      <c r="AB199">
        <v>65664</v>
      </c>
      <c r="AC199">
        <v>1440237.5714</v>
      </c>
      <c r="AD199">
        <v>2990161.3072000002</v>
      </c>
      <c r="AE199">
        <v>743978.4</v>
      </c>
    </row>
    <row r="200" spans="1:31" x14ac:dyDescent="0.45">
      <c r="A200" t="s">
        <v>119</v>
      </c>
      <c r="B200" t="s">
        <v>160</v>
      </c>
      <c r="C200" t="s">
        <v>121</v>
      </c>
      <c r="D200" t="s">
        <v>161</v>
      </c>
      <c r="E200" t="s">
        <v>137</v>
      </c>
      <c r="F200" t="s">
        <v>1</v>
      </c>
      <c r="G200" t="s">
        <v>139</v>
      </c>
      <c r="H200" t="s">
        <v>133</v>
      </c>
      <c r="I200" t="s">
        <v>129</v>
      </c>
      <c r="J200">
        <v>71.36</v>
      </c>
      <c r="K200">
        <v>3</v>
      </c>
      <c r="L200">
        <v>613210.75199999998</v>
      </c>
      <c r="M200">
        <v>33568.144080167898</v>
      </c>
      <c r="N200">
        <v>112900.43309999999</v>
      </c>
      <c r="O200">
        <v>26956.129574353501</v>
      </c>
      <c r="P200">
        <v>278258.30471996998</v>
      </c>
      <c r="Q200">
        <v>18100.0481147848</v>
      </c>
      <c r="R200">
        <v>71269.912888452498</v>
      </c>
      <c r="S200">
        <v>89369.961003237404</v>
      </c>
      <c r="T200">
        <v>60524.273654521399</v>
      </c>
      <c r="U200">
        <v>480528.69882320799</v>
      </c>
      <c r="V200">
        <v>541052.97247772897</v>
      </c>
      <c r="W200">
        <v>72157.779522270605</v>
      </c>
      <c r="X200">
        <v>0</v>
      </c>
      <c r="Y200">
        <v>191817.966172388</v>
      </c>
      <c r="Z200">
        <v>645145.33200000005</v>
      </c>
      <c r="AA200">
        <v>139522.27097617401</v>
      </c>
      <c r="AB200">
        <v>65664</v>
      </c>
      <c r="AC200">
        <v>1440237.5714</v>
      </c>
      <c r="AD200">
        <v>2990161.3072000002</v>
      </c>
      <c r="AE200">
        <v>743978.4</v>
      </c>
    </row>
    <row r="201" spans="1:31" x14ac:dyDescent="0.45">
      <c r="A201" t="s">
        <v>119</v>
      </c>
      <c r="B201" t="s">
        <v>160</v>
      </c>
      <c r="C201" t="s">
        <v>121</v>
      </c>
      <c r="D201" t="s">
        <v>161</v>
      </c>
      <c r="E201" t="s">
        <v>140</v>
      </c>
      <c r="F201" t="s">
        <v>1</v>
      </c>
      <c r="G201" t="s">
        <v>138</v>
      </c>
      <c r="H201" t="s">
        <v>126</v>
      </c>
      <c r="I201" t="s">
        <v>127</v>
      </c>
      <c r="J201">
        <v>54.601401127502598</v>
      </c>
      <c r="K201">
        <v>2</v>
      </c>
      <c r="L201">
        <v>415464.79124922398</v>
      </c>
      <c r="M201">
        <v>31969.572760591502</v>
      </c>
      <c r="N201">
        <v>61063.144999999997</v>
      </c>
      <c r="O201">
        <v>34062.309730255998</v>
      </c>
      <c r="P201">
        <v>119389.07961764801</v>
      </c>
      <c r="Q201">
        <v>12129.9231917298</v>
      </c>
      <c r="R201">
        <v>47762.224925360701</v>
      </c>
      <c r="S201">
        <v>59892.148117090503</v>
      </c>
      <c r="T201">
        <v>66031.882490847507</v>
      </c>
      <c r="U201">
        <v>240344.37273473901</v>
      </c>
      <c r="V201">
        <v>306376.25522558601</v>
      </c>
      <c r="W201">
        <v>109088.536023637</v>
      </c>
      <c r="X201">
        <v>54.601401127502598</v>
      </c>
      <c r="Y201">
        <v>127878.29104236601</v>
      </c>
      <c r="Z201">
        <v>244252.58</v>
      </c>
      <c r="AA201">
        <v>96167.432199616102</v>
      </c>
      <c r="AB201">
        <v>27237.599999999999</v>
      </c>
      <c r="AC201">
        <v>557761.47939999995</v>
      </c>
      <c r="AD201">
        <v>2990161.3072000002</v>
      </c>
      <c r="AE201">
        <v>743978.4</v>
      </c>
    </row>
    <row r="202" spans="1:31" x14ac:dyDescent="0.45">
      <c r="A202" t="s">
        <v>119</v>
      </c>
      <c r="B202" t="s">
        <v>160</v>
      </c>
      <c r="C202" t="s">
        <v>121</v>
      </c>
      <c r="D202" t="s">
        <v>161</v>
      </c>
      <c r="E202" t="s">
        <v>140</v>
      </c>
      <c r="F202" t="s">
        <v>1</v>
      </c>
      <c r="G202" t="s">
        <v>138</v>
      </c>
      <c r="H202" t="s">
        <v>128</v>
      </c>
      <c r="I202" t="s">
        <v>129</v>
      </c>
      <c r="J202">
        <v>48.25</v>
      </c>
      <c r="K202">
        <v>2</v>
      </c>
      <c r="L202">
        <v>338607.88500000001</v>
      </c>
      <c r="M202">
        <v>25575.6582084732</v>
      </c>
      <c r="N202">
        <v>48850.516000000003</v>
      </c>
      <c r="O202">
        <v>18190.2068296744</v>
      </c>
      <c r="P202">
        <v>105501.37858367</v>
      </c>
      <c r="Q202">
        <v>10718.9336155362</v>
      </c>
      <c r="R202">
        <v>42206.3775848394</v>
      </c>
      <c r="S202">
        <v>52925.311200375603</v>
      </c>
      <c r="T202">
        <v>43765.865038147604</v>
      </c>
      <c r="U202">
        <v>207277.205784046</v>
      </c>
      <c r="V202">
        <v>251043.07082219399</v>
      </c>
      <c r="W202">
        <v>87564.814177805703</v>
      </c>
      <c r="X202">
        <v>0</v>
      </c>
      <c r="Y202">
        <v>127878.29104236601</v>
      </c>
      <c r="Z202">
        <v>244252.58</v>
      </c>
      <c r="AA202">
        <v>96167.432199616102</v>
      </c>
      <c r="AB202">
        <v>27237.599999999999</v>
      </c>
      <c r="AC202">
        <v>557761.47939999995</v>
      </c>
      <c r="AD202">
        <v>2990161.3072000002</v>
      </c>
      <c r="AE202">
        <v>743978.4</v>
      </c>
    </row>
    <row r="203" spans="1:31" x14ac:dyDescent="0.45">
      <c r="A203" t="s">
        <v>119</v>
      </c>
      <c r="B203" t="s">
        <v>160</v>
      </c>
      <c r="C203" t="s">
        <v>121</v>
      </c>
      <c r="D203" t="s">
        <v>161</v>
      </c>
      <c r="E203" t="s">
        <v>140</v>
      </c>
      <c r="F203" t="s">
        <v>1</v>
      </c>
      <c r="G203" t="s">
        <v>138</v>
      </c>
      <c r="H203" t="s">
        <v>130</v>
      </c>
      <c r="I203" t="s">
        <v>129</v>
      </c>
      <c r="J203">
        <v>47.24</v>
      </c>
      <c r="K203">
        <v>2</v>
      </c>
      <c r="L203">
        <v>331519.92719999998</v>
      </c>
      <c r="M203">
        <v>25575.6582084732</v>
      </c>
      <c r="N203">
        <v>48850.516000000003</v>
      </c>
      <c r="O203">
        <v>17809.437733343399</v>
      </c>
      <c r="P203">
        <v>103292.955943888</v>
      </c>
      <c r="Q203">
        <v>10494.558010319801</v>
      </c>
      <c r="R203">
        <v>41322.886572182601</v>
      </c>
      <c r="S203">
        <v>51817.444582502401</v>
      </c>
      <c r="T203">
        <v>43385.095941816602</v>
      </c>
      <c r="U203">
        <v>203960.91652639001</v>
      </c>
      <c r="V203">
        <v>247346.01246820699</v>
      </c>
      <c r="W203">
        <v>84173.914731792305</v>
      </c>
      <c r="X203">
        <v>0</v>
      </c>
      <c r="Y203">
        <v>127878.29104236601</v>
      </c>
      <c r="Z203">
        <v>244252.58</v>
      </c>
      <c r="AA203">
        <v>96167.432199616102</v>
      </c>
      <c r="AB203">
        <v>27237.599999999999</v>
      </c>
      <c r="AC203">
        <v>557761.47939999995</v>
      </c>
      <c r="AD203">
        <v>2990161.3072000002</v>
      </c>
      <c r="AE203">
        <v>743978.4</v>
      </c>
    </row>
    <row r="204" spans="1:31" x14ac:dyDescent="0.45">
      <c r="A204" t="s">
        <v>119</v>
      </c>
      <c r="B204" t="s">
        <v>160</v>
      </c>
      <c r="C204" t="s">
        <v>121</v>
      </c>
      <c r="D204" t="s">
        <v>161</v>
      </c>
      <c r="E204" t="s">
        <v>140</v>
      </c>
      <c r="F204" t="s">
        <v>1</v>
      </c>
      <c r="G204" t="s">
        <v>139</v>
      </c>
      <c r="H204" t="s">
        <v>132</v>
      </c>
      <c r="I204" t="s">
        <v>129</v>
      </c>
      <c r="J204">
        <v>55.745231315945901</v>
      </c>
      <c r="K204">
        <v>2</v>
      </c>
      <c r="L204">
        <v>424168.252344598</v>
      </c>
      <c r="M204">
        <v>22378.700932414002</v>
      </c>
      <c r="N204">
        <v>42744.201499999901</v>
      </c>
      <c r="O204">
        <v>34775.871971389497</v>
      </c>
      <c r="P204">
        <v>121890.129602029</v>
      </c>
      <c r="Q204">
        <v>12384.0297172711</v>
      </c>
      <c r="R204">
        <v>48762.783035751898</v>
      </c>
      <c r="S204">
        <v>61146.812753022998</v>
      </c>
      <c r="T204">
        <v>57154.572903803601</v>
      </c>
      <c r="U204">
        <v>225781.14385505201</v>
      </c>
      <c r="V204">
        <v>282935.71675885603</v>
      </c>
      <c r="W204">
        <v>141232.53558574201</v>
      </c>
      <c r="X204">
        <v>55.745231315945901</v>
      </c>
      <c r="Y204">
        <v>127878.29104236601</v>
      </c>
      <c r="Z204">
        <v>244252.58</v>
      </c>
      <c r="AA204">
        <v>96167.432199616102</v>
      </c>
      <c r="AB204">
        <v>27237.599999999999</v>
      </c>
      <c r="AC204">
        <v>557761.47939999995</v>
      </c>
      <c r="AD204">
        <v>2990161.3072000002</v>
      </c>
      <c r="AE204">
        <v>743978.4</v>
      </c>
    </row>
    <row r="205" spans="1:31" x14ac:dyDescent="0.45">
      <c r="A205" t="s">
        <v>119</v>
      </c>
      <c r="B205" t="s">
        <v>160</v>
      </c>
      <c r="C205" t="s">
        <v>121</v>
      </c>
      <c r="D205" t="s">
        <v>161</v>
      </c>
      <c r="E205" t="s">
        <v>140</v>
      </c>
      <c r="F205" t="s">
        <v>1</v>
      </c>
      <c r="G205" t="s">
        <v>139</v>
      </c>
      <c r="H205" t="s">
        <v>133</v>
      </c>
      <c r="I205" t="s">
        <v>129</v>
      </c>
      <c r="J205">
        <v>49.25</v>
      </c>
      <c r="K205">
        <v>2</v>
      </c>
      <c r="L205">
        <v>370313.21250000002</v>
      </c>
      <c r="M205">
        <v>22378.700932414002</v>
      </c>
      <c r="N205">
        <v>42744.201499999901</v>
      </c>
      <c r="O205">
        <v>18567.205934952701</v>
      </c>
      <c r="P205">
        <v>107687.935652762</v>
      </c>
      <c r="Q205">
        <v>10941.087680106901</v>
      </c>
      <c r="R205">
        <v>43081.121161727198</v>
      </c>
      <c r="S205">
        <v>54022.208841834101</v>
      </c>
      <c r="T205">
        <v>40945.906867366699</v>
      </c>
      <c r="U205">
        <v>204454.34599459599</v>
      </c>
      <c r="V205">
        <v>245400.252861963</v>
      </c>
      <c r="W205">
        <v>124912.959638036</v>
      </c>
      <c r="X205">
        <v>0</v>
      </c>
      <c r="Y205">
        <v>127878.29104236601</v>
      </c>
      <c r="Z205">
        <v>244252.58</v>
      </c>
      <c r="AA205">
        <v>96167.432199616102</v>
      </c>
      <c r="AB205">
        <v>27237.599999999999</v>
      </c>
      <c r="AC205">
        <v>557761.47939999995</v>
      </c>
      <c r="AD205">
        <v>2990161.3072000002</v>
      </c>
      <c r="AE205">
        <v>743978.4</v>
      </c>
    </row>
    <row r="206" spans="1:31" x14ac:dyDescent="0.45">
      <c r="A206" t="s">
        <v>119</v>
      </c>
      <c r="B206" t="s">
        <v>160</v>
      </c>
      <c r="C206" t="s">
        <v>121</v>
      </c>
      <c r="D206" t="s">
        <v>161</v>
      </c>
      <c r="E206" t="s">
        <v>141</v>
      </c>
      <c r="F206" t="s">
        <v>1</v>
      </c>
      <c r="G206" t="s">
        <v>138</v>
      </c>
      <c r="H206" t="s">
        <v>126</v>
      </c>
      <c r="I206" t="s">
        <v>127</v>
      </c>
      <c r="J206">
        <v>51.351961974303599</v>
      </c>
      <c r="K206">
        <v>2</v>
      </c>
      <c r="L206">
        <v>382859.68769561802</v>
      </c>
      <c r="M206">
        <v>31969.572760591502</v>
      </c>
      <c r="N206">
        <v>59735.708500000001</v>
      </c>
      <c r="O206">
        <v>31161.8860721239</v>
      </c>
      <c r="P206">
        <v>111810.842435395</v>
      </c>
      <c r="Q206">
        <v>11172.7058029537</v>
      </c>
      <c r="R206">
        <v>43993.129977062803</v>
      </c>
      <c r="S206">
        <v>55165.835780016598</v>
      </c>
      <c r="T206">
        <v>63131.4588327155</v>
      </c>
      <c r="U206">
        <v>226712.38671541199</v>
      </c>
      <c r="V206">
        <v>289843.84554812702</v>
      </c>
      <c r="W206">
        <v>93015.842147490403</v>
      </c>
      <c r="X206">
        <v>51.351961974303599</v>
      </c>
      <c r="Y206">
        <v>127878.29104236601</v>
      </c>
      <c r="Z206">
        <v>238942.834</v>
      </c>
      <c r="AA206">
        <v>91043.996291326301</v>
      </c>
      <c r="AB206">
        <v>23849.64</v>
      </c>
      <c r="AC206">
        <v>525787.75320000004</v>
      </c>
      <c r="AD206">
        <v>2990161.3072000002</v>
      </c>
      <c r="AE206">
        <v>743978.4</v>
      </c>
    </row>
    <row r="207" spans="1:31" x14ac:dyDescent="0.45">
      <c r="A207" t="s">
        <v>119</v>
      </c>
      <c r="B207" t="s">
        <v>160</v>
      </c>
      <c r="C207" t="s">
        <v>121</v>
      </c>
      <c r="D207" t="s">
        <v>161</v>
      </c>
      <c r="E207" t="s">
        <v>141</v>
      </c>
      <c r="F207" t="s">
        <v>1</v>
      </c>
      <c r="G207" t="s">
        <v>138</v>
      </c>
      <c r="H207" t="s">
        <v>128</v>
      </c>
      <c r="I207" t="s">
        <v>129</v>
      </c>
      <c r="J207">
        <v>46.234999999999999</v>
      </c>
      <c r="K207">
        <v>2</v>
      </c>
      <c r="L207">
        <v>317845.28159999999</v>
      </c>
      <c r="M207">
        <v>25575.6582084732</v>
      </c>
      <c r="N207">
        <v>47788.566800000001</v>
      </c>
      <c r="O207">
        <v>17431.6535887549</v>
      </c>
      <c r="P207">
        <v>100669.46035260199</v>
      </c>
      <c r="Q207">
        <v>10059.402463688801</v>
      </c>
      <c r="R207">
        <v>39609.438204275801</v>
      </c>
      <c r="S207">
        <v>49668.8406679646</v>
      </c>
      <c r="T207">
        <v>43007.311797228103</v>
      </c>
      <c r="U207">
        <v>198126.86782056699</v>
      </c>
      <c r="V207">
        <v>241134.17961779499</v>
      </c>
      <c r="W207">
        <v>76711.101982204302</v>
      </c>
      <c r="X207">
        <v>0</v>
      </c>
      <c r="Y207">
        <v>127878.29104236601</v>
      </c>
      <c r="Z207">
        <v>238942.834</v>
      </c>
      <c r="AA207">
        <v>91043.996291326301</v>
      </c>
      <c r="AB207">
        <v>23849.64</v>
      </c>
      <c r="AC207">
        <v>525787.75320000004</v>
      </c>
      <c r="AD207">
        <v>2990161.3072000002</v>
      </c>
      <c r="AE207">
        <v>743978.4</v>
      </c>
    </row>
    <row r="208" spans="1:31" x14ac:dyDescent="0.45">
      <c r="A208" t="s">
        <v>119</v>
      </c>
      <c r="B208" t="s">
        <v>160</v>
      </c>
      <c r="C208" t="s">
        <v>121</v>
      </c>
      <c r="D208" t="s">
        <v>161</v>
      </c>
      <c r="E208" t="s">
        <v>141</v>
      </c>
      <c r="F208" t="s">
        <v>1</v>
      </c>
      <c r="G208" t="s">
        <v>138</v>
      </c>
      <c r="H208" t="s">
        <v>130</v>
      </c>
      <c r="I208" t="s">
        <v>129</v>
      </c>
      <c r="J208">
        <v>45.23</v>
      </c>
      <c r="K208">
        <v>2</v>
      </c>
      <c r="L208">
        <v>310936.34879999998</v>
      </c>
      <c r="M208">
        <v>25575.6582084732</v>
      </c>
      <c r="N208">
        <v>47788.566800000001</v>
      </c>
      <c r="O208">
        <v>17052.745578444599</v>
      </c>
      <c r="P208">
        <v>98481.230490931499</v>
      </c>
      <c r="Q208">
        <v>9840.7434504736102</v>
      </c>
      <c r="R208">
        <v>38748.456580066901</v>
      </c>
      <c r="S208">
        <v>48589.200030540502</v>
      </c>
      <c r="T208">
        <v>42628.403786917799</v>
      </c>
      <c r="U208">
        <v>194858.99732147201</v>
      </c>
      <c r="V208">
        <v>237487.40110838899</v>
      </c>
      <c r="W208">
        <v>73448.947691609996</v>
      </c>
      <c r="X208">
        <v>0</v>
      </c>
      <c r="Y208">
        <v>127878.29104236601</v>
      </c>
      <c r="Z208">
        <v>238942.834</v>
      </c>
      <c r="AA208">
        <v>91043.996291326301</v>
      </c>
      <c r="AB208">
        <v>23849.64</v>
      </c>
      <c r="AC208">
        <v>525787.75320000004</v>
      </c>
      <c r="AD208">
        <v>2990161.3072000002</v>
      </c>
      <c r="AE208">
        <v>743978.4</v>
      </c>
    </row>
    <row r="209" spans="1:31" x14ac:dyDescent="0.45">
      <c r="A209" t="s">
        <v>119</v>
      </c>
      <c r="B209" t="s">
        <v>160</v>
      </c>
      <c r="C209" t="s">
        <v>121</v>
      </c>
      <c r="D209" t="s">
        <v>161</v>
      </c>
      <c r="E209" t="s">
        <v>141</v>
      </c>
      <c r="F209" t="s">
        <v>1</v>
      </c>
      <c r="G209" t="s">
        <v>139</v>
      </c>
      <c r="H209" t="s">
        <v>132</v>
      </c>
      <c r="I209" t="s">
        <v>129</v>
      </c>
      <c r="J209">
        <v>52.429383848501097</v>
      </c>
      <c r="K209">
        <v>2</v>
      </c>
      <c r="L209">
        <v>390892.514220885</v>
      </c>
      <c r="M209">
        <v>22378.700932414002</v>
      </c>
      <c r="N209">
        <v>41814.995949999997</v>
      </c>
      <c r="O209">
        <v>31815.697463247801</v>
      </c>
      <c r="P209">
        <v>114156.75956846699</v>
      </c>
      <c r="Q209">
        <v>11407.1217271612</v>
      </c>
      <c r="R209">
        <v>44916.1552857243</v>
      </c>
      <c r="S209">
        <v>56323.277012885599</v>
      </c>
      <c r="T209">
        <v>54194.398395661803</v>
      </c>
      <c r="U209">
        <v>212295.03253135199</v>
      </c>
      <c r="V209">
        <v>266489.43092701398</v>
      </c>
      <c r="W209">
        <v>124403.08329387</v>
      </c>
      <c r="X209">
        <v>52.429383848501097</v>
      </c>
      <c r="Y209">
        <v>127878.29104236601</v>
      </c>
      <c r="Z209">
        <v>238942.834</v>
      </c>
      <c r="AA209">
        <v>91043.996291326301</v>
      </c>
      <c r="AB209">
        <v>23849.64</v>
      </c>
      <c r="AC209">
        <v>525787.75320000004</v>
      </c>
      <c r="AD209">
        <v>2990161.3072000002</v>
      </c>
      <c r="AE209">
        <v>743978.4</v>
      </c>
    </row>
    <row r="210" spans="1:31" x14ac:dyDescent="0.45">
      <c r="A210" t="s">
        <v>119</v>
      </c>
      <c r="B210" t="s">
        <v>160</v>
      </c>
      <c r="C210" t="s">
        <v>121</v>
      </c>
      <c r="D210" t="s">
        <v>161</v>
      </c>
      <c r="E210" t="s">
        <v>141</v>
      </c>
      <c r="F210" t="s">
        <v>1</v>
      </c>
      <c r="G210" t="s">
        <v>139</v>
      </c>
      <c r="H210" t="s">
        <v>133</v>
      </c>
      <c r="I210" t="s">
        <v>129</v>
      </c>
      <c r="J210">
        <v>46.234999999999999</v>
      </c>
      <c r="K210">
        <v>2</v>
      </c>
      <c r="L210">
        <v>340548.516</v>
      </c>
      <c r="M210">
        <v>22378.700932414002</v>
      </c>
      <c r="N210">
        <v>41814.995949999997</v>
      </c>
      <c r="O210">
        <v>17431.6535887549</v>
      </c>
      <c r="P210">
        <v>100669.46035260199</v>
      </c>
      <c r="Q210">
        <v>10059.402463688801</v>
      </c>
      <c r="R210">
        <v>39609.438204275801</v>
      </c>
      <c r="S210">
        <v>49668.8406679646</v>
      </c>
      <c r="T210">
        <v>39810.354521169</v>
      </c>
      <c r="U210">
        <v>192153.296970567</v>
      </c>
      <c r="V210">
        <v>231963.651491736</v>
      </c>
      <c r="W210">
        <v>108584.864508263</v>
      </c>
      <c r="X210">
        <v>0</v>
      </c>
      <c r="Y210">
        <v>127878.29104236601</v>
      </c>
      <c r="Z210">
        <v>238942.834</v>
      </c>
      <c r="AA210">
        <v>91043.996291326301</v>
      </c>
      <c r="AB210">
        <v>23849.64</v>
      </c>
      <c r="AC210">
        <v>525787.75320000004</v>
      </c>
      <c r="AD210">
        <v>2990161.3072000002</v>
      </c>
      <c r="AE210">
        <v>743978.4</v>
      </c>
    </row>
    <row r="211" spans="1:31" x14ac:dyDescent="0.45">
      <c r="A211" t="s">
        <v>119</v>
      </c>
      <c r="B211" t="s">
        <v>160</v>
      </c>
      <c r="C211" t="s">
        <v>121</v>
      </c>
      <c r="D211" t="s">
        <v>161</v>
      </c>
      <c r="E211" t="s">
        <v>142</v>
      </c>
      <c r="F211" t="s">
        <v>143</v>
      </c>
      <c r="G211" t="s">
        <v>144</v>
      </c>
      <c r="H211" t="s">
        <v>126</v>
      </c>
      <c r="I211" t="s">
        <v>129</v>
      </c>
      <c r="J211">
        <v>55.832514472506801</v>
      </c>
      <c r="K211">
        <v>2</v>
      </c>
      <c r="L211">
        <v>403278.25203491602</v>
      </c>
      <c r="M211">
        <v>25575.870052008799</v>
      </c>
      <c r="N211">
        <v>53098.525999999998</v>
      </c>
      <c r="O211">
        <v>44586.717644168297</v>
      </c>
      <c r="P211">
        <v>133336.881550705</v>
      </c>
      <c r="Q211">
        <v>13497.0467825124</v>
      </c>
      <c r="R211">
        <v>59829.715620285897</v>
      </c>
      <c r="S211">
        <v>73326.762402798398</v>
      </c>
      <c r="T211">
        <v>70162.587696177099</v>
      </c>
      <c r="U211">
        <v>259762.169953504</v>
      </c>
      <c r="V211">
        <v>329924.75764968101</v>
      </c>
      <c r="W211">
        <v>73353.494385235099</v>
      </c>
      <c r="X211">
        <v>55.832514472506801</v>
      </c>
      <c r="Y211">
        <v>76727.610156026407</v>
      </c>
      <c r="Z211">
        <v>159295.57800000001</v>
      </c>
      <c r="AA211">
        <v>57149.030596623998</v>
      </c>
      <c r="AB211">
        <v>23500.799999999999</v>
      </c>
      <c r="AC211">
        <v>361382.11540000001</v>
      </c>
      <c r="AD211">
        <v>2990161.3072000002</v>
      </c>
      <c r="AE211">
        <v>743978.4</v>
      </c>
    </row>
    <row r="212" spans="1:31" x14ac:dyDescent="0.45">
      <c r="A212" t="s">
        <v>119</v>
      </c>
      <c r="B212" t="s">
        <v>160</v>
      </c>
      <c r="C212" t="s">
        <v>121</v>
      </c>
      <c r="D212" t="s">
        <v>161</v>
      </c>
      <c r="E212" t="s">
        <v>142</v>
      </c>
      <c r="F212" t="s">
        <v>143</v>
      </c>
      <c r="G212" t="s">
        <v>144</v>
      </c>
      <c r="H212" t="s">
        <v>128</v>
      </c>
      <c r="I212" t="s">
        <v>129</v>
      </c>
      <c r="J212">
        <v>48.25</v>
      </c>
      <c r="K212">
        <v>2</v>
      </c>
      <c r="L212">
        <v>344167.25</v>
      </c>
      <c r="M212">
        <v>25575.870052008799</v>
      </c>
      <c r="N212">
        <v>53098.525999999998</v>
      </c>
      <c r="O212">
        <v>18222.2766777252</v>
      </c>
      <c r="P212">
        <v>115228.636854418</v>
      </c>
      <c r="Q212">
        <v>11664.036868282299</v>
      </c>
      <c r="R212">
        <v>51704.348370344604</v>
      </c>
      <c r="S212">
        <v>63368.385238626899</v>
      </c>
      <c r="T212">
        <v>43798.146729734101</v>
      </c>
      <c r="U212">
        <v>231695.54809304501</v>
      </c>
      <c r="V212">
        <v>275493.69482277898</v>
      </c>
      <c r="W212">
        <v>68673.555177220202</v>
      </c>
      <c r="X212">
        <v>0</v>
      </c>
      <c r="Y212">
        <v>76727.610156026407</v>
      </c>
      <c r="Z212">
        <v>159295.57800000001</v>
      </c>
      <c r="AA212">
        <v>57149.030596623998</v>
      </c>
      <c r="AB212">
        <v>23500.799999999999</v>
      </c>
      <c r="AC212">
        <v>361382.11540000001</v>
      </c>
      <c r="AD212">
        <v>2990161.3072000002</v>
      </c>
      <c r="AE212">
        <v>743978.4</v>
      </c>
    </row>
    <row r="213" spans="1:31" x14ac:dyDescent="0.45">
      <c r="A213" t="s">
        <v>119</v>
      </c>
      <c r="B213" t="s">
        <v>160</v>
      </c>
      <c r="C213" t="s">
        <v>121</v>
      </c>
      <c r="D213" t="s">
        <v>161</v>
      </c>
      <c r="E213" t="s">
        <v>142</v>
      </c>
      <c r="F213" t="s">
        <v>143</v>
      </c>
      <c r="G213" t="s">
        <v>144</v>
      </c>
      <c r="H213" t="s">
        <v>130</v>
      </c>
      <c r="I213" t="s">
        <v>129</v>
      </c>
      <c r="J213">
        <v>47.24</v>
      </c>
      <c r="K213">
        <v>2</v>
      </c>
      <c r="L213">
        <v>336962.92</v>
      </c>
      <c r="M213">
        <v>25575.870052008799</v>
      </c>
      <c r="N213">
        <v>53098.525999999998</v>
      </c>
      <c r="O213">
        <v>17840.836274730402</v>
      </c>
      <c r="P213">
        <v>112816.596994875</v>
      </c>
      <c r="Q213">
        <v>11419.8777545628</v>
      </c>
      <c r="R213">
        <v>50622.039730882403</v>
      </c>
      <c r="S213">
        <v>62041.917485445301</v>
      </c>
      <c r="T213">
        <v>43416.7063267392</v>
      </c>
      <c r="U213">
        <v>227957.04048031999</v>
      </c>
      <c r="V213">
        <v>271373.74680705997</v>
      </c>
      <c r="W213">
        <v>65589.173192939998</v>
      </c>
      <c r="X213">
        <v>0</v>
      </c>
      <c r="Y213">
        <v>76727.610156026407</v>
      </c>
      <c r="Z213">
        <v>159295.57800000001</v>
      </c>
      <c r="AA213">
        <v>57149.030596623998</v>
      </c>
      <c r="AB213">
        <v>23500.799999999999</v>
      </c>
      <c r="AC213">
        <v>361382.11540000001</v>
      </c>
      <c r="AD213">
        <v>2990161.3072000002</v>
      </c>
      <c r="AE213">
        <v>743978.4</v>
      </c>
    </row>
    <row r="214" spans="1:31" x14ac:dyDescent="0.45">
      <c r="A214" t="s">
        <v>119</v>
      </c>
      <c r="B214" t="s">
        <v>160</v>
      </c>
      <c r="C214" t="s">
        <v>121</v>
      </c>
      <c r="D214" t="s">
        <v>161</v>
      </c>
      <c r="E214" t="s">
        <v>145</v>
      </c>
      <c r="F214" t="s">
        <v>143</v>
      </c>
      <c r="G214" t="s">
        <v>144</v>
      </c>
      <c r="H214" t="s">
        <v>126</v>
      </c>
      <c r="I214" t="s">
        <v>129</v>
      </c>
      <c r="J214">
        <v>44.726582842219202</v>
      </c>
      <c r="K214">
        <v>2</v>
      </c>
      <c r="L214">
        <v>307108.37209867197</v>
      </c>
      <c r="M214">
        <v>25575.870052008799</v>
      </c>
      <c r="N214">
        <v>46726.688666666603</v>
      </c>
      <c r="O214">
        <v>33016.372750372997</v>
      </c>
      <c r="P214">
        <v>101162.59478811899</v>
      </c>
      <c r="Q214">
        <v>10273.8021271704</v>
      </c>
      <c r="R214">
        <v>45541.715125719602</v>
      </c>
      <c r="S214">
        <v>55815.51725289</v>
      </c>
      <c r="T214">
        <v>58592.242802381799</v>
      </c>
      <c r="U214">
        <v>203704.80070767601</v>
      </c>
      <c r="V214">
        <v>262297.04351005802</v>
      </c>
      <c r="W214">
        <v>44811.328588613796</v>
      </c>
      <c r="X214">
        <v>44.726582842219202</v>
      </c>
      <c r="Y214">
        <v>76727.610156026407</v>
      </c>
      <c r="Z214">
        <v>140180.06599999999</v>
      </c>
      <c r="AA214">
        <v>46113.041609964501</v>
      </c>
      <c r="AB214">
        <v>16127.64</v>
      </c>
      <c r="AC214">
        <v>276214.6226</v>
      </c>
      <c r="AD214">
        <v>2990161.3072000002</v>
      </c>
      <c r="AE214">
        <v>743978.4</v>
      </c>
    </row>
    <row r="215" spans="1:31" x14ac:dyDescent="0.45">
      <c r="A215" t="s">
        <v>119</v>
      </c>
      <c r="B215" t="s">
        <v>160</v>
      </c>
      <c r="C215" t="s">
        <v>121</v>
      </c>
      <c r="D215" t="s">
        <v>161</v>
      </c>
      <c r="E215" t="s">
        <v>145</v>
      </c>
      <c r="F215" t="s">
        <v>143</v>
      </c>
      <c r="G215" t="s">
        <v>144</v>
      </c>
      <c r="H215" t="s">
        <v>128</v>
      </c>
      <c r="I215" t="s">
        <v>129</v>
      </c>
      <c r="J215">
        <v>39.200000000000003</v>
      </c>
      <c r="K215">
        <v>2</v>
      </c>
      <c r="L215">
        <v>265632.92</v>
      </c>
      <c r="M215">
        <v>25575.870052008799</v>
      </c>
      <c r="N215">
        <v>46726.688666666603</v>
      </c>
      <c r="O215">
        <v>14801.8981496994</v>
      </c>
      <c r="P215">
        <v>88662.568515093997</v>
      </c>
      <c r="Q215">
        <v>9004.3329445889103</v>
      </c>
      <c r="R215">
        <v>39914.411508384997</v>
      </c>
      <c r="S215">
        <v>48918.7444529739</v>
      </c>
      <c r="T215">
        <v>40377.768201708197</v>
      </c>
      <c r="U215">
        <v>184308.00163473401</v>
      </c>
      <c r="V215">
        <v>224685.76983644199</v>
      </c>
      <c r="W215">
        <v>40947.150163557097</v>
      </c>
      <c r="X215">
        <v>0</v>
      </c>
      <c r="Y215">
        <v>76727.610156026407</v>
      </c>
      <c r="Z215">
        <v>140180.06599999999</v>
      </c>
      <c r="AA215">
        <v>46113.041609964501</v>
      </c>
      <c r="AB215">
        <v>16127.64</v>
      </c>
      <c r="AC215">
        <v>276214.6226</v>
      </c>
      <c r="AD215">
        <v>2990161.3072000002</v>
      </c>
      <c r="AE215">
        <v>743978.4</v>
      </c>
    </row>
    <row r="216" spans="1:31" x14ac:dyDescent="0.45">
      <c r="A216" t="s">
        <v>119</v>
      </c>
      <c r="B216" t="s">
        <v>160</v>
      </c>
      <c r="C216" t="s">
        <v>121</v>
      </c>
      <c r="D216" t="s">
        <v>161</v>
      </c>
      <c r="E216" t="s">
        <v>145</v>
      </c>
      <c r="F216" t="s">
        <v>143</v>
      </c>
      <c r="G216" t="s">
        <v>144</v>
      </c>
      <c r="H216" t="s">
        <v>130</v>
      </c>
      <c r="I216" t="s">
        <v>129</v>
      </c>
      <c r="J216">
        <v>38.195</v>
      </c>
      <c r="K216">
        <v>2</v>
      </c>
      <c r="L216">
        <v>258822.68825000001</v>
      </c>
      <c r="M216">
        <v>25575.870052008799</v>
      </c>
      <c r="N216">
        <v>46726.688666666603</v>
      </c>
      <c r="O216">
        <v>14422.410709891999</v>
      </c>
      <c r="P216">
        <v>86389.459296786095</v>
      </c>
      <c r="Q216">
        <v>8773.4820616982997</v>
      </c>
      <c r="R216">
        <v>38891.095601090899</v>
      </c>
      <c r="S216">
        <v>47664.577662789197</v>
      </c>
      <c r="T216">
        <v>39998.280761900802</v>
      </c>
      <c r="U216">
        <v>180780.725626242</v>
      </c>
      <c r="V216">
        <v>220779.006388143</v>
      </c>
      <c r="W216">
        <v>38043.681861857003</v>
      </c>
      <c r="X216">
        <v>0</v>
      </c>
      <c r="Y216">
        <v>76727.610156026407</v>
      </c>
      <c r="Z216">
        <v>140180.06599999999</v>
      </c>
      <c r="AA216">
        <v>46113.041609964501</v>
      </c>
      <c r="AB216">
        <v>16127.64</v>
      </c>
      <c r="AC216">
        <v>276214.6226</v>
      </c>
      <c r="AD216">
        <v>2990161.3072000002</v>
      </c>
      <c r="AE216">
        <v>743978.4</v>
      </c>
    </row>
    <row r="217" spans="1:31" x14ac:dyDescent="0.45">
      <c r="A217" t="s">
        <v>119</v>
      </c>
      <c r="B217" t="s">
        <v>160</v>
      </c>
      <c r="C217" t="s">
        <v>121</v>
      </c>
      <c r="D217" t="s">
        <v>161</v>
      </c>
      <c r="E217" t="s">
        <v>146</v>
      </c>
      <c r="F217" t="s">
        <v>143</v>
      </c>
      <c r="G217" t="s">
        <v>144</v>
      </c>
      <c r="H217" t="s">
        <v>126</v>
      </c>
      <c r="I217" t="s">
        <v>129</v>
      </c>
      <c r="J217">
        <v>44.737598931678697</v>
      </c>
      <c r="K217">
        <v>2</v>
      </c>
      <c r="L217">
        <v>307184.01242453197</v>
      </c>
      <c r="M217">
        <v>25575.870052008799</v>
      </c>
      <c r="N217">
        <v>46726.688666666603</v>
      </c>
      <c r="O217">
        <v>33283.608718194897</v>
      </c>
      <c r="P217">
        <v>101178.38409265599</v>
      </c>
      <c r="Q217">
        <v>10276.340313185699</v>
      </c>
      <c r="R217">
        <v>45552.966397937802</v>
      </c>
      <c r="S217">
        <v>55829.306711123601</v>
      </c>
      <c r="T217">
        <v>58859.478770203699</v>
      </c>
      <c r="U217">
        <v>203734.37947044699</v>
      </c>
      <c r="V217">
        <v>262593.85824064998</v>
      </c>
      <c r="W217">
        <v>44590.154183881197</v>
      </c>
      <c r="X217">
        <v>44.737598931678697</v>
      </c>
      <c r="Y217">
        <v>76727.610156026407</v>
      </c>
      <c r="Z217">
        <v>140180.06599999999</v>
      </c>
      <c r="AA217">
        <v>46113.041609964501</v>
      </c>
      <c r="AB217">
        <v>16392.240000000002</v>
      </c>
      <c r="AC217">
        <v>276214.6226</v>
      </c>
      <c r="AD217">
        <v>2990161.3072000002</v>
      </c>
      <c r="AE217">
        <v>743978.4</v>
      </c>
    </row>
    <row r="218" spans="1:31" x14ac:dyDescent="0.45">
      <c r="A218" t="s">
        <v>119</v>
      </c>
      <c r="B218" t="s">
        <v>160</v>
      </c>
      <c r="C218" t="s">
        <v>121</v>
      </c>
      <c r="D218" t="s">
        <v>161</v>
      </c>
      <c r="E218" t="s">
        <v>146</v>
      </c>
      <c r="F218" t="s">
        <v>143</v>
      </c>
      <c r="G218" t="s">
        <v>144</v>
      </c>
      <c r="H218" t="s">
        <v>128</v>
      </c>
      <c r="I218" t="s">
        <v>129</v>
      </c>
      <c r="J218">
        <v>39.200000000000003</v>
      </c>
      <c r="K218">
        <v>2</v>
      </c>
      <c r="L218">
        <v>265632.92</v>
      </c>
      <c r="M218">
        <v>25575.870052008799</v>
      </c>
      <c r="N218">
        <v>46726.688666666603</v>
      </c>
      <c r="O218">
        <v>14800.5630513259</v>
      </c>
      <c r="P218">
        <v>88654.571348121302</v>
      </c>
      <c r="Q218">
        <v>9004.3397476934606</v>
      </c>
      <c r="R218">
        <v>39914.441665190097</v>
      </c>
      <c r="S218">
        <v>48918.781412883603</v>
      </c>
      <c r="T218">
        <v>40376.433103334697</v>
      </c>
      <c r="U218">
        <v>184300.04142767101</v>
      </c>
      <c r="V218">
        <v>224676.47453100601</v>
      </c>
      <c r="W218">
        <v>40956.445468993603</v>
      </c>
      <c r="X218">
        <v>0</v>
      </c>
      <c r="Y218">
        <v>76727.610156026407</v>
      </c>
      <c r="Z218">
        <v>140180.06599999999</v>
      </c>
      <c r="AA218">
        <v>46113.041609964501</v>
      </c>
      <c r="AB218">
        <v>16392.240000000002</v>
      </c>
      <c r="AC218">
        <v>276214.6226</v>
      </c>
      <c r="AD218">
        <v>2990161.3072000002</v>
      </c>
      <c r="AE218">
        <v>743978.4</v>
      </c>
    </row>
    <row r="219" spans="1:31" x14ac:dyDescent="0.45">
      <c r="A219" t="s">
        <v>119</v>
      </c>
      <c r="B219" t="s">
        <v>160</v>
      </c>
      <c r="C219" t="s">
        <v>121</v>
      </c>
      <c r="D219" t="s">
        <v>161</v>
      </c>
      <c r="E219" t="s">
        <v>146</v>
      </c>
      <c r="F219" t="s">
        <v>143</v>
      </c>
      <c r="G219" t="s">
        <v>144</v>
      </c>
      <c r="H219" t="s">
        <v>130</v>
      </c>
      <c r="I219" t="s">
        <v>129</v>
      </c>
      <c r="J219">
        <v>38.195</v>
      </c>
      <c r="K219">
        <v>2</v>
      </c>
      <c r="L219">
        <v>258822.68825000001</v>
      </c>
      <c r="M219">
        <v>25575.870052008799</v>
      </c>
      <c r="N219">
        <v>46726.688666666603</v>
      </c>
      <c r="O219">
        <v>14421.1098404437</v>
      </c>
      <c r="P219">
        <v>86381.667159221804</v>
      </c>
      <c r="Q219">
        <v>8773.4886903865208</v>
      </c>
      <c r="R219">
        <v>38891.124984743299</v>
      </c>
      <c r="S219">
        <v>47664.613675129804</v>
      </c>
      <c r="T219">
        <v>39996.979892452502</v>
      </c>
      <c r="U219">
        <v>180772.969501018</v>
      </c>
      <c r="V219">
        <v>220769.94939346999</v>
      </c>
      <c r="W219">
        <v>38052.738856529097</v>
      </c>
      <c r="X219">
        <v>0</v>
      </c>
      <c r="Y219">
        <v>76727.610156026407</v>
      </c>
      <c r="Z219">
        <v>140180.06599999999</v>
      </c>
      <c r="AA219">
        <v>46113.041609964501</v>
      </c>
      <c r="AB219">
        <v>16392.240000000002</v>
      </c>
      <c r="AC219">
        <v>276214.6226</v>
      </c>
      <c r="AD219">
        <v>2990161.3072000002</v>
      </c>
      <c r="AE219">
        <v>743978.4</v>
      </c>
    </row>
    <row r="220" spans="1:31" x14ac:dyDescent="0.45">
      <c r="A220" t="s">
        <v>119</v>
      </c>
      <c r="B220" t="s">
        <v>160</v>
      </c>
      <c r="C220" t="s">
        <v>121</v>
      </c>
      <c r="D220" t="s">
        <v>161</v>
      </c>
      <c r="E220" t="s">
        <v>147</v>
      </c>
      <c r="F220" t="s">
        <v>148</v>
      </c>
      <c r="G220" t="s">
        <v>149</v>
      </c>
      <c r="H220" t="s">
        <v>150</v>
      </c>
      <c r="I220" t="s">
        <v>129</v>
      </c>
      <c r="J220">
        <v>51.131254823399402</v>
      </c>
      <c r="K220">
        <v>2</v>
      </c>
      <c r="L220">
        <v>332527.00261849602</v>
      </c>
      <c r="M220">
        <v>30343.938429343201</v>
      </c>
      <c r="N220">
        <v>70557.952796610101</v>
      </c>
      <c r="O220">
        <v>38801.804058677</v>
      </c>
      <c r="P220">
        <v>137465.556506275</v>
      </c>
      <c r="Q220">
        <v>12391.5422053356</v>
      </c>
      <c r="R220">
        <v>56266.938423633503</v>
      </c>
      <c r="S220">
        <v>68658.480628969206</v>
      </c>
      <c r="T220">
        <v>69145.742488020303</v>
      </c>
      <c r="U220">
        <v>276681.989931855</v>
      </c>
      <c r="V220">
        <v>345827.73241987498</v>
      </c>
      <c r="W220">
        <v>-13300.729801379301</v>
      </c>
      <c r="X220">
        <v>51.131254823399402</v>
      </c>
      <c r="Y220">
        <v>102302.420990357</v>
      </c>
      <c r="Z220">
        <v>237881.098</v>
      </c>
      <c r="AA220">
        <v>71732.339586769594</v>
      </c>
      <c r="AB220">
        <v>39540.959999999999</v>
      </c>
      <c r="AC220">
        <v>518131.36859999999</v>
      </c>
      <c r="AD220">
        <v>2990161.3072000002</v>
      </c>
      <c r="AE220">
        <v>743978.4</v>
      </c>
    </row>
    <row r="221" spans="1:31" x14ac:dyDescent="0.45">
      <c r="A221" t="s">
        <v>119</v>
      </c>
      <c r="B221" t="s">
        <v>160</v>
      </c>
      <c r="C221" t="s">
        <v>121</v>
      </c>
      <c r="D221" t="s">
        <v>161</v>
      </c>
      <c r="E221" t="s">
        <v>147</v>
      </c>
      <c r="F221" t="s">
        <v>148</v>
      </c>
      <c r="G221" t="s">
        <v>149</v>
      </c>
      <c r="H221" t="s">
        <v>151</v>
      </c>
      <c r="I221" t="s">
        <v>129</v>
      </c>
      <c r="J221">
        <v>45.23</v>
      </c>
      <c r="K221">
        <v>2</v>
      </c>
      <c r="L221">
        <v>290078.08199999901</v>
      </c>
      <c r="M221">
        <v>30343.938429343201</v>
      </c>
      <c r="N221">
        <v>70557.952796610101</v>
      </c>
      <c r="O221">
        <v>16834.845734707698</v>
      </c>
      <c r="P221">
        <v>121600.12779372399</v>
      </c>
      <c r="Q221">
        <v>10961.3866485991</v>
      </c>
      <c r="R221">
        <v>49772.954598725802</v>
      </c>
      <c r="S221">
        <v>60734.341247324999</v>
      </c>
      <c r="T221">
        <v>47178.784164051001</v>
      </c>
      <c r="U221">
        <v>252892.421837659</v>
      </c>
      <c r="V221">
        <v>300071.20600170997</v>
      </c>
      <c r="W221">
        <v>-9993.1240017104392</v>
      </c>
      <c r="X221">
        <v>0</v>
      </c>
      <c r="Y221">
        <v>102302.420990357</v>
      </c>
      <c r="Z221">
        <v>237881.098</v>
      </c>
      <c r="AA221">
        <v>71732.339586769594</v>
      </c>
      <c r="AB221">
        <v>39540.959999999999</v>
      </c>
      <c r="AC221">
        <v>518131.36859999999</v>
      </c>
      <c r="AD221">
        <v>2990161.3072000002</v>
      </c>
      <c r="AE221">
        <v>743978.4</v>
      </c>
    </row>
    <row r="222" spans="1:31" x14ac:dyDescent="0.45">
      <c r="A222" t="s">
        <v>119</v>
      </c>
      <c r="B222" t="s">
        <v>160</v>
      </c>
      <c r="C222" t="s">
        <v>121</v>
      </c>
      <c r="D222" t="s">
        <v>161</v>
      </c>
      <c r="E222" t="s">
        <v>147</v>
      </c>
      <c r="F222" t="s">
        <v>148</v>
      </c>
      <c r="G222" t="s">
        <v>152</v>
      </c>
      <c r="H222" t="s">
        <v>126</v>
      </c>
      <c r="I222" t="s">
        <v>129</v>
      </c>
      <c r="J222">
        <v>51.131254823399402</v>
      </c>
      <c r="K222">
        <v>2</v>
      </c>
      <c r="L222">
        <v>387181.20089922799</v>
      </c>
      <c r="M222">
        <v>20807.272065835299</v>
      </c>
      <c r="N222">
        <v>48382.596203389803</v>
      </c>
      <c r="O222">
        <v>38801.804058677</v>
      </c>
      <c r="P222">
        <v>137465.556506275</v>
      </c>
      <c r="Q222">
        <v>12391.5422053356</v>
      </c>
      <c r="R222">
        <v>56266.938423633503</v>
      </c>
      <c r="S222">
        <v>68658.480628969206</v>
      </c>
      <c r="T222">
        <v>59609.076124512401</v>
      </c>
      <c r="U222">
        <v>254506.63333863401</v>
      </c>
      <c r="V222">
        <v>314115.70946314698</v>
      </c>
      <c r="W222">
        <v>73065.4914360806</v>
      </c>
      <c r="X222">
        <v>51.131254823399402</v>
      </c>
      <c r="Y222">
        <v>102302.420990357</v>
      </c>
      <c r="Z222">
        <v>237881.098</v>
      </c>
      <c r="AA222">
        <v>71732.339586769594</v>
      </c>
      <c r="AB222">
        <v>39540.959999999999</v>
      </c>
      <c r="AC222">
        <v>518131.36859999999</v>
      </c>
      <c r="AD222">
        <v>2990161.3072000002</v>
      </c>
      <c r="AE222">
        <v>743978.4</v>
      </c>
    </row>
    <row r="223" spans="1:31" x14ac:dyDescent="0.45">
      <c r="A223" t="s">
        <v>119</v>
      </c>
      <c r="B223" t="s">
        <v>160</v>
      </c>
      <c r="C223" t="s">
        <v>121</v>
      </c>
      <c r="D223" t="s">
        <v>161</v>
      </c>
      <c r="E223" t="s">
        <v>147</v>
      </c>
      <c r="F223" t="s">
        <v>148</v>
      </c>
      <c r="G223" t="s">
        <v>152</v>
      </c>
      <c r="H223" t="s">
        <v>130</v>
      </c>
      <c r="I223" t="s">
        <v>129</v>
      </c>
      <c r="J223">
        <v>45.23</v>
      </c>
      <c r="K223">
        <v>2</v>
      </c>
      <c r="L223">
        <v>338424.429</v>
      </c>
      <c r="M223">
        <v>20807.272065835299</v>
      </c>
      <c r="N223">
        <v>48382.596203389803</v>
      </c>
      <c r="O223">
        <v>16834.845734707698</v>
      </c>
      <c r="P223">
        <v>121600.12779372399</v>
      </c>
      <c r="Q223">
        <v>10961.3866485991</v>
      </c>
      <c r="R223">
        <v>49772.954598725802</v>
      </c>
      <c r="S223">
        <v>60734.341247324999</v>
      </c>
      <c r="T223">
        <v>37642.117800543099</v>
      </c>
      <c r="U223">
        <v>230717.065244439</v>
      </c>
      <c r="V223">
        <v>268359.18304498203</v>
      </c>
      <c r="W223">
        <v>70065.245955017803</v>
      </c>
      <c r="X223">
        <v>0</v>
      </c>
      <c r="Y223">
        <v>102302.420990357</v>
      </c>
      <c r="Z223">
        <v>237881.098</v>
      </c>
      <c r="AA223">
        <v>71732.339586769594</v>
      </c>
      <c r="AB223">
        <v>39540.959999999999</v>
      </c>
      <c r="AC223">
        <v>518131.36859999999</v>
      </c>
      <c r="AD223">
        <v>2990161.3072000002</v>
      </c>
      <c r="AE223">
        <v>743978.4</v>
      </c>
    </row>
    <row r="224" spans="1:31" x14ac:dyDescent="0.45">
      <c r="A224" t="s">
        <v>119</v>
      </c>
      <c r="B224" t="s">
        <v>160</v>
      </c>
      <c r="C224" t="s">
        <v>121</v>
      </c>
      <c r="D224" t="s">
        <v>161</v>
      </c>
      <c r="E224" t="s">
        <v>153</v>
      </c>
      <c r="F224" t="s">
        <v>148</v>
      </c>
      <c r="G224" t="s">
        <v>149</v>
      </c>
      <c r="H224" t="s">
        <v>150</v>
      </c>
      <c r="I224" t="s">
        <v>129</v>
      </c>
      <c r="J224">
        <v>40.090815642447502</v>
      </c>
      <c r="K224">
        <v>2</v>
      </c>
      <c r="L224">
        <v>241136.634293568</v>
      </c>
      <c r="M224">
        <v>30343.938429343201</v>
      </c>
      <c r="N224">
        <v>66148.100508474497</v>
      </c>
      <c r="O224">
        <v>26767.304210460999</v>
      </c>
      <c r="P224">
        <v>110384.050099117</v>
      </c>
      <c r="Q224">
        <v>8980.9602487286102</v>
      </c>
      <c r="R224">
        <v>40780.3265264855</v>
      </c>
      <c r="S224">
        <v>49761.286775214103</v>
      </c>
      <c r="T224">
        <v>57111.242639804201</v>
      </c>
      <c r="U224">
        <v>226293.43738280499</v>
      </c>
      <c r="V224">
        <v>283404.68002261</v>
      </c>
      <c r="W224">
        <v>-42268.0457290419</v>
      </c>
      <c r="X224">
        <v>40.090815642447502</v>
      </c>
      <c r="Y224">
        <v>102302.420990357</v>
      </c>
      <c r="Z224">
        <v>223013.59599999999</v>
      </c>
      <c r="AA224">
        <v>55966.943668021202</v>
      </c>
      <c r="AB224">
        <v>23725.439999999999</v>
      </c>
      <c r="AC224">
        <v>414493.81119999901</v>
      </c>
      <c r="AD224">
        <v>2990161.3072000002</v>
      </c>
      <c r="AE224">
        <v>743978.4</v>
      </c>
    </row>
    <row r="225" spans="1:31" x14ac:dyDescent="0.45">
      <c r="A225" t="s">
        <v>119</v>
      </c>
      <c r="B225" t="s">
        <v>160</v>
      </c>
      <c r="C225" t="s">
        <v>121</v>
      </c>
      <c r="D225" t="s">
        <v>161</v>
      </c>
      <c r="E225" t="s">
        <v>153</v>
      </c>
      <c r="F225" t="s">
        <v>148</v>
      </c>
      <c r="G225" t="s">
        <v>149</v>
      </c>
      <c r="H225" t="s">
        <v>151</v>
      </c>
      <c r="I225" t="s">
        <v>129</v>
      </c>
      <c r="J225">
        <v>35.18</v>
      </c>
      <c r="K225">
        <v>2</v>
      </c>
      <c r="L225">
        <v>208433.05679999999</v>
      </c>
      <c r="M225">
        <v>30343.938429343201</v>
      </c>
      <c r="N225">
        <v>66148.100508474497</v>
      </c>
      <c r="O225">
        <v>13078.887623549601</v>
      </c>
      <c r="P225">
        <v>96862.855500882899</v>
      </c>
      <c r="Q225">
        <v>7880.8619003437998</v>
      </c>
      <c r="R225">
        <v>35785.051119857199</v>
      </c>
      <c r="S225">
        <v>43665.913020200998</v>
      </c>
      <c r="T225">
        <v>43422.826052892902</v>
      </c>
      <c r="U225">
        <v>206676.869029558</v>
      </c>
      <c r="V225">
        <v>250099.69508245101</v>
      </c>
      <c r="W225">
        <v>-41666.6382824514</v>
      </c>
      <c r="X225">
        <v>0</v>
      </c>
      <c r="Y225">
        <v>102302.420990357</v>
      </c>
      <c r="Z225">
        <v>223013.59599999999</v>
      </c>
      <c r="AA225">
        <v>55966.943668021202</v>
      </c>
      <c r="AB225">
        <v>23725.439999999999</v>
      </c>
      <c r="AC225">
        <v>414493.81119999901</v>
      </c>
      <c r="AD225">
        <v>2990161.3072000002</v>
      </c>
      <c r="AE225">
        <v>743978.4</v>
      </c>
    </row>
    <row r="226" spans="1:31" x14ac:dyDescent="0.45">
      <c r="A226" t="s">
        <v>119</v>
      </c>
      <c r="B226" t="s">
        <v>160</v>
      </c>
      <c r="C226" t="s">
        <v>121</v>
      </c>
      <c r="D226" t="s">
        <v>161</v>
      </c>
      <c r="E226" t="s">
        <v>153</v>
      </c>
      <c r="F226" t="s">
        <v>148</v>
      </c>
      <c r="G226" t="s">
        <v>152</v>
      </c>
      <c r="H226" t="s">
        <v>126</v>
      </c>
      <c r="I226" t="s">
        <v>129</v>
      </c>
      <c r="J226">
        <v>40.090815642447502</v>
      </c>
      <c r="K226">
        <v>2</v>
      </c>
      <c r="L226">
        <v>280724.71110785898</v>
      </c>
      <c r="M226">
        <v>20807.272065835299</v>
      </c>
      <c r="N226">
        <v>45358.697491525403</v>
      </c>
      <c r="O226">
        <v>26767.304210460999</v>
      </c>
      <c r="P226">
        <v>110384.050099117</v>
      </c>
      <c r="Q226">
        <v>8980.9602487286102</v>
      </c>
      <c r="R226">
        <v>40780.3265264855</v>
      </c>
      <c r="S226">
        <v>49761.286775214103</v>
      </c>
      <c r="T226">
        <v>47574.576276296299</v>
      </c>
      <c r="U226">
        <v>205504.034365856</v>
      </c>
      <c r="V226">
        <v>253078.61064215199</v>
      </c>
      <c r="W226">
        <v>27646.1004657064</v>
      </c>
      <c r="X226">
        <v>40.090815642447502</v>
      </c>
      <c r="Y226">
        <v>102302.420990357</v>
      </c>
      <c r="Z226">
        <v>223013.59599999999</v>
      </c>
      <c r="AA226">
        <v>55966.943668021202</v>
      </c>
      <c r="AB226">
        <v>23725.439999999999</v>
      </c>
      <c r="AC226">
        <v>414493.81119999901</v>
      </c>
      <c r="AD226">
        <v>2990161.3072000002</v>
      </c>
      <c r="AE226">
        <v>743978.4</v>
      </c>
    </row>
    <row r="227" spans="1:31" x14ac:dyDescent="0.45">
      <c r="A227" t="s">
        <v>119</v>
      </c>
      <c r="B227" t="s">
        <v>160</v>
      </c>
      <c r="C227" t="s">
        <v>121</v>
      </c>
      <c r="D227" t="s">
        <v>161</v>
      </c>
      <c r="E227" t="s">
        <v>153</v>
      </c>
      <c r="F227" t="s">
        <v>148</v>
      </c>
      <c r="G227" t="s">
        <v>152</v>
      </c>
      <c r="H227" t="s">
        <v>130</v>
      </c>
      <c r="I227" t="s">
        <v>129</v>
      </c>
      <c r="J227">
        <v>35.18</v>
      </c>
      <c r="K227">
        <v>2</v>
      </c>
      <c r="L227">
        <v>243171.8996</v>
      </c>
      <c r="M227">
        <v>20807.272065835299</v>
      </c>
      <c r="N227">
        <v>45358.697491525403</v>
      </c>
      <c r="O227">
        <v>13078.887623549601</v>
      </c>
      <c r="P227">
        <v>96862.855500882899</v>
      </c>
      <c r="Q227">
        <v>7880.8619003437998</v>
      </c>
      <c r="R227">
        <v>35785.051119857199</v>
      </c>
      <c r="S227">
        <v>43665.913020200998</v>
      </c>
      <c r="T227">
        <v>33886.159689385</v>
      </c>
      <c r="U227">
        <v>185887.46601260899</v>
      </c>
      <c r="V227">
        <v>219773.62570199399</v>
      </c>
      <c r="W227">
        <v>23398.2738980055</v>
      </c>
      <c r="X227">
        <v>0</v>
      </c>
      <c r="Y227">
        <v>102302.420990357</v>
      </c>
      <c r="Z227">
        <v>223013.59599999999</v>
      </c>
      <c r="AA227">
        <v>55966.943668021202</v>
      </c>
      <c r="AB227">
        <v>23725.439999999999</v>
      </c>
      <c r="AC227">
        <v>414493.81119999901</v>
      </c>
      <c r="AD227">
        <v>2990161.3072000002</v>
      </c>
      <c r="AE227">
        <v>743978.4</v>
      </c>
    </row>
    <row r="228" spans="1:31" x14ac:dyDescent="0.45">
      <c r="A228" t="s">
        <v>119</v>
      </c>
      <c r="B228" t="s">
        <v>160</v>
      </c>
      <c r="C228" t="s">
        <v>121</v>
      </c>
      <c r="D228" t="s">
        <v>161</v>
      </c>
      <c r="E228" t="s">
        <v>154</v>
      </c>
      <c r="F228" t="s">
        <v>155</v>
      </c>
      <c r="G228" t="s">
        <v>156</v>
      </c>
      <c r="H228" t="s">
        <v>126</v>
      </c>
      <c r="I228" t="s">
        <v>129</v>
      </c>
      <c r="J228">
        <v>52.0953047250079</v>
      </c>
      <c r="K228">
        <v>2</v>
      </c>
      <c r="L228">
        <v>421692.737439238</v>
      </c>
      <c r="M228">
        <v>25575.870052008799</v>
      </c>
      <c r="N228">
        <v>86019.448666666605</v>
      </c>
      <c r="O228">
        <v>52396.212760805</v>
      </c>
      <c r="P228">
        <v>205463.77070841601</v>
      </c>
      <c r="Q228">
        <v>12565.3091952549</v>
      </c>
      <c r="R228">
        <v>55342.252944473003</v>
      </c>
      <c r="S228">
        <v>67907.562139728005</v>
      </c>
      <c r="T228">
        <v>77972.082812813795</v>
      </c>
      <c r="U228">
        <v>359390.78151481098</v>
      </c>
      <c r="V228">
        <v>437362.86432762502</v>
      </c>
      <c r="W228">
        <v>-15670.1268883866</v>
      </c>
      <c r="X228">
        <v>52.0953047250079</v>
      </c>
      <c r="Y228">
        <v>76727.610156026407</v>
      </c>
      <c r="Z228">
        <v>258058.34599999999</v>
      </c>
      <c r="AA228">
        <v>54389.768545539599</v>
      </c>
      <c r="AB228">
        <v>32659.200000000001</v>
      </c>
      <c r="AC228">
        <v>566201.53559999994</v>
      </c>
      <c r="AD228">
        <v>2990161.3072000002</v>
      </c>
      <c r="AE228">
        <v>743978.4</v>
      </c>
    </row>
    <row r="229" spans="1:31" x14ac:dyDescent="0.45">
      <c r="A229" t="s">
        <v>119</v>
      </c>
      <c r="B229" t="s">
        <v>160</v>
      </c>
      <c r="C229" t="s">
        <v>121</v>
      </c>
      <c r="D229" t="s">
        <v>161</v>
      </c>
      <c r="E229" t="s">
        <v>154</v>
      </c>
      <c r="F229" t="s">
        <v>155</v>
      </c>
      <c r="G229" t="s">
        <v>156</v>
      </c>
      <c r="H229" t="s">
        <v>128</v>
      </c>
      <c r="I229" t="s">
        <v>129</v>
      </c>
      <c r="J229">
        <v>46.234999999999999</v>
      </c>
      <c r="K229">
        <v>2</v>
      </c>
      <c r="L229">
        <v>370094.53039999999</v>
      </c>
      <c r="M229">
        <v>25575.870052008799</v>
      </c>
      <c r="N229">
        <v>86019.448666666605</v>
      </c>
      <c r="O229">
        <v>17516.756832747</v>
      </c>
      <c r="P229">
        <v>182350.741373884</v>
      </c>
      <c r="Q229">
        <v>11151.812504203001</v>
      </c>
      <c r="R229">
        <v>49116.6925386925</v>
      </c>
      <c r="S229">
        <v>60268.5050428955</v>
      </c>
      <c r="T229">
        <v>43092.626884755802</v>
      </c>
      <c r="U229">
        <v>328638.69508344698</v>
      </c>
      <c r="V229">
        <v>371731.32196820201</v>
      </c>
      <c r="W229">
        <v>-1636.7915682027799</v>
      </c>
      <c r="X229">
        <v>0</v>
      </c>
      <c r="Y229">
        <v>76727.610156026407</v>
      </c>
      <c r="Z229">
        <v>258058.34599999999</v>
      </c>
      <c r="AA229">
        <v>54389.768545539599</v>
      </c>
      <c r="AB229">
        <v>32659.200000000001</v>
      </c>
      <c r="AC229">
        <v>566201.53559999994</v>
      </c>
      <c r="AD229">
        <v>2990161.3072000002</v>
      </c>
      <c r="AE229">
        <v>743978.4</v>
      </c>
    </row>
    <row r="230" spans="1:31" x14ac:dyDescent="0.45">
      <c r="A230" t="s">
        <v>119</v>
      </c>
      <c r="B230" t="s">
        <v>160</v>
      </c>
      <c r="C230" t="s">
        <v>121</v>
      </c>
      <c r="D230" t="s">
        <v>161</v>
      </c>
      <c r="E230" t="s">
        <v>154</v>
      </c>
      <c r="F230" t="s">
        <v>155</v>
      </c>
      <c r="G230" t="s">
        <v>156</v>
      </c>
      <c r="H230" t="s">
        <v>130</v>
      </c>
      <c r="I230" t="s">
        <v>129</v>
      </c>
      <c r="J230">
        <v>45.23</v>
      </c>
      <c r="K230">
        <v>2</v>
      </c>
      <c r="L230">
        <v>362049.86719999998</v>
      </c>
      <c r="M230">
        <v>25575.870052008799</v>
      </c>
      <c r="N230">
        <v>86019.448666666605</v>
      </c>
      <c r="O230">
        <v>17135.9989519876</v>
      </c>
      <c r="P230">
        <v>178387.02351769799</v>
      </c>
      <c r="Q230">
        <v>10909.4080148178</v>
      </c>
      <c r="R230">
        <v>48049.053823403498</v>
      </c>
      <c r="S230">
        <v>58958.461838221403</v>
      </c>
      <c r="T230">
        <v>42711.869003996399</v>
      </c>
      <c r="U230">
        <v>323364.93402258598</v>
      </c>
      <c r="V230">
        <v>366076.80302658299</v>
      </c>
      <c r="W230">
        <v>-4026.9358265832998</v>
      </c>
      <c r="X230">
        <v>0</v>
      </c>
      <c r="Y230">
        <v>76727.610156026407</v>
      </c>
      <c r="Z230">
        <v>258058.34599999999</v>
      </c>
      <c r="AA230">
        <v>54389.768545539599</v>
      </c>
      <c r="AB230">
        <v>32659.200000000001</v>
      </c>
      <c r="AC230">
        <v>566201.53559999994</v>
      </c>
      <c r="AD230">
        <v>2990161.3072000002</v>
      </c>
      <c r="AE230">
        <v>743978.4</v>
      </c>
    </row>
    <row r="231" spans="1:31" x14ac:dyDescent="0.45">
      <c r="A231" t="s">
        <v>119</v>
      </c>
      <c r="B231" t="s">
        <v>160</v>
      </c>
      <c r="C231" t="s">
        <v>121</v>
      </c>
      <c r="D231" t="s">
        <v>161</v>
      </c>
      <c r="E231" t="s">
        <v>157</v>
      </c>
      <c r="F231" t="s">
        <v>155</v>
      </c>
      <c r="G231" t="s">
        <v>156</v>
      </c>
      <c r="H231" t="s">
        <v>126</v>
      </c>
      <c r="I231" t="s">
        <v>129</v>
      </c>
      <c r="J231">
        <v>44.464894073117897</v>
      </c>
      <c r="K231">
        <v>2</v>
      </c>
      <c r="L231">
        <v>337681.96830418298</v>
      </c>
      <c r="M231">
        <v>25575.870052008799</v>
      </c>
      <c r="N231">
        <v>59470.008000000002</v>
      </c>
      <c r="O231">
        <v>37183.974830948602</v>
      </c>
      <c r="P231">
        <v>128273.851780909</v>
      </c>
      <c r="Q231">
        <v>10057.525989731301</v>
      </c>
      <c r="R231">
        <v>44297.051403201302</v>
      </c>
      <c r="S231">
        <v>54354.577392932697</v>
      </c>
      <c r="T231">
        <v>62759.844882957397</v>
      </c>
      <c r="U231">
        <v>242098.437173841</v>
      </c>
      <c r="V231">
        <v>304858.28205679898</v>
      </c>
      <c r="W231">
        <v>32823.686247384197</v>
      </c>
      <c r="X231">
        <v>44.464894073117897</v>
      </c>
      <c r="Y231">
        <v>76727.610156026407</v>
      </c>
      <c r="Z231">
        <v>178410.024</v>
      </c>
      <c r="AA231">
        <v>46113.041609964501</v>
      </c>
      <c r="AB231">
        <v>20358</v>
      </c>
      <c r="AC231">
        <v>351545.60279999999</v>
      </c>
      <c r="AD231">
        <v>2990161.3072000002</v>
      </c>
      <c r="AE231">
        <v>743978.4</v>
      </c>
    </row>
    <row r="232" spans="1:31" x14ac:dyDescent="0.45">
      <c r="A232" t="s">
        <v>119</v>
      </c>
      <c r="B232" t="s">
        <v>160</v>
      </c>
      <c r="C232" t="s">
        <v>121</v>
      </c>
      <c r="D232" t="s">
        <v>161</v>
      </c>
      <c r="E232" t="s">
        <v>157</v>
      </c>
      <c r="F232" t="s">
        <v>155</v>
      </c>
      <c r="G232" t="s">
        <v>156</v>
      </c>
      <c r="H232" t="s">
        <v>128</v>
      </c>
      <c r="I232" t="s">
        <v>129</v>
      </c>
      <c r="J232">
        <v>39.200000000000003</v>
      </c>
      <c r="K232">
        <v>2</v>
      </c>
      <c r="L232">
        <v>294170.52</v>
      </c>
      <c r="M232">
        <v>25575.870052008799</v>
      </c>
      <c r="N232">
        <v>59470.008000000002</v>
      </c>
      <c r="O232">
        <v>14833.6845757144</v>
      </c>
      <c r="P232">
        <v>113085.50474770099</v>
      </c>
      <c r="Q232">
        <v>8866.6582259064508</v>
      </c>
      <c r="R232">
        <v>39052.030848203198</v>
      </c>
      <c r="S232">
        <v>47918.689074109701</v>
      </c>
      <c r="T232">
        <v>40409.554627723199</v>
      </c>
      <c r="U232">
        <v>220474.201821811</v>
      </c>
      <c r="V232">
        <v>260883.756449534</v>
      </c>
      <c r="W232">
        <v>33286.763550465301</v>
      </c>
      <c r="X232">
        <v>0</v>
      </c>
      <c r="Y232">
        <v>76727.610156026407</v>
      </c>
      <c r="Z232">
        <v>178410.024</v>
      </c>
      <c r="AA232">
        <v>46113.041609964501</v>
      </c>
      <c r="AB232">
        <v>20358</v>
      </c>
      <c r="AC232">
        <v>351545.60279999999</v>
      </c>
      <c r="AD232">
        <v>2990161.3072000002</v>
      </c>
      <c r="AE232">
        <v>743978.4</v>
      </c>
    </row>
    <row r="233" spans="1:31" x14ac:dyDescent="0.45">
      <c r="A233" t="s">
        <v>119</v>
      </c>
      <c r="B233" t="s">
        <v>160</v>
      </c>
      <c r="C233" t="s">
        <v>121</v>
      </c>
      <c r="D233" t="s">
        <v>161</v>
      </c>
      <c r="E233" t="s">
        <v>157</v>
      </c>
      <c r="F233" t="s">
        <v>155</v>
      </c>
      <c r="G233" t="s">
        <v>156</v>
      </c>
      <c r="H233" t="s">
        <v>130</v>
      </c>
      <c r="I233" t="s">
        <v>129</v>
      </c>
      <c r="J233">
        <v>38.195</v>
      </c>
      <c r="K233">
        <v>2</v>
      </c>
      <c r="L233">
        <v>286628.64825000003</v>
      </c>
      <c r="M233">
        <v>25575.870052008799</v>
      </c>
      <c r="N233">
        <v>59470.008000000002</v>
      </c>
      <c r="O233">
        <v>14453.3822033013</v>
      </c>
      <c r="P233">
        <v>110186.246271389</v>
      </c>
      <c r="Q233">
        <v>8639.3370137371603</v>
      </c>
      <c r="R233">
        <v>38050.824445079597</v>
      </c>
      <c r="S233">
        <v>46690.161458816801</v>
      </c>
      <c r="T233">
        <v>40029.252255310203</v>
      </c>
      <c r="U233">
        <v>216346.415730206</v>
      </c>
      <c r="V233">
        <v>256375.66798551599</v>
      </c>
      <c r="W233">
        <v>30252.980264483602</v>
      </c>
      <c r="X233">
        <v>0</v>
      </c>
      <c r="Y233">
        <v>76727.610156026407</v>
      </c>
      <c r="Z233">
        <v>178410.024</v>
      </c>
      <c r="AA233">
        <v>46113.041609964501</v>
      </c>
      <c r="AB233">
        <v>20358</v>
      </c>
      <c r="AC233">
        <v>351545.60279999999</v>
      </c>
      <c r="AD233">
        <v>2990161.3072000002</v>
      </c>
      <c r="AE233">
        <v>743978.4</v>
      </c>
    </row>
    <row r="234" spans="1:31" x14ac:dyDescent="0.45">
      <c r="A234" t="s">
        <v>119</v>
      </c>
      <c r="B234" t="s">
        <v>162</v>
      </c>
      <c r="C234" t="s">
        <v>121</v>
      </c>
      <c r="D234" t="s">
        <v>161</v>
      </c>
      <c r="E234" t="s">
        <v>123</v>
      </c>
      <c r="F234" t="s">
        <v>124</v>
      </c>
      <c r="G234" t="s">
        <v>125</v>
      </c>
      <c r="H234" t="s">
        <v>126</v>
      </c>
      <c r="I234" t="s">
        <v>127</v>
      </c>
      <c r="J234">
        <v>95.673985044915995</v>
      </c>
      <c r="K234">
        <v>3</v>
      </c>
      <c r="L234">
        <v>846025.91495518305</v>
      </c>
      <c r="M234">
        <v>51245.892806931799</v>
      </c>
      <c r="N234">
        <v>158956.30530000001</v>
      </c>
      <c r="O234">
        <v>74297.987104188505</v>
      </c>
      <c r="P234">
        <v>330805.70332975499</v>
      </c>
      <c r="Q234">
        <v>24469.7344632932</v>
      </c>
      <c r="R234">
        <v>81188.434049459407</v>
      </c>
      <c r="S234">
        <v>105658.168512752</v>
      </c>
      <c r="T234">
        <v>125543.87991112001</v>
      </c>
      <c r="U234">
        <v>595420.17714250798</v>
      </c>
      <c r="V234">
        <v>720964.05705362803</v>
      </c>
      <c r="W234">
        <v>125061.85790155501</v>
      </c>
      <c r="X234">
        <v>95.673985044915995</v>
      </c>
      <c r="Y234">
        <v>204983.57122772699</v>
      </c>
      <c r="Z234">
        <v>635825.22120000003</v>
      </c>
      <c r="AA234">
        <v>160890.834673203</v>
      </c>
      <c r="AB234">
        <v>78534.649999999994</v>
      </c>
      <c r="AC234">
        <v>1473817.9408694999</v>
      </c>
      <c r="AD234">
        <v>2894009.9927369999</v>
      </c>
      <c r="AE234">
        <v>811612.8</v>
      </c>
    </row>
    <row r="235" spans="1:31" x14ac:dyDescent="0.45">
      <c r="A235" t="s">
        <v>119</v>
      </c>
      <c r="B235" t="s">
        <v>162</v>
      </c>
      <c r="C235" t="s">
        <v>121</v>
      </c>
      <c r="D235" t="s">
        <v>161</v>
      </c>
      <c r="E235" t="s">
        <v>123</v>
      </c>
      <c r="F235" t="s">
        <v>124</v>
      </c>
      <c r="G235" t="s">
        <v>125</v>
      </c>
      <c r="H235" t="s">
        <v>128</v>
      </c>
      <c r="I235" t="s">
        <v>129</v>
      </c>
      <c r="J235">
        <v>77.17</v>
      </c>
      <c r="K235">
        <v>3</v>
      </c>
      <c r="L235">
        <v>630423.33759999997</v>
      </c>
      <c r="M235">
        <v>40996.714245545401</v>
      </c>
      <c r="N235">
        <v>127165.04424</v>
      </c>
      <c r="O235">
        <v>29128.296779746499</v>
      </c>
      <c r="P235">
        <v>266825.68008401099</v>
      </c>
      <c r="Q235">
        <v>19737.125067444598</v>
      </c>
      <c r="R235">
        <v>65486.050911910999</v>
      </c>
      <c r="S235">
        <v>85223.175979355598</v>
      </c>
      <c r="T235">
        <v>70125.011025291897</v>
      </c>
      <c r="U235">
        <v>479213.90030336601</v>
      </c>
      <c r="V235">
        <v>549338.911328658</v>
      </c>
      <c r="W235">
        <v>81084.426271341203</v>
      </c>
      <c r="X235">
        <v>0</v>
      </c>
      <c r="Y235">
        <v>204983.57122772699</v>
      </c>
      <c r="Z235">
        <v>635825.22120000003</v>
      </c>
      <c r="AA235">
        <v>160890.834673203</v>
      </c>
      <c r="AB235">
        <v>78534.649999999994</v>
      </c>
      <c r="AC235">
        <v>1473817.9408694999</v>
      </c>
      <c r="AD235">
        <v>2894009.9927369999</v>
      </c>
      <c r="AE235">
        <v>811612.8</v>
      </c>
    </row>
    <row r="236" spans="1:31" x14ac:dyDescent="0.45">
      <c r="A236" t="s">
        <v>119</v>
      </c>
      <c r="B236" t="s">
        <v>162</v>
      </c>
      <c r="C236" t="s">
        <v>121</v>
      </c>
      <c r="D236" t="s">
        <v>161</v>
      </c>
      <c r="E236" t="s">
        <v>123</v>
      </c>
      <c r="F236" t="s">
        <v>124</v>
      </c>
      <c r="G236" t="s">
        <v>125</v>
      </c>
      <c r="H236" t="s">
        <v>130</v>
      </c>
      <c r="I236" t="s">
        <v>129</v>
      </c>
      <c r="J236">
        <v>75.14</v>
      </c>
      <c r="K236">
        <v>3</v>
      </c>
      <c r="L236">
        <v>613839.69920000003</v>
      </c>
      <c r="M236">
        <v>40996.714245545401</v>
      </c>
      <c r="N236">
        <v>127165.04424</v>
      </c>
      <c r="O236">
        <v>28362.060645719201</v>
      </c>
      <c r="P236">
        <v>259806.681372458</v>
      </c>
      <c r="Q236">
        <v>19217.9289564311</v>
      </c>
      <c r="R236">
        <v>63763.403725812997</v>
      </c>
      <c r="S236">
        <v>82981.332682244203</v>
      </c>
      <c r="T236">
        <v>69358.774891264693</v>
      </c>
      <c r="U236">
        <v>469953.05829470197</v>
      </c>
      <c r="V236">
        <v>539311.83318596601</v>
      </c>
      <c r="W236">
        <v>74527.866014033003</v>
      </c>
      <c r="X236">
        <v>0</v>
      </c>
      <c r="Y236">
        <v>204983.57122772699</v>
      </c>
      <c r="Z236">
        <v>635825.22120000003</v>
      </c>
      <c r="AA236">
        <v>160890.834673203</v>
      </c>
      <c r="AB236">
        <v>78534.649999999994</v>
      </c>
      <c r="AC236">
        <v>1473817.9408694999</v>
      </c>
      <c r="AD236">
        <v>2894009.9927369999</v>
      </c>
      <c r="AE236">
        <v>811612.8</v>
      </c>
    </row>
    <row r="237" spans="1:31" x14ac:dyDescent="0.45">
      <c r="A237" t="s">
        <v>119</v>
      </c>
      <c r="B237" t="s">
        <v>162</v>
      </c>
      <c r="C237" t="s">
        <v>121</v>
      </c>
      <c r="D237" t="s">
        <v>161</v>
      </c>
      <c r="E237" t="s">
        <v>123</v>
      </c>
      <c r="F237" t="s">
        <v>124</v>
      </c>
      <c r="G237" t="s">
        <v>131</v>
      </c>
      <c r="H237" t="s">
        <v>132</v>
      </c>
      <c r="I237" t="s">
        <v>129</v>
      </c>
      <c r="J237">
        <v>101.09633112064</v>
      </c>
      <c r="K237">
        <v>3</v>
      </c>
      <c r="L237">
        <v>893974.63683359802</v>
      </c>
      <c r="M237">
        <v>35872.124964852199</v>
      </c>
      <c r="N237">
        <v>111269.41370999999</v>
      </c>
      <c r="O237">
        <v>78508.843363802604</v>
      </c>
      <c r="P237">
        <v>349554.19599926402</v>
      </c>
      <c r="Q237">
        <v>25856.562539689901</v>
      </c>
      <c r="R237">
        <v>85789.808044235702</v>
      </c>
      <c r="S237">
        <v>111646.370583925</v>
      </c>
      <c r="T237">
        <v>114380.96832865399</v>
      </c>
      <c r="U237">
        <v>572469.98029318999</v>
      </c>
      <c r="V237">
        <v>686850.94862184499</v>
      </c>
      <c r="W237">
        <v>207123.688211753</v>
      </c>
      <c r="X237">
        <v>101.09633112064</v>
      </c>
      <c r="Y237">
        <v>204983.57122772699</v>
      </c>
      <c r="Z237">
        <v>635825.22120000003</v>
      </c>
      <c r="AA237">
        <v>160890.834673203</v>
      </c>
      <c r="AB237">
        <v>78534.649999999994</v>
      </c>
      <c r="AC237">
        <v>1473817.9408694999</v>
      </c>
      <c r="AD237">
        <v>2894009.9927369999</v>
      </c>
      <c r="AE237">
        <v>811612.8</v>
      </c>
    </row>
    <row r="238" spans="1:31" x14ac:dyDescent="0.45">
      <c r="A238" t="s">
        <v>119</v>
      </c>
      <c r="B238" t="s">
        <v>162</v>
      </c>
      <c r="C238" t="s">
        <v>121</v>
      </c>
      <c r="D238" t="s">
        <v>161</v>
      </c>
      <c r="E238" t="s">
        <v>123</v>
      </c>
      <c r="F238" t="s">
        <v>124</v>
      </c>
      <c r="G238" t="s">
        <v>131</v>
      </c>
      <c r="H238" t="s">
        <v>133</v>
      </c>
      <c r="I238" t="s">
        <v>129</v>
      </c>
      <c r="J238">
        <v>77.17</v>
      </c>
      <c r="K238">
        <v>3</v>
      </c>
      <c r="L238">
        <v>675453.576</v>
      </c>
      <c r="M238">
        <v>35872.124964852199</v>
      </c>
      <c r="N238">
        <v>111269.41370999999</v>
      </c>
      <c r="O238">
        <v>29128.296779746499</v>
      </c>
      <c r="P238">
        <v>266825.68008401099</v>
      </c>
      <c r="Q238">
        <v>19737.125067444598</v>
      </c>
      <c r="R238">
        <v>65486.050911910999</v>
      </c>
      <c r="S238">
        <v>85223.175979355598</v>
      </c>
      <c r="T238">
        <v>65000.421744598803</v>
      </c>
      <c r="U238">
        <v>463318.26977336599</v>
      </c>
      <c r="V238">
        <v>528318.69151796505</v>
      </c>
      <c r="W238">
        <v>147134.88448203399</v>
      </c>
      <c r="X238">
        <v>0</v>
      </c>
      <c r="Y238">
        <v>204983.57122772699</v>
      </c>
      <c r="Z238">
        <v>635825.22120000003</v>
      </c>
      <c r="AA238">
        <v>160890.834673203</v>
      </c>
      <c r="AB238">
        <v>78534.649999999994</v>
      </c>
      <c r="AC238">
        <v>1473817.9408694999</v>
      </c>
      <c r="AD238">
        <v>2894009.9927369999</v>
      </c>
      <c r="AE238">
        <v>811612.8</v>
      </c>
    </row>
    <row r="239" spans="1:31" x14ac:dyDescent="0.45">
      <c r="A239" t="s">
        <v>119</v>
      </c>
      <c r="B239" t="s">
        <v>162</v>
      </c>
      <c r="C239" t="s">
        <v>121</v>
      </c>
      <c r="D239" t="s">
        <v>161</v>
      </c>
      <c r="E239" t="s">
        <v>134</v>
      </c>
      <c r="F239" t="s">
        <v>124</v>
      </c>
      <c r="G239" t="s">
        <v>125</v>
      </c>
      <c r="H239" t="s">
        <v>126</v>
      </c>
      <c r="I239" t="s">
        <v>127</v>
      </c>
      <c r="J239">
        <v>81.283962862479498</v>
      </c>
      <c r="K239">
        <v>3</v>
      </c>
      <c r="L239">
        <v>674311.43491641397</v>
      </c>
      <c r="M239">
        <v>51245.8492716213</v>
      </c>
      <c r="N239">
        <v>109895.68955769201</v>
      </c>
      <c r="O239">
        <v>53997.448739434098</v>
      </c>
      <c r="P239">
        <v>195271.30159481199</v>
      </c>
      <c r="Q239">
        <v>19497.882702966999</v>
      </c>
      <c r="R239">
        <v>64692.2657174142</v>
      </c>
      <c r="S239">
        <v>84190.148420381302</v>
      </c>
      <c r="T239">
        <v>105243.298011055</v>
      </c>
      <c r="U239">
        <v>389357.13957288599</v>
      </c>
      <c r="V239">
        <v>494600.43758394098</v>
      </c>
      <c r="W239">
        <v>179710.99733247299</v>
      </c>
      <c r="X239">
        <v>81.283962862479498</v>
      </c>
      <c r="Y239">
        <v>177652.277474954</v>
      </c>
      <c r="Z239">
        <v>380971.72379999998</v>
      </c>
      <c r="AA239">
        <v>136462.91077365101</v>
      </c>
      <c r="AB239">
        <v>48050.45</v>
      </c>
      <c r="AC239">
        <v>869894.87134349998</v>
      </c>
      <c r="AD239">
        <v>2894009.9927369999</v>
      </c>
      <c r="AE239">
        <v>811612.8</v>
      </c>
    </row>
    <row r="240" spans="1:31" x14ac:dyDescent="0.45">
      <c r="A240" t="s">
        <v>119</v>
      </c>
      <c r="B240" t="s">
        <v>162</v>
      </c>
      <c r="C240" t="s">
        <v>121</v>
      </c>
      <c r="D240" t="s">
        <v>161</v>
      </c>
      <c r="E240" t="s">
        <v>134</v>
      </c>
      <c r="F240" t="s">
        <v>124</v>
      </c>
      <c r="G240" t="s">
        <v>125</v>
      </c>
      <c r="H240" t="s">
        <v>128</v>
      </c>
      <c r="I240" t="s">
        <v>129</v>
      </c>
      <c r="J240">
        <v>64.989999999999995</v>
      </c>
      <c r="K240">
        <v>2</v>
      </c>
      <c r="L240">
        <v>497738.91299999901</v>
      </c>
      <c r="M240">
        <v>27331.1196115313</v>
      </c>
      <c r="N240">
        <v>58611.034430769199</v>
      </c>
      <c r="O240">
        <v>24492.208593218202</v>
      </c>
      <c r="P240">
        <v>156127.745790613</v>
      </c>
      <c r="Q240">
        <v>15589.3899884001</v>
      </c>
      <c r="R240">
        <v>51724.229490236503</v>
      </c>
      <c r="S240">
        <v>67313.619478636596</v>
      </c>
      <c r="T240">
        <v>51823.328204749603</v>
      </c>
      <c r="U240">
        <v>282052.39970001898</v>
      </c>
      <c r="V240">
        <v>333875.72790476802</v>
      </c>
      <c r="W240">
        <v>163863.18509523099</v>
      </c>
      <c r="X240">
        <v>0</v>
      </c>
      <c r="Y240">
        <v>177652.277474954</v>
      </c>
      <c r="Z240">
        <v>380971.72379999998</v>
      </c>
      <c r="AA240">
        <v>136462.91077365101</v>
      </c>
      <c r="AB240">
        <v>48050.45</v>
      </c>
      <c r="AC240">
        <v>869894.87134349998</v>
      </c>
      <c r="AD240">
        <v>2894009.9927369999</v>
      </c>
      <c r="AE240">
        <v>811612.8</v>
      </c>
    </row>
    <row r="241" spans="1:31" x14ac:dyDescent="0.45">
      <c r="A241" t="s">
        <v>119</v>
      </c>
      <c r="B241" t="s">
        <v>162</v>
      </c>
      <c r="C241" t="s">
        <v>121</v>
      </c>
      <c r="D241" t="s">
        <v>161</v>
      </c>
      <c r="E241" t="s">
        <v>134</v>
      </c>
      <c r="F241" t="s">
        <v>124</v>
      </c>
      <c r="G241" t="s">
        <v>125</v>
      </c>
      <c r="H241" t="s">
        <v>130</v>
      </c>
      <c r="I241" t="s">
        <v>129</v>
      </c>
      <c r="J241">
        <v>63.96</v>
      </c>
      <c r="K241">
        <v>2</v>
      </c>
      <c r="L241">
        <v>489850.45199999999</v>
      </c>
      <c r="M241">
        <v>27331.1196115313</v>
      </c>
      <c r="N241">
        <v>58611.034430769199</v>
      </c>
      <c r="O241">
        <v>24104.041569814399</v>
      </c>
      <c r="P241">
        <v>153653.34083347599</v>
      </c>
      <c r="Q241">
        <v>15342.320105524999</v>
      </c>
      <c r="R241">
        <v>50904.473275819699</v>
      </c>
      <c r="S241">
        <v>66246.793381344803</v>
      </c>
      <c r="T241">
        <v>51435.1611813458</v>
      </c>
      <c r="U241">
        <v>278511.16864559002</v>
      </c>
      <c r="V241">
        <v>329946.32982693601</v>
      </c>
      <c r="W241">
        <v>159904.12217306299</v>
      </c>
      <c r="X241">
        <v>0</v>
      </c>
      <c r="Y241">
        <v>177652.277474954</v>
      </c>
      <c r="Z241">
        <v>380971.72379999998</v>
      </c>
      <c r="AA241">
        <v>136462.91077365101</v>
      </c>
      <c r="AB241">
        <v>48050.45</v>
      </c>
      <c r="AC241">
        <v>869894.87134349998</v>
      </c>
      <c r="AD241">
        <v>2894009.9927369999</v>
      </c>
      <c r="AE241">
        <v>811612.8</v>
      </c>
    </row>
    <row r="242" spans="1:31" x14ac:dyDescent="0.45">
      <c r="A242" t="s">
        <v>119</v>
      </c>
      <c r="B242" t="s">
        <v>162</v>
      </c>
      <c r="C242" t="s">
        <v>121</v>
      </c>
      <c r="D242" t="s">
        <v>161</v>
      </c>
      <c r="E242" t="s">
        <v>134</v>
      </c>
      <c r="F242" t="s">
        <v>124</v>
      </c>
      <c r="G242" t="s">
        <v>131</v>
      </c>
      <c r="H242" t="s">
        <v>132</v>
      </c>
      <c r="I242" t="s">
        <v>129</v>
      </c>
      <c r="J242">
        <v>85.879950201337905</v>
      </c>
      <c r="K242">
        <v>3</v>
      </c>
      <c r="L242">
        <v>712438.596882749</v>
      </c>
      <c r="M242">
        <v>35872.094490134899</v>
      </c>
      <c r="N242">
        <v>76926.982690384597</v>
      </c>
      <c r="O242">
        <v>57050.592090195198</v>
      </c>
      <c r="P242">
        <v>206312.402424142</v>
      </c>
      <c r="Q242">
        <v>20600.339065595301</v>
      </c>
      <c r="R242">
        <v>68350.119292569405</v>
      </c>
      <c r="S242">
        <v>88950.458358164702</v>
      </c>
      <c r="T242">
        <v>92922.686580330206</v>
      </c>
      <c r="U242">
        <v>372189.84347269201</v>
      </c>
      <c r="V242">
        <v>465112.53005302203</v>
      </c>
      <c r="W242">
        <v>247326.066829727</v>
      </c>
      <c r="X242">
        <v>85.879950201337905</v>
      </c>
      <c r="Y242">
        <v>177652.277474954</v>
      </c>
      <c r="Z242">
        <v>380971.72379999998</v>
      </c>
      <c r="AA242">
        <v>136462.91077365101</v>
      </c>
      <c r="AB242">
        <v>48050.45</v>
      </c>
      <c r="AC242">
        <v>869894.87134349998</v>
      </c>
      <c r="AD242">
        <v>2894009.9927369999</v>
      </c>
      <c r="AE242">
        <v>811612.8</v>
      </c>
    </row>
    <row r="243" spans="1:31" x14ac:dyDescent="0.45">
      <c r="A243" t="s">
        <v>119</v>
      </c>
      <c r="B243" t="s">
        <v>162</v>
      </c>
      <c r="C243" t="s">
        <v>121</v>
      </c>
      <c r="D243" t="s">
        <v>161</v>
      </c>
      <c r="E243" t="s">
        <v>134</v>
      </c>
      <c r="F243" t="s">
        <v>124</v>
      </c>
      <c r="G243" t="s">
        <v>131</v>
      </c>
      <c r="H243" t="s">
        <v>133</v>
      </c>
      <c r="I243" t="s">
        <v>129</v>
      </c>
      <c r="J243">
        <v>65.989999999999995</v>
      </c>
      <c r="K243">
        <v>3</v>
      </c>
      <c r="L243">
        <v>541497.4425</v>
      </c>
      <c r="M243">
        <v>35872.094490134899</v>
      </c>
      <c r="N243">
        <v>76926.982690384597</v>
      </c>
      <c r="O243">
        <v>24869.069780988899</v>
      </c>
      <c r="P243">
        <v>158530.080700455</v>
      </c>
      <c r="Q243">
        <v>15829.263661094299</v>
      </c>
      <c r="R243">
        <v>52520.109310058499</v>
      </c>
      <c r="S243">
        <v>68349.372971152901</v>
      </c>
      <c r="T243">
        <v>60741.164271123896</v>
      </c>
      <c r="U243">
        <v>303806.43636199197</v>
      </c>
      <c r="V243">
        <v>364547.60063311597</v>
      </c>
      <c r="W243">
        <v>176949.84186688301</v>
      </c>
      <c r="X243">
        <v>0</v>
      </c>
      <c r="Y243">
        <v>177652.277474954</v>
      </c>
      <c r="Z243">
        <v>380971.72379999998</v>
      </c>
      <c r="AA243">
        <v>136462.91077365101</v>
      </c>
      <c r="AB243">
        <v>48050.45</v>
      </c>
      <c r="AC243">
        <v>869894.87134349998</v>
      </c>
      <c r="AD243">
        <v>2894009.9927369999</v>
      </c>
      <c r="AE243">
        <v>811612.8</v>
      </c>
    </row>
    <row r="244" spans="1:31" x14ac:dyDescent="0.45">
      <c r="A244" t="s">
        <v>119</v>
      </c>
      <c r="B244" t="s">
        <v>162</v>
      </c>
      <c r="C244" t="s">
        <v>121</v>
      </c>
      <c r="D244" t="s">
        <v>161</v>
      </c>
      <c r="E244" t="s">
        <v>135</v>
      </c>
      <c r="F244" t="s">
        <v>124</v>
      </c>
      <c r="G244" t="s">
        <v>125</v>
      </c>
      <c r="H244" t="s">
        <v>126</v>
      </c>
      <c r="I244" t="s">
        <v>127</v>
      </c>
      <c r="J244">
        <v>74.073998433883702</v>
      </c>
      <c r="K244">
        <v>2</v>
      </c>
      <c r="L244">
        <v>585554.95761985006</v>
      </c>
      <c r="M244">
        <v>34890.772467780298</v>
      </c>
      <c r="N244">
        <v>66805.865744680807</v>
      </c>
      <c r="O244">
        <v>45510.218456771101</v>
      </c>
      <c r="P244">
        <v>159508.23173149201</v>
      </c>
      <c r="Q244">
        <v>16928.315116027301</v>
      </c>
      <c r="R244">
        <v>56166.665699938399</v>
      </c>
      <c r="S244">
        <v>73094.980815965799</v>
      </c>
      <c r="T244">
        <v>80400.990924551399</v>
      </c>
      <c r="U244">
        <v>299409.078292138</v>
      </c>
      <c r="V244">
        <v>379810.06921669003</v>
      </c>
      <c r="W244">
        <v>205744.88840316</v>
      </c>
      <c r="X244">
        <v>74.073998433883702</v>
      </c>
      <c r="Y244">
        <v>163986.63059856699</v>
      </c>
      <c r="Z244">
        <v>313987.56900000002</v>
      </c>
      <c r="AA244">
        <v>123827.309342266</v>
      </c>
      <c r="AB244">
        <v>36262.949999999997</v>
      </c>
      <c r="AC244">
        <v>708489.49928549898</v>
      </c>
      <c r="AD244">
        <v>2894009.9927369999</v>
      </c>
      <c r="AE244">
        <v>811612.8</v>
      </c>
    </row>
    <row r="245" spans="1:31" x14ac:dyDescent="0.45">
      <c r="A245" t="s">
        <v>119</v>
      </c>
      <c r="B245" t="s">
        <v>162</v>
      </c>
      <c r="C245" t="s">
        <v>121</v>
      </c>
      <c r="D245" t="s">
        <v>161</v>
      </c>
      <c r="E245" t="s">
        <v>135</v>
      </c>
      <c r="F245" t="s">
        <v>124</v>
      </c>
      <c r="G245" t="s">
        <v>125</v>
      </c>
      <c r="H245" t="s">
        <v>128</v>
      </c>
      <c r="I245" t="s">
        <v>129</v>
      </c>
      <c r="J245">
        <v>58.9</v>
      </c>
      <c r="K245">
        <v>2</v>
      </c>
      <c r="L245">
        <v>429616.6</v>
      </c>
      <c r="M245">
        <v>27912.617974224198</v>
      </c>
      <c r="N245">
        <v>53444.6925957446</v>
      </c>
      <c r="O245">
        <v>22167.444290144202</v>
      </c>
      <c r="P245">
        <v>126833.099975973</v>
      </c>
      <c r="Q245">
        <v>13460.5635096635</v>
      </c>
      <c r="R245">
        <v>44660.969836523502</v>
      </c>
      <c r="S245">
        <v>58121.533346187098</v>
      </c>
      <c r="T245">
        <v>50080.062264368498</v>
      </c>
      <c r="U245">
        <v>238399.32591790499</v>
      </c>
      <c r="V245">
        <v>288479.38818227401</v>
      </c>
      <c r="W245">
        <v>141137.21181772501</v>
      </c>
      <c r="X245">
        <v>0</v>
      </c>
      <c r="Y245">
        <v>163986.63059856699</v>
      </c>
      <c r="Z245">
        <v>313987.56900000002</v>
      </c>
      <c r="AA245">
        <v>123827.309342266</v>
      </c>
      <c r="AB245">
        <v>36262.949999999997</v>
      </c>
      <c r="AC245">
        <v>708489.49928549898</v>
      </c>
      <c r="AD245">
        <v>2894009.9927369999</v>
      </c>
      <c r="AE245">
        <v>811612.8</v>
      </c>
    </row>
    <row r="246" spans="1:31" x14ac:dyDescent="0.45">
      <c r="A246" t="s">
        <v>119</v>
      </c>
      <c r="B246" t="s">
        <v>162</v>
      </c>
      <c r="C246" t="s">
        <v>121</v>
      </c>
      <c r="D246" t="s">
        <v>161</v>
      </c>
      <c r="E246" t="s">
        <v>135</v>
      </c>
      <c r="F246" t="s">
        <v>124</v>
      </c>
      <c r="G246" t="s">
        <v>125</v>
      </c>
      <c r="H246" t="s">
        <v>130</v>
      </c>
      <c r="I246" t="s">
        <v>129</v>
      </c>
      <c r="J246">
        <v>57.87</v>
      </c>
      <c r="K246">
        <v>2</v>
      </c>
      <c r="L246">
        <v>422103.77999999898</v>
      </c>
      <c r="M246">
        <v>27912.617974224198</v>
      </c>
      <c r="N246">
        <v>53444.6925957446</v>
      </c>
      <c r="O246">
        <v>21779.796283033</v>
      </c>
      <c r="P246">
        <v>124615.13574888901</v>
      </c>
      <c r="Q246">
        <v>13225.175047610001</v>
      </c>
      <c r="R246">
        <v>43879.971552455303</v>
      </c>
      <c r="S246">
        <v>57105.146600065302</v>
      </c>
      <c r="T246">
        <v>49692.414257257296</v>
      </c>
      <c r="U246">
        <v>235164.974944699</v>
      </c>
      <c r="V246">
        <v>284857.38920195599</v>
      </c>
      <c r="W246">
        <v>137246.39079804299</v>
      </c>
      <c r="X246">
        <v>0</v>
      </c>
      <c r="Y246">
        <v>163986.63059856699</v>
      </c>
      <c r="Z246">
        <v>313987.56900000002</v>
      </c>
      <c r="AA246">
        <v>123827.309342266</v>
      </c>
      <c r="AB246">
        <v>36262.949999999997</v>
      </c>
      <c r="AC246">
        <v>708489.49928549898</v>
      </c>
      <c r="AD246">
        <v>2894009.9927369999</v>
      </c>
      <c r="AE246">
        <v>811612.8</v>
      </c>
    </row>
    <row r="247" spans="1:31" x14ac:dyDescent="0.45">
      <c r="A247" t="s">
        <v>119</v>
      </c>
      <c r="B247" t="s">
        <v>162</v>
      </c>
      <c r="C247" t="s">
        <v>121</v>
      </c>
      <c r="D247" t="s">
        <v>161</v>
      </c>
      <c r="E247" t="s">
        <v>135</v>
      </c>
      <c r="F247" t="s">
        <v>124</v>
      </c>
      <c r="G247" t="s">
        <v>131</v>
      </c>
      <c r="H247" t="s">
        <v>132</v>
      </c>
      <c r="I247" t="s">
        <v>129</v>
      </c>
      <c r="J247">
        <v>78.271309997598095</v>
      </c>
      <c r="K247">
        <v>3</v>
      </c>
      <c r="L247">
        <v>618734.70553101297</v>
      </c>
      <c r="M247">
        <v>36635.3110911693</v>
      </c>
      <c r="N247">
        <v>70146.159031914896</v>
      </c>
      <c r="O247">
        <v>48088.998733716398</v>
      </c>
      <c r="P247">
        <v>168546.568525904</v>
      </c>
      <c r="Q247">
        <v>17887.537168204301</v>
      </c>
      <c r="R247">
        <v>59349.280388249797</v>
      </c>
      <c r="S247">
        <v>77236.817556454102</v>
      </c>
      <c r="T247">
        <v>84724.309824885699</v>
      </c>
      <c r="U247">
        <v>315929.54511427297</v>
      </c>
      <c r="V247">
        <v>400653.85493915901</v>
      </c>
      <c r="W247">
        <v>218080.850591853</v>
      </c>
      <c r="X247">
        <v>78.271309997598095</v>
      </c>
      <c r="Y247">
        <v>163986.63059856699</v>
      </c>
      <c r="Z247">
        <v>313987.56900000002</v>
      </c>
      <c r="AA247">
        <v>123827.309342266</v>
      </c>
      <c r="AB247">
        <v>36262.949999999997</v>
      </c>
      <c r="AC247">
        <v>708489.49928549898</v>
      </c>
      <c r="AD247">
        <v>2894009.9927369999</v>
      </c>
      <c r="AE247">
        <v>811612.8</v>
      </c>
    </row>
    <row r="248" spans="1:31" x14ac:dyDescent="0.45">
      <c r="A248" t="s">
        <v>119</v>
      </c>
      <c r="B248" t="s">
        <v>162</v>
      </c>
      <c r="C248" t="s">
        <v>121</v>
      </c>
      <c r="D248" t="s">
        <v>161</v>
      </c>
      <c r="E248" t="s">
        <v>135</v>
      </c>
      <c r="F248" t="s">
        <v>124</v>
      </c>
      <c r="G248" t="s">
        <v>131</v>
      </c>
      <c r="H248" t="s">
        <v>133</v>
      </c>
      <c r="I248" t="s">
        <v>129</v>
      </c>
      <c r="J248">
        <v>59.9</v>
      </c>
      <c r="K248">
        <v>3</v>
      </c>
      <c r="L248">
        <v>468118.5</v>
      </c>
      <c r="M248">
        <v>36635.3110911693</v>
      </c>
      <c r="N248">
        <v>70146.159031914896</v>
      </c>
      <c r="O248">
        <v>22543.801578601699</v>
      </c>
      <c r="P248">
        <v>128986.463303239</v>
      </c>
      <c r="Q248">
        <v>13689.0959970941</v>
      </c>
      <c r="R248">
        <v>45419.220597754902</v>
      </c>
      <c r="S248">
        <v>59108.316594848999</v>
      </c>
      <c r="T248">
        <v>59179.112669770999</v>
      </c>
      <c r="U248">
        <v>258240.938930003</v>
      </c>
      <c r="V248">
        <v>317420.05159977399</v>
      </c>
      <c r="W248">
        <v>150698.448400225</v>
      </c>
      <c r="X248">
        <v>0</v>
      </c>
      <c r="Y248">
        <v>163986.63059856699</v>
      </c>
      <c r="Z248">
        <v>313987.56900000002</v>
      </c>
      <c r="AA248">
        <v>123827.309342266</v>
      </c>
      <c r="AB248">
        <v>36262.949999999997</v>
      </c>
      <c r="AC248">
        <v>708489.49928549898</v>
      </c>
      <c r="AD248">
        <v>2894009.9927369999</v>
      </c>
      <c r="AE248">
        <v>811612.8</v>
      </c>
    </row>
    <row r="249" spans="1:31" x14ac:dyDescent="0.45">
      <c r="A249" t="s">
        <v>119</v>
      </c>
      <c r="B249" t="s">
        <v>162</v>
      </c>
      <c r="C249" t="s">
        <v>121</v>
      </c>
      <c r="D249" t="s">
        <v>161</v>
      </c>
      <c r="E249" t="s">
        <v>136</v>
      </c>
      <c r="F249" t="s">
        <v>124</v>
      </c>
      <c r="G249" t="s">
        <v>125</v>
      </c>
      <c r="H249" t="s">
        <v>126</v>
      </c>
      <c r="I249" t="s">
        <v>127</v>
      </c>
      <c r="J249">
        <v>63.044608108545098</v>
      </c>
      <c r="K249">
        <v>2</v>
      </c>
      <c r="L249">
        <v>483586.81872700102</v>
      </c>
      <c r="M249">
        <v>34163.834211448499</v>
      </c>
      <c r="N249">
        <v>68684.813550000006</v>
      </c>
      <c r="O249">
        <v>37643.306985750802</v>
      </c>
      <c r="P249">
        <v>141709.33395533499</v>
      </c>
      <c r="Q249">
        <v>13979.8188331406</v>
      </c>
      <c r="R249">
        <v>46383.813484385399</v>
      </c>
      <c r="S249">
        <v>60363.632317526099</v>
      </c>
      <c r="T249">
        <v>71807.141197199293</v>
      </c>
      <c r="U249">
        <v>270757.77982286102</v>
      </c>
      <c r="V249">
        <v>342564.92102006002</v>
      </c>
      <c r="W249">
        <v>141021.89770694001</v>
      </c>
      <c r="X249">
        <v>63.044608108545098</v>
      </c>
      <c r="Y249">
        <v>136655.33684579399</v>
      </c>
      <c r="Z249">
        <v>274739.25420000002</v>
      </c>
      <c r="AA249">
        <v>104874.47315422499</v>
      </c>
      <c r="AB249">
        <v>28661.45</v>
      </c>
      <c r="AC249">
        <v>626924.91342300002</v>
      </c>
      <c r="AD249">
        <v>2894009.9927369999</v>
      </c>
      <c r="AE249">
        <v>811612.8</v>
      </c>
    </row>
    <row r="250" spans="1:31" x14ac:dyDescent="0.45">
      <c r="A250" t="s">
        <v>119</v>
      </c>
      <c r="B250" t="s">
        <v>162</v>
      </c>
      <c r="C250" t="s">
        <v>121</v>
      </c>
      <c r="D250" t="s">
        <v>161</v>
      </c>
      <c r="E250" t="s">
        <v>136</v>
      </c>
      <c r="F250" t="s">
        <v>124</v>
      </c>
      <c r="G250" t="s">
        <v>125</v>
      </c>
      <c r="H250" t="s">
        <v>128</v>
      </c>
      <c r="I250" t="s">
        <v>129</v>
      </c>
      <c r="J250">
        <v>49.765000000000001</v>
      </c>
      <c r="K250">
        <v>2</v>
      </c>
      <c r="L250">
        <v>352096.33270000003</v>
      </c>
      <c r="M250">
        <v>27331.067369158802</v>
      </c>
      <c r="N250">
        <v>54947.850839999999</v>
      </c>
      <c r="O250">
        <v>18712.369270016901</v>
      </c>
      <c r="P250">
        <v>111859.922931797</v>
      </c>
      <c r="Q250">
        <v>11035.1337743813</v>
      </c>
      <c r="R250">
        <v>36613.606576413498</v>
      </c>
      <c r="S250">
        <v>47648.740350794898</v>
      </c>
      <c r="T250">
        <v>46043.436639175801</v>
      </c>
      <c r="U250">
        <v>214456.51412259199</v>
      </c>
      <c r="V250">
        <v>260499.95076176801</v>
      </c>
      <c r="W250">
        <v>91596.381938231396</v>
      </c>
      <c r="X250">
        <v>0</v>
      </c>
      <c r="Y250">
        <v>136655.33684579399</v>
      </c>
      <c r="Z250">
        <v>274739.25420000002</v>
      </c>
      <c r="AA250">
        <v>104874.47315422499</v>
      </c>
      <c r="AB250">
        <v>28661.45</v>
      </c>
      <c r="AC250">
        <v>626924.91342300002</v>
      </c>
      <c r="AD250">
        <v>2894009.9927369999</v>
      </c>
      <c r="AE250">
        <v>811612.8</v>
      </c>
    </row>
    <row r="251" spans="1:31" x14ac:dyDescent="0.45">
      <c r="A251" t="s">
        <v>119</v>
      </c>
      <c r="B251" t="s">
        <v>162</v>
      </c>
      <c r="C251" t="s">
        <v>121</v>
      </c>
      <c r="D251" t="s">
        <v>161</v>
      </c>
      <c r="E251" t="s">
        <v>136</v>
      </c>
      <c r="F251" t="s">
        <v>124</v>
      </c>
      <c r="G251" t="s">
        <v>125</v>
      </c>
      <c r="H251" t="s">
        <v>130</v>
      </c>
      <c r="I251" t="s">
        <v>129</v>
      </c>
      <c r="J251">
        <v>48.734999999999999</v>
      </c>
      <c r="K251">
        <v>2</v>
      </c>
      <c r="L251">
        <v>344808.89730000001</v>
      </c>
      <c r="M251">
        <v>27331.067369158802</v>
      </c>
      <c r="N251">
        <v>54947.850839999999</v>
      </c>
      <c r="O251">
        <v>18325.074176113201</v>
      </c>
      <c r="P251">
        <v>109544.72709898801</v>
      </c>
      <c r="Q251">
        <v>10806.736551682399</v>
      </c>
      <c r="R251">
        <v>35855.8046117052</v>
      </c>
      <c r="S251">
        <v>46662.541163387701</v>
      </c>
      <c r="T251">
        <v>45656.141545272098</v>
      </c>
      <c r="U251">
        <v>211155.11910237599</v>
      </c>
      <c r="V251">
        <v>256811.26064764801</v>
      </c>
      <c r="W251">
        <v>87997.636652351503</v>
      </c>
      <c r="X251">
        <v>0</v>
      </c>
      <c r="Y251">
        <v>136655.33684579399</v>
      </c>
      <c r="Z251">
        <v>274739.25420000002</v>
      </c>
      <c r="AA251">
        <v>104874.47315422499</v>
      </c>
      <c r="AB251">
        <v>28661.45</v>
      </c>
      <c r="AC251">
        <v>626924.91342300002</v>
      </c>
      <c r="AD251">
        <v>2894009.9927369999</v>
      </c>
      <c r="AE251">
        <v>811612.8</v>
      </c>
    </row>
    <row r="252" spans="1:31" x14ac:dyDescent="0.45">
      <c r="A252" t="s">
        <v>119</v>
      </c>
      <c r="B252" t="s">
        <v>162</v>
      </c>
      <c r="C252" t="s">
        <v>121</v>
      </c>
      <c r="D252" t="s">
        <v>161</v>
      </c>
      <c r="E252" t="s">
        <v>136</v>
      </c>
      <c r="F252" t="s">
        <v>124</v>
      </c>
      <c r="G252" t="s">
        <v>131</v>
      </c>
      <c r="H252" t="s">
        <v>132</v>
      </c>
      <c r="I252" t="s">
        <v>129</v>
      </c>
      <c r="J252">
        <v>66.600992746399896</v>
      </c>
      <c r="K252">
        <v>2</v>
      </c>
      <c r="L252">
        <v>510866.24491089798</v>
      </c>
      <c r="M252">
        <v>23914.683948014001</v>
      </c>
      <c r="N252">
        <v>48079.369485000003</v>
      </c>
      <c r="O252">
        <v>39766.788798052301</v>
      </c>
      <c r="P252">
        <v>149703.24356060501</v>
      </c>
      <c r="Q252">
        <v>14768.4289051165</v>
      </c>
      <c r="R252">
        <v>49000.352577418998</v>
      </c>
      <c r="S252">
        <v>63768.781482535604</v>
      </c>
      <c r="T252">
        <v>63681.472746066298</v>
      </c>
      <c r="U252">
        <v>261551.39452814101</v>
      </c>
      <c r="V252">
        <v>325232.867274207</v>
      </c>
      <c r="W252">
        <v>185633.37763669001</v>
      </c>
      <c r="X252">
        <v>66.600992746399896</v>
      </c>
      <c r="Y252">
        <v>136655.33684579399</v>
      </c>
      <c r="Z252">
        <v>274739.25420000002</v>
      </c>
      <c r="AA252">
        <v>104874.47315422499</v>
      </c>
      <c r="AB252">
        <v>28661.45</v>
      </c>
      <c r="AC252">
        <v>626924.91342300002</v>
      </c>
      <c r="AD252">
        <v>2894009.9927369999</v>
      </c>
      <c r="AE252">
        <v>811612.8</v>
      </c>
    </row>
    <row r="253" spans="1:31" x14ac:dyDescent="0.45">
      <c r="A253" t="s">
        <v>119</v>
      </c>
      <c r="B253" t="s">
        <v>162</v>
      </c>
      <c r="C253" t="s">
        <v>121</v>
      </c>
      <c r="D253" t="s">
        <v>161</v>
      </c>
      <c r="E253" t="s">
        <v>136</v>
      </c>
      <c r="F253" t="s">
        <v>124</v>
      </c>
      <c r="G253" t="s">
        <v>131</v>
      </c>
      <c r="H253" t="s">
        <v>133</v>
      </c>
      <c r="I253" t="s">
        <v>129</v>
      </c>
      <c r="J253">
        <v>50.765000000000001</v>
      </c>
      <c r="K253">
        <v>2</v>
      </c>
      <c r="L253">
        <v>384826.62075</v>
      </c>
      <c r="M253">
        <v>23914.683948014001</v>
      </c>
      <c r="N253">
        <v>48079.369485000003</v>
      </c>
      <c r="O253">
        <v>19088.3839242924</v>
      </c>
      <c r="P253">
        <v>114107.68587627199</v>
      </c>
      <c r="Q253">
        <v>11256.8786507881</v>
      </c>
      <c r="R253">
        <v>37349.336639237001</v>
      </c>
      <c r="S253">
        <v>48606.215290025102</v>
      </c>
      <c r="T253">
        <v>43003.067872306397</v>
      </c>
      <c r="U253">
        <v>210793.27065129799</v>
      </c>
      <c r="V253">
        <v>253796.338523604</v>
      </c>
      <c r="W253">
        <v>131030.28222639499</v>
      </c>
      <c r="X253">
        <v>0</v>
      </c>
      <c r="Y253">
        <v>136655.33684579399</v>
      </c>
      <c r="Z253">
        <v>274739.25420000002</v>
      </c>
      <c r="AA253">
        <v>104874.47315422499</v>
      </c>
      <c r="AB253">
        <v>28661.45</v>
      </c>
      <c r="AC253">
        <v>626924.91342300002</v>
      </c>
      <c r="AD253">
        <v>2894009.9927369999</v>
      </c>
      <c r="AE253">
        <v>811612.8</v>
      </c>
    </row>
    <row r="254" spans="1:31" x14ac:dyDescent="0.45">
      <c r="A254" t="s">
        <v>119</v>
      </c>
      <c r="B254" t="s">
        <v>162</v>
      </c>
      <c r="C254" t="s">
        <v>121</v>
      </c>
      <c r="D254" t="s">
        <v>161</v>
      </c>
      <c r="E254" t="s">
        <v>137</v>
      </c>
      <c r="F254" t="s">
        <v>1</v>
      </c>
      <c r="G254" t="s">
        <v>138</v>
      </c>
      <c r="H254" t="s">
        <v>126</v>
      </c>
      <c r="I254" t="s">
        <v>127</v>
      </c>
      <c r="J254">
        <v>88.189420488374196</v>
      </c>
      <c r="K254">
        <v>3</v>
      </c>
      <c r="L254">
        <v>778545.02301341598</v>
      </c>
      <c r="M254">
        <v>51245.892806931799</v>
      </c>
      <c r="N254">
        <v>158956.30530000001</v>
      </c>
      <c r="O254">
        <v>67325.454127746299</v>
      </c>
      <c r="P254">
        <v>312525.44379557</v>
      </c>
      <c r="Q254">
        <v>22762.871866667501</v>
      </c>
      <c r="R254">
        <v>79700.103774035801</v>
      </c>
      <c r="S254">
        <v>102462.97564070301</v>
      </c>
      <c r="T254">
        <v>118571.346934678</v>
      </c>
      <c r="U254">
        <v>573944.72473627306</v>
      </c>
      <c r="V254">
        <v>692516.07167095097</v>
      </c>
      <c r="W254">
        <v>86028.951342465196</v>
      </c>
      <c r="X254">
        <v>88.189420488374196</v>
      </c>
      <c r="Y254">
        <v>204983.57122772699</v>
      </c>
      <c r="Z254">
        <v>635825.22120000003</v>
      </c>
      <c r="AA254">
        <v>149098.51220503499</v>
      </c>
      <c r="AB254">
        <v>69920</v>
      </c>
      <c r="AC254">
        <v>1398263.2554305</v>
      </c>
      <c r="AD254">
        <v>2894009.9927369999</v>
      </c>
      <c r="AE254">
        <v>811612.8</v>
      </c>
    </row>
    <row r="255" spans="1:31" x14ac:dyDescent="0.45">
      <c r="A255" t="s">
        <v>119</v>
      </c>
      <c r="B255" t="s">
        <v>162</v>
      </c>
      <c r="C255" t="s">
        <v>121</v>
      </c>
      <c r="D255" t="s">
        <v>161</v>
      </c>
      <c r="E255" t="s">
        <v>137</v>
      </c>
      <c r="F255" t="s">
        <v>1</v>
      </c>
      <c r="G255" t="s">
        <v>138</v>
      </c>
      <c r="H255" t="s">
        <v>128</v>
      </c>
      <c r="I255" t="s">
        <v>129</v>
      </c>
      <c r="J255">
        <v>71.08</v>
      </c>
      <c r="K255">
        <v>3</v>
      </c>
      <c r="L255">
        <v>579697.20479999995</v>
      </c>
      <c r="M255">
        <v>40996.714245545401</v>
      </c>
      <c r="N255">
        <v>127165.04424</v>
      </c>
      <c r="O255">
        <v>26859.670189097102</v>
      </c>
      <c r="P255">
        <v>251893.123029621</v>
      </c>
      <c r="Q255">
        <v>18346.7010365038</v>
      </c>
      <c r="R255">
        <v>64237.675504458901</v>
      </c>
      <c r="S255">
        <v>82584.376540962694</v>
      </c>
      <c r="T255">
        <v>67856.384434642605</v>
      </c>
      <c r="U255">
        <v>461642.543810584</v>
      </c>
      <c r="V255">
        <v>529498.92824522697</v>
      </c>
      <c r="W255">
        <v>50198.276554772703</v>
      </c>
      <c r="X255">
        <v>0</v>
      </c>
      <c r="Y255">
        <v>204983.57122772699</v>
      </c>
      <c r="Z255">
        <v>635825.22120000003</v>
      </c>
      <c r="AA255">
        <v>149098.51220503499</v>
      </c>
      <c r="AB255">
        <v>69920</v>
      </c>
      <c r="AC255">
        <v>1398263.2554305</v>
      </c>
      <c r="AD255">
        <v>2894009.9927369999</v>
      </c>
      <c r="AE255">
        <v>811612.8</v>
      </c>
    </row>
    <row r="256" spans="1:31" x14ac:dyDescent="0.45">
      <c r="A256" t="s">
        <v>119</v>
      </c>
      <c r="B256" t="s">
        <v>162</v>
      </c>
      <c r="C256" t="s">
        <v>121</v>
      </c>
      <c r="D256" t="s">
        <v>161</v>
      </c>
      <c r="E256" t="s">
        <v>137</v>
      </c>
      <c r="F256" t="s">
        <v>1</v>
      </c>
      <c r="G256" t="s">
        <v>138</v>
      </c>
      <c r="H256" t="s">
        <v>130</v>
      </c>
      <c r="I256" t="s">
        <v>129</v>
      </c>
      <c r="J256">
        <v>70.05</v>
      </c>
      <c r="K256">
        <v>3</v>
      </c>
      <c r="L256">
        <v>571296.978</v>
      </c>
      <c r="M256">
        <v>40996.714245545401</v>
      </c>
      <c r="N256">
        <v>127165.04424</v>
      </c>
      <c r="O256">
        <v>26470.454371781801</v>
      </c>
      <c r="P256">
        <v>248243.01165201201</v>
      </c>
      <c r="Q256">
        <v>18080.844226323701</v>
      </c>
      <c r="R256">
        <v>63306.825676524299</v>
      </c>
      <c r="S256">
        <v>81387.669902848094</v>
      </c>
      <c r="T256">
        <v>67467.168617327305</v>
      </c>
      <c r="U256">
        <v>456795.72579485999</v>
      </c>
      <c r="V256">
        <v>524262.89441218699</v>
      </c>
      <c r="W256">
        <v>47034.083587812398</v>
      </c>
      <c r="X256">
        <v>0</v>
      </c>
      <c r="Y256">
        <v>204983.57122772699</v>
      </c>
      <c r="Z256">
        <v>635825.22120000003</v>
      </c>
      <c r="AA256">
        <v>149098.51220503499</v>
      </c>
      <c r="AB256">
        <v>69920</v>
      </c>
      <c r="AC256">
        <v>1398263.2554305</v>
      </c>
      <c r="AD256">
        <v>2894009.9927369999</v>
      </c>
      <c r="AE256">
        <v>811612.8</v>
      </c>
    </row>
    <row r="257" spans="1:31" x14ac:dyDescent="0.45">
      <c r="A257" t="s">
        <v>119</v>
      </c>
      <c r="B257" t="s">
        <v>162</v>
      </c>
      <c r="C257" t="s">
        <v>121</v>
      </c>
      <c r="D257" t="s">
        <v>161</v>
      </c>
      <c r="E257" t="s">
        <v>137</v>
      </c>
      <c r="F257" t="s">
        <v>1</v>
      </c>
      <c r="G257" t="s">
        <v>139</v>
      </c>
      <c r="H257" t="s">
        <v>132</v>
      </c>
      <c r="I257" t="s">
        <v>129</v>
      </c>
      <c r="J257">
        <v>93.166937658339094</v>
      </c>
      <c r="K257">
        <v>3</v>
      </c>
      <c r="L257">
        <v>822487.04234158399</v>
      </c>
      <c r="M257">
        <v>35872.124964852199</v>
      </c>
      <c r="N257">
        <v>111269.41370999999</v>
      </c>
      <c r="O257">
        <v>71125.383893026097</v>
      </c>
      <c r="P257">
        <v>330164.75646968401</v>
      </c>
      <c r="Q257">
        <v>24047.635786496001</v>
      </c>
      <c r="R257">
        <v>84198.473678116905</v>
      </c>
      <c r="S257">
        <v>108246.109464612</v>
      </c>
      <c r="T257">
        <v>106997.508857878</v>
      </c>
      <c r="U257">
        <v>549680.27964429697</v>
      </c>
      <c r="V257">
        <v>656677.78850217501</v>
      </c>
      <c r="W257">
        <v>165809.25383940799</v>
      </c>
      <c r="X257">
        <v>93.166937658339094</v>
      </c>
      <c r="Y257">
        <v>204983.57122772699</v>
      </c>
      <c r="Z257">
        <v>635825.22120000003</v>
      </c>
      <c r="AA257">
        <v>149098.51220503499</v>
      </c>
      <c r="AB257">
        <v>69920</v>
      </c>
      <c r="AC257">
        <v>1398263.2554305</v>
      </c>
      <c r="AD257">
        <v>2894009.9927369999</v>
      </c>
      <c r="AE257">
        <v>811612.8</v>
      </c>
    </row>
    <row r="258" spans="1:31" x14ac:dyDescent="0.45">
      <c r="A258" t="s">
        <v>119</v>
      </c>
      <c r="B258" t="s">
        <v>162</v>
      </c>
      <c r="C258" t="s">
        <v>121</v>
      </c>
      <c r="D258" t="s">
        <v>161</v>
      </c>
      <c r="E258" t="s">
        <v>137</v>
      </c>
      <c r="F258" t="s">
        <v>1</v>
      </c>
      <c r="G258" t="s">
        <v>139</v>
      </c>
      <c r="H258" t="s">
        <v>133</v>
      </c>
      <c r="I258" t="s">
        <v>129</v>
      </c>
      <c r="J258">
        <v>72.08</v>
      </c>
      <c r="K258">
        <v>3</v>
      </c>
      <c r="L258">
        <v>629842.24800000002</v>
      </c>
      <c r="M258">
        <v>35872.124964852199</v>
      </c>
      <c r="N258">
        <v>111269.41370999999</v>
      </c>
      <c r="O258">
        <v>27237.549623383798</v>
      </c>
      <c r="P258">
        <v>255436.92048361199</v>
      </c>
      <c r="Q258">
        <v>18604.814444445601</v>
      </c>
      <c r="R258">
        <v>65141.413201482799</v>
      </c>
      <c r="S258">
        <v>83746.227645928404</v>
      </c>
      <c r="T258">
        <v>63109.674588236099</v>
      </c>
      <c r="U258">
        <v>450452.56183954002</v>
      </c>
      <c r="V258">
        <v>513562.23642777599</v>
      </c>
      <c r="W258">
        <v>116280.011572223</v>
      </c>
      <c r="X258">
        <v>0</v>
      </c>
      <c r="Y258">
        <v>204983.57122772699</v>
      </c>
      <c r="Z258">
        <v>635825.22120000003</v>
      </c>
      <c r="AA258">
        <v>149098.51220503499</v>
      </c>
      <c r="AB258">
        <v>69920</v>
      </c>
      <c r="AC258">
        <v>1398263.2554305</v>
      </c>
      <c r="AD258">
        <v>2894009.9927369999</v>
      </c>
      <c r="AE258">
        <v>811612.8</v>
      </c>
    </row>
    <row r="259" spans="1:31" x14ac:dyDescent="0.45">
      <c r="A259" t="s">
        <v>119</v>
      </c>
      <c r="B259" t="s">
        <v>162</v>
      </c>
      <c r="C259" t="s">
        <v>121</v>
      </c>
      <c r="D259" t="s">
        <v>161</v>
      </c>
      <c r="E259" t="s">
        <v>140</v>
      </c>
      <c r="F259" t="s">
        <v>1</v>
      </c>
      <c r="G259" t="s">
        <v>138</v>
      </c>
      <c r="H259" t="s">
        <v>126</v>
      </c>
      <c r="I259" t="s">
        <v>127</v>
      </c>
      <c r="J259">
        <v>61.704128778412503</v>
      </c>
      <c r="K259">
        <v>2</v>
      </c>
      <c r="L259">
        <v>477333.11330887303</v>
      </c>
      <c r="M259">
        <v>34163.834211448499</v>
      </c>
      <c r="N259">
        <v>60180.994500000001</v>
      </c>
      <c r="O259">
        <v>37320.122275487702</v>
      </c>
      <c r="P259">
        <v>122369.680245229</v>
      </c>
      <c r="Q259">
        <v>13950.507234259099</v>
      </c>
      <c r="R259">
        <v>48845.193206882599</v>
      </c>
      <c r="S259">
        <v>62795.7004411417</v>
      </c>
      <c r="T259">
        <v>71483.956486936295</v>
      </c>
      <c r="U259">
        <v>245346.37518637101</v>
      </c>
      <c r="V259">
        <v>316830.331673307</v>
      </c>
      <c r="W259">
        <v>160502.78163556501</v>
      </c>
      <c r="X259">
        <v>61.704128778412503</v>
      </c>
      <c r="Y259">
        <v>136655.33684579399</v>
      </c>
      <c r="Z259">
        <v>240723.978</v>
      </c>
      <c r="AA259">
        <v>102767.973623292</v>
      </c>
      <c r="AB259">
        <v>29003</v>
      </c>
      <c r="AC259">
        <v>541643.18805749901</v>
      </c>
      <c r="AD259">
        <v>2894009.9927369999</v>
      </c>
      <c r="AE259">
        <v>811612.8</v>
      </c>
    </row>
    <row r="260" spans="1:31" x14ac:dyDescent="0.45">
      <c r="A260" t="s">
        <v>119</v>
      </c>
      <c r="B260" t="s">
        <v>162</v>
      </c>
      <c r="C260" t="s">
        <v>121</v>
      </c>
      <c r="D260" t="s">
        <v>161</v>
      </c>
      <c r="E260" t="s">
        <v>140</v>
      </c>
      <c r="F260" t="s">
        <v>1</v>
      </c>
      <c r="G260" t="s">
        <v>138</v>
      </c>
      <c r="H260" t="s">
        <v>128</v>
      </c>
      <c r="I260" t="s">
        <v>129</v>
      </c>
      <c r="J260">
        <v>48.75</v>
      </c>
      <c r="K260">
        <v>2</v>
      </c>
      <c r="L260">
        <v>347885.60625000001</v>
      </c>
      <c r="M260">
        <v>27331.067369158802</v>
      </c>
      <c r="N260">
        <v>48144.795599999998</v>
      </c>
      <c r="O260">
        <v>18343.353184039101</v>
      </c>
      <c r="P260">
        <v>96679.461002972501</v>
      </c>
      <c r="Q260">
        <v>11021.745888551601</v>
      </c>
      <c r="R260">
        <v>38590.661856465602</v>
      </c>
      <c r="S260">
        <v>49612.407745017299</v>
      </c>
      <c r="T260">
        <v>45674.420553197997</v>
      </c>
      <c r="U260">
        <v>194436.66434798899</v>
      </c>
      <c r="V260">
        <v>240111.08490118699</v>
      </c>
      <c r="W260">
        <v>107774.52134881201</v>
      </c>
      <c r="X260">
        <v>0</v>
      </c>
      <c r="Y260">
        <v>136655.33684579399</v>
      </c>
      <c r="Z260">
        <v>240723.978</v>
      </c>
      <c r="AA260">
        <v>102767.973623292</v>
      </c>
      <c r="AB260">
        <v>29003</v>
      </c>
      <c r="AC260">
        <v>541643.18805749901</v>
      </c>
      <c r="AD260">
        <v>2894009.9927369999</v>
      </c>
      <c r="AE260">
        <v>811612.8</v>
      </c>
    </row>
    <row r="261" spans="1:31" x14ac:dyDescent="0.45">
      <c r="A261" t="s">
        <v>119</v>
      </c>
      <c r="B261" t="s">
        <v>162</v>
      </c>
      <c r="C261" t="s">
        <v>121</v>
      </c>
      <c r="D261" t="s">
        <v>161</v>
      </c>
      <c r="E261" t="s">
        <v>140</v>
      </c>
      <c r="F261" t="s">
        <v>1</v>
      </c>
      <c r="G261" t="s">
        <v>138</v>
      </c>
      <c r="H261" t="s">
        <v>130</v>
      </c>
      <c r="I261" t="s">
        <v>129</v>
      </c>
      <c r="J261">
        <v>47.72</v>
      </c>
      <c r="K261">
        <v>2</v>
      </c>
      <c r="L261">
        <v>340535.40779999999</v>
      </c>
      <c r="M261">
        <v>27331.067369158802</v>
      </c>
      <c r="N261">
        <v>48144.795599999998</v>
      </c>
      <c r="O261">
        <v>17955.791055227601</v>
      </c>
      <c r="P261">
        <v>94636.797519217405</v>
      </c>
      <c r="Q261">
        <v>10788.8761805473</v>
      </c>
      <c r="R261">
        <v>37775.310436729</v>
      </c>
      <c r="S261">
        <v>48564.186617276398</v>
      </c>
      <c r="T261">
        <v>45286.858424386497</v>
      </c>
      <c r="U261">
        <v>191345.77973649299</v>
      </c>
      <c r="V261">
        <v>236632.63816087999</v>
      </c>
      <c r="W261">
        <v>103902.769639119</v>
      </c>
      <c r="X261">
        <v>0</v>
      </c>
      <c r="Y261">
        <v>136655.33684579399</v>
      </c>
      <c r="Z261">
        <v>240723.978</v>
      </c>
      <c r="AA261">
        <v>102767.973623292</v>
      </c>
      <c r="AB261">
        <v>29003</v>
      </c>
      <c r="AC261">
        <v>541643.18805749901</v>
      </c>
      <c r="AD261">
        <v>2894009.9927369999</v>
      </c>
      <c r="AE261">
        <v>811612.8</v>
      </c>
    </row>
    <row r="262" spans="1:31" x14ac:dyDescent="0.45">
      <c r="A262" t="s">
        <v>119</v>
      </c>
      <c r="B262" t="s">
        <v>162</v>
      </c>
      <c r="C262" t="s">
        <v>121</v>
      </c>
      <c r="D262" t="s">
        <v>161</v>
      </c>
      <c r="E262" t="s">
        <v>140</v>
      </c>
      <c r="F262" t="s">
        <v>1</v>
      </c>
      <c r="G262" t="s">
        <v>139</v>
      </c>
      <c r="H262" t="s">
        <v>132</v>
      </c>
      <c r="I262" t="s">
        <v>129</v>
      </c>
      <c r="J262">
        <v>65.195985296191694</v>
      </c>
      <c r="K262">
        <v>2</v>
      </c>
      <c r="L262">
        <v>504345.54790372797</v>
      </c>
      <c r="M262">
        <v>23914.683948014001</v>
      </c>
      <c r="N262">
        <v>42126.696149999902</v>
      </c>
      <c r="O262">
        <v>39432.080013031598</v>
      </c>
      <c r="P262">
        <v>129294.619856277</v>
      </c>
      <c r="Q262">
        <v>14739.970931043599</v>
      </c>
      <c r="R262">
        <v>51609.358419783297</v>
      </c>
      <c r="S262">
        <v>66349.329350826898</v>
      </c>
      <c r="T262">
        <v>63346.763961045603</v>
      </c>
      <c r="U262">
        <v>237770.64535710399</v>
      </c>
      <c r="V262">
        <v>301117.40931815002</v>
      </c>
      <c r="W262">
        <v>203228.13858557699</v>
      </c>
      <c r="X262">
        <v>65.195985296191694</v>
      </c>
      <c r="Y262">
        <v>136655.33684579399</v>
      </c>
      <c r="Z262">
        <v>240723.978</v>
      </c>
      <c r="AA262">
        <v>102767.973623292</v>
      </c>
      <c r="AB262">
        <v>29003</v>
      </c>
      <c r="AC262">
        <v>541643.18805749901</v>
      </c>
      <c r="AD262">
        <v>2894009.9927369999</v>
      </c>
      <c r="AE262">
        <v>811612.8</v>
      </c>
    </row>
    <row r="263" spans="1:31" x14ac:dyDescent="0.45">
      <c r="A263" t="s">
        <v>119</v>
      </c>
      <c r="B263" t="s">
        <v>162</v>
      </c>
      <c r="C263" t="s">
        <v>121</v>
      </c>
      <c r="D263" t="s">
        <v>161</v>
      </c>
      <c r="E263" t="s">
        <v>140</v>
      </c>
      <c r="F263" t="s">
        <v>1</v>
      </c>
      <c r="G263" t="s">
        <v>139</v>
      </c>
      <c r="H263" t="s">
        <v>133</v>
      </c>
      <c r="I263" t="s">
        <v>129</v>
      </c>
      <c r="J263">
        <v>49.75</v>
      </c>
      <c r="K263">
        <v>2</v>
      </c>
      <c r="L263">
        <v>380380.41562499898</v>
      </c>
      <c r="M263">
        <v>23914.683948014001</v>
      </c>
      <c r="N263">
        <v>42126.696149999902</v>
      </c>
      <c r="O263">
        <v>18719.627095506501</v>
      </c>
      <c r="P263">
        <v>98662.629433802693</v>
      </c>
      <c r="Q263">
        <v>11247.832983701401</v>
      </c>
      <c r="R263">
        <v>39382.265176598201</v>
      </c>
      <c r="S263">
        <v>50630.098160299698</v>
      </c>
      <c r="T263">
        <v>42634.311043520604</v>
      </c>
      <c r="U263">
        <v>191419.42374410201</v>
      </c>
      <c r="V263">
        <v>234053.73478762299</v>
      </c>
      <c r="W263">
        <v>146326.68083737601</v>
      </c>
      <c r="X263">
        <v>0</v>
      </c>
      <c r="Y263">
        <v>136655.33684579399</v>
      </c>
      <c r="Z263">
        <v>240723.978</v>
      </c>
      <c r="AA263">
        <v>102767.973623292</v>
      </c>
      <c r="AB263">
        <v>29003</v>
      </c>
      <c r="AC263">
        <v>541643.18805749901</v>
      </c>
      <c r="AD263">
        <v>2894009.9927369999</v>
      </c>
      <c r="AE263">
        <v>811612.8</v>
      </c>
    </row>
    <row r="264" spans="1:31" x14ac:dyDescent="0.45">
      <c r="A264" t="s">
        <v>119</v>
      </c>
      <c r="B264" t="s">
        <v>162</v>
      </c>
      <c r="C264" t="s">
        <v>121</v>
      </c>
      <c r="D264" t="s">
        <v>161</v>
      </c>
      <c r="E264" t="s">
        <v>141</v>
      </c>
      <c r="F264" t="s">
        <v>1</v>
      </c>
      <c r="G264" t="s">
        <v>138</v>
      </c>
      <c r="H264" t="s">
        <v>126</v>
      </c>
      <c r="I264" t="s">
        <v>127</v>
      </c>
      <c r="J264">
        <v>58.060425333367299</v>
      </c>
      <c r="K264">
        <v>2</v>
      </c>
      <c r="L264">
        <v>440086.41194185702</v>
      </c>
      <c r="M264">
        <v>34163.834211448499</v>
      </c>
      <c r="N264">
        <v>58872.734850000001</v>
      </c>
      <c r="O264">
        <v>34199.380056844901</v>
      </c>
      <c r="P264">
        <v>114629.08553877</v>
      </c>
      <c r="Q264">
        <v>12856.221594619799</v>
      </c>
      <c r="R264">
        <v>45013.748758724003</v>
      </c>
      <c r="S264">
        <v>57869.970353343801</v>
      </c>
      <c r="T264">
        <v>68363.214268293494</v>
      </c>
      <c r="U264">
        <v>231371.79074211401</v>
      </c>
      <c r="V264">
        <v>299735.00501040701</v>
      </c>
      <c r="W264">
        <v>140351.40693145001</v>
      </c>
      <c r="X264">
        <v>58.060425333367299</v>
      </c>
      <c r="Y264">
        <v>136655.33684579399</v>
      </c>
      <c r="Z264">
        <v>235490.9394</v>
      </c>
      <c r="AA264">
        <v>97292.885911780904</v>
      </c>
      <c r="AB264">
        <v>25395.45</v>
      </c>
      <c r="AC264">
        <v>510380.34854149999</v>
      </c>
      <c r="AD264">
        <v>2894009.9927369999</v>
      </c>
      <c r="AE264">
        <v>811612.8</v>
      </c>
    </row>
    <row r="265" spans="1:31" x14ac:dyDescent="0.45">
      <c r="A265" t="s">
        <v>119</v>
      </c>
      <c r="B265" t="s">
        <v>162</v>
      </c>
      <c r="C265" t="s">
        <v>121</v>
      </c>
      <c r="D265" t="s">
        <v>161</v>
      </c>
      <c r="E265" t="s">
        <v>141</v>
      </c>
      <c r="F265" t="s">
        <v>1</v>
      </c>
      <c r="G265" t="s">
        <v>138</v>
      </c>
      <c r="H265" t="s">
        <v>128</v>
      </c>
      <c r="I265" t="s">
        <v>129</v>
      </c>
      <c r="J265">
        <v>46.704999999999998</v>
      </c>
      <c r="K265">
        <v>2</v>
      </c>
      <c r="L265">
        <v>326490.36839999998</v>
      </c>
      <c r="M265">
        <v>27331.067369158802</v>
      </c>
      <c r="N265">
        <v>47098.187879999998</v>
      </c>
      <c r="O265">
        <v>17577.824849555502</v>
      </c>
      <c r="P265">
        <v>92209.993456790398</v>
      </c>
      <c r="Q265">
        <v>10341.809005516099</v>
      </c>
      <c r="R265">
        <v>36209.985092340903</v>
      </c>
      <c r="S265">
        <v>46551.794097857099</v>
      </c>
      <c r="T265">
        <v>44908.892218714303</v>
      </c>
      <c r="U265">
        <v>185859.975434647</v>
      </c>
      <c r="V265">
        <v>230768.867653361</v>
      </c>
      <c r="W265">
        <v>95721.500746638005</v>
      </c>
      <c r="X265">
        <v>0</v>
      </c>
      <c r="Y265">
        <v>136655.33684579399</v>
      </c>
      <c r="Z265">
        <v>235490.9394</v>
      </c>
      <c r="AA265">
        <v>97292.885911780904</v>
      </c>
      <c r="AB265">
        <v>25395.45</v>
      </c>
      <c r="AC265">
        <v>510380.34854149999</v>
      </c>
      <c r="AD265">
        <v>2894009.9927369999</v>
      </c>
      <c r="AE265">
        <v>811612.8</v>
      </c>
    </row>
    <row r="266" spans="1:31" x14ac:dyDescent="0.45">
      <c r="A266" t="s">
        <v>119</v>
      </c>
      <c r="B266" t="s">
        <v>162</v>
      </c>
      <c r="C266" t="s">
        <v>121</v>
      </c>
      <c r="D266" t="s">
        <v>161</v>
      </c>
      <c r="E266" t="s">
        <v>141</v>
      </c>
      <c r="F266" t="s">
        <v>1</v>
      </c>
      <c r="G266" t="s">
        <v>138</v>
      </c>
      <c r="H266" t="s">
        <v>130</v>
      </c>
      <c r="I266" t="s">
        <v>129</v>
      </c>
      <c r="J266">
        <v>45.69</v>
      </c>
      <c r="K266">
        <v>2</v>
      </c>
      <c r="L266">
        <v>319395.03119999898</v>
      </c>
      <c r="M266">
        <v>27331.067369158802</v>
      </c>
      <c r="N266">
        <v>47098.187879999998</v>
      </c>
      <c r="O266">
        <v>17195.820947996799</v>
      </c>
      <c r="P266">
        <v>90206.072177299095</v>
      </c>
      <c r="Q266">
        <v>10117.0592754958</v>
      </c>
      <c r="R266">
        <v>35423.064315791802</v>
      </c>
      <c r="S266">
        <v>45540.123591287702</v>
      </c>
      <c r="T266">
        <v>44526.888317155601</v>
      </c>
      <c r="U266">
        <v>182844.38364858599</v>
      </c>
      <c r="V266">
        <v>227371.27196574199</v>
      </c>
      <c r="W266">
        <v>92023.759234257406</v>
      </c>
      <c r="X266">
        <v>0</v>
      </c>
      <c r="Y266">
        <v>136655.33684579399</v>
      </c>
      <c r="Z266">
        <v>235490.9394</v>
      </c>
      <c r="AA266">
        <v>97292.885911780904</v>
      </c>
      <c r="AB266">
        <v>25395.45</v>
      </c>
      <c r="AC266">
        <v>510380.34854149999</v>
      </c>
      <c r="AD266">
        <v>2894009.9927369999</v>
      </c>
      <c r="AE266">
        <v>811612.8</v>
      </c>
    </row>
    <row r="267" spans="1:31" x14ac:dyDescent="0.45">
      <c r="A267" t="s">
        <v>119</v>
      </c>
      <c r="B267" t="s">
        <v>162</v>
      </c>
      <c r="C267" t="s">
        <v>121</v>
      </c>
      <c r="D267" t="s">
        <v>161</v>
      </c>
      <c r="E267" t="s">
        <v>141</v>
      </c>
      <c r="F267" t="s">
        <v>1</v>
      </c>
      <c r="G267" t="s">
        <v>139</v>
      </c>
      <c r="H267" t="s">
        <v>132</v>
      </c>
      <c r="I267" t="s">
        <v>129</v>
      </c>
      <c r="J267">
        <v>61.350754258038997</v>
      </c>
      <c r="K267">
        <v>2</v>
      </c>
      <c r="L267">
        <v>465026.447125084</v>
      </c>
      <c r="M267">
        <v>23914.683948014001</v>
      </c>
      <c r="N267">
        <v>41210.914395</v>
      </c>
      <c r="O267">
        <v>36137.485207828198</v>
      </c>
      <c r="P267">
        <v>121125.20391184901</v>
      </c>
      <c r="Q267">
        <v>13584.793552745899</v>
      </c>
      <c r="R267">
        <v>47564.712495181797</v>
      </c>
      <c r="S267">
        <v>61149.506047927702</v>
      </c>
      <c r="T267">
        <v>60052.169155842203</v>
      </c>
      <c r="U267">
        <v>223485.62435477701</v>
      </c>
      <c r="V267">
        <v>283537.79351061903</v>
      </c>
      <c r="W267">
        <v>181488.65361446401</v>
      </c>
      <c r="X267">
        <v>61.350754258038997</v>
      </c>
      <c r="Y267">
        <v>136655.33684579399</v>
      </c>
      <c r="Z267">
        <v>235490.9394</v>
      </c>
      <c r="AA267">
        <v>97292.885911780904</v>
      </c>
      <c r="AB267">
        <v>25395.45</v>
      </c>
      <c r="AC267">
        <v>510380.34854149999</v>
      </c>
      <c r="AD267">
        <v>2894009.9927369999</v>
      </c>
      <c r="AE267">
        <v>811612.8</v>
      </c>
    </row>
    <row r="268" spans="1:31" x14ac:dyDescent="0.45">
      <c r="A268" t="s">
        <v>119</v>
      </c>
      <c r="B268" t="s">
        <v>162</v>
      </c>
      <c r="C268" t="s">
        <v>121</v>
      </c>
      <c r="D268" t="s">
        <v>161</v>
      </c>
      <c r="E268" t="s">
        <v>141</v>
      </c>
      <c r="F268" t="s">
        <v>1</v>
      </c>
      <c r="G268" t="s">
        <v>139</v>
      </c>
      <c r="H268" t="s">
        <v>133</v>
      </c>
      <c r="I268" t="s">
        <v>129</v>
      </c>
      <c r="J268">
        <v>46.704999999999998</v>
      </c>
      <c r="K268">
        <v>2</v>
      </c>
      <c r="L268">
        <v>349811.109</v>
      </c>
      <c r="M268">
        <v>23914.683948014001</v>
      </c>
      <c r="N268">
        <v>41210.914395</v>
      </c>
      <c r="O268">
        <v>17577.824849555502</v>
      </c>
      <c r="P268">
        <v>92209.993456790398</v>
      </c>
      <c r="Q268">
        <v>10341.809005516099</v>
      </c>
      <c r="R268">
        <v>36209.985092340903</v>
      </c>
      <c r="S268">
        <v>46551.794097857099</v>
      </c>
      <c r="T268">
        <v>41492.508797569499</v>
      </c>
      <c r="U268">
        <v>179972.70194964699</v>
      </c>
      <c r="V268">
        <v>221465.210747217</v>
      </c>
      <c r="W268">
        <v>128345.898252782</v>
      </c>
      <c r="X268">
        <v>0</v>
      </c>
      <c r="Y268">
        <v>136655.33684579399</v>
      </c>
      <c r="Z268">
        <v>235490.9394</v>
      </c>
      <c r="AA268">
        <v>97292.885911780904</v>
      </c>
      <c r="AB268">
        <v>25395.45</v>
      </c>
      <c r="AC268">
        <v>510380.34854149999</v>
      </c>
      <c r="AD268">
        <v>2894009.9927369999</v>
      </c>
      <c r="AE268">
        <v>811612.8</v>
      </c>
    </row>
    <row r="269" spans="1:31" x14ac:dyDescent="0.45">
      <c r="A269" t="s">
        <v>119</v>
      </c>
      <c r="B269" t="s">
        <v>162</v>
      </c>
      <c r="C269" t="s">
        <v>121</v>
      </c>
      <c r="D269" t="s">
        <v>161</v>
      </c>
      <c r="E269" t="s">
        <v>142</v>
      </c>
      <c r="F269" t="s">
        <v>143</v>
      </c>
      <c r="G269" t="s">
        <v>144</v>
      </c>
      <c r="H269" t="s">
        <v>126</v>
      </c>
      <c r="I269" t="s">
        <v>129</v>
      </c>
      <c r="J269">
        <v>65.343766973609405</v>
      </c>
      <c r="K269">
        <v>2</v>
      </c>
      <c r="L269">
        <v>478496.069605998</v>
      </c>
      <c r="M269">
        <v>27331.293752773101</v>
      </c>
      <c r="N269">
        <v>52331.436599999899</v>
      </c>
      <c r="O269">
        <v>49685.945875658697</v>
      </c>
      <c r="P269">
        <v>141706.10279030399</v>
      </c>
      <c r="Q269">
        <v>16074.0200907732</v>
      </c>
      <c r="R269">
        <v>63372.332044251903</v>
      </c>
      <c r="S269">
        <v>79446.352135025096</v>
      </c>
      <c r="T269">
        <v>77017.239628431897</v>
      </c>
      <c r="U269">
        <v>273483.89152532897</v>
      </c>
      <c r="V269">
        <v>350501.131153761</v>
      </c>
      <c r="W269">
        <v>127994.93845223699</v>
      </c>
      <c r="X269">
        <v>65.343766973609405</v>
      </c>
      <c r="Y269">
        <v>81993.881258319394</v>
      </c>
      <c r="Z269">
        <v>156994.30979999999</v>
      </c>
      <c r="AA269">
        <v>61071.507625988597</v>
      </c>
      <c r="AB269">
        <v>25024</v>
      </c>
      <c r="AC269">
        <v>350913.32131049898</v>
      </c>
      <c r="AD269">
        <v>2894009.9927369999</v>
      </c>
      <c r="AE269">
        <v>811612.8</v>
      </c>
    </row>
    <row r="270" spans="1:31" x14ac:dyDescent="0.45">
      <c r="A270" t="s">
        <v>119</v>
      </c>
      <c r="B270" t="s">
        <v>162</v>
      </c>
      <c r="C270" t="s">
        <v>121</v>
      </c>
      <c r="D270" t="s">
        <v>161</v>
      </c>
      <c r="E270" t="s">
        <v>142</v>
      </c>
      <c r="F270" t="s">
        <v>143</v>
      </c>
      <c r="G270" t="s">
        <v>144</v>
      </c>
      <c r="H270" t="s">
        <v>128</v>
      </c>
      <c r="I270" t="s">
        <v>129</v>
      </c>
      <c r="J270">
        <v>48.75</v>
      </c>
      <c r="K270">
        <v>2</v>
      </c>
      <c r="L270">
        <v>352596.5625</v>
      </c>
      <c r="M270">
        <v>27331.293752773101</v>
      </c>
      <c r="N270">
        <v>52331.436599999899</v>
      </c>
      <c r="O270">
        <v>18399.151397621801</v>
      </c>
      <c r="P270">
        <v>105720.45094702501</v>
      </c>
      <c r="Q270">
        <v>11992.0922180943</v>
      </c>
      <c r="R270">
        <v>47279.202443363902</v>
      </c>
      <c r="S270">
        <v>59271.294661458298</v>
      </c>
      <c r="T270">
        <v>45730.445150394997</v>
      </c>
      <c r="U270">
        <v>217323.18220848299</v>
      </c>
      <c r="V270">
        <v>263053.62735887797</v>
      </c>
      <c r="W270">
        <v>89542.935141121299</v>
      </c>
      <c r="X270">
        <v>0</v>
      </c>
      <c r="Y270">
        <v>81993.881258319394</v>
      </c>
      <c r="Z270">
        <v>156994.30979999999</v>
      </c>
      <c r="AA270">
        <v>61071.507625988597</v>
      </c>
      <c r="AB270">
        <v>25024</v>
      </c>
      <c r="AC270">
        <v>350913.32131049898</v>
      </c>
      <c r="AD270">
        <v>2894009.9927369999</v>
      </c>
      <c r="AE270">
        <v>811612.8</v>
      </c>
    </row>
    <row r="271" spans="1:31" x14ac:dyDescent="0.45">
      <c r="A271" t="s">
        <v>119</v>
      </c>
      <c r="B271" t="s">
        <v>162</v>
      </c>
      <c r="C271" t="s">
        <v>121</v>
      </c>
      <c r="D271" t="s">
        <v>161</v>
      </c>
      <c r="E271" t="s">
        <v>142</v>
      </c>
      <c r="F271" t="s">
        <v>143</v>
      </c>
      <c r="G271" t="s">
        <v>144</v>
      </c>
      <c r="H271" t="s">
        <v>130</v>
      </c>
      <c r="I271" t="s">
        <v>129</v>
      </c>
      <c r="J271">
        <v>47.72</v>
      </c>
      <c r="K271">
        <v>2</v>
      </c>
      <c r="L271">
        <v>345146.83</v>
      </c>
      <c r="M271">
        <v>27331.293752773101</v>
      </c>
      <c r="N271">
        <v>52331.436599999899</v>
      </c>
      <c r="O271">
        <v>18010.410352708001</v>
      </c>
      <c r="P271">
        <v>103486.76757317</v>
      </c>
      <c r="Q271">
        <v>11738.720833794099</v>
      </c>
      <c r="R271">
        <v>46280.277755842602</v>
      </c>
      <c r="S271">
        <v>58018.9985896367</v>
      </c>
      <c r="T271">
        <v>45341.704105481098</v>
      </c>
      <c r="U271">
        <v>213837.202762806</v>
      </c>
      <c r="V271">
        <v>259178.906868288</v>
      </c>
      <c r="W271">
        <v>85967.923131711897</v>
      </c>
      <c r="X271">
        <v>0</v>
      </c>
      <c r="Y271">
        <v>81993.881258319394</v>
      </c>
      <c r="Z271">
        <v>156994.30979999999</v>
      </c>
      <c r="AA271">
        <v>61071.507625988597</v>
      </c>
      <c r="AB271">
        <v>25024</v>
      </c>
      <c r="AC271">
        <v>350913.32131049898</v>
      </c>
      <c r="AD271">
        <v>2894009.9927369999</v>
      </c>
      <c r="AE271">
        <v>811612.8</v>
      </c>
    </row>
    <row r="272" spans="1:31" x14ac:dyDescent="0.45">
      <c r="A272" t="s">
        <v>119</v>
      </c>
      <c r="B272" t="s">
        <v>162</v>
      </c>
      <c r="C272" t="s">
        <v>121</v>
      </c>
      <c r="D272" t="s">
        <v>161</v>
      </c>
      <c r="E272" t="s">
        <v>145</v>
      </c>
      <c r="F272" t="s">
        <v>143</v>
      </c>
      <c r="G272" t="s">
        <v>144</v>
      </c>
      <c r="H272" t="s">
        <v>126</v>
      </c>
      <c r="I272" t="s">
        <v>129</v>
      </c>
      <c r="J272">
        <v>52.409222993793399</v>
      </c>
      <c r="K272">
        <v>2</v>
      </c>
      <c r="L272">
        <v>364826.49729738297</v>
      </c>
      <c r="M272">
        <v>27331.293752773101</v>
      </c>
      <c r="N272">
        <v>46051.650199999996</v>
      </c>
      <c r="O272">
        <v>36948.8973714604</v>
      </c>
      <c r="P272">
        <v>107456.22527289799</v>
      </c>
      <c r="Q272">
        <v>12250.4416366348</v>
      </c>
      <c r="R272">
        <v>48297.753188151299</v>
      </c>
      <c r="S272">
        <v>60548.194824786202</v>
      </c>
      <c r="T272">
        <v>64280.191124233599</v>
      </c>
      <c r="U272">
        <v>214056.070297684</v>
      </c>
      <c r="V272">
        <v>278336.261421918</v>
      </c>
      <c r="W272">
        <v>86490.235875464903</v>
      </c>
      <c r="X272">
        <v>52.409222993793399</v>
      </c>
      <c r="Y272">
        <v>81993.881258319394</v>
      </c>
      <c r="Z272">
        <v>138154.95060000001</v>
      </c>
      <c r="AA272">
        <v>49278.053239748901</v>
      </c>
      <c r="AB272">
        <v>17172.95</v>
      </c>
      <c r="AC272">
        <v>267761.310772</v>
      </c>
      <c r="AD272">
        <v>2894009.9927369999</v>
      </c>
      <c r="AE272">
        <v>811612.8</v>
      </c>
    </row>
    <row r="273" spans="1:31" x14ac:dyDescent="0.45">
      <c r="A273" t="s">
        <v>119</v>
      </c>
      <c r="B273" t="s">
        <v>162</v>
      </c>
      <c r="C273" t="s">
        <v>121</v>
      </c>
      <c r="D273" t="s">
        <v>161</v>
      </c>
      <c r="E273" t="s">
        <v>145</v>
      </c>
      <c r="F273" t="s">
        <v>143</v>
      </c>
      <c r="G273" t="s">
        <v>144</v>
      </c>
      <c r="H273" t="s">
        <v>128</v>
      </c>
      <c r="I273" t="s">
        <v>129</v>
      </c>
      <c r="J273">
        <v>39.6</v>
      </c>
      <c r="K273">
        <v>2</v>
      </c>
      <c r="L273">
        <v>272096.05499999999</v>
      </c>
      <c r="M273">
        <v>27331.293752773101</v>
      </c>
      <c r="N273">
        <v>46051.650199999996</v>
      </c>
      <c r="O273">
        <v>14942.551542933101</v>
      </c>
      <c r="P273">
        <v>81193.085448160506</v>
      </c>
      <c r="Q273">
        <v>9256.3381233144501</v>
      </c>
      <c r="R273">
        <v>36493.405492336497</v>
      </c>
      <c r="S273">
        <v>45749.743615651001</v>
      </c>
      <c r="T273">
        <v>42273.845295706204</v>
      </c>
      <c r="U273">
        <v>172994.47926381099</v>
      </c>
      <c r="V273">
        <v>215268.324559517</v>
      </c>
      <c r="W273">
        <v>56827.730440482097</v>
      </c>
      <c r="X273">
        <v>0</v>
      </c>
      <c r="Y273">
        <v>81993.881258319394</v>
      </c>
      <c r="Z273">
        <v>138154.95060000001</v>
      </c>
      <c r="AA273">
        <v>49278.053239748901</v>
      </c>
      <c r="AB273">
        <v>17172.95</v>
      </c>
      <c r="AC273">
        <v>267761.310772</v>
      </c>
      <c r="AD273">
        <v>2894009.9927369999</v>
      </c>
      <c r="AE273">
        <v>811612.8</v>
      </c>
    </row>
    <row r="274" spans="1:31" x14ac:dyDescent="0.45">
      <c r="A274" t="s">
        <v>119</v>
      </c>
      <c r="B274" t="s">
        <v>162</v>
      </c>
      <c r="C274" t="s">
        <v>121</v>
      </c>
      <c r="D274" t="s">
        <v>161</v>
      </c>
      <c r="E274" t="s">
        <v>145</v>
      </c>
      <c r="F274" t="s">
        <v>143</v>
      </c>
      <c r="G274" t="s">
        <v>144</v>
      </c>
      <c r="H274" t="s">
        <v>130</v>
      </c>
      <c r="I274" t="s">
        <v>129</v>
      </c>
      <c r="J274">
        <v>38.585000000000001</v>
      </c>
      <c r="K274">
        <v>2</v>
      </c>
      <c r="L274">
        <v>265121.87581250002</v>
      </c>
      <c r="M274">
        <v>27331.293752773101</v>
      </c>
      <c r="N274">
        <v>46051.650199999996</v>
      </c>
      <c r="O274">
        <v>14559.554325355401</v>
      </c>
      <c r="P274">
        <v>79112.000050941206</v>
      </c>
      <c r="Q274">
        <v>9019.0860224264707</v>
      </c>
      <c r="R274">
        <v>35558.0315889345</v>
      </c>
      <c r="S274">
        <v>44577.117611360998</v>
      </c>
      <c r="T274">
        <v>41890.848078128503</v>
      </c>
      <c r="U274">
        <v>169740.76786230199</v>
      </c>
      <c r="V274">
        <v>211631.61594043</v>
      </c>
      <c r="W274">
        <v>53490.259872069197</v>
      </c>
      <c r="X274">
        <v>0</v>
      </c>
      <c r="Y274">
        <v>81993.881258319394</v>
      </c>
      <c r="Z274">
        <v>138154.95060000001</v>
      </c>
      <c r="AA274">
        <v>49278.053239748901</v>
      </c>
      <c r="AB274">
        <v>17172.95</v>
      </c>
      <c r="AC274">
        <v>267761.310772</v>
      </c>
      <c r="AD274">
        <v>2894009.9927369999</v>
      </c>
      <c r="AE274">
        <v>811612.8</v>
      </c>
    </row>
    <row r="275" spans="1:31" x14ac:dyDescent="0.45">
      <c r="A275" t="s">
        <v>119</v>
      </c>
      <c r="B275" t="s">
        <v>162</v>
      </c>
      <c r="C275" t="s">
        <v>121</v>
      </c>
      <c r="D275" t="s">
        <v>161</v>
      </c>
      <c r="E275" t="s">
        <v>146</v>
      </c>
      <c r="F275" t="s">
        <v>143</v>
      </c>
      <c r="G275" t="s">
        <v>144</v>
      </c>
      <c r="H275" t="s">
        <v>126</v>
      </c>
      <c r="I275" t="s">
        <v>129</v>
      </c>
      <c r="J275">
        <v>52.430795488856702</v>
      </c>
      <c r="K275">
        <v>2</v>
      </c>
      <c r="L275">
        <v>364976.66586242401</v>
      </c>
      <c r="M275">
        <v>27331.293752773101</v>
      </c>
      <c r="N275">
        <v>46051.650199999996</v>
      </c>
      <c r="O275">
        <v>37235.519937070203</v>
      </c>
      <c r="P275">
        <v>107482.70124889001</v>
      </c>
      <c r="Q275">
        <v>12255.499908846199</v>
      </c>
      <c r="R275">
        <v>48317.695586153903</v>
      </c>
      <c r="S275">
        <v>60573.195495000102</v>
      </c>
      <c r="T275">
        <v>64566.813689843402</v>
      </c>
      <c r="U275">
        <v>214107.54694388999</v>
      </c>
      <c r="V275">
        <v>278674.36063373298</v>
      </c>
      <c r="W275">
        <v>86302.305228690297</v>
      </c>
      <c r="X275">
        <v>52.430795488856702</v>
      </c>
      <c r="Y275">
        <v>81993.881258319394</v>
      </c>
      <c r="Z275">
        <v>138154.95060000001</v>
      </c>
      <c r="AA275">
        <v>49278.053239748901</v>
      </c>
      <c r="AB275">
        <v>17454.7</v>
      </c>
      <c r="AC275">
        <v>267761.310772</v>
      </c>
      <c r="AD275">
        <v>2894009.9927369999</v>
      </c>
      <c r="AE275">
        <v>811612.8</v>
      </c>
    </row>
    <row r="276" spans="1:31" x14ac:dyDescent="0.45">
      <c r="A276" t="s">
        <v>119</v>
      </c>
      <c r="B276" t="s">
        <v>162</v>
      </c>
      <c r="C276" t="s">
        <v>121</v>
      </c>
      <c r="D276" t="s">
        <v>161</v>
      </c>
      <c r="E276" t="s">
        <v>146</v>
      </c>
      <c r="F276" t="s">
        <v>143</v>
      </c>
      <c r="G276" t="s">
        <v>144</v>
      </c>
      <c r="H276" t="s">
        <v>128</v>
      </c>
      <c r="I276" t="s">
        <v>129</v>
      </c>
      <c r="J276">
        <v>39.6</v>
      </c>
      <c r="K276">
        <v>2</v>
      </c>
      <c r="L276">
        <v>272096.05499999999</v>
      </c>
      <c r="M276">
        <v>27331.293752773101</v>
      </c>
      <c r="N276">
        <v>46051.650199999996</v>
      </c>
      <c r="O276">
        <v>14940.083632232199</v>
      </c>
      <c r="P276">
        <v>81179.675604209799</v>
      </c>
      <c r="Q276">
        <v>9256.3500489603703</v>
      </c>
      <c r="R276">
        <v>36493.4525095723</v>
      </c>
      <c r="S276">
        <v>45749.802558532698</v>
      </c>
      <c r="T276">
        <v>42271.377385005297</v>
      </c>
      <c r="U276">
        <v>172981.12836274199</v>
      </c>
      <c r="V276">
        <v>215252.505747747</v>
      </c>
      <c r="W276">
        <v>56843.549252252</v>
      </c>
      <c r="X276">
        <v>0</v>
      </c>
      <c r="Y276">
        <v>81993.881258319394</v>
      </c>
      <c r="Z276">
        <v>138154.95060000001</v>
      </c>
      <c r="AA276">
        <v>49278.053239748901</v>
      </c>
      <c r="AB276">
        <v>17454.7</v>
      </c>
      <c r="AC276">
        <v>267761.310772</v>
      </c>
      <c r="AD276">
        <v>2894009.9927369999</v>
      </c>
      <c r="AE276">
        <v>811612.8</v>
      </c>
    </row>
    <row r="277" spans="1:31" x14ac:dyDescent="0.45">
      <c r="A277" t="s">
        <v>119</v>
      </c>
      <c r="B277" t="s">
        <v>162</v>
      </c>
      <c r="C277" t="s">
        <v>121</v>
      </c>
      <c r="D277" t="s">
        <v>161</v>
      </c>
      <c r="E277" t="s">
        <v>146</v>
      </c>
      <c r="F277" t="s">
        <v>143</v>
      </c>
      <c r="G277" t="s">
        <v>144</v>
      </c>
      <c r="H277" t="s">
        <v>130</v>
      </c>
      <c r="I277" t="s">
        <v>129</v>
      </c>
      <c r="J277">
        <v>38.585000000000001</v>
      </c>
      <c r="K277">
        <v>2</v>
      </c>
      <c r="L277">
        <v>265121.87581250002</v>
      </c>
      <c r="M277">
        <v>27331.293752773101</v>
      </c>
      <c r="N277">
        <v>46051.650199999996</v>
      </c>
      <c r="O277">
        <v>14557.149670446401</v>
      </c>
      <c r="P277">
        <v>79098.933918899798</v>
      </c>
      <c r="Q277">
        <v>9019.0976424024193</v>
      </c>
      <c r="R277">
        <v>35558.077401056798</v>
      </c>
      <c r="S277">
        <v>44577.175043459203</v>
      </c>
      <c r="T277">
        <v>41888.4434232196</v>
      </c>
      <c r="U277">
        <v>169727.759162359</v>
      </c>
      <c r="V277">
        <v>211616.20258557799</v>
      </c>
      <c r="W277">
        <v>53505.673226921201</v>
      </c>
      <c r="X277">
        <v>0</v>
      </c>
      <c r="Y277">
        <v>81993.881258319394</v>
      </c>
      <c r="Z277">
        <v>138154.95060000001</v>
      </c>
      <c r="AA277">
        <v>49278.053239748901</v>
      </c>
      <c r="AB277">
        <v>17454.7</v>
      </c>
      <c r="AC277">
        <v>267761.310772</v>
      </c>
      <c r="AD277">
        <v>2894009.9927369999</v>
      </c>
      <c r="AE277">
        <v>811612.8</v>
      </c>
    </row>
    <row r="278" spans="1:31" x14ac:dyDescent="0.45">
      <c r="A278" t="s">
        <v>119</v>
      </c>
      <c r="B278" t="s">
        <v>162</v>
      </c>
      <c r="C278" t="s">
        <v>121</v>
      </c>
      <c r="D278" t="s">
        <v>161</v>
      </c>
      <c r="E278" t="s">
        <v>147</v>
      </c>
      <c r="F278" t="s">
        <v>148</v>
      </c>
      <c r="G278" t="s">
        <v>149</v>
      </c>
      <c r="H278" t="s">
        <v>150</v>
      </c>
      <c r="I278" t="s">
        <v>129</v>
      </c>
      <c r="J278">
        <v>59.649701020543603</v>
      </c>
      <c r="K278">
        <v>2</v>
      </c>
      <c r="L278">
        <v>392999.07268879999</v>
      </c>
      <c r="M278">
        <v>32426.622951319801</v>
      </c>
      <c r="N278">
        <v>69538.635279661001</v>
      </c>
      <c r="O278">
        <v>42755.459345338597</v>
      </c>
      <c r="P278">
        <v>142383.06721084801</v>
      </c>
      <c r="Q278">
        <v>14710.459519805099</v>
      </c>
      <c r="R278">
        <v>58082.284936454402</v>
      </c>
      <c r="S278">
        <v>72792.744456259505</v>
      </c>
      <c r="T278">
        <v>75182.082296658395</v>
      </c>
      <c r="U278">
        <v>284714.44694676902</v>
      </c>
      <c r="V278">
        <v>359896.52924342698</v>
      </c>
      <c r="W278">
        <v>33102.543445372699</v>
      </c>
      <c r="X278">
        <v>59.649701020543603</v>
      </c>
      <c r="Y278">
        <v>109324.043093021</v>
      </c>
      <c r="Z278">
        <v>234444.54180000001</v>
      </c>
      <c r="AA278">
        <v>76655.755633450797</v>
      </c>
      <c r="AB278">
        <v>42103.8</v>
      </c>
      <c r="AC278">
        <v>502889.01616499998</v>
      </c>
      <c r="AD278">
        <v>2894009.9927369999</v>
      </c>
      <c r="AE278">
        <v>811612.8</v>
      </c>
    </row>
    <row r="279" spans="1:31" x14ac:dyDescent="0.45">
      <c r="A279" t="s">
        <v>119</v>
      </c>
      <c r="B279" t="s">
        <v>162</v>
      </c>
      <c r="C279" t="s">
        <v>121</v>
      </c>
      <c r="D279" t="s">
        <v>161</v>
      </c>
      <c r="E279" t="s">
        <v>147</v>
      </c>
      <c r="F279" t="s">
        <v>148</v>
      </c>
      <c r="G279" t="s">
        <v>149</v>
      </c>
      <c r="H279" t="s">
        <v>151</v>
      </c>
      <c r="I279" t="s">
        <v>129</v>
      </c>
      <c r="J279">
        <v>45.69</v>
      </c>
      <c r="K279">
        <v>2</v>
      </c>
      <c r="L279">
        <v>296914.18049999903</v>
      </c>
      <c r="M279">
        <v>32426.622951319801</v>
      </c>
      <c r="N279">
        <v>69538.635279661001</v>
      </c>
      <c r="O279">
        <v>16624.318471386701</v>
      </c>
      <c r="P279">
        <v>109061.44087165099</v>
      </c>
      <c r="Q279">
        <v>11267.7999044524</v>
      </c>
      <c r="R279">
        <v>44489.403187999698</v>
      </c>
      <c r="S279">
        <v>55757.203092452102</v>
      </c>
      <c r="T279">
        <v>49050.941422706601</v>
      </c>
      <c r="U279">
        <v>234357.279243764</v>
      </c>
      <c r="V279">
        <v>283408.22066647001</v>
      </c>
      <c r="W279">
        <v>13505.959833528999</v>
      </c>
      <c r="X279">
        <v>0</v>
      </c>
      <c r="Y279">
        <v>109324.043093021</v>
      </c>
      <c r="Z279">
        <v>234444.54180000001</v>
      </c>
      <c r="AA279">
        <v>76655.755633450797</v>
      </c>
      <c r="AB279">
        <v>42103.8</v>
      </c>
      <c r="AC279">
        <v>502889.01616499998</v>
      </c>
      <c r="AD279">
        <v>2894009.9927369999</v>
      </c>
      <c r="AE279">
        <v>811612.8</v>
      </c>
    </row>
    <row r="280" spans="1:31" x14ac:dyDescent="0.45">
      <c r="A280" t="s">
        <v>119</v>
      </c>
      <c r="B280" t="s">
        <v>162</v>
      </c>
      <c r="C280" t="s">
        <v>121</v>
      </c>
      <c r="D280" t="s">
        <v>161</v>
      </c>
      <c r="E280" t="s">
        <v>147</v>
      </c>
      <c r="F280" t="s">
        <v>148</v>
      </c>
      <c r="G280" t="s">
        <v>152</v>
      </c>
      <c r="H280" t="s">
        <v>126</v>
      </c>
      <c r="I280" t="s">
        <v>129</v>
      </c>
      <c r="J280">
        <v>59.649701020543603</v>
      </c>
      <c r="K280">
        <v>2</v>
      </c>
      <c r="L280">
        <v>457604.17262162501</v>
      </c>
      <c r="M280">
        <v>22235.398595190702</v>
      </c>
      <c r="N280">
        <v>47683.6356203389</v>
      </c>
      <c r="O280">
        <v>42755.459345338597</v>
      </c>
      <c r="P280">
        <v>142383.06721084801</v>
      </c>
      <c r="Q280">
        <v>14710.459519805099</v>
      </c>
      <c r="R280">
        <v>58082.284936454402</v>
      </c>
      <c r="S280">
        <v>72792.744456259505</v>
      </c>
      <c r="T280">
        <v>64990.857940529299</v>
      </c>
      <c r="U280">
        <v>262859.44728744699</v>
      </c>
      <c r="V280">
        <v>327850.305227976</v>
      </c>
      <c r="W280">
        <v>129753.86739364899</v>
      </c>
      <c r="X280">
        <v>59.649701020543603</v>
      </c>
      <c r="Y280">
        <v>109324.043093021</v>
      </c>
      <c r="Z280">
        <v>234444.54180000001</v>
      </c>
      <c r="AA280">
        <v>76655.755633450797</v>
      </c>
      <c r="AB280">
        <v>42103.8</v>
      </c>
      <c r="AC280">
        <v>502889.01616499998</v>
      </c>
      <c r="AD280">
        <v>2894009.9927369999</v>
      </c>
      <c r="AE280">
        <v>811612.8</v>
      </c>
    </row>
    <row r="281" spans="1:31" x14ac:dyDescent="0.45">
      <c r="A281" t="s">
        <v>119</v>
      </c>
      <c r="B281" t="s">
        <v>162</v>
      </c>
      <c r="C281" t="s">
        <v>121</v>
      </c>
      <c r="D281" t="s">
        <v>161</v>
      </c>
      <c r="E281" t="s">
        <v>147</v>
      </c>
      <c r="F281" t="s">
        <v>148</v>
      </c>
      <c r="G281" t="s">
        <v>152</v>
      </c>
      <c r="H281" t="s">
        <v>130</v>
      </c>
      <c r="I281" t="s">
        <v>129</v>
      </c>
      <c r="J281">
        <v>45.69</v>
      </c>
      <c r="K281">
        <v>2</v>
      </c>
      <c r="L281">
        <v>346399.87724999897</v>
      </c>
      <c r="M281">
        <v>22235.398595190702</v>
      </c>
      <c r="N281">
        <v>47683.6356203389</v>
      </c>
      <c r="O281">
        <v>16624.318471386701</v>
      </c>
      <c r="P281">
        <v>109061.44087165099</v>
      </c>
      <c r="Q281">
        <v>11267.7999044524</v>
      </c>
      <c r="R281">
        <v>44489.403187999698</v>
      </c>
      <c r="S281">
        <v>55757.203092452102</v>
      </c>
      <c r="T281">
        <v>38859.717066577497</v>
      </c>
      <c r="U281">
        <v>212502.279584442</v>
      </c>
      <c r="V281">
        <v>251361.996651019</v>
      </c>
      <c r="W281">
        <v>95037.880598980206</v>
      </c>
      <c r="X281">
        <v>0</v>
      </c>
      <c r="Y281">
        <v>109324.043093021</v>
      </c>
      <c r="Z281">
        <v>234444.54180000001</v>
      </c>
      <c r="AA281">
        <v>76655.755633450797</v>
      </c>
      <c r="AB281">
        <v>42103.8</v>
      </c>
      <c r="AC281">
        <v>502889.01616499998</v>
      </c>
      <c r="AD281">
        <v>2894009.9927369999</v>
      </c>
      <c r="AE281">
        <v>811612.8</v>
      </c>
    </row>
    <row r="282" spans="1:31" x14ac:dyDescent="0.45">
      <c r="A282" t="s">
        <v>119</v>
      </c>
      <c r="B282" t="s">
        <v>162</v>
      </c>
      <c r="C282" t="s">
        <v>121</v>
      </c>
      <c r="D282" t="s">
        <v>161</v>
      </c>
      <c r="E282" t="s">
        <v>153</v>
      </c>
      <c r="F282" t="s">
        <v>148</v>
      </c>
      <c r="G282" t="s">
        <v>149</v>
      </c>
      <c r="H282" t="s">
        <v>150</v>
      </c>
      <c r="I282" t="s">
        <v>129</v>
      </c>
      <c r="J282">
        <v>46.8530298171328</v>
      </c>
      <c r="K282">
        <v>2</v>
      </c>
      <c r="L282">
        <v>285490.97217562998</v>
      </c>
      <c r="M282">
        <v>32426.622951319801</v>
      </c>
      <c r="N282">
        <v>65192.490050847402</v>
      </c>
      <c r="O282">
        <v>29636.675933438601</v>
      </c>
      <c r="P282">
        <v>114156.587630896</v>
      </c>
      <c r="Q282">
        <v>10680.945582208</v>
      </c>
      <c r="R282">
        <v>42172.2872668489</v>
      </c>
      <c r="S282">
        <v>52853.232849056898</v>
      </c>
      <c r="T282">
        <v>62063.2988847585</v>
      </c>
      <c r="U282">
        <v>232202.31053080101</v>
      </c>
      <c r="V282">
        <v>294265.60941555898</v>
      </c>
      <c r="W282">
        <v>-8774.6372399293396</v>
      </c>
      <c r="X282">
        <v>46.8530298171328</v>
      </c>
      <c r="Y282">
        <v>109324.043093021</v>
      </c>
      <c r="Z282">
        <v>219791.8236</v>
      </c>
      <c r="AA282">
        <v>59808.287058271599</v>
      </c>
      <c r="AB282">
        <v>25263.200000000001</v>
      </c>
      <c r="AC282">
        <v>401498.351983</v>
      </c>
      <c r="AD282">
        <v>2894009.9927369999</v>
      </c>
      <c r="AE282">
        <v>811612.8</v>
      </c>
    </row>
    <row r="283" spans="1:31" x14ac:dyDescent="0.45">
      <c r="A283" t="s">
        <v>119</v>
      </c>
      <c r="B283" t="s">
        <v>162</v>
      </c>
      <c r="C283" t="s">
        <v>121</v>
      </c>
      <c r="D283" t="s">
        <v>161</v>
      </c>
      <c r="E283" t="s">
        <v>153</v>
      </c>
      <c r="F283" t="s">
        <v>148</v>
      </c>
      <c r="G283" t="s">
        <v>149</v>
      </c>
      <c r="H283" t="s">
        <v>151</v>
      </c>
      <c r="I283" t="s">
        <v>129</v>
      </c>
      <c r="J283">
        <v>35.54</v>
      </c>
      <c r="K283">
        <v>2</v>
      </c>
      <c r="L283">
        <v>213358.34819999899</v>
      </c>
      <c r="M283">
        <v>32426.622951319801</v>
      </c>
      <c r="N283">
        <v>65192.490050847402</v>
      </c>
      <c r="O283">
        <v>12899.067595697101</v>
      </c>
      <c r="P283">
        <v>86592.588360603302</v>
      </c>
      <c r="Q283">
        <v>8101.94788839173</v>
      </c>
      <c r="R283">
        <v>31989.459279658699</v>
      </c>
      <c r="S283">
        <v>40091.4071680505</v>
      </c>
      <c r="T283">
        <v>45325.6905470169</v>
      </c>
      <c r="U283">
        <v>191876.48557950099</v>
      </c>
      <c r="V283">
        <v>237202.176126518</v>
      </c>
      <c r="W283">
        <v>-23843.827926518301</v>
      </c>
      <c r="X283">
        <v>0</v>
      </c>
      <c r="Y283">
        <v>109324.043093021</v>
      </c>
      <c r="Z283">
        <v>219791.8236</v>
      </c>
      <c r="AA283">
        <v>59808.287058271599</v>
      </c>
      <c r="AB283">
        <v>25263.200000000001</v>
      </c>
      <c r="AC283">
        <v>401498.351983</v>
      </c>
      <c r="AD283">
        <v>2894009.9927369999</v>
      </c>
      <c r="AE283">
        <v>811612.8</v>
      </c>
    </row>
    <row r="284" spans="1:31" x14ac:dyDescent="0.45">
      <c r="A284" t="s">
        <v>119</v>
      </c>
      <c r="B284" t="s">
        <v>162</v>
      </c>
      <c r="C284" t="s">
        <v>121</v>
      </c>
      <c r="D284" t="s">
        <v>161</v>
      </c>
      <c r="E284" t="s">
        <v>153</v>
      </c>
      <c r="F284" t="s">
        <v>148</v>
      </c>
      <c r="G284" t="s">
        <v>152</v>
      </c>
      <c r="H284" t="s">
        <v>126</v>
      </c>
      <c r="I284" t="s">
        <v>129</v>
      </c>
      <c r="J284">
        <v>46.8530298171328</v>
      </c>
      <c r="K284">
        <v>2</v>
      </c>
      <c r="L284">
        <v>332370.00542431098</v>
      </c>
      <c r="M284">
        <v>22235.398595190702</v>
      </c>
      <c r="N284">
        <v>44703.421749152498</v>
      </c>
      <c r="O284">
        <v>29636.675933438601</v>
      </c>
      <c r="P284">
        <v>114156.587630896</v>
      </c>
      <c r="Q284">
        <v>10680.945582208</v>
      </c>
      <c r="R284">
        <v>42172.2872668489</v>
      </c>
      <c r="S284">
        <v>52853.232849056898</v>
      </c>
      <c r="T284">
        <v>51872.074528629397</v>
      </c>
      <c r="U284">
        <v>211713.24222910599</v>
      </c>
      <c r="V284">
        <v>263585.31675773498</v>
      </c>
      <c r="W284">
        <v>68784.688666576098</v>
      </c>
      <c r="X284">
        <v>46.8530298171328</v>
      </c>
      <c r="Y284">
        <v>109324.043093021</v>
      </c>
      <c r="Z284">
        <v>219791.8236</v>
      </c>
      <c r="AA284">
        <v>59808.287058271599</v>
      </c>
      <c r="AB284">
        <v>25263.200000000001</v>
      </c>
      <c r="AC284">
        <v>401498.351983</v>
      </c>
      <c r="AD284">
        <v>2894009.9927369999</v>
      </c>
      <c r="AE284">
        <v>811612.8</v>
      </c>
    </row>
    <row r="285" spans="1:31" x14ac:dyDescent="0.45">
      <c r="A285" t="s">
        <v>119</v>
      </c>
      <c r="B285" t="s">
        <v>162</v>
      </c>
      <c r="C285" t="s">
        <v>121</v>
      </c>
      <c r="D285" t="s">
        <v>161</v>
      </c>
      <c r="E285" t="s">
        <v>153</v>
      </c>
      <c r="F285" t="s">
        <v>148</v>
      </c>
      <c r="G285" t="s">
        <v>152</v>
      </c>
      <c r="H285" t="s">
        <v>130</v>
      </c>
      <c r="I285" t="s">
        <v>129</v>
      </c>
      <c r="J285">
        <v>35.54</v>
      </c>
      <c r="K285">
        <v>2</v>
      </c>
      <c r="L285">
        <v>248918.0729</v>
      </c>
      <c r="M285">
        <v>22235.398595190702</v>
      </c>
      <c r="N285">
        <v>44703.421749152498</v>
      </c>
      <c r="O285">
        <v>12899.067595697101</v>
      </c>
      <c r="P285">
        <v>86592.588360603302</v>
      </c>
      <c r="Q285">
        <v>8101.94788839173</v>
      </c>
      <c r="R285">
        <v>31989.459279658699</v>
      </c>
      <c r="S285">
        <v>40091.4071680505</v>
      </c>
      <c r="T285">
        <v>35134.466190887899</v>
      </c>
      <c r="U285">
        <v>171387.417277806</v>
      </c>
      <c r="V285">
        <v>206521.883468694</v>
      </c>
      <c r="W285">
        <v>42396.189431305596</v>
      </c>
      <c r="X285">
        <v>0</v>
      </c>
      <c r="Y285">
        <v>109324.043093021</v>
      </c>
      <c r="Z285">
        <v>219791.8236</v>
      </c>
      <c r="AA285">
        <v>59808.287058271599</v>
      </c>
      <c r="AB285">
        <v>25263.200000000001</v>
      </c>
      <c r="AC285">
        <v>401498.351983</v>
      </c>
      <c r="AD285">
        <v>2894009.9927369999</v>
      </c>
      <c r="AE285">
        <v>811612.8</v>
      </c>
    </row>
    <row r="286" spans="1:31" x14ac:dyDescent="0.45">
      <c r="A286" t="s">
        <v>119</v>
      </c>
      <c r="B286" t="s">
        <v>162</v>
      </c>
      <c r="C286" t="s">
        <v>121</v>
      </c>
      <c r="D286" t="s">
        <v>161</v>
      </c>
      <c r="E286" t="s">
        <v>154</v>
      </c>
      <c r="F286" t="s">
        <v>155</v>
      </c>
      <c r="G286" t="s">
        <v>156</v>
      </c>
      <c r="H286" t="s">
        <v>126</v>
      </c>
      <c r="I286" t="s">
        <v>129</v>
      </c>
      <c r="J286">
        <v>60.588096444783297</v>
      </c>
      <c r="K286">
        <v>2</v>
      </c>
      <c r="L286">
        <v>497920.24715480203</v>
      </c>
      <c r="M286">
        <v>27331.293752773101</v>
      </c>
      <c r="N286">
        <v>84776.766199999998</v>
      </c>
      <c r="O286">
        <v>57795.232796152603</v>
      </c>
      <c r="P286">
        <v>217662.638036741</v>
      </c>
      <c r="Q286">
        <v>14871.0020218604</v>
      </c>
      <c r="R286">
        <v>58421.827587954103</v>
      </c>
      <c r="S286">
        <v>73292.829609814595</v>
      </c>
      <c r="T286">
        <v>85126.526548925802</v>
      </c>
      <c r="U286">
        <v>375732.23384655599</v>
      </c>
      <c r="V286">
        <v>460858.76039548102</v>
      </c>
      <c r="W286">
        <v>37061.486759320702</v>
      </c>
      <c r="X286">
        <v>60.588096444783297</v>
      </c>
      <c r="Y286">
        <v>81993.881258319394</v>
      </c>
      <c r="Z286">
        <v>254330.29860000001</v>
      </c>
      <c r="AA286">
        <v>58122.861049910898</v>
      </c>
      <c r="AB286">
        <v>34776</v>
      </c>
      <c r="AC286">
        <v>549591.52541699901</v>
      </c>
      <c r="AD286">
        <v>2894009.9927369999</v>
      </c>
      <c r="AE286">
        <v>811612.8</v>
      </c>
    </row>
    <row r="287" spans="1:31" x14ac:dyDescent="0.45">
      <c r="A287" t="s">
        <v>119</v>
      </c>
      <c r="B287" t="s">
        <v>162</v>
      </c>
      <c r="C287" t="s">
        <v>121</v>
      </c>
      <c r="D287" t="s">
        <v>161</v>
      </c>
      <c r="E287" t="s">
        <v>154</v>
      </c>
      <c r="F287" t="s">
        <v>155</v>
      </c>
      <c r="G287" t="s">
        <v>156</v>
      </c>
      <c r="H287" t="s">
        <v>128</v>
      </c>
      <c r="I287" t="s">
        <v>129</v>
      </c>
      <c r="J287">
        <v>46.704999999999998</v>
      </c>
      <c r="K287">
        <v>2</v>
      </c>
      <c r="L287">
        <v>379623.84459999902</v>
      </c>
      <c r="M287">
        <v>27331.293752773101</v>
      </c>
      <c r="N287">
        <v>84776.766199999998</v>
      </c>
      <c r="O287">
        <v>17744.628579379601</v>
      </c>
      <c r="P287">
        <v>167787.63661556301</v>
      </c>
      <c r="Q287">
        <v>11463.475338987801</v>
      </c>
      <c r="R287">
        <v>45035.107844691702</v>
      </c>
      <c r="S287">
        <v>56498.583183679599</v>
      </c>
      <c r="T287">
        <v>45075.922332152702</v>
      </c>
      <c r="U287">
        <v>309062.985999242</v>
      </c>
      <c r="V287">
        <v>354138.90833139501</v>
      </c>
      <c r="W287">
        <v>25484.9362686042</v>
      </c>
      <c r="X287">
        <v>0</v>
      </c>
      <c r="Y287">
        <v>81993.881258319394</v>
      </c>
      <c r="Z287">
        <v>254330.29860000001</v>
      </c>
      <c r="AA287">
        <v>58122.861049910898</v>
      </c>
      <c r="AB287">
        <v>34776</v>
      </c>
      <c r="AC287">
        <v>549591.52541699901</v>
      </c>
      <c r="AD287">
        <v>2894009.9927369999</v>
      </c>
      <c r="AE287">
        <v>811612.8</v>
      </c>
    </row>
    <row r="288" spans="1:31" x14ac:dyDescent="0.45">
      <c r="A288" t="s">
        <v>119</v>
      </c>
      <c r="B288" t="s">
        <v>162</v>
      </c>
      <c r="C288" t="s">
        <v>121</v>
      </c>
      <c r="D288" t="s">
        <v>161</v>
      </c>
      <c r="E288" t="s">
        <v>154</v>
      </c>
      <c r="F288" t="s">
        <v>155</v>
      </c>
      <c r="G288" t="s">
        <v>156</v>
      </c>
      <c r="H288" t="s">
        <v>130</v>
      </c>
      <c r="I288" t="s">
        <v>129</v>
      </c>
      <c r="J288">
        <v>45.69</v>
      </c>
      <c r="K288">
        <v>2</v>
      </c>
      <c r="L288">
        <v>371373.8028</v>
      </c>
      <c r="M288">
        <v>27331.293752773101</v>
      </c>
      <c r="N288">
        <v>84776.766199999998</v>
      </c>
      <c r="O288">
        <v>17358.9996743786</v>
      </c>
      <c r="P288">
        <v>164141.250764695</v>
      </c>
      <c r="Q288">
        <v>11214.3493895376</v>
      </c>
      <c r="R288">
        <v>44056.398189143802</v>
      </c>
      <c r="S288">
        <v>55270.747578681498</v>
      </c>
      <c r="T288">
        <v>44690.293427151701</v>
      </c>
      <c r="U288">
        <v>304188.76454337599</v>
      </c>
      <c r="V288">
        <v>348879.05797052803</v>
      </c>
      <c r="W288">
        <v>22494.7448294715</v>
      </c>
      <c r="X288">
        <v>0</v>
      </c>
      <c r="Y288">
        <v>81993.881258319394</v>
      </c>
      <c r="Z288">
        <v>254330.29860000001</v>
      </c>
      <c r="AA288">
        <v>58122.861049910898</v>
      </c>
      <c r="AB288">
        <v>34776</v>
      </c>
      <c r="AC288">
        <v>549591.52541699901</v>
      </c>
      <c r="AD288">
        <v>2894009.9927369999</v>
      </c>
      <c r="AE288">
        <v>811612.8</v>
      </c>
    </row>
    <row r="289" spans="1:31" x14ac:dyDescent="0.45">
      <c r="A289" t="s">
        <v>119</v>
      </c>
      <c r="B289" t="s">
        <v>162</v>
      </c>
      <c r="C289" t="s">
        <v>121</v>
      </c>
      <c r="D289" t="s">
        <v>161</v>
      </c>
      <c r="E289" t="s">
        <v>157</v>
      </c>
      <c r="F289" t="s">
        <v>155</v>
      </c>
      <c r="G289" t="s">
        <v>156</v>
      </c>
      <c r="H289" t="s">
        <v>126</v>
      </c>
      <c r="I289" t="s">
        <v>129</v>
      </c>
      <c r="J289">
        <v>51.849738529377703</v>
      </c>
      <c r="K289">
        <v>2</v>
      </c>
      <c r="L289">
        <v>399767.31715708697</v>
      </c>
      <c r="M289">
        <v>27331.293752773101</v>
      </c>
      <c r="N289">
        <v>58610.872799999997</v>
      </c>
      <c r="O289">
        <v>41326.512291746098</v>
      </c>
      <c r="P289">
        <v>135884.53479509201</v>
      </c>
      <c r="Q289">
        <v>11934.683751041999</v>
      </c>
      <c r="R289">
        <v>46886.284824330003</v>
      </c>
      <c r="S289">
        <v>58820.968575371997</v>
      </c>
      <c r="T289">
        <v>68657.806044519297</v>
      </c>
      <c r="U289">
        <v>253316.37617046401</v>
      </c>
      <c r="V289">
        <v>321974.18221498397</v>
      </c>
      <c r="W289">
        <v>77793.134942102799</v>
      </c>
      <c r="X289">
        <v>51.849738529377703</v>
      </c>
      <c r="Y289">
        <v>81993.881258319394</v>
      </c>
      <c r="Z289">
        <v>175832.61840000001</v>
      </c>
      <c r="AA289">
        <v>49278.053239748901</v>
      </c>
      <c r="AB289">
        <v>21677.5</v>
      </c>
      <c r="AC289">
        <v>340786.86707849998</v>
      </c>
      <c r="AD289">
        <v>2894009.9927369999</v>
      </c>
      <c r="AE289">
        <v>811612.8</v>
      </c>
    </row>
    <row r="290" spans="1:31" x14ac:dyDescent="0.45">
      <c r="A290" t="s">
        <v>119</v>
      </c>
      <c r="B290" t="s">
        <v>162</v>
      </c>
      <c r="C290" t="s">
        <v>121</v>
      </c>
      <c r="D290" t="s">
        <v>161</v>
      </c>
      <c r="E290" t="s">
        <v>157</v>
      </c>
      <c r="F290" t="s">
        <v>155</v>
      </c>
      <c r="G290" t="s">
        <v>156</v>
      </c>
      <c r="H290" t="s">
        <v>128</v>
      </c>
      <c r="I290" t="s">
        <v>129</v>
      </c>
      <c r="J290">
        <v>39.6</v>
      </c>
      <c r="K290">
        <v>2</v>
      </c>
      <c r="L290">
        <v>301756.45500000002</v>
      </c>
      <c r="M290">
        <v>27331.293752773101</v>
      </c>
      <c r="N290">
        <v>58610.872799999997</v>
      </c>
      <c r="O290">
        <v>15006.843020284001</v>
      </c>
      <c r="P290">
        <v>103781.190233713</v>
      </c>
      <c r="Q290">
        <v>9115.0599780456905</v>
      </c>
      <c r="R290">
        <v>35809.184996978802</v>
      </c>
      <c r="S290">
        <v>44924.2449750245</v>
      </c>
      <c r="T290">
        <v>42338.136773057202</v>
      </c>
      <c r="U290">
        <v>207316.30800873801</v>
      </c>
      <c r="V290">
        <v>249654.444781795</v>
      </c>
      <c r="W290">
        <v>52102.010218204297</v>
      </c>
      <c r="X290">
        <v>0</v>
      </c>
      <c r="Y290">
        <v>81993.881258319394</v>
      </c>
      <c r="Z290">
        <v>175832.61840000001</v>
      </c>
      <c r="AA290">
        <v>49278.053239748901</v>
      </c>
      <c r="AB290">
        <v>21677.5</v>
      </c>
      <c r="AC290">
        <v>340786.86707849998</v>
      </c>
      <c r="AD290">
        <v>2894009.9927369999</v>
      </c>
      <c r="AE290">
        <v>811612.8</v>
      </c>
    </row>
    <row r="291" spans="1:31" x14ac:dyDescent="0.45">
      <c r="A291" t="s">
        <v>119</v>
      </c>
      <c r="B291" t="s">
        <v>162</v>
      </c>
      <c r="C291" t="s">
        <v>121</v>
      </c>
      <c r="D291" t="s">
        <v>161</v>
      </c>
      <c r="E291" t="s">
        <v>157</v>
      </c>
      <c r="F291" t="s">
        <v>155</v>
      </c>
      <c r="G291" t="s">
        <v>156</v>
      </c>
      <c r="H291" t="s">
        <v>130</v>
      </c>
      <c r="I291" t="s">
        <v>129</v>
      </c>
      <c r="J291">
        <v>38.585000000000001</v>
      </c>
      <c r="K291">
        <v>2</v>
      </c>
      <c r="L291">
        <v>294022.0408125</v>
      </c>
      <c r="M291">
        <v>27331.293752773101</v>
      </c>
      <c r="N291">
        <v>58610.872799999997</v>
      </c>
      <c r="O291">
        <v>14622.1979277187</v>
      </c>
      <c r="P291">
        <v>101121.14204969299</v>
      </c>
      <c r="Q291">
        <v>8881.4290215377005</v>
      </c>
      <c r="R291">
        <v>34891.348563344101</v>
      </c>
      <c r="S291">
        <v>43772.777584881798</v>
      </c>
      <c r="T291">
        <v>41953.491680491803</v>
      </c>
      <c r="U291">
        <v>203504.79243457501</v>
      </c>
      <c r="V291">
        <v>245458.284115066</v>
      </c>
      <c r="W291">
        <v>48563.756697432997</v>
      </c>
      <c r="X291">
        <v>0</v>
      </c>
      <c r="Y291">
        <v>81993.881258319394</v>
      </c>
      <c r="Z291">
        <v>175832.61840000001</v>
      </c>
      <c r="AA291">
        <v>49278.053239748901</v>
      </c>
      <c r="AB291">
        <v>21677.5</v>
      </c>
      <c r="AC291">
        <v>340786.86707849998</v>
      </c>
      <c r="AD291">
        <v>2894009.9927369999</v>
      </c>
      <c r="AE291">
        <v>811612.8</v>
      </c>
    </row>
    <row r="292" spans="1:31" x14ac:dyDescent="0.45">
      <c r="A292" t="s">
        <v>119</v>
      </c>
      <c r="B292" t="s">
        <v>163</v>
      </c>
      <c r="C292" t="s">
        <v>121</v>
      </c>
      <c r="D292" t="s">
        <v>161</v>
      </c>
      <c r="E292" t="s">
        <v>123</v>
      </c>
      <c r="F292" t="s">
        <v>124</v>
      </c>
      <c r="G292" t="s">
        <v>125</v>
      </c>
      <c r="H292" t="s">
        <v>126</v>
      </c>
      <c r="I292" t="s">
        <v>127</v>
      </c>
      <c r="J292">
        <v>72.432660544238004</v>
      </c>
      <c r="K292">
        <v>3</v>
      </c>
      <c r="L292">
        <v>629555.71238629904</v>
      </c>
      <c r="M292">
        <v>44366.210275757199</v>
      </c>
      <c r="N292">
        <v>163631.49075</v>
      </c>
      <c r="O292">
        <v>60294.4782369163</v>
      </c>
      <c r="P292">
        <v>308707.96669537103</v>
      </c>
      <c r="Q292">
        <v>17141.807957773701</v>
      </c>
      <c r="R292">
        <v>76456.771361465799</v>
      </c>
      <c r="S292">
        <v>93598.579319239594</v>
      </c>
      <c r="T292">
        <v>104660.688512673</v>
      </c>
      <c r="U292">
        <v>565938.03676461102</v>
      </c>
      <c r="V292">
        <v>670598.72527728498</v>
      </c>
      <c r="W292">
        <v>-41043.012890985199</v>
      </c>
      <c r="X292">
        <v>72.432660544238004</v>
      </c>
      <c r="Y292">
        <v>177464.84110302801</v>
      </c>
      <c r="Z292">
        <v>654525.96299999999</v>
      </c>
      <c r="AA292">
        <v>139291.48682112299</v>
      </c>
      <c r="AB292">
        <v>64876.45</v>
      </c>
      <c r="AC292">
        <v>1563938.5893999999</v>
      </c>
      <c r="AD292">
        <v>3092074.3478999999</v>
      </c>
      <c r="AE292">
        <v>642526.80000000005</v>
      </c>
    </row>
    <row r="293" spans="1:31" x14ac:dyDescent="0.45">
      <c r="A293" t="s">
        <v>119</v>
      </c>
      <c r="B293" t="s">
        <v>163</v>
      </c>
      <c r="C293" t="s">
        <v>121</v>
      </c>
      <c r="D293" t="s">
        <v>161</v>
      </c>
      <c r="E293" t="s">
        <v>123</v>
      </c>
      <c r="F293" t="s">
        <v>124</v>
      </c>
      <c r="G293" t="s">
        <v>125</v>
      </c>
      <c r="H293" t="s">
        <v>128</v>
      </c>
      <c r="I293" t="s">
        <v>129</v>
      </c>
      <c r="J293">
        <v>75.22</v>
      </c>
      <c r="K293">
        <v>3</v>
      </c>
      <c r="L293">
        <v>603878.19519999996</v>
      </c>
      <c r="M293">
        <v>35492.968220605799</v>
      </c>
      <c r="N293">
        <v>130905.19259999999</v>
      </c>
      <c r="O293">
        <v>28552.9909084461</v>
      </c>
      <c r="P293">
        <v>320587.60620346997</v>
      </c>
      <c r="Q293">
        <v>17801.4556540587</v>
      </c>
      <c r="R293">
        <v>79398.965861498305</v>
      </c>
      <c r="S293">
        <v>97200.421515556998</v>
      </c>
      <c r="T293">
        <v>64045.959129051902</v>
      </c>
      <c r="U293">
        <v>548693.22031902696</v>
      </c>
      <c r="V293">
        <v>612739.17944807897</v>
      </c>
      <c r="W293">
        <v>-8860.9842480798197</v>
      </c>
      <c r="X293">
        <v>0</v>
      </c>
      <c r="Y293">
        <v>177464.84110302801</v>
      </c>
      <c r="Z293">
        <v>654525.96299999999</v>
      </c>
      <c r="AA293">
        <v>139291.48682112299</v>
      </c>
      <c r="AB293">
        <v>64876.45</v>
      </c>
      <c r="AC293">
        <v>1563938.5893999999</v>
      </c>
      <c r="AD293">
        <v>3092074.3478999999</v>
      </c>
      <c r="AE293">
        <v>642526.80000000005</v>
      </c>
    </row>
    <row r="294" spans="1:31" x14ac:dyDescent="0.45">
      <c r="A294" t="s">
        <v>119</v>
      </c>
      <c r="B294" t="s">
        <v>163</v>
      </c>
      <c r="C294" t="s">
        <v>121</v>
      </c>
      <c r="D294" t="s">
        <v>161</v>
      </c>
      <c r="E294" t="s">
        <v>123</v>
      </c>
      <c r="F294" t="s">
        <v>124</v>
      </c>
      <c r="G294" t="s">
        <v>125</v>
      </c>
      <c r="H294" t="s">
        <v>130</v>
      </c>
      <c r="I294" t="s">
        <v>129</v>
      </c>
      <c r="J294">
        <v>73.239999999999995</v>
      </c>
      <c r="K294">
        <v>3</v>
      </c>
      <c r="L294">
        <v>587982.43839999998</v>
      </c>
      <c r="M294">
        <v>35492.968220605799</v>
      </c>
      <c r="N294">
        <v>130905.19259999999</v>
      </c>
      <c r="O294">
        <v>27801.396625027799</v>
      </c>
      <c r="P294">
        <v>312148.84709308902</v>
      </c>
      <c r="Q294">
        <v>17332.871737613099</v>
      </c>
      <c r="R294">
        <v>77308.963835364702</v>
      </c>
      <c r="S294">
        <v>94641.8355729779</v>
      </c>
      <c r="T294">
        <v>63294.364845633601</v>
      </c>
      <c r="U294">
        <v>537695.87526606699</v>
      </c>
      <c r="V294">
        <v>600990.24011170096</v>
      </c>
      <c r="W294">
        <v>-13007.801711701</v>
      </c>
      <c r="X294">
        <v>0</v>
      </c>
      <c r="Y294">
        <v>177464.84110302801</v>
      </c>
      <c r="Z294">
        <v>654525.96299999999</v>
      </c>
      <c r="AA294">
        <v>139291.48682112299</v>
      </c>
      <c r="AB294">
        <v>64876.45</v>
      </c>
      <c r="AC294">
        <v>1563938.5893999999</v>
      </c>
      <c r="AD294">
        <v>3092074.3478999999</v>
      </c>
      <c r="AE294">
        <v>642526.80000000005</v>
      </c>
    </row>
    <row r="295" spans="1:31" x14ac:dyDescent="0.45">
      <c r="A295" t="s">
        <v>119</v>
      </c>
      <c r="B295" t="s">
        <v>163</v>
      </c>
      <c r="C295" t="s">
        <v>121</v>
      </c>
      <c r="D295" t="s">
        <v>161</v>
      </c>
      <c r="E295" t="s">
        <v>123</v>
      </c>
      <c r="F295" t="s">
        <v>124</v>
      </c>
      <c r="G295" t="s">
        <v>131</v>
      </c>
      <c r="H295" t="s">
        <v>132</v>
      </c>
      <c r="I295" t="s">
        <v>129</v>
      </c>
      <c r="J295">
        <v>70.836835999943602</v>
      </c>
      <c r="K295">
        <v>3</v>
      </c>
      <c r="L295">
        <v>615685.44377710996</v>
      </c>
      <c r="M295">
        <v>31056.34719303</v>
      </c>
      <c r="N295">
        <v>114542.043524999</v>
      </c>
      <c r="O295">
        <v>58966.080142286999</v>
      </c>
      <c r="P295">
        <v>301906.56320459599</v>
      </c>
      <c r="Q295">
        <v>16764.142445185102</v>
      </c>
      <c r="R295">
        <v>74772.288265037001</v>
      </c>
      <c r="S295">
        <v>91536.430710222106</v>
      </c>
      <c r="T295">
        <v>90022.427335317101</v>
      </c>
      <c r="U295">
        <v>507985.03743981902</v>
      </c>
      <c r="V295">
        <v>598007.46477513597</v>
      </c>
      <c r="W295">
        <v>17677.979001974101</v>
      </c>
      <c r="X295">
        <v>70.836835999943602</v>
      </c>
      <c r="Y295">
        <v>177464.84110302801</v>
      </c>
      <c r="Z295">
        <v>654525.96299999999</v>
      </c>
      <c r="AA295">
        <v>139291.48682112299</v>
      </c>
      <c r="AB295">
        <v>64876.45</v>
      </c>
      <c r="AC295">
        <v>1563938.5893999999</v>
      </c>
      <c r="AD295">
        <v>3092074.3478999999</v>
      </c>
      <c r="AE295">
        <v>642526.80000000005</v>
      </c>
    </row>
    <row r="296" spans="1:31" x14ac:dyDescent="0.45">
      <c r="A296" t="s">
        <v>119</v>
      </c>
      <c r="B296" t="s">
        <v>163</v>
      </c>
      <c r="C296" t="s">
        <v>121</v>
      </c>
      <c r="D296" t="s">
        <v>161</v>
      </c>
      <c r="E296" t="s">
        <v>123</v>
      </c>
      <c r="F296" t="s">
        <v>124</v>
      </c>
      <c r="G296" t="s">
        <v>131</v>
      </c>
      <c r="H296" t="s">
        <v>133</v>
      </c>
      <c r="I296" t="s">
        <v>129</v>
      </c>
      <c r="J296">
        <v>75.22</v>
      </c>
      <c r="K296">
        <v>3</v>
      </c>
      <c r="L296">
        <v>647012.35199999996</v>
      </c>
      <c r="M296">
        <v>31056.34719303</v>
      </c>
      <c r="N296">
        <v>114542.043524999</v>
      </c>
      <c r="O296">
        <v>28552.9909084461</v>
      </c>
      <c r="P296">
        <v>320587.60620346997</v>
      </c>
      <c r="Q296">
        <v>17801.4556540587</v>
      </c>
      <c r="R296">
        <v>79398.965861498305</v>
      </c>
      <c r="S296">
        <v>97200.421515556998</v>
      </c>
      <c r="T296">
        <v>59609.338101476198</v>
      </c>
      <c r="U296">
        <v>532330.071244027</v>
      </c>
      <c r="V296">
        <v>591939.40934550401</v>
      </c>
      <c r="W296">
        <v>55072.942654496001</v>
      </c>
      <c r="X296">
        <v>0</v>
      </c>
      <c r="Y296">
        <v>177464.84110302801</v>
      </c>
      <c r="Z296">
        <v>654525.96299999999</v>
      </c>
      <c r="AA296">
        <v>139291.48682112299</v>
      </c>
      <c r="AB296">
        <v>64876.45</v>
      </c>
      <c r="AC296">
        <v>1563938.5893999999</v>
      </c>
      <c r="AD296">
        <v>3092074.3478999999</v>
      </c>
      <c r="AE296">
        <v>642526.80000000005</v>
      </c>
    </row>
    <row r="297" spans="1:31" x14ac:dyDescent="0.45">
      <c r="A297" t="s">
        <v>119</v>
      </c>
      <c r="B297" t="s">
        <v>163</v>
      </c>
      <c r="C297" t="s">
        <v>121</v>
      </c>
      <c r="D297" t="s">
        <v>161</v>
      </c>
      <c r="E297" t="s">
        <v>134</v>
      </c>
      <c r="F297" t="s">
        <v>124</v>
      </c>
      <c r="G297" t="s">
        <v>125</v>
      </c>
      <c r="H297" t="s">
        <v>126</v>
      </c>
      <c r="I297" t="s">
        <v>127</v>
      </c>
      <c r="J297">
        <v>61.226538125576603</v>
      </c>
      <c r="K297">
        <v>3</v>
      </c>
      <c r="L297">
        <v>499241.191875952</v>
      </c>
      <c r="M297">
        <v>44366.172584995402</v>
      </c>
      <c r="N297">
        <v>113127.915721153</v>
      </c>
      <c r="O297">
        <v>43315.217818702899</v>
      </c>
      <c r="P297">
        <v>181702.72225906901</v>
      </c>
      <c r="Q297">
        <v>13588.3182115542</v>
      </c>
      <c r="R297">
        <v>60607.314073688001</v>
      </c>
      <c r="S297">
        <v>74195.632285242202</v>
      </c>
      <c r="T297">
        <v>87681.390403698402</v>
      </c>
      <c r="U297">
        <v>369026.27026546502</v>
      </c>
      <c r="V297">
        <v>456707.66066916299</v>
      </c>
      <c r="W297">
        <v>42533.531206788401</v>
      </c>
      <c r="X297">
        <v>61.226538125576603</v>
      </c>
      <c r="Y297">
        <v>153802.731627984</v>
      </c>
      <c r="Z297">
        <v>392176.7745</v>
      </c>
      <c r="AA297">
        <v>118142.97424840101</v>
      </c>
      <c r="AB297">
        <v>39693.85</v>
      </c>
      <c r="AC297">
        <v>923395.9682</v>
      </c>
      <c r="AD297">
        <v>3092074.3478999999</v>
      </c>
      <c r="AE297">
        <v>642526.80000000005</v>
      </c>
    </row>
    <row r="298" spans="1:31" x14ac:dyDescent="0.45">
      <c r="A298" t="s">
        <v>119</v>
      </c>
      <c r="B298" t="s">
        <v>163</v>
      </c>
      <c r="C298" t="s">
        <v>121</v>
      </c>
      <c r="D298" t="s">
        <v>161</v>
      </c>
      <c r="E298" t="s">
        <v>134</v>
      </c>
      <c r="F298" t="s">
        <v>124</v>
      </c>
      <c r="G298" t="s">
        <v>125</v>
      </c>
      <c r="H298" t="s">
        <v>128</v>
      </c>
      <c r="I298" t="s">
        <v>129</v>
      </c>
      <c r="J298">
        <v>63.34</v>
      </c>
      <c r="K298">
        <v>2</v>
      </c>
      <c r="L298">
        <v>476722.17599999998</v>
      </c>
      <c r="M298">
        <v>23661.9587119975</v>
      </c>
      <c r="N298">
        <v>60334.888384615297</v>
      </c>
      <c r="O298">
        <v>24050.256623535701</v>
      </c>
      <c r="P298">
        <v>187974.868092071</v>
      </c>
      <c r="Q298">
        <v>14057.369596082101</v>
      </c>
      <c r="R298">
        <v>62699.4011249471</v>
      </c>
      <c r="S298">
        <v>76756.770721029199</v>
      </c>
      <c r="T298">
        <v>47712.215335533299</v>
      </c>
      <c r="U298">
        <v>325066.52719771501</v>
      </c>
      <c r="V298">
        <v>372778.74253324902</v>
      </c>
      <c r="W298">
        <v>103943.43346674999</v>
      </c>
      <c r="X298">
        <v>0</v>
      </c>
      <c r="Y298">
        <v>153802.731627984</v>
      </c>
      <c r="Z298">
        <v>392176.7745</v>
      </c>
      <c r="AA298">
        <v>118142.97424840101</v>
      </c>
      <c r="AB298">
        <v>39693.85</v>
      </c>
      <c r="AC298">
        <v>923395.9682</v>
      </c>
      <c r="AD298">
        <v>3092074.3478999999</v>
      </c>
      <c r="AE298">
        <v>642526.80000000005</v>
      </c>
    </row>
    <row r="299" spans="1:31" x14ac:dyDescent="0.45">
      <c r="A299" t="s">
        <v>119</v>
      </c>
      <c r="B299" t="s">
        <v>163</v>
      </c>
      <c r="C299" t="s">
        <v>121</v>
      </c>
      <c r="D299" t="s">
        <v>161</v>
      </c>
      <c r="E299" t="s">
        <v>134</v>
      </c>
      <c r="F299" t="s">
        <v>124</v>
      </c>
      <c r="G299" t="s">
        <v>125</v>
      </c>
      <c r="H299" t="s">
        <v>130</v>
      </c>
      <c r="I299" t="s">
        <v>129</v>
      </c>
      <c r="J299">
        <v>62.36</v>
      </c>
      <c r="K299">
        <v>2</v>
      </c>
      <c r="L299">
        <v>469346.30399999901</v>
      </c>
      <c r="M299">
        <v>23661.9587119975</v>
      </c>
      <c r="N299">
        <v>60334.888384615297</v>
      </c>
      <c r="O299">
        <v>23678.149716509099</v>
      </c>
      <c r="P299">
        <v>185066.51048660401</v>
      </c>
      <c r="Q299">
        <v>13839.873192479899</v>
      </c>
      <c r="R299">
        <v>61729.312506342001</v>
      </c>
      <c r="S299">
        <v>75569.185698821995</v>
      </c>
      <c r="T299">
        <v>47340.108428506697</v>
      </c>
      <c r="U299">
        <v>320970.58457004197</v>
      </c>
      <c r="V299">
        <v>368310.69299854903</v>
      </c>
      <c r="W299">
        <v>101035.61100145</v>
      </c>
      <c r="X299">
        <v>0</v>
      </c>
      <c r="Y299">
        <v>153802.731627984</v>
      </c>
      <c r="Z299">
        <v>392176.7745</v>
      </c>
      <c r="AA299">
        <v>118142.97424840101</v>
      </c>
      <c r="AB299">
        <v>39693.85</v>
      </c>
      <c r="AC299">
        <v>923395.9682</v>
      </c>
      <c r="AD299">
        <v>3092074.3478999999</v>
      </c>
      <c r="AE299">
        <v>642526.80000000005</v>
      </c>
    </row>
    <row r="300" spans="1:31" x14ac:dyDescent="0.45">
      <c r="A300" t="s">
        <v>119</v>
      </c>
      <c r="B300" t="s">
        <v>163</v>
      </c>
      <c r="C300" t="s">
        <v>121</v>
      </c>
      <c r="D300" t="s">
        <v>161</v>
      </c>
      <c r="E300" t="s">
        <v>134</v>
      </c>
      <c r="F300" t="s">
        <v>124</v>
      </c>
      <c r="G300" t="s">
        <v>131</v>
      </c>
      <c r="H300" t="s">
        <v>132</v>
      </c>
      <c r="I300" t="s">
        <v>129</v>
      </c>
      <c r="J300">
        <v>59.880910570279298</v>
      </c>
      <c r="K300">
        <v>3</v>
      </c>
      <c r="L300">
        <v>488268.94479005702</v>
      </c>
      <c r="M300">
        <v>31056.320809496799</v>
      </c>
      <c r="N300">
        <v>79189.541004807601</v>
      </c>
      <c r="O300">
        <v>42363.242540580701</v>
      </c>
      <c r="P300">
        <v>177709.28742787099</v>
      </c>
      <c r="Q300">
        <v>13289.6762178142</v>
      </c>
      <c r="R300">
        <v>59275.2957305499</v>
      </c>
      <c r="S300">
        <v>72564.971948364197</v>
      </c>
      <c r="T300">
        <v>73419.563350077602</v>
      </c>
      <c r="U300">
        <v>329463.80038104299</v>
      </c>
      <c r="V300">
        <v>402883.36373112001</v>
      </c>
      <c r="W300">
        <v>85385.581058936805</v>
      </c>
      <c r="X300">
        <v>59.880910570279298</v>
      </c>
      <c r="Y300">
        <v>153802.731627984</v>
      </c>
      <c r="Z300">
        <v>392176.7745</v>
      </c>
      <c r="AA300">
        <v>118142.97424840101</v>
      </c>
      <c r="AB300">
        <v>39693.85</v>
      </c>
      <c r="AC300">
        <v>923395.9682</v>
      </c>
      <c r="AD300">
        <v>3092074.3478999999</v>
      </c>
      <c r="AE300">
        <v>642526.80000000005</v>
      </c>
    </row>
    <row r="301" spans="1:31" x14ac:dyDescent="0.45">
      <c r="A301" t="s">
        <v>119</v>
      </c>
      <c r="B301" t="s">
        <v>163</v>
      </c>
      <c r="C301" t="s">
        <v>121</v>
      </c>
      <c r="D301" t="s">
        <v>161</v>
      </c>
      <c r="E301" t="s">
        <v>134</v>
      </c>
      <c r="F301" t="s">
        <v>124</v>
      </c>
      <c r="G301" t="s">
        <v>131</v>
      </c>
      <c r="H301" t="s">
        <v>133</v>
      </c>
      <c r="I301" t="s">
        <v>129</v>
      </c>
      <c r="J301">
        <v>64.34</v>
      </c>
      <c r="K301">
        <v>3</v>
      </c>
      <c r="L301">
        <v>518837.76000000001</v>
      </c>
      <c r="M301">
        <v>31056.320809496799</v>
      </c>
      <c r="N301">
        <v>79189.541004807601</v>
      </c>
      <c r="O301">
        <v>24429.9575490731</v>
      </c>
      <c r="P301">
        <v>190942.57993438299</v>
      </c>
      <c r="Q301">
        <v>14279.304701798501</v>
      </c>
      <c r="R301">
        <v>63689.287470462601</v>
      </c>
      <c r="S301">
        <v>77968.592172261197</v>
      </c>
      <c r="T301">
        <v>55486.2783585699</v>
      </c>
      <c r="U301">
        <v>348100.713111452</v>
      </c>
      <c r="V301">
        <v>403586.99147002201</v>
      </c>
      <c r="W301">
        <v>115250.76852997699</v>
      </c>
      <c r="X301">
        <v>0</v>
      </c>
      <c r="Y301">
        <v>153802.731627984</v>
      </c>
      <c r="Z301">
        <v>392176.7745</v>
      </c>
      <c r="AA301">
        <v>118142.97424840101</v>
      </c>
      <c r="AB301">
        <v>39693.85</v>
      </c>
      <c r="AC301">
        <v>923395.9682</v>
      </c>
      <c r="AD301">
        <v>3092074.3478999999</v>
      </c>
      <c r="AE301">
        <v>642526.80000000005</v>
      </c>
    </row>
    <row r="302" spans="1:31" x14ac:dyDescent="0.45">
      <c r="A302" t="s">
        <v>119</v>
      </c>
      <c r="B302" t="s">
        <v>163</v>
      </c>
      <c r="C302" t="s">
        <v>121</v>
      </c>
      <c r="D302" t="s">
        <v>161</v>
      </c>
      <c r="E302" t="s">
        <v>135</v>
      </c>
      <c r="F302" t="s">
        <v>124</v>
      </c>
      <c r="G302" t="s">
        <v>125</v>
      </c>
      <c r="H302" t="s">
        <v>126</v>
      </c>
      <c r="I302" t="s">
        <v>127</v>
      </c>
      <c r="J302">
        <v>55.632336160473599</v>
      </c>
      <c r="K302">
        <v>2</v>
      </c>
      <c r="L302">
        <v>432263.25196687999</v>
      </c>
      <c r="M302">
        <v>30206.739763927999</v>
      </c>
      <c r="N302">
        <v>68770.744148936094</v>
      </c>
      <c r="O302">
        <v>36274.445150478597</v>
      </c>
      <c r="P302">
        <v>148268.83102638801</v>
      </c>
      <c r="Q302">
        <v>11762.123365904999</v>
      </c>
      <c r="R302">
        <v>52462.026125110599</v>
      </c>
      <c r="S302">
        <v>64224.149491015698</v>
      </c>
      <c r="T302">
        <v>66481.184914406695</v>
      </c>
      <c r="U302">
        <v>281263.72466633999</v>
      </c>
      <c r="V302">
        <v>347744.90958074701</v>
      </c>
      <c r="W302">
        <v>84518.342386132907</v>
      </c>
      <c r="X302">
        <v>55.632336160473599</v>
      </c>
      <c r="Y302">
        <v>141971.676890462</v>
      </c>
      <c r="Z302">
        <v>323222.4975</v>
      </c>
      <c r="AA302">
        <v>107203.682934315</v>
      </c>
      <c r="AB302">
        <v>29956.35</v>
      </c>
      <c r="AC302">
        <v>752264.94960000005</v>
      </c>
      <c r="AD302">
        <v>3092074.3478999999</v>
      </c>
      <c r="AE302">
        <v>642526.80000000005</v>
      </c>
    </row>
    <row r="303" spans="1:31" x14ac:dyDescent="0.45">
      <c r="A303" t="s">
        <v>119</v>
      </c>
      <c r="B303" t="s">
        <v>163</v>
      </c>
      <c r="C303" t="s">
        <v>121</v>
      </c>
      <c r="D303" t="s">
        <v>161</v>
      </c>
      <c r="E303" t="s">
        <v>135</v>
      </c>
      <c r="F303" t="s">
        <v>124</v>
      </c>
      <c r="G303" t="s">
        <v>125</v>
      </c>
      <c r="H303" t="s">
        <v>128</v>
      </c>
      <c r="I303" t="s">
        <v>129</v>
      </c>
      <c r="J303">
        <v>57.4</v>
      </c>
      <c r="K303">
        <v>2</v>
      </c>
      <c r="L303">
        <v>411443.20000000001</v>
      </c>
      <c r="M303">
        <v>24165.391811142399</v>
      </c>
      <c r="N303">
        <v>55016.595319148902</v>
      </c>
      <c r="O303">
        <v>21800.8454837217</v>
      </c>
      <c r="P303">
        <v>152979.930168049</v>
      </c>
      <c r="Q303">
        <v>12135.8534945479</v>
      </c>
      <c r="R303">
        <v>54128.956420148897</v>
      </c>
      <c r="S303">
        <v>66264.809914696903</v>
      </c>
      <c r="T303">
        <v>45966.237294864099</v>
      </c>
      <c r="U303">
        <v>274261.33540189499</v>
      </c>
      <c r="V303">
        <v>320227.57269675902</v>
      </c>
      <c r="W303">
        <v>91215.627303240806</v>
      </c>
      <c r="X303">
        <v>0</v>
      </c>
      <c r="Y303">
        <v>141971.676890462</v>
      </c>
      <c r="Z303">
        <v>323222.4975</v>
      </c>
      <c r="AA303">
        <v>107203.682934315</v>
      </c>
      <c r="AB303">
        <v>29956.35</v>
      </c>
      <c r="AC303">
        <v>752264.94960000005</v>
      </c>
      <c r="AD303">
        <v>3092074.3478999999</v>
      </c>
      <c r="AE303">
        <v>642526.80000000005</v>
      </c>
    </row>
    <row r="304" spans="1:31" x14ac:dyDescent="0.45">
      <c r="A304" t="s">
        <v>119</v>
      </c>
      <c r="B304" t="s">
        <v>163</v>
      </c>
      <c r="C304" t="s">
        <v>121</v>
      </c>
      <c r="D304" t="s">
        <v>161</v>
      </c>
      <c r="E304" t="s">
        <v>135</v>
      </c>
      <c r="F304" t="s">
        <v>124</v>
      </c>
      <c r="G304" t="s">
        <v>125</v>
      </c>
      <c r="H304" t="s">
        <v>130</v>
      </c>
      <c r="I304" t="s">
        <v>129</v>
      </c>
      <c r="J304">
        <v>56.42</v>
      </c>
      <c r="K304">
        <v>2</v>
      </c>
      <c r="L304">
        <v>404418.56</v>
      </c>
      <c r="M304">
        <v>24165.391811142399</v>
      </c>
      <c r="N304">
        <v>55016.595319148902</v>
      </c>
      <c r="O304">
        <v>21428.635926682498</v>
      </c>
      <c r="P304">
        <v>150368.077701765</v>
      </c>
      <c r="Q304">
        <v>11928.655995860499</v>
      </c>
      <c r="R304">
        <v>53204.803505658601</v>
      </c>
      <c r="S304">
        <v>65133.459501519101</v>
      </c>
      <c r="T304">
        <v>45594.027737825003</v>
      </c>
      <c r="U304">
        <v>270518.13252243301</v>
      </c>
      <c r="V304">
        <v>316112.16026025801</v>
      </c>
      <c r="W304">
        <v>88306.399739741406</v>
      </c>
      <c r="X304">
        <v>0</v>
      </c>
      <c r="Y304">
        <v>141971.676890462</v>
      </c>
      <c r="Z304">
        <v>323222.4975</v>
      </c>
      <c r="AA304">
        <v>107203.682934315</v>
      </c>
      <c r="AB304">
        <v>29956.35</v>
      </c>
      <c r="AC304">
        <v>752264.94960000005</v>
      </c>
      <c r="AD304">
        <v>3092074.3478999999</v>
      </c>
      <c r="AE304">
        <v>642526.80000000005</v>
      </c>
    </row>
    <row r="305" spans="1:31" x14ac:dyDescent="0.45">
      <c r="A305" t="s">
        <v>119</v>
      </c>
      <c r="B305" t="s">
        <v>163</v>
      </c>
      <c r="C305" t="s">
        <v>121</v>
      </c>
      <c r="D305" t="s">
        <v>161</v>
      </c>
      <c r="E305" t="s">
        <v>135</v>
      </c>
      <c r="F305" t="s">
        <v>124</v>
      </c>
      <c r="G305" t="s">
        <v>131</v>
      </c>
      <c r="H305" t="s">
        <v>132</v>
      </c>
      <c r="I305" t="s">
        <v>129</v>
      </c>
      <c r="J305">
        <v>54.406964517769303</v>
      </c>
      <c r="K305">
        <v>3</v>
      </c>
      <c r="L305">
        <v>422742.11430306698</v>
      </c>
      <c r="M305">
        <v>31717.076752124402</v>
      </c>
      <c r="N305">
        <v>72209.281356382897</v>
      </c>
      <c r="O305">
        <v>35475.455219262898</v>
      </c>
      <c r="P305">
        <v>145003.02495790701</v>
      </c>
      <c r="Q305">
        <v>11503.047917608301</v>
      </c>
      <c r="R305">
        <v>51306.484518030004</v>
      </c>
      <c r="S305">
        <v>62809.532435638401</v>
      </c>
      <c r="T305">
        <v>67192.531971387303</v>
      </c>
      <c r="U305">
        <v>280021.83874992799</v>
      </c>
      <c r="V305">
        <v>347214.37072131602</v>
      </c>
      <c r="W305">
        <v>75527.743581751405</v>
      </c>
      <c r="X305">
        <v>54.406964517769303</v>
      </c>
      <c r="Y305">
        <v>141971.676890462</v>
      </c>
      <c r="Z305">
        <v>323222.4975</v>
      </c>
      <c r="AA305">
        <v>107203.682934315</v>
      </c>
      <c r="AB305">
        <v>29956.35</v>
      </c>
      <c r="AC305">
        <v>752264.94960000005</v>
      </c>
      <c r="AD305">
        <v>3092074.3478999999</v>
      </c>
      <c r="AE305">
        <v>642526.80000000005</v>
      </c>
    </row>
    <row r="306" spans="1:31" x14ac:dyDescent="0.45">
      <c r="A306" t="s">
        <v>119</v>
      </c>
      <c r="B306" t="s">
        <v>163</v>
      </c>
      <c r="C306" t="s">
        <v>121</v>
      </c>
      <c r="D306" t="s">
        <v>161</v>
      </c>
      <c r="E306" t="s">
        <v>135</v>
      </c>
      <c r="F306" t="s">
        <v>124</v>
      </c>
      <c r="G306" t="s">
        <v>131</v>
      </c>
      <c r="H306" t="s">
        <v>133</v>
      </c>
      <c r="I306" t="s">
        <v>129</v>
      </c>
      <c r="J306">
        <v>58.4</v>
      </c>
      <c r="K306">
        <v>3</v>
      </c>
      <c r="L306">
        <v>448512</v>
      </c>
      <c r="M306">
        <v>31717.076752124402</v>
      </c>
      <c r="N306">
        <v>72209.281356382897</v>
      </c>
      <c r="O306">
        <v>22180.651154169798</v>
      </c>
      <c r="P306">
        <v>155645.085745889</v>
      </c>
      <c r="Q306">
        <v>12347.279513616701</v>
      </c>
      <c r="R306">
        <v>55071.969598200303</v>
      </c>
      <c r="S306">
        <v>67419.249111817</v>
      </c>
      <c r="T306">
        <v>53897.727906294298</v>
      </c>
      <c r="U306">
        <v>295273.61621408898</v>
      </c>
      <c r="V306">
        <v>349171.34412038402</v>
      </c>
      <c r="W306">
        <v>99340.655879615806</v>
      </c>
      <c r="X306">
        <v>0</v>
      </c>
      <c r="Y306">
        <v>141971.676890462</v>
      </c>
      <c r="Z306">
        <v>323222.4975</v>
      </c>
      <c r="AA306">
        <v>107203.682934315</v>
      </c>
      <c r="AB306">
        <v>29956.35</v>
      </c>
      <c r="AC306">
        <v>752264.94960000005</v>
      </c>
      <c r="AD306">
        <v>3092074.3478999999</v>
      </c>
      <c r="AE306">
        <v>642526.80000000005</v>
      </c>
    </row>
    <row r="307" spans="1:31" x14ac:dyDescent="0.45">
      <c r="A307" t="s">
        <v>119</v>
      </c>
      <c r="B307" t="s">
        <v>163</v>
      </c>
      <c r="C307" t="s">
        <v>121</v>
      </c>
      <c r="D307" t="s">
        <v>161</v>
      </c>
      <c r="E307" t="s">
        <v>136</v>
      </c>
      <c r="F307" t="s">
        <v>124</v>
      </c>
      <c r="G307" t="s">
        <v>125</v>
      </c>
      <c r="H307" t="s">
        <v>126</v>
      </c>
      <c r="I307" t="s">
        <v>127</v>
      </c>
      <c r="J307">
        <v>47.269289064972703</v>
      </c>
      <c r="K307">
        <v>2</v>
      </c>
      <c r="L307">
        <v>356391.53183426801</v>
      </c>
      <c r="M307">
        <v>29577.3918538543</v>
      </c>
      <c r="N307">
        <v>70704.955124999993</v>
      </c>
      <c r="O307">
        <v>29927.648577164098</v>
      </c>
      <c r="P307">
        <v>131624.964928273</v>
      </c>
      <c r="Q307">
        <v>9696.7365662486991</v>
      </c>
      <c r="R307">
        <v>43249.881950860698</v>
      </c>
      <c r="S307">
        <v>52946.618517109397</v>
      </c>
      <c r="T307">
        <v>59505.040431018497</v>
      </c>
      <c r="U307">
        <v>255276.53857038199</v>
      </c>
      <c r="V307">
        <v>314781.57900140103</v>
      </c>
      <c r="W307">
        <v>41609.9528328671</v>
      </c>
      <c r="X307">
        <v>47.269289064972703</v>
      </c>
      <c r="Y307">
        <v>118309.567415417</v>
      </c>
      <c r="Z307">
        <v>282819.82049999997</v>
      </c>
      <c r="AA307">
        <v>90795.235943089399</v>
      </c>
      <c r="AB307">
        <v>23676.85</v>
      </c>
      <c r="AC307">
        <v>665492.29059999995</v>
      </c>
      <c r="AD307">
        <v>3092074.3478999999</v>
      </c>
      <c r="AE307">
        <v>642526.80000000005</v>
      </c>
    </row>
    <row r="308" spans="1:31" x14ac:dyDescent="0.45">
      <c r="A308" t="s">
        <v>119</v>
      </c>
      <c r="B308" t="s">
        <v>163</v>
      </c>
      <c r="C308" t="s">
        <v>121</v>
      </c>
      <c r="D308" t="s">
        <v>161</v>
      </c>
      <c r="E308" t="s">
        <v>136</v>
      </c>
      <c r="F308" t="s">
        <v>124</v>
      </c>
      <c r="G308" t="s">
        <v>125</v>
      </c>
      <c r="H308" t="s">
        <v>128</v>
      </c>
      <c r="I308" t="s">
        <v>129</v>
      </c>
      <c r="J308">
        <v>48.49</v>
      </c>
      <c r="K308">
        <v>2</v>
      </c>
      <c r="L308">
        <v>337149.03039999999</v>
      </c>
      <c r="M308">
        <v>23661.913483083401</v>
      </c>
      <c r="N308">
        <v>56563.964099999997</v>
      </c>
      <c r="O308">
        <v>18421.772507896902</v>
      </c>
      <c r="P308">
        <v>135024.12825797001</v>
      </c>
      <c r="Q308">
        <v>9947.1510022311995</v>
      </c>
      <c r="R308">
        <v>44366.79326644</v>
      </c>
      <c r="S308">
        <v>54313.944268671199</v>
      </c>
      <c r="T308">
        <v>42083.685990980302</v>
      </c>
      <c r="U308">
        <v>245902.03662664199</v>
      </c>
      <c r="V308">
        <v>287985.722617622</v>
      </c>
      <c r="W308">
        <v>49163.307782377502</v>
      </c>
      <c r="X308">
        <v>0</v>
      </c>
      <c r="Y308">
        <v>118309.567415417</v>
      </c>
      <c r="Z308">
        <v>282819.82049999997</v>
      </c>
      <c r="AA308">
        <v>90795.235943089399</v>
      </c>
      <c r="AB308">
        <v>23676.85</v>
      </c>
      <c r="AC308">
        <v>665492.29059999995</v>
      </c>
      <c r="AD308">
        <v>3092074.3478999999</v>
      </c>
      <c r="AE308">
        <v>642526.80000000005</v>
      </c>
    </row>
    <row r="309" spans="1:31" x14ac:dyDescent="0.45">
      <c r="A309" t="s">
        <v>119</v>
      </c>
      <c r="B309" t="s">
        <v>163</v>
      </c>
      <c r="C309" t="s">
        <v>121</v>
      </c>
      <c r="D309" t="s">
        <v>161</v>
      </c>
      <c r="E309" t="s">
        <v>136</v>
      </c>
      <c r="F309" t="s">
        <v>124</v>
      </c>
      <c r="G309" t="s">
        <v>125</v>
      </c>
      <c r="H309" t="s">
        <v>130</v>
      </c>
      <c r="I309" t="s">
        <v>129</v>
      </c>
      <c r="J309">
        <v>47.51</v>
      </c>
      <c r="K309">
        <v>2</v>
      </c>
      <c r="L309">
        <v>330335.12959999999</v>
      </c>
      <c r="M309">
        <v>23661.913483083401</v>
      </c>
      <c r="N309">
        <v>56563.964099999997</v>
      </c>
      <c r="O309">
        <v>18049.461989073599</v>
      </c>
      <c r="P309">
        <v>132295.243009614</v>
      </c>
      <c r="Q309">
        <v>9746.1155726129891</v>
      </c>
      <c r="R309">
        <v>43470.124728574199</v>
      </c>
      <c r="S309">
        <v>53216.240301187201</v>
      </c>
      <c r="T309">
        <v>41711.375472157102</v>
      </c>
      <c r="U309">
        <v>242075.44741080099</v>
      </c>
      <c r="V309">
        <v>283786.82288295799</v>
      </c>
      <c r="W309">
        <v>46548.306717041298</v>
      </c>
      <c r="X309">
        <v>0</v>
      </c>
      <c r="Y309">
        <v>118309.567415417</v>
      </c>
      <c r="Z309">
        <v>282819.82049999997</v>
      </c>
      <c r="AA309">
        <v>90795.235943089399</v>
      </c>
      <c r="AB309">
        <v>23676.85</v>
      </c>
      <c r="AC309">
        <v>665492.29059999995</v>
      </c>
      <c r="AD309">
        <v>3092074.3478999999</v>
      </c>
      <c r="AE309">
        <v>642526.80000000005</v>
      </c>
    </row>
    <row r="310" spans="1:31" x14ac:dyDescent="0.45">
      <c r="A310" t="s">
        <v>119</v>
      </c>
      <c r="B310" t="s">
        <v>163</v>
      </c>
      <c r="C310" t="s">
        <v>121</v>
      </c>
      <c r="D310" t="s">
        <v>161</v>
      </c>
      <c r="E310" t="s">
        <v>136</v>
      </c>
      <c r="F310" t="s">
        <v>124</v>
      </c>
      <c r="G310" t="s">
        <v>131</v>
      </c>
      <c r="H310" t="s">
        <v>132</v>
      </c>
      <c r="I310" t="s">
        <v>129</v>
      </c>
      <c r="J310">
        <v>46.232968004378399</v>
      </c>
      <c r="K310">
        <v>2</v>
      </c>
      <c r="L310">
        <v>348578.08556581102</v>
      </c>
      <c r="M310">
        <v>20704.174297697999</v>
      </c>
      <c r="N310">
        <v>49493.468587499898</v>
      </c>
      <c r="O310">
        <v>29271.521668380901</v>
      </c>
      <c r="P310">
        <v>128739.24936213301</v>
      </c>
      <c r="Q310">
        <v>9484.1475360048607</v>
      </c>
      <c r="R310">
        <v>42301.681450694799</v>
      </c>
      <c r="S310">
        <v>51785.8289866997</v>
      </c>
      <c r="T310">
        <v>49975.6959660789</v>
      </c>
      <c r="U310">
        <v>230018.546936333</v>
      </c>
      <c r="V310">
        <v>279994.24290241202</v>
      </c>
      <c r="W310">
        <v>68583.842663399293</v>
      </c>
      <c r="X310">
        <v>46.232968004378399</v>
      </c>
      <c r="Y310">
        <v>118309.567415417</v>
      </c>
      <c r="Z310">
        <v>282819.82049999997</v>
      </c>
      <c r="AA310">
        <v>90795.235943089399</v>
      </c>
      <c r="AB310">
        <v>23676.85</v>
      </c>
      <c r="AC310">
        <v>665492.29059999995</v>
      </c>
      <c r="AD310">
        <v>3092074.3478999999</v>
      </c>
      <c r="AE310">
        <v>642526.80000000005</v>
      </c>
    </row>
    <row r="311" spans="1:31" x14ac:dyDescent="0.45">
      <c r="A311" t="s">
        <v>119</v>
      </c>
      <c r="B311" t="s">
        <v>163</v>
      </c>
      <c r="C311" t="s">
        <v>121</v>
      </c>
      <c r="D311" t="s">
        <v>161</v>
      </c>
      <c r="E311" t="s">
        <v>136</v>
      </c>
      <c r="F311" t="s">
        <v>124</v>
      </c>
      <c r="G311" t="s">
        <v>131</v>
      </c>
      <c r="H311" t="s">
        <v>133</v>
      </c>
      <c r="I311" t="s">
        <v>129</v>
      </c>
      <c r="J311">
        <v>49.49</v>
      </c>
      <c r="K311">
        <v>2</v>
      </c>
      <c r="L311">
        <v>368680.70400000003</v>
      </c>
      <c r="M311">
        <v>20704.174297697999</v>
      </c>
      <c r="N311">
        <v>49493.468587499898</v>
      </c>
      <c r="O311">
        <v>18801.681200573701</v>
      </c>
      <c r="P311">
        <v>137808.70504200799</v>
      </c>
      <c r="Q311">
        <v>10152.2891957191</v>
      </c>
      <c r="R311">
        <v>45281.761162221403</v>
      </c>
      <c r="S311">
        <v>55434.050357940498</v>
      </c>
      <c r="T311">
        <v>39505.855498271703</v>
      </c>
      <c r="U311">
        <v>242736.223987448</v>
      </c>
      <c r="V311">
        <v>282242.07948572002</v>
      </c>
      <c r="W311">
        <v>86438.624514279494</v>
      </c>
      <c r="X311">
        <v>0</v>
      </c>
      <c r="Y311">
        <v>118309.567415417</v>
      </c>
      <c r="Z311">
        <v>282819.82049999997</v>
      </c>
      <c r="AA311">
        <v>90795.235943089399</v>
      </c>
      <c r="AB311">
        <v>23676.85</v>
      </c>
      <c r="AC311">
        <v>665492.29059999995</v>
      </c>
      <c r="AD311">
        <v>3092074.3478999999</v>
      </c>
      <c r="AE311">
        <v>642526.80000000005</v>
      </c>
    </row>
    <row r="312" spans="1:31" x14ac:dyDescent="0.45">
      <c r="A312" t="s">
        <v>119</v>
      </c>
      <c r="B312" t="s">
        <v>163</v>
      </c>
      <c r="C312" t="s">
        <v>121</v>
      </c>
      <c r="D312" t="s">
        <v>161</v>
      </c>
      <c r="E312" t="s">
        <v>137</v>
      </c>
      <c r="F312" t="s">
        <v>1</v>
      </c>
      <c r="G312" t="s">
        <v>138</v>
      </c>
      <c r="H312" t="s">
        <v>126</v>
      </c>
      <c r="I312" t="s">
        <v>127</v>
      </c>
      <c r="J312">
        <v>66.905474574628599</v>
      </c>
      <c r="K312">
        <v>3</v>
      </c>
      <c r="L312">
        <v>580953.61682641495</v>
      </c>
      <c r="M312">
        <v>44366.210275757199</v>
      </c>
      <c r="N312">
        <v>163631.49075</v>
      </c>
      <c r="O312">
        <v>54586.031010280101</v>
      </c>
      <c r="P312">
        <v>292150.16232641297</v>
      </c>
      <c r="Q312">
        <v>15978.450195696199</v>
      </c>
      <c r="R312">
        <v>75142.841166964106</v>
      </c>
      <c r="S312">
        <v>91121.291362660297</v>
      </c>
      <c r="T312">
        <v>98952.241286037301</v>
      </c>
      <c r="U312">
        <v>546902.94443907298</v>
      </c>
      <c r="V312">
        <v>645855.18572511105</v>
      </c>
      <c r="W312">
        <v>-64901.568898695899</v>
      </c>
      <c r="X312">
        <v>66.905474574628599</v>
      </c>
      <c r="Y312">
        <v>177464.84110302801</v>
      </c>
      <c r="Z312">
        <v>654525.96299999999</v>
      </c>
      <c r="AA312">
        <v>129082.26556248699</v>
      </c>
      <c r="AB312">
        <v>57760</v>
      </c>
      <c r="AC312">
        <v>1485534.9790999901</v>
      </c>
      <c r="AD312">
        <v>3092074.3478999999</v>
      </c>
      <c r="AE312">
        <v>642526.80000000005</v>
      </c>
    </row>
    <row r="313" spans="1:31" x14ac:dyDescent="0.45">
      <c r="A313" t="s">
        <v>119</v>
      </c>
      <c r="B313" t="s">
        <v>163</v>
      </c>
      <c r="C313" t="s">
        <v>121</v>
      </c>
      <c r="D313" t="s">
        <v>161</v>
      </c>
      <c r="E313" t="s">
        <v>137</v>
      </c>
      <c r="F313" t="s">
        <v>1</v>
      </c>
      <c r="G313" t="s">
        <v>138</v>
      </c>
      <c r="H313" t="s">
        <v>128</v>
      </c>
      <c r="I313" t="s">
        <v>129</v>
      </c>
      <c r="J313">
        <v>69.28</v>
      </c>
      <c r="K313">
        <v>3</v>
      </c>
      <c r="L313">
        <v>555647.7696</v>
      </c>
      <c r="M313">
        <v>35492.968220605799</v>
      </c>
      <c r="N313">
        <v>130905.19259999999</v>
      </c>
      <c r="O313">
        <v>26286.699002059999</v>
      </c>
      <c r="P313">
        <v>302518.79049743997</v>
      </c>
      <c r="Q313">
        <v>16545.5373659006</v>
      </c>
      <c r="R313">
        <v>77809.716905011097</v>
      </c>
      <c r="S313">
        <v>94355.254270911697</v>
      </c>
      <c r="T313">
        <v>61779.667222665797</v>
      </c>
      <c r="U313">
        <v>527779.23736835201</v>
      </c>
      <c r="V313">
        <v>589558.90459101798</v>
      </c>
      <c r="W313">
        <v>-33911.1349910184</v>
      </c>
      <c r="X313">
        <v>0</v>
      </c>
      <c r="Y313">
        <v>177464.84110302801</v>
      </c>
      <c r="Z313">
        <v>654525.96299999999</v>
      </c>
      <c r="AA313">
        <v>129082.26556248699</v>
      </c>
      <c r="AB313">
        <v>57760</v>
      </c>
      <c r="AC313">
        <v>1485534.9790999901</v>
      </c>
      <c r="AD313">
        <v>3092074.3478999999</v>
      </c>
      <c r="AE313">
        <v>642526.80000000005</v>
      </c>
    </row>
    <row r="314" spans="1:31" x14ac:dyDescent="0.45">
      <c r="A314" t="s">
        <v>119</v>
      </c>
      <c r="B314" t="s">
        <v>163</v>
      </c>
      <c r="C314" t="s">
        <v>121</v>
      </c>
      <c r="D314" t="s">
        <v>161</v>
      </c>
      <c r="E314" t="s">
        <v>137</v>
      </c>
      <c r="F314" t="s">
        <v>1</v>
      </c>
      <c r="G314" t="s">
        <v>138</v>
      </c>
      <c r="H314" t="s">
        <v>130</v>
      </c>
      <c r="I314" t="s">
        <v>129</v>
      </c>
      <c r="J314">
        <v>68.3</v>
      </c>
      <c r="K314">
        <v>3</v>
      </c>
      <c r="L314">
        <v>547787.85599999898</v>
      </c>
      <c r="M314">
        <v>35492.968220605799</v>
      </c>
      <c r="N314">
        <v>130905.19259999999</v>
      </c>
      <c r="O314">
        <v>25914.860592388799</v>
      </c>
      <c r="P314">
        <v>298239.511994445</v>
      </c>
      <c r="Q314">
        <v>16311.492524408301</v>
      </c>
      <c r="R314">
        <v>76709.059824079901</v>
      </c>
      <c r="S314">
        <v>93020.552348488302</v>
      </c>
      <c r="T314">
        <v>61407.828812994601</v>
      </c>
      <c r="U314">
        <v>522165.25694293401</v>
      </c>
      <c r="V314">
        <v>583573.08575592795</v>
      </c>
      <c r="W314">
        <v>-35785.2297559289</v>
      </c>
      <c r="X314">
        <v>0</v>
      </c>
      <c r="Y314">
        <v>177464.84110302801</v>
      </c>
      <c r="Z314">
        <v>654525.96299999999</v>
      </c>
      <c r="AA314">
        <v>129082.26556248699</v>
      </c>
      <c r="AB314">
        <v>57760</v>
      </c>
      <c r="AC314">
        <v>1485534.9790999901</v>
      </c>
      <c r="AD314">
        <v>3092074.3478999999</v>
      </c>
      <c r="AE314">
        <v>642526.80000000005</v>
      </c>
    </row>
    <row r="315" spans="1:31" x14ac:dyDescent="0.45">
      <c r="A315" t="s">
        <v>119</v>
      </c>
      <c r="B315" t="s">
        <v>163</v>
      </c>
      <c r="C315" t="s">
        <v>121</v>
      </c>
      <c r="D315" t="s">
        <v>161</v>
      </c>
      <c r="E315" t="s">
        <v>137</v>
      </c>
      <c r="F315" t="s">
        <v>1</v>
      </c>
      <c r="G315" t="s">
        <v>139</v>
      </c>
      <c r="H315" t="s">
        <v>132</v>
      </c>
      <c r="I315" t="s">
        <v>129</v>
      </c>
      <c r="J315">
        <v>65.437734564271594</v>
      </c>
      <c r="K315">
        <v>3</v>
      </c>
      <c r="L315">
        <v>568208.93676848302</v>
      </c>
      <c r="M315">
        <v>31056.34719303</v>
      </c>
      <c r="N315">
        <v>114542.043524999</v>
      </c>
      <c r="O315">
        <v>53388.5490070546</v>
      </c>
      <c r="P315">
        <v>285741.11306691699</v>
      </c>
      <c r="Q315">
        <v>15627.9226670473</v>
      </c>
      <c r="R315">
        <v>73494.393783938096</v>
      </c>
      <c r="S315">
        <v>89122.316450985498</v>
      </c>
      <c r="T315">
        <v>84444.896200084695</v>
      </c>
      <c r="U315">
        <v>489405.47304290201</v>
      </c>
      <c r="V315">
        <v>573850.36924298701</v>
      </c>
      <c r="W315">
        <v>-5641.4324745041004</v>
      </c>
      <c r="X315">
        <v>65.437734564271594</v>
      </c>
      <c r="Y315">
        <v>177464.84110302801</v>
      </c>
      <c r="Z315">
        <v>654525.96299999999</v>
      </c>
      <c r="AA315">
        <v>129082.26556248699</v>
      </c>
      <c r="AB315">
        <v>57760</v>
      </c>
      <c r="AC315">
        <v>1485534.9790999901</v>
      </c>
      <c r="AD315">
        <v>3092074.3478999999</v>
      </c>
      <c r="AE315">
        <v>642526.80000000005</v>
      </c>
    </row>
    <row r="316" spans="1:31" x14ac:dyDescent="0.45">
      <c r="A316" t="s">
        <v>119</v>
      </c>
      <c r="B316" t="s">
        <v>163</v>
      </c>
      <c r="C316" t="s">
        <v>121</v>
      </c>
      <c r="D316" t="s">
        <v>161</v>
      </c>
      <c r="E316" t="s">
        <v>137</v>
      </c>
      <c r="F316" t="s">
        <v>1</v>
      </c>
      <c r="G316" t="s">
        <v>139</v>
      </c>
      <c r="H316" t="s">
        <v>133</v>
      </c>
      <c r="I316" t="s">
        <v>129</v>
      </c>
      <c r="J316">
        <v>70.28</v>
      </c>
      <c r="K316">
        <v>3</v>
      </c>
      <c r="L316">
        <v>603930.09600000002</v>
      </c>
      <c r="M316">
        <v>31056.34719303</v>
      </c>
      <c r="N316">
        <v>114542.043524999</v>
      </c>
      <c r="O316">
        <v>26666.1259507041</v>
      </c>
      <c r="P316">
        <v>306885.40121478197</v>
      </c>
      <c r="Q316">
        <v>16784.3586327294</v>
      </c>
      <c r="R316">
        <v>78932.836375348998</v>
      </c>
      <c r="S316">
        <v>95717.195008078503</v>
      </c>
      <c r="T316">
        <v>57722.473143734198</v>
      </c>
      <c r="U316">
        <v>517144.63974786102</v>
      </c>
      <c r="V316">
        <v>574867.112891595</v>
      </c>
      <c r="W316">
        <v>29062.983108404602</v>
      </c>
      <c r="X316">
        <v>0</v>
      </c>
      <c r="Y316">
        <v>177464.84110302801</v>
      </c>
      <c r="Z316">
        <v>654525.96299999999</v>
      </c>
      <c r="AA316">
        <v>129082.26556248699</v>
      </c>
      <c r="AB316">
        <v>57760</v>
      </c>
      <c r="AC316">
        <v>1485534.9790999901</v>
      </c>
      <c r="AD316">
        <v>3092074.3478999999</v>
      </c>
      <c r="AE316">
        <v>642526.80000000005</v>
      </c>
    </row>
    <row r="317" spans="1:31" x14ac:dyDescent="0.45">
      <c r="A317" t="s">
        <v>119</v>
      </c>
      <c r="B317" t="s">
        <v>163</v>
      </c>
      <c r="C317" t="s">
        <v>121</v>
      </c>
      <c r="D317" t="s">
        <v>161</v>
      </c>
      <c r="E317" t="s">
        <v>140</v>
      </c>
      <c r="F317" t="s">
        <v>1</v>
      </c>
      <c r="G317" t="s">
        <v>138</v>
      </c>
      <c r="H317" t="s">
        <v>126</v>
      </c>
      <c r="I317" t="s">
        <v>127</v>
      </c>
      <c r="J317">
        <v>46.373812552162903</v>
      </c>
      <c r="K317">
        <v>2</v>
      </c>
      <c r="L317">
        <v>352860.658400035</v>
      </c>
      <c r="M317">
        <v>29577.3918538543</v>
      </c>
      <c r="N317">
        <v>61951.02375</v>
      </c>
      <c r="O317">
        <v>29726.404656229301</v>
      </c>
      <c r="P317">
        <v>113861.47431842001</v>
      </c>
      <c r="Q317">
        <v>9698.7551598800201</v>
      </c>
      <c r="R317">
        <v>45610.932823287003</v>
      </c>
      <c r="S317">
        <v>55309.687983167103</v>
      </c>
      <c r="T317">
        <v>59303.796510083601</v>
      </c>
      <c r="U317">
        <v>231122.18605158699</v>
      </c>
      <c r="V317">
        <v>290425.982561671</v>
      </c>
      <c r="W317">
        <v>62434.675838364397</v>
      </c>
      <c r="X317">
        <v>46.373812552162903</v>
      </c>
      <c r="Y317">
        <v>118309.567415417</v>
      </c>
      <c r="Z317">
        <v>247804.095</v>
      </c>
      <c r="AA317">
        <v>88971.530744172094</v>
      </c>
      <c r="AB317">
        <v>23959</v>
      </c>
      <c r="AC317">
        <v>575146.59249999898</v>
      </c>
      <c r="AD317">
        <v>3092074.3478999999</v>
      </c>
      <c r="AE317">
        <v>642526.80000000005</v>
      </c>
    </row>
    <row r="318" spans="1:31" x14ac:dyDescent="0.45">
      <c r="A318" t="s">
        <v>119</v>
      </c>
      <c r="B318" t="s">
        <v>163</v>
      </c>
      <c r="C318" t="s">
        <v>121</v>
      </c>
      <c r="D318" t="s">
        <v>161</v>
      </c>
      <c r="E318" t="s">
        <v>140</v>
      </c>
      <c r="F318" t="s">
        <v>1</v>
      </c>
      <c r="G318" t="s">
        <v>138</v>
      </c>
      <c r="H318" t="s">
        <v>128</v>
      </c>
      <c r="I318" t="s">
        <v>129</v>
      </c>
      <c r="J318">
        <v>47.5</v>
      </c>
      <c r="K318">
        <v>2</v>
      </c>
      <c r="L318">
        <v>333344.55</v>
      </c>
      <c r="M318">
        <v>23661.913483083401</v>
      </c>
      <c r="N318">
        <v>49560.819000000003</v>
      </c>
      <c r="O318">
        <v>18041.3952785035</v>
      </c>
      <c r="P318">
        <v>116626.598773637</v>
      </c>
      <c r="Q318">
        <v>9934.2893055450004</v>
      </c>
      <c r="R318">
        <v>46718.593746614097</v>
      </c>
      <c r="S318">
        <v>56652.883052159101</v>
      </c>
      <c r="T318">
        <v>41703.308761586901</v>
      </c>
      <c r="U318">
        <v>222840.300825796</v>
      </c>
      <c r="V318">
        <v>264543.60958738299</v>
      </c>
      <c r="W318">
        <v>68800.940412616706</v>
      </c>
      <c r="X318">
        <v>0</v>
      </c>
      <c r="Y318">
        <v>118309.567415417</v>
      </c>
      <c r="Z318">
        <v>247804.095</v>
      </c>
      <c r="AA318">
        <v>88971.530744172094</v>
      </c>
      <c r="AB318">
        <v>23959</v>
      </c>
      <c r="AC318">
        <v>575146.59249999898</v>
      </c>
      <c r="AD318">
        <v>3092074.3478999999</v>
      </c>
      <c r="AE318">
        <v>642526.80000000005</v>
      </c>
    </row>
    <row r="319" spans="1:31" x14ac:dyDescent="0.45">
      <c r="A319" t="s">
        <v>119</v>
      </c>
      <c r="B319" t="s">
        <v>163</v>
      </c>
      <c r="C319" t="s">
        <v>121</v>
      </c>
      <c r="D319" t="s">
        <v>161</v>
      </c>
      <c r="E319" t="s">
        <v>140</v>
      </c>
      <c r="F319" t="s">
        <v>1</v>
      </c>
      <c r="G319" t="s">
        <v>138</v>
      </c>
      <c r="H319" t="s">
        <v>130</v>
      </c>
      <c r="I319" t="s">
        <v>129</v>
      </c>
      <c r="J319">
        <v>46.52</v>
      </c>
      <c r="K319">
        <v>2</v>
      </c>
      <c r="L319">
        <v>326467.12560000003</v>
      </c>
      <c r="M319">
        <v>23661.913483083401</v>
      </c>
      <c r="N319">
        <v>49560.819000000003</v>
      </c>
      <c r="O319">
        <v>17669.172807494298</v>
      </c>
      <c r="P319">
        <v>114220.407893675</v>
      </c>
      <c r="Q319">
        <v>9729.3292314516493</v>
      </c>
      <c r="R319">
        <v>45754.715391420803</v>
      </c>
      <c r="S319">
        <v>55484.044622872403</v>
      </c>
      <c r="T319">
        <v>41331.086290577798</v>
      </c>
      <c r="U319">
        <v>219265.271516548</v>
      </c>
      <c r="V319">
        <v>260596.35780712601</v>
      </c>
      <c r="W319">
        <v>65870.767792873798</v>
      </c>
      <c r="X319">
        <v>0</v>
      </c>
      <c r="Y319">
        <v>118309.567415417</v>
      </c>
      <c r="Z319">
        <v>247804.095</v>
      </c>
      <c r="AA319">
        <v>88971.530744172094</v>
      </c>
      <c r="AB319">
        <v>23959</v>
      </c>
      <c r="AC319">
        <v>575146.59249999898</v>
      </c>
      <c r="AD319">
        <v>3092074.3478999999</v>
      </c>
      <c r="AE319">
        <v>642526.80000000005</v>
      </c>
    </row>
    <row r="320" spans="1:31" x14ac:dyDescent="0.45">
      <c r="A320" t="s">
        <v>119</v>
      </c>
      <c r="B320" t="s">
        <v>163</v>
      </c>
      <c r="C320" t="s">
        <v>121</v>
      </c>
      <c r="D320" t="s">
        <v>161</v>
      </c>
      <c r="E320" t="s">
        <v>140</v>
      </c>
      <c r="F320" t="s">
        <v>1</v>
      </c>
      <c r="G320" t="s">
        <v>139</v>
      </c>
      <c r="H320" t="s">
        <v>132</v>
      </c>
      <c r="I320" t="s">
        <v>129</v>
      </c>
      <c r="J320">
        <v>45.353464064167603</v>
      </c>
      <c r="K320">
        <v>2</v>
      </c>
      <c r="L320">
        <v>345096.77573745401</v>
      </c>
      <c r="M320">
        <v>20704.174297697999</v>
      </c>
      <c r="N320">
        <v>43365.716625000001</v>
      </c>
      <c r="O320">
        <v>29072.343875472801</v>
      </c>
      <c r="P320">
        <v>111356.215924342</v>
      </c>
      <c r="Q320">
        <v>9485.3564846753707</v>
      </c>
      <c r="R320">
        <v>44607.369739273898</v>
      </c>
      <c r="S320">
        <v>54092.726223949299</v>
      </c>
      <c r="T320">
        <v>49776.518173170902</v>
      </c>
      <c r="U320">
        <v>208814.65877329101</v>
      </c>
      <c r="V320">
        <v>258591.17694646199</v>
      </c>
      <c r="W320">
        <v>86505.598790992502</v>
      </c>
      <c r="X320">
        <v>45.353464064167603</v>
      </c>
      <c r="Y320">
        <v>118309.567415417</v>
      </c>
      <c r="Z320">
        <v>247804.095</v>
      </c>
      <c r="AA320">
        <v>88971.530744172094</v>
      </c>
      <c r="AB320">
        <v>23959</v>
      </c>
      <c r="AC320">
        <v>575146.59249999898</v>
      </c>
      <c r="AD320">
        <v>3092074.3478999999</v>
      </c>
      <c r="AE320">
        <v>642526.80000000005</v>
      </c>
    </row>
    <row r="321" spans="1:31" x14ac:dyDescent="0.45">
      <c r="A321" t="s">
        <v>119</v>
      </c>
      <c r="B321" t="s">
        <v>163</v>
      </c>
      <c r="C321" t="s">
        <v>121</v>
      </c>
      <c r="D321" t="s">
        <v>161</v>
      </c>
      <c r="E321" t="s">
        <v>140</v>
      </c>
      <c r="F321" t="s">
        <v>1</v>
      </c>
      <c r="G321" t="s">
        <v>139</v>
      </c>
      <c r="H321" t="s">
        <v>133</v>
      </c>
      <c r="I321" t="s">
        <v>129</v>
      </c>
      <c r="J321">
        <v>48.5</v>
      </c>
      <c r="K321">
        <v>2</v>
      </c>
      <c r="L321">
        <v>364673.92499999999</v>
      </c>
      <c r="M321">
        <v>20704.174297697999</v>
      </c>
      <c r="N321">
        <v>43365.716625000001</v>
      </c>
      <c r="O321">
        <v>18421.214126472001</v>
      </c>
      <c r="P321">
        <v>119081.895589924</v>
      </c>
      <c r="Q321">
        <v>10143.432238293301</v>
      </c>
      <c r="R321">
        <v>47702.143088648103</v>
      </c>
      <c r="S321">
        <v>57845.575326941398</v>
      </c>
      <c r="T321">
        <v>39125.38842417</v>
      </c>
      <c r="U321">
        <v>220293.18754186499</v>
      </c>
      <c r="V321">
        <v>259418.57596603499</v>
      </c>
      <c r="W321">
        <v>105255.349033964</v>
      </c>
      <c r="X321">
        <v>0</v>
      </c>
      <c r="Y321">
        <v>118309.567415417</v>
      </c>
      <c r="Z321">
        <v>247804.095</v>
      </c>
      <c r="AA321">
        <v>88971.530744172094</v>
      </c>
      <c r="AB321">
        <v>23959</v>
      </c>
      <c r="AC321">
        <v>575146.59249999898</v>
      </c>
      <c r="AD321">
        <v>3092074.3478999999</v>
      </c>
      <c r="AE321">
        <v>642526.80000000005</v>
      </c>
    </row>
    <row r="322" spans="1:31" x14ac:dyDescent="0.45">
      <c r="A322" t="s">
        <v>119</v>
      </c>
      <c r="B322" t="s">
        <v>163</v>
      </c>
      <c r="C322" t="s">
        <v>121</v>
      </c>
      <c r="D322" t="s">
        <v>161</v>
      </c>
      <c r="E322" t="s">
        <v>141</v>
      </c>
      <c r="F322" t="s">
        <v>1</v>
      </c>
      <c r="G322" t="s">
        <v>138</v>
      </c>
      <c r="H322" t="s">
        <v>126</v>
      </c>
      <c r="I322" t="s">
        <v>127</v>
      </c>
      <c r="J322">
        <v>43.5802377643395</v>
      </c>
      <c r="K322">
        <v>2</v>
      </c>
      <c r="L322">
        <v>324916.82067580998</v>
      </c>
      <c r="M322">
        <v>29577.3918538543</v>
      </c>
      <c r="N322">
        <v>60604.285875000001</v>
      </c>
      <c r="O322">
        <v>27156.435058797098</v>
      </c>
      <c r="P322">
        <v>106577.09834760601</v>
      </c>
      <c r="Q322">
        <v>8926.1814576679608</v>
      </c>
      <c r="R322">
        <v>41977.702924011202</v>
      </c>
      <c r="S322">
        <v>50903.884381679098</v>
      </c>
      <c r="T322">
        <v>56733.826912651501</v>
      </c>
      <c r="U322">
        <v>218085.268604285</v>
      </c>
      <c r="V322">
        <v>274819.09551693703</v>
      </c>
      <c r="W322">
        <v>50097.725158872599</v>
      </c>
      <c r="X322">
        <v>43.5802377643395</v>
      </c>
      <c r="Y322">
        <v>118309.567415417</v>
      </c>
      <c r="Z322">
        <v>242417.14350000001</v>
      </c>
      <c r="AA322">
        <v>84231.465162676497</v>
      </c>
      <c r="AB322">
        <v>20978.85</v>
      </c>
      <c r="AC322">
        <v>542420.61880000005</v>
      </c>
      <c r="AD322">
        <v>3092074.3478999999</v>
      </c>
      <c r="AE322">
        <v>642526.80000000005</v>
      </c>
    </row>
    <row r="323" spans="1:31" x14ac:dyDescent="0.45">
      <c r="A323" t="s">
        <v>119</v>
      </c>
      <c r="B323" t="s">
        <v>163</v>
      </c>
      <c r="C323" t="s">
        <v>121</v>
      </c>
      <c r="D323" t="s">
        <v>161</v>
      </c>
      <c r="E323" t="s">
        <v>141</v>
      </c>
      <c r="F323" t="s">
        <v>1</v>
      </c>
      <c r="G323" t="s">
        <v>138</v>
      </c>
      <c r="H323" t="s">
        <v>128</v>
      </c>
      <c r="I323" t="s">
        <v>129</v>
      </c>
      <c r="J323">
        <v>45.53</v>
      </c>
      <c r="K323">
        <v>2</v>
      </c>
      <c r="L323">
        <v>312998.71679999999</v>
      </c>
      <c r="M323">
        <v>23661.913483083401</v>
      </c>
      <c r="N323">
        <v>48483.428699999997</v>
      </c>
      <c r="O323">
        <v>17290.601923233899</v>
      </c>
      <c r="P323">
        <v>111345.314681535</v>
      </c>
      <c r="Q323">
        <v>9325.5352108284096</v>
      </c>
      <c r="R323">
        <v>43855.768398173903</v>
      </c>
      <c r="S323">
        <v>53181.303609002302</v>
      </c>
      <c r="T323">
        <v>40952.515406317398</v>
      </c>
      <c r="U323">
        <v>213010.04699053799</v>
      </c>
      <c r="V323">
        <v>253962.56239685501</v>
      </c>
      <c r="W323">
        <v>59036.154403144603</v>
      </c>
      <c r="X323">
        <v>0</v>
      </c>
      <c r="Y323">
        <v>118309.567415417</v>
      </c>
      <c r="Z323">
        <v>242417.14350000001</v>
      </c>
      <c r="AA323">
        <v>84231.465162676497</v>
      </c>
      <c r="AB323">
        <v>20978.85</v>
      </c>
      <c r="AC323">
        <v>542420.61880000005</v>
      </c>
      <c r="AD323">
        <v>3092074.3478999999</v>
      </c>
      <c r="AE323">
        <v>642526.80000000005</v>
      </c>
    </row>
    <row r="324" spans="1:31" x14ac:dyDescent="0.45">
      <c r="A324" t="s">
        <v>119</v>
      </c>
      <c r="B324" t="s">
        <v>163</v>
      </c>
      <c r="C324" t="s">
        <v>121</v>
      </c>
      <c r="D324" t="s">
        <v>161</v>
      </c>
      <c r="E324" t="s">
        <v>141</v>
      </c>
      <c r="F324" t="s">
        <v>1</v>
      </c>
      <c r="G324" t="s">
        <v>138</v>
      </c>
      <c r="H324" t="s">
        <v>130</v>
      </c>
      <c r="I324" t="s">
        <v>129</v>
      </c>
      <c r="J324">
        <v>44.54</v>
      </c>
      <c r="K324">
        <v>2</v>
      </c>
      <c r="L324">
        <v>306192.90240000002</v>
      </c>
      <c r="M324">
        <v>23661.913483083401</v>
      </c>
      <c r="N324">
        <v>48483.428699999997</v>
      </c>
      <c r="O324">
        <v>16914.636715590601</v>
      </c>
      <c r="P324">
        <v>108924.232723821</v>
      </c>
      <c r="Q324">
        <v>9122.7616580342001</v>
      </c>
      <c r="R324">
        <v>42902.172731268802</v>
      </c>
      <c r="S324">
        <v>52024.934389303002</v>
      </c>
      <c r="T324">
        <v>40576.550198673998</v>
      </c>
      <c r="U324">
        <v>209432.595813124</v>
      </c>
      <c r="V324">
        <v>250009.146011798</v>
      </c>
      <c r="W324">
        <v>56183.756388201298</v>
      </c>
      <c r="X324">
        <v>0</v>
      </c>
      <c r="Y324">
        <v>118309.567415417</v>
      </c>
      <c r="Z324">
        <v>242417.14350000001</v>
      </c>
      <c r="AA324">
        <v>84231.465162676497</v>
      </c>
      <c r="AB324">
        <v>20978.85</v>
      </c>
      <c r="AC324">
        <v>542420.61880000005</v>
      </c>
      <c r="AD324">
        <v>3092074.3478999999</v>
      </c>
      <c r="AE324">
        <v>642526.80000000005</v>
      </c>
    </row>
    <row r="325" spans="1:31" x14ac:dyDescent="0.45">
      <c r="A325" t="s">
        <v>119</v>
      </c>
      <c r="B325" t="s">
        <v>163</v>
      </c>
      <c r="C325" t="s">
        <v>121</v>
      </c>
      <c r="D325" t="s">
        <v>161</v>
      </c>
      <c r="E325" t="s">
        <v>141</v>
      </c>
      <c r="F325" t="s">
        <v>1</v>
      </c>
      <c r="G325" t="s">
        <v>139</v>
      </c>
      <c r="H325" t="s">
        <v>132</v>
      </c>
      <c r="I325" t="s">
        <v>129</v>
      </c>
      <c r="J325">
        <v>42.619941655867301</v>
      </c>
      <c r="K325">
        <v>2</v>
      </c>
      <c r="L325">
        <v>317757.23700948397</v>
      </c>
      <c r="M325">
        <v>20704.174297697999</v>
      </c>
      <c r="N325">
        <v>42423.000112499998</v>
      </c>
      <c r="O325">
        <v>26558.039541820901</v>
      </c>
      <c r="P325">
        <v>104228.6583655</v>
      </c>
      <c r="Q325">
        <v>8729.4919085271995</v>
      </c>
      <c r="R325">
        <v>41052.718875541497</v>
      </c>
      <c r="S325">
        <v>49782.210784068702</v>
      </c>
      <c r="T325">
        <v>47262.213839518903</v>
      </c>
      <c r="U325">
        <v>196433.869262069</v>
      </c>
      <c r="V325">
        <v>243696.08310158801</v>
      </c>
      <c r="W325">
        <v>74061.1539078965</v>
      </c>
      <c r="X325">
        <v>42.619941655867301</v>
      </c>
      <c r="Y325">
        <v>118309.567415417</v>
      </c>
      <c r="Z325">
        <v>242417.14350000001</v>
      </c>
      <c r="AA325">
        <v>84231.465162676497</v>
      </c>
      <c r="AB325">
        <v>20978.85</v>
      </c>
      <c r="AC325">
        <v>542420.61880000005</v>
      </c>
      <c r="AD325">
        <v>3092074.3478999999</v>
      </c>
      <c r="AE325">
        <v>642526.80000000005</v>
      </c>
    </row>
    <row r="326" spans="1:31" x14ac:dyDescent="0.45">
      <c r="A326" t="s">
        <v>119</v>
      </c>
      <c r="B326" t="s">
        <v>163</v>
      </c>
      <c r="C326" t="s">
        <v>121</v>
      </c>
      <c r="D326" t="s">
        <v>161</v>
      </c>
      <c r="E326" t="s">
        <v>141</v>
      </c>
      <c r="F326" t="s">
        <v>1</v>
      </c>
      <c r="G326" t="s">
        <v>139</v>
      </c>
      <c r="H326" t="s">
        <v>133</v>
      </c>
      <c r="I326" t="s">
        <v>129</v>
      </c>
      <c r="J326">
        <v>45.53</v>
      </c>
      <c r="K326">
        <v>2</v>
      </c>
      <c r="L326">
        <v>335355.76799999998</v>
      </c>
      <c r="M326">
        <v>20704.174297697999</v>
      </c>
      <c r="N326">
        <v>42423.000112499998</v>
      </c>
      <c r="O326">
        <v>17290.601923233899</v>
      </c>
      <c r="P326">
        <v>111345.314681535</v>
      </c>
      <c r="Q326">
        <v>9325.5352108284096</v>
      </c>
      <c r="R326">
        <v>43855.768398173903</v>
      </c>
      <c r="S326">
        <v>53181.303609002302</v>
      </c>
      <c r="T326">
        <v>37994.776220931897</v>
      </c>
      <c r="U326">
        <v>206949.61840303801</v>
      </c>
      <c r="V326">
        <v>244944.39462397</v>
      </c>
      <c r="W326">
        <v>90411.373376029995</v>
      </c>
      <c r="X326">
        <v>0</v>
      </c>
      <c r="Y326">
        <v>118309.567415417</v>
      </c>
      <c r="Z326">
        <v>242417.14350000001</v>
      </c>
      <c r="AA326">
        <v>84231.465162676497</v>
      </c>
      <c r="AB326">
        <v>20978.85</v>
      </c>
      <c r="AC326">
        <v>542420.61880000005</v>
      </c>
      <c r="AD326">
        <v>3092074.3478999999</v>
      </c>
      <c r="AE326">
        <v>642526.80000000005</v>
      </c>
    </row>
    <row r="327" spans="1:31" x14ac:dyDescent="0.45">
      <c r="A327" t="s">
        <v>119</v>
      </c>
      <c r="B327" t="s">
        <v>163</v>
      </c>
      <c r="C327" t="s">
        <v>121</v>
      </c>
      <c r="D327" t="s">
        <v>161</v>
      </c>
      <c r="E327" t="s">
        <v>142</v>
      </c>
      <c r="F327" t="s">
        <v>143</v>
      </c>
      <c r="G327" t="s">
        <v>144</v>
      </c>
      <c r="H327" t="s">
        <v>126</v>
      </c>
      <c r="I327" t="s">
        <v>129</v>
      </c>
      <c r="J327">
        <v>45.271505028617597</v>
      </c>
      <c r="K327">
        <v>2</v>
      </c>
      <c r="L327">
        <v>326996.08082170499</v>
      </c>
      <c r="M327">
        <v>23662.109475044599</v>
      </c>
      <c r="N327">
        <v>53870.5965</v>
      </c>
      <c r="O327">
        <v>37856.314500015898</v>
      </c>
      <c r="P327">
        <v>121124.24415821199</v>
      </c>
      <c r="Q327">
        <v>10304.843925904201</v>
      </c>
      <c r="R327">
        <v>54505.902155346899</v>
      </c>
      <c r="S327">
        <v>64810.7460812512</v>
      </c>
      <c r="T327">
        <v>61518.423975060497</v>
      </c>
      <c r="U327">
        <v>239805.58673946399</v>
      </c>
      <c r="V327">
        <v>301324.01071452402</v>
      </c>
      <c r="W327">
        <v>25672.070107180502</v>
      </c>
      <c r="X327">
        <v>45.271505028617597</v>
      </c>
      <c r="Y327">
        <v>70986.328425133906</v>
      </c>
      <c r="Z327">
        <v>161611.78950000001</v>
      </c>
      <c r="AA327">
        <v>52872.751371513201</v>
      </c>
      <c r="AB327">
        <v>20672</v>
      </c>
      <c r="AC327">
        <v>372675.44459999999</v>
      </c>
      <c r="AD327">
        <v>3092074.3478999999</v>
      </c>
      <c r="AE327">
        <v>642526.80000000005</v>
      </c>
    </row>
    <row r="328" spans="1:31" x14ac:dyDescent="0.45">
      <c r="A328" t="s">
        <v>119</v>
      </c>
      <c r="B328" t="s">
        <v>163</v>
      </c>
      <c r="C328" t="s">
        <v>121</v>
      </c>
      <c r="D328" t="s">
        <v>161</v>
      </c>
      <c r="E328" t="s">
        <v>142</v>
      </c>
      <c r="F328" t="s">
        <v>143</v>
      </c>
      <c r="G328" t="s">
        <v>144</v>
      </c>
      <c r="H328" t="s">
        <v>128</v>
      </c>
      <c r="I328" t="s">
        <v>129</v>
      </c>
      <c r="J328">
        <v>47.5</v>
      </c>
      <c r="K328">
        <v>2</v>
      </c>
      <c r="L328">
        <v>338817.5</v>
      </c>
      <c r="M328">
        <v>23662.109475044599</v>
      </c>
      <c r="N328">
        <v>53870.5965</v>
      </c>
      <c r="O328">
        <v>18030.214330952102</v>
      </c>
      <c r="P328">
        <v>127086.59881923901</v>
      </c>
      <c r="Q328">
        <v>10812.101037308799</v>
      </c>
      <c r="R328">
        <v>57188.9613729954</v>
      </c>
      <c r="S328">
        <v>68001.062410304294</v>
      </c>
      <c r="T328">
        <v>41692.323805996799</v>
      </c>
      <c r="U328">
        <v>248958.25772954299</v>
      </c>
      <c r="V328">
        <v>290650.58153554</v>
      </c>
      <c r="W328">
        <v>48166.918464459399</v>
      </c>
      <c r="X328">
        <v>0</v>
      </c>
      <c r="Y328">
        <v>70986.328425133906</v>
      </c>
      <c r="Z328">
        <v>161611.78950000001</v>
      </c>
      <c r="AA328">
        <v>52872.751371513201</v>
      </c>
      <c r="AB328">
        <v>20672</v>
      </c>
      <c r="AC328">
        <v>372675.44459999999</v>
      </c>
      <c r="AD328">
        <v>3092074.3478999999</v>
      </c>
      <c r="AE328">
        <v>642526.80000000005</v>
      </c>
    </row>
    <row r="329" spans="1:31" x14ac:dyDescent="0.45">
      <c r="A329" t="s">
        <v>119</v>
      </c>
      <c r="B329" t="s">
        <v>163</v>
      </c>
      <c r="C329" t="s">
        <v>121</v>
      </c>
      <c r="D329" t="s">
        <v>161</v>
      </c>
      <c r="E329" t="s">
        <v>142</v>
      </c>
      <c r="F329" t="s">
        <v>143</v>
      </c>
      <c r="G329" t="s">
        <v>144</v>
      </c>
      <c r="H329" t="s">
        <v>130</v>
      </c>
      <c r="I329" t="s">
        <v>129</v>
      </c>
      <c r="J329">
        <v>46.52</v>
      </c>
      <c r="K329">
        <v>2</v>
      </c>
      <c r="L329">
        <v>331827.15999999997</v>
      </c>
      <c r="M329">
        <v>23662.109475044599</v>
      </c>
      <c r="N329">
        <v>53870.5965</v>
      </c>
      <c r="O329">
        <v>17658.222540545099</v>
      </c>
      <c r="P329">
        <v>124464.60162254699</v>
      </c>
      <c r="Q329">
        <v>10589.0303211707</v>
      </c>
      <c r="R329">
        <v>56009.062801510401</v>
      </c>
      <c r="S329">
        <v>66598.093122681195</v>
      </c>
      <c r="T329">
        <v>41320.332015589804</v>
      </c>
      <c r="U329">
        <v>244933.291245228</v>
      </c>
      <c r="V329">
        <v>286253.62326081801</v>
      </c>
      <c r="W329">
        <v>45573.536739181203</v>
      </c>
      <c r="X329">
        <v>0</v>
      </c>
      <c r="Y329">
        <v>70986.328425133906</v>
      </c>
      <c r="Z329">
        <v>161611.78950000001</v>
      </c>
      <c r="AA329">
        <v>52872.751371513201</v>
      </c>
      <c r="AB329">
        <v>20672</v>
      </c>
      <c r="AC329">
        <v>372675.44459999999</v>
      </c>
      <c r="AD329">
        <v>3092074.3478999999</v>
      </c>
      <c r="AE329">
        <v>642526.80000000005</v>
      </c>
    </row>
    <row r="330" spans="1:31" x14ac:dyDescent="0.45">
      <c r="A330" t="s">
        <v>119</v>
      </c>
      <c r="B330" t="s">
        <v>163</v>
      </c>
      <c r="C330" t="s">
        <v>121</v>
      </c>
      <c r="D330" t="s">
        <v>161</v>
      </c>
      <c r="E330" t="s">
        <v>145</v>
      </c>
      <c r="F330" t="s">
        <v>143</v>
      </c>
      <c r="G330" t="s">
        <v>144</v>
      </c>
      <c r="H330" t="s">
        <v>126</v>
      </c>
      <c r="I330" t="s">
        <v>129</v>
      </c>
      <c r="J330">
        <v>36.191560326036097</v>
      </c>
      <c r="K330">
        <v>2</v>
      </c>
      <c r="L330">
        <v>248503.92024467801</v>
      </c>
      <c r="M330">
        <v>23662.109475044599</v>
      </c>
      <c r="N330">
        <v>47406.110499999901</v>
      </c>
      <c r="O330">
        <v>27923.0299272962</v>
      </c>
      <c r="P330">
        <v>91882.918767321404</v>
      </c>
      <c r="Q330">
        <v>7827.50490398286</v>
      </c>
      <c r="R330">
        <v>41402.3947848924</v>
      </c>
      <c r="S330">
        <v>49229.899688875303</v>
      </c>
      <c r="T330">
        <v>51585.139402340799</v>
      </c>
      <c r="U330">
        <v>188518.928956196</v>
      </c>
      <c r="V330">
        <v>240104.06835853701</v>
      </c>
      <c r="W330">
        <v>8399.8518861406192</v>
      </c>
      <c r="X330">
        <v>36.191560326036097</v>
      </c>
      <c r="Y330">
        <v>70986.328425133906</v>
      </c>
      <c r="Z330">
        <v>142218.3315</v>
      </c>
      <c r="AA330">
        <v>42662.550153071701</v>
      </c>
      <c r="AB330">
        <v>14186.35</v>
      </c>
      <c r="AC330">
        <v>285364.41489999997</v>
      </c>
      <c r="AD330">
        <v>3092074.3478999999</v>
      </c>
      <c r="AE330">
        <v>642526.80000000005</v>
      </c>
    </row>
    <row r="331" spans="1:31" x14ac:dyDescent="0.45">
      <c r="A331" t="s">
        <v>119</v>
      </c>
      <c r="B331" t="s">
        <v>163</v>
      </c>
      <c r="C331" t="s">
        <v>121</v>
      </c>
      <c r="D331" t="s">
        <v>161</v>
      </c>
      <c r="E331" t="s">
        <v>145</v>
      </c>
      <c r="F331" t="s">
        <v>143</v>
      </c>
      <c r="G331" t="s">
        <v>144</v>
      </c>
      <c r="H331" t="s">
        <v>128</v>
      </c>
      <c r="I331" t="s">
        <v>129</v>
      </c>
      <c r="J331">
        <v>38.6</v>
      </c>
      <c r="K331">
        <v>2</v>
      </c>
      <c r="L331">
        <v>261567.11</v>
      </c>
      <c r="M331">
        <v>23662.109475044599</v>
      </c>
      <c r="N331">
        <v>47406.110499999901</v>
      </c>
      <c r="O331">
        <v>14650.8147318584</v>
      </c>
      <c r="P331">
        <v>97997.4511313658</v>
      </c>
      <c r="Q331">
        <v>8348.4018531353104</v>
      </c>
      <c r="R331">
        <v>44157.599846480101</v>
      </c>
      <c r="S331">
        <v>52506.001699615401</v>
      </c>
      <c r="T331">
        <v>38312.924206903102</v>
      </c>
      <c r="U331">
        <v>197909.56333098101</v>
      </c>
      <c r="V331">
        <v>236222.48753788401</v>
      </c>
      <c r="W331">
        <v>25344.622462115502</v>
      </c>
      <c r="X331">
        <v>0</v>
      </c>
      <c r="Y331">
        <v>70986.328425133906</v>
      </c>
      <c r="Z331">
        <v>142218.3315</v>
      </c>
      <c r="AA331">
        <v>42662.550153071701</v>
      </c>
      <c r="AB331">
        <v>14186.35</v>
      </c>
      <c r="AC331">
        <v>285364.41489999997</v>
      </c>
      <c r="AD331">
        <v>3092074.3478999999</v>
      </c>
      <c r="AE331">
        <v>642526.80000000005</v>
      </c>
    </row>
    <row r="332" spans="1:31" x14ac:dyDescent="0.45">
      <c r="A332" t="s">
        <v>119</v>
      </c>
      <c r="B332" t="s">
        <v>163</v>
      </c>
      <c r="C332" t="s">
        <v>121</v>
      </c>
      <c r="D332" t="s">
        <v>161</v>
      </c>
      <c r="E332" t="s">
        <v>145</v>
      </c>
      <c r="F332" t="s">
        <v>143</v>
      </c>
      <c r="G332" t="s">
        <v>144</v>
      </c>
      <c r="H332" t="s">
        <v>130</v>
      </c>
      <c r="I332" t="s">
        <v>129</v>
      </c>
      <c r="J332">
        <v>37.61</v>
      </c>
      <c r="K332">
        <v>2</v>
      </c>
      <c r="L332">
        <v>254858.52350000001</v>
      </c>
      <c r="M332">
        <v>23662.109475044599</v>
      </c>
      <c r="N332">
        <v>47406.110499999901</v>
      </c>
      <c r="O332">
        <v>14275.055493917</v>
      </c>
      <c r="P332">
        <v>95484.045001312697</v>
      </c>
      <c r="Q332">
        <v>8134.28481078806</v>
      </c>
      <c r="R332">
        <v>43025.0603685522</v>
      </c>
      <c r="S332">
        <v>51159.3451793403</v>
      </c>
      <c r="T332">
        <v>37937.164968961602</v>
      </c>
      <c r="U332">
        <v>194049.500680653</v>
      </c>
      <c r="V332">
        <v>231986.66564961401</v>
      </c>
      <c r="W332">
        <v>22871.857850385299</v>
      </c>
      <c r="X332">
        <v>0</v>
      </c>
      <c r="Y332">
        <v>70986.328425133906</v>
      </c>
      <c r="Z332">
        <v>142218.3315</v>
      </c>
      <c r="AA332">
        <v>42662.550153071701</v>
      </c>
      <c r="AB332">
        <v>14186.35</v>
      </c>
      <c r="AC332">
        <v>285364.41489999997</v>
      </c>
      <c r="AD332">
        <v>3092074.3478999999</v>
      </c>
      <c r="AE332">
        <v>642526.80000000005</v>
      </c>
    </row>
    <row r="333" spans="1:31" x14ac:dyDescent="0.45">
      <c r="A333" t="s">
        <v>119</v>
      </c>
      <c r="B333" t="s">
        <v>163</v>
      </c>
      <c r="C333" t="s">
        <v>121</v>
      </c>
      <c r="D333" t="s">
        <v>161</v>
      </c>
      <c r="E333" t="s">
        <v>146</v>
      </c>
      <c r="F333" t="s">
        <v>143</v>
      </c>
      <c r="G333" t="s">
        <v>144</v>
      </c>
      <c r="H333" t="s">
        <v>126</v>
      </c>
      <c r="I333" t="s">
        <v>129</v>
      </c>
      <c r="J333">
        <v>36.183885337566601</v>
      </c>
      <c r="K333">
        <v>2</v>
      </c>
      <c r="L333">
        <v>248451.22108759999</v>
      </c>
      <c r="M333">
        <v>23662.109475044599</v>
      </c>
      <c r="N333">
        <v>47406.110499999901</v>
      </c>
      <c r="O333">
        <v>28153.804679979301</v>
      </c>
      <c r="P333">
        <v>91869.706587251101</v>
      </c>
      <c r="Q333">
        <v>7825.8401668918896</v>
      </c>
      <c r="R333">
        <v>41393.589411647801</v>
      </c>
      <c r="S333">
        <v>49219.429578539697</v>
      </c>
      <c r="T333">
        <v>51815.9141550239</v>
      </c>
      <c r="U333">
        <v>188495.24666579001</v>
      </c>
      <c r="V333">
        <v>240311.160820814</v>
      </c>
      <c r="W333">
        <v>8140.0602667859603</v>
      </c>
      <c r="X333">
        <v>36.183885337566601</v>
      </c>
      <c r="Y333">
        <v>70986.328425133906</v>
      </c>
      <c r="Z333">
        <v>142218.3315</v>
      </c>
      <c r="AA333">
        <v>42662.550153071701</v>
      </c>
      <c r="AB333">
        <v>14419.1</v>
      </c>
      <c r="AC333">
        <v>285364.41489999997</v>
      </c>
      <c r="AD333">
        <v>3092074.3478999999</v>
      </c>
      <c r="AE333">
        <v>642526.80000000005</v>
      </c>
    </row>
    <row r="334" spans="1:31" x14ac:dyDescent="0.45">
      <c r="A334" t="s">
        <v>119</v>
      </c>
      <c r="B334" t="s">
        <v>163</v>
      </c>
      <c r="C334" t="s">
        <v>121</v>
      </c>
      <c r="D334" t="s">
        <v>161</v>
      </c>
      <c r="E334" t="s">
        <v>146</v>
      </c>
      <c r="F334" t="s">
        <v>143</v>
      </c>
      <c r="G334" t="s">
        <v>144</v>
      </c>
      <c r="H334" t="s">
        <v>128</v>
      </c>
      <c r="I334" t="s">
        <v>129</v>
      </c>
      <c r="J334">
        <v>38.6</v>
      </c>
      <c r="K334">
        <v>2</v>
      </c>
      <c r="L334">
        <v>261567.11</v>
      </c>
      <c r="M334">
        <v>23662.109475044599</v>
      </c>
      <c r="N334">
        <v>47406.110499999901</v>
      </c>
      <c r="O334">
        <v>14651.8151851642</v>
      </c>
      <c r="P334">
        <v>98004.143037293004</v>
      </c>
      <c r="Q334">
        <v>8348.3967413639093</v>
      </c>
      <c r="R334">
        <v>44157.572808543999</v>
      </c>
      <c r="S334">
        <v>52505.969549907903</v>
      </c>
      <c r="T334">
        <v>38313.924660208897</v>
      </c>
      <c r="U334">
        <v>197916.22308720101</v>
      </c>
      <c r="V334">
        <v>236230.14774740901</v>
      </c>
      <c r="W334">
        <v>25336.962252590001</v>
      </c>
      <c r="X334">
        <v>0</v>
      </c>
      <c r="Y334">
        <v>70986.328425133906</v>
      </c>
      <c r="Z334">
        <v>142218.3315</v>
      </c>
      <c r="AA334">
        <v>42662.550153071701</v>
      </c>
      <c r="AB334">
        <v>14419.1</v>
      </c>
      <c r="AC334">
        <v>285364.41489999997</v>
      </c>
      <c r="AD334">
        <v>3092074.3478999999</v>
      </c>
      <c r="AE334">
        <v>642526.80000000005</v>
      </c>
    </row>
    <row r="335" spans="1:31" x14ac:dyDescent="0.45">
      <c r="A335" t="s">
        <v>119</v>
      </c>
      <c r="B335" t="s">
        <v>163</v>
      </c>
      <c r="C335" t="s">
        <v>121</v>
      </c>
      <c r="D335" t="s">
        <v>161</v>
      </c>
      <c r="E335" t="s">
        <v>146</v>
      </c>
      <c r="F335" t="s">
        <v>143</v>
      </c>
      <c r="G335" t="s">
        <v>144</v>
      </c>
      <c r="H335" t="s">
        <v>130</v>
      </c>
      <c r="I335" t="s">
        <v>129</v>
      </c>
      <c r="J335">
        <v>37.61</v>
      </c>
      <c r="K335">
        <v>2</v>
      </c>
      <c r="L335">
        <v>254858.52350000001</v>
      </c>
      <c r="M335">
        <v>23662.109475044599</v>
      </c>
      <c r="N335">
        <v>47406.110499999901</v>
      </c>
      <c r="O335">
        <v>14276.030287928101</v>
      </c>
      <c r="P335">
        <v>95490.565275455694</v>
      </c>
      <c r="Q335">
        <v>8134.2798301216799</v>
      </c>
      <c r="R335">
        <v>43025.0340240761</v>
      </c>
      <c r="S335">
        <v>51159.313854197797</v>
      </c>
      <c r="T335">
        <v>37938.139762972802</v>
      </c>
      <c r="U335">
        <v>194055.98962965299</v>
      </c>
      <c r="V335">
        <v>231994.129392626</v>
      </c>
      <c r="W335">
        <v>22864.3941073735</v>
      </c>
      <c r="X335">
        <v>0</v>
      </c>
      <c r="Y335">
        <v>70986.328425133906</v>
      </c>
      <c r="Z335">
        <v>142218.3315</v>
      </c>
      <c r="AA335">
        <v>42662.550153071701</v>
      </c>
      <c r="AB335">
        <v>14419.1</v>
      </c>
      <c r="AC335">
        <v>285364.41489999997</v>
      </c>
      <c r="AD335">
        <v>3092074.3478999999</v>
      </c>
      <c r="AE335">
        <v>642526.80000000005</v>
      </c>
    </row>
    <row r="336" spans="1:31" x14ac:dyDescent="0.45">
      <c r="A336" t="s">
        <v>119</v>
      </c>
      <c r="B336" t="s">
        <v>163</v>
      </c>
      <c r="C336" t="s">
        <v>121</v>
      </c>
      <c r="D336" t="s">
        <v>161</v>
      </c>
      <c r="E336" t="s">
        <v>147</v>
      </c>
      <c r="F336" t="s">
        <v>148</v>
      </c>
      <c r="G336" t="s">
        <v>149</v>
      </c>
      <c r="H336" t="s">
        <v>150</v>
      </c>
      <c r="I336" t="s">
        <v>129</v>
      </c>
      <c r="J336">
        <v>41.800320114414603</v>
      </c>
      <c r="K336">
        <v>2</v>
      </c>
      <c r="L336">
        <v>271844.20183208399</v>
      </c>
      <c r="M336">
        <v>28073.398541635899</v>
      </c>
      <c r="N336">
        <v>71583.889258474504</v>
      </c>
      <c r="O336">
        <v>33455.450908010898</v>
      </c>
      <c r="P336">
        <v>129406.71577696</v>
      </c>
      <c r="Q336">
        <v>9538.3068662331498</v>
      </c>
      <c r="R336">
        <v>53127.895346416903</v>
      </c>
      <c r="S336">
        <v>62666.202212650001</v>
      </c>
      <c r="T336">
        <v>61528.849449646899</v>
      </c>
      <c r="U336">
        <v>263656.80724808498</v>
      </c>
      <c r="V336">
        <v>325185.656697731</v>
      </c>
      <c r="W336">
        <v>-53341.454865647698</v>
      </c>
      <c r="X336">
        <v>41.800320114414603</v>
      </c>
      <c r="Y336">
        <v>94647.457940372595</v>
      </c>
      <c r="Z336">
        <v>241339.96950000001</v>
      </c>
      <c r="AA336">
        <v>66364.837980161203</v>
      </c>
      <c r="AB336">
        <v>34781.4</v>
      </c>
      <c r="AC336">
        <v>534590.03350000002</v>
      </c>
      <c r="AD336">
        <v>3092074.3478999999</v>
      </c>
      <c r="AE336">
        <v>642526.80000000005</v>
      </c>
    </row>
    <row r="337" spans="1:31" x14ac:dyDescent="0.45">
      <c r="A337" t="s">
        <v>119</v>
      </c>
      <c r="B337" t="s">
        <v>163</v>
      </c>
      <c r="C337" t="s">
        <v>121</v>
      </c>
      <c r="D337" t="s">
        <v>161</v>
      </c>
      <c r="E337" t="s">
        <v>147</v>
      </c>
      <c r="F337" t="s">
        <v>148</v>
      </c>
      <c r="G337" t="s">
        <v>149</v>
      </c>
      <c r="H337" t="s">
        <v>151</v>
      </c>
      <c r="I337" t="s">
        <v>129</v>
      </c>
      <c r="J337">
        <v>44.54</v>
      </c>
      <c r="K337">
        <v>2</v>
      </c>
      <c r="L337">
        <v>285652.83599999902</v>
      </c>
      <c r="M337">
        <v>28073.398541635899</v>
      </c>
      <c r="N337">
        <v>71583.889258474504</v>
      </c>
      <c r="O337">
        <v>17117.668082069598</v>
      </c>
      <c r="P337">
        <v>137888.300973039</v>
      </c>
      <c r="Q337">
        <v>10163.467328938499</v>
      </c>
      <c r="R337">
        <v>56610.008063392699</v>
      </c>
      <c r="S337">
        <v>66773.475392331195</v>
      </c>
      <c r="T337">
        <v>45191.066623705599</v>
      </c>
      <c r="U337">
        <v>276245.66562384501</v>
      </c>
      <c r="V337">
        <v>321436.73224755097</v>
      </c>
      <c r="W337">
        <v>-35783.8962475511</v>
      </c>
      <c r="X337">
        <v>0</v>
      </c>
      <c r="Y337">
        <v>94647.457940372595</v>
      </c>
      <c r="Z337">
        <v>241339.96950000001</v>
      </c>
      <c r="AA337">
        <v>66364.837980161203</v>
      </c>
      <c r="AB337">
        <v>34781.4</v>
      </c>
      <c r="AC337">
        <v>534590.03350000002</v>
      </c>
      <c r="AD337">
        <v>3092074.3478999999</v>
      </c>
      <c r="AE337">
        <v>642526.80000000005</v>
      </c>
    </row>
    <row r="338" spans="1:31" x14ac:dyDescent="0.45">
      <c r="A338" t="s">
        <v>119</v>
      </c>
      <c r="B338" t="s">
        <v>163</v>
      </c>
      <c r="C338" t="s">
        <v>121</v>
      </c>
      <c r="D338" t="s">
        <v>161</v>
      </c>
      <c r="E338" t="s">
        <v>147</v>
      </c>
      <c r="F338" t="s">
        <v>148</v>
      </c>
      <c r="G338" t="s">
        <v>152</v>
      </c>
      <c r="H338" t="s">
        <v>126</v>
      </c>
      <c r="I338" t="s">
        <v>129</v>
      </c>
      <c r="J338">
        <v>41.800320114414603</v>
      </c>
      <c r="K338">
        <v>2</v>
      </c>
      <c r="L338">
        <v>316524.56400238199</v>
      </c>
      <c r="M338">
        <v>19250.3304285503</v>
      </c>
      <c r="N338">
        <v>49086.095491525397</v>
      </c>
      <c r="O338">
        <v>33455.450908010898</v>
      </c>
      <c r="P338">
        <v>129406.71577696</v>
      </c>
      <c r="Q338">
        <v>9538.3068662331498</v>
      </c>
      <c r="R338">
        <v>53127.895346416903</v>
      </c>
      <c r="S338">
        <v>62666.202212650001</v>
      </c>
      <c r="T338">
        <v>52705.781336561296</v>
      </c>
      <c r="U338">
        <v>241159.01348113501</v>
      </c>
      <c r="V338">
        <v>293864.79481769702</v>
      </c>
      <c r="W338">
        <v>22659.769184684701</v>
      </c>
      <c r="X338">
        <v>41.800320114414603</v>
      </c>
      <c r="Y338">
        <v>94647.457940372595</v>
      </c>
      <c r="Z338">
        <v>241339.96950000001</v>
      </c>
      <c r="AA338">
        <v>66364.837980161203</v>
      </c>
      <c r="AB338">
        <v>34781.4</v>
      </c>
      <c r="AC338">
        <v>534590.03350000002</v>
      </c>
      <c r="AD338">
        <v>3092074.3478999999</v>
      </c>
      <c r="AE338">
        <v>642526.80000000005</v>
      </c>
    </row>
    <row r="339" spans="1:31" x14ac:dyDescent="0.45">
      <c r="A339" t="s">
        <v>119</v>
      </c>
      <c r="B339" t="s">
        <v>163</v>
      </c>
      <c r="C339" t="s">
        <v>121</v>
      </c>
      <c r="D339" t="s">
        <v>161</v>
      </c>
      <c r="E339" t="s">
        <v>147</v>
      </c>
      <c r="F339" t="s">
        <v>148</v>
      </c>
      <c r="G339" t="s">
        <v>152</v>
      </c>
      <c r="H339" t="s">
        <v>130</v>
      </c>
      <c r="I339" t="s">
        <v>129</v>
      </c>
      <c r="J339">
        <v>44.54</v>
      </c>
      <c r="K339">
        <v>2</v>
      </c>
      <c r="L339">
        <v>333261.64199999999</v>
      </c>
      <c r="M339">
        <v>19250.3304285503</v>
      </c>
      <c r="N339">
        <v>49086.095491525397</v>
      </c>
      <c r="O339">
        <v>17117.668082069598</v>
      </c>
      <c r="P339">
        <v>137888.300973039</v>
      </c>
      <c r="Q339">
        <v>10163.467328938499</v>
      </c>
      <c r="R339">
        <v>56610.008063392699</v>
      </c>
      <c r="S339">
        <v>66773.475392331195</v>
      </c>
      <c r="T339">
        <v>36367.998510619997</v>
      </c>
      <c r="U339">
        <v>253747.871856896</v>
      </c>
      <c r="V339">
        <v>290115.87036751601</v>
      </c>
      <c r="W339">
        <v>43145.771632483498</v>
      </c>
      <c r="X339">
        <v>0</v>
      </c>
      <c r="Y339">
        <v>94647.457940372595</v>
      </c>
      <c r="Z339">
        <v>241339.96950000001</v>
      </c>
      <c r="AA339">
        <v>66364.837980161203</v>
      </c>
      <c r="AB339">
        <v>34781.4</v>
      </c>
      <c r="AC339">
        <v>534590.03350000002</v>
      </c>
      <c r="AD339">
        <v>3092074.3478999999</v>
      </c>
      <c r="AE339">
        <v>642526.80000000005</v>
      </c>
    </row>
    <row r="340" spans="1:31" x14ac:dyDescent="0.45">
      <c r="A340" t="s">
        <v>119</v>
      </c>
      <c r="B340" t="s">
        <v>163</v>
      </c>
      <c r="C340" t="s">
        <v>121</v>
      </c>
      <c r="D340" t="s">
        <v>161</v>
      </c>
      <c r="E340" t="s">
        <v>153</v>
      </c>
      <c r="F340" t="s">
        <v>148</v>
      </c>
      <c r="G340" t="s">
        <v>149</v>
      </c>
      <c r="H340" t="s">
        <v>150</v>
      </c>
      <c r="I340" t="s">
        <v>129</v>
      </c>
      <c r="J340">
        <v>32.684123557163197</v>
      </c>
      <c r="K340">
        <v>2</v>
      </c>
      <c r="L340">
        <v>196587.15900668301</v>
      </c>
      <c r="M340">
        <v>28073.398541635899</v>
      </c>
      <c r="N340">
        <v>67109.916228813498</v>
      </c>
      <c r="O340">
        <v>23003.511949448901</v>
      </c>
      <c r="P340">
        <v>104032.244801205</v>
      </c>
      <c r="Q340">
        <v>6893.53895688375</v>
      </c>
      <c r="R340">
        <v>38396.6694932307</v>
      </c>
      <c r="S340">
        <v>45290.2084501145</v>
      </c>
      <c r="T340">
        <v>51076.910491084796</v>
      </c>
      <c r="U340">
        <v>216432.369480133</v>
      </c>
      <c r="V340">
        <v>267509.27997121803</v>
      </c>
      <c r="W340">
        <v>-70922.120964535396</v>
      </c>
      <c r="X340">
        <v>32.684123557163197</v>
      </c>
      <c r="Y340">
        <v>94647.457940372595</v>
      </c>
      <c r="Z340">
        <v>226256.28899999999</v>
      </c>
      <c r="AA340">
        <v>51779.116228046398</v>
      </c>
      <c r="AB340">
        <v>20869.599999999999</v>
      </c>
      <c r="AC340">
        <v>428579.93059999897</v>
      </c>
      <c r="AD340">
        <v>3092074.3478999999</v>
      </c>
      <c r="AE340">
        <v>642526.80000000005</v>
      </c>
    </row>
    <row r="341" spans="1:31" x14ac:dyDescent="0.45">
      <c r="A341" t="s">
        <v>119</v>
      </c>
      <c r="B341" t="s">
        <v>163</v>
      </c>
      <c r="C341" t="s">
        <v>121</v>
      </c>
      <c r="D341" t="s">
        <v>161</v>
      </c>
      <c r="E341" t="s">
        <v>153</v>
      </c>
      <c r="F341" t="s">
        <v>148</v>
      </c>
      <c r="G341" t="s">
        <v>149</v>
      </c>
      <c r="H341" t="s">
        <v>151</v>
      </c>
      <c r="I341" t="s">
        <v>129</v>
      </c>
      <c r="J341">
        <v>34.64</v>
      </c>
      <c r="K341">
        <v>2</v>
      </c>
      <c r="L341">
        <v>205233.68640000001</v>
      </c>
      <c r="M341">
        <v>28073.398541635899</v>
      </c>
      <c r="N341">
        <v>67109.916228813498</v>
      </c>
      <c r="O341">
        <v>13320.846164574299</v>
      </c>
      <c r="P341">
        <v>110257.72049879401</v>
      </c>
      <c r="Q341">
        <v>7306.0606642492603</v>
      </c>
      <c r="R341">
        <v>40694.3949076465</v>
      </c>
      <c r="S341">
        <v>48000.4555718958</v>
      </c>
      <c r="T341">
        <v>41394.2447062102</v>
      </c>
      <c r="U341">
        <v>225368.09229950301</v>
      </c>
      <c r="V341">
        <v>266762.33700571302</v>
      </c>
      <c r="W341">
        <v>-61528.650605713898</v>
      </c>
      <c r="X341">
        <v>0</v>
      </c>
      <c r="Y341">
        <v>94647.457940372595</v>
      </c>
      <c r="Z341">
        <v>226256.28899999999</v>
      </c>
      <c r="AA341">
        <v>51779.116228046398</v>
      </c>
      <c r="AB341">
        <v>20869.599999999999</v>
      </c>
      <c r="AC341">
        <v>428579.93059999897</v>
      </c>
      <c r="AD341">
        <v>3092074.3478999999</v>
      </c>
      <c r="AE341">
        <v>642526.80000000005</v>
      </c>
    </row>
    <row r="342" spans="1:31" x14ac:dyDescent="0.45">
      <c r="A342" t="s">
        <v>119</v>
      </c>
      <c r="B342" t="s">
        <v>163</v>
      </c>
      <c r="C342" t="s">
        <v>121</v>
      </c>
      <c r="D342" t="s">
        <v>161</v>
      </c>
      <c r="E342" t="s">
        <v>153</v>
      </c>
      <c r="F342" t="s">
        <v>148</v>
      </c>
      <c r="G342" t="s">
        <v>152</v>
      </c>
      <c r="H342" t="s">
        <v>126</v>
      </c>
      <c r="I342" t="s">
        <v>129</v>
      </c>
      <c r="J342">
        <v>32.684123557163197</v>
      </c>
      <c r="K342">
        <v>2</v>
      </c>
      <c r="L342">
        <v>228861.42365443899</v>
      </c>
      <c r="M342">
        <v>19250.3304285503</v>
      </c>
      <c r="N342">
        <v>46018.228271186403</v>
      </c>
      <c r="O342">
        <v>23003.511949448901</v>
      </c>
      <c r="P342">
        <v>104032.244801205</v>
      </c>
      <c r="Q342">
        <v>6893.53895688375</v>
      </c>
      <c r="R342">
        <v>38396.6694932307</v>
      </c>
      <c r="S342">
        <v>45290.2084501145</v>
      </c>
      <c r="T342">
        <v>42253.842377999303</v>
      </c>
      <c r="U342">
        <v>195340.681522506</v>
      </c>
      <c r="V342">
        <v>237594.52390050501</v>
      </c>
      <c r="W342">
        <v>-8733.1002460662803</v>
      </c>
      <c r="X342">
        <v>32.684123557163197</v>
      </c>
      <c r="Y342">
        <v>94647.457940372595</v>
      </c>
      <c r="Z342">
        <v>226256.28899999999</v>
      </c>
      <c r="AA342">
        <v>51779.116228046398</v>
      </c>
      <c r="AB342">
        <v>20869.599999999999</v>
      </c>
      <c r="AC342">
        <v>428579.93059999897</v>
      </c>
      <c r="AD342">
        <v>3092074.3478999999</v>
      </c>
      <c r="AE342">
        <v>642526.80000000005</v>
      </c>
    </row>
    <row r="343" spans="1:31" x14ac:dyDescent="0.45">
      <c r="A343" t="s">
        <v>119</v>
      </c>
      <c r="B343" t="s">
        <v>163</v>
      </c>
      <c r="C343" t="s">
        <v>121</v>
      </c>
      <c r="D343" t="s">
        <v>161</v>
      </c>
      <c r="E343" t="s">
        <v>153</v>
      </c>
      <c r="F343" t="s">
        <v>148</v>
      </c>
      <c r="G343" t="s">
        <v>152</v>
      </c>
      <c r="H343" t="s">
        <v>130</v>
      </c>
      <c r="I343" t="s">
        <v>129</v>
      </c>
      <c r="J343">
        <v>34.64</v>
      </c>
      <c r="K343">
        <v>2</v>
      </c>
      <c r="L343">
        <v>239439.3008</v>
      </c>
      <c r="M343">
        <v>19250.3304285503</v>
      </c>
      <c r="N343">
        <v>46018.228271186403</v>
      </c>
      <c r="O343">
        <v>13320.846164574299</v>
      </c>
      <c r="P343">
        <v>110257.72049879401</v>
      </c>
      <c r="Q343">
        <v>7306.0606642492603</v>
      </c>
      <c r="R343">
        <v>40694.3949076465</v>
      </c>
      <c r="S343">
        <v>48000.4555718958</v>
      </c>
      <c r="T343">
        <v>32571.176593124601</v>
      </c>
      <c r="U343">
        <v>204276.40434187601</v>
      </c>
      <c r="V343">
        <v>236847.58093500099</v>
      </c>
      <c r="W343">
        <v>2591.7198649987599</v>
      </c>
      <c r="X343">
        <v>0</v>
      </c>
      <c r="Y343">
        <v>94647.457940372595</v>
      </c>
      <c r="Z343">
        <v>226256.28899999999</v>
      </c>
      <c r="AA343">
        <v>51779.116228046398</v>
      </c>
      <c r="AB343">
        <v>20869.599999999999</v>
      </c>
      <c r="AC343">
        <v>428579.93059999897</v>
      </c>
      <c r="AD343">
        <v>3092074.3478999999</v>
      </c>
      <c r="AE343">
        <v>642526.80000000005</v>
      </c>
    </row>
    <row r="344" spans="1:31" x14ac:dyDescent="0.45">
      <c r="A344" t="s">
        <v>119</v>
      </c>
      <c r="B344" t="s">
        <v>163</v>
      </c>
      <c r="C344" t="s">
        <v>121</v>
      </c>
      <c r="D344" t="s">
        <v>161</v>
      </c>
      <c r="E344" t="s">
        <v>154</v>
      </c>
      <c r="F344" t="s">
        <v>155</v>
      </c>
      <c r="G344" t="s">
        <v>156</v>
      </c>
      <c r="H344" t="s">
        <v>126</v>
      </c>
      <c r="I344" t="s">
        <v>129</v>
      </c>
      <c r="J344">
        <v>42.750667217817004</v>
      </c>
      <c r="K344">
        <v>2</v>
      </c>
      <c r="L344">
        <v>346051.26088803</v>
      </c>
      <c r="M344">
        <v>23662.109475044599</v>
      </c>
      <c r="N344">
        <v>87270.200499999904</v>
      </c>
      <c r="O344">
        <v>44924.362672482799</v>
      </c>
      <c r="P344">
        <v>188013.76319458801</v>
      </c>
      <c r="Q344">
        <v>9708.9046861343595</v>
      </c>
      <c r="R344">
        <v>50802.133049465498</v>
      </c>
      <c r="S344">
        <v>60511.037735599901</v>
      </c>
      <c r="T344">
        <v>68586.4721475275</v>
      </c>
      <c r="U344">
        <v>335795.00143018801</v>
      </c>
      <c r="V344">
        <v>404381.47357771499</v>
      </c>
      <c r="W344">
        <v>-58330.212689685497</v>
      </c>
      <c r="X344">
        <v>42.750667217817004</v>
      </c>
      <c r="Y344">
        <v>70986.328425133906</v>
      </c>
      <c r="Z344">
        <v>261810.60149999999</v>
      </c>
      <c r="AA344">
        <v>50319.956076951297</v>
      </c>
      <c r="AB344">
        <v>28728</v>
      </c>
      <c r="AC344">
        <v>584133.88840000005</v>
      </c>
      <c r="AD344">
        <v>3092074.3478999999</v>
      </c>
      <c r="AE344">
        <v>642526.80000000005</v>
      </c>
    </row>
    <row r="345" spans="1:31" x14ac:dyDescent="0.45">
      <c r="A345" t="s">
        <v>119</v>
      </c>
      <c r="B345" t="s">
        <v>163</v>
      </c>
      <c r="C345" t="s">
        <v>121</v>
      </c>
      <c r="D345" t="s">
        <v>161</v>
      </c>
      <c r="E345" t="s">
        <v>154</v>
      </c>
      <c r="F345" t="s">
        <v>155</v>
      </c>
      <c r="G345" t="s">
        <v>156</v>
      </c>
      <c r="H345" t="s">
        <v>128</v>
      </c>
      <c r="I345" t="s">
        <v>129</v>
      </c>
      <c r="J345">
        <v>45.53</v>
      </c>
      <c r="K345">
        <v>2</v>
      </c>
      <c r="L345">
        <v>364451.25919999997</v>
      </c>
      <c r="M345">
        <v>23662.109475044599</v>
      </c>
      <c r="N345">
        <v>87270.200499999904</v>
      </c>
      <c r="O345">
        <v>17249.330606255699</v>
      </c>
      <c r="P345">
        <v>200237.03009439699</v>
      </c>
      <c r="Q345">
        <v>10340.105994309901</v>
      </c>
      <c r="R345">
        <v>54104.912701296496</v>
      </c>
      <c r="S345">
        <v>64445.018695606399</v>
      </c>
      <c r="T345">
        <v>40911.440081300301</v>
      </c>
      <c r="U345">
        <v>351952.24929000402</v>
      </c>
      <c r="V345">
        <v>392863.689371304</v>
      </c>
      <c r="W345">
        <v>-28412.430171304499</v>
      </c>
      <c r="X345">
        <v>0</v>
      </c>
      <c r="Y345">
        <v>70986.328425133906</v>
      </c>
      <c r="Z345">
        <v>261810.60149999999</v>
      </c>
      <c r="AA345">
        <v>50319.956076951297</v>
      </c>
      <c r="AB345">
        <v>28728</v>
      </c>
      <c r="AC345">
        <v>584133.88840000005</v>
      </c>
      <c r="AD345">
        <v>3092074.3478999999</v>
      </c>
      <c r="AE345">
        <v>642526.80000000005</v>
      </c>
    </row>
    <row r="346" spans="1:31" x14ac:dyDescent="0.45">
      <c r="A346" t="s">
        <v>119</v>
      </c>
      <c r="B346" t="s">
        <v>163</v>
      </c>
      <c r="C346" t="s">
        <v>121</v>
      </c>
      <c r="D346" t="s">
        <v>161</v>
      </c>
      <c r="E346" t="s">
        <v>154</v>
      </c>
      <c r="F346" t="s">
        <v>155</v>
      </c>
      <c r="G346" t="s">
        <v>156</v>
      </c>
      <c r="H346" t="s">
        <v>130</v>
      </c>
      <c r="I346" t="s">
        <v>129</v>
      </c>
      <c r="J346">
        <v>44.54</v>
      </c>
      <c r="K346">
        <v>2</v>
      </c>
      <c r="L346">
        <v>356526.66560000001</v>
      </c>
      <c r="M346">
        <v>23662.109475044599</v>
      </c>
      <c r="N346">
        <v>87270.200499999904</v>
      </c>
      <c r="O346">
        <v>16874.2627982128</v>
      </c>
      <c r="P346">
        <v>195883.095111014</v>
      </c>
      <c r="Q346">
        <v>10115.2717106646</v>
      </c>
      <c r="R346">
        <v>52928.460613128598</v>
      </c>
      <c r="S346">
        <v>63043.732323793301</v>
      </c>
      <c r="T346">
        <v>40536.372273257402</v>
      </c>
      <c r="U346">
        <v>346197.027934807</v>
      </c>
      <c r="V346">
        <v>386733.40020806401</v>
      </c>
      <c r="W346">
        <v>-30206.734608064799</v>
      </c>
      <c r="X346">
        <v>0</v>
      </c>
      <c r="Y346">
        <v>70986.328425133906</v>
      </c>
      <c r="Z346">
        <v>261810.60149999999</v>
      </c>
      <c r="AA346">
        <v>50319.956076951297</v>
      </c>
      <c r="AB346">
        <v>28728</v>
      </c>
      <c r="AC346">
        <v>584133.88840000005</v>
      </c>
      <c r="AD346">
        <v>3092074.3478999999</v>
      </c>
      <c r="AE346">
        <v>642526.80000000005</v>
      </c>
    </row>
    <row r="347" spans="1:31" x14ac:dyDescent="0.45">
      <c r="A347" t="s">
        <v>119</v>
      </c>
      <c r="B347" t="s">
        <v>163</v>
      </c>
      <c r="C347" t="s">
        <v>121</v>
      </c>
      <c r="D347" t="s">
        <v>161</v>
      </c>
      <c r="E347" t="s">
        <v>157</v>
      </c>
      <c r="F347" t="s">
        <v>155</v>
      </c>
      <c r="G347" t="s">
        <v>156</v>
      </c>
      <c r="H347" t="s">
        <v>126</v>
      </c>
      <c r="I347" t="s">
        <v>129</v>
      </c>
      <c r="J347">
        <v>36.329612643496198</v>
      </c>
      <c r="K347">
        <v>2</v>
      </c>
      <c r="L347">
        <v>275899.79377913498</v>
      </c>
      <c r="M347">
        <v>23662.109475044599</v>
      </c>
      <c r="N347">
        <v>60334.7219999999</v>
      </c>
      <c r="O347">
        <v>31679.6632857814</v>
      </c>
      <c r="P347">
        <v>117243.869765708</v>
      </c>
      <c r="Q347">
        <v>7736.9304683280197</v>
      </c>
      <c r="R347">
        <v>40483.719199323903</v>
      </c>
      <c r="S347">
        <v>48220.649667651902</v>
      </c>
      <c r="T347">
        <v>55341.772760826098</v>
      </c>
      <c r="U347">
        <v>225799.24143336</v>
      </c>
      <c r="V347">
        <v>281141.01419418602</v>
      </c>
      <c r="W347">
        <v>-5241.2204150506204</v>
      </c>
      <c r="X347">
        <v>36.329612643496198</v>
      </c>
      <c r="Y347">
        <v>70986.328425133906</v>
      </c>
      <c r="Z347">
        <v>181004.166</v>
      </c>
      <c r="AA347">
        <v>42662.550153071701</v>
      </c>
      <c r="AB347">
        <v>17907.5</v>
      </c>
      <c r="AC347">
        <v>363190.76169999898</v>
      </c>
      <c r="AD347">
        <v>3092074.3478999999</v>
      </c>
      <c r="AE347">
        <v>642526.80000000005</v>
      </c>
    </row>
    <row r="348" spans="1:31" x14ac:dyDescent="0.45">
      <c r="A348" t="s">
        <v>119</v>
      </c>
      <c r="B348" t="s">
        <v>163</v>
      </c>
      <c r="C348" t="s">
        <v>121</v>
      </c>
      <c r="D348" t="s">
        <v>161</v>
      </c>
      <c r="E348" t="s">
        <v>157</v>
      </c>
      <c r="F348" t="s">
        <v>155</v>
      </c>
      <c r="G348" t="s">
        <v>156</v>
      </c>
      <c r="H348" t="s">
        <v>128</v>
      </c>
      <c r="I348" t="s">
        <v>129</v>
      </c>
      <c r="J348">
        <v>38.6</v>
      </c>
      <c r="K348">
        <v>2</v>
      </c>
      <c r="L348">
        <v>289667.90999999997</v>
      </c>
      <c r="M348">
        <v>23662.109475044599</v>
      </c>
      <c r="N348">
        <v>60334.7219999999</v>
      </c>
      <c r="O348">
        <v>14632.842580729601</v>
      </c>
      <c r="P348">
        <v>124570.922827235</v>
      </c>
      <c r="Q348">
        <v>8220.4431687196902</v>
      </c>
      <c r="R348">
        <v>43013.7138105064</v>
      </c>
      <c r="S348">
        <v>51234.1569792261</v>
      </c>
      <c r="T348">
        <v>38294.9520557742</v>
      </c>
      <c r="U348">
        <v>236139.801806462</v>
      </c>
      <c r="V348">
        <v>274434.75386223599</v>
      </c>
      <c r="W348">
        <v>15233.156137763701</v>
      </c>
      <c r="X348">
        <v>0</v>
      </c>
      <c r="Y348">
        <v>70986.328425133906</v>
      </c>
      <c r="Z348">
        <v>181004.166</v>
      </c>
      <c r="AA348">
        <v>42662.550153071701</v>
      </c>
      <c r="AB348">
        <v>17907.5</v>
      </c>
      <c r="AC348">
        <v>363190.76169999898</v>
      </c>
      <c r="AD348">
        <v>3092074.3478999999</v>
      </c>
      <c r="AE348">
        <v>642526.80000000005</v>
      </c>
    </row>
    <row r="349" spans="1:31" x14ac:dyDescent="0.45">
      <c r="A349" t="s">
        <v>119</v>
      </c>
      <c r="B349" t="s">
        <v>163</v>
      </c>
      <c r="C349" t="s">
        <v>121</v>
      </c>
      <c r="D349" t="s">
        <v>161</v>
      </c>
      <c r="E349" t="s">
        <v>157</v>
      </c>
      <c r="F349" t="s">
        <v>155</v>
      </c>
      <c r="G349" t="s">
        <v>156</v>
      </c>
      <c r="H349" t="s">
        <v>130</v>
      </c>
      <c r="I349" t="s">
        <v>129</v>
      </c>
      <c r="J349">
        <v>37.61</v>
      </c>
      <c r="K349">
        <v>2</v>
      </c>
      <c r="L349">
        <v>282238.60350000003</v>
      </c>
      <c r="M349">
        <v>23662.109475044599</v>
      </c>
      <c r="N349">
        <v>60334.7219999999</v>
      </c>
      <c r="O349">
        <v>14257.5442865606</v>
      </c>
      <c r="P349">
        <v>121375.969107055</v>
      </c>
      <c r="Q349">
        <v>8009.6079682784302</v>
      </c>
      <c r="R349">
        <v>41910.512342309397</v>
      </c>
      <c r="S349">
        <v>49920.120310587903</v>
      </c>
      <c r="T349">
        <v>37919.653761605201</v>
      </c>
      <c r="U349">
        <v>231630.81141764301</v>
      </c>
      <c r="V349">
        <v>269550.46517924801</v>
      </c>
      <c r="W349">
        <v>12688.138320751301</v>
      </c>
      <c r="X349">
        <v>0</v>
      </c>
      <c r="Y349">
        <v>70986.328425133906</v>
      </c>
      <c r="Z349">
        <v>181004.166</v>
      </c>
      <c r="AA349">
        <v>42662.550153071701</v>
      </c>
      <c r="AB349">
        <v>17907.5</v>
      </c>
      <c r="AC349">
        <v>363190.76169999898</v>
      </c>
      <c r="AD349">
        <v>3092074.3478999999</v>
      </c>
      <c r="AE349">
        <v>642526.80000000005</v>
      </c>
    </row>
  </sheetData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T175"/>
  <sheetViews>
    <sheetView topLeftCell="AQ1" workbookViewId="0">
      <selection activeCell="A2" sqref="A2"/>
    </sheetView>
  </sheetViews>
  <sheetFormatPr baseColWidth="10" defaultColWidth="9.06640625" defaultRowHeight="14.25" x14ac:dyDescent="0.45"/>
  <sheetData>
    <row r="1" spans="1:46" x14ac:dyDescent="0.45">
      <c r="A1" t="s">
        <v>12</v>
      </c>
      <c r="B1" t="s">
        <v>8</v>
      </c>
      <c r="C1" t="s">
        <v>18</v>
      </c>
      <c r="D1" t="s">
        <v>76</v>
      </c>
      <c r="E1" t="s">
        <v>77</v>
      </c>
      <c r="F1" t="s">
        <v>78</v>
      </c>
      <c r="G1" t="s">
        <v>14</v>
      </c>
      <c r="H1" t="s">
        <v>15</v>
      </c>
      <c r="I1" t="s">
        <v>16</v>
      </c>
      <c r="J1" t="s">
        <v>13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  <c r="U1" t="s">
        <v>89</v>
      </c>
      <c r="V1" t="s">
        <v>90</v>
      </c>
      <c r="W1" t="s">
        <v>31</v>
      </c>
      <c r="X1" t="s">
        <v>32</v>
      </c>
      <c r="Y1" t="s">
        <v>33</v>
      </c>
      <c r="Z1" t="s">
        <v>91</v>
      </c>
      <c r="AA1" t="s">
        <v>92</v>
      </c>
      <c r="AB1" t="s">
        <v>93</v>
      </c>
      <c r="AC1" t="s">
        <v>94</v>
      </c>
      <c r="AD1" t="s">
        <v>95</v>
      </c>
      <c r="AE1" t="s">
        <v>96</v>
      </c>
      <c r="AF1" t="s">
        <v>97</v>
      </c>
      <c r="AG1" t="s">
        <v>98</v>
      </c>
      <c r="AH1" t="s">
        <v>99</v>
      </c>
      <c r="AI1" t="s">
        <v>19</v>
      </c>
      <c r="AJ1" t="s">
        <v>20</v>
      </c>
      <c r="AK1" t="s">
        <v>21</v>
      </c>
      <c r="AL1" t="s">
        <v>22</v>
      </c>
      <c r="AM1" t="s">
        <v>23</v>
      </c>
      <c r="AN1" t="s">
        <v>100</v>
      </c>
      <c r="AO1" t="s">
        <v>101</v>
      </c>
      <c r="AP1" t="s">
        <v>102</v>
      </c>
      <c r="AQ1" t="s">
        <v>103</v>
      </c>
      <c r="AR1" t="s">
        <v>104</v>
      </c>
      <c r="AT1" t="s">
        <v>75</v>
      </c>
    </row>
    <row r="2" spans="1:46" x14ac:dyDescent="0.45">
      <c r="A2" t="str">
        <f>IF(Allocation2!D2="","",Allocation2!D2)</f>
        <v>2026</v>
      </c>
      <c r="B2" t="str">
        <f>IF(Allocation2!E2="","",Allocation2!E2)</f>
        <v>MBWAY_PAR</v>
      </c>
      <c r="C2" t="str">
        <f>IF(Allocation2!F2="","",Allocation2!F2)</f>
        <v>MBWAY</v>
      </c>
      <c r="D2" t="str">
        <f>IF(Allocation2!G2="","",Allocation2!G2)</f>
        <v>BAC_MGT</v>
      </c>
      <c r="E2" t="str">
        <f>IF(Allocation2!H2="","",Allocation2!H2)</f>
        <v>B1</v>
      </c>
      <c r="F2" t="str">
        <f>IF(Allocation2!I2="","",Allocation2!I2)</f>
        <v>INIT</v>
      </c>
      <c r="G2">
        <f>IF(Allocation2!E2="","",Allocation2!J2)</f>
        <v>78</v>
      </c>
      <c r="H2">
        <f>IF(Allocation2!E2="","",Allocation2!K2)</f>
        <v>3</v>
      </c>
      <c r="I2">
        <f>IF(Allocation2!E2="","",Allocation2!L2)</f>
        <v>662220</v>
      </c>
      <c r="J2">
        <f>IF($A2="","",Allocation2!X2)</f>
        <v>78</v>
      </c>
      <c r="K2">
        <f t="shared" ref="K2:K65" si="0">IF($A2="","",$H2*IF(AND(LEFT($D2,3)="BAC",$F2="INIT"),600,IF(LEFT($D2,3)="BAC",480,IF(AND(LEFT($D2,3)="MAS",$F2="INIT"),520,IF(LEFT($D2,3)="MAS",420,IF($F2="INIT",1000,700))))))</f>
        <v>1800</v>
      </c>
      <c r="L2">
        <f t="shared" ref="L2:L33" si="1">IF($A2="","",SUMIFS($G$1:$G$175,$A$1:$A$175,$A2,$B$1:$B$175,$B2))</f>
        <v>382</v>
      </c>
      <c r="M2">
        <f t="shared" ref="M2:M33" si="2">IF($A2="","",SUMIFS($H$1:$H$175,$A$1:$A$175,$A2,$B$1:$B$175,$B2))</f>
        <v>15</v>
      </c>
      <c r="N2">
        <f t="shared" ref="N2:N33" si="3">IF($A2="","",SUMIFS($I$1:$I$175,$A$1:$A$175,$A2,$B$1:$B$175,$B2))</f>
        <v>3138840</v>
      </c>
      <c r="O2">
        <f t="shared" ref="O2:O65" si="4">IF($A2="","",SUMIFS($K$1:$K$175,$A$1:$A$175,$A2,$B$1:$B$175,$B2))</f>
        <v>7200</v>
      </c>
      <c r="P2">
        <f t="shared" ref="P2:P65" si="5">IF($A2="","",SUMIFS($J$1:$J$175,$A$1:$A$175,$A2,$B$1:$B$175,$B2))</f>
        <v>156</v>
      </c>
      <c r="Q2">
        <f t="shared" ref="Q2:Q33" si="6">IF($A2="","",SUMIFS($G$1:$G$175,$A$1:$A$175,$A2,$C$1:$C$175,$C2))</f>
        <v>1249</v>
      </c>
      <c r="R2">
        <f t="shared" ref="R2:R33" si="7">IF($A2="","",SUMIFS($H$1:$H$175,$A$1:$A$175,$A2,$C$1:$C$175,$C2))</f>
        <v>50</v>
      </c>
      <c r="S2">
        <f t="shared" ref="S2:S33" si="8">IF($A2="","",SUMIFS($I$1:$I$175,$A$1:$A$175,$A2,$C$1:$C$175,$C2))</f>
        <v>9567455</v>
      </c>
      <c r="T2">
        <f t="shared" ref="T2:T33" si="9">IF($A2="","",SUMIFS($G$1:$G$175,$A$1:$A$175,$A2))</f>
        <v>3036</v>
      </c>
      <c r="U2">
        <f t="shared" ref="U2:U33" si="10">IF($A2="","",SUMIFS($H$1:$H$175,$A$1:$A$175,$A2))</f>
        <v>131</v>
      </c>
      <c r="V2">
        <f t="shared" ref="V2:V33" si="11">IF($A2="","",SUMIFS($I$1:$I$175,$A$1:$A$175,$A2))</f>
        <v>22544725</v>
      </c>
      <c r="W2">
        <f>IF($A2="","",Allocation2!Y2)</f>
        <v>181094</v>
      </c>
      <c r="X2">
        <f>IF($A2="","",Allocation2!Z2)</f>
        <v>605202</v>
      </c>
      <c r="Y2">
        <f>IF($A2="","",Allocation2!AA2)</f>
        <v>142140</v>
      </c>
      <c r="Z2">
        <f>IF($A2="","",Allocation2!AB2)</f>
        <v>68291</v>
      </c>
      <c r="AA2">
        <f>IF($A2="","",Allocation2!AC2)</f>
        <v>1452771</v>
      </c>
      <c r="AB2">
        <f>IF($A2="","",Allocation2!AD2)</f>
        <v>2891983</v>
      </c>
      <c r="AC2">
        <f>IF($A2="","",IF(ALLOC!$N$4="VOL_EFF",$G2,IF(ALLOC!$N$4="VOL_CLASS",$H2,$I2)))</f>
        <v>78</v>
      </c>
      <c r="AD2">
        <f>IF($A2="","",IF(ALLOC!$N$4="VOL_EFF",$L2,IF(ALLOC!$N$4="VOL_CLASS",$M2,$N2)))</f>
        <v>382</v>
      </c>
      <c r="AE2">
        <f>IF($A2="","",IF(ALLOC!$N$3="VOL_EFF",$L2,IF(ALLOC!$N$3="VOL_CLASS",$M2,$N2)))</f>
        <v>3138840</v>
      </c>
      <c r="AF2">
        <f>IF($A2="","",IF(ALLOC!$N$3="VOL_EFF",$Q2,IF(ALLOC!$N$3="VOL_CLASS",$R2,$S2)))</f>
        <v>9567455</v>
      </c>
      <c r="AG2">
        <f>IF($A2="","",IF(ALLOC!$N$1="VOL_EFF",$Q2,IF(ALLOC!$N$1="VOL_CLASS",$R2,$S2)))</f>
        <v>1249</v>
      </c>
      <c r="AH2">
        <f>IF($A2="","",IF(ALLOC!$N$1="VOL_EFF",$T2,IF(ALLOC!$N$1="VOL_CLASS",$U2,$V2)))</f>
        <v>3036</v>
      </c>
      <c r="AI2">
        <f t="shared" ref="AI2:AI65" si="12">IF($A2="","",$W2*IFERROR($K2/$O2,0))</f>
        <v>45273.5</v>
      </c>
      <c r="AJ2">
        <f t="shared" ref="AJ2:AJ65" si="13">IF($A2="","",$X2*IFERROR($K2/$O2,0))</f>
        <v>151300.5</v>
      </c>
      <c r="AK2">
        <f t="shared" ref="AK2:AK65" si="14">IF($A2="","",$Y2*IFERROR($G2/$L2,0)+$Z2*IFERROR($J2/$P2,0))</f>
        <v>63168.850785340313</v>
      </c>
      <c r="AL2">
        <f t="shared" ref="AL2:AL65" si="15">IF($A2="","",$AA2*IFERROR($AC2/$AD2,0))</f>
        <v>296639.10471204185</v>
      </c>
      <c r="AM2">
        <f t="shared" ref="AM2:AM65" si="16">IF($A2="","",$AB2*IFERROR($AG2/$AH2,0)*IFERROR($AE2/$AF2,0)*IFERROR($AC2/$AD2,0))</f>
        <v>79700.380879514487</v>
      </c>
      <c r="AN2">
        <f t="shared" ref="AN2:AN65" si="17">IF($A2="","",$I2-($AI2+$AJ2+$AK2+$AL2+$AM2+$AR2))</f>
        <v>7498.2475526857888</v>
      </c>
      <c r="AO2">
        <f>IF($A2="","",Allocation2!AE2)</f>
        <v>676344</v>
      </c>
      <c r="AP2">
        <f>IF($A2="","",IF(ALLOC!$N$2="VOL_EFF",$Q2,IF(ALLOC!$N$2="VOL_CLASS",$R2,$S2)))</f>
        <v>1249</v>
      </c>
      <c r="AQ2">
        <f>IF($A2="","",IF(ALLOC!$N$2="VOL_EFF",$T2,IF(ALLOC!$N$2="VOL_CLASS",$U2,$V2)))</f>
        <v>3036</v>
      </c>
      <c r="AR2">
        <f t="shared" ref="AR2:AR65" si="18">IF($A2="","",$AO2*IFERROR($AP2/$AQ2,0)*IFERROR($AE2/$AF2,0)*IFERROR($AC2/$AD2,0))</f>
        <v>18639.416070417545</v>
      </c>
    </row>
    <row r="3" spans="1:46" x14ac:dyDescent="0.45">
      <c r="A3" t="str">
        <f>IF(Allocation2!D3="","",Allocation2!D3)</f>
        <v>2026</v>
      </c>
      <c r="B3" t="str">
        <f>IF(Allocation2!E3="","",Allocation2!E3)</f>
        <v>MBWAY_PAR</v>
      </c>
      <c r="C3" t="str">
        <f>IF(Allocation2!F3="","",Allocation2!F3)</f>
        <v>MBWAY</v>
      </c>
      <c r="D3" t="str">
        <f>IF(Allocation2!G3="","",Allocation2!G3)</f>
        <v>BAC_MGT</v>
      </c>
      <c r="E3" t="str">
        <f>IF(Allocation2!H3="","",Allocation2!H3)</f>
        <v>B2</v>
      </c>
      <c r="F3" t="str">
        <f>IF(Allocation2!I3="","",Allocation2!I3)</f>
        <v>ALT</v>
      </c>
      <c r="G3">
        <f>IF(Allocation2!E3="","",Allocation2!J3)</f>
        <v>76</v>
      </c>
      <c r="H3">
        <f>IF(Allocation2!E3="","",Allocation2!K3)</f>
        <v>3</v>
      </c>
      <c r="I3">
        <f>IF(Allocation2!E3="","",Allocation2!L3)</f>
        <v>595840</v>
      </c>
      <c r="J3">
        <f>IF($A3="","",Allocation2!X3)</f>
        <v>0</v>
      </c>
      <c r="K3">
        <f t="shared" si="0"/>
        <v>1440</v>
      </c>
      <c r="L3">
        <f t="shared" si="1"/>
        <v>382</v>
      </c>
      <c r="M3">
        <f t="shared" si="2"/>
        <v>15</v>
      </c>
      <c r="N3">
        <f t="shared" si="3"/>
        <v>3138840</v>
      </c>
      <c r="O3">
        <f t="shared" si="4"/>
        <v>7200</v>
      </c>
      <c r="P3">
        <f t="shared" si="5"/>
        <v>156</v>
      </c>
      <c r="Q3">
        <f t="shared" si="6"/>
        <v>1249</v>
      </c>
      <c r="R3">
        <f t="shared" si="7"/>
        <v>50</v>
      </c>
      <c r="S3">
        <f t="shared" si="8"/>
        <v>9567455</v>
      </c>
      <c r="T3">
        <f t="shared" si="9"/>
        <v>3036</v>
      </c>
      <c r="U3">
        <f t="shared" si="10"/>
        <v>131</v>
      </c>
      <c r="V3">
        <f t="shared" si="11"/>
        <v>22544725</v>
      </c>
      <c r="W3">
        <f>IF($A3="","",Allocation2!Y3)</f>
        <v>181094</v>
      </c>
      <c r="X3">
        <f>IF($A3="","",Allocation2!Z3)</f>
        <v>605202</v>
      </c>
      <c r="Y3">
        <f>IF($A3="","",Allocation2!AA3)</f>
        <v>142140</v>
      </c>
      <c r="Z3">
        <f>IF($A3="","",Allocation2!AB3)</f>
        <v>68291</v>
      </c>
      <c r="AA3">
        <f>IF($A3="","",Allocation2!AC3)</f>
        <v>1452771</v>
      </c>
      <c r="AB3">
        <f>IF($A3="","",Allocation2!AD3)</f>
        <v>2891983</v>
      </c>
      <c r="AC3">
        <f>IF($A3="","",IF(ALLOC!$N$4="VOL_EFF",$G3,IF(ALLOC!$N$4="VOL_CLASS",$H3,$I3)))</f>
        <v>76</v>
      </c>
      <c r="AD3">
        <f>IF($A3="","",IF(ALLOC!$N$4="VOL_EFF",$L3,IF(ALLOC!$N$4="VOL_CLASS",$M3,$N3)))</f>
        <v>382</v>
      </c>
      <c r="AE3">
        <f>IF($A3="","",IF(ALLOC!$N$3="VOL_EFF",$L3,IF(ALLOC!$N$3="VOL_CLASS",$M3,$N3)))</f>
        <v>3138840</v>
      </c>
      <c r="AF3">
        <f>IF($A3="","",IF(ALLOC!$N$3="VOL_EFF",$Q3,IF(ALLOC!$N$3="VOL_CLASS",$R3,$S3)))</f>
        <v>9567455</v>
      </c>
      <c r="AG3">
        <f>IF($A3="","",IF(ALLOC!$N$1="VOL_EFF",$Q3,IF(ALLOC!$N$1="VOL_CLASS",$R3,$S3)))</f>
        <v>1249</v>
      </c>
      <c r="AH3">
        <f>IF($A3="","",IF(ALLOC!$N$1="VOL_EFF",$T3,IF(ALLOC!$N$1="VOL_CLASS",$U3,$V3)))</f>
        <v>3036</v>
      </c>
      <c r="AI3">
        <f t="shared" si="12"/>
        <v>36218.800000000003</v>
      </c>
      <c r="AJ3">
        <f t="shared" si="13"/>
        <v>121040.40000000001</v>
      </c>
      <c r="AK3">
        <f t="shared" si="14"/>
        <v>28279.162303664918</v>
      </c>
      <c r="AL3">
        <f t="shared" si="15"/>
        <v>289032.97382198949</v>
      </c>
      <c r="AM3">
        <f t="shared" si="16"/>
        <v>77656.781369783348</v>
      </c>
      <c r="AN3">
        <f t="shared" si="17"/>
        <v>25450.40017954004</v>
      </c>
      <c r="AO3">
        <f>IF($A3="","",Allocation2!AE3)</f>
        <v>676344</v>
      </c>
      <c r="AP3">
        <f>IF($A3="","",IF(ALLOC!$N$2="VOL_EFF",$Q3,IF(ALLOC!$N$2="VOL_CLASS",$R3,$S3)))</f>
        <v>1249</v>
      </c>
      <c r="AQ3">
        <f>IF($A3="","",IF(ALLOC!$N$2="VOL_EFF",$T3,IF(ALLOC!$N$2="VOL_CLASS",$U3,$V3)))</f>
        <v>3036</v>
      </c>
      <c r="AR3">
        <f t="shared" si="18"/>
        <v>18161.482325022225</v>
      </c>
    </row>
    <row r="4" spans="1:46" x14ac:dyDescent="0.45">
      <c r="A4" t="str">
        <f>IF(Allocation2!D4="","",Allocation2!D4)</f>
        <v>2026</v>
      </c>
      <c r="B4" t="str">
        <f>IF(Allocation2!E4="","",Allocation2!E4)</f>
        <v>MBWAY_PAR</v>
      </c>
      <c r="C4" t="str">
        <f>IF(Allocation2!F4="","",Allocation2!F4)</f>
        <v>MBWAY</v>
      </c>
      <c r="D4" t="str">
        <f>IF(Allocation2!G4="","",Allocation2!G4)</f>
        <v>BAC_MGT</v>
      </c>
      <c r="E4" t="str">
        <f>IF(Allocation2!H4="","",Allocation2!H4)</f>
        <v>B3</v>
      </c>
      <c r="F4" t="str">
        <f>IF(Allocation2!I4="","",Allocation2!I4)</f>
        <v>ALT</v>
      </c>
      <c r="G4">
        <f>IF(Allocation2!E4="","",Allocation2!J4)</f>
        <v>74</v>
      </c>
      <c r="H4">
        <f>IF(Allocation2!E4="","",Allocation2!K4)</f>
        <v>3</v>
      </c>
      <c r="I4">
        <f>IF(Allocation2!E4="","",Allocation2!L4)</f>
        <v>580160</v>
      </c>
      <c r="J4">
        <f>IF($A4="","",Allocation2!X4)</f>
        <v>0</v>
      </c>
      <c r="K4">
        <f t="shared" si="0"/>
        <v>1440</v>
      </c>
      <c r="L4">
        <f t="shared" si="1"/>
        <v>382</v>
      </c>
      <c r="M4">
        <f t="shared" si="2"/>
        <v>15</v>
      </c>
      <c r="N4">
        <f t="shared" si="3"/>
        <v>3138840</v>
      </c>
      <c r="O4">
        <f t="shared" si="4"/>
        <v>7200</v>
      </c>
      <c r="P4">
        <f t="shared" si="5"/>
        <v>156</v>
      </c>
      <c r="Q4">
        <f t="shared" si="6"/>
        <v>1249</v>
      </c>
      <c r="R4">
        <f t="shared" si="7"/>
        <v>50</v>
      </c>
      <c r="S4">
        <f t="shared" si="8"/>
        <v>9567455</v>
      </c>
      <c r="T4">
        <f t="shared" si="9"/>
        <v>3036</v>
      </c>
      <c r="U4">
        <f t="shared" si="10"/>
        <v>131</v>
      </c>
      <c r="V4">
        <f t="shared" si="11"/>
        <v>22544725</v>
      </c>
      <c r="W4">
        <f>IF($A4="","",Allocation2!Y4)</f>
        <v>181094</v>
      </c>
      <c r="X4">
        <f>IF($A4="","",Allocation2!Z4)</f>
        <v>605202</v>
      </c>
      <c r="Y4">
        <f>IF($A4="","",Allocation2!AA4)</f>
        <v>142140</v>
      </c>
      <c r="Z4">
        <f>IF($A4="","",Allocation2!AB4)</f>
        <v>68291</v>
      </c>
      <c r="AA4">
        <f>IF($A4="","",Allocation2!AC4)</f>
        <v>1452771</v>
      </c>
      <c r="AB4">
        <f>IF($A4="","",Allocation2!AD4)</f>
        <v>2891983</v>
      </c>
      <c r="AC4">
        <f>IF($A4="","",IF(ALLOC!$N$4="VOL_EFF",$G4,IF(ALLOC!$N$4="VOL_CLASS",$H4,$I4)))</f>
        <v>74</v>
      </c>
      <c r="AD4">
        <f>IF($A4="","",IF(ALLOC!$N$4="VOL_EFF",$L4,IF(ALLOC!$N$4="VOL_CLASS",$M4,$N4)))</f>
        <v>382</v>
      </c>
      <c r="AE4">
        <f>IF($A4="","",IF(ALLOC!$N$3="VOL_EFF",$L4,IF(ALLOC!$N$3="VOL_CLASS",$M4,$N4)))</f>
        <v>3138840</v>
      </c>
      <c r="AF4">
        <f>IF($A4="","",IF(ALLOC!$N$3="VOL_EFF",$Q4,IF(ALLOC!$N$3="VOL_CLASS",$R4,$S4)))</f>
        <v>9567455</v>
      </c>
      <c r="AG4">
        <f>IF($A4="","",IF(ALLOC!$N$1="VOL_EFF",$Q4,IF(ALLOC!$N$1="VOL_CLASS",$R4,$S4)))</f>
        <v>1249</v>
      </c>
      <c r="AH4">
        <f>IF($A4="","",IF(ALLOC!$N$1="VOL_EFF",$T4,IF(ALLOC!$N$1="VOL_CLASS",$U4,$V4)))</f>
        <v>3036</v>
      </c>
      <c r="AI4">
        <f t="shared" si="12"/>
        <v>36218.800000000003</v>
      </c>
      <c r="AJ4">
        <f t="shared" si="13"/>
        <v>121040.40000000001</v>
      </c>
      <c r="AK4">
        <f t="shared" si="14"/>
        <v>27534.97382198953</v>
      </c>
      <c r="AL4">
        <f t="shared" si="15"/>
        <v>281426.84293193719</v>
      </c>
      <c r="AM4">
        <f t="shared" si="16"/>
        <v>75613.181860052209</v>
      </c>
      <c r="AN4">
        <f t="shared" si="17"/>
        <v>20642.252806394128</v>
      </c>
      <c r="AO4">
        <f>IF($A4="","",Allocation2!AE4)</f>
        <v>676344</v>
      </c>
      <c r="AP4">
        <f>IF($A4="","",IF(ALLOC!$N$2="VOL_EFF",$Q4,IF(ALLOC!$N$2="VOL_CLASS",$R4,$S4)))</f>
        <v>1249</v>
      </c>
      <c r="AQ4">
        <f>IF($A4="","",IF(ALLOC!$N$2="VOL_EFF",$T4,IF(ALLOC!$N$2="VOL_CLASS",$U4,$V4)))</f>
        <v>3036</v>
      </c>
      <c r="AR4">
        <f t="shared" si="18"/>
        <v>17683.548579626902</v>
      </c>
    </row>
    <row r="5" spans="1:46" x14ac:dyDescent="0.45">
      <c r="A5" t="str">
        <f>IF(Allocation2!D5="","",Allocation2!D5)</f>
        <v>2026</v>
      </c>
      <c r="B5" t="str">
        <f>IF(Allocation2!E5="","",Allocation2!E5)</f>
        <v>MBWAY_PAR</v>
      </c>
      <c r="C5" t="str">
        <f>IF(Allocation2!F5="","",Allocation2!F5)</f>
        <v>MBWAY</v>
      </c>
      <c r="D5" t="str">
        <f>IF(Allocation2!G5="","",Allocation2!G5)</f>
        <v>MAS_MGT</v>
      </c>
      <c r="E5" t="str">
        <f>IF(Allocation2!H5="","",Allocation2!H5)</f>
        <v>M1</v>
      </c>
      <c r="F5" t="str">
        <f>IF(Allocation2!I5="","",Allocation2!I5)</f>
        <v>ALT</v>
      </c>
      <c r="G5">
        <f>IF(Allocation2!E5="","",Allocation2!J5)</f>
        <v>78</v>
      </c>
      <c r="H5">
        <f>IF(Allocation2!E5="","",Allocation2!K5)</f>
        <v>3</v>
      </c>
      <c r="I5">
        <f>IF(Allocation2!E5="","",Allocation2!L5)</f>
        <v>662220</v>
      </c>
      <c r="J5">
        <f>IF($A5="","",Allocation2!X5)</f>
        <v>78</v>
      </c>
      <c r="K5">
        <f t="shared" si="0"/>
        <v>1260</v>
      </c>
      <c r="L5">
        <f t="shared" si="1"/>
        <v>382</v>
      </c>
      <c r="M5">
        <f t="shared" si="2"/>
        <v>15</v>
      </c>
      <c r="N5">
        <f t="shared" si="3"/>
        <v>3138840</v>
      </c>
      <c r="O5">
        <f t="shared" si="4"/>
        <v>7200</v>
      </c>
      <c r="P5">
        <f t="shared" si="5"/>
        <v>156</v>
      </c>
      <c r="Q5">
        <f t="shared" si="6"/>
        <v>1249</v>
      </c>
      <c r="R5">
        <f t="shared" si="7"/>
        <v>50</v>
      </c>
      <c r="S5">
        <f t="shared" si="8"/>
        <v>9567455</v>
      </c>
      <c r="T5">
        <f t="shared" si="9"/>
        <v>3036</v>
      </c>
      <c r="U5">
        <f t="shared" si="10"/>
        <v>131</v>
      </c>
      <c r="V5">
        <f t="shared" si="11"/>
        <v>22544725</v>
      </c>
      <c r="W5">
        <f>IF($A5="","",Allocation2!Y5)</f>
        <v>181094</v>
      </c>
      <c r="X5">
        <f>IF($A5="","",Allocation2!Z5)</f>
        <v>605202</v>
      </c>
      <c r="Y5">
        <f>IF($A5="","",Allocation2!AA5)</f>
        <v>142140</v>
      </c>
      <c r="Z5">
        <f>IF($A5="","",Allocation2!AB5)</f>
        <v>68291</v>
      </c>
      <c r="AA5">
        <f>IF($A5="","",Allocation2!AC5)</f>
        <v>1452771</v>
      </c>
      <c r="AB5">
        <f>IF($A5="","",Allocation2!AD5)</f>
        <v>2891983</v>
      </c>
      <c r="AC5">
        <f>IF($A5="","",IF(ALLOC!$N$4="VOL_EFF",$G5,IF(ALLOC!$N$4="VOL_CLASS",$H5,$I5)))</f>
        <v>78</v>
      </c>
      <c r="AD5">
        <f>IF($A5="","",IF(ALLOC!$N$4="VOL_EFF",$L5,IF(ALLOC!$N$4="VOL_CLASS",$M5,$N5)))</f>
        <v>382</v>
      </c>
      <c r="AE5">
        <f>IF($A5="","",IF(ALLOC!$N$3="VOL_EFF",$L5,IF(ALLOC!$N$3="VOL_CLASS",$M5,$N5)))</f>
        <v>3138840</v>
      </c>
      <c r="AF5">
        <f>IF($A5="","",IF(ALLOC!$N$3="VOL_EFF",$Q5,IF(ALLOC!$N$3="VOL_CLASS",$R5,$S5)))</f>
        <v>9567455</v>
      </c>
      <c r="AG5">
        <f>IF($A5="","",IF(ALLOC!$N$1="VOL_EFF",$Q5,IF(ALLOC!$N$1="VOL_CLASS",$R5,$S5)))</f>
        <v>1249</v>
      </c>
      <c r="AH5">
        <f>IF($A5="","",IF(ALLOC!$N$1="VOL_EFF",$T5,IF(ALLOC!$N$1="VOL_CLASS",$U5,$V5)))</f>
        <v>3036</v>
      </c>
      <c r="AI5">
        <f t="shared" si="12"/>
        <v>31691.449999999997</v>
      </c>
      <c r="AJ5">
        <f t="shared" si="13"/>
        <v>105910.34999999999</v>
      </c>
      <c r="AK5">
        <f t="shared" si="14"/>
        <v>63168.850785340313</v>
      </c>
      <c r="AL5">
        <f t="shared" si="15"/>
        <v>296639.10471204185</v>
      </c>
      <c r="AM5">
        <f t="shared" si="16"/>
        <v>79700.380879514487</v>
      </c>
      <c r="AN5">
        <f t="shared" si="17"/>
        <v>66470.447552685859</v>
      </c>
      <c r="AO5">
        <f>IF($A5="","",Allocation2!AE5)</f>
        <v>676344</v>
      </c>
      <c r="AP5">
        <f>IF($A5="","",IF(ALLOC!$N$2="VOL_EFF",$Q5,IF(ALLOC!$N$2="VOL_CLASS",$R5,$S5)))</f>
        <v>1249</v>
      </c>
      <c r="AQ5">
        <f>IF($A5="","",IF(ALLOC!$N$2="VOL_EFF",$T5,IF(ALLOC!$N$2="VOL_CLASS",$U5,$V5)))</f>
        <v>3036</v>
      </c>
      <c r="AR5">
        <f t="shared" si="18"/>
        <v>18639.416070417545</v>
      </c>
    </row>
    <row r="6" spans="1:46" x14ac:dyDescent="0.45">
      <c r="A6" t="str">
        <f>IF(Allocation2!D6="","",Allocation2!D6)</f>
        <v>2026</v>
      </c>
      <c r="B6" t="str">
        <f>IF(Allocation2!E6="","",Allocation2!E6)</f>
        <v>MBWAY_PAR</v>
      </c>
      <c r="C6" t="str">
        <f>IF(Allocation2!F6="","",Allocation2!F6)</f>
        <v>MBWAY</v>
      </c>
      <c r="D6" t="str">
        <f>IF(Allocation2!G6="","",Allocation2!G6)</f>
        <v>MAS_MGT</v>
      </c>
      <c r="E6" t="str">
        <f>IF(Allocation2!H6="","",Allocation2!H6)</f>
        <v>M2</v>
      </c>
      <c r="F6" t="str">
        <f>IF(Allocation2!I6="","",Allocation2!I6)</f>
        <v>ALT</v>
      </c>
      <c r="G6">
        <f>IF(Allocation2!E6="","",Allocation2!J6)</f>
        <v>76</v>
      </c>
      <c r="H6">
        <f>IF(Allocation2!E6="","",Allocation2!K6)</f>
        <v>3</v>
      </c>
      <c r="I6">
        <f>IF(Allocation2!E6="","",Allocation2!L6)</f>
        <v>638400</v>
      </c>
      <c r="J6">
        <f>IF($A6="","",Allocation2!X6)</f>
        <v>0</v>
      </c>
      <c r="K6">
        <f t="shared" si="0"/>
        <v>1260</v>
      </c>
      <c r="L6">
        <f t="shared" si="1"/>
        <v>382</v>
      </c>
      <c r="M6">
        <f t="shared" si="2"/>
        <v>15</v>
      </c>
      <c r="N6">
        <f t="shared" si="3"/>
        <v>3138840</v>
      </c>
      <c r="O6">
        <f t="shared" si="4"/>
        <v>7200</v>
      </c>
      <c r="P6">
        <f t="shared" si="5"/>
        <v>156</v>
      </c>
      <c r="Q6">
        <f t="shared" si="6"/>
        <v>1249</v>
      </c>
      <c r="R6">
        <f t="shared" si="7"/>
        <v>50</v>
      </c>
      <c r="S6">
        <f t="shared" si="8"/>
        <v>9567455</v>
      </c>
      <c r="T6">
        <f t="shared" si="9"/>
        <v>3036</v>
      </c>
      <c r="U6">
        <f t="shared" si="10"/>
        <v>131</v>
      </c>
      <c r="V6">
        <f t="shared" si="11"/>
        <v>22544725</v>
      </c>
      <c r="W6">
        <f>IF($A6="","",Allocation2!Y6)</f>
        <v>181094</v>
      </c>
      <c r="X6">
        <f>IF($A6="","",Allocation2!Z6)</f>
        <v>605202</v>
      </c>
      <c r="Y6">
        <f>IF($A6="","",Allocation2!AA6)</f>
        <v>142140</v>
      </c>
      <c r="Z6">
        <f>IF($A6="","",Allocation2!AB6)</f>
        <v>68291</v>
      </c>
      <c r="AA6">
        <f>IF($A6="","",Allocation2!AC6)</f>
        <v>1452771</v>
      </c>
      <c r="AB6">
        <f>IF($A6="","",Allocation2!AD6)</f>
        <v>2891983</v>
      </c>
      <c r="AC6">
        <f>IF($A6="","",IF(ALLOC!$N$4="VOL_EFF",$G6,IF(ALLOC!$N$4="VOL_CLASS",$H6,$I6)))</f>
        <v>76</v>
      </c>
      <c r="AD6">
        <f>IF($A6="","",IF(ALLOC!$N$4="VOL_EFF",$L6,IF(ALLOC!$N$4="VOL_CLASS",$M6,$N6)))</f>
        <v>382</v>
      </c>
      <c r="AE6">
        <f>IF($A6="","",IF(ALLOC!$N$3="VOL_EFF",$L6,IF(ALLOC!$N$3="VOL_CLASS",$M6,$N6)))</f>
        <v>3138840</v>
      </c>
      <c r="AF6">
        <f>IF($A6="","",IF(ALLOC!$N$3="VOL_EFF",$Q6,IF(ALLOC!$N$3="VOL_CLASS",$R6,$S6)))</f>
        <v>9567455</v>
      </c>
      <c r="AG6">
        <f>IF($A6="","",IF(ALLOC!$N$1="VOL_EFF",$Q6,IF(ALLOC!$N$1="VOL_CLASS",$R6,$S6)))</f>
        <v>1249</v>
      </c>
      <c r="AH6">
        <f>IF($A6="","",IF(ALLOC!$N$1="VOL_EFF",$T6,IF(ALLOC!$N$1="VOL_CLASS",$U6,$V6)))</f>
        <v>3036</v>
      </c>
      <c r="AI6">
        <f t="shared" si="12"/>
        <v>31691.449999999997</v>
      </c>
      <c r="AJ6">
        <f t="shared" si="13"/>
        <v>105910.34999999999</v>
      </c>
      <c r="AK6">
        <f t="shared" si="14"/>
        <v>28279.162303664918</v>
      </c>
      <c r="AL6">
        <f t="shared" si="15"/>
        <v>289032.97382198949</v>
      </c>
      <c r="AM6">
        <f t="shared" si="16"/>
        <v>77656.781369783348</v>
      </c>
      <c r="AN6">
        <f t="shared" si="17"/>
        <v>87667.800179540063</v>
      </c>
      <c r="AO6">
        <f>IF($A6="","",Allocation2!AE6)</f>
        <v>676344</v>
      </c>
      <c r="AP6">
        <f>IF($A6="","",IF(ALLOC!$N$2="VOL_EFF",$Q6,IF(ALLOC!$N$2="VOL_CLASS",$R6,$S6)))</f>
        <v>1249</v>
      </c>
      <c r="AQ6">
        <f>IF($A6="","",IF(ALLOC!$N$2="VOL_EFF",$T6,IF(ALLOC!$N$2="VOL_CLASS",$U6,$V6)))</f>
        <v>3036</v>
      </c>
      <c r="AR6">
        <f t="shared" si="18"/>
        <v>18161.482325022225</v>
      </c>
    </row>
    <row r="7" spans="1:46" x14ac:dyDescent="0.45">
      <c r="A7" t="str">
        <f>IF(Allocation2!D7="","",Allocation2!D7)</f>
        <v>2026</v>
      </c>
      <c r="B7" t="str">
        <f>IF(Allocation2!E7="","",Allocation2!E7)</f>
        <v>MBWAY_LYO</v>
      </c>
      <c r="C7" t="str">
        <f>IF(Allocation2!F7="","",Allocation2!F7)</f>
        <v>MBWAY</v>
      </c>
      <c r="D7" t="str">
        <f>IF(Allocation2!G7="","",Allocation2!G7)</f>
        <v>BAC_MGT</v>
      </c>
      <c r="E7" t="str">
        <f>IF(Allocation2!H7="","",Allocation2!H7)</f>
        <v>B1</v>
      </c>
      <c r="F7" t="str">
        <f>IF(Allocation2!I7="","",Allocation2!I7)</f>
        <v>INIT</v>
      </c>
      <c r="G7">
        <f>IF(Allocation2!E7="","",Allocation2!J7)</f>
        <v>66</v>
      </c>
      <c r="H7">
        <f>IF(Allocation2!E7="","",Allocation2!K7)</f>
        <v>3</v>
      </c>
      <c r="I7">
        <f>IF(Allocation2!E7="","",Allocation2!L7)</f>
        <v>525690</v>
      </c>
      <c r="J7">
        <f>IF($A7="","",Allocation2!X7)</f>
        <v>66</v>
      </c>
      <c r="K7">
        <f t="shared" si="0"/>
        <v>1800</v>
      </c>
      <c r="L7">
        <f t="shared" si="1"/>
        <v>324</v>
      </c>
      <c r="M7">
        <f t="shared" si="2"/>
        <v>13</v>
      </c>
      <c r="N7">
        <f t="shared" si="3"/>
        <v>2496705</v>
      </c>
      <c r="O7">
        <f t="shared" si="4"/>
        <v>6240</v>
      </c>
      <c r="P7">
        <f t="shared" si="5"/>
        <v>132</v>
      </c>
      <c r="Q7">
        <f t="shared" si="6"/>
        <v>1249</v>
      </c>
      <c r="R7">
        <f t="shared" si="7"/>
        <v>50</v>
      </c>
      <c r="S7">
        <f t="shared" si="8"/>
        <v>9567455</v>
      </c>
      <c r="T7">
        <f t="shared" si="9"/>
        <v>3036</v>
      </c>
      <c r="U7">
        <f t="shared" si="10"/>
        <v>131</v>
      </c>
      <c r="V7">
        <f t="shared" si="11"/>
        <v>22544725</v>
      </c>
      <c r="W7">
        <f>IF($A7="","",Allocation2!Y7)</f>
        <v>156948</v>
      </c>
      <c r="X7">
        <f>IF($A7="","",Allocation2!Z7)</f>
        <v>362623</v>
      </c>
      <c r="Y7">
        <f>IF($A7="","",Allocation2!AA7)</f>
        <v>120559</v>
      </c>
      <c r="Z7">
        <f>IF($A7="","",Allocation2!AB7)</f>
        <v>41783</v>
      </c>
      <c r="AA7">
        <f>IF($A7="","",Allocation2!AC7)</f>
        <v>857806</v>
      </c>
      <c r="AB7">
        <f>IF($A7="","",Allocation2!AD7)</f>
        <v>2891983</v>
      </c>
      <c r="AC7">
        <f>IF($A7="","",IF(ALLOC!$N$4="VOL_EFF",$G7,IF(ALLOC!$N$4="VOL_CLASS",$H7,$I7)))</f>
        <v>66</v>
      </c>
      <c r="AD7">
        <f>IF($A7="","",IF(ALLOC!$N$4="VOL_EFF",$L7,IF(ALLOC!$N$4="VOL_CLASS",$M7,$N7)))</f>
        <v>324</v>
      </c>
      <c r="AE7">
        <f>IF($A7="","",IF(ALLOC!$N$3="VOL_EFF",$L7,IF(ALLOC!$N$3="VOL_CLASS",$M7,$N7)))</f>
        <v>2496705</v>
      </c>
      <c r="AF7">
        <f>IF($A7="","",IF(ALLOC!$N$3="VOL_EFF",$Q7,IF(ALLOC!$N$3="VOL_CLASS",$R7,$S7)))</f>
        <v>9567455</v>
      </c>
      <c r="AG7">
        <f>IF($A7="","",IF(ALLOC!$N$1="VOL_EFF",$Q7,IF(ALLOC!$N$1="VOL_CLASS",$R7,$S7)))</f>
        <v>1249</v>
      </c>
      <c r="AH7">
        <f>IF($A7="","",IF(ALLOC!$N$1="VOL_EFF",$T7,IF(ALLOC!$N$1="VOL_CLASS",$U7,$V7)))</f>
        <v>3036</v>
      </c>
      <c r="AI7">
        <f t="shared" si="12"/>
        <v>45273.461538461532</v>
      </c>
      <c r="AJ7">
        <f t="shared" si="13"/>
        <v>104602.78846153845</v>
      </c>
      <c r="AK7">
        <f t="shared" si="14"/>
        <v>45449.814814814818</v>
      </c>
      <c r="AL7">
        <f t="shared" si="15"/>
        <v>174738.25925925924</v>
      </c>
      <c r="AM7">
        <f t="shared" si="16"/>
        <v>63244.990980360075</v>
      </c>
      <c r="AN7">
        <f t="shared" si="17"/>
        <v>77589.667785499361</v>
      </c>
      <c r="AO7">
        <f>IF($A7="","",Allocation2!AE7)</f>
        <v>676344</v>
      </c>
      <c r="AP7">
        <f>IF($A7="","",IF(ALLOC!$N$2="VOL_EFF",$Q7,IF(ALLOC!$N$2="VOL_CLASS",$R7,$S7)))</f>
        <v>1249</v>
      </c>
      <c r="AQ7">
        <f>IF($A7="","",IF(ALLOC!$N$2="VOL_EFF",$T7,IF(ALLOC!$N$2="VOL_CLASS",$U7,$V7)))</f>
        <v>3036</v>
      </c>
      <c r="AR7">
        <f t="shared" si="18"/>
        <v>14791.017160066522</v>
      </c>
    </row>
    <row r="8" spans="1:46" x14ac:dyDescent="0.45">
      <c r="A8" t="str">
        <f>IF(Allocation2!D8="","",Allocation2!D8)</f>
        <v>2026</v>
      </c>
      <c r="B8" t="str">
        <f>IF(Allocation2!E8="","",Allocation2!E8)</f>
        <v>MBWAY_LYO</v>
      </c>
      <c r="C8" t="str">
        <f>IF(Allocation2!F8="","",Allocation2!F8)</f>
        <v>MBWAY</v>
      </c>
      <c r="D8" t="str">
        <f>IF(Allocation2!G8="","",Allocation2!G8)</f>
        <v>BAC_MGT</v>
      </c>
      <c r="E8" t="str">
        <f>IF(Allocation2!H8="","",Allocation2!H8)</f>
        <v>B2</v>
      </c>
      <c r="F8" t="str">
        <f>IF(Allocation2!I8="","",Allocation2!I8)</f>
        <v>ALT</v>
      </c>
      <c r="G8">
        <f>IF(Allocation2!E8="","",Allocation2!J8)</f>
        <v>64</v>
      </c>
      <c r="H8">
        <f>IF(Allocation2!E8="","",Allocation2!K8)</f>
        <v>2</v>
      </c>
      <c r="I8">
        <f>IF(Allocation2!E8="","",Allocation2!L8)</f>
        <v>470400</v>
      </c>
      <c r="J8">
        <f>IF($A8="","",Allocation2!X8)</f>
        <v>0</v>
      </c>
      <c r="K8">
        <f t="shared" si="0"/>
        <v>960</v>
      </c>
      <c r="L8">
        <f t="shared" si="1"/>
        <v>324</v>
      </c>
      <c r="M8">
        <f t="shared" si="2"/>
        <v>13</v>
      </c>
      <c r="N8">
        <f t="shared" si="3"/>
        <v>2496705</v>
      </c>
      <c r="O8">
        <f t="shared" si="4"/>
        <v>6240</v>
      </c>
      <c r="P8">
        <f t="shared" si="5"/>
        <v>132</v>
      </c>
      <c r="Q8">
        <f t="shared" si="6"/>
        <v>1249</v>
      </c>
      <c r="R8">
        <f t="shared" si="7"/>
        <v>50</v>
      </c>
      <c r="S8">
        <f t="shared" si="8"/>
        <v>9567455</v>
      </c>
      <c r="T8">
        <f t="shared" si="9"/>
        <v>3036</v>
      </c>
      <c r="U8">
        <f t="shared" si="10"/>
        <v>131</v>
      </c>
      <c r="V8">
        <f t="shared" si="11"/>
        <v>22544725</v>
      </c>
      <c r="W8">
        <f>IF($A8="","",Allocation2!Y8)</f>
        <v>156948</v>
      </c>
      <c r="X8">
        <f>IF($A8="","",Allocation2!Z8)</f>
        <v>362623</v>
      </c>
      <c r="Y8">
        <f>IF($A8="","",Allocation2!AA8)</f>
        <v>120559</v>
      </c>
      <c r="Z8">
        <f>IF($A8="","",Allocation2!AB8)</f>
        <v>41783</v>
      </c>
      <c r="AA8">
        <f>IF($A8="","",Allocation2!AC8)</f>
        <v>857806</v>
      </c>
      <c r="AB8">
        <f>IF($A8="","",Allocation2!AD8)</f>
        <v>2891983</v>
      </c>
      <c r="AC8">
        <f>IF($A8="","",IF(ALLOC!$N$4="VOL_EFF",$G8,IF(ALLOC!$N$4="VOL_CLASS",$H8,$I8)))</f>
        <v>64</v>
      </c>
      <c r="AD8">
        <f>IF($A8="","",IF(ALLOC!$N$4="VOL_EFF",$L8,IF(ALLOC!$N$4="VOL_CLASS",$M8,$N8)))</f>
        <v>324</v>
      </c>
      <c r="AE8">
        <f>IF($A8="","",IF(ALLOC!$N$3="VOL_EFF",$L8,IF(ALLOC!$N$3="VOL_CLASS",$M8,$N8)))</f>
        <v>2496705</v>
      </c>
      <c r="AF8">
        <f>IF($A8="","",IF(ALLOC!$N$3="VOL_EFF",$Q8,IF(ALLOC!$N$3="VOL_CLASS",$R8,$S8)))</f>
        <v>9567455</v>
      </c>
      <c r="AG8">
        <f>IF($A8="","",IF(ALLOC!$N$1="VOL_EFF",$Q8,IF(ALLOC!$N$1="VOL_CLASS",$R8,$S8)))</f>
        <v>1249</v>
      </c>
      <c r="AH8">
        <f>IF($A8="","",IF(ALLOC!$N$1="VOL_EFF",$T8,IF(ALLOC!$N$1="VOL_CLASS",$U8,$V8)))</f>
        <v>3036</v>
      </c>
      <c r="AI8">
        <f t="shared" si="12"/>
        <v>24145.846153846156</v>
      </c>
      <c r="AJ8">
        <f t="shared" si="13"/>
        <v>55788.153846153851</v>
      </c>
      <c r="AK8">
        <f t="shared" si="14"/>
        <v>23814.123456790123</v>
      </c>
      <c r="AL8">
        <f t="shared" si="15"/>
        <v>169443.16049382716</v>
      </c>
      <c r="AM8">
        <f t="shared" si="16"/>
        <v>61328.476102167348</v>
      </c>
      <c r="AN8">
        <f t="shared" si="17"/>
        <v>121537.43542836298</v>
      </c>
      <c r="AO8">
        <f>IF($A8="","",Allocation2!AE8)</f>
        <v>676344</v>
      </c>
      <c r="AP8">
        <f>IF($A8="","",IF(ALLOC!$N$2="VOL_EFF",$Q8,IF(ALLOC!$N$2="VOL_CLASS",$R8,$S8)))</f>
        <v>1249</v>
      </c>
      <c r="AQ8">
        <f>IF($A8="","",IF(ALLOC!$N$2="VOL_EFF",$T8,IF(ALLOC!$N$2="VOL_CLASS",$U8,$V8)))</f>
        <v>3036</v>
      </c>
      <c r="AR8">
        <f t="shared" si="18"/>
        <v>14342.804518852385</v>
      </c>
    </row>
    <row r="9" spans="1:46" x14ac:dyDescent="0.45">
      <c r="A9" t="str">
        <f>IF(Allocation2!D9="","",Allocation2!D9)</f>
        <v>2026</v>
      </c>
      <c r="B9" t="str">
        <f>IF(Allocation2!E9="","",Allocation2!E9)</f>
        <v>MBWAY_LYO</v>
      </c>
      <c r="C9" t="str">
        <f>IF(Allocation2!F9="","",Allocation2!F9)</f>
        <v>MBWAY</v>
      </c>
      <c r="D9" t="str">
        <f>IF(Allocation2!G9="","",Allocation2!G9)</f>
        <v>BAC_MGT</v>
      </c>
      <c r="E9" t="str">
        <f>IF(Allocation2!H9="","",Allocation2!H9)</f>
        <v>B3</v>
      </c>
      <c r="F9" t="str">
        <f>IF(Allocation2!I9="","",Allocation2!I9)</f>
        <v>ALT</v>
      </c>
      <c r="G9">
        <f>IF(Allocation2!E9="","",Allocation2!J9)</f>
        <v>63</v>
      </c>
      <c r="H9">
        <f>IF(Allocation2!E9="","",Allocation2!K9)</f>
        <v>2</v>
      </c>
      <c r="I9">
        <f>IF(Allocation2!E9="","",Allocation2!L9)</f>
        <v>463050</v>
      </c>
      <c r="J9">
        <f>IF($A9="","",Allocation2!X9)</f>
        <v>0</v>
      </c>
      <c r="K9">
        <f t="shared" si="0"/>
        <v>960</v>
      </c>
      <c r="L9">
        <f t="shared" si="1"/>
        <v>324</v>
      </c>
      <c r="M9">
        <f t="shared" si="2"/>
        <v>13</v>
      </c>
      <c r="N9">
        <f t="shared" si="3"/>
        <v>2496705</v>
      </c>
      <c r="O9">
        <f t="shared" si="4"/>
        <v>6240</v>
      </c>
      <c r="P9">
        <f t="shared" si="5"/>
        <v>132</v>
      </c>
      <c r="Q9">
        <f t="shared" si="6"/>
        <v>1249</v>
      </c>
      <c r="R9">
        <f t="shared" si="7"/>
        <v>50</v>
      </c>
      <c r="S9">
        <f t="shared" si="8"/>
        <v>9567455</v>
      </c>
      <c r="T9">
        <f t="shared" si="9"/>
        <v>3036</v>
      </c>
      <c r="U9">
        <f t="shared" si="10"/>
        <v>131</v>
      </c>
      <c r="V9">
        <f t="shared" si="11"/>
        <v>22544725</v>
      </c>
      <c r="W9">
        <f>IF($A9="","",Allocation2!Y9)</f>
        <v>156948</v>
      </c>
      <c r="X9">
        <f>IF($A9="","",Allocation2!Z9)</f>
        <v>362623</v>
      </c>
      <c r="Y9">
        <f>IF($A9="","",Allocation2!AA9)</f>
        <v>120559</v>
      </c>
      <c r="Z9">
        <f>IF($A9="","",Allocation2!AB9)</f>
        <v>41783</v>
      </c>
      <c r="AA9">
        <f>IF($A9="","",Allocation2!AC9)</f>
        <v>857806</v>
      </c>
      <c r="AB9">
        <f>IF($A9="","",Allocation2!AD9)</f>
        <v>2891983</v>
      </c>
      <c r="AC9">
        <f>IF($A9="","",IF(ALLOC!$N$4="VOL_EFF",$G9,IF(ALLOC!$N$4="VOL_CLASS",$H9,$I9)))</f>
        <v>63</v>
      </c>
      <c r="AD9">
        <f>IF($A9="","",IF(ALLOC!$N$4="VOL_EFF",$L9,IF(ALLOC!$N$4="VOL_CLASS",$M9,$N9)))</f>
        <v>324</v>
      </c>
      <c r="AE9">
        <f>IF($A9="","",IF(ALLOC!$N$3="VOL_EFF",$L9,IF(ALLOC!$N$3="VOL_CLASS",$M9,$N9)))</f>
        <v>2496705</v>
      </c>
      <c r="AF9">
        <f>IF($A9="","",IF(ALLOC!$N$3="VOL_EFF",$Q9,IF(ALLOC!$N$3="VOL_CLASS",$R9,$S9)))</f>
        <v>9567455</v>
      </c>
      <c r="AG9">
        <f>IF($A9="","",IF(ALLOC!$N$1="VOL_EFF",$Q9,IF(ALLOC!$N$1="VOL_CLASS",$R9,$S9)))</f>
        <v>1249</v>
      </c>
      <c r="AH9">
        <f>IF($A9="","",IF(ALLOC!$N$1="VOL_EFF",$T9,IF(ALLOC!$N$1="VOL_CLASS",$U9,$V9)))</f>
        <v>3036</v>
      </c>
      <c r="AI9">
        <f t="shared" si="12"/>
        <v>24145.846153846156</v>
      </c>
      <c r="AJ9">
        <f t="shared" si="13"/>
        <v>55788.153846153851</v>
      </c>
      <c r="AK9">
        <f t="shared" si="14"/>
        <v>23442.027777777777</v>
      </c>
      <c r="AL9">
        <f t="shared" si="15"/>
        <v>166795.61111111112</v>
      </c>
      <c r="AM9">
        <f t="shared" si="16"/>
        <v>60370.218663070984</v>
      </c>
      <c r="AN9">
        <f t="shared" si="17"/>
        <v>118389.44424979482</v>
      </c>
      <c r="AO9">
        <f>IF($A9="","",Allocation2!AE9)</f>
        <v>676344</v>
      </c>
      <c r="AP9">
        <f>IF($A9="","",IF(ALLOC!$N$2="VOL_EFF",$Q9,IF(ALLOC!$N$2="VOL_CLASS",$R9,$S9)))</f>
        <v>1249</v>
      </c>
      <c r="AQ9">
        <f>IF($A9="","",IF(ALLOC!$N$2="VOL_EFF",$T9,IF(ALLOC!$N$2="VOL_CLASS",$U9,$V9)))</f>
        <v>3036</v>
      </c>
      <c r="AR9">
        <f t="shared" si="18"/>
        <v>14118.698198245318</v>
      </c>
    </row>
    <row r="10" spans="1:46" x14ac:dyDescent="0.45">
      <c r="A10" t="str">
        <f>IF(Allocation2!D10="","",Allocation2!D10)</f>
        <v>2026</v>
      </c>
      <c r="B10" t="str">
        <f>IF(Allocation2!E10="","",Allocation2!E10)</f>
        <v>MBWAY_LYO</v>
      </c>
      <c r="C10" t="str">
        <f>IF(Allocation2!F10="","",Allocation2!F10)</f>
        <v>MBWAY</v>
      </c>
      <c r="D10" t="str">
        <f>IF(Allocation2!G10="","",Allocation2!G10)</f>
        <v>MAS_MGT</v>
      </c>
      <c r="E10" t="str">
        <f>IF(Allocation2!H10="","",Allocation2!H10)</f>
        <v>M1</v>
      </c>
      <c r="F10" t="str">
        <f>IF(Allocation2!I10="","",Allocation2!I10)</f>
        <v>ALT</v>
      </c>
      <c r="G10">
        <f>IF(Allocation2!E10="","",Allocation2!J10)</f>
        <v>66</v>
      </c>
      <c r="H10">
        <f>IF(Allocation2!E10="","",Allocation2!K10)</f>
        <v>3</v>
      </c>
      <c r="I10">
        <f>IF(Allocation2!E10="","",Allocation2!L10)</f>
        <v>525690</v>
      </c>
      <c r="J10">
        <f>IF($A10="","",Allocation2!X10)</f>
        <v>66</v>
      </c>
      <c r="K10">
        <f t="shared" si="0"/>
        <v>1260</v>
      </c>
      <c r="L10">
        <f t="shared" si="1"/>
        <v>324</v>
      </c>
      <c r="M10">
        <f t="shared" si="2"/>
        <v>13</v>
      </c>
      <c r="N10">
        <f t="shared" si="3"/>
        <v>2496705</v>
      </c>
      <c r="O10">
        <f t="shared" si="4"/>
        <v>6240</v>
      </c>
      <c r="P10">
        <f t="shared" si="5"/>
        <v>132</v>
      </c>
      <c r="Q10">
        <f t="shared" si="6"/>
        <v>1249</v>
      </c>
      <c r="R10">
        <f t="shared" si="7"/>
        <v>50</v>
      </c>
      <c r="S10">
        <f t="shared" si="8"/>
        <v>9567455</v>
      </c>
      <c r="T10">
        <f t="shared" si="9"/>
        <v>3036</v>
      </c>
      <c r="U10">
        <f t="shared" si="10"/>
        <v>131</v>
      </c>
      <c r="V10">
        <f t="shared" si="11"/>
        <v>22544725</v>
      </c>
      <c r="W10">
        <f>IF($A10="","",Allocation2!Y10)</f>
        <v>156948</v>
      </c>
      <c r="X10">
        <f>IF($A10="","",Allocation2!Z10)</f>
        <v>362623</v>
      </c>
      <c r="Y10">
        <f>IF($A10="","",Allocation2!AA10)</f>
        <v>120559</v>
      </c>
      <c r="Z10">
        <f>IF($A10="","",Allocation2!AB10)</f>
        <v>41783</v>
      </c>
      <c r="AA10">
        <f>IF($A10="","",Allocation2!AC10)</f>
        <v>857806</v>
      </c>
      <c r="AB10">
        <f>IF($A10="","",Allocation2!AD10)</f>
        <v>2891983</v>
      </c>
      <c r="AC10">
        <f>IF($A10="","",IF(ALLOC!$N$4="VOL_EFF",$G10,IF(ALLOC!$N$4="VOL_CLASS",$H10,$I10)))</f>
        <v>66</v>
      </c>
      <c r="AD10">
        <f>IF($A10="","",IF(ALLOC!$N$4="VOL_EFF",$L10,IF(ALLOC!$N$4="VOL_CLASS",$M10,$N10)))</f>
        <v>324</v>
      </c>
      <c r="AE10">
        <f>IF($A10="","",IF(ALLOC!$N$3="VOL_EFF",$L10,IF(ALLOC!$N$3="VOL_CLASS",$M10,$N10)))</f>
        <v>2496705</v>
      </c>
      <c r="AF10">
        <f>IF($A10="","",IF(ALLOC!$N$3="VOL_EFF",$Q10,IF(ALLOC!$N$3="VOL_CLASS",$R10,$S10)))</f>
        <v>9567455</v>
      </c>
      <c r="AG10">
        <f>IF($A10="","",IF(ALLOC!$N$1="VOL_EFF",$Q10,IF(ALLOC!$N$1="VOL_CLASS",$R10,$S10)))</f>
        <v>1249</v>
      </c>
      <c r="AH10">
        <f>IF($A10="","",IF(ALLOC!$N$1="VOL_EFF",$T10,IF(ALLOC!$N$1="VOL_CLASS",$U10,$V10)))</f>
        <v>3036</v>
      </c>
      <c r="AI10">
        <f t="shared" si="12"/>
        <v>31691.423076923078</v>
      </c>
      <c r="AJ10">
        <f t="shared" si="13"/>
        <v>73221.951923076922</v>
      </c>
      <c r="AK10">
        <f t="shared" si="14"/>
        <v>45449.814814814818</v>
      </c>
      <c r="AL10">
        <f t="shared" si="15"/>
        <v>174738.25925925924</v>
      </c>
      <c r="AM10">
        <f t="shared" si="16"/>
        <v>63244.990980360075</v>
      </c>
      <c r="AN10">
        <f t="shared" si="17"/>
        <v>122552.54278549936</v>
      </c>
      <c r="AO10">
        <f>IF($A10="","",Allocation2!AE10)</f>
        <v>676344</v>
      </c>
      <c r="AP10">
        <f>IF($A10="","",IF(ALLOC!$N$2="VOL_EFF",$Q10,IF(ALLOC!$N$2="VOL_CLASS",$R10,$S10)))</f>
        <v>1249</v>
      </c>
      <c r="AQ10">
        <f>IF($A10="","",IF(ALLOC!$N$2="VOL_EFF",$T10,IF(ALLOC!$N$2="VOL_CLASS",$U10,$V10)))</f>
        <v>3036</v>
      </c>
      <c r="AR10">
        <f t="shared" si="18"/>
        <v>14791.017160066522</v>
      </c>
    </row>
    <row r="11" spans="1:46" x14ac:dyDescent="0.45">
      <c r="A11" t="str">
        <f>IF(Allocation2!D11="","",Allocation2!D11)</f>
        <v>2026</v>
      </c>
      <c r="B11" t="str">
        <f>IF(Allocation2!E11="","",Allocation2!E11)</f>
        <v>MBWAY_LYO</v>
      </c>
      <c r="C11" t="str">
        <f>IF(Allocation2!F11="","",Allocation2!F11)</f>
        <v>MBWAY</v>
      </c>
      <c r="D11" t="str">
        <f>IF(Allocation2!G11="","",Allocation2!G11)</f>
        <v>MAS_MGT</v>
      </c>
      <c r="E11" t="str">
        <f>IF(Allocation2!H11="","",Allocation2!H11)</f>
        <v>M2</v>
      </c>
      <c r="F11" t="str">
        <f>IF(Allocation2!I11="","",Allocation2!I11)</f>
        <v>ALT</v>
      </c>
      <c r="G11">
        <f>IF(Allocation2!E11="","",Allocation2!J11)</f>
        <v>65</v>
      </c>
      <c r="H11">
        <f>IF(Allocation2!E11="","",Allocation2!K11)</f>
        <v>3</v>
      </c>
      <c r="I11">
        <f>IF(Allocation2!E11="","",Allocation2!L11)</f>
        <v>511875</v>
      </c>
      <c r="J11">
        <f>IF($A11="","",Allocation2!X11)</f>
        <v>0</v>
      </c>
      <c r="K11">
        <f t="shared" si="0"/>
        <v>1260</v>
      </c>
      <c r="L11">
        <f t="shared" si="1"/>
        <v>324</v>
      </c>
      <c r="M11">
        <f t="shared" si="2"/>
        <v>13</v>
      </c>
      <c r="N11">
        <f t="shared" si="3"/>
        <v>2496705</v>
      </c>
      <c r="O11">
        <f t="shared" si="4"/>
        <v>6240</v>
      </c>
      <c r="P11">
        <f t="shared" si="5"/>
        <v>132</v>
      </c>
      <c r="Q11">
        <f t="shared" si="6"/>
        <v>1249</v>
      </c>
      <c r="R11">
        <f t="shared" si="7"/>
        <v>50</v>
      </c>
      <c r="S11">
        <f t="shared" si="8"/>
        <v>9567455</v>
      </c>
      <c r="T11">
        <f t="shared" si="9"/>
        <v>3036</v>
      </c>
      <c r="U11">
        <f t="shared" si="10"/>
        <v>131</v>
      </c>
      <c r="V11">
        <f t="shared" si="11"/>
        <v>22544725</v>
      </c>
      <c r="W11">
        <f>IF($A11="","",Allocation2!Y11)</f>
        <v>156948</v>
      </c>
      <c r="X11">
        <f>IF($A11="","",Allocation2!Z11)</f>
        <v>362623</v>
      </c>
      <c r="Y11">
        <f>IF($A11="","",Allocation2!AA11)</f>
        <v>120559</v>
      </c>
      <c r="Z11">
        <f>IF($A11="","",Allocation2!AB11)</f>
        <v>41783</v>
      </c>
      <c r="AA11">
        <f>IF($A11="","",Allocation2!AC11)</f>
        <v>857806</v>
      </c>
      <c r="AB11">
        <f>IF($A11="","",Allocation2!AD11)</f>
        <v>2891983</v>
      </c>
      <c r="AC11">
        <f>IF($A11="","",IF(ALLOC!$N$4="VOL_EFF",$G11,IF(ALLOC!$N$4="VOL_CLASS",$H11,$I11)))</f>
        <v>65</v>
      </c>
      <c r="AD11">
        <f>IF($A11="","",IF(ALLOC!$N$4="VOL_EFF",$L11,IF(ALLOC!$N$4="VOL_CLASS",$M11,$N11)))</f>
        <v>324</v>
      </c>
      <c r="AE11">
        <f>IF($A11="","",IF(ALLOC!$N$3="VOL_EFF",$L11,IF(ALLOC!$N$3="VOL_CLASS",$M11,$N11)))</f>
        <v>2496705</v>
      </c>
      <c r="AF11">
        <f>IF($A11="","",IF(ALLOC!$N$3="VOL_EFF",$Q11,IF(ALLOC!$N$3="VOL_CLASS",$R11,$S11)))</f>
        <v>9567455</v>
      </c>
      <c r="AG11">
        <f>IF($A11="","",IF(ALLOC!$N$1="VOL_EFF",$Q11,IF(ALLOC!$N$1="VOL_CLASS",$R11,$S11)))</f>
        <v>1249</v>
      </c>
      <c r="AH11">
        <f>IF($A11="","",IF(ALLOC!$N$1="VOL_EFF",$T11,IF(ALLOC!$N$1="VOL_CLASS",$U11,$V11)))</f>
        <v>3036</v>
      </c>
      <c r="AI11">
        <f t="shared" si="12"/>
        <v>31691.423076923078</v>
      </c>
      <c r="AJ11">
        <f t="shared" si="13"/>
        <v>73221.951923076922</v>
      </c>
      <c r="AK11">
        <f t="shared" si="14"/>
        <v>24186.219135802468</v>
      </c>
      <c r="AL11">
        <f t="shared" si="15"/>
        <v>172090.7098765432</v>
      </c>
      <c r="AM11">
        <f t="shared" si="16"/>
        <v>62286.733541263719</v>
      </c>
      <c r="AN11">
        <f t="shared" si="17"/>
        <v>133831.05160693114</v>
      </c>
      <c r="AO11">
        <f>IF($A11="","",Allocation2!AE11)</f>
        <v>676344</v>
      </c>
      <c r="AP11">
        <f>IF($A11="","",IF(ALLOC!$N$2="VOL_EFF",$Q11,IF(ALLOC!$N$2="VOL_CLASS",$R11,$S11)))</f>
        <v>1249</v>
      </c>
      <c r="AQ11">
        <f>IF($A11="","",IF(ALLOC!$N$2="VOL_EFF",$T11,IF(ALLOC!$N$2="VOL_CLASS",$U11,$V11)))</f>
        <v>3036</v>
      </c>
      <c r="AR11">
        <f t="shared" si="18"/>
        <v>14566.910839459455</v>
      </c>
    </row>
    <row r="12" spans="1:46" x14ac:dyDescent="0.45">
      <c r="A12" t="str">
        <f>IF(Allocation2!D12="","",Allocation2!D12)</f>
        <v>2026</v>
      </c>
      <c r="B12" t="str">
        <f>IF(Allocation2!E12="","",Allocation2!E12)</f>
        <v>MBWAY_NAN</v>
      </c>
      <c r="C12" t="str">
        <f>IF(Allocation2!F12="","",Allocation2!F12)</f>
        <v>MBWAY</v>
      </c>
      <c r="D12" t="str">
        <f>IF(Allocation2!G12="","",Allocation2!G12)</f>
        <v>BAC_MGT</v>
      </c>
      <c r="E12" t="str">
        <f>IF(Allocation2!H12="","",Allocation2!H12)</f>
        <v>B1</v>
      </c>
      <c r="F12" t="str">
        <f>IF(Allocation2!I12="","",Allocation2!I12)</f>
        <v>INIT</v>
      </c>
      <c r="G12">
        <f>IF(Allocation2!E12="","",Allocation2!J12)</f>
        <v>60</v>
      </c>
      <c r="H12">
        <f>IF(Allocation2!E12="","",Allocation2!K12)</f>
        <v>2</v>
      </c>
      <c r="I12">
        <f>IF(Allocation2!E12="","",Allocation2!L12)</f>
        <v>455400</v>
      </c>
      <c r="J12">
        <f>IF($A12="","",Allocation2!X12)</f>
        <v>60</v>
      </c>
      <c r="K12">
        <f t="shared" si="0"/>
        <v>1200</v>
      </c>
      <c r="L12">
        <f t="shared" si="1"/>
        <v>294</v>
      </c>
      <c r="M12">
        <f t="shared" si="2"/>
        <v>12</v>
      </c>
      <c r="N12">
        <f t="shared" si="3"/>
        <v>2158300</v>
      </c>
      <c r="O12">
        <f t="shared" si="4"/>
        <v>5640</v>
      </c>
      <c r="P12">
        <f t="shared" si="5"/>
        <v>120</v>
      </c>
      <c r="Q12">
        <f t="shared" si="6"/>
        <v>1249</v>
      </c>
      <c r="R12">
        <f t="shared" si="7"/>
        <v>50</v>
      </c>
      <c r="S12">
        <f t="shared" si="8"/>
        <v>9567455</v>
      </c>
      <c r="T12">
        <f t="shared" si="9"/>
        <v>3036</v>
      </c>
      <c r="U12">
        <f t="shared" si="10"/>
        <v>131</v>
      </c>
      <c r="V12">
        <f t="shared" si="11"/>
        <v>22544725</v>
      </c>
      <c r="W12">
        <f>IF($A12="","",Allocation2!Y12)</f>
        <v>144875</v>
      </c>
      <c r="X12">
        <f>IF($A12="","",Allocation2!Z12)</f>
        <v>298865</v>
      </c>
      <c r="Y12">
        <f>IF($A12="","",Allocation2!AA12)</f>
        <v>109396</v>
      </c>
      <c r="Z12">
        <f>IF($A12="","",Allocation2!AB12)</f>
        <v>31533</v>
      </c>
      <c r="AA12">
        <f>IF($A12="","",Allocation2!AC12)</f>
        <v>698861</v>
      </c>
      <c r="AB12">
        <f>IF($A12="","",Allocation2!AD12)</f>
        <v>2891983</v>
      </c>
      <c r="AC12">
        <f>IF($A12="","",IF(ALLOC!$N$4="VOL_EFF",$G12,IF(ALLOC!$N$4="VOL_CLASS",$H12,$I12)))</f>
        <v>60</v>
      </c>
      <c r="AD12">
        <f>IF($A12="","",IF(ALLOC!$N$4="VOL_EFF",$L12,IF(ALLOC!$N$4="VOL_CLASS",$M12,$N12)))</f>
        <v>294</v>
      </c>
      <c r="AE12">
        <f>IF($A12="","",IF(ALLOC!$N$3="VOL_EFF",$L12,IF(ALLOC!$N$3="VOL_CLASS",$M12,$N12)))</f>
        <v>2158300</v>
      </c>
      <c r="AF12">
        <f>IF($A12="","",IF(ALLOC!$N$3="VOL_EFF",$Q12,IF(ALLOC!$N$3="VOL_CLASS",$R12,$S12)))</f>
        <v>9567455</v>
      </c>
      <c r="AG12">
        <f>IF($A12="","",IF(ALLOC!$N$1="VOL_EFF",$Q12,IF(ALLOC!$N$1="VOL_CLASS",$R12,$S12)))</f>
        <v>1249</v>
      </c>
      <c r="AH12">
        <f>IF($A12="","",IF(ALLOC!$N$1="VOL_EFF",$T12,IF(ALLOC!$N$1="VOL_CLASS",$U12,$V12)))</f>
        <v>3036</v>
      </c>
      <c r="AI12">
        <f t="shared" si="12"/>
        <v>30824.468085106382</v>
      </c>
      <c r="AJ12">
        <f t="shared" si="13"/>
        <v>63588.297872340423</v>
      </c>
      <c r="AK12">
        <f t="shared" si="14"/>
        <v>38092.21428571429</v>
      </c>
      <c r="AL12">
        <f t="shared" si="15"/>
        <v>142624.69387755104</v>
      </c>
      <c r="AM12">
        <f t="shared" si="16"/>
        <v>54774.157889465321</v>
      </c>
      <c r="AN12">
        <f t="shared" si="17"/>
        <v>112686.21266035055</v>
      </c>
      <c r="AO12">
        <f>IF($A12="","",Allocation2!AE12)</f>
        <v>676344</v>
      </c>
      <c r="AP12">
        <f>IF($A12="","",IF(ALLOC!$N$2="VOL_EFF",$Q12,IF(ALLOC!$N$2="VOL_CLASS",$R12,$S12)))</f>
        <v>1249</v>
      </c>
      <c r="AQ12">
        <f>IF($A12="","",IF(ALLOC!$N$2="VOL_EFF",$T12,IF(ALLOC!$N$2="VOL_CLASS",$U12,$V12)))</f>
        <v>3036</v>
      </c>
      <c r="AR12">
        <f t="shared" si="18"/>
        <v>12809.955329472037</v>
      </c>
    </row>
    <row r="13" spans="1:46" x14ac:dyDescent="0.45">
      <c r="A13" t="str">
        <f>IF(Allocation2!D13="","",Allocation2!D13)</f>
        <v>2026</v>
      </c>
      <c r="B13" t="str">
        <f>IF(Allocation2!E13="","",Allocation2!E13)</f>
        <v>MBWAY_NAN</v>
      </c>
      <c r="C13" t="str">
        <f>IF(Allocation2!F13="","",Allocation2!F13)</f>
        <v>MBWAY</v>
      </c>
      <c r="D13" t="str">
        <f>IF(Allocation2!G13="","",Allocation2!G13)</f>
        <v>BAC_MGT</v>
      </c>
      <c r="E13" t="str">
        <f>IF(Allocation2!H13="","",Allocation2!H13)</f>
        <v>B2</v>
      </c>
      <c r="F13" t="str">
        <f>IF(Allocation2!I13="","",Allocation2!I13)</f>
        <v>ALT</v>
      </c>
      <c r="G13">
        <f>IF(Allocation2!E13="","",Allocation2!J13)</f>
        <v>58</v>
      </c>
      <c r="H13">
        <f>IF(Allocation2!E13="","",Allocation2!K13)</f>
        <v>2</v>
      </c>
      <c r="I13">
        <f>IF(Allocation2!E13="","",Allocation2!L13)</f>
        <v>406000</v>
      </c>
      <c r="J13">
        <f>IF($A13="","",Allocation2!X13)</f>
        <v>0</v>
      </c>
      <c r="K13">
        <f t="shared" si="0"/>
        <v>960</v>
      </c>
      <c r="L13">
        <f t="shared" si="1"/>
        <v>294</v>
      </c>
      <c r="M13">
        <f t="shared" si="2"/>
        <v>12</v>
      </c>
      <c r="N13">
        <f t="shared" si="3"/>
        <v>2158300</v>
      </c>
      <c r="O13">
        <f t="shared" si="4"/>
        <v>5640</v>
      </c>
      <c r="P13">
        <f t="shared" si="5"/>
        <v>120</v>
      </c>
      <c r="Q13">
        <f t="shared" si="6"/>
        <v>1249</v>
      </c>
      <c r="R13">
        <f t="shared" si="7"/>
        <v>50</v>
      </c>
      <c r="S13">
        <f t="shared" si="8"/>
        <v>9567455</v>
      </c>
      <c r="T13">
        <f t="shared" si="9"/>
        <v>3036</v>
      </c>
      <c r="U13">
        <f t="shared" si="10"/>
        <v>131</v>
      </c>
      <c r="V13">
        <f t="shared" si="11"/>
        <v>22544725</v>
      </c>
      <c r="W13">
        <f>IF($A13="","",Allocation2!Y13)</f>
        <v>144875</v>
      </c>
      <c r="X13">
        <f>IF($A13="","",Allocation2!Z13)</f>
        <v>298865</v>
      </c>
      <c r="Y13">
        <f>IF($A13="","",Allocation2!AA13)</f>
        <v>109396</v>
      </c>
      <c r="Z13">
        <f>IF($A13="","",Allocation2!AB13)</f>
        <v>31533</v>
      </c>
      <c r="AA13">
        <f>IF($A13="","",Allocation2!AC13)</f>
        <v>698861</v>
      </c>
      <c r="AB13">
        <f>IF($A13="","",Allocation2!AD13)</f>
        <v>2891983</v>
      </c>
      <c r="AC13">
        <f>IF($A13="","",IF(ALLOC!$N$4="VOL_EFF",$G13,IF(ALLOC!$N$4="VOL_CLASS",$H13,$I13)))</f>
        <v>58</v>
      </c>
      <c r="AD13">
        <f>IF($A13="","",IF(ALLOC!$N$4="VOL_EFF",$L13,IF(ALLOC!$N$4="VOL_CLASS",$M13,$N13)))</f>
        <v>294</v>
      </c>
      <c r="AE13">
        <f>IF($A13="","",IF(ALLOC!$N$3="VOL_EFF",$L13,IF(ALLOC!$N$3="VOL_CLASS",$M13,$N13)))</f>
        <v>2158300</v>
      </c>
      <c r="AF13">
        <f>IF($A13="","",IF(ALLOC!$N$3="VOL_EFF",$Q13,IF(ALLOC!$N$3="VOL_CLASS",$R13,$S13)))</f>
        <v>9567455</v>
      </c>
      <c r="AG13">
        <f>IF($A13="","",IF(ALLOC!$N$1="VOL_EFF",$Q13,IF(ALLOC!$N$1="VOL_CLASS",$R13,$S13)))</f>
        <v>1249</v>
      </c>
      <c r="AH13">
        <f>IF($A13="","",IF(ALLOC!$N$1="VOL_EFF",$T13,IF(ALLOC!$N$1="VOL_CLASS",$U13,$V13)))</f>
        <v>3036</v>
      </c>
      <c r="AI13">
        <f t="shared" si="12"/>
        <v>24659.574468085106</v>
      </c>
      <c r="AJ13">
        <f t="shared" si="13"/>
        <v>50870.638297872341</v>
      </c>
      <c r="AK13">
        <f t="shared" si="14"/>
        <v>21581.523809523809</v>
      </c>
      <c r="AL13">
        <f t="shared" si="15"/>
        <v>137870.53741496598</v>
      </c>
      <c r="AM13">
        <f t="shared" si="16"/>
        <v>52948.352626483138</v>
      </c>
      <c r="AN13">
        <f t="shared" si="17"/>
        <v>105686.41656457999</v>
      </c>
      <c r="AO13">
        <f>IF($A13="","",Allocation2!AE13)</f>
        <v>676344</v>
      </c>
      <c r="AP13">
        <f>IF($A13="","",IF(ALLOC!$N$2="VOL_EFF",$Q13,IF(ALLOC!$N$2="VOL_CLASS",$R13,$S13)))</f>
        <v>1249</v>
      </c>
      <c r="AQ13">
        <f>IF($A13="","",IF(ALLOC!$N$2="VOL_EFF",$T13,IF(ALLOC!$N$2="VOL_CLASS",$U13,$V13)))</f>
        <v>3036</v>
      </c>
      <c r="AR13">
        <f t="shared" si="18"/>
        <v>12382.956818489636</v>
      </c>
    </row>
    <row r="14" spans="1:46" x14ac:dyDescent="0.45">
      <c r="A14" t="str">
        <f>IF(Allocation2!D14="","",Allocation2!D14)</f>
        <v>2026</v>
      </c>
      <c r="B14" t="str">
        <f>IF(Allocation2!E14="","",Allocation2!E14)</f>
        <v>MBWAY_NAN</v>
      </c>
      <c r="C14" t="str">
        <f>IF(Allocation2!F14="","",Allocation2!F14)</f>
        <v>MBWAY</v>
      </c>
      <c r="D14" t="str">
        <f>IF(Allocation2!G14="","",Allocation2!G14)</f>
        <v>BAC_MGT</v>
      </c>
      <c r="E14" t="str">
        <f>IF(Allocation2!H14="","",Allocation2!H14)</f>
        <v>B3</v>
      </c>
      <c r="F14" t="str">
        <f>IF(Allocation2!I14="","",Allocation2!I14)</f>
        <v>ALT</v>
      </c>
      <c r="G14">
        <f>IF(Allocation2!E14="","",Allocation2!J14)</f>
        <v>57</v>
      </c>
      <c r="H14">
        <f>IF(Allocation2!E14="","",Allocation2!K14)</f>
        <v>2</v>
      </c>
      <c r="I14">
        <f>IF(Allocation2!E14="","",Allocation2!L14)</f>
        <v>399000</v>
      </c>
      <c r="J14">
        <f>IF($A14="","",Allocation2!X14)</f>
        <v>0</v>
      </c>
      <c r="K14">
        <f t="shared" si="0"/>
        <v>960</v>
      </c>
      <c r="L14">
        <f t="shared" si="1"/>
        <v>294</v>
      </c>
      <c r="M14">
        <f t="shared" si="2"/>
        <v>12</v>
      </c>
      <c r="N14">
        <f t="shared" si="3"/>
        <v>2158300</v>
      </c>
      <c r="O14">
        <f t="shared" si="4"/>
        <v>5640</v>
      </c>
      <c r="P14">
        <f t="shared" si="5"/>
        <v>120</v>
      </c>
      <c r="Q14">
        <f t="shared" si="6"/>
        <v>1249</v>
      </c>
      <c r="R14">
        <f t="shared" si="7"/>
        <v>50</v>
      </c>
      <c r="S14">
        <f t="shared" si="8"/>
        <v>9567455</v>
      </c>
      <c r="T14">
        <f t="shared" si="9"/>
        <v>3036</v>
      </c>
      <c r="U14">
        <f t="shared" si="10"/>
        <v>131</v>
      </c>
      <c r="V14">
        <f t="shared" si="11"/>
        <v>22544725</v>
      </c>
      <c r="W14">
        <f>IF($A14="","",Allocation2!Y14)</f>
        <v>144875</v>
      </c>
      <c r="X14">
        <f>IF($A14="","",Allocation2!Z14)</f>
        <v>298865</v>
      </c>
      <c r="Y14">
        <f>IF($A14="","",Allocation2!AA14)</f>
        <v>109396</v>
      </c>
      <c r="Z14">
        <f>IF($A14="","",Allocation2!AB14)</f>
        <v>31533</v>
      </c>
      <c r="AA14">
        <f>IF($A14="","",Allocation2!AC14)</f>
        <v>698861</v>
      </c>
      <c r="AB14">
        <f>IF($A14="","",Allocation2!AD14)</f>
        <v>2891983</v>
      </c>
      <c r="AC14">
        <f>IF($A14="","",IF(ALLOC!$N$4="VOL_EFF",$G14,IF(ALLOC!$N$4="VOL_CLASS",$H14,$I14)))</f>
        <v>57</v>
      </c>
      <c r="AD14">
        <f>IF($A14="","",IF(ALLOC!$N$4="VOL_EFF",$L14,IF(ALLOC!$N$4="VOL_CLASS",$M14,$N14)))</f>
        <v>294</v>
      </c>
      <c r="AE14">
        <f>IF($A14="","",IF(ALLOC!$N$3="VOL_EFF",$L14,IF(ALLOC!$N$3="VOL_CLASS",$M14,$N14)))</f>
        <v>2158300</v>
      </c>
      <c r="AF14">
        <f>IF($A14="","",IF(ALLOC!$N$3="VOL_EFF",$Q14,IF(ALLOC!$N$3="VOL_CLASS",$R14,$S14)))</f>
        <v>9567455</v>
      </c>
      <c r="AG14">
        <f>IF($A14="","",IF(ALLOC!$N$1="VOL_EFF",$Q14,IF(ALLOC!$N$1="VOL_CLASS",$R14,$S14)))</f>
        <v>1249</v>
      </c>
      <c r="AH14">
        <f>IF($A14="","",IF(ALLOC!$N$1="VOL_EFF",$T14,IF(ALLOC!$N$1="VOL_CLASS",$U14,$V14)))</f>
        <v>3036</v>
      </c>
      <c r="AI14">
        <f t="shared" si="12"/>
        <v>24659.574468085106</v>
      </c>
      <c r="AJ14">
        <f t="shared" si="13"/>
        <v>50870.638297872341</v>
      </c>
      <c r="AK14">
        <f t="shared" si="14"/>
        <v>21209.428571428572</v>
      </c>
      <c r="AL14">
        <f t="shared" si="15"/>
        <v>135493.45918367346</v>
      </c>
      <c r="AM14">
        <f t="shared" si="16"/>
        <v>52035.44999499205</v>
      </c>
      <c r="AN14">
        <f t="shared" si="17"/>
        <v>102561.99192095001</v>
      </c>
      <c r="AO14">
        <f>IF($A14="","",Allocation2!AE14)</f>
        <v>676344</v>
      </c>
      <c r="AP14">
        <f>IF($A14="","",IF(ALLOC!$N$2="VOL_EFF",$Q14,IF(ALLOC!$N$2="VOL_CLASS",$R14,$S14)))</f>
        <v>1249</v>
      </c>
      <c r="AQ14">
        <f>IF($A14="","",IF(ALLOC!$N$2="VOL_EFF",$T14,IF(ALLOC!$N$2="VOL_CLASS",$U14,$V14)))</f>
        <v>3036</v>
      </c>
      <c r="AR14">
        <f t="shared" si="18"/>
        <v>12169.457562998434</v>
      </c>
    </row>
    <row r="15" spans="1:46" x14ac:dyDescent="0.45">
      <c r="A15" t="str">
        <f>IF(Allocation2!D15="","",Allocation2!D15)</f>
        <v>2026</v>
      </c>
      <c r="B15" t="str">
        <f>IF(Allocation2!E15="","",Allocation2!E15)</f>
        <v>MBWAY_NAN</v>
      </c>
      <c r="C15" t="str">
        <f>IF(Allocation2!F15="","",Allocation2!F15)</f>
        <v>MBWAY</v>
      </c>
      <c r="D15" t="str">
        <f>IF(Allocation2!G15="","",Allocation2!G15)</f>
        <v>MAS_MGT</v>
      </c>
      <c r="E15" t="str">
        <f>IF(Allocation2!H15="","",Allocation2!H15)</f>
        <v>M1</v>
      </c>
      <c r="F15" t="str">
        <f>IF(Allocation2!I15="","",Allocation2!I15)</f>
        <v>ALT</v>
      </c>
      <c r="G15">
        <f>IF(Allocation2!E15="","",Allocation2!J15)</f>
        <v>60</v>
      </c>
      <c r="H15">
        <f>IF(Allocation2!E15="","",Allocation2!K15)</f>
        <v>3</v>
      </c>
      <c r="I15">
        <f>IF(Allocation2!E15="","",Allocation2!L15)</f>
        <v>455400</v>
      </c>
      <c r="J15">
        <f>IF($A15="","",Allocation2!X15)</f>
        <v>60</v>
      </c>
      <c r="K15">
        <f t="shared" si="0"/>
        <v>1260</v>
      </c>
      <c r="L15">
        <f t="shared" si="1"/>
        <v>294</v>
      </c>
      <c r="M15">
        <f t="shared" si="2"/>
        <v>12</v>
      </c>
      <c r="N15">
        <f t="shared" si="3"/>
        <v>2158300</v>
      </c>
      <c r="O15">
        <f t="shared" si="4"/>
        <v>5640</v>
      </c>
      <c r="P15">
        <f t="shared" si="5"/>
        <v>120</v>
      </c>
      <c r="Q15">
        <f t="shared" si="6"/>
        <v>1249</v>
      </c>
      <c r="R15">
        <f t="shared" si="7"/>
        <v>50</v>
      </c>
      <c r="S15">
        <f t="shared" si="8"/>
        <v>9567455</v>
      </c>
      <c r="T15">
        <f t="shared" si="9"/>
        <v>3036</v>
      </c>
      <c r="U15">
        <f t="shared" si="10"/>
        <v>131</v>
      </c>
      <c r="V15">
        <f t="shared" si="11"/>
        <v>22544725</v>
      </c>
      <c r="W15">
        <f>IF($A15="","",Allocation2!Y15)</f>
        <v>144875</v>
      </c>
      <c r="X15">
        <f>IF($A15="","",Allocation2!Z15)</f>
        <v>298865</v>
      </c>
      <c r="Y15">
        <f>IF($A15="","",Allocation2!AA15)</f>
        <v>109396</v>
      </c>
      <c r="Z15">
        <f>IF($A15="","",Allocation2!AB15)</f>
        <v>31533</v>
      </c>
      <c r="AA15">
        <f>IF($A15="","",Allocation2!AC15)</f>
        <v>698861</v>
      </c>
      <c r="AB15">
        <f>IF($A15="","",Allocation2!AD15)</f>
        <v>2891983</v>
      </c>
      <c r="AC15">
        <f>IF($A15="","",IF(ALLOC!$N$4="VOL_EFF",$G15,IF(ALLOC!$N$4="VOL_CLASS",$H15,$I15)))</f>
        <v>60</v>
      </c>
      <c r="AD15">
        <f>IF($A15="","",IF(ALLOC!$N$4="VOL_EFF",$L15,IF(ALLOC!$N$4="VOL_CLASS",$M15,$N15)))</f>
        <v>294</v>
      </c>
      <c r="AE15">
        <f>IF($A15="","",IF(ALLOC!$N$3="VOL_EFF",$L15,IF(ALLOC!$N$3="VOL_CLASS",$M15,$N15)))</f>
        <v>2158300</v>
      </c>
      <c r="AF15">
        <f>IF($A15="","",IF(ALLOC!$N$3="VOL_EFF",$Q15,IF(ALLOC!$N$3="VOL_CLASS",$R15,$S15)))</f>
        <v>9567455</v>
      </c>
      <c r="AG15">
        <f>IF($A15="","",IF(ALLOC!$N$1="VOL_EFF",$Q15,IF(ALLOC!$N$1="VOL_CLASS",$R15,$S15)))</f>
        <v>1249</v>
      </c>
      <c r="AH15">
        <f>IF($A15="","",IF(ALLOC!$N$1="VOL_EFF",$T15,IF(ALLOC!$N$1="VOL_CLASS",$U15,$V15)))</f>
        <v>3036</v>
      </c>
      <c r="AI15">
        <f t="shared" si="12"/>
        <v>32365.691489361699</v>
      </c>
      <c r="AJ15">
        <f t="shared" si="13"/>
        <v>66767.712765957447</v>
      </c>
      <c r="AK15">
        <f t="shared" si="14"/>
        <v>38092.21428571429</v>
      </c>
      <c r="AL15">
        <f t="shared" si="15"/>
        <v>142624.69387755104</v>
      </c>
      <c r="AM15">
        <f t="shared" si="16"/>
        <v>54774.157889465321</v>
      </c>
      <c r="AN15">
        <f t="shared" si="17"/>
        <v>107965.57436247816</v>
      </c>
      <c r="AO15">
        <f>IF($A15="","",Allocation2!AE15)</f>
        <v>676344</v>
      </c>
      <c r="AP15">
        <f>IF($A15="","",IF(ALLOC!$N$2="VOL_EFF",$Q15,IF(ALLOC!$N$2="VOL_CLASS",$R15,$S15)))</f>
        <v>1249</v>
      </c>
      <c r="AQ15">
        <f>IF($A15="","",IF(ALLOC!$N$2="VOL_EFF",$T15,IF(ALLOC!$N$2="VOL_CLASS",$U15,$V15)))</f>
        <v>3036</v>
      </c>
      <c r="AR15">
        <f t="shared" si="18"/>
        <v>12809.955329472037</v>
      </c>
    </row>
    <row r="16" spans="1:46" x14ac:dyDescent="0.45">
      <c r="A16" t="str">
        <f>IF(Allocation2!D16="","",Allocation2!D16)</f>
        <v>2026</v>
      </c>
      <c r="B16" t="str">
        <f>IF(Allocation2!E16="","",Allocation2!E16)</f>
        <v>MBWAY_NAN</v>
      </c>
      <c r="C16" t="str">
        <f>IF(Allocation2!F16="","",Allocation2!F16)</f>
        <v>MBWAY</v>
      </c>
      <c r="D16" t="str">
        <f>IF(Allocation2!G16="","",Allocation2!G16)</f>
        <v>MAS_MGT</v>
      </c>
      <c r="E16" t="str">
        <f>IF(Allocation2!H16="","",Allocation2!H16)</f>
        <v>M2</v>
      </c>
      <c r="F16" t="str">
        <f>IF(Allocation2!I16="","",Allocation2!I16)</f>
        <v>ALT</v>
      </c>
      <c r="G16">
        <f>IF(Allocation2!E16="","",Allocation2!J16)</f>
        <v>59</v>
      </c>
      <c r="H16">
        <f>IF(Allocation2!E16="","",Allocation2!K16)</f>
        <v>3</v>
      </c>
      <c r="I16">
        <f>IF(Allocation2!E16="","",Allocation2!L16)</f>
        <v>442500</v>
      </c>
      <c r="J16">
        <f>IF($A16="","",Allocation2!X16)</f>
        <v>0</v>
      </c>
      <c r="K16">
        <f t="shared" si="0"/>
        <v>1260</v>
      </c>
      <c r="L16">
        <f t="shared" si="1"/>
        <v>294</v>
      </c>
      <c r="M16">
        <f t="shared" si="2"/>
        <v>12</v>
      </c>
      <c r="N16">
        <f t="shared" si="3"/>
        <v>2158300</v>
      </c>
      <c r="O16">
        <f t="shared" si="4"/>
        <v>5640</v>
      </c>
      <c r="P16">
        <f t="shared" si="5"/>
        <v>120</v>
      </c>
      <c r="Q16">
        <f t="shared" si="6"/>
        <v>1249</v>
      </c>
      <c r="R16">
        <f t="shared" si="7"/>
        <v>50</v>
      </c>
      <c r="S16">
        <f t="shared" si="8"/>
        <v>9567455</v>
      </c>
      <c r="T16">
        <f t="shared" si="9"/>
        <v>3036</v>
      </c>
      <c r="U16">
        <f t="shared" si="10"/>
        <v>131</v>
      </c>
      <c r="V16">
        <f t="shared" si="11"/>
        <v>22544725</v>
      </c>
      <c r="W16">
        <f>IF($A16="","",Allocation2!Y16)</f>
        <v>144875</v>
      </c>
      <c r="X16">
        <f>IF($A16="","",Allocation2!Z16)</f>
        <v>298865</v>
      </c>
      <c r="Y16">
        <f>IF($A16="","",Allocation2!AA16)</f>
        <v>109396</v>
      </c>
      <c r="Z16">
        <f>IF($A16="","",Allocation2!AB16)</f>
        <v>31533</v>
      </c>
      <c r="AA16">
        <f>IF($A16="","",Allocation2!AC16)</f>
        <v>698861</v>
      </c>
      <c r="AB16">
        <f>IF($A16="","",Allocation2!AD16)</f>
        <v>2891983</v>
      </c>
      <c r="AC16">
        <f>IF($A16="","",IF(ALLOC!$N$4="VOL_EFF",$G16,IF(ALLOC!$N$4="VOL_CLASS",$H16,$I16)))</f>
        <v>59</v>
      </c>
      <c r="AD16">
        <f>IF($A16="","",IF(ALLOC!$N$4="VOL_EFF",$L16,IF(ALLOC!$N$4="VOL_CLASS",$M16,$N16)))</f>
        <v>294</v>
      </c>
      <c r="AE16">
        <f>IF($A16="","",IF(ALLOC!$N$3="VOL_EFF",$L16,IF(ALLOC!$N$3="VOL_CLASS",$M16,$N16)))</f>
        <v>2158300</v>
      </c>
      <c r="AF16">
        <f>IF($A16="","",IF(ALLOC!$N$3="VOL_EFF",$Q16,IF(ALLOC!$N$3="VOL_CLASS",$R16,$S16)))</f>
        <v>9567455</v>
      </c>
      <c r="AG16">
        <f>IF($A16="","",IF(ALLOC!$N$1="VOL_EFF",$Q16,IF(ALLOC!$N$1="VOL_CLASS",$R16,$S16)))</f>
        <v>1249</v>
      </c>
      <c r="AH16">
        <f>IF($A16="","",IF(ALLOC!$N$1="VOL_EFF",$T16,IF(ALLOC!$N$1="VOL_CLASS",$U16,$V16)))</f>
        <v>3036</v>
      </c>
      <c r="AI16">
        <f t="shared" si="12"/>
        <v>32365.691489361699</v>
      </c>
      <c r="AJ16">
        <f t="shared" si="13"/>
        <v>66767.712765957447</v>
      </c>
      <c r="AK16">
        <f t="shared" si="14"/>
        <v>21953.619047619046</v>
      </c>
      <c r="AL16">
        <f t="shared" si="15"/>
        <v>140247.61564625849</v>
      </c>
      <c r="AM16">
        <f t="shared" si="16"/>
        <v>53861.255257974233</v>
      </c>
      <c r="AN16">
        <f t="shared" si="17"/>
        <v>114707.64971884823</v>
      </c>
      <c r="AO16">
        <f>IF($A16="","",Allocation2!AE16)</f>
        <v>676344</v>
      </c>
      <c r="AP16">
        <f>IF($A16="","",IF(ALLOC!$N$2="VOL_EFF",$Q16,IF(ALLOC!$N$2="VOL_CLASS",$R16,$S16)))</f>
        <v>1249</v>
      </c>
      <c r="AQ16">
        <f>IF($A16="","",IF(ALLOC!$N$2="VOL_EFF",$T16,IF(ALLOC!$N$2="VOL_CLASS",$U16,$V16)))</f>
        <v>3036</v>
      </c>
      <c r="AR16">
        <f t="shared" si="18"/>
        <v>12596.456073980837</v>
      </c>
    </row>
    <row r="17" spans="1:44" x14ac:dyDescent="0.45">
      <c r="A17" t="str">
        <f>IF(Allocation2!D17="","",Allocation2!D17)</f>
        <v>2026</v>
      </c>
      <c r="B17" t="str">
        <f>IF(Allocation2!E17="","",Allocation2!E17)</f>
        <v>MBWAY_BOR</v>
      </c>
      <c r="C17" t="str">
        <f>IF(Allocation2!F17="","",Allocation2!F17)</f>
        <v>MBWAY</v>
      </c>
      <c r="D17" t="str">
        <f>IF(Allocation2!G17="","",Allocation2!G17)</f>
        <v>BAC_MGT</v>
      </c>
      <c r="E17" t="str">
        <f>IF(Allocation2!H17="","",Allocation2!H17)</f>
        <v>B1</v>
      </c>
      <c r="F17" t="str">
        <f>IF(Allocation2!I17="","",Allocation2!I17)</f>
        <v>INIT</v>
      </c>
      <c r="G17">
        <f>IF(Allocation2!E17="","",Allocation2!J17)</f>
        <v>51</v>
      </c>
      <c r="H17">
        <f>IF(Allocation2!E17="","",Allocation2!K17)</f>
        <v>2</v>
      </c>
      <c r="I17">
        <f>IF(Allocation2!E17="","",Allocation2!L17)</f>
        <v>375615</v>
      </c>
      <c r="J17">
        <f>IF($A17="","",Allocation2!X17)</f>
        <v>51</v>
      </c>
      <c r="K17">
        <f t="shared" si="0"/>
        <v>1200</v>
      </c>
      <c r="L17">
        <f t="shared" si="1"/>
        <v>249</v>
      </c>
      <c r="M17">
        <f t="shared" si="2"/>
        <v>10</v>
      </c>
      <c r="N17">
        <f t="shared" si="3"/>
        <v>1773610</v>
      </c>
      <c r="O17">
        <f t="shared" si="4"/>
        <v>4800</v>
      </c>
      <c r="P17">
        <f t="shared" si="5"/>
        <v>102</v>
      </c>
      <c r="Q17">
        <f t="shared" si="6"/>
        <v>1249</v>
      </c>
      <c r="R17">
        <f t="shared" si="7"/>
        <v>50</v>
      </c>
      <c r="S17">
        <f t="shared" si="8"/>
        <v>9567455</v>
      </c>
      <c r="T17">
        <f t="shared" si="9"/>
        <v>3036</v>
      </c>
      <c r="U17">
        <f t="shared" si="10"/>
        <v>131</v>
      </c>
      <c r="V17">
        <f t="shared" si="11"/>
        <v>22544725</v>
      </c>
      <c r="W17">
        <f>IF($A17="","",Allocation2!Y17)</f>
        <v>120729</v>
      </c>
      <c r="X17">
        <f>IF($A17="","",Allocation2!Z17)</f>
        <v>261507</v>
      </c>
      <c r="Y17">
        <f>IF($A17="","",Allocation2!AA17)</f>
        <v>92652</v>
      </c>
      <c r="Z17">
        <f>IF($A17="","",Allocation2!AB17)</f>
        <v>24923</v>
      </c>
      <c r="AA17">
        <f>IF($A17="","",Allocation2!AC17)</f>
        <v>618223</v>
      </c>
      <c r="AB17">
        <f>IF($A17="","",Allocation2!AD17)</f>
        <v>2891983</v>
      </c>
      <c r="AC17">
        <f>IF($A17="","",IF(ALLOC!$N$4="VOL_EFF",$G17,IF(ALLOC!$N$4="VOL_CLASS",$H17,$I17)))</f>
        <v>51</v>
      </c>
      <c r="AD17">
        <f>IF($A17="","",IF(ALLOC!$N$4="VOL_EFF",$L17,IF(ALLOC!$N$4="VOL_CLASS",$M17,$N17)))</f>
        <v>249</v>
      </c>
      <c r="AE17">
        <f>IF($A17="","",IF(ALLOC!$N$3="VOL_EFF",$L17,IF(ALLOC!$N$3="VOL_CLASS",$M17,$N17)))</f>
        <v>1773610</v>
      </c>
      <c r="AF17">
        <f>IF($A17="","",IF(ALLOC!$N$3="VOL_EFF",$Q17,IF(ALLOC!$N$3="VOL_CLASS",$R17,$S17)))</f>
        <v>9567455</v>
      </c>
      <c r="AG17">
        <f>IF($A17="","",IF(ALLOC!$N$1="VOL_EFF",$Q17,IF(ALLOC!$N$1="VOL_CLASS",$R17,$S17)))</f>
        <v>1249</v>
      </c>
      <c r="AH17">
        <f>IF($A17="","",IF(ALLOC!$N$1="VOL_EFF",$T17,IF(ALLOC!$N$1="VOL_CLASS",$U17,$V17)))</f>
        <v>3036</v>
      </c>
      <c r="AI17">
        <f t="shared" si="12"/>
        <v>30182.25</v>
      </c>
      <c r="AJ17">
        <f t="shared" si="13"/>
        <v>65376.75</v>
      </c>
      <c r="AK17">
        <f t="shared" si="14"/>
        <v>31438.415662650601</v>
      </c>
      <c r="AL17">
        <f t="shared" si="15"/>
        <v>126623.98795180723</v>
      </c>
      <c r="AM17">
        <f t="shared" si="16"/>
        <v>45174.040449740787</v>
      </c>
      <c r="AN17">
        <f t="shared" si="17"/>
        <v>66254.766580559895</v>
      </c>
      <c r="AO17">
        <f>IF($A17="","",Allocation2!AE17)</f>
        <v>676344</v>
      </c>
      <c r="AP17">
        <f>IF($A17="","",IF(ALLOC!$N$2="VOL_EFF",$Q17,IF(ALLOC!$N$2="VOL_CLASS",$R17,$S17)))</f>
        <v>1249</v>
      </c>
      <c r="AQ17">
        <f>IF($A17="","",IF(ALLOC!$N$2="VOL_EFF",$T17,IF(ALLOC!$N$2="VOL_CLASS",$U17,$V17)))</f>
        <v>3036</v>
      </c>
      <c r="AR17">
        <f t="shared" si="18"/>
        <v>10564.789355241537</v>
      </c>
    </row>
    <row r="18" spans="1:44" x14ac:dyDescent="0.45">
      <c r="A18" t="str">
        <f>IF(Allocation2!D18="","",Allocation2!D18)</f>
        <v>2026</v>
      </c>
      <c r="B18" t="str">
        <f>IF(Allocation2!E18="","",Allocation2!E18)</f>
        <v>MBWAY_BOR</v>
      </c>
      <c r="C18" t="str">
        <f>IF(Allocation2!F18="","",Allocation2!F18)</f>
        <v>MBWAY</v>
      </c>
      <c r="D18" t="str">
        <f>IF(Allocation2!G18="","",Allocation2!G18)</f>
        <v>BAC_MGT</v>
      </c>
      <c r="E18" t="str">
        <f>IF(Allocation2!H18="","",Allocation2!H18)</f>
        <v>B2</v>
      </c>
      <c r="F18" t="str">
        <f>IF(Allocation2!I18="","",Allocation2!I18)</f>
        <v>ALT</v>
      </c>
      <c r="G18">
        <f>IF(Allocation2!E18="","",Allocation2!J18)</f>
        <v>49</v>
      </c>
      <c r="H18">
        <f>IF(Allocation2!E18="","",Allocation2!K18)</f>
        <v>2</v>
      </c>
      <c r="I18">
        <f>IF(Allocation2!E18="","",Allocation2!L18)</f>
        <v>332710</v>
      </c>
      <c r="J18">
        <f>IF($A18="","",Allocation2!X18)</f>
        <v>0</v>
      </c>
      <c r="K18">
        <f t="shared" si="0"/>
        <v>960</v>
      </c>
      <c r="L18">
        <f t="shared" si="1"/>
        <v>249</v>
      </c>
      <c r="M18">
        <f t="shared" si="2"/>
        <v>10</v>
      </c>
      <c r="N18">
        <f t="shared" si="3"/>
        <v>1773610</v>
      </c>
      <c r="O18">
        <f t="shared" si="4"/>
        <v>4800</v>
      </c>
      <c r="P18">
        <f t="shared" si="5"/>
        <v>102</v>
      </c>
      <c r="Q18">
        <f t="shared" si="6"/>
        <v>1249</v>
      </c>
      <c r="R18">
        <f t="shared" si="7"/>
        <v>50</v>
      </c>
      <c r="S18">
        <f t="shared" si="8"/>
        <v>9567455</v>
      </c>
      <c r="T18">
        <f t="shared" si="9"/>
        <v>3036</v>
      </c>
      <c r="U18">
        <f t="shared" si="10"/>
        <v>131</v>
      </c>
      <c r="V18">
        <f t="shared" si="11"/>
        <v>22544725</v>
      </c>
      <c r="W18">
        <f>IF($A18="","",Allocation2!Y18)</f>
        <v>120729</v>
      </c>
      <c r="X18">
        <f>IF($A18="","",Allocation2!Z18)</f>
        <v>261507</v>
      </c>
      <c r="Y18">
        <f>IF($A18="","",Allocation2!AA18)</f>
        <v>92652</v>
      </c>
      <c r="Z18">
        <f>IF($A18="","",Allocation2!AB18)</f>
        <v>24923</v>
      </c>
      <c r="AA18">
        <f>IF($A18="","",Allocation2!AC18)</f>
        <v>618223</v>
      </c>
      <c r="AB18">
        <f>IF($A18="","",Allocation2!AD18)</f>
        <v>2891983</v>
      </c>
      <c r="AC18">
        <f>IF($A18="","",IF(ALLOC!$N$4="VOL_EFF",$G18,IF(ALLOC!$N$4="VOL_CLASS",$H18,$I18)))</f>
        <v>49</v>
      </c>
      <c r="AD18">
        <f>IF($A18="","",IF(ALLOC!$N$4="VOL_EFF",$L18,IF(ALLOC!$N$4="VOL_CLASS",$M18,$N18)))</f>
        <v>249</v>
      </c>
      <c r="AE18">
        <f>IF($A18="","",IF(ALLOC!$N$3="VOL_EFF",$L18,IF(ALLOC!$N$3="VOL_CLASS",$M18,$N18)))</f>
        <v>1773610</v>
      </c>
      <c r="AF18">
        <f>IF($A18="","",IF(ALLOC!$N$3="VOL_EFF",$Q18,IF(ALLOC!$N$3="VOL_CLASS",$R18,$S18)))</f>
        <v>9567455</v>
      </c>
      <c r="AG18">
        <f>IF($A18="","",IF(ALLOC!$N$1="VOL_EFF",$Q18,IF(ALLOC!$N$1="VOL_CLASS",$R18,$S18)))</f>
        <v>1249</v>
      </c>
      <c r="AH18">
        <f>IF($A18="","",IF(ALLOC!$N$1="VOL_EFF",$T18,IF(ALLOC!$N$1="VOL_CLASS",$U18,$V18)))</f>
        <v>3036</v>
      </c>
      <c r="AI18">
        <f t="shared" si="12"/>
        <v>24145.800000000003</v>
      </c>
      <c r="AJ18">
        <f t="shared" si="13"/>
        <v>52301.4</v>
      </c>
      <c r="AK18">
        <f t="shared" si="14"/>
        <v>18232.722891566267</v>
      </c>
      <c r="AL18">
        <f t="shared" si="15"/>
        <v>121658.34136546185</v>
      </c>
      <c r="AM18">
        <f t="shared" si="16"/>
        <v>43402.50945171174</v>
      </c>
      <c r="AN18">
        <f t="shared" si="17"/>
        <v>62818.74240093003</v>
      </c>
      <c r="AO18">
        <f>IF($A18="","",Allocation2!AE18)</f>
        <v>676344</v>
      </c>
      <c r="AP18">
        <f>IF($A18="","",IF(ALLOC!$N$2="VOL_EFF",$Q18,IF(ALLOC!$N$2="VOL_CLASS",$R18,$S18)))</f>
        <v>1249</v>
      </c>
      <c r="AQ18">
        <f>IF($A18="","",IF(ALLOC!$N$2="VOL_EFF",$T18,IF(ALLOC!$N$2="VOL_CLASS",$U18,$V18)))</f>
        <v>3036</v>
      </c>
      <c r="AR18">
        <f t="shared" si="18"/>
        <v>10150.483890330106</v>
      </c>
    </row>
    <row r="19" spans="1:44" x14ac:dyDescent="0.45">
      <c r="A19" t="str">
        <f>IF(Allocation2!D19="","",Allocation2!D19)</f>
        <v>2026</v>
      </c>
      <c r="B19" t="str">
        <f>IF(Allocation2!E19="","",Allocation2!E19)</f>
        <v>MBWAY_BOR</v>
      </c>
      <c r="C19" t="str">
        <f>IF(Allocation2!F19="","",Allocation2!F19)</f>
        <v>MBWAY</v>
      </c>
      <c r="D19" t="str">
        <f>IF(Allocation2!G19="","",Allocation2!G19)</f>
        <v>BAC_MGT</v>
      </c>
      <c r="E19" t="str">
        <f>IF(Allocation2!H19="","",Allocation2!H19)</f>
        <v>B3</v>
      </c>
      <c r="F19" t="str">
        <f>IF(Allocation2!I19="","",Allocation2!I19)</f>
        <v>ALT</v>
      </c>
      <c r="G19">
        <f>IF(Allocation2!E19="","",Allocation2!J19)</f>
        <v>48</v>
      </c>
      <c r="H19">
        <f>IF(Allocation2!E19="","",Allocation2!K19)</f>
        <v>2</v>
      </c>
      <c r="I19">
        <f>IF(Allocation2!E19="","",Allocation2!L19)</f>
        <v>325920</v>
      </c>
      <c r="J19">
        <f>IF($A19="","",Allocation2!X19)</f>
        <v>0</v>
      </c>
      <c r="K19">
        <f t="shared" si="0"/>
        <v>960</v>
      </c>
      <c r="L19">
        <f t="shared" si="1"/>
        <v>249</v>
      </c>
      <c r="M19">
        <f t="shared" si="2"/>
        <v>10</v>
      </c>
      <c r="N19">
        <f t="shared" si="3"/>
        <v>1773610</v>
      </c>
      <c r="O19">
        <f t="shared" si="4"/>
        <v>4800</v>
      </c>
      <c r="P19">
        <f t="shared" si="5"/>
        <v>102</v>
      </c>
      <c r="Q19">
        <f t="shared" si="6"/>
        <v>1249</v>
      </c>
      <c r="R19">
        <f t="shared" si="7"/>
        <v>50</v>
      </c>
      <c r="S19">
        <f t="shared" si="8"/>
        <v>9567455</v>
      </c>
      <c r="T19">
        <f t="shared" si="9"/>
        <v>3036</v>
      </c>
      <c r="U19">
        <f t="shared" si="10"/>
        <v>131</v>
      </c>
      <c r="V19">
        <f t="shared" si="11"/>
        <v>22544725</v>
      </c>
      <c r="W19">
        <f>IF($A19="","",Allocation2!Y19)</f>
        <v>120729</v>
      </c>
      <c r="X19">
        <f>IF($A19="","",Allocation2!Z19)</f>
        <v>261507</v>
      </c>
      <c r="Y19">
        <f>IF($A19="","",Allocation2!AA19)</f>
        <v>92652</v>
      </c>
      <c r="Z19">
        <f>IF($A19="","",Allocation2!AB19)</f>
        <v>24923</v>
      </c>
      <c r="AA19">
        <f>IF($A19="","",Allocation2!AC19)</f>
        <v>618223</v>
      </c>
      <c r="AB19">
        <f>IF($A19="","",Allocation2!AD19)</f>
        <v>2891983</v>
      </c>
      <c r="AC19">
        <f>IF($A19="","",IF(ALLOC!$N$4="VOL_EFF",$G19,IF(ALLOC!$N$4="VOL_CLASS",$H19,$I19)))</f>
        <v>48</v>
      </c>
      <c r="AD19">
        <f>IF($A19="","",IF(ALLOC!$N$4="VOL_EFF",$L19,IF(ALLOC!$N$4="VOL_CLASS",$M19,$N19)))</f>
        <v>249</v>
      </c>
      <c r="AE19">
        <f>IF($A19="","",IF(ALLOC!$N$3="VOL_EFF",$L19,IF(ALLOC!$N$3="VOL_CLASS",$M19,$N19)))</f>
        <v>1773610</v>
      </c>
      <c r="AF19">
        <f>IF($A19="","",IF(ALLOC!$N$3="VOL_EFF",$Q19,IF(ALLOC!$N$3="VOL_CLASS",$R19,$S19)))</f>
        <v>9567455</v>
      </c>
      <c r="AG19">
        <f>IF($A19="","",IF(ALLOC!$N$1="VOL_EFF",$Q19,IF(ALLOC!$N$1="VOL_CLASS",$R19,$S19)))</f>
        <v>1249</v>
      </c>
      <c r="AH19">
        <f>IF($A19="","",IF(ALLOC!$N$1="VOL_EFF",$T19,IF(ALLOC!$N$1="VOL_CLASS",$U19,$V19)))</f>
        <v>3036</v>
      </c>
      <c r="AI19">
        <f t="shared" si="12"/>
        <v>24145.800000000003</v>
      </c>
      <c r="AJ19">
        <f t="shared" si="13"/>
        <v>52301.4</v>
      </c>
      <c r="AK19">
        <f t="shared" si="14"/>
        <v>17860.626506024098</v>
      </c>
      <c r="AL19">
        <f t="shared" si="15"/>
        <v>119175.51807228917</v>
      </c>
      <c r="AM19">
        <f t="shared" si="16"/>
        <v>42516.743952697216</v>
      </c>
      <c r="AN19">
        <f t="shared" si="17"/>
        <v>59976.580311115133</v>
      </c>
      <c r="AO19">
        <f>IF($A19="","",Allocation2!AE19)</f>
        <v>676344</v>
      </c>
      <c r="AP19">
        <f>IF($A19="","",IF(ALLOC!$N$2="VOL_EFF",$Q19,IF(ALLOC!$N$2="VOL_CLASS",$R19,$S19)))</f>
        <v>1249</v>
      </c>
      <c r="AQ19">
        <f>IF($A19="","",IF(ALLOC!$N$2="VOL_EFF",$T19,IF(ALLOC!$N$2="VOL_CLASS",$U19,$V19)))</f>
        <v>3036</v>
      </c>
      <c r="AR19">
        <f t="shared" si="18"/>
        <v>9943.3311578743887</v>
      </c>
    </row>
    <row r="20" spans="1:44" x14ac:dyDescent="0.45">
      <c r="A20" t="str">
        <f>IF(Allocation2!D20="","",Allocation2!D20)</f>
        <v>2026</v>
      </c>
      <c r="B20" t="str">
        <f>IF(Allocation2!E20="","",Allocation2!E20)</f>
        <v>MBWAY_BOR</v>
      </c>
      <c r="C20" t="str">
        <f>IF(Allocation2!F20="","",Allocation2!F20)</f>
        <v>MBWAY</v>
      </c>
      <c r="D20" t="str">
        <f>IF(Allocation2!G20="","",Allocation2!G20)</f>
        <v>MAS_MGT</v>
      </c>
      <c r="E20" t="str">
        <f>IF(Allocation2!H20="","",Allocation2!H20)</f>
        <v>M1</v>
      </c>
      <c r="F20" t="str">
        <f>IF(Allocation2!I20="","",Allocation2!I20)</f>
        <v>ALT</v>
      </c>
      <c r="G20">
        <f>IF(Allocation2!E20="","",Allocation2!J20)</f>
        <v>51</v>
      </c>
      <c r="H20">
        <f>IF(Allocation2!E20="","",Allocation2!K20)</f>
        <v>2</v>
      </c>
      <c r="I20">
        <f>IF(Allocation2!E20="","",Allocation2!L20)</f>
        <v>375615</v>
      </c>
      <c r="J20">
        <f>IF($A20="","",Allocation2!X20)</f>
        <v>51</v>
      </c>
      <c r="K20">
        <f t="shared" si="0"/>
        <v>840</v>
      </c>
      <c r="L20">
        <f t="shared" si="1"/>
        <v>249</v>
      </c>
      <c r="M20">
        <f t="shared" si="2"/>
        <v>10</v>
      </c>
      <c r="N20">
        <f t="shared" si="3"/>
        <v>1773610</v>
      </c>
      <c r="O20">
        <f t="shared" si="4"/>
        <v>4800</v>
      </c>
      <c r="P20">
        <f t="shared" si="5"/>
        <v>102</v>
      </c>
      <c r="Q20">
        <f t="shared" si="6"/>
        <v>1249</v>
      </c>
      <c r="R20">
        <f t="shared" si="7"/>
        <v>50</v>
      </c>
      <c r="S20">
        <f t="shared" si="8"/>
        <v>9567455</v>
      </c>
      <c r="T20">
        <f t="shared" si="9"/>
        <v>3036</v>
      </c>
      <c r="U20">
        <f t="shared" si="10"/>
        <v>131</v>
      </c>
      <c r="V20">
        <f t="shared" si="11"/>
        <v>22544725</v>
      </c>
      <c r="W20">
        <f>IF($A20="","",Allocation2!Y20)</f>
        <v>120729</v>
      </c>
      <c r="X20">
        <f>IF($A20="","",Allocation2!Z20)</f>
        <v>261507</v>
      </c>
      <c r="Y20">
        <f>IF($A20="","",Allocation2!AA20)</f>
        <v>92652</v>
      </c>
      <c r="Z20">
        <f>IF($A20="","",Allocation2!AB20)</f>
        <v>24923</v>
      </c>
      <c r="AA20">
        <f>IF($A20="","",Allocation2!AC20)</f>
        <v>618223</v>
      </c>
      <c r="AB20">
        <f>IF($A20="","",Allocation2!AD20)</f>
        <v>2891983</v>
      </c>
      <c r="AC20">
        <f>IF($A20="","",IF(ALLOC!$N$4="VOL_EFF",$G20,IF(ALLOC!$N$4="VOL_CLASS",$H20,$I20)))</f>
        <v>51</v>
      </c>
      <c r="AD20">
        <f>IF($A20="","",IF(ALLOC!$N$4="VOL_EFF",$L20,IF(ALLOC!$N$4="VOL_CLASS",$M20,$N20)))</f>
        <v>249</v>
      </c>
      <c r="AE20">
        <f>IF($A20="","",IF(ALLOC!$N$3="VOL_EFF",$L20,IF(ALLOC!$N$3="VOL_CLASS",$M20,$N20)))</f>
        <v>1773610</v>
      </c>
      <c r="AF20">
        <f>IF($A20="","",IF(ALLOC!$N$3="VOL_EFF",$Q20,IF(ALLOC!$N$3="VOL_CLASS",$R20,$S20)))</f>
        <v>9567455</v>
      </c>
      <c r="AG20">
        <f>IF($A20="","",IF(ALLOC!$N$1="VOL_EFF",$Q20,IF(ALLOC!$N$1="VOL_CLASS",$R20,$S20)))</f>
        <v>1249</v>
      </c>
      <c r="AH20">
        <f>IF($A20="","",IF(ALLOC!$N$1="VOL_EFF",$T20,IF(ALLOC!$N$1="VOL_CLASS",$U20,$V20)))</f>
        <v>3036</v>
      </c>
      <c r="AI20">
        <f t="shared" si="12"/>
        <v>21127.574999999997</v>
      </c>
      <c r="AJ20">
        <f t="shared" si="13"/>
        <v>45763.724999999999</v>
      </c>
      <c r="AK20">
        <f t="shared" si="14"/>
        <v>31438.415662650601</v>
      </c>
      <c r="AL20">
        <f t="shared" si="15"/>
        <v>126623.98795180723</v>
      </c>
      <c r="AM20">
        <f t="shared" si="16"/>
        <v>45174.040449740787</v>
      </c>
      <c r="AN20">
        <f t="shared" si="17"/>
        <v>94922.466580559907</v>
      </c>
      <c r="AO20">
        <f>IF($A20="","",Allocation2!AE20)</f>
        <v>676344</v>
      </c>
      <c r="AP20">
        <f>IF($A20="","",IF(ALLOC!$N$2="VOL_EFF",$Q20,IF(ALLOC!$N$2="VOL_CLASS",$R20,$S20)))</f>
        <v>1249</v>
      </c>
      <c r="AQ20">
        <f>IF($A20="","",IF(ALLOC!$N$2="VOL_EFF",$T20,IF(ALLOC!$N$2="VOL_CLASS",$U20,$V20)))</f>
        <v>3036</v>
      </c>
      <c r="AR20">
        <f t="shared" si="18"/>
        <v>10564.789355241537</v>
      </c>
    </row>
    <row r="21" spans="1:44" x14ac:dyDescent="0.45">
      <c r="A21" t="str">
        <f>IF(Allocation2!D21="","",Allocation2!D21)</f>
        <v>2026</v>
      </c>
      <c r="B21" t="str">
        <f>IF(Allocation2!E21="","",Allocation2!E21)</f>
        <v>MBWAY_BOR</v>
      </c>
      <c r="C21" t="str">
        <f>IF(Allocation2!F21="","",Allocation2!F21)</f>
        <v>MBWAY</v>
      </c>
      <c r="D21" t="str">
        <f>IF(Allocation2!G21="","",Allocation2!G21)</f>
        <v>MAS_MGT</v>
      </c>
      <c r="E21" t="str">
        <f>IF(Allocation2!H21="","",Allocation2!H21)</f>
        <v>M2</v>
      </c>
      <c r="F21" t="str">
        <f>IF(Allocation2!I21="","",Allocation2!I21)</f>
        <v>ALT</v>
      </c>
      <c r="G21">
        <f>IF(Allocation2!E21="","",Allocation2!J21)</f>
        <v>50</v>
      </c>
      <c r="H21">
        <f>IF(Allocation2!E21="","",Allocation2!K21)</f>
        <v>2</v>
      </c>
      <c r="I21">
        <f>IF(Allocation2!E21="","",Allocation2!L21)</f>
        <v>363750</v>
      </c>
      <c r="J21">
        <f>IF($A21="","",Allocation2!X21)</f>
        <v>0</v>
      </c>
      <c r="K21">
        <f t="shared" si="0"/>
        <v>840</v>
      </c>
      <c r="L21">
        <f t="shared" si="1"/>
        <v>249</v>
      </c>
      <c r="M21">
        <f t="shared" si="2"/>
        <v>10</v>
      </c>
      <c r="N21">
        <f t="shared" si="3"/>
        <v>1773610</v>
      </c>
      <c r="O21">
        <f t="shared" si="4"/>
        <v>4800</v>
      </c>
      <c r="P21">
        <f t="shared" si="5"/>
        <v>102</v>
      </c>
      <c r="Q21">
        <f t="shared" si="6"/>
        <v>1249</v>
      </c>
      <c r="R21">
        <f t="shared" si="7"/>
        <v>50</v>
      </c>
      <c r="S21">
        <f t="shared" si="8"/>
        <v>9567455</v>
      </c>
      <c r="T21">
        <f t="shared" si="9"/>
        <v>3036</v>
      </c>
      <c r="U21">
        <f t="shared" si="10"/>
        <v>131</v>
      </c>
      <c r="V21">
        <f t="shared" si="11"/>
        <v>22544725</v>
      </c>
      <c r="W21">
        <f>IF($A21="","",Allocation2!Y21)</f>
        <v>120729</v>
      </c>
      <c r="X21">
        <f>IF($A21="","",Allocation2!Z21)</f>
        <v>261507</v>
      </c>
      <c r="Y21">
        <f>IF($A21="","",Allocation2!AA21)</f>
        <v>92652</v>
      </c>
      <c r="Z21">
        <f>IF($A21="","",Allocation2!AB21)</f>
        <v>24923</v>
      </c>
      <c r="AA21">
        <f>IF($A21="","",Allocation2!AC21)</f>
        <v>618223</v>
      </c>
      <c r="AB21">
        <f>IF($A21="","",Allocation2!AD21)</f>
        <v>2891983</v>
      </c>
      <c r="AC21">
        <f>IF($A21="","",IF(ALLOC!$N$4="VOL_EFF",$G21,IF(ALLOC!$N$4="VOL_CLASS",$H21,$I21)))</f>
        <v>50</v>
      </c>
      <c r="AD21">
        <f>IF($A21="","",IF(ALLOC!$N$4="VOL_EFF",$L21,IF(ALLOC!$N$4="VOL_CLASS",$M21,$N21)))</f>
        <v>249</v>
      </c>
      <c r="AE21">
        <f>IF($A21="","",IF(ALLOC!$N$3="VOL_EFF",$L21,IF(ALLOC!$N$3="VOL_CLASS",$M21,$N21)))</f>
        <v>1773610</v>
      </c>
      <c r="AF21">
        <f>IF($A21="","",IF(ALLOC!$N$3="VOL_EFF",$Q21,IF(ALLOC!$N$3="VOL_CLASS",$R21,$S21)))</f>
        <v>9567455</v>
      </c>
      <c r="AG21">
        <f>IF($A21="","",IF(ALLOC!$N$1="VOL_EFF",$Q21,IF(ALLOC!$N$1="VOL_CLASS",$R21,$S21)))</f>
        <v>1249</v>
      </c>
      <c r="AH21">
        <f>IF($A21="","",IF(ALLOC!$N$1="VOL_EFF",$T21,IF(ALLOC!$N$1="VOL_CLASS",$U21,$V21)))</f>
        <v>3036</v>
      </c>
      <c r="AI21">
        <f t="shared" si="12"/>
        <v>21127.574999999997</v>
      </c>
      <c r="AJ21">
        <f t="shared" si="13"/>
        <v>45763.724999999999</v>
      </c>
      <c r="AK21">
        <f t="shared" si="14"/>
        <v>18604.819277108432</v>
      </c>
      <c r="AL21">
        <f t="shared" si="15"/>
        <v>124141.16465863453</v>
      </c>
      <c r="AM21">
        <f t="shared" si="16"/>
        <v>44288.274950726263</v>
      </c>
      <c r="AN21">
        <f t="shared" si="17"/>
        <v>99466.804490744951</v>
      </c>
      <c r="AO21">
        <f>IF($A21="","",Allocation2!AE21)</f>
        <v>676344</v>
      </c>
      <c r="AP21">
        <f>IF($A21="","",IF(ALLOC!$N$2="VOL_EFF",$Q21,IF(ALLOC!$N$2="VOL_CLASS",$R21,$S21)))</f>
        <v>1249</v>
      </c>
      <c r="AQ21">
        <f>IF($A21="","",IF(ALLOC!$N$2="VOL_EFF",$T21,IF(ALLOC!$N$2="VOL_CLASS",$U21,$V21)))</f>
        <v>3036</v>
      </c>
      <c r="AR21">
        <f t="shared" si="18"/>
        <v>10357.636622785822</v>
      </c>
    </row>
    <row r="22" spans="1:44" x14ac:dyDescent="0.45">
      <c r="A22" t="str">
        <f>IF(Allocation2!D22="","",Allocation2!D22)</f>
        <v>2026</v>
      </c>
      <c r="B22" t="str">
        <f>IF(Allocation2!E22="","",Allocation2!E22)</f>
        <v>ISCOM_PAR</v>
      </c>
      <c r="C22" t="str">
        <f>IF(Allocation2!F22="","",Allocation2!F22)</f>
        <v>ISCOM</v>
      </c>
      <c r="D22" t="str">
        <f>IF(Allocation2!G22="","",Allocation2!G22)</f>
        <v>BAC_COM</v>
      </c>
      <c r="E22" t="str">
        <f>IF(Allocation2!H22="","",Allocation2!H22)</f>
        <v>B1</v>
      </c>
      <c r="F22" t="str">
        <f>IF(Allocation2!I22="","",Allocation2!I22)</f>
        <v>INIT</v>
      </c>
      <c r="G22">
        <f>IF(Allocation2!E22="","",Allocation2!J22)</f>
        <v>72</v>
      </c>
      <c r="H22">
        <f>IF(Allocation2!E22="","",Allocation2!K22)</f>
        <v>3</v>
      </c>
      <c r="I22">
        <f>IF(Allocation2!E22="","",Allocation2!L22)</f>
        <v>611280</v>
      </c>
      <c r="J22">
        <f>IF($A22="","",Allocation2!X22)</f>
        <v>72</v>
      </c>
      <c r="K22">
        <f t="shared" si="0"/>
        <v>1800</v>
      </c>
      <c r="L22">
        <f t="shared" si="1"/>
        <v>354</v>
      </c>
      <c r="M22">
        <f t="shared" si="2"/>
        <v>15</v>
      </c>
      <c r="N22">
        <f t="shared" si="3"/>
        <v>2908720</v>
      </c>
      <c r="O22">
        <f t="shared" si="4"/>
        <v>7200</v>
      </c>
      <c r="P22">
        <f t="shared" si="5"/>
        <v>144</v>
      </c>
      <c r="Q22">
        <f t="shared" si="6"/>
        <v>829</v>
      </c>
      <c r="R22">
        <f t="shared" si="7"/>
        <v>35</v>
      </c>
      <c r="S22">
        <f t="shared" si="8"/>
        <v>6292550</v>
      </c>
      <c r="T22">
        <f t="shared" si="9"/>
        <v>3036</v>
      </c>
      <c r="U22">
        <f t="shared" si="10"/>
        <v>131</v>
      </c>
      <c r="V22">
        <f t="shared" si="11"/>
        <v>22544725</v>
      </c>
      <c r="W22">
        <f>IF($A22="","",Allocation2!Y22)</f>
        <v>181094</v>
      </c>
      <c r="X22">
        <f>IF($A22="","",Allocation2!Z22)</f>
        <v>605202</v>
      </c>
      <c r="Y22">
        <f>IF($A22="","",Allocation2!AA22)</f>
        <v>131722</v>
      </c>
      <c r="Z22">
        <f>IF($A22="","",Allocation2!AB22)</f>
        <v>60800</v>
      </c>
      <c r="AA22">
        <f>IF($A22="","",Allocation2!AC22)</f>
        <v>1380208</v>
      </c>
      <c r="AB22">
        <f>IF($A22="","",Allocation2!AD22)</f>
        <v>2891983</v>
      </c>
      <c r="AC22">
        <f>IF($A22="","",IF(ALLOC!$N$4="VOL_EFF",$G22,IF(ALLOC!$N$4="VOL_CLASS",$H22,$I22)))</f>
        <v>72</v>
      </c>
      <c r="AD22">
        <f>IF($A22="","",IF(ALLOC!$N$4="VOL_EFF",$L22,IF(ALLOC!$N$4="VOL_CLASS",$M22,$N22)))</f>
        <v>354</v>
      </c>
      <c r="AE22">
        <f>IF($A22="","",IF(ALLOC!$N$3="VOL_EFF",$L22,IF(ALLOC!$N$3="VOL_CLASS",$M22,$N22)))</f>
        <v>2908720</v>
      </c>
      <c r="AF22">
        <f>IF($A22="","",IF(ALLOC!$N$3="VOL_EFF",$Q22,IF(ALLOC!$N$3="VOL_CLASS",$R22,$S22)))</f>
        <v>6292550</v>
      </c>
      <c r="AG22">
        <f>IF($A22="","",IF(ALLOC!$N$1="VOL_EFF",$Q22,IF(ALLOC!$N$1="VOL_CLASS",$R22,$S22)))</f>
        <v>829</v>
      </c>
      <c r="AH22">
        <f>IF($A22="","",IF(ALLOC!$N$1="VOL_EFF",$T22,IF(ALLOC!$N$1="VOL_CLASS",$U22,$V22)))</f>
        <v>3036</v>
      </c>
      <c r="AI22">
        <f t="shared" si="12"/>
        <v>45273.5</v>
      </c>
      <c r="AJ22">
        <f t="shared" si="13"/>
        <v>151300.5</v>
      </c>
      <c r="AK22">
        <f t="shared" si="14"/>
        <v>57190.91525423729</v>
      </c>
      <c r="AL22">
        <f t="shared" si="15"/>
        <v>280720.27118644072</v>
      </c>
      <c r="AM22">
        <f t="shared" si="16"/>
        <v>74242.566291746451</v>
      </c>
      <c r="AN22">
        <f t="shared" si="17"/>
        <v>-14810.757375268149</v>
      </c>
      <c r="AO22">
        <f>IF($A22="","",Allocation2!AE22)</f>
        <v>676344</v>
      </c>
      <c r="AP22">
        <f>IF($A22="","",IF(ALLOC!$N$2="VOL_EFF",$Q22,IF(ALLOC!$N$2="VOL_CLASS",$R22,$S22)))</f>
        <v>829</v>
      </c>
      <c r="AQ22">
        <f>IF($A22="","",IF(ALLOC!$N$2="VOL_EFF",$T22,IF(ALLOC!$N$2="VOL_CLASS",$U22,$V22)))</f>
        <v>3036</v>
      </c>
      <c r="AR22">
        <f t="shared" si="18"/>
        <v>17363.004642843665</v>
      </c>
    </row>
    <row r="23" spans="1:44" x14ac:dyDescent="0.45">
      <c r="A23" t="str">
        <f>IF(Allocation2!D23="","",Allocation2!D23)</f>
        <v>2026</v>
      </c>
      <c r="B23" t="str">
        <f>IF(Allocation2!E23="","",Allocation2!E23)</f>
        <v>ISCOM_PAR</v>
      </c>
      <c r="C23" t="str">
        <f>IF(Allocation2!F23="","",Allocation2!F23)</f>
        <v>ISCOM</v>
      </c>
      <c r="D23" t="str">
        <f>IF(Allocation2!G23="","",Allocation2!G23)</f>
        <v>BAC_COM</v>
      </c>
      <c r="E23" t="str">
        <f>IF(Allocation2!H23="","",Allocation2!H23)</f>
        <v>B2</v>
      </c>
      <c r="F23" t="str">
        <f>IF(Allocation2!I23="","",Allocation2!I23)</f>
        <v>ALT</v>
      </c>
      <c r="G23">
        <f>IF(Allocation2!E23="","",Allocation2!J23)</f>
        <v>70</v>
      </c>
      <c r="H23">
        <f>IF(Allocation2!E23="","",Allocation2!K23)</f>
        <v>3</v>
      </c>
      <c r="I23">
        <f>IF(Allocation2!E23="","",Allocation2!L23)</f>
        <v>548800</v>
      </c>
      <c r="J23">
        <f>IF($A23="","",Allocation2!X23)</f>
        <v>0</v>
      </c>
      <c r="K23">
        <f t="shared" si="0"/>
        <v>1440</v>
      </c>
      <c r="L23">
        <f t="shared" si="1"/>
        <v>354</v>
      </c>
      <c r="M23">
        <f t="shared" si="2"/>
        <v>15</v>
      </c>
      <c r="N23">
        <f t="shared" si="3"/>
        <v>2908720</v>
      </c>
      <c r="O23">
        <f t="shared" si="4"/>
        <v>7200</v>
      </c>
      <c r="P23">
        <f t="shared" si="5"/>
        <v>144</v>
      </c>
      <c r="Q23">
        <f t="shared" si="6"/>
        <v>829</v>
      </c>
      <c r="R23">
        <f t="shared" si="7"/>
        <v>35</v>
      </c>
      <c r="S23">
        <f t="shared" si="8"/>
        <v>6292550</v>
      </c>
      <c r="T23">
        <f t="shared" si="9"/>
        <v>3036</v>
      </c>
      <c r="U23">
        <f t="shared" si="10"/>
        <v>131</v>
      </c>
      <c r="V23">
        <f t="shared" si="11"/>
        <v>22544725</v>
      </c>
      <c r="W23">
        <f>IF($A23="","",Allocation2!Y23)</f>
        <v>181094</v>
      </c>
      <c r="X23">
        <f>IF($A23="","",Allocation2!Z23)</f>
        <v>605202</v>
      </c>
      <c r="Y23">
        <f>IF($A23="","",Allocation2!AA23)</f>
        <v>131722</v>
      </c>
      <c r="Z23">
        <f>IF($A23="","",Allocation2!AB23)</f>
        <v>60800</v>
      </c>
      <c r="AA23">
        <f>IF($A23="","",Allocation2!AC23)</f>
        <v>1380208</v>
      </c>
      <c r="AB23">
        <f>IF($A23="","",Allocation2!AD23)</f>
        <v>2891983</v>
      </c>
      <c r="AC23">
        <f>IF($A23="","",IF(ALLOC!$N$4="VOL_EFF",$G23,IF(ALLOC!$N$4="VOL_CLASS",$H23,$I23)))</f>
        <v>70</v>
      </c>
      <c r="AD23">
        <f>IF($A23="","",IF(ALLOC!$N$4="VOL_EFF",$L23,IF(ALLOC!$N$4="VOL_CLASS",$M23,$N23)))</f>
        <v>354</v>
      </c>
      <c r="AE23">
        <f>IF($A23="","",IF(ALLOC!$N$3="VOL_EFF",$L23,IF(ALLOC!$N$3="VOL_CLASS",$M23,$N23)))</f>
        <v>2908720</v>
      </c>
      <c r="AF23">
        <f>IF($A23="","",IF(ALLOC!$N$3="VOL_EFF",$Q23,IF(ALLOC!$N$3="VOL_CLASS",$R23,$S23)))</f>
        <v>6292550</v>
      </c>
      <c r="AG23">
        <f>IF($A23="","",IF(ALLOC!$N$1="VOL_EFF",$Q23,IF(ALLOC!$N$1="VOL_CLASS",$R23,$S23)))</f>
        <v>829</v>
      </c>
      <c r="AH23">
        <f>IF($A23="","",IF(ALLOC!$N$1="VOL_EFF",$T23,IF(ALLOC!$N$1="VOL_CLASS",$U23,$V23)))</f>
        <v>3036</v>
      </c>
      <c r="AI23">
        <f t="shared" si="12"/>
        <v>36218.800000000003</v>
      </c>
      <c r="AJ23">
        <f t="shared" si="13"/>
        <v>121040.40000000001</v>
      </c>
      <c r="AK23">
        <f t="shared" si="14"/>
        <v>26046.723163841809</v>
      </c>
      <c r="AL23">
        <f t="shared" si="15"/>
        <v>272922.48587570625</v>
      </c>
      <c r="AM23">
        <f t="shared" si="16"/>
        <v>72180.272783642373</v>
      </c>
      <c r="AN23">
        <f t="shared" si="17"/>
        <v>3510.619218489388</v>
      </c>
      <c r="AO23">
        <f>IF($A23="","",Allocation2!AE23)</f>
        <v>676344</v>
      </c>
      <c r="AP23">
        <f>IF($A23="","",IF(ALLOC!$N$2="VOL_EFF",$Q23,IF(ALLOC!$N$2="VOL_CLASS",$R23,$S23)))</f>
        <v>829</v>
      </c>
      <c r="AQ23">
        <f>IF($A23="","",IF(ALLOC!$N$2="VOL_EFF",$T23,IF(ALLOC!$N$2="VOL_CLASS",$U23,$V23)))</f>
        <v>3036</v>
      </c>
      <c r="AR23">
        <f t="shared" si="18"/>
        <v>16880.69895832023</v>
      </c>
    </row>
    <row r="24" spans="1:44" x14ac:dyDescent="0.45">
      <c r="A24" t="str">
        <f>IF(Allocation2!D24="","",Allocation2!D24)</f>
        <v>2026</v>
      </c>
      <c r="B24" t="str">
        <f>IF(Allocation2!E24="","",Allocation2!E24)</f>
        <v>ISCOM_PAR</v>
      </c>
      <c r="C24" t="str">
        <f>IF(Allocation2!F24="","",Allocation2!F24)</f>
        <v>ISCOM</v>
      </c>
      <c r="D24" t="str">
        <f>IF(Allocation2!G24="","",Allocation2!G24)</f>
        <v>BAC_COM</v>
      </c>
      <c r="E24" t="str">
        <f>IF(Allocation2!H24="","",Allocation2!H24)</f>
        <v>B3</v>
      </c>
      <c r="F24" t="str">
        <f>IF(Allocation2!I24="","",Allocation2!I24)</f>
        <v>ALT</v>
      </c>
      <c r="G24">
        <f>IF(Allocation2!E24="","",Allocation2!J24)</f>
        <v>69</v>
      </c>
      <c r="H24">
        <f>IF(Allocation2!E24="","",Allocation2!K24)</f>
        <v>3</v>
      </c>
      <c r="I24">
        <f>IF(Allocation2!E24="","",Allocation2!L24)</f>
        <v>540960</v>
      </c>
      <c r="J24">
        <f>IF($A24="","",Allocation2!X24)</f>
        <v>0</v>
      </c>
      <c r="K24">
        <f t="shared" si="0"/>
        <v>1440</v>
      </c>
      <c r="L24">
        <f t="shared" si="1"/>
        <v>354</v>
      </c>
      <c r="M24">
        <f t="shared" si="2"/>
        <v>15</v>
      </c>
      <c r="N24">
        <f t="shared" si="3"/>
        <v>2908720</v>
      </c>
      <c r="O24">
        <f t="shared" si="4"/>
        <v>7200</v>
      </c>
      <c r="P24">
        <f t="shared" si="5"/>
        <v>144</v>
      </c>
      <c r="Q24">
        <f t="shared" si="6"/>
        <v>829</v>
      </c>
      <c r="R24">
        <f t="shared" si="7"/>
        <v>35</v>
      </c>
      <c r="S24">
        <f t="shared" si="8"/>
        <v>6292550</v>
      </c>
      <c r="T24">
        <f t="shared" si="9"/>
        <v>3036</v>
      </c>
      <c r="U24">
        <f t="shared" si="10"/>
        <v>131</v>
      </c>
      <c r="V24">
        <f t="shared" si="11"/>
        <v>22544725</v>
      </c>
      <c r="W24">
        <f>IF($A24="","",Allocation2!Y24)</f>
        <v>181094</v>
      </c>
      <c r="X24">
        <f>IF($A24="","",Allocation2!Z24)</f>
        <v>605202</v>
      </c>
      <c r="Y24">
        <f>IF($A24="","",Allocation2!AA24)</f>
        <v>131722</v>
      </c>
      <c r="Z24">
        <f>IF($A24="","",Allocation2!AB24)</f>
        <v>60800</v>
      </c>
      <c r="AA24">
        <f>IF($A24="","",Allocation2!AC24)</f>
        <v>1380208</v>
      </c>
      <c r="AB24">
        <f>IF($A24="","",Allocation2!AD24)</f>
        <v>2891983</v>
      </c>
      <c r="AC24">
        <f>IF($A24="","",IF(ALLOC!$N$4="VOL_EFF",$G24,IF(ALLOC!$N$4="VOL_CLASS",$H24,$I24)))</f>
        <v>69</v>
      </c>
      <c r="AD24">
        <f>IF($A24="","",IF(ALLOC!$N$4="VOL_EFF",$L24,IF(ALLOC!$N$4="VOL_CLASS",$M24,$N24)))</f>
        <v>354</v>
      </c>
      <c r="AE24">
        <f>IF($A24="","",IF(ALLOC!$N$3="VOL_EFF",$L24,IF(ALLOC!$N$3="VOL_CLASS",$M24,$N24)))</f>
        <v>2908720</v>
      </c>
      <c r="AF24">
        <f>IF($A24="","",IF(ALLOC!$N$3="VOL_EFF",$Q24,IF(ALLOC!$N$3="VOL_CLASS",$R24,$S24)))</f>
        <v>6292550</v>
      </c>
      <c r="AG24">
        <f>IF($A24="","",IF(ALLOC!$N$1="VOL_EFF",$Q24,IF(ALLOC!$N$1="VOL_CLASS",$R24,$S24)))</f>
        <v>829</v>
      </c>
      <c r="AH24">
        <f>IF($A24="","",IF(ALLOC!$N$1="VOL_EFF",$T24,IF(ALLOC!$N$1="VOL_CLASS",$U24,$V24)))</f>
        <v>3036</v>
      </c>
      <c r="AI24">
        <f t="shared" si="12"/>
        <v>36218.800000000003</v>
      </c>
      <c r="AJ24">
        <f t="shared" si="13"/>
        <v>121040.40000000001</v>
      </c>
      <c r="AK24">
        <f t="shared" si="14"/>
        <v>25674.627118644068</v>
      </c>
      <c r="AL24">
        <f t="shared" si="15"/>
        <v>269023.59322033898</v>
      </c>
      <c r="AM24">
        <f t="shared" si="16"/>
        <v>71149.126029590334</v>
      </c>
      <c r="AN24">
        <f t="shared" si="17"/>
        <v>1213.9075153680751</v>
      </c>
      <c r="AO24">
        <f>IF($A24="","",Allocation2!AE24)</f>
        <v>676344</v>
      </c>
      <c r="AP24">
        <f>IF($A24="","",IF(ALLOC!$N$2="VOL_EFF",$Q24,IF(ALLOC!$N$2="VOL_CLASS",$R24,$S24)))</f>
        <v>829</v>
      </c>
      <c r="AQ24">
        <f>IF($A24="","",IF(ALLOC!$N$2="VOL_EFF",$T24,IF(ALLOC!$N$2="VOL_CLASS",$U24,$V24)))</f>
        <v>3036</v>
      </c>
      <c r="AR24">
        <f t="shared" si="18"/>
        <v>16639.546116058515</v>
      </c>
    </row>
    <row r="25" spans="1:44" x14ac:dyDescent="0.45">
      <c r="A25" t="str">
        <f>IF(Allocation2!D25="","",Allocation2!D25)</f>
        <v>2026</v>
      </c>
      <c r="B25" t="str">
        <f>IF(Allocation2!E25="","",Allocation2!E25)</f>
        <v>ISCOM_PAR</v>
      </c>
      <c r="C25" t="str">
        <f>IF(Allocation2!F25="","",Allocation2!F25)</f>
        <v>ISCOM</v>
      </c>
      <c r="D25" t="str">
        <f>IF(Allocation2!G25="","",Allocation2!G25)</f>
        <v>MAS_COM</v>
      </c>
      <c r="E25" t="str">
        <f>IF(Allocation2!H25="","",Allocation2!H25)</f>
        <v>M1</v>
      </c>
      <c r="F25" t="str">
        <f>IF(Allocation2!I25="","",Allocation2!I25)</f>
        <v>ALT</v>
      </c>
      <c r="G25">
        <f>IF(Allocation2!E25="","",Allocation2!J25)</f>
        <v>72</v>
      </c>
      <c r="H25">
        <f>IF(Allocation2!E25="","",Allocation2!K25)</f>
        <v>3</v>
      </c>
      <c r="I25">
        <f>IF(Allocation2!E25="","",Allocation2!L25)</f>
        <v>611280</v>
      </c>
      <c r="J25">
        <f>IF($A25="","",Allocation2!X25)</f>
        <v>72</v>
      </c>
      <c r="K25">
        <f t="shared" si="0"/>
        <v>1260</v>
      </c>
      <c r="L25">
        <f t="shared" si="1"/>
        <v>354</v>
      </c>
      <c r="M25">
        <f t="shared" si="2"/>
        <v>15</v>
      </c>
      <c r="N25">
        <f t="shared" si="3"/>
        <v>2908720</v>
      </c>
      <c r="O25">
        <f t="shared" si="4"/>
        <v>7200</v>
      </c>
      <c r="P25">
        <f t="shared" si="5"/>
        <v>144</v>
      </c>
      <c r="Q25">
        <f t="shared" si="6"/>
        <v>829</v>
      </c>
      <c r="R25">
        <f t="shared" si="7"/>
        <v>35</v>
      </c>
      <c r="S25">
        <f t="shared" si="8"/>
        <v>6292550</v>
      </c>
      <c r="T25">
        <f t="shared" si="9"/>
        <v>3036</v>
      </c>
      <c r="U25">
        <f t="shared" si="10"/>
        <v>131</v>
      </c>
      <c r="V25">
        <f t="shared" si="11"/>
        <v>22544725</v>
      </c>
      <c r="W25">
        <f>IF($A25="","",Allocation2!Y25)</f>
        <v>181094</v>
      </c>
      <c r="X25">
        <f>IF($A25="","",Allocation2!Z25)</f>
        <v>605202</v>
      </c>
      <c r="Y25">
        <f>IF($A25="","",Allocation2!AA25)</f>
        <v>131722</v>
      </c>
      <c r="Z25">
        <f>IF($A25="","",Allocation2!AB25)</f>
        <v>60800</v>
      </c>
      <c r="AA25">
        <f>IF($A25="","",Allocation2!AC25)</f>
        <v>1380208</v>
      </c>
      <c r="AB25">
        <f>IF($A25="","",Allocation2!AD25)</f>
        <v>2891983</v>
      </c>
      <c r="AC25">
        <f>IF($A25="","",IF(ALLOC!$N$4="VOL_EFF",$G25,IF(ALLOC!$N$4="VOL_CLASS",$H25,$I25)))</f>
        <v>72</v>
      </c>
      <c r="AD25">
        <f>IF($A25="","",IF(ALLOC!$N$4="VOL_EFF",$L25,IF(ALLOC!$N$4="VOL_CLASS",$M25,$N25)))</f>
        <v>354</v>
      </c>
      <c r="AE25">
        <f>IF($A25="","",IF(ALLOC!$N$3="VOL_EFF",$L25,IF(ALLOC!$N$3="VOL_CLASS",$M25,$N25)))</f>
        <v>2908720</v>
      </c>
      <c r="AF25">
        <f>IF($A25="","",IF(ALLOC!$N$3="VOL_EFF",$Q25,IF(ALLOC!$N$3="VOL_CLASS",$R25,$S25)))</f>
        <v>6292550</v>
      </c>
      <c r="AG25">
        <f>IF($A25="","",IF(ALLOC!$N$1="VOL_EFF",$Q25,IF(ALLOC!$N$1="VOL_CLASS",$R25,$S25)))</f>
        <v>829</v>
      </c>
      <c r="AH25">
        <f>IF($A25="","",IF(ALLOC!$N$1="VOL_EFF",$T25,IF(ALLOC!$N$1="VOL_CLASS",$U25,$V25)))</f>
        <v>3036</v>
      </c>
      <c r="AI25">
        <f t="shared" si="12"/>
        <v>31691.449999999997</v>
      </c>
      <c r="AJ25">
        <f t="shared" si="13"/>
        <v>105910.34999999999</v>
      </c>
      <c r="AK25">
        <f t="shared" si="14"/>
        <v>57190.91525423729</v>
      </c>
      <c r="AL25">
        <f t="shared" si="15"/>
        <v>280720.27118644072</v>
      </c>
      <c r="AM25">
        <f t="shared" si="16"/>
        <v>74242.566291746451</v>
      </c>
      <c r="AN25">
        <f t="shared" si="17"/>
        <v>44161.442624731921</v>
      </c>
      <c r="AO25">
        <f>IF($A25="","",Allocation2!AE25)</f>
        <v>676344</v>
      </c>
      <c r="AP25">
        <f>IF($A25="","",IF(ALLOC!$N$2="VOL_EFF",$Q25,IF(ALLOC!$N$2="VOL_CLASS",$R25,$S25)))</f>
        <v>829</v>
      </c>
      <c r="AQ25">
        <f>IF($A25="","",IF(ALLOC!$N$2="VOL_EFF",$T25,IF(ALLOC!$N$2="VOL_CLASS",$U25,$V25)))</f>
        <v>3036</v>
      </c>
      <c r="AR25">
        <f t="shared" si="18"/>
        <v>17363.004642843665</v>
      </c>
    </row>
    <row r="26" spans="1:44" x14ac:dyDescent="0.45">
      <c r="A26" t="str">
        <f>IF(Allocation2!D26="","",Allocation2!D26)</f>
        <v>2026</v>
      </c>
      <c r="B26" t="str">
        <f>IF(Allocation2!E26="","",Allocation2!E26)</f>
        <v>ISCOM_PAR</v>
      </c>
      <c r="C26" t="str">
        <f>IF(Allocation2!F26="","",Allocation2!F26)</f>
        <v>ISCOM</v>
      </c>
      <c r="D26" t="str">
        <f>IF(Allocation2!G26="","",Allocation2!G26)</f>
        <v>MAS_COM</v>
      </c>
      <c r="E26" t="str">
        <f>IF(Allocation2!H26="","",Allocation2!H26)</f>
        <v>M2</v>
      </c>
      <c r="F26" t="str">
        <f>IF(Allocation2!I26="","",Allocation2!I26)</f>
        <v>ALT</v>
      </c>
      <c r="G26">
        <f>IF(Allocation2!E26="","",Allocation2!J26)</f>
        <v>71</v>
      </c>
      <c r="H26">
        <f>IF(Allocation2!E26="","",Allocation2!K26)</f>
        <v>3</v>
      </c>
      <c r="I26">
        <f>IF(Allocation2!E26="","",Allocation2!L26)</f>
        <v>596400</v>
      </c>
      <c r="J26">
        <f>IF($A26="","",Allocation2!X26)</f>
        <v>0</v>
      </c>
      <c r="K26">
        <f t="shared" si="0"/>
        <v>1260</v>
      </c>
      <c r="L26">
        <f t="shared" si="1"/>
        <v>354</v>
      </c>
      <c r="M26">
        <f t="shared" si="2"/>
        <v>15</v>
      </c>
      <c r="N26">
        <f t="shared" si="3"/>
        <v>2908720</v>
      </c>
      <c r="O26">
        <f t="shared" si="4"/>
        <v>7200</v>
      </c>
      <c r="P26">
        <f t="shared" si="5"/>
        <v>144</v>
      </c>
      <c r="Q26">
        <f t="shared" si="6"/>
        <v>829</v>
      </c>
      <c r="R26">
        <f t="shared" si="7"/>
        <v>35</v>
      </c>
      <c r="S26">
        <f t="shared" si="8"/>
        <v>6292550</v>
      </c>
      <c r="T26">
        <f t="shared" si="9"/>
        <v>3036</v>
      </c>
      <c r="U26">
        <f t="shared" si="10"/>
        <v>131</v>
      </c>
      <c r="V26">
        <f t="shared" si="11"/>
        <v>22544725</v>
      </c>
      <c r="W26">
        <f>IF($A26="","",Allocation2!Y26)</f>
        <v>181094</v>
      </c>
      <c r="X26">
        <f>IF($A26="","",Allocation2!Z26)</f>
        <v>605202</v>
      </c>
      <c r="Y26">
        <f>IF($A26="","",Allocation2!AA26)</f>
        <v>131722</v>
      </c>
      <c r="Z26">
        <f>IF($A26="","",Allocation2!AB26)</f>
        <v>60800</v>
      </c>
      <c r="AA26">
        <f>IF($A26="","",Allocation2!AC26)</f>
        <v>1380208</v>
      </c>
      <c r="AB26">
        <f>IF($A26="","",Allocation2!AD26)</f>
        <v>2891983</v>
      </c>
      <c r="AC26">
        <f>IF($A26="","",IF(ALLOC!$N$4="VOL_EFF",$G26,IF(ALLOC!$N$4="VOL_CLASS",$H26,$I26)))</f>
        <v>71</v>
      </c>
      <c r="AD26">
        <f>IF($A26="","",IF(ALLOC!$N$4="VOL_EFF",$L26,IF(ALLOC!$N$4="VOL_CLASS",$M26,$N26)))</f>
        <v>354</v>
      </c>
      <c r="AE26">
        <f>IF($A26="","",IF(ALLOC!$N$3="VOL_EFF",$L26,IF(ALLOC!$N$3="VOL_CLASS",$M26,$N26)))</f>
        <v>2908720</v>
      </c>
      <c r="AF26">
        <f>IF($A26="","",IF(ALLOC!$N$3="VOL_EFF",$Q26,IF(ALLOC!$N$3="VOL_CLASS",$R26,$S26)))</f>
        <v>6292550</v>
      </c>
      <c r="AG26">
        <f>IF($A26="","",IF(ALLOC!$N$1="VOL_EFF",$Q26,IF(ALLOC!$N$1="VOL_CLASS",$R26,$S26)))</f>
        <v>829</v>
      </c>
      <c r="AH26">
        <f>IF($A26="","",IF(ALLOC!$N$1="VOL_EFF",$T26,IF(ALLOC!$N$1="VOL_CLASS",$U26,$V26)))</f>
        <v>3036</v>
      </c>
      <c r="AI26">
        <f t="shared" si="12"/>
        <v>31691.449999999997</v>
      </c>
      <c r="AJ26">
        <f t="shared" si="13"/>
        <v>105910.34999999999</v>
      </c>
      <c r="AK26">
        <f t="shared" si="14"/>
        <v>26418.81920903955</v>
      </c>
      <c r="AL26">
        <f t="shared" si="15"/>
        <v>276821.37853107345</v>
      </c>
      <c r="AM26">
        <f t="shared" si="16"/>
        <v>73211.419537694412</v>
      </c>
      <c r="AN26">
        <f t="shared" si="17"/>
        <v>65224.730921610608</v>
      </c>
      <c r="AO26">
        <f>IF($A26="","",Allocation2!AE26)</f>
        <v>676344</v>
      </c>
      <c r="AP26">
        <f>IF($A26="","",IF(ALLOC!$N$2="VOL_EFF",$Q26,IF(ALLOC!$N$2="VOL_CLASS",$R26,$S26)))</f>
        <v>829</v>
      </c>
      <c r="AQ26">
        <f>IF($A26="","",IF(ALLOC!$N$2="VOL_EFF",$T26,IF(ALLOC!$N$2="VOL_CLASS",$U26,$V26)))</f>
        <v>3036</v>
      </c>
      <c r="AR26">
        <f t="shared" si="18"/>
        <v>17121.85180058195</v>
      </c>
    </row>
    <row r="27" spans="1:44" x14ac:dyDescent="0.45">
      <c r="A27" t="str">
        <f>IF(Allocation2!D27="","",Allocation2!D27)</f>
        <v>2026</v>
      </c>
      <c r="B27" t="str">
        <f>IF(Allocation2!E27="","",Allocation2!E27)</f>
        <v>ISCOM_LIL</v>
      </c>
      <c r="C27" t="str">
        <f>IF(Allocation2!F27="","",Allocation2!F27)</f>
        <v>ISCOM</v>
      </c>
      <c r="D27" t="str">
        <f>IF(Allocation2!G27="","",Allocation2!G27)</f>
        <v>BAC_COM</v>
      </c>
      <c r="E27" t="str">
        <f>IF(Allocation2!H27="","",Allocation2!H27)</f>
        <v>B1</v>
      </c>
      <c r="F27" t="str">
        <f>IF(Allocation2!I27="","",Allocation2!I27)</f>
        <v>INIT</v>
      </c>
      <c r="G27">
        <f>IF(Allocation2!E27="","",Allocation2!J27)</f>
        <v>50</v>
      </c>
      <c r="H27">
        <f>IF(Allocation2!E27="","",Allocation2!K27)</f>
        <v>2</v>
      </c>
      <c r="I27">
        <f>IF(Allocation2!E27="","",Allocation2!L27)</f>
        <v>372000</v>
      </c>
      <c r="J27">
        <f>IF($A27="","",Allocation2!X27)</f>
        <v>50</v>
      </c>
      <c r="K27">
        <f t="shared" si="0"/>
        <v>1200</v>
      </c>
      <c r="L27">
        <f t="shared" si="1"/>
        <v>244</v>
      </c>
      <c r="M27">
        <f t="shared" si="2"/>
        <v>10</v>
      </c>
      <c r="N27">
        <f t="shared" si="3"/>
        <v>1755850</v>
      </c>
      <c r="O27">
        <f t="shared" si="4"/>
        <v>4800</v>
      </c>
      <c r="P27">
        <f t="shared" si="5"/>
        <v>100</v>
      </c>
      <c r="Q27">
        <f t="shared" si="6"/>
        <v>829</v>
      </c>
      <c r="R27">
        <f t="shared" si="7"/>
        <v>35</v>
      </c>
      <c r="S27">
        <f t="shared" si="8"/>
        <v>6292550</v>
      </c>
      <c r="T27">
        <f t="shared" si="9"/>
        <v>3036</v>
      </c>
      <c r="U27">
        <f t="shared" si="10"/>
        <v>131</v>
      </c>
      <c r="V27">
        <f t="shared" si="11"/>
        <v>22544725</v>
      </c>
      <c r="W27">
        <f>IF($A27="","",Allocation2!Y27)</f>
        <v>120729</v>
      </c>
      <c r="X27">
        <f>IF($A27="","",Allocation2!Z27)</f>
        <v>229130</v>
      </c>
      <c r="Y27">
        <f>IF($A27="","",Allocation2!AA27)</f>
        <v>90791</v>
      </c>
      <c r="Z27">
        <f>IF($A27="","",Allocation2!AB27)</f>
        <v>25220</v>
      </c>
      <c r="AA27">
        <f>IF($A27="","",Allocation2!AC27)</f>
        <v>534322</v>
      </c>
      <c r="AB27">
        <f>IF($A27="","",Allocation2!AD27)</f>
        <v>2891983</v>
      </c>
      <c r="AC27">
        <f>IF($A27="","",IF(ALLOC!$N$4="VOL_EFF",$G27,IF(ALLOC!$N$4="VOL_CLASS",$H27,$I27)))</f>
        <v>50</v>
      </c>
      <c r="AD27">
        <f>IF($A27="","",IF(ALLOC!$N$4="VOL_EFF",$L27,IF(ALLOC!$N$4="VOL_CLASS",$M27,$N27)))</f>
        <v>244</v>
      </c>
      <c r="AE27">
        <f>IF($A27="","",IF(ALLOC!$N$3="VOL_EFF",$L27,IF(ALLOC!$N$3="VOL_CLASS",$M27,$N27)))</f>
        <v>1755850</v>
      </c>
      <c r="AF27">
        <f>IF($A27="","",IF(ALLOC!$N$3="VOL_EFF",$Q27,IF(ALLOC!$N$3="VOL_CLASS",$R27,$S27)))</f>
        <v>6292550</v>
      </c>
      <c r="AG27">
        <f>IF($A27="","",IF(ALLOC!$N$1="VOL_EFF",$Q27,IF(ALLOC!$N$1="VOL_CLASS",$R27,$S27)))</f>
        <v>829</v>
      </c>
      <c r="AH27">
        <f>IF($A27="","",IF(ALLOC!$N$1="VOL_EFF",$T27,IF(ALLOC!$N$1="VOL_CLASS",$U27,$V27)))</f>
        <v>3036</v>
      </c>
      <c r="AI27">
        <f t="shared" si="12"/>
        <v>30182.25</v>
      </c>
      <c r="AJ27">
        <f t="shared" si="13"/>
        <v>57282.5</v>
      </c>
      <c r="AK27">
        <f t="shared" si="14"/>
        <v>31214.7131147541</v>
      </c>
      <c r="AL27">
        <f t="shared" si="15"/>
        <v>109492.21311475411</v>
      </c>
      <c r="AM27">
        <f t="shared" si="16"/>
        <v>45153.291467242852</v>
      </c>
      <c r="AN27">
        <f t="shared" si="17"/>
        <v>88115.09548338491</v>
      </c>
      <c r="AO27">
        <f>IF($A27="","",Allocation2!AE27)</f>
        <v>676344</v>
      </c>
      <c r="AP27">
        <f>IF($A27="","",IF(ALLOC!$N$2="VOL_EFF",$Q27,IF(ALLOC!$N$2="VOL_CLASS",$R27,$S27)))</f>
        <v>829</v>
      </c>
      <c r="AQ27">
        <f>IF($A27="","",IF(ALLOC!$N$2="VOL_EFF",$T27,IF(ALLOC!$N$2="VOL_CLASS",$U27,$V27)))</f>
        <v>3036</v>
      </c>
      <c r="AR27">
        <f t="shared" si="18"/>
        <v>10559.936819864053</v>
      </c>
    </row>
    <row r="28" spans="1:44" x14ac:dyDescent="0.45">
      <c r="A28" t="str">
        <f>IF(Allocation2!D28="","",Allocation2!D28)</f>
        <v>2026</v>
      </c>
      <c r="B28" t="str">
        <f>IF(Allocation2!E28="","",Allocation2!E28)</f>
        <v>ISCOM_LIL</v>
      </c>
      <c r="C28" t="str">
        <f>IF(Allocation2!F28="","",Allocation2!F28)</f>
        <v>ISCOM</v>
      </c>
      <c r="D28" t="str">
        <f>IF(Allocation2!G28="","",Allocation2!G28)</f>
        <v>BAC_COM</v>
      </c>
      <c r="E28" t="str">
        <f>IF(Allocation2!H28="","",Allocation2!H28)</f>
        <v>B2</v>
      </c>
      <c r="F28" t="str">
        <f>IF(Allocation2!I28="","",Allocation2!I28)</f>
        <v>ALT</v>
      </c>
      <c r="G28">
        <f>IF(Allocation2!E28="","",Allocation2!J28)</f>
        <v>48</v>
      </c>
      <c r="H28">
        <f>IF(Allocation2!E28="","",Allocation2!K28)</f>
        <v>2</v>
      </c>
      <c r="I28">
        <f>IF(Allocation2!E28="","",Allocation2!L28)</f>
        <v>329280</v>
      </c>
      <c r="J28">
        <f>IF($A28="","",Allocation2!X28)</f>
        <v>0</v>
      </c>
      <c r="K28">
        <f t="shared" si="0"/>
        <v>960</v>
      </c>
      <c r="L28">
        <f t="shared" si="1"/>
        <v>244</v>
      </c>
      <c r="M28">
        <f t="shared" si="2"/>
        <v>10</v>
      </c>
      <c r="N28">
        <f t="shared" si="3"/>
        <v>1755850</v>
      </c>
      <c r="O28">
        <f t="shared" si="4"/>
        <v>4800</v>
      </c>
      <c r="P28">
        <f t="shared" si="5"/>
        <v>100</v>
      </c>
      <c r="Q28">
        <f t="shared" si="6"/>
        <v>829</v>
      </c>
      <c r="R28">
        <f t="shared" si="7"/>
        <v>35</v>
      </c>
      <c r="S28">
        <f t="shared" si="8"/>
        <v>6292550</v>
      </c>
      <c r="T28">
        <f t="shared" si="9"/>
        <v>3036</v>
      </c>
      <c r="U28">
        <f t="shared" si="10"/>
        <v>131</v>
      </c>
      <c r="V28">
        <f t="shared" si="11"/>
        <v>22544725</v>
      </c>
      <c r="W28">
        <f>IF($A28="","",Allocation2!Y28)</f>
        <v>120729</v>
      </c>
      <c r="X28">
        <f>IF($A28="","",Allocation2!Z28)</f>
        <v>229130</v>
      </c>
      <c r="Y28">
        <f>IF($A28="","",Allocation2!AA28)</f>
        <v>90791</v>
      </c>
      <c r="Z28">
        <f>IF($A28="","",Allocation2!AB28)</f>
        <v>25220</v>
      </c>
      <c r="AA28">
        <f>IF($A28="","",Allocation2!AC28)</f>
        <v>534322</v>
      </c>
      <c r="AB28">
        <f>IF($A28="","",Allocation2!AD28)</f>
        <v>2891983</v>
      </c>
      <c r="AC28">
        <f>IF($A28="","",IF(ALLOC!$N$4="VOL_EFF",$G28,IF(ALLOC!$N$4="VOL_CLASS",$H28,$I28)))</f>
        <v>48</v>
      </c>
      <c r="AD28">
        <f>IF($A28="","",IF(ALLOC!$N$4="VOL_EFF",$L28,IF(ALLOC!$N$4="VOL_CLASS",$M28,$N28)))</f>
        <v>244</v>
      </c>
      <c r="AE28">
        <f>IF($A28="","",IF(ALLOC!$N$3="VOL_EFF",$L28,IF(ALLOC!$N$3="VOL_CLASS",$M28,$N28)))</f>
        <v>1755850</v>
      </c>
      <c r="AF28">
        <f>IF($A28="","",IF(ALLOC!$N$3="VOL_EFF",$Q28,IF(ALLOC!$N$3="VOL_CLASS",$R28,$S28)))</f>
        <v>6292550</v>
      </c>
      <c r="AG28">
        <f>IF($A28="","",IF(ALLOC!$N$1="VOL_EFF",$Q28,IF(ALLOC!$N$1="VOL_CLASS",$R28,$S28)))</f>
        <v>829</v>
      </c>
      <c r="AH28">
        <f>IF($A28="","",IF(ALLOC!$N$1="VOL_EFF",$T28,IF(ALLOC!$N$1="VOL_CLASS",$U28,$V28)))</f>
        <v>3036</v>
      </c>
      <c r="AI28">
        <f t="shared" si="12"/>
        <v>24145.800000000003</v>
      </c>
      <c r="AJ28">
        <f t="shared" si="13"/>
        <v>45826</v>
      </c>
      <c r="AK28">
        <f t="shared" si="14"/>
        <v>17860.524590163935</v>
      </c>
      <c r="AL28">
        <f t="shared" si="15"/>
        <v>105112.52459016393</v>
      </c>
      <c r="AM28">
        <f t="shared" si="16"/>
        <v>43347.159808553137</v>
      </c>
      <c r="AN28">
        <f t="shared" si="17"/>
        <v>82850.451664049499</v>
      </c>
      <c r="AO28">
        <f>IF($A28="","",Allocation2!AE28)</f>
        <v>676344</v>
      </c>
      <c r="AP28">
        <f>IF($A28="","",IF(ALLOC!$N$2="VOL_EFF",$Q28,IF(ALLOC!$N$2="VOL_CLASS",$R28,$S28)))</f>
        <v>829</v>
      </c>
      <c r="AQ28">
        <f>IF($A28="","",IF(ALLOC!$N$2="VOL_EFF",$T28,IF(ALLOC!$N$2="VOL_CLASS",$U28,$V28)))</f>
        <v>3036</v>
      </c>
      <c r="AR28">
        <f t="shared" si="18"/>
        <v>10137.539347069491</v>
      </c>
    </row>
    <row r="29" spans="1:44" x14ac:dyDescent="0.45">
      <c r="A29" t="str">
        <f>IF(Allocation2!D29="","",Allocation2!D29)</f>
        <v>2026</v>
      </c>
      <c r="B29" t="str">
        <f>IF(Allocation2!E29="","",Allocation2!E29)</f>
        <v>ISCOM_LIL</v>
      </c>
      <c r="C29" t="str">
        <f>IF(Allocation2!F29="","",Allocation2!F29)</f>
        <v>ISCOM</v>
      </c>
      <c r="D29" t="str">
        <f>IF(Allocation2!G29="","",Allocation2!G29)</f>
        <v>BAC_COM</v>
      </c>
      <c r="E29" t="str">
        <f>IF(Allocation2!H29="","",Allocation2!H29)</f>
        <v>B3</v>
      </c>
      <c r="F29" t="str">
        <f>IF(Allocation2!I29="","",Allocation2!I29)</f>
        <v>ALT</v>
      </c>
      <c r="G29">
        <f>IF(Allocation2!E29="","",Allocation2!J29)</f>
        <v>47</v>
      </c>
      <c r="H29">
        <f>IF(Allocation2!E29="","",Allocation2!K29)</f>
        <v>2</v>
      </c>
      <c r="I29">
        <f>IF(Allocation2!E29="","",Allocation2!L29)</f>
        <v>322420</v>
      </c>
      <c r="J29">
        <f>IF($A29="","",Allocation2!X29)</f>
        <v>0</v>
      </c>
      <c r="K29">
        <f t="shared" si="0"/>
        <v>960</v>
      </c>
      <c r="L29">
        <f t="shared" si="1"/>
        <v>244</v>
      </c>
      <c r="M29">
        <f t="shared" si="2"/>
        <v>10</v>
      </c>
      <c r="N29">
        <f t="shared" si="3"/>
        <v>1755850</v>
      </c>
      <c r="O29">
        <f t="shared" si="4"/>
        <v>4800</v>
      </c>
      <c r="P29">
        <f t="shared" si="5"/>
        <v>100</v>
      </c>
      <c r="Q29">
        <f t="shared" si="6"/>
        <v>829</v>
      </c>
      <c r="R29">
        <f t="shared" si="7"/>
        <v>35</v>
      </c>
      <c r="S29">
        <f t="shared" si="8"/>
        <v>6292550</v>
      </c>
      <c r="T29">
        <f t="shared" si="9"/>
        <v>3036</v>
      </c>
      <c r="U29">
        <f t="shared" si="10"/>
        <v>131</v>
      </c>
      <c r="V29">
        <f t="shared" si="11"/>
        <v>22544725</v>
      </c>
      <c r="W29">
        <f>IF($A29="","",Allocation2!Y29)</f>
        <v>120729</v>
      </c>
      <c r="X29">
        <f>IF($A29="","",Allocation2!Z29)</f>
        <v>229130</v>
      </c>
      <c r="Y29">
        <f>IF($A29="","",Allocation2!AA29)</f>
        <v>90791</v>
      </c>
      <c r="Z29">
        <f>IF($A29="","",Allocation2!AB29)</f>
        <v>25220</v>
      </c>
      <c r="AA29">
        <f>IF($A29="","",Allocation2!AC29)</f>
        <v>534322</v>
      </c>
      <c r="AB29">
        <f>IF($A29="","",Allocation2!AD29)</f>
        <v>2891983</v>
      </c>
      <c r="AC29">
        <f>IF($A29="","",IF(ALLOC!$N$4="VOL_EFF",$G29,IF(ALLOC!$N$4="VOL_CLASS",$H29,$I29)))</f>
        <v>47</v>
      </c>
      <c r="AD29">
        <f>IF($A29="","",IF(ALLOC!$N$4="VOL_EFF",$L29,IF(ALLOC!$N$4="VOL_CLASS",$M29,$N29)))</f>
        <v>244</v>
      </c>
      <c r="AE29">
        <f>IF($A29="","",IF(ALLOC!$N$3="VOL_EFF",$L29,IF(ALLOC!$N$3="VOL_CLASS",$M29,$N29)))</f>
        <v>1755850</v>
      </c>
      <c r="AF29">
        <f>IF($A29="","",IF(ALLOC!$N$3="VOL_EFF",$Q29,IF(ALLOC!$N$3="VOL_CLASS",$R29,$S29)))</f>
        <v>6292550</v>
      </c>
      <c r="AG29">
        <f>IF($A29="","",IF(ALLOC!$N$1="VOL_EFF",$Q29,IF(ALLOC!$N$1="VOL_CLASS",$R29,$S29)))</f>
        <v>829</v>
      </c>
      <c r="AH29">
        <f>IF($A29="","",IF(ALLOC!$N$1="VOL_EFF",$T29,IF(ALLOC!$N$1="VOL_CLASS",$U29,$V29)))</f>
        <v>3036</v>
      </c>
      <c r="AI29">
        <f t="shared" si="12"/>
        <v>24145.800000000003</v>
      </c>
      <c r="AJ29">
        <f t="shared" si="13"/>
        <v>45826</v>
      </c>
      <c r="AK29">
        <f t="shared" si="14"/>
        <v>17488.430327868853</v>
      </c>
      <c r="AL29">
        <f t="shared" si="15"/>
        <v>102922.68032786885</v>
      </c>
      <c r="AM29">
        <f t="shared" si="16"/>
        <v>42444.093979208279</v>
      </c>
      <c r="AN29">
        <f t="shared" si="17"/>
        <v>79666.654754381801</v>
      </c>
      <c r="AO29">
        <f>IF($A29="","",Allocation2!AE29)</f>
        <v>676344</v>
      </c>
      <c r="AP29">
        <f>IF($A29="","",IF(ALLOC!$N$2="VOL_EFF",$Q29,IF(ALLOC!$N$2="VOL_CLASS",$R29,$S29)))</f>
        <v>829</v>
      </c>
      <c r="AQ29">
        <f>IF($A29="","",IF(ALLOC!$N$2="VOL_EFF",$T29,IF(ALLOC!$N$2="VOL_CLASS",$U29,$V29)))</f>
        <v>3036</v>
      </c>
      <c r="AR29">
        <f t="shared" si="18"/>
        <v>9926.3406106722086</v>
      </c>
    </row>
    <row r="30" spans="1:44" x14ac:dyDescent="0.45">
      <c r="A30" t="str">
        <f>IF(Allocation2!D30="","",Allocation2!D30)</f>
        <v>2026</v>
      </c>
      <c r="B30" t="str">
        <f>IF(Allocation2!E30="","",Allocation2!E30)</f>
        <v>ISCOM_LIL</v>
      </c>
      <c r="C30" t="str">
        <f>IF(Allocation2!F30="","",Allocation2!F30)</f>
        <v>ISCOM</v>
      </c>
      <c r="D30" t="str">
        <f>IF(Allocation2!G30="","",Allocation2!G30)</f>
        <v>MAS_COM</v>
      </c>
      <c r="E30" t="str">
        <f>IF(Allocation2!H30="","",Allocation2!H30)</f>
        <v>M1</v>
      </c>
      <c r="F30" t="str">
        <f>IF(Allocation2!I30="","",Allocation2!I30)</f>
        <v>ALT</v>
      </c>
      <c r="G30">
        <f>IF(Allocation2!E30="","",Allocation2!J30)</f>
        <v>50</v>
      </c>
      <c r="H30">
        <f>IF(Allocation2!E30="","",Allocation2!K30)</f>
        <v>2</v>
      </c>
      <c r="I30">
        <f>IF(Allocation2!E30="","",Allocation2!L30)</f>
        <v>372000</v>
      </c>
      <c r="J30">
        <f>IF($A30="","",Allocation2!X30)</f>
        <v>50</v>
      </c>
      <c r="K30">
        <f t="shared" si="0"/>
        <v>840</v>
      </c>
      <c r="L30">
        <f t="shared" si="1"/>
        <v>244</v>
      </c>
      <c r="M30">
        <f t="shared" si="2"/>
        <v>10</v>
      </c>
      <c r="N30">
        <f t="shared" si="3"/>
        <v>1755850</v>
      </c>
      <c r="O30">
        <f t="shared" si="4"/>
        <v>4800</v>
      </c>
      <c r="P30">
        <f t="shared" si="5"/>
        <v>100</v>
      </c>
      <c r="Q30">
        <f t="shared" si="6"/>
        <v>829</v>
      </c>
      <c r="R30">
        <f t="shared" si="7"/>
        <v>35</v>
      </c>
      <c r="S30">
        <f t="shared" si="8"/>
        <v>6292550</v>
      </c>
      <c r="T30">
        <f t="shared" si="9"/>
        <v>3036</v>
      </c>
      <c r="U30">
        <f t="shared" si="10"/>
        <v>131</v>
      </c>
      <c r="V30">
        <f t="shared" si="11"/>
        <v>22544725</v>
      </c>
      <c r="W30">
        <f>IF($A30="","",Allocation2!Y30)</f>
        <v>120729</v>
      </c>
      <c r="X30">
        <f>IF($A30="","",Allocation2!Z30)</f>
        <v>229130</v>
      </c>
      <c r="Y30">
        <f>IF($A30="","",Allocation2!AA30)</f>
        <v>90791</v>
      </c>
      <c r="Z30">
        <f>IF($A30="","",Allocation2!AB30)</f>
        <v>25220</v>
      </c>
      <c r="AA30">
        <f>IF($A30="","",Allocation2!AC30)</f>
        <v>534322</v>
      </c>
      <c r="AB30">
        <f>IF($A30="","",Allocation2!AD30)</f>
        <v>2891983</v>
      </c>
      <c r="AC30">
        <f>IF($A30="","",IF(ALLOC!$N$4="VOL_EFF",$G30,IF(ALLOC!$N$4="VOL_CLASS",$H30,$I30)))</f>
        <v>50</v>
      </c>
      <c r="AD30">
        <f>IF($A30="","",IF(ALLOC!$N$4="VOL_EFF",$L30,IF(ALLOC!$N$4="VOL_CLASS",$M30,$N30)))</f>
        <v>244</v>
      </c>
      <c r="AE30">
        <f>IF($A30="","",IF(ALLOC!$N$3="VOL_EFF",$L30,IF(ALLOC!$N$3="VOL_CLASS",$M30,$N30)))</f>
        <v>1755850</v>
      </c>
      <c r="AF30">
        <f>IF($A30="","",IF(ALLOC!$N$3="VOL_EFF",$Q30,IF(ALLOC!$N$3="VOL_CLASS",$R30,$S30)))</f>
        <v>6292550</v>
      </c>
      <c r="AG30">
        <f>IF($A30="","",IF(ALLOC!$N$1="VOL_EFF",$Q30,IF(ALLOC!$N$1="VOL_CLASS",$R30,$S30)))</f>
        <v>829</v>
      </c>
      <c r="AH30">
        <f>IF($A30="","",IF(ALLOC!$N$1="VOL_EFF",$T30,IF(ALLOC!$N$1="VOL_CLASS",$U30,$V30)))</f>
        <v>3036</v>
      </c>
      <c r="AI30">
        <f t="shared" si="12"/>
        <v>21127.574999999997</v>
      </c>
      <c r="AJ30">
        <f t="shared" si="13"/>
        <v>40097.75</v>
      </c>
      <c r="AK30">
        <f t="shared" si="14"/>
        <v>31214.7131147541</v>
      </c>
      <c r="AL30">
        <f t="shared" si="15"/>
        <v>109492.21311475411</v>
      </c>
      <c r="AM30">
        <f t="shared" si="16"/>
        <v>45153.291467242852</v>
      </c>
      <c r="AN30">
        <f t="shared" si="17"/>
        <v>114354.5204833849</v>
      </c>
      <c r="AO30">
        <f>IF($A30="","",Allocation2!AE30)</f>
        <v>676344</v>
      </c>
      <c r="AP30">
        <f>IF($A30="","",IF(ALLOC!$N$2="VOL_EFF",$Q30,IF(ALLOC!$N$2="VOL_CLASS",$R30,$S30)))</f>
        <v>829</v>
      </c>
      <c r="AQ30">
        <f>IF($A30="","",IF(ALLOC!$N$2="VOL_EFF",$T30,IF(ALLOC!$N$2="VOL_CLASS",$U30,$V30)))</f>
        <v>3036</v>
      </c>
      <c r="AR30">
        <f t="shared" si="18"/>
        <v>10559.936819864053</v>
      </c>
    </row>
    <row r="31" spans="1:44" x14ac:dyDescent="0.45">
      <c r="A31" t="str">
        <f>IF(Allocation2!D31="","",Allocation2!D31)</f>
        <v>2026</v>
      </c>
      <c r="B31" t="str">
        <f>IF(Allocation2!E31="","",Allocation2!E31)</f>
        <v>ISCOM_LIL</v>
      </c>
      <c r="C31" t="str">
        <f>IF(Allocation2!F31="","",Allocation2!F31)</f>
        <v>ISCOM</v>
      </c>
      <c r="D31" t="str">
        <f>IF(Allocation2!G31="","",Allocation2!G31)</f>
        <v>MAS_COM</v>
      </c>
      <c r="E31" t="str">
        <f>IF(Allocation2!H31="","",Allocation2!H31)</f>
        <v>M2</v>
      </c>
      <c r="F31" t="str">
        <f>IF(Allocation2!I31="","",Allocation2!I31)</f>
        <v>ALT</v>
      </c>
      <c r="G31">
        <f>IF(Allocation2!E31="","",Allocation2!J31)</f>
        <v>49</v>
      </c>
      <c r="H31">
        <f>IF(Allocation2!E31="","",Allocation2!K31)</f>
        <v>2</v>
      </c>
      <c r="I31">
        <f>IF(Allocation2!E31="","",Allocation2!L31)</f>
        <v>360150</v>
      </c>
      <c r="J31">
        <f>IF($A31="","",Allocation2!X31)</f>
        <v>0</v>
      </c>
      <c r="K31">
        <f t="shared" si="0"/>
        <v>840</v>
      </c>
      <c r="L31">
        <f t="shared" si="1"/>
        <v>244</v>
      </c>
      <c r="M31">
        <f t="shared" si="2"/>
        <v>10</v>
      </c>
      <c r="N31">
        <f t="shared" si="3"/>
        <v>1755850</v>
      </c>
      <c r="O31">
        <f t="shared" si="4"/>
        <v>4800</v>
      </c>
      <c r="P31">
        <f t="shared" si="5"/>
        <v>100</v>
      </c>
      <c r="Q31">
        <f t="shared" si="6"/>
        <v>829</v>
      </c>
      <c r="R31">
        <f t="shared" si="7"/>
        <v>35</v>
      </c>
      <c r="S31">
        <f t="shared" si="8"/>
        <v>6292550</v>
      </c>
      <c r="T31">
        <f t="shared" si="9"/>
        <v>3036</v>
      </c>
      <c r="U31">
        <f t="shared" si="10"/>
        <v>131</v>
      </c>
      <c r="V31">
        <f t="shared" si="11"/>
        <v>22544725</v>
      </c>
      <c r="W31">
        <f>IF($A31="","",Allocation2!Y31)</f>
        <v>120729</v>
      </c>
      <c r="X31">
        <f>IF($A31="","",Allocation2!Z31)</f>
        <v>229130</v>
      </c>
      <c r="Y31">
        <f>IF($A31="","",Allocation2!AA31)</f>
        <v>90791</v>
      </c>
      <c r="Z31">
        <f>IF($A31="","",Allocation2!AB31)</f>
        <v>25220</v>
      </c>
      <c r="AA31">
        <f>IF($A31="","",Allocation2!AC31)</f>
        <v>534322</v>
      </c>
      <c r="AB31">
        <f>IF($A31="","",Allocation2!AD31)</f>
        <v>2891983</v>
      </c>
      <c r="AC31">
        <f>IF($A31="","",IF(ALLOC!$N$4="VOL_EFF",$G31,IF(ALLOC!$N$4="VOL_CLASS",$H31,$I31)))</f>
        <v>49</v>
      </c>
      <c r="AD31">
        <f>IF($A31="","",IF(ALLOC!$N$4="VOL_EFF",$L31,IF(ALLOC!$N$4="VOL_CLASS",$M31,$N31)))</f>
        <v>244</v>
      </c>
      <c r="AE31">
        <f>IF($A31="","",IF(ALLOC!$N$3="VOL_EFF",$L31,IF(ALLOC!$N$3="VOL_CLASS",$M31,$N31)))</f>
        <v>1755850</v>
      </c>
      <c r="AF31">
        <f>IF($A31="","",IF(ALLOC!$N$3="VOL_EFF",$Q31,IF(ALLOC!$N$3="VOL_CLASS",$R31,$S31)))</f>
        <v>6292550</v>
      </c>
      <c r="AG31">
        <f>IF($A31="","",IF(ALLOC!$N$1="VOL_EFF",$Q31,IF(ALLOC!$N$1="VOL_CLASS",$R31,$S31)))</f>
        <v>829</v>
      </c>
      <c r="AH31">
        <f>IF($A31="","",IF(ALLOC!$N$1="VOL_EFF",$T31,IF(ALLOC!$N$1="VOL_CLASS",$U31,$V31)))</f>
        <v>3036</v>
      </c>
      <c r="AI31">
        <f t="shared" si="12"/>
        <v>21127.574999999997</v>
      </c>
      <c r="AJ31">
        <f t="shared" si="13"/>
        <v>40097.75</v>
      </c>
      <c r="AK31">
        <f t="shared" si="14"/>
        <v>18232.618852459018</v>
      </c>
      <c r="AL31">
        <f t="shared" si="15"/>
        <v>107302.36885245901</v>
      </c>
      <c r="AM31">
        <f t="shared" si="16"/>
        <v>44250.225637897995</v>
      </c>
      <c r="AN31">
        <f t="shared" si="17"/>
        <v>118790.7235737172</v>
      </c>
      <c r="AO31">
        <f>IF($A31="","",Allocation2!AE31)</f>
        <v>676344</v>
      </c>
      <c r="AP31">
        <f>IF($A31="","",IF(ALLOC!$N$2="VOL_EFF",$Q31,IF(ALLOC!$N$2="VOL_CLASS",$R31,$S31)))</f>
        <v>829</v>
      </c>
      <c r="AQ31">
        <f>IF($A31="","",IF(ALLOC!$N$2="VOL_EFF",$T31,IF(ALLOC!$N$2="VOL_CLASS",$U31,$V31)))</f>
        <v>3036</v>
      </c>
      <c r="AR31">
        <f t="shared" si="18"/>
        <v>10348.738083466771</v>
      </c>
    </row>
    <row r="32" spans="1:44" x14ac:dyDescent="0.45">
      <c r="A32" t="str">
        <f>IF(Allocation2!D32="","",Allocation2!D32)</f>
        <v>2026</v>
      </c>
      <c r="B32" t="str">
        <f>IF(Allocation2!E32="","",Allocation2!E32)</f>
        <v>ISCOM_TLS</v>
      </c>
      <c r="C32" t="str">
        <f>IF(Allocation2!F32="","",Allocation2!F32)</f>
        <v>ISCOM</v>
      </c>
      <c r="D32" t="str">
        <f>IF(Allocation2!G32="","",Allocation2!G32)</f>
        <v>BAC_COM</v>
      </c>
      <c r="E32" t="str">
        <f>IF(Allocation2!H32="","",Allocation2!H32)</f>
        <v>B1</v>
      </c>
      <c r="F32" t="str">
        <f>IF(Allocation2!I32="","",Allocation2!I32)</f>
        <v>INIT</v>
      </c>
      <c r="G32">
        <f>IF(Allocation2!E32="","",Allocation2!J32)</f>
        <v>47</v>
      </c>
      <c r="H32">
        <f>IF(Allocation2!E32="","",Allocation2!K32)</f>
        <v>2</v>
      </c>
      <c r="I32">
        <f>IF(Allocation2!E32="","",Allocation2!L32)</f>
        <v>342630</v>
      </c>
      <c r="J32">
        <f>IF($A32="","",Allocation2!X32)</f>
        <v>47</v>
      </c>
      <c r="K32">
        <f t="shared" si="0"/>
        <v>1200</v>
      </c>
      <c r="L32">
        <f t="shared" si="1"/>
        <v>231</v>
      </c>
      <c r="M32">
        <f t="shared" si="2"/>
        <v>10</v>
      </c>
      <c r="N32">
        <f t="shared" si="3"/>
        <v>1627980</v>
      </c>
      <c r="O32">
        <f t="shared" si="4"/>
        <v>4800</v>
      </c>
      <c r="P32">
        <f t="shared" si="5"/>
        <v>94</v>
      </c>
      <c r="Q32">
        <f t="shared" si="6"/>
        <v>829</v>
      </c>
      <c r="R32">
        <f t="shared" si="7"/>
        <v>35</v>
      </c>
      <c r="S32">
        <f t="shared" si="8"/>
        <v>6292550</v>
      </c>
      <c r="T32">
        <f t="shared" si="9"/>
        <v>3036</v>
      </c>
      <c r="U32">
        <f t="shared" si="10"/>
        <v>131</v>
      </c>
      <c r="V32">
        <f t="shared" si="11"/>
        <v>22544725</v>
      </c>
      <c r="W32">
        <f>IF($A32="","",Allocation2!Y32)</f>
        <v>120729</v>
      </c>
      <c r="X32">
        <f>IF($A32="","",Allocation2!Z32)</f>
        <v>224149</v>
      </c>
      <c r="Y32">
        <f>IF($A32="","",Allocation2!AA32)</f>
        <v>85954</v>
      </c>
      <c r="Z32">
        <f>IF($A32="","",Allocation2!AB32)</f>
        <v>22083</v>
      </c>
      <c r="AA32">
        <f>IF($A32="","",Allocation2!AC32)</f>
        <v>503990</v>
      </c>
      <c r="AB32">
        <f>IF($A32="","",Allocation2!AD32)</f>
        <v>2891983</v>
      </c>
      <c r="AC32">
        <f>IF($A32="","",IF(ALLOC!$N$4="VOL_EFF",$G32,IF(ALLOC!$N$4="VOL_CLASS",$H32,$I32)))</f>
        <v>47</v>
      </c>
      <c r="AD32">
        <f>IF($A32="","",IF(ALLOC!$N$4="VOL_EFF",$L32,IF(ALLOC!$N$4="VOL_CLASS",$M32,$N32)))</f>
        <v>231</v>
      </c>
      <c r="AE32">
        <f>IF($A32="","",IF(ALLOC!$N$3="VOL_EFF",$L32,IF(ALLOC!$N$3="VOL_CLASS",$M32,$N32)))</f>
        <v>1627980</v>
      </c>
      <c r="AF32">
        <f>IF($A32="","",IF(ALLOC!$N$3="VOL_EFF",$Q32,IF(ALLOC!$N$3="VOL_CLASS",$R32,$S32)))</f>
        <v>6292550</v>
      </c>
      <c r="AG32">
        <f>IF($A32="","",IF(ALLOC!$N$1="VOL_EFF",$Q32,IF(ALLOC!$N$1="VOL_CLASS",$R32,$S32)))</f>
        <v>829</v>
      </c>
      <c r="AH32">
        <f>IF($A32="","",IF(ALLOC!$N$1="VOL_EFF",$T32,IF(ALLOC!$N$1="VOL_CLASS",$U32,$V32)))</f>
        <v>3036</v>
      </c>
      <c r="AI32">
        <f t="shared" si="12"/>
        <v>30182.25</v>
      </c>
      <c r="AJ32">
        <f t="shared" si="13"/>
        <v>56037.25</v>
      </c>
      <c r="AK32">
        <f t="shared" si="14"/>
        <v>28529.976190476191</v>
      </c>
      <c r="AL32">
        <f t="shared" si="15"/>
        <v>102543.41991341992</v>
      </c>
      <c r="AM32">
        <f t="shared" si="16"/>
        <v>41567.773905018425</v>
      </c>
      <c r="AN32">
        <f t="shared" si="17"/>
        <v>74047.933124639268</v>
      </c>
      <c r="AO32">
        <f>IF($A32="","",Allocation2!AE32)</f>
        <v>676344</v>
      </c>
      <c r="AP32">
        <f>IF($A32="","",IF(ALLOC!$N$2="VOL_EFF",$Q32,IF(ALLOC!$N$2="VOL_CLASS",$R32,$S32)))</f>
        <v>829</v>
      </c>
      <c r="AQ32">
        <f>IF($A32="","",IF(ALLOC!$N$2="VOL_EFF",$T32,IF(ALLOC!$N$2="VOL_CLASS",$U32,$V32)))</f>
        <v>3036</v>
      </c>
      <c r="AR32">
        <f t="shared" si="18"/>
        <v>9721.3968664462354</v>
      </c>
    </row>
    <row r="33" spans="1:44" x14ac:dyDescent="0.45">
      <c r="A33" t="str">
        <f>IF(Allocation2!D33="","",Allocation2!D33)</f>
        <v>2026</v>
      </c>
      <c r="B33" t="str">
        <f>IF(Allocation2!E33="","",Allocation2!E33)</f>
        <v>ISCOM_TLS</v>
      </c>
      <c r="C33" t="str">
        <f>IF(Allocation2!F33="","",Allocation2!F33)</f>
        <v>ISCOM</v>
      </c>
      <c r="D33" t="str">
        <f>IF(Allocation2!G33="","",Allocation2!G33)</f>
        <v>BAC_COM</v>
      </c>
      <c r="E33" t="str">
        <f>IF(Allocation2!H33="","",Allocation2!H33)</f>
        <v>B2</v>
      </c>
      <c r="F33" t="str">
        <f>IF(Allocation2!I33="","",Allocation2!I33)</f>
        <v>ALT</v>
      </c>
      <c r="G33">
        <f>IF(Allocation2!E33="","",Allocation2!J33)</f>
        <v>46</v>
      </c>
      <c r="H33">
        <f>IF(Allocation2!E33="","",Allocation2!K33)</f>
        <v>2</v>
      </c>
      <c r="I33">
        <f>IF(Allocation2!E33="","",Allocation2!L33)</f>
        <v>309120</v>
      </c>
      <c r="J33">
        <f>IF($A33="","",Allocation2!X33)</f>
        <v>0</v>
      </c>
      <c r="K33">
        <f t="shared" si="0"/>
        <v>960</v>
      </c>
      <c r="L33">
        <f t="shared" si="1"/>
        <v>231</v>
      </c>
      <c r="M33">
        <f t="shared" si="2"/>
        <v>10</v>
      </c>
      <c r="N33">
        <f t="shared" si="3"/>
        <v>1627980</v>
      </c>
      <c r="O33">
        <f t="shared" si="4"/>
        <v>4800</v>
      </c>
      <c r="P33">
        <f t="shared" si="5"/>
        <v>94</v>
      </c>
      <c r="Q33">
        <f t="shared" si="6"/>
        <v>829</v>
      </c>
      <c r="R33">
        <f t="shared" si="7"/>
        <v>35</v>
      </c>
      <c r="S33">
        <f t="shared" si="8"/>
        <v>6292550</v>
      </c>
      <c r="T33">
        <f t="shared" si="9"/>
        <v>3036</v>
      </c>
      <c r="U33">
        <f t="shared" si="10"/>
        <v>131</v>
      </c>
      <c r="V33">
        <f t="shared" si="11"/>
        <v>22544725</v>
      </c>
      <c r="W33">
        <f>IF($A33="","",Allocation2!Y33)</f>
        <v>120729</v>
      </c>
      <c r="X33">
        <f>IF($A33="","",Allocation2!Z33)</f>
        <v>224149</v>
      </c>
      <c r="Y33">
        <f>IF($A33="","",Allocation2!AA33)</f>
        <v>85954</v>
      </c>
      <c r="Z33">
        <f>IF($A33="","",Allocation2!AB33)</f>
        <v>22083</v>
      </c>
      <c r="AA33">
        <f>IF($A33="","",Allocation2!AC33)</f>
        <v>503990</v>
      </c>
      <c r="AB33">
        <f>IF($A33="","",Allocation2!AD33)</f>
        <v>2891983</v>
      </c>
      <c r="AC33">
        <f>IF($A33="","",IF(ALLOC!$N$4="VOL_EFF",$G33,IF(ALLOC!$N$4="VOL_CLASS",$H33,$I33)))</f>
        <v>46</v>
      </c>
      <c r="AD33">
        <f>IF($A33="","",IF(ALLOC!$N$4="VOL_EFF",$L33,IF(ALLOC!$N$4="VOL_CLASS",$M33,$N33)))</f>
        <v>231</v>
      </c>
      <c r="AE33">
        <f>IF($A33="","",IF(ALLOC!$N$3="VOL_EFF",$L33,IF(ALLOC!$N$3="VOL_CLASS",$M33,$N33)))</f>
        <v>1627980</v>
      </c>
      <c r="AF33">
        <f>IF($A33="","",IF(ALLOC!$N$3="VOL_EFF",$Q33,IF(ALLOC!$N$3="VOL_CLASS",$R33,$S33)))</f>
        <v>6292550</v>
      </c>
      <c r="AG33">
        <f>IF($A33="","",IF(ALLOC!$N$1="VOL_EFF",$Q33,IF(ALLOC!$N$1="VOL_CLASS",$R33,$S33)))</f>
        <v>829</v>
      </c>
      <c r="AH33">
        <f>IF($A33="","",IF(ALLOC!$N$1="VOL_EFF",$T33,IF(ALLOC!$N$1="VOL_CLASS",$U33,$V33)))</f>
        <v>3036</v>
      </c>
      <c r="AI33">
        <f t="shared" si="12"/>
        <v>24145.800000000003</v>
      </c>
      <c r="AJ33">
        <f t="shared" si="13"/>
        <v>44829.8</v>
      </c>
      <c r="AK33">
        <f t="shared" si="14"/>
        <v>17116.380952380954</v>
      </c>
      <c r="AL33">
        <f t="shared" si="15"/>
        <v>100361.64502164502</v>
      </c>
      <c r="AM33">
        <f t="shared" si="16"/>
        <v>40683.353183635052</v>
      </c>
      <c r="AN33">
        <f t="shared" si="17"/>
        <v>72468.462207093718</v>
      </c>
      <c r="AO33">
        <f>IF($A33="","",Allocation2!AE33)</f>
        <v>676344</v>
      </c>
      <c r="AP33">
        <f>IF($A33="","",IF(ALLOC!$N$2="VOL_EFF",$Q33,IF(ALLOC!$N$2="VOL_CLASS",$R33,$S33)))</f>
        <v>829</v>
      </c>
      <c r="AQ33">
        <f>IF($A33="","",IF(ALLOC!$N$2="VOL_EFF",$T33,IF(ALLOC!$N$2="VOL_CLASS",$U33,$V33)))</f>
        <v>3036</v>
      </c>
      <c r="AR33">
        <f t="shared" si="18"/>
        <v>9514.5586352452519</v>
      </c>
    </row>
    <row r="34" spans="1:44" x14ac:dyDescent="0.45">
      <c r="A34" t="str">
        <f>IF(Allocation2!D34="","",Allocation2!D34)</f>
        <v>2026</v>
      </c>
      <c r="B34" t="str">
        <f>IF(Allocation2!E34="","",Allocation2!E34)</f>
        <v>ISCOM_TLS</v>
      </c>
      <c r="C34" t="str">
        <f>IF(Allocation2!F34="","",Allocation2!F34)</f>
        <v>ISCOM</v>
      </c>
      <c r="D34" t="str">
        <f>IF(Allocation2!G34="","",Allocation2!G34)</f>
        <v>BAC_COM</v>
      </c>
      <c r="E34" t="str">
        <f>IF(Allocation2!H34="","",Allocation2!H34)</f>
        <v>B3</v>
      </c>
      <c r="F34" t="str">
        <f>IF(Allocation2!I34="","",Allocation2!I34)</f>
        <v>ALT</v>
      </c>
      <c r="G34">
        <f>IF(Allocation2!E34="","",Allocation2!J34)</f>
        <v>45</v>
      </c>
      <c r="H34">
        <f>IF(Allocation2!E34="","",Allocation2!K34)</f>
        <v>2</v>
      </c>
      <c r="I34">
        <f>IF(Allocation2!E34="","",Allocation2!L34)</f>
        <v>302400</v>
      </c>
      <c r="J34">
        <f>IF($A34="","",Allocation2!X34)</f>
        <v>0</v>
      </c>
      <c r="K34">
        <f t="shared" si="0"/>
        <v>960</v>
      </c>
      <c r="L34">
        <f t="shared" ref="L34:L65" si="19">IF($A34="","",SUMIFS($G$1:$G$175,$A$1:$A$175,$A34,$B$1:$B$175,$B34))</f>
        <v>231</v>
      </c>
      <c r="M34">
        <f t="shared" ref="M34:M65" si="20">IF($A34="","",SUMIFS($H$1:$H$175,$A$1:$A$175,$A34,$B$1:$B$175,$B34))</f>
        <v>10</v>
      </c>
      <c r="N34">
        <f t="shared" ref="N34:N65" si="21">IF($A34="","",SUMIFS($I$1:$I$175,$A$1:$A$175,$A34,$B$1:$B$175,$B34))</f>
        <v>1627980</v>
      </c>
      <c r="O34">
        <f t="shared" si="4"/>
        <v>4800</v>
      </c>
      <c r="P34">
        <f t="shared" si="5"/>
        <v>94</v>
      </c>
      <c r="Q34">
        <f t="shared" ref="Q34:Q65" si="22">IF($A34="","",SUMIFS($G$1:$G$175,$A$1:$A$175,$A34,$C$1:$C$175,$C34))</f>
        <v>829</v>
      </c>
      <c r="R34">
        <f t="shared" ref="R34:R65" si="23">IF($A34="","",SUMIFS($H$1:$H$175,$A$1:$A$175,$A34,$C$1:$C$175,$C34))</f>
        <v>35</v>
      </c>
      <c r="S34">
        <f t="shared" ref="S34:S65" si="24">IF($A34="","",SUMIFS($I$1:$I$175,$A$1:$A$175,$A34,$C$1:$C$175,$C34))</f>
        <v>6292550</v>
      </c>
      <c r="T34">
        <f t="shared" ref="T34:T65" si="25">IF($A34="","",SUMIFS($G$1:$G$175,$A$1:$A$175,$A34))</f>
        <v>3036</v>
      </c>
      <c r="U34">
        <f t="shared" ref="U34:U65" si="26">IF($A34="","",SUMIFS($H$1:$H$175,$A$1:$A$175,$A34))</f>
        <v>131</v>
      </c>
      <c r="V34">
        <f t="shared" ref="V34:V65" si="27">IF($A34="","",SUMIFS($I$1:$I$175,$A$1:$A$175,$A34))</f>
        <v>22544725</v>
      </c>
      <c r="W34">
        <f>IF($A34="","",Allocation2!Y34)</f>
        <v>120729</v>
      </c>
      <c r="X34">
        <f>IF($A34="","",Allocation2!Z34)</f>
        <v>224149</v>
      </c>
      <c r="Y34">
        <f>IF($A34="","",Allocation2!AA34)</f>
        <v>85954</v>
      </c>
      <c r="Z34">
        <f>IF($A34="","",Allocation2!AB34)</f>
        <v>22083</v>
      </c>
      <c r="AA34">
        <f>IF($A34="","",Allocation2!AC34)</f>
        <v>503990</v>
      </c>
      <c r="AB34">
        <f>IF($A34="","",Allocation2!AD34)</f>
        <v>2891983</v>
      </c>
      <c r="AC34">
        <f>IF($A34="","",IF(ALLOC!$N$4="VOL_EFF",$G34,IF(ALLOC!$N$4="VOL_CLASS",$H34,$I34)))</f>
        <v>45</v>
      </c>
      <c r="AD34">
        <f>IF($A34="","",IF(ALLOC!$N$4="VOL_EFF",$L34,IF(ALLOC!$N$4="VOL_CLASS",$M34,$N34)))</f>
        <v>231</v>
      </c>
      <c r="AE34">
        <f>IF($A34="","",IF(ALLOC!$N$3="VOL_EFF",$L34,IF(ALLOC!$N$3="VOL_CLASS",$M34,$N34)))</f>
        <v>1627980</v>
      </c>
      <c r="AF34">
        <f>IF($A34="","",IF(ALLOC!$N$3="VOL_EFF",$Q34,IF(ALLOC!$N$3="VOL_CLASS",$R34,$S34)))</f>
        <v>6292550</v>
      </c>
      <c r="AG34">
        <f>IF($A34="","",IF(ALLOC!$N$1="VOL_EFF",$Q34,IF(ALLOC!$N$1="VOL_CLASS",$R34,$S34)))</f>
        <v>829</v>
      </c>
      <c r="AH34">
        <f>IF($A34="","",IF(ALLOC!$N$1="VOL_EFF",$T34,IF(ALLOC!$N$1="VOL_CLASS",$U34,$V34)))</f>
        <v>3036</v>
      </c>
      <c r="AI34">
        <f t="shared" si="12"/>
        <v>24145.800000000003</v>
      </c>
      <c r="AJ34">
        <f t="shared" si="13"/>
        <v>44829.8</v>
      </c>
      <c r="AK34">
        <f t="shared" si="14"/>
        <v>16744.285714285714</v>
      </c>
      <c r="AL34">
        <f t="shared" si="15"/>
        <v>98179.870129870134</v>
      </c>
      <c r="AM34">
        <f t="shared" si="16"/>
        <v>39798.932462251687</v>
      </c>
      <c r="AN34">
        <f t="shared" si="17"/>
        <v>69393.591289548203</v>
      </c>
      <c r="AO34">
        <f>IF($A34="","",Allocation2!AE34)</f>
        <v>676344</v>
      </c>
      <c r="AP34">
        <f>IF($A34="","",IF(ALLOC!$N$2="VOL_EFF",$Q34,IF(ALLOC!$N$2="VOL_CLASS",$R34,$S34)))</f>
        <v>829</v>
      </c>
      <c r="AQ34">
        <f>IF($A34="","",IF(ALLOC!$N$2="VOL_EFF",$T34,IF(ALLOC!$N$2="VOL_CLASS",$U34,$V34)))</f>
        <v>3036</v>
      </c>
      <c r="AR34">
        <f t="shared" si="18"/>
        <v>9307.7204040442684</v>
      </c>
    </row>
    <row r="35" spans="1:44" x14ac:dyDescent="0.45">
      <c r="A35" t="str">
        <f>IF(Allocation2!D35="","",Allocation2!D35)</f>
        <v>2026</v>
      </c>
      <c r="B35" t="str">
        <f>IF(Allocation2!E35="","",Allocation2!E35)</f>
        <v>ISCOM_TLS</v>
      </c>
      <c r="C35" t="str">
        <f>IF(Allocation2!F35="","",Allocation2!F35)</f>
        <v>ISCOM</v>
      </c>
      <c r="D35" t="str">
        <f>IF(Allocation2!G35="","",Allocation2!G35)</f>
        <v>MAS_COM</v>
      </c>
      <c r="E35" t="str">
        <f>IF(Allocation2!H35="","",Allocation2!H35)</f>
        <v>M1</v>
      </c>
      <c r="F35" t="str">
        <f>IF(Allocation2!I35="","",Allocation2!I35)</f>
        <v>ALT</v>
      </c>
      <c r="G35">
        <f>IF(Allocation2!E35="","",Allocation2!J35)</f>
        <v>47</v>
      </c>
      <c r="H35">
        <f>IF(Allocation2!E35="","",Allocation2!K35)</f>
        <v>2</v>
      </c>
      <c r="I35">
        <f>IF(Allocation2!E35="","",Allocation2!L35)</f>
        <v>342630</v>
      </c>
      <c r="J35">
        <f>IF($A35="","",Allocation2!X35)</f>
        <v>47</v>
      </c>
      <c r="K35">
        <f t="shared" si="0"/>
        <v>840</v>
      </c>
      <c r="L35">
        <f t="shared" si="19"/>
        <v>231</v>
      </c>
      <c r="M35">
        <f t="shared" si="20"/>
        <v>10</v>
      </c>
      <c r="N35">
        <f t="shared" si="21"/>
        <v>1627980</v>
      </c>
      <c r="O35">
        <f t="shared" si="4"/>
        <v>4800</v>
      </c>
      <c r="P35">
        <f t="shared" si="5"/>
        <v>94</v>
      </c>
      <c r="Q35">
        <f t="shared" si="22"/>
        <v>829</v>
      </c>
      <c r="R35">
        <f t="shared" si="23"/>
        <v>35</v>
      </c>
      <c r="S35">
        <f t="shared" si="24"/>
        <v>6292550</v>
      </c>
      <c r="T35">
        <f t="shared" si="25"/>
        <v>3036</v>
      </c>
      <c r="U35">
        <f t="shared" si="26"/>
        <v>131</v>
      </c>
      <c r="V35">
        <f t="shared" si="27"/>
        <v>22544725</v>
      </c>
      <c r="W35">
        <f>IF($A35="","",Allocation2!Y35)</f>
        <v>120729</v>
      </c>
      <c r="X35">
        <f>IF($A35="","",Allocation2!Z35)</f>
        <v>224149</v>
      </c>
      <c r="Y35">
        <f>IF($A35="","",Allocation2!AA35)</f>
        <v>85954</v>
      </c>
      <c r="Z35">
        <f>IF($A35="","",Allocation2!AB35)</f>
        <v>22083</v>
      </c>
      <c r="AA35">
        <f>IF($A35="","",Allocation2!AC35)</f>
        <v>503990</v>
      </c>
      <c r="AB35">
        <f>IF($A35="","",Allocation2!AD35)</f>
        <v>2891983</v>
      </c>
      <c r="AC35">
        <f>IF($A35="","",IF(ALLOC!$N$4="VOL_EFF",$G35,IF(ALLOC!$N$4="VOL_CLASS",$H35,$I35)))</f>
        <v>47</v>
      </c>
      <c r="AD35">
        <f>IF($A35="","",IF(ALLOC!$N$4="VOL_EFF",$L35,IF(ALLOC!$N$4="VOL_CLASS",$M35,$N35)))</f>
        <v>231</v>
      </c>
      <c r="AE35">
        <f>IF($A35="","",IF(ALLOC!$N$3="VOL_EFF",$L35,IF(ALLOC!$N$3="VOL_CLASS",$M35,$N35)))</f>
        <v>1627980</v>
      </c>
      <c r="AF35">
        <f>IF($A35="","",IF(ALLOC!$N$3="VOL_EFF",$Q35,IF(ALLOC!$N$3="VOL_CLASS",$R35,$S35)))</f>
        <v>6292550</v>
      </c>
      <c r="AG35">
        <f>IF($A35="","",IF(ALLOC!$N$1="VOL_EFF",$Q35,IF(ALLOC!$N$1="VOL_CLASS",$R35,$S35)))</f>
        <v>829</v>
      </c>
      <c r="AH35">
        <f>IF($A35="","",IF(ALLOC!$N$1="VOL_EFF",$T35,IF(ALLOC!$N$1="VOL_CLASS",$U35,$V35)))</f>
        <v>3036</v>
      </c>
      <c r="AI35">
        <f t="shared" si="12"/>
        <v>21127.574999999997</v>
      </c>
      <c r="AJ35">
        <f t="shared" si="13"/>
        <v>39226.074999999997</v>
      </c>
      <c r="AK35">
        <f t="shared" si="14"/>
        <v>28529.976190476191</v>
      </c>
      <c r="AL35">
        <f t="shared" si="15"/>
        <v>102543.41991341992</v>
      </c>
      <c r="AM35">
        <f t="shared" si="16"/>
        <v>41567.773905018425</v>
      </c>
      <c r="AN35">
        <f t="shared" si="17"/>
        <v>99913.783124639216</v>
      </c>
      <c r="AO35">
        <f>IF($A35="","",Allocation2!AE35)</f>
        <v>676344</v>
      </c>
      <c r="AP35">
        <f>IF($A35="","",IF(ALLOC!$N$2="VOL_EFF",$Q35,IF(ALLOC!$N$2="VOL_CLASS",$R35,$S35)))</f>
        <v>829</v>
      </c>
      <c r="AQ35">
        <f>IF($A35="","",IF(ALLOC!$N$2="VOL_EFF",$T35,IF(ALLOC!$N$2="VOL_CLASS",$U35,$V35)))</f>
        <v>3036</v>
      </c>
      <c r="AR35">
        <f t="shared" si="18"/>
        <v>9721.3968664462354</v>
      </c>
    </row>
    <row r="36" spans="1:44" x14ac:dyDescent="0.45">
      <c r="A36" t="str">
        <f>IF(Allocation2!D36="","",Allocation2!D36)</f>
        <v>2026</v>
      </c>
      <c r="B36" t="str">
        <f>IF(Allocation2!E36="","",Allocation2!E36)</f>
        <v>ISCOM_TLS</v>
      </c>
      <c r="C36" t="str">
        <f>IF(Allocation2!F36="","",Allocation2!F36)</f>
        <v>ISCOM</v>
      </c>
      <c r="D36" t="str">
        <f>IF(Allocation2!G36="","",Allocation2!G36)</f>
        <v>MAS_COM</v>
      </c>
      <c r="E36" t="str">
        <f>IF(Allocation2!H36="","",Allocation2!H36)</f>
        <v>M2</v>
      </c>
      <c r="F36" t="str">
        <f>IF(Allocation2!I36="","",Allocation2!I36)</f>
        <v>ALT</v>
      </c>
      <c r="G36">
        <f>IF(Allocation2!E36="","",Allocation2!J36)</f>
        <v>46</v>
      </c>
      <c r="H36">
        <f>IF(Allocation2!E36="","",Allocation2!K36)</f>
        <v>2</v>
      </c>
      <c r="I36">
        <f>IF(Allocation2!E36="","",Allocation2!L36)</f>
        <v>331200</v>
      </c>
      <c r="J36">
        <f>IF($A36="","",Allocation2!X36)</f>
        <v>0</v>
      </c>
      <c r="K36">
        <f t="shared" si="0"/>
        <v>840</v>
      </c>
      <c r="L36">
        <f t="shared" si="19"/>
        <v>231</v>
      </c>
      <c r="M36">
        <f t="shared" si="20"/>
        <v>10</v>
      </c>
      <c r="N36">
        <f t="shared" si="21"/>
        <v>1627980</v>
      </c>
      <c r="O36">
        <f t="shared" si="4"/>
        <v>4800</v>
      </c>
      <c r="P36">
        <f t="shared" si="5"/>
        <v>94</v>
      </c>
      <c r="Q36">
        <f t="shared" si="22"/>
        <v>829</v>
      </c>
      <c r="R36">
        <f t="shared" si="23"/>
        <v>35</v>
      </c>
      <c r="S36">
        <f t="shared" si="24"/>
        <v>6292550</v>
      </c>
      <c r="T36">
        <f t="shared" si="25"/>
        <v>3036</v>
      </c>
      <c r="U36">
        <f t="shared" si="26"/>
        <v>131</v>
      </c>
      <c r="V36">
        <f t="shared" si="27"/>
        <v>22544725</v>
      </c>
      <c r="W36">
        <f>IF($A36="","",Allocation2!Y36)</f>
        <v>120729</v>
      </c>
      <c r="X36">
        <f>IF($A36="","",Allocation2!Z36)</f>
        <v>224149</v>
      </c>
      <c r="Y36">
        <f>IF($A36="","",Allocation2!AA36)</f>
        <v>85954</v>
      </c>
      <c r="Z36">
        <f>IF($A36="","",Allocation2!AB36)</f>
        <v>22083</v>
      </c>
      <c r="AA36">
        <f>IF($A36="","",Allocation2!AC36)</f>
        <v>503990</v>
      </c>
      <c r="AB36">
        <f>IF($A36="","",Allocation2!AD36)</f>
        <v>2891983</v>
      </c>
      <c r="AC36">
        <f>IF($A36="","",IF(ALLOC!$N$4="VOL_EFF",$G36,IF(ALLOC!$N$4="VOL_CLASS",$H36,$I36)))</f>
        <v>46</v>
      </c>
      <c r="AD36">
        <f>IF($A36="","",IF(ALLOC!$N$4="VOL_EFF",$L36,IF(ALLOC!$N$4="VOL_CLASS",$M36,$N36)))</f>
        <v>231</v>
      </c>
      <c r="AE36">
        <f>IF($A36="","",IF(ALLOC!$N$3="VOL_EFF",$L36,IF(ALLOC!$N$3="VOL_CLASS",$M36,$N36)))</f>
        <v>1627980</v>
      </c>
      <c r="AF36">
        <f>IF($A36="","",IF(ALLOC!$N$3="VOL_EFF",$Q36,IF(ALLOC!$N$3="VOL_CLASS",$R36,$S36)))</f>
        <v>6292550</v>
      </c>
      <c r="AG36">
        <f>IF($A36="","",IF(ALLOC!$N$1="VOL_EFF",$Q36,IF(ALLOC!$N$1="VOL_CLASS",$R36,$S36)))</f>
        <v>829</v>
      </c>
      <c r="AH36">
        <f>IF($A36="","",IF(ALLOC!$N$1="VOL_EFF",$T36,IF(ALLOC!$N$1="VOL_CLASS",$U36,$V36)))</f>
        <v>3036</v>
      </c>
      <c r="AI36">
        <f t="shared" si="12"/>
        <v>21127.574999999997</v>
      </c>
      <c r="AJ36">
        <f t="shared" si="13"/>
        <v>39226.074999999997</v>
      </c>
      <c r="AK36">
        <f t="shared" si="14"/>
        <v>17116.380952380954</v>
      </c>
      <c r="AL36">
        <f t="shared" si="15"/>
        <v>100361.64502164502</v>
      </c>
      <c r="AM36">
        <f t="shared" si="16"/>
        <v>40683.353183635052</v>
      </c>
      <c r="AN36">
        <f t="shared" si="17"/>
        <v>103170.41220709373</v>
      </c>
      <c r="AO36">
        <f>IF($A36="","",Allocation2!AE36)</f>
        <v>676344</v>
      </c>
      <c r="AP36">
        <f>IF($A36="","",IF(ALLOC!$N$2="VOL_EFF",$Q36,IF(ALLOC!$N$2="VOL_CLASS",$R36,$S36)))</f>
        <v>829</v>
      </c>
      <c r="AQ36">
        <f>IF($A36="","",IF(ALLOC!$N$2="VOL_EFF",$T36,IF(ALLOC!$N$2="VOL_CLASS",$U36,$V36)))</f>
        <v>3036</v>
      </c>
      <c r="AR36">
        <f t="shared" si="18"/>
        <v>9514.5586352452519</v>
      </c>
    </row>
    <row r="37" spans="1:44" x14ac:dyDescent="0.45">
      <c r="A37" t="str">
        <f>IF(Allocation2!D37="","",Allocation2!D37)</f>
        <v>2026</v>
      </c>
      <c r="B37" t="str">
        <f>IF(Allocation2!E37="","",Allocation2!E37)</f>
        <v>IPAC_NAN</v>
      </c>
      <c r="C37" t="str">
        <f>IF(Allocation2!F37="","",Allocation2!F37)</f>
        <v>IPAC</v>
      </c>
      <c r="D37" t="str">
        <f>IF(Allocation2!G37="","",Allocation2!G37)</f>
        <v>BAC_CCE</v>
      </c>
      <c r="E37" t="str">
        <f>IF(Allocation2!H37="","",Allocation2!H37)</f>
        <v>B1</v>
      </c>
      <c r="F37" t="str">
        <f>IF(Allocation2!I37="","",Allocation2!I37)</f>
        <v>ALT</v>
      </c>
      <c r="G37">
        <f>IF(Allocation2!E37="","",Allocation2!J37)</f>
        <v>50</v>
      </c>
      <c r="H37">
        <f>IF(Allocation2!E37="","",Allocation2!K37)</f>
        <v>2</v>
      </c>
      <c r="I37">
        <f>IF(Allocation2!E37="","",Allocation2!L37)</f>
        <v>354500</v>
      </c>
      <c r="J37">
        <f>IF($A37="","",Allocation2!X37)</f>
        <v>50</v>
      </c>
      <c r="K37">
        <f t="shared" si="0"/>
        <v>960</v>
      </c>
      <c r="L37">
        <f t="shared" si="19"/>
        <v>145</v>
      </c>
      <c r="M37">
        <f t="shared" si="20"/>
        <v>6</v>
      </c>
      <c r="N37">
        <f t="shared" si="21"/>
        <v>1019500</v>
      </c>
      <c r="O37">
        <f t="shared" si="4"/>
        <v>2880</v>
      </c>
      <c r="P37">
        <f t="shared" si="5"/>
        <v>50</v>
      </c>
      <c r="Q37">
        <f t="shared" si="22"/>
        <v>379</v>
      </c>
      <c r="R37">
        <f t="shared" si="23"/>
        <v>18</v>
      </c>
      <c r="S37">
        <f t="shared" si="24"/>
        <v>2582800</v>
      </c>
      <c r="T37">
        <f t="shared" si="25"/>
        <v>3036</v>
      </c>
      <c r="U37">
        <f t="shared" si="26"/>
        <v>131</v>
      </c>
      <c r="V37">
        <f t="shared" si="27"/>
        <v>22544725</v>
      </c>
      <c r="W37">
        <f>IF($A37="","",Allocation2!Y37)</f>
        <v>72438</v>
      </c>
      <c r="X37">
        <f>IF($A37="","",Allocation2!Z37)</f>
        <v>149433</v>
      </c>
      <c r="Y37">
        <f>IF($A37="","",Allocation2!AA37)</f>
        <v>53954</v>
      </c>
      <c r="Z37">
        <f>IF($A37="","",Allocation2!AB37)</f>
        <v>21760</v>
      </c>
      <c r="AA37">
        <f>IF($A37="","",Allocation2!AC37)</f>
        <v>346231</v>
      </c>
      <c r="AB37">
        <f>IF($A37="","",Allocation2!AD37)</f>
        <v>2891983</v>
      </c>
      <c r="AC37">
        <f>IF($A37="","",IF(ALLOC!$N$4="VOL_EFF",$G37,IF(ALLOC!$N$4="VOL_CLASS",$H37,$I37)))</f>
        <v>50</v>
      </c>
      <c r="AD37">
        <f>IF($A37="","",IF(ALLOC!$N$4="VOL_EFF",$L37,IF(ALLOC!$N$4="VOL_CLASS",$M37,$N37)))</f>
        <v>145</v>
      </c>
      <c r="AE37">
        <f>IF($A37="","",IF(ALLOC!$N$3="VOL_EFF",$L37,IF(ALLOC!$N$3="VOL_CLASS",$M37,$N37)))</f>
        <v>1019500</v>
      </c>
      <c r="AF37">
        <f>IF($A37="","",IF(ALLOC!$N$3="VOL_EFF",$Q37,IF(ALLOC!$N$3="VOL_CLASS",$R37,$S37)))</f>
        <v>2582800</v>
      </c>
      <c r="AG37">
        <f>IF($A37="","",IF(ALLOC!$N$1="VOL_EFF",$Q37,IF(ALLOC!$N$1="VOL_CLASS",$R37,$S37)))</f>
        <v>379</v>
      </c>
      <c r="AH37">
        <f>IF($A37="","",IF(ALLOC!$N$1="VOL_EFF",$T37,IF(ALLOC!$N$1="VOL_CLASS",$U37,$V37)))</f>
        <v>3036</v>
      </c>
      <c r="AI37">
        <f t="shared" si="12"/>
        <v>24146</v>
      </c>
      <c r="AJ37">
        <f t="shared" si="13"/>
        <v>49811</v>
      </c>
      <c r="AK37">
        <f t="shared" si="14"/>
        <v>40364.827586206899</v>
      </c>
      <c r="AL37">
        <f t="shared" si="15"/>
        <v>119390.00000000001</v>
      </c>
      <c r="AM37">
        <f t="shared" si="16"/>
        <v>49139.601806438892</v>
      </c>
      <c r="AN37">
        <f t="shared" si="17"/>
        <v>60156.3609905708</v>
      </c>
      <c r="AO37">
        <f>IF($A37="","",Allocation2!AE37)</f>
        <v>676344</v>
      </c>
      <c r="AP37">
        <f>IF($A37="","",IF(ALLOC!$N$2="VOL_EFF",$Q37,IF(ALLOC!$N$2="VOL_CLASS",$R37,$S37)))</f>
        <v>379</v>
      </c>
      <c r="AQ37">
        <f>IF($A37="","",IF(ALLOC!$N$2="VOL_EFF",$T37,IF(ALLOC!$N$2="VOL_CLASS",$U37,$V37)))</f>
        <v>3036</v>
      </c>
      <c r="AR37">
        <f t="shared" si="18"/>
        <v>11492.209616783399</v>
      </c>
    </row>
    <row r="38" spans="1:44" x14ac:dyDescent="0.45">
      <c r="A38" t="str">
        <f>IF(Allocation2!D38="","",Allocation2!D38)</f>
        <v>2026</v>
      </c>
      <c r="B38" t="str">
        <f>IF(Allocation2!E38="","",Allocation2!E38)</f>
        <v>IPAC_NAN</v>
      </c>
      <c r="C38" t="str">
        <f>IF(Allocation2!F38="","",Allocation2!F38)</f>
        <v>IPAC</v>
      </c>
      <c r="D38" t="str">
        <f>IF(Allocation2!G38="","",Allocation2!G38)</f>
        <v>BAC_CCE</v>
      </c>
      <c r="E38" t="str">
        <f>IF(Allocation2!H38="","",Allocation2!H38)</f>
        <v>B2</v>
      </c>
      <c r="F38" t="str">
        <f>IF(Allocation2!I38="","",Allocation2!I38)</f>
        <v>ALT</v>
      </c>
      <c r="G38">
        <f>IF(Allocation2!E38="","",Allocation2!J38)</f>
        <v>48</v>
      </c>
      <c r="H38">
        <f>IF(Allocation2!E38="","",Allocation2!K38)</f>
        <v>2</v>
      </c>
      <c r="I38">
        <f>IF(Allocation2!E38="","",Allocation2!L38)</f>
        <v>336000</v>
      </c>
      <c r="J38">
        <f>IF($A38="","",Allocation2!X38)</f>
        <v>0</v>
      </c>
      <c r="K38">
        <f t="shared" si="0"/>
        <v>960</v>
      </c>
      <c r="L38">
        <f t="shared" si="19"/>
        <v>145</v>
      </c>
      <c r="M38">
        <f t="shared" si="20"/>
        <v>6</v>
      </c>
      <c r="N38">
        <f t="shared" si="21"/>
        <v>1019500</v>
      </c>
      <c r="O38">
        <f t="shared" si="4"/>
        <v>2880</v>
      </c>
      <c r="P38">
        <f t="shared" si="5"/>
        <v>50</v>
      </c>
      <c r="Q38">
        <f t="shared" si="22"/>
        <v>379</v>
      </c>
      <c r="R38">
        <f t="shared" si="23"/>
        <v>18</v>
      </c>
      <c r="S38">
        <f t="shared" si="24"/>
        <v>2582800</v>
      </c>
      <c r="T38">
        <f t="shared" si="25"/>
        <v>3036</v>
      </c>
      <c r="U38">
        <f t="shared" si="26"/>
        <v>131</v>
      </c>
      <c r="V38">
        <f t="shared" si="27"/>
        <v>22544725</v>
      </c>
      <c r="W38">
        <f>IF($A38="","",Allocation2!Y38)</f>
        <v>72438</v>
      </c>
      <c r="X38">
        <f>IF($A38="","",Allocation2!Z38)</f>
        <v>149433</v>
      </c>
      <c r="Y38">
        <f>IF($A38="","",Allocation2!AA38)</f>
        <v>53954</v>
      </c>
      <c r="Z38">
        <f>IF($A38="","",Allocation2!AB38)</f>
        <v>21760</v>
      </c>
      <c r="AA38">
        <f>IF($A38="","",Allocation2!AC38)</f>
        <v>346231</v>
      </c>
      <c r="AB38">
        <f>IF($A38="","",Allocation2!AD38)</f>
        <v>2891983</v>
      </c>
      <c r="AC38">
        <f>IF($A38="","",IF(ALLOC!$N$4="VOL_EFF",$G38,IF(ALLOC!$N$4="VOL_CLASS",$H38,$I38)))</f>
        <v>48</v>
      </c>
      <c r="AD38">
        <f>IF($A38="","",IF(ALLOC!$N$4="VOL_EFF",$L38,IF(ALLOC!$N$4="VOL_CLASS",$M38,$N38)))</f>
        <v>145</v>
      </c>
      <c r="AE38">
        <f>IF($A38="","",IF(ALLOC!$N$3="VOL_EFF",$L38,IF(ALLOC!$N$3="VOL_CLASS",$M38,$N38)))</f>
        <v>1019500</v>
      </c>
      <c r="AF38">
        <f>IF($A38="","",IF(ALLOC!$N$3="VOL_EFF",$Q38,IF(ALLOC!$N$3="VOL_CLASS",$R38,$S38)))</f>
        <v>2582800</v>
      </c>
      <c r="AG38">
        <f>IF($A38="","",IF(ALLOC!$N$1="VOL_EFF",$Q38,IF(ALLOC!$N$1="VOL_CLASS",$R38,$S38)))</f>
        <v>379</v>
      </c>
      <c r="AH38">
        <f>IF($A38="","",IF(ALLOC!$N$1="VOL_EFF",$T38,IF(ALLOC!$N$1="VOL_CLASS",$U38,$V38)))</f>
        <v>3036</v>
      </c>
      <c r="AI38">
        <f t="shared" si="12"/>
        <v>24146</v>
      </c>
      <c r="AJ38">
        <f t="shared" si="13"/>
        <v>49811</v>
      </c>
      <c r="AK38">
        <f t="shared" si="14"/>
        <v>17860.634482758622</v>
      </c>
      <c r="AL38">
        <f t="shared" si="15"/>
        <v>114614.39999999999</v>
      </c>
      <c r="AM38">
        <f t="shared" si="16"/>
        <v>47174.017734181332</v>
      </c>
      <c r="AN38">
        <f t="shared" si="17"/>
        <v>71361.426550948003</v>
      </c>
      <c r="AO38">
        <f>IF($A38="","",Allocation2!AE38)</f>
        <v>676344</v>
      </c>
      <c r="AP38">
        <f>IF($A38="","",IF(ALLOC!$N$2="VOL_EFF",$Q38,IF(ALLOC!$N$2="VOL_CLASS",$R38,$S38)))</f>
        <v>379</v>
      </c>
      <c r="AQ38">
        <f>IF($A38="","",IF(ALLOC!$N$2="VOL_EFF",$T38,IF(ALLOC!$N$2="VOL_CLASS",$U38,$V38)))</f>
        <v>3036</v>
      </c>
      <c r="AR38">
        <f t="shared" si="18"/>
        <v>11032.521232112063</v>
      </c>
    </row>
    <row r="39" spans="1:44" x14ac:dyDescent="0.45">
      <c r="A39" t="str">
        <f>IF(Allocation2!D39="","",Allocation2!D39)</f>
        <v>2026</v>
      </c>
      <c r="B39" t="str">
        <f>IF(Allocation2!E39="","",Allocation2!E39)</f>
        <v>IPAC_NAN</v>
      </c>
      <c r="C39" t="str">
        <f>IF(Allocation2!F39="","",Allocation2!F39)</f>
        <v>IPAC</v>
      </c>
      <c r="D39" t="str">
        <f>IF(Allocation2!G39="","",Allocation2!G39)</f>
        <v>BAC_CCE</v>
      </c>
      <c r="E39" t="str">
        <f>IF(Allocation2!H39="","",Allocation2!H39)</f>
        <v>B3</v>
      </c>
      <c r="F39" t="str">
        <f>IF(Allocation2!I39="","",Allocation2!I39)</f>
        <v>ALT</v>
      </c>
      <c r="G39">
        <f>IF(Allocation2!E39="","",Allocation2!J39)</f>
        <v>47</v>
      </c>
      <c r="H39">
        <f>IF(Allocation2!E39="","",Allocation2!K39)</f>
        <v>2</v>
      </c>
      <c r="I39">
        <f>IF(Allocation2!E39="","",Allocation2!L39)</f>
        <v>329000</v>
      </c>
      <c r="J39">
        <f>IF($A39="","",Allocation2!X39)</f>
        <v>0</v>
      </c>
      <c r="K39">
        <f t="shared" si="0"/>
        <v>960</v>
      </c>
      <c r="L39">
        <f t="shared" si="19"/>
        <v>145</v>
      </c>
      <c r="M39">
        <f t="shared" si="20"/>
        <v>6</v>
      </c>
      <c r="N39">
        <f t="shared" si="21"/>
        <v>1019500</v>
      </c>
      <c r="O39">
        <f t="shared" si="4"/>
        <v>2880</v>
      </c>
      <c r="P39">
        <f t="shared" si="5"/>
        <v>50</v>
      </c>
      <c r="Q39">
        <f t="shared" si="22"/>
        <v>379</v>
      </c>
      <c r="R39">
        <f t="shared" si="23"/>
        <v>18</v>
      </c>
      <c r="S39">
        <f t="shared" si="24"/>
        <v>2582800</v>
      </c>
      <c r="T39">
        <f t="shared" si="25"/>
        <v>3036</v>
      </c>
      <c r="U39">
        <f t="shared" si="26"/>
        <v>131</v>
      </c>
      <c r="V39">
        <f t="shared" si="27"/>
        <v>22544725</v>
      </c>
      <c r="W39">
        <f>IF($A39="","",Allocation2!Y39)</f>
        <v>72438</v>
      </c>
      <c r="X39">
        <f>IF($A39="","",Allocation2!Z39)</f>
        <v>149433</v>
      </c>
      <c r="Y39">
        <f>IF($A39="","",Allocation2!AA39)</f>
        <v>53954</v>
      </c>
      <c r="Z39">
        <f>IF($A39="","",Allocation2!AB39)</f>
        <v>21760</v>
      </c>
      <c r="AA39">
        <f>IF($A39="","",Allocation2!AC39)</f>
        <v>346231</v>
      </c>
      <c r="AB39">
        <f>IF($A39="","",Allocation2!AD39)</f>
        <v>2891983</v>
      </c>
      <c r="AC39">
        <f>IF($A39="","",IF(ALLOC!$N$4="VOL_EFF",$G39,IF(ALLOC!$N$4="VOL_CLASS",$H39,$I39)))</f>
        <v>47</v>
      </c>
      <c r="AD39">
        <f>IF($A39="","",IF(ALLOC!$N$4="VOL_EFF",$L39,IF(ALLOC!$N$4="VOL_CLASS",$M39,$N39)))</f>
        <v>145</v>
      </c>
      <c r="AE39">
        <f>IF($A39="","",IF(ALLOC!$N$3="VOL_EFF",$L39,IF(ALLOC!$N$3="VOL_CLASS",$M39,$N39)))</f>
        <v>1019500</v>
      </c>
      <c r="AF39">
        <f>IF($A39="","",IF(ALLOC!$N$3="VOL_EFF",$Q39,IF(ALLOC!$N$3="VOL_CLASS",$R39,$S39)))</f>
        <v>2582800</v>
      </c>
      <c r="AG39">
        <f>IF($A39="","",IF(ALLOC!$N$1="VOL_EFF",$Q39,IF(ALLOC!$N$1="VOL_CLASS",$R39,$S39)))</f>
        <v>379</v>
      </c>
      <c r="AH39">
        <f>IF($A39="","",IF(ALLOC!$N$1="VOL_EFF",$T39,IF(ALLOC!$N$1="VOL_CLASS",$U39,$V39)))</f>
        <v>3036</v>
      </c>
      <c r="AI39">
        <f t="shared" si="12"/>
        <v>24146</v>
      </c>
      <c r="AJ39">
        <f t="shared" si="13"/>
        <v>49811</v>
      </c>
      <c r="AK39">
        <f t="shared" si="14"/>
        <v>17488.537931034483</v>
      </c>
      <c r="AL39">
        <f t="shared" si="15"/>
        <v>112226.59999999999</v>
      </c>
      <c r="AM39">
        <f t="shared" si="16"/>
        <v>46191.225698052549</v>
      </c>
      <c r="AN39">
        <f t="shared" si="17"/>
        <v>68333.959331136546</v>
      </c>
      <c r="AO39">
        <f>IF($A39="","",Allocation2!AE39)</f>
        <v>676344</v>
      </c>
      <c r="AP39">
        <f>IF($A39="","",IF(ALLOC!$N$2="VOL_EFF",$Q39,IF(ALLOC!$N$2="VOL_CLASS",$R39,$S39)))</f>
        <v>379</v>
      </c>
      <c r="AQ39">
        <f>IF($A39="","",IF(ALLOC!$N$2="VOL_EFF",$T39,IF(ALLOC!$N$2="VOL_CLASS",$U39,$V39)))</f>
        <v>3036</v>
      </c>
      <c r="AR39">
        <f t="shared" si="18"/>
        <v>10802.677039776394</v>
      </c>
    </row>
    <row r="40" spans="1:44" x14ac:dyDescent="0.45">
      <c r="A40" t="str">
        <f>IF(Allocation2!D40="","",Allocation2!D40)</f>
        <v>2026</v>
      </c>
      <c r="B40" t="str">
        <f>IF(Allocation2!E40="","",Allocation2!E40)</f>
        <v>IPAC_REN</v>
      </c>
      <c r="C40" t="str">
        <f>IF(Allocation2!F40="","",Allocation2!F40)</f>
        <v>IPAC</v>
      </c>
      <c r="D40" t="str">
        <f>IF(Allocation2!G40="","",Allocation2!G40)</f>
        <v>BAC_CCE</v>
      </c>
      <c r="E40" t="str">
        <f>IF(Allocation2!H40="","",Allocation2!H40)</f>
        <v>B1</v>
      </c>
      <c r="F40" t="str">
        <f>IF(Allocation2!I40="","",Allocation2!I40)</f>
        <v>ALT</v>
      </c>
      <c r="G40">
        <f>IF(Allocation2!E40="","",Allocation2!J40)</f>
        <v>40</v>
      </c>
      <c r="H40">
        <f>IF(Allocation2!E40="","",Allocation2!K40)</f>
        <v>2</v>
      </c>
      <c r="I40">
        <f>IF(Allocation2!E40="","",Allocation2!L40)</f>
        <v>269600</v>
      </c>
      <c r="J40">
        <f>IF($A40="","",Allocation2!X40)</f>
        <v>40</v>
      </c>
      <c r="K40">
        <f t="shared" si="0"/>
        <v>960</v>
      </c>
      <c r="L40">
        <f t="shared" si="19"/>
        <v>117</v>
      </c>
      <c r="M40">
        <f t="shared" si="20"/>
        <v>6</v>
      </c>
      <c r="N40">
        <f t="shared" si="21"/>
        <v>781650</v>
      </c>
      <c r="O40">
        <f t="shared" si="4"/>
        <v>2880</v>
      </c>
      <c r="P40">
        <f t="shared" si="5"/>
        <v>40</v>
      </c>
      <c r="Q40">
        <f t="shared" si="22"/>
        <v>379</v>
      </c>
      <c r="R40">
        <f t="shared" si="23"/>
        <v>18</v>
      </c>
      <c r="S40">
        <f t="shared" si="24"/>
        <v>2582800</v>
      </c>
      <c r="T40">
        <f t="shared" si="25"/>
        <v>3036</v>
      </c>
      <c r="U40">
        <f t="shared" si="26"/>
        <v>131</v>
      </c>
      <c r="V40">
        <f t="shared" si="27"/>
        <v>22544725</v>
      </c>
      <c r="W40">
        <f>IF($A40="","",Allocation2!Y40)</f>
        <v>72438</v>
      </c>
      <c r="X40">
        <f>IF($A40="","",Allocation2!Z40)</f>
        <v>131501</v>
      </c>
      <c r="Y40">
        <f>IF($A40="","",Allocation2!AA40)</f>
        <v>43535</v>
      </c>
      <c r="Z40">
        <f>IF($A40="","",Allocation2!AB40)</f>
        <v>14933</v>
      </c>
      <c r="AA40">
        <f>IF($A40="","",Allocation2!AC40)</f>
        <v>265266</v>
      </c>
      <c r="AB40">
        <f>IF($A40="","",Allocation2!AD40)</f>
        <v>2891983</v>
      </c>
      <c r="AC40">
        <f>IF($A40="","",IF(ALLOC!$N$4="VOL_EFF",$G40,IF(ALLOC!$N$4="VOL_CLASS",$H40,$I40)))</f>
        <v>40</v>
      </c>
      <c r="AD40">
        <f>IF($A40="","",IF(ALLOC!$N$4="VOL_EFF",$L40,IF(ALLOC!$N$4="VOL_CLASS",$M40,$N40)))</f>
        <v>117</v>
      </c>
      <c r="AE40">
        <f>IF($A40="","",IF(ALLOC!$N$3="VOL_EFF",$L40,IF(ALLOC!$N$3="VOL_CLASS",$M40,$N40)))</f>
        <v>781650</v>
      </c>
      <c r="AF40">
        <f>IF($A40="","",IF(ALLOC!$N$3="VOL_EFF",$Q40,IF(ALLOC!$N$3="VOL_CLASS",$R40,$S40)))</f>
        <v>2582800</v>
      </c>
      <c r="AG40">
        <f>IF($A40="","",IF(ALLOC!$N$1="VOL_EFF",$Q40,IF(ALLOC!$N$1="VOL_CLASS",$R40,$S40)))</f>
        <v>379</v>
      </c>
      <c r="AH40">
        <f>IF($A40="","",IF(ALLOC!$N$1="VOL_EFF",$T40,IF(ALLOC!$N$1="VOL_CLASS",$U40,$V40)))</f>
        <v>3036</v>
      </c>
      <c r="AI40">
        <f t="shared" si="12"/>
        <v>24146</v>
      </c>
      <c r="AJ40">
        <f t="shared" si="13"/>
        <v>43833.666666666664</v>
      </c>
      <c r="AK40">
        <f t="shared" si="14"/>
        <v>29816.760683760684</v>
      </c>
      <c r="AL40">
        <f t="shared" si="15"/>
        <v>90689.230769230766</v>
      </c>
      <c r="AM40">
        <f t="shared" si="16"/>
        <v>37353.290252321967</v>
      </c>
      <c r="AN40">
        <f t="shared" si="17"/>
        <v>35025.290130661015</v>
      </c>
      <c r="AO40">
        <f>IF($A40="","",Allocation2!AE40)</f>
        <v>676344</v>
      </c>
      <c r="AP40">
        <f>IF($A40="","",IF(ALLOC!$N$2="VOL_EFF",$Q40,IF(ALLOC!$N$2="VOL_CLASS",$R40,$S40)))</f>
        <v>379</v>
      </c>
      <c r="AQ40">
        <f>IF($A40="","",IF(ALLOC!$N$2="VOL_EFF",$T40,IF(ALLOC!$N$2="VOL_CLASS",$U40,$V40)))</f>
        <v>3036</v>
      </c>
      <c r="AR40">
        <f t="shared" si="18"/>
        <v>8735.7614973588861</v>
      </c>
    </row>
    <row r="41" spans="1:44" x14ac:dyDescent="0.45">
      <c r="A41" t="str">
        <f>IF(Allocation2!D41="","",Allocation2!D41)</f>
        <v>2026</v>
      </c>
      <c r="B41" t="str">
        <f>IF(Allocation2!E41="","",Allocation2!E41)</f>
        <v>IPAC_REN</v>
      </c>
      <c r="C41" t="str">
        <f>IF(Allocation2!F41="","",Allocation2!F41)</f>
        <v>IPAC</v>
      </c>
      <c r="D41" t="str">
        <f>IF(Allocation2!G41="","",Allocation2!G41)</f>
        <v>BAC_CCE</v>
      </c>
      <c r="E41" t="str">
        <f>IF(Allocation2!H41="","",Allocation2!H41)</f>
        <v>B2</v>
      </c>
      <c r="F41" t="str">
        <f>IF(Allocation2!I41="","",Allocation2!I41)</f>
        <v>ALT</v>
      </c>
      <c r="G41">
        <f>IF(Allocation2!E41="","",Allocation2!J41)</f>
        <v>39</v>
      </c>
      <c r="H41">
        <f>IF(Allocation2!E41="","",Allocation2!K41)</f>
        <v>2</v>
      </c>
      <c r="I41">
        <f>IF(Allocation2!E41="","",Allocation2!L41)</f>
        <v>259350</v>
      </c>
      <c r="J41">
        <f>IF($A41="","",Allocation2!X41)</f>
        <v>0</v>
      </c>
      <c r="K41">
        <f t="shared" si="0"/>
        <v>960</v>
      </c>
      <c r="L41">
        <f t="shared" si="19"/>
        <v>117</v>
      </c>
      <c r="M41">
        <f t="shared" si="20"/>
        <v>6</v>
      </c>
      <c r="N41">
        <f t="shared" si="21"/>
        <v>781650</v>
      </c>
      <c r="O41">
        <f t="shared" si="4"/>
        <v>2880</v>
      </c>
      <c r="P41">
        <f t="shared" si="5"/>
        <v>40</v>
      </c>
      <c r="Q41">
        <f t="shared" si="22"/>
        <v>379</v>
      </c>
      <c r="R41">
        <f t="shared" si="23"/>
        <v>18</v>
      </c>
      <c r="S41">
        <f t="shared" si="24"/>
        <v>2582800</v>
      </c>
      <c r="T41">
        <f t="shared" si="25"/>
        <v>3036</v>
      </c>
      <c r="U41">
        <f t="shared" si="26"/>
        <v>131</v>
      </c>
      <c r="V41">
        <f t="shared" si="27"/>
        <v>22544725</v>
      </c>
      <c r="W41">
        <f>IF($A41="","",Allocation2!Y41)</f>
        <v>72438</v>
      </c>
      <c r="X41">
        <f>IF($A41="","",Allocation2!Z41)</f>
        <v>131501</v>
      </c>
      <c r="Y41">
        <f>IF($A41="","",Allocation2!AA41)</f>
        <v>43535</v>
      </c>
      <c r="Z41">
        <f>IF($A41="","",Allocation2!AB41)</f>
        <v>14933</v>
      </c>
      <c r="AA41">
        <f>IF($A41="","",Allocation2!AC41)</f>
        <v>265266</v>
      </c>
      <c r="AB41">
        <f>IF($A41="","",Allocation2!AD41)</f>
        <v>2891983</v>
      </c>
      <c r="AC41">
        <f>IF($A41="","",IF(ALLOC!$N$4="VOL_EFF",$G41,IF(ALLOC!$N$4="VOL_CLASS",$H41,$I41)))</f>
        <v>39</v>
      </c>
      <c r="AD41">
        <f>IF($A41="","",IF(ALLOC!$N$4="VOL_EFF",$L41,IF(ALLOC!$N$4="VOL_CLASS",$M41,$N41)))</f>
        <v>117</v>
      </c>
      <c r="AE41">
        <f>IF($A41="","",IF(ALLOC!$N$3="VOL_EFF",$L41,IF(ALLOC!$N$3="VOL_CLASS",$M41,$N41)))</f>
        <v>781650</v>
      </c>
      <c r="AF41">
        <f>IF($A41="","",IF(ALLOC!$N$3="VOL_EFF",$Q41,IF(ALLOC!$N$3="VOL_CLASS",$R41,$S41)))</f>
        <v>2582800</v>
      </c>
      <c r="AG41">
        <f>IF($A41="","",IF(ALLOC!$N$1="VOL_EFF",$Q41,IF(ALLOC!$N$1="VOL_CLASS",$R41,$S41)))</f>
        <v>379</v>
      </c>
      <c r="AH41">
        <f>IF($A41="","",IF(ALLOC!$N$1="VOL_EFF",$T41,IF(ALLOC!$N$1="VOL_CLASS",$U41,$V41)))</f>
        <v>3036</v>
      </c>
      <c r="AI41">
        <f t="shared" si="12"/>
        <v>24146</v>
      </c>
      <c r="AJ41">
        <f t="shared" si="13"/>
        <v>43833.666666666664</v>
      </c>
      <c r="AK41">
        <f t="shared" si="14"/>
        <v>14511.666666666666</v>
      </c>
      <c r="AL41">
        <f t="shared" si="15"/>
        <v>88422</v>
      </c>
      <c r="AM41">
        <f t="shared" si="16"/>
        <v>36419.457996013916</v>
      </c>
      <c r="AN41">
        <f t="shared" si="17"/>
        <v>43499.841210727842</v>
      </c>
      <c r="AO41">
        <f>IF($A41="","",Allocation2!AE41)</f>
        <v>676344</v>
      </c>
      <c r="AP41">
        <f>IF($A41="","",IF(ALLOC!$N$2="VOL_EFF",$Q41,IF(ALLOC!$N$2="VOL_CLASS",$R41,$S41)))</f>
        <v>379</v>
      </c>
      <c r="AQ41">
        <f>IF($A41="","",IF(ALLOC!$N$2="VOL_EFF",$T41,IF(ALLOC!$N$2="VOL_CLASS",$U41,$V41)))</f>
        <v>3036</v>
      </c>
      <c r="AR41">
        <f t="shared" si="18"/>
        <v>8517.3674599249134</v>
      </c>
    </row>
    <row r="42" spans="1:44" x14ac:dyDescent="0.45">
      <c r="A42" t="str">
        <f>IF(Allocation2!D42="","",Allocation2!D42)</f>
        <v>2026</v>
      </c>
      <c r="B42" t="str">
        <f>IF(Allocation2!E42="","",Allocation2!E42)</f>
        <v>IPAC_REN</v>
      </c>
      <c r="C42" t="str">
        <f>IF(Allocation2!F42="","",Allocation2!F42)</f>
        <v>IPAC</v>
      </c>
      <c r="D42" t="str">
        <f>IF(Allocation2!G42="","",Allocation2!G42)</f>
        <v>BAC_CCE</v>
      </c>
      <c r="E42" t="str">
        <f>IF(Allocation2!H42="","",Allocation2!H42)</f>
        <v>B3</v>
      </c>
      <c r="F42" t="str">
        <f>IF(Allocation2!I42="","",Allocation2!I42)</f>
        <v>ALT</v>
      </c>
      <c r="G42">
        <f>IF(Allocation2!E42="","",Allocation2!J42)</f>
        <v>38</v>
      </c>
      <c r="H42">
        <f>IF(Allocation2!E42="","",Allocation2!K42)</f>
        <v>2</v>
      </c>
      <c r="I42">
        <f>IF(Allocation2!E42="","",Allocation2!L42)</f>
        <v>252700</v>
      </c>
      <c r="J42">
        <f>IF($A42="","",Allocation2!X42)</f>
        <v>0</v>
      </c>
      <c r="K42">
        <f t="shared" si="0"/>
        <v>960</v>
      </c>
      <c r="L42">
        <f t="shared" si="19"/>
        <v>117</v>
      </c>
      <c r="M42">
        <f t="shared" si="20"/>
        <v>6</v>
      </c>
      <c r="N42">
        <f t="shared" si="21"/>
        <v>781650</v>
      </c>
      <c r="O42">
        <f t="shared" si="4"/>
        <v>2880</v>
      </c>
      <c r="P42">
        <f t="shared" si="5"/>
        <v>40</v>
      </c>
      <c r="Q42">
        <f t="shared" si="22"/>
        <v>379</v>
      </c>
      <c r="R42">
        <f t="shared" si="23"/>
        <v>18</v>
      </c>
      <c r="S42">
        <f t="shared" si="24"/>
        <v>2582800</v>
      </c>
      <c r="T42">
        <f t="shared" si="25"/>
        <v>3036</v>
      </c>
      <c r="U42">
        <f t="shared" si="26"/>
        <v>131</v>
      </c>
      <c r="V42">
        <f t="shared" si="27"/>
        <v>22544725</v>
      </c>
      <c r="W42">
        <f>IF($A42="","",Allocation2!Y42)</f>
        <v>72438</v>
      </c>
      <c r="X42">
        <f>IF($A42="","",Allocation2!Z42)</f>
        <v>131501</v>
      </c>
      <c r="Y42">
        <f>IF($A42="","",Allocation2!AA42)</f>
        <v>43535</v>
      </c>
      <c r="Z42">
        <f>IF($A42="","",Allocation2!AB42)</f>
        <v>14933</v>
      </c>
      <c r="AA42">
        <f>IF($A42="","",Allocation2!AC42)</f>
        <v>265266</v>
      </c>
      <c r="AB42">
        <f>IF($A42="","",Allocation2!AD42)</f>
        <v>2891983</v>
      </c>
      <c r="AC42">
        <f>IF($A42="","",IF(ALLOC!$N$4="VOL_EFF",$G42,IF(ALLOC!$N$4="VOL_CLASS",$H42,$I42)))</f>
        <v>38</v>
      </c>
      <c r="AD42">
        <f>IF($A42="","",IF(ALLOC!$N$4="VOL_EFF",$L42,IF(ALLOC!$N$4="VOL_CLASS",$M42,$N42)))</f>
        <v>117</v>
      </c>
      <c r="AE42">
        <f>IF($A42="","",IF(ALLOC!$N$3="VOL_EFF",$L42,IF(ALLOC!$N$3="VOL_CLASS",$M42,$N42)))</f>
        <v>781650</v>
      </c>
      <c r="AF42">
        <f>IF($A42="","",IF(ALLOC!$N$3="VOL_EFF",$Q42,IF(ALLOC!$N$3="VOL_CLASS",$R42,$S42)))</f>
        <v>2582800</v>
      </c>
      <c r="AG42">
        <f>IF($A42="","",IF(ALLOC!$N$1="VOL_EFF",$Q42,IF(ALLOC!$N$1="VOL_CLASS",$R42,$S42)))</f>
        <v>379</v>
      </c>
      <c r="AH42">
        <f>IF($A42="","",IF(ALLOC!$N$1="VOL_EFF",$T42,IF(ALLOC!$N$1="VOL_CLASS",$U42,$V42)))</f>
        <v>3036</v>
      </c>
      <c r="AI42">
        <f t="shared" si="12"/>
        <v>24146</v>
      </c>
      <c r="AJ42">
        <f t="shared" si="13"/>
        <v>43833.666666666664</v>
      </c>
      <c r="AK42">
        <f t="shared" si="14"/>
        <v>14139.57264957265</v>
      </c>
      <c r="AL42">
        <f t="shared" si="15"/>
        <v>86154.769230769234</v>
      </c>
      <c r="AM42">
        <f t="shared" si="16"/>
        <v>35485.625739705873</v>
      </c>
      <c r="AN42">
        <f t="shared" si="17"/>
        <v>40641.39229079464</v>
      </c>
      <c r="AO42">
        <f>IF($A42="","",Allocation2!AE42)</f>
        <v>676344</v>
      </c>
      <c r="AP42">
        <f>IF($A42="","",IF(ALLOC!$N$2="VOL_EFF",$Q42,IF(ALLOC!$N$2="VOL_CLASS",$R42,$S42)))</f>
        <v>379</v>
      </c>
      <c r="AQ42">
        <f>IF($A42="","",IF(ALLOC!$N$2="VOL_EFF",$T42,IF(ALLOC!$N$2="VOL_CLASS",$U42,$V42)))</f>
        <v>3036</v>
      </c>
      <c r="AR42">
        <f t="shared" si="18"/>
        <v>8298.9734224909425</v>
      </c>
    </row>
    <row r="43" spans="1:44" x14ac:dyDescent="0.45">
      <c r="A43" t="str">
        <f>IF(Allocation2!D43="","",Allocation2!D43)</f>
        <v>2026</v>
      </c>
      <c r="B43" t="str">
        <f>IF(Allocation2!E43="","",Allocation2!E43)</f>
        <v>IPAC_MTP</v>
      </c>
      <c r="C43" t="str">
        <f>IF(Allocation2!F43="","",Allocation2!F43)</f>
        <v>IPAC</v>
      </c>
      <c r="D43" t="str">
        <f>IF(Allocation2!G43="","",Allocation2!G43)</f>
        <v>BAC_CCE</v>
      </c>
      <c r="E43" t="str">
        <f>IF(Allocation2!H43="","",Allocation2!H43)</f>
        <v>B1</v>
      </c>
      <c r="F43" t="str">
        <f>IF(Allocation2!I43="","",Allocation2!I43)</f>
        <v>ALT</v>
      </c>
      <c r="G43">
        <f>IF(Allocation2!E43="","",Allocation2!J43)</f>
        <v>40</v>
      </c>
      <c r="H43">
        <f>IF(Allocation2!E43="","",Allocation2!K43)</f>
        <v>2</v>
      </c>
      <c r="I43">
        <f>IF(Allocation2!E43="","",Allocation2!L43)</f>
        <v>269600</v>
      </c>
      <c r="J43">
        <f>IF($A43="","",Allocation2!X43)</f>
        <v>40</v>
      </c>
      <c r="K43">
        <f t="shared" si="0"/>
        <v>960</v>
      </c>
      <c r="L43">
        <f t="shared" si="19"/>
        <v>117</v>
      </c>
      <c r="M43">
        <f t="shared" si="20"/>
        <v>6</v>
      </c>
      <c r="N43">
        <f t="shared" si="21"/>
        <v>781650</v>
      </c>
      <c r="O43">
        <f t="shared" si="4"/>
        <v>2880</v>
      </c>
      <c r="P43">
        <f t="shared" si="5"/>
        <v>40</v>
      </c>
      <c r="Q43">
        <f t="shared" si="22"/>
        <v>379</v>
      </c>
      <c r="R43">
        <f t="shared" si="23"/>
        <v>18</v>
      </c>
      <c r="S43">
        <f t="shared" si="24"/>
        <v>2582800</v>
      </c>
      <c r="T43">
        <f t="shared" si="25"/>
        <v>3036</v>
      </c>
      <c r="U43">
        <f t="shared" si="26"/>
        <v>131</v>
      </c>
      <c r="V43">
        <f t="shared" si="27"/>
        <v>22544725</v>
      </c>
      <c r="W43">
        <f>IF($A43="","",Allocation2!Y43)</f>
        <v>72438</v>
      </c>
      <c r="X43">
        <f>IF($A43="","",Allocation2!Z43)</f>
        <v>131501</v>
      </c>
      <c r="Y43">
        <f>IF($A43="","",Allocation2!AA43)</f>
        <v>43535</v>
      </c>
      <c r="Z43">
        <f>IF($A43="","",Allocation2!AB43)</f>
        <v>15178</v>
      </c>
      <c r="AA43">
        <f>IF($A43="","",Allocation2!AC43)</f>
        <v>265266</v>
      </c>
      <c r="AB43">
        <f>IF($A43="","",Allocation2!AD43)</f>
        <v>2891983</v>
      </c>
      <c r="AC43">
        <f>IF($A43="","",IF(ALLOC!$N$4="VOL_EFF",$G43,IF(ALLOC!$N$4="VOL_CLASS",$H43,$I43)))</f>
        <v>40</v>
      </c>
      <c r="AD43">
        <f>IF($A43="","",IF(ALLOC!$N$4="VOL_EFF",$L43,IF(ALLOC!$N$4="VOL_CLASS",$M43,$N43)))</f>
        <v>117</v>
      </c>
      <c r="AE43">
        <f>IF($A43="","",IF(ALLOC!$N$3="VOL_EFF",$L43,IF(ALLOC!$N$3="VOL_CLASS",$M43,$N43)))</f>
        <v>781650</v>
      </c>
      <c r="AF43">
        <f>IF($A43="","",IF(ALLOC!$N$3="VOL_EFF",$Q43,IF(ALLOC!$N$3="VOL_CLASS",$R43,$S43)))</f>
        <v>2582800</v>
      </c>
      <c r="AG43">
        <f>IF($A43="","",IF(ALLOC!$N$1="VOL_EFF",$Q43,IF(ALLOC!$N$1="VOL_CLASS",$R43,$S43)))</f>
        <v>379</v>
      </c>
      <c r="AH43">
        <f>IF($A43="","",IF(ALLOC!$N$1="VOL_EFF",$T43,IF(ALLOC!$N$1="VOL_CLASS",$U43,$V43)))</f>
        <v>3036</v>
      </c>
      <c r="AI43">
        <f t="shared" si="12"/>
        <v>24146</v>
      </c>
      <c r="AJ43">
        <f t="shared" si="13"/>
        <v>43833.666666666664</v>
      </c>
      <c r="AK43">
        <f t="shared" si="14"/>
        <v>30061.760683760684</v>
      </c>
      <c r="AL43">
        <f t="shared" si="15"/>
        <v>90689.230769230766</v>
      </c>
      <c r="AM43">
        <f t="shared" si="16"/>
        <v>37353.290252321967</v>
      </c>
      <c r="AN43">
        <f t="shared" si="17"/>
        <v>34780.290130661015</v>
      </c>
      <c r="AO43">
        <f>IF($A43="","",Allocation2!AE43)</f>
        <v>676344</v>
      </c>
      <c r="AP43">
        <f>IF($A43="","",IF(ALLOC!$N$2="VOL_EFF",$Q43,IF(ALLOC!$N$2="VOL_CLASS",$R43,$S43)))</f>
        <v>379</v>
      </c>
      <c r="AQ43">
        <f>IF($A43="","",IF(ALLOC!$N$2="VOL_EFF",$T43,IF(ALLOC!$N$2="VOL_CLASS",$U43,$V43)))</f>
        <v>3036</v>
      </c>
      <c r="AR43">
        <f t="shared" si="18"/>
        <v>8735.7614973588861</v>
      </c>
    </row>
    <row r="44" spans="1:44" x14ac:dyDescent="0.45">
      <c r="A44" t="str">
        <f>IF(Allocation2!D44="","",Allocation2!D44)</f>
        <v>2026</v>
      </c>
      <c r="B44" t="str">
        <f>IF(Allocation2!E44="","",Allocation2!E44)</f>
        <v>IPAC_MTP</v>
      </c>
      <c r="C44" t="str">
        <f>IF(Allocation2!F44="","",Allocation2!F44)</f>
        <v>IPAC</v>
      </c>
      <c r="D44" t="str">
        <f>IF(Allocation2!G44="","",Allocation2!G44)</f>
        <v>BAC_CCE</v>
      </c>
      <c r="E44" t="str">
        <f>IF(Allocation2!H44="","",Allocation2!H44)</f>
        <v>B2</v>
      </c>
      <c r="F44" t="str">
        <f>IF(Allocation2!I44="","",Allocation2!I44)</f>
        <v>ALT</v>
      </c>
      <c r="G44">
        <f>IF(Allocation2!E44="","",Allocation2!J44)</f>
        <v>39</v>
      </c>
      <c r="H44">
        <f>IF(Allocation2!E44="","",Allocation2!K44)</f>
        <v>2</v>
      </c>
      <c r="I44">
        <f>IF(Allocation2!E44="","",Allocation2!L44)</f>
        <v>259350</v>
      </c>
      <c r="J44">
        <f>IF($A44="","",Allocation2!X44)</f>
        <v>0</v>
      </c>
      <c r="K44">
        <f t="shared" si="0"/>
        <v>960</v>
      </c>
      <c r="L44">
        <f t="shared" si="19"/>
        <v>117</v>
      </c>
      <c r="M44">
        <f t="shared" si="20"/>
        <v>6</v>
      </c>
      <c r="N44">
        <f t="shared" si="21"/>
        <v>781650</v>
      </c>
      <c r="O44">
        <f t="shared" si="4"/>
        <v>2880</v>
      </c>
      <c r="P44">
        <f t="shared" si="5"/>
        <v>40</v>
      </c>
      <c r="Q44">
        <f t="shared" si="22"/>
        <v>379</v>
      </c>
      <c r="R44">
        <f t="shared" si="23"/>
        <v>18</v>
      </c>
      <c r="S44">
        <f t="shared" si="24"/>
        <v>2582800</v>
      </c>
      <c r="T44">
        <f t="shared" si="25"/>
        <v>3036</v>
      </c>
      <c r="U44">
        <f t="shared" si="26"/>
        <v>131</v>
      </c>
      <c r="V44">
        <f t="shared" si="27"/>
        <v>22544725</v>
      </c>
      <c r="W44">
        <f>IF($A44="","",Allocation2!Y44)</f>
        <v>72438</v>
      </c>
      <c r="X44">
        <f>IF($A44="","",Allocation2!Z44)</f>
        <v>131501</v>
      </c>
      <c r="Y44">
        <f>IF($A44="","",Allocation2!AA44)</f>
        <v>43535</v>
      </c>
      <c r="Z44">
        <f>IF($A44="","",Allocation2!AB44)</f>
        <v>15178</v>
      </c>
      <c r="AA44">
        <f>IF($A44="","",Allocation2!AC44)</f>
        <v>265266</v>
      </c>
      <c r="AB44">
        <f>IF($A44="","",Allocation2!AD44)</f>
        <v>2891983</v>
      </c>
      <c r="AC44">
        <f>IF($A44="","",IF(ALLOC!$N$4="VOL_EFF",$G44,IF(ALLOC!$N$4="VOL_CLASS",$H44,$I44)))</f>
        <v>39</v>
      </c>
      <c r="AD44">
        <f>IF($A44="","",IF(ALLOC!$N$4="VOL_EFF",$L44,IF(ALLOC!$N$4="VOL_CLASS",$M44,$N44)))</f>
        <v>117</v>
      </c>
      <c r="AE44">
        <f>IF($A44="","",IF(ALLOC!$N$3="VOL_EFF",$L44,IF(ALLOC!$N$3="VOL_CLASS",$M44,$N44)))</f>
        <v>781650</v>
      </c>
      <c r="AF44">
        <f>IF($A44="","",IF(ALLOC!$N$3="VOL_EFF",$Q44,IF(ALLOC!$N$3="VOL_CLASS",$R44,$S44)))</f>
        <v>2582800</v>
      </c>
      <c r="AG44">
        <f>IF($A44="","",IF(ALLOC!$N$1="VOL_EFF",$Q44,IF(ALLOC!$N$1="VOL_CLASS",$R44,$S44)))</f>
        <v>379</v>
      </c>
      <c r="AH44">
        <f>IF($A44="","",IF(ALLOC!$N$1="VOL_EFF",$T44,IF(ALLOC!$N$1="VOL_CLASS",$U44,$V44)))</f>
        <v>3036</v>
      </c>
      <c r="AI44">
        <f t="shared" si="12"/>
        <v>24146</v>
      </c>
      <c r="AJ44">
        <f t="shared" si="13"/>
        <v>43833.666666666664</v>
      </c>
      <c r="AK44">
        <f t="shared" si="14"/>
        <v>14511.666666666666</v>
      </c>
      <c r="AL44">
        <f t="shared" si="15"/>
        <v>88422</v>
      </c>
      <c r="AM44">
        <f t="shared" si="16"/>
        <v>36419.457996013916</v>
      </c>
      <c r="AN44">
        <f t="shared" si="17"/>
        <v>43499.841210727842</v>
      </c>
      <c r="AO44">
        <f>IF($A44="","",Allocation2!AE44)</f>
        <v>676344</v>
      </c>
      <c r="AP44">
        <f>IF($A44="","",IF(ALLOC!$N$2="VOL_EFF",$Q44,IF(ALLOC!$N$2="VOL_CLASS",$R44,$S44)))</f>
        <v>379</v>
      </c>
      <c r="AQ44">
        <f>IF($A44="","",IF(ALLOC!$N$2="VOL_EFF",$T44,IF(ALLOC!$N$2="VOL_CLASS",$U44,$V44)))</f>
        <v>3036</v>
      </c>
      <c r="AR44">
        <f t="shared" si="18"/>
        <v>8517.3674599249134</v>
      </c>
    </row>
    <row r="45" spans="1:44" x14ac:dyDescent="0.45">
      <c r="A45" t="str">
        <f>IF(Allocation2!D45="","",Allocation2!D45)</f>
        <v>2026</v>
      </c>
      <c r="B45" t="str">
        <f>IF(Allocation2!E45="","",Allocation2!E45)</f>
        <v>IPAC_MTP</v>
      </c>
      <c r="C45" t="str">
        <f>IF(Allocation2!F45="","",Allocation2!F45)</f>
        <v>IPAC</v>
      </c>
      <c r="D45" t="str">
        <f>IF(Allocation2!G45="","",Allocation2!G45)</f>
        <v>BAC_CCE</v>
      </c>
      <c r="E45" t="str">
        <f>IF(Allocation2!H45="","",Allocation2!H45)</f>
        <v>B3</v>
      </c>
      <c r="F45" t="str">
        <f>IF(Allocation2!I45="","",Allocation2!I45)</f>
        <v>ALT</v>
      </c>
      <c r="G45">
        <f>IF(Allocation2!E45="","",Allocation2!J45)</f>
        <v>38</v>
      </c>
      <c r="H45">
        <f>IF(Allocation2!E45="","",Allocation2!K45)</f>
        <v>2</v>
      </c>
      <c r="I45">
        <f>IF(Allocation2!E45="","",Allocation2!L45)</f>
        <v>252700</v>
      </c>
      <c r="J45">
        <f>IF($A45="","",Allocation2!X45)</f>
        <v>0</v>
      </c>
      <c r="K45">
        <f t="shared" si="0"/>
        <v>960</v>
      </c>
      <c r="L45">
        <f t="shared" si="19"/>
        <v>117</v>
      </c>
      <c r="M45">
        <f t="shared" si="20"/>
        <v>6</v>
      </c>
      <c r="N45">
        <f t="shared" si="21"/>
        <v>781650</v>
      </c>
      <c r="O45">
        <f t="shared" si="4"/>
        <v>2880</v>
      </c>
      <c r="P45">
        <f t="shared" si="5"/>
        <v>40</v>
      </c>
      <c r="Q45">
        <f t="shared" si="22"/>
        <v>379</v>
      </c>
      <c r="R45">
        <f t="shared" si="23"/>
        <v>18</v>
      </c>
      <c r="S45">
        <f t="shared" si="24"/>
        <v>2582800</v>
      </c>
      <c r="T45">
        <f t="shared" si="25"/>
        <v>3036</v>
      </c>
      <c r="U45">
        <f t="shared" si="26"/>
        <v>131</v>
      </c>
      <c r="V45">
        <f t="shared" si="27"/>
        <v>22544725</v>
      </c>
      <c r="W45">
        <f>IF($A45="","",Allocation2!Y45)</f>
        <v>72438</v>
      </c>
      <c r="X45">
        <f>IF($A45="","",Allocation2!Z45)</f>
        <v>131501</v>
      </c>
      <c r="Y45">
        <f>IF($A45="","",Allocation2!AA45)</f>
        <v>43535</v>
      </c>
      <c r="Z45">
        <f>IF($A45="","",Allocation2!AB45)</f>
        <v>15178</v>
      </c>
      <c r="AA45">
        <f>IF($A45="","",Allocation2!AC45)</f>
        <v>265266</v>
      </c>
      <c r="AB45">
        <f>IF($A45="","",Allocation2!AD45)</f>
        <v>2891983</v>
      </c>
      <c r="AC45">
        <f>IF($A45="","",IF(ALLOC!$N$4="VOL_EFF",$G45,IF(ALLOC!$N$4="VOL_CLASS",$H45,$I45)))</f>
        <v>38</v>
      </c>
      <c r="AD45">
        <f>IF($A45="","",IF(ALLOC!$N$4="VOL_EFF",$L45,IF(ALLOC!$N$4="VOL_CLASS",$M45,$N45)))</f>
        <v>117</v>
      </c>
      <c r="AE45">
        <f>IF($A45="","",IF(ALLOC!$N$3="VOL_EFF",$L45,IF(ALLOC!$N$3="VOL_CLASS",$M45,$N45)))</f>
        <v>781650</v>
      </c>
      <c r="AF45">
        <f>IF($A45="","",IF(ALLOC!$N$3="VOL_EFF",$Q45,IF(ALLOC!$N$3="VOL_CLASS",$R45,$S45)))</f>
        <v>2582800</v>
      </c>
      <c r="AG45">
        <f>IF($A45="","",IF(ALLOC!$N$1="VOL_EFF",$Q45,IF(ALLOC!$N$1="VOL_CLASS",$R45,$S45)))</f>
        <v>379</v>
      </c>
      <c r="AH45">
        <f>IF($A45="","",IF(ALLOC!$N$1="VOL_EFF",$T45,IF(ALLOC!$N$1="VOL_CLASS",$U45,$V45)))</f>
        <v>3036</v>
      </c>
      <c r="AI45">
        <f t="shared" si="12"/>
        <v>24146</v>
      </c>
      <c r="AJ45">
        <f t="shared" si="13"/>
        <v>43833.666666666664</v>
      </c>
      <c r="AK45">
        <f t="shared" si="14"/>
        <v>14139.57264957265</v>
      </c>
      <c r="AL45">
        <f t="shared" si="15"/>
        <v>86154.769230769234</v>
      </c>
      <c r="AM45">
        <f t="shared" si="16"/>
        <v>35485.625739705873</v>
      </c>
      <c r="AN45">
        <f t="shared" si="17"/>
        <v>40641.39229079464</v>
      </c>
      <c r="AO45">
        <f>IF($A45="","",Allocation2!AE45)</f>
        <v>676344</v>
      </c>
      <c r="AP45">
        <f>IF($A45="","",IF(ALLOC!$N$2="VOL_EFF",$Q45,IF(ALLOC!$N$2="VOL_CLASS",$R45,$S45)))</f>
        <v>379</v>
      </c>
      <c r="AQ45">
        <f>IF($A45="","",IF(ALLOC!$N$2="VOL_EFF",$T45,IF(ALLOC!$N$2="VOL_CLASS",$U45,$V45)))</f>
        <v>3036</v>
      </c>
      <c r="AR45">
        <f t="shared" si="18"/>
        <v>8298.9734224909425</v>
      </c>
    </row>
    <row r="46" spans="1:44" x14ac:dyDescent="0.45">
      <c r="A46" t="str">
        <f>IF(Allocation2!D46="","",Allocation2!D46)</f>
        <v>2026</v>
      </c>
      <c r="B46" t="str">
        <f>IF(Allocation2!E46="","",Allocation2!E46)</f>
        <v>PIGIER_LYO</v>
      </c>
      <c r="C46" t="str">
        <f>IF(Allocation2!F46="","",Allocation2!F46)</f>
        <v>PIGIER</v>
      </c>
      <c r="D46" t="str">
        <f>IF(Allocation2!G46="","",Allocation2!G46)</f>
        <v>BTS_GES</v>
      </c>
      <c r="E46" t="str">
        <f>IF(Allocation2!H46="","",Allocation2!H46)</f>
        <v>BTS1</v>
      </c>
      <c r="F46" t="str">
        <f>IF(Allocation2!I46="","",Allocation2!I46)</f>
        <v>ALT</v>
      </c>
      <c r="G46">
        <f>IF(Allocation2!E46="","",Allocation2!J46)</f>
        <v>46</v>
      </c>
      <c r="H46">
        <f>IF(Allocation2!E46="","",Allocation2!K46)</f>
        <v>2</v>
      </c>
      <c r="I46">
        <f>IF(Allocation2!E46="","",Allocation2!L46)</f>
        <v>293940</v>
      </c>
      <c r="J46">
        <f>IF($A46="","",Allocation2!X46)</f>
        <v>46</v>
      </c>
      <c r="K46">
        <f t="shared" si="0"/>
        <v>1400</v>
      </c>
      <c r="L46">
        <f t="shared" si="19"/>
        <v>182</v>
      </c>
      <c r="M46">
        <f t="shared" si="20"/>
        <v>8</v>
      </c>
      <c r="N46">
        <f t="shared" si="21"/>
        <v>1250430</v>
      </c>
      <c r="O46">
        <f t="shared" si="4"/>
        <v>4720</v>
      </c>
      <c r="P46">
        <f t="shared" si="5"/>
        <v>92</v>
      </c>
      <c r="Q46">
        <f t="shared" si="22"/>
        <v>324</v>
      </c>
      <c r="R46">
        <f t="shared" si="23"/>
        <v>16</v>
      </c>
      <c r="S46">
        <f t="shared" si="24"/>
        <v>2152220</v>
      </c>
      <c r="T46">
        <f t="shared" si="25"/>
        <v>3036</v>
      </c>
      <c r="U46">
        <f t="shared" si="26"/>
        <v>131</v>
      </c>
      <c r="V46">
        <f t="shared" si="27"/>
        <v>22544725</v>
      </c>
      <c r="W46">
        <f>IF($A46="","",Allocation2!Y46)</f>
        <v>96583</v>
      </c>
      <c r="X46">
        <f>IF($A46="","",Allocation2!Z46)</f>
        <v>223153</v>
      </c>
      <c r="Y46">
        <f>IF($A46="","",Allocation2!AA46)</f>
        <v>67722</v>
      </c>
      <c r="Z46">
        <f>IF($A46="","",Allocation2!AB46)</f>
        <v>36612</v>
      </c>
      <c r="AA46">
        <f>IF($A46="","",Allocation2!AC46)</f>
        <v>496734</v>
      </c>
      <c r="AB46">
        <f>IF($A46="","",Allocation2!AD46)</f>
        <v>2891983</v>
      </c>
      <c r="AC46">
        <f>IF($A46="","",IF(ALLOC!$N$4="VOL_EFF",$G46,IF(ALLOC!$N$4="VOL_CLASS",$H46,$I46)))</f>
        <v>46</v>
      </c>
      <c r="AD46">
        <f>IF($A46="","",IF(ALLOC!$N$4="VOL_EFF",$L46,IF(ALLOC!$N$4="VOL_CLASS",$M46,$N46)))</f>
        <v>182</v>
      </c>
      <c r="AE46">
        <f>IF($A46="","",IF(ALLOC!$N$3="VOL_EFF",$L46,IF(ALLOC!$N$3="VOL_CLASS",$M46,$N46)))</f>
        <v>1250430</v>
      </c>
      <c r="AF46">
        <f>IF($A46="","",IF(ALLOC!$N$3="VOL_EFF",$Q46,IF(ALLOC!$N$3="VOL_CLASS",$R46,$S46)))</f>
        <v>2152220</v>
      </c>
      <c r="AG46">
        <f>IF($A46="","",IF(ALLOC!$N$1="VOL_EFF",$Q46,IF(ALLOC!$N$1="VOL_CLASS",$R46,$S46)))</f>
        <v>324</v>
      </c>
      <c r="AH46">
        <f>IF($A46="","",IF(ALLOC!$N$1="VOL_EFF",$T46,IF(ALLOC!$N$1="VOL_CLASS",$U46,$V46)))</f>
        <v>3036</v>
      </c>
      <c r="AI46">
        <f t="shared" si="12"/>
        <v>28647.5</v>
      </c>
      <c r="AJ46">
        <f t="shared" si="13"/>
        <v>66189.449152542365</v>
      </c>
      <c r="AK46">
        <f t="shared" si="14"/>
        <v>35422.54945054945</v>
      </c>
      <c r="AL46">
        <f t="shared" si="15"/>
        <v>125548.15384615384</v>
      </c>
      <c r="AM46">
        <f t="shared" si="16"/>
        <v>45320.86018665335</v>
      </c>
      <c r="AN46">
        <f t="shared" si="17"/>
        <v>-17787.638516681094</v>
      </c>
      <c r="AO46">
        <f>IF($A46="","",Allocation2!AE46)</f>
        <v>676344</v>
      </c>
      <c r="AP46">
        <f>IF($A46="","",IF(ALLOC!$N$2="VOL_EFF",$Q46,IF(ALLOC!$N$2="VOL_CLASS",$R46,$S46)))</f>
        <v>324</v>
      </c>
      <c r="AQ46">
        <f>IF($A46="","",IF(ALLOC!$N$2="VOL_EFF",$T46,IF(ALLOC!$N$2="VOL_CLASS",$U46,$V46)))</f>
        <v>3036</v>
      </c>
      <c r="AR46">
        <f t="shared" si="18"/>
        <v>10599.125880782107</v>
      </c>
    </row>
    <row r="47" spans="1:44" x14ac:dyDescent="0.45">
      <c r="A47" t="str">
        <f>IF(Allocation2!D47="","",Allocation2!D47)</f>
        <v>2026</v>
      </c>
      <c r="B47" t="str">
        <f>IF(Allocation2!E47="","",Allocation2!E47)</f>
        <v>PIGIER_LYO</v>
      </c>
      <c r="C47" t="str">
        <f>IF(Allocation2!F47="","",Allocation2!F47)</f>
        <v>PIGIER</v>
      </c>
      <c r="D47" t="str">
        <f>IF(Allocation2!G47="","",Allocation2!G47)</f>
        <v>BTS_GES</v>
      </c>
      <c r="E47" t="str">
        <f>IF(Allocation2!H47="","",Allocation2!H47)</f>
        <v>BTS2</v>
      </c>
      <c r="F47" t="str">
        <f>IF(Allocation2!I47="","",Allocation2!I47)</f>
        <v>ALT</v>
      </c>
      <c r="G47">
        <f>IF(Allocation2!E47="","",Allocation2!J47)</f>
        <v>45</v>
      </c>
      <c r="H47">
        <f>IF(Allocation2!E47="","",Allocation2!K47)</f>
        <v>2</v>
      </c>
      <c r="I47">
        <f>IF(Allocation2!E47="","",Allocation2!L47)</f>
        <v>283500</v>
      </c>
      <c r="J47">
        <f>IF($A47="","",Allocation2!X47)</f>
        <v>0</v>
      </c>
      <c r="K47">
        <f t="shared" si="0"/>
        <v>1400</v>
      </c>
      <c r="L47">
        <f t="shared" si="19"/>
        <v>182</v>
      </c>
      <c r="M47">
        <f t="shared" si="20"/>
        <v>8</v>
      </c>
      <c r="N47">
        <f t="shared" si="21"/>
        <v>1250430</v>
      </c>
      <c r="O47">
        <f t="shared" si="4"/>
        <v>4720</v>
      </c>
      <c r="P47">
        <f t="shared" si="5"/>
        <v>92</v>
      </c>
      <c r="Q47">
        <f t="shared" si="22"/>
        <v>324</v>
      </c>
      <c r="R47">
        <f t="shared" si="23"/>
        <v>16</v>
      </c>
      <c r="S47">
        <f t="shared" si="24"/>
        <v>2152220</v>
      </c>
      <c r="T47">
        <f t="shared" si="25"/>
        <v>3036</v>
      </c>
      <c r="U47">
        <f t="shared" si="26"/>
        <v>131</v>
      </c>
      <c r="V47">
        <f t="shared" si="27"/>
        <v>22544725</v>
      </c>
      <c r="W47">
        <f>IF($A47="","",Allocation2!Y47)</f>
        <v>96583</v>
      </c>
      <c r="X47">
        <f>IF($A47="","",Allocation2!Z47)</f>
        <v>223153</v>
      </c>
      <c r="Y47">
        <f>IF($A47="","",Allocation2!AA47)</f>
        <v>67722</v>
      </c>
      <c r="Z47">
        <f>IF($A47="","",Allocation2!AB47)</f>
        <v>36612</v>
      </c>
      <c r="AA47">
        <f>IF($A47="","",Allocation2!AC47)</f>
        <v>496734</v>
      </c>
      <c r="AB47">
        <f>IF($A47="","",Allocation2!AD47)</f>
        <v>2891983</v>
      </c>
      <c r="AC47">
        <f>IF($A47="","",IF(ALLOC!$N$4="VOL_EFF",$G47,IF(ALLOC!$N$4="VOL_CLASS",$H47,$I47)))</f>
        <v>45</v>
      </c>
      <c r="AD47">
        <f>IF($A47="","",IF(ALLOC!$N$4="VOL_EFF",$L47,IF(ALLOC!$N$4="VOL_CLASS",$M47,$N47)))</f>
        <v>182</v>
      </c>
      <c r="AE47">
        <f>IF($A47="","",IF(ALLOC!$N$3="VOL_EFF",$L47,IF(ALLOC!$N$3="VOL_CLASS",$M47,$N47)))</f>
        <v>1250430</v>
      </c>
      <c r="AF47">
        <f>IF($A47="","",IF(ALLOC!$N$3="VOL_EFF",$Q47,IF(ALLOC!$N$3="VOL_CLASS",$R47,$S47)))</f>
        <v>2152220</v>
      </c>
      <c r="AG47">
        <f>IF($A47="","",IF(ALLOC!$N$1="VOL_EFF",$Q47,IF(ALLOC!$N$1="VOL_CLASS",$R47,$S47)))</f>
        <v>324</v>
      </c>
      <c r="AH47">
        <f>IF($A47="","",IF(ALLOC!$N$1="VOL_EFF",$T47,IF(ALLOC!$N$1="VOL_CLASS",$U47,$V47)))</f>
        <v>3036</v>
      </c>
      <c r="AI47">
        <f t="shared" si="12"/>
        <v>28647.5</v>
      </c>
      <c r="AJ47">
        <f t="shared" si="13"/>
        <v>66189.449152542365</v>
      </c>
      <c r="AK47">
        <f t="shared" si="14"/>
        <v>16744.45054945055</v>
      </c>
      <c r="AL47">
        <f t="shared" si="15"/>
        <v>122818.84615384616</v>
      </c>
      <c r="AM47">
        <f t="shared" si="16"/>
        <v>44335.624095639148</v>
      </c>
      <c r="AN47">
        <f t="shared" si="17"/>
        <v>-5604.5800522433128</v>
      </c>
      <c r="AO47">
        <f>IF($A47="","",Allocation2!AE47)</f>
        <v>676344</v>
      </c>
      <c r="AP47">
        <f>IF($A47="","",IF(ALLOC!$N$2="VOL_EFF",$Q47,IF(ALLOC!$N$2="VOL_CLASS",$R47,$S47)))</f>
        <v>324</v>
      </c>
      <c r="AQ47">
        <f>IF($A47="","",IF(ALLOC!$N$2="VOL_EFF",$T47,IF(ALLOC!$N$2="VOL_CLASS",$U47,$V47)))</f>
        <v>3036</v>
      </c>
      <c r="AR47">
        <f t="shared" si="18"/>
        <v>10368.710100765104</v>
      </c>
    </row>
    <row r="48" spans="1:44" x14ac:dyDescent="0.45">
      <c r="A48" t="str">
        <f>IF(Allocation2!D48="","",Allocation2!D48)</f>
        <v>2026</v>
      </c>
      <c r="B48" t="str">
        <f>IF(Allocation2!E48="","",Allocation2!E48)</f>
        <v>PIGIER_LYO</v>
      </c>
      <c r="C48" t="str">
        <f>IF(Allocation2!F48="","",Allocation2!F48)</f>
        <v>PIGIER</v>
      </c>
      <c r="D48" t="str">
        <f>IF(Allocation2!G48="","",Allocation2!G48)</f>
        <v>BAC_RH</v>
      </c>
      <c r="E48" t="str">
        <f>IF(Allocation2!H48="","",Allocation2!H48)</f>
        <v>B1</v>
      </c>
      <c r="F48" t="str">
        <f>IF(Allocation2!I48="","",Allocation2!I48)</f>
        <v>ALT</v>
      </c>
      <c r="G48">
        <f>IF(Allocation2!E48="","",Allocation2!J48)</f>
        <v>46</v>
      </c>
      <c r="H48">
        <f>IF(Allocation2!E48="","",Allocation2!K48)</f>
        <v>2</v>
      </c>
      <c r="I48">
        <f>IF(Allocation2!E48="","",Allocation2!L48)</f>
        <v>342240</v>
      </c>
      <c r="J48">
        <f>IF($A48="","",Allocation2!X48)</f>
        <v>46</v>
      </c>
      <c r="K48">
        <f t="shared" si="0"/>
        <v>960</v>
      </c>
      <c r="L48">
        <f t="shared" si="19"/>
        <v>182</v>
      </c>
      <c r="M48">
        <f t="shared" si="20"/>
        <v>8</v>
      </c>
      <c r="N48">
        <f t="shared" si="21"/>
        <v>1250430</v>
      </c>
      <c r="O48">
        <f t="shared" si="4"/>
        <v>4720</v>
      </c>
      <c r="P48">
        <f t="shared" si="5"/>
        <v>92</v>
      </c>
      <c r="Q48">
        <f t="shared" si="22"/>
        <v>324</v>
      </c>
      <c r="R48">
        <f t="shared" si="23"/>
        <v>16</v>
      </c>
      <c r="S48">
        <f t="shared" si="24"/>
        <v>2152220</v>
      </c>
      <c r="T48">
        <f t="shared" si="25"/>
        <v>3036</v>
      </c>
      <c r="U48">
        <f t="shared" si="26"/>
        <v>131</v>
      </c>
      <c r="V48">
        <f t="shared" si="27"/>
        <v>22544725</v>
      </c>
      <c r="W48">
        <f>IF($A48="","",Allocation2!Y48)</f>
        <v>96583</v>
      </c>
      <c r="X48">
        <f>IF($A48="","",Allocation2!Z48)</f>
        <v>223153</v>
      </c>
      <c r="Y48">
        <f>IF($A48="","",Allocation2!AA48)</f>
        <v>67722</v>
      </c>
      <c r="Z48">
        <f>IF($A48="","",Allocation2!AB48)</f>
        <v>36612</v>
      </c>
      <c r="AA48">
        <f>IF($A48="","",Allocation2!AC48)</f>
        <v>496734</v>
      </c>
      <c r="AB48">
        <f>IF($A48="","",Allocation2!AD48)</f>
        <v>2891983</v>
      </c>
      <c r="AC48">
        <f>IF($A48="","",IF(ALLOC!$N$4="VOL_EFF",$G48,IF(ALLOC!$N$4="VOL_CLASS",$H48,$I48)))</f>
        <v>46</v>
      </c>
      <c r="AD48">
        <f>IF($A48="","",IF(ALLOC!$N$4="VOL_EFF",$L48,IF(ALLOC!$N$4="VOL_CLASS",$M48,$N48)))</f>
        <v>182</v>
      </c>
      <c r="AE48">
        <f>IF($A48="","",IF(ALLOC!$N$3="VOL_EFF",$L48,IF(ALLOC!$N$3="VOL_CLASS",$M48,$N48)))</f>
        <v>1250430</v>
      </c>
      <c r="AF48">
        <f>IF($A48="","",IF(ALLOC!$N$3="VOL_EFF",$Q48,IF(ALLOC!$N$3="VOL_CLASS",$R48,$S48)))</f>
        <v>2152220</v>
      </c>
      <c r="AG48">
        <f>IF($A48="","",IF(ALLOC!$N$1="VOL_EFF",$Q48,IF(ALLOC!$N$1="VOL_CLASS",$R48,$S48)))</f>
        <v>324</v>
      </c>
      <c r="AH48">
        <f>IF($A48="","",IF(ALLOC!$N$1="VOL_EFF",$T48,IF(ALLOC!$N$1="VOL_CLASS",$U48,$V48)))</f>
        <v>3036</v>
      </c>
      <c r="AI48">
        <f t="shared" si="12"/>
        <v>19644</v>
      </c>
      <c r="AJ48">
        <f t="shared" si="13"/>
        <v>45387.050847457627</v>
      </c>
      <c r="AK48">
        <f t="shared" si="14"/>
        <v>35422.54945054945</v>
      </c>
      <c r="AL48">
        <f t="shared" si="15"/>
        <v>125548.15384615384</v>
      </c>
      <c r="AM48">
        <f t="shared" si="16"/>
        <v>45320.86018665335</v>
      </c>
      <c r="AN48">
        <f t="shared" si="17"/>
        <v>60318.259788403637</v>
      </c>
      <c r="AO48">
        <f>IF($A48="","",Allocation2!AE48)</f>
        <v>676344</v>
      </c>
      <c r="AP48">
        <f>IF($A48="","",IF(ALLOC!$N$2="VOL_EFF",$Q48,IF(ALLOC!$N$2="VOL_CLASS",$R48,$S48)))</f>
        <v>324</v>
      </c>
      <c r="AQ48">
        <f>IF($A48="","",IF(ALLOC!$N$2="VOL_EFF",$T48,IF(ALLOC!$N$2="VOL_CLASS",$U48,$V48)))</f>
        <v>3036</v>
      </c>
      <c r="AR48">
        <f t="shared" si="18"/>
        <v>10599.125880782107</v>
      </c>
    </row>
    <row r="49" spans="1:44" x14ac:dyDescent="0.45">
      <c r="A49" t="str">
        <f>IF(Allocation2!D49="","",Allocation2!D49)</f>
        <v>2026</v>
      </c>
      <c r="B49" t="str">
        <f>IF(Allocation2!E49="","",Allocation2!E49)</f>
        <v>PIGIER_LYO</v>
      </c>
      <c r="C49" t="str">
        <f>IF(Allocation2!F49="","",Allocation2!F49)</f>
        <v>PIGIER</v>
      </c>
      <c r="D49" t="str">
        <f>IF(Allocation2!G49="","",Allocation2!G49)</f>
        <v>BAC_RH</v>
      </c>
      <c r="E49" t="str">
        <f>IF(Allocation2!H49="","",Allocation2!H49)</f>
        <v>B3</v>
      </c>
      <c r="F49" t="str">
        <f>IF(Allocation2!I49="","",Allocation2!I49)</f>
        <v>ALT</v>
      </c>
      <c r="G49">
        <f>IF(Allocation2!E49="","",Allocation2!J49)</f>
        <v>45</v>
      </c>
      <c r="H49">
        <f>IF(Allocation2!E49="","",Allocation2!K49)</f>
        <v>2</v>
      </c>
      <c r="I49">
        <f>IF(Allocation2!E49="","",Allocation2!L49)</f>
        <v>330750</v>
      </c>
      <c r="J49">
        <f>IF($A49="","",Allocation2!X49)</f>
        <v>0</v>
      </c>
      <c r="K49">
        <f t="shared" si="0"/>
        <v>960</v>
      </c>
      <c r="L49">
        <f t="shared" si="19"/>
        <v>182</v>
      </c>
      <c r="M49">
        <f t="shared" si="20"/>
        <v>8</v>
      </c>
      <c r="N49">
        <f t="shared" si="21"/>
        <v>1250430</v>
      </c>
      <c r="O49">
        <f t="shared" si="4"/>
        <v>4720</v>
      </c>
      <c r="P49">
        <f t="shared" si="5"/>
        <v>92</v>
      </c>
      <c r="Q49">
        <f t="shared" si="22"/>
        <v>324</v>
      </c>
      <c r="R49">
        <f t="shared" si="23"/>
        <v>16</v>
      </c>
      <c r="S49">
        <f t="shared" si="24"/>
        <v>2152220</v>
      </c>
      <c r="T49">
        <f t="shared" si="25"/>
        <v>3036</v>
      </c>
      <c r="U49">
        <f t="shared" si="26"/>
        <v>131</v>
      </c>
      <c r="V49">
        <f t="shared" si="27"/>
        <v>22544725</v>
      </c>
      <c r="W49">
        <f>IF($A49="","",Allocation2!Y49)</f>
        <v>96583</v>
      </c>
      <c r="X49">
        <f>IF($A49="","",Allocation2!Z49)</f>
        <v>223153</v>
      </c>
      <c r="Y49">
        <f>IF($A49="","",Allocation2!AA49)</f>
        <v>67722</v>
      </c>
      <c r="Z49">
        <f>IF($A49="","",Allocation2!AB49)</f>
        <v>36612</v>
      </c>
      <c r="AA49">
        <f>IF($A49="","",Allocation2!AC49)</f>
        <v>496734</v>
      </c>
      <c r="AB49">
        <f>IF($A49="","",Allocation2!AD49)</f>
        <v>2891983</v>
      </c>
      <c r="AC49">
        <f>IF($A49="","",IF(ALLOC!$N$4="VOL_EFF",$G49,IF(ALLOC!$N$4="VOL_CLASS",$H49,$I49)))</f>
        <v>45</v>
      </c>
      <c r="AD49">
        <f>IF($A49="","",IF(ALLOC!$N$4="VOL_EFF",$L49,IF(ALLOC!$N$4="VOL_CLASS",$M49,$N49)))</f>
        <v>182</v>
      </c>
      <c r="AE49">
        <f>IF($A49="","",IF(ALLOC!$N$3="VOL_EFF",$L49,IF(ALLOC!$N$3="VOL_CLASS",$M49,$N49)))</f>
        <v>1250430</v>
      </c>
      <c r="AF49">
        <f>IF($A49="","",IF(ALLOC!$N$3="VOL_EFF",$Q49,IF(ALLOC!$N$3="VOL_CLASS",$R49,$S49)))</f>
        <v>2152220</v>
      </c>
      <c r="AG49">
        <f>IF($A49="","",IF(ALLOC!$N$1="VOL_EFF",$Q49,IF(ALLOC!$N$1="VOL_CLASS",$R49,$S49)))</f>
        <v>324</v>
      </c>
      <c r="AH49">
        <f>IF($A49="","",IF(ALLOC!$N$1="VOL_EFF",$T49,IF(ALLOC!$N$1="VOL_CLASS",$U49,$V49)))</f>
        <v>3036</v>
      </c>
      <c r="AI49">
        <f t="shared" si="12"/>
        <v>19644</v>
      </c>
      <c r="AJ49">
        <f t="shared" si="13"/>
        <v>45387.050847457627</v>
      </c>
      <c r="AK49">
        <f t="shared" si="14"/>
        <v>16744.45054945055</v>
      </c>
      <c r="AL49">
        <f t="shared" si="15"/>
        <v>122818.84615384616</v>
      </c>
      <c r="AM49">
        <f t="shared" si="16"/>
        <v>44335.624095639148</v>
      </c>
      <c r="AN49">
        <f t="shared" si="17"/>
        <v>71451.318252841418</v>
      </c>
      <c r="AO49">
        <f>IF($A49="","",Allocation2!AE49)</f>
        <v>676344</v>
      </c>
      <c r="AP49">
        <f>IF($A49="","",IF(ALLOC!$N$2="VOL_EFF",$Q49,IF(ALLOC!$N$2="VOL_CLASS",$R49,$S49)))</f>
        <v>324</v>
      </c>
      <c r="AQ49">
        <f>IF($A49="","",IF(ALLOC!$N$2="VOL_EFF",$T49,IF(ALLOC!$N$2="VOL_CLASS",$U49,$V49)))</f>
        <v>3036</v>
      </c>
      <c r="AR49">
        <f t="shared" si="18"/>
        <v>10368.710100765104</v>
      </c>
    </row>
    <row r="50" spans="1:44" x14ac:dyDescent="0.45">
      <c r="A50" t="str">
        <f>IF(Allocation2!D50="","",Allocation2!D50)</f>
        <v>2026</v>
      </c>
      <c r="B50" t="str">
        <f>IF(Allocation2!E50="","",Allocation2!E50)</f>
        <v>PIGIER_BOR</v>
      </c>
      <c r="C50" t="str">
        <f>IF(Allocation2!F50="","",Allocation2!F50)</f>
        <v>PIGIER</v>
      </c>
      <c r="D50" t="str">
        <f>IF(Allocation2!G50="","",Allocation2!G50)</f>
        <v>BTS_GES</v>
      </c>
      <c r="E50" t="str">
        <f>IF(Allocation2!H50="","",Allocation2!H50)</f>
        <v>BTS1</v>
      </c>
      <c r="F50" t="str">
        <f>IF(Allocation2!I50="","",Allocation2!I50)</f>
        <v>ALT</v>
      </c>
      <c r="G50">
        <f>IF(Allocation2!E50="","",Allocation2!J50)</f>
        <v>36</v>
      </c>
      <c r="H50">
        <f>IF(Allocation2!E50="","",Allocation2!K50)</f>
        <v>2</v>
      </c>
      <c r="I50">
        <f>IF(Allocation2!E50="","",Allocation2!L50)</f>
        <v>212760</v>
      </c>
      <c r="J50">
        <f>IF($A50="","",Allocation2!X50)</f>
        <v>36</v>
      </c>
      <c r="K50">
        <f t="shared" si="0"/>
        <v>1400</v>
      </c>
      <c r="L50">
        <f t="shared" si="19"/>
        <v>142</v>
      </c>
      <c r="M50">
        <f t="shared" si="20"/>
        <v>8</v>
      </c>
      <c r="N50">
        <f t="shared" si="21"/>
        <v>901790</v>
      </c>
      <c r="O50">
        <f t="shared" si="4"/>
        <v>4720</v>
      </c>
      <c r="P50">
        <f t="shared" si="5"/>
        <v>72</v>
      </c>
      <c r="Q50">
        <f t="shared" si="22"/>
        <v>324</v>
      </c>
      <c r="R50">
        <f t="shared" si="23"/>
        <v>16</v>
      </c>
      <c r="S50">
        <f t="shared" si="24"/>
        <v>2152220</v>
      </c>
      <c r="T50">
        <f t="shared" si="25"/>
        <v>3036</v>
      </c>
      <c r="U50">
        <f t="shared" si="26"/>
        <v>131</v>
      </c>
      <c r="V50">
        <f t="shared" si="27"/>
        <v>22544725</v>
      </c>
      <c r="W50">
        <f>IF($A50="","",Allocation2!Y50)</f>
        <v>96583</v>
      </c>
      <c r="X50">
        <f>IF($A50="","",Allocation2!Z50)</f>
        <v>209206</v>
      </c>
      <c r="Y50">
        <f>IF($A50="","",Allocation2!AA50)</f>
        <v>52838</v>
      </c>
      <c r="Z50">
        <f>IF($A50="","",Allocation2!AB50)</f>
        <v>21968</v>
      </c>
      <c r="AA50">
        <f>IF($A50="","",Allocation2!AC50)</f>
        <v>398498</v>
      </c>
      <c r="AB50">
        <f>IF($A50="","",Allocation2!AD50)</f>
        <v>2891983</v>
      </c>
      <c r="AC50">
        <f>IF($A50="","",IF(ALLOC!$N$4="VOL_EFF",$G50,IF(ALLOC!$N$4="VOL_CLASS",$H50,$I50)))</f>
        <v>36</v>
      </c>
      <c r="AD50">
        <f>IF($A50="","",IF(ALLOC!$N$4="VOL_EFF",$L50,IF(ALLOC!$N$4="VOL_CLASS",$M50,$N50)))</f>
        <v>142</v>
      </c>
      <c r="AE50">
        <f>IF($A50="","",IF(ALLOC!$N$3="VOL_EFF",$L50,IF(ALLOC!$N$3="VOL_CLASS",$M50,$N50)))</f>
        <v>901790</v>
      </c>
      <c r="AF50">
        <f>IF($A50="","",IF(ALLOC!$N$3="VOL_EFF",$Q50,IF(ALLOC!$N$3="VOL_CLASS",$R50,$S50)))</f>
        <v>2152220</v>
      </c>
      <c r="AG50">
        <f>IF($A50="","",IF(ALLOC!$N$1="VOL_EFF",$Q50,IF(ALLOC!$N$1="VOL_CLASS",$R50,$S50)))</f>
        <v>324</v>
      </c>
      <c r="AH50">
        <f>IF($A50="","",IF(ALLOC!$N$1="VOL_EFF",$T50,IF(ALLOC!$N$1="VOL_CLASS",$U50,$V50)))</f>
        <v>3036</v>
      </c>
      <c r="AI50">
        <f t="shared" si="12"/>
        <v>28647.5</v>
      </c>
      <c r="AJ50">
        <f t="shared" si="13"/>
        <v>62052.627118644064</v>
      </c>
      <c r="AK50">
        <f t="shared" si="14"/>
        <v>24379.549295774646</v>
      </c>
      <c r="AL50">
        <f t="shared" si="15"/>
        <v>101027.66197183098</v>
      </c>
      <c r="AM50">
        <f t="shared" si="16"/>
        <v>32784.750829865829</v>
      </c>
      <c r="AN50">
        <f t="shared" si="17"/>
        <v>-43799.412819080957</v>
      </c>
      <c r="AO50">
        <f>IF($A50="","",Allocation2!AE50)</f>
        <v>676344</v>
      </c>
      <c r="AP50">
        <f>IF($A50="","",IF(ALLOC!$N$2="VOL_EFF",$Q50,IF(ALLOC!$N$2="VOL_CLASS",$R50,$S50)))</f>
        <v>324</v>
      </c>
      <c r="AQ50">
        <f>IF($A50="","",IF(ALLOC!$N$2="VOL_EFF",$T50,IF(ALLOC!$N$2="VOL_CLASS",$U50,$V50)))</f>
        <v>3036</v>
      </c>
      <c r="AR50">
        <f t="shared" si="18"/>
        <v>7667.3236029654299</v>
      </c>
    </row>
    <row r="51" spans="1:44" x14ac:dyDescent="0.45">
      <c r="A51" t="str">
        <f>IF(Allocation2!D51="","",Allocation2!D51)</f>
        <v>2026</v>
      </c>
      <c r="B51" t="str">
        <f>IF(Allocation2!E51="","",Allocation2!E51)</f>
        <v>PIGIER_BOR</v>
      </c>
      <c r="C51" t="str">
        <f>IF(Allocation2!F51="","",Allocation2!F51)</f>
        <v>PIGIER</v>
      </c>
      <c r="D51" t="str">
        <f>IF(Allocation2!G51="","",Allocation2!G51)</f>
        <v>BTS_GES</v>
      </c>
      <c r="E51" t="str">
        <f>IF(Allocation2!H51="","",Allocation2!H51)</f>
        <v>BTS2</v>
      </c>
      <c r="F51" t="str">
        <f>IF(Allocation2!I51="","",Allocation2!I51)</f>
        <v>ALT</v>
      </c>
      <c r="G51">
        <f>IF(Allocation2!E51="","",Allocation2!J51)</f>
        <v>35</v>
      </c>
      <c r="H51">
        <f>IF(Allocation2!E51="","",Allocation2!K51)</f>
        <v>2</v>
      </c>
      <c r="I51">
        <f>IF(Allocation2!E51="","",Allocation2!L51)</f>
        <v>203700</v>
      </c>
      <c r="J51">
        <f>IF($A51="","",Allocation2!X51)</f>
        <v>0</v>
      </c>
      <c r="K51">
        <f t="shared" si="0"/>
        <v>1400</v>
      </c>
      <c r="L51">
        <f t="shared" si="19"/>
        <v>142</v>
      </c>
      <c r="M51">
        <f t="shared" si="20"/>
        <v>8</v>
      </c>
      <c r="N51">
        <f t="shared" si="21"/>
        <v>901790</v>
      </c>
      <c r="O51">
        <f t="shared" si="4"/>
        <v>4720</v>
      </c>
      <c r="P51">
        <f t="shared" si="5"/>
        <v>72</v>
      </c>
      <c r="Q51">
        <f t="shared" si="22"/>
        <v>324</v>
      </c>
      <c r="R51">
        <f t="shared" si="23"/>
        <v>16</v>
      </c>
      <c r="S51">
        <f t="shared" si="24"/>
        <v>2152220</v>
      </c>
      <c r="T51">
        <f t="shared" si="25"/>
        <v>3036</v>
      </c>
      <c r="U51">
        <f t="shared" si="26"/>
        <v>131</v>
      </c>
      <c r="V51">
        <f t="shared" si="27"/>
        <v>22544725</v>
      </c>
      <c r="W51">
        <f>IF($A51="","",Allocation2!Y51)</f>
        <v>96583</v>
      </c>
      <c r="X51">
        <f>IF($A51="","",Allocation2!Z51)</f>
        <v>209206</v>
      </c>
      <c r="Y51">
        <f>IF($A51="","",Allocation2!AA51)</f>
        <v>52838</v>
      </c>
      <c r="Z51">
        <f>IF($A51="","",Allocation2!AB51)</f>
        <v>21968</v>
      </c>
      <c r="AA51">
        <f>IF($A51="","",Allocation2!AC51)</f>
        <v>398498</v>
      </c>
      <c r="AB51">
        <f>IF($A51="","",Allocation2!AD51)</f>
        <v>2891983</v>
      </c>
      <c r="AC51">
        <f>IF($A51="","",IF(ALLOC!$N$4="VOL_EFF",$G51,IF(ALLOC!$N$4="VOL_CLASS",$H51,$I51)))</f>
        <v>35</v>
      </c>
      <c r="AD51">
        <f>IF($A51="","",IF(ALLOC!$N$4="VOL_EFF",$L51,IF(ALLOC!$N$4="VOL_CLASS",$M51,$N51)))</f>
        <v>142</v>
      </c>
      <c r="AE51">
        <f>IF($A51="","",IF(ALLOC!$N$3="VOL_EFF",$L51,IF(ALLOC!$N$3="VOL_CLASS",$M51,$N51)))</f>
        <v>901790</v>
      </c>
      <c r="AF51">
        <f>IF($A51="","",IF(ALLOC!$N$3="VOL_EFF",$Q51,IF(ALLOC!$N$3="VOL_CLASS",$R51,$S51)))</f>
        <v>2152220</v>
      </c>
      <c r="AG51">
        <f>IF($A51="","",IF(ALLOC!$N$1="VOL_EFF",$Q51,IF(ALLOC!$N$1="VOL_CLASS",$R51,$S51)))</f>
        <v>324</v>
      </c>
      <c r="AH51">
        <f>IF($A51="","",IF(ALLOC!$N$1="VOL_EFF",$T51,IF(ALLOC!$N$1="VOL_CLASS",$U51,$V51)))</f>
        <v>3036</v>
      </c>
      <c r="AI51">
        <f t="shared" si="12"/>
        <v>28647.5</v>
      </c>
      <c r="AJ51">
        <f t="shared" si="13"/>
        <v>62052.627118644064</v>
      </c>
      <c r="AK51">
        <f t="shared" si="14"/>
        <v>13023.450704225352</v>
      </c>
      <c r="AL51">
        <f t="shared" si="15"/>
        <v>98221.338028169019</v>
      </c>
      <c r="AM51">
        <f t="shared" si="16"/>
        <v>31874.063306813998</v>
      </c>
      <c r="AN51">
        <f t="shared" si="17"/>
        <v>-37573.321549624379</v>
      </c>
      <c r="AO51">
        <f>IF($A51="","",Allocation2!AE51)</f>
        <v>676344</v>
      </c>
      <c r="AP51">
        <f>IF($A51="","",IF(ALLOC!$N$2="VOL_EFF",$Q51,IF(ALLOC!$N$2="VOL_CLASS",$R51,$S51)))</f>
        <v>324</v>
      </c>
      <c r="AQ51">
        <f>IF($A51="","",IF(ALLOC!$N$2="VOL_EFF",$T51,IF(ALLOC!$N$2="VOL_CLASS",$U51,$V51)))</f>
        <v>3036</v>
      </c>
      <c r="AR51">
        <f t="shared" si="18"/>
        <v>7454.3423917719456</v>
      </c>
    </row>
    <row r="52" spans="1:44" x14ac:dyDescent="0.45">
      <c r="A52" t="str">
        <f>IF(Allocation2!D52="","",Allocation2!D52)</f>
        <v>2026</v>
      </c>
      <c r="B52" t="str">
        <f>IF(Allocation2!E52="","",Allocation2!E52)</f>
        <v>PIGIER_BOR</v>
      </c>
      <c r="C52" t="str">
        <f>IF(Allocation2!F52="","",Allocation2!F52)</f>
        <v>PIGIER</v>
      </c>
      <c r="D52" t="str">
        <f>IF(Allocation2!G52="","",Allocation2!G52)</f>
        <v>BAC_RH</v>
      </c>
      <c r="E52" t="str">
        <f>IF(Allocation2!H52="","",Allocation2!H52)</f>
        <v>B1</v>
      </c>
      <c r="F52" t="str">
        <f>IF(Allocation2!I52="","",Allocation2!I52)</f>
        <v>ALT</v>
      </c>
      <c r="G52">
        <f>IF(Allocation2!E52="","",Allocation2!J52)</f>
        <v>36</v>
      </c>
      <c r="H52">
        <f>IF(Allocation2!E52="","",Allocation2!K52)</f>
        <v>2</v>
      </c>
      <c r="I52">
        <f>IF(Allocation2!E52="","",Allocation2!L52)</f>
        <v>247680</v>
      </c>
      <c r="J52">
        <f>IF($A52="","",Allocation2!X52)</f>
        <v>36</v>
      </c>
      <c r="K52">
        <f t="shared" si="0"/>
        <v>960</v>
      </c>
      <c r="L52">
        <f t="shared" si="19"/>
        <v>142</v>
      </c>
      <c r="M52">
        <f t="shared" si="20"/>
        <v>8</v>
      </c>
      <c r="N52">
        <f t="shared" si="21"/>
        <v>901790</v>
      </c>
      <c r="O52">
        <f t="shared" si="4"/>
        <v>4720</v>
      </c>
      <c r="P52">
        <f t="shared" si="5"/>
        <v>72</v>
      </c>
      <c r="Q52">
        <f t="shared" si="22"/>
        <v>324</v>
      </c>
      <c r="R52">
        <f t="shared" si="23"/>
        <v>16</v>
      </c>
      <c r="S52">
        <f t="shared" si="24"/>
        <v>2152220</v>
      </c>
      <c r="T52">
        <f t="shared" si="25"/>
        <v>3036</v>
      </c>
      <c r="U52">
        <f t="shared" si="26"/>
        <v>131</v>
      </c>
      <c r="V52">
        <f t="shared" si="27"/>
        <v>22544725</v>
      </c>
      <c r="W52">
        <f>IF($A52="","",Allocation2!Y52)</f>
        <v>96583</v>
      </c>
      <c r="X52">
        <f>IF($A52="","",Allocation2!Z52)</f>
        <v>209206</v>
      </c>
      <c r="Y52">
        <f>IF($A52="","",Allocation2!AA52)</f>
        <v>52838</v>
      </c>
      <c r="Z52">
        <f>IF($A52="","",Allocation2!AB52)</f>
        <v>21968</v>
      </c>
      <c r="AA52">
        <f>IF($A52="","",Allocation2!AC52)</f>
        <v>398498</v>
      </c>
      <c r="AB52">
        <f>IF($A52="","",Allocation2!AD52)</f>
        <v>2891983</v>
      </c>
      <c r="AC52">
        <f>IF($A52="","",IF(ALLOC!$N$4="VOL_EFF",$G52,IF(ALLOC!$N$4="VOL_CLASS",$H52,$I52)))</f>
        <v>36</v>
      </c>
      <c r="AD52">
        <f>IF($A52="","",IF(ALLOC!$N$4="VOL_EFF",$L52,IF(ALLOC!$N$4="VOL_CLASS",$M52,$N52)))</f>
        <v>142</v>
      </c>
      <c r="AE52">
        <f>IF($A52="","",IF(ALLOC!$N$3="VOL_EFF",$L52,IF(ALLOC!$N$3="VOL_CLASS",$M52,$N52)))</f>
        <v>901790</v>
      </c>
      <c r="AF52">
        <f>IF($A52="","",IF(ALLOC!$N$3="VOL_EFF",$Q52,IF(ALLOC!$N$3="VOL_CLASS",$R52,$S52)))</f>
        <v>2152220</v>
      </c>
      <c r="AG52">
        <f>IF($A52="","",IF(ALLOC!$N$1="VOL_EFF",$Q52,IF(ALLOC!$N$1="VOL_CLASS",$R52,$S52)))</f>
        <v>324</v>
      </c>
      <c r="AH52">
        <f>IF($A52="","",IF(ALLOC!$N$1="VOL_EFF",$T52,IF(ALLOC!$N$1="VOL_CLASS",$U52,$V52)))</f>
        <v>3036</v>
      </c>
      <c r="AI52">
        <f t="shared" si="12"/>
        <v>19644</v>
      </c>
      <c r="AJ52">
        <f t="shared" si="13"/>
        <v>42550.372881355936</v>
      </c>
      <c r="AK52">
        <f t="shared" si="14"/>
        <v>24379.549295774646</v>
      </c>
      <c r="AL52">
        <f t="shared" si="15"/>
        <v>101027.66197183098</v>
      </c>
      <c r="AM52">
        <f t="shared" si="16"/>
        <v>32784.750829865829</v>
      </c>
      <c r="AN52">
        <f t="shared" si="17"/>
        <v>19626.341418207157</v>
      </c>
      <c r="AO52">
        <f>IF($A52="","",Allocation2!AE52)</f>
        <v>676344</v>
      </c>
      <c r="AP52">
        <f>IF($A52="","",IF(ALLOC!$N$2="VOL_EFF",$Q52,IF(ALLOC!$N$2="VOL_CLASS",$R52,$S52)))</f>
        <v>324</v>
      </c>
      <c r="AQ52">
        <f>IF($A52="","",IF(ALLOC!$N$2="VOL_EFF",$T52,IF(ALLOC!$N$2="VOL_CLASS",$U52,$V52)))</f>
        <v>3036</v>
      </c>
      <c r="AR52">
        <f t="shared" si="18"/>
        <v>7667.3236029654299</v>
      </c>
    </row>
    <row r="53" spans="1:44" x14ac:dyDescent="0.45">
      <c r="A53" t="str">
        <f>IF(Allocation2!D53="","",Allocation2!D53)</f>
        <v>2026</v>
      </c>
      <c r="B53" t="str">
        <f>IF(Allocation2!E53="","",Allocation2!E53)</f>
        <v>PIGIER_BOR</v>
      </c>
      <c r="C53" t="str">
        <f>IF(Allocation2!F53="","",Allocation2!F53)</f>
        <v>PIGIER</v>
      </c>
      <c r="D53" t="str">
        <f>IF(Allocation2!G53="","",Allocation2!G53)</f>
        <v>BAC_RH</v>
      </c>
      <c r="E53" t="str">
        <f>IF(Allocation2!H53="","",Allocation2!H53)</f>
        <v>B3</v>
      </c>
      <c r="F53" t="str">
        <f>IF(Allocation2!I53="","",Allocation2!I53)</f>
        <v>ALT</v>
      </c>
      <c r="G53">
        <f>IF(Allocation2!E53="","",Allocation2!J53)</f>
        <v>35</v>
      </c>
      <c r="H53">
        <f>IF(Allocation2!E53="","",Allocation2!K53)</f>
        <v>2</v>
      </c>
      <c r="I53">
        <f>IF(Allocation2!E53="","",Allocation2!L53)</f>
        <v>237650</v>
      </c>
      <c r="J53">
        <f>IF($A53="","",Allocation2!X53)</f>
        <v>0</v>
      </c>
      <c r="K53">
        <f t="shared" si="0"/>
        <v>960</v>
      </c>
      <c r="L53">
        <f t="shared" si="19"/>
        <v>142</v>
      </c>
      <c r="M53">
        <f t="shared" si="20"/>
        <v>8</v>
      </c>
      <c r="N53">
        <f t="shared" si="21"/>
        <v>901790</v>
      </c>
      <c r="O53">
        <f t="shared" si="4"/>
        <v>4720</v>
      </c>
      <c r="P53">
        <f t="shared" si="5"/>
        <v>72</v>
      </c>
      <c r="Q53">
        <f t="shared" si="22"/>
        <v>324</v>
      </c>
      <c r="R53">
        <f t="shared" si="23"/>
        <v>16</v>
      </c>
      <c r="S53">
        <f t="shared" si="24"/>
        <v>2152220</v>
      </c>
      <c r="T53">
        <f t="shared" si="25"/>
        <v>3036</v>
      </c>
      <c r="U53">
        <f t="shared" si="26"/>
        <v>131</v>
      </c>
      <c r="V53">
        <f t="shared" si="27"/>
        <v>22544725</v>
      </c>
      <c r="W53">
        <f>IF($A53="","",Allocation2!Y53)</f>
        <v>96583</v>
      </c>
      <c r="X53">
        <f>IF($A53="","",Allocation2!Z53)</f>
        <v>209206</v>
      </c>
      <c r="Y53">
        <f>IF($A53="","",Allocation2!AA53)</f>
        <v>52838</v>
      </c>
      <c r="Z53">
        <f>IF($A53="","",Allocation2!AB53)</f>
        <v>21968</v>
      </c>
      <c r="AA53">
        <f>IF($A53="","",Allocation2!AC53)</f>
        <v>398498</v>
      </c>
      <c r="AB53">
        <f>IF($A53="","",Allocation2!AD53)</f>
        <v>2891983</v>
      </c>
      <c r="AC53">
        <f>IF($A53="","",IF(ALLOC!$N$4="VOL_EFF",$G53,IF(ALLOC!$N$4="VOL_CLASS",$H53,$I53)))</f>
        <v>35</v>
      </c>
      <c r="AD53">
        <f>IF($A53="","",IF(ALLOC!$N$4="VOL_EFF",$L53,IF(ALLOC!$N$4="VOL_CLASS",$M53,$N53)))</f>
        <v>142</v>
      </c>
      <c r="AE53">
        <f>IF($A53="","",IF(ALLOC!$N$3="VOL_EFF",$L53,IF(ALLOC!$N$3="VOL_CLASS",$M53,$N53)))</f>
        <v>901790</v>
      </c>
      <c r="AF53">
        <f>IF($A53="","",IF(ALLOC!$N$3="VOL_EFF",$Q53,IF(ALLOC!$N$3="VOL_CLASS",$R53,$S53)))</f>
        <v>2152220</v>
      </c>
      <c r="AG53">
        <f>IF($A53="","",IF(ALLOC!$N$1="VOL_EFF",$Q53,IF(ALLOC!$N$1="VOL_CLASS",$R53,$S53)))</f>
        <v>324</v>
      </c>
      <c r="AH53">
        <f>IF($A53="","",IF(ALLOC!$N$1="VOL_EFF",$T53,IF(ALLOC!$N$1="VOL_CLASS",$U53,$V53)))</f>
        <v>3036</v>
      </c>
      <c r="AI53">
        <f t="shared" si="12"/>
        <v>19644</v>
      </c>
      <c r="AJ53">
        <f t="shared" si="13"/>
        <v>42550.372881355936</v>
      </c>
      <c r="AK53">
        <f t="shared" si="14"/>
        <v>13023.450704225352</v>
      </c>
      <c r="AL53">
        <f t="shared" si="15"/>
        <v>98221.338028169019</v>
      </c>
      <c r="AM53">
        <f t="shared" si="16"/>
        <v>31874.063306813998</v>
      </c>
      <c r="AN53">
        <f t="shared" si="17"/>
        <v>24882.432687663764</v>
      </c>
      <c r="AO53">
        <f>IF($A53="","",Allocation2!AE53)</f>
        <v>676344</v>
      </c>
      <c r="AP53">
        <f>IF($A53="","",IF(ALLOC!$N$2="VOL_EFF",$Q53,IF(ALLOC!$N$2="VOL_CLASS",$R53,$S53)))</f>
        <v>324</v>
      </c>
      <c r="AQ53">
        <f>IF($A53="","",IF(ALLOC!$N$2="VOL_EFF",$T53,IF(ALLOC!$N$2="VOL_CLASS",$U53,$V53)))</f>
        <v>3036</v>
      </c>
      <c r="AR53">
        <f t="shared" si="18"/>
        <v>7454.3423917719456</v>
      </c>
    </row>
    <row r="54" spans="1:44" x14ac:dyDescent="0.45">
      <c r="A54" t="str">
        <f>IF(Allocation2!D54="","",Allocation2!D54)</f>
        <v>2026</v>
      </c>
      <c r="B54" t="str">
        <f>IF(Allocation2!E54="","",Allocation2!E54)</f>
        <v>TUNON_PAR</v>
      </c>
      <c r="C54" t="str">
        <f>IF(Allocation2!F54="","",Allocation2!F54)</f>
        <v>TUNON</v>
      </c>
      <c r="D54" t="str">
        <f>IF(Allocation2!G54="","",Allocation2!G54)</f>
        <v>BAC_TOU</v>
      </c>
      <c r="E54" t="str">
        <f>IF(Allocation2!H54="","",Allocation2!H54)</f>
        <v>B1</v>
      </c>
      <c r="F54" t="str">
        <f>IF(Allocation2!I54="","",Allocation2!I54)</f>
        <v>ALT</v>
      </c>
      <c r="G54">
        <f>IF(Allocation2!E54="","",Allocation2!J54)</f>
        <v>47</v>
      </c>
      <c r="H54">
        <f>IF(Allocation2!E54="","",Allocation2!K54)</f>
        <v>2</v>
      </c>
      <c r="I54">
        <f>IF(Allocation2!E54="","",Allocation2!L54)</f>
        <v>372710</v>
      </c>
      <c r="J54">
        <f>IF($A54="","",Allocation2!X54)</f>
        <v>47</v>
      </c>
      <c r="K54">
        <f t="shared" si="0"/>
        <v>960</v>
      </c>
      <c r="L54">
        <f t="shared" si="19"/>
        <v>138</v>
      </c>
      <c r="M54">
        <f t="shared" si="20"/>
        <v>6</v>
      </c>
      <c r="N54">
        <f t="shared" si="21"/>
        <v>1086150</v>
      </c>
      <c r="O54">
        <f t="shared" si="4"/>
        <v>2880</v>
      </c>
      <c r="P54">
        <f t="shared" si="5"/>
        <v>47</v>
      </c>
      <c r="Q54">
        <f t="shared" si="22"/>
        <v>255</v>
      </c>
      <c r="R54">
        <f t="shared" si="23"/>
        <v>12</v>
      </c>
      <c r="S54">
        <f t="shared" si="24"/>
        <v>1949700</v>
      </c>
      <c r="T54">
        <f t="shared" si="25"/>
        <v>3036</v>
      </c>
      <c r="U54">
        <f t="shared" si="26"/>
        <v>131</v>
      </c>
      <c r="V54">
        <f t="shared" si="27"/>
        <v>22544725</v>
      </c>
      <c r="W54">
        <f>IF($A54="","",Allocation2!Y54)</f>
        <v>72438</v>
      </c>
      <c r="X54">
        <f>IF($A54="","",Allocation2!Z54)</f>
        <v>242081</v>
      </c>
      <c r="Y54">
        <f>IF($A54="","",Allocation2!AA54)</f>
        <v>51349</v>
      </c>
      <c r="Z54">
        <f>IF($A54="","",Allocation2!AB54)</f>
        <v>30240</v>
      </c>
      <c r="AA54">
        <f>IF($A54="","",Allocation2!AC54)</f>
        <v>542754</v>
      </c>
      <c r="AB54">
        <f>IF($A54="","",Allocation2!AD54)</f>
        <v>2891983</v>
      </c>
      <c r="AC54">
        <f>IF($A54="","",IF(ALLOC!$N$4="VOL_EFF",$G54,IF(ALLOC!$N$4="VOL_CLASS",$H54,$I54)))</f>
        <v>47</v>
      </c>
      <c r="AD54">
        <f>IF($A54="","",IF(ALLOC!$N$4="VOL_EFF",$L54,IF(ALLOC!$N$4="VOL_CLASS",$M54,$N54)))</f>
        <v>138</v>
      </c>
      <c r="AE54">
        <f>IF($A54="","",IF(ALLOC!$N$3="VOL_EFF",$L54,IF(ALLOC!$N$3="VOL_CLASS",$M54,$N54)))</f>
        <v>1086150</v>
      </c>
      <c r="AF54">
        <f>IF($A54="","",IF(ALLOC!$N$3="VOL_EFF",$Q54,IF(ALLOC!$N$3="VOL_CLASS",$R54,$S54)))</f>
        <v>1949700</v>
      </c>
      <c r="AG54">
        <f>IF($A54="","",IF(ALLOC!$N$1="VOL_EFF",$Q54,IF(ALLOC!$N$1="VOL_CLASS",$R54,$S54)))</f>
        <v>255</v>
      </c>
      <c r="AH54">
        <f>IF($A54="","",IF(ALLOC!$N$1="VOL_EFF",$T54,IF(ALLOC!$N$1="VOL_CLASS",$U54,$V54)))</f>
        <v>3036</v>
      </c>
      <c r="AI54">
        <f t="shared" si="12"/>
        <v>24146</v>
      </c>
      <c r="AJ54">
        <f t="shared" si="13"/>
        <v>80693.666666666657</v>
      </c>
      <c r="AK54">
        <f t="shared" si="14"/>
        <v>47728.427536231888</v>
      </c>
      <c r="AL54">
        <f t="shared" si="15"/>
        <v>184851</v>
      </c>
      <c r="AM54">
        <f t="shared" si="16"/>
        <v>46086.628196194026</v>
      </c>
      <c r="AN54">
        <f t="shared" si="17"/>
        <v>-21573.937368104002</v>
      </c>
      <c r="AO54">
        <f>IF($A54="","",Allocation2!AE54)</f>
        <v>676344</v>
      </c>
      <c r="AP54">
        <f>IF($A54="","",IF(ALLOC!$N$2="VOL_EFF",$Q54,IF(ALLOC!$N$2="VOL_CLASS",$R54,$S54)))</f>
        <v>255</v>
      </c>
      <c r="AQ54">
        <f>IF($A54="","",IF(ALLOC!$N$2="VOL_EFF",$T54,IF(ALLOC!$N$2="VOL_CLASS",$U54,$V54)))</f>
        <v>3036</v>
      </c>
      <c r="AR54">
        <f t="shared" si="18"/>
        <v>10778.214969011453</v>
      </c>
    </row>
    <row r="55" spans="1:44" x14ac:dyDescent="0.45">
      <c r="A55" t="str">
        <f>IF(Allocation2!D55="","",Allocation2!D55)</f>
        <v>2026</v>
      </c>
      <c r="B55" t="str">
        <f>IF(Allocation2!E55="","",Allocation2!E55)</f>
        <v>TUNON_PAR</v>
      </c>
      <c r="C55" t="str">
        <f>IF(Allocation2!F55="","",Allocation2!F55)</f>
        <v>TUNON</v>
      </c>
      <c r="D55" t="str">
        <f>IF(Allocation2!G55="","",Allocation2!G55)</f>
        <v>BAC_TOU</v>
      </c>
      <c r="E55" t="str">
        <f>IF(Allocation2!H55="","",Allocation2!H55)</f>
        <v>B2</v>
      </c>
      <c r="F55" t="str">
        <f>IF(Allocation2!I55="","",Allocation2!I55)</f>
        <v>ALT</v>
      </c>
      <c r="G55">
        <f>IF(Allocation2!E55="","",Allocation2!J55)</f>
        <v>46</v>
      </c>
      <c r="H55">
        <f>IF(Allocation2!E55="","",Allocation2!K55)</f>
        <v>2</v>
      </c>
      <c r="I55">
        <f>IF(Allocation2!E55="","",Allocation2!L55)</f>
        <v>360640</v>
      </c>
      <c r="J55">
        <f>IF($A55="","",Allocation2!X55)</f>
        <v>0</v>
      </c>
      <c r="K55">
        <f t="shared" si="0"/>
        <v>960</v>
      </c>
      <c r="L55">
        <f t="shared" si="19"/>
        <v>138</v>
      </c>
      <c r="M55">
        <f t="shared" si="20"/>
        <v>6</v>
      </c>
      <c r="N55">
        <f t="shared" si="21"/>
        <v>1086150</v>
      </c>
      <c r="O55">
        <f t="shared" si="4"/>
        <v>2880</v>
      </c>
      <c r="P55">
        <f t="shared" si="5"/>
        <v>47</v>
      </c>
      <c r="Q55">
        <f t="shared" si="22"/>
        <v>255</v>
      </c>
      <c r="R55">
        <f t="shared" si="23"/>
        <v>12</v>
      </c>
      <c r="S55">
        <f t="shared" si="24"/>
        <v>1949700</v>
      </c>
      <c r="T55">
        <f t="shared" si="25"/>
        <v>3036</v>
      </c>
      <c r="U55">
        <f t="shared" si="26"/>
        <v>131</v>
      </c>
      <c r="V55">
        <f t="shared" si="27"/>
        <v>22544725</v>
      </c>
      <c r="W55">
        <f>IF($A55="","",Allocation2!Y55)</f>
        <v>72438</v>
      </c>
      <c r="X55">
        <f>IF($A55="","",Allocation2!Z55)</f>
        <v>242081</v>
      </c>
      <c r="Y55">
        <f>IF($A55="","",Allocation2!AA55)</f>
        <v>51349</v>
      </c>
      <c r="Z55">
        <f>IF($A55="","",Allocation2!AB55)</f>
        <v>30240</v>
      </c>
      <c r="AA55">
        <f>IF($A55="","",Allocation2!AC55)</f>
        <v>542754</v>
      </c>
      <c r="AB55">
        <f>IF($A55="","",Allocation2!AD55)</f>
        <v>2891983</v>
      </c>
      <c r="AC55">
        <f>IF($A55="","",IF(ALLOC!$N$4="VOL_EFF",$G55,IF(ALLOC!$N$4="VOL_CLASS",$H55,$I55)))</f>
        <v>46</v>
      </c>
      <c r="AD55">
        <f>IF($A55="","",IF(ALLOC!$N$4="VOL_EFF",$L55,IF(ALLOC!$N$4="VOL_CLASS",$M55,$N55)))</f>
        <v>138</v>
      </c>
      <c r="AE55">
        <f>IF($A55="","",IF(ALLOC!$N$3="VOL_EFF",$L55,IF(ALLOC!$N$3="VOL_CLASS",$M55,$N55)))</f>
        <v>1086150</v>
      </c>
      <c r="AF55">
        <f>IF($A55="","",IF(ALLOC!$N$3="VOL_EFF",$Q55,IF(ALLOC!$N$3="VOL_CLASS",$R55,$S55)))</f>
        <v>1949700</v>
      </c>
      <c r="AG55">
        <f>IF($A55="","",IF(ALLOC!$N$1="VOL_EFF",$Q55,IF(ALLOC!$N$1="VOL_CLASS",$R55,$S55)))</f>
        <v>255</v>
      </c>
      <c r="AH55">
        <f>IF($A55="","",IF(ALLOC!$N$1="VOL_EFF",$T55,IF(ALLOC!$N$1="VOL_CLASS",$U55,$V55)))</f>
        <v>3036</v>
      </c>
      <c r="AI55">
        <f t="shared" si="12"/>
        <v>24146</v>
      </c>
      <c r="AJ55">
        <f t="shared" si="13"/>
        <v>80693.666666666657</v>
      </c>
      <c r="AK55">
        <f t="shared" si="14"/>
        <v>17116.333333333332</v>
      </c>
      <c r="AL55">
        <f t="shared" si="15"/>
        <v>180918</v>
      </c>
      <c r="AM55">
        <f t="shared" si="16"/>
        <v>45106.061638828192</v>
      </c>
      <c r="AN55">
        <f t="shared" si="17"/>
        <v>2111.047114905261</v>
      </c>
      <c r="AO55">
        <f>IF($A55="","",Allocation2!AE55)</f>
        <v>676344</v>
      </c>
      <c r="AP55">
        <f>IF($A55="","",IF(ALLOC!$N$2="VOL_EFF",$Q55,IF(ALLOC!$N$2="VOL_CLASS",$R55,$S55)))</f>
        <v>255</v>
      </c>
      <c r="AQ55">
        <f>IF($A55="","",IF(ALLOC!$N$2="VOL_EFF",$T55,IF(ALLOC!$N$2="VOL_CLASS",$U55,$V55)))</f>
        <v>3036</v>
      </c>
      <c r="AR55">
        <f t="shared" si="18"/>
        <v>10548.891246266528</v>
      </c>
    </row>
    <row r="56" spans="1:44" x14ac:dyDescent="0.45">
      <c r="A56" t="str">
        <f>IF(Allocation2!D56="","",Allocation2!D56)</f>
        <v>2026</v>
      </c>
      <c r="B56" t="str">
        <f>IF(Allocation2!E56="","",Allocation2!E56)</f>
        <v>TUNON_PAR</v>
      </c>
      <c r="C56" t="str">
        <f>IF(Allocation2!F56="","",Allocation2!F56)</f>
        <v>TUNON</v>
      </c>
      <c r="D56" t="str">
        <f>IF(Allocation2!G56="","",Allocation2!G56)</f>
        <v>BAC_TOU</v>
      </c>
      <c r="E56" t="str">
        <f>IF(Allocation2!H56="","",Allocation2!H56)</f>
        <v>B3</v>
      </c>
      <c r="F56" t="str">
        <f>IF(Allocation2!I56="","",Allocation2!I56)</f>
        <v>ALT</v>
      </c>
      <c r="G56">
        <f>IF(Allocation2!E56="","",Allocation2!J56)</f>
        <v>45</v>
      </c>
      <c r="H56">
        <f>IF(Allocation2!E56="","",Allocation2!K56)</f>
        <v>2</v>
      </c>
      <c r="I56">
        <f>IF(Allocation2!E56="","",Allocation2!L56)</f>
        <v>352800</v>
      </c>
      <c r="J56">
        <f>IF($A56="","",Allocation2!X56)</f>
        <v>0</v>
      </c>
      <c r="K56">
        <f t="shared" si="0"/>
        <v>960</v>
      </c>
      <c r="L56">
        <f t="shared" si="19"/>
        <v>138</v>
      </c>
      <c r="M56">
        <f t="shared" si="20"/>
        <v>6</v>
      </c>
      <c r="N56">
        <f t="shared" si="21"/>
        <v>1086150</v>
      </c>
      <c r="O56">
        <f t="shared" si="4"/>
        <v>2880</v>
      </c>
      <c r="P56">
        <f t="shared" si="5"/>
        <v>47</v>
      </c>
      <c r="Q56">
        <f t="shared" si="22"/>
        <v>255</v>
      </c>
      <c r="R56">
        <f t="shared" si="23"/>
        <v>12</v>
      </c>
      <c r="S56">
        <f t="shared" si="24"/>
        <v>1949700</v>
      </c>
      <c r="T56">
        <f t="shared" si="25"/>
        <v>3036</v>
      </c>
      <c r="U56">
        <f t="shared" si="26"/>
        <v>131</v>
      </c>
      <c r="V56">
        <f t="shared" si="27"/>
        <v>22544725</v>
      </c>
      <c r="W56">
        <f>IF($A56="","",Allocation2!Y56)</f>
        <v>72438</v>
      </c>
      <c r="X56">
        <f>IF($A56="","",Allocation2!Z56)</f>
        <v>242081</v>
      </c>
      <c r="Y56">
        <f>IF($A56="","",Allocation2!AA56)</f>
        <v>51349</v>
      </c>
      <c r="Z56">
        <f>IF($A56="","",Allocation2!AB56)</f>
        <v>30240</v>
      </c>
      <c r="AA56">
        <f>IF($A56="","",Allocation2!AC56)</f>
        <v>542754</v>
      </c>
      <c r="AB56">
        <f>IF($A56="","",Allocation2!AD56)</f>
        <v>2891983</v>
      </c>
      <c r="AC56">
        <f>IF($A56="","",IF(ALLOC!$N$4="VOL_EFF",$G56,IF(ALLOC!$N$4="VOL_CLASS",$H56,$I56)))</f>
        <v>45</v>
      </c>
      <c r="AD56">
        <f>IF($A56="","",IF(ALLOC!$N$4="VOL_EFF",$L56,IF(ALLOC!$N$4="VOL_CLASS",$M56,$N56)))</f>
        <v>138</v>
      </c>
      <c r="AE56">
        <f>IF($A56="","",IF(ALLOC!$N$3="VOL_EFF",$L56,IF(ALLOC!$N$3="VOL_CLASS",$M56,$N56)))</f>
        <v>1086150</v>
      </c>
      <c r="AF56">
        <f>IF($A56="","",IF(ALLOC!$N$3="VOL_EFF",$Q56,IF(ALLOC!$N$3="VOL_CLASS",$R56,$S56)))</f>
        <v>1949700</v>
      </c>
      <c r="AG56">
        <f>IF($A56="","",IF(ALLOC!$N$1="VOL_EFF",$Q56,IF(ALLOC!$N$1="VOL_CLASS",$R56,$S56)))</f>
        <v>255</v>
      </c>
      <c r="AH56">
        <f>IF($A56="","",IF(ALLOC!$N$1="VOL_EFF",$T56,IF(ALLOC!$N$1="VOL_CLASS",$U56,$V56)))</f>
        <v>3036</v>
      </c>
      <c r="AI56">
        <f t="shared" si="12"/>
        <v>24146</v>
      </c>
      <c r="AJ56">
        <f t="shared" si="13"/>
        <v>80693.666666666657</v>
      </c>
      <c r="AK56">
        <f t="shared" si="14"/>
        <v>16744.239130434784</v>
      </c>
      <c r="AL56">
        <f t="shared" si="15"/>
        <v>176985</v>
      </c>
      <c r="AM56">
        <f t="shared" si="16"/>
        <v>44125.495081462366</v>
      </c>
      <c r="AN56">
        <f t="shared" si="17"/>
        <v>-213.96840208541835</v>
      </c>
      <c r="AO56">
        <f>IF($A56="","",Allocation2!AE56)</f>
        <v>676344</v>
      </c>
      <c r="AP56">
        <f>IF($A56="","",IF(ALLOC!$N$2="VOL_EFF",$Q56,IF(ALLOC!$N$2="VOL_CLASS",$R56,$S56)))</f>
        <v>255</v>
      </c>
      <c r="AQ56">
        <f>IF($A56="","",IF(ALLOC!$N$2="VOL_EFF",$T56,IF(ALLOC!$N$2="VOL_CLASS",$U56,$V56)))</f>
        <v>3036</v>
      </c>
      <c r="AR56">
        <f t="shared" si="18"/>
        <v>10319.567523521604</v>
      </c>
    </row>
    <row r="57" spans="1:44" x14ac:dyDescent="0.45">
      <c r="A57" t="str">
        <f>IF(Allocation2!D57="","",Allocation2!D57)</f>
        <v>2026</v>
      </c>
      <c r="B57" t="str">
        <f>IF(Allocation2!E57="","",Allocation2!E57)</f>
        <v>TUNON_LYO</v>
      </c>
      <c r="C57" t="str">
        <f>IF(Allocation2!F57="","",Allocation2!F57)</f>
        <v>TUNON</v>
      </c>
      <c r="D57" t="str">
        <f>IF(Allocation2!G57="","",Allocation2!G57)</f>
        <v>BAC_TOU</v>
      </c>
      <c r="E57" t="str">
        <f>IF(Allocation2!H57="","",Allocation2!H57)</f>
        <v>B1</v>
      </c>
      <c r="F57" t="str">
        <f>IF(Allocation2!I57="","",Allocation2!I57)</f>
        <v>ALT</v>
      </c>
      <c r="G57">
        <f>IF(Allocation2!E57="","",Allocation2!J57)</f>
        <v>40</v>
      </c>
      <c r="H57">
        <f>IF(Allocation2!E57="","",Allocation2!K57)</f>
        <v>2</v>
      </c>
      <c r="I57">
        <f>IF(Allocation2!E57="","",Allocation2!L57)</f>
        <v>297600</v>
      </c>
      <c r="J57">
        <f>IF($A57="","",Allocation2!X57)</f>
        <v>40</v>
      </c>
      <c r="K57">
        <f t="shared" si="0"/>
        <v>960</v>
      </c>
      <c r="L57">
        <f t="shared" si="19"/>
        <v>117</v>
      </c>
      <c r="M57">
        <f t="shared" si="20"/>
        <v>6</v>
      </c>
      <c r="N57">
        <f t="shared" si="21"/>
        <v>863550</v>
      </c>
      <c r="O57">
        <f t="shared" si="4"/>
        <v>2880</v>
      </c>
      <c r="P57">
        <f t="shared" si="5"/>
        <v>40</v>
      </c>
      <c r="Q57">
        <f t="shared" si="22"/>
        <v>255</v>
      </c>
      <c r="R57">
        <f t="shared" si="23"/>
        <v>12</v>
      </c>
      <c r="S57">
        <f t="shared" si="24"/>
        <v>1949700</v>
      </c>
      <c r="T57">
        <f t="shared" si="25"/>
        <v>3036</v>
      </c>
      <c r="U57">
        <f t="shared" si="26"/>
        <v>131</v>
      </c>
      <c r="V57">
        <f t="shared" si="27"/>
        <v>22544725</v>
      </c>
      <c r="W57">
        <f>IF($A57="","",Allocation2!Y57)</f>
        <v>72438</v>
      </c>
      <c r="X57">
        <f>IF($A57="","",Allocation2!Z57)</f>
        <v>167364</v>
      </c>
      <c r="Y57">
        <f>IF($A57="","",Allocation2!AA57)</f>
        <v>43535</v>
      </c>
      <c r="Z57">
        <f>IF($A57="","",Allocation2!AB57)</f>
        <v>18850</v>
      </c>
      <c r="AA57">
        <f>IF($A57="","",Allocation2!AC57)</f>
        <v>337611</v>
      </c>
      <c r="AB57">
        <f>IF($A57="","",Allocation2!AD57)</f>
        <v>2891983</v>
      </c>
      <c r="AC57">
        <f>IF($A57="","",IF(ALLOC!$N$4="VOL_EFF",$G57,IF(ALLOC!$N$4="VOL_CLASS",$H57,$I57)))</f>
        <v>40</v>
      </c>
      <c r="AD57">
        <f>IF($A57="","",IF(ALLOC!$N$4="VOL_EFF",$L57,IF(ALLOC!$N$4="VOL_CLASS",$M57,$N57)))</f>
        <v>117</v>
      </c>
      <c r="AE57">
        <f>IF($A57="","",IF(ALLOC!$N$3="VOL_EFF",$L57,IF(ALLOC!$N$3="VOL_CLASS",$M57,$N57)))</f>
        <v>863550</v>
      </c>
      <c r="AF57">
        <f>IF($A57="","",IF(ALLOC!$N$3="VOL_EFF",$Q57,IF(ALLOC!$N$3="VOL_CLASS",$R57,$S57)))</f>
        <v>1949700</v>
      </c>
      <c r="AG57">
        <f>IF($A57="","",IF(ALLOC!$N$1="VOL_EFF",$Q57,IF(ALLOC!$N$1="VOL_CLASS",$R57,$S57)))</f>
        <v>255</v>
      </c>
      <c r="AH57">
        <f>IF($A57="","",IF(ALLOC!$N$1="VOL_EFF",$T57,IF(ALLOC!$N$1="VOL_CLASS",$U57,$V57)))</f>
        <v>3036</v>
      </c>
      <c r="AI57">
        <f t="shared" si="12"/>
        <v>24146</v>
      </c>
      <c r="AJ57">
        <f t="shared" si="13"/>
        <v>55788</v>
      </c>
      <c r="AK57">
        <f t="shared" si="14"/>
        <v>33733.760683760687</v>
      </c>
      <c r="AL57">
        <f t="shared" si="15"/>
        <v>115422.56410256411</v>
      </c>
      <c r="AM57">
        <f t="shared" si="16"/>
        <v>36781.376259085038</v>
      </c>
      <c r="AN57">
        <f t="shared" si="17"/>
        <v>23126.29017909785</v>
      </c>
      <c r="AO57">
        <f>IF($A57="","",Allocation2!AE57)</f>
        <v>676344</v>
      </c>
      <c r="AP57">
        <f>IF($A57="","",IF(ALLOC!$N$2="VOL_EFF",$Q57,IF(ALLOC!$N$2="VOL_CLASS",$R57,$S57)))</f>
        <v>255</v>
      </c>
      <c r="AQ57">
        <f>IF($A57="","",IF(ALLOC!$N$2="VOL_EFF",$T57,IF(ALLOC!$N$2="VOL_CLASS",$U57,$V57)))</f>
        <v>3036</v>
      </c>
      <c r="AR57">
        <f t="shared" si="18"/>
        <v>8602.0087754923225</v>
      </c>
    </row>
    <row r="58" spans="1:44" x14ac:dyDescent="0.45">
      <c r="A58" t="str">
        <f>IF(Allocation2!D58="","",Allocation2!D58)</f>
        <v>2026</v>
      </c>
      <c r="B58" t="str">
        <f>IF(Allocation2!E58="","",Allocation2!E58)</f>
        <v>TUNON_LYO</v>
      </c>
      <c r="C58" t="str">
        <f>IF(Allocation2!F58="","",Allocation2!F58)</f>
        <v>TUNON</v>
      </c>
      <c r="D58" t="str">
        <f>IF(Allocation2!G58="","",Allocation2!G58)</f>
        <v>BAC_TOU</v>
      </c>
      <c r="E58" t="str">
        <f>IF(Allocation2!H58="","",Allocation2!H58)</f>
        <v>B2</v>
      </c>
      <c r="F58" t="str">
        <f>IF(Allocation2!I58="","",Allocation2!I58)</f>
        <v>ALT</v>
      </c>
      <c r="G58">
        <f>IF(Allocation2!E58="","",Allocation2!J58)</f>
        <v>39</v>
      </c>
      <c r="H58">
        <f>IF(Allocation2!E58="","",Allocation2!K58)</f>
        <v>2</v>
      </c>
      <c r="I58">
        <f>IF(Allocation2!E58="","",Allocation2!L58)</f>
        <v>286650</v>
      </c>
      <c r="J58">
        <f>IF($A58="","",Allocation2!X58)</f>
        <v>0</v>
      </c>
      <c r="K58">
        <f t="shared" si="0"/>
        <v>960</v>
      </c>
      <c r="L58">
        <f t="shared" si="19"/>
        <v>117</v>
      </c>
      <c r="M58">
        <f t="shared" si="20"/>
        <v>6</v>
      </c>
      <c r="N58">
        <f t="shared" si="21"/>
        <v>863550</v>
      </c>
      <c r="O58">
        <f t="shared" si="4"/>
        <v>2880</v>
      </c>
      <c r="P58">
        <f t="shared" si="5"/>
        <v>40</v>
      </c>
      <c r="Q58">
        <f t="shared" si="22"/>
        <v>255</v>
      </c>
      <c r="R58">
        <f t="shared" si="23"/>
        <v>12</v>
      </c>
      <c r="S58">
        <f t="shared" si="24"/>
        <v>1949700</v>
      </c>
      <c r="T58">
        <f t="shared" si="25"/>
        <v>3036</v>
      </c>
      <c r="U58">
        <f t="shared" si="26"/>
        <v>131</v>
      </c>
      <c r="V58">
        <f t="shared" si="27"/>
        <v>22544725</v>
      </c>
      <c r="W58">
        <f>IF($A58="","",Allocation2!Y58)</f>
        <v>72438</v>
      </c>
      <c r="X58">
        <f>IF($A58="","",Allocation2!Z58)</f>
        <v>167364</v>
      </c>
      <c r="Y58">
        <f>IF($A58="","",Allocation2!AA58)</f>
        <v>43535</v>
      </c>
      <c r="Z58">
        <f>IF($A58="","",Allocation2!AB58)</f>
        <v>18850</v>
      </c>
      <c r="AA58">
        <f>IF($A58="","",Allocation2!AC58)</f>
        <v>337611</v>
      </c>
      <c r="AB58">
        <f>IF($A58="","",Allocation2!AD58)</f>
        <v>2891983</v>
      </c>
      <c r="AC58">
        <f>IF($A58="","",IF(ALLOC!$N$4="VOL_EFF",$G58,IF(ALLOC!$N$4="VOL_CLASS",$H58,$I58)))</f>
        <v>39</v>
      </c>
      <c r="AD58">
        <f>IF($A58="","",IF(ALLOC!$N$4="VOL_EFF",$L58,IF(ALLOC!$N$4="VOL_CLASS",$M58,$N58)))</f>
        <v>117</v>
      </c>
      <c r="AE58">
        <f>IF($A58="","",IF(ALLOC!$N$3="VOL_EFF",$L58,IF(ALLOC!$N$3="VOL_CLASS",$M58,$N58)))</f>
        <v>863550</v>
      </c>
      <c r="AF58">
        <f>IF($A58="","",IF(ALLOC!$N$3="VOL_EFF",$Q58,IF(ALLOC!$N$3="VOL_CLASS",$R58,$S58)))</f>
        <v>1949700</v>
      </c>
      <c r="AG58">
        <f>IF($A58="","",IF(ALLOC!$N$1="VOL_EFF",$Q58,IF(ALLOC!$N$1="VOL_CLASS",$R58,$S58)))</f>
        <v>255</v>
      </c>
      <c r="AH58">
        <f>IF($A58="","",IF(ALLOC!$N$1="VOL_EFF",$T58,IF(ALLOC!$N$1="VOL_CLASS",$U58,$V58)))</f>
        <v>3036</v>
      </c>
      <c r="AI58">
        <f t="shared" si="12"/>
        <v>24146</v>
      </c>
      <c r="AJ58">
        <f t="shared" si="13"/>
        <v>55788</v>
      </c>
      <c r="AK58">
        <f t="shared" si="14"/>
        <v>14511.666666666666</v>
      </c>
      <c r="AL58">
        <f t="shared" si="15"/>
        <v>112537</v>
      </c>
      <c r="AM58">
        <f t="shared" si="16"/>
        <v>35861.841852607904</v>
      </c>
      <c r="AN58">
        <f t="shared" si="17"/>
        <v>35418.532924620406</v>
      </c>
      <c r="AO58">
        <f>IF($A58="","",Allocation2!AE58)</f>
        <v>676344</v>
      </c>
      <c r="AP58">
        <f>IF($A58="","",IF(ALLOC!$N$2="VOL_EFF",$Q58,IF(ALLOC!$N$2="VOL_CLASS",$R58,$S58)))</f>
        <v>255</v>
      </c>
      <c r="AQ58">
        <f>IF($A58="","",IF(ALLOC!$N$2="VOL_EFF",$T58,IF(ALLOC!$N$2="VOL_CLASS",$U58,$V58)))</f>
        <v>3036</v>
      </c>
      <c r="AR58">
        <f t="shared" si="18"/>
        <v>8386.9585561050135</v>
      </c>
    </row>
    <row r="59" spans="1:44" x14ac:dyDescent="0.45">
      <c r="A59" t="str">
        <f>IF(Allocation2!D59="","",Allocation2!D59)</f>
        <v>2026</v>
      </c>
      <c r="B59" t="str">
        <f>IF(Allocation2!E59="","",Allocation2!E59)</f>
        <v>TUNON_LYO</v>
      </c>
      <c r="C59" t="str">
        <f>IF(Allocation2!F59="","",Allocation2!F59)</f>
        <v>TUNON</v>
      </c>
      <c r="D59" t="str">
        <f>IF(Allocation2!G59="","",Allocation2!G59)</f>
        <v>BAC_TOU</v>
      </c>
      <c r="E59" t="str">
        <f>IF(Allocation2!H59="","",Allocation2!H59)</f>
        <v>B3</v>
      </c>
      <c r="F59" t="str">
        <f>IF(Allocation2!I59="","",Allocation2!I59)</f>
        <v>ALT</v>
      </c>
      <c r="G59">
        <f>IF(Allocation2!E59="","",Allocation2!J59)</f>
        <v>38</v>
      </c>
      <c r="H59">
        <f>IF(Allocation2!E59="","",Allocation2!K59)</f>
        <v>2</v>
      </c>
      <c r="I59">
        <f>IF(Allocation2!E59="","",Allocation2!L59)</f>
        <v>279300</v>
      </c>
      <c r="J59">
        <f>IF($A59="","",Allocation2!X59)</f>
        <v>0</v>
      </c>
      <c r="K59">
        <f t="shared" si="0"/>
        <v>960</v>
      </c>
      <c r="L59">
        <f t="shared" si="19"/>
        <v>117</v>
      </c>
      <c r="M59">
        <f t="shared" si="20"/>
        <v>6</v>
      </c>
      <c r="N59">
        <f t="shared" si="21"/>
        <v>863550</v>
      </c>
      <c r="O59">
        <f t="shared" si="4"/>
        <v>2880</v>
      </c>
      <c r="P59">
        <f t="shared" si="5"/>
        <v>40</v>
      </c>
      <c r="Q59">
        <f t="shared" si="22"/>
        <v>255</v>
      </c>
      <c r="R59">
        <f t="shared" si="23"/>
        <v>12</v>
      </c>
      <c r="S59">
        <f t="shared" si="24"/>
        <v>1949700</v>
      </c>
      <c r="T59">
        <f t="shared" si="25"/>
        <v>3036</v>
      </c>
      <c r="U59">
        <f t="shared" si="26"/>
        <v>131</v>
      </c>
      <c r="V59">
        <f t="shared" si="27"/>
        <v>22544725</v>
      </c>
      <c r="W59">
        <f>IF($A59="","",Allocation2!Y59)</f>
        <v>72438</v>
      </c>
      <c r="X59">
        <f>IF($A59="","",Allocation2!Z59)</f>
        <v>167364</v>
      </c>
      <c r="Y59">
        <f>IF($A59="","",Allocation2!AA59)</f>
        <v>43535</v>
      </c>
      <c r="Z59">
        <f>IF($A59="","",Allocation2!AB59)</f>
        <v>18850</v>
      </c>
      <c r="AA59">
        <f>IF($A59="","",Allocation2!AC59)</f>
        <v>337611</v>
      </c>
      <c r="AB59">
        <f>IF($A59="","",Allocation2!AD59)</f>
        <v>2891983</v>
      </c>
      <c r="AC59">
        <f>IF($A59="","",IF(ALLOC!$N$4="VOL_EFF",$G59,IF(ALLOC!$N$4="VOL_CLASS",$H59,$I59)))</f>
        <v>38</v>
      </c>
      <c r="AD59">
        <f>IF($A59="","",IF(ALLOC!$N$4="VOL_EFF",$L59,IF(ALLOC!$N$4="VOL_CLASS",$M59,$N59)))</f>
        <v>117</v>
      </c>
      <c r="AE59">
        <f>IF($A59="","",IF(ALLOC!$N$3="VOL_EFF",$L59,IF(ALLOC!$N$3="VOL_CLASS",$M59,$N59)))</f>
        <v>863550</v>
      </c>
      <c r="AF59">
        <f>IF($A59="","",IF(ALLOC!$N$3="VOL_EFF",$Q59,IF(ALLOC!$N$3="VOL_CLASS",$R59,$S59)))</f>
        <v>1949700</v>
      </c>
      <c r="AG59">
        <f>IF($A59="","",IF(ALLOC!$N$1="VOL_EFF",$Q59,IF(ALLOC!$N$1="VOL_CLASS",$R59,$S59)))</f>
        <v>255</v>
      </c>
      <c r="AH59">
        <f>IF($A59="","",IF(ALLOC!$N$1="VOL_EFF",$T59,IF(ALLOC!$N$1="VOL_CLASS",$U59,$V59)))</f>
        <v>3036</v>
      </c>
      <c r="AI59">
        <f t="shared" si="12"/>
        <v>24146</v>
      </c>
      <c r="AJ59">
        <f t="shared" si="13"/>
        <v>55788</v>
      </c>
      <c r="AK59">
        <f t="shared" si="14"/>
        <v>14139.57264957265</v>
      </c>
      <c r="AL59">
        <f t="shared" si="15"/>
        <v>109651.43589743591</v>
      </c>
      <c r="AM59">
        <f t="shared" si="16"/>
        <v>34942.307446130784</v>
      </c>
      <c r="AN59">
        <f t="shared" si="17"/>
        <v>32460.775670142961</v>
      </c>
      <c r="AO59">
        <f>IF($A59="","",Allocation2!AE59)</f>
        <v>676344</v>
      </c>
      <c r="AP59">
        <f>IF($A59="","",IF(ALLOC!$N$2="VOL_EFF",$Q59,IF(ALLOC!$N$2="VOL_CLASS",$R59,$S59)))</f>
        <v>255</v>
      </c>
      <c r="AQ59">
        <f>IF($A59="","",IF(ALLOC!$N$2="VOL_EFF",$T59,IF(ALLOC!$N$2="VOL_CLASS",$U59,$V59)))</f>
        <v>3036</v>
      </c>
      <c r="AR59">
        <f t="shared" si="18"/>
        <v>8171.9083367177063</v>
      </c>
    </row>
    <row r="60" spans="1:44" x14ac:dyDescent="0.45">
      <c r="A60" t="str">
        <f>IF(Allocation2!D60="","",Allocation2!D60)</f>
        <v>2025</v>
      </c>
      <c r="B60" t="str">
        <f>IF(Allocation2!E60="","",Allocation2!E60)</f>
        <v>MBWAY_PAR</v>
      </c>
      <c r="C60" t="str">
        <f>IF(Allocation2!F60="","",Allocation2!F60)</f>
        <v>MBWAY</v>
      </c>
      <c r="D60" t="str">
        <f>IF(Allocation2!G60="","",Allocation2!G60)</f>
        <v>BAC_MGT</v>
      </c>
      <c r="E60" t="str">
        <f>IF(Allocation2!H60="","",Allocation2!H60)</f>
        <v>B1</v>
      </c>
      <c r="F60" t="str">
        <f>IF(Allocation2!I60="","",Allocation2!I60)</f>
        <v>INIT</v>
      </c>
      <c r="G60">
        <f>IF(Allocation2!E60="","",Allocation2!J60)</f>
        <v>74</v>
      </c>
      <c r="H60">
        <f>IF(Allocation2!E60="","",Allocation2!K60)</f>
        <v>3</v>
      </c>
      <c r="I60">
        <f>IF(Allocation2!E60="","",Allocation2!L60)</f>
        <v>628260</v>
      </c>
      <c r="J60">
        <f>IF($A60="","",Allocation2!X60)</f>
        <v>74</v>
      </c>
      <c r="K60">
        <f t="shared" si="0"/>
        <v>1800</v>
      </c>
      <c r="L60">
        <f t="shared" si="19"/>
        <v>362</v>
      </c>
      <c r="M60">
        <f t="shared" si="20"/>
        <v>15</v>
      </c>
      <c r="N60">
        <f t="shared" si="21"/>
        <v>2974600</v>
      </c>
      <c r="O60">
        <f t="shared" si="4"/>
        <v>7200</v>
      </c>
      <c r="P60">
        <f t="shared" si="5"/>
        <v>148</v>
      </c>
      <c r="Q60">
        <f t="shared" si="22"/>
        <v>1179</v>
      </c>
      <c r="R60">
        <f t="shared" si="23"/>
        <v>50</v>
      </c>
      <c r="S60">
        <f t="shared" si="24"/>
        <v>9032400</v>
      </c>
      <c r="T60">
        <f t="shared" si="25"/>
        <v>2860</v>
      </c>
      <c r="U60">
        <f t="shared" si="26"/>
        <v>131</v>
      </c>
      <c r="V60">
        <f t="shared" si="27"/>
        <v>21240140</v>
      </c>
      <c r="W60">
        <f>IF($A60="","",Allocation2!Y60)</f>
        <v>172844</v>
      </c>
      <c r="X60">
        <f>IF($A60="","",Allocation2!Z60)</f>
        <v>577630</v>
      </c>
      <c r="Y60">
        <f>IF($A60="","",Allocation2!AA60)</f>
        <v>135665</v>
      </c>
      <c r="Z60">
        <f>IF($A60="","",Allocation2!AB60)</f>
        <v>62082</v>
      </c>
      <c r="AA60">
        <f>IF($A60="","",Allocation2!AC60)</f>
        <v>1386587</v>
      </c>
      <c r="AB60">
        <f>IF($A60="","",Allocation2!AD60)</f>
        <v>2760232</v>
      </c>
      <c r="AC60">
        <f>IF($A60="","",IF(ALLOC!$N$4="VOL_EFF",$G60,IF(ALLOC!$N$4="VOL_CLASS",$H60,$I60)))</f>
        <v>74</v>
      </c>
      <c r="AD60">
        <f>IF($A60="","",IF(ALLOC!$N$4="VOL_EFF",$L60,IF(ALLOC!$N$4="VOL_CLASS",$M60,$N60)))</f>
        <v>362</v>
      </c>
      <c r="AE60">
        <f>IF($A60="","",IF(ALLOC!$N$3="VOL_EFF",$L60,IF(ALLOC!$N$3="VOL_CLASS",$M60,$N60)))</f>
        <v>2974600</v>
      </c>
      <c r="AF60">
        <f>IF($A60="","",IF(ALLOC!$N$3="VOL_EFF",$Q60,IF(ALLOC!$N$3="VOL_CLASS",$R60,$S60)))</f>
        <v>9032400</v>
      </c>
      <c r="AG60">
        <f>IF($A60="","",IF(ALLOC!$N$1="VOL_EFF",$Q60,IF(ALLOC!$N$1="VOL_CLASS",$R60,$S60)))</f>
        <v>1179</v>
      </c>
      <c r="AH60">
        <f>IF($A60="","",IF(ALLOC!$N$1="VOL_EFF",$T60,IF(ALLOC!$N$1="VOL_CLASS",$U60,$V60)))</f>
        <v>2860</v>
      </c>
      <c r="AI60">
        <f t="shared" si="12"/>
        <v>43211</v>
      </c>
      <c r="AJ60">
        <f t="shared" si="13"/>
        <v>144407.5</v>
      </c>
      <c r="AK60">
        <f t="shared" si="14"/>
        <v>58773.624309392268</v>
      </c>
      <c r="AL60">
        <f t="shared" si="15"/>
        <v>283445.96132596687</v>
      </c>
      <c r="AM60">
        <f t="shared" si="16"/>
        <v>76602.3193172631</v>
      </c>
      <c r="AN60">
        <f t="shared" si="17"/>
        <v>5718.7246164361713</v>
      </c>
      <c r="AO60">
        <f>IF($A60="","",Allocation2!AE60)</f>
        <v>580167</v>
      </c>
      <c r="AP60">
        <f>IF($A60="","",IF(ALLOC!$N$2="VOL_EFF",$Q60,IF(ALLOC!$N$2="VOL_CLASS",$R60,$S60)))</f>
        <v>1179</v>
      </c>
      <c r="AQ60">
        <f>IF($A60="","",IF(ALLOC!$N$2="VOL_EFF",$T60,IF(ALLOC!$N$2="VOL_CLASS",$U60,$V60)))</f>
        <v>2860</v>
      </c>
      <c r="AR60">
        <f t="shared" si="18"/>
        <v>16100.870430941521</v>
      </c>
    </row>
    <row r="61" spans="1:44" x14ac:dyDescent="0.45">
      <c r="A61" t="str">
        <f>IF(Allocation2!D61="","",Allocation2!D61)</f>
        <v>2025</v>
      </c>
      <c r="B61" t="str">
        <f>IF(Allocation2!E61="","",Allocation2!E61)</f>
        <v>MBWAY_PAR</v>
      </c>
      <c r="C61" t="str">
        <f>IF(Allocation2!F61="","",Allocation2!F61)</f>
        <v>MBWAY</v>
      </c>
      <c r="D61" t="str">
        <f>IF(Allocation2!G61="","",Allocation2!G61)</f>
        <v>BAC_MGT</v>
      </c>
      <c r="E61" t="str">
        <f>IF(Allocation2!H61="","",Allocation2!H61)</f>
        <v>B2</v>
      </c>
      <c r="F61" t="str">
        <f>IF(Allocation2!I61="","",Allocation2!I61)</f>
        <v>ALT</v>
      </c>
      <c r="G61">
        <f>IF(Allocation2!E61="","",Allocation2!J61)</f>
        <v>72</v>
      </c>
      <c r="H61">
        <f>IF(Allocation2!E61="","",Allocation2!K61)</f>
        <v>3</v>
      </c>
      <c r="I61">
        <f>IF(Allocation2!E61="","",Allocation2!L61)</f>
        <v>564480</v>
      </c>
      <c r="J61">
        <f>IF($A61="","",Allocation2!X61)</f>
        <v>0</v>
      </c>
      <c r="K61">
        <f t="shared" si="0"/>
        <v>1440</v>
      </c>
      <c r="L61">
        <f t="shared" si="19"/>
        <v>362</v>
      </c>
      <c r="M61">
        <f t="shared" si="20"/>
        <v>15</v>
      </c>
      <c r="N61">
        <f t="shared" si="21"/>
        <v>2974600</v>
      </c>
      <c r="O61">
        <f t="shared" si="4"/>
        <v>7200</v>
      </c>
      <c r="P61">
        <f t="shared" si="5"/>
        <v>148</v>
      </c>
      <c r="Q61">
        <f t="shared" si="22"/>
        <v>1179</v>
      </c>
      <c r="R61">
        <f t="shared" si="23"/>
        <v>50</v>
      </c>
      <c r="S61">
        <f t="shared" si="24"/>
        <v>9032400</v>
      </c>
      <c r="T61">
        <f t="shared" si="25"/>
        <v>2860</v>
      </c>
      <c r="U61">
        <f t="shared" si="26"/>
        <v>131</v>
      </c>
      <c r="V61">
        <f t="shared" si="27"/>
        <v>21240140</v>
      </c>
      <c r="W61">
        <f>IF($A61="","",Allocation2!Y61)</f>
        <v>172844</v>
      </c>
      <c r="X61">
        <f>IF($A61="","",Allocation2!Z61)</f>
        <v>577630</v>
      </c>
      <c r="Y61">
        <f>IF($A61="","",Allocation2!AA61)</f>
        <v>135665</v>
      </c>
      <c r="Z61">
        <f>IF($A61="","",Allocation2!AB61)</f>
        <v>62082</v>
      </c>
      <c r="AA61">
        <f>IF($A61="","",Allocation2!AC61)</f>
        <v>1386587</v>
      </c>
      <c r="AB61">
        <f>IF($A61="","",Allocation2!AD61)</f>
        <v>2760232</v>
      </c>
      <c r="AC61">
        <f>IF($A61="","",IF(ALLOC!$N$4="VOL_EFF",$G61,IF(ALLOC!$N$4="VOL_CLASS",$H61,$I61)))</f>
        <v>72</v>
      </c>
      <c r="AD61">
        <f>IF($A61="","",IF(ALLOC!$N$4="VOL_EFF",$L61,IF(ALLOC!$N$4="VOL_CLASS",$M61,$N61)))</f>
        <v>362</v>
      </c>
      <c r="AE61">
        <f>IF($A61="","",IF(ALLOC!$N$3="VOL_EFF",$L61,IF(ALLOC!$N$3="VOL_CLASS",$M61,$N61)))</f>
        <v>2974600</v>
      </c>
      <c r="AF61">
        <f>IF($A61="","",IF(ALLOC!$N$3="VOL_EFF",$Q61,IF(ALLOC!$N$3="VOL_CLASS",$R61,$S61)))</f>
        <v>9032400</v>
      </c>
      <c r="AG61">
        <f>IF($A61="","",IF(ALLOC!$N$1="VOL_EFF",$Q61,IF(ALLOC!$N$1="VOL_CLASS",$R61,$S61)))</f>
        <v>1179</v>
      </c>
      <c r="AH61">
        <f>IF($A61="","",IF(ALLOC!$N$1="VOL_EFF",$T61,IF(ALLOC!$N$1="VOL_CLASS",$U61,$V61)))</f>
        <v>2860</v>
      </c>
      <c r="AI61">
        <f t="shared" si="12"/>
        <v>34568.800000000003</v>
      </c>
      <c r="AJ61">
        <f t="shared" si="13"/>
        <v>115526</v>
      </c>
      <c r="AK61">
        <f t="shared" si="14"/>
        <v>26983.093922651933</v>
      </c>
      <c r="AL61">
        <f t="shared" si="15"/>
        <v>275785.25966850825</v>
      </c>
      <c r="AM61">
        <f t="shared" si="16"/>
        <v>74531.986362742478</v>
      </c>
      <c r="AN61">
        <f t="shared" si="17"/>
        <v>21419.148275451502</v>
      </c>
      <c r="AO61">
        <f>IF($A61="","",Allocation2!AE61)</f>
        <v>580167</v>
      </c>
      <c r="AP61">
        <f>IF($A61="","",IF(ALLOC!$N$2="VOL_EFF",$Q61,IF(ALLOC!$N$2="VOL_CLASS",$R61,$S61)))</f>
        <v>1179</v>
      </c>
      <c r="AQ61">
        <f>IF($A61="","",IF(ALLOC!$N$2="VOL_EFF",$T61,IF(ALLOC!$N$2="VOL_CLASS",$U61,$V61)))</f>
        <v>2860</v>
      </c>
      <c r="AR61">
        <f t="shared" si="18"/>
        <v>15665.711770645803</v>
      </c>
    </row>
    <row r="62" spans="1:44" x14ac:dyDescent="0.45">
      <c r="A62" t="str">
        <f>IF(Allocation2!D62="","",Allocation2!D62)</f>
        <v>2025</v>
      </c>
      <c r="B62" t="str">
        <f>IF(Allocation2!E62="","",Allocation2!E62)</f>
        <v>MBWAY_PAR</v>
      </c>
      <c r="C62" t="str">
        <f>IF(Allocation2!F62="","",Allocation2!F62)</f>
        <v>MBWAY</v>
      </c>
      <c r="D62" t="str">
        <f>IF(Allocation2!G62="","",Allocation2!G62)</f>
        <v>BAC_MGT</v>
      </c>
      <c r="E62" t="str">
        <f>IF(Allocation2!H62="","",Allocation2!H62)</f>
        <v>B3</v>
      </c>
      <c r="F62" t="str">
        <f>IF(Allocation2!I62="","",Allocation2!I62)</f>
        <v>ALT</v>
      </c>
      <c r="G62">
        <f>IF(Allocation2!E62="","",Allocation2!J62)</f>
        <v>70</v>
      </c>
      <c r="H62">
        <f>IF(Allocation2!E62="","",Allocation2!K62)</f>
        <v>3</v>
      </c>
      <c r="I62">
        <f>IF(Allocation2!E62="","",Allocation2!L62)</f>
        <v>548800</v>
      </c>
      <c r="J62">
        <f>IF($A62="","",Allocation2!X62)</f>
        <v>0</v>
      </c>
      <c r="K62">
        <f t="shared" si="0"/>
        <v>1440</v>
      </c>
      <c r="L62">
        <f t="shared" si="19"/>
        <v>362</v>
      </c>
      <c r="M62">
        <f t="shared" si="20"/>
        <v>15</v>
      </c>
      <c r="N62">
        <f t="shared" si="21"/>
        <v>2974600</v>
      </c>
      <c r="O62">
        <f t="shared" si="4"/>
        <v>7200</v>
      </c>
      <c r="P62">
        <f t="shared" si="5"/>
        <v>148</v>
      </c>
      <c r="Q62">
        <f t="shared" si="22"/>
        <v>1179</v>
      </c>
      <c r="R62">
        <f t="shared" si="23"/>
        <v>50</v>
      </c>
      <c r="S62">
        <f t="shared" si="24"/>
        <v>9032400</v>
      </c>
      <c r="T62">
        <f t="shared" si="25"/>
        <v>2860</v>
      </c>
      <c r="U62">
        <f t="shared" si="26"/>
        <v>131</v>
      </c>
      <c r="V62">
        <f t="shared" si="27"/>
        <v>21240140</v>
      </c>
      <c r="W62">
        <f>IF($A62="","",Allocation2!Y62)</f>
        <v>172844</v>
      </c>
      <c r="X62">
        <f>IF($A62="","",Allocation2!Z62)</f>
        <v>577630</v>
      </c>
      <c r="Y62">
        <f>IF($A62="","",Allocation2!AA62)</f>
        <v>135665</v>
      </c>
      <c r="Z62">
        <f>IF($A62="","",Allocation2!AB62)</f>
        <v>62082</v>
      </c>
      <c r="AA62">
        <f>IF($A62="","",Allocation2!AC62)</f>
        <v>1386587</v>
      </c>
      <c r="AB62">
        <f>IF($A62="","",Allocation2!AD62)</f>
        <v>2760232</v>
      </c>
      <c r="AC62">
        <f>IF($A62="","",IF(ALLOC!$N$4="VOL_EFF",$G62,IF(ALLOC!$N$4="VOL_CLASS",$H62,$I62)))</f>
        <v>70</v>
      </c>
      <c r="AD62">
        <f>IF($A62="","",IF(ALLOC!$N$4="VOL_EFF",$L62,IF(ALLOC!$N$4="VOL_CLASS",$M62,$N62)))</f>
        <v>362</v>
      </c>
      <c r="AE62">
        <f>IF($A62="","",IF(ALLOC!$N$3="VOL_EFF",$L62,IF(ALLOC!$N$3="VOL_CLASS",$M62,$N62)))</f>
        <v>2974600</v>
      </c>
      <c r="AF62">
        <f>IF($A62="","",IF(ALLOC!$N$3="VOL_EFF",$Q62,IF(ALLOC!$N$3="VOL_CLASS",$R62,$S62)))</f>
        <v>9032400</v>
      </c>
      <c r="AG62">
        <f>IF($A62="","",IF(ALLOC!$N$1="VOL_EFF",$Q62,IF(ALLOC!$N$1="VOL_CLASS",$R62,$S62)))</f>
        <v>1179</v>
      </c>
      <c r="AH62">
        <f>IF($A62="","",IF(ALLOC!$N$1="VOL_EFF",$T62,IF(ALLOC!$N$1="VOL_CLASS",$U62,$V62)))</f>
        <v>2860</v>
      </c>
      <c r="AI62">
        <f t="shared" si="12"/>
        <v>34568.800000000003</v>
      </c>
      <c r="AJ62">
        <f t="shared" si="13"/>
        <v>115526</v>
      </c>
      <c r="AK62">
        <f t="shared" si="14"/>
        <v>26233.563535911602</v>
      </c>
      <c r="AL62">
        <f t="shared" si="15"/>
        <v>268124.55801104975</v>
      </c>
      <c r="AM62">
        <f t="shared" si="16"/>
        <v>72461.653408221857</v>
      </c>
      <c r="AN62">
        <f t="shared" si="17"/>
        <v>16654.871934466762</v>
      </c>
      <c r="AO62">
        <f>IF($A62="","",Allocation2!AE62)</f>
        <v>580167</v>
      </c>
      <c r="AP62">
        <f>IF($A62="","",IF(ALLOC!$N$2="VOL_EFF",$Q62,IF(ALLOC!$N$2="VOL_CLASS",$R62,$S62)))</f>
        <v>1179</v>
      </c>
      <c r="AQ62">
        <f>IF($A62="","",IF(ALLOC!$N$2="VOL_EFF",$T62,IF(ALLOC!$N$2="VOL_CLASS",$U62,$V62)))</f>
        <v>2860</v>
      </c>
      <c r="AR62">
        <f t="shared" si="18"/>
        <v>15230.553110350087</v>
      </c>
    </row>
    <row r="63" spans="1:44" x14ac:dyDescent="0.45">
      <c r="A63" t="str">
        <f>IF(Allocation2!D63="","",Allocation2!D63)</f>
        <v>2025</v>
      </c>
      <c r="B63" t="str">
        <f>IF(Allocation2!E63="","",Allocation2!E63)</f>
        <v>MBWAY_PAR</v>
      </c>
      <c r="C63" t="str">
        <f>IF(Allocation2!F63="","",Allocation2!F63)</f>
        <v>MBWAY</v>
      </c>
      <c r="D63" t="str">
        <f>IF(Allocation2!G63="","",Allocation2!G63)</f>
        <v>MAS_MGT</v>
      </c>
      <c r="E63" t="str">
        <f>IF(Allocation2!H63="","",Allocation2!H63)</f>
        <v>M1</v>
      </c>
      <c r="F63" t="str">
        <f>IF(Allocation2!I63="","",Allocation2!I63)</f>
        <v>ALT</v>
      </c>
      <c r="G63">
        <f>IF(Allocation2!E63="","",Allocation2!J63)</f>
        <v>74</v>
      </c>
      <c r="H63">
        <f>IF(Allocation2!E63="","",Allocation2!K63)</f>
        <v>3</v>
      </c>
      <c r="I63">
        <f>IF(Allocation2!E63="","",Allocation2!L63)</f>
        <v>628260</v>
      </c>
      <c r="J63">
        <f>IF($A63="","",Allocation2!X63)</f>
        <v>74</v>
      </c>
      <c r="K63">
        <f t="shared" si="0"/>
        <v>1260</v>
      </c>
      <c r="L63">
        <f t="shared" si="19"/>
        <v>362</v>
      </c>
      <c r="M63">
        <f t="shared" si="20"/>
        <v>15</v>
      </c>
      <c r="N63">
        <f t="shared" si="21"/>
        <v>2974600</v>
      </c>
      <c r="O63">
        <f t="shared" si="4"/>
        <v>7200</v>
      </c>
      <c r="P63">
        <f t="shared" si="5"/>
        <v>148</v>
      </c>
      <c r="Q63">
        <f t="shared" si="22"/>
        <v>1179</v>
      </c>
      <c r="R63">
        <f t="shared" si="23"/>
        <v>50</v>
      </c>
      <c r="S63">
        <f t="shared" si="24"/>
        <v>9032400</v>
      </c>
      <c r="T63">
        <f t="shared" si="25"/>
        <v>2860</v>
      </c>
      <c r="U63">
        <f t="shared" si="26"/>
        <v>131</v>
      </c>
      <c r="V63">
        <f t="shared" si="27"/>
        <v>21240140</v>
      </c>
      <c r="W63">
        <f>IF($A63="","",Allocation2!Y63)</f>
        <v>172844</v>
      </c>
      <c r="X63">
        <f>IF($A63="","",Allocation2!Z63)</f>
        <v>577630</v>
      </c>
      <c r="Y63">
        <f>IF($A63="","",Allocation2!AA63)</f>
        <v>135665</v>
      </c>
      <c r="Z63">
        <f>IF($A63="","",Allocation2!AB63)</f>
        <v>62082</v>
      </c>
      <c r="AA63">
        <f>IF($A63="","",Allocation2!AC63)</f>
        <v>1386587</v>
      </c>
      <c r="AB63">
        <f>IF($A63="","",Allocation2!AD63)</f>
        <v>2760232</v>
      </c>
      <c r="AC63">
        <f>IF($A63="","",IF(ALLOC!$N$4="VOL_EFF",$G63,IF(ALLOC!$N$4="VOL_CLASS",$H63,$I63)))</f>
        <v>74</v>
      </c>
      <c r="AD63">
        <f>IF($A63="","",IF(ALLOC!$N$4="VOL_EFF",$L63,IF(ALLOC!$N$4="VOL_CLASS",$M63,$N63)))</f>
        <v>362</v>
      </c>
      <c r="AE63">
        <f>IF($A63="","",IF(ALLOC!$N$3="VOL_EFF",$L63,IF(ALLOC!$N$3="VOL_CLASS",$M63,$N63)))</f>
        <v>2974600</v>
      </c>
      <c r="AF63">
        <f>IF($A63="","",IF(ALLOC!$N$3="VOL_EFF",$Q63,IF(ALLOC!$N$3="VOL_CLASS",$R63,$S63)))</f>
        <v>9032400</v>
      </c>
      <c r="AG63">
        <f>IF($A63="","",IF(ALLOC!$N$1="VOL_EFF",$Q63,IF(ALLOC!$N$1="VOL_CLASS",$R63,$S63)))</f>
        <v>1179</v>
      </c>
      <c r="AH63">
        <f>IF($A63="","",IF(ALLOC!$N$1="VOL_EFF",$T63,IF(ALLOC!$N$1="VOL_CLASS",$U63,$V63)))</f>
        <v>2860</v>
      </c>
      <c r="AI63">
        <f t="shared" si="12"/>
        <v>30247.699999999997</v>
      </c>
      <c r="AJ63">
        <f t="shared" si="13"/>
        <v>101085.25</v>
      </c>
      <c r="AK63">
        <f t="shared" si="14"/>
        <v>58773.624309392268</v>
      </c>
      <c r="AL63">
        <f t="shared" si="15"/>
        <v>283445.96132596687</v>
      </c>
      <c r="AM63">
        <f t="shared" si="16"/>
        <v>76602.3193172631</v>
      </c>
      <c r="AN63">
        <f t="shared" si="17"/>
        <v>62004.274616436218</v>
      </c>
      <c r="AO63">
        <f>IF($A63="","",Allocation2!AE63)</f>
        <v>580167</v>
      </c>
      <c r="AP63">
        <f>IF($A63="","",IF(ALLOC!$N$2="VOL_EFF",$Q63,IF(ALLOC!$N$2="VOL_CLASS",$R63,$S63)))</f>
        <v>1179</v>
      </c>
      <c r="AQ63">
        <f>IF($A63="","",IF(ALLOC!$N$2="VOL_EFF",$T63,IF(ALLOC!$N$2="VOL_CLASS",$U63,$V63)))</f>
        <v>2860</v>
      </c>
      <c r="AR63">
        <f t="shared" si="18"/>
        <v>16100.870430941521</v>
      </c>
    </row>
    <row r="64" spans="1:44" x14ac:dyDescent="0.45">
      <c r="A64" t="str">
        <f>IF(Allocation2!D64="","",Allocation2!D64)</f>
        <v>2025</v>
      </c>
      <c r="B64" t="str">
        <f>IF(Allocation2!E64="","",Allocation2!E64)</f>
        <v>MBWAY_PAR</v>
      </c>
      <c r="C64" t="str">
        <f>IF(Allocation2!F64="","",Allocation2!F64)</f>
        <v>MBWAY</v>
      </c>
      <c r="D64" t="str">
        <f>IF(Allocation2!G64="","",Allocation2!G64)</f>
        <v>MAS_MGT</v>
      </c>
      <c r="E64" t="str">
        <f>IF(Allocation2!H64="","",Allocation2!H64)</f>
        <v>M2</v>
      </c>
      <c r="F64" t="str">
        <f>IF(Allocation2!I64="","",Allocation2!I64)</f>
        <v>ALT</v>
      </c>
      <c r="G64">
        <f>IF(Allocation2!E64="","",Allocation2!J64)</f>
        <v>72</v>
      </c>
      <c r="H64">
        <f>IF(Allocation2!E64="","",Allocation2!K64)</f>
        <v>3</v>
      </c>
      <c r="I64">
        <f>IF(Allocation2!E64="","",Allocation2!L64)</f>
        <v>604800</v>
      </c>
      <c r="J64">
        <f>IF($A64="","",Allocation2!X64)</f>
        <v>0</v>
      </c>
      <c r="K64">
        <f t="shared" si="0"/>
        <v>1260</v>
      </c>
      <c r="L64">
        <f t="shared" si="19"/>
        <v>362</v>
      </c>
      <c r="M64">
        <f t="shared" si="20"/>
        <v>15</v>
      </c>
      <c r="N64">
        <f t="shared" si="21"/>
        <v>2974600</v>
      </c>
      <c r="O64">
        <f t="shared" si="4"/>
        <v>7200</v>
      </c>
      <c r="P64">
        <f t="shared" si="5"/>
        <v>148</v>
      </c>
      <c r="Q64">
        <f t="shared" si="22"/>
        <v>1179</v>
      </c>
      <c r="R64">
        <f t="shared" si="23"/>
        <v>50</v>
      </c>
      <c r="S64">
        <f t="shared" si="24"/>
        <v>9032400</v>
      </c>
      <c r="T64">
        <f t="shared" si="25"/>
        <v>2860</v>
      </c>
      <c r="U64">
        <f t="shared" si="26"/>
        <v>131</v>
      </c>
      <c r="V64">
        <f t="shared" si="27"/>
        <v>21240140</v>
      </c>
      <c r="W64">
        <f>IF($A64="","",Allocation2!Y64)</f>
        <v>172844</v>
      </c>
      <c r="X64">
        <f>IF($A64="","",Allocation2!Z64)</f>
        <v>577630</v>
      </c>
      <c r="Y64">
        <f>IF($A64="","",Allocation2!AA64)</f>
        <v>135665</v>
      </c>
      <c r="Z64">
        <f>IF($A64="","",Allocation2!AB64)</f>
        <v>62082</v>
      </c>
      <c r="AA64">
        <f>IF($A64="","",Allocation2!AC64)</f>
        <v>1386587</v>
      </c>
      <c r="AB64">
        <f>IF($A64="","",Allocation2!AD64)</f>
        <v>2760232</v>
      </c>
      <c r="AC64">
        <f>IF($A64="","",IF(ALLOC!$N$4="VOL_EFF",$G64,IF(ALLOC!$N$4="VOL_CLASS",$H64,$I64)))</f>
        <v>72</v>
      </c>
      <c r="AD64">
        <f>IF($A64="","",IF(ALLOC!$N$4="VOL_EFF",$L64,IF(ALLOC!$N$4="VOL_CLASS",$M64,$N64)))</f>
        <v>362</v>
      </c>
      <c r="AE64">
        <f>IF($A64="","",IF(ALLOC!$N$3="VOL_EFF",$L64,IF(ALLOC!$N$3="VOL_CLASS",$M64,$N64)))</f>
        <v>2974600</v>
      </c>
      <c r="AF64">
        <f>IF($A64="","",IF(ALLOC!$N$3="VOL_EFF",$Q64,IF(ALLOC!$N$3="VOL_CLASS",$R64,$S64)))</f>
        <v>9032400</v>
      </c>
      <c r="AG64">
        <f>IF($A64="","",IF(ALLOC!$N$1="VOL_EFF",$Q64,IF(ALLOC!$N$1="VOL_CLASS",$R64,$S64)))</f>
        <v>1179</v>
      </c>
      <c r="AH64">
        <f>IF($A64="","",IF(ALLOC!$N$1="VOL_EFF",$T64,IF(ALLOC!$N$1="VOL_CLASS",$U64,$V64)))</f>
        <v>2860</v>
      </c>
      <c r="AI64">
        <f t="shared" si="12"/>
        <v>30247.699999999997</v>
      </c>
      <c r="AJ64">
        <f t="shared" si="13"/>
        <v>101085.25</v>
      </c>
      <c r="AK64">
        <f t="shared" si="14"/>
        <v>26983.093922651933</v>
      </c>
      <c r="AL64">
        <f t="shared" si="15"/>
        <v>275785.25966850825</v>
      </c>
      <c r="AM64">
        <f t="shared" si="16"/>
        <v>74531.986362742478</v>
      </c>
      <c r="AN64">
        <f t="shared" si="17"/>
        <v>80500.998275451479</v>
      </c>
      <c r="AO64">
        <f>IF($A64="","",Allocation2!AE64)</f>
        <v>580167</v>
      </c>
      <c r="AP64">
        <f>IF($A64="","",IF(ALLOC!$N$2="VOL_EFF",$Q64,IF(ALLOC!$N$2="VOL_CLASS",$R64,$S64)))</f>
        <v>1179</v>
      </c>
      <c r="AQ64">
        <f>IF($A64="","",IF(ALLOC!$N$2="VOL_EFF",$T64,IF(ALLOC!$N$2="VOL_CLASS",$U64,$V64)))</f>
        <v>2860</v>
      </c>
      <c r="AR64">
        <f t="shared" si="18"/>
        <v>15665.711770645803</v>
      </c>
    </row>
    <row r="65" spans="1:44" x14ac:dyDescent="0.45">
      <c r="A65" t="str">
        <f>IF(Allocation2!D65="","",Allocation2!D65)</f>
        <v>2025</v>
      </c>
      <c r="B65" t="str">
        <f>IF(Allocation2!E65="","",Allocation2!E65)</f>
        <v>MBWAY_LYO</v>
      </c>
      <c r="C65" t="str">
        <f>IF(Allocation2!F65="","",Allocation2!F65)</f>
        <v>MBWAY</v>
      </c>
      <c r="D65" t="str">
        <f>IF(Allocation2!G65="","",Allocation2!G65)</f>
        <v>BAC_MGT</v>
      </c>
      <c r="E65" t="str">
        <f>IF(Allocation2!H65="","",Allocation2!H65)</f>
        <v>B1</v>
      </c>
      <c r="F65" t="str">
        <f>IF(Allocation2!I65="","",Allocation2!I65)</f>
        <v>INIT</v>
      </c>
      <c r="G65">
        <f>IF(Allocation2!E65="","",Allocation2!J65)</f>
        <v>62</v>
      </c>
      <c r="H65">
        <f>IF(Allocation2!E65="","",Allocation2!K65)</f>
        <v>3</v>
      </c>
      <c r="I65">
        <f>IF(Allocation2!E65="","",Allocation2!L65)</f>
        <v>493830</v>
      </c>
      <c r="J65">
        <f>IF($A65="","",Allocation2!X65)</f>
        <v>62</v>
      </c>
      <c r="K65">
        <f t="shared" si="0"/>
        <v>1800</v>
      </c>
      <c r="L65">
        <f t="shared" si="19"/>
        <v>304</v>
      </c>
      <c r="M65">
        <f t="shared" si="20"/>
        <v>13</v>
      </c>
      <c r="N65">
        <f t="shared" si="21"/>
        <v>2342685</v>
      </c>
      <c r="O65">
        <f t="shared" si="4"/>
        <v>6240</v>
      </c>
      <c r="P65">
        <f t="shared" si="5"/>
        <v>124</v>
      </c>
      <c r="Q65">
        <f t="shared" si="22"/>
        <v>1179</v>
      </c>
      <c r="R65">
        <f t="shared" si="23"/>
        <v>50</v>
      </c>
      <c r="S65">
        <f t="shared" si="24"/>
        <v>9032400</v>
      </c>
      <c r="T65">
        <f t="shared" si="25"/>
        <v>2860</v>
      </c>
      <c r="U65">
        <f t="shared" si="26"/>
        <v>131</v>
      </c>
      <c r="V65">
        <f t="shared" si="27"/>
        <v>21240140</v>
      </c>
      <c r="W65">
        <f>IF($A65="","",Allocation2!Y65)</f>
        <v>149798</v>
      </c>
      <c r="X65">
        <f>IF($A65="","",Allocation2!Z65)</f>
        <v>346103</v>
      </c>
      <c r="Y65">
        <f>IF($A65="","",Allocation2!AA65)</f>
        <v>115067</v>
      </c>
      <c r="Z65">
        <f>IF($A65="","",Allocation2!AB65)</f>
        <v>37985</v>
      </c>
      <c r="AA65">
        <f>IF($A65="","",Allocation2!AC65)</f>
        <v>818726</v>
      </c>
      <c r="AB65">
        <f>IF($A65="","",Allocation2!AD65)</f>
        <v>2760232</v>
      </c>
      <c r="AC65">
        <f>IF($A65="","",IF(ALLOC!$N$4="VOL_EFF",$G65,IF(ALLOC!$N$4="VOL_CLASS",$H65,$I65)))</f>
        <v>62</v>
      </c>
      <c r="AD65">
        <f>IF($A65="","",IF(ALLOC!$N$4="VOL_EFF",$L65,IF(ALLOC!$N$4="VOL_CLASS",$M65,$N65)))</f>
        <v>304</v>
      </c>
      <c r="AE65">
        <f>IF($A65="","",IF(ALLOC!$N$3="VOL_EFF",$L65,IF(ALLOC!$N$3="VOL_CLASS",$M65,$N65)))</f>
        <v>2342685</v>
      </c>
      <c r="AF65">
        <f>IF($A65="","",IF(ALLOC!$N$3="VOL_EFF",$Q65,IF(ALLOC!$N$3="VOL_CLASS",$R65,$S65)))</f>
        <v>9032400</v>
      </c>
      <c r="AG65">
        <f>IF($A65="","",IF(ALLOC!$N$1="VOL_EFF",$Q65,IF(ALLOC!$N$1="VOL_CLASS",$R65,$S65)))</f>
        <v>1179</v>
      </c>
      <c r="AH65">
        <f>IF($A65="","",IF(ALLOC!$N$1="VOL_EFF",$T65,IF(ALLOC!$N$1="VOL_CLASS",$U65,$V65)))</f>
        <v>2860</v>
      </c>
      <c r="AI65">
        <f t="shared" si="12"/>
        <v>43210.961538461532</v>
      </c>
      <c r="AJ65">
        <f t="shared" si="13"/>
        <v>99837.403846153844</v>
      </c>
      <c r="AK65">
        <f t="shared" si="14"/>
        <v>42460.111842105267</v>
      </c>
      <c r="AL65">
        <f t="shared" si="15"/>
        <v>166977.01315789475</v>
      </c>
      <c r="AM65">
        <f t="shared" si="16"/>
        <v>60189.702816910372</v>
      </c>
      <c r="AN65">
        <f t="shared" si="17"/>
        <v>68503.66757750354</v>
      </c>
      <c r="AO65">
        <f>IF($A65="","",Allocation2!AE65)</f>
        <v>580167</v>
      </c>
      <c r="AP65">
        <f>IF($A65="","",IF(ALLOC!$N$2="VOL_EFF",$Q65,IF(ALLOC!$N$2="VOL_CLASS",$R65,$S65)))</f>
        <v>1179</v>
      </c>
      <c r="AQ65">
        <f>IF($A65="","",IF(ALLOC!$N$2="VOL_EFF",$T65,IF(ALLOC!$N$2="VOL_CLASS",$U65,$V65)))</f>
        <v>2860</v>
      </c>
      <c r="AR65">
        <f t="shared" si="18"/>
        <v>12651.139220970717</v>
      </c>
    </row>
    <row r="66" spans="1:44" x14ac:dyDescent="0.45">
      <c r="A66" t="str">
        <f>IF(Allocation2!D66="","",Allocation2!D66)</f>
        <v>2025</v>
      </c>
      <c r="B66" t="str">
        <f>IF(Allocation2!E66="","",Allocation2!E66)</f>
        <v>MBWAY_LYO</v>
      </c>
      <c r="C66" t="str">
        <f>IF(Allocation2!F66="","",Allocation2!F66)</f>
        <v>MBWAY</v>
      </c>
      <c r="D66" t="str">
        <f>IF(Allocation2!G66="","",Allocation2!G66)</f>
        <v>BAC_MGT</v>
      </c>
      <c r="E66" t="str">
        <f>IF(Allocation2!H66="","",Allocation2!H66)</f>
        <v>B2</v>
      </c>
      <c r="F66" t="str">
        <f>IF(Allocation2!I66="","",Allocation2!I66)</f>
        <v>ALT</v>
      </c>
      <c r="G66">
        <f>IF(Allocation2!E66="","",Allocation2!J66)</f>
        <v>60</v>
      </c>
      <c r="H66">
        <f>IF(Allocation2!E66="","",Allocation2!K66)</f>
        <v>2</v>
      </c>
      <c r="I66">
        <f>IF(Allocation2!E66="","",Allocation2!L66)</f>
        <v>441000</v>
      </c>
      <c r="J66">
        <f>IF($A66="","",Allocation2!X66)</f>
        <v>0</v>
      </c>
      <c r="K66">
        <f t="shared" ref="K66:K129" si="28">IF($A66="","",$H66*IF(AND(LEFT($D66,3)="BAC",$F66="INIT"),600,IF(LEFT($D66,3)="BAC",480,IF(AND(LEFT($D66,3)="MAS",$F66="INIT"),520,IF(LEFT($D66,3)="MAS",420,IF($F66="INIT",1000,700))))))</f>
        <v>960</v>
      </c>
      <c r="L66">
        <f t="shared" ref="L66:L97" si="29">IF($A66="","",SUMIFS($G$1:$G$175,$A$1:$A$175,$A66,$B$1:$B$175,$B66))</f>
        <v>304</v>
      </c>
      <c r="M66">
        <f t="shared" ref="M66:M97" si="30">IF($A66="","",SUMIFS($H$1:$H$175,$A$1:$A$175,$A66,$B$1:$B$175,$B66))</f>
        <v>13</v>
      </c>
      <c r="N66">
        <f t="shared" ref="N66:N97" si="31">IF($A66="","",SUMIFS($I$1:$I$175,$A$1:$A$175,$A66,$B$1:$B$175,$B66))</f>
        <v>2342685</v>
      </c>
      <c r="O66">
        <f t="shared" ref="O66:O129" si="32">IF($A66="","",SUMIFS($K$1:$K$175,$A$1:$A$175,$A66,$B$1:$B$175,$B66))</f>
        <v>6240</v>
      </c>
      <c r="P66">
        <f t="shared" ref="P66:P129" si="33">IF($A66="","",SUMIFS($J$1:$J$175,$A$1:$A$175,$A66,$B$1:$B$175,$B66))</f>
        <v>124</v>
      </c>
      <c r="Q66">
        <f t="shared" ref="Q66:Q97" si="34">IF($A66="","",SUMIFS($G$1:$G$175,$A$1:$A$175,$A66,$C$1:$C$175,$C66))</f>
        <v>1179</v>
      </c>
      <c r="R66">
        <f t="shared" ref="R66:R97" si="35">IF($A66="","",SUMIFS($H$1:$H$175,$A$1:$A$175,$A66,$C$1:$C$175,$C66))</f>
        <v>50</v>
      </c>
      <c r="S66">
        <f t="shared" ref="S66:S97" si="36">IF($A66="","",SUMIFS($I$1:$I$175,$A$1:$A$175,$A66,$C$1:$C$175,$C66))</f>
        <v>9032400</v>
      </c>
      <c r="T66">
        <f t="shared" ref="T66:T97" si="37">IF($A66="","",SUMIFS($G$1:$G$175,$A$1:$A$175,$A66))</f>
        <v>2860</v>
      </c>
      <c r="U66">
        <f t="shared" ref="U66:U97" si="38">IF($A66="","",SUMIFS($H$1:$H$175,$A$1:$A$175,$A66))</f>
        <v>131</v>
      </c>
      <c r="V66">
        <f t="shared" ref="V66:V97" si="39">IF($A66="","",SUMIFS($I$1:$I$175,$A$1:$A$175,$A66))</f>
        <v>21240140</v>
      </c>
      <c r="W66">
        <f>IF($A66="","",Allocation2!Y66)</f>
        <v>149798</v>
      </c>
      <c r="X66">
        <f>IF($A66="","",Allocation2!Z66)</f>
        <v>346103</v>
      </c>
      <c r="Y66">
        <f>IF($A66="","",Allocation2!AA66)</f>
        <v>115067</v>
      </c>
      <c r="Z66">
        <f>IF($A66="","",Allocation2!AB66)</f>
        <v>37985</v>
      </c>
      <c r="AA66">
        <f>IF($A66="","",Allocation2!AC66)</f>
        <v>818726</v>
      </c>
      <c r="AB66">
        <f>IF($A66="","",Allocation2!AD66)</f>
        <v>2760232</v>
      </c>
      <c r="AC66">
        <f>IF($A66="","",IF(ALLOC!$N$4="VOL_EFF",$G66,IF(ALLOC!$N$4="VOL_CLASS",$H66,$I66)))</f>
        <v>60</v>
      </c>
      <c r="AD66">
        <f>IF($A66="","",IF(ALLOC!$N$4="VOL_EFF",$L66,IF(ALLOC!$N$4="VOL_CLASS",$M66,$N66)))</f>
        <v>304</v>
      </c>
      <c r="AE66">
        <f>IF($A66="","",IF(ALLOC!$N$3="VOL_EFF",$L66,IF(ALLOC!$N$3="VOL_CLASS",$M66,$N66)))</f>
        <v>2342685</v>
      </c>
      <c r="AF66">
        <f>IF($A66="","",IF(ALLOC!$N$3="VOL_EFF",$Q66,IF(ALLOC!$N$3="VOL_CLASS",$R66,$S66)))</f>
        <v>9032400</v>
      </c>
      <c r="AG66">
        <f>IF($A66="","",IF(ALLOC!$N$1="VOL_EFF",$Q66,IF(ALLOC!$N$1="VOL_CLASS",$R66,$S66)))</f>
        <v>1179</v>
      </c>
      <c r="AH66">
        <f>IF($A66="","",IF(ALLOC!$N$1="VOL_EFF",$T66,IF(ALLOC!$N$1="VOL_CLASS",$U66,$V66)))</f>
        <v>2860</v>
      </c>
      <c r="AI66">
        <f t="shared" ref="AI66:AI129" si="40">IF($A66="","",$W66*IFERROR($K66/$O66,0))</f>
        <v>23045.846153846156</v>
      </c>
      <c r="AJ66">
        <f t="shared" ref="AJ66:AJ129" si="41">IF($A66="","",$X66*IFERROR($K66/$O66,0))</f>
        <v>53246.61538461539</v>
      </c>
      <c r="AK66">
        <f t="shared" ref="AK66:AK129" si="42">IF($A66="","",$Y66*IFERROR($G66/$L66,0)+$Z66*IFERROR($J66/$P66,0))</f>
        <v>22710.592105263157</v>
      </c>
      <c r="AL66">
        <f t="shared" ref="AL66:AL129" si="43">IF($A66="","",$AA66*IFERROR($AC66/$AD66,0))</f>
        <v>161590.65789473685</v>
      </c>
      <c r="AM66">
        <f t="shared" ref="AM66:AM129" si="44">IF($A66="","",$AB66*IFERROR($AG66/$AH66,0)*IFERROR($AE66/$AF66,0)*IFERROR($AC66/$AD66,0))</f>
        <v>58248.099500235847</v>
      </c>
      <c r="AN66">
        <f t="shared" ref="AN66:AN129" si="45">IF($A66="","",$I66-($AI66+$AJ66+$AK66+$AL66+$AM66+$AR66))</f>
        <v>109915.15100552444</v>
      </c>
      <c r="AO66">
        <f>IF($A66="","",Allocation2!AE66)</f>
        <v>580167</v>
      </c>
      <c r="AP66">
        <f>IF($A66="","",IF(ALLOC!$N$2="VOL_EFF",$Q66,IF(ALLOC!$N$2="VOL_CLASS",$R66,$S66)))</f>
        <v>1179</v>
      </c>
      <c r="AQ66">
        <f>IF($A66="","",IF(ALLOC!$N$2="VOL_EFF",$T66,IF(ALLOC!$N$2="VOL_CLASS",$U66,$V66)))</f>
        <v>2860</v>
      </c>
      <c r="AR66">
        <f t="shared" ref="AR66:AR129" si="46">IF($A66="","",$AO66*IFERROR($AP66/$AQ66,0)*IFERROR($AE66/$AF66,0)*IFERROR($AC66/$AD66,0))</f>
        <v>12243.037955778114</v>
      </c>
    </row>
    <row r="67" spans="1:44" x14ac:dyDescent="0.45">
      <c r="A67" t="str">
        <f>IF(Allocation2!D67="","",Allocation2!D67)</f>
        <v>2025</v>
      </c>
      <c r="B67" t="str">
        <f>IF(Allocation2!E67="","",Allocation2!E67)</f>
        <v>MBWAY_LYO</v>
      </c>
      <c r="C67" t="str">
        <f>IF(Allocation2!F67="","",Allocation2!F67)</f>
        <v>MBWAY</v>
      </c>
      <c r="D67" t="str">
        <f>IF(Allocation2!G67="","",Allocation2!G67)</f>
        <v>BAC_MGT</v>
      </c>
      <c r="E67" t="str">
        <f>IF(Allocation2!H67="","",Allocation2!H67)</f>
        <v>B3</v>
      </c>
      <c r="F67" t="str">
        <f>IF(Allocation2!I67="","",Allocation2!I67)</f>
        <v>ALT</v>
      </c>
      <c r="G67">
        <f>IF(Allocation2!E67="","",Allocation2!J67)</f>
        <v>59</v>
      </c>
      <c r="H67">
        <f>IF(Allocation2!E67="","",Allocation2!K67)</f>
        <v>2</v>
      </c>
      <c r="I67">
        <f>IF(Allocation2!E67="","",Allocation2!L67)</f>
        <v>433650</v>
      </c>
      <c r="J67">
        <f>IF($A67="","",Allocation2!X67)</f>
        <v>0</v>
      </c>
      <c r="K67">
        <f t="shared" si="28"/>
        <v>960</v>
      </c>
      <c r="L67">
        <f t="shared" si="29"/>
        <v>304</v>
      </c>
      <c r="M67">
        <f t="shared" si="30"/>
        <v>13</v>
      </c>
      <c r="N67">
        <f t="shared" si="31"/>
        <v>2342685</v>
      </c>
      <c r="O67">
        <f t="shared" si="32"/>
        <v>6240</v>
      </c>
      <c r="P67">
        <f t="shared" si="33"/>
        <v>124</v>
      </c>
      <c r="Q67">
        <f t="shared" si="34"/>
        <v>1179</v>
      </c>
      <c r="R67">
        <f t="shared" si="35"/>
        <v>50</v>
      </c>
      <c r="S67">
        <f t="shared" si="36"/>
        <v>9032400</v>
      </c>
      <c r="T67">
        <f t="shared" si="37"/>
        <v>2860</v>
      </c>
      <c r="U67">
        <f t="shared" si="38"/>
        <v>131</v>
      </c>
      <c r="V67">
        <f t="shared" si="39"/>
        <v>21240140</v>
      </c>
      <c r="W67">
        <f>IF($A67="","",Allocation2!Y67)</f>
        <v>149798</v>
      </c>
      <c r="X67">
        <f>IF($A67="","",Allocation2!Z67)</f>
        <v>346103</v>
      </c>
      <c r="Y67">
        <f>IF($A67="","",Allocation2!AA67)</f>
        <v>115067</v>
      </c>
      <c r="Z67">
        <f>IF($A67="","",Allocation2!AB67)</f>
        <v>37985</v>
      </c>
      <c r="AA67">
        <f>IF($A67="","",Allocation2!AC67)</f>
        <v>818726</v>
      </c>
      <c r="AB67">
        <f>IF($A67="","",Allocation2!AD67)</f>
        <v>2760232</v>
      </c>
      <c r="AC67">
        <f>IF($A67="","",IF(ALLOC!$N$4="VOL_EFF",$G67,IF(ALLOC!$N$4="VOL_CLASS",$H67,$I67)))</f>
        <v>59</v>
      </c>
      <c r="AD67">
        <f>IF($A67="","",IF(ALLOC!$N$4="VOL_EFF",$L67,IF(ALLOC!$N$4="VOL_CLASS",$M67,$N67)))</f>
        <v>304</v>
      </c>
      <c r="AE67">
        <f>IF($A67="","",IF(ALLOC!$N$3="VOL_EFF",$L67,IF(ALLOC!$N$3="VOL_CLASS",$M67,$N67)))</f>
        <v>2342685</v>
      </c>
      <c r="AF67">
        <f>IF($A67="","",IF(ALLOC!$N$3="VOL_EFF",$Q67,IF(ALLOC!$N$3="VOL_CLASS",$R67,$S67)))</f>
        <v>9032400</v>
      </c>
      <c r="AG67">
        <f>IF($A67="","",IF(ALLOC!$N$1="VOL_EFF",$Q67,IF(ALLOC!$N$1="VOL_CLASS",$R67,$S67)))</f>
        <v>1179</v>
      </c>
      <c r="AH67">
        <f>IF($A67="","",IF(ALLOC!$N$1="VOL_EFF",$T67,IF(ALLOC!$N$1="VOL_CLASS",$U67,$V67)))</f>
        <v>2860</v>
      </c>
      <c r="AI67">
        <f t="shared" si="40"/>
        <v>23045.846153846156</v>
      </c>
      <c r="AJ67">
        <f t="shared" si="41"/>
        <v>53246.61538461539</v>
      </c>
      <c r="AK67">
        <f t="shared" si="42"/>
        <v>22332.082236842103</v>
      </c>
      <c r="AL67">
        <f t="shared" si="43"/>
        <v>158897.48026315789</v>
      </c>
      <c r="AM67">
        <f t="shared" si="44"/>
        <v>57277.29784189858</v>
      </c>
      <c r="AN67">
        <f t="shared" si="45"/>
        <v>106811.69079645805</v>
      </c>
      <c r="AO67">
        <f>IF($A67="","",Allocation2!AE67)</f>
        <v>580167</v>
      </c>
      <c r="AP67">
        <f>IF($A67="","",IF(ALLOC!$N$2="VOL_EFF",$Q67,IF(ALLOC!$N$2="VOL_CLASS",$R67,$S67)))</f>
        <v>1179</v>
      </c>
      <c r="AQ67">
        <f>IF($A67="","",IF(ALLOC!$N$2="VOL_EFF",$T67,IF(ALLOC!$N$2="VOL_CLASS",$U67,$V67)))</f>
        <v>2860</v>
      </c>
      <c r="AR67">
        <f t="shared" si="46"/>
        <v>12038.987323181811</v>
      </c>
    </row>
    <row r="68" spans="1:44" x14ac:dyDescent="0.45">
      <c r="A68" t="str">
        <f>IF(Allocation2!D68="","",Allocation2!D68)</f>
        <v>2025</v>
      </c>
      <c r="B68" t="str">
        <f>IF(Allocation2!E68="","",Allocation2!E68)</f>
        <v>MBWAY_LYO</v>
      </c>
      <c r="C68" t="str">
        <f>IF(Allocation2!F68="","",Allocation2!F68)</f>
        <v>MBWAY</v>
      </c>
      <c r="D68" t="str">
        <f>IF(Allocation2!G68="","",Allocation2!G68)</f>
        <v>MAS_MGT</v>
      </c>
      <c r="E68" t="str">
        <f>IF(Allocation2!H68="","",Allocation2!H68)</f>
        <v>M1</v>
      </c>
      <c r="F68" t="str">
        <f>IF(Allocation2!I68="","",Allocation2!I68)</f>
        <v>ALT</v>
      </c>
      <c r="G68">
        <f>IF(Allocation2!E68="","",Allocation2!J68)</f>
        <v>62</v>
      </c>
      <c r="H68">
        <f>IF(Allocation2!E68="","",Allocation2!K68)</f>
        <v>3</v>
      </c>
      <c r="I68">
        <f>IF(Allocation2!E68="","",Allocation2!L68)</f>
        <v>493830</v>
      </c>
      <c r="J68">
        <f>IF($A68="","",Allocation2!X68)</f>
        <v>62</v>
      </c>
      <c r="K68">
        <f t="shared" si="28"/>
        <v>1260</v>
      </c>
      <c r="L68">
        <f t="shared" si="29"/>
        <v>304</v>
      </c>
      <c r="M68">
        <f t="shared" si="30"/>
        <v>13</v>
      </c>
      <c r="N68">
        <f t="shared" si="31"/>
        <v>2342685</v>
      </c>
      <c r="O68">
        <f t="shared" si="32"/>
        <v>6240</v>
      </c>
      <c r="P68">
        <f t="shared" si="33"/>
        <v>124</v>
      </c>
      <c r="Q68">
        <f t="shared" si="34"/>
        <v>1179</v>
      </c>
      <c r="R68">
        <f t="shared" si="35"/>
        <v>50</v>
      </c>
      <c r="S68">
        <f t="shared" si="36"/>
        <v>9032400</v>
      </c>
      <c r="T68">
        <f t="shared" si="37"/>
        <v>2860</v>
      </c>
      <c r="U68">
        <f t="shared" si="38"/>
        <v>131</v>
      </c>
      <c r="V68">
        <f t="shared" si="39"/>
        <v>21240140</v>
      </c>
      <c r="W68">
        <f>IF($A68="","",Allocation2!Y68)</f>
        <v>149798</v>
      </c>
      <c r="X68">
        <f>IF($A68="","",Allocation2!Z68)</f>
        <v>346103</v>
      </c>
      <c r="Y68">
        <f>IF($A68="","",Allocation2!AA68)</f>
        <v>115067</v>
      </c>
      <c r="Z68">
        <f>IF($A68="","",Allocation2!AB68)</f>
        <v>37985</v>
      </c>
      <c r="AA68">
        <f>IF($A68="","",Allocation2!AC68)</f>
        <v>818726</v>
      </c>
      <c r="AB68">
        <f>IF($A68="","",Allocation2!AD68)</f>
        <v>2760232</v>
      </c>
      <c r="AC68">
        <f>IF($A68="","",IF(ALLOC!$N$4="VOL_EFF",$G68,IF(ALLOC!$N$4="VOL_CLASS",$H68,$I68)))</f>
        <v>62</v>
      </c>
      <c r="AD68">
        <f>IF($A68="","",IF(ALLOC!$N$4="VOL_EFF",$L68,IF(ALLOC!$N$4="VOL_CLASS",$M68,$N68)))</f>
        <v>304</v>
      </c>
      <c r="AE68">
        <f>IF($A68="","",IF(ALLOC!$N$3="VOL_EFF",$L68,IF(ALLOC!$N$3="VOL_CLASS",$M68,$N68)))</f>
        <v>2342685</v>
      </c>
      <c r="AF68">
        <f>IF($A68="","",IF(ALLOC!$N$3="VOL_EFF",$Q68,IF(ALLOC!$N$3="VOL_CLASS",$R68,$S68)))</f>
        <v>9032400</v>
      </c>
      <c r="AG68">
        <f>IF($A68="","",IF(ALLOC!$N$1="VOL_EFF",$Q68,IF(ALLOC!$N$1="VOL_CLASS",$R68,$S68)))</f>
        <v>1179</v>
      </c>
      <c r="AH68">
        <f>IF($A68="","",IF(ALLOC!$N$1="VOL_EFF",$T68,IF(ALLOC!$N$1="VOL_CLASS",$U68,$V68)))</f>
        <v>2860</v>
      </c>
      <c r="AI68">
        <f t="shared" si="40"/>
        <v>30247.673076923078</v>
      </c>
      <c r="AJ68">
        <f t="shared" si="41"/>
        <v>69886.182692307688</v>
      </c>
      <c r="AK68">
        <f t="shared" si="42"/>
        <v>42460.111842105267</v>
      </c>
      <c r="AL68">
        <f t="shared" si="43"/>
        <v>166977.01315789475</v>
      </c>
      <c r="AM68">
        <f t="shared" si="44"/>
        <v>60189.702816910372</v>
      </c>
      <c r="AN68">
        <f t="shared" si="45"/>
        <v>111418.17719288816</v>
      </c>
      <c r="AO68">
        <f>IF($A68="","",Allocation2!AE68)</f>
        <v>580167</v>
      </c>
      <c r="AP68">
        <f>IF($A68="","",IF(ALLOC!$N$2="VOL_EFF",$Q68,IF(ALLOC!$N$2="VOL_CLASS",$R68,$S68)))</f>
        <v>1179</v>
      </c>
      <c r="AQ68">
        <f>IF($A68="","",IF(ALLOC!$N$2="VOL_EFF",$T68,IF(ALLOC!$N$2="VOL_CLASS",$U68,$V68)))</f>
        <v>2860</v>
      </c>
      <c r="AR68">
        <f t="shared" si="46"/>
        <v>12651.139220970717</v>
      </c>
    </row>
    <row r="69" spans="1:44" x14ac:dyDescent="0.45">
      <c r="A69" t="str">
        <f>IF(Allocation2!D69="","",Allocation2!D69)</f>
        <v>2025</v>
      </c>
      <c r="B69" t="str">
        <f>IF(Allocation2!E69="","",Allocation2!E69)</f>
        <v>MBWAY_LYO</v>
      </c>
      <c r="C69" t="str">
        <f>IF(Allocation2!F69="","",Allocation2!F69)</f>
        <v>MBWAY</v>
      </c>
      <c r="D69" t="str">
        <f>IF(Allocation2!G69="","",Allocation2!G69)</f>
        <v>MAS_MGT</v>
      </c>
      <c r="E69" t="str">
        <f>IF(Allocation2!H69="","",Allocation2!H69)</f>
        <v>M2</v>
      </c>
      <c r="F69" t="str">
        <f>IF(Allocation2!I69="","",Allocation2!I69)</f>
        <v>ALT</v>
      </c>
      <c r="G69">
        <f>IF(Allocation2!E69="","",Allocation2!J69)</f>
        <v>61</v>
      </c>
      <c r="H69">
        <f>IF(Allocation2!E69="","",Allocation2!K69)</f>
        <v>3</v>
      </c>
      <c r="I69">
        <f>IF(Allocation2!E69="","",Allocation2!L69)</f>
        <v>480375</v>
      </c>
      <c r="J69">
        <f>IF($A69="","",Allocation2!X69)</f>
        <v>0</v>
      </c>
      <c r="K69">
        <f t="shared" si="28"/>
        <v>1260</v>
      </c>
      <c r="L69">
        <f t="shared" si="29"/>
        <v>304</v>
      </c>
      <c r="M69">
        <f t="shared" si="30"/>
        <v>13</v>
      </c>
      <c r="N69">
        <f t="shared" si="31"/>
        <v>2342685</v>
      </c>
      <c r="O69">
        <f t="shared" si="32"/>
        <v>6240</v>
      </c>
      <c r="P69">
        <f t="shared" si="33"/>
        <v>124</v>
      </c>
      <c r="Q69">
        <f t="shared" si="34"/>
        <v>1179</v>
      </c>
      <c r="R69">
        <f t="shared" si="35"/>
        <v>50</v>
      </c>
      <c r="S69">
        <f t="shared" si="36"/>
        <v>9032400</v>
      </c>
      <c r="T69">
        <f t="shared" si="37"/>
        <v>2860</v>
      </c>
      <c r="U69">
        <f t="shared" si="38"/>
        <v>131</v>
      </c>
      <c r="V69">
        <f t="shared" si="39"/>
        <v>21240140</v>
      </c>
      <c r="W69">
        <f>IF($A69="","",Allocation2!Y69)</f>
        <v>149798</v>
      </c>
      <c r="X69">
        <f>IF($A69="","",Allocation2!Z69)</f>
        <v>346103</v>
      </c>
      <c r="Y69">
        <f>IF($A69="","",Allocation2!AA69)</f>
        <v>115067</v>
      </c>
      <c r="Z69">
        <f>IF($A69="","",Allocation2!AB69)</f>
        <v>37985</v>
      </c>
      <c r="AA69">
        <f>IF($A69="","",Allocation2!AC69)</f>
        <v>818726</v>
      </c>
      <c r="AB69">
        <f>IF($A69="","",Allocation2!AD69)</f>
        <v>2760232</v>
      </c>
      <c r="AC69">
        <f>IF($A69="","",IF(ALLOC!$N$4="VOL_EFF",$G69,IF(ALLOC!$N$4="VOL_CLASS",$H69,$I69)))</f>
        <v>61</v>
      </c>
      <c r="AD69">
        <f>IF($A69="","",IF(ALLOC!$N$4="VOL_EFF",$L69,IF(ALLOC!$N$4="VOL_CLASS",$M69,$N69)))</f>
        <v>304</v>
      </c>
      <c r="AE69">
        <f>IF($A69="","",IF(ALLOC!$N$3="VOL_EFF",$L69,IF(ALLOC!$N$3="VOL_CLASS",$M69,$N69)))</f>
        <v>2342685</v>
      </c>
      <c r="AF69">
        <f>IF($A69="","",IF(ALLOC!$N$3="VOL_EFF",$Q69,IF(ALLOC!$N$3="VOL_CLASS",$R69,$S69)))</f>
        <v>9032400</v>
      </c>
      <c r="AG69">
        <f>IF($A69="","",IF(ALLOC!$N$1="VOL_EFF",$Q69,IF(ALLOC!$N$1="VOL_CLASS",$R69,$S69)))</f>
        <v>1179</v>
      </c>
      <c r="AH69">
        <f>IF($A69="","",IF(ALLOC!$N$1="VOL_EFF",$T69,IF(ALLOC!$N$1="VOL_CLASS",$U69,$V69)))</f>
        <v>2860</v>
      </c>
      <c r="AI69">
        <f t="shared" si="40"/>
        <v>30247.673076923078</v>
      </c>
      <c r="AJ69">
        <f t="shared" si="41"/>
        <v>69886.182692307688</v>
      </c>
      <c r="AK69">
        <f t="shared" si="42"/>
        <v>23089.101973684214</v>
      </c>
      <c r="AL69">
        <f t="shared" si="43"/>
        <v>164283.83552631579</v>
      </c>
      <c r="AM69">
        <f t="shared" si="44"/>
        <v>59218.901158573113</v>
      </c>
      <c r="AN69">
        <f t="shared" si="45"/>
        <v>121202.21698382171</v>
      </c>
      <c r="AO69">
        <f>IF($A69="","",Allocation2!AE69)</f>
        <v>580167</v>
      </c>
      <c r="AP69">
        <f>IF($A69="","",IF(ALLOC!$N$2="VOL_EFF",$Q69,IF(ALLOC!$N$2="VOL_CLASS",$R69,$S69)))</f>
        <v>1179</v>
      </c>
      <c r="AQ69">
        <f>IF($A69="","",IF(ALLOC!$N$2="VOL_EFF",$T69,IF(ALLOC!$N$2="VOL_CLASS",$U69,$V69)))</f>
        <v>2860</v>
      </c>
      <c r="AR69">
        <f t="shared" si="46"/>
        <v>12447.088588374416</v>
      </c>
    </row>
    <row r="70" spans="1:44" x14ac:dyDescent="0.45">
      <c r="A70" t="str">
        <f>IF(Allocation2!D70="","",Allocation2!D70)</f>
        <v>2025</v>
      </c>
      <c r="B70" t="str">
        <f>IF(Allocation2!E70="","",Allocation2!E70)</f>
        <v>MBWAY_NAN</v>
      </c>
      <c r="C70" t="str">
        <f>IF(Allocation2!F70="","",Allocation2!F70)</f>
        <v>MBWAY</v>
      </c>
      <c r="D70" t="str">
        <f>IF(Allocation2!G70="","",Allocation2!G70)</f>
        <v>BAC_MGT</v>
      </c>
      <c r="E70" t="str">
        <f>IF(Allocation2!H70="","",Allocation2!H70)</f>
        <v>B1</v>
      </c>
      <c r="F70" t="str">
        <f>IF(Allocation2!I70="","",Allocation2!I70)</f>
        <v>INIT</v>
      </c>
      <c r="G70">
        <f>IF(Allocation2!E70="","",Allocation2!J70)</f>
        <v>57</v>
      </c>
      <c r="H70">
        <f>IF(Allocation2!E70="","",Allocation2!K70)</f>
        <v>2</v>
      </c>
      <c r="I70">
        <f>IF(Allocation2!E70="","",Allocation2!L70)</f>
        <v>432630</v>
      </c>
      <c r="J70">
        <f>IF($A70="","",Allocation2!X70)</f>
        <v>57</v>
      </c>
      <c r="K70">
        <f t="shared" si="28"/>
        <v>1200</v>
      </c>
      <c r="L70">
        <f t="shared" si="29"/>
        <v>279</v>
      </c>
      <c r="M70">
        <f t="shared" si="30"/>
        <v>12</v>
      </c>
      <c r="N70">
        <f t="shared" si="31"/>
        <v>2048260</v>
      </c>
      <c r="O70">
        <f t="shared" si="32"/>
        <v>5640</v>
      </c>
      <c r="P70">
        <f t="shared" si="33"/>
        <v>114</v>
      </c>
      <c r="Q70">
        <f t="shared" si="34"/>
        <v>1179</v>
      </c>
      <c r="R70">
        <f t="shared" si="35"/>
        <v>50</v>
      </c>
      <c r="S70">
        <f t="shared" si="36"/>
        <v>9032400</v>
      </c>
      <c r="T70">
        <f t="shared" si="37"/>
        <v>2860</v>
      </c>
      <c r="U70">
        <f t="shared" si="38"/>
        <v>131</v>
      </c>
      <c r="V70">
        <f t="shared" si="39"/>
        <v>21240140</v>
      </c>
      <c r="W70">
        <f>IF($A70="","",Allocation2!Y70)</f>
        <v>138275</v>
      </c>
      <c r="X70">
        <f>IF($A70="","",Allocation2!Z70)</f>
        <v>285249</v>
      </c>
      <c r="Y70">
        <f>IF($A70="","",Allocation2!AA70)</f>
        <v>104412</v>
      </c>
      <c r="Z70">
        <f>IF($A70="","",Allocation2!AB70)</f>
        <v>28666</v>
      </c>
      <c r="AA70">
        <f>IF($A70="","",Allocation2!AC70)</f>
        <v>667023</v>
      </c>
      <c r="AB70">
        <f>IF($A70="","",Allocation2!AD70)</f>
        <v>2760232</v>
      </c>
      <c r="AC70">
        <f>IF($A70="","",IF(ALLOC!$N$4="VOL_EFF",$G70,IF(ALLOC!$N$4="VOL_CLASS",$H70,$I70)))</f>
        <v>57</v>
      </c>
      <c r="AD70">
        <f>IF($A70="","",IF(ALLOC!$N$4="VOL_EFF",$L70,IF(ALLOC!$N$4="VOL_CLASS",$M70,$N70)))</f>
        <v>279</v>
      </c>
      <c r="AE70">
        <f>IF($A70="","",IF(ALLOC!$N$3="VOL_EFF",$L70,IF(ALLOC!$N$3="VOL_CLASS",$M70,$N70)))</f>
        <v>2048260</v>
      </c>
      <c r="AF70">
        <f>IF($A70="","",IF(ALLOC!$N$3="VOL_EFF",$Q70,IF(ALLOC!$N$3="VOL_CLASS",$R70,$S70)))</f>
        <v>9032400</v>
      </c>
      <c r="AG70">
        <f>IF($A70="","",IF(ALLOC!$N$1="VOL_EFF",$Q70,IF(ALLOC!$N$1="VOL_CLASS",$R70,$S70)))</f>
        <v>1179</v>
      </c>
      <c r="AH70">
        <f>IF($A70="","",IF(ALLOC!$N$1="VOL_EFF",$T70,IF(ALLOC!$N$1="VOL_CLASS",$U70,$V70)))</f>
        <v>2860</v>
      </c>
      <c r="AI70">
        <f t="shared" si="40"/>
        <v>29420.212765957447</v>
      </c>
      <c r="AJ70">
        <f t="shared" si="41"/>
        <v>60691.276595744683</v>
      </c>
      <c r="AK70">
        <f t="shared" si="42"/>
        <v>35664.483870967742</v>
      </c>
      <c r="AL70">
        <f t="shared" si="43"/>
        <v>136273.51612903227</v>
      </c>
      <c r="AM70">
        <f t="shared" si="44"/>
        <v>52716.422810510485</v>
      </c>
      <c r="AN70">
        <f t="shared" si="45"/>
        <v>106783.74064222275</v>
      </c>
      <c r="AO70">
        <f>IF($A70="","",Allocation2!AE70)</f>
        <v>580167</v>
      </c>
      <c r="AP70">
        <f>IF($A70="","",IF(ALLOC!$N$2="VOL_EFF",$Q70,IF(ALLOC!$N$2="VOL_CLASS",$R70,$S70)))</f>
        <v>1179</v>
      </c>
      <c r="AQ70">
        <f>IF($A70="","",IF(ALLOC!$N$2="VOL_EFF",$T70,IF(ALLOC!$N$2="VOL_CLASS",$U70,$V70)))</f>
        <v>2860</v>
      </c>
      <c r="AR70">
        <f t="shared" si="46"/>
        <v>11080.347185564631</v>
      </c>
    </row>
    <row r="71" spans="1:44" x14ac:dyDescent="0.45">
      <c r="A71" t="str">
        <f>IF(Allocation2!D71="","",Allocation2!D71)</f>
        <v>2025</v>
      </c>
      <c r="B71" t="str">
        <f>IF(Allocation2!E71="","",Allocation2!E71)</f>
        <v>MBWAY_NAN</v>
      </c>
      <c r="C71" t="str">
        <f>IF(Allocation2!F71="","",Allocation2!F71)</f>
        <v>MBWAY</v>
      </c>
      <c r="D71" t="str">
        <f>IF(Allocation2!G71="","",Allocation2!G71)</f>
        <v>BAC_MGT</v>
      </c>
      <c r="E71" t="str">
        <f>IF(Allocation2!H71="","",Allocation2!H71)</f>
        <v>B2</v>
      </c>
      <c r="F71" t="str">
        <f>IF(Allocation2!I71="","",Allocation2!I71)</f>
        <v>ALT</v>
      </c>
      <c r="G71">
        <f>IF(Allocation2!E71="","",Allocation2!J71)</f>
        <v>55</v>
      </c>
      <c r="H71">
        <f>IF(Allocation2!E71="","",Allocation2!K71)</f>
        <v>2</v>
      </c>
      <c r="I71">
        <f>IF(Allocation2!E71="","",Allocation2!L71)</f>
        <v>385000</v>
      </c>
      <c r="J71">
        <f>IF($A71="","",Allocation2!X71)</f>
        <v>0</v>
      </c>
      <c r="K71">
        <f t="shared" si="28"/>
        <v>960</v>
      </c>
      <c r="L71">
        <f t="shared" si="29"/>
        <v>279</v>
      </c>
      <c r="M71">
        <f t="shared" si="30"/>
        <v>12</v>
      </c>
      <c r="N71">
        <f t="shared" si="31"/>
        <v>2048260</v>
      </c>
      <c r="O71">
        <f t="shared" si="32"/>
        <v>5640</v>
      </c>
      <c r="P71">
        <f t="shared" si="33"/>
        <v>114</v>
      </c>
      <c r="Q71">
        <f t="shared" si="34"/>
        <v>1179</v>
      </c>
      <c r="R71">
        <f t="shared" si="35"/>
        <v>50</v>
      </c>
      <c r="S71">
        <f t="shared" si="36"/>
        <v>9032400</v>
      </c>
      <c r="T71">
        <f t="shared" si="37"/>
        <v>2860</v>
      </c>
      <c r="U71">
        <f t="shared" si="38"/>
        <v>131</v>
      </c>
      <c r="V71">
        <f t="shared" si="39"/>
        <v>21240140</v>
      </c>
      <c r="W71">
        <f>IF($A71="","",Allocation2!Y71)</f>
        <v>138275</v>
      </c>
      <c r="X71">
        <f>IF($A71="","",Allocation2!Z71)</f>
        <v>285249</v>
      </c>
      <c r="Y71">
        <f>IF($A71="","",Allocation2!AA71)</f>
        <v>104412</v>
      </c>
      <c r="Z71">
        <f>IF($A71="","",Allocation2!AB71)</f>
        <v>28666</v>
      </c>
      <c r="AA71">
        <f>IF($A71="","",Allocation2!AC71)</f>
        <v>667023</v>
      </c>
      <c r="AB71">
        <f>IF($A71="","",Allocation2!AD71)</f>
        <v>2760232</v>
      </c>
      <c r="AC71">
        <f>IF($A71="","",IF(ALLOC!$N$4="VOL_EFF",$G71,IF(ALLOC!$N$4="VOL_CLASS",$H71,$I71)))</f>
        <v>55</v>
      </c>
      <c r="AD71">
        <f>IF($A71="","",IF(ALLOC!$N$4="VOL_EFF",$L71,IF(ALLOC!$N$4="VOL_CLASS",$M71,$N71)))</f>
        <v>279</v>
      </c>
      <c r="AE71">
        <f>IF($A71="","",IF(ALLOC!$N$3="VOL_EFF",$L71,IF(ALLOC!$N$3="VOL_CLASS",$M71,$N71)))</f>
        <v>2048260</v>
      </c>
      <c r="AF71">
        <f>IF($A71="","",IF(ALLOC!$N$3="VOL_EFF",$Q71,IF(ALLOC!$N$3="VOL_CLASS",$R71,$S71)))</f>
        <v>9032400</v>
      </c>
      <c r="AG71">
        <f>IF($A71="","",IF(ALLOC!$N$1="VOL_EFF",$Q71,IF(ALLOC!$N$1="VOL_CLASS",$R71,$S71)))</f>
        <v>1179</v>
      </c>
      <c r="AH71">
        <f>IF($A71="","",IF(ALLOC!$N$1="VOL_EFF",$T71,IF(ALLOC!$N$1="VOL_CLASS",$U71,$V71)))</f>
        <v>2860</v>
      </c>
      <c r="AI71">
        <f t="shared" si="40"/>
        <v>23536.170212765956</v>
      </c>
      <c r="AJ71">
        <f t="shared" si="41"/>
        <v>48553.02127659574</v>
      </c>
      <c r="AK71">
        <f t="shared" si="42"/>
        <v>20583.010752688173</v>
      </c>
      <c r="AL71">
        <f t="shared" si="43"/>
        <v>131491.98924731184</v>
      </c>
      <c r="AM71">
        <f t="shared" si="44"/>
        <v>50866.723764527662</v>
      </c>
      <c r="AN71">
        <f t="shared" si="45"/>
        <v>99277.521672320203</v>
      </c>
      <c r="AO71">
        <f>IF($A71="","",Allocation2!AE71)</f>
        <v>580167</v>
      </c>
      <c r="AP71">
        <f>IF($A71="","",IF(ALLOC!$N$2="VOL_EFF",$Q71,IF(ALLOC!$N$2="VOL_CLASS",$R71,$S71)))</f>
        <v>1179</v>
      </c>
      <c r="AQ71">
        <f>IF($A71="","",IF(ALLOC!$N$2="VOL_EFF",$T71,IF(ALLOC!$N$2="VOL_CLASS",$U71,$V71)))</f>
        <v>2860</v>
      </c>
      <c r="AR71">
        <f t="shared" si="46"/>
        <v>10691.563073790434</v>
      </c>
    </row>
    <row r="72" spans="1:44" x14ac:dyDescent="0.45">
      <c r="A72" t="str">
        <f>IF(Allocation2!D72="","",Allocation2!D72)</f>
        <v>2025</v>
      </c>
      <c r="B72" t="str">
        <f>IF(Allocation2!E72="","",Allocation2!E72)</f>
        <v>MBWAY_NAN</v>
      </c>
      <c r="C72" t="str">
        <f>IF(Allocation2!F72="","",Allocation2!F72)</f>
        <v>MBWAY</v>
      </c>
      <c r="D72" t="str">
        <f>IF(Allocation2!G72="","",Allocation2!G72)</f>
        <v>BAC_MGT</v>
      </c>
      <c r="E72" t="str">
        <f>IF(Allocation2!H72="","",Allocation2!H72)</f>
        <v>B3</v>
      </c>
      <c r="F72" t="str">
        <f>IF(Allocation2!I72="","",Allocation2!I72)</f>
        <v>ALT</v>
      </c>
      <c r="G72">
        <f>IF(Allocation2!E72="","",Allocation2!J72)</f>
        <v>54</v>
      </c>
      <c r="H72">
        <f>IF(Allocation2!E72="","",Allocation2!K72)</f>
        <v>2</v>
      </c>
      <c r="I72">
        <f>IF(Allocation2!E72="","",Allocation2!L72)</f>
        <v>378000</v>
      </c>
      <c r="J72">
        <f>IF($A72="","",Allocation2!X72)</f>
        <v>0</v>
      </c>
      <c r="K72">
        <f t="shared" si="28"/>
        <v>960</v>
      </c>
      <c r="L72">
        <f t="shared" si="29"/>
        <v>279</v>
      </c>
      <c r="M72">
        <f t="shared" si="30"/>
        <v>12</v>
      </c>
      <c r="N72">
        <f t="shared" si="31"/>
        <v>2048260</v>
      </c>
      <c r="O72">
        <f t="shared" si="32"/>
        <v>5640</v>
      </c>
      <c r="P72">
        <f t="shared" si="33"/>
        <v>114</v>
      </c>
      <c r="Q72">
        <f t="shared" si="34"/>
        <v>1179</v>
      </c>
      <c r="R72">
        <f t="shared" si="35"/>
        <v>50</v>
      </c>
      <c r="S72">
        <f t="shared" si="36"/>
        <v>9032400</v>
      </c>
      <c r="T72">
        <f t="shared" si="37"/>
        <v>2860</v>
      </c>
      <c r="U72">
        <f t="shared" si="38"/>
        <v>131</v>
      </c>
      <c r="V72">
        <f t="shared" si="39"/>
        <v>21240140</v>
      </c>
      <c r="W72">
        <f>IF($A72="","",Allocation2!Y72)</f>
        <v>138275</v>
      </c>
      <c r="X72">
        <f>IF($A72="","",Allocation2!Z72)</f>
        <v>285249</v>
      </c>
      <c r="Y72">
        <f>IF($A72="","",Allocation2!AA72)</f>
        <v>104412</v>
      </c>
      <c r="Z72">
        <f>IF($A72="","",Allocation2!AB72)</f>
        <v>28666</v>
      </c>
      <c r="AA72">
        <f>IF($A72="","",Allocation2!AC72)</f>
        <v>667023</v>
      </c>
      <c r="AB72">
        <f>IF($A72="","",Allocation2!AD72)</f>
        <v>2760232</v>
      </c>
      <c r="AC72">
        <f>IF($A72="","",IF(ALLOC!$N$4="VOL_EFF",$G72,IF(ALLOC!$N$4="VOL_CLASS",$H72,$I72)))</f>
        <v>54</v>
      </c>
      <c r="AD72">
        <f>IF($A72="","",IF(ALLOC!$N$4="VOL_EFF",$L72,IF(ALLOC!$N$4="VOL_CLASS",$M72,$N72)))</f>
        <v>279</v>
      </c>
      <c r="AE72">
        <f>IF($A72="","",IF(ALLOC!$N$3="VOL_EFF",$L72,IF(ALLOC!$N$3="VOL_CLASS",$M72,$N72)))</f>
        <v>2048260</v>
      </c>
      <c r="AF72">
        <f>IF($A72="","",IF(ALLOC!$N$3="VOL_EFF",$Q72,IF(ALLOC!$N$3="VOL_CLASS",$R72,$S72)))</f>
        <v>9032400</v>
      </c>
      <c r="AG72">
        <f>IF($A72="","",IF(ALLOC!$N$1="VOL_EFF",$Q72,IF(ALLOC!$N$1="VOL_CLASS",$R72,$S72)))</f>
        <v>1179</v>
      </c>
      <c r="AH72">
        <f>IF($A72="","",IF(ALLOC!$N$1="VOL_EFF",$T72,IF(ALLOC!$N$1="VOL_CLASS",$U72,$V72)))</f>
        <v>2860</v>
      </c>
      <c r="AI72">
        <f t="shared" si="40"/>
        <v>23536.170212765956</v>
      </c>
      <c r="AJ72">
        <f t="shared" si="41"/>
        <v>48553.02127659574</v>
      </c>
      <c r="AK72">
        <f t="shared" si="42"/>
        <v>20208.774193548386</v>
      </c>
      <c r="AL72">
        <f t="shared" si="43"/>
        <v>129101.22580645161</v>
      </c>
      <c r="AM72">
        <f t="shared" si="44"/>
        <v>49941.874241536243</v>
      </c>
      <c r="AN72">
        <f t="shared" si="45"/>
        <v>96161.763251198747</v>
      </c>
      <c r="AO72">
        <f>IF($A72="","",Allocation2!AE72)</f>
        <v>580167</v>
      </c>
      <c r="AP72">
        <f>IF($A72="","",IF(ALLOC!$N$2="VOL_EFF",$Q72,IF(ALLOC!$N$2="VOL_CLASS",$R72,$S72)))</f>
        <v>1179</v>
      </c>
      <c r="AQ72">
        <f>IF($A72="","",IF(ALLOC!$N$2="VOL_EFF",$T72,IF(ALLOC!$N$2="VOL_CLASS",$U72,$V72)))</f>
        <v>2860</v>
      </c>
      <c r="AR72">
        <f t="shared" si="46"/>
        <v>10497.171017903334</v>
      </c>
    </row>
    <row r="73" spans="1:44" x14ac:dyDescent="0.45">
      <c r="A73" t="str">
        <f>IF(Allocation2!D73="","",Allocation2!D73)</f>
        <v>2025</v>
      </c>
      <c r="B73" t="str">
        <f>IF(Allocation2!E73="","",Allocation2!E73)</f>
        <v>MBWAY_NAN</v>
      </c>
      <c r="C73" t="str">
        <f>IF(Allocation2!F73="","",Allocation2!F73)</f>
        <v>MBWAY</v>
      </c>
      <c r="D73" t="str">
        <f>IF(Allocation2!G73="","",Allocation2!G73)</f>
        <v>MAS_MGT</v>
      </c>
      <c r="E73" t="str">
        <f>IF(Allocation2!H73="","",Allocation2!H73)</f>
        <v>M1</v>
      </c>
      <c r="F73" t="str">
        <f>IF(Allocation2!I73="","",Allocation2!I73)</f>
        <v>ALT</v>
      </c>
      <c r="G73">
        <f>IF(Allocation2!E73="","",Allocation2!J73)</f>
        <v>57</v>
      </c>
      <c r="H73">
        <f>IF(Allocation2!E73="","",Allocation2!K73)</f>
        <v>3</v>
      </c>
      <c r="I73">
        <f>IF(Allocation2!E73="","",Allocation2!L73)</f>
        <v>432630</v>
      </c>
      <c r="J73">
        <f>IF($A73="","",Allocation2!X73)</f>
        <v>57</v>
      </c>
      <c r="K73">
        <f t="shared" si="28"/>
        <v>1260</v>
      </c>
      <c r="L73">
        <f t="shared" si="29"/>
        <v>279</v>
      </c>
      <c r="M73">
        <f t="shared" si="30"/>
        <v>12</v>
      </c>
      <c r="N73">
        <f t="shared" si="31"/>
        <v>2048260</v>
      </c>
      <c r="O73">
        <f t="shared" si="32"/>
        <v>5640</v>
      </c>
      <c r="P73">
        <f t="shared" si="33"/>
        <v>114</v>
      </c>
      <c r="Q73">
        <f t="shared" si="34"/>
        <v>1179</v>
      </c>
      <c r="R73">
        <f t="shared" si="35"/>
        <v>50</v>
      </c>
      <c r="S73">
        <f t="shared" si="36"/>
        <v>9032400</v>
      </c>
      <c r="T73">
        <f t="shared" si="37"/>
        <v>2860</v>
      </c>
      <c r="U73">
        <f t="shared" si="38"/>
        <v>131</v>
      </c>
      <c r="V73">
        <f t="shared" si="39"/>
        <v>21240140</v>
      </c>
      <c r="W73">
        <f>IF($A73="","",Allocation2!Y73)</f>
        <v>138275</v>
      </c>
      <c r="X73">
        <f>IF($A73="","",Allocation2!Z73)</f>
        <v>285249</v>
      </c>
      <c r="Y73">
        <f>IF($A73="","",Allocation2!AA73)</f>
        <v>104412</v>
      </c>
      <c r="Z73">
        <f>IF($A73="","",Allocation2!AB73)</f>
        <v>28666</v>
      </c>
      <c r="AA73">
        <f>IF($A73="","",Allocation2!AC73)</f>
        <v>667023</v>
      </c>
      <c r="AB73">
        <f>IF($A73="","",Allocation2!AD73)</f>
        <v>2760232</v>
      </c>
      <c r="AC73">
        <f>IF($A73="","",IF(ALLOC!$N$4="VOL_EFF",$G73,IF(ALLOC!$N$4="VOL_CLASS",$H73,$I73)))</f>
        <v>57</v>
      </c>
      <c r="AD73">
        <f>IF($A73="","",IF(ALLOC!$N$4="VOL_EFF",$L73,IF(ALLOC!$N$4="VOL_CLASS",$M73,$N73)))</f>
        <v>279</v>
      </c>
      <c r="AE73">
        <f>IF($A73="","",IF(ALLOC!$N$3="VOL_EFF",$L73,IF(ALLOC!$N$3="VOL_CLASS",$M73,$N73)))</f>
        <v>2048260</v>
      </c>
      <c r="AF73">
        <f>IF($A73="","",IF(ALLOC!$N$3="VOL_EFF",$Q73,IF(ALLOC!$N$3="VOL_CLASS",$R73,$S73)))</f>
        <v>9032400</v>
      </c>
      <c r="AG73">
        <f>IF($A73="","",IF(ALLOC!$N$1="VOL_EFF",$Q73,IF(ALLOC!$N$1="VOL_CLASS",$R73,$S73)))</f>
        <v>1179</v>
      </c>
      <c r="AH73">
        <f>IF($A73="","",IF(ALLOC!$N$1="VOL_EFF",$T73,IF(ALLOC!$N$1="VOL_CLASS",$U73,$V73)))</f>
        <v>2860</v>
      </c>
      <c r="AI73">
        <f t="shared" si="40"/>
        <v>30891.223404255317</v>
      </c>
      <c r="AJ73">
        <f t="shared" si="41"/>
        <v>63725.840425531911</v>
      </c>
      <c r="AK73">
        <f t="shared" si="42"/>
        <v>35664.483870967742</v>
      </c>
      <c r="AL73">
        <f t="shared" si="43"/>
        <v>136273.51612903227</v>
      </c>
      <c r="AM73">
        <f t="shared" si="44"/>
        <v>52716.422810510485</v>
      </c>
      <c r="AN73">
        <f t="shared" si="45"/>
        <v>102278.16617413762</v>
      </c>
      <c r="AO73">
        <f>IF($A73="","",Allocation2!AE73)</f>
        <v>580167</v>
      </c>
      <c r="AP73">
        <f>IF($A73="","",IF(ALLOC!$N$2="VOL_EFF",$Q73,IF(ALLOC!$N$2="VOL_CLASS",$R73,$S73)))</f>
        <v>1179</v>
      </c>
      <c r="AQ73">
        <f>IF($A73="","",IF(ALLOC!$N$2="VOL_EFF",$T73,IF(ALLOC!$N$2="VOL_CLASS",$U73,$V73)))</f>
        <v>2860</v>
      </c>
      <c r="AR73">
        <f t="shared" si="46"/>
        <v>11080.347185564631</v>
      </c>
    </row>
    <row r="74" spans="1:44" x14ac:dyDescent="0.45">
      <c r="A74" t="str">
        <f>IF(Allocation2!D74="","",Allocation2!D74)</f>
        <v>2025</v>
      </c>
      <c r="B74" t="str">
        <f>IF(Allocation2!E74="","",Allocation2!E74)</f>
        <v>MBWAY_NAN</v>
      </c>
      <c r="C74" t="str">
        <f>IF(Allocation2!F74="","",Allocation2!F74)</f>
        <v>MBWAY</v>
      </c>
      <c r="D74" t="str">
        <f>IF(Allocation2!G74="","",Allocation2!G74)</f>
        <v>MAS_MGT</v>
      </c>
      <c r="E74" t="str">
        <f>IF(Allocation2!H74="","",Allocation2!H74)</f>
        <v>M2</v>
      </c>
      <c r="F74" t="str">
        <f>IF(Allocation2!I74="","",Allocation2!I74)</f>
        <v>ALT</v>
      </c>
      <c r="G74">
        <f>IF(Allocation2!E74="","",Allocation2!J74)</f>
        <v>56</v>
      </c>
      <c r="H74">
        <f>IF(Allocation2!E74="","",Allocation2!K74)</f>
        <v>3</v>
      </c>
      <c r="I74">
        <f>IF(Allocation2!E74="","",Allocation2!L74)</f>
        <v>420000</v>
      </c>
      <c r="J74">
        <f>IF($A74="","",Allocation2!X74)</f>
        <v>0</v>
      </c>
      <c r="K74">
        <f t="shared" si="28"/>
        <v>1260</v>
      </c>
      <c r="L74">
        <f t="shared" si="29"/>
        <v>279</v>
      </c>
      <c r="M74">
        <f t="shared" si="30"/>
        <v>12</v>
      </c>
      <c r="N74">
        <f t="shared" si="31"/>
        <v>2048260</v>
      </c>
      <c r="O74">
        <f t="shared" si="32"/>
        <v>5640</v>
      </c>
      <c r="P74">
        <f t="shared" si="33"/>
        <v>114</v>
      </c>
      <c r="Q74">
        <f t="shared" si="34"/>
        <v>1179</v>
      </c>
      <c r="R74">
        <f t="shared" si="35"/>
        <v>50</v>
      </c>
      <c r="S74">
        <f t="shared" si="36"/>
        <v>9032400</v>
      </c>
      <c r="T74">
        <f t="shared" si="37"/>
        <v>2860</v>
      </c>
      <c r="U74">
        <f t="shared" si="38"/>
        <v>131</v>
      </c>
      <c r="V74">
        <f t="shared" si="39"/>
        <v>21240140</v>
      </c>
      <c r="W74">
        <f>IF($A74="","",Allocation2!Y74)</f>
        <v>138275</v>
      </c>
      <c r="X74">
        <f>IF($A74="","",Allocation2!Z74)</f>
        <v>285249</v>
      </c>
      <c r="Y74">
        <f>IF($A74="","",Allocation2!AA74)</f>
        <v>104412</v>
      </c>
      <c r="Z74">
        <f>IF($A74="","",Allocation2!AB74)</f>
        <v>28666</v>
      </c>
      <c r="AA74">
        <f>IF($A74="","",Allocation2!AC74)</f>
        <v>667023</v>
      </c>
      <c r="AB74">
        <f>IF($A74="","",Allocation2!AD74)</f>
        <v>2760232</v>
      </c>
      <c r="AC74">
        <f>IF($A74="","",IF(ALLOC!$N$4="VOL_EFF",$G74,IF(ALLOC!$N$4="VOL_CLASS",$H74,$I74)))</f>
        <v>56</v>
      </c>
      <c r="AD74">
        <f>IF($A74="","",IF(ALLOC!$N$4="VOL_EFF",$L74,IF(ALLOC!$N$4="VOL_CLASS",$M74,$N74)))</f>
        <v>279</v>
      </c>
      <c r="AE74">
        <f>IF($A74="","",IF(ALLOC!$N$3="VOL_EFF",$L74,IF(ALLOC!$N$3="VOL_CLASS",$M74,$N74)))</f>
        <v>2048260</v>
      </c>
      <c r="AF74">
        <f>IF($A74="","",IF(ALLOC!$N$3="VOL_EFF",$Q74,IF(ALLOC!$N$3="VOL_CLASS",$R74,$S74)))</f>
        <v>9032400</v>
      </c>
      <c r="AG74">
        <f>IF($A74="","",IF(ALLOC!$N$1="VOL_EFF",$Q74,IF(ALLOC!$N$1="VOL_CLASS",$R74,$S74)))</f>
        <v>1179</v>
      </c>
      <c r="AH74">
        <f>IF($A74="","",IF(ALLOC!$N$1="VOL_EFF",$T74,IF(ALLOC!$N$1="VOL_CLASS",$U74,$V74)))</f>
        <v>2860</v>
      </c>
      <c r="AI74">
        <f t="shared" si="40"/>
        <v>30891.223404255317</v>
      </c>
      <c r="AJ74">
        <f t="shared" si="41"/>
        <v>63725.840425531911</v>
      </c>
      <c r="AK74">
        <f t="shared" si="42"/>
        <v>20957.247311827959</v>
      </c>
      <c r="AL74">
        <f t="shared" si="43"/>
        <v>133882.75268817204</v>
      </c>
      <c r="AM74">
        <f t="shared" si="44"/>
        <v>51791.573287519073</v>
      </c>
      <c r="AN74">
        <f t="shared" si="45"/>
        <v>107865.40775301616</v>
      </c>
      <c r="AO74">
        <f>IF($A74="","",Allocation2!AE74)</f>
        <v>580167</v>
      </c>
      <c r="AP74">
        <f>IF($A74="","",IF(ALLOC!$N$2="VOL_EFF",$Q74,IF(ALLOC!$N$2="VOL_CLASS",$R74,$S74)))</f>
        <v>1179</v>
      </c>
      <c r="AQ74">
        <f>IF($A74="","",IF(ALLOC!$N$2="VOL_EFF",$T74,IF(ALLOC!$N$2="VOL_CLASS",$U74,$V74)))</f>
        <v>2860</v>
      </c>
      <c r="AR74">
        <f t="shared" si="46"/>
        <v>10885.955129677533</v>
      </c>
    </row>
    <row r="75" spans="1:44" x14ac:dyDescent="0.45">
      <c r="A75" t="str">
        <f>IF(Allocation2!D75="","",Allocation2!D75)</f>
        <v>2025</v>
      </c>
      <c r="B75" t="str">
        <f>IF(Allocation2!E75="","",Allocation2!E75)</f>
        <v>MBWAY_BOR</v>
      </c>
      <c r="C75" t="str">
        <f>IF(Allocation2!F75="","",Allocation2!F75)</f>
        <v>MBWAY</v>
      </c>
      <c r="D75" t="str">
        <f>IF(Allocation2!G75="","",Allocation2!G75)</f>
        <v>BAC_MGT</v>
      </c>
      <c r="E75" t="str">
        <f>IF(Allocation2!H75="","",Allocation2!H75)</f>
        <v>B1</v>
      </c>
      <c r="F75" t="str">
        <f>IF(Allocation2!I75="","",Allocation2!I75)</f>
        <v>INIT</v>
      </c>
      <c r="G75">
        <f>IF(Allocation2!E75="","",Allocation2!J75)</f>
        <v>48</v>
      </c>
      <c r="H75">
        <f>IF(Allocation2!E75="","",Allocation2!K75)</f>
        <v>2</v>
      </c>
      <c r="I75">
        <f>IF(Allocation2!E75="","",Allocation2!L75)</f>
        <v>353520</v>
      </c>
      <c r="J75">
        <f>IF($A75="","",Allocation2!X75)</f>
        <v>48</v>
      </c>
      <c r="K75">
        <f t="shared" si="28"/>
        <v>1200</v>
      </c>
      <c r="L75">
        <f t="shared" si="29"/>
        <v>234</v>
      </c>
      <c r="M75">
        <f t="shared" si="30"/>
        <v>10</v>
      </c>
      <c r="N75">
        <f t="shared" si="31"/>
        <v>1666855</v>
      </c>
      <c r="O75">
        <f t="shared" si="32"/>
        <v>4800</v>
      </c>
      <c r="P75">
        <f t="shared" si="33"/>
        <v>96</v>
      </c>
      <c r="Q75">
        <f t="shared" si="34"/>
        <v>1179</v>
      </c>
      <c r="R75">
        <f t="shared" si="35"/>
        <v>50</v>
      </c>
      <c r="S75">
        <f t="shared" si="36"/>
        <v>9032400</v>
      </c>
      <c r="T75">
        <f t="shared" si="37"/>
        <v>2860</v>
      </c>
      <c r="U75">
        <f t="shared" si="38"/>
        <v>131</v>
      </c>
      <c r="V75">
        <f t="shared" si="39"/>
        <v>21240140</v>
      </c>
      <c r="W75">
        <f>IF($A75="","",Allocation2!Y75)</f>
        <v>115229</v>
      </c>
      <c r="X75">
        <f>IF($A75="","",Allocation2!Z75)</f>
        <v>249593</v>
      </c>
      <c r="Y75">
        <f>IF($A75="","",Allocation2!AA75)</f>
        <v>88430</v>
      </c>
      <c r="Z75">
        <f>IF($A75="","",Allocation2!AB75)</f>
        <v>22657</v>
      </c>
      <c r="AA75">
        <f>IF($A75="","",Allocation2!AC75)</f>
        <v>590058</v>
      </c>
      <c r="AB75">
        <f>IF($A75="","",Allocation2!AD75)</f>
        <v>2760232</v>
      </c>
      <c r="AC75">
        <f>IF($A75="","",IF(ALLOC!$N$4="VOL_EFF",$G75,IF(ALLOC!$N$4="VOL_CLASS",$H75,$I75)))</f>
        <v>48</v>
      </c>
      <c r="AD75">
        <f>IF($A75="","",IF(ALLOC!$N$4="VOL_EFF",$L75,IF(ALLOC!$N$4="VOL_CLASS",$M75,$N75)))</f>
        <v>234</v>
      </c>
      <c r="AE75">
        <f>IF($A75="","",IF(ALLOC!$N$3="VOL_EFF",$L75,IF(ALLOC!$N$3="VOL_CLASS",$M75,$N75)))</f>
        <v>1666855</v>
      </c>
      <c r="AF75">
        <f>IF($A75="","",IF(ALLOC!$N$3="VOL_EFF",$Q75,IF(ALLOC!$N$3="VOL_CLASS",$R75,$S75)))</f>
        <v>9032400</v>
      </c>
      <c r="AG75">
        <f>IF($A75="","",IF(ALLOC!$N$1="VOL_EFF",$Q75,IF(ALLOC!$N$1="VOL_CLASS",$R75,$S75)))</f>
        <v>1179</v>
      </c>
      <c r="AH75">
        <f>IF($A75="","",IF(ALLOC!$N$1="VOL_EFF",$T75,IF(ALLOC!$N$1="VOL_CLASS",$U75,$V75)))</f>
        <v>2860</v>
      </c>
      <c r="AI75">
        <f t="shared" si="40"/>
        <v>28807.25</v>
      </c>
      <c r="AJ75">
        <f t="shared" si="41"/>
        <v>62398.25</v>
      </c>
      <c r="AK75">
        <f t="shared" si="42"/>
        <v>29467.98717948718</v>
      </c>
      <c r="AL75">
        <f t="shared" si="43"/>
        <v>121037.53846153845</v>
      </c>
      <c r="AM75">
        <f t="shared" si="44"/>
        <v>43073.820947630309</v>
      </c>
      <c r="AN75">
        <f t="shared" si="45"/>
        <v>59681.563177724602</v>
      </c>
      <c r="AO75">
        <f>IF($A75="","",Allocation2!AE75)</f>
        <v>580167</v>
      </c>
      <c r="AP75">
        <f>IF($A75="","",IF(ALLOC!$N$2="VOL_EFF",$Q75,IF(ALLOC!$N$2="VOL_CLASS",$R75,$S75)))</f>
        <v>1179</v>
      </c>
      <c r="AQ75">
        <f>IF($A75="","",IF(ALLOC!$N$2="VOL_EFF",$T75,IF(ALLOC!$N$2="VOL_CLASS",$U75,$V75)))</f>
        <v>2860</v>
      </c>
      <c r="AR75">
        <f t="shared" si="46"/>
        <v>9053.590233619434</v>
      </c>
    </row>
    <row r="76" spans="1:44" x14ac:dyDescent="0.45">
      <c r="A76" t="str">
        <f>IF(Allocation2!D76="","",Allocation2!D76)</f>
        <v>2025</v>
      </c>
      <c r="B76" t="str">
        <f>IF(Allocation2!E76="","",Allocation2!E76)</f>
        <v>MBWAY_BOR</v>
      </c>
      <c r="C76" t="str">
        <f>IF(Allocation2!F76="","",Allocation2!F76)</f>
        <v>MBWAY</v>
      </c>
      <c r="D76" t="str">
        <f>IF(Allocation2!G76="","",Allocation2!G76)</f>
        <v>BAC_MGT</v>
      </c>
      <c r="E76" t="str">
        <f>IF(Allocation2!H76="","",Allocation2!H76)</f>
        <v>B2</v>
      </c>
      <c r="F76" t="str">
        <f>IF(Allocation2!I76="","",Allocation2!I76)</f>
        <v>ALT</v>
      </c>
      <c r="G76">
        <f>IF(Allocation2!E76="","",Allocation2!J76)</f>
        <v>46</v>
      </c>
      <c r="H76">
        <f>IF(Allocation2!E76="","",Allocation2!K76)</f>
        <v>2</v>
      </c>
      <c r="I76">
        <f>IF(Allocation2!E76="","",Allocation2!L76)</f>
        <v>312340</v>
      </c>
      <c r="J76">
        <f>IF($A76="","",Allocation2!X76)</f>
        <v>0</v>
      </c>
      <c r="K76">
        <f t="shared" si="28"/>
        <v>960</v>
      </c>
      <c r="L76">
        <f t="shared" si="29"/>
        <v>234</v>
      </c>
      <c r="M76">
        <f t="shared" si="30"/>
        <v>10</v>
      </c>
      <c r="N76">
        <f t="shared" si="31"/>
        <v>1666855</v>
      </c>
      <c r="O76">
        <f t="shared" si="32"/>
        <v>4800</v>
      </c>
      <c r="P76">
        <f t="shared" si="33"/>
        <v>96</v>
      </c>
      <c r="Q76">
        <f t="shared" si="34"/>
        <v>1179</v>
      </c>
      <c r="R76">
        <f t="shared" si="35"/>
        <v>50</v>
      </c>
      <c r="S76">
        <f t="shared" si="36"/>
        <v>9032400</v>
      </c>
      <c r="T76">
        <f t="shared" si="37"/>
        <v>2860</v>
      </c>
      <c r="U76">
        <f t="shared" si="38"/>
        <v>131</v>
      </c>
      <c r="V76">
        <f t="shared" si="39"/>
        <v>21240140</v>
      </c>
      <c r="W76">
        <f>IF($A76="","",Allocation2!Y76)</f>
        <v>115229</v>
      </c>
      <c r="X76">
        <f>IF($A76="","",Allocation2!Z76)</f>
        <v>249593</v>
      </c>
      <c r="Y76">
        <f>IF($A76="","",Allocation2!AA76)</f>
        <v>88430</v>
      </c>
      <c r="Z76">
        <f>IF($A76="","",Allocation2!AB76)</f>
        <v>22657</v>
      </c>
      <c r="AA76">
        <f>IF($A76="","",Allocation2!AC76)</f>
        <v>590058</v>
      </c>
      <c r="AB76">
        <f>IF($A76="","",Allocation2!AD76)</f>
        <v>2760232</v>
      </c>
      <c r="AC76">
        <f>IF($A76="","",IF(ALLOC!$N$4="VOL_EFF",$G76,IF(ALLOC!$N$4="VOL_CLASS",$H76,$I76)))</f>
        <v>46</v>
      </c>
      <c r="AD76">
        <f>IF($A76="","",IF(ALLOC!$N$4="VOL_EFF",$L76,IF(ALLOC!$N$4="VOL_CLASS",$M76,$N76)))</f>
        <v>234</v>
      </c>
      <c r="AE76">
        <f>IF($A76="","",IF(ALLOC!$N$3="VOL_EFF",$L76,IF(ALLOC!$N$3="VOL_CLASS",$M76,$N76)))</f>
        <v>1666855</v>
      </c>
      <c r="AF76">
        <f>IF($A76="","",IF(ALLOC!$N$3="VOL_EFF",$Q76,IF(ALLOC!$N$3="VOL_CLASS",$R76,$S76)))</f>
        <v>9032400</v>
      </c>
      <c r="AG76">
        <f>IF($A76="","",IF(ALLOC!$N$1="VOL_EFF",$Q76,IF(ALLOC!$N$1="VOL_CLASS",$R76,$S76)))</f>
        <v>1179</v>
      </c>
      <c r="AH76">
        <f>IF($A76="","",IF(ALLOC!$N$1="VOL_EFF",$T76,IF(ALLOC!$N$1="VOL_CLASS",$U76,$V76)))</f>
        <v>2860</v>
      </c>
      <c r="AI76">
        <f t="shared" si="40"/>
        <v>23045.800000000003</v>
      </c>
      <c r="AJ76">
        <f t="shared" si="41"/>
        <v>49918.600000000006</v>
      </c>
      <c r="AK76">
        <f t="shared" si="42"/>
        <v>17383.675213675215</v>
      </c>
      <c r="AL76">
        <f t="shared" si="43"/>
        <v>115994.30769230769</v>
      </c>
      <c r="AM76">
        <f t="shared" si="44"/>
        <v>41279.078408145717</v>
      </c>
      <c r="AN76">
        <f t="shared" si="45"/>
        <v>56042.181378652749</v>
      </c>
      <c r="AO76">
        <f>IF($A76="","",Allocation2!AE76)</f>
        <v>580167</v>
      </c>
      <c r="AP76">
        <f>IF($A76="","",IF(ALLOC!$N$2="VOL_EFF",$Q76,IF(ALLOC!$N$2="VOL_CLASS",$R76,$S76)))</f>
        <v>1179</v>
      </c>
      <c r="AQ76">
        <f>IF($A76="","",IF(ALLOC!$N$2="VOL_EFF",$T76,IF(ALLOC!$N$2="VOL_CLASS",$U76,$V76)))</f>
        <v>2860</v>
      </c>
      <c r="AR76">
        <f t="shared" si="46"/>
        <v>8676.3573072186246</v>
      </c>
    </row>
    <row r="77" spans="1:44" x14ac:dyDescent="0.45">
      <c r="A77" t="str">
        <f>IF(Allocation2!D77="","",Allocation2!D77)</f>
        <v>2025</v>
      </c>
      <c r="B77" t="str">
        <f>IF(Allocation2!E77="","",Allocation2!E77)</f>
        <v>MBWAY_BOR</v>
      </c>
      <c r="C77" t="str">
        <f>IF(Allocation2!F77="","",Allocation2!F77)</f>
        <v>MBWAY</v>
      </c>
      <c r="D77" t="str">
        <f>IF(Allocation2!G77="","",Allocation2!G77)</f>
        <v>BAC_MGT</v>
      </c>
      <c r="E77" t="str">
        <f>IF(Allocation2!H77="","",Allocation2!H77)</f>
        <v>B3</v>
      </c>
      <c r="F77" t="str">
        <f>IF(Allocation2!I77="","",Allocation2!I77)</f>
        <v>ALT</v>
      </c>
      <c r="G77">
        <f>IF(Allocation2!E77="","",Allocation2!J77)</f>
        <v>45</v>
      </c>
      <c r="H77">
        <f>IF(Allocation2!E77="","",Allocation2!K77)</f>
        <v>2</v>
      </c>
      <c r="I77">
        <f>IF(Allocation2!E77="","",Allocation2!L77)</f>
        <v>305550</v>
      </c>
      <c r="J77">
        <f>IF($A77="","",Allocation2!X77)</f>
        <v>0</v>
      </c>
      <c r="K77">
        <f t="shared" si="28"/>
        <v>960</v>
      </c>
      <c r="L77">
        <f t="shared" si="29"/>
        <v>234</v>
      </c>
      <c r="M77">
        <f t="shared" si="30"/>
        <v>10</v>
      </c>
      <c r="N77">
        <f t="shared" si="31"/>
        <v>1666855</v>
      </c>
      <c r="O77">
        <f t="shared" si="32"/>
        <v>4800</v>
      </c>
      <c r="P77">
        <f t="shared" si="33"/>
        <v>96</v>
      </c>
      <c r="Q77">
        <f t="shared" si="34"/>
        <v>1179</v>
      </c>
      <c r="R77">
        <f t="shared" si="35"/>
        <v>50</v>
      </c>
      <c r="S77">
        <f t="shared" si="36"/>
        <v>9032400</v>
      </c>
      <c r="T77">
        <f t="shared" si="37"/>
        <v>2860</v>
      </c>
      <c r="U77">
        <f t="shared" si="38"/>
        <v>131</v>
      </c>
      <c r="V77">
        <f t="shared" si="39"/>
        <v>21240140</v>
      </c>
      <c r="W77">
        <f>IF($A77="","",Allocation2!Y77)</f>
        <v>115229</v>
      </c>
      <c r="X77">
        <f>IF($A77="","",Allocation2!Z77)</f>
        <v>249593</v>
      </c>
      <c r="Y77">
        <f>IF($A77="","",Allocation2!AA77)</f>
        <v>88430</v>
      </c>
      <c r="Z77">
        <f>IF($A77="","",Allocation2!AB77)</f>
        <v>22657</v>
      </c>
      <c r="AA77">
        <f>IF($A77="","",Allocation2!AC77)</f>
        <v>590058</v>
      </c>
      <c r="AB77">
        <f>IF($A77="","",Allocation2!AD77)</f>
        <v>2760232</v>
      </c>
      <c r="AC77">
        <f>IF($A77="","",IF(ALLOC!$N$4="VOL_EFF",$G77,IF(ALLOC!$N$4="VOL_CLASS",$H77,$I77)))</f>
        <v>45</v>
      </c>
      <c r="AD77">
        <f>IF($A77="","",IF(ALLOC!$N$4="VOL_EFF",$L77,IF(ALLOC!$N$4="VOL_CLASS",$M77,$N77)))</f>
        <v>234</v>
      </c>
      <c r="AE77">
        <f>IF($A77="","",IF(ALLOC!$N$3="VOL_EFF",$L77,IF(ALLOC!$N$3="VOL_CLASS",$M77,$N77)))</f>
        <v>1666855</v>
      </c>
      <c r="AF77">
        <f>IF($A77="","",IF(ALLOC!$N$3="VOL_EFF",$Q77,IF(ALLOC!$N$3="VOL_CLASS",$R77,$S77)))</f>
        <v>9032400</v>
      </c>
      <c r="AG77">
        <f>IF($A77="","",IF(ALLOC!$N$1="VOL_EFF",$Q77,IF(ALLOC!$N$1="VOL_CLASS",$R77,$S77)))</f>
        <v>1179</v>
      </c>
      <c r="AH77">
        <f>IF($A77="","",IF(ALLOC!$N$1="VOL_EFF",$T77,IF(ALLOC!$N$1="VOL_CLASS",$U77,$V77)))</f>
        <v>2860</v>
      </c>
      <c r="AI77">
        <f t="shared" si="40"/>
        <v>23045.800000000003</v>
      </c>
      <c r="AJ77">
        <f t="shared" si="41"/>
        <v>49918.600000000006</v>
      </c>
      <c r="AK77">
        <f t="shared" si="42"/>
        <v>17005.76923076923</v>
      </c>
      <c r="AL77">
        <f t="shared" si="43"/>
        <v>113472.69230769231</v>
      </c>
      <c r="AM77">
        <f t="shared" si="44"/>
        <v>40381.707138403421</v>
      </c>
      <c r="AN77">
        <f t="shared" si="45"/>
        <v>53237.690479116805</v>
      </c>
      <c r="AO77">
        <f>IF($A77="","",Allocation2!AE77)</f>
        <v>580167</v>
      </c>
      <c r="AP77">
        <f>IF($A77="","",IF(ALLOC!$N$2="VOL_EFF",$Q77,IF(ALLOC!$N$2="VOL_CLASS",$R77,$S77)))</f>
        <v>1179</v>
      </c>
      <c r="AQ77">
        <f>IF($A77="","",IF(ALLOC!$N$2="VOL_EFF",$T77,IF(ALLOC!$N$2="VOL_CLASS",$U77,$V77)))</f>
        <v>2860</v>
      </c>
      <c r="AR77">
        <f t="shared" si="46"/>
        <v>8487.7408440182189</v>
      </c>
    </row>
    <row r="78" spans="1:44" x14ac:dyDescent="0.45">
      <c r="A78" t="str">
        <f>IF(Allocation2!D78="","",Allocation2!D78)</f>
        <v>2025</v>
      </c>
      <c r="B78" t="str">
        <f>IF(Allocation2!E78="","",Allocation2!E78)</f>
        <v>MBWAY_BOR</v>
      </c>
      <c r="C78" t="str">
        <f>IF(Allocation2!F78="","",Allocation2!F78)</f>
        <v>MBWAY</v>
      </c>
      <c r="D78" t="str">
        <f>IF(Allocation2!G78="","",Allocation2!G78)</f>
        <v>MAS_MGT</v>
      </c>
      <c r="E78" t="str">
        <f>IF(Allocation2!H78="","",Allocation2!H78)</f>
        <v>M1</v>
      </c>
      <c r="F78" t="str">
        <f>IF(Allocation2!I78="","",Allocation2!I78)</f>
        <v>ALT</v>
      </c>
      <c r="G78">
        <f>IF(Allocation2!E78="","",Allocation2!J78)</f>
        <v>48</v>
      </c>
      <c r="H78">
        <f>IF(Allocation2!E78="","",Allocation2!K78)</f>
        <v>2</v>
      </c>
      <c r="I78">
        <f>IF(Allocation2!E78="","",Allocation2!L78)</f>
        <v>353520</v>
      </c>
      <c r="J78">
        <f>IF($A78="","",Allocation2!X78)</f>
        <v>48</v>
      </c>
      <c r="K78">
        <f t="shared" si="28"/>
        <v>840</v>
      </c>
      <c r="L78">
        <f t="shared" si="29"/>
        <v>234</v>
      </c>
      <c r="M78">
        <f t="shared" si="30"/>
        <v>10</v>
      </c>
      <c r="N78">
        <f t="shared" si="31"/>
        <v>1666855</v>
      </c>
      <c r="O78">
        <f t="shared" si="32"/>
        <v>4800</v>
      </c>
      <c r="P78">
        <f t="shared" si="33"/>
        <v>96</v>
      </c>
      <c r="Q78">
        <f t="shared" si="34"/>
        <v>1179</v>
      </c>
      <c r="R78">
        <f t="shared" si="35"/>
        <v>50</v>
      </c>
      <c r="S78">
        <f t="shared" si="36"/>
        <v>9032400</v>
      </c>
      <c r="T78">
        <f t="shared" si="37"/>
        <v>2860</v>
      </c>
      <c r="U78">
        <f t="shared" si="38"/>
        <v>131</v>
      </c>
      <c r="V78">
        <f t="shared" si="39"/>
        <v>21240140</v>
      </c>
      <c r="W78">
        <f>IF($A78="","",Allocation2!Y78)</f>
        <v>115229</v>
      </c>
      <c r="X78">
        <f>IF($A78="","",Allocation2!Z78)</f>
        <v>249593</v>
      </c>
      <c r="Y78">
        <f>IF($A78="","",Allocation2!AA78)</f>
        <v>88430</v>
      </c>
      <c r="Z78">
        <f>IF($A78="","",Allocation2!AB78)</f>
        <v>22657</v>
      </c>
      <c r="AA78">
        <f>IF($A78="","",Allocation2!AC78)</f>
        <v>590058</v>
      </c>
      <c r="AB78">
        <f>IF($A78="","",Allocation2!AD78)</f>
        <v>2760232</v>
      </c>
      <c r="AC78">
        <f>IF($A78="","",IF(ALLOC!$N$4="VOL_EFF",$G78,IF(ALLOC!$N$4="VOL_CLASS",$H78,$I78)))</f>
        <v>48</v>
      </c>
      <c r="AD78">
        <f>IF($A78="","",IF(ALLOC!$N$4="VOL_EFF",$L78,IF(ALLOC!$N$4="VOL_CLASS",$M78,$N78)))</f>
        <v>234</v>
      </c>
      <c r="AE78">
        <f>IF($A78="","",IF(ALLOC!$N$3="VOL_EFF",$L78,IF(ALLOC!$N$3="VOL_CLASS",$M78,$N78)))</f>
        <v>1666855</v>
      </c>
      <c r="AF78">
        <f>IF($A78="","",IF(ALLOC!$N$3="VOL_EFF",$Q78,IF(ALLOC!$N$3="VOL_CLASS",$R78,$S78)))</f>
        <v>9032400</v>
      </c>
      <c r="AG78">
        <f>IF($A78="","",IF(ALLOC!$N$1="VOL_EFF",$Q78,IF(ALLOC!$N$1="VOL_CLASS",$R78,$S78)))</f>
        <v>1179</v>
      </c>
      <c r="AH78">
        <f>IF($A78="","",IF(ALLOC!$N$1="VOL_EFF",$T78,IF(ALLOC!$N$1="VOL_CLASS",$U78,$V78)))</f>
        <v>2860</v>
      </c>
      <c r="AI78">
        <f t="shared" si="40"/>
        <v>20165.074999999997</v>
      </c>
      <c r="AJ78">
        <f t="shared" si="41"/>
        <v>43678.774999999994</v>
      </c>
      <c r="AK78">
        <f t="shared" si="42"/>
        <v>29467.98717948718</v>
      </c>
      <c r="AL78">
        <f t="shared" si="43"/>
        <v>121037.53846153845</v>
      </c>
      <c r="AM78">
        <f t="shared" si="44"/>
        <v>43073.820947630309</v>
      </c>
      <c r="AN78">
        <f t="shared" si="45"/>
        <v>87043.213177724683</v>
      </c>
      <c r="AO78">
        <f>IF($A78="","",Allocation2!AE78)</f>
        <v>580167</v>
      </c>
      <c r="AP78">
        <f>IF($A78="","",IF(ALLOC!$N$2="VOL_EFF",$Q78,IF(ALLOC!$N$2="VOL_CLASS",$R78,$S78)))</f>
        <v>1179</v>
      </c>
      <c r="AQ78">
        <f>IF($A78="","",IF(ALLOC!$N$2="VOL_EFF",$T78,IF(ALLOC!$N$2="VOL_CLASS",$U78,$V78)))</f>
        <v>2860</v>
      </c>
      <c r="AR78">
        <f t="shared" si="46"/>
        <v>9053.590233619434</v>
      </c>
    </row>
    <row r="79" spans="1:44" x14ac:dyDescent="0.45">
      <c r="A79" t="str">
        <f>IF(Allocation2!D79="","",Allocation2!D79)</f>
        <v>2025</v>
      </c>
      <c r="B79" t="str">
        <f>IF(Allocation2!E79="","",Allocation2!E79)</f>
        <v>MBWAY_BOR</v>
      </c>
      <c r="C79" t="str">
        <f>IF(Allocation2!F79="","",Allocation2!F79)</f>
        <v>MBWAY</v>
      </c>
      <c r="D79" t="str">
        <f>IF(Allocation2!G79="","",Allocation2!G79)</f>
        <v>MAS_MGT</v>
      </c>
      <c r="E79" t="str">
        <f>IF(Allocation2!H79="","",Allocation2!H79)</f>
        <v>M2</v>
      </c>
      <c r="F79" t="str">
        <f>IF(Allocation2!I79="","",Allocation2!I79)</f>
        <v>ALT</v>
      </c>
      <c r="G79">
        <f>IF(Allocation2!E79="","",Allocation2!J79)</f>
        <v>47</v>
      </c>
      <c r="H79">
        <f>IF(Allocation2!E79="","",Allocation2!K79)</f>
        <v>2</v>
      </c>
      <c r="I79">
        <f>IF(Allocation2!E79="","",Allocation2!L79)</f>
        <v>341925</v>
      </c>
      <c r="J79">
        <f>IF($A79="","",Allocation2!X79)</f>
        <v>0</v>
      </c>
      <c r="K79">
        <f t="shared" si="28"/>
        <v>840</v>
      </c>
      <c r="L79">
        <f t="shared" si="29"/>
        <v>234</v>
      </c>
      <c r="M79">
        <f t="shared" si="30"/>
        <v>10</v>
      </c>
      <c r="N79">
        <f t="shared" si="31"/>
        <v>1666855</v>
      </c>
      <c r="O79">
        <f t="shared" si="32"/>
        <v>4800</v>
      </c>
      <c r="P79">
        <f t="shared" si="33"/>
        <v>96</v>
      </c>
      <c r="Q79">
        <f t="shared" si="34"/>
        <v>1179</v>
      </c>
      <c r="R79">
        <f t="shared" si="35"/>
        <v>50</v>
      </c>
      <c r="S79">
        <f t="shared" si="36"/>
        <v>9032400</v>
      </c>
      <c r="T79">
        <f t="shared" si="37"/>
        <v>2860</v>
      </c>
      <c r="U79">
        <f t="shared" si="38"/>
        <v>131</v>
      </c>
      <c r="V79">
        <f t="shared" si="39"/>
        <v>21240140</v>
      </c>
      <c r="W79">
        <f>IF($A79="","",Allocation2!Y79)</f>
        <v>115229</v>
      </c>
      <c r="X79">
        <f>IF($A79="","",Allocation2!Z79)</f>
        <v>249593</v>
      </c>
      <c r="Y79">
        <f>IF($A79="","",Allocation2!AA79)</f>
        <v>88430</v>
      </c>
      <c r="Z79">
        <f>IF($A79="","",Allocation2!AB79)</f>
        <v>22657</v>
      </c>
      <c r="AA79">
        <f>IF($A79="","",Allocation2!AC79)</f>
        <v>590058</v>
      </c>
      <c r="AB79">
        <f>IF($A79="","",Allocation2!AD79)</f>
        <v>2760232</v>
      </c>
      <c r="AC79">
        <f>IF($A79="","",IF(ALLOC!$N$4="VOL_EFF",$G79,IF(ALLOC!$N$4="VOL_CLASS",$H79,$I79)))</f>
        <v>47</v>
      </c>
      <c r="AD79">
        <f>IF($A79="","",IF(ALLOC!$N$4="VOL_EFF",$L79,IF(ALLOC!$N$4="VOL_CLASS",$M79,$N79)))</f>
        <v>234</v>
      </c>
      <c r="AE79">
        <f>IF($A79="","",IF(ALLOC!$N$3="VOL_EFF",$L79,IF(ALLOC!$N$3="VOL_CLASS",$M79,$N79)))</f>
        <v>1666855</v>
      </c>
      <c r="AF79">
        <f>IF($A79="","",IF(ALLOC!$N$3="VOL_EFF",$Q79,IF(ALLOC!$N$3="VOL_CLASS",$R79,$S79)))</f>
        <v>9032400</v>
      </c>
      <c r="AG79">
        <f>IF($A79="","",IF(ALLOC!$N$1="VOL_EFF",$Q79,IF(ALLOC!$N$1="VOL_CLASS",$R79,$S79)))</f>
        <v>1179</v>
      </c>
      <c r="AH79">
        <f>IF($A79="","",IF(ALLOC!$N$1="VOL_EFF",$T79,IF(ALLOC!$N$1="VOL_CLASS",$U79,$V79)))</f>
        <v>2860</v>
      </c>
      <c r="AI79">
        <f t="shared" si="40"/>
        <v>20165.074999999997</v>
      </c>
      <c r="AJ79">
        <f t="shared" si="41"/>
        <v>43678.774999999994</v>
      </c>
      <c r="AK79">
        <f t="shared" si="42"/>
        <v>17761.581196581199</v>
      </c>
      <c r="AL79">
        <f t="shared" si="43"/>
        <v>118515.92307692308</v>
      </c>
      <c r="AM79">
        <f t="shared" si="44"/>
        <v>42176.449677888013</v>
      </c>
      <c r="AN79">
        <f t="shared" si="45"/>
        <v>90762.222278188681</v>
      </c>
      <c r="AO79">
        <f>IF($A79="","",Allocation2!AE79)</f>
        <v>580167</v>
      </c>
      <c r="AP79">
        <f>IF($A79="","",IF(ALLOC!$N$2="VOL_EFF",$Q79,IF(ALLOC!$N$2="VOL_CLASS",$R79,$S79)))</f>
        <v>1179</v>
      </c>
      <c r="AQ79">
        <f>IF($A79="","",IF(ALLOC!$N$2="VOL_EFF",$T79,IF(ALLOC!$N$2="VOL_CLASS",$U79,$V79)))</f>
        <v>2860</v>
      </c>
      <c r="AR79">
        <f t="shared" si="46"/>
        <v>8864.9737704190302</v>
      </c>
    </row>
    <row r="80" spans="1:44" x14ac:dyDescent="0.45">
      <c r="A80" t="str">
        <f>IF(Allocation2!D80="","",Allocation2!D80)</f>
        <v>2025</v>
      </c>
      <c r="B80" t="str">
        <f>IF(Allocation2!E80="","",Allocation2!E80)</f>
        <v>ISCOM_PAR</v>
      </c>
      <c r="C80" t="str">
        <f>IF(Allocation2!F80="","",Allocation2!F80)</f>
        <v>ISCOM</v>
      </c>
      <c r="D80" t="str">
        <f>IF(Allocation2!G80="","",Allocation2!G80)</f>
        <v>BAC_COM</v>
      </c>
      <c r="E80" t="str">
        <f>IF(Allocation2!H80="","",Allocation2!H80)</f>
        <v>B1</v>
      </c>
      <c r="F80" t="str">
        <f>IF(Allocation2!I80="","",Allocation2!I80)</f>
        <v>INIT</v>
      </c>
      <c r="G80">
        <f>IF(Allocation2!E80="","",Allocation2!J80)</f>
        <v>68</v>
      </c>
      <c r="H80">
        <f>IF(Allocation2!E80="","",Allocation2!K80)</f>
        <v>3</v>
      </c>
      <c r="I80">
        <f>IF(Allocation2!E80="","",Allocation2!L80)</f>
        <v>577320</v>
      </c>
      <c r="J80">
        <f>IF($A80="","",Allocation2!X80)</f>
        <v>68</v>
      </c>
      <c r="K80">
        <f t="shared" si="28"/>
        <v>1800</v>
      </c>
      <c r="L80">
        <f t="shared" si="29"/>
        <v>334</v>
      </c>
      <c r="M80">
        <f t="shared" si="30"/>
        <v>15</v>
      </c>
      <c r="N80">
        <f t="shared" si="31"/>
        <v>2744480</v>
      </c>
      <c r="O80">
        <f t="shared" si="32"/>
        <v>7200</v>
      </c>
      <c r="P80">
        <f t="shared" si="33"/>
        <v>136</v>
      </c>
      <c r="Q80">
        <f t="shared" si="34"/>
        <v>779</v>
      </c>
      <c r="R80">
        <f t="shared" si="35"/>
        <v>35</v>
      </c>
      <c r="S80">
        <f t="shared" si="36"/>
        <v>5914800</v>
      </c>
      <c r="T80">
        <f t="shared" si="37"/>
        <v>2860</v>
      </c>
      <c r="U80">
        <f t="shared" si="38"/>
        <v>131</v>
      </c>
      <c r="V80">
        <f t="shared" si="39"/>
        <v>21240140</v>
      </c>
      <c r="W80">
        <f>IF($A80="","",Allocation2!Y80)</f>
        <v>172844</v>
      </c>
      <c r="X80">
        <f>IF($A80="","",Allocation2!Z80)</f>
        <v>577630</v>
      </c>
      <c r="Y80">
        <f>IF($A80="","",Allocation2!AA80)</f>
        <v>125720</v>
      </c>
      <c r="Z80">
        <f>IF($A80="","",Allocation2!AB80)</f>
        <v>55272</v>
      </c>
      <c r="AA80">
        <f>IF($A80="","",Allocation2!AC80)</f>
        <v>1317329</v>
      </c>
      <c r="AB80">
        <f>IF($A80="","",Allocation2!AD80)</f>
        <v>2760232</v>
      </c>
      <c r="AC80">
        <f>IF($A80="","",IF(ALLOC!$N$4="VOL_EFF",$G80,IF(ALLOC!$N$4="VOL_CLASS",$H80,$I80)))</f>
        <v>68</v>
      </c>
      <c r="AD80">
        <f>IF($A80="","",IF(ALLOC!$N$4="VOL_EFF",$L80,IF(ALLOC!$N$4="VOL_CLASS",$M80,$N80)))</f>
        <v>334</v>
      </c>
      <c r="AE80">
        <f>IF($A80="","",IF(ALLOC!$N$3="VOL_EFF",$L80,IF(ALLOC!$N$3="VOL_CLASS",$M80,$N80)))</f>
        <v>2744480</v>
      </c>
      <c r="AF80">
        <f>IF($A80="","",IF(ALLOC!$N$3="VOL_EFF",$Q80,IF(ALLOC!$N$3="VOL_CLASS",$R80,$S80)))</f>
        <v>5914800</v>
      </c>
      <c r="AG80">
        <f>IF($A80="","",IF(ALLOC!$N$1="VOL_EFF",$Q80,IF(ALLOC!$N$1="VOL_CLASS",$R80,$S80)))</f>
        <v>779</v>
      </c>
      <c r="AH80">
        <f>IF($A80="","",IF(ALLOC!$N$1="VOL_EFF",$T80,IF(ALLOC!$N$1="VOL_CLASS",$U80,$V80)))</f>
        <v>2860</v>
      </c>
      <c r="AI80">
        <f t="shared" si="40"/>
        <v>43211</v>
      </c>
      <c r="AJ80">
        <f t="shared" si="41"/>
        <v>144407.5</v>
      </c>
      <c r="AK80">
        <f t="shared" si="42"/>
        <v>53231.688622754489</v>
      </c>
      <c r="AL80">
        <f t="shared" si="43"/>
        <v>268198.71856287424</v>
      </c>
      <c r="AM80">
        <f t="shared" si="44"/>
        <v>71023.073602814227</v>
      </c>
      <c r="AN80">
        <f t="shared" si="45"/>
        <v>-17680.162022094359</v>
      </c>
      <c r="AO80">
        <f>IF($A80="","",Allocation2!AE80)</f>
        <v>580167</v>
      </c>
      <c r="AP80">
        <f>IF($A80="","",IF(ALLOC!$N$2="VOL_EFF",$Q80,IF(ALLOC!$N$2="VOL_CLASS",$R80,$S80)))</f>
        <v>779</v>
      </c>
      <c r="AQ80">
        <f>IF($A80="","",IF(ALLOC!$N$2="VOL_EFF",$T80,IF(ALLOC!$N$2="VOL_CLASS",$U80,$V80)))</f>
        <v>2860</v>
      </c>
      <c r="AR80">
        <f t="shared" si="46"/>
        <v>14928.181233651343</v>
      </c>
    </row>
    <row r="81" spans="1:44" x14ac:dyDescent="0.45">
      <c r="A81" t="str">
        <f>IF(Allocation2!D81="","",Allocation2!D81)</f>
        <v>2025</v>
      </c>
      <c r="B81" t="str">
        <f>IF(Allocation2!E81="","",Allocation2!E81)</f>
        <v>ISCOM_PAR</v>
      </c>
      <c r="C81" t="str">
        <f>IF(Allocation2!F81="","",Allocation2!F81)</f>
        <v>ISCOM</v>
      </c>
      <c r="D81" t="str">
        <f>IF(Allocation2!G81="","",Allocation2!G81)</f>
        <v>BAC_COM</v>
      </c>
      <c r="E81" t="str">
        <f>IF(Allocation2!H81="","",Allocation2!H81)</f>
        <v>B2</v>
      </c>
      <c r="F81" t="str">
        <f>IF(Allocation2!I81="","",Allocation2!I81)</f>
        <v>ALT</v>
      </c>
      <c r="G81">
        <f>IF(Allocation2!E81="","",Allocation2!J81)</f>
        <v>66</v>
      </c>
      <c r="H81">
        <f>IF(Allocation2!E81="","",Allocation2!K81)</f>
        <v>3</v>
      </c>
      <c r="I81">
        <f>IF(Allocation2!E81="","",Allocation2!L81)</f>
        <v>517440</v>
      </c>
      <c r="J81">
        <f>IF($A81="","",Allocation2!X81)</f>
        <v>0</v>
      </c>
      <c r="K81">
        <f t="shared" si="28"/>
        <v>1440</v>
      </c>
      <c r="L81">
        <f t="shared" si="29"/>
        <v>334</v>
      </c>
      <c r="M81">
        <f t="shared" si="30"/>
        <v>15</v>
      </c>
      <c r="N81">
        <f t="shared" si="31"/>
        <v>2744480</v>
      </c>
      <c r="O81">
        <f t="shared" si="32"/>
        <v>7200</v>
      </c>
      <c r="P81">
        <f t="shared" si="33"/>
        <v>136</v>
      </c>
      <c r="Q81">
        <f t="shared" si="34"/>
        <v>779</v>
      </c>
      <c r="R81">
        <f t="shared" si="35"/>
        <v>35</v>
      </c>
      <c r="S81">
        <f t="shared" si="36"/>
        <v>5914800</v>
      </c>
      <c r="T81">
        <f t="shared" si="37"/>
        <v>2860</v>
      </c>
      <c r="U81">
        <f t="shared" si="38"/>
        <v>131</v>
      </c>
      <c r="V81">
        <f t="shared" si="39"/>
        <v>21240140</v>
      </c>
      <c r="W81">
        <f>IF($A81="","",Allocation2!Y81)</f>
        <v>172844</v>
      </c>
      <c r="X81">
        <f>IF($A81="","",Allocation2!Z81)</f>
        <v>577630</v>
      </c>
      <c r="Y81">
        <f>IF($A81="","",Allocation2!AA81)</f>
        <v>125720</v>
      </c>
      <c r="Z81">
        <f>IF($A81="","",Allocation2!AB81)</f>
        <v>55272</v>
      </c>
      <c r="AA81">
        <f>IF($A81="","",Allocation2!AC81)</f>
        <v>1317329</v>
      </c>
      <c r="AB81">
        <f>IF($A81="","",Allocation2!AD81)</f>
        <v>2760232</v>
      </c>
      <c r="AC81">
        <f>IF($A81="","",IF(ALLOC!$N$4="VOL_EFF",$G81,IF(ALLOC!$N$4="VOL_CLASS",$H81,$I81)))</f>
        <v>66</v>
      </c>
      <c r="AD81">
        <f>IF($A81="","",IF(ALLOC!$N$4="VOL_EFF",$L81,IF(ALLOC!$N$4="VOL_CLASS",$M81,$N81)))</f>
        <v>334</v>
      </c>
      <c r="AE81">
        <f>IF($A81="","",IF(ALLOC!$N$3="VOL_EFF",$L81,IF(ALLOC!$N$3="VOL_CLASS",$M81,$N81)))</f>
        <v>2744480</v>
      </c>
      <c r="AF81">
        <f>IF($A81="","",IF(ALLOC!$N$3="VOL_EFF",$Q81,IF(ALLOC!$N$3="VOL_CLASS",$R81,$S81)))</f>
        <v>5914800</v>
      </c>
      <c r="AG81">
        <f>IF($A81="","",IF(ALLOC!$N$1="VOL_EFF",$Q81,IF(ALLOC!$N$1="VOL_CLASS",$R81,$S81)))</f>
        <v>779</v>
      </c>
      <c r="AH81">
        <f>IF($A81="","",IF(ALLOC!$N$1="VOL_EFF",$T81,IF(ALLOC!$N$1="VOL_CLASS",$U81,$V81)))</f>
        <v>2860</v>
      </c>
      <c r="AI81">
        <f t="shared" si="40"/>
        <v>34568.800000000003</v>
      </c>
      <c r="AJ81">
        <f t="shared" si="41"/>
        <v>115526</v>
      </c>
      <c r="AK81">
        <f t="shared" si="42"/>
        <v>24842.874251497007</v>
      </c>
      <c r="AL81">
        <f t="shared" si="43"/>
        <v>260310.52095808383</v>
      </c>
      <c r="AM81">
        <f t="shared" si="44"/>
        <v>68934.159673319693</v>
      </c>
      <c r="AN81">
        <f t="shared" si="45"/>
        <v>-1231.4719626209117</v>
      </c>
      <c r="AO81">
        <f>IF($A81="","",Allocation2!AE81)</f>
        <v>580167</v>
      </c>
      <c r="AP81">
        <f>IF($A81="","",IF(ALLOC!$N$2="VOL_EFF",$Q81,IF(ALLOC!$N$2="VOL_CLASS",$R81,$S81)))</f>
        <v>779</v>
      </c>
      <c r="AQ81">
        <f>IF($A81="","",IF(ALLOC!$N$2="VOL_EFF",$T81,IF(ALLOC!$N$2="VOL_CLASS",$U81,$V81)))</f>
        <v>2860</v>
      </c>
      <c r="AR81">
        <f t="shared" si="46"/>
        <v>14489.117079720423</v>
      </c>
    </row>
    <row r="82" spans="1:44" x14ac:dyDescent="0.45">
      <c r="A82" t="str">
        <f>IF(Allocation2!D82="","",Allocation2!D82)</f>
        <v>2025</v>
      </c>
      <c r="B82" t="str">
        <f>IF(Allocation2!E82="","",Allocation2!E82)</f>
        <v>ISCOM_PAR</v>
      </c>
      <c r="C82" t="str">
        <f>IF(Allocation2!F82="","",Allocation2!F82)</f>
        <v>ISCOM</v>
      </c>
      <c r="D82" t="str">
        <f>IF(Allocation2!G82="","",Allocation2!G82)</f>
        <v>BAC_COM</v>
      </c>
      <c r="E82" t="str">
        <f>IF(Allocation2!H82="","",Allocation2!H82)</f>
        <v>B3</v>
      </c>
      <c r="F82" t="str">
        <f>IF(Allocation2!I82="","",Allocation2!I82)</f>
        <v>ALT</v>
      </c>
      <c r="G82">
        <f>IF(Allocation2!E82="","",Allocation2!J82)</f>
        <v>65</v>
      </c>
      <c r="H82">
        <f>IF(Allocation2!E82="","",Allocation2!K82)</f>
        <v>3</v>
      </c>
      <c r="I82">
        <f>IF(Allocation2!E82="","",Allocation2!L82)</f>
        <v>509600</v>
      </c>
      <c r="J82">
        <f>IF($A82="","",Allocation2!X82)</f>
        <v>0</v>
      </c>
      <c r="K82">
        <f t="shared" si="28"/>
        <v>1440</v>
      </c>
      <c r="L82">
        <f t="shared" si="29"/>
        <v>334</v>
      </c>
      <c r="M82">
        <f t="shared" si="30"/>
        <v>15</v>
      </c>
      <c r="N82">
        <f t="shared" si="31"/>
        <v>2744480</v>
      </c>
      <c r="O82">
        <f t="shared" si="32"/>
        <v>7200</v>
      </c>
      <c r="P82">
        <f t="shared" si="33"/>
        <v>136</v>
      </c>
      <c r="Q82">
        <f t="shared" si="34"/>
        <v>779</v>
      </c>
      <c r="R82">
        <f t="shared" si="35"/>
        <v>35</v>
      </c>
      <c r="S82">
        <f t="shared" si="36"/>
        <v>5914800</v>
      </c>
      <c r="T82">
        <f t="shared" si="37"/>
        <v>2860</v>
      </c>
      <c r="U82">
        <f t="shared" si="38"/>
        <v>131</v>
      </c>
      <c r="V82">
        <f t="shared" si="39"/>
        <v>21240140</v>
      </c>
      <c r="W82">
        <f>IF($A82="","",Allocation2!Y82)</f>
        <v>172844</v>
      </c>
      <c r="X82">
        <f>IF($A82="","",Allocation2!Z82)</f>
        <v>577630</v>
      </c>
      <c r="Y82">
        <f>IF($A82="","",Allocation2!AA82)</f>
        <v>125720</v>
      </c>
      <c r="Z82">
        <f>IF($A82="","",Allocation2!AB82)</f>
        <v>55272</v>
      </c>
      <c r="AA82">
        <f>IF($A82="","",Allocation2!AC82)</f>
        <v>1317329</v>
      </c>
      <c r="AB82">
        <f>IF($A82="","",Allocation2!AD82)</f>
        <v>2760232</v>
      </c>
      <c r="AC82">
        <f>IF($A82="","",IF(ALLOC!$N$4="VOL_EFF",$G82,IF(ALLOC!$N$4="VOL_CLASS",$H82,$I82)))</f>
        <v>65</v>
      </c>
      <c r="AD82">
        <f>IF($A82="","",IF(ALLOC!$N$4="VOL_EFF",$L82,IF(ALLOC!$N$4="VOL_CLASS",$M82,$N82)))</f>
        <v>334</v>
      </c>
      <c r="AE82">
        <f>IF($A82="","",IF(ALLOC!$N$3="VOL_EFF",$L82,IF(ALLOC!$N$3="VOL_CLASS",$M82,$N82)))</f>
        <v>2744480</v>
      </c>
      <c r="AF82">
        <f>IF($A82="","",IF(ALLOC!$N$3="VOL_EFF",$Q82,IF(ALLOC!$N$3="VOL_CLASS",$R82,$S82)))</f>
        <v>5914800</v>
      </c>
      <c r="AG82">
        <f>IF($A82="","",IF(ALLOC!$N$1="VOL_EFF",$Q82,IF(ALLOC!$N$1="VOL_CLASS",$R82,$S82)))</f>
        <v>779</v>
      </c>
      <c r="AH82">
        <f>IF($A82="","",IF(ALLOC!$N$1="VOL_EFF",$T82,IF(ALLOC!$N$1="VOL_CLASS",$U82,$V82)))</f>
        <v>2860</v>
      </c>
      <c r="AI82">
        <f t="shared" si="40"/>
        <v>34568.800000000003</v>
      </c>
      <c r="AJ82">
        <f t="shared" si="41"/>
        <v>115526</v>
      </c>
      <c r="AK82">
        <f t="shared" si="42"/>
        <v>24466.467065868266</v>
      </c>
      <c r="AL82">
        <f t="shared" si="43"/>
        <v>256366.42215568863</v>
      </c>
      <c r="AM82">
        <f t="shared" si="44"/>
        <v>67889.702708572426</v>
      </c>
      <c r="AN82">
        <f t="shared" si="45"/>
        <v>-3486.9769328843104</v>
      </c>
      <c r="AO82">
        <f>IF($A82="","",Allocation2!AE82)</f>
        <v>580167</v>
      </c>
      <c r="AP82">
        <f>IF($A82="","",IF(ALLOC!$N$2="VOL_EFF",$Q82,IF(ALLOC!$N$2="VOL_CLASS",$R82,$S82)))</f>
        <v>779</v>
      </c>
      <c r="AQ82">
        <f>IF($A82="","",IF(ALLOC!$N$2="VOL_EFF",$T82,IF(ALLOC!$N$2="VOL_CLASS",$U82,$V82)))</f>
        <v>2860</v>
      </c>
      <c r="AR82">
        <f t="shared" si="46"/>
        <v>14269.585002754962</v>
      </c>
    </row>
    <row r="83" spans="1:44" x14ac:dyDescent="0.45">
      <c r="A83" t="str">
        <f>IF(Allocation2!D83="","",Allocation2!D83)</f>
        <v>2025</v>
      </c>
      <c r="B83" t="str">
        <f>IF(Allocation2!E83="","",Allocation2!E83)</f>
        <v>ISCOM_PAR</v>
      </c>
      <c r="C83" t="str">
        <f>IF(Allocation2!F83="","",Allocation2!F83)</f>
        <v>ISCOM</v>
      </c>
      <c r="D83" t="str">
        <f>IF(Allocation2!G83="","",Allocation2!G83)</f>
        <v>MAS_COM</v>
      </c>
      <c r="E83" t="str">
        <f>IF(Allocation2!H83="","",Allocation2!H83)</f>
        <v>M1</v>
      </c>
      <c r="F83" t="str">
        <f>IF(Allocation2!I83="","",Allocation2!I83)</f>
        <v>ALT</v>
      </c>
      <c r="G83">
        <f>IF(Allocation2!E83="","",Allocation2!J83)</f>
        <v>68</v>
      </c>
      <c r="H83">
        <f>IF(Allocation2!E83="","",Allocation2!K83)</f>
        <v>3</v>
      </c>
      <c r="I83">
        <f>IF(Allocation2!E83="","",Allocation2!L83)</f>
        <v>577320</v>
      </c>
      <c r="J83">
        <f>IF($A83="","",Allocation2!X83)</f>
        <v>68</v>
      </c>
      <c r="K83">
        <f t="shared" si="28"/>
        <v>1260</v>
      </c>
      <c r="L83">
        <f t="shared" si="29"/>
        <v>334</v>
      </c>
      <c r="M83">
        <f t="shared" si="30"/>
        <v>15</v>
      </c>
      <c r="N83">
        <f t="shared" si="31"/>
        <v>2744480</v>
      </c>
      <c r="O83">
        <f t="shared" si="32"/>
        <v>7200</v>
      </c>
      <c r="P83">
        <f t="shared" si="33"/>
        <v>136</v>
      </c>
      <c r="Q83">
        <f t="shared" si="34"/>
        <v>779</v>
      </c>
      <c r="R83">
        <f t="shared" si="35"/>
        <v>35</v>
      </c>
      <c r="S83">
        <f t="shared" si="36"/>
        <v>5914800</v>
      </c>
      <c r="T83">
        <f t="shared" si="37"/>
        <v>2860</v>
      </c>
      <c r="U83">
        <f t="shared" si="38"/>
        <v>131</v>
      </c>
      <c r="V83">
        <f t="shared" si="39"/>
        <v>21240140</v>
      </c>
      <c r="W83">
        <f>IF($A83="","",Allocation2!Y83)</f>
        <v>172844</v>
      </c>
      <c r="X83">
        <f>IF($A83="","",Allocation2!Z83)</f>
        <v>577630</v>
      </c>
      <c r="Y83">
        <f>IF($A83="","",Allocation2!AA83)</f>
        <v>125720</v>
      </c>
      <c r="Z83">
        <f>IF($A83="","",Allocation2!AB83)</f>
        <v>55272</v>
      </c>
      <c r="AA83">
        <f>IF($A83="","",Allocation2!AC83)</f>
        <v>1317329</v>
      </c>
      <c r="AB83">
        <f>IF($A83="","",Allocation2!AD83)</f>
        <v>2760232</v>
      </c>
      <c r="AC83">
        <f>IF($A83="","",IF(ALLOC!$N$4="VOL_EFF",$G83,IF(ALLOC!$N$4="VOL_CLASS",$H83,$I83)))</f>
        <v>68</v>
      </c>
      <c r="AD83">
        <f>IF($A83="","",IF(ALLOC!$N$4="VOL_EFF",$L83,IF(ALLOC!$N$4="VOL_CLASS",$M83,$N83)))</f>
        <v>334</v>
      </c>
      <c r="AE83">
        <f>IF($A83="","",IF(ALLOC!$N$3="VOL_EFF",$L83,IF(ALLOC!$N$3="VOL_CLASS",$M83,$N83)))</f>
        <v>2744480</v>
      </c>
      <c r="AF83">
        <f>IF($A83="","",IF(ALLOC!$N$3="VOL_EFF",$Q83,IF(ALLOC!$N$3="VOL_CLASS",$R83,$S83)))</f>
        <v>5914800</v>
      </c>
      <c r="AG83">
        <f>IF($A83="","",IF(ALLOC!$N$1="VOL_EFF",$Q83,IF(ALLOC!$N$1="VOL_CLASS",$R83,$S83)))</f>
        <v>779</v>
      </c>
      <c r="AH83">
        <f>IF($A83="","",IF(ALLOC!$N$1="VOL_EFF",$T83,IF(ALLOC!$N$1="VOL_CLASS",$U83,$V83)))</f>
        <v>2860</v>
      </c>
      <c r="AI83">
        <f t="shared" si="40"/>
        <v>30247.699999999997</v>
      </c>
      <c r="AJ83">
        <f t="shared" si="41"/>
        <v>101085.25</v>
      </c>
      <c r="AK83">
        <f t="shared" si="42"/>
        <v>53231.688622754489</v>
      </c>
      <c r="AL83">
        <f t="shared" si="43"/>
        <v>268198.71856287424</v>
      </c>
      <c r="AM83">
        <f t="shared" si="44"/>
        <v>71023.073602814227</v>
      </c>
      <c r="AN83">
        <f t="shared" si="45"/>
        <v>38605.387977905688</v>
      </c>
      <c r="AO83">
        <f>IF($A83="","",Allocation2!AE83)</f>
        <v>580167</v>
      </c>
      <c r="AP83">
        <f>IF($A83="","",IF(ALLOC!$N$2="VOL_EFF",$Q83,IF(ALLOC!$N$2="VOL_CLASS",$R83,$S83)))</f>
        <v>779</v>
      </c>
      <c r="AQ83">
        <f>IF($A83="","",IF(ALLOC!$N$2="VOL_EFF",$T83,IF(ALLOC!$N$2="VOL_CLASS",$U83,$V83)))</f>
        <v>2860</v>
      </c>
      <c r="AR83">
        <f t="shared" si="46"/>
        <v>14928.181233651343</v>
      </c>
    </row>
    <row r="84" spans="1:44" x14ac:dyDescent="0.45">
      <c r="A84" t="str">
        <f>IF(Allocation2!D84="","",Allocation2!D84)</f>
        <v>2025</v>
      </c>
      <c r="B84" t="str">
        <f>IF(Allocation2!E84="","",Allocation2!E84)</f>
        <v>ISCOM_PAR</v>
      </c>
      <c r="C84" t="str">
        <f>IF(Allocation2!F84="","",Allocation2!F84)</f>
        <v>ISCOM</v>
      </c>
      <c r="D84" t="str">
        <f>IF(Allocation2!G84="","",Allocation2!G84)</f>
        <v>MAS_COM</v>
      </c>
      <c r="E84" t="str">
        <f>IF(Allocation2!H84="","",Allocation2!H84)</f>
        <v>M2</v>
      </c>
      <c r="F84" t="str">
        <f>IF(Allocation2!I84="","",Allocation2!I84)</f>
        <v>ALT</v>
      </c>
      <c r="G84">
        <f>IF(Allocation2!E84="","",Allocation2!J84)</f>
        <v>67</v>
      </c>
      <c r="H84">
        <f>IF(Allocation2!E84="","",Allocation2!K84)</f>
        <v>3</v>
      </c>
      <c r="I84">
        <f>IF(Allocation2!E84="","",Allocation2!L84)</f>
        <v>562800</v>
      </c>
      <c r="J84">
        <f>IF($A84="","",Allocation2!X84)</f>
        <v>0</v>
      </c>
      <c r="K84">
        <f t="shared" si="28"/>
        <v>1260</v>
      </c>
      <c r="L84">
        <f t="shared" si="29"/>
        <v>334</v>
      </c>
      <c r="M84">
        <f t="shared" si="30"/>
        <v>15</v>
      </c>
      <c r="N84">
        <f t="shared" si="31"/>
        <v>2744480</v>
      </c>
      <c r="O84">
        <f t="shared" si="32"/>
        <v>7200</v>
      </c>
      <c r="P84">
        <f t="shared" si="33"/>
        <v>136</v>
      </c>
      <c r="Q84">
        <f t="shared" si="34"/>
        <v>779</v>
      </c>
      <c r="R84">
        <f t="shared" si="35"/>
        <v>35</v>
      </c>
      <c r="S84">
        <f t="shared" si="36"/>
        <v>5914800</v>
      </c>
      <c r="T84">
        <f t="shared" si="37"/>
        <v>2860</v>
      </c>
      <c r="U84">
        <f t="shared" si="38"/>
        <v>131</v>
      </c>
      <c r="V84">
        <f t="shared" si="39"/>
        <v>21240140</v>
      </c>
      <c r="W84">
        <f>IF($A84="","",Allocation2!Y84)</f>
        <v>172844</v>
      </c>
      <c r="X84">
        <f>IF($A84="","",Allocation2!Z84)</f>
        <v>577630</v>
      </c>
      <c r="Y84">
        <f>IF($A84="","",Allocation2!AA84)</f>
        <v>125720</v>
      </c>
      <c r="Z84">
        <f>IF($A84="","",Allocation2!AB84)</f>
        <v>55272</v>
      </c>
      <c r="AA84">
        <f>IF($A84="","",Allocation2!AC84)</f>
        <v>1317329</v>
      </c>
      <c r="AB84">
        <f>IF($A84="","",Allocation2!AD84)</f>
        <v>2760232</v>
      </c>
      <c r="AC84">
        <f>IF($A84="","",IF(ALLOC!$N$4="VOL_EFF",$G84,IF(ALLOC!$N$4="VOL_CLASS",$H84,$I84)))</f>
        <v>67</v>
      </c>
      <c r="AD84">
        <f>IF($A84="","",IF(ALLOC!$N$4="VOL_EFF",$L84,IF(ALLOC!$N$4="VOL_CLASS",$M84,$N84)))</f>
        <v>334</v>
      </c>
      <c r="AE84">
        <f>IF($A84="","",IF(ALLOC!$N$3="VOL_EFF",$L84,IF(ALLOC!$N$3="VOL_CLASS",$M84,$N84)))</f>
        <v>2744480</v>
      </c>
      <c r="AF84">
        <f>IF($A84="","",IF(ALLOC!$N$3="VOL_EFF",$Q84,IF(ALLOC!$N$3="VOL_CLASS",$R84,$S84)))</f>
        <v>5914800</v>
      </c>
      <c r="AG84">
        <f>IF($A84="","",IF(ALLOC!$N$1="VOL_EFF",$Q84,IF(ALLOC!$N$1="VOL_CLASS",$R84,$S84)))</f>
        <v>779</v>
      </c>
      <c r="AH84">
        <f>IF($A84="","",IF(ALLOC!$N$1="VOL_EFF",$T84,IF(ALLOC!$N$1="VOL_CLASS",$U84,$V84)))</f>
        <v>2860</v>
      </c>
      <c r="AI84">
        <f t="shared" si="40"/>
        <v>30247.699999999997</v>
      </c>
      <c r="AJ84">
        <f t="shared" si="41"/>
        <v>101085.25</v>
      </c>
      <c r="AK84">
        <f t="shared" si="42"/>
        <v>25219.281437125748</v>
      </c>
      <c r="AL84">
        <f t="shared" si="43"/>
        <v>264254.61976047902</v>
      </c>
      <c r="AM84">
        <f t="shared" si="44"/>
        <v>69978.61663806696</v>
      </c>
      <c r="AN84">
        <f t="shared" si="45"/>
        <v>57305.883007642406</v>
      </c>
      <c r="AO84">
        <f>IF($A84="","",Allocation2!AE84)</f>
        <v>580167</v>
      </c>
      <c r="AP84">
        <f>IF($A84="","",IF(ALLOC!$N$2="VOL_EFF",$Q84,IF(ALLOC!$N$2="VOL_CLASS",$R84,$S84)))</f>
        <v>779</v>
      </c>
      <c r="AQ84">
        <f>IF($A84="","",IF(ALLOC!$N$2="VOL_EFF",$T84,IF(ALLOC!$N$2="VOL_CLASS",$U84,$V84)))</f>
        <v>2860</v>
      </c>
      <c r="AR84">
        <f t="shared" si="46"/>
        <v>14708.649156685882</v>
      </c>
    </row>
    <row r="85" spans="1:44" x14ac:dyDescent="0.45">
      <c r="A85" t="str">
        <f>IF(Allocation2!D85="","",Allocation2!D85)</f>
        <v>2025</v>
      </c>
      <c r="B85" t="str">
        <f>IF(Allocation2!E85="","",Allocation2!E85)</f>
        <v>ISCOM_LIL</v>
      </c>
      <c r="C85" t="str">
        <f>IF(Allocation2!F85="","",Allocation2!F85)</f>
        <v>ISCOM</v>
      </c>
      <c r="D85" t="str">
        <f>IF(Allocation2!G85="","",Allocation2!G85)</f>
        <v>BAC_COM</v>
      </c>
      <c r="E85" t="str">
        <f>IF(Allocation2!H85="","",Allocation2!H85)</f>
        <v>B1</v>
      </c>
      <c r="F85" t="str">
        <f>IF(Allocation2!I85="","",Allocation2!I85)</f>
        <v>INIT</v>
      </c>
      <c r="G85">
        <f>IF(Allocation2!E85="","",Allocation2!J85)</f>
        <v>47</v>
      </c>
      <c r="H85">
        <f>IF(Allocation2!E85="","",Allocation2!K85)</f>
        <v>2</v>
      </c>
      <c r="I85">
        <f>IF(Allocation2!E85="","",Allocation2!L85)</f>
        <v>349680</v>
      </c>
      <c r="J85">
        <f>IF($A85="","",Allocation2!X85)</f>
        <v>47</v>
      </c>
      <c r="K85">
        <f t="shared" si="28"/>
        <v>1200</v>
      </c>
      <c r="L85">
        <f t="shared" si="29"/>
        <v>229</v>
      </c>
      <c r="M85">
        <f t="shared" si="30"/>
        <v>10</v>
      </c>
      <c r="N85">
        <f t="shared" si="31"/>
        <v>1648000</v>
      </c>
      <c r="O85">
        <f t="shared" si="32"/>
        <v>4800</v>
      </c>
      <c r="P85">
        <f t="shared" si="33"/>
        <v>94</v>
      </c>
      <c r="Q85">
        <f t="shared" si="34"/>
        <v>779</v>
      </c>
      <c r="R85">
        <f t="shared" si="35"/>
        <v>35</v>
      </c>
      <c r="S85">
        <f t="shared" si="36"/>
        <v>5914800</v>
      </c>
      <c r="T85">
        <f t="shared" si="37"/>
        <v>2860</v>
      </c>
      <c r="U85">
        <f t="shared" si="38"/>
        <v>131</v>
      </c>
      <c r="V85">
        <f t="shared" si="39"/>
        <v>21240140</v>
      </c>
      <c r="W85">
        <f>IF($A85="","",Allocation2!Y85)</f>
        <v>115229</v>
      </c>
      <c r="X85">
        <f>IF($A85="","",Allocation2!Z85)</f>
        <v>218691</v>
      </c>
      <c r="Y85">
        <f>IF($A85="","",Allocation2!AA85)</f>
        <v>86655</v>
      </c>
      <c r="Z85">
        <f>IF($A85="","",Allocation2!AB85)</f>
        <v>22927</v>
      </c>
      <c r="AA85">
        <f>IF($A85="","",Allocation2!AC85)</f>
        <v>509979</v>
      </c>
      <c r="AB85">
        <f>IF($A85="","",Allocation2!AD85)</f>
        <v>2760232</v>
      </c>
      <c r="AC85">
        <f>IF($A85="","",IF(ALLOC!$N$4="VOL_EFF",$G85,IF(ALLOC!$N$4="VOL_CLASS",$H85,$I85)))</f>
        <v>47</v>
      </c>
      <c r="AD85">
        <f>IF($A85="","",IF(ALLOC!$N$4="VOL_EFF",$L85,IF(ALLOC!$N$4="VOL_CLASS",$M85,$N85)))</f>
        <v>229</v>
      </c>
      <c r="AE85">
        <f>IF($A85="","",IF(ALLOC!$N$3="VOL_EFF",$L85,IF(ALLOC!$N$3="VOL_CLASS",$M85,$N85)))</f>
        <v>1648000</v>
      </c>
      <c r="AF85">
        <f>IF($A85="","",IF(ALLOC!$N$3="VOL_EFF",$Q85,IF(ALLOC!$N$3="VOL_CLASS",$R85,$S85)))</f>
        <v>5914800</v>
      </c>
      <c r="AG85">
        <f>IF($A85="","",IF(ALLOC!$N$1="VOL_EFF",$Q85,IF(ALLOC!$N$1="VOL_CLASS",$R85,$S85)))</f>
        <v>779</v>
      </c>
      <c r="AH85">
        <f>IF($A85="","",IF(ALLOC!$N$1="VOL_EFF",$T85,IF(ALLOC!$N$1="VOL_CLASS",$U85,$V85)))</f>
        <v>2860</v>
      </c>
      <c r="AI85">
        <f t="shared" si="40"/>
        <v>28807.25</v>
      </c>
      <c r="AJ85">
        <f t="shared" si="41"/>
        <v>54672.75</v>
      </c>
      <c r="AK85">
        <f t="shared" si="42"/>
        <v>29248.587336244542</v>
      </c>
      <c r="AL85">
        <f t="shared" si="43"/>
        <v>104668.17903930131</v>
      </c>
      <c r="AM85">
        <f t="shared" si="44"/>
        <v>42992.879129144378</v>
      </c>
      <c r="AN85">
        <f t="shared" si="45"/>
        <v>80253.77724176069</v>
      </c>
      <c r="AO85">
        <f>IF($A85="","",Allocation2!AE85)</f>
        <v>580167</v>
      </c>
      <c r="AP85">
        <f>IF($A85="","",IF(ALLOC!$N$2="VOL_EFF",$Q85,IF(ALLOC!$N$2="VOL_CLASS",$R85,$S85)))</f>
        <v>779</v>
      </c>
      <c r="AQ85">
        <f>IF($A85="","",IF(ALLOC!$N$2="VOL_EFF",$T85,IF(ALLOC!$N$2="VOL_CLASS",$U85,$V85)))</f>
        <v>2860</v>
      </c>
      <c r="AR85">
        <f t="shared" si="46"/>
        <v>9036.5772535490869</v>
      </c>
    </row>
    <row r="86" spans="1:44" x14ac:dyDescent="0.45">
      <c r="A86" t="str">
        <f>IF(Allocation2!D86="","",Allocation2!D86)</f>
        <v>2025</v>
      </c>
      <c r="B86" t="str">
        <f>IF(Allocation2!E86="","",Allocation2!E86)</f>
        <v>ISCOM_LIL</v>
      </c>
      <c r="C86" t="str">
        <f>IF(Allocation2!F86="","",Allocation2!F86)</f>
        <v>ISCOM</v>
      </c>
      <c r="D86" t="str">
        <f>IF(Allocation2!G86="","",Allocation2!G86)</f>
        <v>BAC_COM</v>
      </c>
      <c r="E86" t="str">
        <f>IF(Allocation2!H86="","",Allocation2!H86)</f>
        <v>B2</v>
      </c>
      <c r="F86" t="str">
        <f>IF(Allocation2!I86="","",Allocation2!I86)</f>
        <v>ALT</v>
      </c>
      <c r="G86">
        <f>IF(Allocation2!E86="","",Allocation2!J86)</f>
        <v>45</v>
      </c>
      <c r="H86">
        <f>IF(Allocation2!E86="","",Allocation2!K86)</f>
        <v>2</v>
      </c>
      <c r="I86">
        <f>IF(Allocation2!E86="","",Allocation2!L86)</f>
        <v>308700</v>
      </c>
      <c r="J86">
        <f>IF($A86="","",Allocation2!X86)</f>
        <v>0</v>
      </c>
      <c r="K86">
        <f t="shared" si="28"/>
        <v>960</v>
      </c>
      <c r="L86">
        <f t="shared" si="29"/>
        <v>229</v>
      </c>
      <c r="M86">
        <f t="shared" si="30"/>
        <v>10</v>
      </c>
      <c r="N86">
        <f t="shared" si="31"/>
        <v>1648000</v>
      </c>
      <c r="O86">
        <f t="shared" si="32"/>
        <v>4800</v>
      </c>
      <c r="P86">
        <f t="shared" si="33"/>
        <v>94</v>
      </c>
      <c r="Q86">
        <f t="shared" si="34"/>
        <v>779</v>
      </c>
      <c r="R86">
        <f t="shared" si="35"/>
        <v>35</v>
      </c>
      <c r="S86">
        <f t="shared" si="36"/>
        <v>5914800</v>
      </c>
      <c r="T86">
        <f t="shared" si="37"/>
        <v>2860</v>
      </c>
      <c r="U86">
        <f t="shared" si="38"/>
        <v>131</v>
      </c>
      <c r="V86">
        <f t="shared" si="39"/>
        <v>21240140</v>
      </c>
      <c r="W86">
        <f>IF($A86="","",Allocation2!Y86)</f>
        <v>115229</v>
      </c>
      <c r="X86">
        <f>IF($A86="","",Allocation2!Z86)</f>
        <v>218691</v>
      </c>
      <c r="Y86">
        <f>IF($A86="","",Allocation2!AA86)</f>
        <v>86655</v>
      </c>
      <c r="Z86">
        <f>IF($A86="","",Allocation2!AB86)</f>
        <v>22927</v>
      </c>
      <c r="AA86">
        <f>IF($A86="","",Allocation2!AC86)</f>
        <v>509979</v>
      </c>
      <c r="AB86">
        <f>IF($A86="","",Allocation2!AD86)</f>
        <v>2760232</v>
      </c>
      <c r="AC86">
        <f>IF($A86="","",IF(ALLOC!$N$4="VOL_EFF",$G86,IF(ALLOC!$N$4="VOL_CLASS",$H86,$I86)))</f>
        <v>45</v>
      </c>
      <c r="AD86">
        <f>IF($A86="","",IF(ALLOC!$N$4="VOL_EFF",$L86,IF(ALLOC!$N$4="VOL_CLASS",$M86,$N86)))</f>
        <v>229</v>
      </c>
      <c r="AE86">
        <f>IF($A86="","",IF(ALLOC!$N$3="VOL_EFF",$L86,IF(ALLOC!$N$3="VOL_CLASS",$M86,$N86)))</f>
        <v>1648000</v>
      </c>
      <c r="AF86">
        <f>IF($A86="","",IF(ALLOC!$N$3="VOL_EFF",$Q86,IF(ALLOC!$N$3="VOL_CLASS",$R86,$S86)))</f>
        <v>5914800</v>
      </c>
      <c r="AG86">
        <f>IF($A86="","",IF(ALLOC!$N$1="VOL_EFF",$Q86,IF(ALLOC!$N$1="VOL_CLASS",$R86,$S86)))</f>
        <v>779</v>
      </c>
      <c r="AH86">
        <f>IF($A86="","",IF(ALLOC!$N$1="VOL_EFF",$T86,IF(ALLOC!$N$1="VOL_CLASS",$U86,$V86)))</f>
        <v>2860</v>
      </c>
      <c r="AI86">
        <f t="shared" si="40"/>
        <v>23045.800000000003</v>
      </c>
      <c r="AJ86">
        <f t="shared" si="41"/>
        <v>43738.200000000004</v>
      </c>
      <c r="AK86">
        <f t="shared" si="42"/>
        <v>17028.275109170303</v>
      </c>
      <c r="AL86">
        <f t="shared" si="43"/>
        <v>100214.21397379912</v>
      </c>
      <c r="AM86">
        <f t="shared" si="44"/>
        <v>41163.394910882911</v>
      </c>
      <c r="AN86">
        <f t="shared" si="45"/>
        <v>74858.07395487724</v>
      </c>
      <c r="AO86">
        <f>IF($A86="","",Allocation2!AE86)</f>
        <v>580167</v>
      </c>
      <c r="AP86">
        <f>IF($A86="","",IF(ALLOC!$N$2="VOL_EFF",$Q86,IF(ALLOC!$N$2="VOL_CLASS",$R86,$S86)))</f>
        <v>779</v>
      </c>
      <c r="AQ86">
        <f>IF($A86="","",IF(ALLOC!$N$2="VOL_EFF",$T86,IF(ALLOC!$N$2="VOL_CLASS",$U86,$V86)))</f>
        <v>2860</v>
      </c>
      <c r="AR86">
        <f t="shared" si="46"/>
        <v>8652.0420512704022</v>
      </c>
    </row>
    <row r="87" spans="1:44" x14ac:dyDescent="0.45">
      <c r="A87" t="str">
        <f>IF(Allocation2!D87="","",Allocation2!D87)</f>
        <v>2025</v>
      </c>
      <c r="B87" t="str">
        <f>IF(Allocation2!E87="","",Allocation2!E87)</f>
        <v>ISCOM_LIL</v>
      </c>
      <c r="C87" t="str">
        <f>IF(Allocation2!F87="","",Allocation2!F87)</f>
        <v>ISCOM</v>
      </c>
      <c r="D87" t="str">
        <f>IF(Allocation2!G87="","",Allocation2!G87)</f>
        <v>BAC_COM</v>
      </c>
      <c r="E87" t="str">
        <f>IF(Allocation2!H87="","",Allocation2!H87)</f>
        <v>B3</v>
      </c>
      <c r="F87" t="str">
        <f>IF(Allocation2!I87="","",Allocation2!I87)</f>
        <v>ALT</v>
      </c>
      <c r="G87">
        <f>IF(Allocation2!E87="","",Allocation2!J87)</f>
        <v>44</v>
      </c>
      <c r="H87">
        <f>IF(Allocation2!E87="","",Allocation2!K87)</f>
        <v>2</v>
      </c>
      <c r="I87">
        <f>IF(Allocation2!E87="","",Allocation2!L87)</f>
        <v>301840</v>
      </c>
      <c r="J87">
        <f>IF($A87="","",Allocation2!X87)</f>
        <v>0</v>
      </c>
      <c r="K87">
        <f t="shared" si="28"/>
        <v>960</v>
      </c>
      <c r="L87">
        <f t="shared" si="29"/>
        <v>229</v>
      </c>
      <c r="M87">
        <f t="shared" si="30"/>
        <v>10</v>
      </c>
      <c r="N87">
        <f t="shared" si="31"/>
        <v>1648000</v>
      </c>
      <c r="O87">
        <f t="shared" si="32"/>
        <v>4800</v>
      </c>
      <c r="P87">
        <f t="shared" si="33"/>
        <v>94</v>
      </c>
      <c r="Q87">
        <f t="shared" si="34"/>
        <v>779</v>
      </c>
      <c r="R87">
        <f t="shared" si="35"/>
        <v>35</v>
      </c>
      <c r="S87">
        <f t="shared" si="36"/>
        <v>5914800</v>
      </c>
      <c r="T87">
        <f t="shared" si="37"/>
        <v>2860</v>
      </c>
      <c r="U87">
        <f t="shared" si="38"/>
        <v>131</v>
      </c>
      <c r="V87">
        <f t="shared" si="39"/>
        <v>21240140</v>
      </c>
      <c r="W87">
        <f>IF($A87="","",Allocation2!Y87)</f>
        <v>115229</v>
      </c>
      <c r="X87">
        <f>IF($A87="","",Allocation2!Z87)</f>
        <v>218691</v>
      </c>
      <c r="Y87">
        <f>IF($A87="","",Allocation2!AA87)</f>
        <v>86655</v>
      </c>
      <c r="Z87">
        <f>IF($A87="","",Allocation2!AB87)</f>
        <v>22927</v>
      </c>
      <c r="AA87">
        <f>IF($A87="","",Allocation2!AC87)</f>
        <v>509979</v>
      </c>
      <c r="AB87">
        <f>IF($A87="","",Allocation2!AD87)</f>
        <v>2760232</v>
      </c>
      <c r="AC87">
        <f>IF($A87="","",IF(ALLOC!$N$4="VOL_EFF",$G87,IF(ALLOC!$N$4="VOL_CLASS",$H87,$I87)))</f>
        <v>44</v>
      </c>
      <c r="AD87">
        <f>IF($A87="","",IF(ALLOC!$N$4="VOL_EFF",$L87,IF(ALLOC!$N$4="VOL_CLASS",$M87,$N87)))</f>
        <v>229</v>
      </c>
      <c r="AE87">
        <f>IF($A87="","",IF(ALLOC!$N$3="VOL_EFF",$L87,IF(ALLOC!$N$3="VOL_CLASS",$M87,$N87)))</f>
        <v>1648000</v>
      </c>
      <c r="AF87">
        <f>IF($A87="","",IF(ALLOC!$N$3="VOL_EFF",$Q87,IF(ALLOC!$N$3="VOL_CLASS",$R87,$S87)))</f>
        <v>5914800</v>
      </c>
      <c r="AG87">
        <f>IF($A87="","",IF(ALLOC!$N$1="VOL_EFF",$Q87,IF(ALLOC!$N$1="VOL_CLASS",$R87,$S87)))</f>
        <v>779</v>
      </c>
      <c r="AH87">
        <f>IF($A87="","",IF(ALLOC!$N$1="VOL_EFF",$T87,IF(ALLOC!$N$1="VOL_CLASS",$U87,$V87)))</f>
        <v>2860</v>
      </c>
      <c r="AI87">
        <f t="shared" si="40"/>
        <v>23045.800000000003</v>
      </c>
      <c r="AJ87">
        <f t="shared" si="41"/>
        <v>43738.200000000004</v>
      </c>
      <c r="AK87">
        <f t="shared" si="42"/>
        <v>16649.868995633187</v>
      </c>
      <c r="AL87">
        <f t="shared" si="43"/>
        <v>97987.231441048032</v>
      </c>
      <c r="AM87">
        <f t="shared" si="44"/>
        <v>40248.652801752185</v>
      </c>
      <c r="AN87">
        <f t="shared" si="45"/>
        <v>71710.472311435558</v>
      </c>
      <c r="AO87">
        <f>IF($A87="","",Allocation2!AE87)</f>
        <v>580167</v>
      </c>
      <c r="AP87">
        <f>IF($A87="","",IF(ALLOC!$N$2="VOL_EFF",$Q87,IF(ALLOC!$N$2="VOL_CLASS",$R87,$S87)))</f>
        <v>779</v>
      </c>
      <c r="AQ87">
        <f>IF($A87="","",IF(ALLOC!$N$2="VOL_EFF",$T87,IF(ALLOC!$N$2="VOL_CLASS",$U87,$V87)))</f>
        <v>2860</v>
      </c>
      <c r="AR87">
        <f t="shared" si="46"/>
        <v>8459.7744501310608</v>
      </c>
    </row>
    <row r="88" spans="1:44" x14ac:dyDescent="0.45">
      <c r="A88" t="str">
        <f>IF(Allocation2!D88="","",Allocation2!D88)</f>
        <v>2025</v>
      </c>
      <c r="B88" t="str">
        <f>IF(Allocation2!E88="","",Allocation2!E88)</f>
        <v>ISCOM_LIL</v>
      </c>
      <c r="C88" t="str">
        <f>IF(Allocation2!F88="","",Allocation2!F88)</f>
        <v>ISCOM</v>
      </c>
      <c r="D88" t="str">
        <f>IF(Allocation2!G88="","",Allocation2!G88)</f>
        <v>MAS_COM</v>
      </c>
      <c r="E88" t="str">
        <f>IF(Allocation2!H88="","",Allocation2!H88)</f>
        <v>M1</v>
      </c>
      <c r="F88" t="str">
        <f>IF(Allocation2!I88="","",Allocation2!I88)</f>
        <v>ALT</v>
      </c>
      <c r="G88">
        <f>IF(Allocation2!E88="","",Allocation2!J88)</f>
        <v>47</v>
      </c>
      <c r="H88">
        <f>IF(Allocation2!E88="","",Allocation2!K88)</f>
        <v>2</v>
      </c>
      <c r="I88">
        <f>IF(Allocation2!E88="","",Allocation2!L88)</f>
        <v>349680</v>
      </c>
      <c r="J88">
        <f>IF($A88="","",Allocation2!X88)</f>
        <v>47</v>
      </c>
      <c r="K88">
        <f t="shared" si="28"/>
        <v>840</v>
      </c>
      <c r="L88">
        <f t="shared" si="29"/>
        <v>229</v>
      </c>
      <c r="M88">
        <f t="shared" si="30"/>
        <v>10</v>
      </c>
      <c r="N88">
        <f t="shared" si="31"/>
        <v>1648000</v>
      </c>
      <c r="O88">
        <f t="shared" si="32"/>
        <v>4800</v>
      </c>
      <c r="P88">
        <f t="shared" si="33"/>
        <v>94</v>
      </c>
      <c r="Q88">
        <f t="shared" si="34"/>
        <v>779</v>
      </c>
      <c r="R88">
        <f t="shared" si="35"/>
        <v>35</v>
      </c>
      <c r="S88">
        <f t="shared" si="36"/>
        <v>5914800</v>
      </c>
      <c r="T88">
        <f t="shared" si="37"/>
        <v>2860</v>
      </c>
      <c r="U88">
        <f t="shared" si="38"/>
        <v>131</v>
      </c>
      <c r="V88">
        <f t="shared" si="39"/>
        <v>21240140</v>
      </c>
      <c r="W88">
        <f>IF($A88="","",Allocation2!Y88)</f>
        <v>115229</v>
      </c>
      <c r="X88">
        <f>IF($A88="","",Allocation2!Z88)</f>
        <v>218691</v>
      </c>
      <c r="Y88">
        <f>IF($A88="","",Allocation2!AA88)</f>
        <v>86655</v>
      </c>
      <c r="Z88">
        <f>IF($A88="","",Allocation2!AB88)</f>
        <v>22927</v>
      </c>
      <c r="AA88">
        <f>IF($A88="","",Allocation2!AC88)</f>
        <v>509979</v>
      </c>
      <c r="AB88">
        <f>IF($A88="","",Allocation2!AD88)</f>
        <v>2760232</v>
      </c>
      <c r="AC88">
        <f>IF($A88="","",IF(ALLOC!$N$4="VOL_EFF",$G88,IF(ALLOC!$N$4="VOL_CLASS",$H88,$I88)))</f>
        <v>47</v>
      </c>
      <c r="AD88">
        <f>IF($A88="","",IF(ALLOC!$N$4="VOL_EFF",$L88,IF(ALLOC!$N$4="VOL_CLASS",$M88,$N88)))</f>
        <v>229</v>
      </c>
      <c r="AE88">
        <f>IF($A88="","",IF(ALLOC!$N$3="VOL_EFF",$L88,IF(ALLOC!$N$3="VOL_CLASS",$M88,$N88)))</f>
        <v>1648000</v>
      </c>
      <c r="AF88">
        <f>IF($A88="","",IF(ALLOC!$N$3="VOL_EFF",$Q88,IF(ALLOC!$N$3="VOL_CLASS",$R88,$S88)))</f>
        <v>5914800</v>
      </c>
      <c r="AG88">
        <f>IF($A88="","",IF(ALLOC!$N$1="VOL_EFF",$Q88,IF(ALLOC!$N$1="VOL_CLASS",$R88,$S88)))</f>
        <v>779</v>
      </c>
      <c r="AH88">
        <f>IF($A88="","",IF(ALLOC!$N$1="VOL_EFF",$T88,IF(ALLOC!$N$1="VOL_CLASS",$U88,$V88)))</f>
        <v>2860</v>
      </c>
      <c r="AI88">
        <f t="shared" si="40"/>
        <v>20165.074999999997</v>
      </c>
      <c r="AJ88">
        <f t="shared" si="41"/>
        <v>38270.924999999996</v>
      </c>
      <c r="AK88">
        <f t="shared" si="42"/>
        <v>29248.587336244542</v>
      </c>
      <c r="AL88">
        <f t="shared" si="43"/>
        <v>104668.17903930131</v>
      </c>
      <c r="AM88">
        <f t="shared" si="44"/>
        <v>42992.879129144378</v>
      </c>
      <c r="AN88">
        <f t="shared" si="45"/>
        <v>105297.77724176072</v>
      </c>
      <c r="AO88">
        <f>IF($A88="","",Allocation2!AE88)</f>
        <v>580167</v>
      </c>
      <c r="AP88">
        <f>IF($A88="","",IF(ALLOC!$N$2="VOL_EFF",$Q88,IF(ALLOC!$N$2="VOL_CLASS",$R88,$S88)))</f>
        <v>779</v>
      </c>
      <c r="AQ88">
        <f>IF($A88="","",IF(ALLOC!$N$2="VOL_EFF",$T88,IF(ALLOC!$N$2="VOL_CLASS",$U88,$V88)))</f>
        <v>2860</v>
      </c>
      <c r="AR88">
        <f t="shared" si="46"/>
        <v>9036.5772535490869</v>
      </c>
    </row>
    <row r="89" spans="1:44" x14ac:dyDescent="0.45">
      <c r="A89" t="str">
        <f>IF(Allocation2!D89="","",Allocation2!D89)</f>
        <v>2025</v>
      </c>
      <c r="B89" t="str">
        <f>IF(Allocation2!E89="","",Allocation2!E89)</f>
        <v>ISCOM_LIL</v>
      </c>
      <c r="C89" t="str">
        <f>IF(Allocation2!F89="","",Allocation2!F89)</f>
        <v>ISCOM</v>
      </c>
      <c r="D89" t="str">
        <f>IF(Allocation2!G89="","",Allocation2!G89)</f>
        <v>MAS_COM</v>
      </c>
      <c r="E89" t="str">
        <f>IF(Allocation2!H89="","",Allocation2!H89)</f>
        <v>M2</v>
      </c>
      <c r="F89" t="str">
        <f>IF(Allocation2!I89="","",Allocation2!I89)</f>
        <v>ALT</v>
      </c>
      <c r="G89">
        <f>IF(Allocation2!E89="","",Allocation2!J89)</f>
        <v>46</v>
      </c>
      <c r="H89">
        <f>IF(Allocation2!E89="","",Allocation2!K89)</f>
        <v>2</v>
      </c>
      <c r="I89">
        <f>IF(Allocation2!E89="","",Allocation2!L89)</f>
        <v>338100</v>
      </c>
      <c r="J89">
        <f>IF($A89="","",Allocation2!X89)</f>
        <v>0</v>
      </c>
      <c r="K89">
        <f t="shared" si="28"/>
        <v>840</v>
      </c>
      <c r="L89">
        <f t="shared" si="29"/>
        <v>229</v>
      </c>
      <c r="M89">
        <f t="shared" si="30"/>
        <v>10</v>
      </c>
      <c r="N89">
        <f t="shared" si="31"/>
        <v>1648000</v>
      </c>
      <c r="O89">
        <f t="shared" si="32"/>
        <v>4800</v>
      </c>
      <c r="P89">
        <f t="shared" si="33"/>
        <v>94</v>
      </c>
      <c r="Q89">
        <f t="shared" si="34"/>
        <v>779</v>
      </c>
      <c r="R89">
        <f t="shared" si="35"/>
        <v>35</v>
      </c>
      <c r="S89">
        <f t="shared" si="36"/>
        <v>5914800</v>
      </c>
      <c r="T89">
        <f t="shared" si="37"/>
        <v>2860</v>
      </c>
      <c r="U89">
        <f t="shared" si="38"/>
        <v>131</v>
      </c>
      <c r="V89">
        <f t="shared" si="39"/>
        <v>21240140</v>
      </c>
      <c r="W89">
        <f>IF($A89="","",Allocation2!Y89)</f>
        <v>115229</v>
      </c>
      <c r="X89">
        <f>IF($A89="","",Allocation2!Z89)</f>
        <v>218691</v>
      </c>
      <c r="Y89">
        <f>IF($A89="","",Allocation2!AA89)</f>
        <v>86655</v>
      </c>
      <c r="Z89">
        <f>IF($A89="","",Allocation2!AB89)</f>
        <v>22927</v>
      </c>
      <c r="AA89">
        <f>IF($A89="","",Allocation2!AC89)</f>
        <v>509979</v>
      </c>
      <c r="AB89">
        <f>IF($A89="","",Allocation2!AD89)</f>
        <v>2760232</v>
      </c>
      <c r="AC89">
        <f>IF($A89="","",IF(ALLOC!$N$4="VOL_EFF",$G89,IF(ALLOC!$N$4="VOL_CLASS",$H89,$I89)))</f>
        <v>46</v>
      </c>
      <c r="AD89">
        <f>IF($A89="","",IF(ALLOC!$N$4="VOL_EFF",$L89,IF(ALLOC!$N$4="VOL_CLASS",$M89,$N89)))</f>
        <v>229</v>
      </c>
      <c r="AE89">
        <f>IF($A89="","",IF(ALLOC!$N$3="VOL_EFF",$L89,IF(ALLOC!$N$3="VOL_CLASS",$M89,$N89)))</f>
        <v>1648000</v>
      </c>
      <c r="AF89">
        <f>IF($A89="","",IF(ALLOC!$N$3="VOL_EFF",$Q89,IF(ALLOC!$N$3="VOL_CLASS",$R89,$S89)))</f>
        <v>5914800</v>
      </c>
      <c r="AG89">
        <f>IF($A89="","",IF(ALLOC!$N$1="VOL_EFF",$Q89,IF(ALLOC!$N$1="VOL_CLASS",$R89,$S89)))</f>
        <v>779</v>
      </c>
      <c r="AH89">
        <f>IF($A89="","",IF(ALLOC!$N$1="VOL_EFF",$T89,IF(ALLOC!$N$1="VOL_CLASS",$U89,$V89)))</f>
        <v>2860</v>
      </c>
      <c r="AI89">
        <f t="shared" si="40"/>
        <v>20165.074999999997</v>
      </c>
      <c r="AJ89">
        <f t="shared" si="41"/>
        <v>38270.924999999996</v>
      </c>
      <c r="AK89">
        <f t="shared" si="42"/>
        <v>17406.681222707422</v>
      </c>
      <c r="AL89">
        <f t="shared" si="43"/>
        <v>102441.19650655022</v>
      </c>
      <c r="AM89">
        <f t="shared" si="44"/>
        <v>42078.137020013644</v>
      </c>
      <c r="AN89">
        <f t="shared" si="45"/>
        <v>108893.67559831898</v>
      </c>
      <c r="AO89">
        <f>IF($A89="","",Allocation2!AE89)</f>
        <v>580167</v>
      </c>
      <c r="AP89">
        <f>IF($A89="","",IF(ALLOC!$N$2="VOL_EFF",$Q89,IF(ALLOC!$N$2="VOL_CLASS",$R89,$S89)))</f>
        <v>779</v>
      </c>
      <c r="AQ89">
        <f>IF($A89="","",IF(ALLOC!$N$2="VOL_EFF",$T89,IF(ALLOC!$N$2="VOL_CLASS",$U89,$V89)))</f>
        <v>2860</v>
      </c>
      <c r="AR89">
        <f t="shared" si="46"/>
        <v>8844.3096524097455</v>
      </c>
    </row>
    <row r="90" spans="1:44" x14ac:dyDescent="0.45">
      <c r="A90" t="str">
        <f>IF(Allocation2!D90="","",Allocation2!D90)</f>
        <v>2025</v>
      </c>
      <c r="B90" t="str">
        <f>IF(Allocation2!E90="","",Allocation2!E90)</f>
        <v>ISCOM_TLS</v>
      </c>
      <c r="C90" t="str">
        <f>IF(Allocation2!F90="","",Allocation2!F90)</f>
        <v>ISCOM</v>
      </c>
      <c r="D90" t="str">
        <f>IF(Allocation2!G90="","",Allocation2!G90)</f>
        <v>BAC_COM</v>
      </c>
      <c r="E90" t="str">
        <f>IF(Allocation2!H90="","",Allocation2!H90)</f>
        <v>B1</v>
      </c>
      <c r="F90" t="str">
        <f>IF(Allocation2!I90="","",Allocation2!I90)</f>
        <v>INIT</v>
      </c>
      <c r="G90">
        <f>IF(Allocation2!E90="","",Allocation2!J90)</f>
        <v>44</v>
      </c>
      <c r="H90">
        <f>IF(Allocation2!E90="","",Allocation2!K90)</f>
        <v>2</v>
      </c>
      <c r="I90">
        <f>IF(Allocation2!E90="","",Allocation2!L90)</f>
        <v>320760</v>
      </c>
      <c r="J90">
        <f>IF($A90="","",Allocation2!X90)</f>
        <v>44</v>
      </c>
      <c r="K90">
        <f t="shared" si="28"/>
        <v>1200</v>
      </c>
      <c r="L90">
        <f t="shared" si="29"/>
        <v>216</v>
      </c>
      <c r="M90">
        <f t="shared" si="30"/>
        <v>10</v>
      </c>
      <c r="N90">
        <f t="shared" si="31"/>
        <v>1522320</v>
      </c>
      <c r="O90">
        <f t="shared" si="32"/>
        <v>4800</v>
      </c>
      <c r="P90">
        <f t="shared" si="33"/>
        <v>88</v>
      </c>
      <c r="Q90">
        <f t="shared" si="34"/>
        <v>779</v>
      </c>
      <c r="R90">
        <f t="shared" si="35"/>
        <v>35</v>
      </c>
      <c r="S90">
        <f t="shared" si="36"/>
        <v>5914800</v>
      </c>
      <c r="T90">
        <f t="shared" si="37"/>
        <v>2860</v>
      </c>
      <c r="U90">
        <f t="shared" si="38"/>
        <v>131</v>
      </c>
      <c r="V90">
        <f t="shared" si="39"/>
        <v>21240140</v>
      </c>
      <c r="W90">
        <f>IF($A90="","",Allocation2!Y90)</f>
        <v>115229</v>
      </c>
      <c r="X90">
        <f>IF($A90="","",Allocation2!Z90)</f>
        <v>213937</v>
      </c>
      <c r="Y90">
        <f>IF($A90="","",Allocation2!AA90)</f>
        <v>82038</v>
      </c>
      <c r="Z90">
        <f>IF($A90="","",Allocation2!AB90)</f>
        <v>20076</v>
      </c>
      <c r="AA90">
        <f>IF($A90="","",Allocation2!AC90)</f>
        <v>481029</v>
      </c>
      <c r="AB90">
        <f>IF($A90="","",Allocation2!AD90)</f>
        <v>2760232</v>
      </c>
      <c r="AC90">
        <f>IF($A90="","",IF(ALLOC!$N$4="VOL_EFF",$G90,IF(ALLOC!$N$4="VOL_CLASS",$H90,$I90)))</f>
        <v>44</v>
      </c>
      <c r="AD90">
        <f>IF($A90="","",IF(ALLOC!$N$4="VOL_EFF",$L90,IF(ALLOC!$N$4="VOL_CLASS",$M90,$N90)))</f>
        <v>216</v>
      </c>
      <c r="AE90">
        <f>IF($A90="","",IF(ALLOC!$N$3="VOL_EFF",$L90,IF(ALLOC!$N$3="VOL_CLASS",$M90,$N90)))</f>
        <v>1522320</v>
      </c>
      <c r="AF90">
        <f>IF($A90="","",IF(ALLOC!$N$3="VOL_EFF",$Q90,IF(ALLOC!$N$3="VOL_CLASS",$R90,$S90)))</f>
        <v>5914800</v>
      </c>
      <c r="AG90">
        <f>IF($A90="","",IF(ALLOC!$N$1="VOL_EFF",$Q90,IF(ALLOC!$N$1="VOL_CLASS",$R90,$S90)))</f>
        <v>779</v>
      </c>
      <c r="AH90">
        <f>IF($A90="","",IF(ALLOC!$N$1="VOL_EFF",$T90,IF(ALLOC!$N$1="VOL_CLASS",$U90,$V90)))</f>
        <v>2860</v>
      </c>
      <c r="AI90">
        <f t="shared" si="40"/>
        <v>28807.25</v>
      </c>
      <c r="AJ90">
        <f t="shared" si="41"/>
        <v>53484.25</v>
      </c>
      <c r="AK90">
        <f t="shared" si="42"/>
        <v>26749.444444444445</v>
      </c>
      <c r="AL90">
        <f t="shared" si="43"/>
        <v>97987.388888888891</v>
      </c>
      <c r="AM90">
        <f t="shared" si="44"/>
        <v>39416.841883243476</v>
      </c>
      <c r="AN90">
        <f t="shared" si="45"/>
        <v>66029.886812674493</v>
      </c>
      <c r="AO90">
        <f>IF($A90="","",Allocation2!AE90)</f>
        <v>580167</v>
      </c>
      <c r="AP90">
        <f>IF($A90="","",IF(ALLOC!$N$2="VOL_EFF",$Q90,IF(ALLOC!$N$2="VOL_CLASS",$R90,$S90)))</f>
        <v>779</v>
      </c>
      <c r="AQ90">
        <f>IF($A90="","",IF(ALLOC!$N$2="VOL_EFF",$T90,IF(ALLOC!$N$2="VOL_CLASS",$U90,$V90)))</f>
        <v>2860</v>
      </c>
      <c r="AR90">
        <f t="shared" si="46"/>
        <v>8284.9379707487351</v>
      </c>
    </row>
    <row r="91" spans="1:44" x14ac:dyDescent="0.45">
      <c r="A91" t="str">
        <f>IF(Allocation2!D91="","",Allocation2!D91)</f>
        <v>2025</v>
      </c>
      <c r="B91" t="str">
        <f>IF(Allocation2!E91="","",Allocation2!E91)</f>
        <v>ISCOM_TLS</v>
      </c>
      <c r="C91" t="str">
        <f>IF(Allocation2!F91="","",Allocation2!F91)</f>
        <v>ISCOM</v>
      </c>
      <c r="D91" t="str">
        <f>IF(Allocation2!G91="","",Allocation2!G91)</f>
        <v>BAC_COM</v>
      </c>
      <c r="E91" t="str">
        <f>IF(Allocation2!H91="","",Allocation2!H91)</f>
        <v>B2</v>
      </c>
      <c r="F91" t="str">
        <f>IF(Allocation2!I91="","",Allocation2!I91)</f>
        <v>ALT</v>
      </c>
      <c r="G91">
        <f>IF(Allocation2!E91="","",Allocation2!J91)</f>
        <v>43</v>
      </c>
      <c r="H91">
        <f>IF(Allocation2!E91="","",Allocation2!K91)</f>
        <v>2</v>
      </c>
      <c r="I91">
        <f>IF(Allocation2!E91="","",Allocation2!L91)</f>
        <v>288960</v>
      </c>
      <c r="J91">
        <f>IF($A91="","",Allocation2!X91)</f>
        <v>0</v>
      </c>
      <c r="K91">
        <f t="shared" si="28"/>
        <v>960</v>
      </c>
      <c r="L91">
        <f t="shared" si="29"/>
        <v>216</v>
      </c>
      <c r="M91">
        <f t="shared" si="30"/>
        <v>10</v>
      </c>
      <c r="N91">
        <f t="shared" si="31"/>
        <v>1522320</v>
      </c>
      <c r="O91">
        <f t="shared" si="32"/>
        <v>4800</v>
      </c>
      <c r="P91">
        <f t="shared" si="33"/>
        <v>88</v>
      </c>
      <c r="Q91">
        <f t="shared" si="34"/>
        <v>779</v>
      </c>
      <c r="R91">
        <f t="shared" si="35"/>
        <v>35</v>
      </c>
      <c r="S91">
        <f t="shared" si="36"/>
        <v>5914800</v>
      </c>
      <c r="T91">
        <f t="shared" si="37"/>
        <v>2860</v>
      </c>
      <c r="U91">
        <f t="shared" si="38"/>
        <v>131</v>
      </c>
      <c r="V91">
        <f t="shared" si="39"/>
        <v>21240140</v>
      </c>
      <c r="W91">
        <f>IF($A91="","",Allocation2!Y91)</f>
        <v>115229</v>
      </c>
      <c r="X91">
        <f>IF($A91="","",Allocation2!Z91)</f>
        <v>213937</v>
      </c>
      <c r="Y91">
        <f>IF($A91="","",Allocation2!AA91)</f>
        <v>82038</v>
      </c>
      <c r="Z91">
        <f>IF($A91="","",Allocation2!AB91)</f>
        <v>20076</v>
      </c>
      <c r="AA91">
        <f>IF($A91="","",Allocation2!AC91)</f>
        <v>481029</v>
      </c>
      <c r="AB91">
        <f>IF($A91="","",Allocation2!AD91)</f>
        <v>2760232</v>
      </c>
      <c r="AC91">
        <f>IF($A91="","",IF(ALLOC!$N$4="VOL_EFF",$G91,IF(ALLOC!$N$4="VOL_CLASS",$H91,$I91)))</f>
        <v>43</v>
      </c>
      <c r="AD91">
        <f>IF($A91="","",IF(ALLOC!$N$4="VOL_EFF",$L91,IF(ALLOC!$N$4="VOL_CLASS",$M91,$N91)))</f>
        <v>216</v>
      </c>
      <c r="AE91">
        <f>IF($A91="","",IF(ALLOC!$N$3="VOL_EFF",$L91,IF(ALLOC!$N$3="VOL_CLASS",$M91,$N91)))</f>
        <v>1522320</v>
      </c>
      <c r="AF91">
        <f>IF($A91="","",IF(ALLOC!$N$3="VOL_EFF",$Q91,IF(ALLOC!$N$3="VOL_CLASS",$R91,$S91)))</f>
        <v>5914800</v>
      </c>
      <c r="AG91">
        <f>IF($A91="","",IF(ALLOC!$N$1="VOL_EFF",$Q91,IF(ALLOC!$N$1="VOL_CLASS",$R91,$S91)))</f>
        <v>779</v>
      </c>
      <c r="AH91">
        <f>IF($A91="","",IF(ALLOC!$N$1="VOL_EFF",$T91,IF(ALLOC!$N$1="VOL_CLASS",$U91,$V91)))</f>
        <v>2860</v>
      </c>
      <c r="AI91">
        <f t="shared" si="40"/>
        <v>23045.800000000003</v>
      </c>
      <c r="AJ91">
        <f t="shared" si="41"/>
        <v>42787.4</v>
      </c>
      <c r="AK91">
        <f t="shared" si="42"/>
        <v>16331.638888888889</v>
      </c>
      <c r="AL91">
        <f t="shared" si="43"/>
        <v>95760.402777777781</v>
      </c>
      <c r="AM91">
        <f t="shared" si="44"/>
        <v>38521.004567715216</v>
      </c>
      <c r="AN91">
        <f t="shared" si="45"/>
        <v>64417.109839659097</v>
      </c>
      <c r="AO91">
        <f>IF($A91="","",Allocation2!AE91)</f>
        <v>580167</v>
      </c>
      <c r="AP91">
        <f>IF($A91="","",IF(ALLOC!$N$2="VOL_EFF",$Q91,IF(ALLOC!$N$2="VOL_CLASS",$R91,$S91)))</f>
        <v>779</v>
      </c>
      <c r="AQ91">
        <f>IF($A91="","",IF(ALLOC!$N$2="VOL_EFF",$T91,IF(ALLOC!$N$2="VOL_CLASS",$U91,$V91)))</f>
        <v>2860</v>
      </c>
      <c r="AR91">
        <f t="shared" si="46"/>
        <v>8096.6439259589906</v>
      </c>
    </row>
    <row r="92" spans="1:44" x14ac:dyDescent="0.45">
      <c r="A92" t="str">
        <f>IF(Allocation2!D92="","",Allocation2!D92)</f>
        <v>2025</v>
      </c>
      <c r="B92" t="str">
        <f>IF(Allocation2!E92="","",Allocation2!E92)</f>
        <v>ISCOM_TLS</v>
      </c>
      <c r="C92" t="str">
        <f>IF(Allocation2!F92="","",Allocation2!F92)</f>
        <v>ISCOM</v>
      </c>
      <c r="D92" t="str">
        <f>IF(Allocation2!G92="","",Allocation2!G92)</f>
        <v>BAC_COM</v>
      </c>
      <c r="E92" t="str">
        <f>IF(Allocation2!H92="","",Allocation2!H92)</f>
        <v>B3</v>
      </c>
      <c r="F92" t="str">
        <f>IF(Allocation2!I92="","",Allocation2!I92)</f>
        <v>ALT</v>
      </c>
      <c r="G92">
        <f>IF(Allocation2!E92="","",Allocation2!J92)</f>
        <v>42</v>
      </c>
      <c r="H92">
        <f>IF(Allocation2!E92="","",Allocation2!K92)</f>
        <v>2</v>
      </c>
      <c r="I92">
        <f>IF(Allocation2!E92="","",Allocation2!L92)</f>
        <v>282240</v>
      </c>
      <c r="J92">
        <f>IF($A92="","",Allocation2!X92)</f>
        <v>0</v>
      </c>
      <c r="K92">
        <f t="shared" si="28"/>
        <v>960</v>
      </c>
      <c r="L92">
        <f t="shared" si="29"/>
        <v>216</v>
      </c>
      <c r="M92">
        <f t="shared" si="30"/>
        <v>10</v>
      </c>
      <c r="N92">
        <f t="shared" si="31"/>
        <v>1522320</v>
      </c>
      <c r="O92">
        <f t="shared" si="32"/>
        <v>4800</v>
      </c>
      <c r="P92">
        <f t="shared" si="33"/>
        <v>88</v>
      </c>
      <c r="Q92">
        <f t="shared" si="34"/>
        <v>779</v>
      </c>
      <c r="R92">
        <f t="shared" si="35"/>
        <v>35</v>
      </c>
      <c r="S92">
        <f t="shared" si="36"/>
        <v>5914800</v>
      </c>
      <c r="T92">
        <f t="shared" si="37"/>
        <v>2860</v>
      </c>
      <c r="U92">
        <f t="shared" si="38"/>
        <v>131</v>
      </c>
      <c r="V92">
        <f t="shared" si="39"/>
        <v>21240140</v>
      </c>
      <c r="W92">
        <f>IF($A92="","",Allocation2!Y92)</f>
        <v>115229</v>
      </c>
      <c r="X92">
        <f>IF($A92="","",Allocation2!Z92)</f>
        <v>213937</v>
      </c>
      <c r="Y92">
        <f>IF($A92="","",Allocation2!AA92)</f>
        <v>82038</v>
      </c>
      <c r="Z92">
        <f>IF($A92="","",Allocation2!AB92)</f>
        <v>20076</v>
      </c>
      <c r="AA92">
        <f>IF($A92="","",Allocation2!AC92)</f>
        <v>481029</v>
      </c>
      <c r="AB92">
        <f>IF($A92="","",Allocation2!AD92)</f>
        <v>2760232</v>
      </c>
      <c r="AC92">
        <f>IF($A92="","",IF(ALLOC!$N$4="VOL_EFF",$G92,IF(ALLOC!$N$4="VOL_CLASS",$H92,$I92)))</f>
        <v>42</v>
      </c>
      <c r="AD92">
        <f>IF($A92="","",IF(ALLOC!$N$4="VOL_EFF",$L92,IF(ALLOC!$N$4="VOL_CLASS",$M92,$N92)))</f>
        <v>216</v>
      </c>
      <c r="AE92">
        <f>IF($A92="","",IF(ALLOC!$N$3="VOL_EFF",$L92,IF(ALLOC!$N$3="VOL_CLASS",$M92,$N92)))</f>
        <v>1522320</v>
      </c>
      <c r="AF92">
        <f>IF($A92="","",IF(ALLOC!$N$3="VOL_EFF",$Q92,IF(ALLOC!$N$3="VOL_CLASS",$R92,$S92)))</f>
        <v>5914800</v>
      </c>
      <c r="AG92">
        <f>IF($A92="","",IF(ALLOC!$N$1="VOL_EFF",$Q92,IF(ALLOC!$N$1="VOL_CLASS",$R92,$S92)))</f>
        <v>779</v>
      </c>
      <c r="AH92">
        <f>IF($A92="","",IF(ALLOC!$N$1="VOL_EFF",$T92,IF(ALLOC!$N$1="VOL_CLASS",$U92,$V92)))</f>
        <v>2860</v>
      </c>
      <c r="AI92">
        <f t="shared" si="40"/>
        <v>23045.800000000003</v>
      </c>
      <c r="AJ92">
        <f t="shared" si="41"/>
        <v>42787.4</v>
      </c>
      <c r="AK92">
        <f t="shared" si="42"/>
        <v>15951.833333333334</v>
      </c>
      <c r="AL92">
        <f t="shared" si="43"/>
        <v>93533.416666666672</v>
      </c>
      <c r="AM92">
        <f t="shared" si="44"/>
        <v>37625.167252186962</v>
      </c>
      <c r="AN92">
        <f t="shared" si="45"/>
        <v>61388.032866643771</v>
      </c>
      <c r="AO92">
        <f>IF($A92="","",Allocation2!AE92)</f>
        <v>580167</v>
      </c>
      <c r="AP92">
        <f>IF($A92="","",IF(ALLOC!$N$2="VOL_EFF",$Q92,IF(ALLOC!$N$2="VOL_CLASS",$R92,$S92)))</f>
        <v>779</v>
      </c>
      <c r="AQ92">
        <f>IF($A92="","",IF(ALLOC!$N$2="VOL_EFF",$T92,IF(ALLOC!$N$2="VOL_CLASS",$U92,$V92)))</f>
        <v>2860</v>
      </c>
      <c r="AR92">
        <f t="shared" si="46"/>
        <v>7908.3498811692471</v>
      </c>
    </row>
    <row r="93" spans="1:44" x14ac:dyDescent="0.45">
      <c r="A93" t="str">
        <f>IF(Allocation2!D93="","",Allocation2!D93)</f>
        <v>2025</v>
      </c>
      <c r="B93" t="str">
        <f>IF(Allocation2!E93="","",Allocation2!E93)</f>
        <v>ISCOM_TLS</v>
      </c>
      <c r="C93" t="str">
        <f>IF(Allocation2!F93="","",Allocation2!F93)</f>
        <v>ISCOM</v>
      </c>
      <c r="D93" t="str">
        <f>IF(Allocation2!G93="","",Allocation2!G93)</f>
        <v>MAS_COM</v>
      </c>
      <c r="E93" t="str">
        <f>IF(Allocation2!H93="","",Allocation2!H93)</f>
        <v>M1</v>
      </c>
      <c r="F93" t="str">
        <f>IF(Allocation2!I93="","",Allocation2!I93)</f>
        <v>ALT</v>
      </c>
      <c r="G93">
        <f>IF(Allocation2!E93="","",Allocation2!J93)</f>
        <v>44</v>
      </c>
      <c r="H93">
        <f>IF(Allocation2!E93="","",Allocation2!K93)</f>
        <v>2</v>
      </c>
      <c r="I93">
        <f>IF(Allocation2!E93="","",Allocation2!L93)</f>
        <v>320760</v>
      </c>
      <c r="J93">
        <f>IF($A93="","",Allocation2!X93)</f>
        <v>44</v>
      </c>
      <c r="K93">
        <f t="shared" si="28"/>
        <v>840</v>
      </c>
      <c r="L93">
        <f t="shared" si="29"/>
        <v>216</v>
      </c>
      <c r="M93">
        <f t="shared" si="30"/>
        <v>10</v>
      </c>
      <c r="N93">
        <f t="shared" si="31"/>
        <v>1522320</v>
      </c>
      <c r="O93">
        <f t="shared" si="32"/>
        <v>4800</v>
      </c>
      <c r="P93">
        <f t="shared" si="33"/>
        <v>88</v>
      </c>
      <c r="Q93">
        <f t="shared" si="34"/>
        <v>779</v>
      </c>
      <c r="R93">
        <f t="shared" si="35"/>
        <v>35</v>
      </c>
      <c r="S93">
        <f t="shared" si="36"/>
        <v>5914800</v>
      </c>
      <c r="T93">
        <f t="shared" si="37"/>
        <v>2860</v>
      </c>
      <c r="U93">
        <f t="shared" si="38"/>
        <v>131</v>
      </c>
      <c r="V93">
        <f t="shared" si="39"/>
        <v>21240140</v>
      </c>
      <c r="W93">
        <f>IF($A93="","",Allocation2!Y93)</f>
        <v>115229</v>
      </c>
      <c r="X93">
        <f>IF($A93="","",Allocation2!Z93)</f>
        <v>213937</v>
      </c>
      <c r="Y93">
        <f>IF($A93="","",Allocation2!AA93)</f>
        <v>82038</v>
      </c>
      <c r="Z93">
        <f>IF($A93="","",Allocation2!AB93)</f>
        <v>20076</v>
      </c>
      <c r="AA93">
        <f>IF($A93="","",Allocation2!AC93)</f>
        <v>481029</v>
      </c>
      <c r="AB93">
        <f>IF($A93="","",Allocation2!AD93)</f>
        <v>2760232</v>
      </c>
      <c r="AC93">
        <f>IF($A93="","",IF(ALLOC!$N$4="VOL_EFF",$G93,IF(ALLOC!$N$4="VOL_CLASS",$H93,$I93)))</f>
        <v>44</v>
      </c>
      <c r="AD93">
        <f>IF($A93="","",IF(ALLOC!$N$4="VOL_EFF",$L93,IF(ALLOC!$N$4="VOL_CLASS",$M93,$N93)))</f>
        <v>216</v>
      </c>
      <c r="AE93">
        <f>IF($A93="","",IF(ALLOC!$N$3="VOL_EFF",$L93,IF(ALLOC!$N$3="VOL_CLASS",$M93,$N93)))</f>
        <v>1522320</v>
      </c>
      <c r="AF93">
        <f>IF($A93="","",IF(ALLOC!$N$3="VOL_EFF",$Q93,IF(ALLOC!$N$3="VOL_CLASS",$R93,$S93)))</f>
        <v>5914800</v>
      </c>
      <c r="AG93">
        <f>IF($A93="","",IF(ALLOC!$N$1="VOL_EFF",$Q93,IF(ALLOC!$N$1="VOL_CLASS",$R93,$S93)))</f>
        <v>779</v>
      </c>
      <c r="AH93">
        <f>IF($A93="","",IF(ALLOC!$N$1="VOL_EFF",$T93,IF(ALLOC!$N$1="VOL_CLASS",$U93,$V93)))</f>
        <v>2860</v>
      </c>
      <c r="AI93">
        <f t="shared" si="40"/>
        <v>20165.074999999997</v>
      </c>
      <c r="AJ93">
        <f t="shared" si="41"/>
        <v>37438.974999999999</v>
      </c>
      <c r="AK93">
        <f t="shared" si="42"/>
        <v>26749.444444444445</v>
      </c>
      <c r="AL93">
        <f t="shared" si="43"/>
        <v>97987.388888888891</v>
      </c>
      <c r="AM93">
        <f t="shared" si="44"/>
        <v>39416.841883243476</v>
      </c>
      <c r="AN93">
        <f t="shared" si="45"/>
        <v>90717.336812674475</v>
      </c>
      <c r="AO93">
        <f>IF($A93="","",Allocation2!AE93)</f>
        <v>580167</v>
      </c>
      <c r="AP93">
        <f>IF($A93="","",IF(ALLOC!$N$2="VOL_EFF",$Q93,IF(ALLOC!$N$2="VOL_CLASS",$R93,$S93)))</f>
        <v>779</v>
      </c>
      <c r="AQ93">
        <f>IF($A93="","",IF(ALLOC!$N$2="VOL_EFF",$T93,IF(ALLOC!$N$2="VOL_CLASS",$U93,$V93)))</f>
        <v>2860</v>
      </c>
      <c r="AR93">
        <f t="shared" si="46"/>
        <v>8284.9379707487351</v>
      </c>
    </row>
    <row r="94" spans="1:44" x14ac:dyDescent="0.45">
      <c r="A94" t="str">
        <f>IF(Allocation2!D94="","",Allocation2!D94)</f>
        <v>2025</v>
      </c>
      <c r="B94" t="str">
        <f>IF(Allocation2!E94="","",Allocation2!E94)</f>
        <v>ISCOM_TLS</v>
      </c>
      <c r="C94" t="str">
        <f>IF(Allocation2!F94="","",Allocation2!F94)</f>
        <v>ISCOM</v>
      </c>
      <c r="D94" t="str">
        <f>IF(Allocation2!G94="","",Allocation2!G94)</f>
        <v>MAS_COM</v>
      </c>
      <c r="E94" t="str">
        <f>IF(Allocation2!H94="","",Allocation2!H94)</f>
        <v>M2</v>
      </c>
      <c r="F94" t="str">
        <f>IF(Allocation2!I94="","",Allocation2!I94)</f>
        <v>ALT</v>
      </c>
      <c r="G94">
        <f>IF(Allocation2!E94="","",Allocation2!J94)</f>
        <v>43</v>
      </c>
      <c r="H94">
        <f>IF(Allocation2!E94="","",Allocation2!K94)</f>
        <v>2</v>
      </c>
      <c r="I94">
        <f>IF(Allocation2!E94="","",Allocation2!L94)</f>
        <v>309600</v>
      </c>
      <c r="J94">
        <f>IF($A94="","",Allocation2!X94)</f>
        <v>0</v>
      </c>
      <c r="K94">
        <f t="shared" si="28"/>
        <v>840</v>
      </c>
      <c r="L94">
        <f t="shared" si="29"/>
        <v>216</v>
      </c>
      <c r="M94">
        <f t="shared" si="30"/>
        <v>10</v>
      </c>
      <c r="N94">
        <f t="shared" si="31"/>
        <v>1522320</v>
      </c>
      <c r="O94">
        <f t="shared" si="32"/>
        <v>4800</v>
      </c>
      <c r="P94">
        <f t="shared" si="33"/>
        <v>88</v>
      </c>
      <c r="Q94">
        <f t="shared" si="34"/>
        <v>779</v>
      </c>
      <c r="R94">
        <f t="shared" si="35"/>
        <v>35</v>
      </c>
      <c r="S94">
        <f t="shared" si="36"/>
        <v>5914800</v>
      </c>
      <c r="T94">
        <f t="shared" si="37"/>
        <v>2860</v>
      </c>
      <c r="U94">
        <f t="shared" si="38"/>
        <v>131</v>
      </c>
      <c r="V94">
        <f t="shared" si="39"/>
        <v>21240140</v>
      </c>
      <c r="W94">
        <f>IF($A94="","",Allocation2!Y94)</f>
        <v>115229</v>
      </c>
      <c r="X94">
        <f>IF($A94="","",Allocation2!Z94)</f>
        <v>213937</v>
      </c>
      <c r="Y94">
        <f>IF($A94="","",Allocation2!AA94)</f>
        <v>82038</v>
      </c>
      <c r="Z94">
        <f>IF($A94="","",Allocation2!AB94)</f>
        <v>20076</v>
      </c>
      <c r="AA94">
        <f>IF($A94="","",Allocation2!AC94)</f>
        <v>481029</v>
      </c>
      <c r="AB94">
        <f>IF($A94="","",Allocation2!AD94)</f>
        <v>2760232</v>
      </c>
      <c r="AC94">
        <f>IF($A94="","",IF(ALLOC!$N$4="VOL_EFF",$G94,IF(ALLOC!$N$4="VOL_CLASS",$H94,$I94)))</f>
        <v>43</v>
      </c>
      <c r="AD94">
        <f>IF($A94="","",IF(ALLOC!$N$4="VOL_EFF",$L94,IF(ALLOC!$N$4="VOL_CLASS",$M94,$N94)))</f>
        <v>216</v>
      </c>
      <c r="AE94">
        <f>IF($A94="","",IF(ALLOC!$N$3="VOL_EFF",$L94,IF(ALLOC!$N$3="VOL_CLASS",$M94,$N94)))</f>
        <v>1522320</v>
      </c>
      <c r="AF94">
        <f>IF($A94="","",IF(ALLOC!$N$3="VOL_EFF",$Q94,IF(ALLOC!$N$3="VOL_CLASS",$R94,$S94)))</f>
        <v>5914800</v>
      </c>
      <c r="AG94">
        <f>IF($A94="","",IF(ALLOC!$N$1="VOL_EFF",$Q94,IF(ALLOC!$N$1="VOL_CLASS",$R94,$S94)))</f>
        <v>779</v>
      </c>
      <c r="AH94">
        <f>IF($A94="","",IF(ALLOC!$N$1="VOL_EFF",$T94,IF(ALLOC!$N$1="VOL_CLASS",$U94,$V94)))</f>
        <v>2860</v>
      </c>
      <c r="AI94">
        <f t="shared" si="40"/>
        <v>20165.074999999997</v>
      </c>
      <c r="AJ94">
        <f t="shared" si="41"/>
        <v>37438.974999999999</v>
      </c>
      <c r="AK94">
        <f t="shared" si="42"/>
        <v>16331.638888888889</v>
      </c>
      <c r="AL94">
        <f t="shared" si="43"/>
        <v>95760.402777777781</v>
      </c>
      <c r="AM94">
        <f t="shared" si="44"/>
        <v>38521.004567715216</v>
      </c>
      <c r="AN94">
        <f t="shared" si="45"/>
        <v>93286.25983965912</v>
      </c>
      <c r="AO94">
        <f>IF($A94="","",Allocation2!AE94)</f>
        <v>580167</v>
      </c>
      <c r="AP94">
        <f>IF($A94="","",IF(ALLOC!$N$2="VOL_EFF",$Q94,IF(ALLOC!$N$2="VOL_CLASS",$R94,$S94)))</f>
        <v>779</v>
      </c>
      <c r="AQ94">
        <f>IF($A94="","",IF(ALLOC!$N$2="VOL_EFF",$T94,IF(ALLOC!$N$2="VOL_CLASS",$U94,$V94)))</f>
        <v>2860</v>
      </c>
      <c r="AR94">
        <f t="shared" si="46"/>
        <v>8096.6439259589906</v>
      </c>
    </row>
    <row r="95" spans="1:44" x14ac:dyDescent="0.45">
      <c r="A95" t="str">
        <f>IF(Allocation2!D95="","",Allocation2!D95)</f>
        <v>2025</v>
      </c>
      <c r="B95" t="str">
        <f>IF(Allocation2!E95="","",Allocation2!E95)</f>
        <v>IPAC_NAN</v>
      </c>
      <c r="C95" t="str">
        <f>IF(Allocation2!F95="","",Allocation2!F95)</f>
        <v>IPAC</v>
      </c>
      <c r="D95" t="str">
        <f>IF(Allocation2!G95="","",Allocation2!G95)</f>
        <v>BAC_CCE</v>
      </c>
      <c r="E95" t="str">
        <f>IF(Allocation2!H95="","",Allocation2!H95)</f>
        <v>B1</v>
      </c>
      <c r="F95" t="str">
        <f>IF(Allocation2!I95="","",Allocation2!I95)</f>
        <v>ALT</v>
      </c>
      <c r="G95">
        <f>IF(Allocation2!E95="","",Allocation2!J95)</f>
        <v>47</v>
      </c>
      <c r="H95">
        <f>IF(Allocation2!E95="","",Allocation2!K95)</f>
        <v>2</v>
      </c>
      <c r="I95">
        <f>IF(Allocation2!E95="","",Allocation2!L95)</f>
        <v>333230</v>
      </c>
      <c r="J95">
        <f>IF($A95="","",Allocation2!X95)</f>
        <v>47</v>
      </c>
      <c r="K95">
        <f t="shared" si="28"/>
        <v>960</v>
      </c>
      <c r="L95">
        <f t="shared" si="29"/>
        <v>136</v>
      </c>
      <c r="M95">
        <f t="shared" si="30"/>
        <v>6</v>
      </c>
      <c r="N95">
        <f t="shared" si="31"/>
        <v>956230</v>
      </c>
      <c r="O95">
        <f t="shared" si="32"/>
        <v>2880</v>
      </c>
      <c r="P95">
        <f t="shared" si="33"/>
        <v>47</v>
      </c>
      <c r="Q95">
        <f t="shared" si="34"/>
        <v>358</v>
      </c>
      <c r="R95">
        <f t="shared" si="35"/>
        <v>18</v>
      </c>
      <c r="S95">
        <f t="shared" si="36"/>
        <v>2439370</v>
      </c>
      <c r="T95">
        <f t="shared" si="37"/>
        <v>2860</v>
      </c>
      <c r="U95">
        <f t="shared" si="38"/>
        <v>131</v>
      </c>
      <c r="V95">
        <f t="shared" si="39"/>
        <v>21240140</v>
      </c>
      <c r="W95">
        <f>IF($A95="","",Allocation2!Y95)</f>
        <v>69137</v>
      </c>
      <c r="X95">
        <f>IF($A95="","",Allocation2!Z95)</f>
        <v>142625</v>
      </c>
      <c r="Y95">
        <f>IF($A95="","",Allocation2!AA95)</f>
        <v>51495</v>
      </c>
      <c r="Z95">
        <f>IF($A95="","",Allocation2!AB95)</f>
        <v>19782</v>
      </c>
      <c r="AA95">
        <f>IF($A95="","",Allocation2!AC95)</f>
        <v>330458</v>
      </c>
      <c r="AB95">
        <f>IF($A95="","",Allocation2!AD95)</f>
        <v>2760232</v>
      </c>
      <c r="AC95">
        <f>IF($A95="","",IF(ALLOC!$N$4="VOL_EFF",$G95,IF(ALLOC!$N$4="VOL_CLASS",$H95,$I95)))</f>
        <v>47</v>
      </c>
      <c r="AD95">
        <f>IF($A95="","",IF(ALLOC!$N$4="VOL_EFF",$L95,IF(ALLOC!$N$4="VOL_CLASS",$M95,$N95)))</f>
        <v>136</v>
      </c>
      <c r="AE95">
        <f>IF($A95="","",IF(ALLOC!$N$3="VOL_EFF",$L95,IF(ALLOC!$N$3="VOL_CLASS",$M95,$N95)))</f>
        <v>956230</v>
      </c>
      <c r="AF95">
        <f>IF($A95="","",IF(ALLOC!$N$3="VOL_EFF",$Q95,IF(ALLOC!$N$3="VOL_CLASS",$R95,$S95)))</f>
        <v>2439370</v>
      </c>
      <c r="AG95">
        <f>IF($A95="","",IF(ALLOC!$N$1="VOL_EFF",$Q95,IF(ALLOC!$N$1="VOL_CLASS",$R95,$S95)))</f>
        <v>358</v>
      </c>
      <c r="AH95">
        <f>IF($A95="","",IF(ALLOC!$N$1="VOL_EFF",$T95,IF(ALLOC!$N$1="VOL_CLASS",$U95,$V95)))</f>
        <v>2860</v>
      </c>
      <c r="AI95">
        <f t="shared" si="40"/>
        <v>23045.666666666664</v>
      </c>
      <c r="AJ95">
        <f t="shared" si="41"/>
        <v>47541.666666666664</v>
      </c>
      <c r="AK95">
        <f t="shared" si="42"/>
        <v>37578.066176470587</v>
      </c>
      <c r="AL95">
        <f t="shared" si="43"/>
        <v>114202.39705882352</v>
      </c>
      <c r="AM95">
        <f t="shared" si="44"/>
        <v>46806.50520506769</v>
      </c>
      <c r="AN95">
        <f t="shared" si="45"/>
        <v>54217.543424350326</v>
      </c>
      <c r="AO95">
        <f>IF($A95="","",Allocation2!AE95)</f>
        <v>580167</v>
      </c>
      <c r="AP95">
        <f>IF($A95="","",IF(ALLOC!$N$2="VOL_EFF",$Q95,IF(ALLOC!$N$2="VOL_CLASS",$R95,$S95)))</f>
        <v>358</v>
      </c>
      <c r="AQ95">
        <f>IF($A95="","",IF(ALLOC!$N$2="VOL_EFF",$T95,IF(ALLOC!$N$2="VOL_CLASS",$U95,$V95)))</f>
        <v>2860</v>
      </c>
      <c r="AR95">
        <f t="shared" si="46"/>
        <v>9838.1548019545116</v>
      </c>
    </row>
    <row r="96" spans="1:44" x14ac:dyDescent="0.45">
      <c r="A96" t="str">
        <f>IF(Allocation2!D96="","",Allocation2!D96)</f>
        <v>2025</v>
      </c>
      <c r="B96" t="str">
        <f>IF(Allocation2!E96="","",Allocation2!E96)</f>
        <v>IPAC_NAN</v>
      </c>
      <c r="C96" t="str">
        <f>IF(Allocation2!F96="","",Allocation2!F96)</f>
        <v>IPAC</v>
      </c>
      <c r="D96" t="str">
        <f>IF(Allocation2!G96="","",Allocation2!G96)</f>
        <v>BAC_CCE</v>
      </c>
      <c r="E96" t="str">
        <f>IF(Allocation2!H96="","",Allocation2!H96)</f>
        <v>B2</v>
      </c>
      <c r="F96" t="str">
        <f>IF(Allocation2!I96="","",Allocation2!I96)</f>
        <v>ALT</v>
      </c>
      <c r="G96">
        <f>IF(Allocation2!E96="","",Allocation2!J96)</f>
        <v>45</v>
      </c>
      <c r="H96">
        <f>IF(Allocation2!E96="","",Allocation2!K96)</f>
        <v>2</v>
      </c>
      <c r="I96">
        <f>IF(Allocation2!E96="","",Allocation2!L96)</f>
        <v>315000</v>
      </c>
      <c r="J96">
        <f>IF($A96="","",Allocation2!X96)</f>
        <v>0</v>
      </c>
      <c r="K96">
        <f t="shared" si="28"/>
        <v>960</v>
      </c>
      <c r="L96">
        <f t="shared" si="29"/>
        <v>136</v>
      </c>
      <c r="M96">
        <f t="shared" si="30"/>
        <v>6</v>
      </c>
      <c r="N96">
        <f t="shared" si="31"/>
        <v>956230</v>
      </c>
      <c r="O96">
        <f t="shared" si="32"/>
        <v>2880</v>
      </c>
      <c r="P96">
        <f t="shared" si="33"/>
        <v>47</v>
      </c>
      <c r="Q96">
        <f t="shared" si="34"/>
        <v>358</v>
      </c>
      <c r="R96">
        <f t="shared" si="35"/>
        <v>18</v>
      </c>
      <c r="S96">
        <f t="shared" si="36"/>
        <v>2439370</v>
      </c>
      <c r="T96">
        <f t="shared" si="37"/>
        <v>2860</v>
      </c>
      <c r="U96">
        <f t="shared" si="38"/>
        <v>131</v>
      </c>
      <c r="V96">
        <f t="shared" si="39"/>
        <v>21240140</v>
      </c>
      <c r="W96">
        <f>IF($A96="","",Allocation2!Y96)</f>
        <v>69137</v>
      </c>
      <c r="X96">
        <f>IF($A96="","",Allocation2!Z96)</f>
        <v>142625</v>
      </c>
      <c r="Y96">
        <f>IF($A96="","",Allocation2!AA96)</f>
        <v>51495</v>
      </c>
      <c r="Z96">
        <f>IF($A96="","",Allocation2!AB96)</f>
        <v>19782</v>
      </c>
      <c r="AA96">
        <f>IF($A96="","",Allocation2!AC96)</f>
        <v>330458</v>
      </c>
      <c r="AB96">
        <f>IF($A96="","",Allocation2!AD96)</f>
        <v>2760232</v>
      </c>
      <c r="AC96">
        <f>IF($A96="","",IF(ALLOC!$N$4="VOL_EFF",$G96,IF(ALLOC!$N$4="VOL_CLASS",$H96,$I96)))</f>
        <v>45</v>
      </c>
      <c r="AD96">
        <f>IF($A96="","",IF(ALLOC!$N$4="VOL_EFF",$L96,IF(ALLOC!$N$4="VOL_CLASS",$M96,$N96)))</f>
        <v>136</v>
      </c>
      <c r="AE96">
        <f>IF($A96="","",IF(ALLOC!$N$3="VOL_EFF",$L96,IF(ALLOC!$N$3="VOL_CLASS",$M96,$N96)))</f>
        <v>956230</v>
      </c>
      <c r="AF96">
        <f>IF($A96="","",IF(ALLOC!$N$3="VOL_EFF",$Q96,IF(ALLOC!$N$3="VOL_CLASS",$R96,$S96)))</f>
        <v>2439370</v>
      </c>
      <c r="AG96">
        <f>IF($A96="","",IF(ALLOC!$N$1="VOL_EFF",$Q96,IF(ALLOC!$N$1="VOL_CLASS",$R96,$S96)))</f>
        <v>358</v>
      </c>
      <c r="AH96">
        <f>IF($A96="","",IF(ALLOC!$N$1="VOL_EFF",$T96,IF(ALLOC!$N$1="VOL_CLASS",$U96,$V96)))</f>
        <v>2860</v>
      </c>
      <c r="AI96">
        <f t="shared" si="40"/>
        <v>23045.666666666664</v>
      </c>
      <c r="AJ96">
        <f t="shared" si="41"/>
        <v>47541.666666666664</v>
      </c>
      <c r="AK96">
        <f t="shared" si="42"/>
        <v>17038.786764705881</v>
      </c>
      <c r="AL96">
        <f t="shared" si="43"/>
        <v>109342.72058823529</v>
      </c>
      <c r="AM96">
        <f t="shared" si="44"/>
        <v>44814.739026128642</v>
      </c>
      <c r="AN96">
        <f t="shared" si="45"/>
        <v>63796.910370831902</v>
      </c>
      <c r="AO96">
        <f>IF($A96="","",Allocation2!AE96)</f>
        <v>580167</v>
      </c>
      <c r="AP96">
        <f>IF($A96="","",IF(ALLOC!$N$2="VOL_EFF",$Q96,IF(ALLOC!$N$2="VOL_CLASS",$R96,$S96)))</f>
        <v>358</v>
      </c>
      <c r="AQ96">
        <f>IF($A96="","",IF(ALLOC!$N$2="VOL_EFF",$T96,IF(ALLOC!$N$2="VOL_CLASS",$U96,$V96)))</f>
        <v>2860</v>
      </c>
      <c r="AR96">
        <f t="shared" si="46"/>
        <v>9419.5099167649587</v>
      </c>
    </row>
    <row r="97" spans="1:44" x14ac:dyDescent="0.45">
      <c r="A97" t="str">
        <f>IF(Allocation2!D97="","",Allocation2!D97)</f>
        <v>2025</v>
      </c>
      <c r="B97" t="str">
        <f>IF(Allocation2!E97="","",Allocation2!E97)</f>
        <v>IPAC_NAN</v>
      </c>
      <c r="C97" t="str">
        <f>IF(Allocation2!F97="","",Allocation2!F97)</f>
        <v>IPAC</v>
      </c>
      <c r="D97" t="str">
        <f>IF(Allocation2!G97="","",Allocation2!G97)</f>
        <v>BAC_CCE</v>
      </c>
      <c r="E97" t="str">
        <f>IF(Allocation2!H97="","",Allocation2!H97)</f>
        <v>B3</v>
      </c>
      <c r="F97" t="str">
        <f>IF(Allocation2!I97="","",Allocation2!I97)</f>
        <v>ALT</v>
      </c>
      <c r="G97">
        <f>IF(Allocation2!E97="","",Allocation2!J97)</f>
        <v>44</v>
      </c>
      <c r="H97">
        <f>IF(Allocation2!E97="","",Allocation2!K97)</f>
        <v>2</v>
      </c>
      <c r="I97">
        <f>IF(Allocation2!E97="","",Allocation2!L97)</f>
        <v>308000</v>
      </c>
      <c r="J97">
        <f>IF($A97="","",Allocation2!X97)</f>
        <v>0</v>
      </c>
      <c r="K97">
        <f t="shared" si="28"/>
        <v>960</v>
      </c>
      <c r="L97">
        <f t="shared" si="29"/>
        <v>136</v>
      </c>
      <c r="M97">
        <f t="shared" si="30"/>
        <v>6</v>
      </c>
      <c r="N97">
        <f t="shared" si="31"/>
        <v>956230</v>
      </c>
      <c r="O97">
        <f t="shared" si="32"/>
        <v>2880</v>
      </c>
      <c r="P97">
        <f t="shared" si="33"/>
        <v>47</v>
      </c>
      <c r="Q97">
        <f t="shared" si="34"/>
        <v>358</v>
      </c>
      <c r="R97">
        <f t="shared" si="35"/>
        <v>18</v>
      </c>
      <c r="S97">
        <f t="shared" si="36"/>
        <v>2439370</v>
      </c>
      <c r="T97">
        <f t="shared" si="37"/>
        <v>2860</v>
      </c>
      <c r="U97">
        <f t="shared" si="38"/>
        <v>131</v>
      </c>
      <c r="V97">
        <f t="shared" si="39"/>
        <v>21240140</v>
      </c>
      <c r="W97">
        <f>IF($A97="","",Allocation2!Y97)</f>
        <v>69137</v>
      </c>
      <c r="X97">
        <f>IF($A97="","",Allocation2!Z97)</f>
        <v>142625</v>
      </c>
      <c r="Y97">
        <f>IF($A97="","",Allocation2!AA97)</f>
        <v>51495</v>
      </c>
      <c r="Z97">
        <f>IF($A97="","",Allocation2!AB97)</f>
        <v>19782</v>
      </c>
      <c r="AA97">
        <f>IF($A97="","",Allocation2!AC97)</f>
        <v>330458</v>
      </c>
      <c r="AB97">
        <f>IF($A97="","",Allocation2!AD97)</f>
        <v>2760232</v>
      </c>
      <c r="AC97">
        <f>IF($A97="","",IF(ALLOC!$N$4="VOL_EFF",$G97,IF(ALLOC!$N$4="VOL_CLASS",$H97,$I97)))</f>
        <v>44</v>
      </c>
      <c r="AD97">
        <f>IF($A97="","",IF(ALLOC!$N$4="VOL_EFF",$L97,IF(ALLOC!$N$4="VOL_CLASS",$M97,$N97)))</f>
        <v>136</v>
      </c>
      <c r="AE97">
        <f>IF($A97="","",IF(ALLOC!$N$3="VOL_EFF",$L97,IF(ALLOC!$N$3="VOL_CLASS",$M97,$N97)))</f>
        <v>956230</v>
      </c>
      <c r="AF97">
        <f>IF($A97="","",IF(ALLOC!$N$3="VOL_EFF",$Q97,IF(ALLOC!$N$3="VOL_CLASS",$R97,$S97)))</f>
        <v>2439370</v>
      </c>
      <c r="AG97">
        <f>IF($A97="","",IF(ALLOC!$N$1="VOL_EFF",$Q97,IF(ALLOC!$N$1="VOL_CLASS",$R97,$S97)))</f>
        <v>358</v>
      </c>
      <c r="AH97">
        <f>IF($A97="","",IF(ALLOC!$N$1="VOL_EFF",$T97,IF(ALLOC!$N$1="VOL_CLASS",$U97,$V97)))</f>
        <v>2860</v>
      </c>
      <c r="AI97">
        <f t="shared" si="40"/>
        <v>23045.666666666664</v>
      </c>
      <c r="AJ97">
        <f t="shared" si="41"/>
        <v>47541.666666666664</v>
      </c>
      <c r="AK97">
        <f t="shared" si="42"/>
        <v>16660.147058823532</v>
      </c>
      <c r="AL97">
        <f t="shared" si="43"/>
        <v>106912.88235294117</v>
      </c>
      <c r="AM97">
        <f t="shared" si="44"/>
        <v>43818.855936659114</v>
      </c>
      <c r="AN97">
        <f t="shared" si="45"/>
        <v>60810.59384407266</v>
      </c>
      <c r="AO97">
        <f>IF($A97="","",Allocation2!AE97)</f>
        <v>580167</v>
      </c>
      <c r="AP97">
        <f>IF($A97="","",IF(ALLOC!$N$2="VOL_EFF",$Q97,IF(ALLOC!$N$2="VOL_CLASS",$R97,$S97)))</f>
        <v>358</v>
      </c>
      <c r="AQ97">
        <f>IF($A97="","",IF(ALLOC!$N$2="VOL_EFF",$T97,IF(ALLOC!$N$2="VOL_CLASS",$U97,$V97)))</f>
        <v>2860</v>
      </c>
      <c r="AR97">
        <f t="shared" si="46"/>
        <v>9210.1874741701813</v>
      </c>
    </row>
    <row r="98" spans="1:44" x14ac:dyDescent="0.45">
      <c r="A98" t="str">
        <f>IF(Allocation2!D98="","",Allocation2!D98)</f>
        <v>2025</v>
      </c>
      <c r="B98" t="str">
        <f>IF(Allocation2!E98="","",Allocation2!E98)</f>
        <v>IPAC_REN</v>
      </c>
      <c r="C98" t="str">
        <f>IF(Allocation2!F98="","",Allocation2!F98)</f>
        <v>IPAC</v>
      </c>
      <c r="D98" t="str">
        <f>IF(Allocation2!G98="","",Allocation2!G98)</f>
        <v>BAC_CCE</v>
      </c>
      <c r="E98" t="str">
        <f>IF(Allocation2!H98="","",Allocation2!H98)</f>
        <v>B1</v>
      </c>
      <c r="F98" t="str">
        <f>IF(Allocation2!I98="","",Allocation2!I98)</f>
        <v>ALT</v>
      </c>
      <c r="G98">
        <f>IF(Allocation2!E98="","",Allocation2!J98)</f>
        <v>38</v>
      </c>
      <c r="H98">
        <f>IF(Allocation2!E98="","",Allocation2!K98)</f>
        <v>2</v>
      </c>
      <c r="I98">
        <f>IF(Allocation2!E98="","",Allocation2!L98)</f>
        <v>256120</v>
      </c>
      <c r="J98">
        <f>IF($A98="","",Allocation2!X98)</f>
        <v>38</v>
      </c>
      <c r="K98">
        <f t="shared" si="28"/>
        <v>960</v>
      </c>
      <c r="L98">
        <f t="shared" ref="L98:L129" si="47">IF($A98="","",SUMIFS($G$1:$G$175,$A$1:$A$175,$A98,$B$1:$B$175,$B98))</f>
        <v>111</v>
      </c>
      <c r="M98">
        <f t="shared" ref="M98:M129" si="48">IF($A98="","",SUMIFS($H$1:$H$175,$A$1:$A$175,$A98,$B$1:$B$175,$B98))</f>
        <v>6</v>
      </c>
      <c r="N98">
        <f t="shared" ref="N98:N129" si="49">IF($A98="","",SUMIFS($I$1:$I$175,$A$1:$A$175,$A98,$B$1:$B$175,$B98))</f>
        <v>741570</v>
      </c>
      <c r="O98">
        <f t="shared" si="32"/>
        <v>2880</v>
      </c>
      <c r="P98">
        <f t="shared" si="33"/>
        <v>38</v>
      </c>
      <c r="Q98">
        <f t="shared" ref="Q98:Q129" si="50">IF($A98="","",SUMIFS($G$1:$G$175,$A$1:$A$175,$A98,$C$1:$C$175,$C98))</f>
        <v>358</v>
      </c>
      <c r="R98">
        <f t="shared" ref="R98:R129" si="51">IF($A98="","",SUMIFS($H$1:$H$175,$A$1:$A$175,$A98,$C$1:$C$175,$C98))</f>
        <v>18</v>
      </c>
      <c r="S98">
        <f t="shared" ref="S98:S129" si="52">IF($A98="","",SUMIFS($I$1:$I$175,$A$1:$A$175,$A98,$C$1:$C$175,$C98))</f>
        <v>2439370</v>
      </c>
      <c r="T98">
        <f t="shared" ref="T98:T129" si="53">IF($A98="","",SUMIFS($G$1:$G$175,$A$1:$A$175,$A98))</f>
        <v>2860</v>
      </c>
      <c r="U98">
        <f t="shared" ref="U98:U129" si="54">IF($A98="","",SUMIFS($H$1:$H$175,$A$1:$A$175,$A98))</f>
        <v>131</v>
      </c>
      <c r="V98">
        <f t="shared" ref="V98:V129" si="55">IF($A98="","",SUMIFS($I$1:$I$175,$A$1:$A$175,$A98))</f>
        <v>21240140</v>
      </c>
      <c r="W98">
        <f>IF($A98="","",Allocation2!Y98)</f>
        <v>69137</v>
      </c>
      <c r="X98">
        <f>IF($A98="","",Allocation2!Z98)</f>
        <v>125510</v>
      </c>
      <c r="Y98">
        <f>IF($A98="","",Allocation2!AA98)</f>
        <v>41552</v>
      </c>
      <c r="Z98">
        <f>IF($A98="","",Allocation2!AB98)</f>
        <v>13575</v>
      </c>
      <c r="AA98">
        <f>IF($A98="","",Allocation2!AC98)</f>
        <v>253182</v>
      </c>
      <c r="AB98">
        <f>IF($A98="","",Allocation2!AD98)</f>
        <v>2760232</v>
      </c>
      <c r="AC98">
        <f>IF($A98="","",IF(ALLOC!$N$4="VOL_EFF",$G98,IF(ALLOC!$N$4="VOL_CLASS",$H98,$I98)))</f>
        <v>38</v>
      </c>
      <c r="AD98">
        <f>IF($A98="","",IF(ALLOC!$N$4="VOL_EFF",$L98,IF(ALLOC!$N$4="VOL_CLASS",$M98,$N98)))</f>
        <v>111</v>
      </c>
      <c r="AE98">
        <f>IF($A98="","",IF(ALLOC!$N$3="VOL_EFF",$L98,IF(ALLOC!$N$3="VOL_CLASS",$M98,$N98)))</f>
        <v>741570</v>
      </c>
      <c r="AF98">
        <f>IF($A98="","",IF(ALLOC!$N$3="VOL_EFF",$Q98,IF(ALLOC!$N$3="VOL_CLASS",$R98,$S98)))</f>
        <v>2439370</v>
      </c>
      <c r="AG98">
        <f>IF($A98="","",IF(ALLOC!$N$1="VOL_EFF",$Q98,IF(ALLOC!$N$1="VOL_CLASS",$R98,$S98)))</f>
        <v>358</v>
      </c>
      <c r="AH98">
        <f>IF($A98="","",IF(ALLOC!$N$1="VOL_EFF",$T98,IF(ALLOC!$N$1="VOL_CLASS",$U98,$V98)))</f>
        <v>2860</v>
      </c>
      <c r="AI98">
        <f t="shared" si="40"/>
        <v>23045.666666666664</v>
      </c>
      <c r="AJ98">
        <f t="shared" si="41"/>
        <v>41836.666666666664</v>
      </c>
      <c r="AK98">
        <f t="shared" si="42"/>
        <v>27800.009009009009</v>
      </c>
      <c r="AL98">
        <f t="shared" si="43"/>
        <v>86674.91891891892</v>
      </c>
      <c r="AM98">
        <f t="shared" si="44"/>
        <v>35958.177473945485</v>
      </c>
      <c r="AN98">
        <f t="shared" si="45"/>
        <v>33246.592242433369</v>
      </c>
      <c r="AO98">
        <f>IF($A98="","",Allocation2!AE98)</f>
        <v>580167</v>
      </c>
      <c r="AP98">
        <f>IF($A98="","",IF(ALLOC!$N$2="VOL_EFF",$Q98,IF(ALLOC!$N$2="VOL_CLASS",$R98,$S98)))</f>
        <v>358</v>
      </c>
      <c r="AQ98">
        <f>IF($A98="","",IF(ALLOC!$N$2="VOL_EFF",$T98,IF(ALLOC!$N$2="VOL_CLASS",$U98,$V98)))</f>
        <v>2860</v>
      </c>
      <c r="AR98">
        <f t="shared" si="46"/>
        <v>7557.9690223599073</v>
      </c>
    </row>
    <row r="99" spans="1:44" x14ac:dyDescent="0.45">
      <c r="A99" t="str">
        <f>IF(Allocation2!D99="","",Allocation2!D99)</f>
        <v>2025</v>
      </c>
      <c r="B99" t="str">
        <f>IF(Allocation2!E99="","",Allocation2!E99)</f>
        <v>IPAC_REN</v>
      </c>
      <c r="C99" t="str">
        <f>IF(Allocation2!F99="","",Allocation2!F99)</f>
        <v>IPAC</v>
      </c>
      <c r="D99" t="str">
        <f>IF(Allocation2!G99="","",Allocation2!G99)</f>
        <v>BAC_CCE</v>
      </c>
      <c r="E99" t="str">
        <f>IF(Allocation2!H99="","",Allocation2!H99)</f>
        <v>B2</v>
      </c>
      <c r="F99" t="str">
        <f>IF(Allocation2!I99="","",Allocation2!I99)</f>
        <v>ALT</v>
      </c>
      <c r="G99">
        <f>IF(Allocation2!E99="","",Allocation2!J99)</f>
        <v>37</v>
      </c>
      <c r="H99">
        <f>IF(Allocation2!E99="","",Allocation2!K99)</f>
        <v>2</v>
      </c>
      <c r="I99">
        <f>IF(Allocation2!E99="","",Allocation2!L99)</f>
        <v>246050</v>
      </c>
      <c r="J99">
        <f>IF($A99="","",Allocation2!X99)</f>
        <v>0</v>
      </c>
      <c r="K99">
        <f t="shared" si="28"/>
        <v>960</v>
      </c>
      <c r="L99">
        <f t="shared" si="47"/>
        <v>111</v>
      </c>
      <c r="M99">
        <f t="shared" si="48"/>
        <v>6</v>
      </c>
      <c r="N99">
        <f t="shared" si="49"/>
        <v>741570</v>
      </c>
      <c r="O99">
        <f t="shared" si="32"/>
        <v>2880</v>
      </c>
      <c r="P99">
        <f t="shared" si="33"/>
        <v>38</v>
      </c>
      <c r="Q99">
        <f t="shared" si="50"/>
        <v>358</v>
      </c>
      <c r="R99">
        <f t="shared" si="51"/>
        <v>18</v>
      </c>
      <c r="S99">
        <f t="shared" si="52"/>
        <v>2439370</v>
      </c>
      <c r="T99">
        <f t="shared" si="53"/>
        <v>2860</v>
      </c>
      <c r="U99">
        <f t="shared" si="54"/>
        <v>131</v>
      </c>
      <c r="V99">
        <f t="shared" si="55"/>
        <v>21240140</v>
      </c>
      <c r="W99">
        <f>IF($A99="","",Allocation2!Y99)</f>
        <v>69137</v>
      </c>
      <c r="X99">
        <f>IF($A99="","",Allocation2!Z99)</f>
        <v>125510</v>
      </c>
      <c r="Y99">
        <f>IF($A99="","",Allocation2!AA99)</f>
        <v>41552</v>
      </c>
      <c r="Z99">
        <f>IF($A99="","",Allocation2!AB99)</f>
        <v>13575</v>
      </c>
      <c r="AA99">
        <f>IF($A99="","",Allocation2!AC99)</f>
        <v>253182</v>
      </c>
      <c r="AB99">
        <f>IF($A99="","",Allocation2!AD99)</f>
        <v>2760232</v>
      </c>
      <c r="AC99">
        <f>IF($A99="","",IF(ALLOC!$N$4="VOL_EFF",$G99,IF(ALLOC!$N$4="VOL_CLASS",$H99,$I99)))</f>
        <v>37</v>
      </c>
      <c r="AD99">
        <f>IF($A99="","",IF(ALLOC!$N$4="VOL_EFF",$L99,IF(ALLOC!$N$4="VOL_CLASS",$M99,$N99)))</f>
        <v>111</v>
      </c>
      <c r="AE99">
        <f>IF($A99="","",IF(ALLOC!$N$3="VOL_EFF",$L99,IF(ALLOC!$N$3="VOL_CLASS",$M99,$N99)))</f>
        <v>741570</v>
      </c>
      <c r="AF99">
        <f>IF($A99="","",IF(ALLOC!$N$3="VOL_EFF",$Q99,IF(ALLOC!$N$3="VOL_CLASS",$R99,$S99)))</f>
        <v>2439370</v>
      </c>
      <c r="AG99">
        <f>IF($A99="","",IF(ALLOC!$N$1="VOL_EFF",$Q99,IF(ALLOC!$N$1="VOL_CLASS",$R99,$S99)))</f>
        <v>358</v>
      </c>
      <c r="AH99">
        <f>IF($A99="","",IF(ALLOC!$N$1="VOL_EFF",$T99,IF(ALLOC!$N$1="VOL_CLASS",$U99,$V99)))</f>
        <v>2860</v>
      </c>
      <c r="AI99">
        <f t="shared" si="40"/>
        <v>23045.666666666664</v>
      </c>
      <c r="AJ99">
        <f t="shared" si="41"/>
        <v>41836.666666666664</v>
      </c>
      <c r="AK99">
        <f t="shared" si="42"/>
        <v>13850.666666666666</v>
      </c>
      <c r="AL99">
        <f t="shared" si="43"/>
        <v>84394</v>
      </c>
      <c r="AM99">
        <f t="shared" si="44"/>
        <v>35011.909645683758</v>
      </c>
      <c r="AN99">
        <f t="shared" si="45"/>
        <v>40552.015253597376</v>
      </c>
      <c r="AO99">
        <f>IF($A99="","",Allocation2!AE99)</f>
        <v>580167</v>
      </c>
      <c r="AP99">
        <f>IF($A99="","",IF(ALLOC!$N$2="VOL_EFF",$Q99,IF(ALLOC!$N$2="VOL_CLASS",$R99,$S99)))</f>
        <v>358</v>
      </c>
      <c r="AQ99">
        <f>IF($A99="","",IF(ALLOC!$N$2="VOL_EFF",$T99,IF(ALLOC!$N$2="VOL_CLASS",$U99,$V99)))</f>
        <v>2860</v>
      </c>
      <c r="AR99">
        <f t="shared" si="46"/>
        <v>7359.0751007188564</v>
      </c>
    </row>
    <row r="100" spans="1:44" x14ac:dyDescent="0.45">
      <c r="A100" t="str">
        <f>IF(Allocation2!D100="","",Allocation2!D100)</f>
        <v>2025</v>
      </c>
      <c r="B100" t="str">
        <f>IF(Allocation2!E100="","",Allocation2!E100)</f>
        <v>IPAC_REN</v>
      </c>
      <c r="C100" t="str">
        <f>IF(Allocation2!F100="","",Allocation2!F100)</f>
        <v>IPAC</v>
      </c>
      <c r="D100" t="str">
        <f>IF(Allocation2!G100="","",Allocation2!G100)</f>
        <v>BAC_CCE</v>
      </c>
      <c r="E100" t="str">
        <f>IF(Allocation2!H100="","",Allocation2!H100)</f>
        <v>B3</v>
      </c>
      <c r="F100" t="str">
        <f>IF(Allocation2!I100="","",Allocation2!I100)</f>
        <v>ALT</v>
      </c>
      <c r="G100">
        <f>IF(Allocation2!E100="","",Allocation2!J100)</f>
        <v>36</v>
      </c>
      <c r="H100">
        <f>IF(Allocation2!E100="","",Allocation2!K100)</f>
        <v>2</v>
      </c>
      <c r="I100">
        <f>IF(Allocation2!E100="","",Allocation2!L100)</f>
        <v>239400</v>
      </c>
      <c r="J100">
        <f>IF($A100="","",Allocation2!X100)</f>
        <v>0</v>
      </c>
      <c r="K100">
        <f t="shared" si="28"/>
        <v>960</v>
      </c>
      <c r="L100">
        <f t="shared" si="47"/>
        <v>111</v>
      </c>
      <c r="M100">
        <f t="shared" si="48"/>
        <v>6</v>
      </c>
      <c r="N100">
        <f t="shared" si="49"/>
        <v>741570</v>
      </c>
      <c r="O100">
        <f t="shared" si="32"/>
        <v>2880</v>
      </c>
      <c r="P100">
        <f t="shared" si="33"/>
        <v>38</v>
      </c>
      <c r="Q100">
        <f t="shared" si="50"/>
        <v>358</v>
      </c>
      <c r="R100">
        <f t="shared" si="51"/>
        <v>18</v>
      </c>
      <c r="S100">
        <f t="shared" si="52"/>
        <v>2439370</v>
      </c>
      <c r="T100">
        <f t="shared" si="53"/>
        <v>2860</v>
      </c>
      <c r="U100">
        <f t="shared" si="54"/>
        <v>131</v>
      </c>
      <c r="V100">
        <f t="shared" si="55"/>
        <v>21240140</v>
      </c>
      <c r="W100">
        <f>IF($A100="","",Allocation2!Y100)</f>
        <v>69137</v>
      </c>
      <c r="X100">
        <f>IF($A100="","",Allocation2!Z100)</f>
        <v>125510</v>
      </c>
      <c r="Y100">
        <f>IF($A100="","",Allocation2!AA100)</f>
        <v>41552</v>
      </c>
      <c r="Z100">
        <f>IF($A100="","",Allocation2!AB100)</f>
        <v>13575</v>
      </c>
      <c r="AA100">
        <f>IF($A100="","",Allocation2!AC100)</f>
        <v>253182</v>
      </c>
      <c r="AB100">
        <f>IF($A100="","",Allocation2!AD100)</f>
        <v>2760232</v>
      </c>
      <c r="AC100">
        <f>IF($A100="","",IF(ALLOC!$N$4="VOL_EFF",$G100,IF(ALLOC!$N$4="VOL_CLASS",$H100,$I100)))</f>
        <v>36</v>
      </c>
      <c r="AD100">
        <f>IF($A100="","",IF(ALLOC!$N$4="VOL_EFF",$L100,IF(ALLOC!$N$4="VOL_CLASS",$M100,$N100)))</f>
        <v>111</v>
      </c>
      <c r="AE100">
        <f>IF($A100="","",IF(ALLOC!$N$3="VOL_EFF",$L100,IF(ALLOC!$N$3="VOL_CLASS",$M100,$N100)))</f>
        <v>741570</v>
      </c>
      <c r="AF100">
        <f>IF($A100="","",IF(ALLOC!$N$3="VOL_EFF",$Q100,IF(ALLOC!$N$3="VOL_CLASS",$R100,$S100)))</f>
        <v>2439370</v>
      </c>
      <c r="AG100">
        <f>IF($A100="","",IF(ALLOC!$N$1="VOL_EFF",$Q100,IF(ALLOC!$N$1="VOL_CLASS",$R100,$S100)))</f>
        <v>358</v>
      </c>
      <c r="AH100">
        <f>IF($A100="","",IF(ALLOC!$N$1="VOL_EFF",$T100,IF(ALLOC!$N$1="VOL_CLASS",$U100,$V100)))</f>
        <v>2860</v>
      </c>
      <c r="AI100">
        <f t="shared" si="40"/>
        <v>23045.666666666664</v>
      </c>
      <c r="AJ100">
        <f t="shared" si="41"/>
        <v>41836.666666666664</v>
      </c>
      <c r="AK100">
        <f t="shared" si="42"/>
        <v>13476.324324324325</v>
      </c>
      <c r="AL100">
        <f t="shared" si="43"/>
        <v>82113.08108108108</v>
      </c>
      <c r="AM100">
        <f t="shared" si="44"/>
        <v>34065.641817422038</v>
      </c>
      <c r="AN100">
        <f t="shared" si="45"/>
        <v>37702.43826476144</v>
      </c>
      <c r="AO100">
        <f>IF($A100="","",Allocation2!AE100)</f>
        <v>580167</v>
      </c>
      <c r="AP100">
        <f>IF($A100="","",IF(ALLOC!$N$2="VOL_EFF",$Q100,IF(ALLOC!$N$2="VOL_CLASS",$R100,$S100)))</f>
        <v>358</v>
      </c>
      <c r="AQ100">
        <f>IF($A100="","",IF(ALLOC!$N$2="VOL_EFF",$T100,IF(ALLOC!$N$2="VOL_CLASS",$U100,$V100)))</f>
        <v>2860</v>
      </c>
      <c r="AR100">
        <f t="shared" si="46"/>
        <v>7160.1811790778065</v>
      </c>
    </row>
    <row r="101" spans="1:44" x14ac:dyDescent="0.45">
      <c r="A101" t="str">
        <f>IF(Allocation2!D101="","",Allocation2!D101)</f>
        <v>2025</v>
      </c>
      <c r="B101" t="str">
        <f>IF(Allocation2!E101="","",Allocation2!E101)</f>
        <v>IPAC_MTP</v>
      </c>
      <c r="C101" t="str">
        <f>IF(Allocation2!F101="","",Allocation2!F101)</f>
        <v>IPAC</v>
      </c>
      <c r="D101" t="str">
        <f>IF(Allocation2!G101="","",Allocation2!G101)</f>
        <v>BAC_CCE</v>
      </c>
      <c r="E101" t="str">
        <f>IF(Allocation2!H101="","",Allocation2!H101)</f>
        <v>B1</v>
      </c>
      <c r="F101" t="str">
        <f>IF(Allocation2!I101="","",Allocation2!I101)</f>
        <v>ALT</v>
      </c>
      <c r="G101">
        <f>IF(Allocation2!E101="","",Allocation2!J101)</f>
        <v>38</v>
      </c>
      <c r="H101">
        <f>IF(Allocation2!E101="","",Allocation2!K101)</f>
        <v>2</v>
      </c>
      <c r="I101">
        <f>IF(Allocation2!E101="","",Allocation2!L101)</f>
        <v>256120</v>
      </c>
      <c r="J101">
        <f>IF($A101="","",Allocation2!X101)</f>
        <v>38</v>
      </c>
      <c r="K101">
        <f t="shared" si="28"/>
        <v>960</v>
      </c>
      <c r="L101">
        <f t="shared" si="47"/>
        <v>111</v>
      </c>
      <c r="M101">
        <f t="shared" si="48"/>
        <v>6</v>
      </c>
      <c r="N101">
        <f t="shared" si="49"/>
        <v>741570</v>
      </c>
      <c r="O101">
        <f t="shared" si="32"/>
        <v>2880</v>
      </c>
      <c r="P101">
        <f t="shared" si="33"/>
        <v>38</v>
      </c>
      <c r="Q101">
        <f t="shared" si="50"/>
        <v>358</v>
      </c>
      <c r="R101">
        <f t="shared" si="51"/>
        <v>18</v>
      </c>
      <c r="S101">
        <f t="shared" si="52"/>
        <v>2439370</v>
      </c>
      <c r="T101">
        <f t="shared" si="53"/>
        <v>2860</v>
      </c>
      <c r="U101">
        <f t="shared" si="54"/>
        <v>131</v>
      </c>
      <c r="V101">
        <f t="shared" si="55"/>
        <v>21240140</v>
      </c>
      <c r="W101">
        <f>IF($A101="","",Allocation2!Y101)</f>
        <v>69137</v>
      </c>
      <c r="X101">
        <f>IF($A101="","",Allocation2!Z101)</f>
        <v>125510</v>
      </c>
      <c r="Y101">
        <f>IF($A101="","",Allocation2!AA101)</f>
        <v>41552</v>
      </c>
      <c r="Z101">
        <f>IF($A101="","",Allocation2!AB101)</f>
        <v>13798</v>
      </c>
      <c r="AA101">
        <f>IF($A101="","",Allocation2!AC101)</f>
        <v>253182</v>
      </c>
      <c r="AB101">
        <f>IF($A101="","",Allocation2!AD101)</f>
        <v>2760232</v>
      </c>
      <c r="AC101">
        <f>IF($A101="","",IF(ALLOC!$N$4="VOL_EFF",$G101,IF(ALLOC!$N$4="VOL_CLASS",$H101,$I101)))</f>
        <v>38</v>
      </c>
      <c r="AD101">
        <f>IF($A101="","",IF(ALLOC!$N$4="VOL_EFF",$L101,IF(ALLOC!$N$4="VOL_CLASS",$M101,$N101)))</f>
        <v>111</v>
      </c>
      <c r="AE101">
        <f>IF($A101="","",IF(ALLOC!$N$3="VOL_EFF",$L101,IF(ALLOC!$N$3="VOL_CLASS",$M101,$N101)))</f>
        <v>741570</v>
      </c>
      <c r="AF101">
        <f>IF($A101="","",IF(ALLOC!$N$3="VOL_EFF",$Q101,IF(ALLOC!$N$3="VOL_CLASS",$R101,$S101)))</f>
        <v>2439370</v>
      </c>
      <c r="AG101">
        <f>IF($A101="","",IF(ALLOC!$N$1="VOL_EFF",$Q101,IF(ALLOC!$N$1="VOL_CLASS",$R101,$S101)))</f>
        <v>358</v>
      </c>
      <c r="AH101">
        <f>IF($A101="","",IF(ALLOC!$N$1="VOL_EFF",$T101,IF(ALLOC!$N$1="VOL_CLASS",$U101,$V101)))</f>
        <v>2860</v>
      </c>
      <c r="AI101">
        <f t="shared" si="40"/>
        <v>23045.666666666664</v>
      </c>
      <c r="AJ101">
        <f t="shared" si="41"/>
        <v>41836.666666666664</v>
      </c>
      <c r="AK101">
        <f t="shared" si="42"/>
        <v>28023.009009009009</v>
      </c>
      <c r="AL101">
        <f t="shared" si="43"/>
        <v>86674.91891891892</v>
      </c>
      <c r="AM101">
        <f t="shared" si="44"/>
        <v>35958.177473945485</v>
      </c>
      <c r="AN101">
        <f t="shared" si="45"/>
        <v>33023.592242433369</v>
      </c>
      <c r="AO101">
        <f>IF($A101="","",Allocation2!AE101)</f>
        <v>580167</v>
      </c>
      <c r="AP101">
        <f>IF($A101="","",IF(ALLOC!$N$2="VOL_EFF",$Q101,IF(ALLOC!$N$2="VOL_CLASS",$R101,$S101)))</f>
        <v>358</v>
      </c>
      <c r="AQ101">
        <f>IF($A101="","",IF(ALLOC!$N$2="VOL_EFF",$T101,IF(ALLOC!$N$2="VOL_CLASS",$U101,$V101)))</f>
        <v>2860</v>
      </c>
      <c r="AR101">
        <f t="shared" si="46"/>
        <v>7557.9690223599073</v>
      </c>
    </row>
    <row r="102" spans="1:44" x14ac:dyDescent="0.45">
      <c r="A102" t="str">
        <f>IF(Allocation2!D102="","",Allocation2!D102)</f>
        <v>2025</v>
      </c>
      <c r="B102" t="str">
        <f>IF(Allocation2!E102="","",Allocation2!E102)</f>
        <v>IPAC_MTP</v>
      </c>
      <c r="C102" t="str">
        <f>IF(Allocation2!F102="","",Allocation2!F102)</f>
        <v>IPAC</v>
      </c>
      <c r="D102" t="str">
        <f>IF(Allocation2!G102="","",Allocation2!G102)</f>
        <v>BAC_CCE</v>
      </c>
      <c r="E102" t="str">
        <f>IF(Allocation2!H102="","",Allocation2!H102)</f>
        <v>B2</v>
      </c>
      <c r="F102" t="str">
        <f>IF(Allocation2!I102="","",Allocation2!I102)</f>
        <v>ALT</v>
      </c>
      <c r="G102">
        <f>IF(Allocation2!E102="","",Allocation2!J102)</f>
        <v>37</v>
      </c>
      <c r="H102">
        <f>IF(Allocation2!E102="","",Allocation2!K102)</f>
        <v>2</v>
      </c>
      <c r="I102">
        <f>IF(Allocation2!E102="","",Allocation2!L102)</f>
        <v>246050</v>
      </c>
      <c r="J102">
        <f>IF($A102="","",Allocation2!X102)</f>
        <v>0</v>
      </c>
      <c r="K102">
        <f t="shared" si="28"/>
        <v>960</v>
      </c>
      <c r="L102">
        <f t="shared" si="47"/>
        <v>111</v>
      </c>
      <c r="M102">
        <f t="shared" si="48"/>
        <v>6</v>
      </c>
      <c r="N102">
        <f t="shared" si="49"/>
        <v>741570</v>
      </c>
      <c r="O102">
        <f t="shared" si="32"/>
        <v>2880</v>
      </c>
      <c r="P102">
        <f t="shared" si="33"/>
        <v>38</v>
      </c>
      <c r="Q102">
        <f t="shared" si="50"/>
        <v>358</v>
      </c>
      <c r="R102">
        <f t="shared" si="51"/>
        <v>18</v>
      </c>
      <c r="S102">
        <f t="shared" si="52"/>
        <v>2439370</v>
      </c>
      <c r="T102">
        <f t="shared" si="53"/>
        <v>2860</v>
      </c>
      <c r="U102">
        <f t="shared" si="54"/>
        <v>131</v>
      </c>
      <c r="V102">
        <f t="shared" si="55"/>
        <v>21240140</v>
      </c>
      <c r="W102">
        <f>IF($A102="","",Allocation2!Y102)</f>
        <v>69137</v>
      </c>
      <c r="X102">
        <f>IF($A102="","",Allocation2!Z102)</f>
        <v>125510</v>
      </c>
      <c r="Y102">
        <f>IF($A102="","",Allocation2!AA102)</f>
        <v>41552</v>
      </c>
      <c r="Z102">
        <f>IF($A102="","",Allocation2!AB102)</f>
        <v>13798</v>
      </c>
      <c r="AA102">
        <f>IF($A102="","",Allocation2!AC102)</f>
        <v>253182</v>
      </c>
      <c r="AB102">
        <f>IF($A102="","",Allocation2!AD102)</f>
        <v>2760232</v>
      </c>
      <c r="AC102">
        <f>IF($A102="","",IF(ALLOC!$N$4="VOL_EFF",$G102,IF(ALLOC!$N$4="VOL_CLASS",$H102,$I102)))</f>
        <v>37</v>
      </c>
      <c r="AD102">
        <f>IF($A102="","",IF(ALLOC!$N$4="VOL_EFF",$L102,IF(ALLOC!$N$4="VOL_CLASS",$M102,$N102)))</f>
        <v>111</v>
      </c>
      <c r="AE102">
        <f>IF($A102="","",IF(ALLOC!$N$3="VOL_EFF",$L102,IF(ALLOC!$N$3="VOL_CLASS",$M102,$N102)))</f>
        <v>741570</v>
      </c>
      <c r="AF102">
        <f>IF($A102="","",IF(ALLOC!$N$3="VOL_EFF",$Q102,IF(ALLOC!$N$3="VOL_CLASS",$R102,$S102)))</f>
        <v>2439370</v>
      </c>
      <c r="AG102">
        <f>IF($A102="","",IF(ALLOC!$N$1="VOL_EFF",$Q102,IF(ALLOC!$N$1="VOL_CLASS",$R102,$S102)))</f>
        <v>358</v>
      </c>
      <c r="AH102">
        <f>IF($A102="","",IF(ALLOC!$N$1="VOL_EFF",$T102,IF(ALLOC!$N$1="VOL_CLASS",$U102,$V102)))</f>
        <v>2860</v>
      </c>
      <c r="AI102">
        <f t="shared" si="40"/>
        <v>23045.666666666664</v>
      </c>
      <c r="AJ102">
        <f t="shared" si="41"/>
        <v>41836.666666666664</v>
      </c>
      <c r="AK102">
        <f t="shared" si="42"/>
        <v>13850.666666666666</v>
      </c>
      <c r="AL102">
        <f t="shared" si="43"/>
        <v>84394</v>
      </c>
      <c r="AM102">
        <f t="shared" si="44"/>
        <v>35011.909645683758</v>
      </c>
      <c r="AN102">
        <f t="shared" si="45"/>
        <v>40552.015253597376</v>
      </c>
      <c r="AO102">
        <f>IF($A102="","",Allocation2!AE102)</f>
        <v>580167</v>
      </c>
      <c r="AP102">
        <f>IF($A102="","",IF(ALLOC!$N$2="VOL_EFF",$Q102,IF(ALLOC!$N$2="VOL_CLASS",$R102,$S102)))</f>
        <v>358</v>
      </c>
      <c r="AQ102">
        <f>IF($A102="","",IF(ALLOC!$N$2="VOL_EFF",$T102,IF(ALLOC!$N$2="VOL_CLASS",$U102,$V102)))</f>
        <v>2860</v>
      </c>
      <c r="AR102">
        <f t="shared" si="46"/>
        <v>7359.0751007188564</v>
      </c>
    </row>
    <row r="103" spans="1:44" x14ac:dyDescent="0.45">
      <c r="A103" t="str">
        <f>IF(Allocation2!D103="","",Allocation2!D103)</f>
        <v>2025</v>
      </c>
      <c r="B103" t="str">
        <f>IF(Allocation2!E103="","",Allocation2!E103)</f>
        <v>IPAC_MTP</v>
      </c>
      <c r="C103" t="str">
        <f>IF(Allocation2!F103="","",Allocation2!F103)</f>
        <v>IPAC</v>
      </c>
      <c r="D103" t="str">
        <f>IF(Allocation2!G103="","",Allocation2!G103)</f>
        <v>BAC_CCE</v>
      </c>
      <c r="E103" t="str">
        <f>IF(Allocation2!H103="","",Allocation2!H103)</f>
        <v>B3</v>
      </c>
      <c r="F103" t="str">
        <f>IF(Allocation2!I103="","",Allocation2!I103)</f>
        <v>ALT</v>
      </c>
      <c r="G103">
        <f>IF(Allocation2!E103="","",Allocation2!J103)</f>
        <v>36</v>
      </c>
      <c r="H103">
        <f>IF(Allocation2!E103="","",Allocation2!K103)</f>
        <v>2</v>
      </c>
      <c r="I103">
        <f>IF(Allocation2!E103="","",Allocation2!L103)</f>
        <v>239400</v>
      </c>
      <c r="J103">
        <f>IF($A103="","",Allocation2!X103)</f>
        <v>0</v>
      </c>
      <c r="K103">
        <f t="shared" si="28"/>
        <v>960</v>
      </c>
      <c r="L103">
        <f t="shared" si="47"/>
        <v>111</v>
      </c>
      <c r="M103">
        <f t="shared" si="48"/>
        <v>6</v>
      </c>
      <c r="N103">
        <f t="shared" si="49"/>
        <v>741570</v>
      </c>
      <c r="O103">
        <f t="shared" si="32"/>
        <v>2880</v>
      </c>
      <c r="P103">
        <f t="shared" si="33"/>
        <v>38</v>
      </c>
      <c r="Q103">
        <f t="shared" si="50"/>
        <v>358</v>
      </c>
      <c r="R103">
        <f t="shared" si="51"/>
        <v>18</v>
      </c>
      <c r="S103">
        <f t="shared" si="52"/>
        <v>2439370</v>
      </c>
      <c r="T103">
        <f t="shared" si="53"/>
        <v>2860</v>
      </c>
      <c r="U103">
        <f t="shared" si="54"/>
        <v>131</v>
      </c>
      <c r="V103">
        <f t="shared" si="55"/>
        <v>21240140</v>
      </c>
      <c r="W103">
        <f>IF($A103="","",Allocation2!Y103)</f>
        <v>69137</v>
      </c>
      <c r="X103">
        <f>IF($A103="","",Allocation2!Z103)</f>
        <v>125510</v>
      </c>
      <c r="Y103">
        <f>IF($A103="","",Allocation2!AA103)</f>
        <v>41552</v>
      </c>
      <c r="Z103">
        <f>IF($A103="","",Allocation2!AB103)</f>
        <v>13798</v>
      </c>
      <c r="AA103">
        <f>IF($A103="","",Allocation2!AC103)</f>
        <v>253182</v>
      </c>
      <c r="AB103">
        <f>IF($A103="","",Allocation2!AD103)</f>
        <v>2760232</v>
      </c>
      <c r="AC103">
        <f>IF($A103="","",IF(ALLOC!$N$4="VOL_EFF",$G103,IF(ALLOC!$N$4="VOL_CLASS",$H103,$I103)))</f>
        <v>36</v>
      </c>
      <c r="AD103">
        <f>IF($A103="","",IF(ALLOC!$N$4="VOL_EFF",$L103,IF(ALLOC!$N$4="VOL_CLASS",$M103,$N103)))</f>
        <v>111</v>
      </c>
      <c r="AE103">
        <f>IF($A103="","",IF(ALLOC!$N$3="VOL_EFF",$L103,IF(ALLOC!$N$3="VOL_CLASS",$M103,$N103)))</f>
        <v>741570</v>
      </c>
      <c r="AF103">
        <f>IF($A103="","",IF(ALLOC!$N$3="VOL_EFF",$Q103,IF(ALLOC!$N$3="VOL_CLASS",$R103,$S103)))</f>
        <v>2439370</v>
      </c>
      <c r="AG103">
        <f>IF($A103="","",IF(ALLOC!$N$1="VOL_EFF",$Q103,IF(ALLOC!$N$1="VOL_CLASS",$R103,$S103)))</f>
        <v>358</v>
      </c>
      <c r="AH103">
        <f>IF($A103="","",IF(ALLOC!$N$1="VOL_EFF",$T103,IF(ALLOC!$N$1="VOL_CLASS",$U103,$V103)))</f>
        <v>2860</v>
      </c>
      <c r="AI103">
        <f t="shared" si="40"/>
        <v>23045.666666666664</v>
      </c>
      <c r="AJ103">
        <f t="shared" si="41"/>
        <v>41836.666666666664</v>
      </c>
      <c r="AK103">
        <f t="shared" si="42"/>
        <v>13476.324324324325</v>
      </c>
      <c r="AL103">
        <f t="shared" si="43"/>
        <v>82113.08108108108</v>
      </c>
      <c r="AM103">
        <f t="shared" si="44"/>
        <v>34065.641817422038</v>
      </c>
      <c r="AN103">
        <f t="shared" si="45"/>
        <v>37702.43826476144</v>
      </c>
      <c r="AO103">
        <f>IF($A103="","",Allocation2!AE103)</f>
        <v>580167</v>
      </c>
      <c r="AP103">
        <f>IF($A103="","",IF(ALLOC!$N$2="VOL_EFF",$Q103,IF(ALLOC!$N$2="VOL_CLASS",$R103,$S103)))</f>
        <v>358</v>
      </c>
      <c r="AQ103">
        <f>IF($A103="","",IF(ALLOC!$N$2="VOL_EFF",$T103,IF(ALLOC!$N$2="VOL_CLASS",$U103,$V103)))</f>
        <v>2860</v>
      </c>
      <c r="AR103">
        <f t="shared" si="46"/>
        <v>7160.1811790778065</v>
      </c>
    </row>
    <row r="104" spans="1:44" x14ac:dyDescent="0.45">
      <c r="A104" t="str">
        <f>IF(Allocation2!D104="","",Allocation2!D104)</f>
        <v>2025</v>
      </c>
      <c r="B104" t="str">
        <f>IF(Allocation2!E104="","",Allocation2!E104)</f>
        <v>PIGIER_LYO</v>
      </c>
      <c r="C104" t="str">
        <f>IF(Allocation2!F104="","",Allocation2!F104)</f>
        <v>PIGIER</v>
      </c>
      <c r="D104" t="str">
        <f>IF(Allocation2!G104="","",Allocation2!G104)</f>
        <v>BTS_GES</v>
      </c>
      <c r="E104" t="str">
        <f>IF(Allocation2!H104="","",Allocation2!H104)</f>
        <v>BTS1</v>
      </c>
      <c r="F104" t="str">
        <f>IF(Allocation2!I104="","",Allocation2!I104)</f>
        <v>ALT</v>
      </c>
      <c r="G104">
        <f>IF(Allocation2!E104="","",Allocation2!J104)</f>
        <v>43</v>
      </c>
      <c r="H104">
        <f>IF(Allocation2!E104="","",Allocation2!K104)</f>
        <v>2</v>
      </c>
      <c r="I104">
        <f>IF(Allocation2!E104="","",Allocation2!L104)</f>
        <v>274770</v>
      </c>
      <c r="J104">
        <f>IF($A104="","",Allocation2!X104)</f>
        <v>43</v>
      </c>
      <c r="K104">
        <f t="shared" si="28"/>
        <v>1400</v>
      </c>
      <c r="L104">
        <f t="shared" si="47"/>
        <v>170</v>
      </c>
      <c r="M104">
        <f t="shared" si="48"/>
        <v>8</v>
      </c>
      <c r="N104">
        <f t="shared" si="49"/>
        <v>1167990</v>
      </c>
      <c r="O104">
        <f t="shared" si="32"/>
        <v>4720</v>
      </c>
      <c r="P104">
        <f t="shared" si="33"/>
        <v>86</v>
      </c>
      <c r="Q104">
        <f t="shared" si="50"/>
        <v>304</v>
      </c>
      <c r="R104">
        <f t="shared" si="51"/>
        <v>16</v>
      </c>
      <c r="S104">
        <f t="shared" si="52"/>
        <v>2018980</v>
      </c>
      <c r="T104">
        <f t="shared" si="53"/>
        <v>2860</v>
      </c>
      <c r="U104">
        <f t="shared" si="54"/>
        <v>131</v>
      </c>
      <c r="V104">
        <f t="shared" si="55"/>
        <v>21240140</v>
      </c>
      <c r="W104">
        <f>IF($A104="","",Allocation2!Y104)</f>
        <v>92183</v>
      </c>
      <c r="X104">
        <f>IF($A104="","",Allocation2!Z104)</f>
        <v>212986</v>
      </c>
      <c r="Y104">
        <f>IF($A104="","",Allocation2!AA104)</f>
        <v>64636</v>
      </c>
      <c r="Z104">
        <f>IF($A104="","",Allocation2!AB104)</f>
        <v>33284</v>
      </c>
      <c r="AA104">
        <f>IF($A104="","",Allocation2!AC104)</f>
        <v>474103</v>
      </c>
      <c r="AB104">
        <f>IF($A104="","",Allocation2!AD104)</f>
        <v>2760232</v>
      </c>
      <c r="AC104">
        <f>IF($A104="","",IF(ALLOC!$N$4="VOL_EFF",$G104,IF(ALLOC!$N$4="VOL_CLASS",$H104,$I104)))</f>
        <v>43</v>
      </c>
      <c r="AD104">
        <f>IF($A104="","",IF(ALLOC!$N$4="VOL_EFF",$L104,IF(ALLOC!$N$4="VOL_CLASS",$M104,$N104)))</f>
        <v>170</v>
      </c>
      <c r="AE104">
        <f>IF($A104="","",IF(ALLOC!$N$3="VOL_EFF",$L104,IF(ALLOC!$N$3="VOL_CLASS",$M104,$N104)))</f>
        <v>1167990</v>
      </c>
      <c r="AF104">
        <f>IF($A104="","",IF(ALLOC!$N$3="VOL_EFF",$Q104,IF(ALLOC!$N$3="VOL_CLASS",$R104,$S104)))</f>
        <v>2018980</v>
      </c>
      <c r="AG104">
        <f>IF($A104="","",IF(ALLOC!$N$1="VOL_EFF",$Q104,IF(ALLOC!$N$1="VOL_CLASS",$R104,$S104)))</f>
        <v>304</v>
      </c>
      <c r="AH104">
        <f>IF($A104="","",IF(ALLOC!$N$1="VOL_EFF",$T104,IF(ALLOC!$N$1="VOL_CLASS",$U104,$V104)))</f>
        <v>2860</v>
      </c>
      <c r="AI104">
        <f t="shared" si="40"/>
        <v>27342.415254237287</v>
      </c>
      <c r="AJ104">
        <f t="shared" si="41"/>
        <v>63173.813559322029</v>
      </c>
      <c r="AK104">
        <f t="shared" si="42"/>
        <v>32991.105882352938</v>
      </c>
      <c r="AL104">
        <f t="shared" si="43"/>
        <v>119920.17058823528</v>
      </c>
      <c r="AM104">
        <f t="shared" si="44"/>
        <v>42931.867344781363</v>
      </c>
      <c r="AN104">
        <f t="shared" si="45"/>
        <v>-20613.12595177273</v>
      </c>
      <c r="AO104">
        <f>IF($A104="","",Allocation2!AE104)</f>
        <v>580167</v>
      </c>
      <c r="AP104">
        <f>IF($A104="","",IF(ALLOC!$N$2="VOL_EFF",$Q104,IF(ALLOC!$N$2="VOL_CLASS",$R104,$S104)))</f>
        <v>304</v>
      </c>
      <c r="AQ104">
        <f>IF($A104="","",IF(ALLOC!$N$2="VOL_EFF",$T104,IF(ALLOC!$N$2="VOL_CLASS",$U104,$V104)))</f>
        <v>2860</v>
      </c>
      <c r="AR104">
        <f t="shared" si="46"/>
        <v>9023.7533228437933</v>
      </c>
    </row>
    <row r="105" spans="1:44" x14ac:dyDescent="0.45">
      <c r="A105" t="str">
        <f>IF(Allocation2!D105="","",Allocation2!D105)</f>
        <v>2025</v>
      </c>
      <c r="B105" t="str">
        <f>IF(Allocation2!E105="","",Allocation2!E105)</f>
        <v>PIGIER_LYO</v>
      </c>
      <c r="C105" t="str">
        <f>IF(Allocation2!F105="","",Allocation2!F105)</f>
        <v>PIGIER</v>
      </c>
      <c r="D105" t="str">
        <f>IF(Allocation2!G105="","",Allocation2!G105)</f>
        <v>BTS_GES</v>
      </c>
      <c r="E105" t="str">
        <f>IF(Allocation2!H105="","",Allocation2!H105)</f>
        <v>BTS2</v>
      </c>
      <c r="F105" t="str">
        <f>IF(Allocation2!I105="","",Allocation2!I105)</f>
        <v>ALT</v>
      </c>
      <c r="G105">
        <f>IF(Allocation2!E105="","",Allocation2!J105)</f>
        <v>42</v>
      </c>
      <c r="H105">
        <f>IF(Allocation2!E105="","",Allocation2!K105)</f>
        <v>2</v>
      </c>
      <c r="I105">
        <f>IF(Allocation2!E105="","",Allocation2!L105)</f>
        <v>264600</v>
      </c>
      <c r="J105">
        <f>IF($A105="","",Allocation2!X105)</f>
        <v>0</v>
      </c>
      <c r="K105">
        <f t="shared" si="28"/>
        <v>1400</v>
      </c>
      <c r="L105">
        <f t="shared" si="47"/>
        <v>170</v>
      </c>
      <c r="M105">
        <f t="shared" si="48"/>
        <v>8</v>
      </c>
      <c r="N105">
        <f t="shared" si="49"/>
        <v>1167990</v>
      </c>
      <c r="O105">
        <f t="shared" si="32"/>
        <v>4720</v>
      </c>
      <c r="P105">
        <f t="shared" si="33"/>
        <v>86</v>
      </c>
      <c r="Q105">
        <f t="shared" si="50"/>
        <v>304</v>
      </c>
      <c r="R105">
        <f t="shared" si="51"/>
        <v>16</v>
      </c>
      <c r="S105">
        <f t="shared" si="52"/>
        <v>2018980</v>
      </c>
      <c r="T105">
        <f t="shared" si="53"/>
        <v>2860</v>
      </c>
      <c r="U105">
        <f t="shared" si="54"/>
        <v>131</v>
      </c>
      <c r="V105">
        <f t="shared" si="55"/>
        <v>21240140</v>
      </c>
      <c r="W105">
        <f>IF($A105="","",Allocation2!Y105)</f>
        <v>92183</v>
      </c>
      <c r="X105">
        <f>IF($A105="","",Allocation2!Z105)</f>
        <v>212986</v>
      </c>
      <c r="Y105">
        <f>IF($A105="","",Allocation2!AA105)</f>
        <v>64636</v>
      </c>
      <c r="Z105">
        <f>IF($A105="","",Allocation2!AB105)</f>
        <v>33284</v>
      </c>
      <c r="AA105">
        <f>IF($A105="","",Allocation2!AC105)</f>
        <v>474103</v>
      </c>
      <c r="AB105">
        <f>IF($A105="","",Allocation2!AD105)</f>
        <v>2760232</v>
      </c>
      <c r="AC105">
        <f>IF($A105="","",IF(ALLOC!$N$4="VOL_EFF",$G105,IF(ALLOC!$N$4="VOL_CLASS",$H105,$I105)))</f>
        <v>42</v>
      </c>
      <c r="AD105">
        <f>IF($A105="","",IF(ALLOC!$N$4="VOL_EFF",$L105,IF(ALLOC!$N$4="VOL_CLASS",$M105,$N105)))</f>
        <v>170</v>
      </c>
      <c r="AE105">
        <f>IF($A105="","",IF(ALLOC!$N$3="VOL_EFF",$L105,IF(ALLOC!$N$3="VOL_CLASS",$M105,$N105)))</f>
        <v>1167990</v>
      </c>
      <c r="AF105">
        <f>IF($A105="","",IF(ALLOC!$N$3="VOL_EFF",$Q105,IF(ALLOC!$N$3="VOL_CLASS",$R105,$S105)))</f>
        <v>2018980</v>
      </c>
      <c r="AG105">
        <f>IF($A105="","",IF(ALLOC!$N$1="VOL_EFF",$Q105,IF(ALLOC!$N$1="VOL_CLASS",$R105,$S105)))</f>
        <v>304</v>
      </c>
      <c r="AH105">
        <f>IF($A105="","",IF(ALLOC!$N$1="VOL_EFF",$T105,IF(ALLOC!$N$1="VOL_CLASS",$U105,$V105)))</f>
        <v>2860</v>
      </c>
      <c r="AI105">
        <f t="shared" si="40"/>
        <v>27342.415254237287</v>
      </c>
      <c r="AJ105">
        <f t="shared" si="41"/>
        <v>63173.813559322029</v>
      </c>
      <c r="AK105">
        <f t="shared" si="42"/>
        <v>15968.89411764706</v>
      </c>
      <c r="AL105">
        <f t="shared" si="43"/>
        <v>117131.32941176472</v>
      </c>
      <c r="AM105">
        <f t="shared" si="44"/>
        <v>41933.451825135286</v>
      </c>
      <c r="AN105">
        <f t="shared" si="45"/>
        <v>-9763.802762511943</v>
      </c>
      <c r="AO105">
        <f>IF($A105="","",Allocation2!AE105)</f>
        <v>580167</v>
      </c>
      <c r="AP105">
        <f>IF($A105="","",IF(ALLOC!$N$2="VOL_EFF",$Q105,IF(ALLOC!$N$2="VOL_CLASS",$R105,$S105)))</f>
        <v>304</v>
      </c>
      <c r="AQ105">
        <f>IF($A105="","",IF(ALLOC!$N$2="VOL_EFF",$T105,IF(ALLOC!$N$2="VOL_CLASS",$U105,$V105)))</f>
        <v>2860</v>
      </c>
      <c r="AR105">
        <f t="shared" si="46"/>
        <v>8813.8985944055676</v>
      </c>
    </row>
    <row r="106" spans="1:44" x14ac:dyDescent="0.45">
      <c r="A106" t="str">
        <f>IF(Allocation2!D106="","",Allocation2!D106)</f>
        <v>2025</v>
      </c>
      <c r="B106" t="str">
        <f>IF(Allocation2!E106="","",Allocation2!E106)</f>
        <v>PIGIER_LYO</v>
      </c>
      <c r="C106" t="str">
        <f>IF(Allocation2!F106="","",Allocation2!F106)</f>
        <v>PIGIER</v>
      </c>
      <c r="D106" t="str">
        <f>IF(Allocation2!G106="","",Allocation2!G106)</f>
        <v>BAC_RH</v>
      </c>
      <c r="E106" t="str">
        <f>IF(Allocation2!H106="","",Allocation2!H106)</f>
        <v>B1</v>
      </c>
      <c r="F106" t="str">
        <f>IF(Allocation2!I106="","",Allocation2!I106)</f>
        <v>ALT</v>
      </c>
      <c r="G106">
        <f>IF(Allocation2!E106="","",Allocation2!J106)</f>
        <v>43</v>
      </c>
      <c r="H106">
        <f>IF(Allocation2!E106="","",Allocation2!K106)</f>
        <v>2</v>
      </c>
      <c r="I106">
        <f>IF(Allocation2!E106="","",Allocation2!L106)</f>
        <v>319920</v>
      </c>
      <c r="J106">
        <f>IF($A106="","",Allocation2!X106)</f>
        <v>43</v>
      </c>
      <c r="K106">
        <f t="shared" si="28"/>
        <v>960</v>
      </c>
      <c r="L106">
        <f t="shared" si="47"/>
        <v>170</v>
      </c>
      <c r="M106">
        <f t="shared" si="48"/>
        <v>8</v>
      </c>
      <c r="N106">
        <f t="shared" si="49"/>
        <v>1167990</v>
      </c>
      <c r="O106">
        <f t="shared" si="32"/>
        <v>4720</v>
      </c>
      <c r="P106">
        <f t="shared" si="33"/>
        <v>86</v>
      </c>
      <c r="Q106">
        <f t="shared" si="50"/>
        <v>304</v>
      </c>
      <c r="R106">
        <f t="shared" si="51"/>
        <v>16</v>
      </c>
      <c r="S106">
        <f t="shared" si="52"/>
        <v>2018980</v>
      </c>
      <c r="T106">
        <f t="shared" si="53"/>
        <v>2860</v>
      </c>
      <c r="U106">
        <f t="shared" si="54"/>
        <v>131</v>
      </c>
      <c r="V106">
        <f t="shared" si="55"/>
        <v>21240140</v>
      </c>
      <c r="W106">
        <f>IF($A106="","",Allocation2!Y106)</f>
        <v>92183</v>
      </c>
      <c r="X106">
        <f>IF($A106="","",Allocation2!Z106)</f>
        <v>212986</v>
      </c>
      <c r="Y106">
        <f>IF($A106="","",Allocation2!AA106)</f>
        <v>64636</v>
      </c>
      <c r="Z106">
        <f>IF($A106="","",Allocation2!AB106)</f>
        <v>33284</v>
      </c>
      <c r="AA106">
        <f>IF($A106="","",Allocation2!AC106)</f>
        <v>474103</v>
      </c>
      <c r="AB106">
        <f>IF($A106="","",Allocation2!AD106)</f>
        <v>2760232</v>
      </c>
      <c r="AC106">
        <f>IF($A106="","",IF(ALLOC!$N$4="VOL_EFF",$G106,IF(ALLOC!$N$4="VOL_CLASS",$H106,$I106)))</f>
        <v>43</v>
      </c>
      <c r="AD106">
        <f>IF($A106="","",IF(ALLOC!$N$4="VOL_EFF",$L106,IF(ALLOC!$N$4="VOL_CLASS",$M106,$N106)))</f>
        <v>170</v>
      </c>
      <c r="AE106">
        <f>IF($A106="","",IF(ALLOC!$N$3="VOL_EFF",$L106,IF(ALLOC!$N$3="VOL_CLASS",$M106,$N106)))</f>
        <v>1167990</v>
      </c>
      <c r="AF106">
        <f>IF($A106="","",IF(ALLOC!$N$3="VOL_EFF",$Q106,IF(ALLOC!$N$3="VOL_CLASS",$R106,$S106)))</f>
        <v>2018980</v>
      </c>
      <c r="AG106">
        <f>IF($A106="","",IF(ALLOC!$N$1="VOL_EFF",$Q106,IF(ALLOC!$N$1="VOL_CLASS",$R106,$S106)))</f>
        <v>304</v>
      </c>
      <c r="AH106">
        <f>IF($A106="","",IF(ALLOC!$N$1="VOL_EFF",$T106,IF(ALLOC!$N$1="VOL_CLASS",$U106,$V106)))</f>
        <v>2860</v>
      </c>
      <c r="AI106">
        <f t="shared" si="40"/>
        <v>18749.084745762713</v>
      </c>
      <c r="AJ106">
        <f t="shared" si="41"/>
        <v>43319.186440677971</v>
      </c>
      <c r="AK106">
        <f t="shared" si="42"/>
        <v>32991.105882352938</v>
      </c>
      <c r="AL106">
        <f t="shared" si="43"/>
        <v>119920.17058823528</v>
      </c>
      <c r="AM106">
        <f t="shared" si="44"/>
        <v>42931.867344781363</v>
      </c>
      <c r="AN106">
        <f t="shared" si="45"/>
        <v>52984.831675345893</v>
      </c>
      <c r="AO106">
        <f>IF($A106="","",Allocation2!AE106)</f>
        <v>580167</v>
      </c>
      <c r="AP106">
        <f>IF($A106="","",IF(ALLOC!$N$2="VOL_EFF",$Q106,IF(ALLOC!$N$2="VOL_CLASS",$R106,$S106)))</f>
        <v>304</v>
      </c>
      <c r="AQ106">
        <f>IF($A106="","",IF(ALLOC!$N$2="VOL_EFF",$T106,IF(ALLOC!$N$2="VOL_CLASS",$U106,$V106)))</f>
        <v>2860</v>
      </c>
      <c r="AR106">
        <f t="shared" si="46"/>
        <v>9023.7533228437933</v>
      </c>
    </row>
    <row r="107" spans="1:44" x14ac:dyDescent="0.45">
      <c r="A107" t="str">
        <f>IF(Allocation2!D107="","",Allocation2!D107)</f>
        <v>2025</v>
      </c>
      <c r="B107" t="str">
        <f>IF(Allocation2!E107="","",Allocation2!E107)</f>
        <v>PIGIER_LYO</v>
      </c>
      <c r="C107" t="str">
        <f>IF(Allocation2!F107="","",Allocation2!F107)</f>
        <v>PIGIER</v>
      </c>
      <c r="D107" t="str">
        <f>IF(Allocation2!G107="","",Allocation2!G107)</f>
        <v>BAC_RH</v>
      </c>
      <c r="E107" t="str">
        <f>IF(Allocation2!H107="","",Allocation2!H107)</f>
        <v>B3</v>
      </c>
      <c r="F107" t="str">
        <f>IF(Allocation2!I107="","",Allocation2!I107)</f>
        <v>ALT</v>
      </c>
      <c r="G107">
        <f>IF(Allocation2!E107="","",Allocation2!J107)</f>
        <v>42</v>
      </c>
      <c r="H107">
        <f>IF(Allocation2!E107="","",Allocation2!K107)</f>
        <v>2</v>
      </c>
      <c r="I107">
        <f>IF(Allocation2!E107="","",Allocation2!L107)</f>
        <v>308700</v>
      </c>
      <c r="J107">
        <f>IF($A107="","",Allocation2!X107)</f>
        <v>0</v>
      </c>
      <c r="K107">
        <f t="shared" si="28"/>
        <v>960</v>
      </c>
      <c r="L107">
        <f t="shared" si="47"/>
        <v>170</v>
      </c>
      <c r="M107">
        <f t="shared" si="48"/>
        <v>8</v>
      </c>
      <c r="N107">
        <f t="shared" si="49"/>
        <v>1167990</v>
      </c>
      <c r="O107">
        <f t="shared" si="32"/>
        <v>4720</v>
      </c>
      <c r="P107">
        <f t="shared" si="33"/>
        <v>86</v>
      </c>
      <c r="Q107">
        <f t="shared" si="50"/>
        <v>304</v>
      </c>
      <c r="R107">
        <f t="shared" si="51"/>
        <v>16</v>
      </c>
      <c r="S107">
        <f t="shared" si="52"/>
        <v>2018980</v>
      </c>
      <c r="T107">
        <f t="shared" si="53"/>
        <v>2860</v>
      </c>
      <c r="U107">
        <f t="shared" si="54"/>
        <v>131</v>
      </c>
      <c r="V107">
        <f t="shared" si="55"/>
        <v>21240140</v>
      </c>
      <c r="W107">
        <f>IF($A107="","",Allocation2!Y107)</f>
        <v>92183</v>
      </c>
      <c r="X107">
        <f>IF($A107="","",Allocation2!Z107)</f>
        <v>212986</v>
      </c>
      <c r="Y107">
        <f>IF($A107="","",Allocation2!AA107)</f>
        <v>64636</v>
      </c>
      <c r="Z107">
        <f>IF($A107="","",Allocation2!AB107)</f>
        <v>33284</v>
      </c>
      <c r="AA107">
        <f>IF($A107="","",Allocation2!AC107)</f>
        <v>474103</v>
      </c>
      <c r="AB107">
        <f>IF($A107="","",Allocation2!AD107)</f>
        <v>2760232</v>
      </c>
      <c r="AC107">
        <f>IF($A107="","",IF(ALLOC!$N$4="VOL_EFF",$G107,IF(ALLOC!$N$4="VOL_CLASS",$H107,$I107)))</f>
        <v>42</v>
      </c>
      <c r="AD107">
        <f>IF($A107="","",IF(ALLOC!$N$4="VOL_EFF",$L107,IF(ALLOC!$N$4="VOL_CLASS",$M107,$N107)))</f>
        <v>170</v>
      </c>
      <c r="AE107">
        <f>IF($A107="","",IF(ALLOC!$N$3="VOL_EFF",$L107,IF(ALLOC!$N$3="VOL_CLASS",$M107,$N107)))</f>
        <v>1167990</v>
      </c>
      <c r="AF107">
        <f>IF($A107="","",IF(ALLOC!$N$3="VOL_EFF",$Q107,IF(ALLOC!$N$3="VOL_CLASS",$R107,$S107)))</f>
        <v>2018980</v>
      </c>
      <c r="AG107">
        <f>IF($A107="","",IF(ALLOC!$N$1="VOL_EFF",$Q107,IF(ALLOC!$N$1="VOL_CLASS",$R107,$S107)))</f>
        <v>304</v>
      </c>
      <c r="AH107">
        <f>IF($A107="","",IF(ALLOC!$N$1="VOL_EFF",$T107,IF(ALLOC!$N$1="VOL_CLASS",$U107,$V107)))</f>
        <v>2860</v>
      </c>
      <c r="AI107">
        <f t="shared" si="40"/>
        <v>18749.084745762713</v>
      </c>
      <c r="AJ107">
        <f t="shared" si="41"/>
        <v>43319.186440677971</v>
      </c>
      <c r="AK107">
        <f t="shared" si="42"/>
        <v>15968.89411764706</v>
      </c>
      <c r="AL107">
        <f t="shared" si="43"/>
        <v>117131.32941176472</v>
      </c>
      <c r="AM107">
        <f t="shared" si="44"/>
        <v>41933.451825135286</v>
      </c>
      <c r="AN107">
        <f t="shared" si="45"/>
        <v>62784.15486460668</v>
      </c>
      <c r="AO107">
        <f>IF($A107="","",Allocation2!AE107)</f>
        <v>580167</v>
      </c>
      <c r="AP107">
        <f>IF($A107="","",IF(ALLOC!$N$2="VOL_EFF",$Q107,IF(ALLOC!$N$2="VOL_CLASS",$R107,$S107)))</f>
        <v>304</v>
      </c>
      <c r="AQ107">
        <f>IF($A107="","",IF(ALLOC!$N$2="VOL_EFF",$T107,IF(ALLOC!$N$2="VOL_CLASS",$U107,$V107)))</f>
        <v>2860</v>
      </c>
      <c r="AR107">
        <f t="shared" si="46"/>
        <v>8813.8985944055676</v>
      </c>
    </row>
    <row r="108" spans="1:44" x14ac:dyDescent="0.45">
      <c r="A108" t="str">
        <f>IF(Allocation2!D108="","",Allocation2!D108)</f>
        <v>2025</v>
      </c>
      <c r="B108" t="str">
        <f>IF(Allocation2!E108="","",Allocation2!E108)</f>
        <v>PIGIER_BOR</v>
      </c>
      <c r="C108" t="str">
        <f>IF(Allocation2!F108="","",Allocation2!F108)</f>
        <v>PIGIER</v>
      </c>
      <c r="D108" t="str">
        <f>IF(Allocation2!G108="","",Allocation2!G108)</f>
        <v>BTS_GES</v>
      </c>
      <c r="E108" t="str">
        <f>IF(Allocation2!H108="","",Allocation2!H108)</f>
        <v>BTS1</v>
      </c>
      <c r="F108" t="str">
        <f>IF(Allocation2!I108="","",Allocation2!I108)</f>
        <v>ALT</v>
      </c>
      <c r="G108">
        <f>IF(Allocation2!E108="","",Allocation2!J108)</f>
        <v>34</v>
      </c>
      <c r="H108">
        <f>IF(Allocation2!E108="","",Allocation2!K108)</f>
        <v>2</v>
      </c>
      <c r="I108">
        <f>IF(Allocation2!E108="","",Allocation2!L108)</f>
        <v>200940</v>
      </c>
      <c r="J108">
        <f>IF($A108="","",Allocation2!X108)</f>
        <v>34</v>
      </c>
      <c r="K108">
        <f t="shared" si="28"/>
        <v>1400</v>
      </c>
      <c r="L108">
        <f t="shared" si="47"/>
        <v>134</v>
      </c>
      <c r="M108">
        <f t="shared" si="48"/>
        <v>8</v>
      </c>
      <c r="N108">
        <f t="shared" si="49"/>
        <v>850990</v>
      </c>
      <c r="O108">
        <f t="shared" si="32"/>
        <v>4720</v>
      </c>
      <c r="P108">
        <f t="shared" si="33"/>
        <v>68</v>
      </c>
      <c r="Q108">
        <f t="shared" si="50"/>
        <v>304</v>
      </c>
      <c r="R108">
        <f t="shared" si="51"/>
        <v>16</v>
      </c>
      <c r="S108">
        <f t="shared" si="52"/>
        <v>2018980</v>
      </c>
      <c r="T108">
        <f t="shared" si="53"/>
        <v>2860</v>
      </c>
      <c r="U108">
        <f t="shared" si="54"/>
        <v>131</v>
      </c>
      <c r="V108">
        <f t="shared" si="55"/>
        <v>21240140</v>
      </c>
      <c r="W108">
        <f>IF($A108="","",Allocation2!Y108)</f>
        <v>92183</v>
      </c>
      <c r="X108">
        <f>IF($A108="","",Allocation2!Z108)</f>
        <v>199675</v>
      </c>
      <c r="Y108">
        <f>IF($A108="","",Allocation2!AA108)</f>
        <v>50430</v>
      </c>
      <c r="Z108">
        <f>IF($A108="","",Allocation2!AB108)</f>
        <v>19971</v>
      </c>
      <c r="AA108">
        <f>IF($A108="","",Allocation2!AC108)</f>
        <v>380344</v>
      </c>
      <c r="AB108">
        <f>IF($A108="","",Allocation2!AD108)</f>
        <v>2760232</v>
      </c>
      <c r="AC108">
        <f>IF($A108="","",IF(ALLOC!$N$4="VOL_EFF",$G108,IF(ALLOC!$N$4="VOL_CLASS",$H108,$I108)))</f>
        <v>34</v>
      </c>
      <c r="AD108">
        <f>IF($A108="","",IF(ALLOC!$N$4="VOL_EFF",$L108,IF(ALLOC!$N$4="VOL_CLASS",$M108,$N108)))</f>
        <v>134</v>
      </c>
      <c r="AE108">
        <f>IF($A108="","",IF(ALLOC!$N$3="VOL_EFF",$L108,IF(ALLOC!$N$3="VOL_CLASS",$M108,$N108)))</f>
        <v>850990</v>
      </c>
      <c r="AF108">
        <f>IF($A108="","",IF(ALLOC!$N$3="VOL_EFF",$Q108,IF(ALLOC!$N$3="VOL_CLASS",$R108,$S108)))</f>
        <v>2018980</v>
      </c>
      <c r="AG108">
        <f>IF($A108="","",IF(ALLOC!$N$1="VOL_EFF",$Q108,IF(ALLOC!$N$1="VOL_CLASS",$R108,$S108)))</f>
        <v>304</v>
      </c>
      <c r="AH108">
        <f>IF($A108="","",IF(ALLOC!$N$1="VOL_EFF",$T108,IF(ALLOC!$N$1="VOL_CLASS",$U108,$V108)))</f>
        <v>2860</v>
      </c>
      <c r="AI108">
        <f t="shared" si="40"/>
        <v>27342.415254237287</v>
      </c>
      <c r="AJ108">
        <f t="shared" si="41"/>
        <v>59225.635593220337</v>
      </c>
      <c r="AK108">
        <f t="shared" si="42"/>
        <v>22781.171641791043</v>
      </c>
      <c r="AL108">
        <f t="shared" si="43"/>
        <v>96505.194029850754</v>
      </c>
      <c r="AM108">
        <f t="shared" si="44"/>
        <v>31377.598058226202</v>
      </c>
      <c r="AN108">
        <f t="shared" si="45"/>
        <v>-42887.201841529139</v>
      </c>
      <c r="AO108">
        <f>IF($A108="","",Allocation2!AE108)</f>
        <v>580167</v>
      </c>
      <c r="AP108">
        <f>IF($A108="","",IF(ALLOC!$N$2="VOL_EFF",$Q108,IF(ALLOC!$N$2="VOL_CLASS",$R108,$S108)))</f>
        <v>304</v>
      </c>
      <c r="AQ108">
        <f>IF($A108="","",IF(ALLOC!$N$2="VOL_EFF",$T108,IF(ALLOC!$N$2="VOL_CLASS",$U108,$V108)))</f>
        <v>2860</v>
      </c>
      <c r="AR108">
        <f t="shared" si="46"/>
        <v>6595.1872642034878</v>
      </c>
    </row>
    <row r="109" spans="1:44" x14ac:dyDescent="0.45">
      <c r="A109" t="str">
        <f>IF(Allocation2!D109="","",Allocation2!D109)</f>
        <v>2025</v>
      </c>
      <c r="B109" t="str">
        <f>IF(Allocation2!E109="","",Allocation2!E109)</f>
        <v>PIGIER_BOR</v>
      </c>
      <c r="C109" t="str">
        <f>IF(Allocation2!F109="","",Allocation2!F109)</f>
        <v>PIGIER</v>
      </c>
      <c r="D109" t="str">
        <f>IF(Allocation2!G109="","",Allocation2!G109)</f>
        <v>BTS_GES</v>
      </c>
      <c r="E109" t="str">
        <f>IF(Allocation2!H109="","",Allocation2!H109)</f>
        <v>BTS2</v>
      </c>
      <c r="F109" t="str">
        <f>IF(Allocation2!I109="","",Allocation2!I109)</f>
        <v>ALT</v>
      </c>
      <c r="G109">
        <f>IF(Allocation2!E109="","",Allocation2!J109)</f>
        <v>33</v>
      </c>
      <c r="H109">
        <f>IF(Allocation2!E109="","",Allocation2!K109)</f>
        <v>2</v>
      </c>
      <c r="I109">
        <f>IF(Allocation2!E109="","",Allocation2!L109)</f>
        <v>192060</v>
      </c>
      <c r="J109">
        <f>IF($A109="","",Allocation2!X109)</f>
        <v>0</v>
      </c>
      <c r="K109">
        <f t="shared" si="28"/>
        <v>1400</v>
      </c>
      <c r="L109">
        <f t="shared" si="47"/>
        <v>134</v>
      </c>
      <c r="M109">
        <f t="shared" si="48"/>
        <v>8</v>
      </c>
      <c r="N109">
        <f t="shared" si="49"/>
        <v>850990</v>
      </c>
      <c r="O109">
        <f t="shared" si="32"/>
        <v>4720</v>
      </c>
      <c r="P109">
        <f t="shared" si="33"/>
        <v>68</v>
      </c>
      <c r="Q109">
        <f t="shared" si="50"/>
        <v>304</v>
      </c>
      <c r="R109">
        <f t="shared" si="51"/>
        <v>16</v>
      </c>
      <c r="S109">
        <f t="shared" si="52"/>
        <v>2018980</v>
      </c>
      <c r="T109">
        <f t="shared" si="53"/>
        <v>2860</v>
      </c>
      <c r="U109">
        <f t="shared" si="54"/>
        <v>131</v>
      </c>
      <c r="V109">
        <f t="shared" si="55"/>
        <v>21240140</v>
      </c>
      <c r="W109">
        <f>IF($A109="","",Allocation2!Y109)</f>
        <v>92183</v>
      </c>
      <c r="X109">
        <f>IF($A109="","",Allocation2!Z109)</f>
        <v>199675</v>
      </c>
      <c r="Y109">
        <f>IF($A109="","",Allocation2!AA109)</f>
        <v>50430</v>
      </c>
      <c r="Z109">
        <f>IF($A109="","",Allocation2!AB109)</f>
        <v>19971</v>
      </c>
      <c r="AA109">
        <f>IF($A109="","",Allocation2!AC109)</f>
        <v>380344</v>
      </c>
      <c r="AB109">
        <f>IF($A109="","",Allocation2!AD109)</f>
        <v>2760232</v>
      </c>
      <c r="AC109">
        <f>IF($A109="","",IF(ALLOC!$N$4="VOL_EFF",$G109,IF(ALLOC!$N$4="VOL_CLASS",$H109,$I109)))</f>
        <v>33</v>
      </c>
      <c r="AD109">
        <f>IF($A109="","",IF(ALLOC!$N$4="VOL_EFF",$L109,IF(ALLOC!$N$4="VOL_CLASS",$M109,$N109)))</f>
        <v>134</v>
      </c>
      <c r="AE109">
        <f>IF($A109="","",IF(ALLOC!$N$3="VOL_EFF",$L109,IF(ALLOC!$N$3="VOL_CLASS",$M109,$N109)))</f>
        <v>850990</v>
      </c>
      <c r="AF109">
        <f>IF($A109="","",IF(ALLOC!$N$3="VOL_EFF",$Q109,IF(ALLOC!$N$3="VOL_CLASS",$R109,$S109)))</f>
        <v>2018980</v>
      </c>
      <c r="AG109">
        <f>IF($A109="","",IF(ALLOC!$N$1="VOL_EFF",$Q109,IF(ALLOC!$N$1="VOL_CLASS",$R109,$S109)))</f>
        <v>304</v>
      </c>
      <c r="AH109">
        <f>IF($A109="","",IF(ALLOC!$N$1="VOL_EFF",$T109,IF(ALLOC!$N$1="VOL_CLASS",$U109,$V109)))</f>
        <v>2860</v>
      </c>
      <c r="AI109">
        <f t="shared" si="40"/>
        <v>27342.415254237287</v>
      </c>
      <c r="AJ109">
        <f t="shared" si="41"/>
        <v>59225.635593220337</v>
      </c>
      <c r="AK109">
        <f t="shared" si="42"/>
        <v>12419.328358208955</v>
      </c>
      <c r="AL109">
        <f t="shared" si="43"/>
        <v>93666.805970149246</v>
      </c>
      <c r="AM109">
        <f t="shared" si="44"/>
        <v>30454.727527101899</v>
      </c>
      <c r="AN109">
        <f t="shared" si="45"/>
        <v>-37450.12387111524</v>
      </c>
      <c r="AO109">
        <f>IF($A109="","",Allocation2!AE109)</f>
        <v>580167</v>
      </c>
      <c r="AP109">
        <f>IF($A109="","",IF(ALLOC!$N$2="VOL_EFF",$Q109,IF(ALLOC!$N$2="VOL_CLASS",$R109,$S109)))</f>
        <v>304</v>
      </c>
      <c r="AQ109">
        <f>IF($A109="","",IF(ALLOC!$N$2="VOL_EFF",$T109,IF(ALLOC!$N$2="VOL_CLASS",$U109,$V109)))</f>
        <v>2860</v>
      </c>
      <c r="AR109">
        <f t="shared" si="46"/>
        <v>6401.211168197503</v>
      </c>
    </row>
    <row r="110" spans="1:44" x14ac:dyDescent="0.45">
      <c r="A110" t="str">
        <f>IF(Allocation2!D110="","",Allocation2!D110)</f>
        <v>2025</v>
      </c>
      <c r="B110" t="str">
        <f>IF(Allocation2!E110="","",Allocation2!E110)</f>
        <v>PIGIER_BOR</v>
      </c>
      <c r="C110" t="str">
        <f>IF(Allocation2!F110="","",Allocation2!F110)</f>
        <v>PIGIER</v>
      </c>
      <c r="D110" t="str">
        <f>IF(Allocation2!G110="","",Allocation2!G110)</f>
        <v>BAC_RH</v>
      </c>
      <c r="E110" t="str">
        <f>IF(Allocation2!H110="","",Allocation2!H110)</f>
        <v>B1</v>
      </c>
      <c r="F110" t="str">
        <f>IF(Allocation2!I110="","",Allocation2!I110)</f>
        <v>ALT</v>
      </c>
      <c r="G110">
        <f>IF(Allocation2!E110="","",Allocation2!J110)</f>
        <v>34</v>
      </c>
      <c r="H110">
        <f>IF(Allocation2!E110="","",Allocation2!K110)</f>
        <v>2</v>
      </c>
      <c r="I110">
        <f>IF(Allocation2!E110="","",Allocation2!L110)</f>
        <v>233920</v>
      </c>
      <c r="J110">
        <f>IF($A110="","",Allocation2!X110)</f>
        <v>34</v>
      </c>
      <c r="K110">
        <f t="shared" si="28"/>
        <v>960</v>
      </c>
      <c r="L110">
        <f t="shared" si="47"/>
        <v>134</v>
      </c>
      <c r="M110">
        <f t="shared" si="48"/>
        <v>8</v>
      </c>
      <c r="N110">
        <f t="shared" si="49"/>
        <v>850990</v>
      </c>
      <c r="O110">
        <f t="shared" si="32"/>
        <v>4720</v>
      </c>
      <c r="P110">
        <f t="shared" si="33"/>
        <v>68</v>
      </c>
      <c r="Q110">
        <f t="shared" si="50"/>
        <v>304</v>
      </c>
      <c r="R110">
        <f t="shared" si="51"/>
        <v>16</v>
      </c>
      <c r="S110">
        <f t="shared" si="52"/>
        <v>2018980</v>
      </c>
      <c r="T110">
        <f t="shared" si="53"/>
        <v>2860</v>
      </c>
      <c r="U110">
        <f t="shared" si="54"/>
        <v>131</v>
      </c>
      <c r="V110">
        <f t="shared" si="55"/>
        <v>21240140</v>
      </c>
      <c r="W110">
        <f>IF($A110="","",Allocation2!Y110)</f>
        <v>92183</v>
      </c>
      <c r="X110">
        <f>IF($A110="","",Allocation2!Z110)</f>
        <v>199675</v>
      </c>
      <c r="Y110">
        <f>IF($A110="","",Allocation2!AA110)</f>
        <v>50430</v>
      </c>
      <c r="Z110">
        <f>IF($A110="","",Allocation2!AB110)</f>
        <v>19971</v>
      </c>
      <c r="AA110">
        <f>IF($A110="","",Allocation2!AC110)</f>
        <v>380344</v>
      </c>
      <c r="AB110">
        <f>IF($A110="","",Allocation2!AD110)</f>
        <v>2760232</v>
      </c>
      <c r="AC110">
        <f>IF($A110="","",IF(ALLOC!$N$4="VOL_EFF",$G110,IF(ALLOC!$N$4="VOL_CLASS",$H110,$I110)))</f>
        <v>34</v>
      </c>
      <c r="AD110">
        <f>IF($A110="","",IF(ALLOC!$N$4="VOL_EFF",$L110,IF(ALLOC!$N$4="VOL_CLASS",$M110,$N110)))</f>
        <v>134</v>
      </c>
      <c r="AE110">
        <f>IF($A110="","",IF(ALLOC!$N$3="VOL_EFF",$L110,IF(ALLOC!$N$3="VOL_CLASS",$M110,$N110)))</f>
        <v>850990</v>
      </c>
      <c r="AF110">
        <f>IF($A110="","",IF(ALLOC!$N$3="VOL_EFF",$Q110,IF(ALLOC!$N$3="VOL_CLASS",$R110,$S110)))</f>
        <v>2018980</v>
      </c>
      <c r="AG110">
        <f>IF($A110="","",IF(ALLOC!$N$1="VOL_EFF",$Q110,IF(ALLOC!$N$1="VOL_CLASS",$R110,$S110)))</f>
        <v>304</v>
      </c>
      <c r="AH110">
        <f>IF($A110="","",IF(ALLOC!$N$1="VOL_EFF",$T110,IF(ALLOC!$N$1="VOL_CLASS",$U110,$V110)))</f>
        <v>2860</v>
      </c>
      <c r="AI110">
        <f t="shared" si="40"/>
        <v>18749.084745762713</v>
      </c>
      <c r="AJ110">
        <f t="shared" si="41"/>
        <v>40611.864406779663</v>
      </c>
      <c r="AK110">
        <f t="shared" si="42"/>
        <v>22781.171641791043</v>
      </c>
      <c r="AL110">
        <f t="shared" si="43"/>
        <v>96505.194029850754</v>
      </c>
      <c r="AM110">
        <f t="shared" si="44"/>
        <v>31377.598058226202</v>
      </c>
      <c r="AN110">
        <f t="shared" si="45"/>
        <v>17299.89985338613</v>
      </c>
      <c r="AO110">
        <f>IF($A110="","",Allocation2!AE110)</f>
        <v>580167</v>
      </c>
      <c r="AP110">
        <f>IF($A110="","",IF(ALLOC!$N$2="VOL_EFF",$Q110,IF(ALLOC!$N$2="VOL_CLASS",$R110,$S110)))</f>
        <v>304</v>
      </c>
      <c r="AQ110">
        <f>IF($A110="","",IF(ALLOC!$N$2="VOL_EFF",$T110,IF(ALLOC!$N$2="VOL_CLASS",$U110,$V110)))</f>
        <v>2860</v>
      </c>
      <c r="AR110">
        <f t="shared" si="46"/>
        <v>6595.1872642034878</v>
      </c>
    </row>
    <row r="111" spans="1:44" x14ac:dyDescent="0.45">
      <c r="A111" t="str">
        <f>IF(Allocation2!D111="","",Allocation2!D111)</f>
        <v>2025</v>
      </c>
      <c r="B111" t="str">
        <f>IF(Allocation2!E111="","",Allocation2!E111)</f>
        <v>PIGIER_BOR</v>
      </c>
      <c r="C111" t="str">
        <f>IF(Allocation2!F111="","",Allocation2!F111)</f>
        <v>PIGIER</v>
      </c>
      <c r="D111" t="str">
        <f>IF(Allocation2!G111="","",Allocation2!G111)</f>
        <v>BAC_RH</v>
      </c>
      <c r="E111" t="str">
        <f>IF(Allocation2!H111="","",Allocation2!H111)</f>
        <v>B3</v>
      </c>
      <c r="F111" t="str">
        <f>IF(Allocation2!I111="","",Allocation2!I111)</f>
        <v>ALT</v>
      </c>
      <c r="G111">
        <f>IF(Allocation2!E111="","",Allocation2!J111)</f>
        <v>33</v>
      </c>
      <c r="H111">
        <f>IF(Allocation2!E111="","",Allocation2!K111)</f>
        <v>2</v>
      </c>
      <c r="I111">
        <f>IF(Allocation2!E111="","",Allocation2!L111)</f>
        <v>224070</v>
      </c>
      <c r="J111">
        <f>IF($A111="","",Allocation2!X111)</f>
        <v>0</v>
      </c>
      <c r="K111">
        <f t="shared" si="28"/>
        <v>960</v>
      </c>
      <c r="L111">
        <f t="shared" si="47"/>
        <v>134</v>
      </c>
      <c r="M111">
        <f t="shared" si="48"/>
        <v>8</v>
      </c>
      <c r="N111">
        <f t="shared" si="49"/>
        <v>850990</v>
      </c>
      <c r="O111">
        <f t="shared" si="32"/>
        <v>4720</v>
      </c>
      <c r="P111">
        <f t="shared" si="33"/>
        <v>68</v>
      </c>
      <c r="Q111">
        <f t="shared" si="50"/>
        <v>304</v>
      </c>
      <c r="R111">
        <f t="shared" si="51"/>
        <v>16</v>
      </c>
      <c r="S111">
        <f t="shared" si="52"/>
        <v>2018980</v>
      </c>
      <c r="T111">
        <f t="shared" si="53"/>
        <v>2860</v>
      </c>
      <c r="U111">
        <f t="shared" si="54"/>
        <v>131</v>
      </c>
      <c r="V111">
        <f t="shared" si="55"/>
        <v>21240140</v>
      </c>
      <c r="W111">
        <f>IF($A111="","",Allocation2!Y111)</f>
        <v>92183</v>
      </c>
      <c r="X111">
        <f>IF($A111="","",Allocation2!Z111)</f>
        <v>199675</v>
      </c>
      <c r="Y111">
        <f>IF($A111="","",Allocation2!AA111)</f>
        <v>50430</v>
      </c>
      <c r="Z111">
        <f>IF($A111="","",Allocation2!AB111)</f>
        <v>19971</v>
      </c>
      <c r="AA111">
        <f>IF($A111="","",Allocation2!AC111)</f>
        <v>380344</v>
      </c>
      <c r="AB111">
        <f>IF($A111="","",Allocation2!AD111)</f>
        <v>2760232</v>
      </c>
      <c r="AC111">
        <f>IF($A111="","",IF(ALLOC!$N$4="VOL_EFF",$G111,IF(ALLOC!$N$4="VOL_CLASS",$H111,$I111)))</f>
        <v>33</v>
      </c>
      <c r="AD111">
        <f>IF($A111="","",IF(ALLOC!$N$4="VOL_EFF",$L111,IF(ALLOC!$N$4="VOL_CLASS",$M111,$N111)))</f>
        <v>134</v>
      </c>
      <c r="AE111">
        <f>IF($A111="","",IF(ALLOC!$N$3="VOL_EFF",$L111,IF(ALLOC!$N$3="VOL_CLASS",$M111,$N111)))</f>
        <v>850990</v>
      </c>
      <c r="AF111">
        <f>IF($A111="","",IF(ALLOC!$N$3="VOL_EFF",$Q111,IF(ALLOC!$N$3="VOL_CLASS",$R111,$S111)))</f>
        <v>2018980</v>
      </c>
      <c r="AG111">
        <f>IF($A111="","",IF(ALLOC!$N$1="VOL_EFF",$Q111,IF(ALLOC!$N$1="VOL_CLASS",$R111,$S111)))</f>
        <v>304</v>
      </c>
      <c r="AH111">
        <f>IF($A111="","",IF(ALLOC!$N$1="VOL_EFF",$T111,IF(ALLOC!$N$1="VOL_CLASS",$U111,$V111)))</f>
        <v>2860</v>
      </c>
      <c r="AI111">
        <f t="shared" si="40"/>
        <v>18749.084745762713</v>
      </c>
      <c r="AJ111">
        <f t="shared" si="41"/>
        <v>40611.864406779663</v>
      </c>
      <c r="AK111">
        <f t="shared" si="42"/>
        <v>12419.328358208955</v>
      </c>
      <c r="AL111">
        <f t="shared" si="43"/>
        <v>93666.805970149246</v>
      </c>
      <c r="AM111">
        <f t="shared" si="44"/>
        <v>30454.727527101899</v>
      </c>
      <c r="AN111">
        <f t="shared" si="45"/>
        <v>21766.977823800029</v>
      </c>
      <c r="AO111">
        <f>IF($A111="","",Allocation2!AE111)</f>
        <v>580167</v>
      </c>
      <c r="AP111">
        <f>IF($A111="","",IF(ALLOC!$N$2="VOL_EFF",$Q111,IF(ALLOC!$N$2="VOL_CLASS",$R111,$S111)))</f>
        <v>304</v>
      </c>
      <c r="AQ111">
        <f>IF($A111="","",IF(ALLOC!$N$2="VOL_EFF",$T111,IF(ALLOC!$N$2="VOL_CLASS",$U111,$V111)))</f>
        <v>2860</v>
      </c>
      <c r="AR111">
        <f t="shared" si="46"/>
        <v>6401.211168197503</v>
      </c>
    </row>
    <row r="112" spans="1:44" x14ac:dyDescent="0.45">
      <c r="A112" t="str">
        <f>IF(Allocation2!D112="","",Allocation2!D112)</f>
        <v>2025</v>
      </c>
      <c r="B112" t="str">
        <f>IF(Allocation2!E112="","",Allocation2!E112)</f>
        <v>TUNON_PAR</v>
      </c>
      <c r="C112" t="str">
        <f>IF(Allocation2!F112="","",Allocation2!F112)</f>
        <v>TUNON</v>
      </c>
      <c r="D112" t="str">
        <f>IF(Allocation2!G112="","",Allocation2!G112)</f>
        <v>BAC_TOU</v>
      </c>
      <c r="E112" t="str">
        <f>IF(Allocation2!H112="","",Allocation2!H112)</f>
        <v>B1</v>
      </c>
      <c r="F112" t="str">
        <f>IF(Allocation2!I112="","",Allocation2!I112)</f>
        <v>ALT</v>
      </c>
      <c r="G112">
        <f>IF(Allocation2!E112="","",Allocation2!J112)</f>
        <v>44</v>
      </c>
      <c r="H112">
        <f>IF(Allocation2!E112="","",Allocation2!K112)</f>
        <v>2</v>
      </c>
      <c r="I112">
        <f>IF(Allocation2!E112="","",Allocation2!L112)</f>
        <v>348920</v>
      </c>
      <c r="J112">
        <f>IF($A112="","",Allocation2!X112)</f>
        <v>44</v>
      </c>
      <c r="K112">
        <f t="shared" si="28"/>
        <v>960</v>
      </c>
      <c r="L112">
        <f t="shared" si="47"/>
        <v>129</v>
      </c>
      <c r="M112">
        <f t="shared" si="48"/>
        <v>6</v>
      </c>
      <c r="N112">
        <f t="shared" si="49"/>
        <v>1015320</v>
      </c>
      <c r="O112">
        <f t="shared" si="32"/>
        <v>2880</v>
      </c>
      <c r="P112">
        <f t="shared" si="33"/>
        <v>44</v>
      </c>
      <c r="Q112">
        <f t="shared" si="50"/>
        <v>240</v>
      </c>
      <c r="R112">
        <f t="shared" si="51"/>
        <v>12</v>
      </c>
      <c r="S112">
        <f t="shared" si="52"/>
        <v>1834590</v>
      </c>
      <c r="T112">
        <f t="shared" si="53"/>
        <v>2860</v>
      </c>
      <c r="U112">
        <f t="shared" si="54"/>
        <v>131</v>
      </c>
      <c r="V112">
        <f t="shared" si="55"/>
        <v>21240140</v>
      </c>
      <c r="W112">
        <f>IF($A112="","",Allocation2!Y112)</f>
        <v>69137</v>
      </c>
      <c r="X112">
        <f>IF($A112="","",Allocation2!Z112)</f>
        <v>231052</v>
      </c>
      <c r="Y112">
        <f>IF($A112="","",Allocation2!AA112)</f>
        <v>49010</v>
      </c>
      <c r="Z112">
        <f>IF($A112="","",Allocation2!AB112)</f>
        <v>27491</v>
      </c>
      <c r="AA112">
        <f>IF($A112="","",Allocation2!AC112)</f>
        <v>518027</v>
      </c>
      <c r="AB112">
        <f>IF($A112="","",Allocation2!AD112)</f>
        <v>2760232</v>
      </c>
      <c r="AC112">
        <f>IF($A112="","",IF(ALLOC!$N$4="VOL_EFF",$G112,IF(ALLOC!$N$4="VOL_CLASS",$H112,$I112)))</f>
        <v>44</v>
      </c>
      <c r="AD112">
        <f>IF($A112="","",IF(ALLOC!$N$4="VOL_EFF",$L112,IF(ALLOC!$N$4="VOL_CLASS",$M112,$N112)))</f>
        <v>129</v>
      </c>
      <c r="AE112">
        <f>IF($A112="","",IF(ALLOC!$N$3="VOL_EFF",$L112,IF(ALLOC!$N$3="VOL_CLASS",$M112,$N112)))</f>
        <v>1015320</v>
      </c>
      <c r="AF112">
        <f>IF($A112="","",IF(ALLOC!$N$3="VOL_EFF",$Q112,IF(ALLOC!$N$3="VOL_CLASS",$R112,$S112)))</f>
        <v>1834590</v>
      </c>
      <c r="AG112">
        <f>IF($A112="","",IF(ALLOC!$N$1="VOL_EFF",$Q112,IF(ALLOC!$N$1="VOL_CLASS",$R112,$S112)))</f>
        <v>240</v>
      </c>
      <c r="AH112">
        <f>IF($A112="","",IF(ALLOC!$N$1="VOL_EFF",$T112,IF(ALLOC!$N$1="VOL_CLASS",$U112,$V112)))</f>
        <v>2860</v>
      </c>
      <c r="AI112">
        <f t="shared" si="40"/>
        <v>23045.666666666664</v>
      </c>
      <c r="AJ112">
        <f t="shared" si="41"/>
        <v>77017.333333333328</v>
      </c>
      <c r="AK112">
        <f t="shared" si="42"/>
        <v>44207.589147286824</v>
      </c>
      <c r="AL112">
        <f t="shared" si="43"/>
        <v>176691.37984496125</v>
      </c>
      <c r="AM112">
        <f t="shared" si="44"/>
        <v>43723.777980839113</v>
      </c>
      <c r="AN112">
        <f t="shared" si="45"/>
        <v>-24955.950224049273</v>
      </c>
      <c r="AO112">
        <f>IF($A112="","",Allocation2!AE112)</f>
        <v>580167</v>
      </c>
      <c r="AP112">
        <f>IF($A112="","",IF(ALLOC!$N$2="VOL_EFF",$Q112,IF(ALLOC!$N$2="VOL_CLASS",$R112,$S112)))</f>
        <v>240</v>
      </c>
      <c r="AQ112">
        <f>IF($A112="","",IF(ALLOC!$N$2="VOL_EFF",$T112,IF(ALLOC!$N$2="VOL_CLASS",$U112,$V112)))</f>
        <v>2860</v>
      </c>
      <c r="AR112">
        <f t="shared" si="46"/>
        <v>9190.2032509620512</v>
      </c>
    </row>
    <row r="113" spans="1:44" x14ac:dyDescent="0.45">
      <c r="A113" t="str">
        <f>IF(Allocation2!D113="","",Allocation2!D113)</f>
        <v>2025</v>
      </c>
      <c r="B113" t="str">
        <f>IF(Allocation2!E113="","",Allocation2!E113)</f>
        <v>TUNON_PAR</v>
      </c>
      <c r="C113" t="str">
        <f>IF(Allocation2!F113="","",Allocation2!F113)</f>
        <v>TUNON</v>
      </c>
      <c r="D113" t="str">
        <f>IF(Allocation2!G113="","",Allocation2!G113)</f>
        <v>BAC_TOU</v>
      </c>
      <c r="E113" t="str">
        <f>IF(Allocation2!H113="","",Allocation2!H113)</f>
        <v>B2</v>
      </c>
      <c r="F113" t="str">
        <f>IF(Allocation2!I113="","",Allocation2!I113)</f>
        <v>ALT</v>
      </c>
      <c r="G113">
        <f>IF(Allocation2!E113="","",Allocation2!J113)</f>
        <v>43</v>
      </c>
      <c r="H113">
        <f>IF(Allocation2!E113="","",Allocation2!K113)</f>
        <v>2</v>
      </c>
      <c r="I113">
        <f>IF(Allocation2!E113="","",Allocation2!L113)</f>
        <v>337120</v>
      </c>
      <c r="J113">
        <f>IF($A113="","",Allocation2!X113)</f>
        <v>0</v>
      </c>
      <c r="K113">
        <f t="shared" si="28"/>
        <v>960</v>
      </c>
      <c r="L113">
        <f t="shared" si="47"/>
        <v>129</v>
      </c>
      <c r="M113">
        <f t="shared" si="48"/>
        <v>6</v>
      </c>
      <c r="N113">
        <f t="shared" si="49"/>
        <v>1015320</v>
      </c>
      <c r="O113">
        <f t="shared" si="32"/>
        <v>2880</v>
      </c>
      <c r="P113">
        <f t="shared" si="33"/>
        <v>44</v>
      </c>
      <c r="Q113">
        <f t="shared" si="50"/>
        <v>240</v>
      </c>
      <c r="R113">
        <f t="shared" si="51"/>
        <v>12</v>
      </c>
      <c r="S113">
        <f t="shared" si="52"/>
        <v>1834590</v>
      </c>
      <c r="T113">
        <f t="shared" si="53"/>
        <v>2860</v>
      </c>
      <c r="U113">
        <f t="shared" si="54"/>
        <v>131</v>
      </c>
      <c r="V113">
        <f t="shared" si="55"/>
        <v>21240140</v>
      </c>
      <c r="W113">
        <f>IF($A113="","",Allocation2!Y113)</f>
        <v>69137</v>
      </c>
      <c r="X113">
        <f>IF($A113="","",Allocation2!Z113)</f>
        <v>231052</v>
      </c>
      <c r="Y113">
        <f>IF($A113="","",Allocation2!AA113)</f>
        <v>49010</v>
      </c>
      <c r="Z113">
        <f>IF($A113="","",Allocation2!AB113)</f>
        <v>27491</v>
      </c>
      <c r="AA113">
        <f>IF($A113="","",Allocation2!AC113)</f>
        <v>518027</v>
      </c>
      <c r="AB113">
        <f>IF($A113="","",Allocation2!AD113)</f>
        <v>2760232</v>
      </c>
      <c r="AC113">
        <f>IF($A113="","",IF(ALLOC!$N$4="VOL_EFF",$G113,IF(ALLOC!$N$4="VOL_CLASS",$H113,$I113)))</f>
        <v>43</v>
      </c>
      <c r="AD113">
        <f>IF($A113="","",IF(ALLOC!$N$4="VOL_EFF",$L113,IF(ALLOC!$N$4="VOL_CLASS",$M113,$N113)))</f>
        <v>129</v>
      </c>
      <c r="AE113">
        <f>IF($A113="","",IF(ALLOC!$N$3="VOL_EFF",$L113,IF(ALLOC!$N$3="VOL_CLASS",$M113,$N113)))</f>
        <v>1015320</v>
      </c>
      <c r="AF113">
        <f>IF($A113="","",IF(ALLOC!$N$3="VOL_EFF",$Q113,IF(ALLOC!$N$3="VOL_CLASS",$R113,$S113)))</f>
        <v>1834590</v>
      </c>
      <c r="AG113">
        <f>IF($A113="","",IF(ALLOC!$N$1="VOL_EFF",$Q113,IF(ALLOC!$N$1="VOL_CLASS",$R113,$S113)))</f>
        <v>240</v>
      </c>
      <c r="AH113">
        <f>IF($A113="","",IF(ALLOC!$N$1="VOL_EFF",$T113,IF(ALLOC!$N$1="VOL_CLASS",$U113,$V113)))</f>
        <v>2860</v>
      </c>
      <c r="AI113">
        <f t="shared" si="40"/>
        <v>23045.666666666664</v>
      </c>
      <c r="AJ113">
        <f t="shared" si="41"/>
        <v>77017.333333333328</v>
      </c>
      <c r="AK113">
        <f t="shared" si="42"/>
        <v>16336.666666666666</v>
      </c>
      <c r="AL113">
        <f t="shared" si="43"/>
        <v>172675.66666666666</v>
      </c>
      <c r="AM113">
        <f t="shared" si="44"/>
        <v>42730.055754001856</v>
      </c>
      <c r="AN113">
        <f t="shared" si="45"/>
        <v>-3666.724082593515</v>
      </c>
      <c r="AO113">
        <f>IF($A113="","",Allocation2!AE113)</f>
        <v>580167</v>
      </c>
      <c r="AP113">
        <f>IF($A113="","",IF(ALLOC!$N$2="VOL_EFF",$Q113,IF(ALLOC!$N$2="VOL_CLASS",$R113,$S113)))</f>
        <v>240</v>
      </c>
      <c r="AQ113">
        <f>IF($A113="","",IF(ALLOC!$N$2="VOL_EFF",$T113,IF(ALLOC!$N$2="VOL_CLASS",$U113,$V113)))</f>
        <v>2860</v>
      </c>
      <c r="AR113">
        <f t="shared" si="46"/>
        <v>8981.3349952583685</v>
      </c>
    </row>
    <row r="114" spans="1:44" x14ac:dyDescent="0.45">
      <c r="A114" t="str">
        <f>IF(Allocation2!D114="","",Allocation2!D114)</f>
        <v>2025</v>
      </c>
      <c r="B114" t="str">
        <f>IF(Allocation2!E114="","",Allocation2!E114)</f>
        <v>TUNON_PAR</v>
      </c>
      <c r="C114" t="str">
        <f>IF(Allocation2!F114="","",Allocation2!F114)</f>
        <v>TUNON</v>
      </c>
      <c r="D114" t="str">
        <f>IF(Allocation2!G114="","",Allocation2!G114)</f>
        <v>BAC_TOU</v>
      </c>
      <c r="E114" t="str">
        <f>IF(Allocation2!H114="","",Allocation2!H114)</f>
        <v>B3</v>
      </c>
      <c r="F114" t="str">
        <f>IF(Allocation2!I114="","",Allocation2!I114)</f>
        <v>ALT</v>
      </c>
      <c r="G114">
        <f>IF(Allocation2!E114="","",Allocation2!J114)</f>
        <v>42</v>
      </c>
      <c r="H114">
        <f>IF(Allocation2!E114="","",Allocation2!K114)</f>
        <v>2</v>
      </c>
      <c r="I114">
        <f>IF(Allocation2!E114="","",Allocation2!L114)</f>
        <v>329280</v>
      </c>
      <c r="J114">
        <f>IF($A114="","",Allocation2!X114)</f>
        <v>0</v>
      </c>
      <c r="K114">
        <f t="shared" si="28"/>
        <v>960</v>
      </c>
      <c r="L114">
        <f t="shared" si="47"/>
        <v>129</v>
      </c>
      <c r="M114">
        <f t="shared" si="48"/>
        <v>6</v>
      </c>
      <c r="N114">
        <f t="shared" si="49"/>
        <v>1015320</v>
      </c>
      <c r="O114">
        <f t="shared" si="32"/>
        <v>2880</v>
      </c>
      <c r="P114">
        <f t="shared" si="33"/>
        <v>44</v>
      </c>
      <c r="Q114">
        <f t="shared" si="50"/>
        <v>240</v>
      </c>
      <c r="R114">
        <f t="shared" si="51"/>
        <v>12</v>
      </c>
      <c r="S114">
        <f t="shared" si="52"/>
        <v>1834590</v>
      </c>
      <c r="T114">
        <f t="shared" si="53"/>
        <v>2860</v>
      </c>
      <c r="U114">
        <f t="shared" si="54"/>
        <v>131</v>
      </c>
      <c r="V114">
        <f t="shared" si="55"/>
        <v>21240140</v>
      </c>
      <c r="W114">
        <f>IF($A114="","",Allocation2!Y114)</f>
        <v>69137</v>
      </c>
      <c r="X114">
        <f>IF($A114="","",Allocation2!Z114)</f>
        <v>231052</v>
      </c>
      <c r="Y114">
        <f>IF($A114="","",Allocation2!AA114)</f>
        <v>49010</v>
      </c>
      <c r="Z114">
        <f>IF($A114="","",Allocation2!AB114)</f>
        <v>27491</v>
      </c>
      <c r="AA114">
        <f>IF($A114="","",Allocation2!AC114)</f>
        <v>518027</v>
      </c>
      <c r="AB114">
        <f>IF($A114="","",Allocation2!AD114)</f>
        <v>2760232</v>
      </c>
      <c r="AC114">
        <f>IF($A114="","",IF(ALLOC!$N$4="VOL_EFF",$G114,IF(ALLOC!$N$4="VOL_CLASS",$H114,$I114)))</f>
        <v>42</v>
      </c>
      <c r="AD114">
        <f>IF($A114="","",IF(ALLOC!$N$4="VOL_EFF",$L114,IF(ALLOC!$N$4="VOL_CLASS",$M114,$N114)))</f>
        <v>129</v>
      </c>
      <c r="AE114">
        <f>IF($A114="","",IF(ALLOC!$N$3="VOL_EFF",$L114,IF(ALLOC!$N$3="VOL_CLASS",$M114,$N114)))</f>
        <v>1015320</v>
      </c>
      <c r="AF114">
        <f>IF($A114="","",IF(ALLOC!$N$3="VOL_EFF",$Q114,IF(ALLOC!$N$3="VOL_CLASS",$R114,$S114)))</f>
        <v>1834590</v>
      </c>
      <c r="AG114">
        <f>IF($A114="","",IF(ALLOC!$N$1="VOL_EFF",$Q114,IF(ALLOC!$N$1="VOL_CLASS",$R114,$S114)))</f>
        <v>240</v>
      </c>
      <c r="AH114">
        <f>IF($A114="","",IF(ALLOC!$N$1="VOL_EFF",$T114,IF(ALLOC!$N$1="VOL_CLASS",$U114,$V114)))</f>
        <v>2860</v>
      </c>
      <c r="AI114">
        <f t="shared" si="40"/>
        <v>23045.666666666664</v>
      </c>
      <c r="AJ114">
        <f t="shared" si="41"/>
        <v>77017.333333333328</v>
      </c>
      <c r="AK114">
        <f t="shared" si="42"/>
        <v>15956.744186046513</v>
      </c>
      <c r="AL114">
        <f t="shared" si="43"/>
        <v>168659.95348837209</v>
      </c>
      <c r="AM114">
        <f t="shared" si="44"/>
        <v>41736.333527164606</v>
      </c>
      <c r="AN114">
        <f t="shared" si="45"/>
        <v>-5908.4979411379318</v>
      </c>
      <c r="AO114">
        <f>IF($A114="","",Allocation2!AE114)</f>
        <v>580167</v>
      </c>
      <c r="AP114">
        <f>IF($A114="","",IF(ALLOC!$N$2="VOL_EFF",$Q114,IF(ALLOC!$N$2="VOL_CLASS",$R114,$S114)))</f>
        <v>240</v>
      </c>
      <c r="AQ114">
        <f>IF($A114="","",IF(ALLOC!$N$2="VOL_EFF",$T114,IF(ALLOC!$N$2="VOL_CLASS",$U114,$V114)))</f>
        <v>2860</v>
      </c>
      <c r="AR114">
        <f t="shared" si="46"/>
        <v>8772.4667395546876</v>
      </c>
    </row>
    <row r="115" spans="1:44" x14ac:dyDescent="0.45">
      <c r="A115" t="str">
        <f>IF(Allocation2!D115="","",Allocation2!D115)</f>
        <v>2025</v>
      </c>
      <c r="B115" t="str">
        <f>IF(Allocation2!E115="","",Allocation2!E115)</f>
        <v>TUNON_LYO</v>
      </c>
      <c r="C115" t="str">
        <f>IF(Allocation2!F115="","",Allocation2!F115)</f>
        <v>TUNON</v>
      </c>
      <c r="D115" t="str">
        <f>IF(Allocation2!G115="","",Allocation2!G115)</f>
        <v>BAC_TOU</v>
      </c>
      <c r="E115" t="str">
        <f>IF(Allocation2!H115="","",Allocation2!H115)</f>
        <v>B1</v>
      </c>
      <c r="F115" t="str">
        <f>IF(Allocation2!I115="","",Allocation2!I115)</f>
        <v>ALT</v>
      </c>
      <c r="G115">
        <f>IF(Allocation2!E115="","",Allocation2!J115)</f>
        <v>38</v>
      </c>
      <c r="H115">
        <f>IF(Allocation2!E115="","",Allocation2!K115)</f>
        <v>2</v>
      </c>
      <c r="I115">
        <f>IF(Allocation2!E115="","",Allocation2!L115)</f>
        <v>282720</v>
      </c>
      <c r="J115">
        <f>IF($A115="","",Allocation2!X115)</f>
        <v>38</v>
      </c>
      <c r="K115">
        <f t="shared" si="28"/>
        <v>960</v>
      </c>
      <c r="L115">
        <f t="shared" si="47"/>
        <v>111</v>
      </c>
      <c r="M115">
        <f t="shared" si="48"/>
        <v>6</v>
      </c>
      <c r="N115">
        <f t="shared" si="49"/>
        <v>819270</v>
      </c>
      <c r="O115">
        <f t="shared" si="32"/>
        <v>2880</v>
      </c>
      <c r="P115">
        <f t="shared" si="33"/>
        <v>38</v>
      </c>
      <c r="Q115">
        <f t="shared" si="50"/>
        <v>240</v>
      </c>
      <c r="R115">
        <f t="shared" si="51"/>
        <v>12</v>
      </c>
      <c r="S115">
        <f t="shared" si="52"/>
        <v>1834590</v>
      </c>
      <c r="T115">
        <f t="shared" si="53"/>
        <v>2860</v>
      </c>
      <c r="U115">
        <f t="shared" si="54"/>
        <v>131</v>
      </c>
      <c r="V115">
        <f t="shared" si="55"/>
        <v>21240140</v>
      </c>
      <c r="W115">
        <f>IF($A115="","",Allocation2!Y115)</f>
        <v>69137</v>
      </c>
      <c r="X115">
        <f>IF($A115="","",Allocation2!Z115)</f>
        <v>159740</v>
      </c>
      <c r="Y115">
        <f>IF($A115="","",Allocation2!AA115)</f>
        <v>41552</v>
      </c>
      <c r="Z115">
        <f>IF($A115="","",Allocation2!AB115)</f>
        <v>17136</v>
      </c>
      <c r="AA115">
        <f>IF($A115="","",Allocation2!AC115)</f>
        <v>322230</v>
      </c>
      <c r="AB115">
        <f>IF($A115="","",Allocation2!AD115)</f>
        <v>2760232</v>
      </c>
      <c r="AC115">
        <f>IF($A115="","",IF(ALLOC!$N$4="VOL_EFF",$G115,IF(ALLOC!$N$4="VOL_CLASS",$H115,$I115)))</f>
        <v>38</v>
      </c>
      <c r="AD115">
        <f>IF($A115="","",IF(ALLOC!$N$4="VOL_EFF",$L115,IF(ALLOC!$N$4="VOL_CLASS",$M115,$N115)))</f>
        <v>111</v>
      </c>
      <c r="AE115">
        <f>IF($A115="","",IF(ALLOC!$N$3="VOL_EFF",$L115,IF(ALLOC!$N$3="VOL_CLASS",$M115,$N115)))</f>
        <v>819270</v>
      </c>
      <c r="AF115">
        <f>IF($A115="","",IF(ALLOC!$N$3="VOL_EFF",$Q115,IF(ALLOC!$N$3="VOL_CLASS",$R115,$S115)))</f>
        <v>1834590</v>
      </c>
      <c r="AG115">
        <f>IF($A115="","",IF(ALLOC!$N$1="VOL_EFF",$Q115,IF(ALLOC!$N$1="VOL_CLASS",$R115,$S115)))</f>
        <v>240</v>
      </c>
      <c r="AH115">
        <f>IF($A115="","",IF(ALLOC!$N$1="VOL_EFF",$T115,IF(ALLOC!$N$1="VOL_CLASS",$U115,$V115)))</f>
        <v>2860</v>
      </c>
      <c r="AI115">
        <f t="shared" si="40"/>
        <v>23045.666666666664</v>
      </c>
      <c r="AJ115">
        <f t="shared" si="41"/>
        <v>53246.666666666664</v>
      </c>
      <c r="AK115">
        <f t="shared" si="42"/>
        <v>31361.009009009009</v>
      </c>
      <c r="AL115">
        <f t="shared" si="43"/>
        <v>110312.97297297297</v>
      </c>
      <c r="AM115">
        <f t="shared" si="44"/>
        <v>35411.102066292558</v>
      </c>
      <c r="AN115">
        <f t="shared" si="45"/>
        <v>21899.602154251887</v>
      </c>
      <c r="AO115">
        <f>IF($A115="","",Allocation2!AE115)</f>
        <v>580167</v>
      </c>
      <c r="AP115">
        <f>IF($A115="","",IF(ALLOC!$N$2="VOL_EFF",$Q115,IF(ALLOC!$N$2="VOL_CLASS",$R115,$S115)))</f>
        <v>240</v>
      </c>
      <c r="AQ115">
        <f>IF($A115="","",IF(ALLOC!$N$2="VOL_EFF",$T115,IF(ALLOC!$N$2="VOL_CLASS",$U115,$V115)))</f>
        <v>2860</v>
      </c>
      <c r="AR115">
        <f t="shared" si="46"/>
        <v>7442.9804641402443</v>
      </c>
    </row>
    <row r="116" spans="1:44" x14ac:dyDescent="0.45">
      <c r="A116" t="str">
        <f>IF(Allocation2!D116="","",Allocation2!D116)</f>
        <v>2025</v>
      </c>
      <c r="B116" t="str">
        <f>IF(Allocation2!E116="","",Allocation2!E116)</f>
        <v>TUNON_LYO</v>
      </c>
      <c r="C116" t="str">
        <f>IF(Allocation2!F116="","",Allocation2!F116)</f>
        <v>TUNON</v>
      </c>
      <c r="D116" t="str">
        <f>IF(Allocation2!G116="","",Allocation2!G116)</f>
        <v>BAC_TOU</v>
      </c>
      <c r="E116" t="str">
        <f>IF(Allocation2!H116="","",Allocation2!H116)</f>
        <v>B2</v>
      </c>
      <c r="F116" t="str">
        <f>IF(Allocation2!I116="","",Allocation2!I116)</f>
        <v>ALT</v>
      </c>
      <c r="G116">
        <f>IF(Allocation2!E116="","",Allocation2!J116)</f>
        <v>37</v>
      </c>
      <c r="H116">
        <f>IF(Allocation2!E116="","",Allocation2!K116)</f>
        <v>2</v>
      </c>
      <c r="I116">
        <f>IF(Allocation2!E116="","",Allocation2!L116)</f>
        <v>271950</v>
      </c>
      <c r="J116">
        <f>IF($A116="","",Allocation2!X116)</f>
        <v>0</v>
      </c>
      <c r="K116">
        <f t="shared" si="28"/>
        <v>960</v>
      </c>
      <c r="L116">
        <f t="shared" si="47"/>
        <v>111</v>
      </c>
      <c r="M116">
        <f t="shared" si="48"/>
        <v>6</v>
      </c>
      <c r="N116">
        <f t="shared" si="49"/>
        <v>819270</v>
      </c>
      <c r="O116">
        <f t="shared" si="32"/>
        <v>2880</v>
      </c>
      <c r="P116">
        <f t="shared" si="33"/>
        <v>38</v>
      </c>
      <c r="Q116">
        <f t="shared" si="50"/>
        <v>240</v>
      </c>
      <c r="R116">
        <f t="shared" si="51"/>
        <v>12</v>
      </c>
      <c r="S116">
        <f t="shared" si="52"/>
        <v>1834590</v>
      </c>
      <c r="T116">
        <f t="shared" si="53"/>
        <v>2860</v>
      </c>
      <c r="U116">
        <f t="shared" si="54"/>
        <v>131</v>
      </c>
      <c r="V116">
        <f t="shared" si="55"/>
        <v>21240140</v>
      </c>
      <c r="W116">
        <f>IF($A116="","",Allocation2!Y116)</f>
        <v>69137</v>
      </c>
      <c r="X116">
        <f>IF($A116="","",Allocation2!Z116)</f>
        <v>159740</v>
      </c>
      <c r="Y116">
        <f>IF($A116="","",Allocation2!AA116)</f>
        <v>41552</v>
      </c>
      <c r="Z116">
        <f>IF($A116="","",Allocation2!AB116)</f>
        <v>17136</v>
      </c>
      <c r="AA116">
        <f>IF($A116="","",Allocation2!AC116)</f>
        <v>322230</v>
      </c>
      <c r="AB116">
        <f>IF($A116="","",Allocation2!AD116)</f>
        <v>2760232</v>
      </c>
      <c r="AC116">
        <f>IF($A116="","",IF(ALLOC!$N$4="VOL_EFF",$G116,IF(ALLOC!$N$4="VOL_CLASS",$H116,$I116)))</f>
        <v>37</v>
      </c>
      <c r="AD116">
        <f>IF($A116="","",IF(ALLOC!$N$4="VOL_EFF",$L116,IF(ALLOC!$N$4="VOL_CLASS",$M116,$N116)))</f>
        <v>111</v>
      </c>
      <c r="AE116">
        <f>IF($A116="","",IF(ALLOC!$N$3="VOL_EFF",$L116,IF(ALLOC!$N$3="VOL_CLASS",$M116,$N116)))</f>
        <v>819270</v>
      </c>
      <c r="AF116">
        <f>IF($A116="","",IF(ALLOC!$N$3="VOL_EFF",$Q116,IF(ALLOC!$N$3="VOL_CLASS",$R116,$S116)))</f>
        <v>1834590</v>
      </c>
      <c r="AG116">
        <f>IF($A116="","",IF(ALLOC!$N$1="VOL_EFF",$Q116,IF(ALLOC!$N$1="VOL_CLASS",$R116,$S116)))</f>
        <v>240</v>
      </c>
      <c r="AH116">
        <f>IF($A116="","",IF(ALLOC!$N$1="VOL_EFF",$T116,IF(ALLOC!$N$1="VOL_CLASS",$U116,$V116)))</f>
        <v>2860</v>
      </c>
      <c r="AI116">
        <f t="shared" si="40"/>
        <v>23045.666666666664</v>
      </c>
      <c r="AJ116">
        <f t="shared" si="41"/>
        <v>53246.666666666664</v>
      </c>
      <c r="AK116">
        <f t="shared" si="42"/>
        <v>13850.666666666666</v>
      </c>
      <c r="AL116">
        <f t="shared" si="43"/>
        <v>107410</v>
      </c>
      <c r="AM116">
        <f t="shared" si="44"/>
        <v>34479.230959284861</v>
      </c>
      <c r="AN116">
        <f t="shared" si="45"/>
        <v>32670.656483525934</v>
      </c>
      <c r="AO116">
        <f>IF($A116="","",Allocation2!AE116)</f>
        <v>580167</v>
      </c>
      <c r="AP116">
        <f>IF($A116="","",IF(ALLOC!$N$2="VOL_EFF",$Q116,IF(ALLOC!$N$2="VOL_CLASS",$R116,$S116)))</f>
        <v>240</v>
      </c>
      <c r="AQ116">
        <f>IF($A116="","",IF(ALLOC!$N$2="VOL_EFF",$T116,IF(ALLOC!$N$2="VOL_CLASS",$U116,$V116)))</f>
        <v>2860</v>
      </c>
      <c r="AR116">
        <f t="shared" si="46"/>
        <v>7247.1125571891844</v>
      </c>
    </row>
    <row r="117" spans="1:44" x14ac:dyDescent="0.45">
      <c r="A117" t="str">
        <f>IF(Allocation2!D117="","",Allocation2!D117)</f>
        <v>2025</v>
      </c>
      <c r="B117" t="str">
        <f>IF(Allocation2!E117="","",Allocation2!E117)</f>
        <v>TUNON_LYO</v>
      </c>
      <c r="C117" t="str">
        <f>IF(Allocation2!F117="","",Allocation2!F117)</f>
        <v>TUNON</v>
      </c>
      <c r="D117" t="str">
        <f>IF(Allocation2!G117="","",Allocation2!G117)</f>
        <v>BAC_TOU</v>
      </c>
      <c r="E117" t="str">
        <f>IF(Allocation2!H117="","",Allocation2!H117)</f>
        <v>B3</v>
      </c>
      <c r="F117" t="str">
        <f>IF(Allocation2!I117="","",Allocation2!I117)</f>
        <v>ALT</v>
      </c>
      <c r="G117">
        <f>IF(Allocation2!E117="","",Allocation2!J117)</f>
        <v>36</v>
      </c>
      <c r="H117">
        <f>IF(Allocation2!E117="","",Allocation2!K117)</f>
        <v>2</v>
      </c>
      <c r="I117">
        <f>IF(Allocation2!E117="","",Allocation2!L117)</f>
        <v>264600</v>
      </c>
      <c r="J117">
        <f>IF($A117="","",Allocation2!X117)</f>
        <v>0</v>
      </c>
      <c r="K117">
        <f t="shared" si="28"/>
        <v>960</v>
      </c>
      <c r="L117">
        <f t="shared" si="47"/>
        <v>111</v>
      </c>
      <c r="M117">
        <f t="shared" si="48"/>
        <v>6</v>
      </c>
      <c r="N117">
        <f t="shared" si="49"/>
        <v>819270</v>
      </c>
      <c r="O117">
        <f t="shared" si="32"/>
        <v>2880</v>
      </c>
      <c r="P117">
        <f t="shared" si="33"/>
        <v>38</v>
      </c>
      <c r="Q117">
        <f t="shared" si="50"/>
        <v>240</v>
      </c>
      <c r="R117">
        <f t="shared" si="51"/>
        <v>12</v>
      </c>
      <c r="S117">
        <f t="shared" si="52"/>
        <v>1834590</v>
      </c>
      <c r="T117">
        <f t="shared" si="53"/>
        <v>2860</v>
      </c>
      <c r="U117">
        <f t="shared" si="54"/>
        <v>131</v>
      </c>
      <c r="V117">
        <f t="shared" si="55"/>
        <v>21240140</v>
      </c>
      <c r="W117">
        <f>IF($A117="","",Allocation2!Y117)</f>
        <v>69137</v>
      </c>
      <c r="X117">
        <f>IF($A117="","",Allocation2!Z117)</f>
        <v>159740</v>
      </c>
      <c r="Y117">
        <f>IF($A117="","",Allocation2!AA117)</f>
        <v>41552</v>
      </c>
      <c r="Z117">
        <f>IF($A117="","",Allocation2!AB117)</f>
        <v>17136</v>
      </c>
      <c r="AA117">
        <f>IF($A117="","",Allocation2!AC117)</f>
        <v>322230</v>
      </c>
      <c r="AB117">
        <f>IF($A117="","",Allocation2!AD117)</f>
        <v>2760232</v>
      </c>
      <c r="AC117">
        <f>IF($A117="","",IF(ALLOC!$N$4="VOL_EFF",$G117,IF(ALLOC!$N$4="VOL_CLASS",$H117,$I117)))</f>
        <v>36</v>
      </c>
      <c r="AD117">
        <f>IF($A117="","",IF(ALLOC!$N$4="VOL_EFF",$L117,IF(ALLOC!$N$4="VOL_CLASS",$M117,$N117)))</f>
        <v>111</v>
      </c>
      <c r="AE117">
        <f>IF($A117="","",IF(ALLOC!$N$3="VOL_EFF",$L117,IF(ALLOC!$N$3="VOL_CLASS",$M117,$N117)))</f>
        <v>819270</v>
      </c>
      <c r="AF117">
        <f>IF($A117="","",IF(ALLOC!$N$3="VOL_EFF",$Q117,IF(ALLOC!$N$3="VOL_CLASS",$R117,$S117)))</f>
        <v>1834590</v>
      </c>
      <c r="AG117">
        <f>IF($A117="","",IF(ALLOC!$N$1="VOL_EFF",$Q117,IF(ALLOC!$N$1="VOL_CLASS",$R117,$S117)))</f>
        <v>240</v>
      </c>
      <c r="AH117">
        <f>IF($A117="","",IF(ALLOC!$N$1="VOL_EFF",$T117,IF(ALLOC!$N$1="VOL_CLASS",$U117,$V117)))</f>
        <v>2860</v>
      </c>
      <c r="AI117">
        <f t="shared" si="40"/>
        <v>23045.666666666664</v>
      </c>
      <c r="AJ117">
        <f t="shared" si="41"/>
        <v>53246.666666666664</v>
      </c>
      <c r="AK117">
        <f t="shared" si="42"/>
        <v>13476.324324324325</v>
      </c>
      <c r="AL117">
        <f t="shared" si="43"/>
        <v>104507.02702702703</v>
      </c>
      <c r="AM117">
        <f t="shared" si="44"/>
        <v>33547.359852277164</v>
      </c>
      <c r="AN117">
        <f t="shared" si="45"/>
        <v>29725.71081280004</v>
      </c>
      <c r="AO117">
        <f>IF($A117="","",Allocation2!AE117)</f>
        <v>580167</v>
      </c>
      <c r="AP117">
        <f>IF($A117="","",IF(ALLOC!$N$2="VOL_EFF",$Q117,IF(ALLOC!$N$2="VOL_CLASS",$R117,$S117)))</f>
        <v>240</v>
      </c>
      <c r="AQ117">
        <f>IF($A117="","",IF(ALLOC!$N$2="VOL_EFF",$T117,IF(ALLOC!$N$2="VOL_CLASS",$U117,$V117)))</f>
        <v>2860</v>
      </c>
      <c r="AR117">
        <f t="shared" si="46"/>
        <v>7051.2446502381263</v>
      </c>
    </row>
    <row r="118" spans="1:44" x14ac:dyDescent="0.45">
      <c r="A118" t="str">
        <f>IF(Allocation2!D118="","",Allocation2!D118)</f>
        <v>2024</v>
      </c>
      <c r="B118" t="str">
        <f>IF(Allocation2!E118="","",Allocation2!E118)</f>
        <v>MBWAY_PAR</v>
      </c>
      <c r="C118" t="str">
        <f>IF(Allocation2!F118="","",Allocation2!F118)</f>
        <v>MBWAY</v>
      </c>
      <c r="D118" t="str">
        <f>IF(Allocation2!G118="","",Allocation2!G118)</f>
        <v>BAC_MGT</v>
      </c>
      <c r="E118" t="str">
        <f>IF(Allocation2!H118="","",Allocation2!H118)</f>
        <v>B1</v>
      </c>
      <c r="F118" t="str">
        <f>IF(Allocation2!I118="","",Allocation2!I118)</f>
        <v>INIT</v>
      </c>
      <c r="G118">
        <f>IF(Allocation2!E118="","",Allocation2!J118)</f>
        <v>69</v>
      </c>
      <c r="H118">
        <f>IF(Allocation2!E118="","",Allocation2!K118)</f>
        <v>3</v>
      </c>
      <c r="I118">
        <f>IF(Allocation2!E118="","",Allocation2!L118)</f>
        <v>585810</v>
      </c>
      <c r="J118">
        <f>IF($A118="","",Allocation2!X118)</f>
        <v>69</v>
      </c>
      <c r="K118">
        <f t="shared" si="28"/>
        <v>1800</v>
      </c>
      <c r="L118">
        <f t="shared" si="47"/>
        <v>340</v>
      </c>
      <c r="M118">
        <f t="shared" si="48"/>
        <v>15</v>
      </c>
      <c r="N118">
        <f t="shared" si="49"/>
        <v>2793380</v>
      </c>
      <c r="O118">
        <f t="shared" si="32"/>
        <v>7200</v>
      </c>
      <c r="P118">
        <f t="shared" si="33"/>
        <v>138</v>
      </c>
      <c r="Q118">
        <f t="shared" si="50"/>
        <v>1112</v>
      </c>
      <c r="R118">
        <f t="shared" si="51"/>
        <v>50</v>
      </c>
      <c r="S118">
        <f t="shared" si="52"/>
        <v>8517270</v>
      </c>
      <c r="T118">
        <f t="shared" si="53"/>
        <v>2704</v>
      </c>
      <c r="U118">
        <f t="shared" si="54"/>
        <v>131</v>
      </c>
      <c r="V118">
        <f t="shared" si="55"/>
        <v>20076860</v>
      </c>
      <c r="W118">
        <f>IF($A118="","",Allocation2!Y118)</f>
        <v>165271</v>
      </c>
      <c r="X118">
        <f>IF($A118="","",Allocation2!Z118)</f>
        <v>552322</v>
      </c>
      <c r="Y118">
        <f>IF($A118="","",Allocation2!AA118)</f>
        <v>129720</v>
      </c>
      <c r="Z118">
        <f>IF($A118="","",Allocation2!AB118)</f>
        <v>56438</v>
      </c>
      <c r="AA118">
        <f>IF($A118="","",Allocation2!AC118)</f>
        <v>1325834</v>
      </c>
      <c r="AB118">
        <f>IF($A118="","",Allocation2!AD118)</f>
        <v>2639292</v>
      </c>
      <c r="AC118">
        <f>IF($A118="","",IF(ALLOC!$N$4="VOL_EFF",$G118,IF(ALLOC!$N$4="VOL_CLASS",$H118,$I118)))</f>
        <v>69</v>
      </c>
      <c r="AD118">
        <f>IF($A118="","",IF(ALLOC!$N$4="VOL_EFF",$L118,IF(ALLOC!$N$4="VOL_CLASS",$M118,$N118)))</f>
        <v>340</v>
      </c>
      <c r="AE118">
        <f>IF($A118="","",IF(ALLOC!$N$3="VOL_EFF",$L118,IF(ALLOC!$N$3="VOL_CLASS",$M118,$N118)))</f>
        <v>2793380</v>
      </c>
      <c r="AF118">
        <f>IF($A118="","",IF(ALLOC!$N$3="VOL_EFF",$Q118,IF(ALLOC!$N$3="VOL_CLASS",$R118,$S118)))</f>
        <v>8517270</v>
      </c>
      <c r="AG118">
        <f>IF($A118="","",IF(ALLOC!$N$1="VOL_EFF",$Q118,IF(ALLOC!$N$1="VOL_CLASS",$R118,$S118)))</f>
        <v>1112</v>
      </c>
      <c r="AH118">
        <f>IF($A118="","",IF(ALLOC!$N$1="VOL_EFF",$T118,IF(ALLOC!$N$1="VOL_CLASS",$U118,$V118)))</f>
        <v>2704</v>
      </c>
      <c r="AI118">
        <f t="shared" si="40"/>
        <v>41317.75</v>
      </c>
      <c r="AJ118">
        <f t="shared" si="41"/>
        <v>138080.5</v>
      </c>
      <c r="AK118">
        <f t="shared" si="42"/>
        <v>54544.529411764706</v>
      </c>
      <c r="AL118">
        <f t="shared" si="43"/>
        <v>269066.31176470587</v>
      </c>
      <c r="AM118">
        <f t="shared" si="44"/>
        <v>72241.261252890617</v>
      </c>
      <c r="AN118">
        <f t="shared" si="45"/>
        <v>-3124.0542604251532</v>
      </c>
      <c r="AO118">
        <f>IF($A118="","",Allocation2!AE118)</f>
        <v>499926</v>
      </c>
      <c r="AP118">
        <f>IF($A118="","",IF(ALLOC!$N$2="VOL_EFF",$Q118,IF(ALLOC!$N$2="VOL_CLASS",$R118,$S118)))</f>
        <v>1112</v>
      </c>
      <c r="AQ118">
        <f>IF($A118="","",IF(ALLOC!$N$2="VOL_EFF",$T118,IF(ALLOC!$N$2="VOL_CLASS",$U118,$V118)))</f>
        <v>2704</v>
      </c>
      <c r="AR118">
        <f t="shared" si="46"/>
        <v>13683.701831064009</v>
      </c>
    </row>
    <row r="119" spans="1:44" x14ac:dyDescent="0.45">
      <c r="A119" t="str">
        <f>IF(Allocation2!D119="","",Allocation2!D119)</f>
        <v>2024</v>
      </c>
      <c r="B119" t="str">
        <f>IF(Allocation2!E119="","",Allocation2!E119)</f>
        <v>MBWAY_PAR</v>
      </c>
      <c r="C119" t="str">
        <f>IF(Allocation2!F119="","",Allocation2!F119)</f>
        <v>MBWAY</v>
      </c>
      <c r="D119" t="str">
        <f>IF(Allocation2!G119="","",Allocation2!G119)</f>
        <v>BAC_MGT</v>
      </c>
      <c r="E119" t="str">
        <f>IF(Allocation2!H119="","",Allocation2!H119)</f>
        <v>B2</v>
      </c>
      <c r="F119" t="str">
        <f>IF(Allocation2!I119="","",Allocation2!I119)</f>
        <v>ALT</v>
      </c>
      <c r="G119">
        <f>IF(Allocation2!E119="","",Allocation2!J119)</f>
        <v>68</v>
      </c>
      <c r="H119">
        <f>IF(Allocation2!E119="","",Allocation2!K119)</f>
        <v>3</v>
      </c>
      <c r="I119">
        <f>IF(Allocation2!E119="","",Allocation2!L119)</f>
        <v>533120</v>
      </c>
      <c r="J119">
        <f>IF($A119="","",Allocation2!X119)</f>
        <v>0</v>
      </c>
      <c r="K119">
        <f t="shared" si="28"/>
        <v>1440</v>
      </c>
      <c r="L119">
        <f t="shared" si="47"/>
        <v>340</v>
      </c>
      <c r="M119">
        <f t="shared" si="48"/>
        <v>15</v>
      </c>
      <c r="N119">
        <f t="shared" si="49"/>
        <v>2793380</v>
      </c>
      <c r="O119">
        <f t="shared" si="32"/>
        <v>7200</v>
      </c>
      <c r="P119">
        <f t="shared" si="33"/>
        <v>138</v>
      </c>
      <c r="Q119">
        <f t="shared" si="50"/>
        <v>1112</v>
      </c>
      <c r="R119">
        <f t="shared" si="51"/>
        <v>50</v>
      </c>
      <c r="S119">
        <f t="shared" si="52"/>
        <v>8517270</v>
      </c>
      <c r="T119">
        <f t="shared" si="53"/>
        <v>2704</v>
      </c>
      <c r="U119">
        <f t="shared" si="54"/>
        <v>131</v>
      </c>
      <c r="V119">
        <f t="shared" si="55"/>
        <v>20076860</v>
      </c>
      <c r="W119">
        <f>IF($A119="","",Allocation2!Y119)</f>
        <v>165271</v>
      </c>
      <c r="X119">
        <f>IF($A119="","",Allocation2!Z119)</f>
        <v>552322</v>
      </c>
      <c r="Y119">
        <f>IF($A119="","",Allocation2!AA119)</f>
        <v>129720</v>
      </c>
      <c r="Z119">
        <f>IF($A119="","",Allocation2!AB119)</f>
        <v>56438</v>
      </c>
      <c r="AA119">
        <f>IF($A119="","",Allocation2!AC119)</f>
        <v>1325834</v>
      </c>
      <c r="AB119">
        <f>IF($A119="","",Allocation2!AD119)</f>
        <v>2639292</v>
      </c>
      <c r="AC119">
        <f>IF($A119="","",IF(ALLOC!$N$4="VOL_EFF",$G119,IF(ALLOC!$N$4="VOL_CLASS",$H119,$I119)))</f>
        <v>68</v>
      </c>
      <c r="AD119">
        <f>IF($A119="","",IF(ALLOC!$N$4="VOL_EFF",$L119,IF(ALLOC!$N$4="VOL_CLASS",$M119,$N119)))</f>
        <v>340</v>
      </c>
      <c r="AE119">
        <f>IF($A119="","",IF(ALLOC!$N$3="VOL_EFF",$L119,IF(ALLOC!$N$3="VOL_CLASS",$M119,$N119)))</f>
        <v>2793380</v>
      </c>
      <c r="AF119">
        <f>IF($A119="","",IF(ALLOC!$N$3="VOL_EFF",$Q119,IF(ALLOC!$N$3="VOL_CLASS",$R119,$S119)))</f>
        <v>8517270</v>
      </c>
      <c r="AG119">
        <f>IF($A119="","",IF(ALLOC!$N$1="VOL_EFF",$Q119,IF(ALLOC!$N$1="VOL_CLASS",$R119,$S119)))</f>
        <v>1112</v>
      </c>
      <c r="AH119">
        <f>IF($A119="","",IF(ALLOC!$N$1="VOL_EFF",$T119,IF(ALLOC!$N$1="VOL_CLASS",$U119,$V119)))</f>
        <v>2704</v>
      </c>
      <c r="AI119">
        <f t="shared" si="40"/>
        <v>33054.200000000004</v>
      </c>
      <c r="AJ119">
        <f t="shared" si="41"/>
        <v>110464.40000000001</v>
      </c>
      <c r="AK119">
        <f t="shared" si="42"/>
        <v>25944</v>
      </c>
      <c r="AL119">
        <f t="shared" si="43"/>
        <v>265166.8</v>
      </c>
      <c r="AM119">
        <f t="shared" si="44"/>
        <v>71194.286452124084</v>
      </c>
      <c r="AN119">
        <f t="shared" si="45"/>
        <v>13810.926236102707</v>
      </c>
      <c r="AO119">
        <f>IF($A119="","",Allocation2!AE119)</f>
        <v>499926</v>
      </c>
      <c r="AP119">
        <f>IF($A119="","",IF(ALLOC!$N$2="VOL_EFF",$Q119,IF(ALLOC!$N$2="VOL_CLASS",$R119,$S119)))</f>
        <v>1112</v>
      </c>
      <c r="AQ119">
        <f>IF($A119="","",IF(ALLOC!$N$2="VOL_EFF",$T119,IF(ALLOC!$N$2="VOL_CLASS",$U119,$V119)))</f>
        <v>2704</v>
      </c>
      <c r="AR119">
        <f t="shared" si="46"/>
        <v>13485.387311773227</v>
      </c>
    </row>
    <row r="120" spans="1:44" x14ac:dyDescent="0.45">
      <c r="A120" t="str">
        <f>IF(Allocation2!D120="","",Allocation2!D120)</f>
        <v>2024</v>
      </c>
      <c r="B120" t="str">
        <f>IF(Allocation2!E120="","",Allocation2!E120)</f>
        <v>MBWAY_PAR</v>
      </c>
      <c r="C120" t="str">
        <f>IF(Allocation2!F120="","",Allocation2!F120)</f>
        <v>MBWAY</v>
      </c>
      <c r="D120" t="str">
        <f>IF(Allocation2!G120="","",Allocation2!G120)</f>
        <v>BAC_MGT</v>
      </c>
      <c r="E120" t="str">
        <f>IF(Allocation2!H120="","",Allocation2!H120)</f>
        <v>B3</v>
      </c>
      <c r="F120" t="str">
        <f>IF(Allocation2!I120="","",Allocation2!I120)</f>
        <v>ALT</v>
      </c>
      <c r="G120">
        <f>IF(Allocation2!E120="","",Allocation2!J120)</f>
        <v>66</v>
      </c>
      <c r="H120">
        <f>IF(Allocation2!E120="","",Allocation2!K120)</f>
        <v>3</v>
      </c>
      <c r="I120">
        <f>IF(Allocation2!E120="","",Allocation2!L120)</f>
        <v>517440</v>
      </c>
      <c r="J120">
        <f>IF($A120="","",Allocation2!X120)</f>
        <v>0</v>
      </c>
      <c r="K120">
        <f t="shared" si="28"/>
        <v>1440</v>
      </c>
      <c r="L120">
        <f t="shared" si="47"/>
        <v>340</v>
      </c>
      <c r="M120">
        <f t="shared" si="48"/>
        <v>15</v>
      </c>
      <c r="N120">
        <f t="shared" si="49"/>
        <v>2793380</v>
      </c>
      <c r="O120">
        <f t="shared" si="32"/>
        <v>7200</v>
      </c>
      <c r="P120">
        <f t="shared" si="33"/>
        <v>138</v>
      </c>
      <c r="Q120">
        <f t="shared" si="50"/>
        <v>1112</v>
      </c>
      <c r="R120">
        <f t="shared" si="51"/>
        <v>50</v>
      </c>
      <c r="S120">
        <f t="shared" si="52"/>
        <v>8517270</v>
      </c>
      <c r="T120">
        <f t="shared" si="53"/>
        <v>2704</v>
      </c>
      <c r="U120">
        <f t="shared" si="54"/>
        <v>131</v>
      </c>
      <c r="V120">
        <f t="shared" si="55"/>
        <v>20076860</v>
      </c>
      <c r="W120">
        <f>IF($A120="","",Allocation2!Y120)</f>
        <v>165271</v>
      </c>
      <c r="X120">
        <f>IF($A120="","",Allocation2!Z120)</f>
        <v>552322</v>
      </c>
      <c r="Y120">
        <f>IF($A120="","",Allocation2!AA120)</f>
        <v>129720</v>
      </c>
      <c r="Z120">
        <f>IF($A120="","",Allocation2!AB120)</f>
        <v>56438</v>
      </c>
      <c r="AA120">
        <f>IF($A120="","",Allocation2!AC120)</f>
        <v>1325834</v>
      </c>
      <c r="AB120">
        <f>IF($A120="","",Allocation2!AD120)</f>
        <v>2639292</v>
      </c>
      <c r="AC120">
        <f>IF($A120="","",IF(ALLOC!$N$4="VOL_EFF",$G120,IF(ALLOC!$N$4="VOL_CLASS",$H120,$I120)))</f>
        <v>66</v>
      </c>
      <c r="AD120">
        <f>IF($A120="","",IF(ALLOC!$N$4="VOL_EFF",$L120,IF(ALLOC!$N$4="VOL_CLASS",$M120,$N120)))</f>
        <v>340</v>
      </c>
      <c r="AE120">
        <f>IF($A120="","",IF(ALLOC!$N$3="VOL_EFF",$L120,IF(ALLOC!$N$3="VOL_CLASS",$M120,$N120)))</f>
        <v>2793380</v>
      </c>
      <c r="AF120">
        <f>IF($A120="","",IF(ALLOC!$N$3="VOL_EFF",$Q120,IF(ALLOC!$N$3="VOL_CLASS",$R120,$S120)))</f>
        <v>8517270</v>
      </c>
      <c r="AG120">
        <f>IF($A120="","",IF(ALLOC!$N$1="VOL_EFF",$Q120,IF(ALLOC!$N$1="VOL_CLASS",$R120,$S120)))</f>
        <v>1112</v>
      </c>
      <c r="AH120">
        <f>IF($A120="","",IF(ALLOC!$N$1="VOL_EFF",$T120,IF(ALLOC!$N$1="VOL_CLASS",$U120,$V120)))</f>
        <v>2704</v>
      </c>
      <c r="AI120">
        <f t="shared" si="40"/>
        <v>33054.200000000004</v>
      </c>
      <c r="AJ120">
        <f t="shared" si="41"/>
        <v>110464.40000000001</v>
      </c>
      <c r="AK120">
        <f t="shared" si="42"/>
        <v>25180.941176470587</v>
      </c>
      <c r="AL120">
        <f t="shared" si="43"/>
        <v>257367.77647058823</v>
      </c>
      <c r="AM120">
        <f t="shared" si="44"/>
        <v>69100.336850591018</v>
      </c>
      <c r="AN120">
        <f t="shared" si="45"/>
        <v>9183.5872291585547</v>
      </c>
      <c r="AO120">
        <f>IF($A120="","",Allocation2!AE120)</f>
        <v>499926</v>
      </c>
      <c r="AP120">
        <f>IF($A120="","",IF(ALLOC!$N$2="VOL_EFF",$Q120,IF(ALLOC!$N$2="VOL_CLASS",$R120,$S120)))</f>
        <v>1112</v>
      </c>
      <c r="AQ120">
        <f>IF($A120="","",IF(ALLOC!$N$2="VOL_EFF",$T120,IF(ALLOC!$N$2="VOL_CLASS",$U120,$V120)))</f>
        <v>2704</v>
      </c>
      <c r="AR120">
        <f t="shared" si="46"/>
        <v>13088.758273191661</v>
      </c>
    </row>
    <row r="121" spans="1:44" x14ac:dyDescent="0.45">
      <c r="A121" t="str">
        <f>IF(Allocation2!D121="","",Allocation2!D121)</f>
        <v>2024</v>
      </c>
      <c r="B121" t="str">
        <f>IF(Allocation2!E121="","",Allocation2!E121)</f>
        <v>MBWAY_PAR</v>
      </c>
      <c r="C121" t="str">
        <f>IF(Allocation2!F121="","",Allocation2!F121)</f>
        <v>MBWAY</v>
      </c>
      <c r="D121" t="str">
        <f>IF(Allocation2!G121="","",Allocation2!G121)</f>
        <v>MAS_MGT</v>
      </c>
      <c r="E121" t="str">
        <f>IF(Allocation2!H121="","",Allocation2!H121)</f>
        <v>M1</v>
      </c>
      <c r="F121" t="str">
        <f>IF(Allocation2!I121="","",Allocation2!I121)</f>
        <v>ALT</v>
      </c>
      <c r="G121">
        <f>IF(Allocation2!E121="","",Allocation2!J121)</f>
        <v>69</v>
      </c>
      <c r="H121">
        <f>IF(Allocation2!E121="","",Allocation2!K121)</f>
        <v>3</v>
      </c>
      <c r="I121">
        <f>IF(Allocation2!E121="","",Allocation2!L121)</f>
        <v>585810</v>
      </c>
      <c r="J121">
        <f>IF($A121="","",Allocation2!X121)</f>
        <v>69</v>
      </c>
      <c r="K121">
        <f t="shared" si="28"/>
        <v>1260</v>
      </c>
      <c r="L121">
        <f t="shared" si="47"/>
        <v>340</v>
      </c>
      <c r="M121">
        <f t="shared" si="48"/>
        <v>15</v>
      </c>
      <c r="N121">
        <f t="shared" si="49"/>
        <v>2793380</v>
      </c>
      <c r="O121">
        <f t="shared" si="32"/>
        <v>7200</v>
      </c>
      <c r="P121">
        <f t="shared" si="33"/>
        <v>138</v>
      </c>
      <c r="Q121">
        <f t="shared" si="50"/>
        <v>1112</v>
      </c>
      <c r="R121">
        <f t="shared" si="51"/>
        <v>50</v>
      </c>
      <c r="S121">
        <f t="shared" si="52"/>
        <v>8517270</v>
      </c>
      <c r="T121">
        <f t="shared" si="53"/>
        <v>2704</v>
      </c>
      <c r="U121">
        <f t="shared" si="54"/>
        <v>131</v>
      </c>
      <c r="V121">
        <f t="shared" si="55"/>
        <v>20076860</v>
      </c>
      <c r="W121">
        <f>IF($A121="","",Allocation2!Y121)</f>
        <v>165271</v>
      </c>
      <c r="X121">
        <f>IF($A121="","",Allocation2!Z121)</f>
        <v>552322</v>
      </c>
      <c r="Y121">
        <f>IF($A121="","",Allocation2!AA121)</f>
        <v>129720</v>
      </c>
      <c r="Z121">
        <f>IF($A121="","",Allocation2!AB121)</f>
        <v>56438</v>
      </c>
      <c r="AA121">
        <f>IF($A121="","",Allocation2!AC121)</f>
        <v>1325834</v>
      </c>
      <c r="AB121">
        <f>IF($A121="","",Allocation2!AD121)</f>
        <v>2639292</v>
      </c>
      <c r="AC121">
        <f>IF($A121="","",IF(ALLOC!$N$4="VOL_EFF",$G121,IF(ALLOC!$N$4="VOL_CLASS",$H121,$I121)))</f>
        <v>69</v>
      </c>
      <c r="AD121">
        <f>IF($A121="","",IF(ALLOC!$N$4="VOL_EFF",$L121,IF(ALLOC!$N$4="VOL_CLASS",$M121,$N121)))</f>
        <v>340</v>
      </c>
      <c r="AE121">
        <f>IF($A121="","",IF(ALLOC!$N$3="VOL_EFF",$L121,IF(ALLOC!$N$3="VOL_CLASS",$M121,$N121)))</f>
        <v>2793380</v>
      </c>
      <c r="AF121">
        <f>IF($A121="","",IF(ALLOC!$N$3="VOL_EFF",$Q121,IF(ALLOC!$N$3="VOL_CLASS",$R121,$S121)))</f>
        <v>8517270</v>
      </c>
      <c r="AG121">
        <f>IF($A121="","",IF(ALLOC!$N$1="VOL_EFF",$Q121,IF(ALLOC!$N$1="VOL_CLASS",$R121,$S121)))</f>
        <v>1112</v>
      </c>
      <c r="AH121">
        <f>IF($A121="","",IF(ALLOC!$N$1="VOL_EFF",$T121,IF(ALLOC!$N$1="VOL_CLASS",$U121,$V121)))</f>
        <v>2704</v>
      </c>
      <c r="AI121">
        <f t="shared" si="40"/>
        <v>28922.424999999999</v>
      </c>
      <c r="AJ121">
        <f t="shared" si="41"/>
        <v>96656.349999999991</v>
      </c>
      <c r="AK121">
        <f t="shared" si="42"/>
        <v>54544.529411764706</v>
      </c>
      <c r="AL121">
        <f t="shared" si="43"/>
        <v>269066.31176470587</v>
      </c>
      <c r="AM121">
        <f t="shared" si="44"/>
        <v>72241.261252890617</v>
      </c>
      <c r="AN121">
        <f t="shared" si="45"/>
        <v>50695.420739574824</v>
      </c>
      <c r="AO121">
        <f>IF($A121="","",Allocation2!AE121)</f>
        <v>499926</v>
      </c>
      <c r="AP121">
        <f>IF($A121="","",IF(ALLOC!$N$2="VOL_EFF",$Q121,IF(ALLOC!$N$2="VOL_CLASS",$R121,$S121)))</f>
        <v>1112</v>
      </c>
      <c r="AQ121">
        <f>IF($A121="","",IF(ALLOC!$N$2="VOL_EFF",$T121,IF(ALLOC!$N$2="VOL_CLASS",$U121,$V121)))</f>
        <v>2704</v>
      </c>
      <c r="AR121">
        <f t="shared" si="46"/>
        <v>13683.701831064009</v>
      </c>
    </row>
    <row r="122" spans="1:44" x14ac:dyDescent="0.45">
      <c r="A122" t="str">
        <f>IF(Allocation2!D122="","",Allocation2!D122)</f>
        <v>2024</v>
      </c>
      <c r="B122" t="str">
        <f>IF(Allocation2!E122="","",Allocation2!E122)</f>
        <v>MBWAY_PAR</v>
      </c>
      <c r="C122" t="str">
        <f>IF(Allocation2!F122="","",Allocation2!F122)</f>
        <v>MBWAY</v>
      </c>
      <c r="D122" t="str">
        <f>IF(Allocation2!G122="","",Allocation2!G122)</f>
        <v>MAS_MGT</v>
      </c>
      <c r="E122" t="str">
        <f>IF(Allocation2!H122="","",Allocation2!H122)</f>
        <v>M2</v>
      </c>
      <c r="F122" t="str">
        <f>IF(Allocation2!I122="","",Allocation2!I122)</f>
        <v>ALT</v>
      </c>
      <c r="G122">
        <f>IF(Allocation2!E122="","",Allocation2!J122)</f>
        <v>68</v>
      </c>
      <c r="H122">
        <f>IF(Allocation2!E122="","",Allocation2!K122)</f>
        <v>3</v>
      </c>
      <c r="I122">
        <f>IF(Allocation2!E122="","",Allocation2!L122)</f>
        <v>571200</v>
      </c>
      <c r="J122">
        <f>IF($A122="","",Allocation2!X122)</f>
        <v>0</v>
      </c>
      <c r="K122">
        <f t="shared" si="28"/>
        <v>1260</v>
      </c>
      <c r="L122">
        <f t="shared" si="47"/>
        <v>340</v>
      </c>
      <c r="M122">
        <f t="shared" si="48"/>
        <v>15</v>
      </c>
      <c r="N122">
        <f t="shared" si="49"/>
        <v>2793380</v>
      </c>
      <c r="O122">
        <f t="shared" si="32"/>
        <v>7200</v>
      </c>
      <c r="P122">
        <f t="shared" si="33"/>
        <v>138</v>
      </c>
      <c r="Q122">
        <f t="shared" si="50"/>
        <v>1112</v>
      </c>
      <c r="R122">
        <f t="shared" si="51"/>
        <v>50</v>
      </c>
      <c r="S122">
        <f t="shared" si="52"/>
        <v>8517270</v>
      </c>
      <c r="T122">
        <f t="shared" si="53"/>
        <v>2704</v>
      </c>
      <c r="U122">
        <f t="shared" si="54"/>
        <v>131</v>
      </c>
      <c r="V122">
        <f t="shared" si="55"/>
        <v>20076860</v>
      </c>
      <c r="W122">
        <f>IF($A122="","",Allocation2!Y122)</f>
        <v>165271</v>
      </c>
      <c r="X122">
        <f>IF($A122="","",Allocation2!Z122)</f>
        <v>552322</v>
      </c>
      <c r="Y122">
        <f>IF($A122="","",Allocation2!AA122)</f>
        <v>129720</v>
      </c>
      <c r="Z122">
        <f>IF($A122="","",Allocation2!AB122)</f>
        <v>56438</v>
      </c>
      <c r="AA122">
        <f>IF($A122="","",Allocation2!AC122)</f>
        <v>1325834</v>
      </c>
      <c r="AB122">
        <f>IF($A122="","",Allocation2!AD122)</f>
        <v>2639292</v>
      </c>
      <c r="AC122">
        <f>IF($A122="","",IF(ALLOC!$N$4="VOL_EFF",$G122,IF(ALLOC!$N$4="VOL_CLASS",$H122,$I122)))</f>
        <v>68</v>
      </c>
      <c r="AD122">
        <f>IF($A122="","",IF(ALLOC!$N$4="VOL_EFF",$L122,IF(ALLOC!$N$4="VOL_CLASS",$M122,$N122)))</f>
        <v>340</v>
      </c>
      <c r="AE122">
        <f>IF($A122="","",IF(ALLOC!$N$3="VOL_EFF",$L122,IF(ALLOC!$N$3="VOL_CLASS",$M122,$N122)))</f>
        <v>2793380</v>
      </c>
      <c r="AF122">
        <f>IF($A122="","",IF(ALLOC!$N$3="VOL_EFF",$Q122,IF(ALLOC!$N$3="VOL_CLASS",$R122,$S122)))</f>
        <v>8517270</v>
      </c>
      <c r="AG122">
        <f>IF($A122="","",IF(ALLOC!$N$1="VOL_EFF",$Q122,IF(ALLOC!$N$1="VOL_CLASS",$R122,$S122)))</f>
        <v>1112</v>
      </c>
      <c r="AH122">
        <f>IF($A122="","",IF(ALLOC!$N$1="VOL_EFF",$T122,IF(ALLOC!$N$1="VOL_CLASS",$U122,$V122)))</f>
        <v>2704</v>
      </c>
      <c r="AI122">
        <f t="shared" si="40"/>
        <v>28922.424999999999</v>
      </c>
      <c r="AJ122">
        <f t="shared" si="41"/>
        <v>96656.349999999991</v>
      </c>
      <c r="AK122">
        <f t="shared" si="42"/>
        <v>25944</v>
      </c>
      <c r="AL122">
        <f t="shared" si="43"/>
        <v>265166.8</v>
      </c>
      <c r="AM122">
        <f t="shared" si="44"/>
        <v>71194.286452124084</v>
      </c>
      <c r="AN122">
        <f t="shared" si="45"/>
        <v>69830.751236102777</v>
      </c>
      <c r="AO122">
        <f>IF($A122="","",Allocation2!AE122)</f>
        <v>499926</v>
      </c>
      <c r="AP122">
        <f>IF($A122="","",IF(ALLOC!$N$2="VOL_EFF",$Q122,IF(ALLOC!$N$2="VOL_CLASS",$R122,$S122)))</f>
        <v>1112</v>
      </c>
      <c r="AQ122">
        <f>IF($A122="","",IF(ALLOC!$N$2="VOL_EFF",$T122,IF(ALLOC!$N$2="VOL_CLASS",$U122,$V122)))</f>
        <v>2704</v>
      </c>
      <c r="AR122">
        <f t="shared" si="46"/>
        <v>13485.387311773227</v>
      </c>
    </row>
    <row r="123" spans="1:44" x14ac:dyDescent="0.45">
      <c r="A123" t="str">
        <f>IF(Allocation2!D123="","",Allocation2!D123)</f>
        <v>2024</v>
      </c>
      <c r="B123" t="str">
        <f>IF(Allocation2!E123="","",Allocation2!E123)</f>
        <v>MBWAY_LYO</v>
      </c>
      <c r="C123" t="str">
        <f>IF(Allocation2!F123="","",Allocation2!F123)</f>
        <v>MBWAY</v>
      </c>
      <c r="D123" t="str">
        <f>IF(Allocation2!G123="","",Allocation2!G123)</f>
        <v>BAC_MGT</v>
      </c>
      <c r="E123" t="str">
        <f>IF(Allocation2!H123="","",Allocation2!H123)</f>
        <v>B1</v>
      </c>
      <c r="F123" t="str">
        <f>IF(Allocation2!I123="","",Allocation2!I123)</f>
        <v>INIT</v>
      </c>
      <c r="G123">
        <f>IF(Allocation2!E123="","",Allocation2!J123)</f>
        <v>59</v>
      </c>
      <c r="H123">
        <f>IF(Allocation2!E123="","",Allocation2!K123)</f>
        <v>3</v>
      </c>
      <c r="I123">
        <f>IF(Allocation2!E123="","",Allocation2!L123)</f>
        <v>469935</v>
      </c>
      <c r="J123">
        <f>IF($A123="","",Allocation2!X123)</f>
        <v>59</v>
      </c>
      <c r="K123">
        <f t="shared" si="28"/>
        <v>1800</v>
      </c>
      <c r="L123">
        <f t="shared" si="47"/>
        <v>289</v>
      </c>
      <c r="M123">
        <f t="shared" si="48"/>
        <v>13</v>
      </c>
      <c r="N123">
        <f t="shared" si="49"/>
        <v>2227170</v>
      </c>
      <c r="O123">
        <f t="shared" si="32"/>
        <v>6240</v>
      </c>
      <c r="P123">
        <f t="shared" si="33"/>
        <v>118</v>
      </c>
      <c r="Q123">
        <f t="shared" si="50"/>
        <v>1112</v>
      </c>
      <c r="R123">
        <f t="shared" si="51"/>
        <v>50</v>
      </c>
      <c r="S123">
        <f t="shared" si="52"/>
        <v>8517270</v>
      </c>
      <c r="T123">
        <f t="shared" si="53"/>
        <v>2704</v>
      </c>
      <c r="U123">
        <f t="shared" si="54"/>
        <v>131</v>
      </c>
      <c r="V123">
        <f t="shared" si="55"/>
        <v>20076860</v>
      </c>
      <c r="W123">
        <f>IF($A123="","",Allocation2!Y123)</f>
        <v>143235</v>
      </c>
      <c r="X123">
        <f>IF($A123="","",Allocation2!Z123)</f>
        <v>330938</v>
      </c>
      <c r="Y123">
        <f>IF($A123="","",Allocation2!AA123)</f>
        <v>110025</v>
      </c>
      <c r="Z123">
        <f>IF($A123="","",Allocation2!AB123)</f>
        <v>34532</v>
      </c>
      <c r="AA123">
        <f>IF($A123="","",Allocation2!AC123)</f>
        <v>782854</v>
      </c>
      <c r="AB123">
        <f>IF($A123="","",Allocation2!AD123)</f>
        <v>2639292</v>
      </c>
      <c r="AC123">
        <f>IF($A123="","",IF(ALLOC!$N$4="VOL_EFF",$G123,IF(ALLOC!$N$4="VOL_CLASS",$H123,$I123)))</f>
        <v>59</v>
      </c>
      <c r="AD123">
        <f>IF($A123="","",IF(ALLOC!$N$4="VOL_EFF",$L123,IF(ALLOC!$N$4="VOL_CLASS",$M123,$N123)))</f>
        <v>289</v>
      </c>
      <c r="AE123">
        <f>IF($A123="","",IF(ALLOC!$N$3="VOL_EFF",$L123,IF(ALLOC!$N$3="VOL_CLASS",$M123,$N123)))</f>
        <v>2227170</v>
      </c>
      <c r="AF123">
        <f>IF($A123="","",IF(ALLOC!$N$3="VOL_EFF",$Q123,IF(ALLOC!$N$3="VOL_CLASS",$R123,$S123)))</f>
        <v>8517270</v>
      </c>
      <c r="AG123">
        <f>IF($A123="","",IF(ALLOC!$N$1="VOL_EFF",$Q123,IF(ALLOC!$N$1="VOL_CLASS",$R123,$S123)))</f>
        <v>1112</v>
      </c>
      <c r="AH123">
        <f>IF($A123="","",IF(ALLOC!$N$1="VOL_EFF",$T123,IF(ALLOC!$N$1="VOL_CLASS",$U123,$V123)))</f>
        <v>2704</v>
      </c>
      <c r="AI123">
        <f t="shared" si="40"/>
        <v>41317.788461538461</v>
      </c>
      <c r="AJ123">
        <f t="shared" si="41"/>
        <v>95462.88461538461</v>
      </c>
      <c r="AK123">
        <f t="shared" si="42"/>
        <v>39727.851211072659</v>
      </c>
      <c r="AL123">
        <f t="shared" si="43"/>
        <v>159821.40484429066</v>
      </c>
      <c r="AM123">
        <f t="shared" si="44"/>
        <v>57941.890829439348</v>
      </c>
      <c r="AN123">
        <f t="shared" si="45"/>
        <v>64688.017867965682</v>
      </c>
      <c r="AO123">
        <f>IF($A123="","",Allocation2!AE123)</f>
        <v>499926</v>
      </c>
      <c r="AP123">
        <f>IF($A123="","",IF(ALLOC!$N$2="VOL_EFF",$Q123,IF(ALLOC!$N$2="VOL_CLASS",$R123,$S123)))</f>
        <v>1112</v>
      </c>
      <c r="AQ123">
        <f>IF($A123="","",IF(ALLOC!$N$2="VOL_EFF",$T123,IF(ALLOC!$N$2="VOL_CLASS",$U123,$V123)))</f>
        <v>2704</v>
      </c>
      <c r="AR123">
        <f t="shared" si="46"/>
        <v>10975.162170308666</v>
      </c>
    </row>
    <row r="124" spans="1:44" x14ac:dyDescent="0.45">
      <c r="A124" t="str">
        <f>IF(Allocation2!D124="","",Allocation2!D124)</f>
        <v>2024</v>
      </c>
      <c r="B124" t="str">
        <f>IF(Allocation2!E124="","",Allocation2!E124)</f>
        <v>MBWAY_LYO</v>
      </c>
      <c r="C124" t="str">
        <f>IF(Allocation2!F124="","",Allocation2!F124)</f>
        <v>MBWAY</v>
      </c>
      <c r="D124" t="str">
        <f>IF(Allocation2!G124="","",Allocation2!G124)</f>
        <v>BAC_MGT</v>
      </c>
      <c r="E124" t="str">
        <f>IF(Allocation2!H124="","",Allocation2!H124)</f>
        <v>B2</v>
      </c>
      <c r="F124" t="str">
        <f>IF(Allocation2!I124="","",Allocation2!I124)</f>
        <v>ALT</v>
      </c>
      <c r="G124">
        <f>IF(Allocation2!E124="","",Allocation2!J124)</f>
        <v>57</v>
      </c>
      <c r="H124">
        <f>IF(Allocation2!E124="","",Allocation2!K124)</f>
        <v>2</v>
      </c>
      <c r="I124">
        <f>IF(Allocation2!E124="","",Allocation2!L124)</f>
        <v>418950</v>
      </c>
      <c r="J124">
        <f>IF($A124="","",Allocation2!X124)</f>
        <v>0</v>
      </c>
      <c r="K124">
        <f t="shared" si="28"/>
        <v>960</v>
      </c>
      <c r="L124">
        <f t="shared" si="47"/>
        <v>289</v>
      </c>
      <c r="M124">
        <f t="shared" si="48"/>
        <v>13</v>
      </c>
      <c r="N124">
        <f t="shared" si="49"/>
        <v>2227170</v>
      </c>
      <c r="O124">
        <f t="shared" si="32"/>
        <v>6240</v>
      </c>
      <c r="P124">
        <f t="shared" si="33"/>
        <v>118</v>
      </c>
      <c r="Q124">
        <f t="shared" si="50"/>
        <v>1112</v>
      </c>
      <c r="R124">
        <f t="shared" si="51"/>
        <v>50</v>
      </c>
      <c r="S124">
        <f t="shared" si="52"/>
        <v>8517270</v>
      </c>
      <c r="T124">
        <f t="shared" si="53"/>
        <v>2704</v>
      </c>
      <c r="U124">
        <f t="shared" si="54"/>
        <v>131</v>
      </c>
      <c r="V124">
        <f t="shared" si="55"/>
        <v>20076860</v>
      </c>
      <c r="W124">
        <f>IF($A124="","",Allocation2!Y124)</f>
        <v>143235</v>
      </c>
      <c r="X124">
        <f>IF($A124="","",Allocation2!Z124)</f>
        <v>330938</v>
      </c>
      <c r="Y124">
        <f>IF($A124="","",Allocation2!AA124)</f>
        <v>110025</v>
      </c>
      <c r="Z124">
        <f>IF($A124="","",Allocation2!AB124)</f>
        <v>34532</v>
      </c>
      <c r="AA124">
        <f>IF($A124="","",Allocation2!AC124)</f>
        <v>782854</v>
      </c>
      <c r="AB124">
        <f>IF($A124="","",Allocation2!AD124)</f>
        <v>2639292</v>
      </c>
      <c r="AC124">
        <f>IF($A124="","",IF(ALLOC!$N$4="VOL_EFF",$G124,IF(ALLOC!$N$4="VOL_CLASS",$H124,$I124)))</f>
        <v>57</v>
      </c>
      <c r="AD124">
        <f>IF($A124="","",IF(ALLOC!$N$4="VOL_EFF",$L124,IF(ALLOC!$N$4="VOL_CLASS",$M124,$N124)))</f>
        <v>289</v>
      </c>
      <c r="AE124">
        <f>IF($A124="","",IF(ALLOC!$N$3="VOL_EFF",$L124,IF(ALLOC!$N$3="VOL_CLASS",$M124,$N124)))</f>
        <v>2227170</v>
      </c>
      <c r="AF124">
        <f>IF($A124="","",IF(ALLOC!$N$3="VOL_EFF",$Q124,IF(ALLOC!$N$3="VOL_CLASS",$R124,$S124)))</f>
        <v>8517270</v>
      </c>
      <c r="AG124">
        <f>IF($A124="","",IF(ALLOC!$N$1="VOL_EFF",$Q124,IF(ALLOC!$N$1="VOL_CLASS",$R124,$S124)))</f>
        <v>1112</v>
      </c>
      <c r="AH124">
        <f>IF($A124="","",IF(ALLOC!$N$1="VOL_EFF",$T124,IF(ALLOC!$N$1="VOL_CLASS",$U124,$V124)))</f>
        <v>2704</v>
      </c>
      <c r="AI124">
        <f t="shared" si="40"/>
        <v>22036.153846153848</v>
      </c>
      <c r="AJ124">
        <f t="shared" si="41"/>
        <v>50913.538461538461</v>
      </c>
      <c r="AK124">
        <f t="shared" si="42"/>
        <v>21700.432525951557</v>
      </c>
      <c r="AL124">
        <f t="shared" si="43"/>
        <v>154403.73010380621</v>
      </c>
      <c r="AM124">
        <f t="shared" si="44"/>
        <v>55977.758936915983</v>
      </c>
      <c r="AN124">
        <f t="shared" si="45"/>
        <v>103315.26335092896</v>
      </c>
      <c r="AO124">
        <f>IF($A124="","",Allocation2!AE124)</f>
        <v>499926</v>
      </c>
      <c r="AP124">
        <f>IF($A124="","",IF(ALLOC!$N$2="VOL_EFF",$Q124,IF(ALLOC!$N$2="VOL_CLASS",$R124,$S124)))</f>
        <v>1112</v>
      </c>
      <c r="AQ124">
        <f>IF($A124="","",IF(ALLOC!$N$2="VOL_EFF",$T124,IF(ALLOC!$N$2="VOL_CLASS",$U124,$V124)))</f>
        <v>2704</v>
      </c>
      <c r="AR124">
        <f t="shared" si="46"/>
        <v>10603.122774704983</v>
      </c>
    </row>
    <row r="125" spans="1:44" x14ac:dyDescent="0.45">
      <c r="A125" t="str">
        <f>IF(Allocation2!D125="","",Allocation2!D125)</f>
        <v>2024</v>
      </c>
      <c r="B125" t="str">
        <f>IF(Allocation2!E125="","",Allocation2!E125)</f>
        <v>MBWAY_LYO</v>
      </c>
      <c r="C125" t="str">
        <f>IF(Allocation2!F125="","",Allocation2!F125)</f>
        <v>MBWAY</v>
      </c>
      <c r="D125" t="str">
        <f>IF(Allocation2!G125="","",Allocation2!G125)</f>
        <v>BAC_MGT</v>
      </c>
      <c r="E125" t="str">
        <f>IF(Allocation2!H125="","",Allocation2!H125)</f>
        <v>B3</v>
      </c>
      <c r="F125" t="str">
        <f>IF(Allocation2!I125="","",Allocation2!I125)</f>
        <v>ALT</v>
      </c>
      <c r="G125">
        <f>IF(Allocation2!E125="","",Allocation2!J125)</f>
        <v>56</v>
      </c>
      <c r="H125">
        <f>IF(Allocation2!E125="","",Allocation2!K125)</f>
        <v>2</v>
      </c>
      <c r="I125">
        <f>IF(Allocation2!E125="","",Allocation2!L125)</f>
        <v>411600</v>
      </c>
      <c r="J125">
        <f>IF($A125="","",Allocation2!X125)</f>
        <v>0</v>
      </c>
      <c r="K125">
        <f t="shared" si="28"/>
        <v>960</v>
      </c>
      <c r="L125">
        <f t="shared" si="47"/>
        <v>289</v>
      </c>
      <c r="M125">
        <f t="shared" si="48"/>
        <v>13</v>
      </c>
      <c r="N125">
        <f t="shared" si="49"/>
        <v>2227170</v>
      </c>
      <c r="O125">
        <f t="shared" si="32"/>
        <v>6240</v>
      </c>
      <c r="P125">
        <f t="shared" si="33"/>
        <v>118</v>
      </c>
      <c r="Q125">
        <f t="shared" si="50"/>
        <v>1112</v>
      </c>
      <c r="R125">
        <f t="shared" si="51"/>
        <v>50</v>
      </c>
      <c r="S125">
        <f t="shared" si="52"/>
        <v>8517270</v>
      </c>
      <c r="T125">
        <f t="shared" si="53"/>
        <v>2704</v>
      </c>
      <c r="U125">
        <f t="shared" si="54"/>
        <v>131</v>
      </c>
      <c r="V125">
        <f t="shared" si="55"/>
        <v>20076860</v>
      </c>
      <c r="W125">
        <f>IF($A125="","",Allocation2!Y125)</f>
        <v>143235</v>
      </c>
      <c r="X125">
        <f>IF($A125="","",Allocation2!Z125)</f>
        <v>330938</v>
      </c>
      <c r="Y125">
        <f>IF($A125="","",Allocation2!AA125)</f>
        <v>110025</v>
      </c>
      <c r="Z125">
        <f>IF($A125="","",Allocation2!AB125)</f>
        <v>34532</v>
      </c>
      <c r="AA125">
        <f>IF($A125="","",Allocation2!AC125)</f>
        <v>782854</v>
      </c>
      <c r="AB125">
        <f>IF($A125="","",Allocation2!AD125)</f>
        <v>2639292</v>
      </c>
      <c r="AC125">
        <f>IF($A125="","",IF(ALLOC!$N$4="VOL_EFF",$G125,IF(ALLOC!$N$4="VOL_CLASS",$H125,$I125)))</f>
        <v>56</v>
      </c>
      <c r="AD125">
        <f>IF($A125="","",IF(ALLOC!$N$4="VOL_EFF",$L125,IF(ALLOC!$N$4="VOL_CLASS",$M125,$N125)))</f>
        <v>289</v>
      </c>
      <c r="AE125">
        <f>IF($A125="","",IF(ALLOC!$N$3="VOL_EFF",$L125,IF(ALLOC!$N$3="VOL_CLASS",$M125,$N125)))</f>
        <v>2227170</v>
      </c>
      <c r="AF125">
        <f>IF($A125="","",IF(ALLOC!$N$3="VOL_EFF",$Q125,IF(ALLOC!$N$3="VOL_CLASS",$R125,$S125)))</f>
        <v>8517270</v>
      </c>
      <c r="AG125">
        <f>IF($A125="","",IF(ALLOC!$N$1="VOL_EFF",$Q125,IF(ALLOC!$N$1="VOL_CLASS",$R125,$S125)))</f>
        <v>1112</v>
      </c>
      <c r="AH125">
        <f>IF($A125="","",IF(ALLOC!$N$1="VOL_EFF",$T125,IF(ALLOC!$N$1="VOL_CLASS",$U125,$V125)))</f>
        <v>2704</v>
      </c>
      <c r="AI125">
        <f t="shared" si="40"/>
        <v>22036.153846153848</v>
      </c>
      <c r="AJ125">
        <f t="shared" si="41"/>
        <v>50913.538461538461</v>
      </c>
      <c r="AK125">
        <f t="shared" si="42"/>
        <v>21319.723183391005</v>
      </c>
      <c r="AL125">
        <f t="shared" si="43"/>
        <v>151694.89273356402</v>
      </c>
      <c r="AM125">
        <f t="shared" si="44"/>
        <v>54995.692990654301</v>
      </c>
      <c r="AN125">
        <f t="shared" si="45"/>
        <v>100222.89570779522</v>
      </c>
      <c r="AO125">
        <f>IF($A125="","",Allocation2!AE125)</f>
        <v>499926</v>
      </c>
      <c r="AP125">
        <f>IF($A125="","",IF(ALLOC!$N$2="VOL_EFF",$Q125,IF(ALLOC!$N$2="VOL_CLASS",$R125,$S125)))</f>
        <v>1112</v>
      </c>
      <c r="AQ125">
        <f>IF($A125="","",IF(ALLOC!$N$2="VOL_EFF",$T125,IF(ALLOC!$N$2="VOL_CLASS",$U125,$V125)))</f>
        <v>2704</v>
      </c>
      <c r="AR125">
        <f t="shared" si="46"/>
        <v>10417.103076903142</v>
      </c>
    </row>
    <row r="126" spans="1:44" x14ac:dyDescent="0.45">
      <c r="A126" t="str">
        <f>IF(Allocation2!D126="","",Allocation2!D126)</f>
        <v>2024</v>
      </c>
      <c r="B126" t="str">
        <f>IF(Allocation2!E126="","",Allocation2!E126)</f>
        <v>MBWAY_LYO</v>
      </c>
      <c r="C126" t="str">
        <f>IF(Allocation2!F126="","",Allocation2!F126)</f>
        <v>MBWAY</v>
      </c>
      <c r="D126" t="str">
        <f>IF(Allocation2!G126="","",Allocation2!G126)</f>
        <v>MAS_MGT</v>
      </c>
      <c r="E126" t="str">
        <f>IF(Allocation2!H126="","",Allocation2!H126)</f>
        <v>M1</v>
      </c>
      <c r="F126" t="str">
        <f>IF(Allocation2!I126="","",Allocation2!I126)</f>
        <v>ALT</v>
      </c>
      <c r="G126">
        <f>IF(Allocation2!E126="","",Allocation2!J126)</f>
        <v>59</v>
      </c>
      <c r="H126">
        <f>IF(Allocation2!E126="","",Allocation2!K126)</f>
        <v>3</v>
      </c>
      <c r="I126">
        <f>IF(Allocation2!E126="","",Allocation2!L126)</f>
        <v>469935</v>
      </c>
      <c r="J126">
        <f>IF($A126="","",Allocation2!X126)</f>
        <v>59</v>
      </c>
      <c r="K126">
        <f t="shared" si="28"/>
        <v>1260</v>
      </c>
      <c r="L126">
        <f t="shared" si="47"/>
        <v>289</v>
      </c>
      <c r="M126">
        <f t="shared" si="48"/>
        <v>13</v>
      </c>
      <c r="N126">
        <f t="shared" si="49"/>
        <v>2227170</v>
      </c>
      <c r="O126">
        <f t="shared" si="32"/>
        <v>6240</v>
      </c>
      <c r="P126">
        <f t="shared" si="33"/>
        <v>118</v>
      </c>
      <c r="Q126">
        <f t="shared" si="50"/>
        <v>1112</v>
      </c>
      <c r="R126">
        <f t="shared" si="51"/>
        <v>50</v>
      </c>
      <c r="S126">
        <f t="shared" si="52"/>
        <v>8517270</v>
      </c>
      <c r="T126">
        <f t="shared" si="53"/>
        <v>2704</v>
      </c>
      <c r="U126">
        <f t="shared" si="54"/>
        <v>131</v>
      </c>
      <c r="V126">
        <f t="shared" si="55"/>
        <v>20076860</v>
      </c>
      <c r="W126">
        <f>IF($A126="","",Allocation2!Y126)</f>
        <v>143235</v>
      </c>
      <c r="X126">
        <f>IF($A126="","",Allocation2!Z126)</f>
        <v>330938</v>
      </c>
      <c r="Y126">
        <f>IF($A126="","",Allocation2!AA126)</f>
        <v>110025</v>
      </c>
      <c r="Z126">
        <f>IF($A126="","",Allocation2!AB126)</f>
        <v>34532</v>
      </c>
      <c r="AA126">
        <f>IF($A126="","",Allocation2!AC126)</f>
        <v>782854</v>
      </c>
      <c r="AB126">
        <f>IF($A126="","",Allocation2!AD126)</f>
        <v>2639292</v>
      </c>
      <c r="AC126">
        <f>IF($A126="","",IF(ALLOC!$N$4="VOL_EFF",$G126,IF(ALLOC!$N$4="VOL_CLASS",$H126,$I126)))</f>
        <v>59</v>
      </c>
      <c r="AD126">
        <f>IF($A126="","",IF(ALLOC!$N$4="VOL_EFF",$L126,IF(ALLOC!$N$4="VOL_CLASS",$M126,$N126)))</f>
        <v>289</v>
      </c>
      <c r="AE126">
        <f>IF($A126="","",IF(ALLOC!$N$3="VOL_EFF",$L126,IF(ALLOC!$N$3="VOL_CLASS",$M126,$N126)))</f>
        <v>2227170</v>
      </c>
      <c r="AF126">
        <f>IF($A126="","",IF(ALLOC!$N$3="VOL_EFF",$Q126,IF(ALLOC!$N$3="VOL_CLASS",$R126,$S126)))</f>
        <v>8517270</v>
      </c>
      <c r="AG126">
        <f>IF($A126="","",IF(ALLOC!$N$1="VOL_EFF",$Q126,IF(ALLOC!$N$1="VOL_CLASS",$R126,$S126)))</f>
        <v>1112</v>
      </c>
      <c r="AH126">
        <f>IF($A126="","",IF(ALLOC!$N$1="VOL_EFF",$T126,IF(ALLOC!$N$1="VOL_CLASS",$U126,$V126)))</f>
        <v>2704</v>
      </c>
      <c r="AI126">
        <f t="shared" si="40"/>
        <v>28922.451923076922</v>
      </c>
      <c r="AJ126">
        <f t="shared" si="41"/>
        <v>66824.019230769234</v>
      </c>
      <c r="AK126">
        <f t="shared" si="42"/>
        <v>39727.851211072659</v>
      </c>
      <c r="AL126">
        <f t="shared" si="43"/>
        <v>159821.40484429066</v>
      </c>
      <c r="AM126">
        <f t="shared" si="44"/>
        <v>57941.890829439348</v>
      </c>
      <c r="AN126">
        <f t="shared" si="45"/>
        <v>105722.21979104256</v>
      </c>
      <c r="AO126">
        <f>IF($A126="","",Allocation2!AE126)</f>
        <v>499926</v>
      </c>
      <c r="AP126">
        <f>IF($A126="","",IF(ALLOC!$N$2="VOL_EFF",$Q126,IF(ALLOC!$N$2="VOL_CLASS",$R126,$S126)))</f>
        <v>1112</v>
      </c>
      <c r="AQ126">
        <f>IF($A126="","",IF(ALLOC!$N$2="VOL_EFF",$T126,IF(ALLOC!$N$2="VOL_CLASS",$U126,$V126)))</f>
        <v>2704</v>
      </c>
      <c r="AR126">
        <f t="shared" si="46"/>
        <v>10975.162170308666</v>
      </c>
    </row>
    <row r="127" spans="1:44" x14ac:dyDescent="0.45">
      <c r="A127" t="str">
        <f>IF(Allocation2!D127="","",Allocation2!D127)</f>
        <v>2024</v>
      </c>
      <c r="B127" t="str">
        <f>IF(Allocation2!E127="","",Allocation2!E127)</f>
        <v>MBWAY_LYO</v>
      </c>
      <c r="C127" t="str">
        <f>IF(Allocation2!F127="","",Allocation2!F127)</f>
        <v>MBWAY</v>
      </c>
      <c r="D127" t="str">
        <f>IF(Allocation2!G127="","",Allocation2!G127)</f>
        <v>MAS_MGT</v>
      </c>
      <c r="E127" t="str">
        <f>IF(Allocation2!H127="","",Allocation2!H127)</f>
        <v>M2</v>
      </c>
      <c r="F127" t="str">
        <f>IF(Allocation2!I127="","",Allocation2!I127)</f>
        <v>ALT</v>
      </c>
      <c r="G127">
        <f>IF(Allocation2!E127="","",Allocation2!J127)</f>
        <v>58</v>
      </c>
      <c r="H127">
        <f>IF(Allocation2!E127="","",Allocation2!K127)</f>
        <v>3</v>
      </c>
      <c r="I127">
        <f>IF(Allocation2!E127="","",Allocation2!L127)</f>
        <v>456750</v>
      </c>
      <c r="J127">
        <f>IF($A127="","",Allocation2!X127)</f>
        <v>0</v>
      </c>
      <c r="K127">
        <f t="shared" si="28"/>
        <v>1260</v>
      </c>
      <c r="L127">
        <f t="shared" si="47"/>
        <v>289</v>
      </c>
      <c r="M127">
        <f t="shared" si="48"/>
        <v>13</v>
      </c>
      <c r="N127">
        <f t="shared" si="49"/>
        <v>2227170</v>
      </c>
      <c r="O127">
        <f t="shared" si="32"/>
        <v>6240</v>
      </c>
      <c r="P127">
        <f t="shared" si="33"/>
        <v>118</v>
      </c>
      <c r="Q127">
        <f t="shared" si="50"/>
        <v>1112</v>
      </c>
      <c r="R127">
        <f t="shared" si="51"/>
        <v>50</v>
      </c>
      <c r="S127">
        <f t="shared" si="52"/>
        <v>8517270</v>
      </c>
      <c r="T127">
        <f t="shared" si="53"/>
        <v>2704</v>
      </c>
      <c r="U127">
        <f t="shared" si="54"/>
        <v>131</v>
      </c>
      <c r="V127">
        <f t="shared" si="55"/>
        <v>20076860</v>
      </c>
      <c r="W127">
        <f>IF($A127="","",Allocation2!Y127)</f>
        <v>143235</v>
      </c>
      <c r="X127">
        <f>IF($A127="","",Allocation2!Z127)</f>
        <v>330938</v>
      </c>
      <c r="Y127">
        <f>IF($A127="","",Allocation2!AA127)</f>
        <v>110025</v>
      </c>
      <c r="Z127">
        <f>IF($A127="","",Allocation2!AB127)</f>
        <v>34532</v>
      </c>
      <c r="AA127">
        <f>IF($A127="","",Allocation2!AC127)</f>
        <v>782854</v>
      </c>
      <c r="AB127">
        <f>IF($A127="","",Allocation2!AD127)</f>
        <v>2639292</v>
      </c>
      <c r="AC127">
        <f>IF($A127="","",IF(ALLOC!$N$4="VOL_EFF",$G127,IF(ALLOC!$N$4="VOL_CLASS",$H127,$I127)))</f>
        <v>58</v>
      </c>
      <c r="AD127">
        <f>IF($A127="","",IF(ALLOC!$N$4="VOL_EFF",$L127,IF(ALLOC!$N$4="VOL_CLASS",$M127,$N127)))</f>
        <v>289</v>
      </c>
      <c r="AE127">
        <f>IF($A127="","",IF(ALLOC!$N$3="VOL_EFF",$L127,IF(ALLOC!$N$3="VOL_CLASS",$M127,$N127)))</f>
        <v>2227170</v>
      </c>
      <c r="AF127">
        <f>IF($A127="","",IF(ALLOC!$N$3="VOL_EFF",$Q127,IF(ALLOC!$N$3="VOL_CLASS",$R127,$S127)))</f>
        <v>8517270</v>
      </c>
      <c r="AG127">
        <f>IF($A127="","",IF(ALLOC!$N$1="VOL_EFF",$Q127,IF(ALLOC!$N$1="VOL_CLASS",$R127,$S127)))</f>
        <v>1112</v>
      </c>
      <c r="AH127">
        <f>IF($A127="","",IF(ALLOC!$N$1="VOL_EFF",$T127,IF(ALLOC!$N$1="VOL_CLASS",$U127,$V127)))</f>
        <v>2704</v>
      </c>
      <c r="AI127">
        <f t="shared" si="40"/>
        <v>28922.451923076922</v>
      </c>
      <c r="AJ127">
        <f t="shared" si="41"/>
        <v>66824.019230769234</v>
      </c>
      <c r="AK127">
        <f t="shared" si="42"/>
        <v>22081.14186851211</v>
      </c>
      <c r="AL127">
        <f t="shared" si="43"/>
        <v>157112.56747404844</v>
      </c>
      <c r="AM127">
        <f t="shared" si="44"/>
        <v>56959.824883177665</v>
      </c>
      <c r="AN127">
        <f t="shared" si="45"/>
        <v>114060.85214790876</v>
      </c>
      <c r="AO127">
        <f>IF($A127="","",Allocation2!AE127)</f>
        <v>499926</v>
      </c>
      <c r="AP127">
        <f>IF($A127="","",IF(ALLOC!$N$2="VOL_EFF",$Q127,IF(ALLOC!$N$2="VOL_CLASS",$R127,$S127)))</f>
        <v>1112</v>
      </c>
      <c r="AQ127">
        <f>IF($A127="","",IF(ALLOC!$N$2="VOL_EFF",$T127,IF(ALLOC!$N$2="VOL_CLASS",$U127,$V127)))</f>
        <v>2704</v>
      </c>
      <c r="AR127">
        <f t="shared" si="46"/>
        <v>10789.142472506825</v>
      </c>
    </row>
    <row r="128" spans="1:44" x14ac:dyDescent="0.45">
      <c r="A128" t="str">
        <f>IF(Allocation2!D128="","",Allocation2!D128)</f>
        <v>2024</v>
      </c>
      <c r="B128" t="str">
        <f>IF(Allocation2!E128="","",Allocation2!E128)</f>
        <v>MBWAY_NAN</v>
      </c>
      <c r="C128" t="str">
        <f>IF(Allocation2!F128="","",Allocation2!F128)</f>
        <v>MBWAY</v>
      </c>
      <c r="D128" t="str">
        <f>IF(Allocation2!G128="","",Allocation2!G128)</f>
        <v>BAC_MGT</v>
      </c>
      <c r="E128" t="str">
        <f>IF(Allocation2!H128="","",Allocation2!H128)</f>
        <v>B1</v>
      </c>
      <c r="F128" t="str">
        <f>IF(Allocation2!I128="","",Allocation2!I128)</f>
        <v>INIT</v>
      </c>
      <c r="G128">
        <f>IF(Allocation2!E128="","",Allocation2!J128)</f>
        <v>53</v>
      </c>
      <c r="H128">
        <f>IF(Allocation2!E128="","",Allocation2!K128)</f>
        <v>2</v>
      </c>
      <c r="I128">
        <f>IF(Allocation2!E128="","",Allocation2!L128)</f>
        <v>402270</v>
      </c>
      <c r="J128">
        <f>IF($A128="","",Allocation2!X128)</f>
        <v>53</v>
      </c>
      <c r="K128">
        <f t="shared" si="28"/>
        <v>1200</v>
      </c>
      <c r="L128">
        <f t="shared" si="47"/>
        <v>262</v>
      </c>
      <c r="M128">
        <f t="shared" si="48"/>
        <v>12</v>
      </c>
      <c r="N128">
        <f t="shared" si="49"/>
        <v>1923040</v>
      </c>
      <c r="O128">
        <f t="shared" si="32"/>
        <v>5640</v>
      </c>
      <c r="P128">
        <f t="shared" si="33"/>
        <v>106</v>
      </c>
      <c r="Q128">
        <f t="shared" si="50"/>
        <v>1112</v>
      </c>
      <c r="R128">
        <f t="shared" si="51"/>
        <v>50</v>
      </c>
      <c r="S128">
        <f t="shared" si="52"/>
        <v>8517270</v>
      </c>
      <c r="T128">
        <f t="shared" si="53"/>
        <v>2704</v>
      </c>
      <c r="U128">
        <f t="shared" si="54"/>
        <v>131</v>
      </c>
      <c r="V128">
        <f t="shared" si="55"/>
        <v>20076860</v>
      </c>
      <c r="W128">
        <f>IF($A128="","",Allocation2!Y128)</f>
        <v>132216</v>
      </c>
      <c r="X128">
        <f>IF($A128="","",Allocation2!Z128)</f>
        <v>272751</v>
      </c>
      <c r="Y128">
        <f>IF($A128="","",Allocation2!AA128)</f>
        <v>99837</v>
      </c>
      <c r="Z128">
        <f>IF($A128="","",Allocation2!AB128)</f>
        <v>26060</v>
      </c>
      <c r="AA128">
        <f>IF($A128="","",Allocation2!AC128)</f>
        <v>637796</v>
      </c>
      <c r="AB128">
        <f>IF($A128="","",Allocation2!AD128)</f>
        <v>2639292</v>
      </c>
      <c r="AC128">
        <f>IF($A128="","",IF(ALLOC!$N$4="VOL_EFF",$G128,IF(ALLOC!$N$4="VOL_CLASS",$H128,$I128)))</f>
        <v>53</v>
      </c>
      <c r="AD128">
        <f>IF($A128="","",IF(ALLOC!$N$4="VOL_EFF",$L128,IF(ALLOC!$N$4="VOL_CLASS",$M128,$N128)))</f>
        <v>262</v>
      </c>
      <c r="AE128">
        <f>IF($A128="","",IF(ALLOC!$N$3="VOL_EFF",$L128,IF(ALLOC!$N$3="VOL_CLASS",$M128,$N128)))</f>
        <v>1923040</v>
      </c>
      <c r="AF128">
        <f>IF($A128="","",IF(ALLOC!$N$3="VOL_EFF",$Q128,IF(ALLOC!$N$3="VOL_CLASS",$R128,$S128)))</f>
        <v>8517270</v>
      </c>
      <c r="AG128">
        <f>IF($A128="","",IF(ALLOC!$N$1="VOL_EFF",$Q128,IF(ALLOC!$N$1="VOL_CLASS",$R128,$S128)))</f>
        <v>1112</v>
      </c>
      <c r="AH128">
        <f>IF($A128="","",IF(ALLOC!$N$1="VOL_EFF",$T128,IF(ALLOC!$N$1="VOL_CLASS",$U128,$V128)))</f>
        <v>2704</v>
      </c>
      <c r="AI128">
        <f t="shared" si="40"/>
        <v>28131.063829787236</v>
      </c>
      <c r="AJ128">
        <f t="shared" si="41"/>
        <v>58032.127659574471</v>
      </c>
      <c r="AK128">
        <f t="shared" si="42"/>
        <v>33226.034351145034</v>
      </c>
      <c r="AL128">
        <f t="shared" si="43"/>
        <v>129019.80152671757</v>
      </c>
      <c r="AM128">
        <f t="shared" si="44"/>
        <v>49573.321996469625</v>
      </c>
      <c r="AN128">
        <f t="shared" si="45"/>
        <v>94897.635218380718</v>
      </c>
      <c r="AO128">
        <f>IF($A128="","",Allocation2!AE128)</f>
        <v>499926</v>
      </c>
      <c r="AP128">
        <f>IF($A128="","",IF(ALLOC!$N$2="VOL_EFF",$Q128,IF(ALLOC!$N$2="VOL_CLASS",$R128,$S128)))</f>
        <v>1112</v>
      </c>
      <c r="AQ128">
        <f>IF($A128="","",IF(ALLOC!$N$2="VOL_EFF",$T128,IF(ALLOC!$N$2="VOL_CLASS",$U128,$V128)))</f>
        <v>2704</v>
      </c>
      <c r="AR128">
        <f t="shared" si="46"/>
        <v>9390.0154179253659</v>
      </c>
    </row>
    <row r="129" spans="1:44" x14ac:dyDescent="0.45">
      <c r="A129" t="str">
        <f>IF(Allocation2!D129="","",Allocation2!D129)</f>
        <v>2024</v>
      </c>
      <c r="B129" t="str">
        <f>IF(Allocation2!E129="","",Allocation2!E129)</f>
        <v>MBWAY_NAN</v>
      </c>
      <c r="C129" t="str">
        <f>IF(Allocation2!F129="","",Allocation2!F129)</f>
        <v>MBWAY</v>
      </c>
      <c r="D129" t="str">
        <f>IF(Allocation2!G129="","",Allocation2!G129)</f>
        <v>BAC_MGT</v>
      </c>
      <c r="E129" t="str">
        <f>IF(Allocation2!H129="","",Allocation2!H129)</f>
        <v>B2</v>
      </c>
      <c r="F129" t="str">
        <f>IF(Allocation2!I129="","",Allocation2!I129)</f>
        <v>ALT</v>
      </c>
      <c r="G129">
        <f>IF(Allocation2!E129="","",Allocation2!J129)</f>
        <v>52</v>
      </c>
      <c r="H129">
        <f>IF(Allocation2!E129="","",Allocation2!K129)</f>
        <v>2</v>
      </c>
      <c r="I129">
        <f>IF(Allocation2!E129="","",Allocation2!L129)</f>
        <v>364000</v>
      </c>
      <c r="J129">
        <f>IF($A129="","",Allocation2!X129)</f>
        <v>0</v>
      </c>
      <c r="K129">
        <f t="shared" si="28"/>
        <v>960</v>
      </c>
      <c r="L129">
        <f t="shared" si="47"/>
        <v>262</v>
      </c>
      <c r="M129">
        <f t="shared" si="48"/>
        <v>12</v>
      </c>
      <c r="N129">
        <f t="shared" si="49"/>
        <v>1923040</v>
      </c>
      <c r="O129">
        <f t="shared" si="32"/>
        <v>5640</v>
      </c>
      <c r="P129">
        <f t="shared" si="33"/>
        <v>106</v>
      </c>
      <c r="Q129">
        <f t="shared" si="50"/>
        <v>1112</v>
      </c>
      <c r="R129">
        <f t="shared" si="51"/>
        <v>50</v>
      </c>
      <c r="S129">
        <f t="shared" si="52"/>
        <v>8517270</v>
      </c>
      <c r="T129">
        <f t="shared" si="53"/>
        <v>2704</v>
      </c>
      <c r="U129">
        <f t="shared" si="54"/>
        <v>131</v>
      </c>
      <c r="V129">
        <f t="shared" si="55"/>
        <v>20076860</v>
      </c>
      <c r="W129">
        <f>IF($A129="","",Allocation2!Y129)</f>
        <v>132216</v>
      </c>
      <c r="X129">
        <f>IF($A129="","",Allocation2!Z129)</f>
        <v>272751</v>
      </c>
      <c r="Y129">
        <f>IF($A129="","",Allocation2!AA129)</f>
        <v>99837</v>
      </c>
      <c r="Z129">
        <f>IF($A129="","",Allocation2!AB129)</f>
        <v>26060</v>
      </c>
      <c r="AA129">
        <f>IF($A129="","",Allocation2!AC129)</f>
        <v>637796</v>
      </c>
      <c r="AB129">
        <f>IF($A129="","",Allocation2!AD129)</f>
        <v>2639292</v>
      </c>
      <c r="AC129">
        <f>IF($A129="","",IF(ALLOC!$N$4="VOL_EFF",$G129,IF(ALLOC!$N$4="VOL_CLASS",$H129,$I129)))</f>
        <v>52</v>
      </c>
      <c r="AD129">
        <f>IF($A129="","",IF(ALLOC!$N$4="VOL_EFF",$L129,IF(ALLOC!$N$4="VOL_CLASS",$M129,$N129)))</f>
        <v>262</v>
      </c>
      <c r="AE129">
        <f>IF($A129="","",IF(ALLOC!$N$3="VOL_EFF",$L129,IF(ALLOC!$N$3="VOL_CLASS",$M129,$N129)))</f>
        <v>1923040</v>
      </c>
      <c r="AF129">
        <f>IF($A129="","",IF(ALLOC!$N$3="VOL_EFF",$Q129,IF(ALLOC!$N$3="VOL_CLASS",$R129,$S129)))</f>
        <v>8517270</v>
      </c>
      <c r="AG129">
        <f>IF($A129="","",IF(ALLOC!$N$1="VOL_EFF",$Q129,IF(ALLOC!$N$1="VOL_CLASS",$R129,$S129)))</f>
        <v>1112</v>
      </c>
      <c r="AH129">
        <f>IF($A129="","",IF(ALLOC!$N$1="VOL_EFF",$T129,IF(ALLOC!$N$1="VOL_CLASS",$U129,$V129)))</f>
        <v>2704</v>
      </c>
      <c r="AI129">
        <f t="shared" si="40"/>
        <v>22504.851063829788</v>
      </c>
      <c r="AJ129">
        <f t="shared" si="41"/>
        <v>46425.702127659577</v>
      </c>
      <c r="AK129">
        <f t="shared" si="42"/>
        <v>19814.977099236639</v>
      </c>
      <c r="AL129">
        <f t="shared" si="43"/>
        <v>126585.46564885497</v>
      </c>
      <c r="AM129">
        <f t="shared" si="44"/>
        <v>48637.976298423026</v>
      </c>
      <c r="AN129">
        <f t="shared" si="45"/>
        <v>90818.182446295687</v>
      </c>
      <c r="AO129">
        <f>IF($A129="","",Allocation2!AE129)</f>
        <v>499926</v>
      </c>
      <c r="AP129">
        <f>IF($A129="","",IF(ALLOC!$N$2="VOL_EFF",$Q129,IF(ALLOC!$N$2="VOL_CLASS",$R129,$S129)))</f>
        <v>1112</v>
      </c>
      <c r="AQ129">
        <f>IF($A129="","",IF(ALLOC!$N$2="VOL_EFF",$T129,IF(ALLOC!$N$2="VOL_CLASS",$U129,$V129)))</f>
        <v>2704</v>
      </c>
      <c r="AR129">
        <f t="shared" si="46"/>
        <v>9212.8453157003587</v>
      </c>
    </row>
    <row r="130" spans="1:44" x14ac:dyDescent="0.45">
      <c r="A130" t="str">
        <f>IF(Allocation2!D130="","",Allocation2!D130)</f>
        <v>2024</v>
      </c>
      <c r="B130" t="str">
        <f>IF(Allocation2!E130="","",Allocation2!E130)</f>
        <v>MBWAY_NAN</v>
      </c>
      <c r="C130" t="str">
        <f>IF(Allocation2!F130="","",Allocation2!F130)</f>
        <v>MBWAY</v>
      </c>
      <c r="D130" t="str">
        <f>IF(Allocation2!G130="","",Allocation2!G130)</f>
        <v>BAC_MGT</v>
      </c>
      <c r="E130" t="str">
        <f>IF(Allocation2!H130="","",Allocation2!H130)</f>
        <v>B3</v>
      </c>
      <c r="F130" t="str">
        <f>IF(Allocation2!I130="","",Allocation2!I130)</f>
        <v>ALT</v>
      </c>
      <c r="G130">
        <f>IF(Allocation2!E130="","",Allocation2!J130)</f>
        <v>51</v>
      </c>
      <c r="H130">
        <f>IF(Allocation2!E130="","",Allocation2!K130)</f>
        <v>2</v>
      </c>
      <c r="I130">
        <f>IF(Allocation2!E130="","",Allocation2!L130)</f>
        <v>357000</v>
      </c>
      <c r="J130">
        <f>IF($A130="","",Allocation2!X130)</f>
        <v>0</v>
      </c>
      <c r="K130">
        <f t="shared" ref="K130:K175" si="56">IF($A130="","",$H130*IF(AND(LEFT($D130,3)="BAC",$F130="INIT"),600,IF(LEFT($D130,3)="BAC",480,IF(AND(LEFT($D130,3)="MAS",$F130="INIT"),520,IF(LEFT($D130,3)="MAS",420,IF($F130="INIT",1000,700))))))</f>
        <v>960</v>
      </c>
      <c r="L130">
        <f t="shared" ref="L130:L161" si="57">IF($A130="","",SUMIFS($G$1:$G$175,$A$1:$A$175,$A130,$B$1:$B$175,$B130))</f>
        <v>262</v>
      </c>
      <c r="M130">
        <f t="shared" ref="M130:M161" si="58">IF($A130="","",SUMIFS($H$1:$H$175,$A$1:$A$175,$A130,$B$1:$B$175,$B130))</f>
        <v>12</v>
      </c>
      <c r="N130">
        <f t="shared" ref="N130:N161" si="59">IF($A130="","",SUMIFS($I$1:$I$175,$A$1:$A$175,$A130,$B$1:$B$175,$B130))</f>
        <v>1923040</v>
      </c>
      <c r="O130">
        <f t="shared" ref="O130:O175" si="60">IF($A130="","",SUMIFS($K$1:$K$175,$A$1:$A$175,$A130,$B$1:$B$175,$B130))</f>
        <v>5640</v>
      </c>
      <c r="P130">
        <f t="shared" ref="P130:P175" si="61">IF($A130="","",SUMIFS($J$1:$J$175,$A$1:$A$175,$A130,$B$1:$B$175,$B130))</f>
        <v>106</v>
      </c>
      <c r="Q130">
        <f t="shared" ref="Q130:Q161" si="62">IF($A130="","",SUMIFS($G$1:$G$175,$A$1:$A$175,$A130,$C$1:$C$175,$C130))</f>
        <v>1112</v>
      </c>
      <c r="R130">
        <f t="shared" ref="R130:R161" si="63">IF($A130="","",SUMIFS($H$1:$H$175,$A$1:$A$175,$A130,$C$1:$C$175,$C130))</f>
        <v>50</v>
      </c>
      <c r="S130">
        <f t="shared" ref="S130:S161" si="64">IF($A130="","",SUMIFS($I$1:$I$175,$A$1:$A$175,$A130,$C$1:$C$175,$C130))</f>
        <v>8517270</v>
      </c>
      <c r="T130">
        <f t="shared" ref="T130:T161" si="65">IF($A130="","",SUMIFS($G$1:$G$175,$A$1:$A$175,$A130))</f>
        <v>2704</v>
      </c>
      <c r="U130">
        <f t="shared" ref="U130:U161" si="66">IF($A130="","",SUMIFS($H$1:$H$175,$A$1:$A$175,$A130))</f>
        <v>131</v>
      </c>
      <c r="V130">
        <f t="shared" ref="V130:V161" si="67">IF($A130="","",SUMIFS($I$1:$I$175,$A$1:$A$175,$A130))</f>
        <v>20076860</v>
      </c>
      <c r="W130">
        <f>IF($A130="","",Allocation2!Y130)</f>
        <v>132216</v>
      </c>
      <c r="X130">
        <f>IF($A130="","",Allocation2!Z130)</f>
        <v>272751</v>
      </c>
      <c r="Y130">
        <f>IF($A130="","",Allocation2!AA130)</f>
        <v>99837</v>
      </c>
      <c r="Z130">
        <f>IF($A130="","",Allocation2!AB130)</f>
        <v>26060</v>
      </c>
      <c r="AA130">
        <f>IF($A130="","",Allocation2!AC130)</f>
        <v>637796</v>
      </c>
      <c r="AB130">
        <f>IF($A130="","",Allocation2!AD130)</f>
        <v>2639292</v>
      </c>
      <c r="AC130">
        <f>IF($A130="","",IF(ALLOC!$N$4="VOL_EFF",$G130,IF(ALLOC!$N$4="VOL_CLASS",$H130,$I130)))</f>
        <v>51</v>
      </c>
      <c r="AD130">
        <f>IF($A130="","",IF(ALLOC!$N$4="VOL_EFF",$L130,IF(ALLOC!$N$4="VOL_CLASS",$M130,$N130)))</f>
        <v>262</v>
      </c>
      <c r="AE130">
        <f>IF($A130="","",IF(ALLOC!$N$3="VOL_EFF",$L130,IF(ALLOC!$N$3="VOL_CLASS",$M130,$N130)))</f>
        <v>1923040</v>
      </c>
      <c r="AF130">
        <f>IF($A130="","",IF(ALLOC!$N$3="VOL_EFF",$Q130,IF(ALLOC!$N$3="VOL_CLASS",$R130,$S130)))</f>
        <v>8517270</v>
      </c>
      <c r="AG130">
        <f>IF($A130="","",IF(ALLOC!$N$1="VOL_EFF",$Q130,IF(ALLOC!$N$1="VOL_CLASS",$R130,$S130)))</f>
        <v>1112</v>
      </c>
      <c r="AH130">
        <f>IF($A130="","",IF(ALLOC!$N$1="VOL_EFF",$T130,IF(ALLOC!$N$1="VOL_CLASS",$U130,$V130)))</f>
        <v>2704</v>
      </c>
      <c r="AI130">
        <f t="shared" ref="AI130:AI175" si="68">IF($A130="","",$W130*IFERROR($K130/$O130,0))</f>
        <v>22504.851063829788</v>
      </c>
      <c r="AJ130">
        <f t="shared" ref="AJ130:AJ175" si="69">IF($A130="","",$X130*IFERROR($K130/$O130,0))</f>
        <v>46425.702127659577</v>
      </c>
      <c r="AK130">
        <f t="shared" ref="AK130:AK175" si="70">IF($A130="","",$Y130*IFERROR($G130/$L130,0)+$Z130*IFERROR($J130/$P130,0))</f>
        <v>19433.919847328245</v>
      </c>
      <c r="AL130">
        <f t="shared" ref="AL130:AL175" si="71">IF($A130="","",$AA130*IFERROR($AC130/$AD130,0))</f>
        <v>124151.12977099237</v>
      </c>
      <c r="AM130">
        <f t="shared" ref="AM130:AM175" si="72">IF($A130="","",$AB130*IFERROR($AG130/$AH130,0)*IFERROR($AE130/$AF130,0)*IFERROR($AC130/$AD130,0))</f>
        <v>47702.630600376426</v>
      </c>
      <c r="AN130">
        <f t="shared" ref="AN130:AN175" si="73">IF($A130="","",$I130-($AI130+$AJ130+$AK130+$AL130+$AM130+$AR130))</f>
        <v>87746.09137633827</v>
      </c>
      <c r="AO130">
        <f>IF($A130="","",Allocation2!AE130)</f>
        <v>499926</v>
      </c>
      <c r="AP130">
        <f>IF($A130="","",IF(ALLOC!$N$2="VOL_EFF",$Q130,IF(ALLOC!$N$2="VOL_CLASS",$R130,$S130)))</f>
        <v>1112</v>
      </c>
      <c r="AQ130">
        <f>IF($A130="","",IF(ALLOC!$N$2="VOL_EFF",$T130,IF(ALLOC!$N$2="VOL_CLASS",$U130,$V130)))</f>
        <v>2704</v>
      </c>
      <c r="AR130">
        <f t="shared" ref="AR130:AR175" si="74">IF($A130="","",$AO130*IFERROR($AP130/$AQ130,0)*IFERROR($AE130/$AF130,0)*IFERROR($AC130/$AD130,0))</f>
        <v>9035.6752134753515</v>
      </c>
    </row>
    <row r="131" spans="1:44" x14ac:dyDescent="0.45">
      <c r="A131" t="str">
        <f>IF(Allocation2!D131="","",Allocation2!D131)</f>
        <v>2024</v>
      </c>
      <c r="B131" t="str">
        <f>IF(Allocation2!E131="","",Allocation2!E131)</f>
        <v>MBWAY_NAN</v>
      </c>
      <c r="C131" t="str">
        <f>IF(Allocation2!F131="","",Allocation2!F131)</f>
        <v>MBWAY</v>
      </c>
      <c r="D131" t="str">
        <f>IF(Allocation2!G131="","",Allocation2!G131)</f>
        <v>MAS_MGT</v>
      </c>
      <c r="E131" t="str">
        <f>IF(Allocation2!H131="","",Allocation2!H131)</f>
        <v>M1</v>
      </c>
      <c r="F131" t="str">
        <f>IF(Allocation2!I131="","",Allocation2!I131)</f>
        <v>ALT</v>
      </c>
      <c r="G131">
        <f>IF(Allocation2!E131="","",Allocation2!J131)</f>
        <v>53</v>
      </c>
      <c r="H131">
        <f>IF(Allocation2!E131="","",Allocation2!K131)</f>
        <v>3</v>
      </c>
      <c r="I131">
        <f>IF(Allocation2!E131="","",Allocation2!L131)</f>
        <v>402270</v>
      </c>
      <c r="J131">
        <f>IF($A131="","",Allocation2!X131)</f>
        <v>53</v>
      </c>
      <c r="K131">
        <f t="shared" si="56"/>
        <v>1260</v>
      </c>
      <c r="L131">
        <f t="shared" si="57"/>
        <v>262</v>
      </c>
      <c r="M131">
        <f t="shared" si="58"/>
        <v>12</v>
      </c>
      <c r="N131">
        <f t="shared" si="59"/>
        <v>1923040</v>
      </c>
      <c r="O131">
        <f t="shared" si="60"/>
        <v>5640</v>
      </c>
      <c r="P131">
        <f t="shared" si="61"/>
        <v>106</v>
      </c>
      <c r="Q131">
        <f t="shared" si="62"/>
        <v>1112</v>
      </c>
      <c r="R131">
        <f t="shared" si="63"/>
        <v>50</v>
      </c>
      <c r="S131">
        <f t="shared" si="64"/>
        <v>8517270</v>
      </c>
      <c r="T131">
        <f t="shared" si="65"/>
        <v>2704</v>
      </c>
      <c r="U131">
        <f t="shared" si="66"/>
        <v>131</v>
      </c>
      <c r="V131">
        <f t="shared" si="67"/>
        <v>20076860</v>
      </c>
      <c r="W131">
        <f>IF($A131="","",Allocation2!Y131)</f>
        <v>132216</v>
      </c>
      <c r="X131">
        <f>IF($A131="","",Allocation2!Z131)</f>
        <v>272751</v>
      </c>
      <c r="Y131">
        <f>IF($A131="","",Allocation2!AA131)</f>
        <v>99837</v>
      </c>
      <c r="Z131">
        <f>IF($A131="","",Allocation2!AB131)</f>
        <v>26060</v>
      </c>
      <c r="AA131">
        <f>IF($A131="","",Allocation2!AC131)</f>
        <v>637796</v>
      </c>
      <c r="AB131">
        <f>IF($A131="","",Allocation2!AD131)</f>
        <v>2639292</v>
      </c>
      <c r="AC131">
        <f>IF($A131="","",IF(ALLOC!$N$4="VOL_EFF",$G131,IF(ALLOC!$N$4="VOL_CLASS",$H131,$I131)))</f>
        <v>53</v>
      </c>
      <c r="AD131">
        <f>IF($A131="","",IF(ALLOC!$N$4="VOL_EFF",$L131,IF(ALLOC!$N$4="VOL_CLASS",$M131,$N131)))</f>
        <v>262</v>
      </c>
      <c r="AE131">
        <f>IF($A131="","",IF(ALLOC!$N$3="VOL_EFF",$L131,IF(ALLOC!$N$3="VOL_CLASS",$M131,$N131)))</f>
        <v>1923040</v>
      </c>
      <c r="AF131">
        <f>IF($A131="","",IF(ALLOC!$N$3="VOL_EFF",$Q131,IF(ALLOC!$N$3="VOL_CLASS",$R131,$S131)))</f>
        <v>8517270</v>
      </c>
      <c r="AG131">
        <f>IF($A131="","",IF(ALLOC!$N$1="VOL_EFF",$Q131,IF(ALLOC!$N$1="VOL_CLASS",$R131,$S131)))</f>
        <v>1112</v>
      </c>
      <c r="AH131">
        <f>IF($A131="","",IF(ALLOC!$N$1="VOL_EFF",$T131,IF(ALLOC!$N$1="VOL_CLASS",$U131,$V131)))</f>
        <v>2704</v>
      </c>
      <c r="AI131">
        <f t="shared" si="68"/>
        <v>29537.617021276594</v>
      </c>
      <c r="AJ131">
        <f t="shared" si="69"/>
        <v>60933.734042553187</v>
      </c>
      <c r="AK131">
        <f t="shared" si="70"/>
        <v>33226.034351145034</v>
      </c>
      <c r="AL131">
        <f t="shared" si="71"/>
        <v>129019.80152671757</v>
      </c>
      <c r="AM131">
        <f t="shared" si="72"/>
        <v>49573.321996469625</v>
      </c>
      <c r="AN131">
        <f t="shared" si="73"/>
        <v>90589.475643912621</v>
      </c>
      <c r="AO131">
        <f>IF($A131="","",Allocation2!AE131)</f>
        <v>499926</v>
      </c>
      <c r="AP131">
        <f>IF($A131="","",IF(ALLOC!$N$2="VOL_EFF",$Q131,IF(ALLOC!$N$2="VOL_CLASS",$R131,$S131)))</f>
        <v>1112</v>
      </c>
      <c r="AQ131">
        <f>IF($A131="","",IF(ALLOC!$N$2="VOL_EFF",$T131,IF(ALLOC!$N$2="VOL_CLASS",$U131,$V131)))</f>
        <v>2704</v>
      </c>
      <c r="AR131">
        <f t="shared" si="74"/>
        <v>9390.0154179253659</v>
      </c>
    </row>
    <row r="132" spans="1:44" x14ac:dyDescent="0.45">
      <c r="A132" t="str">
        <f>IF(Allocation2!D132="","",Allocation2!D132)</f>
        <v>2024</v>
      </c>
      <c r="B132" t="str">
        <f>IF(Allocation2!E132="","",Allocation2!E132)</f>
        <v>MBWAY_NAN</v>
      </c>
      <c r="C132" t="str">
        <f>IF(Allocation2!F132="","",Allocation2!F132)</f>
        <v>MBWAY</v>
      </c>
      <c r="D132" t="str">
        <f>IF(Allocation2!G132="","",Allocation2!G132)</f>
        <v>MAS_MGT</v>
      </c>
      <c r="E132" t="str">
        <f>IF(Allocation2!H132="","",Allocation2!H132)</f>
        <v>M2</v>
      </c>
      <c r="F132" t="str">
        <f>IF(Allocation2!I132="","",Allocation2!I132)</f>
        <v>ALT</v>
      </c>
      <c r="G132">
        <f>IF(Allocation2!E132="","",Allocation2!J132)</f>
        <v>53</v>
      </c>
      <c r="H132">
        <f>IF(Allocation2!E132="","",Allocation2!K132)</f>
        <v>3</v>
      </c>
      <c r="I132">
        <f>IF(Allocation2!E132="","",Allocation2!L132)</f>
        <v>397500</v>
      </c>
      <c r="J132">
        <f>IF($A132="","",Allocation2!X132)</f>
        <v>0</v>
      </c>
      <c r="K132">
        <f t="shared" si="56"/>
        <v>1260</v>
      </c>
      <c r="L132">
        <f t="shared" si="57"/>
        <v>262</v>
      </c>
      <c r="M132">
        <f t="shared" si="58"/>
        <v>12</v>
      </c>
      <c r="N132">
        <f t="shared" si="59"/>
        <v>1923040</v>
      </c>
      <c r="O132">
        <f t="shared" si="60"/>
        <v>5640</v>
      </c>
      <c r="P132">
        <f t="shared" si="61"/>
        <v>106</v>
      </c>
      <c r="Q132">
        <f t="shared" si="62"/>
        <v>1112</v>
      </c>
      <c r="R132">
        <f t="shared" si="63"/>
        <v>50</v>
      </c>
      <c r="S132">
        <f t="shared" si="64"/>
        <v>8517270</v>
      </c>
      <c r="T132">
        <f t="shared" si="65"/>
        <v>2704</v>
      </c>
      <c r="U132">
        <f t="shared" si="66"/>
        <v>131</v>
      </c>
      <c r="V132">
        <f t="shared" si="67"/>
        <v>20076860</v>
      </c>
      <c r="W132">
        <f>IF($A132="","",Allocation2!Y132)</f>
        <v>132216</v>
      </c>
      <c r="X132">
        <f>IF($A132="","",Allocation2!Z132)</f>
        <v>272751</v>
      </c>
      <c r="Y132">
        <f>IF($A132="","",Allocation2!AA132)</f>
        <v>99837</v>
      </c>
      <c r="Z132">
        <f>IF($A132="","",Allocation2!AB132)</f>
        <v>26060</v>
      </c>
      <c r="AA132">
        <f>IF($A132="","",Allocation2!AC132)</f>
        <v>637796</v>
      </c>
      <c r="AB132">
        <f>IF($A132="","",Allocation2!AD132)</f>
        <v>2639292</v>
      </c>
      <c r="AC132">
        <f>IF($A132="","",IF(ALLOC!$N$4="VOL_EFF",$G132,IF(ALLOC!$N$4="VOL_CLASS",$H132,$I132)))</f>
        <v>53</v>
      </c>
      <c r="AD132">
        <f>IF($A132="","",IF(ALLOC!$N$4="VOL_EFF",$L132,IF(ALLOC!$N$4="VOL_CLASS",$M132,$N132)))</f>
        <v>262</v>
      </c>
      <c r="AE132">
        <f>IF($A132="","",IF(ALLOC!$N$3="VOL_EFF",$L132,IF(ALLOC!$N$3="VOL_CLASS",$M132,$N132)))</f>
        <v>1923040</v>
      </c>
      <c r="AF132">
        <f>IF($A132="","",IF(ALLOC!$N$3="VOL_EFF",$Q132,IF(ALLOC!$N$3="VOL_CLASS",$R132,$S132)))</f>
        <v>8517270</v>
      </c>
      <c r="AG132">
        <f>IF($A132="","",IF(ALLOC!$N$1="VOL_EFF",$Q132,IF(ALLOC!$N$1="VOL_CLASS",$R132,$S132)))</f>
        <v>1112</v>
      </c>
      <c r="AH132">
        <f>IF($A132="","",IF(ALLOC!$N$1="VOL_EFF",$T132,IF(ALLOC!$N$1="VOL_CLASS",$U132,$V132)))</f>
        <v>2704</v>
      </c>
      <c r="AI132">
        <f t="shared" si="68"/>
        <v>29537.617021276594</v>
      </c>
      <c r="AJ132">
        <f t="shared" si="69"/>
        <v>60933.734042553187</v>
      </c>
      <c r="AK132">
        <f t="shared" si="70"/>
        <v>20196.034351145037</v>
      </c>
      <c r="AL132">
        <f t="shared" si="71"/>
        <v>129019.80152671757</v>
      </c>
      <c r="AM132">
        <f t="shared" si="72"/>
        <v>49573.321996469625</v>
      </c>
      <c r="AN132">
        <f t="shared" si="73"/>
        <v>98849.475643912621</v>
      </c>
      <c r="AO132">
        <f>IF($A132="","",Allocation2!AE132)</f>
        <v>499926</v>
      </c>
      <c r="AP132">
        <f>IF($A132="","",IF(ALLOC!$N$2="VOL_EFF",$Q132,IF(ALLOC!$N$2="VOL_CLASS",$R132,$S132)))</f>
        <v>1112</v>
      </c>
      <c r="AQ132">
        <f>IF($A132="","",IF(ALLOC!$N$2="VOL_EFF",$T132,IF(ALLOC!$N$2="VOL_CLASS",$U132,$V132)))</f>
        <v>2704</v>
      </c>
      <c r="AR132">
        <f t="shared" si="74"/>
        <v>9390.0154179253659</v>
      </c>
    </row>
    <row r="133" spans="1:44" x14ac:dyDescent="0.45">
      <c r="A133" t="str">
        <f>IF(Allocation2!D133="","",Allocation2!D133)</f>
        <v>2024</v>
      </c>
      <c r="B133" t="str">
        <f>IF(Allocation2!E133="","",Allocation2!E133)</f>
        <v>MBWAY_BOR</v>
      </c>
      <c r="C133" t="str">
        <f>IF(Allocation2!F133="","",Allocation2!F133)</f>
        <v>MBWAY</v>
      </c>
      <c r="D133" t="str">
        <f>IF(Allocation2!G133="","",Allocation2!G133)</f>
        <v>BAC_MGT</v>
      </c>
      <c r="E133" t="str">
        <f>IF(Allocation2!H133="","",Allocation2!H133)</f>
        <v>B1</v>
      </c>
      <c r="F133" t="str">
        <f>IF(Allocation2!I133="","",Allocation2!I133)</f>
        <v>INIT</v>
      </c>
      <c r="G133">
        <f>IF(Allocation2!E133="","",Allocation2!J133)</f>
        <v>45</v>
      </c>
      <c r="H133">
        <f>IF(Allocation2!E133="","",Allocation2!K133)</f>
        <v>2</v>
      </c>
      <c r="I133">
        <f>IF(Allocation2!E133="","",Allocation2!L133)</f>
        <v>331425</v>
      </c>
      <c r="J133">
        <f>IF($A133="","",Allocation2!X133)</f>
        <v>45</v>
      </c>
      <c r="K133">
        <f t="shared" si="56"/>
        <v>1200</v>
      </c>
      <c r="L133">
        <f t="shared" si="57"/>
        <v>221</v>
      </c>
      <c r="M133">
        <f t="shared" si="58"/>
        <v>10</v>
      </c>
      <c r="N133">
        <f t="shared" si="59"/>
        <v>1573680</v>
      </c>
      <c r="O133">
        <f t="shared" si="60"/>
        <v>4800</v>
      </c>
      <c r="P133">
        <f t="shared" si="61"/>
        <v>90</v>
      </c>
      <c r="Q133">
        <f t="shared" si="62"/>
        <v>1112</v>
      </c>
      <c r="R133">
        <f t="shared" si="63"/>
        <v>50</v>
      </c>
      <c r="S133">
        <f t="shared" si="64"/>
        <v>8517270</v>
      </c>
      <c r="T133">
        <f t="shared" si="65"/>
        <v>2704</v>
      </c>
      <c r="U133">
        <f t="shared" si="66"/>
        <v>131</v>
      </c>
      <c r="V133">
        <f t="shared" si="67"/>
        <v>20076860</v>
      </c>
      <c r="W133">
        <f>IF($A133="","",Allocation2!Y133)</f>
        <v>110180</v>
      </c>
      <c r="X133">
        <f>IF($A133="","",Allocation2!Z133)</f>
        <v>238657</v>
      </c>
      <c r="Y133">
        <f>IF($A133="","",Allocation2!AA133)</f>
        <v>84556</v>
      </c>
      <c r="Z133">
        <f>IF($A133="","",Allocation2!AB133)</f>
        <v>20597</v>
      </c>
      <c r="AA133">
        <f>IF($A133="","",Allocation2!AC133)</f>
        <v>564205</v>
      </c>
      <c r="AB133">
        <f>IF($A133="","",Allocation2!AD133)</f>
        <v>2639292</v>
      </c>
      <c r="AC133">
        <f>IF($A133="","",IF(ALLOC!$N$4="VOL_EFF",$G133,IF(ALLOC!$N$4="VOL_CLASS",$H133,$I133)))</f>
        <v>45</v>
      </c>
      <c r="AD133">
        <f>IF($A133="","",IF(ALLOC!$N$4="VOL_EFF",$L133,IF(ALLOC!$N$4="VOL_CLASS",$M133,$N133)))</f>
        <v>221</v>
      </c>
      <c r="AE133">
        <f>IF($A133="","",IF(ALLOC!$N$3="VOL_EFF",$L133,IF(ALLOC!$N$3="VOL_CLASS",$M133,$N133)))</f>
        <v>1573680</v>
      </c>
      <c r="AF133">
        <f>IF($A133="","",IF(ALLOC!$N$3="VOL_EFF",$Q133,IF(ALLOC!$N$3="VOL_CLASS",$R133,$S133)))</f>
        <v>8517270</v>
      </c>
      <c r="AG133">
        <f>IF($A133="","",IF(ALLOC!$N$1="VOL_EFF",$Q133,IF(ALLOC!$N$1="VOL_CLASS",$R133,$S133)))</f>
        <v>1112</v>
      </c>
      <c r="AH133">
        <f>IF($A133="","",IF(ALLOC!$N$1="VOL_EFF",$T133,IF(ALLOC!$N$1="VOL_CLASS",$U133,$V133)))</f>
        <v>2704</v>
      </c>
      <c r="AI133">
        <f t="shared" si="68"/>
        <v>27545</v>
      </c>
      <c r="AJ133">
        <f t="shared" si="69"/>
        <v>59664.25</v>
      </c>
      <c r="AK133">
        <f t="shared" si="70"/>
        <v>27515.785067873305</v>
      </c>
      <c r="AL133">
        <f t="shared" si="71"/>
        <v>114883.37104072399</v>
      </c>
      <c r="AM133">
        <f t="shared" si="72"/>
        <v>40833.987554730949</v>
      </c>
      <c r="AN133">
        <f t="shared" si="73"/>
        <v>53247.96687188861</v>
      </c>
      <c r="AO133">
        <f>IF($A133="","",Allocation2!AE133)</f>
        <v>499926</v>
      </c>
      <c r="AP133">
        <f>IF($A133="","",IF(ALLOC!$N$2="VOL_EFF",$Q133,IF(ALLOC!$N$2="VOL_CLASS",$R133,$S133)))</f>
        <v>1112</v>
      </c>
      <c r="AQ133">
        <f>IF($A133="","",IF(ALLOC!$N$2="VOL_EFF",$T133,IF(ALLOC!$N$2="VOL_CLASS",$U133,$V133)))</f>
        <v>2704</v>
      </c>
      <c r="AR133">
        <f t="shared" si="74"/>
        <v>7734.6394647831403</v>
      </c>
    </row>
    <row r="134" spans="1:44" x14ac:dyDescent="0.45">
      <c r="A134" t="str">
        <f>IF(Allocation2!D134="","",Allocation2!D134)</f>
        <v>2024</v>
      </c>
      <c r="B134" t="str">
        <f>IF(Allocation2!E134="","",Allocation2!E134)</f>
        <v>MBWAY_BOR</v>
      </c>
      <c r="C134" t="str">
        <f>IF(Allocation2!F134="","",Allocation2!F134)</f>
        <v>MBWAY</v>
      </c>
      <c r="D134" t="str">
        <f>IF(Allocation2!G134="","",Allocation2!G134)</f>
        <v>BAC_MGT</v>
      </c>
      <c r="E134" t="str">
        <f>IF(Allocation2!H134="","",Allocation2!H134)</f>
        <v>B2</v>
      </c>
      <c r="F134" t="str">
        <f>IF(Allocation2!I134="","",Allocation2!I134)</f>
        <v>ALT</v>
      </c>
      <c r="G134">
        <f>IF(Allocation2!E134="","",Allocation2!J134)</f>
        <v>44</v>
      </c>
      <c r="H134">
        <f>IF(Allocation2!E134="","",Allocation2!K134)</f>
        <v>2</v>
      </c>
      <c r="I134">
        <f>IF(Allocation2!E134="","",Allocation2!L134)</f>
        <v>298760</v>
      </c>
      <c r="J134">
        <f>IF($A134="","",Allocation2!X134)</f>
        <v>0</v>
      </c>
      <c r="K134">
        <f t="shared" si="56"/>
        <v>960</v>
      </c>
      <c r="L134">
        <f t="shared" si="57"/>
        <v>221</v>
      </c>
      <c r="M134">
        <f t="shared" si="58"/>
        <v>10</v>
      </c>
      <c r="N134">
        <f t="shared" si="59"/>
        <v>1573680</v>
      </c>
      <c r="O134">
        <f t="shared" si="60"/>
        <v>4800</v>
      </c>
      <c r="P134">
        <f t="shared" si="61"/>
        <v>90</v>
      </c>
      <c r="Q134">
        <f t="shared" si="62"/>
        <v>1112</v>
      </c>
      <c r="R134">
        <f t="shared" si="63"/>
        <v>50</v>
      </c>
      <c r="S134">
        <f t="shared" si="64"/>
        <v>8517270</v>
      </c>
      <c r="T134">
        <f t="shared" si="65"/>
        <v>2704</v>
      </c>
      <c r="U134">
        <f t="shared" si="66"/>
        <v>131</v>
      </c>
      <c r="V134">
        <f t="shared" si="67"/>
        <v>20076860</v>
      </c>
      <c r="W134">
        <f>IF($A134="","",Allocation2!Y134)</f>
        <v>110180</v>
      </c>
      <c r="X134">
        <f>IF($A134="","",Allocation2!Z134)</f>
        <v>238657</v>
      </c>
      <c r="Y134">
        <f>IF($A134="","",Allocation2!AA134)</f>
        <v>84556</v>
      </c>
      <c r="Z134">
        <f>IF($A134="","",Allocation2!AB134)</f>
        <v>20597</v>
      </c>
      <c r="AA134">
        <f>IF($A134="","",Allocation2!AC134)</f>
        <v>564205</v>
      </c>
      <c r="AB134">
        <f>IF($A134="","",Allocation2!AD134)</f>
        <v>2639292</v>
      </c>
      <c r="AC134">
        <f>IF($A134="","",IF(ALLOC!$N$4="VOL_EFF",$G134,IF(ALLOC!$N$4="VOL_CLASS",$H134,$I134)))</f>
        <v>44</v>
      </c>
      <c r="AD134">
        <f>IF($A134="","",IF(ALLOC!$N$4="VOL_EFF",$L134,IF(ALLOC!$N$4="VOL_CLASS",$M134,$N134)))</f>
        <v>221</v>
      </c>
      <c r="AE134">
        <f>IF($A134="","",IF(ALLOC!$N$3="VOL_EFF",$L134,IF(ALLOC!$N$3="VOL_CLASS",$M134,$N134)))</f>
        <v>1573680</v>
      </c>
      <c r="AF134">
        <f>IF($A134="","",IF(ALLOC!$N$3="VOL_EFF",$Q134,IF(ALLOC!$N$3="VOL_CLASS",$R134,$S134)))</f>
        <v>8517270</v>
      </c>
      <c r="AG134">
        <f>IF($A134="","",IF(ALLOC!$N$1="VOL_EFF",$Q134,IF(ALLOC!$N$1="VOL_CLASS",$R134,$S134)))</f>
        <v>1112</v>
      </c>
      <c r="AH134">
        <f>IF($A134="","",IF(ALLOC!$N$1="VOL_EFF",$T134,IF(ALLOC!$N$1="VOL_CLASS",$U134,$V134)))</f>
        <v>2704</v>
      </c>
      <c r="AI134">
        <f t="shared" si="68"/>
        <v>22036</v>
      </c>
      <c r="AJ134">
        <f t="shared" si="69"/>
        <v>47731.4</v>
      </c>
      <c r="AK134">
        <f t="shared" si="70"/>
        <v>16834.678733031673</v>
      </c>
      <c r="AL134">
        <f t="shared" si="71"/>
        <v>112330.407239819</v>
      </c>
      <c r="AM134">
        <f t="shared" si="72"/>
        <v>39926.565609070254</v>
      </c>
      <c r="AN134">
        <f t="shared" si="73"/>
        <v>52338.189830291114</v>
      </c>
      <c r="AO134">
        <f>IF($A134="","",Allocation2!AE134)</f>
        <v>499926</v>
      </c>
      <c r="AP134">
        <f>IF($A134="","",IF(ALLOC!$N$2="VOL_EFF",$Q134,IF(ALLOC!$N$2="VOL_CLASS",$R134,$S134)))</f>
        <v>1112</v>
      </c>
      <c r="AQ134">
        <f>IF($A134="","",IF(ALLOC!$N$2="VOL_EFF",$T134,IF(ALLOC!$N$2="VOL_CLASS",$U134,$V134)))</f>
        <v>2704</v>
      </c>
      <c r="AR134">
        <f t="shared" si="74"/>
        <v>7562.7585877879583</v>
      </c>
    </row>
    <row r="135" spans="1:44" x14ac:dyDescent="0.45">
      <c r="A135" t="str">
        <f>IF(Allocation2!D135="","",Allocation2!D135)</f>
        <v>2024</v>
      </c>
      <c r="B135" t="str">
        <f>IF(Allocation2!E135="","",Allocation2!E135)</f>
        <v>MBWAY_BOR</v>
      </c>
      <c r="C135" t="str">
        <f>IF(Allocation2!F135="","",Allocation2!F135)</f>
        <v>MBWAY</v>
      </c>
      <c r="D135" t="str">
        <f>IF(Allocation2!G135="","",Allocation2!G135)</f>
        <v>BAC_MGT</v>
      </c>
      <c r="E135" t="str">
        <f>IF(Allocation2!H135="","",Allocation2!H135)</f>
        <v>B3</v>
      </c>
      <c r="F135" t="str">
        <f>IF(Allocation2!I135="","",Allocation2!I135)</f>
        <v>ALT</v>
      </c>
      <c r="G135">
        <f>IF(Allocation2!E135="","",Allocation2!J135)</f>
        <v>43</v>
      </c>
      <c r="H135">
        <f>IF(Allocation2!E135="","",Allocation2!K135)</f>
        <v>2</v>
      </c>
      <c r="I135">
        <f>IF(Allocation2!E135="","",Allocation2!L135)</f>
        <v>291970</v>
      </c>
      <c r="J135">
        <f>IF($A135="","",Allocation2!X135)</f>
        <v>0</v>
      </c>
      <c r="K135">
        <f t="shared" si="56"/>
        <v>960</v>
      </c>
      <c r="L135">
        <f t="shared" si="57"/>
        <v>221</v>
      </c>
      <c r="M135">
        <f t="shared" si="58"/>
        <v>10</v>
      </c>
      <c r="N135">
        <f t="shared" si="59"/>
        <v>1573680</v>
      </c>
      <c r="O135">
        <f t="shared" si="60"/>
        <v>4800</v>
      </c>
      <c r="P135">
        <f t="shared" si="61"/>
        <v>90</v>
      </c>
      <c r="Q135">
        <f t="shared" si="62"/>
        <v>1112</v>
      </c>
      <c r="R135">
        <f t="shared" si="63"/>
        <v>50</v>
      </c>
      <c r="S135">
        <f t="shared" si="64"/>
        <v>8517270</v>
      </c>
      <c r="T135">
        <f t="shared" si="65"/>
        <v>2704</v>
      </c>
      <c r="U135">
        <f t="shared" si="66"/>
        <v>131</v>
      </c>
      <c r="V135">
        <f t="shared" si="67"/>
        <v>20076860</v>
      </c>
      <c r="W135">
        <f>IF($A135="","",Allocation2!Y135)</f>
        <v>110180</v>
      </c>
      <c r="X135">
        <f>IF($A135="","",Allocation2!Z135)</f>
        <v>238657</v>
      </c>
      <c r="Y135">
        <f>IF($A135="","",Allocation2!AA135)</f>
        <v>84556</v>
      </c>
      <c r="Z135">
        <f>IF($A135="","",Allocation2!AB135)</f>
        <v>20597</v>
      </c>
      <c r="AA135">
        <f>IF($A135="","",Allocation2!AC135)</f>
        <v>564205</v>
      </c>
      <c r="AB135">
        <f>IF($A135="","",Allocation2!AD135)</f>
        <v>2639292</v>
      </c>
      <c r="AC135">
        <f>IF($A135="","",IF(ALLOC!$N$4="VOL_EFF",$G135,IF(ALLOC!$N$4="VOL_CLASS",$H135,$I135)))</f>
        <v>43</v>
      </c>
      <c r="AD135">
        <f>IF($A135="","",IF(ALLOC!$N$4="VOL_EFF",$L135,IF(ALLOC!$N$4="VOL_CLASS",$M135,$N135)))</f>
        <v>221</v>
      </c>
      <c r="AE135">
        <f>IF($A135="","",IF(ALLOC!$N$3="VOL_EFF",$L135,IF(ALLOC!$N$3="VOL_CLASS",$M135,$N135)))</f>
        <v>1573680</v>
      </c>
      <c r="AF135">
        <f>IF($A135="","",IF(ALLOC!$N$3="VOL_EFF",$Q135,IF(ALLOC!$N$3="VOL_CLASS",$R135,$S135)))</f>
        <v>8517270</v>
      </c>
      <c r="AG135">
        <f>IF($A135="","",IF(ALLOC!$N$1="VOL_EFF",$Q135,IF(ALLOC!$N$1="VOL_CLASS",$R135,$S135)))</f>
        <v>1112</v>
      </c>
      <c r="AH135">
        <f>IF($A135="","",IF(ALLOC!$N$1="VOL_EFF",$T135,IF(ALLOC!$N$1="VOL_CLASS",$U135,$V135)))</f>
        <v>2704</v>
      </c>
      <c r="AI135">
        <f t="shared" si="68"/>
        <v>22036</v>
      </c>
      <c r="AJ135">
        <f t="shared" si="69"/>
        <v>47731.4</v>
      </c>
      <c r="AK135">
        <f t="shared" si="70"/>
        <v>16452.072398190045</v>
      </c>
      <c r="AL135">
        <f t="shared" si="71"/>
        <v>109777.44343891402</v>
      </c>
      <c r="AM135">
        <f t="shared" si="72"/>
        <v>39019.143663409573</v>
      </c>
      <c r="AN135">
        <f t="shared" si="73"/>
        <v>49563.062788693584</v>
      </c>
      <c r="AO135">
        <f>IF($A135="","",Allocation2!AE135)</f>
        <v>499926</v>
      </c>
      <c r="AP135">
        <f>IF($A135="","",IF(ALLOC!$N$2="VOL_EFF",$Q135,IF(ALLOC!$N$2="VOL_CLASS",$R135,$S135)))</f>
        <v>1112</v>
      </c>
      <c r="AQ135">
        <f>IF($A135="","",IF(ALLOC!$N$2="VOL_EFF",$T135,IF(ALLOC!$N$2="VOL_CLASS",$U135,$V135)))</f>
        <v>2704</v>
      </c>
      <c r="AR135">
        <f t="shared" si="74"/>
        <v>7390.8777107927781</v>
      </c>
    </row>
    <row r="136" spans="1:44" x14ac:dyDescent="0.45">
      <c r="A136" t="str">
        <f>IF(Allocation2!D136="","",Allocation2!D136)</f>
        <v>2024</v>
      </c>
      <c r="B136" t="str">
        <f>IF(Allocation2!E136="","",Allocation2!E136)</f>
        <v>MBWAY_BOR</v>
      </c>
      <c r="C136" t="str">
        <f>IF(Allocation2!F136="","",Allocation2!F136)</f>
        <v>MBWAY</v>
      </c>
      <c r="D136" t="str">
        <f>IF(Allocation2!G136="","",Allocation2!G136)</f>
        <v>MAS_MGT</v>
      </c>
      <c r="E136" t="str">
        <f>IF(Allocation2!H136="","",Allocation2!H136)</f>
        <v>M1</v>
      </c>
      <c r="F136" t="str">
        <f>IF(Allocation2!I136="","",Allocation2!I136)</f>
        <v>ALT</v>
      </c>
      <c r="G136">
        <f>IF(Allocation2!E136="","",Allocation2!J136)</f>
        <v>45</v>
      </c>
      <c r="H136">
        <f>IF(Allocation2!E136="","",Allocation2!K136)</f>
        <v>2</v>
      </c>
      <c r="I136">
        <f>IF(Allocation2!E136="","",Allocation2!L136)</f>
        <v>331425</v>
      </c>
      <c r="J136">
        <f>IF($A136="","",Allocation2!X136)</f>
        <v>45</v>
      </c>
      <c r="K136">
        <f t="shared" si="56"/>
        <v>840</v>
      </c>
      <c r="L136">
        <f t="shared" si="57"/>
        <v>221</v>
      </c>
      <c r="M136">
        <f t="shared" si="58"/>
        <v>10</v>
      </c>
      <c r="N136">
        <f t="shared" si="59"/>
        <v>1573680</v>
      </c>
      <c r="O136">
        <f t="shared" si="60"/>
        <v>4800</v>
      </c>
      <c r="P136">
        <f t="shared" si="61"/>
        <v>90</v>
      </c>
      <c r="Q136">
        <f t="shared" si="62"/>
        <v>1112</v>
      </c>
      <c r="R136">
        <f t="shared" si="63"/>
        <v>50</v>
      </c>
      <c r="S136">
        <f t="shared" si="64"/>
        <v>8517270</v>
      </c>
      <c r="T136">
        <f t="shared" si="65"/>
        <v>2704</v>
      </c>
      <c r="U136">
        <f t="shared" si="66"/>
        <v>131</v>
      </c>
      <c r="V136">
        <f t="shared" si="67"/>
        <v>20076860</v>
      </c>
      <c r="W136">
        <f>IF($A136="","",Allocation2!Y136)</f>
        <v>110180</v>
      </c>
      <c r="X136">
        <f>IF($A136="","",Allocation2!Z136)</f>
        <v>238657</v>
      </c>
      <c r="Y136">
        <f>IF($A136="","",Allocation2!AA136)</f>
        <v>84556</v>
      </c>
      <c r="Z136">
        <f>IF($A136="","",Allocation2!AB136)</f>
        <v>20597</v>
      </c>
      <c r="AA136">
        <f>IF($A136="","",Allocation2!AC136)</f>
        <v>564205</v>
      </c>
      <c r="AB136">
        <f>IF($A136="","",Allocation2!AD136)</f>
        <v>2639292</v>
      </c>
      <c r="AC136">
        <f>IF($A136="","",IF(ALLOC!$N$4="VOL_EFF",$G136,IF(ALLOC!$N$4="VOL_CLASS",$H136,$I136)))</f>
        <v>45</v>
      </c>
      <c r="AD136">
        <f>IF($A136="","",IF(ALLOC!$N$4="VOL_EFF",$L136,IF(ALLOC!$N$4="VOL_CLASS",$M136,$N136)))</f>
        <v>221</v>
      </c>
      <c r="AE136">
        <f>IF($A136="","",IF(ALLOC!$N$3="VOL_EFF",$L136,IF(ALLOC!$N$3="VOL_CLASS",$M136,$N136)))</f>
        <v>1573680</v>
      </c>
      <c r="AF136">
        <f>IF($A136="","",IF(ALLOC!$N$3="VOL_EFF",$Q136,IF(ALLOC!$N$3="VOL_CLASS",$R136,$S136)))</f>
        <v>8517270</v>
      </c>
      <c r="AG136">
        <f>IF($A136="","",IF(ALLOC!$N$1="VOL_EFF",$Q136,IF(ALLOC!$N$1="VOL_CLASS",$R136,$S136)))</f>
        <v>1112</v>
      </c>
      <c r="AH136">
        <f>IF($A136="","",IF(ALLOC!$N$1="VOL_EFF",$T136,IF(ALLOC!$N$1="VOL_CLASS",$U136,$V136)))</f>
        <v>2704</v>
      </c>
      <c r="AI136">
        <f t="shared" si="68"/>
        <v>19281.5</v>
      </c>
      <c r="AJ136">
        <f t="shared" si="69"/>
        <v>41764.974999999999</v>
      </c>
      <c r="AK136">
        <f t="shared" si="70"/>
        <v>27515.785067873305</v>
      </c>
      <c r="AL136">
        <f t="shared" si="71"/>
        <v>114883.37104072399</v>
      </c>
      <c r="AM136">
        <f t="shared" si="72"/>
        <v>40833.987554730949</v>
      </c>
      <c r="AN136">
        <f t="shared" si="73"/>
        <v>79410.741871888633</v>
      </c>
      <c r="AO136">
        <f>IF($A136="","",Allocation2!AE136)</f>
        <v>499926</v>
      </c>
      <c r="AP136">
        <f>IF($A136="","",IF(ALLOC!$N$2="VOL_EFF",$Q136,IF(ALLOC!$N$2="VOL_CLASS",$R136,$S136)))</f>
        <v>1112</v>
      </c>
      <c r="AQ136">
        <f>IF($A136="","",IF(ALLOC!$N$2="VOL_EFF",$T136,IF(ALLOC!$N$2="VOL_CLASS",$U136,$V136)))</f>
        <v>2704</v>
      </c>
      <c r="AR136">
        <f t="shared" si="74"/>
        <v>7734.6394647831403</v>
      </c>
    </row>
    <row r="137" spans="1:44" x14ac:dyDescent="0.45">
      <c r="A137" t="str">
        <f>IF(Allocation2!D137="","",Allocation2!D137)</f>
        <v>2024</v>
      </c>
      <c r="B137" t="str">
        <f>IF(Allocation2!E137="","",Allocation2!E137)</f>
        <v>MBWAY_BOR</v>
      </c>
      <c r="C137" t="str">
        <f>IF(Allocation2!F137="","",Allocation2!F137)</f>
        <v>MBWAY</v>
      </c>
      <c r="D137" t="str">
        <f>IF(Allocation2!G137="","",Allocation2!G137)</f>
        <v>MAS_MGT</v>
      </c>
      <c r="E137" t="str">
        <f>IF(Allocation2!H137="","",Allocation2!H137)</f>
        <v>M2</v>
      </c>
      <c r="F137" t="str">
        <f>IF(Allocation2!I137="","",Allocation2!I137)</f>
        <v>ALT</v>
      </c>
      <c r="G137">
        <f>IF(Allocation2!E137="","",Allocation2!J137)</f>
        <v>44</v>
      </c>
      <c r="H137">
        <f>IF(Allocation2!E137="","",Allocation2!K137)</f>
        <v>2</v>
      </c>
      <c r="I137">
        <f>IF(Allocation2!E137="","",Allocation2!L137)</f>
        <v>320100</v>
      </c>
      <c r="J137">
        <f>IF($A137="","",Allocation2!X137)</f>
        <v>0</v>
      </c>
      <c r="K137">
        <f t="shared" si="56"/>
        <v>840</v>
      </c>
      <c r="L137">
        <f t="shared" si="57"/>
        <v>221</v>
      </c>
      <c r="M137">
        <f t="shared" si="58"/>
        <v>10</v>
      </c>
      <c r="N137">
        <f t="shared" si="59"/>
        <v>1573680</v>
      </c>
      <c r="O137">
        <f t="shared" si="60"/>
        <v>4800</v>
      </c>
      <c r="P137">
        <f t="shared" si="61"/>
        <v>90</v>
      </c>
      <c r="Q137">
        <f t="shared" si="62"/>
        <v>1112</v>
      </c>
      <c r="R137">
        <f t="shared" si="63"/>
        <v>50</v>
      </c>
      <c r="S137">
        <f t="shared" si="64"/>
        <v>8517270</v>
      </c>
      <c r="T137">
        <f t="shared" si="65"/>
        <v>2704</v>
      </c>
      <c r="U137">
        <f t="shared" si="66"/>
        <v>131</v>
      </c>
      <c r="V137">
        <f t="shared" si="67"/>
        <v>20076860</v>
      </c>
      <c r="W137">
        <f>IF($A137="","",Allocation2!Y137)</f>
        <v>110180</v>
      </c>
      <c r="X137">
        <f>IF($A137="","",Allocation2!Z137)</f>
        <v>238657</v>
      </c>
      <c r="Y137">
        <f>IF($A137="","",Allocation2!AA137)</f>
        <v>84556</v>
      </c>
      <c r="Z137">
        <f>IF($A137="","",Allocation2!AB137)</f>
        <v>20597</v>
      </c>
      <c r="AA137">
        <f>IF($A137="","",Allocation2!AC137)</f>
        <v>564205</v>
      </c>
      <c r="AB137">
        <f>IF($A137="","",Allocation2!AD137)</f>
        <v>2639292</v>
      </c>
      <c r="AC137">
        <f>IF($A137="","",IF(ALLOC!$N$4="VOL_EFF",$G137,IF(ALLOC!$N$4="VOL_CLASS",$H137,$I137)))</f>
        <v>44</v>
      </c>
      <c r="AD137">
        <f>IF($A137="","",IF(ALLOC!$N$4="VOL_EFF",$L137,IF(ALLOC!$N$4="VOL_CLASS",$M137,$N137)))</f>
        <v>221</v>
      </c>
      <c r="AE137">
        <f>IF($A137="","",IF(ALLOC!$N$3="VOL_EFF",$L137,IF(ALLOC!$N$3="VOL_CLASS",$M137,$N137)))</f>
        <v>1573680</v>
      </c>
      <c r="AF137">
        <f>IF($A137="","",IF(ALLOC!$N$3="VOL_EFF",$Q137,IF(ALLOC!$N$3="VOL_CLASS",$R137,$S137)))</f>
        <v>8517270</v>
      </c>
      <c r="AG137">
        <f>IF($A137="","",IF(ALLOC!$N$1="VOL_EFF",$Q137,IF(ALLOC!$N$1="VOL_CLASS",$R137,$S137)))</f>
        <v>1112</v>
      </c>
      <c r="AH137">
        <f>IF($A137="","",IF(ALLOC!$N$1="VOL_EFF",$T137,IF(ALLOC!$N$1="VOL_CLASS",$U137,$V137)))</f>
        <v>2704</v>
      </c>
      <c r="AI137">
        <f t="shared" si="68"/>
        <v>19281.5</v>
      </c>
      <c r="AJ137">
        <f t="shared" si="69"/>
        <v>41764.974999999999</v>
      </c>
      <c r="AK137">
        <f t="shared" si="70"/>
        <v>16834.678733031673</v>
      </c>
      <c r="AL137">
        <f t="shared" si="71"/>
        <v>112330.407239819</v>
      </c>
      <c r="AM137">
        <f t="shared" si="72"/>
        <v>39926.565609070254</v>
      </c>
      <c r="AN137">
        <f t="shared" si="73"/>
        <v>82399.114830291102</v>
      </c>
      <c r="AO137">
        <f>IF($A137="","",Allocation2!AE137)</f>
        <v>499926</v>
      </c>
      <c r="AP137">
        <f>IF($A137="","",IF(ALLOC!$N$2="VOL_EFF",$Q137,IF(ALLOC!$N$2="VOL_CLASS",$R137,$S137)))</f>
        <v>1112</v>
      </c>
      <c r="AQ137">
        <f>IF($A137="","",IF(ALLOC!$N$2="VOL_EFF",$T137,IF(ALLOC!$N$2="VOL_CLASS",$U137,$V137)))</f>
        <v>2704</v>
      </c>
      <c r="AR137">
        <f t="shared" si="74"/>
        <v>7562.7585877879583</v>
      </c>
    </row>
    <row r="138" spans="1:44" x14ac:dyDescent="0.45">
      <c r="A138" t="str">
        <f>IF(Allocation2!D138="","",Allocation2!D138)</f>
        <v>2024</v>
      </c>
      <c r="B138" t="str">
        <f>IF(Allocation2!E138="","",Allocation2!E138)</f>
        <v>ISCOM_PAR</v>
      </c>
      <c r="C138" t="str">
        <f>IF(Allocation2!F138="","",Allocation2!F138)</f>
        <v>ISCOM</v>
      </c>
      <c r="D138" t="str">
        <f>IF(Allocation2!G138="","",Allocation2!G138)</f>
        <v>BAC_COM</v>
      </c>
      <c r="E138" t="str">
        <f>IF(Allocation2!H138="","",Allocation2!H138)</f>
        <v>B1</v>
      </c>
      <c r="F138" t="str">
        <f>IF(Allocation2!I138="","",Allocation2!I138)</f>
        <v>INIT</v>
      </c>
      <c r="G138">
        <f>IF(Allocation2!E138="","",Allocation2!J138)</f>
        <v>64</v>
      </c>
      <c r="H138">
        <f>IF(Allocation2!E138="","",Allocation2!K138)</f>
        <v>3</v>
      </c>
      <c r="I138">
        <f>IF(Allocation2!E138="","",Allocation2!L138)</f>
        <v>543360</v>
      </c>
      <c r="J138">
        <f>IF($A138="","",Allocation2!X138)</f>
        <v>64</v>
      </c>
      <c r="K138">
        <f t="shared" si="56"/>
        <v>1800</v>
      </c>
      <c r="L138">
        <f t="shared" si="57"/>
        <v>314</v>
      </c>
      <c r="M138">
        <f t="shared" si="58"/>
        <v>15</v>
      </c>
      <c r="N138">
        <f t="shared" si="59"/>
        <v>2580240</v>
      </c>
      <c r="O138">
        <f t="shared" si="60"/>
        <v>7200</v>
      </c>
      <c r="P138">
        <f t="shared" si="61"/>
        <v>128</v>
      </c>
      <c r="Q138">
        <f t="shared" si="62"/>
        <v>737</v>
      </c>
      <c r="R138">
        <f t="shared" si="63"/>
        <v>35</v>
      </c>
      <c r="S138">
        <f t="shared" si="64"/>
        <v>5593340</v>
      </c>
      <c r="T138">
        <f t="shared" si="65"/>
        <v>2704</v>
      </c>
      <c r="U138">
        <f t="shared" si="66"/>
        <v>131</v>
      </c>
      <c r="V138">
        <f t="shared" si="67"/>
        <v>20076860</v>
      </c>
      <c r="W138">
        <f>IF($A138="","",Allocation2!Y138)</f>
        <v>165271</v>
      </c>
      <c r="X138">
        <f>IF($A138="","",Allocation2!Z138)</f>
        <v>552322</v>
      </c>
      <c r="Y138">
        <f>IF($A138="","",Allocation2!AA138)</f>
        <v>120212</v>
      </c>
      <c r="Z138">
        <f>IF($A138="","",Allocation2!AB138)</f>
        <v>50248</v>
      </c>
      <c r="AA138">
        <f>IF($A138="","",Allocation2!AC138)</f>
        <v>1259611</v>
      </c>
      <c r="AB138">
        <f>IF($A138="","",Allocation2!AD138)</f>
        <v>2639292</v>
      </c>
      <c r="AC138">
        <f>IF($A138="","",IF(ALLOC!$N$4="VOL_EFF",$G138,IF(ALLOC!$N$4="VOL_CLASS",$H138,$I138)))</f>
        <v>64</v>
      </c>
      <c r="AD138">
        <f>IF($A138="","",IF(ALLOC!$N$4="VOL_EFF",$L138,IF(ALLOC!$N$4="VOL_CLASS",$M138,$N138)))</f>
        <v>314</v>
      </c>
      <c r="AE138">
        <f>IF($A138="","",IF(ALLOC!$N$3="VOL_EFF",$L138,IF(ALLOC!$N$3="VOL_CLASS",$M138,$N138)))</f>
        <v>2580240</v>
      </c>
      <c r="AF138">
        <f>IF($A138="","",IF(ALLOC!$N$3="VOL_EFF",$Q138,IF(ALLOC!$N$3="VOL_CLASS",$R138,$S138)))</f>
        <v>5593340</v>
      </c>
      <c r="AG138">
        <f>IF($A138="","",IF(ALLOC!$N$1="VOL_EFF",$Q138,IF(ALLOC!$N$1="VOL_CLASS",$R138,$S138)))</f>
        <v>737</v>
      </c>
      <c r="AH138">
        <f>IF($A138="","",IF(ALLOC!$N$1="VOL_EFF",$T138,IF(ALLOC!$N$1="VOL_CLASS",$U138,$V138)))</f>
        <v>2704</v>
      </c>
      <c r="AI138">
        <f t="shared" si="68"/>
        <v>41317.75</v>
      </c>
      <c r="AJ138">
        <f t="shared" si="69"/>
        <v>138080.5</v>
      </c>
      <c r="AK138">
        <f t="shared" si="70"/>
        <v>49625.808917197457</v>
      </c>
      <c r="AL138">
        <f t="shared" si="71"/>
        <v>256736</v>
      </c>
      <c r="AM138">
        <f t="shared" si="72"/>
        <v>67637.485218613583</v>
      </c>
      <c r="AN138">
        <f t="shared" si="73"/>
        <v>-22849.213869739906</v>
      </c>
      <c r="AO138">
        <f>IF($A138="","",Allocation2!AE138)</f>
        <v>499926</v>
      </c>
      <c r="AP138">
        <f>IF($A138="","",IF(ALLOC!$N$2="VOL_EFF",$Q138,IF(ALLOC!$N$2="VOL_CLASS",$R138,$S138)))</f>
        <v>737</v>
      </c>
      <c r="AQ138">
        <f>IF($A138="","",IF(ALLOC!$N$2="VOL_EFF",$T138,IF(ALLOC!$N$2="VOL_CLASS",$U138,$V138)))</f>
        <v>2704</v>
      </c>
      <c r="AR138">
        <f t="shared" si="74"/>
        <v>12811.669733928877</v>
      </c>
    </row>
    <row r="139" spans="1:44" x14ac:dyDescent="0.45">
      <c r="A139" t="str">
        <f>IF(Allocation2!D139="","",Allocation2!D139)</f>
        <v>2024</v>
      </c>
      <c r="B139" t="str">
        <f>IF(Allocation2!E139="","",Allocation2!E139)</f>
        <v>ISCOM_PAR</v>
      </c>
      <c r="C139" t="str">
        <f>IF(Allocation2!F139="","",Allocation2!F139)</f>
        <v>ISCOM</v>
      </c>
      <c r="D139" t="str">
        <f>IF(Allocation2!G139="","",Allocation2!G139)</f>
        <v>BAC_COM</v>
      </c>
      <c r="E139" t="str">
        <f>IF(Allocation2!H139="","",Allocation2!H139)</f>
        <v>B2</v>
      </c>
      <c r="F139" t="str">
        <f>IF(Allocation2!I139="","",Allocation2!I139)</f>
        <v>ALT</v>
      </c>
      <c r="G139">
        <f>IF(Allocation2!E139="","",Allocation2!J139)</f>
        <v>62</v>
      </c>
      <c r="H139">
        <f>IF(Allocation2!E139="","",Allocation2!K139)</f>
        <v>3</v>
      </c>
      <c r="I139">
        <f>IF(Allocation2!E139="","",Allocation2!L139)</f>
        <v>486080</v>
      </c>
      <c r="J139">
        <f>IF($A139="","",Allocation2!X139)</f>
        <v>0</v>
      </c>
      <c r="K139">
        <f t="shared" si="56"/>
        <v>1440</v>
      </c>
      <c r="L139">
        <f t="shared" si="57"/>
        <v>314</v>
      </c>
      <c r="M139">
        <f t="shared" si="58"/>
        <v>15</v>
      </c>
      <c r="N139">
        <f t="shared" si="59"/>
        <v>2580240</v>
      </c>
      <c r="O139">
        <f t="shared" si="60"/>
        <v>7200</v>
      </c>
      <c r="P139">
        <f t="shared" si="61"/>
        <v>128</v>
      </c>
      <c r="Q139">
        <f t="shared" si="62"/>
        <v>737</v>
      </c>
      <c r="R139">
        <f t="shared" si="63"/>
        <v>35</v>
      </c>
      <c r="S139">
        <f t="shared" si="64"/>
        <v>5593340</v>
      </c>
      <c r="T139">
        <f t="shared" si="65"/>
        <v>2704</v>
      </c>
      <c r="U139">
        <f t="shared" si="66"/>
        <v>131</v>
      </c>
      <c r="V139">
        <f t="shared" si="67"/>
        <v>20076860</v>
      </c>
      <c r="W139">
        <f>IF($A139="","",Allocation2!Y139)</f>
        <v>165271</v>
      </c>
      <c r="X139">
        <f>IF($A139="","",Allocation2!Z139)</f>
        <v>552322</v>
      </c>
      <c r="Y139">
        <f>IF($A139="","",Allocation2!AA139)</f>
        <v>120212</v>
      </c>
      <c r="Z139">
        <f>IF($A139="","",Allocation2!AB139)</f>
        <v>50248</v>
      </c>
      <c r="AA139">
        <f>IF($A139="","",Allocation2!AC139)</f>
        <v>1259611</v>
      </c>
      <c r="AB139">
        <f>IF($A139="","",Allocation2!AD139)</f>
        <v>2639292</v>
      </c>
      <c r="AC139">
        <f>IF($A139="","",IF(ALLOC!$N$4="VOL_EFF",$G139,IF(ALLOC!$N$4="VOL_CLASS",$H139,$I139)))</f>
        <v>62</v>
      </c>
      <c r="AD139">
        <f>IF($A139="","",IF(ALLOC!$N$4="VOL_EFF",$L139,IF(ALLOC!$N$4="VOL_CLASS",$M139,$N139)))</f>
        <v>314</v>
      </c>
      <c r="AE139">
        <f>IF($A139="","",IF(ALLOC!$N$3="VOL_EFF",$L139,IF(ALLOC!$N$3="VOL_CLASS",$M139,$N139)))</f>
        <v>2580240</v>
      </c>
      <c r="AF139">
        <f>IF($A139="","",IF(ALLOC!$N$3="VOL_EFF",$Q139,IF(ALLOC!$N$3="VOL_CLASS",$R139,$S139)))</f>
        <v>5593340</v>
      </c>
      <c r="AG139">
        <f>IF($A139="","",IF(ALLOC!$N$1="VOL_EFF",$Q139,IF(ALLOC!$N$1="VOL_CLASS",$R139,$S139)))</f>
        <v>737</v>
      </c>
      <c r="AH139">
        <f>IF($A139="","",IF(ALLOC!$N$1="VOL_EFF",$T139,IF(ALLOC!$N$1="VOL_CLASS",$U139,$V139)))</f>
        <v>2704</v>
      </c>
      <c r="AI139">
        <f t="shared" si="68"/>
        <v>33054.200000000004</v>
      </c>
      <c r="AJ139">
        <f t="shared" si="69"/>
        <v>110464.40000000001</v>
      </c>
      <c r="AK139">
        <f t="shared" si="70"/>
        <v>23736.127388535035</v>
      </c>
      <c r="AL139">
        <f t="shared" si="71"/>
        <v>248713.00000000003</v>
      </c>
      <c r="AM139">
        <f t="shared" si="72"/>
        <v>65523.813805531907</v>
      </c>
      <c r="AN139">
        <f t="shared" si="73"/>
        <v>-7822.8462488105288</v>
      </c>
      <c r="AO139">
        <f>IF($A139="","",Allocation2!AE139)</f>
        <v>499926</v>
      </c>
      <c r="AP139">
        <f>IF($A139="","",IF(ALLOC!$N$2="VOL_EFF",$Q139,IF(ALLOC!$N$2="VOL_CLASS",$R139,$S139)))</f>
        <v>737</v>
      </c>
      <c r="AQ139">
        <f>IF($A139="","",IF(ALLOC!$N$2="VOL_EFF",$T139,IF(ALLOC!$N$2="VOL_CLASS",$U139,$V139)))</f>
        <v>2704</v>
      </c>
      <c r="AR139">
        <f t="shared" si="74"/>
        <v>12411.3050547436</v>
      </c>
    </row>
    <row r="140" spans="1:44" x14ac:dyDescent="0.45">
      <c r="A140" t="str">
        <f>IF(Allocation2!D140="","",Allocation2!D140)</f>
        <v>2024</v>
      </c>
      <c r="B140" t="str">
        <f>IF(Allocation2!E140="","",Allocation2!E140)</f>
        <v>ISCOM_PAR</v>
      </c>
      <c r="C140" t="str">
        <f>IF(Allocation2!F140="","",Allocation2!F140)</f>
        <v>ISCOM</v>
      </c>
      <c r="D140" t="str">
        <f>IF(Allocation2!G140="","",Allocation2!G140)</f>
        <v>BAC_COM</v>
      </c>
      <c r="E140" t="str">
        <f>IF(Allocation2!H140="","",Allocation2!H140)</f>
        <v>B3</v>
      </c>
      <c r="F140" t="str">
        <f>IF(Allocation2!I140="","",Allocation2!I140)</f>
        <v>ALT</v>
      </c>
      <c r="G140">
        <f>IF(Allocation2!E140="","",Allocation2!J140)</f>
        <v>61</v>
      </c>
      <c r="H140">
        <f>IF(Allocation2!E140="","",Allocation2!K140)</f>
        <v>3</v>
      </c>
      <c r="I140">
        <f>IF(Allocation2!E140="","",Allocation2!L140)</f>
        <v>478240</v>
      </c>
      <c r="J140">
        <f>IF($A140="","",Allocation2!X140)</f>
        <v>0</v>
      </c>
      <c r="K140">
        <f t="shared" si="56"/>
        <v>1440</v>
      </c>
      <c r="L140">
        <f t="shared" si="57"/>
        <v>314</v>
      </c>
      <c r="M140">
        <f t="shared" si="58"/>
        <v>15</v>
      </c>
      <c r="N140">
        <f t="shared" si="59"/>
        <v>2580240</v>
      </c>
      <c r="O140">
        <f t="shared" si="60"/>
        <v>7200</v>
      </c>
      <c r="P140">
        <f t="shared" si="61"/>
        <v>128</v>
      </c>
      <c r="Q140">
        <f t="shared" si="62"/>
        <v>737</v>
      </c>
      <c r="R140">
        <f t="shared" si="63"/>
        <v>35</v>
      </c>
      <c r="S140">
        <f t="shared" si="64"/>
        <v>5593340</v>
      </c>
      <c r="T140">
        <f t="shared" si="65"/>
        <v>2704</v>
      </c>
      <c r="U140">
        <f t="shared" si="66"/>
        <v>131</v>
      </c>
      <c r="V140">
        <f t="shared" si="67"/>
        <v>20076860</v>
      </c>
      <c r="W140">
        <f>IF($A140="","",Allocation2!Y140)</f>
        <v>165271</v>
      </c>
      <c r="X140">
        <f>IF($A140="","",Allocation2!Z140)</f>
        <v>552322</v>
      </c>
      <c r="Y140">
        <f>IF($A140="","",Allocation2!AA140)</f>
        <v>120212</v>
      </c>
      <c r="Z140">
        <f>IF($A140="","",Allocation2!AB140)</f>
        <v>50248</v>
      </c>
      <c r="AA140">
        <f>IF($A140="","",Allocation2!AC140)</f>
        <v>1259611</v>
      </c>
      <c r="AB140">
        <f>IF($A140="","",Allocation2!AD140)</f>
        <v>2639292</v>
      </c>
      <c r="AC140">
        <f>IF($A140="","",IF(ALLOC!$N$4="VOL_EFF",$G140,IF(ALLOC!$N$4="VOL_CLASS",$H140,$I140)))</f>
        <v>61</v>
      </c>
      <c r="AD140">
        <f>IF($A140="","",IF(ALLOC!$N$4="VOL_EFF",$L140,IF(ALLOC!$N$4="VOL_CLASS",$M140,$N140)))</f>
        <v>314</v>
      </c>
      <c r="AE140">
        <f>IF($A140="","",IF(ALLOC!$N$3="VOL_EFF",$L140,IF(ALLOC!$N$3="VOL_CLASS",$M140,$N140)))</f>
        <v>2580240</v>
      </c>
      <c r="AF140">
        <f>IF($A140="","",IF(ALLOC!$N$3="VOL_EFF",$Q140,IF(ALLOC!$N$3="VOL_CLASS",$R140,$S140)))</f>
        <v>5593340</v>
      </c>
      <c r="AG140">
        <f>IF($A140="","",IF(ALLOC!$N$1="VOL_EFF",$Q140,IF(ALLOC!$N$1="VOL_CLASS",$R140,$S140)))</f>
        <v>737</v>
      </c>
      <c r="AH140">
        <f>IF($A140="","",IF(ALLOC!$N$1="VOL_EFF",$T140,IF(ALLOC!$N$1="VOL_CLASS",$U140,$V140)))</f>
        <v>2704</v>
      </c>
      <c r="AI140">
        <f t="shared" si="68"/>
        <v>33054.200000000004</v>
      </c>
      <c r="AJ140">
        <f t="shared" si="69"/>
        <v>110464.40000000001</v>
      </c>
      <c r="AK140">
        <f t="shared" si="70"/>
        <v>23353.286624203822</v>
      </c>
      <c r="AL140">
        <f t="shared" si="71"/>
        <v>244701.50000000003</v>
      </c>
      <c r="AM140">
        <f t="shared" si="72"/>
        <v>64466.978098991072</v>
      </c>
      <c r="AN140">
        <f t="shared" si="73"/>
        <v>-10011.48743834591</v>
      </c>
      <c r="AO140">
        <f>IF($A140="","",Allocation2!AE140)</f>
        <v>499926</v>
      </c>
      <c r="AP140">
        <f>IF($A140="","",IF(ALLOC!$N$2="VOL_EFF",$Q140,IF(ALLOC!$N$2="VOL_CLASS",$R140,$S140)))</f>
        <v>737</v>
      </c>
      <c r="AQ140">
        <f>IF($A140="","",IF(ALLOC!$N$2="VOL_EFF",$T140,IF(ALLOC!$N$2="VOL_CLASS",$U140,$V140)))</f>
        <v>2704</v>
      </c>
      <c r="AR140">
        <f t="shared" si="74"/>
        <v>12211.122715150961</v>
      </c>
    </row>
    <row r="141" spans="1:44" x14ac:dyDescent="0.45">
      <c r="A141" t="str">
        <f>IF(Allocation2!D141="","",Allocation2!D141)</f>
        <v>2024</v>
      </c>
      <c r="B141" t="str">
        <f>IF(Allocation2!E141="","",Allocation2!E141)</f>
        <v>ISCOM_PAR</v>
      </c>
      <c r="C141" t="str">
        <f>IF(Allocation2!F141="","",Allocation2!F141)</f>
        <v>ISCOM</v>
      </c>
      <c r="D141" t="str">
        <f>IF(Allocation2!G141="","",Allocation2!G141)</f>
        <v>MAS_COM</v>
      </c>
      <c r="E141" t="str">
        <f>IF(Allocation2!H141="","",Allocation2!H141)</f>
        <v>M1</v>
      </c>
      <c r="F141" t="str">
        <f>IF(Allocation2!I141="","",Allocation2!I141)</f>
        <v>ALT</v>
      </c>
      <c r="G141">
        <f>IF(Allocation2!E141="","",Allocation2!J141)</f>
        <v>64</v>
      </c>
      <c r="H141">
        <f>IF(Allocation2!E141="","",Allocation2!K141)</f>
        <v>3</v>
      </c>
      <c r="I141">
        <f>IF(Allocation2!E141="","",Allocation2!L141)</f>
        <v>543360</v>
      </c>
      <c r="J141">
        <f>IF($A141="","",Allocation2!X141)</f>
        <v>64</v>
      </c>
      <c r="K141">
        <f t="shared" si="56"/>
        <v>1260</v>
      </c>
      <c r="L141">
        <f t="shared" si="57"/>
        <v>314</v>
      </c>
      <c r="M141">
        <f t="shared" si="58"/>
        <v>15</v>
      </c>
      <c r="N141">
        <f t="shared" si="59"/>
        <v>2580240</v>
      </c>
      <c r="O141">
        <f t="shared" si="60"/>
        <v>7200</v>
      </c>
      <c r="P141">
        <f t="shared" si="61"/>
        <v>128</v>
      </c>
      <c r="Q141">
        <f t="shared" si="62"/>
        <v>737</v>
      </c>
      <c r="R141">
        <f t="shared" si="63"/>
        <v>35</v>
      </c>
      <c r="S141">
        <f t="shared" si="64"/>
        <v>5593340</v>
      </c>
      <c r="T141">
        <f t="shared" si="65"/>
        <v>2704</v>
      </c>
      <c r="U141">
        <f t="shared" si="66"/>
        <v>131</v>
      </c>
      <c r="V141">
        <f t="shared" si="67"/>
        <v>20076860</v>
      </c>
      <c r="W141">
        <f>IF($A141="","",Allocation2!Y141)</f>
        <v>165271</v>
      </c>
      <c r="X141">
        <f>IF($A141="","",Allocation2!Z141)</f>
        <v>552322</v>
      </c>
      <c r="Y141">
        <f>IF($A141="","",Allocation2!AA141)</f>
        <v>120212</v>
      </c>
      <c r="Z141">
        <f>IF($A141="","",Allocation2!AB141)</f>
        <v>50248</v>
      </c>
      <c r="AA141">
        <f>IF($A141="","",Allocation2!AC141)</f>
        <v>1259611</v>
      </c>
      <c r="AB141">
        <f>IF($A141="","",Allocation2!AD141)</f>
        <v>2639292</v>
      </c>
      <c r="AC141">
        <f>IF($A141="","",IF(ALLOC!$N$4="VOL_EFF",$G141,IF(ALLOC!$N$4="VOL_CLASS",$H141,$I141)))</f>
        <v>64</v>
      </c>
      <c r="AD141">
        <f>IF($A141="","",IF(ALLOC!$N$4="VOL_EFF",$L141,IF(ALLOC!$N$4="VOL_CLASS",$M141,$N141)))</f>
        <v>314</v>
      </c>
      <c r="AE141">
        <f>IF($A141="","",IF(ALLOC!$N$3="VOL_EFF",$L141,IF(ALLOC!$N$3="VOL_CLASS",$M141,$N141)))</f>
        <v>2580240</v>
      </c>
      <c r="AF141">
        <f>IF($A141="","",IF(ALLOC!$N$3="VOL_EFF",$Q141,IF(ALLOC!$N$3="VOL_CLASS",$R141,$S141)))</f>
        <v>5593340</v>
      </c>
      <c r="AG141">
        <f>IF($A141="","",IF(ALLOC!$N$1="VOL_EFF",$Q141,IF(ALLOC!$N$1="VOL_CLASS",$R141,$S141)))</f>
        <v>737</v>
      </c>
      <c r="AH141">
        <f>IF($A141="","",IF(ALLOC!$N$1="VOL_EFF",$T141,IF(ALLOC!$N$1="VOL_CLASS",$U141,$V141)))</f>
        <v>2704</v>
      </c>
      <c r="AI141">
        <f t="shared" si="68"/>
        <v>28922.424999999999</v>
      </c>
      <c r="AJ141">
        <f t="shared" si="69"/>
        <v>96656.349999999991</v>
      </c>
      <c r="AK141">
        <f t="shared" si="70"/>
        <v>49625.808917197457</v>
      </c>
      <c r="AL141">
        <f t="shared" si="71"/>
        <v>256736</v>
      </c>
      <c r="AM141">
        <f t="shared" si="72"/>
        <v>67637.485218613583</v>
      </c>
      <c r="AN141">
        <f t="shared" si="73"/>
        <v>30970.261130260129</v>
      </c>
      <c r="AO141">
        <f>IF($A141="","",Allocation2!AE141)</f>
        <v>499926</v>
      </c>
      <c r="AP141">
        <f>IF($A141="","",IF(ALLOC!$N$2="VOL_EFF",$Q141,IF(ALLOC!$N$2="VOL_CLASS",$R141,$S141)))</f>
        <v>737</v>
      </c>
      <c r="AQ141">
        <f>IF($A141="","",IF(ALLOC!$N$2="VOL_EFF",$T141,IF(ALLOC!$N$2="VOL_CLASS",$U141,$V141)))</f>
        <v>2704</v>
      </c>
      <c r="AR141">
        <f t="shared" si="74"/>
        <v>12811.669733928877</v>
      </c>
    </row>
    <row r="142" spans="1:44" x14ac:dyDescent="0.45">
      <c r="A142" t="str">
        <f>IF(Allocation2!D142="","",Allocation2!D142)</f>
        <v>2024</v>
      </c>
      <c r="B142" t="str">
        <f>IF(Allocation2!E142="","",Allocation2!E142)</f>
        <v>ISCOM_PAR</v>
      </c>
      <c r="C142" t="str">
        <f>IF(Allocation2!F142="","",Allocation2!F142)</f>
        <v>ISCOM</v>
      </c>
      <c r="D142" t="str">
        <f>IF(Allocation2!G142="","",Allocation2!G142)</f>
        <v>MAS_COM</v>
      </c>
      <c r="E142" t="str">
        <f>IF(Allocation2!H142="","",Allocation2!H142)</f>
        <v>M2</v>
      </c>
      <c r="F142" t="str">
        <f>IF(Allocation2!I142="","",Allocation2!I142)</f>
        <v>ALT</v>
      </c>
      <c r="G142">
        <f>IF(Allocation2!E142="","",Allocation2!J142)</f>
        <v>63</v>
      </c>
      <c r="H142">
        <f>IF(Allocation2!E142="","",Allocation2!K142)</f>
        <v>3</v>
      </c>
      <c r="I142">
        <f>IF(Allocation2!E142="","",Allocation2!L142)</f>
        <v>529200</v>
      </c>
      <c r="J142">
        <f>IF($A142="","",Allocation2!X142)</f>
        <v>0</v>
      </c>
      <c r="K142">
        <f t="shared" si="56"/>
        <v>1260</v>
      </c>
      <c r="L142">
        <f t="shared" si="57"/>
        <v>314</v>
      </c>
      <c r="M142">
        <f t="shared" si="58"/>
        <v>15</v>
      </c>
      <c r="N142">
        <f t="shared" si="59"/>
        <v>2580240</v>
      </c>
      <c r="O142">
        <f t="shared" si="60"/>
        <v>7200</v>
      </c>
      <c r="P142">
        <f t="shared" si="61"/>
        <v>128</v>
      </c>
      <c r="Q142">
        <f t="shared" si="62"/>
        <v>737</v>
      </c>
      <c r="R142">
        <f t="shared" si="63"/>
        <v>35</v>
      </c>
      <c r="S142">
        <f t="shared" si="64"/>
        <v>5593340</v>
      </c>
      <c r="T142">
        <f t="shared" si="65"/>
        <v>2704</v>
      </c>
      <c r="U142">
        <f t="shared" si="66"/>
        <v>131</v>
      </c>
      <c r="V142">
        <f t="shared" si="67"/>
        <v>20076860</v>
      </c>
      <c r="W142">
        <f>IF($A142="","",Allocation2!Y142)</f>
        <v>165271</v>
      </c>
      <c r="X142">
        <f>IF($A142="","",Allocation2!Z142)</f>
        <v>552322</v>
      </c>
      <c r="Y142">
        <f>IF($A142="","",Allocation2!AA142)</f>
        <v>120212</v>
      </c>
      <c r="Z142">
        <f>IF($A142="","",Allocation2!AB142)</f>
        <v>50248</v>
      </c>
      <c r="AA142">
        <f>IF($A142="","",Allocation2!AC142)</f>
        <v>1259611</v>
      </c>
      <c r="AB142">
        <f>IF($A142="","",Allocation2!AD142)</f>
        <v>2639292</v>
      </c>
      <c r="AC142">
        <f>IF($A142="","",IF(ALLOC!$N$4="VOL_EFF",$G142,IF(ALLOC!$N$4="VOL_CLASS",$H142,$I142)))</f>
        <v>63</v>
      </c>
      <c r="AD142">
        <f>IF($A142="","",IF(ALLOC!$N$4="VOL_EFF",$L142,IF(ALLOC!$N$4="VOL_CLASS",$M142,$N142)))</f>
        <v>314</v>
      </c>
      <c r="AE142">
        <f>IF($A142="","",IF(ALLOC!$N$3="VOL_EFF",$L142,IF(ALLOC!$N$3="VOL_CLASS",$M142,$N142)))</f>
        <v>2580240</v>
      </c>
      <c r="AF142">
        <f>IF($A142="","",IF(ALLOC!$N$3="VOL_EFF",$Q142,IF(ALLOC!$N$3="VOL_CLASS",$R142,$S142)))</f>
        <v>5593340</v>
      </c>
      <c r="AG142">
        <f>IF($A142="","",IF(ALLOC!$N$1="VOL_EFF",$Q142,IF(ALLOC!$N$1="VOL_CLASS",$R142,$S142)))</f>
        <v>737</v>
      </c>
      <c r="AH142">
        <f>IF($A142="","",IF(ALLOC!$N$1="VOL_EFF",$T142,IF(ALLOC!$N$1="VOL_CLASS",$U142,$V142)))</f>
        <v>2704</v>
      </c>
      <c r="AI142">
        <f t="shared" si="68"/>
        <v>28922.424999999999</v>
      </c>
      <c r="AJ142">
        <f t="shared" si="69"/>
        <v>96656.349999999991</v>
      </c>
      <c r="AK142">
        <f t="shared" si="70"/>
        <v>24118.968152866244</v>
      </c>
      <c r="AL142">
        <f t="shared" si="71"/>
        <v>252724.5</v>
      </c>
      <c r="AM142">
        <f t="shared" si="72"/>
        <v>66580.649512072749</v>
      </c>
      <c r="AN142">
        <f t="shared" si="73"/>
        <v>47585.619940724748</v>
      </c>
      <c r="AO142">
        <f>IF($A142="","",Allocation2!AE142)</f>
        <v>499926</v>
      </c>
      <c r="AP142">
        <f>IF($A142="","",IF(ALLOC!$N$2="VOL_EFF",$Q142,IF(ALLOC!$N$2="VOL_CLASS",$R142,$S142)))</f>
        <v>737</v>
      </c>
      <c r="AQ142">
        <f>IF($A142="","",IF(ALLOC!$N$2="VOL_EFF",$T142,IF(ALLOC!$N$2="VOL_CLASS",$U142,$V142)))</f>
        <v>2704</v>
      </c>
      <c r="AR142">
        <f t="shared" si="74"/>
        <v>12611.487394336238</v>
      </c>
    </row>
    <row r="143" spans="1:44" x14ac:dyDescent="0.45">
      <c r="A143" t="str">
        <f>IF(Allocation2!D143="","",Allocation2!D143)</f>
        <v>2024</v>
      </c>
      <c r="B143" t="str">
        <f>IF(Allocation2!E143="","",Allocation2!E143)</f>
        <v>ISCOM_LIL</v>
      </c>
      <c r="C143" t="str">
        <f>IF(Allocation2!F143="","",Allocation2!F143)</f>
        <v>ISCOM</v>
      </c>
      <c r="D143" t="str">
        <f>IF(Allocation2!G143="","",Allocation2!G143)</f>
        <v>BAC_COM</v>
      </c>
      <c r="E143" t="str">
        <f>IF(Allocation2!H143="","",Allocation2!H143)</f>
        <v>B1</v>
      </c>
      <c r="F143" t="str">
        <f>IF(Allocation2!I143="","",Allocation2!I143)</f>
        <v>INIT</v>
      </c>
      <c r="G143">
        <f>IF(Allocation2!E143="","",Allocation2!J143)</f>
        <v>44</v>
      </c>
      <c r="H143">
        <f>IF(Allocation2!E143="","",Allocation2!K143)</f>
        <v>2</v>
      </c>
      <c r="I143">
        <f>IF(Allocation2!E143="","",Allocation2!L143)</f>
        <v>327360</v>
      </c>
      <c r="J143">
        <f>IF($A143="","",Allocation2!X143)</f>
        <v>44</v>
      </c>
      <c r="K143">
        <f t="shared" si="56"/>
        <v>1200</v>
      </c>
      <c r="L143">
        <f t="shared" si="57"/>
        <v>217</v>
      </c>
      <c r="M143">
        <f t="shared" si="58"/>
        <v>10</v>
      </c>
      <c r="N143">
        <f t="shared" si="59"/>
        <v>1561220</v>
      </c>
      <c r="O143">
        <f t="shared" si="60"/>
        <v>4800</v>
      </c>
      <c r="P143">
        <f t="shared" si="61"/>
        <v>88</v>
      </c>
      <c r="Q143">
        <f t="shared" si="62"/>
        <v>737</v>
      </c>
      <c r="R143">
        <f t="shared" si="63"/>
        <v>35</v>
      </c>
      <c r="S143">
        <f t="shared" si="64"/>
        <v>5593340</v>
      </c>
      <c r="T143">
        <f t="shared" si="65"/>
        <v>2704</v>
      </c>
      <c r="U143">
        <f t="shared" si="66"/>
        <v>131</v>
      </c>
      <c r="V143">
        <f t="shared" si="67"/>
        <v>20076860</v>
      </c>
      <c r="W143">
        <f>IF($A143="","",Allocation2!Y143)</f>
        <v>110180</v>
      </c>
      <c r="X143">
        <f>IF($A143="","",Allocation2!Z143)</f>
        <v>209109</v>
      </c>
      <c r="Y143">
        <f>IF($A143="","",Allocation2!AA143)</f>
        <v>82858</v>
      </c>
      <c r="Z143">
        <f>IF($A143="","",Allocation2!AB143)</f>
        <v>20843</v>
      </c>
      <c r="AA143">
        <f>IF($A143="","",Allocation2!AC143)</f>
        <v>487636</v>
      </c>
      <c r="AB143">
        <f>IF($A143="","",Allocation2!AD143)</f>
        <v>2639292</v>
      </c>
      <c r="AC143">
        <f>IF($A143="","",IF(ALLOC!$N$4="VOL_EFF",$G143,IF(ALLOC!$N$4="VOL_CLASS",$H143,$I143)))</f>
        <v>44</v>
      </c>
      <c r="AD143">
        <f>IF($A143="","",IF(ALLOC!$N$4="VOL_EFF",$L143,IF(ALLOC!$N$4="VOL_CLASS",$M143,$N143)))</f>
        <v>217</v>
      </c>
      <c r="AE143">
        <f>IF($A143="","",IF(ALLOC!$N$3="VOL_EFF",$L143,IF(ALLOC!$N$3="VOL_CLASS",$M143,$N143)))</f>
        <v>1561220</v>
      </c>
      <c r="AF143">
        <f>IF($A143="","",IF(ALLOC!$N$3="VOL_EFF",$Q143,IF(ALLOC!$N$3="VOL_CLASS",$R143,$S143)))</f>
        <v>5593340</v>
      </c>
      <c r="AG143">
        <f>IF($A143="","",IF(ALLOC!$N$1="VOL_EFF",$Q143,IF(ALLOC!$N$1="VOL_CLASS",$R143,$S143)))</f>
        <v>737</v>
      </c>
      <c r="AH143">
        <f>IF($A143="","",IF(ALLOC!$N$1="VOL_EFF",$T143,IF(ALLOC!$N$1="VOL_CLASS",$U143,$V143)))</f>
        <v>2704</v>
      </c>
      <c r="AI143">
        <f t="shared" si="68"/>
        <v>27545</v>
      </c>
      <c r="AJ143">
        <f t="shared" si="69"/>
        <v>52277.25</v>
      </c>
      <c r="AK143">
        <f t="shared" si="70"/>
        <v>27222.200460829496</v>
      </c>
      <c r="AL143">
        <f t="shared" si="71"/>
        <v>98875.502304147463</v>
      </c>
      <c r="AM143">
        <f t="shared" si="72"/>
        <v>40713.090571353125</v>
      </c>
      <c r="AN143">
        <f t="shared" si="73"/>
        <v>73015.217107389588</v>
      </c>
      <c r="AO143">
        <f>IF($A143="","",Allocation2!AE143)</f>
        <v>499926</v>
      </c>
      <c r="AP143">
        <f>IF($A143="","",IF(ALLOC!$N$2="VOL_EFF",$Q143,IF(ALLOC!$N$2="VOL_CLASS",$R143,$S143)))</f>
        <v>737</v>
      </c>
      <c r="AQ143">
        <f>IF($A143="","",IF(ALLOC!$N$2="VOL_EFF",$T143,IF(ALLOC!$N$2="VOL_CLASS",$U143,$V143)))</f>
        <v>2704</v>
      </c>
      <c r="AR143">
        <f t="shared" si="74"/>
        <v>7711.7395562803531</v>
      </c>
    </row>
    <row r="144" spans="1:44" x14ac:dyDescent="0.45">
      <c r="A144" t="str">
        <f>IF(Allocation2!D144="","",Allocation2!D144)</f>
        <v>2024</v>
      </c>
      <c r="B144" t="str">
        <f>IF(Allocation2!E144="","",Allocation2!E144)</f>
        <v>ISCOM_LIL</v>
      </c>
      <c r="C144" t="str">
        <f>IF(Allocation2!F144="","",Allocation2!F144)</f>
        <v>ISCOM</v>
      </c>
      <c r="D144" t="str">
        <f>IF(Allocation2!G144="","",Allocation2!G144)</f>
        <v>BAC_COM</v>
      </c>
      <c r="E144" t="str">
        <f>IF(Allocation2!H144="","",Allocation2!H144)</f>
        <v>B2</v>
      </c>
      <c r="F144" t="str">
        <f>IF(Allocation2!I144="","",Allocation2!I144)</f>
        <v>ALT</v>
      </c>
      <c r="G144">
        <f>IF(Allocation2!E144="","",Allocation2!J144)</f>
        <v>43</v>
      </c>
      <c r="H144">
        <f>IF(Allocation2!E144="","",Allocation2!K144)</f>
        <v>2</v>
      </c>
      <c r="I144">
        <f>IF(Allocation2!E144="","",Allocation2!L144)</f>
        <v>294980</v>
      </c>
      <c r="J144">
        <f>IF($A144="","",Allocation2!X144)</f>
        <v>0</v>
      </c>
      <c r="K144">
        <f t="shared" si="56"/>
        <v>960</v>
      </c>
      <c r="L144">
        <f t="shared" si="57"/>
        <v>217</v>
      </c>
      <c r="M144">
        <f t="shared" si="58"/>
        <v>10</v>
      </c>
      <c r="N144">
        <f t="shared" si="59"/>
        <v>1561220</v>
      </c>
      <c r="O144">
        <f t="shared" si="60"/>
        <v>4800</v>
      </c>
      <c r="P144">
        <f t="shared" si="61"/>
        <v>88</v>
      </c>
      <c r="Q144">
        <f t="shared" si="62"/>
        <v>737</v>
      </c>
      <c r="R144">
        <f t="shared" si="63"/>
        <v>35</v>
      </c>
      <c r="S144">
        <f t="shared" si="64"/>
        <v>5593340</v>
      </c>
      <c r="T144">
        <f t="shared" si="65"/>
        <v>2704</v>
      </c>
      <c r="U144">
        <f t="shared" si="66"/>
        <v>131</v>
      </c>
      <c r="V144">
        <f t="shared" si="67"/>
        <v>20076860</v>
      </c>
      <c r="W144">
        <f>IF($A144="","",Allocation2!Y144)</f>
        <v>110180</v>
      </c>
      <c r="X144">
        <f>IF($A144="","",Allocation2!Z144)</f>
        <v>209109</v>
      </c>
      <c r="Y144">
        <f>IF($A144="","",Allocation2!AA144)</f>
        <v>82858</v>
      </c>
      <c r="Z144">
        <f>IF($A144="","",Allocation2!AB144)</f>
        <v>20843</v>
      </c>
      <c r="AA144">
        <f>IF($A144="","",Allocation2!AC144)</f>
        <v>487636</v>
      </c>
      <c r="AB144">
        <f>IF($A144="","",Allocation2!AD144)</f>
        <v>2639292</v>
      </c>
      <c r="AC144">
        <f>IF($A144="","",IF(ALLOC!$N$4="VOL_EFF",$G144,IF(ALLOC!$N$4="VOL_CLASS",$H144,$I144)))</f>
        <v>43</v>
      </c>
      <c r="AD144">
        <f>IF($A144="","",IF(ALLOC!$N$4="VOL_EFF",$L144,IF(ALLOC!$N$4="VOL_CLASS",$M144,$N144)))</f>
        <v>217</v>
      </c>
      <c r="AE144">
        <f>IF($A144="","",IF(ALLOC!$N$3="VOL_EFF",$L144,IF(ALLOC!$N$3="VOL_CLASS",$M144,$N144)))</f>
        <v>1561220</v>
      </c>
      <c r="AF144">
        <f>IF($A144="","",IF(ALLOC!$N$3="VOL_EFF",$Q144,IF(ALLOC!$N$3="VOL_CLASS",$R144,$S144)))</f>
        <v>5593340</v>
      </c>
      <c r="AG144">
        <f>IF($A144="","",IF(ALLOC!$N$1="VOL_EFF",$Q144,IF(ALLOC!$N$1="VOL_CLASS",$R144,$S144)))</f>
        <v>737</v>
      </c>
      <c r="AH144">
        <f>IF($A144="","",IF(ALLOC!$N$1="VOL_EFF",$T144,IF(ALLOC!$N$1="VOL_CLASS",$U144,$V144)))</f>
        <v>2704</v>
      </c>
      <c r="AI144">
        <f t="shared" si="68"/>
        <v>22036</v>
      </c>
      <c r="AJ144">
        <f t="shared" si="69"/>
        <v>41821.800000000003</v>
      </c>
      <c r="AK144">
        <f t="shared" si="70"/>
        <v>16418.866359447005</v>
      </c>
      <c r="AL144">
        <f t="shared" si="71"/>
        <v>96628.33179723502</v>
      </c>
      <c r="AM144">
        <f t="shared" si="72"/>
        <v>39787.793058367824</v>
      </c>
      <c r="AN144">
        <f t="shared" si="73"/>
        <v>70750.736036767106</v>
      </c>
      <c r="AO144">
        <f>IF($A144="","",Allocation2!AE144)</f>
        <v>499926</v>
      </c>
      <c r="AP144">
        <f>IF($A144="","",IF(ALLOC!$N$2="VOL_EFF",$Q144,IF(ALLOC!$N$2="VOL_CLASS",$R144,$S144)))</f>
        <v>737</v>
      </c>
      <c r="AQ144">
        <f>IF($A144="","",IF(ALLOC!$N$2="VOL_EFF",$T144,IF(ALLOC!$N$2="VOL_CLASS",$U144,$V144)))</f>
        <v>2704</v>
      </c>
      <c r="AR144">
        <f t="shared" si="74"/>
        <v>7536.4727481830714</v>
      </c>
    </row>
    <row r="145" spans="1:44" x14ac:dyDescent="0.45">
      <c r="A145" t="str">
        <f>IF(Allocation2!D145="","",Allocation2!D145)</f>
        <v>2024</v>
      </c>
      <c r="B145" t="str">
        <f>IF(Allocation2!E145="","",Allocation2!E145)</f>
        <v>ISCOM_LIL</v>
      </c>
      <c r="C145" t="str">
        <f>IF(Allocation2!F145="","",Allocation2!F145)</f>
        <v>ISCOM</v>
      </c>
      <c r="D145" t="str">
        <f>IF(Allocation2!G145="","",Allocation2!G145)</f>
        <v>BAC_COM</v>
      </c>
      <c r="E145" t="str">
        <f>IF(Allocation2!H145="","",Allocation2!H145)</f>
        <v>B3</v>
      </c>
      <c r="F145" t="str">
        <f>IF(Allocation2!I145="","",Allocation2!I145)</f>
        <v>ALT</v>
      </c>
      <c r="G145">
        <f>IF(Allocation2!E145="","",Allocation2!J145)</f>
        <v>42</v>
      </c>
      <c r="H145">
        <f>IF(Allocation2!E145="","",Allocation2!K145)</f>
        <v>2</v>
      </c>
      <c r="I145">
        <f>IF(Allocation2!E145="","",Allocation2!L145)</f>
        <v>288120</v>
      </c>
      <c r="J145">
        <f>IF($A145="","",Allocation2!X145)</f>
        <v>0</v>
      </c>
      <c r="K145">
        <f t="shared" si="56"/>
        <v>960</v>
      </c>
      <c r="L145">
        <f t="shared" si="57"/>
        <v>217</v>
      </c>
      <c r="M145">
        <f t="shared" si="58"/>
        <v>10</v>
      </c>
      <c r="N145">
        <f t="shared" si="59"/>
        <v>1561220</v>
      </c>
      <c r="O145">
        <f t="shared" si="60"/>
        <v>4800</v>
      </c>
      <c r="P145">
        <f t="shared" si="61"/>
        <v>88</v>
      </c>
      <c r="Q145">
        <f t="shared" si="62"/>
        <v>737</v>
      </c>
      <c r="R145">
        <f t="shared" si="63"/>
        <v>35</v>
      </c>
      <c r="S145">
        <f t="shared" si="64"/>
        <v>5593340</v>
      </c>
      <c r="T145">
        <f t="shared" si="65"/>
        <v>2704</v>
      </c>
      <c r="U145">
        <f t="shared" si="66"/>
        <v>131</v>
      </c>
      <c r="V145">
        <f t="shared" si="67"/>
        <v>20076860</v>
      </c>
      <c r="W145">
        <f>IF($A145="","",Allocation2!Y145)</f>
        <v>110180</v>
      </c>
      <c r="X145">
        <f>IF($A145="","",Allocation2!Z145)</f>
        <v>209109</v>
      </c>
      <c r="Y145">
        <f>IF($A145="","",Allocation2!AA145)</f>
        <v>82858</v>
      </c>
      <c r="Z145">
        <f>IF($A145="","",Allocation2!AB145)</f>
        <v>20843</v>
      </c>
      <c r="AA145">
        <f>IF($A145="","",Allocation2!AC145)</f>
        <v>487636</v>
      </c>
      <c r="AB145">
        <f>IF($A145="","",Allocation2!AD145)</f>
        <v>2639292</v>
      </c>
      <c r="AC145">
        <f>IF($A145="","",IF(ALLOC!$N$4="VOL_EFF",$G145,IF(ALLOC!$N$4="VOL_CLASS",$H145,$I145)))</f>
        <v>42</v>
      </c>
      <c r="AD145">
        <f>IF($A145="","",IF(ALLOC!$N$4="VOL_EFF",$L145,IF(ALLOC!$N$4="VOL_CLASS",$M145,$N145)))</f>
        <v>217</v>
      </c>
      <c r="AE145">
        <f>IF($A145="","",IF(ALLOC!$N$3="VOL_EFF",$L145,IF(ALLOC!$N$3="VOL_CLASS",$M145,$N145)))</f>
        <v>1561220</v>
      </c>
      <c r="AF145">
        <f>IF($A145="","",IF(ALLOC!$N$3="VOL_EFF",$Q145,IF(ALLOC!$N$3="VOL_CLASS",$R145,$S145)))</f>
        <v>5593340</v>
      </c>
      <c r="AG145">
        <f>IF($A145="","",IF(ALLOC!$N$1="VOL_EFF",$Q145,IF(ALLOC!$N$1="VOL_CLASS",$R145,$S145)))</f>
        <v>737</v>
      </c>
      <c r="AH145">
        <f>IF($A145="","",IF(ALLOC!$N$1="VOL_EFF",$T145,IF(ALLOC!$N$1="VOL_CLASS",$U145,$V145)))</f>
        <v>2704</v>
      </c>
      <c r="AI145">
        <f t="shared" si="68"/>
        <v>22036</v>
      </c>
      <c r="AJ145">
        <f t="shared" si="69"/>
        <v>41821.800000000003</v>
      </c>
      <c r="AK145">
        <f t="shared" si="70"/>
        <v>16037.032258064515</v>
      </c>
      <c r="AL145">
        <f t="shared" si="71"/>
        <v>94381.161290322576</v>
      </c>
      <c r="AM145">
        <f t="shared" si="72"/>
        <v>38862.495545382524</v>
      </c>
      <c r="AN145">
        <f t="shared" si="73"/>
        <v>67620.304966144613</v>
      </c>
      <c r="AO145">
        <f>IF($A145="","",Allocation2!AE145)</f>
        <v>499926</v>
      </c>
      <c r="AP145">
        <f>IF($A145="","",IF(ALLOC!$N$2="VOL_EFF",$Q145,IF(ALLOC!$N$2="VOL_CLASS",$R145,$S145)))</f>
        <v>737</v>
      </c>
      <c r="AQ145">
        <f>IF($A145="","",IF(ALLOC!$N$2="VOL_EFF",$T145,IF(ALLOC!$N$2="VOL_CLASS",$U145,$V145)))</f>
        <v>2704</v>
      </c>
      <c r="AR145">
        <f t="shared" si="74"/>
        <v>7361.2059400857906</v>
      </c>
    </row>
    <row r="146" spans="1:44" x14ac:dyDescent="0.45">
      <c r="A146" t="str">
        <f>IF(Allocation2!D146="","",Allocation2!D146)</f>
        <v>2024</v>
      </c>
      <c r="B146" t="str">
        <f>IF(Allocation2!E146="","",Allocation2!E146)</f>
        <v>ISCOM_LIL</v>
      </c>
      <c r="C146" t="str">
        <f>IF(Allocation2!F146="","",Allocation2!F146)</f>
        <v>ISCOM</v>
      </c>
      <c r="D146" t="str">
        <f>IF(Allocation2!G146="","",Allocation2!G146)</f>
        <v>MAS_COM</v>
      </c>
      <c r="E146" t="str">
        <f>IF(Allocation2!H146="","",Allocation2!H146)</f>
        <v>M1</v>
      </c>
      <c r="F146" t="str">
        <f>IF(Allocation2!I146="","",Allocation2!I146)</f>
        <v>ALT</v>
      </c>
      <c r="G146">
        <f>IF(Allocation2!E146="","",Allocation2!J146)</f>
        <v>44</v>
      </c>
      <c r="H146">
        <f>IF(Allocation2!E146="","",Allocation2!K146)</f>
        <v>2</v>
      </c>
      <c r="I146">
        <f>IF(Allocation2!E146="","",Allocation2!L146)</f>
        <v>327360</v>
      </c>
      <c r="J146">
        <f>IF($A146="","",Allocation2!X146)</f>
        <v>44</v>
      </c>
      <c r="K146">
        <f t="shared" si="56"/>
        <v>840</v>
      </c>
      <c r="L146">
        <f t="shared" si="57"/>
        <v>217</v>
      </c>
      <c r="M146">
        <f t="shared" si="58"/>
        <v>10</v>
      </c>
      <c r="N146">
        <f t="shared" si="59"/>
        <v>1561220</v>
      </c>
      <c r="O146">
        <f t="shared" si="60"/>
        <v>4800</v>
      </c>
      <c r="P146">
        <f t="shared" si="61"/>
        <v>88</v>
      </c>
      <c r="Q146">
        <f t="shared" si="62"/>
        <v>737</v>
      </c>
      <c r="R146">
        <f t="shared" si="63"/>
        <v>35</v>
      </c>
      <c r="S146">
        <f t="shared" si="64"/>
        <v>5593340</v>
      </c>
      <c r="T146">
        <f t="shared" si="65"/>
        <v>2704</v>
      </c>
      <c r="U146">
        <f t="shared" si="66"/>
        <v>131</v>
      </c>
      <c r="V146">
        <f t="shared" si="67"/>
        <v>20076860</v>
      </c>
      <c r="W146">
        <f>IF($A146="","",Allocation2!Y146)</f>
        <v>110180</v>
      </c>
      <c r="X146">
        <f>IF($A146="","",Allocation2!Z146)</f>
        <v>209109</v>
      </c>
      <c r="Y146">
        <f>IF($A146="","",Allocation2!AA146)</f>
        <v>82858</v>
      </c>
      <c r="Z146">
        <f>IF($A146="","",Allocation2!AB146)</f>
        <v>20843</v>
      </c>
      <c r="AA146">
        <f>IF($A146="","",Allocation2!AC146)</f>
        <v>487636</v>
      </c>
      <c r="AB146">
        <f>IF($A146="","",Allocation2!AD146)</f>
        <v>2639292</v>
      </c>
      <c r="AC146">
        <f>IF($A146="","",IF(ALLOC!$N$4="VOL_EFF",$G146,IF(ALLOC!$N$4="VOL_CLASS",$H146,$I146)))</f>
        <v>44</v>
      </c>
      <c r="AD146">
        <f>IF($A146="","",IF(ALLOC!$N$4="VOL_EFF",$L146,IF(ALLOC!$N$4="VOL_CLASS",$M146,$N146)))</f>
        <v>217</v>
      </c>
      <c r="AE146">
        <f>IF($A146="","",IF(ALLOC!$N$3="VOL_EFF",$L146,IF(ALLOC!$N$3="VOL_CLASS",$M146,$N146)))</f>
        <v>1561220</v>
      </c>
      <c r="AF146">
        <f>IF($A146="","",IF(ALLOC!$N$3="VOL_EFF",$Q146,IF(ALLOC!$N$3="VOL_CLASS",$R146,$S146)))</f>
        <v>5593340</v>
      </c>
      <c r="AG146">
        <f>IF($A146="","",IF(ALLOC!$N$1="VOL_EFF",$Q146,IF(ALLOC!$N$1="VOL_CLASS",$R146,$S146)))</f>
        <v>737</v>
      </c>
      <c r="AH146">
        <f>IF($A146="","",IF(ALLOC!$N$1="VOL_EFF",$T146,IF(ALLOC!$N$1="VOL_CLASS",$U146,$V146)))</f>
        <v>2704</v>
      </c>
      <c r="AI146">
        <f t="shared" si="68"/>
        <v>19281.5</v>
      </c>
      <c r="AJ146">
        <f t="shared" si="69"/>
        <v>36594.074999999997</v>
      </c>
      <c r="AK146">
        <f t="shared" si="70"/>
        <v>27222.200460829496</v>
      </c>
      <c r="AL146">
        <f t="shared" si="71"/>
        <v>98875.502304147463</v>
      </c>
      <c r="AM146">
        <f t="shared" si="72"/>
        <v>40713.090571353125</v>
      </c>
      <c r="AN146">
        <f t="shared" si="73"/>
        <v>96961.892107389576</v>
      </c>
      <c r="AO146">
        <f>IF($A146="","",Allocation2!AE146)</f>
        <v>499926</v>
      </c>
      <c r="AP146">
        <f>IF($A146="","",IF(ALLOC!$N$2="VOL_EFF",$Q146,IF(ALLOC!$N$2="VOL_CLASS",$R146,$S146)))</f>
        <v>737</v>
      </c>
      <c r="AQ146">
        <f>IF($A146="","",IF(ALLOC!$N$2="VOL_EFF",$T146,IF(ALLOC!$N$2="VOL_CLASS",$U146,$V146)))</f>
        <v>2704</v>
      </c>
      <c r="AR146">
        <f t="shared" si="74"/>
        <v>7711.7395562803531</v>
      </c>
    </row>
    <row r="147" spans="1:44" x14ac:dyDescent="0.45">
      <c r="A147" t="str">
        <f>IF(Allocation2!D147="","",Allocation2!D147)</f>
        <v>2024</v>
      </c>
      <c r="B147" t="str">
        <f>IF(Allocation2!E147="","",Allocation2!E147)</f>
        <v>ISCOM_LIL</v>
      </c>
      <c r="C147" t="str">
        <f>IF(Allocation2!F147="","",Allocation2!F147)</f>
        <v>ISCOM</v>
      </c>
      <c r="D147" t="str">
        <f>IF(Allocation2!G147="","",Allocation2!G147)</f>
        <v>MAS_COM</v>
      </c>
      <c r="E147" t="str">
        <f>IF(Allocation2!H147="","",Allocation2!H147)</f>
        <v>M2</v>
      </c>
      <c r="F147" t="str">
        <f>IF(Allocation2!I147="","",Allocation2!I147)</f>
        <v>ALT</v>
      </c>
      <c r="G147">
        <f>IF(Allocation2!E147="","",Allocation2!J147)</f>
        <v>44</v>
      </c>
      <c r="H147">
        <f>IF(Allocation2!E147="","",Allocation2!K147)</f>
        <v>2</v>
      </c>
      <c r="I147">
        <f>IF(Allocation2!E147="","",Allocation2!L147)</f>
        <v>323400</v>
      </c>
      <c r="J147">
        <f>IF($A147="","",Allocation2!X147)</f>
        <v>0</v>
      </c>
      <c r="K147">
        <f t="shared" si="56"/>
        <v>840</v>
      </c>
      <c r="L147">
        <f t="shared" si="57"/>
        <v>217</v>
      </c>
      <c r="M147">
        <f t="shared" si="58"/>
        <v>10</v>
      </c>
      <c r="N147">
        <f t="shared" si="59"/>
        <v>1561220</v>
      </c>
      <c r="O147">
        <f t="shared" si="60"/>
        <v>4800</v>
      </c>
      <c r="P147">
        <f t="shared" si="61"/>
        <v>88</v>
      </c>
      <c r="Q147">
        <f t="shared" si="62"/>
        <v>737</v>
      </c>
      <c r="R147">
        <f t="shared" si="63"/>
        <v>35</v>
      </c>
      <c r="S147">
        <f t="shared" si="64"/>
        <v>5593340</v>
      </c>
      <c r="T147">
        <f t="shared" si="65"/>
        <v>2704</v>
      </c>
      <c r="U147">
        <f t="shared" si="66"/>
        <v>131</v>
      </c>
      <c r="V147">
        <f t="shared" si="67"/>
        <v>20076860</v>
      </c>
      <c r="W147">
        <f>IF($A147="","",Allocation2!Y147)</f>
        <v>110180</v>
      </c>
      <c r="X147">
        <f>IF($A147="","",Allocation2!Z147)</f>
        <v>209109</v>
      </c>
      <c r="Y147">
        <f>IF($A147="","",Allocation2!AA147)</f>
        <v>82858</v>
      </c>
      <c r="Z147">
        <f>IF($A147="","",Allocation2!AB147)</f>
        <v>20843</v>
      </c>
      <c r="AA147">
        <f>IF($A147="","",Allocation2!AC147)</f>
        <v>487636</v>
      </c>
      <c r="AB147">
        <f>IF($A147="","",Allocation2!AD147)</f>
        <v>2639292</v>
      </c>
      <c r="AC147">
        <f>IF($A147="","",IF(ALLOC!$N$4="VOL_EFF",$G147,IF(ALLOC!$N$4="VOL_CLASS",$H147,$I147)))</f>
        <v>44</v>
      </c>
      <c r="AD147">
        <f>IF($A147="","",IF(ALLOC!$N$4="VOL_EFF",$L147,IF(ALLOC!$N$4="VOL_CLASS",$M147,$N147)))</f>
        <v>217</v>
      </c>
      <c r="AE147">
        <f>IF($A147="","",IF(ALLOC!$N$3="VOL_EFF",$L147,IF(ALLOC!$N$3="VOL_CLASS",$M147,$N147)))</f>
        <v>1561220</v>
      </c>
      <c r="AF147">
        <f>IF($A147="","",IF(ALLOC!$N$3="VOL_EFF",$Q147,IF(ALLOC!$N$3="VOL_CLASS",$R147,$S147)))</f>
        <v>5593340</v>
      </c>
      <c r="AG147">
        <f>IF($A147="","",IF(ALLOC!$N$1="VOL_EFF",$Q147,IF(ALLOC!$N$1="VOL_CLASS",$R147,$S147)))</f>
        <v>737</v>
      </c>
      <c r="AH147">
        <f>IF($A147="","",IF(ALLOC!$N$1="VOL_EFF",$T147,IF(ALLOC!$N$1="VOL_CLASS",$U147,$V147)))</f>
        <v>2704</v>
      </c>
      <c r="AI147">
        <f t="shared" si="68"/>
        <v>19281.5</v>
      </c>
      <c r="AJ147">
        <f t="shared" si="69"/>
        <v>36594.074999999997</v>
      </c>
      <c r="AK147">
        <f t="shared" si="70"/>
        <v>16800.700460829496</v>
      </c>
      <c r="AL147">
        <f t="shared" si="71"/>
        <v>98875.502304147463</v>
      </c>
      <c r="AM147">
        <f t="shared" si="72"/>
        <v>40713.090571353125</v>
      </c>
      <c r="AN147">
        <f t="shared" si="73"/>
        <v>103423.39210738958</v>
      </c>
      <c r="AO147">
        <f>IF($A147="","",Allocation2!AE147)</f>
        <v>499926</v>
      </c>
      <c r="AP147">
        <f>IF($A147="","",IF(ALLOC!$N$2="VOL_EFF",$Q147,IF(ALLOC!$N$2="VOL_CLASS",$R147,$S147)))</f>
        <v>737</v>
      </c>
      <c r="AQ147">
        <f>IF($A147="","",IF(ALLOC!$N$2="VOL_EFF",$T147,IF(ALLOC!$N$2="VOL_CLASS",$U147,$V147)))</f>
        <v>2704</v>
      </c>
      <c r="AR147">
        <f t="shared" si="74"/>
        <v>7711.7395562803531</v>
      </c>
    </row>
    <row r="148" spans="1:44" x14ac:dyDescent="0.45">
      <c r="A148" t="str">
        <f>IF(Allocation2!D148="","",Allocation2!D148)</f>
        <v>2024</v>
      </c>
      <c r="B148" t="str">
        <f>IF(Allocation2!E148="","",Allocation2!E148)</f>
        <v>ISCOM_TLS</v>
      </c>
      <c r="C148" t="str">
        <f>IF(Allocation2!F148="","",Allocation2!F148)</f>
        <v>ISCOM</v>
      </c>
      <c r="D148" t="str">
        <f>IF(Allocation2!G148="","",Allocation2!G148)</f>
        <v>BAC_COM</v>
      </c>
      <c r="E148" t="str">
        <f>IF(Allocation2!H148="","",Allocation2!H148)</f>
        <v>B1</v>
      </c>
      <c r="F148" t="str">
        <f>IF(Allocation2!I148="","",Allocation2!I148)</f>
        <v>INIT</v>
      </c>
      <c r="G148">
        <f>IF(Allocation2!E148="","",Allocation2!J148)</f>
        <v>42</v>
      </c>
      <c r="H148">
        <f>IF(Allocation2!E148="","",Allocation2!K148)</f>
        <v>2</v>
      </c>
      <c r="I148">
        <f>IF(Allocation2!E148="","",Allocation2!L148)</f>
        <v>306180</v>
      </c>
      <c r="J148">
        <f>IF($A148="","",Allocation2!X148)</f>
        <v>42</v>
      </c>
      <c r="K148">
        <f t="shared" si="56"/>
        <v>1200</v>
      </c>
      <c r="L148">
        <f t="shared" si="57"/>
        <v>206</v>
      </c>
      <c r="M148">
        <f t="shared" si="58"/>
        <v>10</v>
      </c>
      <c r="N148">
        <f t="shared" si="59"/>
        <v>1451880</v>
      </c>
      <c r="O148">
        <f t="shared" si="60"/>
        <v>4800</v>
      </c>
      <c r="P148">
        <f t="shared" si="61"/>
        <v>84</v>
      </c>
      <c r="Q148">
        <f t="shared" si="62"/>
        <v>737</v>
      </c>
      <c r="R148">
        <f t="shared" si="63"/>
        <v>35</v>
      </c>
      <c r="S148">
        <f t="shared" si="64"/>
        <v>5593340</v>
      </c>
      <c r="T148">
        <f t="shared" si="65"/>
        <v>2704</v>
      </c>
      <c r="U148">
        <f t="shared" si="66"/>
        <v>131</v>
      </c>
      <c r="V148">
        <f t="shared" si="67"/>
        <v>20076860</v>
      </c>
      <c r="W148">
        <f>IF($A148="","",Allocation2!Y148)</f>
        <v>110180</v>
      </c>
      <c r="X148">
        <f>IF($A148="","",Allocation2!Z148)</f>
        <v>204564</v>
      </c>
      <c r="Y148">
        <f>IF($A148="","",Allocation2!AA148)</f>
        <v>78443</v>
      </c>
      <c r="Z148">
        <f>IF($A148="","",Allocation2!AB148)</f>
        <v>18251</v>
      </c>
      <c r="AA148">
        <f>IF($A148="","",Allocation2!AC148)</f>
        <v>459952</v>
      </c>
      <c r="AB148">
        <f>IF($A148="","",Allocation2!AD148)</f>
        <v>2639292</v>
      </c>
      <c r="AC148">
        <f>IF($A148="","",IF(ALLOC!$N$4="VOL_EFF",$G148,IF(ALLOC!$N$4="VOL_CLASS",$H148,$I148)))</f>
        <v>42</v>
      </c>
      <c r="AD148">
        <f>IF($A148="","",IF(ALLOC!$N$4="VOL_EFF",$L148,IF(ALLOC!$N$4="VOL_CLASS",$M148,$N148)))</f>
        <v>206</v>
      </c>
      <c r="AE148">
        <f>IF($A148="","",IF(ALLOC!$N$3="VOL_EFF",$L148,IF(ALLOC!$N$3="VOL_CLASS",$M148,$N148)))</f>
        <v>1451880</v>
      </c>
      <c r="AF148">
        <f>IF($A148="","",IF(ALLOC!$N$3="VOL_EFF",$Q148,IF(ALLOC!$N$3="VOL_CLASS",$R148,$S148)))</f>
        <v>5593340</v>
      </c>
      <c r="AG148">
        <f>IF($A148="","",IF(ALLOC!$N$1="VOL_EFF",$Q148,IF(ALLOC!$N$1="VOL_CLASS",$R148,$S148)))</f>
        <v>737</v>
      </c>
      <c r="AH148">
        <f>IF($A148="","",IF(ALLOC!$N$1="VOL_EFF",$T148,IF(ALLOC!$N$1="VOL_CLASS",$U148,$V148)))</f>
        <v>2704</v>
      </c>
      <c r="AI148">
        <f t="shared" si="68"/>
        <v>27545</v>
      </c>
      <c r="AJ148">
        <f t="shared" si="69"/>
        <v>51141</v>
      </c>
      <c r="AK148">
        <f t="shared" si="70"/>
        <v>25118.73300970874</v>
      </c>
      <c r="AL148">
        <f t="shared" si="71"/>
        <v>93776.621359223296</v>
      </c>
      <c r="AM148">
        <f t="shared" si="72"/>
        <v>38070.608233060033</v>
      </c>
      <c r="AN148">
        <f t="shared" si="73"/>
        <v>63316.828145101928</v>
      </c>
      <c r="AO148">
        <f>IF($A148="","",Allocation2!AE148)</f>
        <v>499926</v>
      </c>
      <c r="AP148">
        <f>IF($A148="","",IF(ALLOC!$N$2="VOL_EFF",$Q148,IF(ALLOC!$N$2="VOL_CLASS",$R148,$S148)))</f>
        <v>737</v>
      </c>
      <c r="AQ148">
        <f>IF($A148="","",IF(ALLOC!$N$2="VOL_EFF",$T148,IF(ALLOC!$N$2="VOL_CLASS",$U148,$V148)))</f>
        <v>2704</v>
      </c>
      <c r="AR148">
        <f t="shared" si="74"/>
        <v>7211.2092529059964</v>
      </c>
    </row>
    <row r="149" spans="1:44" x14ac:dyDescent="0.45">
      <c r="A149" t="str">
        <f>IF(Allocation2!D149="","",Allocation2!D149)</f>
        <v>2024</v>
      </c>
      <c r="B149" t="str">
        <f>IF(Allocation2!E149="","",Allocation2!E149)</f>
        <v>ISCOM_TLS</v>
      </c>
      <c r="C149" t="str">
        <f>IF(Allocation2!F149="","",Allocation2!F149)</f>
        <v>ISCOM</v>
      </c>
      <c r="D149" t="str">
        <f>IF(Allocation2!G149="","",Allocation2!G149)</f>
        <v>BAC_COM</v>
      </c>
      <c r="E149" t="str">
        <f>IF(Allocation2!H149="","",Allocation2!H149)</f>
        <v>B2</v>
      </c>
      <c r="F149" t="str">
        <f>IF(Allocation2!I149="","",Allocation2!I149)</f>
        <v>ALT</v>
      </c>
      <c r="G149">
        <f>IF(Allocation2!E149="","",Allocation2!J149)</f>
        <v>41</v>
      </c>
      <c r="H149">
        <f>IF(Allocation2!E149="","",Allocation2!K149)</f>
        <v>2</v>
      </c>
      <c r="I149">
        <f>IF(Allocation2!E149="","",Allocation2!L149)</f>
        <v>275520</v>
      </c>
      <c r="J149">
        <f>IF($A149="","",Allocation2!X149)</f>
        <v>0</v>
      </c>
      <c r="K149">
        <f t="shared" si="56"/>
        <v>960</v>
      </c>
      <c r="L149">
        <f t="shared" si="57"/>
        <v>206</v>
      </c>
      <c r="M149">
        <f t="shared" si="58"/>
        <v>10</v>
      </c>
      <c r="N149">
        <f t="shared" si="59"/>
        <v>1451880</v>
      </c>
      <c r="O149">
        <f t="shared" si="60"/>
        <v>4800</v>
      </c>
      <c r="P149">
        <f t="shared" si="61"/>
        <v>84</v>
      </c>
      <c r="Q149">
        <f t="shared" si="62"/>
        <v>737</v>
      </c>
      <c r="R149">
        <f t="shared" si="63"/>
        <v>35</v>
      </c>
      <c r="S149">
        <f t="shared" si="64"/>
        <v>5593340</v>
      </c>
      <c r="T149">
        <f t="shared" si="65"/>
        <v>2704</v>
      </c>
      <c r="U149">
        <f t="shared" si="66"/>
        <v>131</v>
      </c>
      <c r="V149">
        <f t="shared" si="67"/>
        <v>20076860</v>
      </c>
      <c r="W149">
        <f>IF($A149="","",Allocation2!Y149)</f>
        <v>110180</v>
      </c>
      <c r="X149">
        <f>IF($A149="","",Allocation2!Z149)</f>
        <v>204564</v>
      </c>
      <c r="Y149">
        <f>IF($A149="","",Allocation2!AA149)</f>
        <v>78443</v>
      </c>
      <c r="Z149">
        <f>IF($A149="","",Allocation2!AB149)</f>
        <v>18251</v>
      </c>
      <c r="AA149">
        <f>IF($A149="","",Allocation2!AC149)</f>
        <v>459952</v>
      </c>
      <c r="AB149">
        <f>IF($A149="","",Allocation2!AD149)</f>
        <v>2639292</v>
      </c>
      <c r="AC149">
        <f>IF($A149="","",IF(ALLOC!$N$4="VOL_EFF",$G149,IF(ALLOC!$N$4="VOL_CLASS",$H149,$I149)))</f>
        <v>41</v>
      </c>
      <c r="AD149">
        <f>IF($A149="","",IF(ALLOC!$N$4="VOL_EFF",$L149,IF(ALLOC!$N$4="VOL_CLASS",$M149,$N149)))</f>
        <v>206</v>
      </c>
      <c r="AE149">
        <f>IF($A149="","",IF(ALLOC!$N$3="VOL_EFF",$L149,IF(ALLOC!$N$3="VOL_CLASS",$M149,$N149)))</f>
        <v>1451880</v>
      </c>
      <c r="AF149">
        <f>IF($A149="","",IF(ALLOC!$N$3="VOL_EFF",$Q149,IF(ALLOC!$N$3="VOL_CLASS",$R149,$S149)))</f>
        <v>5593340</v>
      </c>
      <c r="AG149">
        <f>IF($A149="","",IF(ALLOC!$N$1="VOL_EFF",$Q149,IF(ALLOC!$N$1="VOL_CLASS",$R149,$S149)))</f>
        <v>737</v>
      </c>
      <c r="AH149">
        <f>IF($A149="","",IF(ALLOC!$N$1="VOL_EFF",$T149,IF(ALLOC!$N$1="VOL_CLASS",$U149,$V149)))</f>
        <v>2704</v>
      </c>
      <c r="AI149">
        <f t="shared" si="68"/>
        <v>22036</v>
      </c>
      <c r="AJ149">
        <f t="shared" si="69"/>
        <v>40912.800000000003</v>
      </c>
      <c r="AK149">
        <f t="shared" si="70"/>
        <v>15612.441747572815</v>
      </c>
      <c r="AL149">
        <f t="shared" si="71"/>
        <v>91543.844660194169</v>
      </c>
      <c r="AM149">
        <f t="shared" si="72"/>
        <v>37164.165179891934</v>
      </c>
      <c r="AN149">
        <f t="shared" si="73"/>
        <v>61211.234617837647</v>
      </c>
      <c r="AO149">
        <f>IF($A149="","",Allocation2!AE149)</f>
        <v>499926</v>
      </c>
      <c r="AP149">
        <f>IF($A149="","",IF(ALLOC!$N$2="VOL_EFF",$Q149,IF(ALLOC!$N$2="VOL_CLASS",$R149,$S149)))</f>
        <v>737</v>
      </c>
      <c r="AQ149">
        <f>IF($A149="","",IF(ALLOC!$N$2="VOL_EFF",$T149,IF(ALLOC!$N$2="VOL_CLASS",$U149,$V149)))</f>
        <v>2704</v>
      </c>
      <c r="AR149">
        <f t="shared" si="74"/>
        <v>7039.513794503473</v>
      </c>
    </row>
    <row r="150" spans="1:44" x14ac:dyDescent="0.45">
      <c r="A150" t="str">
        <f>IF(Allocation2!D150="","",Allocation2!D150)</f>
        <v>2024</v>
      </c>
      <c r="B150" t="str">
        <f>IF(Allocation2!E150="","",Allocation2!E150)</f>
        <v>ISCOM_TLS</v>
      </c>
      <c r="C150" t="str">
        <f>IF(Allocation2!F150="","",Allocation2!F150)</f>
        <v>ISCOM</v>
      </c>
      <c r="D150" t="str">
        <f>IF(Allocation2!G150="","",Allocation2!G150)</f>
        <v>BAC_COM</v>
      </c>
      <c r="E150" t="str">
        <f>IF(Allocation2!H150="","",Allocation2!H150)</f>
        <v>B3</v>
      </c>
      <c r="F150" t="str">
        <f>IF(Allocation2!I150="","",Allocation2!I150)</f>
        <v>ALT</v>
      </c>
      <c r="G150">
        <f>IF(Allocation2!E150="","",Allocation2!J150)</f>
        <v>40</v>
      </c>
      <c r="H150">
        <f>IF(Allocation2!E150="","",Allocation2!K150)</f>
        <v>2</v>
      </c>
      <c r="I150">
        <f>IF(Allocation2!E150="","",Allocation2!L150)</f>
        <v>268800</v>
      </c>
      <c r="J150">
        <f>IF($A150="","",Allocation2!X150)</f>
        <v>0</v>
      </c>
      <c r="K150">
        <f t="shared" si="56"/>
        <v>960</v>
      </c>
      <c r="L150">
        <f t="shared" si="57"/>
        <v>206</v>
      </c>
      <c r="M150">
        <f t="shared" si="58"/>
        <v>10</v>
      </c>
      <c r="N150">
        <f t="shared" si="59"/>
        <v>1451880</v>
      </c>
      <c r="O150">
        <f t="shared" si="60"/>
        <v>4800</v>
      </c>
      <c r="P150">
        <f t="shared" si="61"/>
        <v>84</v>
      </c>
      <c r="Q150">
        <f t="shared" si="62"/>
        <v>737</v>
      </c>
      <c r="R150">
        <f t="shared" si="63"/>
        <v>35</v>
      </c>
      <c r="S150">
        <f t="shared" si="64"/>
        <v>5593340</v>
      </c>
      <c r="T150">
        <f t="shared" si="65"/>
        <v>2704</v>
      </c>
      <c r="U150">
        <f t="shared" si="66"/>
        <v>131</v>
      </c>
      <c r="V150">
        <f t="shared" si="67"/>
        <v>20076860</v>
      </c>
      <c r="W150">
        <f>IF($A150="","",Allocation2!Y150)</f>
        <v>110180</v>
      </c>
      <c r="X150">
        <f>IF($A150="","",Allocation2!Z150)</f>
        <v>204564</v>
      </c>
      <c r="Y150">
        <f>IF($A150="","",Allocation2!AA150)</f>
        <v>78443</v>
      </c>
      <c r="Z150">
        <f>IF($A150="","",Allocation2!AB150)</f>
        <v>18251</v>
      </c>
      <c r="AA150">
        <f>IF($A150="","",Allocation2!AC150)</f>
        <v>459952</v>
      </c>
      <c r="AB150">
        <f>IF($A150="","",Allocation2!AD150)</f>
        <v>2639292</v>
      </c>
      <c r="AC150">
        <f>IF($A150="","",IF(ALLOC!$N$4="VOL_EFF",$G150,IF(ALLOC!$N$4="VOL_CLASS",$H150,$I150)))</f>
        <v>40</v>
      </c>
      <c r="AD150">
        <f>IF($A150="","",IF(ALLOC!$N$4="VOL_EFF",$L150,IF(ALLOC!$N$4="VOL_CLASS",$M150,$N150)))</f>
        <v>206</v>
      </c>
      <c r="AE150">
        <f>IF($A150="","",IF(ALLOC!$N$3="VOL_EFF",$L150,IF(ALLOC!$N$3="VOL_CLASS",$M150,$N150)))</f>
        <v>1451880</v>
      </c>
      <c r="AF150">
        <f>IF($A150="","",IF(ALLOC!$N$3="VOL_EFF",$Q150,IF(ALLOC!$N$3="VOL_CLASS",$R150,$S150)))</f>
        <v>5593340</v>
      </c>
      <c r="AG150">
        <f>IF($A150="","",IF(ALLOC!$N$1="VOL_EFF",$Q150,IF(ALLOC!$N$1="VOL_CLASS",$R150,$S150)))</f>
        <v>737</v>
      </c>
      <c r="AH150">
        <f>IF($A150="","",IF(ALLOC!$N$1="VOL_EFF",$T150,IF(ALLOC!$N$1="VOL_CLASS",$U150,$V150)))</f>
        <v>2704</v>
      </c>
      <c r="AI150">
        <f t="shared" si="68"/>
        <v>22036</v>
      </c>
      <c r="AJ150">
        <f t="shared" si="69"/>
        <v>40912.800000000003</v>
      </c>
      <c r="AK150">
        <f t="shared" si="70"/>
        <v>15231.650485436892</v>
      </c>
      <c r="AL150">
        <f t="shared" si="71"/>
        <v>89311.067961165041</v>
      </c>
      <c r="AM150">
        <f t="shared" si="72"/>
        <v>36257.722126723842</v>
      </c>
      <c r="AN150">
        <f t="shared" si="73"/>
        <v>58182.941090573266</v>
      </c>
      <c r="AO150">
        <f>IF($A150="","",Allocation2!AE150)</f>
        <v>499926</v>
      </c>
      <c r="AP150">
        <f>IF($A150="","",IF(ALLOC!$N$2="VOL_EFF",$Q150,IF(ALLOC!$N$2="VOL_CLASS",$R150,$S150)))</f>
        <v>737</v>
      </c>
      <c r="AQ150">
        <f>IF($A150="","",IF(ALLOC!$N$2="VOL_EFF",$T150,IF(ALLOC!$N$2="VOL_CLASS",$U150,$V150)))</f>
        <v>2704</v>
      </c>
      <c r="AR150">
        <f t="shared" si="74"/>
        <v>6867.8183361009487</v>
      </c>
    </row>
    <row r="151" spans="1:44" x14ac:dyDescent="0.45">
      <c r="A151" t="str">
        <f>IF(Allocation2!D151="","",Allocation2!D151)</f>
        <v>2024</v>
      </c>
      <c r="B151" t="str">
        <f>IF(Allocation2!E151="","",Allocation2!E151)</f>
        <v>ISCOM_TLS</v>
      </c>
      <c r="C151" t="str">
        <f>IF(Allocation2!F151="","",Allocation2!F151)</f>
        <v>ISCOM</v>
      </c>
      <c r="D151" t="str">
        <f>IF(Allocation2!G151="","",Allocation2!G151)</f>
        <v>MAS_COM</v>
      </c>
      <c r="E151" t="str">
        <f>IF(Allocation2!H151="","",Allocation2!H151)</f>
        <v>M1</v>
      </c>
      <c r="F151" t="str">
        <f>IF(Allocation2!I151="","",Allocation2!I151)</f>
        <v>ALT</v>
      </c>
      <c r="G151">
        <f>IF(Allocation2!E151="","",Allocation2!J151)</f>
        <v>42</v>
      </c>
      <c r="H151">
        <f>IF(Allocation2!E151="","",Allocation2!K151)</f>
        <v>2</v>
      </c>
      <c r="I151">
        <f>IF(Allocation2!E151="","",Allocation2!L151)</f>
        <v>306180</v>
      </c>
      <c r="J151">
        <f>IF($A151="","",Allocation2!X151)</f>
        <v>42</v>
      </c>
      <c r="K151">
        <f t="shared" si="56"/>
        <v>840</v>
      </c>
      <c r="L151">
        <f t="shared" si="57"/>
        <v>206</v>
      </c>
      <c r="M151">
        <f t="shared" si="58"/>
        <v>10</v>
      </c>
      <c r="N151">
        <f t="shared" si="59"/>
        <v>1451880</v>
      </c>
      <c r="O151">
        <f t="shared" si="60"/>
        <v>4800</v>
      </c>
      <c r="P151">
        <f t="shared" si="61"/>
        <v>84</v>
      </c>
      <c r="Q151">
        <f t="shared" si="62"/>
        <v>737</v>
      </c>
      <c r="R151">
        <f t="shared" si="63"/>
        <v>35</v>
      </c>
      <c r="S151">
        <f t="shared" si="64"/>
        <v>5593340</v>
      </c>
      <c r="T151">
        <f t="shared" si="65"/>
        <v>2704</v>
      </c>
      <c r="U151">
        <f t="shared" si="66"/>
        <v>131</v>
      </c>
      <c r="V151">
        <f t="shared" si="67"/>
        <v>20076860</v>
      </c>
      <c r="W151">
        <f>IF($A151="","",Allocation2!Y151)</f>
        <v>110180</v>
      </c>
      <c r="X151">
        <f>IF($A151="","",Allocation2!Z151)</f>
        <v>204564</v>
      </c>
      <c r="Y151">
        <f>IF($A151="","",Allocation2!AA151)</f>
        <v>78443</v>
      </c>
      <c r="Z151">
        <f>IF($A151="","",Allocation2!AB151)</f>
        <v>18251</v>
      </c>
      <c r="AA151">
        <f>IF($A151="","",Allocation2!AC151)</f>
        <v>459952</v>
      </c>
      <c r="AB151">
        <f>IF($A151="","",Allocation2!AD151)</f>
        <v>2639292</v>
      </c>
      <c r="AC151">
        <f>IF($A151="","",IF(ALLOC!$N$4="VOL_EFF",$G151,IF(ALLOC!$N$4="VOL_CLASS",$H151,$I151)))</f>
        <v>42</v>
      </c>
      <c r="AD151">
        <f>IF($A151="","",IF(ALLOC!$N$4="VOL_EFF",$L151,IF(ALLOC!$N$4="VOL_CLASS",$M151,$N151)))</f>
        <v>206</v>
      </c>
      <c r="AE151">
        <f>IF($A151="","",IF(ALLOC!$N$3="VOL_EFF",$L151,IF(ALLOC!$N$3="VOL_CLASS",$M151,$N151)))</f>
        <v>1451880</v>
      </c>
      <c r="AF151">
        <f>IF($A151="","",IF(ALLOC!$N$3="VOL_EFF",$Q151,IF(ALLOC!$N$3="VOL_CLASS",$R151,$S151)))</f>
        <v>5593340</v>
      </c>
      <c r="AG151">
        <f>IF($A151="","",IF(ALLOC!$N$1="VOL_EFF",$Q151,IF(ALLOC!$N$1="VOL_CLASS",$R151,$S151)))</f>
        <v>737</v>
      </c>
      <c r="AH151">
        <f>IF($A151="","",IF(ALLOC!$N$1="VOL_EFF",$T151,IF(ALLOC!$N$1="VOL_CLASS",$U151,$V151)))</f>
        <v>2704</v>
      </c>
      <c r="AI151">
        <f t="shared" si="68"/>
        <v>19281.5</v>
      </c>
      <c r="AJ151">
        <f t="shared" si="69"/>
        <v>35798.699999999997</v>
      </c>
      <c r="AK151">
        <f t="shared" si="70"/>
        <v>25118.73300970874</v>
      </c>
      <c r="AL151">
        <f t="shared" si="71"/>
        <v>93776.621359223296</v>
      </c>
      <c r="AM151">
        <f t="shared" si="72"/>
        <v>38070.608233060033</v>
      </c>
      <c r="AN151">
        <f t="shared" si="73"/>
        <v>86922.628145101917</v>
      </c>
      <c r="AO151">
        <f>IF($A151="","",Allocation2!AE151)</f>
        <v>499926</v>
      </c>
      <c r="AP151">
        <f>IF($A151="","",IF(ALLOC!$N$2="VOL_EFF",$Q151,IF(ALLOC!$N$2="VOL_CLASS",$R151,$S151)))</f>
        <v>737</v>
      </c>
      <c r="AQ151">
        <f>IF($A151="","",IF(ALLOC!$N$2="VOL_EFF",$T151,IF(ALLOC!$N$2="VOL_CLASS",$U151,$V151)))</f>
        <v>2704</v>
      </c>
      <c r="AR151">
        <f t="shared" si="74"/>
        <v>7211.2092529059964</v>
      </c>
    </row>
    <row r="152" spans="1:44" x14ac:dyDescent="0.45">
      <c r="A152" t="str">
        <f>IF(Allocation2!D152="","",Allocation2!D152)</f>
        <v>2024</v>
      </c>
      <c r="B152" t="str">
        <f>IF(Allocation2!E152="","",Allocation2!E152)</f>
        <v>ISCOM_TLS</v>
      </c>
      <c r="C152" t="str">
        <f>IF(Allocation2!F152="","",Allocation2!F152)</f>
        <v>ISCOM</v>
      </c>
      <c r="D152" t="str">
        <f>IF(Allocation2!G152="","",Allocation2!G152)</f>
        <v>MAS_COM</v>
      </c>
      <c r="E152" t="str">
        <f>IF(Allocation2!H152="","",Allocation2!H152)</f>
        <v>M2</v>
      </c>
      <c r="F152" t="str">
        <f>IF(Allocation2!I152="","",Allocation2!I152)</f>
        <v>ALT</v>
      </c>
      <c r="G152">
        <f>IF(Allocation2!E152="","",Allocation2!J152)</f>
        <v>41</v>
      </c>
      <c r="H152">
        <f>IF(Allocation2!E152="","",Allocation2!K152)</f>
        <v>2</v>
      </c>
      <c r="I152">
        <f>IF(Allocation2!E152="","",Allocation2!L152)</f>
        <v>295200</v>
      </c>
      <c r="J152">
        <f>IF($A152="","",Allocation2!X152)</f>
        <v>0</v>
      </c>
      <c r="K152">
        <f t="shared" si="56"/>
        <v>840</v>
      </c>
      <c r="L152">
        <f t="shared" si="57"/>
        <v>206</v>
      </c>
      <c r="M152">
        <f t="shared" si="58"/>
        <v>10</v>
      </c>
      <c r="N152">
        <f t="shared" si="59"/>
        <v>1451880</v>
      </c>
      <c r="O152">
        <f t="shared" si="60"/>
        <v>4800</v>
      </c>
      <c r="P152">
        <f t="shared" si="61"/>
        <v>84</v>
      </c>
      <c r="Q152">
        <f t="shared" si="62"/>
        <v>737</v>
      </c>
      <c r="R152">
        <f t="shared" si="63"/>
        <v>35</v>
      </c>
      <c r="S152">
        <f t="shared" si="64"/>
        <v>5593340</v>
      </c>
      <c r="T152">
        <f t="shared" si="65"/>
        <v>2704</v>
      </c>
      <c r="U152">
        <f t="shared" si="66"/>
        <v>131</v>
      </c>
      <c r="V152">
        <f t="shared" si="67"/>
        <v>20076860</v>
      </c>
      <c r="W152">
        <f>IF($A152="","",Allocation2!Y152)</f>
        <v>110180</v>
      </c>
      <c r="X152">
        <f>IF($A152="","",Allocation2!Z152)</f>
        <v>204564</v>
      </c>
      <c r="Y152">
        <f>IF($A152="","",Allocation2!AA152)</f>
        <v>78443</v>
      </c>
      <c r="Z152">
        <f>IF($A152="","",Allocation2!AB152)</f>
        <v>18251</v>
      </c>
      <c r="AA152">
        <f>IF($A152="","",Allocation2!AC152)</f>
        <v>459952</v>
      </c>
      <c r="AB152">
        <f>IF($A152="","",Allocation2!AD152)</f>
        <v>2639292</v>
      </c>
      <c r="AC152">
        <f>IF($A152="","",IF(ALLOC!$N$4="VOL_EFF",$G152,IF(ALLOC!$N$4="VOL_CLASS",$H152,$I152)))</f>
        <v>41</v>
      </c>
      <c r="AD152">
        <f>IF($A152="","",IF(ALLOC!$N$4="VOL_EFF",$L152,IF(ALLOC!$N$4="VOL_CLASS",$M152,$N152)))</f>
        <v>206</v>
      </c>
      <c r="AE152">
        <f>IF($A152="","",IF(ALLOC!$N$3="VOL_EFF",$L152,IF(ALLOC!$N$3="VOL_CLASS",$M152,$N152)))</f>
        <v>1451880</v>
      </c>
      <c r="AF152">
        <f>IF($A152="","",IF(ALLOC!$N$3="VOL_EFF",$Q152,IF(ALLOC!$N$3="VOL_CLASS",$R152,$S152)))</f>
        <v>5593340</v>
      </c>
      <c r="AG152">
        <f>IF($A152="","",IF(ALLOC!$N$1="VOL_EFF",$Q152,IF(ALLOC!$N$1="VOL_CLASS",$R152,$S152)))</f>
        <v>737</v>
      </c>
      <c r="AH152">
        <f>IF($A152="","",IF(ALLOC!$N$1="VOL_EFF",$T152,IF(ALLOC!$N$1="VOL_CLASS",$U152,$V152)))</f>
        <v>2704</v>
      </c>
      <c r="AI152">
        <f t="shared" si="68"/>
        <v>19281.5</v>
      </c>
      <c r="AJ152">
        <f t="shared" si="69"/>
        <v>35798.699999999997</v>
      </c>
      <c r="AK152">
        <f t="shared" si="70"/>
        <v>15612.441747572815</v>
      </c>
      <c r="AL152">
        <f t="shared" si="71"/>
        <v>91543.844660194169</v>
      </c>
      <c r="AM152">
        <f t="shared" si="72"/>
        <v>37164.165179891934</v>
      </c>
      <c r="AN152">
        <f t="shared" si="73"/>
        <v>88759.834617837623</v>
      </c>
      <c r="AO152">
        <f>IF($A152="","",Allocation2!AE152)</f>
        <v>499926</v>
      </c>
      <c r="AP152">
        <f>IF($A152="","",IF(ALLOC!$N$2="VOL_EFF",$Q152,IF(ALLOC!$N$2="VOL_CLASS",$R152,$S152)))</f>
        <v>737</v>
      </c>
      <c r="AQ152">
        <f>IF($A152="","",IF(ALLOC!$N$2="VOL_EFF",$T152,IF(ALLOC!$N$2="VOL_CLASS",$U152,$V152)))</f>
        <v>2704</v>
      </c>
      <c r="AR152">
        <f t="shared" si="74"/>
        <v>7039.513794503473</v>
      </c>
    </row>
    <row r="153" spans="1:44" x14ac:dyDescent="0.45">
      <c r="A153" t="str">
        <f>IF(Allocation2!D153="","",Allocation2!D153)</f>
        <v>2024</v>
      </c>
      <c r="B153" t="str">
        <f>IF(Allocation2!E153="","",Allocation2!E153)</f>
        <v>IPAC_NAN</v>
      </c>
      <c r="C153" t="str">
        <f>IF(Allocation2!F153="","",Allocation2!F153)</f>
        <v>IPAC</v>
      </c>
      <c r="D153" t="str">
        <f>IF(Allocation2!G153="","",Allocation2!G153)</f>
        <v>BAC_CCE</v>
      </c>
      <c r="E153" t="str">
        <f>IF(Allocation2!H153="","",Allocation2!H153)</f>
        <v>B1</v>
      </c>
      <c r="F153" t="str">
        <f>IF(Allocation2!I153="","",Allocation2!I153)</f>
        <v>ALT</v>
      </c>
      <c r="G153">
        <f>IF(Allocation2!E153="","",Allocation2!J153)</f>
        <v>44</v>
      </c>
      <c r="H153">
        <f>IF(Allocation2!E153="","",Allocation2!K153)</f>
        <v>2</v>
      </c>
      <c r="I153">
        <f>IF(Allocation2!E153="","",Allocation2!L153)</f>
        <v>311960</v>
      </c>
      <c r="J153">
        <f>IF($A153="","",Allocation2!X153)</f>
        <v>44</v>
      </c>
      <c r="K153">
        <f t="shared" si="56"/>
        <v>960</v>
      </c>
      <c r="L153">
        <f t="shared" si="57"/>
        <v>129</v>
      </c>
      <c r="M153">
        <f t="shared" si="58"/>
        <v>6</v>
      </c>
      <c r="N153">
        <f t="shared" si="59"/>
        <v>906960</v>
      </c>
      <c r="O153">
        <f t="shared" si="60"/>
        <v>2880</v>
      </c>
      <c r="P153">
        <f t="shared" si="61"/>
        <v>44</v>
      </c>
      <c r="Q153">
        <f t="shared" si="62"/>
        <v>339</v>
      </c>
      <c r="R153">
        <f t="shared" si="63"/>
        <v>18</v>
      </c>
      <c r="S153">
        <f t="shared" si="64"/>
        <v>2309940</v>
      </c>
      <c r="T153">
        <f t="shared" si="65"/>
        <v>2704</v>
      </c>
      <c r="U153">
        <f t="shared" si="66"/>
        <v>131</v>
      </c>
      <c r="V153">
        <f t="shared" si="67"/>
        <v>20076860</v>
      </c>
      <c r="W153">
        <f>IF($A153="","",Allocation2!Y153)</f>
        <v>66108</v>
      </c>
      <c r="X153">
        <f>IF($A153="","",Allocation2!Z153)</f>
        <v>136376</v>
      </c>
      <c r="Y153">
        <f>IF($A153="","",Allocation2!AA153)</f>
        <v>49240</v>
      </c>
      <c r="Z153">
        <f>IF($A153="","",Allocation2!AB153)</f>
        <v>17983</v>
      </c>
      <c r="AA153">
        <f>IF($A153="","",Allocation2!AC153)</f>
        <v>315979</v>
      </c>
      <c r="AB153">
        <f>IF($A153="","",Allocation2!AD153)</f>
        <v>2639292</v>
      </c>
      <c r="AC153">
        <f>IF($A153="","",IF(ALLOC!$N$4="VOL_EFF",$G153,IF(ALLOC!$N$4="VOL_CLASS",$H153,$I153)))</f>
        <v>44</v>
      </c>
      <c r="AD153">
        <f>IF($A153="","",IF(ALLOC!$N$4="VOL_EFF",$L153,IF(ALLOC!$N$4="VOL_CLASS",$M153,$N153)))</f>
        <v>129</v>
      </c>
      <c r="AE153">
        <f>IF($A153="","",IF(ALLOC!$N$3="VOL_EFF",$L153,IF(ALLOC!$N$3="VOL_CLASS",$M153,$N153)))</f>
        <v>906960</v>
      </c>
      <c r="AF153">
        <f>IF($A153="","",IF(ALLOC!$N$3="VOL_EFF",$Q153,IF(ALLOC!$N$3="VOL_CLASS",$R153,$S153)))</f>
        <v>2309940</v>
      </c>
      <c r="AG153">
        <f>IF($A153="","",IF(ALLOC!$N$1="VOL_EFF",$Q153,IF(ALLOC!$N$1="VOL_CLASS",$R153,$S153)))</f>
        <v>339</v>
      </c>
      <c r="AH153">
        <f>IF($A153="","",IF(ALLOC!$N$1="VOL_EFF",$T153,IF(ALLOC!$N$1="VOL_CLASS",$U153,$V153)))</f>
        <v>2704</v>
      </c>
      <c r="AI153">
        <f t="shared" si="68"/>
        <v>22036</v>
      </c>
      <c r="AJ153">
        <f t="shared" si="69"/>
        <v>45458.666666666664</v>
      </c>
      <c r="AK153">
        <f t="shared" si="70"/>
        <v>34778.038759689924</v>
      </c>
      <c r="AL153">
        <f t="shared" si="71"/>
        <v>107775.78294573643</v>
      </c>
      <c r="AM153">
        <f t="shared" si="72"/>
        <v>44312.96937792965</v>
      </c>
      <c r="AN153">
        <f t="shared" si="73"/>
        <v>49204.925503807957</v>
      </c>
      <c r="AO153">
        <f>IF($A153="","",Allocation2!AE153)</f>
        <v>499926</v>
      </c>
      <c r="AP153">
        <f>IF($A153="","",IF(ALLOC!$N$2="VOL_EFF",$Q153,IF(ALLOC!$N$2="VOL_CLASS",$R153,$S153)))</f>
        <v>339</v>
      </c>
      <c r="AQ153">
        <f>IF($A153="","",IF(ALLOC!$N$2="VOL_EFF",$T153,IF(ALLOC!$N$2="VOL_CLASS",$U153,$V153)))</f>
        <v>2704</v>
      </c>
      <c r="AR153">
        <f t="shared" si="74"/>
        <v>8393.6167461693731</v>
      </c>
    </row>
    <row r="154" spans="1:44" x14ac:dyDescent="0.45">
      <c r="A154" t="str">
        <f>IF(Allocation2!D154="","",Allocation2!D154)</f>
        <v>2024</v>
      </c>
      <c r="B154" t="str">
        <f>IF(Allocation2!E154="","",Allocation2!E154)</f>
        <v>IPAC_NAN</v>
      </c>
      <c r="C154" t="str">
        <f>IF(Allocation2!F154="","",Allocation2!F154)</f>
        <v>IPAC</v>
      </c>
      <c r="D154" t="str">
        <f>IF(Allocation2!G154="","",Allocation2!G154)</f>
        <v>BAC_CCE</v>
      </c>
      <c r="E154" t="str">
        <f>IF(Allocation2!H154="","",Allocation2!H154)</f>
        <v>B2</v>
      </c>
      <c r="F154" t="str">
        <f>IF(Allocation2!I154="","",Allocation2!I154)</f>
        <v>ALT</v>
      </c>
      <c r="G154">
        <f>IF(Allocation2!E154="","",Allocation2!J154)</f>
        <v>43</v>
      </c>
      <c r="H154">
        <f>IF(Allocation2!E154="","",Allocation2!K154)</f>
        <v>2</v>
      </c>
      <c r="I154">
        <f>IF(Allocation2!E154="","",Allocation2!L154)</f>
        <v>301000</v>
      </c>
      <c r="J154">
        <f>IF($A154="","",Allocation2!X154)</f>
        <v>0</v>
      </c>
      <c r="K154">
        <f t="shared" si="56"/>
        <v>960</v>
      </c>
      <c r="L154">
        <f t="shared" si="57"/>
        <v>129</v>
      </c>
      <c r="M154">
        <f t="shared" si="58"/>
        <v>6</v>
      </c>
      <c r="N154">
        <f t="shared" si="59"/>
        <v>906960</v>
      </c>
      <c r="O154">
        <f t="shared" si="60"/>
        <v>2880</v>
      </c>
      <c r="P154">
        <f t="shared" si="61"/>
        <v>44</v>
      </c>
      <c r="Q154">
        <f t="shared" si="62"/>
        <v>339</v>
      </c>
      <c r="R154">
        <f t="shared" si="63"/>
        <v>18</v>
      </c>
      <c r="S154">
        <f t="shared" si="64"/>
        <v>2309940</v>
      </c>
      <c r="T154">
        <f t="shared" si="65"/>
        <v>2704</v>
      </c>
      <c r="U154">
        <f t="shared" si="66"/>
        <v>131</v>
      </c>
      <c r="V154">
        <f t="shared" si="67"/>
        <v>20076860</v>
      </c>
      <c r="W154">
        <f>IF($A154="","",Allocation2!Y154)</f>
        <v>66108</v>
      </c>
      <c r="X154">
        <f>IF($A154="","",Allocation2!Z154)</f>
        <v>136376</v>
      </c>
      <c r="Y154">
        <f>IF($A154="","",Allocation2!AA154)</f>
        <v>49240</v>
      </c>
      <c r="Z154">
        <f>IF($A154="","",Allocation2!AB154)</f>
        <v>17983</v>
      </c>
      <c r="AA154">
        <f>IF($A154="","",Allocation2!AC154)</f>
        <v>315979</v>
      </c>
      <c r="AB154">
        <f>IF($A154="","",Allocation2!AD154)</f>
        <v>2639292</v>
      </c>
      <c r="AC154">
        <f>IF($A154="","",IF(ALLOC!$N$4="VOL_EFF",$G154,IF(ALLOC!$N$4="VOL_CLASS",$H154,$I154)))</f>
        <v>43</v>
      </c>
      <c r="AD154">
        <f>IF($A154="","",IF(ALLOC!$N$4="VOL_EFF",$L154,IF(ALLOC!$N$4="VOL_CLASS",$M154,$N154)))</f>
        <v>129</v>
      </c>
      <c r="AE154">
        <f>IF($A154="","",IF(ALLOC!$N$3="VOL_EFF",$L154,IF(ALLOC!$N$3="VOL_CLASS",$M154,$N154)))</f>
        <v>906960</v>
      </c>
      <c r="AF154">
        <f>IF($A154="","",IF(ALLOC!$N$3="VOL_EFF",$Q154,IF(ALLOC!$N$3="VOL_CLASS",$R154,$S154)))</f>
        <v>2309940</v>
      </c>
      <c r="AG154">
        <f>IF($A154="","",IF(ALLOC!$N$1="VOL_EFF",$Q154,IF(ALLOC!$N$1="VOL_CLASS",$R154,$S154)))</f>
        <v>339</v>
      </c>
      <c r="AH154">
        <f>IF($A154="","",IF(ALLOC!$N$1="VOL_EFF",$T154,IF(ALLOC!$N$1="VOL_CLASS",$U154,$V154)))</f>
        <v>2704</v>
      </c>
      <c r="AI154">
        <f t="shared" si="68"/>
        <v>22036</v>
      </c>
      <c r="AJ154">
        <f t="shared" si="69"/>
        <v>45458.666666666664</v>
      </c>
      <c r="AK154">
        <f t="shared" si="70"/>
        <v>16413.333333333332</v>
      </c>
      <c r="AL154">
        <f t="shared" si="71"/>
        <v>105326.33333333333</v>
      </c>
      <c r="AM154">
        <f t="shared" si="72"/>
        <v>43305.856437522154</v>
      </c>
      <c r="AN154">
        <f t="shared" si="73"/>
        <v>60256.957499933545</v>
      </c>
      <c r="AO154">
        <f>IF($A154="","",Allocation2!AE154)</f>
        <v>499926</v>
      </c>
      <c r="AP154">
        <f>IF($A154="","",IF(ALLOC!$N$2="VOL_EFF",$Q154,IF(ALLOC!$N$2="VOL_CLASS",$R154,$S154)))</f>
        <v>339</v>
      </c>
      <c r="AQ154">
        <f>IF($A154="","",IF(ALLOC!$N$2="VOL_EFF",$T154,IF(ALLOC!$N$2="VOL_CLASS",$U154,$V154)))</f>
        <v>2704</v>
      </c>
      <c r="AR154">
        <f t="shared" si="74"/>
        <v>8202.8527292109775</v>
      </c>
    </row>
    <row r="155" spans="1:44" x14ac:dyDescent="0.45">
      <c r="A155" t="str">
        <f>IF(Allocation2!D155="","",Allocation2!D155)</f>
        <v>2024</v>
      </c>
      <c r="B155" t="str">
        <f>IF(Allocation2!E155="","",Allocation2!E155)</f>
        <v>IPAC_NAN</v>
      </c>
      <c r="C155" t="str">
        <f>IF(Allocation2!F155="","",Allocation2!F155)</f>
        <v>IPAC</v>
      </c>
      <c r="D155" t="str">
        <f>IF(Allocation2!G155="","",Allocation2!G155)</f>
        <v>BAC_CCE</v>
      </c>
      <c r="E155" t="str">
        <f>IF(Allocation2!H155="","",Allocation2!H155)</f>
        <v>B3</v>
      </c>
      <c r="F155" t="str">
        <f>IF(Allocation2!I155="","",Allocation2!I155)</f>
        <v>ALT</v>
      </c>
      <c r="G155">
        <f>IF(Allocation2!E155="","",Allocation2!J155)</f>
        <v>42</v>
      </c>
      <c r="H155">
        <f>IF(Allocation2!E155="","",Allocation2!K155)</f>
        <v>2</v>
      </c>
      <c r="I155">
        <f>IF(Allocation2!E155="","",Allocation2!L155)</f>
        <v>294000</v>
      </c>
      <c r="J155">
        <f>IF($A155="","",Allocation2!X155)</f>
        <v>0</v>
      </c>
      <c r="K155">
        <f t="shared" si="56"/>
        <v>960</v>
      </c>
      <c r="L155">
        <f t="shared" si="57"/>
        <v>129</v>
      </c>
      <c r="M155">
        <f t="shared" si="58"/>
        <v>6</v>
      </c>
      <c r="N155">
        <f t="shared" si="59"/>
        <v>906960</v>
      </c>
      <c r="O155">
        <f t="shared" si="60"/>
        <v>2880</v>
      </c>
      <c r="P155">
        <f t="shared" si="61"/>
        <v>44</v>
      </c>
      <c r="Q155">
        <f t="shared" si="62"/>
        <v>339</v>
      </c>
      <c r="R155">
        <f t="shared" si="63"/>
        <v>18</v>
      </c>
      <c r="S155">
        <f t="shared" si="64"/>
        <v>2309940</v>
      </c>
      <c r="T155">
        <f t="shared" si="65"/>
        <v>2704</v>
      </c>
      <c r="U155">
        <f t="shared" si="66"/>
        <v>131</v>
      </c>
      <c r="V155">
        <f t="shared" si="67"/>
        <v>20076860</v>
      </c>
      <c r="W155">
        <f>IF($A155="","",Allocation2!Y155)</f>
        <v>66108</v>
      </c>
      <c r="X155">
        <f>IF($A155="","",Allocation2!Z155)</f>
        <v>136376</v>
      </c>
      <c r="Y155">
        <f>IF($A155="","",Allocation2!AA155)</f>
        <v>49240</v>
      </c>
      <c r="Z155">
        <f>IF($A155="","",Allocation2!AB155)</f>
        <v>17983</v>
      </c>
      <c r="AA155">
        <f>IF($A155="","",Allocation2!AC155)</f>
        <v>315979</v>
      </c>
      <c r="AB155">
        <f>IF($A155="","",Allocation2!AD155)</f>
        <v>2639292</v>
      </c>
      <c r="AC155">
        <f>IF($A155="","",IF(ALLOC!$N$4="VOL_EFF",$G155,IF(ALLOC!$N$4="VOL_CLASS",$H155,$I155)))</f>
        <v>42</v>
      </c>
      <c r="AD155">
        <f>IF($A155="","",IF(ALLOC!$N$4="VOL_EFF",$L155,IF(ALLOC!$N$4="VOL_CLASS",$M155,$N155)))</f>
        <v>129</v>
      </c>
      <c r="AE155">
        <f>IF($A155="","",IF(ALLOC!$N$3="VOL_EFF",$L155,IF(ALLOC!$N$3="VOL_CLASS",$M155,$N155)))</f>
        <v>906960</v>
      </c>
      <c r="AF155">
        <f>IF($A155="","",IF(ALLOC!$N$3="VOL_EFF",$Q155,IF(ALLOC!$N$3="VOL_CLASS",$R155,$S155)))</f>
        <v>2309940</v>
      </c>
      <c r="AG155">
        <f>IF($A155="","",IF(ALLOC!$N$1="VOL_EFF",$Q155,IF(ALLOC!$N$1="VOL_CLASS",$R155,$S155)))</f>
        <v>339</v>
      </c>
      <c r="AH155">
        <f>IF($A155="","",IF(ALLOC!$N$1="VOL_EFF",$T155,IF(ALLOC!$N$1="VOL_CLASS",$U155,$V155)))</f>
        <v>2704</v>
      </c>
      <c r="AI155">
        <f t="shared" si="68"/>
        <v>22036</v>
      </c>
      <c r="AJ155">
        <f t="shared" si="69"/>
        <v>45458.666666666664</v>
      </c>
      <c r="AK155">
        <f t="shared" si="70"/>
        <v>16031.627906976746</v>
      </c>
      <c r="AL155">
        <f t="shared" si="71"/>
        <v>102876.88372093024</v>
      </c>
      <c r="AM155">
        <f t="shared" si="72"/>
        <v>42298.743497114665</v>
      </c>
      <c r="AN155">
        <f t="shared" si="73"/>
        <v>57285.989496059105</v>
      </c>
      <c r="AO155">
        <f>IF($A155="","",Allocation2!AE155)</f>
        <v>499926</v>
      </c>
      <c r="AP155">
        <f>IF($A155="","",IF(ALLOC!$N$2="VOL_EFF",$Q155,IF(ALLOC!$N$2="VOL_CLASS",$R155,$S155)))</f>
        <v>339</v>
      </c>
      <c r="AQ155">
        <f>IF($A155="","",IF(ALLOC!$N$2="VOL_EFF",$T155,IF(ALLOC!$N$2="VOL_CLASS",$U155,$V155)))</f>
        <v>2704</v>
      </c>
      <c r="AR155">
        <f t="shared" si="74"/>
        <v>8012.0887122525837</v>
      </c>
    </row>
    <row r="156" spans="1:44" x14ac:dyDescent="0.45">
      <c r="A156" t="str">
        <f>IF(Allocation2!D156="","",Allocation2!D156)</f>
        <v>2024</v>
      </c>
      <c r="B156" t="str">
        <f>IF(Allocation2!E156="","",Allocation2!E156)</f>
        <v>IPAC_REN</v>
      </c>
      <c r="C156" t="str">
        <f>IF(Allocation2!F156="","",Allocation2!F156)</f>
        <v>IPAC</v>
      </c>
      <c r="D156" t="str">
        <f>IF(Allocation2!G156="","",Allocation2!G156)</f>
        <v>BAC_CCE</v>
      </c>
      <c r="E156" t="str">
        <f>IF(Allocation2!H156="","",Allocation2!H156)</f>
        <v>B1</v>
      </c>
      <c r="F156" t="str">
        <f>IF(Allocation2!I156="","",Allocation2!I156)</f>
        <v>ALT</v>
      </c>
      <c r="G156">
        <f>IF(Allocation2!E156="","",Allocation2!J156)</f>
        <v>36</v>
      </c>
      <c r="H156">
        <f>IF(Allocation2!E156="","",Allocation2!K156)</f>
        <v>2</v>
      </c>
      <c r="I156">
        <f>IF(Allocation2!E156="","",Allocation2!L156)</f>
        <v>242640</v>
      </c>
      <c r="J156">
        <f>IF($A156="","",Allocation2!X156)</f>
        <v>36</v>
      </c>
      <c r="K156">
        <f t="shared" si="56"/>
        <v>960</v>
      </c>
      <c r="L156">
        <f t="shared" si="57"/>
        <v>105</v>
      </c>
      <c r="M156">
        <f t="shared" si="58"/>
        <v>6</v>
      </c>
      <c r="N156">
        <f t="shared" si="59"/>
        <v>701490</v>
      </c>
      <c r="O156">
        <f t="shared" si="60"/>
        <v>2880</v>
      </c>
      <c r="P156">
        <f t="shared" si="61"/>
        <v>36</v>
      </c>
      <c r="Q156">
        <f t="shared" si="62"/>
        <v>339</v>
      </c>
      <c r="R156">
        <f t="shared" si="63"/>
        <v>18</v>
      </c>
      <c r="S156">
        <f t="shared" si="64"/>
        <v>2309940</v>
      </c>
      <c r="T156">
        <f t="shared" si="65"/>
        <v>2704</v>
      </c>
      <c r="U156">
        <f t="shared" si="66"/>
        <v>131</v>
      </c>
      <c r="V156">
        <f t="shared" si="67"/>
        <v>20076860</v>
      </c>
      <c r="W156">
        <f>IF($A156="","",Allocation2!Y156)</f>
        <v>66108</v>
      </c>
      <c r="X156">
        <f>IF($A156="","",Allocation2!Z156)</f>
        <v>120011</v>
      </c>
      <c r="Y156">
        <f>IF($A156="","",Allocation2!AA156)</f>
        <v>39731</v>
      </c>
      <c r="Z156">
        <f>IF($A156="","",Allocation2!AB156)</f>
        <v>12341</v>
      </c>
      <c r="AA156">
        <f>IF($A156="","",Allocation2!AC156)</f>
        <v>242088</v>
      </c>
      <c r="AB156">
        <f>IF($A156="","",Allocation2!AD156)</f>
        <v>2639292</v>
      </c>
      <c r="AC156">
        <f>IF($A156="","",IF(ALLOC!$N$4="VOL_EFF",$G156,IF(ALLOC!$N$4="VOL_CLASS",$H156,$I156)))</f>
        <v>36</v>
      </c>
      <c r="AD156">
        <f>IF($A156="","",IF(ALLOC!$N$4="VOL_EFF",$L156,IF(ALLOC!$N$4="VOL_CLASS",$M156,$N156)))</f>
        <v>105</v>
      </c>
      <c r="AE156">
        <f>IF($A156="","",IF(ALLOC!$N$3="VOL_EFF",$L156,IF(ALLOC!$N$3="VOL_CLASS",$M156,$N156)))</f>
        <v>701490</v>
      </c>
      <c r="AF156">
        <f>IF($A156="","",IF(ALLOC!$N$3="VOL_EFF",$Q156,IF(ALLOC!$N$3="VOL_CLASS",$R156,$S156)))</f>
        <v>2309940</v>
      </c>
      <c r="AG156">
        <f>IF($A156="","",IF(ALLOC!$N$1="VOL_EFF",$Q156,IF(ALLOC!$N$1="VOL_CLASS",$R156,$S156)))</f>
        <v>339</v>
      </c>
      <c r="AH156">
        <f>IF($A156="","",IF(ALLOC!$N$1="VOL_EFF",$T156,IF(ALLOC!$N$1="VOL_CLASS",$U156,$V156)))</f>
        <v>2704</v>
      </c>
      <c r="AI156">
        <f t="shared" si="68"/>
        <v>22036</v>
      </c>
      <c r="AJ156">
        <f t="shared" si="69"/>
        <v>40003.666666666664</v>
      </c>
      <c r="AK156">
        <f t="shared" si="70"/>
        <v>25963.057142857142</v>
      </c>
      <c r="AL156">
        <f t="shared" si="71"/>
        <v>83001.600000000006</v>
      </c>
      <c r="AM156">
        <f t="shared" si="72"/>
        <v>34452.000036696125</v>
      </c>
      <c r="AN156">
        <f t="shared" si="73"/>
        <v>30657.891750104638</v>
      </c>
      <c r="AO156">
        <f>IF($A156="","",Allocation2!AE156)</f>
        <v>499926</v>
      </c>
      <c r="AP156">
        <f>IF($A156="","",IF(ALLOC!$N$2="VOL_EFF",$Q156,IF(ALLOC!$N$2="VOL_CLASS",$R156,$S156)))</f>
        <v>339</v>
      </c>
      <c r="AQ156">
        <f>IF($A156="","",IF(ALLOC!$N$2="VOL_EFF",$T156,IF(ALLOC!$N$2="VOL_CLASS",$U156,$V156)))</f>
        <v>2704</v>
      </c>
      <c r="AR156">
        <f t="shared" si="74"/>
        <v>6525.784403675435</v>
      </c>
    </row>
    <row r="157" spans="1:44" x14ac:dyDescent="0.45">
      <c r="A157" t="str">
        <f>IF(Allocation2!D157="","",Allocation2!D157)</f>
        <v>2024</v>
      </c>
      <c r="B157" t="str">
        <f>IF(Allocation2!E157="","",Allocation2!E157)</f>
        <v>IPAC_REN</v>
      </c>
      <c r="C157" t="str">
        <f>IF(Allocation2!F157="","",Allocation2!F157)</f>
        <v>IPAC</v>
      </c>
      <c r="D157" t="str">
        <f>IF(Allocation2!G157="","",Allocation2!G157)</f>
        <v>BAC_CCE</v>
      </c>
      <c r="E157" t="str">
        <f>IF(Allocation2!H157="","",Allocation2!H157)</f>
        <v>B2</v>
      </c>
      <c r="F157" t="str">
        <f>IF(Allocation2!I157="","",Allocation2!I157)</f>
        <v>ALT</v>
      </c>
      <c r="G157">
        <f>IF(Allocation2!E157="","",Allocation2!J157)</f>
        <v>35</v>
      </c>
      <c r="H157">
        <f>IF(Allocation2!E157="","",Allocation2!K157)</f>
        <v>2</v>
      </c>
      <c r="I157">
        <f>IF(Allocation2!E157="","",Allocation2!L157)</f>
        <v>232750</v>
      </c>
      <c r="J157">
        <f>IF($A157="","",Allocation2!X157)</f>
        <v>0</v>
      </c>
      <c r="K157">
        <f t="shared" si="56"/>
        <v>960</v>
      </c>
      <c r="L157">
        <f t="shared" si="57"/>
        <v>105</v>
      </c>
      <c r="M157">
        <f t="shared" si="58"/>
        <v>6</v>
      </c>
      <c r="N157">
        <f t="shared" si="59"/>
        <v>701490</v>
      </c>
      <c r="O157">
        <f t="shared" si="60"/>
        <v>2880</v>
      </c>
      <c r="P157">
        <f t="shared" si="61"/>
        <v>36</v>
      </c>
      <c r="Q157">
        <f t="shared" si="62"/>
        <v>339</v>
      </c>
      <c r="R157">
        <f t="shared" si="63"/>
        <v>18</v>
      </c>
      <c r="S157">
        <f t="shared" si="64"/>
        <v>2309940</v>
      </c>
      <c r="T157">
        <f t="shared" si="65"/>
        <v>2704</v>
      </c>
      <c r="U157">
        <f t="shared" si="66"/>
        <v>131</v>
      </c>
      <c r="V157">
        <f t="shared" si="67"/>
        <v>20076860</v>
      </c>
      <c r="W157">
        <f>IF($A157="","",Allocation2!Y157)</f>
        <v>66108</v>
      </c>
      <c r="X157">
        <f>IF($A157="","",Allocation2!Z157)</f>
        <v>120011</v>
      </c>
      <c r="Y157">
        <f>IF($A157="","",Allocation2!AA157)</f>
        <v>39731</v>
      </c>
      <c r="Z157">
        <f>IF($A157="","",Allocation2!AB157)</f>
        <v>12341</v>
      </c>
      <c r="AA157">
        <f>IF($A157="","",Allocation2!AC157)</f>
        <v>242088</v>
      </c>
      <c r="AB157">
        <f>IF($A157="","",Allocation2!AD157)</f>
        <v>2639292</v>
      </c>
      <c r="AC157">
        <f>IF($A157="","",IF(ALLOC!$N$4="VOL_EFF",$G157,IF(ALLOC!$N$4="VOL_CLASS",$H157,$I157)))</f>
        <v>35</v>
      </c>
      <c r="AD157">
        <f>IF($A157="","",IF(ALLOC!$N$4="VOL_EFF",$L157,IF(ALLOC!$N$4="VOL_CLASS",$M157,$N157)))</f>
        <v>105</v>
      </c>
      <c r="AE157">
        <f>IF($A157="","",IF(ALLOC!$N$3="VOL_EFF",$L157,IF(ALLOC!$N$3="VOL_CLASS",$M157,$N157)))</f>
        <v>701490</v>
      </c>
      <c r="AF157">
        <f>IF($A157="","",IF(ALLOC!$N$3="VOL_EFF",$Q157,IF(ALLOC!$N$3="VOL_CLASS",$R157,$S157)))</f>
        <v>2309940</v>
      </c>
      <c r="AG157">
        <f>IF($A157="","",IF(ALLOC!$N$1="VOL_EFF",$Q157,IF(ALLOC!$N$1="VOL_CLASS",$R157,$S157)))</f>
        <v>339</v>
      </c>
      <c r="AH157">
        <f>IF($A157="","",IF(ALLOC!$N$1="VOL_EFF",$T157,IF(ALLOC!$N$1="VOL_CLASS",$U157,$V157)))</f>
        <v>2704</v>
      </c>
      <c r="AI157">
        <f t="shared" si="68"/>
        <v>22036</v>
      </c>
      <c r="AJ157">
        <f t="shared" si="69"/>
        <v>40003.666666666664</v>
      </c>
      <c r="AK157">
        <f t="shared" si="70"/>
        <v>13243.666666666666</v>
      </c>
      <c r="AL157">
        <f t="shared" si="71"/>
        <v>80696</v>
      </c>
      <c r="AM157">
        <f t="shared" si="72"/>
        <v>33495.000035676785</v>
      </c>
      <c r="AN157">
        <f t="shared" si="73"/>
        <v>36931.15401630546</v>
      </c>
      <c r="AO157">
        <f>IF($A157="","",Allocation2!AE157)</f>
        <v>499926</v>
      </c>
      <c r="AP157">
        <f>IF($A157="","",IF(ALLOC!$N$2="VOL_EFF",$Q157,IF(ALLOC!$N$2="VOL_CLASS",$R157,$S157)))</f>
        <v>339</v>
      </c>
      <c r="AQ157">
        <f>IF($A157="","",IF(ALLOC!$N$2="VOL_EFF",$T157,IF(ALLOC!$N$2="VOL_CLASS",$U157,$V157)))</f>
        <v>2704</v>
      </c>
      <c r="AR157">
        <f t="shared" si="74"/>
        <v>6344.5126146844505</v>
      </c>
    </row>
    <row r="158" spans="1:44" x14ac:dyDescent="0.45">
      <c r="A158" t="str">
        <f>IF(Allocation2!D158="","",Allocation2!D158)</f>
        <v>2024</v>
      </c>
      <c r="B158" t="str">
        <f>IF(Allocation2!E158="","",Allocation2!E158)</f>
        <v>IPAC_REN</v>
      </c>
      <c r="C158" t="str">
        <f>IF(Allocation2!F158="","",Allocation2!F158)</f>
        <v>IPAC</v>
      </c>
      <c r="D158" t="str">
        <f>IF(Allocation2!G158="","",Allocation2!G158)</f>
        <v>BAC_CCE</v>
      </c>
      <c r="E158" t="str">
        <f>IF(Allocation2!H158="","",Allocation2!H158)</f>
        <v>B3</v>
      </c>
      <c r="F158" t="str">
        <f>IF(Allocation2!I158="","",Allocation2!I158)</f>
        <v>ALT</v>
      </c>
      <c r="G158">
        <f>IF(Allocation2!E158="","",Allocation2!J158)</f>
        <v>34</v>
      </c>
      <c r="H158">
        <f>IF(Allocation2!E158="","",Allocation2!K158)</f>
        <v>2</v>
      </c>
      <c r="I158">
        <f>IF(Allocation2!E158="","",Allocation2!L158)</f>
        <v>226100</v>
      </c>
      <c r="J158">
        <f>IF($A158="","",Allocation2!X158)</f>
        <v>0</v>
      </c>
      <c r="K158">
        <f t="shared" si="56"/>
        <v>960</v>
      </c>
      <c r="L158">
        <f t="shared" si="57"/>
        <v>105</v>
      </c>
      <c r="M158">
        <f t="shared" si="58"/>
        <v>6</v>
      </c>
      <c r="N158">
        <f t="shared" si="59"/>
        <v>701490</v>
      </c>
      <c r="O158">
        <f t="shared" si="60"/>
        <v>2880</v>
      </c>
      <c r="P158">
        <f t="shared" si="61"/>
        <v>36</v>
      </c>
      <c r="Q158">
        <f t="shared" si="62"/>
        <v>339</v>
      </c>
      <c r="R158">
        <f t="shared" si="63"/>
        <v>18</v>
      </c>
      <c r="S158">
        <f t="shared" si="64"/>
        <v>2309940</v>
      </c>
      <c r="T158">
        <f t="shared" si="65"/>
        <v>2704</v>
      </c>
      <c r="U158">
        <f t="shared" si="66"/>
        <v>131</v>
      </c>
      <c r="V158">
        <f t="shared" si="67"/>
        <v>20076860</v>
      </c>
      <c r="W158">
        <f>IF($A158="","",Allocation2!Y158)</f>
        <v>66108</v>
      </c>
      <c r="X158">
        <f>IF($A158="","",Allocation2!Z158)</f>
        <v>120011</v>
      </c>
      <c r="Y158">
        <f>IF($A158="","",Allocation2!AA158)</f>
        <v>39731</v>
      </c>
      <c r="Z158">
        <f>IF($A158="","",Allocation2!AB158)</f>
        <v>12341</v>
      </c>
      <c r="AA158">
        <f>IF($A158="","",Allocation2!AC158)</f>
        <v>242088</v>
      </c>
      <c r="AB158">
        <f>IF($A158="","",Allocation2!AD158)</f>
        <v>2639292</v>
      </c>
      <c r="AC158">
        <f>IF($A158="","",IF(ALLOC!$N$4="VOL_EFF",$G158,IF(ALLOC!$N$4="VOL_CLASS",$H158,$I158)))</f>
        <v>34</v>
      </c>
      <c r="AD158">
        <f>IF($A158="","",IF(ALLOC!$N$4="VOL_EFF",$L158,IF(ALLOC!$N$4="VOL_CLASS",$M158,$N158)))</f>
        <v>105</v>
      </c>
      <c r="AE158">
        <f>IF($A158="","",IF(ALLOC!$N$3="VOL_EFF",$L158,IF(ALLOC!$N$3="VOL_CLASS",$M158,$N158)))</f>
        <v>701490</v>
      </c>
      <c r="AF158">
        <f>IF($A158="","",IF(ALLOC!$N$3="VOL_EFF",$Q158,IF(ALLOC!$N$3="VOL_CLASS",$R158,$S158)))</f>
        <v>2309940</v>
      </c>
      <c r="AG158">
        <f>IF($A158="","",IF(ALLOC!$N$1="VOL_EFF",$Q158,IF(ALLOC!$N$1="VOL_CLASS",$R158,$S158)))</f>
        <v>339</v>
      </c>
      <c r="AH158">
        <f>IF($A158="","",IF(ALLOC!$N$1="VOL_EFF",$T158,IF(ALLOC!$N$1="VOL_CLASS",$U158,$V158)))</f>
        <v>2704</v>
      </c>
      <c r="AI158">
        <f t="shared" si="68"/>
        <v>22036</v>
      </c>
      <c r="AJ158">
        <f t="shared" si="69"/>
        <v>40003.666666666664</v>
      </c>
      <c r="AK158">
        <f t="shared" si="70"/>
        <v>12865.276190476192</v>
      </c>
      <c r="AL158">
        <f t="shared" si="71"/>
        <v>78390.400000000009</v>
      </c>
      <c r="AM158">
        <f t="shared" si="72"/>
        <v>32538.000034657456</v>
      </c>
      <c r="AN158">
        <f t="shared" si="73"/>
        <v>34103.416282506223</v>
      </c>
      <c r="AO158">
        <f>IF($A158="","",Allocation2!AE158)</f>
        <v>499926</v>
      </c>
      <c r="AP158">
        <f>IF($A158="","",IF(ALLOC!$N$2="VOL_EFF",$Q158,IF(ALLOC!$N$2="VOL_CLASS",$R158,$S158)))</f>
        <v>339</v>
      </c>
      <c r="AQ158">
        <f>IF($A158="","",IF(ALLOC!$N$2="VOL_EFF",$T158,IF(ALLOC!$N$2="VOL_CLASS",$U158,$V158)))</f>
        <v>2704</v>
      </c>
      <c r="AR158">
        <f t="shared" si="74"/>
        <v>6163.2408256934668</v>
      </c>
    </row>
    <row r="159" spans="1:44" x14ac:dyDescent="0.45">
      <c r="A159" t="str">
        <f>IF(Allocation2!D159="","",Allocation2!D159)</f>
        <v>2024</v>
      </c>
      <c r="B159" t="str">
        <f>IF(Allocation2!E159="","",Allocation2!E159)</f>
        <v>IPAC_MTP</v>
      </c>
      <c r="C159" t="str">
        <f>IF(Allocation2!F159="","",Allocation2!F159)</f>
        <v>IPAC</v>
      </c>
      <c r="D159" t="str">
        <f>IF(Allocation2!G159="","",Allocation2!G159)</f>
        <v>BAC_CCE</v>
      </c>
      <c r="E159" t="str">
        <f>IF(Allocation2!H159="","",Allocation2!H159)</f>
        <v>B1</v>
      </c>
      <c r="F159" t="str">
        <f>IF(Allocation2!I159="","",Allocation2!I159)</f>
        <v>ALT</v>
      </c>
      <c r="G159">
        <f>IF(Allocation2!E159="","",Allocation2!J159)</f>
        <v>36</v>
      </c>
      <c r="H159">
        <f>IF(Allocation2!E159="","",Allocation2!K159)</f>
        <v>2</v>
      </c>
      <c r="I159">
        <f>IF(Allocation2!E159="","",Allocation2!L159)</f>
        <v>242640</v>
      </c>
      <c r="J159">
        <f>IF($A159="","",Allocation2!X159)</f>
        <v>36</v>
      </c>
      <c r="K159">
        <f t="shared" si="56"/>
        <v>960</v>
      </c>
      <c r="L159">
        <f t="shared" si="57"/>
        <v>105</v>
      </c>
      <c r="M159">
        <f t="shared" si="58"/>
        <v>6</v>
      </c>
      <c r="N159">
        <f t="shared" si="59"/>
        <v>701490</v>
      </c>
      <c r="O159">
        <f t="shared" si="60"/>
        <v>2880</v>
      </c>
      <c r="P159">
        <f t="shared" si="61"/>
        <v>36</v>
      </c>
      <c r="Q159">
        <f t="shared" si="62"/>
        <v>339</v>
      </c>
      <c r="R159">
        <f t="shared" si="63"/>
        <v>18</v>
      </c>
      <c r="S159">
        <f t="shared" si="64"/>
        <v>2309940</v>
      </c>
      <c r="T159">
        <f t="shared" si="65"/>
        <v>2704</v>
      </c>
      <c r="U159">
        <f t="shared" si="66"/>
        <v>131</v>
      </c>
      <c r="V159">
        <f t="shared" si="67"/>
        <v>20076860</v>
      </c>
      <c r="W159">
        <f>IF($A159="","",Allocation2!Y159)</f>
        <v>66108</v>
      </c>
      <c r="X159">
        <f>IF($A159="","",Allocation2!Z159)</f>
        <v>120011</v>
      </c>
      <c r="Y159">
        <f>IF($A159="","",Allocation2!AA159)</f>
        <v>39731</v>
      </c>
      <c r="Z159">
        <f>IF($A159="","",Allocation2!AB159)</f>
        <v>12543</v>
      </c>
      <c r="AA159">
        <f>IF($A159="","",Allocation2!AC159)</f>
        <v>242088</v>
      </c>
      <c r="AB159">
        <f>IF($A159="","",Allocation2!AD159)</f>
        <v>2639292</v>
      </c>
      <c r="AC159">
        <f>IF($A159="","",IF(ALLOC!$N$4="VOL_EFF",$G159,IF(ALLOC!$N$4="VOL_CLASS",$H159,$I159)))</f>
        <v>36</v>
      </c>
      <c r="AD159">
        <f>IF($A159="","",IF(ALLOC!$N$4="VOL_EFF",$L159,IF(ALLOC!$N$4="VOL_CLASS",$M159,$N159)))</f>
        <v>105</v>
      </c>
      <c r="AE159">
        <f>IF($A159="","",IF(ALLOC!$N$3="VOL_EFF",$L159,IF(ALLOC!$N$3="VOL_CLASS",$M159,$N159)))</f>
        <v>701490</v>
      </c>
      <c r="AF159">
        <f>IF($A159="","",IF(ALLOC!$N$3="VOL_EFF",$Q159,IF(ALLOC!$N$3="VOL_CLASS",$R159,$S159)))</f>
        <v>2309940</v>
      </c>
      <c r="AG159">
        <f>IF($A159="","",IF(ALLOC!$N$1="VOL_EFF",$Q159,IF(ALLOC!$N$1="VOL_CLASS",$R159,$S159)))</f>
        <v>339</v>
      </c>
      <c r="AH159">
        <f>IF($A159="","",IF(ALLOC!$N$1="VOL_EFF",$T159,IF(ALLOC!$N$1="VOL_CLASS",$U159,$V159)))</f>
        <v>2704</v>
      </c>
      <c r="AI159">
        <f t="shared" si="68"/>
        <v>22036</v>
      </c>
      <c r="AJ159">
        <f t="shared" si="69"/>
        <v>40003.666666666664</v>
      </c>
      <c r="AK159">
        <f t="shared" si="70"/>
        <v>26165.057142857142</v>
      </c>
      <c r="AL159">
        <f t="shared" si="71"/>
        <v>83001.600000000006</v>
      </c>
      <c r="AM159">
        <f t="shared" si="72"/>
        <v>34452.000036696125</v>
      </c>
      <c r="AN159">
        <f t="shared" si="73"/>
        <v>30455.891750104638</v>
      </c>
      <c r="AO159">
        <f>IF($A159="","",Allocation2!AE159)</f>
        <v>499926</v>
      </c>
      <c r="AP159">
        <f>IF($A159="","",IF(ALLOC!$N$2="VOL_EFF",$Q159,IF(ALLOC!$N$2="VOL_CLASS",$R159,$S159)))</f>
        <v>339</v>
      </c>
      <c r="AQ159">
        <f>IF($A159="","",IF(ALLOC!$N$2="VOL_EFF",$T159,IF(ALLOC!$N$2="VOL_CLASS",$U159,$V159)))</f>
        <v>2704</v>
      </c>
      <c r="AR159">
        <f t="shared" si="74"/>
        <v>6525.784403675435</v>
      </c>
    </row>
    <row r="160" spans="1:44" x14ac:dyDescent="0.45">
      <c r="A160" t="str">
        <f>IF(Allocation2!D160="","",Allocation2!D160)</f>
        <v>2024</v>
      </c>
      <c r="B160" t="str">
        <f>IF(Allocation2!E160="","",Allocation2!E160)</f>
        <v>IPAC_MTP</v>
      </c>
      <c r="C160" t="str">
        <f>IF(Allocation2!F160="","",Allocation2!F160)</f>
        <v>IPAC</v>
      </c>
      <c r="D160" t="str">
        <f>IF(Allocation2!G160="","",Allocation2!G160)</f>
        <v>BAC_CCE</v>
      </c>
      <c r="E160" t="str">
        <f>IF(Allocation2!H160="","",Allocation2!H160)</f>
        <v>B2</v>
      </c>
      <c r="F160" t="str">
        <f>IF(Allocation2!I160="","",Allocation2!I160)</f>
        <v>ALT</v>
      </c>
      <c r="G160">
        <f>IF(Allocation2!E160="","",Allocation2!J160)</f>
        <v>35</v>
      </c>
      <c r="H160">
        <f>IF(Allocation2!E160="","",Allocation2!K160)</f>
        <v>2</v>
      </c>
      <c r="I160">
        <f>IF(Allocation2!E160="","",Allocation2!L160)</f>
        <v>232750</v>
      </c>
      <c r="J160">
        <f>IF($A160="","",Allocation2!X160)</f>
        <v>0</v>
      </c>
      <c r="K160">
        <f t="shared" si="56"/>
        <v>960</v>
      </c>
      <c r="L160">
        <f t="shared" si="57"/>
        <v>105</v>
      </c>
      <c r="M160">
        <f t="shared" si="58"/>
        <v>6</v>
      </c>
      <c r="N160">
        <f t="shared" si="59"/>
        <v>701490</v>
      </c>
      <c r="O160">
        <f t="shared" si="60"/>
        <v>2880</v>
      </c>
      <c r="P160">
        <f t="shared" si="61"/>
        <v>36</v>
      </c>
      <c r="Q160">
        <f t="shared" si="62"/>
        <v>339</v>
      </c>
      <c r="R160">
        <f t="shared" si="63"/>
        <v>18</v>
      </c>
      <c r="S160">
        <f t="shared" si="64"/>
        <v>2309940</v>
      </c>
      <c r="T160">
        <f t="shared" si="65"/>
        <v>2704</v>
      </c>
      <c r="U160">
        <f t="shared" si="66"/>
        <v>131</v>
      </c>
      <c r="V160">
        <f t="shared" si="67"/>
        <v>20076860</v>
      </c>
      <c r="W160">
        <f>IF($A160="","",Allocation2!Y160)</f>
        <v>66108</v>
      </c>
      <c r="X160">
        <f>IF($A160="","",Allocation2!Z160)</f>
        <v>120011</v>
      </c>
      <c r="Y160">
        <f>IF($A160="","",Allocation2!AA160)</f>
        <v>39731</v>
      </c>
      <c r="Z160">
        <f>IF($A160="","",Allocation2!AB160)</f>
        <v>12543</v>
      </c>
      <c r="AA160">
        <f>IF($A160="","",Allocation2!AC160)</f>
        <v>242088</v>
      </c>
      <c r="AB160">
        <f>IF($A160="","",Allocation2!AD160)</f>
        <v>2639292</v>
      </c>
      <c r="AC160">
        <f>IF($A160="","",IF(ALLOC!$N$4="VOL_EFF",$G160,IF(ALLOC!$N$4="VOL_CLASS",$H160,$I160)))</f>
        <v>35</v>
      </c>
      <c r="AD160">
        <f>IF($A160="","",IF(ALLOC!$N$4="VOL_EFF",$L160,IF(ALLOC!$N$4="VOL_CLASS",$M160,$N160)))</f>
        <v>105</v>
      </c>
      <c r="AE160">
        <f>IF($A160="","",IF(ALLOC!$N$3="VOL_EFF",$L160,IF(ALLOC!$N$3="VOL_CLASS",$M160,$N160)))</f>
        <v>701490</v>
      </c>
      <c r="AF160">
        <f>IF($A160="","",IF(ALLOC!$N$3="VOL_EFF",$Q160,IF(ALLOC!$N$3="VOL_CLASS",$R160,$S160)))</f>
        <v>2309940</v>
      </c>
      <c r="AG160">
        <f>IF($A160="","",IF(ALLOC!$N$1="VOL_EFF",$Q160,IF(ALLOC!$N$1="VOL_CLASS",$R160,$S160)))</f>
        <v>339</v>
      </c>
      <c r="AH160">
        <f>IF($A160="","",IF(ALLOC!$N$1="VOL_EFF",$T160,IF(ALLOC!$N$1="VOL_CLASS",$U160,$V160)))</f>
        <v>2704</v>
      </c>
      <c r="AI160">
        <f t="shared" si="68"/>
        <v>22036</v>
      </c>
      <c r="AJ160">
        <f t="shared" si="69"/>
        <v>40003.666666666664</v>
      </c>
      <c r="AK160">
        <f t="shared" si="70"/>
        <v>13243.666666666666</v>
      </c>
      <c r="AL160">
        <f t="shared" si="71"/>
        <v>80696</v>
      </c>
      <c r="AM160">
        <f t="shared" si="72"/>
        <v>33495.000035676785</v>
      </c>
      <c r="AN160">
        <f t="shared" si="73"/>
        <v>36931.15401630546</v>
      </c>
      <c r="AO160">
        <f>IF($A160="","",Allocation2!AE160)</f>
        <v>499926</v>
      </c>
      <c r="AP160">
        <f>IF($A160="","",IF(ALLOC!$N$2="VOL_EFF",$Q160,IF(ALLOC!$N$2="VOL_CLASS",$R160,$S160)))</f>
        <v>339</v>
      </c>
      <c r="AQ160">
        <f>IF($A160="","",IF(ALLOC!$N$2="VOL_EFF",$T160,IF(ALLOC!$N$2="VOL_CLASS",$U160,$V160)))</f>
        <v>2704</v>
      </c>
      <c r="AR160">
        <f t="shared" si="74"/>
        <v>6344.5126146844505</v>
      </c>
    </row>
    <row r="161" spans="1:44" x14ac:dyDescent="0.45">
      <c r="A161" t="str">
        <f>IF(Allocation2!D161="","",Allocation2!D161)</f>
        <v>2024</v>
      </c>
      <c r="B161" t="str">
        <f>IF(Allocation2!E161="","",Allocation2!E161)</f>
        <v>IPAC_MTP</v>
      </c>
      <c r="C161" t="str">
        <f>IF(Allocation2!F161="","",Allocation2!F161)</f>
        <v>IPAC</v>
      </c>
      <c r="D161" t="str">
        <f>IF(Allocation2!G161="","",Allocation2!G161)</f>
        <v>BAC_CCE</v>
      </c>
      <c r="E161" t="str">
        <f>IF(Allocation2!H161="","",Allocation2!H161)</f>
        <v>B3</v>
      </c>
      <c r="F161" t="str">
        <f>IF(Allocation2!I161="","",Allocation2!I161)</f>
        <v>ALT</v>
      </c>
      <c r="G161">
        <f>IF(Allocation2!E161="","",Allocation2!J161)</f>
        <v>34</v>
      </c>
      <c r="H161">
        <f>IF(Allocation2!E161="","",Allocation2!K161)</f>
        <v>2</v>
      </c>
      <c r="I161">
        <f>IF(Allocation2!E161="","",Allocation2!L161)</f>
        <v>226100</v>
      </c>
      <c r="J161">
        <f>IF($A161="","",Allocation2!X161)</f>
        <v>0</v>
      </c>
      <c r="K161">
        <f t="shared" si="56"/>
        <v>960</v>
      </c>
      <c r="L161">
        <f t="shared" si="57"/>
        <v>105</v>
      </c>
      <c r="M161">
        <f t="shared" si="58"/>
        <v>6</v>
      </c>
      <c r="N161">
        <f t="shared" si="59"/>
        <v>701490</v>
      </c>
      <c r="O161">
        <f t="shared" si="60"/>
        <v>2880</v>
      </c>
      <c r="P161">
        <f t="shared" si="61"/>
        <v>36</v>
      </c>
      <c r="Q161">
        <f t="shared" si="62"/>
        <v>339</v>
      </c>
      <c r="R161">
        <f t="shared" si="63"/>
        <v>18</v>
      </c>
      <c r="S161">
        <f t="shared" si="64"/>
        <v>2309940</v>
      </c>
      <c r="T161">
        <f t="shared" si="65"/>
        <v>2704</v>
      </c>
      <c r="U161">
        <f t="shared" si="66"/>
        <v>131</v>
      </c>
      <c r="V161">
        <f t="shared" si="67"/>
        <v>20076860</v>
      </c>
      <c r="W161">
        <f>IF($A161="","",Allocation2!Y161)</f>
        <v>66108</v>
      </c>
      <c r="X161">
        <f>IF($A161="","",Allocation2!Z161)</f>
        <v>120011</v>
      </c>
      <c r="Y161">
        <f>IF($A161="","",Allocation2!AA161)</f>
        <v>39731</v>
      </c>
      <c r="Z161">
        <f>IF($A161="","",Allocation2!AB161)</f>
        <v>12543</v>
      </c>
      <c r="AA161">
        <f>IF($A161="","",Allocation2!AC161)</f>
        <v>242088</v>
      </c>
      <c r="AB161">
        <f>IF($A161="","",Allocation2!AD161)</f>
        <v>2639292</v>
      </c>
      <c r="AC161">
        <f>IF($A161="","",IF(ALLOC!$N$4="VOL_EFF",$G161,IF(ALLOC!$N$4="VOL_CLASS",$H161,$I161)))</f>
        <v>34</v>
      </c>
      <c r="AD161">
        <f>IF($A161="","",IF(ALLOC!$N$4="VOL_EFF",$L161,IF(ALLOC!$N$4="VOL_CLASS",$M161,$N161)))</f>
        <v>105</v>
      </c>
      <c r="AE161">
        <f>IF($A161="","",IF(ALLOC!$N$3="VOL_EFF",$L161,IF(ALLOC!$N$3="VOL_CLASS",$M161,$N161)))</f>
        <v>701490</v>
      </c>
      <c r="AF161">
        <f>IF($A161="","",IF(ALLOC!$N$3="VOL_EFF",$Q161,IF(ALLOC!$N$3="VOL_CLASS",$R161,$S161)))</f>
        <v>2309940</v>
      </c>
      <c r="AG161">
        <f>IF($A161="","",IF(ALLOC!$N$1="VOL_EFF",$Q161,IF(ALLOC!$N$1="VOL_CLASS",$R161,$S161)))</f>
        <v>339</v>
      </c>
      <c r="AH161">
        <f>IF($A161="","",IF(ALLOC!$N$1="VOL_EFF",$T161,IF(ALLOC!$N$1="VOL_CLASS",$U161,$V161)))</f>
        <v>2704</v>
      </c>
      <c r="AI161">
        <f t="shared" si="68"/>
        <v>22036</v>
      </c>
      <c r="AJ161">
        <f t="shared" si="69"/>
        <v>40003.666666666664</v>
      </c>
      <c r="AK161">
        <f t="shared" si="70"/>
        <v>12865.276190476192</v>
      </c>
      <c r="AL161">
        <f t="shared" si="71"/>
        <v>78390.400000000009</v>
      </c>
      <c r="AM161">
        <f t="shared" si="72"/>
        <v>32538.000034657456</v>
      </c>
      <c r="AN161">
        <f t="shared" si="73"/>
        <v>34103.416282506223</v>
      </c>
      <c r="AO161">
        <f>IF($A161="","",Allocation2!AE161)</f>
        <v>499926</v>
      </c>
      <c r="AP161">
        <f>IF($A161="","",IF(ALLOC!$N$2="VOL_EFF",$Q161,IF(ALLOC!$N$2="VOL_CLASS",$R161,$S161)))</f>
        <v>339</v>
      </c>
      <c r="AQ161">
        <f>IF($A161="","",IF(ALLOC!$N$2="VOL_EFF",$T161,IF(ALLOC!$N$2="VOL_CLASS",$U161,$V161)))</f>
        <v>2704</v>
      </c>
      <c r="AR161">
        <f t="shared" si="74"/>
        <v>6163.2408256934668</v>
      </c>
    </row>
    <row r="162" spans="1:44" x14ac:dyDescent="0.45">
      <c r="A162" t="str">
        <f>IF(Allocation2!D162="","",Allocation2!D162)</f>
        <v>2024</v>
      </c>
      <c r="B162" t="str">
        <f>IF(Allocation2!E162="","",Allocation2!E162)</f>
        <v>PIGIER_LYO</v>
      </c>
      <c r="C162" t="str">
        <f>IF(Allocation2!F162="","",Allocation2!F162)</f>
        <v>PIGIER</v>
      </c>
      <c r="D162" t="str">
        <f>IF(Allocation2!G162="","",Allocation2!G162)</f>
        <v>BTS_GES</v>
      </c>
      <c r="E162" t="str">
        <f>IF(Allocation2!H162="","",Allocation2!H162)</f>
        <v>BTS1</v>
      </c>
      <c r="F162" t="str">
        <f>IF(Allocation2!I162="","",Allocation2!I162)</f>
        <v>ALT</v>
      </c>
      <c r="G162">
        <f>IF(Allocation2!E162="","",Allocation2!J162)</f>
        <v>41</v>
      </c>
      <c r="H162">
        <f>IF(Allocation2!E162="","",Allocation2!K162)</f>
        <v>2</v>
      </c>
      <c r="I162">
        <f>IF(Allocation2!E162="","",Allocation2!L162)</f>
        <v>261990</v>
      </c>
      <c r="J162">
        <f>IF($A162="","",Allocation2!X162)</f>
        <v>41</v>
      </c>
      <c r="K162">
        <f t="shared" si="56"/>
        <v>1400</v>
      </c>
      <c r="L162">
        <f t="shared" ref="L162:L175" si="75">IF($A162="","",SUMIFS($G$1:$G$175,$A$1:$A$175,$A162,$B$1:$B$175,$B162))</f>
        <v>162</v>
      </c>
      <c r="M162">
        <f t="shared" ref="M162:M175" si="76">IF($A162="","",SUMIFS($H$1:$H$175,$A$1:$A$175,$A162,$B$1:$B$175,$B162))</f>
        <v>8</v>
      </c>
      <c r="N162">
        <f t="shared" ref="N162:N175" si="77">IF($A162="","",SUMIFS($I$1:$I$175,$A$1:$A$175,$A162,$B$1:$B$175,$B162))</f>
        <v>1113030</v>
      </c>
      <c r="O162">
        <f t="shared" si="60"/>
        <v>4720</v>
      </c>
      <c r="P162">
        <f t="shared" si="61"/>
        <v>82</v>
      </c>
      <c r="Q162">
        <f t="shared" ref="Q162:Q175" si="78">IF($A162="","",SUMIFS($G$1:$G$175,$A$1:$A$175,$A162,$C$1:$C$175,$C162))</f>
        <v>288</v>
      </c>
      <c r="R162">
        <f t="shared" ref="R162:R175" si="79">IF($A162="","",SUMIFS($H$1:$H$175,$A$1:$A$175,$A162,$C$1:$C$175,$C162))</f>
        <v>16</v>
      </c>
      <c r="S162">
        <f t="shared" ref="S162:S175" si="80">IF($A162="","",SUMIFS($I$1:$I$175,$A$1:$A$175,$A162,$C$1:$C$175,$C162))</f>
        <v>1913220</v>
      </c>
      <c r="T162">
        <f t="shared" ref="T162:T175" si="81">IF($A162="","",SUMIFS($G$1:$G$175,$A$1:$A$175,$A162))</f>
        <v>2704</v>
      </c>
      <c r="U162">
        <f t="shared" ref="U162:U175" si="82">IF($A162="","",SUMIFS($H$1:$H$175,$A$1:$A$175,$A162))</f>
        <v>131</v>
      </c>
      <c r="V162">
        <f t="shared" ref="V162:V175" si="83">IF($A162="","",SUMIFS($I$1:$I$175,$A$1:$A$175,$A162))</f>
        <v>20076860</v>
      </c>
      <c r="W162">
        <f>IF($A162="","",Allocation2!Y162)</f>
        <v>88144</v>
      </c>
      <c r="X162">
        <f>IF($A162="","",Allocation2!Z162)</f>
        <v>203654</v>
      </c>
      <c r="Y162">
        <f>IF($A162="","",Allocation2!AA162)</f>
        <v>61804</v>
      </c>
      <c r="Z162">
        <f>IF($A162="","",Allocation2!AB162)</f>
        <v>30258</v>
      </c>
      <c r="AA162">
        <f>IF($A162="","",Allocation2!AC162)</f>
        <v>453331</v>
      </c>
      <c r="AB162">
        <f>IF($A162="","",Allocation2!AD162)</f>
        <v>2639292</v>
      </c>
      <c r="AC162">
        <f>IF($A162="","",IF(ALLOC!$N$4="VOL_EFF",$G162,IF(ALLOC!$N$4="VOL_CLASS",$H162,$I162)))</f>
        <v>41</v>
      </c>
      <c r="AD162">
        <f>IF($A162="","",IF(ALLOC!$N$4="VOL_EFF",$L162,IF(ALLOC!$N$4="VOL_CLASS",$M162,$N162)))</f>
        <v>162</v>
      </c>
      <c r="AE162">
        <f>IF($A162="","",IF(ALLOC!$N$3="VOL_EFF",$L162,IF(ALLOC!$N$3="VOL_CLASS",$M162,$N162)))</f>
        <v>1113030</v>
      </c>
      <c r="AF162">
        <f>IF($A162="","",IF(ALLOC!$N$3="VOL_EFF",$Q162,IF(ALLOC!$N$3="VOL_CLASS",$R162,$S162)))</f>
        <v>1913220</v>
      </c>
      <c r="AG162">
        <f>IF($A162="","",IF(ALLOC!$N$1="VOL_EFF",$Q162,IF(ALLOC!$N$1="VOL_CLASS",$R162,$S162)))</f>
        <v>288</v>
      </c>
      <c r="AH162">
        <f>IF($A162="","",IF(ALLOC!$N$1="VOL_EFF",$T162,IF(ALLOC!$N$1="VOL_CLASS",$U162,$V162)))</f>
        <v>2704</v>
      </c>
      <c r="AI162">
        <f t="shared" si="68"/>
        <v>26144.406779661014</v>
      </c>
      <c r="AJ162">
        <f t="shared" si="69"/>
        <v>60405.847457627118</v>
      </c>
      <c r="AK162">
        <f t="shared" si="70"/>
        <v>30770.753086419754</v>
      </c>
      <c r="AL162">
        <f t="shared" si="71"/>
        <v>114731.91975308643</v>
      </c>
      <c r="AM162">
        <f t="shared" si="72"/>
        <v>41388.915045232774</v>
      </c>
      <c r="AN162">
        <f t="shared" si="73"/>
        <v>-19291.594124800176</v>
      </c>
      <c r="AO162">
        <f>IF($A162="","",Allocation2!AE162)</f>
        <v>499926</v>
      </c>
      <c r="AP162">
        <f>IF($A162="","",IF(ALLOC!$N$2="VOL_EFF",$Q162,IF(ALLOC!$N$2="VOL_CLASS",$R162,$S162)))</f>
        <v>288</v>
      </c>
      <c r="AQ162">
        <f>IF($A162="","",IF(ALLOC!$N$2="VOL_EFF",$T162,IF(ALLOC!$N$2="VOL_CLASS",$U162,$V162)))</f>
        <v>2704</v>
      </c>
      <c r="AR162">
        <f t="shared" si="74"/>
        <v>7839.7520027731071</v>
      </c>
    </row>
    <row r="163" spans="1:44" x14ac:dyDescent="0.45">
      <c r="A163" t="str">
        <f>IF(Allocation2!D163="","",Allocation2!D163)</f>
        <v>2024</v>
      </c>
      <c r="B163" t="str">
        <f>IF(Allocation2!E163="","",Allocation2!E163)</f>
        <v>PIGIER_LYO</v>
      </c>
      <c r="C163" t="str">
        <f>IF(Allocation2!F163="","",Allocation2!F163)</f>
        <v>PIGIER</v>
      </c>
      <c r="D163" t="str">
        <f>IF(Allocation2!G163="","",Allocation2!G163)</f>
        <v>BTS_GES</v>
      </c>
      <c r="E163" t="str">
        <f>IF(Allocation2!H163="","",Allocation2!H163)</f>
        <v>BTS2</v>
      </c>
      <c r="F163" t="str">
        <f>IF(Allocation2!I163="","",Allocation2!I163)</f>
        <v>ALT</v>
      </c>
      <c r="G163">
        <f>IF(Allocation2!E163="","",Allocation2!J163)</f>
        <v>40</v>
      </c>
      <c r="H163">
        <f>IF(Allocation2!E163="","",Allocation2!K163)</f>
        <v>2</v>
      </c>
      <c r="I163">
        <f>IF(Allocation2!E163="","",Allocation2!L163)</f>
        <v>252000</v>
      </c>
      <c r="J163">
        <f>IF($A163="","",Allocation2!X163)</f>
        <v>0</v>
      </c>
      <c r="K163">
        <f t="shared" si="56"/>
        <v>1400</v>
      </c>
      <c r="L163">
        <f t="shared" si="75"/>
        <v>162</v>
      </c>
      <c r="M163">
        <f t="shared" si="76"/>
        <v>8</v>
      </c>
      <c r="N163">
        <f t="shared" si="77"/>
        <v>1113030</v>
      </c>
      <c r="O163">
        <f t="shared" si="60"/>
        <v>4720</v>
      </c>
      <c r="P163">
        <f t="shared" si="61"/>
        <v>82</v>
      </c>
      <c r="Q163">
        <f t="shared" si="78"/>
        <v>288</v>
      </c>
      <c r="R163">
        <f t="shared" si="79"/>
        <v>16</v>
      </c>
      <c r="S163">
        <f t="shared" si="80"/>
        <v>1913220</v>
      </c>
      <c r="T163">
        <f t="shared" si="81"/>
        <v>2704</v>
      </c>
      <c r="U163">
        <f t="shared" si="82"/>
        <v>131</v>
      </c>
      <c r="V163">
        <f t="shared" si="83"/>
        <v>20076860</v>
      </c>
      <c r="W163">
        <f>IF($A163="","",Allocation2!Y163)</f>
        <v>88144</v>
      </c>
      <c r="X163">
        <f>IF($A163="","",Allocation2!Z163)</f>
        <v>203654</v>
      </c>
      <c r="Y163">
        <f>IF($A163="","",Allocation2!AA163)</f>
        <v>61804</v>
      </c>
      <c r="Z163">
        <f>IF($A163="","",Allocation2!AB163)</f>
        <v>30258</v>
      </c>
      <c r="AA163">
        <f>IF($A163="","",Allocation2!AC163)</f>
        <v>453331</v>
      </c>
      <c r="AB163">
        <f>IF($A163="","",Allocation2!AD163)</f>
        <v>2639292</v>
      </c>
      <c r="AC163">
        <f>IF($A163="","",IF(ALLOC!$N$4="VOL_EFF",$G163,IF(ALLOC!$N$4="VOL_CLASS",$H163,$I163)))</f>
        <v>40</v>
      </c>
      <c r="AD163">
        <f>IF($A163="","",IF(ALLOC!$N$4="VOL_EFF",$L163,IF(ALLOC!$N$4="VOL_CLASS",$M163,$N163)))</f>
        <v>162</v>
      </c>
      <c r="AE163">
        <f>IF($A163="","",IF(ALLOC!$N$3="VOL_EFF",$L163,IF(ALLOC!$N$3="VOL_CLASS",$M163,$N163)))</f>
        <v>1113030</v>
      </c>
      <c r="AF163">
        <f>IF($A163="","",IF(ALLOC!$N$3="VOL_EFF",$Q163,IF(ALLOC!$N$3="VOL_CLASS",$R163,$S163)))</f>
        <v>1913220</v>
      </c>
      <c r="AG163">
        <f>IF($A163="","",IF(ALLOC!$N$1="VOL_EFF",$Q163,IF(ALLOC!$N$1="VOL_CLASS",$R163,$S163)))</f>
        <v>288</v>
      </c>
      <c r="AH163">
        <f>IF($A163="","",IF(ALLOC!$N$1="VOL_EFF",$T163,IF(ALLOC!$N$1="VOL_CLASS",$U163,$V163)))</f>
        <v>2704</v>
      </c>
      <c r="AI163">
        <f t="shared" si="68"/>
        <v>26144.406779661014</v>
      </c>
      <c r="AJ163">
        <f t="shared" si="69"/>
        <v>60405.847457627118</v>
      </c>
      <c r="AK163">
        <f t="shared" si="70"/>
        <v>15260.246913580246</v>
      </c>
      <c r="AL163">
        <f t="shared" si="71"/>
        <v>111933.58024691357</v>
      </c>
      <c r="AM163">
        <f t="shared" si="72"/>
        <v>40379.429312422217</v>
      </c>
      <c r="AN163">
        <f t="shared" si="73"/>
        <v>-9772.0492494949722</v>
      </c>
      <c r="AO163">
        <f>IF($A163="","",Allocation2!AE163)</f>
        <v>499926</v>
      </c>
      <c r="AP163">
        <f>IF($A163="","",IF(ALLOC!$N$2="VOL_EFF",$Q163,IF(ALLOC!$N$2="VOL_CLASS",$R163,$S163)))</f>
        <v>288</v>
      </c>
      <c r="AQ163">
        <f>IF($A163="","",IF(ALLOC!$N$2="VOL_EFF",$T163,IF(ALLOC!$N$2="VOL_CLASS",$U163,$V163)))</f>
        <v>2704</v>
      </c>
      <c r="AR163">
        <f t="shared" si="74"/>
        <v>7648.5385392908347</v>
      </c>
    </row>
    <row r="164" spans="1:44" x14ac:dyDescent="0.45">
      <c r="A164" t="str">
        <f>IF(Allocation2!D164="","",Allocation2!D164)</f>
        <v>2024</v>
      </c>
      <c r="B164" t="str">
        <f>IF(Allocation2!E164="","",Allocation2!E164)</f>
        <v>PIGIER_LYO</v>
      </c>
      <c r="C164" t="str">
        <f>IF(Allocation2!F164="","",Allocation2!F164)</f>
        <v>PIGIER</v>
      </c>
      <c r="D164" t="str">
        <f>IF(Allocation2!G164="","",Allocation2!G164)</f>
        <v>BAC_RH</v>
      </c>
      <c r="E164" t="str">
        <f>IF(Allocation2!H164="","",Allocation2!H164)</f>
        <v>B1</v>
      </c>
      <c r="F164" t="str">
        <f>IF(Allocation2!I164="","",Allocation2!I164)</f>
        <v>ALT</v>
      </c>
      <c r="G164">
        <f>IF(Allocation2!E164="","",Allocation2!J164)</f>
        <v>41</v>
      </c>
      <c r="H164">
        <f>IF(Allocation2!E164="","",Allocation2!K164)</f>
        <v>2</v>
      </c>
      <c r="I164">
        <f>IF(Allocation2!E164="","",Allocation2!L164)</f>
        <v>305040</v>
      </c>
      <c r="J164">
        <f>IF($A164="","",Allocation2!X164)</f>
        <v>41</v>
      </c>
      <c r="K164">
        <f t="shared" si="56"/>
        <v>960</v>
      </c>
      <c r="L164">
        <f t="shared" si="75"/>
        <v>162</v>
      </c>
      <c r="M164">
        <f t="shared" si="76"/>
        <v>8</v>
      </c>
      <c r="N164">
        <f t="shared" si="77"/>
        <v>1113030</v>
      </c>
      <c r="O164">
        <f t="shared" si="60"/>
        <v>4720</v>
      </c>
      <c r="P164">
        <f t="shared" si="61"/>
        <v>82</v>
      </c>
      <c r="Q164">
        <f t="shared" si="78"/>
        <v>288</v>
      </c>
      <c r="R164">
        <f t="shared" si="79"/>
        <v>16</v>
      </c>
      <c r="S164">
        <f t="shared" si="80"/>
        <v>1913220</v>
      </c>
      <c r="T164">
        <f t="shared" si="81"/>
        <v>2704</v>
      </c>
      <c r="U164">
        <f t="shared" si="82"/>
        <v>131</v>
      </c>
      <c r="V164">
        <f t="shared" si="83"/>
        <v>20076860</v>
      </c>
      <c r="W164">
        <f>IF($A164="","",Allocation2!Y164)</f>
        <v>88144</v>
      </c>
      <c r="X164">
        <f>IF($A164="","",Allocation2!Z164)</f>
        <v>203654</v>
      </c>
      <c r="Y164">
        <f>IF($A164="","",Allocation2!AA164)</f>
        <v>61804</v>
      </c>
      <c r="Z164">
        <f>IF($A164="","",Allocation2!AB164)</f>
        <v>30258</v>
      </c>
      <c r="AA164">
        <f>IF($A164="","",Allocation2!AC164)</f>
        <v>453331</v>
      </c>
      <c r="AB164">
        <f>IF($A164="","",Allocation2!AD164)</f>
        <v>2639292</v>
      </c>
      <c r="AC164">
        <f>IF($A164="","",IF(ALLOC!$N$4="VOL_EFF",$G164,IF(ALLOC!$N$4="VOL_CLASS",$H164,$I164)))</f>
        <v>41</v>
      </c>
      <c r="AD164">
        <f>IF($A164="","",IF(ALLOC!$N$4="VOL_EFF",$L164,IF(ALLOC!$N$4="VOL_CLASS",$M164,$N164)))</f>
        <v>162</v>
      </c>
      <c r="AE164">
        <f>IF($A164="","",IF(ALLOC!$N$3="VOL_EFF",$L164,IF(ALLOC!$N$3="VOL_CLASS",$M164,$N164)))</f>
        <v>1113030</v>
      </c>
      <c r="AF164">
        <f>IF($A164="","",IF(ALLOC!$N$3="VOL_EFF",$Q164,IF(ALLOC!$N$3="VOL_CLASS",$R164,$S164)))</f>
        <v>1913220</v>
      </c>
      <c r="AG164">
        <f>IF($A164="","",IF(ALLOC!$N$1="VOL_EFF",$Q164,IF(ALLOC!$N$1="VOL_CLASS",$R164,$S164)))</f>
        <v>288</v>
      </c>
      <c r="AH164">
        <f>IF($A164="","",IF(ALLOC!$N$1="VOL_EFF",$T164,IF(ALLOC!$N$1="VOL_CLASS",$U164,$V164)))</f>
        <v>2704</v>
      </c>
      <c r="AI164">
        <f t="shared" si="68"/>
        <v>17927.593220338986</v>
      </c>
      <c r="AJ164">
        <f t="shared" si="69"/>
        <v>41421.152542372882</v>
      </c>
      <c r="AK164">
        <f t="shared" si="70"/>
        <v>30770.753086419754</v>
      </c>
      <c r="AL164">
        <f t="shared" si="71"/>
        <v>114731.91975308643</v>
      </c>
      <c r="AM164">
        <f t="shared" si="72"/>
        <v>41388.915045232774</v>
      </c>
      <c r="AN164">
        <f t="shared" si="73"/>
        <v>50959.914349776052</v>
      </c>
      <c r="AO164">
        <f>IF($A164="","",Allocation2!AE164)</f>
        <v>499926</v>
      </c>
      <c r="AP164">
        <f>IF($A164="","",IF(ALLOC!$N$2="VOL_EFF",$Q164,IF(ALLOC!$N$2="VOL_CLASS",$R164,$S164)))</f>
        <v>288</v>
      </c>
      <c r="AQ164">
        <f>IF($A164="","",IF(ALLOC!$N$2="VOL_EFF",$T164,IF(ALLOC!$N$2="VOL_CLASS",$U164,$V164)))</f>
        <v>2704</v>
      </c>
      <c r="AR164">
        <f t="shared" si="74"/>
        <v>7839.7520027731071</v>
      </c>
    </row>
    <row r="165" spans="1:44" x14ac:dyDescent="0.45">
      <c r="A165" t="str">
        <f>IF(Allocation2!D165="","",Allocation2!D165)</f>
        <v>2024</v>
      </c>
      <c r="B165" t="str">
        <f>IF(Allocation2!E165="","",Allocation2!E165)</f>
        <v>PIGIER_LYO</v>
      </c>
      <c r="C165" t="str">
        <f>IF(Allocation2!F165="","",Allocation2!F165)</f>
        <v>PIGIER</v>
      </c>
      <c r="D165" t="str">
        <f>IF(Allocation2!G165="","",Allocation2!G165)</f>
        <v>BAC_RH</v>
      </c>
      <c r="E165" t="str">
        <f>IF(Allocation2!H165="","",Allocation2!H165)</f>
        <v>B3</v>
      </c>
      <c r="F165" t="str">
        <f>IF(Allocation2!I165="","",Allocation2!I165)</f>
        <v>ALT</v>
      </c>
      <c r="G165">
        <f>IF(Allocation2!E165="","",Allocation2!J165)</f>
        <v>40</v>
      </c>
      <c r="H165">
        <f>IF(Allocation2!E165="","",Allocation2!K165)</f>
        <v>2</v>
      </c>
      <c r="I165">
        <f>IF(Allocation2!E165="","",Allocation2!L165)</f>
        <v>294000</v>
      </c>
      <c r="J165">
        <f>IF($A165="","",Allocation2!X165)</f>
        <v>0</v>
      </c>
      <c r="K165">
        <f t="shared" si="56"/>
        <v>960</v>
      </c>
      <c r="L165">
        <f t="shared" si="75"/>
        <v>162</v>
      </c>
      <c r="M165">
        <f t="shared" si="76"/>
        <v>8</v>
      </c>
      <c r="N165">
        <f t="shared" si="77"/>
        <v>1113030</v>
      </c>
      <c r="O165">
        <f t="shared" si="60"/>
        <v>4720</v>
      </c>
      <c r="P165">
        <f t="shared" si="61"/>
        <v>82</v>
      </c>
      <c r="Q165">
        <f t="shared" si="78"/>
        <v>288</v>
      </c>
      <c r="R165">
        <f t="shared" si="79"/>
        <v>16</v>
      </c>
      <c r="S165">
        <f t="shared" si="80"/>
        <v>1913220</v>
      </c>
      <c r="T165">
        <f t="shared" si="81"/>
        <v>2704</v>
      </c>
      <c r="U165">
        <f t="shared" si="82"/>
        <v>131</v>
      </c>
      <c r="V165">
        <f t="shared" si="83"/>
        <v>20076860</v>
      </c>
      <c r="W165">
        <f>IF($A165="","",Allocation2!Y165)</f>
        <v>88144</v>
      </c>
      <c r="X165">
        <f>IF($A165="","",Allocation2!Z165)</f>
        <v>203654</v>
      </c>
      <c r="Y165">
        <f>IF($A165="","",Allocation2!AA165)</f>
        <v>61804</v>
      </c>
      <c r="Z165">
        <f>IF($A165="","",Allocation2!AB165)</f>
        <v>30258</v>
      </c>
      <c r="AA165">
        <f>IF($A165="","",Allocation2!AC165)</f>
        <v>453331</v>
      </c>
      <c r="AB165">
        <f>IF($A165="","",Allocation2!AD165)</f>
        <v>2639292</v>
      </c>
      <c r="AC165">
        <f>IF($A165="","",IF(ALLOC!$N$4="VOL_EFF",$G165,IF(ALLOC!$N$4="VOL_CLASS",$H165,$I165)))</f>
        <v>40</v>
      </c>
      <c r="AD165">
        <f>IF($A165="","",IF(ALLOC!$N$4="VOL_EFF",$L165,IF(ALLOC!$N$4="VOL_CLASS",$M165,$N165)))</f>
        <v>162</v>
      </c>
      <c r="AE165">
        <f>IF($A165="","",IF(ALLOC!$N$3="VOL_EFF",$L165,IF(ALLOC!$N$3="VOL_CLASS",$M165,$N165)))</f>
        <v>1113030</v>
      </c>
      <c r="AF165">
        <f>IF($A165="","",IF(ALLOC!$N$3="VOL_EFF",$Q165,IF(ALLOC!$N$3="VOL_CLASS",$R165,$S165)))</f>
        <v>1913220</v>
      </c>
      <c r="AG165">
        <f>IF($A165="","",IF(ALLOC!$N$1="VOL_EFF",$Q165,IF(ALLOC!$N$1="VOL_CLASS",$R165,$S165)))</f>
        <v>288</v>
      </c>
      <c r="AH165">
        <f>IF($A165="","",IF(ALLOC!$N$1="VOL_EFF",$T165,IF(ALLOC!$N$1="VOL_CLASS",$U165,$V165)))</f>
        <v>2704</v>
      </c>
      <c r="AI165">
        <f t="shared" si="68"/>
        <v>17927.593220338986</v>
      </c>
      <c r="AJ165">
        <f t="shared" si="69"/>
        <v>41421.152542372882</v>
      </c>
      <c r="AK165">
        <f t="shared" si="70"/>
        <v>15260.246913580246</v>
      </c>
      <c r="AL165">
        <f t="shared" si="71"/>
        <v>111933.58024691357</v>
      </c>
      <c r="AM165">
        <f t="shared" si="72"/>
        <v>40379.429312422217</v>
      </c>
      <c r="AN165">
        <f t="shared" si="73"/>
        <v>59429.459225081257</v>
      </c>
      <c r="AO165">
        <f>IF($A165="","",Allocation2!AE165)</f>
        <v>499926</v>
      </c>
      <c r="AP165">
        <f>IF($A165="","",IF(ALLOC!$N$2="VOL_EFF",$Q165,IF(ALLOC!$N$2="VOL_CLASS",$R165,$S165)))</f>
        <v>288</v>
      </c>
      <c r="AQ165">
        <f>IF($A165="","",IF(ALLOC!$N$2="VOL_EFF",$T165,IF(ALLOC!$N$2="VOL_CLASS",$U165,$V165)))</f>
        <v>2704</v>
      </c>
      <c r="AR165">
        <f t="shared" si="74"/>
        <v>7648.5385392908347</v>
      </c>
    </row>
    <row r="166" spans="1:44" x14ac:dyDescent="0.45">
      <c r="A166" t="str">
        <f>IF(Allocation2!D166="","",Allocation2!D166)</f>
        <v>2024</v>
      </c>
      <c r="B166" t="str">
        <f>IF(Allocation2!E166="","",Allocation2!E166)</f>
        <v>PIGIER_BOR</v>
      </c>
      <c r="C166" t="str">
        <f>IF(Allocation2!F166="","",Allocation2!F166)</f>
        <v>PIGIER</v>
      </c>
      <c r="D166" t="str">
        <f>IF(Allocation2!G166="","",Allocation2!G166)</f>
        <v>BTS_GES</v>
      </c>
      <c r="E166" t="str">
        <f>IF(Allocation2!H166="","",Allocation2!H166)</f>
        <v>BTS1</v>
      </c>
      <c r="F166" t="str">
        <f>IF(Allocation2!I166="","",Allocation2!I166)</f>
        <v>ALT</v>
      </c>
      <c r="G166">
        <f>IF(Allocation2!E166="","",Allocation2!J166)</f>
        <v>32</v>
      </c>
      <c r="H166">
        <f>IF(Allocation2!E166="","",Allocation2!K166)</f>
        <v>2</v>
      </c>
      <c r="I166">
        <f>IF(Allocation2!E166="","",Allocation2!L166)</f>
        <v>189120</v>
      </c>
      <c r="J166">
        <f>IF($A166="","",Allocation2!X166)</f>
        <v>32</v>
      </c>
      <c r="K166">
        <f t="shared" si="56"/>
        <v>1400</v>
      </c>
      <c r="L166">
        <f t="shared" si="75"/>
        <v>126</v>
      </c>
      <c r="M166">
        <f t="shared" si="76"/>
        <v>8</v>
      </c>
      <c r="N166">
        <f t="shared" si="77"/>
        <v>800190</v>
      </c>
      <c r="O166">
        <f t="shared" si="60"/>
        <v>4720</v>
      </c>
      <c r="P166">
        <f t="shared" si="61"/>
        <v>64</v>
      </c>
      <c r="Q166">
        <f t="shared" si="78"/>
        <v>288</v>
      </c>
      <c r="R166">
        <f t="shared" si="79"/>
        <v>16</v>
      </c>
      <c r="S166">
        <f t="shared" si="80"/>
        <v>1913220</v>
      </c>
      <c r="T166">
        <f t="shared" si="81"/>
        <v>2704</v>
      </c>
      <c r="U166">
        <f t="shared" si="82"/>
        <v>131</v>
      </c>
      <c r="V166">
        <f t="shared" si="83"/>
        <v>20076860</v>
      </c>
      <c r="W166">
        <f>IF($A166="","",Allocation2!Y166)</f>
        <v>88144</v>
      </c>
      <c r="X166">
        <f>IF($A166="","",Allocation2!Z166)</f>
        <v>190926</v>
      </c>
      <c r="Y166">
        <f>IF($A166="","",Allocation2!AA166)</f>
        <v>48220</v>
      </c>
      <c r="Z166">
        <f>IF($A166="","",Allocation2!AB166)</f>
        <v>18155</v>
      </c>
      <c r="AA166">
        <f>IF($A166="","",Allocation2!AC166)</f>
        <v>363679</v>
      </c>
      <c r="AB166">
        <f>IF($A166="","",Allocation2!AD166)</f>
        <v>2639292</v>
      </c>
      <c r="AC166">
        <f>IF($A166="","",IF(ALLOC!$N$4="VOL_EFF",$G166,IF(ALLOC!$N$4="VOL_CLASS",$H166,$I166)))</f>
        <v>32</v>
      </c>
      <c r="AD166">
        <f>IF($A166="","",IF(ALLOC!$N$4="VOL_EFF",$L166,IF(ALLOC!$N$4="VOL_CLASS",$M166,$N166)))</f>
        <v>126</v>
      </c>
      <c r="AE166">
        <f>IF($A166="","",IF(ALLOC!$N$3="VOL_EFF",$L166,IF(ALLOC!$N$3="VOL_CLASS",$M166,$N166)))</f>
        <v>800190</v>
      </c>
      <c r="AF166">
        <f>IF($A166="","",IF(ALLOC!$N$3="VOL_EFF",$Q166,IF(ALLOC!$N$3="VOL_CLASS",$R166,$S166)))</f>
        <v>1913220</v>
      </c>
      <c r="AG166">
        <f>IF($A166="","",IF(ALLOC!$N$1="VOL_EFF",$Q166,IF(ALLOC!$N$1="VOL_CLASS",$R166,$S166)))</f>
        <v>288</v>
      </c>
      <c r="AH166">
        <f>IF($A166="","",IF(ALLOC!$N$1="VOL_EFF",$T166,IF(ALLOC!$N$1="VOL_CLASS",$U166,$V166)))</f>
        <v>2704</v>
      </c>
      <c r="AI166">
        <f t="shared" si="68"/>
        <v>26144.406779661014</v>
      </c>
      <c r="AJ166">
        <f t="shared" si="69"/>
        <v>56630.593220338982</v>
      </c>
      <c r="AK166">
        <f t="shared" si="70"/>
        <v>21323.849206349205</v>
      </c>
      <c r="AL166">
        <f t="shared" si="71"/>
        <v>92362.920634920636</v>
      </c>
      <c r="AM166">
        <f t="shared" si="72"/>
        <v>29859.386654813734</v>
      </c>
      <c r="AN166">
        <f t="shared" si="73"/>
        <v>-42857.023195484158</v>
      </c>
      <c r="AO166">
        <f>IF($A166="","",Allocation2!AE166)</f>
        <v>499926</v>
      </c>
      <c r="AP166">
        <f>IF($A166="","",IF(ALLOC!$N$2="VOL_EFF",$Q166,IF(ALLOC!$N$2="VOL_CLASS",$R166,$S166)))</f>
        <v>288</v>
      </c>
      <c r="AQ166">
        <f>IF($A166="","",IF(ALLOC!$N$2="VOL_EFF",$T166,IF(ALLOC!$N$2="VOL_CLASS",$U166,$V166)))</f>
        <v>2704</v>
      </c>
      <c r="AR166">
        <f t="shared" si="74"/>
        <v>5655.8666994006007</v>
      </c>
    </row>
    <row r="167" spans="1:44" x14ac:dyDescent="0.45">
      <c r="A167" t="str">
        <f>IF(Allocation2!D167="","",Allocation2!D167)</f>
        <v>2024</v>
      </c>
      <c r="B167" t="str">
        <f>IF(Allocation2!E167="","",Allocation2!E167)</f>
        <v>PIGIER_BOR</v>
      </c>
      <c r="C167" t="str">
        <f>IF(Allocation2!F167="","",Allocation2!F167)</f>
        <v>PIGIER</v>
      </c>
      <c r="D167" t="str">
        <f>IF(Allocation2!G167="","",Allocation2!G167)</f>
        <v>BTS_GES</v>
      </c>
      <c r="E167" t="str">
        <f>IF(Allocation2!H167="","",Allocation2!H167)</f>
        <v>BTS2</v>
      </c>
      <c r="F167" t="str">
        <f>IF(Allocation2!I167="","",Allocation2!I167)</f>
        <v>ALT</v>
      </c>
      <c r="G167">
        <f>IF(Allocation2!E167="","",Allocation2!J167)</f>
        <v>31</v>
      </c>
      <c r="H167">
        <f>IF(Allocation2!E167="","",Allocation2!K167)</f>
        <v>2</v>
      </c>
      <c r="I167">
        <f>IF(Allocation2!E167="","",Allocation2!L167)</f>
        <v>180420</v>
      </c>
      <c r="J167">
        <f>IF($A167="","",Allocation2!X167)</f>
        <v>0</v>
      </c>
      <c r="K167">
        <f t="shared" si="56"/>
        <v>1400</v>
      </c>
      <c r="L167">
        <f t="shared" si="75"/>
        <v>126</v>
      </c>
      <c r="M167">
        <f t="shared" si="76"/>
        <v>8</v>
      </c>
      <c r="N167">
        <f t="shared" si="77"/>
        <v>800190</v>
      </c>
      <c r="O167">
        <f t="shared" si="60"/>
        <v>4720</v>
      </c>
      <c r="P167">
        <f t="shared" si="61"/>
        <v>64</v>
      </c>
      <c r="Q167">
        <f t="shared" si="78"/>
        <v>288</v>
      </c>
      <c r="R167">
        <f t="shared" si="79"/>
        <v>16</v>
      </c>
      <c r="S167">
        <f t="shared" si="80"/>
        <v>1913220</v>
      </c>
      <c r="T167">
        <f t="shared" si="81"/>
        <v>2704</v>
      </c>
      <c r="U167">
        <f t="shared" si="82"/>
        <v>131</v>
      </c>
      <c r="V167">
        <f t="shared" si="83"/>
        <v>20076860</v>
      </c>
      <c r="W167">
        <f>IF($A167="","",Allocation2!Y167)</f>
        <v>88144</v>
      </c>
      <c r="X167">
        <f>IF($A167="","",Allocation2!Z167)</f>
        <v>190926</v>
      </c>
      <c r="Y167">
        <f>IF($A167="","",Allocation2!AA167)</f>
        <v>48220</v>
      </c>
      <c r="Z167">
        <f>IF($A167="","",Allocation2!AB167)</f>
        <v>18155</v>
      </c>
      <c r="AA167">
        <f>IF($A167="","",Allocation2!AC167)</f>
        <v>363679</v>
      </c>
      <c r="AB167">
        <f>IF($A167="","",Allocation2!AD167)</f>
        <v>2639292</v>
      </c>
      <c r="AC167">
        <f>IF($A167="","",IF(ALLOC!$N$4="VOL_EFF",$G167,IF(ALLOC!$N$4="VOL_CLASS",$H167,$I167)))</f>
        <v>31</v>
      </c>
      <c r="AD167">
        <f>IF($A167="","",IF(ALLOC!$N$4="VOL_EFF",$L167,IF(ALLOC!$N$4="VOL_CLASS",$M167,$N167)))</f>
        <v>126</v>
      </c>
      <c r="AE167">
        <f>IF($A167="","",IF(ALLOC!$N$3="VOL_EFF",$L167,IF(ALLOC!$N$3="VOL_CLASS",$M167,$N167)))</f>
        <v>800190</v>
      </c>
      <c r="AF167">
        <f>IF($A167="","",IF(ALLOC!$N$3="VOL_EFF",$Q167,IF(ALLOC!$N$3="VOL_CLASS",$R167,$S167)))</f>
        <v>1913220</v>
      </c>
      <c r="AG167">
        <f>IF($A167="","",IF(ALLOC!$N$1="VOL_EFF",$Q167,IF(ALLOC!$N$1="VOL_CLASS",$R167,$S167)))</f>
        <v>288</v>
      </c>
      <c r="AH167">
        <f>IF($A167="","",IF(ALLOC!$N$1="VOL_EFF",$T167,IF(ALLOC!$N$1="VOL_CLASS",$U167,$V167)))</f>
        <v>2704</v>
      </c>
      <c r="AI167">
        <f t="shared" si="68"/>
        <v>26144.406779661014</v>
      </c>
      <c r="AJ167">
        <f t="shared" si="69"/>
        <v>56630.593220338982</v>
      </c>
      <c r="AK167">
        <f t="shared" si="70"/>
        <v>11863.650793650793</v>
      </c>
      <c r="AL167">
        <f t="shared" si="71"/>
        <v>89476.579365079364</v>
      </c>
      <c r="AM167">
        <f t="shared" si="72"/>
        <v>28926.280821850807</v>
      </c>
      <c r="AN167">
        <f t="shared" si="73"/>
        <v>-38100.631845625321</v>
      </c>
      <c r="AO167">
        <f>IF($A167="","",Allocation2!AE167)</f>
        <v>499926</v>
      </c>
      <c r="AP167">
        <f>IF($A167="","",IF(ALLOC!$N$2="VOL_EFF",$Q167,IF(ALLOC!$N$2="VOL_CLASS",$R167,$S167)))</f>
        <v>288</v>
      </c>
      <c r="AQ167">
        <f>IF($A167="","",IF(ALLOC!$N$2="VOL_EFF",$T167,IF(ALLOC!$N$2="VOL_CLASS",$U167,$V167)))</f>
        <v>2704</v>
      </c>
      <c r="AR167">
        <f t="shared" si="74"/>
        <v>5479.1208650443314</v>
      </c>
    </row>
    <row r="168" spans="1:44" x14ac:dyDescent="0.45">
      <c r="A168" t="str">
        <f>IF(Allocation2!D168="","",Allocation2!D168)</f>
        <v>2024</v>
      </c>
      <c r="B168" t="str">
        <f>IF(Allocation2!E168="","",Allocation2!E168)</f>
        <v>PIGIER_BOR</v>
      </c>
      <c r="C168" t="str">
        <f>IF(Allocation2!F168="","",Allocation2!F168)</f>
        <v>PIGIER</v>
      </c>
      <c r="D168" t="str">
        <f>IF(Allocation2!G168="","",Allocation2!G168)</f>
        <v>BAC_RH</v>
      </c>
      <c r="E168" t="str">
        <f>IF(Allocation2!H168="","",Allocation2!H168)</f>
        <v>B1</v>
      </c>
      <c r="F168" t="str">
        <f>IF(Allocation2!I168="","",Allocation2!I168)</f>
        <v>ALT</v>
      </c>
      <c r="G168">
        <f>IF(Allocation2!E168="","",Allocation2!J168)</f>
        <v>32</v>
      </c>
      <c r="H168">
        <f>IF(Allocation2!E168="","",Allocation2!K168)</f>
        <v>2</v>
      </c>
      <c r="I168">
        <f>IF(Allocation2!E168="","",Allocation2!L168)</f>
        <v>220160</v>
      </c>
      <c r="J168">
        <f>IF($A168="","",Allocation2!X168)</f>
        <v>32</v>
      </c>
      <c r="K168">
        <f t="shared" si="56"/>
        <v>960</v>
      </c>
      <c r="L168">
        <f t="shared" si="75"/>
        <v>126</v>
      </c>
      <c r="M168">
        <f t="shared" si="76"/>
        <v>8</v>
      </c>
      <c r="N168">
        <f t="shared" si="77"/>
        <v>800190</v>
      </c>
      <c r="O168">
        <f t="shared" si="60"/>
        <v>4720</v>
      </c>
      <c r="P168">
        <f t="shared" si="61"/>
        <v>64</v>
      </c>
      <c r="Q168">
        <f t="shared" si="78"/>
        <v>288</v>
      </c>
      <c r="R168">
        <f t="shared" si="79"/>
        <v>16</v>
      </c>
      <c r="S168">
        <f t="shared" si="80"/>
        <v>1913220</v>
      </c>
      <c r="T168">
        <f t="shared" si="81"/>
        <v>2704</v>
      </c>
      <c r="U168">
        <f t="shared" si="82"/>
        <v>131</v>
      </c>
      <c r="V168">
        <f t="shared" si="83"/>
        <v>20076860</v>
      </c>
      <c r="W168">
        <f>IF($A168="","",Allocation2!Y168)</f>
        <v>88144</v>
      </c>
      <c r="X168">
        <f>IF($A168="","",Allocation2!Z168)</f>
        <v>190926</v>
      </c>
      <c r="Y168">
        <f>IF($A168="","",Allocation2!AA168)</f>
        <v>48220</v>
      </c>
      <c r="Z168">
        <f>IF($A168="","",Allocation2!AB168)</f>
        <v>18155</v>
      </c>
      <c r="AA168">
        <f>IF($A168="","",Allocation2!AC168)</f>
        <v>363679</v>
      </c>
      <c r="AB168">
        <f>IF($A168="","",Allocation2!AD168)</f>
        <v>2639292</v>
      </c>
      <c r="AC168">
        <f>IF($A168="","",IF(ALLOC!$N$4="VOL_EFF",$G168,IF(ALLOC!$N$4="VOL_CLASS",$H168,$I168)))</f>
        <v>32</v>
      </c>
      <c r="AD168">
        <f>IF($A168="","",IF(ALLOC!$N$4="VOL_EFF",$L168,IF(ALLOC!$N$4="VOL_CLASS",$M168,$N168)))</f>
        <v>126</v>
      </c>
      <c r="AE168">
        <f>IF($A168="","",IF(ALLOC!$N$3="VOL_EFF",$L168,IF(ALLOC!$N$3="VOL_CLASS",$M168,$N168)))</f>
        <v>800190</v>
      </c>
      <c r="AF168">
        <f>IF($A168="","",IF(ALLOC!$N$3="VOL_EFF",$Q168,IF(ALLOC!$N$3="VOL_CLASS",$R168,$S168)))</f>
        <v>1913220</v>
      </c>
      <c r="AG168">
        <f>IF($A168="","",IF(ALLOC!$N$1="VOL_EFF",$Q168,IF(ALLOC!$N$1="VOL_CLASS",$R168,$S168)))</f>
        <v>288</v>
      </c>
      <c r="AH168">
        <f>IF($A168="","",IF(ALLOC!$N$1="VOL_EFF",$T168,IF(ALLOC!$N$1="VOL_CLASS",$U168,$V168)))</f>
        <v>2704</v>
      </c>
      <c r="AI168">
        <f t="shared" si="68"/>
        <v>17927.593220338986</v>
      </c>
      <c r="AJ168">
        <f t="shared" si="69"/>
        <v>38832.406779661018</v>
      </c>
      <c r="AK168">
        <f t="shared" si="70"/>
        <v>21323.849206349205</v>
      </c>
      <c r="AL168">
        <f t="shared" si="71"/>
        <v>92362.920634920636</v>
      </c>
      <c r="AM168">
        <f t="shared" si="72"/>
        <v>29859.386654813734</v>
      </c>
      <c r="AN168">
        <f t="shared" si="73"/>
        <v>14197.976804515842</v>
      </c>
      <c r="AO168">
        <f>IF($A168="","",Allocation2!AE168)</f>
        <v>499926</v>
      </c>
      <c r="AP168">
        <f>IF($A168="","",IF(ALLOC!$N$2="VOL_EFF",$Q168,IF(ALLOC!$N$2="VOL_CLASS",$R168,$S168)))</f>
        <v>288</v>
      </c>
      <c r="AQ168">
        <f>IF($A168="","",IF(ALLOC!$N$2="VOL_EFF",$T168,IF(ALLOC!$N$2="VOL_CLASS",$U168,$V168)))</f>
        <v>2704</v>
      </c>
      <c r="AR168">
        <f t="shared" si="74"/>
        <v>5655.8666994006007</v>
      </c>
    </row>
    <row r="169" spans="1:44" x14ac:dyDescent="0.45">
      <c r="A169" t="str">
        <f>IF(Allocation2!D169="","",Allocation2!D169)</f>
        <v>2024</v>
      </c>
      <c r="B169" t="str">
        <f>IF(Allocation2!E169="","",Allocation2!E169)</f>
        <v>PIGIER_BOR</v>
      </c>
      <c r="C169" t="str">
        <f>IF(Allocation2!F169="","",Allocation2!F169)</f>
        <v>PIGIER</v>
      </c>
      <c r="D169" t="str">
        <f>IF(Allocation2!G169="","",Allocation2!G169)</f>
        <v>BAC_RH</v>
      </c>
      <c r="E169" t="str">
        <f>IF(Allocation2!H169="","",Allocation2!H169)</f>
        <v>B3</v>
      </c>
      <c r="F169" t="str">
        <f>IF(Allocation2!I169="","",Allocation2!I169)</f>
        <v>ALT</v>
      </c>
      <c r="G169">
        <f>IF(Allocation2!E169="","",Allocation2!J169)</f>
        <v>31</v>
      </c>
      <c r="H169">
        <f>IF(Allocation2!E169="","",Allocation2!K169)</f>
        <v>2</v>
      </c>
      <c r="I169">
        <f>IF(Allocation2!E169="","",Allocation2!L169)</f>
        <v>210490</v>
      </c>
      <c r="J169">
        <f>IF($A169="","",Allocation2!X169)</f>
        <v>0</v>
      </c>
      <c r="K169">
        <f t="shared" si="56"/>
        <v>960</v>
      </c>
      <c r="L169">
        <f t="shared" si="75"/>
        <v>126</v>
      </c>
      <c r="M169">
        <f t="shared" si="76"/>
        <v>8</v>
      </c>
      <c r="N169">
        <f t="shared" si="77"/>
        <v>800190</v>
      </c>
      <c r="O169">
        <f t="shared" si="60"/>
        <v>4720</v>
      </c>
      <c r="P169">
        <f t="shared" si="61"/>
        <v>64</v>
      </c>
      <c r="Q169">
        <f t="shared" si="78"/>
        <v>288</v>
      </c>
      <c r="R169">
        <f t="shared" si="79"/>
        <v>16</v>
      </c>
      <c r="S169">
        <f t="shared" si="80"/>
        <v>1913220</v>
      </c>
      <c r="T169">
        <f t="shared" si="81"/>
        <v>2704</v>
      </c>
      <c r="U169">
        <f t="shared" si="82"/>
        <v>131</v>
      </c>
      <c r="V169">
        <f t="shared" si="83"/>
        <v>20076860</v>
      </c>
      <c r="W169">
        <f>IF($A169="","",Allocation2!Y169)</f>
        <v>88144</v>
      </c>
      <c r="X169">
        <f>IF($A169="","",Allocation2!Z169)</f>
        <v>190926</v>
      </c>
      <c r="Y169">
        <f>IF($A169="","",Allocation2!AA169)</f>
        <v>48220</v>
      </c>
      <c r="Z169">
        <f>IF($A169="","",Allocation2!AB169)</f>
        <v>18155</v>
      </c>
      <c r="AA169">
        <f>IF($A169="","",Allocation2!AC169)</f>
        <v>363679</v>
      </c>
      <c r="AB169">
        <f>IF($A169="","",Allocation2!AD169)</f>
        <v>2639292</v>
      </c>
      <c r="AC169">
        <f>IF($A169="","",IF(ALLOC!$N$4="VOL_EFF",$G169,IF(ALLOC!$N$4="VOL_CLASS",$H169,$I169)))</f>
        <v>31</v>
      </c>
      <c r="AD169">
        <f>IF($A169="","",IF(ALLOC!$N$4="VOL_EFF",$L169,IF(ALLOC!$N$4="VOL_CLASS",$M169,$N169)))</f>
        <v>126</v>
      </c>
      <c r="AE169">
        <f>IF($A169="","",IF(ALLOC!$N$3="VOL_EFF",$L169,IF(ALLOC!$N$3="VOL_CLASS",$M169,$N169)))</f>
        <v>800190</v>
      </c>
      <c r="AF169">
        <f>IF($A169="","",IF(ALLOC!$N$3="VOL_EFF",$Q169,IF(ALLOC!$N$3="VOL_CLASS",$R169,$S169)))</f>
        <v>1913220</v>
      </c>
      <c r="AG169">
        <f>IF($A169="","",IF(ALLOC!$N$1="VOL_EFF",$Q169,IF(ALLOC!$N$1="VOL_CLASS",$R169,$S169)))</f>
        <v>288</v>
      </c>
      <c r="AH169">
        <f>IF($A169="","",IF(ALLOC!$N$1="VOL_EFF",$T169,IF(ALLOC!$N$1="VOL_CLASS",$U169,$V169)))</f>
        <v>2704</v>
      </c>
      <c r="AI169">
        <f t="shared" si="68"/>
        <v>17927.593220338986</v>
      </c>
      <c r="AJ169">
        <f t="shared" si="69"/>
        <v>38832.406779661018</v>
      </c>
      <c r="AK169">
        <f t="shared" si="70"/>
        <v>11863.650793650793</v>
      </c>
      <c r="AL169">
        <f t="shared" si="71"/>
        <v>89476.579365079364</v>
      </c>
      <c r="AM169">
        <f t="shared" si="72"/>
        <v>28926.280821850807</v>
      </c>
      <c r="AN169">
        <f t="shared" si="73"/>
        <v>17984.368154374679</v>
      </c>
      <c r="AO169">
        <f>IF($A169="","",Allocation2!AE169)</f>
        <v>499926</v>
      </c>
      <c r="AP169">
        <f>IF($A169="","",IF(ALLOC!$N$2="VOL_EFF",$Q169,IF(ALLOC!$N$2="VOL_CLASS",$R169,$S169)))</f>
        <v>288</v>
      </c>
      <c r="AQ169">
        <f>IF($A169="","",IF(ALLOC!$N$2="VOL_EFF",$T169,IF(ALLOC!$N$2="VOL_CLASS",$U169,$V169)))</f>
        <v>2704</v>
      </c>
      <c r="AR169">
        <f t="shared" si="74"/>
        <v>5479.1208650443314</v>
      </c>
    </row>
    <row r="170" spans="1:44" x14ac:dyDescent="0.45">
      <c r="A170" t="str">
        <f>IF(Allocation2!D170="","",Allocation2!D170)</f>
        <v>2024</v>
      </c>
      <c r="B170" t="str">
        <f>IF(Allocation2!E170="","",Allocation2!E170)</f>
        <v>TUNON_PAR</v>
      </c>
      <c r="C170" t="str">
        <f>IF(Allocation2!F170="","",Allocation2!F170)</f>
        <v>TUNON</v>
      </c>
      <c r="D170" t="str">
        <f>IF(Allocation2!G170="","",Allocation2!G170)</f>
        <v>BAC_TOU</v>
      </c>
      <c r="E170" t="str">
        <f>IF(Allocation2!H170="","",Allocation2!H170)</f>
        <v>B1</v>
      </c>
      <c r="F170" t="str">
        <f>IF(Allocation2!I170="","",Allocation2!I170)</f>
        <v>ALT</v>
      </c>
      <c r="G170">
        <f>IF(Allocation2!E170="","",Allocation2!J170)</f>
        <v>42</v>
      </c>
      <c r="H170">
        <f>IF(Allocation2!E170="","",Allocation2!K170)</f>
        <v>2</v>
      </c>
      <c r="I170">
        <f>IF(Allocation2!E170="","",Allocation2!L170)</f>
        <v>333060</v>
      </c>
      <c r="J170">
        <f>IF($A170="","",Allocation2!X170)</f>
        <v>42</v>
      </c>
      <c r="K170">
        <f t="shared" si="56"/>
        <v>960</v>
      </c>
      <c r="L170">
        <f t="shared" si="75"/>
        <v>123</v>
      </c>
      <c r="M170">
        <f t="shared" si="76"/>
        <v>6</v>
      </c>
      <c r="N170">
        <f t="shared" si="77"/>
        <v>968100</v>
      </c>
      <c r="O170">
        <f t="shared" si="60"/>
        <v>2880</v>
      </c>
      <c r="P170">
        <f t="shared" si="61"/>
        <v>42</v>
      </c>
      <c r="Q170">
        <f t="shared" si="78"/>
        <v>228</v>
      </c>
      <c r="R170">
        <f t="shared" si="79"/>
        <v>12</v>
      </c>
      <c r="S170">
        <f t="shared" si="80"/>
        <v>1743090</v>
      </c>
      <c r="T170">
        <f t="shared" si="81"/>
        <v>2704</v>
      </c>
      <c r="U170">
        <f t="shared" si="82"/>
        <v>131</v>
      </c>
      <c r="V170">
        <f t="shared" si="83"/>
        <v>20076860</v>
      </c>
      <c r="W170">
        <f>IF($A170="","",Allocation2!Y170)</f>
        <v>66108</v>
      </c>
      <c r="X170">
        <f>IF($A170="","",Allocation2!Z170)</f>
        <v>220929</v>
      </c>
      <c r="Y170">
        <f>IF($A170="","",Allocation2!AA170)</f>
        <v>46862</v>
      </c>
      <c r="Z170">
        <f>IF($A170="","",Allocation2!AB170)</f>
        <v>24992</v>
      </c>
      <c r="AA170">
        <f>IF($A170="","",Allocation2!AC170)</f>
        <v>495331</v>
      </c>
      <c r="AB170">
        <f>IF($A170="","",Allocation2!AD170)</f>
        <v>2639292</v>
      </c>
      <c r="AC170">
        <f>IF($A170="","",IF(ALLOC!$N$4="VOL_EFF",$G170,IF(ALLOC!$N$4="VOL_CLASS",$H170,$I170)))</f>
        <v>42</v>
      </c>
      <c r="AD170">
        <f>IF($A170="","",IF(ALLOC!$N$4="VOL_EFF",$L170,IF(ALLOC!$N$4="VOL_CLASS",$M170,$N170)))</f>
        <v>123</v>
      </c>
      <c r="AE170">
        <f>IF($A170="","",IF(ALLOC!$N$3="VOL_EFF",$L170,IF(ALLOC!$N$3="VOL_CLASS",$M170,$N170)))</f>
        <v>968100</v>
      </c>
      <c r="AF170">
        <f>IF($A170="","",IF(ALLOC!$N$3="VOL_EFF",$Q170,IF(ALLOC!$N$3="VOL_CLASS",$R170,$S170)))</f>
        <v>1743090</v>
      </c>
      <c r="AG170">
        <f>IF($A170="","",IF(ALLOC!$N$1="VOL_EFF",$Q170,IF(ALLOC!$N$1="VOL_CLASS",$R170,$S170)))</f>
        <v>228</v>
      </c>
      <c r="AH170">
        <f>IF($A170="","",IF(ALLOC!$N$1="VOL_EFF",$T170,IF(ALLOC!$N$1="VOL_CLASS",$U170,$V170)))</f>
        <v>2704</v>
      </c>
      <c r="AI170">
        <f t="shared" si="68"/>
        <v>22036</v>
      </c>
      <c r="AJ170">
        <f t="shared" si="69"/>
        <v>73643</v>
      </c>
      <c r="AK170">
        <f t="shared" si="70"/>
        <v>40993.658536585368</v>
      </c>
      <c r="AL170">
        <f t="shared" si="71"/>
        <v>169137.41463414635</v>
      </c>
      <c r="AM170">
        <f t="shared" si="72"/>
        <v>42204.638897634293</v>
      </c>
      <c r="AN170">
        <f t="shared" si="73"/>
        <v>-22948.975797251915</v>
      </c>
      <c r="AO170">
        <f>IF($A170="","",Allocation2!AE170)</f>
        <v>499926</v>
      </c>
      <c r="AP170">
        <f>IF($A170="","",IF(ALLOC!$N$2="VOL_EFF",$Q170,IF(ALLOC!$N$2="VOL_CLASS",$R170,$S170)))</f>
        <v>228</v>
      </c>
      <c r="AQ170">
        <f>IF($A170="","",IF(ALLOC!$N$2="VOL_EFF",$T170,IF(ALLOC!$N$2="VOL_CLASS",$U170,$V170)))</f>
        <v>2704</v>
      </c>
      <c r="AR170">
        <f t="shared" si="74"/>
        <v>7994.2637288858987</v>
      </c>
    </row>
    <row r="171" spans="1:44" x14ac:dyDescent="0.45">
      <c r="A171" t="str">
        <f>IF(Allocation2!D171="","",Allocation2!D171)</f>
        <v>2024</v>
      </c>
      <c r="B171" t="str">
        <f>IF(Allocation2!E171="","",Allocation2!E171)</f>
        <v>TUNON_PAR</v>
      </c>
      <c r="C171" t="str">
        <f>IF(Allocation2!F171="","",Allocation2!F171)</f>
        <v>TUNON</v>
      </c>
      <c r="D171" t="str">
        <f>IF(Allocation2!G171="","",Allocation2!G171)</f>
        <v>BAC_TOU</v>
      </c>
      <c r="E171" t="str">
        <f>IF(Allocation2!H171="","",Allocation2!H171)</f>
        <v>B2</v>
      </c>
      <c r="F171" t="str">
        <f>IF(Allocation2!I171="","",Allocation2!I171)</f>
        <v>ALT</v>
      </c>
      <c r="G171">
        <f>IF(Allocation2!E171="","",Allocation2!J171)</f>
        <v>41</v>
      </c>
      <c r="H171">
        <f>IF(Allocation2!E171="","",Allocation2!K171)</f>
        <v>2</v>
      </c>
      <c r="I171">
        <f>IF(Allocation2!E171="","",Allocation2!L171)</f>
        <v>321440</v>
      </c>
      <c r="J171">
        <f>IF($A171="","",Allocation2!X171)</f>
        <v>0</v>
      </c>
      <c r="K171">
        <f t="shared" si="56"/>
        <v>960</v>
      </c>
      <c r="L171">
        <f t="shared" si="75"/>
        <v>123</v>
      </c>
      <c r="M171">
        <f t="shared" si="76"/>
        <v>6</v>
      </c>
      <c r="N171">
        <f t="shared" si="77"/>
        <v>968100</v>
      </c>
      <c r="O171">
        <f t="shared" si="60"/>
        <v>2880</v>
      </c>
      <c r="P171">
        <f t="shared" si="61"/>
        <v>42</v>
      </c>
      <c r="Q171">
        <f t="shared" si="78"/>
        <v>228</v>
      </c>
      <c r="R171">
        <f t="shared" si="79"/>
        <v>12</v>
      </c>
      <c r="S171">
        <f t="shared" si="80"/>
        <v>1743090</v>
      </c>
      <c r="T171">
        <f t="shared" si="81"/>
        <v>2704</v>
      </c>
      <c r="U171">
        <f t="shared" si="82"/>
        <v>131</v>
      </c>
      <c r="V171">
        <f t="shared" si="83"/>
        <v>20076860</v>
      </c>
      <c r="W171">
        <f>IF($A171="","",Allocation2!Y171)</f>
        <v>66108</v>
      </c>
      <c r="X171">
        <f>IF($A171="","",Allocation2!Z171)</f>
        <v>220929</v>
      </c>
      <c r="Y171">
        <f>IF($A171="","",Allocation2!AA171)</f>
        <v>46862</v>
      </c>
      <c r="Z171">
        <f>IF($A171="","",Allocation2!AB171)</f>
        <v>24992</v>
      </c>
      <c r="AA171">
        <f>IF($A171="","",Allocation2!AC171)</f>
        <v>495331</v>
      </c>
      <c r="AB171">
        <f>IF($A171="","",Allocation2!AD171)</f>
        <v>2639292</v>
      </c>
      <c r="AC171">
        <f>IF($A171="","",IF(ALLOC!$N$4="VOL_EFF",$G171,IF(ALLOC!$N$4="VOL_CLASS",$H171,$I171)))</f>
        <v>41</v>
      </c>
      <c r="AD171">
        <f>IF($A171="","",IF(ALLOC!$N$4="VOL_EFF",$L171,IF(ALLOC!$N$4="VOL_CLASS",$M171,$N171)))</f>
        <v>123</v>
      </c>
      <c r="AE171">
        <f>IF($A171="","",IF(ALLOC!$N$3="VOL_EFF",$L171,IF(ALLOC!$N$3="VOL_CLASS",$M171,$N171)))</f>
        <v>968100</v>
      </c>
      <c r="AF171">
        <f>IF($A171="","",IF(ALLOC!$N$3="VOL_EFF",$Q171,IF(ALLOC!$N$3="VOL_CLASS",$R171,$S171)))</f>
        <v>1743090</v>
      </c>
      <c r="AG171">
        <f>IF($A171="","",IF(ALLOC!$N$1="VOL_EFF",$Q171,IF(ALLOC!$N$1="VOL_CLASS",$R171,$S171)))</f>
        <v>228</v>
      </c>
      <c r="AH171">
        <f>IF($A171="","",IF(ALLOC!$N$1="VOL_EFF",$T171,IF(ALLOC!$N$1="VOL_CLASS",$U171,$V171)))</f>
        <v>2704</v>
      </c>
      <c r="AI171">
        <f t="shared" si="68"/>
        <v>22036</v>
      </c>
      <c r="AJ171">
        <f t="shared" si="69"/>
        <v>73643</v>
      </c>
      <c r="AK171">
        <f t="shared" si="70"/>
        <v>15620.666666666666</v>
      </c>
      <c r="AL171">
        <f t="shared" si="71"/>
        <v>165110.33333333331</v>
      </c>
      <c r="AM171">
        <f t="shared" si="72"/>
        <v>41199.766542928708</v>
      </c>
      <c r="AN171">
        <f t="shared" si="73"/>
        <v>-3973.6906592220766</v>
      </c>
      <c r="AO171">
        <f>IF($A171="","",Allocation2!AE171)</f>
        <v>499926</v>
      </c>
      <c r="AP171">
        <f>IF($A171="","",IF(ALLOC!$N$2="VOL_EFF",$Q171,IF(ALLOC!$N$2="VOL_CLASS",$R171,$S171)))</f>
        <v>228</v>
      </c>
      <c r="AQ171">
        <f>IF($A171="","",IF(ALLOC!$N$2="VOL_EFF",$T171,IF(ALLOC!$N$2="VOL_CLASS",$U171,$V171)))</f>
        <v>2704</v>
      </c>
      <c r="AR171">
        <f t="shared" si="74"/>
        <v>7803.9241162933768</v>
      </c>
    </row>
    <row r="172" spans="1:44" x14ac:dyDescent="0.45">
      <c r="A172" t="str">
        <f>IF(Allocation2!D172="","",Allocation2!D172)</f>
        <v>2024</v>
      </c>
      <c r="B172" t="str">
        <f>IF(Allocation2!E172="","",Allocation2!E172)</f>
        <v>TUNON_PAR</v>
      </c>
      <c r="C172" t="str">
        <f>IF(Allocation2!F172="","",Allocation2!F172)</f>
        <v>TUNON</v>
      </c>
      <c r="D172" t="str">
        <f>IF(Allocation2!G172="","",Allocation2!G172)</f>
        <v>BAC_TOU</v>
      </c>
      <c r="E172" t="str">
        <f>IF(Allocation2!H172="","",Allocation2!H172)</f>
        <v>B3</v>
      </c>
      <c r="F172" t="str">
        <f>IF(Allocation2!I172="","",Allocation2!I172)</f>
        <v>ALT</v>
      </c>
      <c r="G172">
        <f>IF(Allocation2!E172="","",Allocation2!J172)</f>
        <v>40</v>
      </c>
      <c r="H172">
        <f>IF(Allocation2!E172="","",Allocation2!K172)</f>
        <v>2</v>
      </c>
      <c r="I172">
        <f>IF(Allocation2!E172="","",Allocation2!L172)</f>
        <v>313600</v>
      </c>
      <c r="J172">
        <f>IF($A172="","",Allocation2!X172)</f>
        <v>0</v>
      </c>
      <c r="K172">
        <f t="shared" si="56"/>
        <v>960</v>
      </c>
      <c r="L172">
        <f t="shared" si="75"/>
        <v>123</v>
      </c>
      <c r="M172">
        <f t="shared" si="76"/>
        <v>6</v>
      </c>
      <c r="N172">
        <f t="shared" si="77"/>
        <v>968100</v>
      </c>
      <c r="O172">
        <f t="shared" si="60"/>
        <v>2880</v>
      </c>
      <c r="P172">
        <f t="shared" si="61"/>
        <v>42</v>
      </c>
      <c r="Q172">
        <f t="shared" si="78"/>
        <v>228</v>
      </c>
      <c r="R172">
        <f t="shared" si="79"/>
        <v>12</v>
      </c>
      <c r="S172">
        <f t="shared" si="80"/>
        <v>1743090</v>
      </c>
      <c r="T172">
        <f t="shared" si="81"/>
        <v>2704</v>
      </c>
      <c r="U172">
        <f t="shared" si="82"/>
        <v>131</v>
      </c>
      <c r="V172">
        <f t="shared" si="83"/>
        <v>20076860</v>
      </c>
      <c r="W172">
        <f>IF($A172="","",Allocation2!Y172)</f>
        <v>66108</v>
      </c>
      <c r="X172">
        <f>IF($A172="","",Allocation2!Z172)</f>
        <v>220929</v>
      </c>
      <c r="Y172">
        <f>IF($A172="","",Allocation2!AA172)</f>
        <v>46862</v>
      </c>
      <c r="Z172">
        <f>IF($A172="","",Allocation2!AB172)</f>
        <v>24992</v>
      </c>
      <c r="AA172">
        <f>IF($A172="","",Allocation2!AC172)</f>
        <v>495331</v>
      </c>
      <c r="AB172">
        <f>IF($A172="","",Allocation2!AD172)</f>
        <v>2639292</v>
      </c>
      <c r="AC172">
        <f>IF($A172="","",IF(ALLOC!$N$4="VOL_EFF",$G172,IF(ALLOC!$N$4="VOL_CLASS",$H172,$I172)))</f>
        <v>40</v>
      </c>
      <c r="AD172">
        <f>IF($A172="","",IF(ALLOC!$N$4="VOL_EFF",$L172,IF(ALLOC!$N$4="VOL_CLASS",$M172,$N172)))</f>
        <v>123</v>
      </c>
      <c r="AE172">
        <f>IF($A172="","",IF(ALLOC!$N$3="VOL_EFF",$L172,IF(ALLOC!$N$3="VOL_CLASS",$M172,$N172)))</f>
        <v>968100</v>
      </c>
      <c r="AF172">
        <f>IF($A172="","",IF(ALLOC!$N$3="VOL_EFF",$Q172,IF(ALLOC!$N$3="VOL_CLASS",$R172,$S172)))</f>
        <v>1743090</v>
      </c>
      <c r="AG172">
        <f>IF($A172="","",IF(ALLOC!$N$1="VOL_EFF",$Q172,IF(ALLOC!$N$1="VOL_CLASS",$R172,$S172)))</f>
        <v>228</v>
      </c>
      <c r="AH172">
        <f>IF($A172="","",IF(ALLOC!$N$1="VOL_EFF",$T172,IF(ALLOC!$N$1="VOL_CLASS",$U172,$V172)))</f>
        <v>2704</v>
      </c>
      <c r="AI172">
        <f t="shared" si="68"/>
        <v>22036</v>
      </c>
      <c r="AJ172">
        <f t="shared" si="69"/>
        <v>73643</v>
      </c>
      <c r="AK172">
        <f t="shared" si="70"/>
        <v>15239.674796747968</v>
      </c>
      <c r="AL172">
        <f t="shared" si="71"/>
        <v>161083.25203252031</v>
      </c>
      <c r="AM172">
        <f t="shared" si="72"/>
        <v>40194.89418822313</v>
      </c>
      <c r="AN172">
        <f t="shared" si="73"/>
        <v>-6210.4055211922387</v>
      </c>
      <c r="AO172">
        <f>IF($A172="","",Allocation2!AE172)</f>
        <v>499926</v>
      </c>
      <c r="AP172">
        <f>IF($A172="","",IF(ALLOC!$N$2="VOL_EFF",$Q172,IF(ALLOC!$N$2="VOL_CLASS",$R172,$S172)))</f>
        <v>228</v>
      </c>
      <c r="AQ172">
        <f>IF($A172="","",IF(ALLOC!$N$2="VOL_EFF",$T172,IF(ALLOC!$N$2="VOL_CLASS",$U172,$V172)))</f>
        <v>2704</v>
      </c>
      <c r="AR172">
        <f t="shared" si="74"/>
        <v>7613.5845037008557</v>
      </c>
    </row>
    <row r="173" spans="1:44" x14ac:dyDescent="0.45">
      <c r="A173" t="str">
        <f>IF(Allocation2!D173="","",Allocation2!D173)</f>
        <v>2024</v>
      </c>
      <c r="B173" t="str">
        <f>IF(Allocation2!E173="","",Allocation2!E173)</f>
        <v>TUNON_LYO</v>
      </c>
      <c r="C173" t="str">
        <f>IF(Allocation2!F173="","",Allocation2!F173)</f>
        <v>TUNON</v>
      </c>
      <c r="D173" t="str">
        <f>IF(Allocation2!G173="","",Allocation2!G173)</f>
        <v>BAC_TOU</v>
      </c>
      <c r="E173" t="str">
        <f>IF(Allocation2!H173="","",Allocation2!H173)</f>
        <v>B1</v>
      </c>
      <c r="F173" t="str">
        <f>IF(Allocation2!I173="","",Allocation2!I173)</f>
        <v>ALT</v>
      </c>
      <c r="G173">
        <f>IF(Allocation2!E173="","",Allocation2!J173)</f>
        <v>36</v>
      </c>
      <c r="H173">
        <f>IF(Allocation2!E173="","",Allocation2!K173)</f>
        <v>2</v>
      </c>
      <c r="I173">
        <f>IF(Allocation2!E173="","",Allocation2!L173)</f>
        <v>267840</v>
      </c>
      <c r="J173">
        <f>IF($A173="","",Allocation2!X173)</f>
        <v>36</v>
      </c>
      <c r="K173">
        <f t="shared" si="56"/>
        <v>960</v>
      </c>
      <c r="L173">
        <f t="shared" si="75"/>
        <v>105</v>
      </c>
      <c r="M173">
        <f t="shared" si="76"/>
        <v>6</v>
      </c>
      <c r="N173">
        <f t="shared" si="77"/>
        <v>774990</v>
      </c>
      <c r="O173">
        <f t="shared" si="60"/>
        <v>2880</v>
      </c>
      <c r="P173">
        <f t="shared" si="61"/>
        <v>36</v>
      </c>
      <c r="Q173">
        <f t="shared" si="78"/>
        <v>228</v>
      </c>
      <c r="R173">
        <f t="shared" si="79"/>
        <v>12</v>
      </c>
      <c r="S173">
        <f t="shared" si="80"/>
        <v>1743090</v>
      </c>
      <c r="T173">
        <f t="shared" si="81"/>
        <v>2704</v>
      </c>
      <c r="U173">
        <f t="shared" si="82"/>
        <v>131</v>
      </c>
      <c r="V173">
        <f t="shared" si="83"/>
        <v>20076860</v>
      </c>
      <c r="W173">
        <f>IF($A173="","",Allocation2!Y173)</f>
        <v>66108</v>
      </c>
      <c r="X173">
        <f>IF($A173="","",Allocation2!Z173)</f>
        <v>152741</v>
      </c>
      <c r="Y173">
        <f>IF($A173="","",Allocation2!AA173)</f>
        <v>39731</v>
      </c>
      <c r="Z173">
        <f>IF($A173="","",Allocation2!AB173)</f>
        <v>15578</v>
      </c>
      <c r="AA173">
        <f>IF($A173="","",Allocation2!AC173)</f>
        <v>308112</v>
      </c>
      <c r="AB173">
        <f>IF($A173="","",Allocation2!AD173)</f>
        <v>2639292</v>
      </c>
      <c r="AC173">
        <f>IF($A173="","",IF(ALLOC!$N$4="VOL_EFF",$G173,IF(ALLOC!$N$4="VOL_CLASS",$H173,$I173)))</f>
        <v>36</v>
      </c>
      <c r="AD173">
        <f>IF($A173="","",IF(ALLOC!$N$4="VOL_EFF",$L173,IF(ALLOC!$N$4="VOL_CLASS",$M173,$N173)))</f>
        <v>105</v>
      </c>
      <c r="AE173">
        <f>IF($A173="","",IF(ALLOC!$N$3="VOL_EFF",$L173,IF(ALLOC!$N$3="VOL_CLASS",$M173,$N173)))</f>
        <v>774990</v>
      </c>
      <c r="AF173">
        <f>IF($A173="","",IF(ALLOC!$N$3="VOL_EFF",$Q173,IF(ALLOC!$N$3="VOL_CLASS",$R173,$S173)))</f>
        <v>1743090</v>
      </c>
      <c r="AG173">
        <f>IF($A173="","",IF(ALLOC!$N$1="VOL_EFF",$Q173,IF(ALLOC!$N$1="VOL_CLASS",$R173,$S173)))</f>
        <v>228</v>
      </c>
      <c r="AH173">
        <f>IF($A173="","",IF(ALLOC!$N$1="VOL_EFF",$T173,IF(ALLOC!$N$1="VOL_CLASS",$U173,$V173)))</f>
        <v>2704</v>
      </c>
      <c r="AI173">
        <f t="shared" si="68"/>
        <v>22036</v>
      </c>
      <c r="AJ173">
        <f t="shared" si="69"/>
        <v>50913.666666666664</v>
      </c>
      <c r="AK173">
        <f t="shared" si="70"/>
        <v>29200.057142857142</v>
      </c>
      <c r="AL173">
        <f t="shared" si="71"/>
        <v>105638.39999999999</v>
      </c>
      <c r="AM173">
        <f t="shared" si="72"/>
        <v>33923.846551618211</v>
      </c>
      <c r="AN173">
        <f t="shared" si="73"/>
        <v>19702.286329226365</v>
      </c>
      <c r="AO173">
        <f>IF($A173="","",Allocation2!AE173)</f>
        <v>499926</v>
      </c>
      <c r="AP173">
        <f>IF($A173="","",IF(ALLOC!$N$2="VOL_EFF",$Q173,IF(ALLOC!$N$2="VOL_CLASS",$R173,$S173)))</f>
        <v>228</v>
      </c>
      <c r="AQ173">
        <f>IF($A173="","",IF(ALLOC!$N$2="VOL_EFF",$T173,IF(ALLOC!$N$2="VOL_CLASS",$U173,$V173)))</f>
        <v>2704</v>
      </c>
      <c r="AR173">
        <f t="shared" si="74"/>
        <v>6425.7433096316317</v>
      </c>
    </row>
    <row r="174" spans="1:44" x14ac:dyDescent="0.45">
      <c r="A174" t="str">
        <f>IF(Allocation2!D174="","",Allocation2!D174)</f>
        <v>2024</v>
      </c>
      <c r="B174" t="str">
        <f>IF(Allocation2!E174="","",Allocation2!E174)</f>
        <v>TUNON_LYO</v>
      </c>
      <c r="C174" t="str">
        <f>IF(Allocation2!F174="","",Allocation2!F174)</f>
        <v>TUNON</v>
      </c>
      <c r="D174" t="str">
        <f>IF(Allocation2!G174="","",Allocation2!G174)</f>
        <v>BAC_TOU</v>
      </c>
      <c r="E174" t="str">
        <f>IF(Allocation2!H174="","",Allocation2!H174)</f>
        <v>B2</v>
      </c>
      <c r="F174" t="str">
        <f>IF(Allocation2!I174="","",Allocation2!I174)</f>
        <v>ALT</v>
      </c>
      <c r="G174">
        <f>IF(Allocation2!E174="","",Allocation2!J174)</f>
        <v>35</v>
      </c>
      <c r="H174">
        <f>IF(Allocation2!E174="","",Allocation2!K174)</f>
        <v>2</v>
      </c>
      <c r="I174">
        <f>IF(Allocation2!E174="","",Allocation2!L174)</f>
        <v>257250</v>
      </c>
      <c r="J174">
        <f>IF($A174="","",Allocation2!X174)</f>
        <v>0</v>
      </c>
      <c r="K174">
        <f t="shared" si="56"/>
        <v>960</v>
      </c>
      <c r="L174">
        <f t="shared" si="75"/>
        <v>105</v>
      </c>
      <c r="M174">
        <f t="shared" si="76"/>
        <v>6</v>
      </c>
      <c r="N174">
        <f t="shared" si="77"/>
        <v>774990</v>
      </c>
      <c r="O174">
        <f t="shared" si="60"/>
        <v>2880</v>
      </c>
      <c r="P174">
        <f t="shared" si="61"/>
        <v>36</v>
      </c>
      <c r="Q174">
        <f t="shared" si="78"/>
        <v>228</v>
      </c>
      <c r="R174">
        <f t="shared" si="79"/>
        <v>12</v>
      </c>
      <c r="S174">
        <f t="shared" si="80"/>
        <v>1743090</v>
      </c>
      <c r="T174">
        <f t="shared" si="81"/>
        <v>2704</v>
      </c>
      <c r="U174">
        <f t="shared" si="82"/>
        <v>131</v>
      </c>
      <c r="V174">
        <f t="shared" si="83"/>
        <v>20076860</v>
      </c>
      <c r="W174">
        <f>IF($A174="","",Allocation2!Y174)</f>
        <v>66108</v>
      </c>
      <c r="X174">
        <f>IF($A174="","",Allocation2!Z174)</f>
        <v>152741</v>
      </c>
      <c r="Y174">
        <f>IF($A174="","",Allocation2!AA174)</f>
        <v>39731</v>
      </c>
      <c r="Z174">
        <f>IF($A174="","",Allocation2!AB174)</f>
        <v>15578</v>
      </c>
      <c r="AA174">
        <f>IF($A174="","",Allocation2!AC174)</f>
        <v>308112</v>
      </c>
      <c r="AB174">
        <f>IF($A174="","",Allocation2!AD174)</f>
        <v>2639292</v>
      </c>
      <c r="AC174">
        <f>IF($A174="","",IF(ALLOC!$N$4="VOL_EFF",$G174,IF(ALLOC!$N$4="VOL_CLASS",$H174,$I174)))</f>
        <v>35</v>
      </c>
      <c r="AD174">
        <f>IF($A174="","",IF(ALLOC!$N$4="VOL_EFF",$L174,IF(ALLOC!$N$4="VOL_CLASS",$M174,$N174)))</f>
        <v>105</v>
      </c>
      <c r="AE174">
        <f>IF($A174="","",IF(ALLOC!$N$3="VOL_EFF",$L174,IF(ALLOC!$N$3="VOL_CLASS",$M174,$N174)))</f>
        <v>774990</v>
      </c>
      <c r="AF174">
        <f>IF($A174="","",IF(ALLOC!$N$3="VOL_EFF",$Q174,IF(ALLOC!$N$3="VOL_CLASS",$R174,$S174)))</f>
        <v>1743090</v>
      </c>
      <c r="AG174">
        <f>IF($A174="","",IF(ALLOC!$N$1="VOL_EFF",$Q174,IF(ALLOC!$N$1="VOL_CLASS",$R174,$S174)))</f>
        <v>228</v>
      </c>
      <c r="AH174">
        <f>IF($A174="","",IF(ALLOC!$N$1="VOL_EFF",$T174,IF(ALLOC!$N$1="VOL_CLASS",$U174,$V174)))</f>
        <v>2704</v>
      </c>
      <c r="AI174">
        <f t="shared" si="68"/>
        <v>22036</v>
      </c>
      <c r="AJ174">
        <f t="shared" si="69"/>
        <v>50913.666666666664</v>
      </c>
      <c r="AK174">
        <f t="shared" si="70"/>
        <v>13243.666666666666</v>
      </c>
      <c r="AL174">
        <f t="shared" si="71"/>
        <v>102704</v>
      </c>
      <c r="AM174">
        <f t="shared" si="72"/>
        <v>32981.517480739923</v>
      </c>
      <c r="AN174">
        <f t="shared" si="73"/>
        <v>29123.898746007122</v>
      </c>
      <c r="AO174">
        <f>IF($A174="","",Allocation2!AE174)</f>
        <v>499926</v>
      </c>
      <c r="AP174">
        <f>IF($A174="","",IF(ALLOC!$N$2="VOL_EFF",$Q174,IF(ALLOC!$N$2="VOL_CLASS",$R174,$S174)))</f>
        <v>228</v>
      </c>
      <c r="AQ174">
        <f>IF($A174="","",IF(ALLOC!$N$2="VOL_EFF",$T174,IF(ALLOC!$N$2="VOL_CLASS",$U174,$V174)))</f>
        <v>2704</v>
      </c>
      <c r="AR174">
        <f t="shared" si="74"/>
        <v>6247.2504399196414</v>
      </c>
    </row>
    <row r="175" spans="1:44" x14ac:dyDescent="0.45">
      <c r="A175" t="str">
        <f>IF(Allocation2!D175="","",Allocation2!D175)</f>
        <v>2024</v>
      </c>
      <c r="B175" t="str">
        <f>IF(Allocation2!E175="","",Allocation2!E175)</f>
        <v>TUNON_LYO</v>
      </c>
      <c r="C175" t="str">
        <f>IF(Allocation2!F175="","",Allocation2!F175)</f>
        <v>TUNON</v>
      </c>
      <c r="D175" t="str">
        <f>IF(Allocation2!G175="","",Allocation2!G175)</f>
        <v>BAC_TOU</v>
      </c>
      <c r="E175" t="str">
        <f>IF(Allocation2!H175="","",Allocation2!H175)</f>
        <v>B3</v>
      </c>
      <c r="F175" t="str">
        <f>IF(Allocation2!I175="","",Allocation2!I175)</f>
        <v>ALT</v>
      </c>
      <c r="G175">
        <f>IF(Allocation2!E175="","",Allocation2!J175)</f>
        <v>34</v>
      </c>
      <c r="H175">
        <f>IF(Allocation2!E175="","",Allocation2!K175)</f>
        <v>2</v>
      </c>
      <c r="I175">
        <f>IF(Allocation2!E175="","",Allocation2!L175)</f>
        <v>249900</v>
      </c>
      <c r="J175">
        <f>IF($A175="","",Allocation2!X175)</f>
        <v>0</v>
      </c>
      <c r="K175">
        <f t="shared" si="56"/>
        <v>960</v>
      </c>
      <c r="L175">
        <f t="shared" si="75"/>
        <v>105</v>
      </c>
      <c r="M175">
        <f t="shared" si="76"/>
        <v>6</v>
      </c>
      <c r="N175">
        <f t="shared" si="77"/>
        <v>774990</v>
      </c>
      <c r="O175">
        <f t="shared" si="60"/>
        <v>2880</v>
      </c>
      <c r="P175">
        <f t="shared" si="61"/>
        <v>36</v>
      </c>
      <c r="Q175">
        <f t="shared" si="78"/>
        <v>228</v>
      </c>
      <c r="R175">
        <f t="shared" si="79"/>
        <v>12</v>
      </c>
      <c r="S175">
        <f t="shared" si="80"/>
        <v>1743090</v>
      </c>
      <c r="T175">
        <f t="shared" si="81"/>
        <v>2704</v>
      </c>
      <c r="U175">
        <f t="shared" si="82"/>
        <v>131</v>
      </c>
      <c r="V175">
        <f t="shared" si="83"/>
        <v>20076860</v>
      </c>
      <c r="W175">
        <f>IF($A175="","",Allocation2!Y175)</f>
        <v>66108</v>
      </c>
      <c r="X175">
        <f>IF($A175="","",Allocation2!Z175)</f>
        <v>152741</v>
      </c>
      <c r="Y175">
        <f>IF($A175="","",Allocation2!AA175)</f>
        <v>39731</v>
      </c>
      <c r="Z175">
        <f>IF($A175="","",Allocation2!AB175)</f>
        <v>15578</v>
      </c>
      <c r="AA175">
        <f>IF($A175="","",Allocation2!AC175)</f>
        <v>308112</v>
      </c>
      <c r="AB175">
        <f>IF($A175="","",Allocation2!AD175)</f>
        <v>2639292</v>
      </c>
      <c r="AC175">
        <f>IF($A175="","",IF(ALLOC!$N$4="VOL_EFF",$G175,IF(ALLOC!$N$4="VOL_CLASS",$H175,$I175)))</f>
        <v>34</v>
      </c>
      <c r="AD175">
        <f>IF($A175="","",IF(ALLOC!$N$4="VOL_EFF",$L175,IF(ALLOC!$N$4="VOL_CLASS",$M175,$N175)))</f>
        <v>105</v>
      </c>
      <c r="AE175">
        <f>IF($A175="","",IF(ALLOC!$N$3="VOL_EFF",$L175,IF(ALLOC!$N$3="VOL_CLASS",$M175,$N175)))</f>
        <v>774990</v>
      </c>
      <c r="AF175">
        <f>IF($A175="","",IF(ALLOC!$N$3="VOL_EFF",$Q175,IF(ALLOC!$N$3="VOL_CLASS",$R175,$S175)))</f>
        <v>1743090</v>
      </c>
      <c r="AG175">
        <f>IF($A175="","",IF(ALLOC!$N$1="VOL_EFF",$Q175,IF(ALLOC!$N$1="VOL_CLASS",$R175,$S175)))</f>
        <v>228</v>
      </c>
      <c r="AH175">
        <f>IF($A175="","",IF(ALLOC!$N$1="VOL_EFF",$T175,IF(ALLOC!$N$1="VOL_CLASS",$U175,$V175)))</f>
        <v>2704</v>
      </c>
      <c r="AI175">
        <f t="shared" si="68"/>
        <v>22036</v>
      </c>
      <c r="AJ175">
        <f t="shared" si="69"/>
        <v>50913.666666666664</v>
      </c>
      <c r="AK175">
        <f t="shared" si="70"/>
        <v>12865.276190476192</v>
      </c>
      <c r="AL175">
        <f t="shared" si="71"/>
        <v>99769.600000000006</v>
      </c>
      <c r="AM175">
        <f t="shared" si="72"/>
        <v>32039.188409861643</v>
      </c>
      <c r="AN175">
        <f t="shared" si="73"/>
        <v>26207.51116278785</v>
      </c>
      <c r="AO175">
        <f>IF($A175="","",Allocation2!AE175)</f>
        <v>499926</v>
      </c>
      <c r="AP175">
        <f>IF($A175="","",IF(ALLOC!$N$2="VOL_EFF",$Q175,IF(ALLOC!$N$2="VOL_CLASS",$R175,$S175)))</f>
        <v>228</v>
      </c>
      <c r="AQ175">
        <f>IF($A175="","",IF(ALLOC!$N$2="VOL_EFF",$T175,IF(ALLOC!$N$2="VOL_CLASS",$U175,$V175)))</f>
        <v>2704</v>
      </c>
      <c r="AR175">
        <f t="shared" si="74"/>
        <v>6068.757570207652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easyPacket version="1.0">
  <header version="35.0.0.6.tgk.20260209140819"/>
  <data>
    <l refId="0" ln="0" eid="XLHiddenElement"/>
  </data>
</easyPacket>
</file>

<file path=customXml/item2.xml><?xml version="1.0" encoding="utf-8"?>
<easyPacket version="1.0">
  <header version="35.0.0.6.tgk.20260209140819"/>
  <data>
    <l refId="0" ln="0" eid="XLHiddenElement"/>
  </data>
</easyPacket>
</file>

<file path=customXml/item3.xml><?xml version="1.0" encoding="utf-8"?>
<easyPacket version="1.0">
  <header version="35.0.0.6.tgk.20260209140819"/>
  <data>
    <be refId="0" clsId="LaunchedMultiTemplateReportVO">
      <be key="multiTemplateReport" refId="1" clsId="MultiTemplateReportVO">
        <s key="code">TEST3</s>
        <a key="desc" refId="2" ln="4" eid="SYS_STR">
          <s>Alloc_2_CALC</s>
          <s>Alloc_2_CALC</s>
          <s>Alloc_2_CALC</s>
          <s>Alloc_2_CALC</s>
        </a>
        <be key="options" refId="3" clsId="OpzioniProspetto">
          <b key="lockSheets">N</b>
          <s key="separator"> - </s>
          <i key="elabType">2</i>
          <i key="saveType">2</i>
          <i key="runElabType">2</i>
          <b key="enableSaveZeroValues">N</b>
          <b key="enableLogData">N</b>
          <b key="refreshAfterSave">N</b>
          <b key="closeFormOnSave">N</b>
          <b key="drillOnlyOnUsedDims">N</b>
          <b key="forceExportReport">N</b>
          <i key="colorEditRGB">13434879</i>
          <i key="colorProtectedRGB">16777164</i>
          <i key="colorIRGB">13434828</i>
          <i key="colorEditTransactionCurencyRGB">13434879</i>
          <e key="parallelizeWhat" refId="4" id="ParallWhatEnum">C</e>
          <b key="sheetNamesWithCode">N</b>
          <b key="eventsWithUnlockedSheets">N</b>
          <e key="includeTemplateInSheetName" refId="5" id="IncludeTemplateInSheetNameEnum">0</e>
          <b key="enableDrillDown">S</b>
          <u key="expControlloThreshold">1E-09</u>
          <b key="disableTGKFunctions">N</b>
          <e key="validateTransactional" refId="6" id="ValidateTransactionalEnum">C</e>
          <e key="disableLock" refId="7" id="DisableLockEnum">C</e>
          <e key="headManipPosition" refId="8" id="HeaderManipulatorPositionEnum">A</e>
          <e key="repEngine" refId="9" id="RepEngineEnum">CFG</e>
          <i key="grainSize">1000</i>
          <i key="dataLoadPSize">4</i>
          <i key="dataProcPSize">6</i>
          <b key="disableDataSaving">N</b>
        </be>
        <m key="templates" refId="10" keid="SYS_STR" veid="Reporting.com.tagetik.report.IReportTemplateVO,Reporting">
          <key>
            <s>Template01</s>
          </key>
          <val>
            <be refId="11" clsId="ReportTemplateVO">
              <s key="code">Template01</s>
              <s key="desc">Allocation2</s>
              <m key="matrices" refId="12" keid="SYS_STR" veid="Reporting.com.tagetik.tables.IMatrixPositionBlockVO,Reporting"/>
              <m key="cellFields" refId="13" keid="SYS_STR" veid="CodeCellField"/>
              <m key="dictionary" refId="14" keid="SYS_STR" veid="CodeMultiDescVO"/>
              <m key="controlExpressions" refId="15" keid="SYS_STR" veid="CodedExpControlloProspetto"/>
              <m key="inlineParameters" refId="16" keid="SYS_STR" veid="CodedInlineParameter"/>
              <m key="queries" refId="17" keid="SYS_STR" veid="Reporting.com.tagetik.query.IUserDefinedQueryVO,Reporting">
                <key>
                  <s>Query00</s>
                </key>
                <val>
                  <be refId="18" clsId="UserDefinedQueryVO">
                    <s key="queryString">select * from V_ALLOCATION </s>
                    <s key="queryType">N</s>
                    <e key="querySyntax" refId="19" id="UserDefinedQuerySyntax">SQL</e>
                    <m key="options" refId="20" keid="SYS_STR" veid="SYS_STR">
                      <key>
                        <s>VALIDATION_TYPE</s>
                      </key>
                      <val>
                        <s>PMS</s>
                      </val>
                      <key>
                        <s>SEEQUERYNAME</s>
                      </key>
                      <val>
                        <s>N</s>
                      </val>
                      <key>
                        <s>HEADERS</s>
                      </key>
                      <val>
                        <s>S</s>
                      </val>
                      <key>
                        <s>AUTOSIZE</s>
                      </key>
                      <val>
                        <s>S</s>
                      </val>
                      <key>
                        <s>DRAG_LEFT</s>
                      </key>
                      <val>
                        <s>N</s>
                      </val>
                      <key>
                        <s>DRAG_RIGHT</s>
                      </key>
                      <val>
                        <s>N</s>
                      </val>
                      <key>
                        <s>CREATE NAMED RANGE</s>
                      </key>
                      <val>
                        <s>N</s>
                      </val>
                      <key>
                        <s>PRESERVE_FORMAT</s>
                      </key>
                      <val>
                        <s>N</s>
                      </val>
                      <key>
                        <s>EXPANSION_MODE</s>
                      </key>
                      <val>
                        <s>0</s>
                      </val>
                      <key>
                        <s>REMOVE_FORMATS_AFTER_END</s>
                      </key>
                      <val>
                        <s>N</s>
                      </val>
                    </m>
                    <s key="cod">Query00</s>
                    <be key="multiDescVO" refId="21" clsId="MultiDesc">
                      <a key="desc" refId="22" ln="4" eid="SYS_STR">
                        <s>Query 00</s>
                        <s/>
                        <s/>
                        <s/>
                      </a>
                    </be>
                    <be key="initialResult" refId="23" clsId="QueryResult">
                      <rs key="recordset" refId="24" rowCount="0" fieldNames="SCENARIO,VERSION,PERIODE,EXERCICE,ENTITY,MARQUE,PROGRAMME,AN_ETUDE,MODALITE,VOL_EFF,VOL_CLASS,CA,COST_VAC,COST_PERM,COST_ODIR,COST_STRUCT,COST_MARQUE,COST_HOLDING,COST_SIEGE,COST_VARIABLE,COST_STRUCTURE,COST_COMPLET,MARGE_COMPLETE,VOL_NEW,POOL_VAC,POOL_PERM,POOL_ODIR,POOL_MKT,POOL_STRUCT,POOL_HOLDING,POOL_FRAIS_MARQUE">
                        <field name="SCENARIO"/>
                        <field name="VERSION"/>
                        <field name="PERIODE"/>
                        <field name="EXERCICE"/>
                        <field name="ENTITY"/>
                        <field name="MARQUE"/>
                        <field name="PROGRAMME"/>
                        <field name="AN_ETUDE"/>
                        <field name="MODALITE"/>
                        <field name="VOL_EFF"/>
                        <field name="VOL_CLASS"/>
                        <field name="CA"/>
                        <field name="COST_VAC"/>
                        <field name="COST_PERM"/>
                        <field name="COST_ODIR"/>
                        <field name="COST_STRUCT"/>
                        <field name="COST_MARQUE"/>
                        <field name="COST_HOLDING"/>
                        <field name="COST_SIEGE"/>
                        <field name="COST_VARIABLE"/>
                        <field name="COST_STRUCTURE"/>
                        <field name="COST_COMPLET"/>
                        <field name="MARGE_COMPLETE"/>
                        <field name="VOL_NEW"/>
                        <field name="POOL_VAC"/>
                        <field name="POOL_PERM"/>
                        <field name="POOL_ODIR"/>
                        <field name="POOL_MKT"/>
                        <field name="POOL_STRUCT"/>
                        <field name="POOL_HOLDING"/>
                        <field name="POOL_FRAIS_MARQUE"/>
                      </rs>
                      <a key="columnTypes" refId="25" ln="31" eid="SYS_PR_I">
                        <i>12</i>
                        <i>12</i>
                        <i>12</i>
                        <i>12</i>
                        <i>12</i>
                        <i>12</i>
                        <i>12</i>
                        <i>12</i>
                        <i>12</i>
                        <i>8</i>
                        <i>3</i>
                        <i>8</i>
                        <i>8</i>
                        <i>8</i>
                        <i>8</i>
                        <i>8</i>
                        <i>8</i>
                        <i>8</i>
                        <i>8</i>
                        <i>8</i>
                        <i>8</i>
                        <i>8</i>
                        <i>8</i>
                        <i>8</i>
                        <i>8</i>
                        <i>8</i>
                        <i>8</i>
                        <i>8</i>
                        <i>8</i>
                        <i>8</i>
                        <i>8</i>
                      </a>
                      <i key="rowsCount">0</i>
                      <a key="columnNames" refId="26" ln="31" eid="SYS_STR">
                        <s>SCENARIO</s>
                        <s>VERSION</s>
                        <s>PERIODE</s>
                        <s>EXERCICE</s>
                        <s>ENTITY</s>
                        <s>MARQUE</s>
                        <s>PROGRAMME</s>
                        <s>AN_ETUDE</s>
                        <s>MODALITE</s>
                        <s>VOL_EFF</s>
                        <s>VOL_CLASS</s>
                        <s>CA</s>
                        <s>COST_VAC</s>
                        <s>COST_PERM</s>
                        <s>COST_ODIR</s>
                        <s>COST_STRUCT</s>
                        <s>COST_MARQUE</s>
                        <s>COST_HOLDING</s>
                        <s>COST_SIEGE</s>
                        <s>COST_VARIABLE</s>
                        <s>COST_STRUCTURE</s>
                        <s>COST_COMPLET</s>
                        <s>MARGE_COMPLETE</s>
                        <s>VOL_NEW</s>
                        <s>POOL_VAC</s>
                        <s>POOL_PERM</s>
                        <s>POOL_ODIR</s>
                        <s>POOL_MKT</s>
                        <s>POOL_STRUCT</s>
                        <s>POOL_HOLDING</s>
                        <s>POOL_FRAIS_MARQUE</s>
                      </a>
                    </be>
                    <b key="hasExcelReferences">N</b>
                    <m key="ColumnDescriptors" refId="27" keid="SYS_STR" veid="QueryColumnDescriptor">
                      <key>
                        <s>SCENARIO</s>
                      </key>
                      <val>
                        <be refId="28" clsId="QueryColumnDescriptor">
                          <s key="code">SCENARIO</s>
                          <be key="multiDescVO" refId="29" clsId="MultiDesc">
                            <a key="desc" refId="30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VERSION</s>
                      </key>
                      <val>
                        <be refId="31" clsId="QueryColumnDescriptor">
                          <s key="code">VERSION</s>
                          <be key="multiDescVO" refId="32" clsId="MultiDesc">
                            <a key="desc" refId="33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PERIODE</s>
                      </key>
                      <val>
                        <be refId="34" clsId="QueryColumnDescriptor">
                          <s key="code">PERIODE</s>
                          <be key="multiDescVO" refId="35" clsId="MultiDesc">
                            <a key="desc" refId="36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EXERCICE</s>
                      </key>
                      <val>
                        <be refId="37" clsId="QueryColumnDescriptor">
                          <s key="code">EXERCICE</s>
                          <be key="multiDescVO" refId="38" clsId="MultiDesc">
                            <a key="desc" refId="39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ENTITY</s>
                      </key>
                      <val>
                        <be refId="40" clsId="QueryColumnDescriptor">
                          <s key="code">ENTITY</s>
                          <be key="multiDescVO" refId="41" clsId="MultiDesc">
                            <a key="desc" refId="42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MARQUE</s>
                      </key>
                      <val>
                        <be refId="43" clsId="QueryColumnDescriptor">
                          <s key="code">MARQUE</s>
                          <be key="multiDescVO" refId="44" clsId="MultiDesc">
                            <a key="desc" refId="45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PROGRAMME</s>
                      </key>
                      <val>
                        <be refId="46" clsId="QueryColumnDescriptor">
                          <s key="code">PROGRAMME</s>
                          <be key="multiDescVO" refId="47" clsId="MultiDesc">
                            <a key="desc" refId="48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AN_ETUDE</s>
                      </key>
                      <val>
                        <be refId="49" clsId="QueryColumnDescriptor">
                          <s key="code">AN_ETUDE</s>
                          <be key="multiDescVO" refId="50" clsId="MultiDesc">
                            <a key="desc" refId="51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MODALITE</s>
                      </key>
                      <val>
                        <be refId="52" clsId="QueryColumnDescriptor">
                          <s key="code">MODALITE</s>
                          <be key="multiDescVO" refId="53" clsId="MultiDesc">
                            <a key="desc" refId="54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VOL_EFF</s>
                      </key>
                      <val>
                        <be refId="55" clsId="QueryColumnDescriptor">
                          <s key="code">VOL_EFF</s>
                          <be key="multiDescVO" refId="56" clsId="MultiDesc">
                            <a key="desc" refId="57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VOL_CLASS</s>
                      </key>
                      <val>
                        <be refId="58" clsId="QueryColumnDescriptor">
                          <s key="code">VOL_CLASS</s>
                          <be key="multiDescVO" refId="59" clsId="MultiDesc">
                            <a key="desc" refId="60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CA</s>
                      </key>
                      <val>
                        <be refId="61" clsId="QueryColumnDescriptor">
                          <s key="code">CA</s>
                          <be key="multiDescVO" refId="62" clsId="MultiDesc">
                            <a key="desc" refId="63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COST_VAC</s>
                      </key>
                      <val>
                        <be refId="64" clsId="QueryColumnDescriptor">
                          <s key="code">COST_VAC</s>
                          <be key="multiDescVO" refId="65" clsId="MultiDesc">
                            <a key="desc" refId="66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COST_PERM</s>
                      </key>
                      <val>
                        <be refId="67" clsId="QueryColumnDescriptor">
                          <s key="code">COST_PERM</s>
                          <be key="multiDescVO" refId="68" clsId="MultiDesc">
                            <a key="desc" refId="69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COST_ODIR</s>
                      </key>
                      <val>
                        <be refId="70" clsId="QueryColumnDescriptor">
                          <s key="code">COST_ODIR</s>
                          <be key="multiDescVO" refId="71" clsId="MultiDesc">
                            <a key="desc" refId="72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COST_STRUCT</s>
                      </key>
                      <val>
                        <be refId="73" clsId="QueryColumnDescriptor">
                          <s key="code">COST_STRUCT</s>
                          <be key="multiDescVO" refId="74" clsId="MultiDesc">
                            <a key="desc" refId="75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COST_MARQUE</s>
                      </key>
                      <val>
                        <be refId="76" clsId="QueryColumnDescriptor">
                          <s key="code">COST_MARQUE</s>
                          <be key="multiDescVO" refId="77" clsId="MultiDesc">
                            <a key="desc" refId="78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COST_HOLDING</s>
                      </key>
                      <val>
                        <be refId="79" clsId="QueryColumnDescriptor">
                          <s key="code">COST_HOLDING</s>
                          <be key="multiDescVO" refId="80" clsId="MultiDesc">
                            <a key="desc" refId="81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COST_SIEGE</s>
                      </key>
                      <val>
                        <be refId="82" clsId="QueryColumnDescriptor">
                          <s key="code">COST_SIEGE</s>
                          <be key="multiDescVO" refId="83" clsId="MultiDesc">
                            <a key="desc" refId="84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COST_VARIABLE</s>
                      </key>
                      <val>
                        <be refId="85" clsId="QueryColumnDescriptor">
                          <s key="code">COST_VARIABLE</s>
                          <be key="multiDescVO" refId="86" clsId="MultiDesc">
                            <a key="desc" refId="87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COST_STRUCTURE</s>
                      </key>
                      <val>
                        <be refId="88" clsId="QueryColumnDescriptor">
                          <s key="code">COST_STRUCTURE</s>
                          <be key="multiDescVO" refId="89" clsId="MultiDesc">
                            <a key="desc" refId="90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COST_COMPLET</s>
                      </key>
                      <val>
                        <be refId="91" clsId="QueryColumnDescriptor">
                          <s key="code">COST_COMPLET</s>
                          <be key="multiDescVO" refId="92" clsId="MultiDesc">
                            <a key="desc" refId="93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MARGE_COMPLETE</s>
                      </key>
                      <val>
                        <be refId="94" clsId="QueryColumnDescriptor">
                          <s key="code">MARGE_COMPLETE</s>
                          <be key="multiDescVO" refId="95" clsId="MultiDesc">
                            <a key="desc" refId="96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VOL_NEW</s>
                      </key>
                      <val>
                        <be refId="97" clsId="QueryColumnDescriptor">
                          <s key="code">VOL_NEW</s>
                          <be key="multiDescVO" refId="98" clsId="MultiDesc">
                            <a key="desc" refId="99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POOL_VAC</s>
                      </key>
                      <val>
                        <be refId="100" clsId="QueryColumnDescriptor">
                          <s key="code">POOL_VAC</s>
                          <be key="multiDescVO" refId="101" clsId="MultiDesc">
                            <a key="desc" refId="102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POOL_PERM</s>
                      </key>
                      <val>
                        <be refId="103" clsId="QueryColumnDescriptor">
                          <s key="code">POOL_PERM</s>
                          <be key="multiDescVO" refId="104" clsId="MultiDesc">
                            <a key="desc" refId="105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POOL_ODIR</s>
                      </key>
                      <val>
                        <be refId="106" clsId="QueryColumnDescriptor">
                          <s key="code">POOL_ODIR</s>
                          <be key="multiDescVO" refId="107" clsId="MultiDesc">
                            <a key="desc" refId="108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POOL_MKT</s>
                      </key>
                      <val>
                        <be refId="109" clsId="QueryColumnDescriptor">
                          <s key="code">POOL_MKT</s>
                          <be key="multiDescVO" refId="110" clsId="MultiDesc">
                            <a key="desc" refId="111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POOL_STRUCT</s>
                      </key>
                      <val>
                        <be refId="112" clsId="QueryColumnDescriptor">
                          <s key="code">POOL_STRUCT</s>
                          <be key="multiDescVO" refId="113" clsId="MultiDesc">
                            <a key="desc" refId="114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POOL_HOLDING</s>
                      </key>
                      <val>
                        <be refId="115" clsId="QueryColumnDescriptor">
                          <s key="code">POOL_HOLDING</s>
                          <be key="multiDescVO" refId="116" clsId="MultiDesc">
                            <a key="desc" refId="117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POOL_FRAIS_MARQUE</s>
                      </key>
                      <val>
                        <be refId="118" clsId="QueryColumnDescriptor">
                          <s key="code">POOL_FRAIS_MARQUE</s>
                          <be key="multiDescVO" refId="119" clsId="MultiDesc">
                            <a key="desc" refId="120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</m>
                    <b key="forceCodeDesc">N</b>
                    <b key="enableFreeText">N</b>
                  </be>
                </val>
              </m>
              <be key="sheets" refId="121" clsId="FilterNode">
                <l key="dimensionOids" refId="122" ln="0" eid="DimensionOid"/>
                <l key="AdHocParamDimensionOids" refId="123" ln="0" eid="DimensionOid"/>
                <be key="data" refId="124" clsId="FilterNodeData">
                  <ref key="filterNode" refId="121"/>
                  <i key="segmentLevel">0</i>
                  <e key="segment" refId="125" id="SegmentEnum">CF</e>
                  <b key="placeHolder">N</b>
                  <e key="weight" refId="126" id="WeightEnum">S</e>
                  <be key="textMatchingCondition" refId="127" clsId="TextMatchingCondition">
                    <e key="op" refId="128" id="ComparisonOperatorEnum">=</e>
                    <s key="val"/>
                  </be>
                  <e key="change" refId="129" id="ChangeEnum">CHG_CF</e>
                  <e key="dataType" refId="130" id="DataType">TYPE_U</e>
                  <b key="prevailingDataType">N</b>
                  <e key="editability" refId="131" id="EditableEnum">X</e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e key="periodicCalculation" refId="132" id="PeriodicCalculationEnum">Y</e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133" keid="SYS_STR" veid="ElaborationsLauncher"/>
              <m key="actionLists" refId="134" keid="SYS_STR" veid="Reporting.com.tagetik.actionlist.ISnapshotActionList,Reporting"/>
              <l key="areas" refId="135" ln="0" eid="SYS_STR"/>
              <l key="charts" refId="136" ln="0" eid="SYS_STR"/>
              <l key="pivots" refId="137" ln="0" eid="SYS_STR"/>
            </be>
          </val>
          <key>
            <s>Template09</s>
          </key>
          <val>
            <be refId="138" clsId="ReportTemplateVO">
              <s key="code">Template09</s>
              <s key="desc">ALLOC</s>
              <m key="matrices" refId="139" keid="SYS_STR" veid="Reporting.com.tagetik.tables.IMatrixPositionBlockVO,Reporting">
                <key>
                  <s>Matrix00 copy00</s>
                </key>
                <val>
                  <be refId="140" clsId="MatrixPositionBlockVO">
                    <s key="positionID">Matrix00 copy00</s>
                    <be key="rows" refId="141" clsId="FilterNode">
                      <l key="dimensionOids" refId="142" ln="0" eid="DimensionOid"/>
                      <l key="AdHocParamDimensionOids" refId="143" ln="0" eid="DimensionOid"/>
                      <be key="data" refId="144" clsId="FilterNodeData">
                        <ref key="filterNode" refId="141"/>
                        <i key="segmentLevel">0</i>
                        <ref key="segment" refId="125"/>
                        <b key="placeHolder">N</b>
                        <ref key="weight" refId="126"/>
                        <be key="textMatchingCondition" refId="145" clsId="TextMatchingCondition">
                          <ref key="op" refId="128"/>
                          <s key="val"/>
                        </be>
                        <ref key="change" refId="129"/>
                        <ref key="dataType" refId="130"/>
                        <b key="prevailingDataType">N</b>
                        <ref key="editability" refId="131"/>
                        <b key="signChange">N</b>
                        <b key="nativeSignChange">N</b>
                        <i key="sco">0</i>
                        <b key="applyFiltersForForcedScenarioPeriodoMap">N</b>
                        <b key="lineSplit">N</b>
                        <b key="addRCRow">N</b>
                        <b key="complementary">N</b>
                        <ref key="periodicCalculation" refId="132"/>
                        <b key="breakLevelSubtotal">N</b>
                        <b key="alreadyDrilled">N</b>
                        <b key="multiSelection">N</b>
                      </be>
                      <cust key="id" clsId="FilterOid">1</cust>
                      <s key="desc">Rows</s>
                      <i key="index">0</i>
                      <l key="children" refId="146" ln="1" eid="Framework.com.tagetik.trees.INode,framework">
                        <be refId="147" clsId="FilterNode">
                          <l key="dimensionOids" refId="148" ln="1" eid="DimensionOid">
                            <cust clsId="DimensionOid">434F55-45-434F554E544552---</cust>
                          </l>
                          <l key="AdHocParamDimensionOids" refId="149" ln="0" eid="DimensionOid"/>
                          <be key="data" refId="150" clsId="FilterNodeData">
                            <ref key="filterNode" refId="147"/>
                            <s key="dim">COU</s>
                            <i key="segmentLevel">0</i>
                            <ref key="segment" refId="125"/>
                            <b key="placeHolder">N</b>
                            <ref key="weight" refId="126"/>
                            <be key="dinamico" refId="151" clsId="ReportingDinamicita">
                              <e key="dynamicType" refId="152" id="DynamicEnum">COUNTER</e>
                              <b key="withSubtotal">N</b>
                              <b key="isPartecipatedCompany">N</b>
                              <b key="withSubtotalUntilStartingNode">N</b>
                              <b key="detailSubtotal">N</b>
                              <e key="pruning" refId="153" id="PruningEnum">N</e>
                              <i key="addictionalRowsToOpen">0</i>
                              <b key="allowOpenNewElements">N</b>
                            </be>
                            <be key="textMatchingCondition" refId="154" clsId="TextMatchingCondition">
                              <ref key="op" refId="128"/>
                              <s key="val"/>
                            </be>
                            <ref key="change" refId="129"/>
                            <ref key="dataType" refId="130"/>
                            <b key="prevailingDataType">N</b>
                            <e key="editability" refId="155" id="EditableEnum">S</e>
                            <b key="signChange">N</b>
                            <b key="nativeSignChange">N</b>
                            <l key="nav" refId="156" ln="0" eid="ScenarioModifierValue"/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e key="periodicCalculation" refId="157" id="PeriodicCalculationEnum">A</e>
                            <b key="breakLevelSubtotal">N</b>
                            <b key="alreadyDrilled">N</b>
                            <m key="nodeTypes" refId="158" keid="SYS_STR" veid="EFReportingNodeType">
                              <key>
                                <s>434F55-45-434F554E544552---</s>
                              </key>
                              <val>
                                <e refId="159" id="EFReportingNodeType">N</e>
                              </val>
                            </m>
                            <b key="multiSelection">N</b>
                          </be>
                          <cust key="id" clsId="FilterOid">2</cust>
                          <s key="cod"/>
                          <s key="desc"/>
                          <i key="index">0</i>
                          <l key="children" refId="160" ln="0" eid="Framework.com.tagetik.trees.INode,framework"/>
                          <ref key="parent" refId="141"/>
                        </be>
                      </l>
                    </be>
                    <be key="columns" refId="161" clsId="FilterNode">
                      <l key="dimensionOids" refId="162" ln="0" eid="DimensionOid"/>
                      <l key="AdHocParamDimensionOids" refId="163" ln="0" eid="DimensionOid"/>
                      <be key="data" refId="164" clsId="FilterNodeData">
                        <ref key="filterNode" refId="161"/>
                        <i key="segmentLevel">0</i>
                        <ref key="segment" refId="125"/>
                        <b key="placeHolder">N</b>
                        <ref key="weight" refId="126"/>
                        <be key="textMatchingCondition" refId="165" clsId="TextMatchingCondition">
                          <ref key="op" refId="128"/>
                          <s key="val"/>
                        </be>
                        <ref key="change" refId="129"/>
                        <ref key="dataType" refId="130"/>
                        <b key="prevailingDataType">N</b>
                        <ref key="editability" refId="131"/>
                        <b key="signChange">N</b>
                        <b key="nativeSignChange">N</b>
                        <i key="sco">0</i>
                        <b key="applyFiltersForForcedScenarioPeriodoMap">N</b>
                        <b key="lineSplit">N</b>
                        <b key="addRCRow">N</b>
                        <b key="complementary">N</b>
                        <ref key="periodicCalculation" refId="132"/>
                        <b key="breakLevelSubtotal">N</b>
                        <b key="alreadyDrilled">N</b>
                        <b key="multiSelection">N</b>
                      </be>
                      <cust key="id" clsId="FilterOid">1</cust>
                      <s key="desc">Columns</s>
                      <i key="index">0</i>
                      <l key="children" refId="166" ln="2" eid="Framework.com.tagetik.trees.INode,framework">
                        <be refId="167" clsId="FilterNode">
                          <l key="dimensionOids" refId="168" ln="1" eid="DimensionOid">
                            <cust clsId="DimensionOid">41575F54454246534E45425443574E425052-45-5A434D4956414747534452414E4E48-484949434C4E4D535352494E574256---7C4F57537C-303030303031</cust>
                          </l>
                          <l key="AdHocParamDimensionOids" refId="169" ln="0" eid="DimensionOid"/>
                          <be key="data" refId="170" clsId="FilterNodeData">
                            <ref key="filterNode" refId="167"/>
                            <s key="dim">AW_TEBFSNEBTCWNBPR</s>
                            <i key="segmentLevel">0</i>
                            <ref key="segment" refId="125"/>
                            <b key="placeHolder">N</b>
                            <ref key="weight" refId="126"/>
                            <be key="textMatchingCondition" refId="171" clsId="TextMatchingCondition">
                              <ref key="op" refId="128"/>
                              <s key="val"/>
                            </be>
                            <ref key="change" refId="129"/>
                            <ref key="dataType" refId="130"/>
                            <b key="prevailingDataType">N</b>
                            <ref key="editability" refId="131"/>
                            <b key="signChange">N</b>
                            <b key="nativeSignChange">N</b>
                            <l key="nav" refId="172" ln="0" eid="ScenarioModifierValue"/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157"/>
                            <b key="breakLevelSubtotal">N</b>
                            <b key="alreadyDrilled">N</b>
                            <m key="nodeTypes" refId="173" keid="SYS_STR" veid="EFReportingNodeType">
                              <key>
                                <s>41575F54454246534E45425443574E425052-45-5A434D4956414747534452414E4E48-484949434C4E4D535352494E574256---7C4F57537C-303030303031</s>
                              </key>
                              <val>
                                <ref refId="159"/>
                              </val>
                            </m>
                            <b key="multiSelection">N</b>
                          </be>
                          <cust key="id" clsId="FilterOid">2</cust>
                          <s key="cod"/>
                          <s key="desc"/>
                          <i key="index">0</i>
                          <l key="children" refId="174" ln="0" eid="Framework.com.tagetik.trees.INode,framework"/>
                          <ref key="parent" refId="161"/>
                        </be>
                        <be refId="175" clsId="FilterNode">
                          <l key="dimensionOids" refId="176" ln="1" eid="DimensionOid">
                            <cust clsId="DimensionOid">41575F54454246534E45425443574E425052-45-544F59424A4B474B4C4E414C59504F-484949434C4E4D535352494E574256---7C4F57537C-303030303031</cust>
                          </l>
                          <l key="AdHocParamDimensionOids" refId="177" ln="0" eid="DimensionOid"/>
                          <be key="data" refId="178" clsId="FilterNodeData">
                            <ref key="filterNode" refId="175"/>
                            <s key="dim">AW_TEBFSNEBTCWNBPR</s>
                            <i key="segmentLevel">0</i>
                            <ref key="segment" refId="125"/>
                            <b key="placeHolder">N</b>
                            <ref key="weight" refId="126"/>
                            <be key="textMatchingCondition" refId="179" clsId="TextMatchingCondition">
                              <ref key="op" refId="128"/>
                              <s key="val"/>
                            </be>
                            <ref key="change" refId="129"/>
                            <ref key="dataType" refId="130"/>
                            <b key="prevailingDataType">N</b>
                            <ref key="editability" refId="131"/>
                            <b key="signChange">N</b>
                            <b key="nativeSignChange">N</b>
                            <l key="nav" refId="180" ln="0" eid="ScenarioModifierValue"/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157"/>
                            <b key="breakLevelSubtotal">N</b>
                            <b key="alreadyDrilled">N</b>
                            <m key="nodeTypes" refId="181" keid="SYS_STR" veid="EFReportingNodeType">
                              <key>
                                <s>41575F54454246534E45425443574E425052-45-544F59424A4B474B4C4E414C59504F-484949434C4E4D535352494E574256---7C4F57537C-303030303031</s>
                              </key>
                              <val>
                                <ref refId="159"/>
                              </val>
                            </m>
                            <b key="multiSelection">N</b>
                          </be>
                          <cust key="id" clsId="FilterOid">3</cust>
                          <s key="cod"/>
                          <s key="desc"/>
                          <i key="index">1</i>
                          <l key="children" refId="182" ln="0" eid="Framework.com.tagetik.trees.INode,framework"/>
                          <ref key="parent" refId="161"/>
                        </be>
                      </l>
                    </be>
                    <be key="matrixFilters" refId="183" clsId="FilterNode">
                      <l key="dimensionOids" refId="184" ln="0" eid="DimensionOid"/>
                      <l key="AdHocParamDimensionOids" refId="185" ln="0" eid="DimensionOid"/>
                      <be key="data" refId="186" clsId="FilterNodeData">
                        <ref key="filterNode" refId="183"/>
                        <i key="segmentLevel">0</i>
                        <ref key="segment" refId="125"/>
                        <b key="placeHolder">N</b>
                        <ref key="weight" refId="126"/>
                        <be key="textMatchingCondition" refId="187" clsId="TextMatchingCondition">
                          <ref key="op" refId="128"/>
                          <s key="val"/>
                        </be>
                        <ref key="change" refId="129"/>
                        <ref key="dataType" refId="130"/>
                        <b key="prevailingDataType">N</b>
                        <ref key="editability" refId="131"/>
                        <b key="signChange">N</b>
                        <b key="nativeSignChange">N</b>
                        <i key="sco">0</i>
                        <b key="applyFiltersForForcedScenarioPeriodoMap">N</b>
                        <b key="lineSplit">N</b>
                        <b key="addRCRow">N</b>
                        <b key="complementary">N</b>
                        <ref key="periodicCalculation" refId="132"/>
                        <b key="breakLevelSubtotal">N</b>
                        <b key="alreadyDrilled">N</b>
                        <b key="multiSelection">N</b>
                      </be>
                      <cust key="id" clsId="FilterOid">1</cust>
                      <s key="desc">Matrix</s>
                      <i key="index">0</i>
                      <l key="children" refId="188" ln="1" eid="Framework.com.tagetik.trees.INode,framework">
                        <be refId="189" clsId="FilterNode">
                          <l key="dimensionOids" refId="190" ln="1" eid="DimensionOid">
                            <cust clsId="DimensionOid">504552-45-3132---</cust>
                          </l>
                          <l key="AdHocParamDimensionOids" refId="191" ln="0" eid="DimensionOid"/>
                          <be key="data" refId="192" clsId="FilterNodeData">
                            <ref key="filterNode" refId="189"/>
                            <s key="dim">PER</s>
                            <i key="segmentLevel">0</i>
                            <ref key="segment" refId="125"/>
                            <b key="placeHolder">N</b>
                            <ref key="weight" refId="126"/>
                            <be key="textMatchingCondition" refId="193" clsId="TextMatchingCondition">
                              <ref key="op" refId="128"/>
                              <s key="val"/>
                            </be>
                            <ref key="change" refId="129"/>
                            <ref key="dataType" refId="130"/>
                            <b key="prevailingDataType">N</b>
                            <ref key="editability" refId="131"/>
                            <b key="signChange">N</b>
                            <b key="nativeSignChange">N</b>
                            <l key="nav" refId="194" ln="0" eid="ScenarioModifierValue"/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157"/>
                            <b key="breakLevelSubtotal">N</b>
                            <b key="alreadyDrilled">N</b>
                            <b key="multiSelection">N</b>
                          </be>
                          <cust key="id" clsId="FilterOid">2</cust>
                          <s key="cod"/>
                          <s key="desc"/>
                          <i key="index">0</i>
                          <l key="children" refId="195" ln="1" eid="Framework.com.tagetik.trees.INode,framework">
                            <be refId="196" clsId="FilterNode">
                              <l key="dimensionOids" refId="197" ln="1" eid="DimensionOid">
                                <cust clsId="DimensionOid">534345-45-323032374255445F5631---</cust>
                              </l>
                              <l key="AdHocParamDimensionOids" refId="198" ln="0" eid="DimensionOid"/>
                              <be key="data" refId="199" clsId="FilterNodeData">
                                <ref key="filterNode" refId="196"/>
                                <s key="dim">SCE</s>
                                <i key="segmentLevel">0</i>
                                <ref key="segment" refId="125"/>
                                <b key="placeHolder">N</b>
                                <ref key="weight" refId="126"/>
                                <be key="textMatchingCondition" refId="200" clsId="TextMatchingCondition">
                                  <ref key="op" refId="128"/>
                                  <s key="val"/>
                                </be>
                                <ref key="change" refId="129"/>
                                <ref key="dataType" refId="130"/>
                                <b key="prevailingDataType">N</b>
                                <ref key="editability" refId="131"/>
                                <b key="signChange">N</b>
                                <b key="nativeSignChange">N</b>
                                <l key="nav" refId="20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157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</cust>
                              <s key="cod"/>
                              <s key="desc"/>
                              <i key="index">0</i>
                              <l key="children" refId="202" ln="1" eid="Framework.com.tagetik.trees.INode,framework">
                                <be refId="203" clsId="FilterNode">
                                  <l key="dimensionOids" refId="204" ln="1" eid="DimensionOid">
                                    <cust clsId="DimensionOid">414E4C5F56455253494F4E-45-47454E---</cust>
                                  </l>
                                  <l key="AdHocParamDimensionOids" refId="205" ln="0" eid="DimensionOid"/>
                                  <be key="data" refId="206" clsId="FilterNodeData">
                                    <ref key="filterNode" refId="203"/>
                                    <s key="dim">ANL_VERSION</s>
                                    <i key="segmentLevel">0</i>
                                    <ref key="segment" refId="125"/>
                                    <b key="placeHolder">N</b>
                                    <ref key="weight" refId="126"/>
                                    <be key="textMatchingCondition" refId="207" clsId="TextMatchingCondition">
                                      <ref key="op" refId="128"/>
                                      <s key="val"/>
                                    </be>
                                    <ref key="change" refId="129"/>
                                    <ref key="dataType" refId="130"/>
                                    <b key="prevailingDataType">N</b>
                                    <ref key="editability" refId="131"/>
                                    <b key="signChange">N</b>
                                    <b key="nativeSignChange">N</b>
                                    <l key="nav" refId="208" ln="0" eid="ScenarioModifierValue"/>
                                    <i key="sco">0</i>
                                    <b key="applyFiltersForForcedScenarioPeriodoMap">N</b>
                                    <b key="lineSplit">N</b>
                                    <b key="addRCRow">N</b>
                                    <b key="complementary">N</b>
                                    <ref key="periodicCalculation" refId="157"/>
                                    <b key="breakLevelSubtotal">N</b>
                                    <b key="alreadyDrilled">N</b>
                                    <b key="multiSelection">N</b>
                                  </be>
                                  <cust key="id" clsId="FilterOid">4</cust>
                                  <s key="cod"/>
                                  <s key="desc"/>
                                  <i key="index">0</i>
                                  <l key="children" refId="209" ln="1" eid="Framework.com.tagetik.trees.INode,framework">
                                    <be refId="210" clsId="FilterNode">
                                      <l key="dimensionOids" refId="211" ln="1" eid="DimensionOid">
                                        <cust clsId="DimensionOid">415A49-45-475250---</cust>
                                      </l>
                                      <l key="AdHocParamDimensionOids" refId="212" ln="0" eid="DimensionOid"/>
                                      <be key="data" refId="213" clsId="FilterNodeData">
                                        <ref key="filterNode" refId="210"/>
                                        <s key="dim">AZI</s>
                                        <i key="segmentLevel">0</i>
                                        <ref key="segment" refId="125"/>
                                        <b key="placeHolder">N</b>
                                        <ref key="weight" refId="126"/>
                                        <be key="textMatchingCondition" refId="214" clsId="TextMatchingCondition">
                                          <ref key="op" refId="128"/>
                                          <s key="val"/>
                                        </be>
                                        <ref key="change" refId="129"/>
                                        <ref key="dataType" refId="130"/>
                                        <b key="prevailingDataType">N</b>
                                        <ref key="editability" refId="131"/>
                                        <b key="signChange">N</b>
                                        <b key="nativeSignChange">N</b>
                                        <l key="nav" refId="215" ln="0" eid="ScenarioModifierValue"/>
                                        <i key="sco">0</i>
                                        <b key="applyFiltersForForcedScenarioPeriodoMap">N</b>
                                        <b key="lineSplit">N</b>
                                        <b key="addRCRow">N</b>
                                        <b key="complementary">N</b>
                                        <ref key="periodicCalculation" refId="157"/>
                                        <b key="breakLevelSubtotal">N</b>
                                        <b key="alreadyDrilled">N</b>
                                        <b key="multiSelection">N</b>
                                      </be>
                                      <cust key="id" clsId="FilterOid">6</cust>
                                      <s key="cod"/>
                                      <s key="desc"/>
                                      <i key="index">0</i>
                                      <l key="children" refId="216" ln="1" eid="Framework.com.tagetik.trees.INode,framework">
                                        <be refId="217" clsId="FilterNode">
                                          <l key="dimensionOids" refId="218" ln="4" eid="DimensionOid">
                                            <cust clsId="DimensionOid">564F435F303130-45-414C4C4F435F4252414E445F43414D50---</cust>
                                            <cust clsId="DimensionOid">564F435F303130-45-414C4C4F435F43414D505F434C415353---</cust>
                                            <cust clsId="DimensionOid">564F435F303130-45-414C4C4F435F4752505F484F4C44494E47---</cust>
                                            <cust clsId="DimensionOid">564F435F303130-45-414C4C4F435F4752505F4D4152515545---</cust>
                                          </l>
                                          <l key="AdHocParamDimensionOids" refId="219" ln="0" eid="DimensionOid"/>
                                          <be key="data" refId="220" clsId="FilterNodeData">
                                            <ref key="filterNode" refId="217"/>
                                            <s key="dim">VOC_010</s>
                                            <i key="segmentLevel">0</i>
                                            <ref key="segment" refId="125"/>
                                            <b key="placeHolder">N</b>
                                            <ref key="weight" refId="126"/>
                                            <be key="textMatchingCondition" refId="221" clsId="TextMatchingCondition">
                                              <ref key="op" refId="128"/>
                                              <s key="val"/>
                                            </be>
                                            <ref key="change" refId="129"/>
                                            <ref key="dataType" refId="130"/>
                                            <b key="prevailingDataType">N</b>
                                            <ref key="editability" refId="131"/>
                                            <b key="signChange">N</b>
                                            <b key="nativeSignChange">N</b>
                                            <i key="sco">0</i>
                                            <b key="applyFiltersForForcedScenarioPeriodoMap">N</b>
                                            <b key="lineSplit">N</b>
                                            <b key="addRCRow">N</b>
                                            <b key="complementary">N</b>
                                            <ref key="periodicCalculation" refId="157"/>
                                            <b key="breakLevelSubtotal">N</b>
                                            <b key="alreadyDrilled">N</b>
                                            <b key="multiSelection">N</b>
                                          </be>
                                          <cust key="id" clsId="FilterOid">7</cust>
                                          <i key="index">0</i>
                                          <ref key="parent" refId="210"/>
                                        </be>
                                      </l>
                                      <ref key="parent" refId="203"/>
                                    </be>
                                  </l>
                                  <ref key="parent" refId="196"/>
                                </be>
                              </l>
                              <ref key="parent" refId="189"/>
                            </be>
                          </l>
                          <ref key="parent" refId="183"/>
                        </be>
                      </l>
                    </be>
                    <be key="rowHeaders" refId="222" clsId="ReportingHeaders">
                      <m key="headers" refId="223" keid="SYS_PR_I" veid="System.Collections.IList"/>
                      <m key="headersDims" refId="224" keid="SYS_PR_I" veid="SYS_STR"/>
                    </be>
                    <be key="columnHeaders" refId="225" clsId="ReportingHeaders">
                      <m key="headers" refId="226" keid="SYS_PR_I" veid="System.Collections.IList"/>
                      <m key="headersDims" refId="227" keid="SYS_PR_I" veid="SYS_STR"/>
                    </be>
                    <e key="styleType" refId="228" id="MatrixStyleType">0</e>
                    <b key="subtotalOnTop">N</b>
                    <b key="leavesFirst">N</b>
                    <b key="groupSubtotal">N</b>
                    <b key="replaceWithPlaceholder">N</b>
                    <b key="onlyFirstHeader">N</b>
                    <b key="allowRangeBreak">N</b>
                    <b key="showZeros">N</b>
                    <i key="maxRows">0</i>
                    <e key="rowsExpansionMode" refId="229" id="RowColExpansionMode">0</e>
                    <i key="maxCols">0</i>
                    <ref key="colsExpansionMode" refId="229"/>
                    <e key="columnsAutofitMode" refId="230" id="ColumnsAutofitMode">0</e>
                    <b key="isEditabilityOnDemand">N</b>
                    <b key="useForcedBoundDims">N</b>
                    <e key="disableHints" refId="231" id="MatrixHintsPolicy">C</e>
                    <e key="enableOptimization" refId="232" id="EnableLaunchFormDEOptimization">C</e>
                    <e key="tipoAllineamentoLordiIC" refId="233" id="TipoAllineamentoLordiIC">X</e>
                    <set key="forcedDimensions" refId="234" ln="0" eid="SYS_STR"/>
                    <b key="bindOriginalAmountOnSave">N</b>
                    <b key="showLink">N</b>
                    <i key="index">0</i>
                    <b key="excludeValuatingSheetsWithZeroValues">N</b>
                    <m key="addictionalStyleSheets" refId="235" keid="SYS_STR" veid="StyleSheet"/>
                    <b key="allowOpenNewElements">N</b>
                    <s key="forcedBreakBackType">X</s>
                    <s key="forcedBreakBackRefLeaf">X</s>
                    <b key="autoOpenNewElements">N</b>
                    <b key="askNumRows">N</b>
                    <set key="forcedContentCells" refId="236" ln="0" eid="Reporting.com.tagetik.tables.IMatixCellLeafPositions,Reporting"/>
                    <m key="forcedEditModes" refId="237" keid="Reporting.com.tagetik.tables.IMatixCellLeafPositions,Reporting" veid="SYS_STR"/>
                    <b key="UseTxlDeFormEditor">N</b>
                    <be key="TxDeFormsEditorDescriptor" refId="238" clsId="TxDeFormsEditorDescriptor">
                      <l key="Tabs" refId="239" ln="0" eid="TxDeFormsEditorGridDescriptor"/>
                      <i key="Height">400</i>
                      <i key="Width">430</i>
                      <b key="editButton">S</b>
                      <b key="newButton">S</b>
                      <b key="deleteButton">S</b>
                    </be>
                    <be key="workspaceTableInfo" refId="240" clsId="matrixWSInfo">
                      <b key="isT">S</b>
                      <s key="wsCode">002</s>
                      <s key="tableCode">000001</s>
                    </be>
                    <be key="customFilters" refId="241" clsId="ExpCustomFiltersProspetto"/>
                  </be>
                </val>
              </m>
              <m key="cellFields" refId="242" keid="SYS_STR" veid="CodeCellField"/>
              <m key="dictionary" refId="243" keid="SYS_STR" veid="CodeMultiDescVO"/>
              <m key="controlExpressions" refId="244" keid="SYS_STR" veid="CodedExpControlloProspetto"/>
              <m key="inlineParameters" refId="245" keid="SYS_STR" veid="CodedInlineParameter"/>
              <m key="queries" refId="246" keid="SYS_STR" veid="Reporting.com.tagetik.query.IUserDefinedQueryVO,Reporting"/>
              <be key="sheets" refId="247" clsId="FilterNode">
                <l key="dimensionOids" refId="248" ln="0" eid="DimensionOid"/>
                <l key="AdHocParamDimensionOids" refId="249" ln="0" eid="DimensionOid"/>
                <be key="data" refId="250" clsId="FilterNodeData">
                  <ref key="filterNode" refId="247"/>
                  <i key="segmentLevel">0</i>
                  <ref key="segment" refId="125"/>
                  <b key="placeHolder">N</b>
                  <ref key="weight" refId="126"/>
                  <be key="textMatchingCondition" refId="251" clsId="TextMatchingCondition">
                    <ref key="op" refId="128"/>
                    <s key="val"/>
                  </be>
                  <ref key="change" refId="129"/>
                  <ref key="dataType" refId="130"/>
                  <b key="prevailingDataType">N</b>
                  <ref key="editability" refId="131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132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252" keid="SYS_STR" veid="ElaborationsLauncher"/>
              <m key="actionLists" refId="253" keid="SYS_STR" veid="Reporting.com.tagetik.actionlist.ISnapshotActionList,Reporting"/>
              <l key="areas" refId="254" ln="4" eid="SYS_STR">
                <s>ALLOC_BRAND_CAMP</s>
                <s>ALLOC_CAMP_CLASS</s>
                <s>ALLOC_GRP_BRAND</s>
                <s>ALLOC_GRP_MARQUE</s>
              </l>
              <l key="charts" refId="255" ln="0" eid="SYS_STR"/>
              <l key="pivots" refId="256" ln="0" eid="SYS_STR"/>
            </be>
          </val>
        </m>
        <m key="templateLayouts" refId="257" keid="SYS_STR" veid="Reporting.com.tagetik.report.IReportTemplateLayoutVO,Reporting">
          <key>
            <s>Template01</s>
          </key>
          <val>
            <be refId="258" clsId="ReportTemplateLayoutVO">
              <i key="index">1</i>
              <s key="code">Template01</s>
              <m key="cellFieldAddresses" refId="259" keid="SYS_STR" veid="Reporting.com.tagetik.spreadsheet.gridwrappers.IGridReaderVO,Reporting"/>
              <m key="controlExpressionsAddresses" refId="260" keid="SYS_STR" veid="Reporting.com.tagetik.spreadsheet.gridwrappers.IGridReaderVO,Reporting"/>
              <m key="inlineParameterAddresses" refId="261" keid="SYS_STR" veid="Reporting.com.tagetik.spreadsheet.gridwrappers.IGridReaderVO,Reporting"/>
              <m key="dictionaryAddresses" refId="262" keid="SYS_STR" veid="Reporting.com.tagetik.spreadsheet.gridwrappers.IGridReaderVO,Reporting"/>
              <m key="hyperlinkAddresses" refId="263" keid="SYS_STR" veid="Reporting.com.tagetik.spreadsheet.gridwrappers.IGridReaderVO,Reporting"/>
              <m key="matrixGridReaders" refId="264" keid="SYS_STR" veid="Reporting.com.tagetik.spreadsheet.gridwrappers.IGridReaderVO,Reporting"/>
              <m key="queryGridReaders" refId="265" keid="SYS_STR" veid="Reporting.com.tagetik.spreadsheet.gridwrappers.IGridReaderVO,Reporting">
                <key>
                  <s>Query00</s>
                </key>
                <val>
                  <be refId="266" clsId="ExcelCompactGridReaderVO">
                    <be key="element" refId="267" clsId="BasicLogicalElement">
                      <i key="columnHeadersCount">1</i>
                      <i key="rowHeadersCount">0</i>
                      <i key="valueColumns">31</i>
                      <i key="valueRows">1</i>
                    </be>
                    <s key="firstCell">A1</s>
                  </be>
                </val>
              </m>
            </be>
          </val>
          <key>
            <s>Template09</s>
          </key>
          <val>
            <be refId="268" clsId="ReportTemplateLayoutVO">
              <i key="index">0</i>
              <s key="code">Template09</s>
              <m key="cellFieldAddresses" refId="269" keid="SYS_STR" veid="Reporting.com.tagetik.spreadsheet.gridwrappers.IGridReaderVO,Reporting"/>
              <m key="controlExpressionsAddresses" refId="270" keid="SYS_STR" veid="Reporting.com.tagetik.spreadsheet.gridwrappers.IGridReaderVO,Reporting"/>
              <m key="inlineParameterAddresses" refId="271" keid="SYS_STR" veid="Reporting.com.tagetik.spreadsheet.gridwrappers.IGridReaderVO,Reporting"/>
              <m key="dictionaryAddresses" refId="272" keid="SYS_STR" veid="Reporting.com.tagetik.spreadsheet.gridwrappers.IGridReaderVO,Reporting"/>
              <m key="hyperlinkAddresses" refId="273" keid="SYS_STR" veid="Reporting.com.tagetik.spreadsheet.gridwrappers.IGridReaderVO,Reporting"/>
              <m key="matrixGridReaders" refId="274" keid="SYS_STR" veid="Reporting.com.tagetik.spreadsheet.gridwrappers.IGridReaderVO,Reporting">
                <key>
                  <s>Matrix00 copy00</s>
                </key>
                <val>
                  <be refId="275" clsId="ExcelCompactGridReaderVO">
                    <be key="element" refId="276" clsId="BasicLogicalElement">
                      <i key="columnHeadersCount">0</i>
                      <i key="rowHeadersCount">0</i>
                      <i key="valueColumns">2</i>
                      <i key="valueRows">1</i>
                    </be>
                    <s key="firstCell">B6</s>
                  </be>
                </val>
              </m>
              <m key="queryGridReaders" refId="277" keid="SYS_STR" veid="Reporting.com.tagetik.spreadsheet.gridwrappers.IGridReaderVO,Reporting"/>
            </be>
          </val>
        </m>
        <m key="adHocParameters" refId="278" keid="SYS_STR" veid="ProspParametro"/>
        <l key="parametersToBeRequested" refId="279" ln="0" eid="ParameterInfo"/>
      </be>
      <be key="launchResult" refId="280" clsId="MultiRepLaunchResult">
        <be key="elabResult" refId="281" clsId="ElabResult">
          <s key="id">2C948082A039DF8A01A03E7AC9B248D0</s>
          <m key="properties" refId="282" keid="SYS_STR" veid="SYS_STR"/>
          <e key="status" refId="283" id="ElabStatusEnum">C</e>
        </be>
        <m key="valori" refId="284" keid="SYS_STR" veid="ProspElaborationTaskResult">
          <key>
            <s>Template09</s>
          </key>
          <val>
            <be refId="285" clsId="ProspElaborationTaskResult">
              <be key="prospElaborazioneResult" refId="286" clsId="ProspElaborationResult">
                <s key="dbId">TGK_HANASTD_01</s>
                <e key="endInsertionStatus" refId="287" id="EndInsertionNotifierResult">CANNOT_MANAGE</e>
                <m key="valori" refId="288" keid="SYS_STR" veid="Framework.com.tagetik.datatypes.IRecordset,framework"/>
                <d key="runDate">1787754629588</d>
                <m key="tableNameOfRow" refId="289" keid="SYS_STR" veid="TableNameInfo">
                  <key>
                    <s>Matrix00 copy00</s>
                  </key>
                  <val>
                    <be refId="290" clsId="TableNameInfo">
                      <m key="tableNameAndOids" refId="291" keid="SYS_STR" veid="OidsWrapper"/>
                    </be>
                  </val>
                </m>
                <m key="intestazioni" refId="292" keid="SYS_STR" veid="Framework.com.tagetik.datatypes.IRecordset,framework"/>
                <m key="intestazioniLink" refId="293" keid="SYS_STR" veid="Framework.com.tagetik.datatypes.IRecordset,framework"/>
                <m key="celleEditabili" refId="294" keid="SYS_STR" veid="Reporting.com.tagetik.launchedreport.ReportingCell[],Reporting"/>
                <m key="dictionaryTerms" refId="295" keid="SYS_STR" veid="SYS_STR"/>
                <rs key="cellFields" refId="296" rowCount="0" fieldNames=""/>
                <be key="reportTemplate" refId="297" clsId="ReportTemplateVO">
                  <s key="code">Template09</s>
                  <s key="desc">ALLOC</s>
                  <m key="matrices" refId="298" keid="SYS_STR" veid="Reporting.com.tagetik.tables.IMatrixPositionBlockVO,Reporting">
                    <key>
                      <s>Matrix00 copy00</s>
                    </key>
                    <val>
                      <be refId="299" clsId="MatrixPositionBlockVO">
                        <s key="positionID">Matrix00 copy00</s>
                        <be key="rows" refId="300" clsId="FilterNode">
                          <l key="dimensionOids" refId="301" ln="0" eid="DimensionOid"/>
                          <l key="AdHocParamDimensionOids" refId="302" ln="0" eid="DimensionOid"/>
                          <be key="data" refId="303" clsId="FilterNodeData">
                            <ref key="filterNode" refId="300"/>
                            <i key="segmentLevel">0</i>
                            <ref key="segment" refId="125"/>
                            <b key="placeHolder">N</b>
                            <ref key="weight" refId="126"/>
                            <be key="textMatchingCondition" refId="304" clsId="TextMatchingCondition">
                              <ref key="op" refId="128"/>
                              <s key="val"/>
                            </be>
                            <ref key="change" refId="129"/>
                            <ref key="dataType" refId="130"/>
                            <b key="prevailingDataType">N</b>
                            <ref key="editability" refId="131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132"/>
                            <b key="breakLevelSubtotal">N</b>
                            <b key="alreadyDrilled">N</b>
                            <b key="multiSelection">N</b>
                          </be>
                          <cust key="id" clsId="FilterOid">1</cust>
                          <s key="desc">Rows</s>
                          <i key="index">0</i>
                          <l key="children" refId="305" ln="4" eid="Framework.com.tagetik.trees.INode,framework">
                            <be refId="306" clsId="FilterNode">
                              <l key="dimensionOids" refId="307" ln="1" eid="DimensionOid">
                                <cust clsId="DimensionOid">434F55-45-434F554E544552---</cust>
                              </l>
                              <l key="AdHocParamDimensionOids" refId="308" ln="0" eid="DimensionOid"/>
                              <be key="data" refId="309" clsId="FilterNodeData">
                                <ref key="filterNode" refId="306"/>
                                <s key="dim">COU</s>
                                <i key="segmentLevel">0</i>
                                <ref key="segment" refId="125"/>
                                <b key="placeHolder">N</b>
                                <ref key="weight" refId="126"/>
                                <be key="textMatchingCondition" refId="310" clsId="TextMatchingCondition">
                                  <ref key="op" refId="128"/>
                                  <s key="val"/>
                                </be>
                                <ref key="change" refId="129"/>
                                <ref key="dataType" refId="130"/>
                                <b key="prevailingDataType">N</b>
                                <ref key="editability" refId="155"/>
                                <s key="initialPositionID">1</s>
                                <s key="originalID">2</s>
                                <b key="signChange">N</b>
                                <b key="nativeSignChange">N</b>
                                <l key="nav" refId="31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s key="generateElementId">2C948082A017337301A01AB5DD5A6099</s>
                                <b key="complementary">N</b>
                                <ref key="periodicCalculation" refId="157"/>
                                <b key="breakLevelSubtotal">N</b>
                                <b key="alreadyDrilled">N</b>
                                <m key="nodeTypes" refId="312" keid="SYS_STR" veid="EFReportingNodeType">
                                  <key>
                                    <s>434F55-45-434F554E544552---</s>
                                  </key>
                                  <val>
                                    <ref refId="159"/>
                                  </val>
                                </m>
                                <b key="multiSelection">N</b>
                              </be>
                              <cust key="id" clsId="FilterOid">3</cust>
                              <s key="cod"/>
                              <s key="desc"/>
                              <i key="index">0</i>
                              <l key="children" refId="313" ln="0" eid="Framework.com.tagetik.trees.INode,framework"/>
                              <ref key="parent" refId="300"/>
                            </be>
                            <be refId="314" clsId="FilterNode">
                              <l key="dimensionOids" refId="315" ln="1" eid="DimensionOid">
                                <cust clsId="DimensionOid">434F55-45-434F554E544552---</cust>
                              </l>
                              <l key="AdHocParamDimensionOids" refId="316" ln="0" eid="DimensionOid"/>
                              <be key="data" refId="317" clsId="FilterNodeData">
                                <ref key="filterNode" refId="314"/>
                                <s key="dim">COU</s>
                                <i key="segmentLevel">0</i>
                                <ref key="segment" refId="125"/>
                                <b key="placeHolder">N</b>
                                <ref key="weight" refId="126"/>
                                <ref key="textMatchingCondition" refId="310"/>
                                <ref key="change" refId="129"/>
                                <ref key="dataType" refId="130"/>
                                <b key="prevailingDataType">N</b>
                                <ref key="editability" refId="155"/>
                                <s key="initialPositionID">1</s>
                                <s key="originalID">2</s>
                                <b key="signChange">N</b>
                                <b key="nativeSignChange">N</b>
                                <l key="nav" refId="31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s key="generateElementId">2C948082A017337301A01AB68B0A6592</s>
                                <b key="complementary">N</b>
                                <ref key="periodicCalculation" refId="157"/>
                                <b key="breakLevelSubtotal">N</b>
                                <b key="alreadyDrilled">N</b>
                                <m key="nodeTypes" refId="319" keid="SYS_STR" veid="EFReportingNodeType">
                                  <key>
                                    <s>434F55-45-434F554E544552---</s>
                                  </key>
                                  <val>
                                    <ref refId="159"/>
                                  </val>
                                </m>
                                <b key="multiSelection">N</b>
                              </be>
                              <cust key="id" clsId="FilterOid">4</cust>
                              <s key="cod"/>
                              <s key="desc"/>
                              <i key="index">1</i>
                              <l key="children" refId="320" ln="0" eid="Framework.com.tagetik.trees.INode,framework"/>
                              <ref key="parent" refId="300"/>
                            </be>
                            <be refId="321" clsId="FilterNode">
                              <l key="dimensionOids" refId="322" ln="1" eid="DimensionOid">
                                <cust clsId="DimensionOid">434F55-45-434F554E544552---</cust>
                              </l>
                              <l key="AdHocParamDimensionOids" refId="323" ln="0" eid="DimensionOid"/>
                              <be key="data" refId="324" clsId="FilterNodeData">
                                <ref key="filterNode" refId="321"/>
                                <s key="dim">COU</s>
                                <i key="segmentLevel">0</i>
                                <ref key="segment" refId="125"/>
                                <b key="placeHolder">N</b>
                                <ref key="weight" refId="126"/>
                                <ref key="textMatchingCondition" refId="310"/>
                                <ref key="change" refId="129"/>
                                <ref key="dataType" refId="130"/>
                                <b key="prevailingDataType">N</b>
                                <ref key="editability" refId="155"/>
                                <s key="initialPositionID">1</s>
                                <s key="originalID">2</s>
                                <b key="signChange">N</b>
                                <b key="nativeSignChange">N</b>
                                <l key="nav" refId="32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s key="generateElementId">2C948082A017337301A01AB5DD506094</s>
                                <b key="complementary">N</b>
                                <ref key="periodicCalculation" refId="157"/>
                                <b key="breakLevelSubtotal">N</b>
                                <b key="alreadyDrilled">N</b>
                                <m key="nodeTypes" refId="326" keid="SYS_STR" veid="EFReportingNodeType">
                                  <key>
                                    <s>434F55-45-434F554E544552---</s>
                                  </key>
                                  <val>
                                    <ref refId="159"/>
                                  </val>
                                </m>
                                <b key="multiSelection">N</b>
                              </be>
                              <cust key="id" clsId="FilterOid">5</cust>
                              <s key="cod"/>
                              <s key="desc"/>
                              <i key="index">2</i>
                              <l key="children" refId="327" ln="0" eid="Framework.com.tagetik.trees.INode,framework"/>
                              <ref key="parent" refId="300"/>
                            </be>
                            <be refId="328" clsId="FilterNode">
                              <l key="dimensionOids" refId="329" ln="1" eid="DimensionOid">
                                <cust clsId="DimensionOid">434F55-45-434F554E544552---</cust>
                              </l>
                              <l key="AdHocParamDimensionOids" refId="330" ln="0" eid="DimensionOid"/>
                              <be key="data" refId="331" clsId="FilterNodeData">
                                <ref key="filterNode" refId="328"/>
                                <s key="dim">COU</s>
                                <i key="segmentLevel">0</i>
                                <ref key="segment" refId="125"/>
                                <b key="placeHolder">N</b>
                                <ref key="weight" refId="126"/>
                                <ref key="textMatchingCondition" refId="310"/>
                                <ref key="change" refId="129"/>
                                <ref key="dataType" refId="130"/>
                                <b key="prevailingDataType">N</b>
                                <ref key="editability" refId="155"/>
                                <s key="initialPositionID">1</s>
                                <s key="originalID">2</s>
                                <b key="signChange">N</b>
                                <b key="nativeSignChange">N</b>
                                <l key="nav" refId="33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s key="generateElementId">2C948082A017337301A02026F20A54FF</s>
                                <b key="complementary">N</b>
                                <ref key="periodicCalculation" refId="157"/>
                                <b key="breakLevelSubtotal">N</b>
                                <b key="alreadyDrilled">N</b>
                                <m key="nodeTypes" refId="333" keid="SYS_STR" veid="EFReportingNodeType">
                                  <key>
                                    <s>434F55-45-434F554E544552---</s>
                                  </key>
                                  <val>
                                    <ref refId="159"/>
                                  </val>
                                </m>
                                <b key="multiSelection">N</b>
                              </be>
                              <cust key="id" clsId="FilterOid">6</cust>
                              <s key="cod"/>
                              <s key="desc"/>
                              <i key="index">3</i>
                              <l key="children" refId="334" ln="0" eid="Framework.com.tagetik.trees.INode,framework"/>
                              <ref key="parent" refId="300"/>
                            </be>
                          </l>
                        </be>
                        <be key="columns" refId="335" clsId="FilterNode">
                          <l key="dimensionOids" refId="336" ln="0" eid="DimensionOid"/>
                          <l key="AdHocParamDimensionOids" refId="337" ln="0" eid="DimensionOid"/>
                          <be key="data" refId="338" clsId="FilterNodeData">
                            <ref key="filterNode" refId="335"/>
                            <i key="segmentLevel">0</i>
                            <ref key="segment" refId="125"/>
                            <b key="placeHolder">N</b>
                            <ref key="weight" refId="126"/>
                            <be key="textMatchingCondition" refId="339" clsId="TextMatchingCondition">
                              <ref key="op" refId="128"/>
                              <s key="val"/>
                            </be>
                            <ref key="change" refId="129"/>
                            <ref key="dataType" refId="130"/>
                            <b key="prevailingDataType">N</b>
                            <ref key="editability" refId="131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132"/>
                            <b key="breakLevelSubtotal">N</b>
                            <b key="alreadyDrilled">N</b>
                            <b key="multiSelection">N</b>
                          </be>
                          <cust key="id" clsId="FilterOid">1</cust>
                          <s key="desc">Columns</s>
                          <i key="index">0</i>
                          <l key="children" refId="340" ln="2" eid="Framework.com.tagetik.trees.INode,framework">
                            <be refId="341" clsId="FilterNode">
                              <l key="dimensionOids" refId="342" ln="1" eid="DimensionOid">
                                <cust clsId="DimensionOid">41575F54454246534E45425443574E425052-45-5A434D4956414747534452414E4E48-484949434C4E4D535352494E574256---7C4F57537C-303030303031</cust>
                              </l>
                              <l key="AdHocParamDimensionOids" refId="343" ln="0" eid="DimensionOid"/>
                              <be key="data" refId="344" clsId="FilterNodeData">
                                <ref key="filterNode" refId="341"/>
                                <s key="dim">AW_TEBFSNEBTCWNBPR</s>
                                <i key="segmentLevel">0</i>
                                <ref key="segment" refId="125"/>
                                <be key="validationQuery" refId="345" clsId="ValidationQueryInfo">
                                  <s key="queryId">2C948082A039DF8A01A03E7ACA2B4AA9</s>
                                  <s key="queryFieldName">DESCRIPTION</s>
                                  <b key="dictMultiselection">N</b>
                                  <i key="maxDictMultiselectable">0</i>
                                </be>
                                <b key="placeHolder">N</b>
                                <ref key="weight" refId="126"/>
                                <be key="textMatchingCondition" refId="346" clsId="TextMatchingCondition">
                                  <ref key="op" refId="128"/>
                                  <s key="val"/>
                                </be>
                                <ref key="change" refId="129"/>
                                <ref key="dataType" refId="130"/>
                                <b key="prevailingDataType">N</b>
                                <ref key="editability" refId="131"/>
                                <s key="initialPositionID">1</s>
                                <s key="originalID">2</s>
                                <b key="signChange">N</b>
                                <b key="nativeSignChange">N</b>
                                <l key="nav" refId="34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157"/>
                                <b key="breakLevelSubtotal">N</b>
                                <b key="alreadyDrilled">N</b>
                                <m key="nodeTypes" refId="348" keid="SYS_STR" veid="EFReportingNodeType">
                                  <key>
                                    <s>41575F54454246534E45425443574E425052-45-5A434D4956414747534452414E4E48-484949434C4E4D535352494E574256---7C4F57537C-303030303031</s>
                                  </key>
                                  <val>
                                    <ref refId="159"/>
                                  </val>
                                </m>
                                <b key="multiSelection">N</b>
                              </be>
                              <cust key="id" clsId="FilterOid">2</cust>
                              <s key="cod"/>
                              <s key="desc"/>
                              <i key="index">0</i>
                              <l key="children" refId="349" ln="0" eid="Framework.com.tagetik.trees.INode,framework"/>
                              <ref key="parent" refId="335"/>
                            </be>
                            <be refId="350" clsId="FilterNode">
                              <l key="dimensionOids" refId="351" ln="1" eid="DimensionOid">
                                <cust clsId="DimensionOid">41575F54454246534E45425443574E425052-45-544F59424A4B474B4C4E414C59504F-484949434C4E4D535352494E574256---7C4F57537C-303030303031</cust>
                              </l>
                              <l key="AdHocParamDimensionOids" refId="352" ln="0" eid="DimensionOid"/>
                              <be key="data" refId="353" clsId="FilterNodeData">
                                <ref key="filterNode" refId="350"/>
                                <s key="dim">AW_TEBFSNEBTCWNBPR</s>
                                <i key="segmentLevel">0</i>
                                <ref key="segment" refId="125"/>
                                <be key="validationQuery" refId="354" clsId="ValidationQueryInfo">
                                  <s key="queryId">2C948082A039DF8A01A03E7ACA2B4AAA</s>
                                  <s key="queryFieldName">DESCRIPTION</s>
                                  <b key="dictMultiselection">N</b>
                                  <i key="maxDictMultiselectable">0</i>
                                </be>
                                <b key="placeHolder">N</b>
                                <ref key="weight" refId="126"/>
                                <be key="textMatchingCondition" refId="355" clsId="TextMatchingCondition">
                                  <ref key="op" refId="128"/>
                                  <s key="val"/>
                                </be>
                                <ref key="change" refId="129"/>
                                <ref key="dataType" refId="130"/>
                                <b key="prevailingDataType">N</b>
                                <ref key="editability" refId="131"/>
                                <s key="initialPositionID">2</s>
                                <s key="originalID">3</s>
                                <b key="signChange">N</b>
                                <b key="nativeSignChange">N</b>
                                <l key="nav" refId="35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157"/>
                                <b key="breakLevelSubtotal">N</b>
                                <b key="alreadyDrilled">N</b>
                                <m key="nodeTypes" refId="357" keid="SYS_STR" veid="EFReportingNodeType">
                                  <key>
                                    <s>41575F54454246534E45425443574E425052-45-544F59424A4B474B4C4E414C59504F-484949434C4E4D535352494E574256---7C4F57537C-303030303031</s>
                                  </key>
                                  <val>
                                    <ref refId="159"/>
                                  </val>
                                </m>
                                <b key="multiSelection">N</b>
                              </be>
                              <cust key="id" clsId="FilterOid">3</cust>
                              <s key="cod"/>
                              <s key="desc"/>
                              <i key="index">1</i>
                              <l key="children" refId="358" ln="0" eid="Framework.com.tagetik.trees.INode,framework"/>
                              <ref key="parent" refId="335"/>
                            </be>
                          </l>
                        </be>
                        <be key="matrixFilters" refId="359" clsId="FilterNode">
                          <l key="dimensionOids" refId="360" ln="0" eid="DimensionOid"/>
                          <l key="AdHocParamDimensionOids" refId="361" ln="0" eid="DimensionOid"/>
                          <be key="data" refId="362" clsId="FilterNodeData">
                            <ref key="filterNode" refId="359"/>
                            <i key="segmentLevel">0</i>
                            <ref key="segment" refId="125"/>
                            <b key="placeHolder">N</b>
                            <ref key="weight" refId="126"/>
                            <be key="textMatchingCondition" refId="363" clsId="TextMatchingCondition">
                              <ref key="op" refId="128"/>
                              <s key="val"/>
                            </be>
                            <ref key="change" refId="129"/>
                            <ref key="dataType" refId="130"/>
                            <b key="prevailingDataType">N</b>
                            <ref key="editability" refId="131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132"/>
                            <b key="breakLevelSubtotal">N</b>
                            <b key="alreadyDrilled">N</b>
                            <b key="multiSelection">N</b>
                          </be>
                          <cust key="id" clsId="FilterOid">1</cust>
                          <s key="desc">Matrix</s>
                          <i key="index">0</i>
                          <l key="children" refId="364" ln="1" eid="Framework.com.tagetik.trees.INode,framework">
                            <be refId="365" clsId="FilterNode">
                              <l key="dimensionOids" refId="366" ln="1" eid="DimensionOid">
                                <cust clsId="DimensionOid">504552-45-3132---</cust>
                              </l>
                              <l key="AdHocParamDimensionOids" refId="367" ln="0" eid="DimensionOid"/>
                              <be key="data" refId="368" clsId="FilterNodeData">
                                <ref key="filterNode" refId="365"/>
                                <s key="dim">PER</s>
                                <i key="segmentLevel">0</i>
                                <ref key="segment" refId="125"/>
                                <b key="placeHolder">N</b>
                                <ref key="weight" refId="126"/>
                                <be key="textMatchingCondition" refId="369" clsId="TextMatchingCondition">
                                  <ref key="op" refId="128"/>
                                  <s key="val"/>
                                </be>
                                <ref key="change" refId="129"/>
                                <ref key="dataType" refId="130"/>
                                <b key="prevailingDataType">N</b>
                                <ref key="editability" refId="131"/>
                                <s key="originalID">2</s>
                                <b key="signChange">N</b>
                                <b key="nativeSignChange">N</b>
                                <l key="nav" refId="37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157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</cust>
                              <s key="cod"/>
                              <s key="desc"/>
                              <i key="index">0</i>
                              <l key="children" refId="371" ln="1" eid="Framework.com.tagetik.trees.INode,framework">
                                <be refId="372" clsId="FilterNode">
                                  <l key="dimensionOids" refId="373" ln="1" eid="DimensionOid">
                                    <cust clsId="DimensionOid">534345-45-323032374255445F5631---</cust>
                                  </l>
                                  <l key="AdHocParamDimensionOids" refId="374" ln="0" eid="DimensionOid"/>
                                  <be key="data" refId="375" clsId="FilterNodeData">
                                    <ref key="filterNode" refId="372"/>
                                    <s key="dim">SCE</s>
                                    <i key="segmentLevel">0</i>
                                    <ref key="segment" refId="125"/>
                                    <b key="placeHolder">N</b>
                                    <ref key="weight" refId="126"/>
                                    <be key="textMatchingCondition" refId="376" clsId="TextMatchingCondition">
                                      <ref key="op" refId="128"/>
                                      <s key="val"/>
                                    </be>
                                    <ref key="change" refId="129"/>
                                    <ref key="dataType" refId="130"/>
                                    <b key="prevailingDataType">N</b>
                                    <ref key="editability" refId="131"/>
                                    <s key="originalID">3</s>
                                    <b key="signChange">N</b>
                                    <b key="nativeSignChange">N</b>
                                    <l key="nav" refId="377" ln="0" eid="ScenarioModifierValue"/>
                                    <i key="sco">0</i>
                                    <b key="applyFiltersForForcedScenarioPeriodoMap">N</b>
                                    <b key="lineSplit">N</b>
                                    <b key="addRCRow">N</b>
                                    <b key="complementary">N</b>
                                    <ref key="periodicCalculation" refId="157"/>
                                    <b key="breakLevelSubtotal">N</b>
                                    <b key="alreadyDrilled">N</b>
                                    <b key="multiSelection">N</b>
                                  </be>
                                  <cust key="id" clsId="FilterOid">3</cust>
                                  <s key="cod"/>
                                  <s key="desc"/>
                                  <i key="index">0</i>
                                  <l key="children" refId="378" ln="1" eid="Framework.com.tagetik.trees.INode,framework">
                                    <be refId="379" clsId="FilterNode">
                                      <l key="dimensionOids" refId="380" ln="1" eid="DimensionOid">
                                        <cust clsId="DimensionOid">414E4C5F56455253494F4E-45-47454E---</cust>
                                      </l>
                                      <l key="AdHocParamDimensionOids" refId="381" ln="0" eid="DimensionOid"/>
                                      <be key="data" refId="382" clsId="FilterNodeData">
                                        <ref key="filterNode" refId="379"/>
                                        <s key="dim">ANL_VERSION</s>
                                        <i key="segmentLevel">0</i>
                                        <ref key="segment" refId="125"/>
                                        <b key="placeHolder">N</b>
                                        <ref key="weight" refId="126"/>
                                        <be key="textMatchingCondition" refId="383" clsId="TextMatchingCondition">
                                          <ref key="op" refId="128"/>
                                          <s key="val"/>
                                        </be>
                                        <ref key="change" refId="129"/>
                                        <ref key="dataType" refId="130"/>
                                        <b key="prevailingDataType">N</b>
                                        <ref key="editability" refId="131"/>
                                        <s key="originalID">4</s>
                                        <b key="signChange">N</b>
                                        <b key="nativeSignChange">N</b>
                                        <l key="nav" refId="384" ln="0" eid="ScenarioModifierValue"/>
                                        <i key="sco">0</i>
                                        <b key="applyFiltersForForcedScenarioPeriodoMap">N</b>
                                        <b key="lineSplit">N</b>
                                        <b key="addRCRow">N</b>
                                        <b key="complementary">N</b>
                                        <ref key="periodicCalculation" refId="157"/>
                                        <b key="breakLevelSubtotal">N</b>
                                        <b key="alreadyDrilled">N</b>
                                        <b key="multiSelection">N</b>
                                      </be>
                                      <cust key="id" clsId="FilterOid">4</cust>
                                      <s key="cod"/>
                                      <s key="desc"/>
                                      <i key="index">0</i>
                                      <l key="children" refId="385" ln="1" eid="Framework.com.tagetik.trees.INode,framework">
                                        <be refId="386" clsId="FilterNode">
                                          <l key="dimensionOids" refId="387" ln="1" eid="DimensionOid">
                                            <cust clsId="DimensionOid">415A49-45-475250---</cust>
                                          </l>
                                          <l key="AdHocParamDimensionOids" refId="388" ln="0" eid="DimensionOid"/>
                                          <be key="data" refId="389" clsId="FilterNodeData">
                                            <ref key="filterNode" refId="386"/>
                                            <s key="dim">AZI</s>
                                            <i key="segmentLevel">0</i>
                                            <ref key="segment" refId="125"/>
                                            <b key="placeHolder">N</b>
                                            <ref key="weight" refId="126"/>
                                            <be key="textMatchingCondition" refId="390" clsId="TextMatchingCondition">
                                              <ref key="op" refId="128"/>
                                              <s key="val"/>
                                            </be>
                                            <ref key="change" refId="129"/>
                                            <ref key="dataType" refId="130"/>
                                            <b key="prevailingDataType">N</b>
                                            <ref key="editability" refId="131"/>
                                            <s key="originalID">6</s>
                                            <b key="signChange">N</b>
                                            <b key="nativeSignChange">N</b>
                                            <l key="nav" refId="391" ln="0" eid="ScenarioModifierValue"/>
                                            <i key="sco">0</i>
                                            <b key="applyFiltersForForcedScenarioPeriodoMap">N</b>
                                            <b key="lineSplit">N</b>
                                            <b key="addRCRow">N</b>
                                            <b key="complementary">N</b>
                                            <ref key="periodicCalculation" refId="157"/>
                                            <b key="breakLevelSubtotal">N</b>
                                            <b key="alreadyDrilled">N</b>
                                            <b key="multiSelection">N</b>
                                          </be>
                                          <cust key="id" clsId="FilterOid">6</cust>
                                          <s key="cod"/>
                                          <s key="desc"/>
                                          <i key="index">0</i>
                                          <l key="children" refId="392" ln="1" eid="Framework.com.tagetik.trees.INode,framework">
                                            <be refId="393" clsId="FilterNode">
                                              <l key="dimensionOids" refId="394" ln="4" eid="DimensionOid">
                                                <cust clsId="DimensionOid">564F435F303130-45-414C4C4F435F4252414E445F43414D50---</cust>
                                                <cust clsId="DimensionOid">564F435F303130-45-414C4C4F435F43414D505F434C415353---</cust>
                                                <cust clsId="DimensionOid">564F435F303130-45-414C4C4F435F4752505F484F4C44494E47---</cust>
                                                <cust clsId="DimensionOid">564F435F303130-45-414C4C4F435F4752505F4D4152515545---</cust>
                                              </l>
                                              <l key="AdHocParamDimensionOids" refId="395" ln="0" eid="DimensionOid"/>
                                              <be key="data" refId="396" clsId="FilterNodeData">
                                                <ref key="filterNode" refId="393"/>
                                                <s key="dim">VOC_010</s>
                                                <i key="segmentLevel">0</i>
                                                <ref key="segment" refId="125"/>
                                                <b key="placeHolder">N</b>
                                                <ref key="weight" refId="126"/>
                                                <be key="textMatchingCondition" refId="397" clsId="TextMatchingCondition">
                                                  <ref key="op" refId="128"/>
                                                  <s key="val"/>
                                                </be>
                                                <ref key="change" refId="129"/>
                                                <ref key="dataType" refId="130"/>
                                                <b key="prevailingDataType">N</b>
                                                <ref key="editability" refId="131"/>
                                                <s key="originalID">7</s>
                                                <b key="signChange">N</b>
                                                <b key="nativeSignChange">N</b>
                                                <l key="nav" refId="398" ln="0" eid="ScenarioModifierValue"/>
                                                <i key="sco">0</i>
                                                <b key="applyFiltersForForcedScenarioPeriodoMap">N</b>
                                                <b key="lineSplit">N</b>
                                                <b key="addRCRow">N</b>
                                                <b key="complementary">N</b>
                                                <ref key="periodicCalculation" refId="157"/>
                                                <b key="breakLevelSubtotal">N</b>
                                                <b key="alreadyDrilled">N</b>
                                                <b key="multiSelection">N</b>
                                              </be>
                                              <cust key="id" clsId="FilterOid">7</cust>
                                              <s key="cod"/>
                                              <s key="desc"/>
                                              <i key="index">0</i>
                                              <l key="children" refId="399" ln="0" eid="Framework.com.tagetik.trees.INode,framework"/>
                                              <ref key="parent" refId="386"/>
                                            </be>
                                          </l>
                                          <ref key="parent" refId="379"/>
                                        </be>
                                      </l>
                                      <ref key="parent" refId="372"/>
                                    </be>
                                  </l>
                                  <ref key="parent" refId="365"/>
                                </be>
                              </l>
                              <ref key="parent" refId="359"/>
                            </be>
                          </l>
                        </be>
                        <be key="rowHeaders" refId="400" clsId="ReportingHeaders">
                          <m key="headers" refId="401" keid="SYS_PR_I" veid="System.Collections.IList"/>
                          <m key="headersDims" refId="402" keid="SYS_PR_I" veid="SYS_STR"/>
                        </be>
                        <be key="columnHeaders" refId="403" clsId="ReportingHeaders">
                          <m key="headers" refId="404" keid="SYS_PR_I" veid="System.Collections.IList"/>
                          <m key="headersDims" refId="405" keid="SYS_PR_I" veid="SYS_STR"/>
                        </be>
                        <ref key="styleType" refId="228"/>
                        <b key="subtotalOnTop">N</b>
                        <b key="leavesFirst">N</b>
                        <b key="groupSubtotal">N</b>
                        <b key="replaceWithPlaceholder">N</b>
                        <b key="onlyFirstHeader">N</b>
                        <b key="allowRangeBreak">N</b>
                        <b key="showZeros">N</b>
                        <i key="maxRows">0</i>
                        <ref key="rowsExpansionMode" refId="229"/>
                        <i key="maxCols">0</i>
                        <ref key="colsExpansionMode" refId="229"/>
                        <ref key="columnsAutofitMode" refId="230"/>
                        <b key="isEditabilityOnDemand">N</b>
                        <b key="useForcedBoundDims">N</b>
                        <ref key="disableHints" refId="231"/>
                        <ref key="enableOptimization" refId="232"/>
                        <ref key="tipoAllineamentoLordiIC" refId="233"/>
                        <set key="forcedDimensions" refId="406" ln="0" eid="SYS_STR"/>
                        <b key="bindOriginalAmountOnSave">N</b>
                        <b key="showLink">N</b>
                        <i key="index">1</i>
                        <b key="excludeValuatingSheetsWithZeroValues">N</b>
                        <b key="allowOpenNewElements">N</b>
                        <s key="forcedBreakBackType">X</s>
                        <s key="forcedBreakBackRefLeaf">X</s>
                        <b key="autoOpenNewElements">N</b>
                        <b key="askNumRows">N</b>
                        <set key="forcedContentCells" refId="407" ln="0" eid="Reporting.com.tagetik.tables.IMatixCellLeafPositions,Reporting"/>
                        <m key="forcedEditModes" refId="408" keid="Reporting.com.tagetik.tables.IMatixCellLeafPositions,Reporting" veid="SYS_STR"/>
                        <b key="UseTxlDeFormEditor">N</b>
                        <be key="TxDeFormsEditorDescriptor" refId="409" clsId="TxDeFormsEditorDescriptor">
                          <l key="Tabs" refId="410" ln="0" eid="TxDeFormsEditorGridDescriptor"/>
                          <i key="Height">400</i>
                          <i key="Width">430</i>
                          <b key="editButton">S</b>
                          <b key="newButton">S</b>
                          <b key="deleteButton">S</b>
                        </be>
                        <be key="workspaceTableInfo" refId="411" clsId="matrixWSInfo">
                          <b key="isT">S</b>
                          <s key="wsCode">002</s>
                          <s key="tableCode">000001</s>
                        </be>
                        <be key="customFilters" refId="412" clsId="ExpCustomFiltersProspetto"/>
                      </be>
                    </val>
                  </m>
                  <m key="cellFields" refId="413" keid="SYS_STR" veid="CodeCellField"/>
                  <m key="dictionary" refId="414" keid="SYS_STR" veid="CodeMultiDescVO"/>
                  <m key="controlExpressions" refId="415" keid="SYS_STR" veid="CodedExpControlloProspetto"/>
                  <m key="inlineParameters" refId="416" keid="SYS_STR" veid="CodedInlineParameter"/>
                  <m key="queries" refId="417" keid="SYS_STR" veid="Reporting.com.tagetik.query.IUserDefinedQueryVO,Reporting">
                    <key>
                      <s>2C948082A039DF8A01A03E7ACA2B4AAA</s>
                    </key>
                    <val>
                      <be refId="418" clsId="OWSUserDefinedQueryVO">
                        <be key="fieldInfo" refId="419" clsId="WorkspaceTableFieldInfoVO">
                          <s key="workspaceId">TEBFSNEBTCWNBPR</s>
                          <s key="workspaceTableId">HIICLNMSSRINWBV</s>
                          <s key="fieldId">TOYBJKGKLNALYPO</s>
                          <s key="displayModeCode">1</s>
                          <s key="matrixCode">Matrix00 copy00</s>
                          <b key="workspaceDictionary">S</b>
                        </be>
                        <l key="dependentFieldInfos" refId="420" ln="0"/>
                        <s key="queryString">
                          SELECT 'REV_CA' AS "CODE", 'Chiffre d''affaires' AS "DESCRIPTION" FROM DUMMY
                          <ch cod="0a"/>
                          UNION ALL
                          <ch cod="0a"/>
                          SELECT 'VOL_EFF', 'Effectif' FROM DUMMY
                          <ch cod="0a"/>
                          UNION ALL
                          <ch cod="0a"/>
                          SELECT 'VOL_CLASS', 'Nombre de classes' FROM DUMMY;
                        </s>
                        <s key="queryType">C</s>
                        <ref key="querySyntax" refId="19"/>
                        <m key="options" refId="421" keid="SYS_STR" veid="SYS_STR">
                          <key>
                            <s>DRILL_THROUGH</s>
                          </key>
                          <val>
                            <s>C</s>
                          </val>
                          <key>
                            <s>DD</s>
                          </key>
                          <val>
                            <s>N</s>
                          </val>
                          <key>
                            <s>FLAG_SISTEMA</s>
                          </key>
                          <val>
                            <s>N</s>
                          </val>
                        </m>
                        <s key="cod">2C948082A039DF8A01A03E7ACA2B4AAA</s>
                        <be key="multiDescVO" refId="422" clsId="MultiDesc">
                          <a key="desc" refId="423" ln="4" eid="SYS_STR">
                            <s>Automatic-generated query</s>
                            <s>Automatic-generated query</s>
                            <s>Automatic-generated query</s>
                            <s>Automatic-generated query</s>
                          </a>
                        </be>
                        <b key="hasExcelReferences">N</b>
                        <m key="ColumnDescriptors" refId="424" keid="SYS_STR" veid="QueryColumnDescriptor"/>
                        <b key="forceCodeDesc">N</b>
                        <b key="enableFreeText">N</b>
                      </be>
                    </val>
                    <key>
                      <s>2C948082A039DF8A01A03E7ACA2B4AA9</s>
                    </key>
                    <val>
                      <be refId="425" clsId="OWSUserDefinedQueryVO">
                        <be key="fieldInfo" refId="426" clsId="WorkspaceTableFieldInfoVO">
                          <s key="workspaceId">TEBFSNEBTCWNBPR</s>
                          <s key="workspaceTableId">HIICLNMSSRINWBV</s>
                          <s key="fieldId">ZCMIVAGGSDRANNH</s>
                          <s key="displayModeCode">1</s>
                          <s key="matrixCode">Matrix00 copy00</s>
                          <s key="dimensionCode">VOC</s>
                          <b key="workspaceDictionary">N</b>
                        </be>
                        <l key="dependentFieldInfos" refId="427" ln="0"/>
                        <s key="queryString">select conto0_.COD_CONTO as col_0_0_, conto0_.DESC_CONTO0 as col_1_0_ from CONTO conto0_ order by conto0_.COD_CONTO</s>
                        <s key="queryType">C</s>
                        <ref key="querySyntax" refId="19"/>
                        <m key="options" refId="428" keid="SYS_STR" veid="SYS_STR">
                          <key>
                            <s>DRILL_THROUGH</s>
                          </key>
                          <val>
                            <s>C</s>
                          </val>
                          <key>
                            <s>DD</s>
                          </key>
                          <val>
                            <s>N</s>
                          </val>
                          <key>
                            <s>FLAG_SISTEMA</s>
                          </key>
                          <val>
                            <s>N</s>
                          </val>
                        </m>
                        <s key="cod">2C948082A039DF8A01A03E7ACA2B4AA9</s>
                        <be key="multiDescVO" refId="429" clsId="MultiDesc">
                          <a key="desc" refId="430" ln="4" eid="SYS_STR">
                            <s>Automatic-generated query</s>
                            <s>Automatic-generated query</s>
                            <s>Automatic-generated query</s>
                            <s>Automatic-generated query</s>
                          </a>
                        </be>
                        <b key="hasExcelReferences">N</b>
                        <m key="ColumnDescriptors" refId="431" keid="SYS_STR" veid="QueryColumnDescriptor"/>
                        <b key="forceCodeDesc">S</b>
                        <b key="enableFreeText">N</b>
                      </be>
                    </val>
                  </m>
                  <m key="launchers" refId="432" keid="SYS_STR" veid="ElaborationsLauncher"/>
                  <m key="actionLists" refId="433" keid="SYS_STR" veid="Reporting.com.tagetik.actionlist.ISnapshotActionList,Reporting"/>
                  <l key="areas" refId="434" ln="0" eid="SYS_STR"/>
                  <l key="charts" refId="435" ln="0" eid="SYS_STR"/>
                  <l key="pivots" refId="436" ln="0" eid="SYS_STR"/>
                </be>
                <b key="forceRebuild">S</b>
                <b key="forceReopen">S</b>
                <rs key="tempiElaborazione" refId="437" rowCount="6" fieldNames="MATRICE,TIPO,TEMPO">
                  <field name="MATRICE">
                    <s/>
                    <s/>
                    <s/>
                    <s/>
                    <s/>
                    <s/>
                  </field>
                  <field name="TIPO">
                    <s>ZERO_PRUNING</s>
                    <s>PRE_EXPLOSION</s>
                    <s>CELL_FIELDS</s>
                    <s>QUEUING TIME</s>
                    <s>OTHER</s>
                    <s>POST_EXPLOSION</s>
                  </field>
                  <field name="TEMPO">
                    <s>0</s>
                    <s>3</s>
                    <s>6</s>
                    <s>0</s>
                    <s>51</s>
                    <s>22</s>
                  </field>
                </rs>
                <be key="styleSheet" refId="438" clsId="StyleSheetResult"/>
                <a key="sheetNames" refId="439" ln="1" eid="SYS_STR">
                  <s>ALLOC</s>
                </a>
                <s key="scripts"/>
                <l key="sheetsToHide" refId="440" ln="0" eid="SYS_STR"/>
                <be key="reportFilters" refId="441" clsId="FilterNode">
                  <l key="dimensionOids" refId="442" ln="0" eid="DimensionOid"/>
                  <l key="AdHocParamDimensionOids" refId="443" ln="0" eid="DimensionOid"/>
                  <be key="data" refId="444" clsId="FilterNodeData">
                    <ref key="filterNode" refId="441"/>
                    <i key="segmentLevel">0</i>
                    <ref key="segment" refId="125"/>
                    <b key="placeHolder">N</b>
                    <ref key="weight" refId="126"/>
                    <be key="textMatchingCondition" refId="445" clsId="TextMatchingCondition">
                      <ref key="op" refId="128"/>
                      <s key="val"/>
                    </be>
                    <ref key="change" refId="129"/>
                    <ref key="dataType" refId="130"/>
                    <b key="prevailingDataType">N</b>
                    <ref key="editability" refId="131"/>
                    <b key="signChange">N</b>
                    <b key="nativeSignChange">N</b>
                    <i key="sco">0</i>
                    <b key="applyFiltersForForcedScenarioPeriodoMap">N</b>
                    <b key="lineSplit">N</b>
                    <b key="addRCRow">N</b>
                    <b key="complementary">N</b>
                    <ref key="periodicCalculation" refId="132"/>
                    <b key="breakLevelSubtotal">N</b>
                    <b key="alreadyDrilled">N</b>
                    <b key="multiSelection">N</b>
                  </be>
                  <cust key="id" clsId="FilterOid">1</cust>
                  <i key="index">0</i>
                  <l key="children" refId="446" ln="0" eid="Framework.com.tagetik.trees.INode,framework"/>
                </be>
                <m key="dataTypes" refId="447" keid="SYS_STR" veid="DataTypesMap"/>
                <l key="hideRCResults" refId="448" ln="0" eid="HideRCSResult"/>
                <m key="queries" refId="449" keid="SYS_STR" veid="MultiSheetQueryResultVO"/>
                <m key="validationQueries" refId="450" keid="SYS_STR" veid="ValidationQueryResult"/>
              </be>
              <be key="logger" refId="451" clsId="ReportLogger">
                <be key="sheetLogger" refId="452" clsId="ReportingElementLogger">
                  <set key="errors" refId="453" ln="0" eid="SYS_STR"/>
                  <set key="warnings" refId="454" ln="0" eid="SYS_STR"/>
                </be>
                <be key="fgdLogger" refId="455" clsId="ReportingElementLogger">
                  <set key="errors" refId="456" ln="0" eid="SYS_STR"/>
                  <set key="warnings" refId="457" ln="0" eid="SYS_STR"/>
                </be>
                <be key="tmplLogger" refId="458" clsId="ReportingElementLogger">
                  <set key="errors" refId="459" ln="0" eid="SYS_STR"/>
                  <set key="warnings" refId="460" ln="0" eid="SYS_STR"/>
                </be>
                <m key="matrixLoggers" refId="461" keid="SYS_STR" veid="MatrixLogger">
                  <key>
                    <s>Matrix00 copy00</s>
                  </key>
                  <val>
                    <be refId="462" clsId="MatrixLogger">
                      <s key="code">Matrix00 copy00</s>
                      <be key="rowsLogger" refId="463" clsId="ReportingElementLogger">
                        <set key="errors" refId="464" ln="0" eid="SYS_STR"/>
                        <set key="warnings" refId="465" ln="0" eid="SYS_STR"/>
                      </be>
                      <be key="colsLogger" refId="466" clsId="ReportingElementLogger">
                        <set key="errors" refId="467" ln="0" eid="SYS_STR"/>
                        <set key="warnings" refId="468" ln="0" eid="SYS_STR"/>
                      </be>
                      <set key="errors" refId="469" ln="0" eid="SYS_STR"/>
                      <set key="warnings" refId="470" ln="0" eid="SYS_STR"/>
                    </be>
                  </val>
                </m>
                <set key="errors" refId="471" ln="0" eid="SYS_STR"/>
                <set key="warnings" refId="472" ln="0" eid="SYS_STR"/>
              </be>
            </be>
          </val>
          <key>
            <s>Template01</s>
          </key>
          <val>
            <be refId="473" clsId="ProspElaborationTaskResult">
              <be key="prospElaborazioneResult" refId="474" clsId="ProspElaborationResult">
                <s key="dbId">TGK_HANASTD_01</s>
                <ref key="endInsertionStatus" refId="287"/>
                <m key="valori" refId="475" keid="SYS_STR" veid="Framework.com.tagetik.datatypes.IRecordset,framework"/>
                <d key="runDate">1787754629588</d>
                <m key="tableNameOfRow" refId="476" keid="SYS_STR" veid="TableNameInfo"/>
                <m key="intestazioni" refId="477" keid="SYS_STR" veid="Framework.com.tagetik.datatypes.IRecordset,framework"/>
                <m key="intestazioniLink" refId="478" keid="SYS_STR" veid="Framework.com.tagetik.datatypes.IRecordset,framework"/>
                <m key="celleEditabili" refId="479" keid="SYS_STR" veid="Reporting.com.tagetik.launchedreport.ReportingCell[],Reporting"/>
                <m key="dictionaryTerms" refId="480" keid="SYS_STR" veid="SYS_STR"/>
                <rs key="cellFields" refId="481" rowCount="0" fieldNames=""/>
                <be key="reportTemplate" refId="482" clsId="ReportTemplateVO">
                  <s key="code">Template01</s>
                  <s key="desc">Allocation2</s>
                  <m key="matrices" refId="483" keid="SYS_STR" veid="Reporting.com.tagetik.tables.IMatrixPositionBlockVO,Reporting"/>
                  <m key="cellFields" refId="484" keid="SYS_STR" veid="CodeCellField"/>
                  <m key="dictionary" refId="485" keid="SYS_STR" veid="CodeMultiDescVO"/>
                  <m key="controlExpressions" refId="486" keid="SYS_STR" veid="CodedExpControlloProspetto"/>
                  <m key="inlineParameters" refId="487" keid="SYS_STR" veid="CodedInlineParameter"/>
                  <m key="queries" refId="488" keid="SYS_STR" veid="Reporting.com.tagetik.query.IUserDefinedQueryVO,Reporting">
                    <key>
                      <s>Query00</s>
                    </key>
                    <val>
                      <be refId="489" clsId="UserDefinedQueryVO">
                        <s key="queryString">select * from V_ALLOCATION </s>
                        <s key="queryType">N</s>
                        <ref key="querySyntax" refId="19"/>
                        <m key="options" refId="490" keid="SYS_STR" veid="SYS_STR">
                          <key>
                            <s>HEADERS</s>
                          </key>
                          <val>
                            <s>S</s>
                          </val>
                          <key>
                            <s>EXPANSION_MODE</s>
                          </key>
                          <val>
                            <s>0</s>
                          </val>
                          <key>
                            <s>VALIDATION_TYPE</s>
                          </key>
                          <val>
                            <s>PMS</s>
                          </val>
                          <key>
                            <s>REMOVE_FORMATS_AFTER_END</s>
                          </key>
                          <val>
                            <s>N</s>
                          </val>
                          <key>
                            <s>DRILL_THROUGH</s>
                          </key>
                          <val>
                            <s>N</s>
                          </val>
                          <key>
                            <s>PRESERVE_FORMAT</s>
                          </key>
                          <val>
                            <s>N</s>
                          </val>
                          <key>
                            <s>CREATE NAMED RANGE</s>
                          </key>
                          <val>
                            <s>N</s>
                          </val>
                          <key>
                            <s>SEEQUERYNAME</s>
                          </key>
                          <val>
                            <s>N</s>
                          </val>
                          <key>
                            <s>DRAG_LEFT</s>
                          </key>
                          <val>
                            <s>N</s>
                          </val>
                          <key>
                            <s>AUTOSIZE</s>
                          </key>
                          <val>
                            <s>S</s>
                          </val>
                          <key>
                            <s>DRAG_RIGHT</s>
                          </key>
                          <val>
                            <s>N</s>
                          </val>
                        </m>
                        <s key="cod">Query00</s>
                        <be key="multiDescVO" refId="491" clsId="MultiDesc">
                          <a key="desc" refId="492" ln="4" eid="SYS_STR">
                            <s>Query 00</s>
                            <s/>
                            <s/>
                            <s/>
                          </a>
                        </be>
                        <be key="initialResult" refId="493" clsId="QueryResult">
                          <rs key="recordset" refId="494" rowCount="0" fieldNames="SCENARIO,VERSION,PERIODE,EXERCICE,ENTITY,MARQUE,PROGRAMME,AN_ETUDE,MODALITE,VOL_EFF,VOL_CLASS,CA,COST_VAC,COST_PERM,COST_ODIR,COST_STRUCT,COST_MARQUE,COST_HOLDING,COST_SIEGE,COST_VARIABLE,COST_STRUCTURE,COST_COMPLET,MARGE_COMPLETE,VOL_NEW,POOL_VAC,POOL_PERM,POOL_ODIR,POOL_MKT,POOL_STRUCT,POOL_HOLDING,POOL_FRAIS_MARQUE">
                            <field name="SCENARIO"/>
                            <field name="VERSION"/>
                            <field name="PERIODE"/>
                            <field name="EXERCICE"/>
                            <field name="ENTITY"/>
                            <field name="MARQUE"/>
                            <field name="PROGRAMME"/>
                            <field name="AN_ETUDE"/>
                            <field name="MODALITE"/>
                            <field name="VOL_EFF"/>
                            <field name="VOL_CLASS"/>
                            <field name="CA"/>
                            <field name="COST_VAC"/>
                            <field name="COST_PERM"/>
                            <field name="COST_ODIR"/>
                            <field name="COST_STRUCT"/>
                            <field name="COST_MARQUE"/>
                            <field name="COST_HOLDING"/>
                            <field name="COST_SIEGE"/>
                            <field name="COST_VARIABLE"/>
                            <field name="COST_STRUCTURE"/>
                            <field name="COST_COMPLET"/>
                            <field name="MARGE_COMPLETE"/>
                            <field name="VOL_NEW"/>
                            <field name="POOL_VAC"/>
                            <field name="POOL_PERM"/>
                            <field name="POOL_ODIR"/>
                            <field name="POOL_MKT"/>
                            <field name="POOL_STRUCT"/>
                            <field name="POOL_HOLDING"/>
                            <field name="POOL_FRAIS_MARQUE"/>
                          </rs>
                          <a key="columnTypes" refId="495" ln="31" eid="SYS_PR_I">
                            <i>12</i>
                            <i>12</i>
                            <i>12</i>
                            <i>12</i>
                            <i>12</i>
                            <i>12</i>
                            <i>12</i>
                            <i>12</i>
                            <i>12</i>
                            <i>8</i>
                            <i>3</i>
                            <i>8</i>
                            <i>8</i>
                            <i>8</i>
                            <i>8</i>
                            <i>8</i>
                            <i>8</i>
                            <i>8</i>
                            <i>8</i>
                            <i>8</i>
                            <i>8</i>
                            <i>8</i>
                            <i>8</i>
                            <i>8</i>
                            <i>8</i>
                            <i>8</i>
                            <i>8</i>
                            <i>8</i>
                            <i>8</i>
                            <i>8</i>
                            <i>8</i>
                          </a>
                          <i key="rowsCount">0</i>
                          <a key="columnNames" refId="496" ln="31" eid="SYS_STR">
                            <s>SCENARIO</s>
                            <s>VERSION</s>
                            <s>PERIODE</s>
                            <s>EXERCICE</s>
                            <s>ENTITY</s>
                            <s>MARQUE</s>
                            <s>PROGRAMME</s>
                            <s>AN_ETUDE</s>
                            <s>MODALITE</s>
                            <s>VOL_EFF</s>
                            <s>VOL_CLASS</s>
                            <s>CA</s>
                            <s>COST_VAC</s>
                            <s>COST_PERM</s>
                            <s>COST_ODIR</s>
                            <s>COST_STRUCT</s>
                            <s>COST_MARQUE</s>
                            <s>COST_HOLDING</s>
                            <s>COST_SIEGE</s>
                            <s>COST_VARIABLE</s>
                            <s>COST_STRUCTURE</s>
                            <s>COST_COMPLET</s>
                            <s>MARGE_COMPLETE</s>
                            <s>VOL_NEW</s>
                            <s>POOL_VAC</s>
                            <s>POOL_PERM</s>
                            <s>POOL_ODIR</s>
                            <s>POOL_MKT</s>
                            <s>POOL_STRUCT</s>
                            <s>POOL_HOLDING</s>
                            <s>POOL_FRAIS_MARQUE</s>
                          </a>
                        </be>
                        <b key="hasExcelReferences">N</b>
                        <m key="ColumnDescriptors" refId="497" keid="SYS_STR" veid="QueryColumnDescriptor">
                          <key>
                            <s>PERIODE</s>
                          </key>
                          <val>
                            <be refId="498" clsId="QueryColumnDescriptor">
                              <s key="code">PERIODE</s>
                              <be key="multiDescVO" refId="499" clsId="MultiDesc">
                                <a key="desc" refId="500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COST_VARIABLE</s>
                          </key>
                          <val>
                            <be refId="501" clsId="QueryColumnDescriptor">
                              <s key="code">COST_VARIABLE</s>
                              <be key="multiDescVO" refId="502" clsId="MultiDesc">
                                <a key="desc" refId="503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POOL_ODIR</s>
                          </key>
                          <val>
                            <be refId="504" clsId="QueryColumnDescriptor">
                              <s key="code">POOL_ODIR</s>
                              <be key="multiDescVO" refId="505" clsId="MultiDesc">
                                <a key="desc" refId="506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MODALITE</s>
                          </key>
                          <val>
                            <be refId="507" clsId="QueryColumnDescriptor">
                              <s key="code">MODALITE</s>
                              <be key="multiDescVO" refId="508" clsId="MultiDesc">
                                <a key="desc" refId="509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COST_MARQUE</s>
                          </key>
                          <val>
                            <be refId="510" clsId="QueryColumnDescriptor">
                              <s key="code">COST_MARQUE</s>
                              <be key="multiDescVO" refId="511" clsId="MultiDesc">
                                <a key="desc" refId="512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POOL_FRAIS_MARQUE</s>
                          </key>
                          <val>
                            <be refId="513" clsId="QueryColumnDescriptor">
                              <s key="code">POOL_FRAIS_MARQUE</s>
                              <be key="multiDescVO" refId="514" clsId="MultiDesc">
                                <a key="desc" refId="515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COST_STRUCT</s>
                          </key>
                          <val>
                            <be refId="516" clsId="QueryColumnDescriptor">
                              <s key="code">COST_STRUCT</s>
                              <be key="multiDescVO" refId="517" clsId="MultiDesc">
                                <a key="desc" refId="518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COST_STRUCTURE</s>
                          </key>
                          <val>
                            <be refId="519" clsId="QueryColumnDescriptor">
                              <s key="code">COST_STRUCTURE</s>
                              <be key="multiDescVO" refId="520" clsId="MultiDesc">
                                <a key="desc" refId="521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EXERCICE</s>
                          </key>
                          <val>
                            <be refId="522" clsId="QueryColumnDescriptor">
                              <s key="code">EXERCICE</s>
                              <be key="multiDescVO" refId="523" clsId="MultiDesc">
                                <a key="desc" refId="524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COST_PERM</s>
                          </key>
                          <val>
                            <be refId="525" clsId="QueryColumnDescriptor">
                              <s key="code">COST_PERM</s>
                              <be key="multiDescVO" refId="526" clsId="MultiDesc">
                                <a key="desc" refId="527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VERSION</s>
                          </key>
                          <val>
                            <be refId="528" clsId="QueryColumnDescriptor">
                              <s key="code">VERSION</s>
                              <be key="multiDescVO" refId="529" clsId="MultiDesc">
                                <a key="desc" refId="530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MARGE_COMPLETE</s>
                          </key>
                          <val>
                            <be refId="531" clsId="QueryColumnDescriptor">
                              <s key="code">MARGE_COMPLETE</s>
                              <be key="multiDescVO" refId="532" clsId="MultiDesc">
                                <a key="desc" refId="533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CA</s>
                          </key>
                          <val>
                            <be refId="534" clsId="QueryColumnDescriptor">
                              <s key="code">CA</s>
                              <be key="multiDescVO" refId="535" clsId="MultiDesc">
                                <a key="desc" refId="536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POOL_STRUCT</s>
                          </key>
                          <val>
                            <be refId="537" clsId="QueryColumnDescriptor">
                              <s key="code">POOL_STRUCT</s>
                              <be key="multiDescVO" refId="538" clsId="MultiDesc">
                                <a key="desc" refId="539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VOL_CLASS</s>
                          </key>
                          <val>
                            <be refId="540" clsId="QueryColumnDescriptor">
                              <s key="code">VOL_CLASS</s>
                              <be key="multiDescVO" refId="541" clsId="MultiDesc">
                                <a key="desc" refId="542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POOL_MKT</s>
                          </key>
                          <val>
                            <be refId="543" clsId="QueryColumnDescriptor">
                              <s key="code">POOL_MKT</s>
                              <be key="multiDescVO" refId="544" clsId="MultiDesc">
                                <a key="desc" refId="545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POOL_VAC</s>
                          </key>
                          <val>
                            <be refId="546" clsId="QueryColumnDescriptor">
                              <s key="code">POOL_VAC</s>
                              <be key="multiDescVO" refId="547" clsId="MultiDesc">
                                <a key="desc" refId="548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PROGRAMME</s>
                          </key>
                          <val>
                            <be refId="549" clsId="QueryColumnDescriptor">
                              <s key="code">PROGRAMME</s>
                              <be key="multiDescVO" refId="550" clsId="MultiDesc">
                                <a key="desc" refId="551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COST_VAC</s>
                          </key>
                          <val>
                            <be refId="552" clsId="QueryColumnDescriptor">
                              <s key="code">COST_VAC</s>
                              <be key="multiDescVO" refId="553" clsId="MultiDesc">
                                <a key="desc" refId="554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POOL_HOLDING</s>
                          </key>
                          <val>
                            <be refId="555" clsId="QueryColumnDescriptor">
                              <s key="code">POOL_HOLDING</s>
                              <be key="multiDescVO" refId="556" clsId="MultiDesc">
                                <a key="desc" refId="557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VOL_EFF</s>
                          </key>
                          <val>
                            <be refId="558" clsId="QueryColumnDescriptor">
                              <s key="code">VOL_EFF</s>
                              <be key="multiDescVO" refId="559" clsId="MultiDesc">
                                <a key="desc" refId="560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COST_ODIR</s>
                          </key>
                          <val>
                            <be refId="561" clsId="QueryColumnDescriptor">
                              <s key="code">COST_ODIR</s>
                              <be key="multiDescVO" refId="562" clsId="MultiDesc">
                                <a key="desc" refId="563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SCENARIO</s>
                          </key>
                          <val>
                            <be refId="564" clsId="QueryColumnDescriptor">
                              <s key="code">SCENARIO</s>
                              <be key="multiDescVO" refId="565" clsId="MultiDesc">
                                <a key="desc" refId="566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ENTITY</s>
                          </key>
                          <val>
                            <be refId="567" clsId="QueryColumnDescriptor">
                              <s key="code">ENTITY</s>
                              <be key="multiDescVO" refId="568" clsId="MultiDesc">
                                <a key="desc" refId="569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AN_ETUDE</s>
                          </key>
                          <val>
                            <be refId="570" clsId="QueryColumnDescriptor">
                              <s key="code">AN_ETUDE</s>
                              <be key="multiDescVO" refId="571" clsId="MultiDesc">
                                <a key="desc" refId="572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COST_SIEGE</s>
                          </key>
                          <val>
                            <be refId="573" clsId="QueryColumnDescriptor">
                              <s key="code">COST_SIEGE</s>
                              <be key="multiDescVO" refId="574" clsId="MultiDesc">
                                <a key="desc" refId="575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MARQUE</s>
                          </key>
                          <val>
                            <be refId="576" clsId="QueryColumnDescriptor">
                              <s key="code">MARQUE</s>
                              <be key="multiDescVO" refId="577" clsId="MultiDesc">
                                <a key="desc" refId="578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COST_COMPLET</s>
                          </key>
                          <val>
                            <be refId="579" clsId="QueryColumnDescriptor">
                              <s key="code">COST_COMPLET</s>
                              <be key="multiDescVO" refId="580" clsId="MultiDesc">
                                <a key="desc" refId="581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POOL_PERM</s>
                          </key>
                          <val>
                            <be refId="582" clsId="QueryColumnDescriptor">
                              <s key="code">POOL_PERM</s>
                              <be key="multiDescVO" refId="583" clsId="MultiDesc">
                                <a key="desc" refId="584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VOL_NEW</s>
                          </key>
                          <val>
                            <be refId="585" clsId="QueryColumnDescriptor">
                              <s key="code">VOL_NEW</s>
                              <be key="multiDescVO" refId="586" clsId="MultiDesc">
                                <a key="desc" refId="587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COST_HOLDING</s>
                          </key>
                          <val>
                            <be refId="588" clsId="QueryColumnDescriptor">
                              <s key="code">COST_HOLDING</s>
                              <be key="multiDescVO" refId="589" clsId="MultiDesc">
                                <a key="desc" refId="590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</m>
                        <b key="forceCodeDesc">N</b>
                        <b key="enableFreeText">N</b>
                      </be>
                    </val>
                  </m>
                  <m key="launchers" refId="591" keid="SYS_STR" veid="ElaborationsLauncher"/>
                  <m key="actionLists" refId="592" keid="SYS_STR" veid="Reporting.com.tagetik.actionlist.ISnapshotActionList,Reporting"/>
                  <l key="areas" refId="593" ln="0" eid="SYS_STR"/>
                  <l key="charts" refId="594" ln="0" eid="SYS_STR"/>
                  <l key="pivots" refId="595" ln="0" eid="SYS_STR"/>
                </be>
                <b key="forceRebuild">N</b>
                <b key="forceReopen">N</b>
                <rs key="tempiElaborazione" refId="596" rowCount="5" fieldNames="MATRICE,TIPO,TEMPO">
                  <field name="MATRICE">
                    <s/>
                    <s/>
                    <s/>
                    <s/>
                    <s/>
                  </field>
                  <field name="TIPO">
                    <s>PRE_EXPLOSION</s>
                    <s>CELL_FIELDS</s>
                    <s>QUEUING TIME</s>
                    <s>OTHER</s>
                    <s>POST_EXPLOSION</s>
                  </field>
                  <field name="TEMPO">
                    <s>3</s>
                    <s>0</s>
                    <s>0</s>
                    <s>0</s>
                    <s>4</s>
                  </field>
                </rs>
                <be key="styleSheet" refId="597" clsId="StyleSheetResult"/>
                <a key="sheetNames" refId="598" ln="1" eid="SYS_STR">
                  <s>Allocation2</s>
                </a>
                <s key="scripts"/>
                <l key="sheetsToHide" refId="599" ln="0" eid="SYS_STR"/>
                <be key="reportFilters" refId="600" clsId="FilterNode">
                  <l key="dimensionOids" refId="601" ln="0" eid="DimensionOid"/>
                  <l key="AdHocParamDimensionOids" refId="602" ln="0" eid="DimensionOid"/>
                  <be key="data" refId="603" clsId="FilterNodeData">
                    <ref key="filterNode" refId="600"/>
                    <i key="segmentLevel">0</i>
                    <ref key="segment" refId="125"/>
                    <b key="placeHolder">N</b>
                    <ref key="weight" refId="126"/>
                    <be key="textMatchingCondition" refId="604" clsId="TextMatchingCondition">
                      <ref key="op" refId="128"/>
                      <s key="val"/>
                    </be>
                    <ref key="change" refId="129"/>
                    <ref key="dataType" refId="130"/>
                    <b key="prevailingDataType">N</b>
                    <ref key="editability" refId="131"/>
                    <b key="signChange">N</b>
                    <b key="nativeSignChange">N</b>
                    <i key="sco">0</i>
                    <b key="applyFiltersForForcedScenarioPeriodoMap">N</b>
                    <b key="lineSplit">N</b>
                    <b key="addRCRow">N</b>
                    <b key="complementary">N</b>
                    <ref key="periodicCalculation" refId="132"/>
                    <b key="breakLevelSubtotal">N</b>
                    <b key="alreadyDrilled">N</b>
                    <b key="multiSelection">N</b>
                  </be>
                  <cust key="id" clsId="FilterOid">1</cust>
                  <i key="index">0</i>
                  <l key="children" refId="605" ln="0" eid="Framework.com.tagetik.trees.INode,framework"/>
                </be>
                <m key="dataTypes" refId="606" keid="SYS_STR" veid="DataTypesMap"/>
                <m key="queries" refId="607" keid="SYS_STR" veid="MultiSheetQueryResultVO"/>
                <m key="validationQueries" refId="608" keid="SYS_STR" veid="ValidationQueryResult"/>
              </be>
              <be key="logger" refId="609" clsId="ReportLogger">
                <be key="sheetLogger" refId="610" clsId="ReportingElementLogger">
                  <set key="errors" refId="611" ln="0" eid="SYS_STR"/>
                  <set key="warnings" refId="612" ln="0" eid="SYS_STR"/>
                </be>
                <be key="fgdLogger" refId="613" clsId="ReportingElementLogger">
                  <set key="errors" refId="614" ln="0" eid="SYS_STR"/>
                  <set key="warnings" refId="615" ln="0" eid="SYS_STR"/>
                </be>
                <be key="tmplLogger" refId="616" clsId="ReportingElementLogger">
                  <set key="errors" refId="617" ln="0" eid="SYS_STR"/>
                  <set key="warnings" refId="618" ln="0" eid="SYS_STR"/>
                </be>
                <m key="matrixLoggers" refId="619" keid="SYS_STR" veid="MatrixLogger"/>
                <set key="errors" refId="620" ln="0" eid="SYS_STR"/>
                <set key="warnings" refId="621" ln="0" eid="SYS_STR"/>
              </be>
            </be>
          </val>
        </m>
        <m key="exportedType" refId="622" keid="SYS_STR" veid="SYS_STR"/>
        <m key="exportedResult" refId="623" keid="SYS_STR" veid="System.Byte[]"/>
        <b key="flagValidation">N</b>
      </be>
      <be key="parameters" refId="624" clsId="LaunchParameters">
        <be key="parameterBlock" refId="625" clsId="ParameterBlock">
          <m key="ParameterValues" refId="626" keid="SYS_STR" veid="Reporting.com.tagetik.report.parametersValue.IParameterValue,Reporting"/>
          <m key="ParameterAdHocValues" refId="627" keid="SYS_STR" veid="Reporting.com.tagetik.report.parametersValue.IParameterValue,Reporting"/>
        </be>
        <i key="descLanguage">0</i>
        <b key="dataEntry">N</b>
        <b key="checkEdit">S</b>
        <s key="adHocFileName">C:\Users\elmez\Downloads\Alloc_2_CALC.xlsx</s>
        <b key="createMatrixAreas">N</b>
      </be>
      <be key="launchInfo" refId="628" clsId="LaunchInfo">
        <d key="launchTime">1787754630267</d>
        <s key="handlerId">10d173c7-068a-4632-970b-d7f59c8eff1d</s>
      </be>
      <s key="code">TEST3</s>
      <ref key="desc" refId="2"/>
      <be key="options" refId="629" clsId="OpzioniProspetto">
        <b key="lockSheets">N</b>
        <s key="separator"> - </s>
        <i key="elabType">2</i>
        <i key="saveType">2</i>
        <i key="runElabType">2</i>
        <b key="enableSaveZeroValues">N</b>
        <b key="enableLogData">N</b>
        <b key="refreshAfterSave">N</b>
        <b key="closeFormOnSave">N</b>
        <b key="drillOnlyOnUsedDims">N</b>
        <b key="forceExportReport">N</b>
        <i key="colorEditRGB">13434879</i>
        <i key="colorProtectedRGB">16777164</i>
        <i key="colorIRGB">13434828</i>
        <i key="colorEditTransactionCurencyRGB">13434879</i>
        <ref key="parallelizeWhat" refId="4"/>
        <b key="sheetNamesWithCode">N</b>
        <b key="eventsWithUnlockedSheets">N</b>
        <ref key="includeTemplateInSheetName" refId="5"/>
        <b key="enableDrillDown">S</b>
        <u key="expControlloThreshold">1E-09</u>
        <b key="disableTGKFunctions">N</b>
        <ref key="validateTransactional" refId="6"/>
        <ref key="disableLock" refId="7"/>
        <ref key="headManipPosition" refId="8"/>
        <ref key="repEngine" refId="9"/>
        <i key="grainSize">1000</i>
        <i key="dataLoadPSize">4</i>
        <i key="dataProcPSize">6</i>
        <b key="disableDataSaving">N</b>
      </be>
      <m key="templates" refId="630" keid="SYS_STR" veid="Reporting.com.tagetik.report.IReportTemplateVO,Reporting">
        <key>
          <s>Template01</s>
        </key>
        <val>
          <be refId="631" clsId="ReportTemplateVO">
            <s key="code">Template01</s>
            <s key="desc">Allocation2</s>
            <m key="matrices" refId="632" keid="SYS_STR" veid="Reporting.com.tagetik.tables.IMatrixPositionBlockVO,Reporting"/>
            <m key="cellFields" refId="633" keid="SYS_STR" veid="CodeCellField"/>
            <m key="dictionary" refId="634" keid="SYS_STR" veid="CodeMultiDescVO"/>
            <m key="controlExpressions" refId="635" keid="SYS_STR" veid="CodedExpControlloProspetto"/>
            <m key="inlineParameters" refId="636" keid="SYS_STR" veid="CodedInlineParameter"/>
            <m key="queries" refId="637" keid="SYS_STR" veid="Reporting.com.tagetik.query.IUserDefinedQueryVO,Reporting">
              <key>
                <s>Query00</s>
              </key>
              <val>
                <be refId="638" clsId="UserDefinedQueryVO">
                  <s key="queryString">select * from V_ALLOCATION </s>
                  <s key="queryType">N</s>
                  <ref key="querySyntax" refId="19"/>
                  <ref key="options" refId="490"/>
                  <s key="cod">Query00</s>
                  <ref key="multiDescVO" refId="491"/>
                  <ref key="initialResult" refId="493"/>
                  <b key="hasExcelReferences">N</b>
                  <m key="ColumnDescriptors" refId="639" keid="SYS_STR" veid="QueryColumnDescriptor">
                    <key>
                      <s>PERIODE</s>
                    </key>
                    <val>
                      <be refId="640" clsId="QueryColumnDescriptor">
                        <s key="code">PERIODE</s>
                        <be key="multiDescVO" refId="641" clsId="MultiDesc">
                          <a key="desc" refId="642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COST_VARIABLE</s>
                    </key>
                    <val>
                      <be refId="643" clsId="QueryColumnDescriptor">
                        <s key="code">COST_VARIABLE</s>
                        <be key="multiDescVO" refId="644" clsId="MultiDesc">
                          <a key="desc" refId="645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POOL_ODIR</s>
                    </key>
                    <val>
                      <be refId="646" clsId="QueryColumnDescriptor">
                        <s key="code">POOL_ODIR</s>
                        <be key="multiDescVO" refId="647" clsId="MultiDesc">
                          <a key="desc" refId="648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MODALITE</s>
                    </key>
                    <val>
                      <be refId="649" clsId="QueryColumnDescriptor">
                        <s key="code">MODALITE</s>
                        <be key="multiDescVO" refId="650" clsId="MultiDesc">
                          <a key="desc" refId="651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COST_MARQUE</s>
                    </key>
                    <val>
                      <be refId="652" clsId="QueryColumnDescriptor">
                        <s key="code">COST_MARQUE</s>
                        <be key="multiDescVO" refId="653" clsId="MultiDesc">
                          <a key="desc" refId="654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POOL_FRAIS_MARQUE</s>
                    </key>
                    <val>
                      <be refId="655" clsId="QueryColumnDescriptor">
                        <s key="code">POOL_FRAIS_MARQUE</s>
                        <be key="multiDescVO" refId="656" clsId="MultiDesc">
                          <a key="desc" refId="657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COST_STRUCT</s>
                    </key>
                    <val>
                      <be refId="658" clsId="QueryColumnDescriptor">
                        <s key="code">COST_STRUCT</s>
                        <be key="multiDescVO" refId="659" clsId="MultiDesc">
                          <a key="desc" refId="660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COST_STRUCTURE</s>
                    </key>
                    <val>
                      <be refId="661" clsId="QueryColumnDescriptor">
                        <s key="code">COST_STRUCTURE</s>
                        <be key="multiDescVO" refId="662" clsId="MultiDesc">
                          <a key="desc" refId="663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EXERCICE</s>
                    </key>
                    <val>
                      <be refId="664" clsId="QueryColumnDescriptor">
                        <s key="code">EXERCICE</s>
                        <be key="multiDescVO" refId="665" clsId="MultiDesc">
                          <a key="desc" refId="666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COST_PERM</s>
                    </key>
                    <val>
                      <be refId="667" clsId="QueryColumnDescriptor">
                        <s key="code">COST_PERM</s>
                        <be key="multiDescVO" refId="668" clsId="MultiDesc">
                          <a key="desc" refId="669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VERSION</s>
                    </key>
                    <val>
                      <be refId="670" clsId="QueryColumnDescriptor">
                        <s key="code">VERSION</s>
                        <be key="multiDescVO" refId="671" clsId="MultiDesc">
                          <a key="desc" refId="672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MARGE_COMPLETE</s>
                    </key>
                    <val>
                      <be refId="673" clsId="QueryColumnDescriptor">
                        <s key="code">MARGE_COMPLETE</s>
                        <be key="multiDescVO" refId="674" clsId="MultiDesc">
                          <a key="desc" refId="675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CA</s>
                    </key>
                    <val>
                      <be refId="676" clsId="QueryColumnDescriptor">
                        <s key="code">CA</s>
                        <be key="multiDescVO" refId="677" clsId="MultiDesc">
                          <a key="desc" refId="678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POOL_STRUCT</s>
                    </key>
                    <val>
                      <be refId="679" clsId="QueryColumnDescriptor">
                        <s key="code">POOL_STRUCT</s>
                        <be key="multiDescVO" refId="680" clsId="MultiDesc">
                          <a key="desc" refId="681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VOL_CLASS</s>
                    </key>
                    <val>
                      <be refId="682" clsId="QueryColumnDescriptor">
                        <s key="code">VOL_CLASS</s>
                        <be key="multiDescVO" refId="683" clsId="MultiDesc">
                          <a key="desc" refId="684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POOL_MKT</s>
                    </key>
                    <val>
                      <be refId="685" clsId="QueryColumnDescriptor">
                        <s key="code">POOL_MKT</s>
                        <be key="multiDescVO" refId="686" clsId="MultiDesc">
                          <a key="desc" refId="687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POOL_VAC</s>
                    </key>
                    <val>
                      <be refId="688" clsId="QueryColumnDescriptor">
                        <s key="code">POOL_VAC</s>
                        <be key="multiDescVO" refId="689" clsId="MultiDesc">
                          <a key="desc" refId="690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PROGRAMME</s>
                    </key>
                    <val>
                      <be refId="691" clsId="QueryColumnDescriptor">
                        <s key="code">PROGRAMME</s>
                        <be key="multiDescVO" refId="692" clsId="MultiDesc">
                          <a key="desc" refId="693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COST_VAC</s>
                    </key>
                    <val>
                      <be refId="694" clsId="QueryColumnDescriptor">
                        <s key="code">COST_VAC</s>
                        <be key="multiDescVO" refId="695" clsId="MultiDesc">
                          <a key="desc" refId="696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POOL_HOLDING</s>
                    </key>
                    <val>
                      <be refId="697" clsId="QueryColumnDescriptor">
                        <s key="code">POOL_HOLDING</s>
                        <be key="multiDescVO" refId="698" clsId="MultiDesc">
                          <a key="desc" refId="699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VOL_EFF</s>
                    </key>
                    <val>
                      <be refId="700" clsId="QueryColumnDescriptor">
                        <s key="code">VOL_EFF</s>
                        <be key="multiDescVO" refId="701" clsId="MultiDesc">
                          <a key="desc" refId="702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COST_ODIR</s>
                    </key>
                    <val>
                      <be refId="703" clsId="QueryColumnDescriptor">
                        <s key="code">COST_ODIR</s>
                        <be key="multiDescVO" refId="704" clsId="MultiDesc">
                          <a key="desc" refId="705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SCENARIO</s>
                    </key>
                    <val>
                      <be refId="706" clsId="QueryColumnDescriptor">
                        <s key="code">SCENARIO</s>
                        <be key="multiDescVO" refId="707" clsId="MultiDesc">
                          <a key="desc" refId="708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ENTITY</s>
                    </key>
                    <val>
                      <be refId="709" clsId="QueryColumnDescriptor">
                        <s key="code">ENTITY</s>
                        <be key="multiDescVO" refId="710" clsId="MultiDesc">
                          <a key="desc" refId="711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AN_ETUDE</s>
                    </key>
                    <val>
                      <be refId="712" clsId="QueryColumnDescriptor">
                        <s key="code">AN_ETUDE</s>
                        <be key="multiDescVO" refId="713" clsId="MultiDesc">
                          <a key="desc" refId="714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COST_SIEGE</s>
                    </key>
                    <val>
                      <be refId="715" clsId="QueryColumnDescriptor">
                        <s key="code">COST_SIEGE</s>
                        <be key="multiDescVO" refId="716" clsId="MultiDesc">
                          <a key="desc" refId="717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MARQUE</s>
                    </key>
                    <val>
                      <be refId="718" clsId="QueryColumnDescriptor">
                        <s key="code">MARQUE</s>
                        <be key="multiDescVO" refId="719" clsId="MultiDesc">
                          <a key="desc" refId="720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COST_COMPLET</s>
                    </key>
                    <val>
                      <be refId="721" clsId="QueryColumnDescriptor">
                        <s key="code">COST_COMPLET</s>
                        <be key="multiDescVO" refId="722" clsId="MultiDesc">
                          <a key="desc" refId="723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POOL_PERM</s>
                    </key>
                    <val>
                      <be refId="724" clsId="QueryColumnDescriptor">
                        <s key="code">POOL_PERM</s>
                        <be key="multiDescVO" refId="725" clsId="MultiDesc">
                          <a key="desc" refId="726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VOL_NEW</s>
                    </key>
                    <val>
                      <be refId="727" clsId="QueryColumnDescriptor">
                        <s key="code">VOL_NEW</s>
                        <be key="multiDescVO" refId="728" clsId="MultiDesc">
                          <a key="desc" refId="729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COST_HOLDING</s>
                    </key>
                    <val>
                      <be refId="730" clsId="QueryColumnDescriptor">
                        <s key="code">COST_HOLDING</s>
                        <be key="multiDescVO" refId="731" clsId="MultiDesc">
                          <a key="desc" refId="732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</m>
                  <b key="forceCodeDesc">N</b>
                  <b key="enableFreeText">N</b>
                </be>
              </val>
            </m>
            <be key="sheets" refId="733" clsId="FilterNode">
              <l key="dimensionOids" refId="734" ln="0" eid="DimensionOid"/>
              <l key="AdHocParamDimensionOids" refId="735" ln="0" eid="DimensionOid"/>
              <be key="data" refId="736" clsId="FilterNodeData">
                <ref key="filterNode" refId="733"/>
                <i key="segmentLevel">0</i>
                <ref key="segment" refId="125"/>
                <b key="placeHolder">N</b>
                <ref key="weight" refId="126"/>
                <be key="textMatchingCondition" refId="737" clsId="TextMatchingCondition">
                  <ref key="op" refId="128"/>
                  <s key="val"/>
                </be>
                <ref key="change" refId="129"/>
                <ref key="dataType" refId="130"/>
                <b key="prevailingDataType">N</b>
                <ref key="editability" refId="131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132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738" keid="SYS_STR" veid="ElaborationsLauncher"/>
            <m key="actionLists" refId="739" keid="SYS_STR" veid="Reporting.com.tagetik.actionlist.ISnapshotActionList,Reporting"/>
            <l key="areas" refId="740" ln="0" eid="SYS_STR"/>
            <l key="charts" refId="741" ln="0" eid="SYS_STR"/>
            <l key="pivots" refId="742" ln="0" eid="SYS_STR"/>
          </be>
        </val>
        <key>
          <s>Template09</s>
        </key>
        <val>
          <be refId="743" clsId="ReportTemplateVO">
            <s key="code">Template09</s>
            <s key="desc">ALLOC</s>
            <m key="matrices" refId="744" keid="SYS_STR" veid="Reporting.com.tagetik.tables.IMatrixPositionBlockVO,Reporting">
              <key>
                <s>Matrix00 copy00</s>
              </key>
              <val>
                <be refId="745" clsId="MatrixPositionBlockVO">
                  <s key="positionID">Matrix00 copy00</s>
                  <ref key="rows" refId="300"/>
                  <ref key="columns" refId="335"/>
                  <ref key="matrixFilters" refId="359"/>
                  <be key="rowHeaders" refId="746" clsId="ReportingHeaders">
                    <m key="headers" refId="747" keid="SYS_PR_I" veid="System.Collections.IList"/>
                    <m key="headersDims" refId="748" keid="SYS_PR_I" veid="SYS_STR"/>
                  </be>
                  <be key="columnHeaders" refId="749" clsId="ReportingHeaders">
                    <m key="headers" refId="750" keid="SYS_PR_I" veid="System.Collections.IList"/>
                    <m key="headersDims" refId="751" keid="SYS_PR_I" veid="SYS_STR"/>
                  </be>
                  <ref key="styleType" refId="228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229"/>
                  <i key="maxCols">0</i>
                  <ref key="colsExpansionMode" refId="229"/>
                  <ref key="columnsAutofitMode" refId="230"/>
                  <b key="isEditabilityOnDemand">N</b>
                  <b key="useForcedBoundDims">N</b>
                  <ref key="disableHints" refId="231"/>
                  <ref key="enableOptimization" refId="232"/>
                  <ref key="tipoAllineamentoLordiIC" refId="233"/>
                  <ref key="forcedDimensions" refId="406"/>
                  <b key="bindOriginalAmountOnSave">N</b>
                  <b key="showLink">N</b>
                  <i key="index">1</i>
                  <b key="excludeValuatingSheetsWithZeroValues">N</b>
                  <m key="addictionalStyleSheets" refId="752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753" ln="0" eid="Reporting.com.tagetik.tables.IMatixCellLeafPositions,Reporting"/>
                  <m key="forcedEditModes" refId="754" keid="Reporting.com.tagetik.tables.IMatixCellLeafPositions,Reporting" veid="SYS_STR"/>
                  <b key="UseTxlDeFormEditor">N</b>
                  <ref key="TxDeFormsEditorDescriptor" refId="409"/>
                  <ref key="workspaceTableInfo" refId="411"/>
                  <ref key="customFilters" refId="412"/>
                </be>
              </val>
            </m>
            <m key="cellFields" refId="755" keid="SYS_STR" veid="CodeCellField"/>
            <m key="dictionary" refId="756" keid="SYS_STR" veid="CodeMultiDescVO"/>
            <m key="controlExpressions" refId="757" keid="SYS_STR" veid="CodedExpControlloProspetto"/>
            <m key="inlineParameters" refId="758" keid="SYS_STR" veid="CodedInlineParameter"/>
            <m key="queries" refId="759" keid="SYS_STR" veid="Reporting.com.tagetik.query.IUserDefinedQueryVO,Reporting">
              <key>
                <s>2C948082A039DF8A01A03E7ACA2B4AAA</s>
              </key>
              <val>
                <be refId="760" clsId="OWSUserDefinedQueryVO">
                  <ref key="fieldInfo" refId="419"/>
                  <l key="dependentFieldInfos" refId="761" ln="0" eid="WorkspaceTableFieldInfoVO"/>
                  <s key="queryString">
                    SELECT 'REV_CA' AS "CODE", 'Chiffre d''affaires' AS "DESCRIPTION" FROM DUMMY
                    <ch cod="0a"/>
                    UNION ALL
                    <ch cod="0a"/>
                    SELECT 'VOL_EFF', 'Effectif' FROM DUMMY
                    <ch cod="0a"/>
                    UNION ALL
                    <ch cod="0a"/>
                    SELECT 'VOL_CLASS', 'Nombre de classes' FROM DUMMY;
                  </s>
                  <s key="queryType">C</s>
                  <ref key="querySyntax" refId="19"/>
                  <ref key="options" refId="421"/>
                  <s key="cod">2C948082A039DF8A01A03E7ACA2B4AAA</s>
                  <ref key="multiDescVO" refId="422"/>
                  <b key="hasExcelReferences">N</b>
                  <m key="ColumnDescriptors" refId="762" keid="SYS_STR" veid="QueryColumnDescriptor"/>
                  <b key="forceCodeDesc">N</b>
                  <b key="enableFreeText">N</b>
                </be>
              </val>
              <key>
                <s>2C948082A039DF8A01A03E7ACA2B4AA9</s>
              </key>
              <val>
                <be refId="763" clsId="OWSUserDefinedQueryVO">
                  <ref key="fieldInfo" refId="426"/>
                  <l key="dependentFieldInfos" refId="764" ln="0" eid="WorkspaceTableFieldInfoVO"/>
                  <s key="queryString">select conto0_.COD_CONTO as col_0_0_, conto0_.DESC_CONTO0 as col_1_0_ from CONTO conto0_ order by conto0_.COD_CONTO</s>
                  <s key="queryType">C</s>
                  <ref key="querySyntax" refId="19"/>
                  <ref key="options" refId="428"/>
                  <s key="cod">2C948082A039DF8A01A03E7ACA2B4AA9</s>
                  <ref key="multiDescVO" refId="429"/>
                  <b key="hasExcelReferences">N</b>
                  <m key="ColumnDescriptors" refId="765" keid="SYS_STR" veid="QueryColumnDescriptor"/>
                  <b key="forceCodeDesc">S</b>
                  <b key="enableFreeText">N</b>
                </be>
              </val>
            </m>
            <be key="sheets" refId="766" clsId="FilterNode">
              <l key="dimensionOids" refId="767" ln="0" eid="DimensionOid"/>
              <l key="AdHocParamDimensionOids" refId="768" ln="0" eid="DimensionOid"/>
              <be key="data" refId="769" clsId="FilterNodeData">
                <ref key="filterNode" refId="766"/>
                <i key="segmentLevel">0</i>
                <ref key="segment" refId="125"/>
                <b key="placeHolder">N</b>
                <ref key="weight" refId="126"/>
                <be key="textMatchingCondition" refId="770" clsId="TextMatchingCondition">
                  <ref key="op" refId="128"/>
                  <s key="val"/>
                </be>
                <ref key="change" refId="129"/>
                <ref key="dataType" refId="130"/>
                <b key="prevailingDataType">N</b>
                <ref key="editability" refId="131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132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771" keid="SYS_STR" veid="ElaborationsLauncher"/>
            <m key="actionLists" refId="772" keid="SYS_STR" veid="Reporting.com.tagetik.actionlist.ISnapshotActionList,Reporting"/>
            <l key="areas" refId="773" ln="0" eid="SYS_STR"/>
            <l key="charts" refId="774" ln="0" eid="SYS_STR"/>
            <l key="pivots" refId="775" ln="0" eid="SYS_STR"/>
          </be>
        </val>
      </m>
      <m key="templateLayouts" refId="776" keid="SYS_STR" veid="Reporting.com.tagetik.report.IReportTemplateLayoutVO,Reporting">
        <key>
          <s>Template01</s>
        </key>
        <val>
          <be refId="777" clsId="ReportTemplateLayoutVO">
            <i key="index">1</i>
            <s key="code">Template01</s>
            <m key="cellFieldAddresses" refId="778" keid="SYS_STR" veid="Reporting.com.tagetik.spreadsheet.gridwrappers.IGridReaderVO,Reporting"/>
            <m key="controlExpressionsAddresses" refId="779" keid="SYS_STR" veid="Reporting.com.tagetik.spreadsheet.gridwrappers.IGridReaderVO,Reporting"/>
            <m key="inlineParameterAddresses" refId="780" keid="SYS_STR" veid="Reporting.com.tagetik.spreadsheet.gridwrappers.IGridReaderVO,Reporting"/>
            <m key="dictionaryAddresses" refId="781" keid="SYS_STR" veid="Reporting.com.tagetik.spreadsheet.gridwrappers.IGridReaderVO,Reporting"/>
            <m key="hyperlinkAddresses" refId="782" keid="SYS_STR" veid="Reporting.com.tagetik.spreadsheet.gridwrappers.IGridReaderVO,Reporting"/>
            <m key="matrixGridReaders" refId="783" keid="SYS_STR" veid="Reporting.com.tagetik.spreadsheet.gridwrappers.IGridReaderVO,Reporting"/>
            <m key="queryGridReaders" refId="784" keid="SYS_STR" veid="Reporting.com.tagetik.spreadsheet.gridwrappers.IGridReaderVO,Reporting">
              <key>
                <s>Query00</s>
              </key>
              <val>
                <be refId="785" clsId="ExcelCompactGridReaderVO">
                  <be key="element" refId="786" clsId="BasicLogicalElement">
                    <i key="columnHeadersCount">1</i>
                    <i key="rowHeadersCount">0</i>
                    <i key="valueColumns">31</i>
                    <i key="valueRows">1</i>
                  </be>
                  <s key="firstCell">A1</s>
                </be>
              </val>
            </m>
          </be>
        </val>
        <key>
          <s>Template09</s>
        </key>
        <val>
          <be refId="787" clsId="ReportTemplateLayoutVO">
            <i key="index">0</i>
            <s key="code">Template09</s>
            <m key="cellFieldAddresses" refId="788" keid="SYS_STR" veid="Reporting.com.tagetik.spreadsheet.gridwrappers.IGridReaderVO,Reporting"/>
            <m key="controlExpressionsAddresses" refId="789" keid="SYS_STR" veid="Reporting.com.tagetik.spreadsheet.gridwrappers.IGridReaderVO,Reporting"/>
            <m key="inlineParameterAddresses" refId="790" keid="SYS_STR" veid="Reporting.com.tagetik.spreadsheet.gridwrappers.IGridReaderVO,Reporting"/>
            <m key="dictionaryAddresses" refId="791" keid="SYS_STR" veid="Reporting.com.tagetik.spreadsheet.gridwrappers.IGridReaderVO,Reporting"/>
            <m key="hyperlinkAddresses" refId="792" keid="SYS_STR" veid="Reporting.com.tagetik.spreadsheet.gridwrappers.IGridReaderVO,Reporting"/>
            <m key="matrixGridReaders" refId="793" keid="SYS_STR" veid="Reporting.com.tagetik.spreadsheet.gridwrappers.IGridReaderVO,Reporting">
              <key>
                <s>Matrix00 copy00</s>
              </key>
              <val>
                <be refId="794" clsId="ExcelCompactGridReaderVO">
                  <be key="element" refId="795" clsId="BasicLogicalElement">
                    <i key="columnHeadersCount">0</i>
                    <i key="rowHeadersCount">0</i>
                    <i key="valueColumns">2</i>
                    <i key="valueRows">1</i>
                  </be>
                  <s key="firstCell">B6</s>
                </be>
              </val>
            </m>
            <m key="queryGridReaders" refId="796" keid="SYS_STR" veid="Reporting.com.tagetik.spreadsheet.gridwrappers.IGridReaderVO,Reporting"/>
          </be>
        </val>
      </m>
      <m key="adHocParameters" refId="797" keid="SYS_STR" veid="ProspParametro"/>
      <l key="parametersToBeRequested" refId="798" ln="0" eid="ParameterInfo"/>
    </be>
  </data>
</easyPacket>
</file>

<file path=customXml/item4.xml><?xml version="1.0" encoding="utf-8"?>
<easyPacket version="1.0">
  <header version="35.0.0.6.tgk.20260209140819"/>
  <data>
    <l refId="0" ln="0" eid="XLHiddenElement"/>
  </data>
</easyPacket>
</file>

<file path=customXml/itemProps1.xml><?xml version="1.0" encoding="utf-8"?>
<ds:datastoreItem xmlns:ds="http://schemas.openxmlformats.org/officeDocument/2006/customXml" ds:itemID="{E7139E4E-406C-4A84-9875-504964B31730}">
  <ds:schemaRefs/>
</ds:datastoreItem>
</file>

<file path=customXml/itemProps2.xml><?xml version="1.0" encoding="utf-8"?>
<ds:datastoreItem xmlns:ds="http://schemas.openxmlformats.org/officeDocument/2006/customXml" ds:itemID="{685F2DC9-ECEF-4176-B44C-A3D04F92B875}">
  <ds:schemaRefs/>
</ds:datastoreItem>
</file>

<file path=customXml/itemProps3.xml><?xml version="1.0" encoding="utf-8"?>
<ds:datastoreItem xmlns:ds="http://schemas.openxmlformats.org/officeDocument/2006/customXml" ds:itemID="{E747814F-5D23-43CF-85F7-499E6ED479BF}">
  <ds:schemaRefs/>
</ds:datastoreItem>
</file>

<file path=customXml/itemProps4.xml><?xml version="1.0" encoding="utf-8"?>
<ds:datastoreItem xmlns:ds="http://schemas.openxmlformats.org/officeDocument/2006/customXml" ds:itemID="{3A94364E-B069-4242-82F9-C9470BFD697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4</vt:i4>
      </vt:variant>
    </vt:vector>
  </HeadingPairs>
  <TitlesOfParts>
    <vt:vector size="7" baseType="lpstr">
      <vt:lpstr>ALLOC</vt:lpstr>
      <vt:lpstr>Allocation2</vt:lpstr>
      <vt:lpstr>_CALC_ALLOC</vt:lpstr>
      <vt:lpstr>ALLOC_BRAND_CAMP</vt:lpstr>
      <vt:lpstr>ALLOC_CAMP_CLASS</vt:lpstr>
      <vt:lpstr>ALLOC_GRP_BRAND</vt:lpstr>
      <vt:lpstr>ALLOC_GRP_MARQUE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El meziati</dc:creator>
  <cp:lastModifiedBy>Saad El meziati</cp:lastModifiedBy>
  <dcterms:created xsi:type="dcterms:W3CDTF">2026-08-19T10:07:49Z</dcterms:created>
  <dcterms:modified xsi:type="dcterms:W3CDTF">2026-08-26T14:31:20Z</dcterms:modified>
</cp:coreProperties>
</file>